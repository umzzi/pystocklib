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<sst xmlns="http://schemas.openxmlformats.org/spreadsheetml/2006/main" count="107" uniqueCount="49">
  <si>
    <t>[1928.0, 1878.0, 1203.0, 670.0]</t>
  </si>
  <si>
    <t>[5421.0, 6024.0, 3166.0, 4067.0]</t>
  </si>
  <si>
    <t>[3549.0, 4578.0, 3867.0, 4569.0]</t>
  </si>
  <si>
    <t>[6331.0, 7947.0, 2138.0, 3644.0]</t>
  </si>
  <si>
    <t>[11.4, 33.6, -2.6, -35.9, -76.7]</t>
  </si>
  <si>
    <t>[24.5, 98.2, 11.1, -47.5, 20.7]</t>
  </si>
  <si>
    <t>[nan, 128.7, 29.0, -15.5, 16.8]</t>
  </si>
  <si>
    <t>[85.2, -8.4, 25.5, -73.1, 126.3]</t>
  </si>
  <si>
    <t>[2196.0, 2597.0, 3409.0, 3544.0]</t>
  </si>
  <si>
    <t>[2072134.0, 2400690.0, 2549155.0, 2743787.0]</t>
  </si>
  <si>
    <t>[1227.0, 1633.0, 1945.0, 2323.0]</t>
  </si>
  <si>
    <t>[10647.0, 10667.0, 10983.0, 11688.0]</t>
  </si>
  <si>
    <t>[23.62, 18.89, 10.19, 5.43]</t>
  </si>
  <si>
    <t>[21.01, 19.63, 8.69, 10.44]</t>
  </si>
  <si>
    <t>[32.39, 31.64, 21.36, 21.16]</t>
  </si>
  <si>
    <t>[19.87, 23.01, 6.1, 9.93]</t>
  </si>
  <si>
    <t>[7.34, 8.23, 12.55, 23.89]</t>
  </si>
  <si>
    <t>[9.4, 6.42, 17.63, 17.58]</t>
  </si>
  <si>
    <t>[17.42, 14.22, 13.97, 13.79]</t>
  </si>
  <si>
    <t>[5.5, 3.86, 15.41, 13.5]</t>
  </si>
  <si>
    <t>name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</si>
  <si>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</si>
  <si>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</si>
  <si>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</si>
  <si>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</si>
  <si>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</si>
  <si>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</si>
  <si>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</si>
  <si>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</si>
  <si>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</si>
  <si>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</si>
  <si>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</si>
  <si>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 xml:space="preserve"> &lt; 동종업계per</t>
  </si>
  <si>
    <t>EPS(원)</t>
  </si>
  <si>
    <t>eps</t>
  </si>
  <si>
    <t>eps증가율</t>
  </si>
  <si>
    <t>eps증가율기하평균</t>
  </si>
  <si>
    <t>시가총액(억)</t>
  </si>
  <si>
    <t>거래량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</si>
  <si>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</si>
  <si>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</si>
  <si>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</si>
  <si>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</si>
  <si>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</si>
  <si>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</si>
  <si>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</si>
  <si>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</si>
  <si>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</si>
  <si>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시가총액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</si>
</sst>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"/>
  <sheetViews>
    <sheetView tabSelected="1" workbookViewId="0"/>
  </sheetViews>
  <sheetFormatPr defaultRowHeight="15"/>
  <sheetData>
    <row r="1" spans="1:28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48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</row>
    <row r="2" spans="1:28">
      <c r="A2" s="2">
        <f>HYPERLINK("https://finance.naver.com/item/coinfo.nhn?code=122990", "A122990")</f>
        <v>0</v>
      </c>
      <c r="B2">
        <f>HYPERLINK("http://comp.fnguide.com/SVO2/ASP/SVD_Consensus.asp?pGB=1&amp;gicode=A122990&amp;cID=&amp;MenuYn=Y&amp;ReportGB=&amp;NewMenuID=108&amp;stkGb=701", "와이솔")</f>
        <v>0</v>
      </c>
      <c r="C2">
        <v>2</v>
      </c>
      <c r="D2">
        <v>16000</v>
      </c>
      <c r="E2">
        <v>-0.48</v>
      </c>
      <c r="F2">
        <v>12.55</v>
      </c>
      <c r="G2">
        <v>23706</v>
      </c>
      <c r="H2">
        <v>16869</v>
      </c>
      <c r="I2">
        <v>14920</v>
      </c>
      <c r="J2">
        <v>-48.17</v>
      </c>
      <c r="K2">
        <v>-5.43</v>
      </c>
      <c r="L2">
        <v>6.75</v>
      </c>
      <c r="M2">
        <v>15.33</v>
      </c>
      <c r="N2" t="b">
        <v>1</v>
      </c>
      <c r="O2">
        <v>1203</v>
      </c>
      <c r="P2" t="s">
        <v>0</v>
      </c>
      <c r="Q2" t="s">
        <v>4</v>
      </c>
      <c r="R2">
        <v>-26.36353843601558</v>
      </c>
      <c r="S2">
        <v>4508</v>
      </c>
      <c r="T2">
        <v>273412</v>
      </c>
      <c r="U2" t="s">
        <v>8</v>
      </c>
      <c r="V2">
        <v>36.09</v>
      </c>
      <c r="W2" t="s">
        <v>12</v>
      </c>
      <c r="X2" t="s">
        <v>16</v>
      </c>
      <c r="Y2">
        <v>3703</v>
      </c>
      <c r="Z2">
        <v>400</v>
      </c>
      <c r="AA2">
        <v>515408</v>
      </c>
      <c r="AB2">
        <v>1.66</v>
      </c>
    </row>
    <row r="3" spans="1:28">
      <c r="A3" s="2">
        <f>HYPERLINK("https://finance.naver.com/item/coinfo.nhn?code=005930", "A005930")</f>
        <v>0</v>
      </c>
      <c r="B3">
        <f>HYPERLINK("http://comp.fnguide.com/SVO2/ASP/SVD_Consensus.asp?pGB=1&amp;gicode=A005930&amp;cID=&amp;MenuYn=Y&amp;ReportGB=&amp;NewMenuID=108&amp;stkGb=701", "삼성전자")</f>
        <v>0</v>
      </c>
      <c r="C3">
        <v>1</v>
      </c>
      <c r="D3">
        <v>71500</v>
      </c>
      <c r="E3">
        <v>1.51</v>
      </c>
      <c r="F3">
        <v>17.63</v>
      </c>
      <c r="G3">
        <v>77097</v>
      </c>
      <c r="H3">
        <v>56431</v>
      </c>
      <c r="I3">
        <v>50542</v>
      </c>
      <c r="J3">
        <v>-7.83</v>
      </c>
      <c r="K3">
        <v>21.08</v>
      </c>
      <c r="L3">
        <v>29.31</v>
      </c>
      <c r="M3">
        <v>14.39</v>
      </c>
      <c r="N3" t="b">
        <v>1</v>
      </c>
      <c r="O3">
        <v>3166</v>
      </c>
      <c r="P3" t="s">
        <v>1</v>
      </c>
      <c r="Q3" t="s">
        <v>5</v>
      </c>
      <c r="R3">
        <v>11.6787969242317</v>
      </c>
      <c r="S3">
        <v>4268395</v>
      </c>
      <c r="T3">
        <v>28130533</v>
      </c>
      <c r="U3" t="s">
        <v>9</v>
      </c>
      <c r="V3">
        <v>21.19</v>
      </c>
      <c r="W3" t="s">
        <v>13</v>
      </c>
      <c r="X3" t="s">
        <v>17</v>
      </c>
      <c r="Y3">
        <v>2304009</v>
      </c>
      <c r="Z3">
        <v>277685</v>
      </c>
      <c r="AB3">
        <v>2.54</v>
      </c>
    </row>
    <row r="4" spans="1:28">
      <c r="A4" s="2">
        <f>HYPERLINK("https://finance.naver.com/item/coinfo.nhn?code=243070", "A243070")</f>
        <v>0</v>
      </c>
      <c r="B4">
        <f>HYPERLINK("http://comp.fnguide.com/SVO2/ASP/SVD_Consensus.asp?pGB=1&amp;gicode=A243070&amp;cID=&amp;MenuYn=Y&amp;ReportGB=&amp;NewMenuID=108&amp;stkGb=701", "휴온스")</f>
        <v>0</v>
      </c>
      <c r="C4">
        <v>1</v>
      </c>
      <c r="D4">
        <v>63000</v>
      </c>
      <c r="E4">
        <v>0</v>
      </c>
      <c r="F4">
        <v>13.97</v>
      </c>
      <c r="G4">
        <v>66354</v>
      </c>
      <c r="H4">
        <v>38420</v>
      </c>
      <c r="I4">
        <v>30461</v>
      </c>
      <c r="J4">
        <v>-5.32</v>
      </c>
      <c r="K4">
        <v>39.02</v>
      </c>
      <c r="L4">
        <v>51.65</v>
      </c>
      <c r="M4">
        <v>26.62</v>
      </c>
      <c r="N4" t="b">
        <v>1</v>
      </c>
      <c r="O4">
        <v>3867</v>
      </c>
      <c r="P4" t="s">
        <v>2</v>
      </c>
      <c r="Q4" t="s">
        <v>6</v>
      </c>
      <c r="R4">
        <v>0</v>
      </c>
      <c r="S4">
        <v>6225</v>
      </c>
      <c r="T4">
        <v>102490</v>
      </c>
      <c r="U4" t="s">
        <v>10</v>
      </c>
      <c r="V4">
        <v>45.05</v>
      </c>
      <c r="W4" t="s">
        <v>14</v>
      </c>
      <c r="X4" t="s">
        <v>18</v>
      </c>
      <c r="Y4">
        <v>3650</v>
      </c>
      <c r="Z4">
        <v>484</v>
      </c>
      <c r="AA4">
        <v>88459</v>
      </c>
      <c r="AB4">
        <v>1.18</v>
      </c>
    </row>
    <row r="5" spans="1:28">
      <c r="A5" s="2">
        <f>HYPERLINK("https://finance.naver.com/item/coinfo.nhn?code=010780", "A010780")</f>
        <v>0</v>
      </c>
      <c r="B5">
        <f>HYPERLINK("http://comp.fnguide.com/SVO2/ASP/SVD_Consensus.asp?pGB=1&amp;gicode=A010780&amp;cID=&amp;MenuYn=Y&amp;ReportGB=&amp;NewMenuID=108&amp;stkGb=701", "아이에스동서")</f>
        <v>0</v>
      </c>
      <c r="C5">
        <v>1</v>
      </c>
      <c r="D5">
        <v>49200</v>
      </c>
      <c r="E5">
        <v>2.89</v>
      </c>
      <c r="F5">
        <v>15.41</v>
      </c>
      <c r="G5">
        <v>63513</v>
      </c>
      <c r="H5">
        <v>47027</v>
      </c>
      <c r="I5">
        <v>42330</v>
      </c>
      <c r="J5">
        <v>-29.09</v>
      </c>
      <c r="K5">
        <v>4.42</v>
      </c>
      <c r="L5">
        <v>13.96</v>
      </c>
      <c r="M5">
        <v>14.03</v>
      </c>
      <c r="N5" t="b">
        <v>1</v>
      </c>
      <c r="O5">
        <v>2138</v>
      </c>
      <c r="P5" t="s">
        <v>3</v>
      </c>
      <c r="Q5" t="s">
        <v>7</v>
      </c>
      <c r="R5">
        <v>5.323044183168046</v>
      </c>
      <c r="S5">
        <v>15199</v>
      </c>
      <c r="T5">
        <v>191933</v>
      </c>
      <c r="U5" t="s">
        <v>11</v>
      </c>
      <c r="V5">
        <v>54.69</v>
      </c>
      <c r="W5" t="s">
        <v>15</v>
      </c>
      <c r="X5" t="s">
        <v>19</v>
      </c>
      <c r="Y5">
        <v>9641</v>
      </c>
      <c r="Z5">
        <v>662</v>
      </c>
      <c r="AA5">
        <v>447941</v>
      </c>
      <c r="AB5">
        <v>2.12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2" t="s">
        <v>47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48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</row>
    <row r="2" spans="1:28">
      <c r="A2" s="2">
        <f>HYPERLINK("https://finance.naver.com/item/coinfo.nhn?code=010780", "A010780")</f>
        <v>0</v>
      </c>
      <c r="B2">
        <f>HYPERLINK("http://comp.fnguide.com/SVO2/ASP/SVD_Consensus.asp?pGB=1&amp;gicode=A010780&amp;cID=&amp;MenuYn=Y&amp;ReportGB=&amp;NewMenuID=108&amp;stkGb=701", "아이에스동서")</f>
        <v>0</v>
      </c>
      <c r="C2">
        <v>1</v>
      </c>
      <c r="D2">
        <v>49200</v>
      </c>
      <c r="E2">
        <v>2.89</v>
      </c>
      <c r="F2">
        <v>15.41</v>
      </c>
      <c r="G2">
        <v>63513</v>
      </c>
      <c r="H2">
        <v>47027</v>
      </c>
      <c r="I2">
        <v>42330</v>
      </c>
      <c r="J2">
        <v>-29.09</v>
      </c>
      <c r="K2">
        <v>4.42</v>
      </c>
      <c r="L2">
        <v>13.96</v>
      </c>
      <c r="M2">
        <v>14.03</v>
      </c>
      <c r="N2" t="b">
        <v>1</v>
      </c>
      <c r="O2">
        <v>2138</v>
      </c>
      <c r="P2" t="s">
        <v>3</v>
      </c>
      <c r="Q2" t="s">
        <v>7</v>
      </c>
      <c r="R2">
        <v>5.323044183168046</v>
      </c>
      <c r="S2">
        <v>15199</v>
      </c>
      <c r="T2">
        <v>191933</v>
      </c>
      <c r="U2" t="s">
        <v>11</v>
      </c>
      <c r="V2">
        <v>54.69</v>
      </c>
      <c r="W2" t="s">
        <v>15</v>
      </c>
      <c r="X2" t="s">
        <v>19</v>
      </c>
      <c r="Y2">
        <v>9641</v>
      </c>
      <c r="Z2">
        <v>662</v>
      </c>
      <c r="AA2">
        <v>447941</v>
      </c>
      <c r="AB2">
        <v>2.12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2020-12-06T02:46:39Z</dcterms:created>
  <dcterms:modified xsi:type="dcterms:W3CDTF">2020-12-06T02:46:39Z</dcterms:modified>
</cp:coreProperties>
</file>