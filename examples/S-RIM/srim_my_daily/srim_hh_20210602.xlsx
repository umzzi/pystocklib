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<sst xmlns="http://schemas.openxmlformats.org/spreadsheetml/2006/main" count="2686" uniqueCount="2008">
  <si>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</si>
  <si>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</si>
  <si>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</si>
  <si>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</si>
  <si>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</si>
  <si>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</si>
  <si>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</si>
  <si>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</si>
  <si>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</si>
  <si>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</si>
  <si>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</si>
  <si>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</si>
  <si>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</si>
  <si>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</si>
  <si>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</si>
  <si>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</si>
  <si>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</si>
  <si>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</si>
  <si>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</si>
  <si>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</si>
  <si>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</si>
  <si>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</si>
  <si>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</si>
  <si>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</si>
  <si>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</si>
  <si>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</si>
  <si>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</si>
  <si>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</si>
  <si>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</si>
  <si>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</si>
  <si>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</si>
  <si>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</si>
  <si>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</si>
  <si>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</si>
  <si>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</si>
  <si>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</si>
  <si>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A042420</t>
  </si>
  <si>
    <t>A067990</t>
  </si>
  <si>
    <t>A066700</t>
  </si>
  <si>
    <t>A900290</t>
  </si>
  <si>
    <t>A028150</t>
  </si>
  <si>
    <t>A021320</t>
  </si>
  <si>
    <t>A900250</t>
  </si>
  <si>
    <t>A151860</t>
  </si>
  <si>
    <t>A091340</t>
  </si>
  <si>
    <t>A056360</t>
  </si>
  <si>
    <t>A900280</t>
  </si>
  <si>
    <t>A066620</t>
  </si>
  <si>
    <t>A036190</t>
  </si>
  <si>
    <t>A049430</t>
  </si>
  <si>
    <t>A016610</t>
  </si>
  <si>
    <t>A083550</t>
  </si>
  <si>
    <t>A032190</t>
  </si>
  <si>
    <t>A005710</t>
  </si>
  <si>
    <t>A221980</t>
  </si>
  <si>
    <t>A068790</t>
  </si>
  <si>
    <t>A023460</t>
  </si>
  <si>
    <t>A079980</t>
  </si>
  <si>
    <t>A024720</t>
  </si>
  <si>
    <t>A192400</t>
  </si>
  <si>
    <t>A264900</t>
  </si>
  <si>
    <t>A039490</t>
  </si>
  <si>
    <t>A019180</t>
  </si>
  <si>
    <t>A086790</t>
  </si>
  <si>
    <t>A071050</t>
  </si>
  <si>
    <t>A123890</t>
  </si>
  <si>
    <t>A034830</t>
  </si>
  <si>
    <t>A005870</t>
  </si>
  <si>
    <t>A014790</t>
  </si>
  <si>
    <t>A016450</t>
  </si>
  <si>
    <t>A213500</t>
  </si>
  <si>
    <t>A004150</t>
  </si>
  <si>
    <t>A004960</t>
  </si>
  <si>
    <t>A001750</t>
  </si>
  <si>
    <t>A003300</t>
  </si>
  <si>
    <t>A023910</t>
  </si>
  <si>
    <t>A079960</t>
  </si>
  <si>
    <t>A029460</t>
  </si>
  <si>
    <t>A013120</t>
  </si>
  <si>
    <t>A036830</t>
  </si>
  <si>
    <t>A192440</t>
  </si>
  <si>
    <t>A036710</t>
  </si>
  <si>
    <t>A078020</t>
  </si>
  <si>
    <t>A024800</t>
  </si>
  <si>
    <t>A900340</t>
  </si>
  <si>
    <t>A083930</t>
  </si>
  <si>
    <t>A031310</t>
  </si>
  <si>
    <t>A052790</t>
  </si>
  <si>
    <t>A030960</t>
  </si>
  <si>
    <t>A032940</t>
  </si>
  <si>
    <t>A069510</t>
  </si>
  <si>
    <t>A003800</t>
  </si>
  <si>
    <t>A073560</t>
  </si>
  <si>
    <t>A198080</t>
  </si>
  <si>
    <t>A009780</t>
  </si>
  <si>
    <t>A900300</t>
  </si>
  <si>
    <t>A045300</t>
  </si>
  <si>
    <t>A037350</t>
  </si>
  <si>
    <t>A035890</t>
  </si>
  <si>
    <t>A014100</t>
  </si>
  <si>
    <t>A109860</t>
  </si>
  <si>
    <t>A900310</t>
  </si>
  <si>
    <t>A004650</t>
  </si>
  <si>
    <t>A000440</t>
  </si>
  <si>
    <t>A131030</t>
  </si>
  <si>
    <t>A012700</t>
  </si>
  <si>
    <t>A204270</t>
  </si>
  <si>
    <t>A950190</t>
  </si>
  <si>
    <t>A038540</t>
  </si>
  <si>
    <t>A101930</t>
  </si>
  <si>
    <t>A115310</t>
  </si>
  <si>
    <t>A141000</t>
  </si>
  <si>
    <t>A035810</t>
  </si>
  <si>
    <t>A023600</t>
  </si>
  <si>
    <t>A037460</t>
  </si>
  <si>
    <t>A032750</t>
  </si>
  <si>
    <t>A002020</t>
  </si>
  <si>
    <t>A053690</t>
  </si>
  <si>
    <t>A007340</t>
  </si>
  <si>
    <t>A024090</t>
  </si>
  <si>
    <t>A001680</t>
  </si>
  <si>
    <t>A084690</t>
  </si>
  <si>
    <t>A034810</t>
  </si>
  <si>
    <t>A046110</t>
  </si>
  <si>
    <t>A005960</t>
  </si>
  <si>
    <t>A000640</t>
  </si>
  <si>
    <t>A045100</t>
  </si>
  <si>
    <t>A006040</t>
  </si>
  <si>
    <t>A210540</t>
  </si>
  <si>
    <t>A003960</t>
  </si>
  <si>
    <t>A005670</t>
  </si>
  <si>
    <t>A004000</t>
  </si>
  <si>
    <t>A138040</t>
  </si>
  <si>
    <t>A008560</t>
  </si>
  <si>
    <t>A000060</t>
  </si>
  <si>
    <t>A007120</t>
  </si>
  <si>
    <t>A002410</t>
  </si>
  <si>
    <t>A001270</t>
  </si>
  <si>
    <t>A023590</t>
  </si>
  <si>
    <t>A039010</t>
  </si>
  <si>
    <t>A090710</t>
  </si>
  <si>
    <t>A030610</t>
  </si>
  <si>
    <t>A005830</t>
  </si>
  <si>
    <t>A001880</t>
  </si>
  <si>
    <t>A007700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</si>
  <si>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</si>
  <si>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</si>
  <si>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</si>
  <si>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</si>
  <si>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</si>
  <si>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</si>
  <si>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</si>
  <si>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</si>
  <si>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A030210</t>
  </si>
  <si>
    <t>A001120</t>
  </si>
  <si>
    <t>A005940</t>
  </si>
  <si>
    <t>A018670</t>
  </si>
  <si>
    <t>A006120</t>
  </si>
  <si>
    <t>A013580</t>
  </si>
  <si>
    <t>A015350</t>
  </si>
  <si>
    <t>A045060</t>
  </si>
  <si>
    <t>A002310</t>
  </si>
  <si>
    <t>A017390</t>
  </si>
  <si>
    <t>A016590</t>
  </si>
  <si>
    <t>A006740</t>
  </si>
  <si>
    <t>A017890</t>
  </si>
  <si>
    <t>A033660</t>
  </si>
  <si>
    <t>A027970</t>
  </si>
  <si>
    <t>A034300</t>
  </si>
  <si>
    <t>A105840</t>
  </si>
  <si>
    <t>A005820</t>
  </si>
  <si>
    <t>A014830</t>
  </si>
  <si>
    <t>A136490</t>
  </si>
  <si>
    <t>A055550</t>
  </si>
  <si>
    <t>A011330</t>
  </si>
  <si>
    <t>A002870</t>
  </si>
  <si>
    <t>A007540</t>
  </si>
  <si>
    <t>A161000</t>
  </si>
  <si>
    <t>A010960</t>
  </si>
  <si>
    <t>A000700</t>
  </si>
  <si>
    <t>A002810</t>
  </si>
  <si>
    <t>A002170</t>
  </si>
  <si>
    <t>A007330</t>
  </si>
  <si>
    <t>A023760</t>
  </si>
  <si>
    <t>A001630</t>
  </si>
  <si>
    <t>A016360</t>
  </si>
  <si>
    <t>A035000</t>
  </si>
  <si>
    <t>A006090</t>
  </si>
  <si>
    <t>A035510</t>
  </si>
  <si>
    <t>A043260</t>
  </si>
  <si>
    <t>A137940</t>
  </si>
  <si>
    <t>A033780</t>
  </si>
  <si>
    <t>A023770</t>
  </si>
  <si>
    <t>A046940</t>
  </si>
  <si>
    <t>A031330</t>
  </si>
  <si>
    <t>A006060</t>
  </si>
  <si>
    <t>A298540</t>
  </si>
  <si>
    <t>A225220</t>
  </si>
  <si>
    <t>A248170</t>
  </si>
  <si>
    <t>A038290</t>
  </si>
  <si>
    <t>A267980</t>
  </si>
  <si>
    <t>A229000</t>
  </si>
  <si>
    <t>A318410</t>
  </si>
  <si>
    <t>A004540</t>
  </si>
  <si>
    <t>A033290</t>
  </si>
  <si>
    <t>A241790</t>
  </si>
  <si>
    <t>A021650</t>
  </si>
  <si>
    <t>A199820</t>
  </si>
  <si>
    <t>A126600</t>
  </si>
  <si>
    <t>A053980</t>
  </si>
  <si>
    <t>A110790</t>
  </si>
  <si>
    <t>A318010</t>
  </si>
  <si>
    <t>A053080</t>
  </si>
  <si>
    <t>A243070</t>
  </si>
  <si>
    <t>A044340</t>
  </si>
  <si>
    <t>A045520</t>
  </si>
  <si>
    <t>A104830</t>
  </si>
  <si>
    <t>A190650</t>
  </si>
  <si>
    <t>A170790</t>
  </si>
  <si>
    <t>A136540</t>
  </si>
  <si>
    <t>A347770</t>
  </si>
  <si>
    <t>A014940</t>
  </si>
  <si>
    <t>A122310</t>
  </si>
  <si>
    <t>A094820</t>
  </si>
  <si>
    <t>A102710</t>
  </si>
  <si>
    <t>A039340</t>
  </si>
  <si>
    <t>A010240</t>
  </si>
  <si>
    <t>A251970</t>
  </si>
  <si>
    <t>A097950</t>
  </si>
  <si>
    <t>A060850</t>
  </si>
  <si>
    <t>A077500</t>
  </si>
  <si>
    <t>A049720</t>
  </si>
  <si>
    <t>A950180</t>
  </si>
  <si>
    <t>A035600</t>
  </si>
  <si>
    <t>A036670</t>
  </si>
  <si>
    <t>A083450</t>
  </si>
  <si>
    <t>A241520</t>
  </si>
  <si>
    <t>A161890</t>
  </si>
  <si>
    <t>A003070</t>
  </si>
  <si>
    <t>A281820</t>
  </si>
  <si>
    <t>A010640</t>
  </si>
  <si>
    <t>A120030</t>
  </si>
  <si>
    <t>A010050</t>
  </si>
  <si>
    <t>A095660</t>
  </si>
  <si>
    <t>A244920</t>
  </si>
  <si>
    <t>A134790</t>
  </si>
  <si>
    <t>A003230</t>
  </si>
  <si>
    <t>A134380</t>
  </si>
  <si>
    <t>A049770</t>
  </si>
  <si>
    <t>A192080</t>
  </si>
  <si>
    <t>A047040</t>
  </si>
  <si>
    <t>A013700</t>
  </si>
  <si>
    <t>A011780</t>
  </si>
  <si>
    <t>A339770</t>
  </si>
  <si>
    <t>A210980</t>
  </si>
  <si>
    <t>A267320</t>
  </si>
  <si>
    <t>A144960</t>
  </si>
  <si>
    <t>A097520</t>
  </si>
  <si>
    <t>A090460</t>
  </si>
  <si>
    <t>A239610</t>
  </si>
  <si>
    <t>A050760</t>
  </si>
  <si>
    <t>A041910</t>
  </si>
  <si>
    <t>A056190</t>
  </si>
  <si>
    <t>A255440</t>
  </si>
  <si>
    <t>A129890</t>
  </si>
  <si>
    <t>A040910</t>
  </si>
  <si>
    <t>A096530</t>
  </si>
  <si>
    <t>A352700</t>
  </si>
  <si>
    <t>A264660</t>
  </si>
  <si>
    <t>A236200</t>
  </si>
  <si>
    <t>A337930</t>
  </si>
  <si>
    <t>A119860</t>
  </si>
  <si>
    <t>A064550</t>
  </si>
  <si>
    <t>A214180</t>
  </si>
  <si>
    <t>A058110</t>
  </si>
  <si>
    <t>A093520</t>
  </si>
  <si>
    <t>A042500</t>
  </si>
  <si>
    <t>A084650</t>
  </si>
  <si>
    <t>A104460</t>
  </si>
  <si>
    <t>A263690</t>
  </si>
  <si>
    <t>A187870</t>
  </si>
  <si>
    <t>A223250</t>
  </si>
  <si>
    <t>A290120</t>
  </si>
  <si>
    <t>A238490</t>
  </si>
  <si>
    <t>네오위즈홀딩스</t>
  </si>
  <si>
    <t>도이치모터스</t>
  </si>
  <si>
    <t>테라젠이텍스</t>
  </si>
  <si>
    <t>GRT</t>
  </si>
  <si>
    <t>GS홈쇼핑</t>
  </si>
  <si>
    <t>KCC건설</t>
  </si>
  <si>
    <t>크리스탈신소재</t>
  </si>
  <si>
    <t>KG ETS</t>
  </si>
  <si>
    <t>S&amp;K폴리텍</t>
  </si>
  <si>
    <t>코위버</t>
  </si>
  <si>
    <t>골든센츄리</t>
  </si>
  <si>
    <t>국보디자인</t>
  </si>
  <si>
    <t>금화피에스시</t>
  </si>
  <si>
    <t>코메론</t>
  </si>
  <si>
    <t>DB금융투자</t>
  </si>
  <si>
    <t>케이엠</t>
  </si>
  <si>
    <t>다우데이타</t>
  </si>
  <si>
    <t>대원산업</t>
  </si>
  <si>
    <t>케이디켐</t>
  </si>
  <si>
    <t>DMS</t>
  </si>
  <si>
    <t>CNH</t>
  </si>
  <si>
    <t>휴비스</t>
  </si>
  <si>
    <t>한국콜마홀딩스</t>
  </si>
  <si>
    <t>쿠쿠홀딩스</t>
  </si>
  <si>
    <t>크라운제과</t>
  </si>
  <si>
    <t>키움증권</t>
  </si>
  <si>
    <t>티에이치엔</t>
  </si>
  <si>
    <t>하나금융지주</t>
  </si>
  <si>
    <t>한국금융지주</t>
  </si>
  <si>
    <t>한국자산신탁</t>
  </si>
  <si>
    <t>한국토지신탁</t>
  </si>
  <si>
    <t>휴니드</t>
  </si>
  <si>
    <t>한라</t>
  </si>
  <si>
    <t>한세예스24홀딩스</t>
  </si>
  <si>
    <t>한솔제지</t>
  </si>
  <si>
    <t>한솔홀딩스</t>
  </si>
  <si>
    <t>한신공영</t>
  </si>
  <si>
    <t>한양증권</t>
  </si>
  <si>
    <t>한일홀딩스</t>
  </si>
  <si>
    <t>대한약품</t>
  </si>
  <si>
    <t>동양이엔피</t>
  </si>
  <si>
    <t>케이씨</t>
  </si>
  <si>
    <t>동원개발</t>
  </si>
  <si>
    <t>솔브레인홀딩스</t>
  </si>
  <si>
    <t>슈피겐코리아</t>
  </si>
  <si>
    <t>심텍홀딩스</t>
  </si>
  <si>
    <t>이베스트투자증권</t>
  </si>
  <si>
    <t>유성티엔에스</t>
  </si>
  <si>
    <t>윙입푸드</t>
  </si>
  <si>
    <t>아바코</t>
  </si>
  <si>
    <t>아이즈비전</t>
  </si>
  <si>
    <t>액토즈소프트</t>
  </si>
  <si>
    <t>양지사</t>
  </si>
  <si>
    <t>원익</t>
  </si>
  <si>
    <t>에스텍</t>
  </si>
  <si>
    <t>에이스침대</t>
  </si>
  <si>
    <t>우리손에프앤지</t>
  </si>
  <si>
    <t>엔피디</t>
  </si>
  <si>
    <t>엠에스씨</t>
  </si>
  <si>
    <t>오가닉티코스메틱</t>
  </si>
  <si>
    <t>성우테크론</t>
  </si>
  <si>
    <t>성도이엔지</t>
  </si>
  <si>
    <t>서희건설</t>
  </si>
  <si>
    <t>메디앙스</t>
  </si>
  <si>
    <t>동일금속</t>
  </si>
  <si>
    <t>컬러레이</t>
  </si>
  <si>
    <t>창해에탄올</t>
  </si>
  <si>
    <t>중앙에너비스</t>
  </si>
  <si>
    <t>디에이치피코리아</t>
  </si>
  <si>
    <t>리드코프</t>
  </si>
  <si>
    <t>제이앤티씨</t>
  </si>
  <si>
    <t>미투젠</t>
  </si>
  <si>
    <t>상상인</t>
  </si>
  <si>
    <t>인화정공</t>
  </si>
  <si>
    <t>인포바인</t>
  </si>
  <si>
    <t>비아트론</t>
  </si>
  <si>
    <t>이지홀딩스</t>
  </si>
  <si>
    <t>삼보판지</t>
  </si>
  <si>
    <t>삼지전자</t>
  </si>
  <si>
    <t>삼진</t>
  </si>
  <si>
    <t>코오롱</t>
  </si>
  <si>
    <t>한미글로벌</t>
  </si>
  <si>
    <t>디티알오토모티브</t>
  </si>
  <si>
    <t>디씨엠</t>
  </si>
  <si>
    <t>대상</t>
  </si>
  <si>
    <t>대상홀딩스</t>
  </si>
  <si>
    <t>해성산업</t>
  </si>
  <si>
    <t>한일네트웍스</t>
  </si>
  <si>
    <t>동부건설</t>
  </si>
  <si>
    <t>동아쏘시오홀딩스</t>
  </si>
  <si>
    <t>한양이엔지</t>
  </si>
  <si>
    <t>동원산업</t>
  </si>
  <si>
    <t>디와이파워</t>
  </si>
  <si>
    <t>사조대림</t>
  </si>
  <si>
    <t>푸드웰</t>
  </si>
  <si>
    <t>롯데정밀화학</t>
  </si>
  <si>
    <t>메리츠금융지주</t>
  </si>
  <si>
    <t>메리츠증권</t>
  </si>
  <si>
    <t>메리츠화재</t>
  </si>
  <si>
    <t>미래아이앤지</t>
  </si>
  <si>
    <t>범양건영</t>
  </si>
  <si>
    <t>부국증권</t>
  </si>
  <si>
    <t>다우기술</t>
  </si>
  <si>
    <t>현대에이치티</t>
  </si>
  <si>
    <t>휴림로봇</t>
  </si>
  <si>
    <t>교보증권</t>
  </si>
  <si>
    <t>DB손해보험</t>
  </si>
  <si>
    <t>DL건설</t>
  </si>
  <si>
    <t>F&amp;F홀딩스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</si>
  <si>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</si>
  <si>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</si>
  <si>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</si>
  <si>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</si>
  <si>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</si>
  <si>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</si>
  <si>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</si>
  <si>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</si>
  <si>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KTB투자증권</t>
  </si>
  <si>
    <t>LG상사</t>
  </si>
  <si>
    <t>NH투자증권</t>
  </si>
  <si>
    <t>SK가스</t>
  </si>
  <si>
    <t>SK디스커버리</t>
  </si>
  <si>
    <t>계룡건설</t>
  </si>
  <si>
    <t>부산가스</t>
  </si>
  <si>
    <t>오공</t>
  </si>
  <si>
    <t>아세아제지</t>
  </si>
  <si>
    <t>서울가스</t>
  </si>
  <si>
    <t>신대양제지</t>
  </si>
  <si>
    <t>영풍제지</t>
  </si>
  <si>
    <t>한국알콜</t>
  </si>
  <si>
    <t>우리금융캐피탈</t>
  </si>
  <si>
    <t>세하</t>
  </si>
  <si>
    <t>신세계건설</t>
  </si>
  <si>
    <t>우진</t>
  </si>
  <si>
    <t>원림</t>
  </si>
  <si>
    <t>유니드</t>
  </si>
  <si>
    <t>선진</t>
  </si>
  <si>
    <t>신한지주</t>
  </si>
  <si>
    <t>유니켐</t>
  </si>
  <si>
    <t>신풍제지</t>
  </si>
  <si>
    <t>샘표</t>
  </si>
  <si>
    <t>애경유화</t>
  </si>
  <si>
    <t>삼호개발</t>
  </si>
  <si>
    <t>유수홀딩스</t>
  </si>
  <si>
    <t>삼영무역</t>
  </si>
  <si>
    <t>삼양통상</t>
  </si>
  <si>
    <t>푸른저축은행</t>
  </si>
  <si>
    <t>한국캐피탈</t>
  </si>
  <si>
    <t>종근당홀딩스</t>
  </si>
  <si>
    <t>삼성증권</t>
  </si>
  <si>
    <t>지투알</t>
  </si>
  <si>
    <t>사조오양</t>
  </si>
  <si>
    <t>신세계 I&amp;C</t>
  </si>
  <si>
    <t>성호전자</t>
  </si>
  <si>
    <t>넥스트아이</t>
  </si>
  <si>
    <t>KT&amp;G</t>
  </si>
  <si>
    <t>플레이위드</t>
  </si>
  <si>
    <t>우원개발</t>
  </si>
  <si>
    <t>에스에이엠티</t>
  </si>
  <si>
    <t>화승인더</t>
  </si>
  <si>
    <t>더네이쳐홀딩스</t>
  </si>
  <si>
    <t>제놀루션</t>
  </si>
  <si>
    <t>샘표식품</t>
  </si>
  <si>
    <t>마크로젠</t>
  </si>
  <si>
    <t>매일유업</t>
  </si>
  <si>
    <t>젠큐릭스</t>
  </si>
  <si>
    <t>비비씨</t>
  </si>
  <si>
    <t>깨끗한나라</t>
  </si>
  <si>
    <t>코웰패션</t>
  </si>
  <si>
    <t>오션브릿지</t>
  </si>
  <si>
    <t>한국큐빅</t>
  </si>
  <si>
    <t>제일전기공업</t>
  </si>
  <si>
    <t>코프라</t>
  </si>
  <si>
    <t>오상자이엘</t>
  </si>
  <si>
    <t>크리스에프앤씨</t>
  </si>
  <si>
    <t>팜스빌</t>
  </si>
  <si>
    <t>원방테크</t>
  </si>
  <si>
    <t>휴온스</t>
  </si>
  <si>
    <t>위닉스</t>
  </si>
  <si>
    <t>크린앤사이언스</t>
  </si>
  <si>
    <t>원익머트리얼즈</t>
  </si>
  <si>
    <t>코리아에셋투자증권</t>
  </si>
  <si>
    <t>파이오링크</t>
  </si>
  <si>
    <t>윈스</t>
  </si>
  <si>
    <t>핌스</t>
  </si>
  <si>
    <t>오리엔탈정공</t>
  </si>
  <si>
    <t>제노레이</t>
  </si>
  <si>
    <t>일진파워</t>
  </si>
  <si>
    <t>이엔에프테크놀로지</t>
  </si>
  <si>
    <t>한국경제TV</t>
  </si>
  <si>
    <t>흥국</t>
  </si>
  <si>
    <t>펌텍코리아</t>
  </si>
  <si>
    <t>CJ제일제당</t>
  </si>
  <si>
    <t>영림원소프트랩</t>
  </si>
  <si>
    <t>유니퀘스트</t>
  </si>
  <si>
    <t>고려신용정보</t>
  </si>
  <si>
    <t>SNK</t>
  </si>
  <si>
    <t>KG이니시스</t>
  </si>
  <si>
    <t>KCI</t>
  </si>
  <si>
    <t>GST</t>
  </si>
  <si>
    <t>DSC인베스트먼트</t>
  </si>
  <si>
    <t>한국콜마</t>
  </si>
  <si>
    <t>코오롱글로벌</t>
  </si>
  <si>
    <t>케이씨텍</t>
  </si>
  <si>
    <t>진양폴리</t>
  </si>
  <si>
    <t>조선선재</t>
  </si>
  <si>
    <t>우리종금</t>
  </si>
  <si>
    <t>네오위즈</t>
  </si>
  <si>
    <t>에이플러스에셋</t>
  </si>
  <si>
    <t>시디즈</t>
  </si>
  <si>
    <t>삼양식품</t>
  </si>
  <si>
    <t>미원화학</t>
  </si>
  <si>
    <t>동원F&amp;B</t>
  </si>
  <si>
    <t>더블유게임즈</t>
  </si>
  <si>
    <t>대우건설</t>
  </si>
  <si>
    <t>까뮤이앤씨</t>
  </si>
  <si>
    <t>금호석유</t>
  </si>
  <si>
    <t>교촌에프앤비</t>
  </si>
  <si>
    <t>SK디앤디</t>
  </si>
  <si>
    <t>나인테크</t>
  </si>
  <si>
    <t>뉴파워프라즈마</t>
  </si>
  <si>
    <t>엠씨넥스</t>
  </si>
  <si>
    <t>비에이치</t>
  </si>
  <si>
    <t>에이치엘사이언스</t>
  </si>
  <si>
    <t>에스폴리텍</t>
  </si>
  <si>
    <t>에스텍파마</t>
  </si>
  <si>
    <t>에스에프에이</t>
  </si>
  <si>
    <t>야스</t>
  </si>
  <si>
    <t>앱코</t>
  </si>
  <si>
    <t>아이씨디</t>
  </si>
  <si>
    <t>씨젠</t>
  </si>
  <si>
    <t>씨앤투스성진</t>
  </si>
  <si>
    <t>씨앤지하이테크</t>
  </si>
  <si>
    <t>슈프리마</t>
  </si>
  <si>
    <t>브랜드엑스코퍼레이션</t>
  </si>
  <si>
    <t>다나와</t>
  </si>
  <si>
    <t>바이오니아</t>
  </si>
  <si>
    <t>민앤지</t>
  </si>
  <si>
    <t>멕아이씨에스</t>
  </si>
  <si>
    <t>매커스</t>
  </si>
  <si>
    <t>링네트</t>
  </si>
  <si>
    <t>랩지노믹스</t>
  </si>
  <si>
    <t>디와이피엔에프</t>
  </si>
  <si>
    <t>디알젬</t>
  </si>
  <si>
    <t>디바이스이엔지</t>
  </si>
  <si>
    <t>드림씨아이에스</t>
  </si>
  <si>
    <t>대유에이피</t>
  </si>
  <si>
    <t>힘스</t>
  </si>
  <si>
    <t>[2230.0, 2345.0, 5841.0, nan]</t>
  </si>
  <si>
    <t>[1254.0, 1960.0, 492.0, 997.0]</t>
  </si>
  <si>
    <t>[-332.0, 1408.0, -277.0, nan]</t>
  </si>
  <si>
    <t>[784.0, 964.0, 766.0, nan]</t>
  </si>
  <si>
    <t>[20419.0, 16696.0, 19071.0, 21333.0]</t>
  </si>
  <si>
    <t>[1127.0, 1319.0, 1759.0, nan]</t>
  </si>
  <si>
    <t>[371.0, 334.0, 330.0, nan]</t>
  </si>
  <si>
    <t>[313.0, 2716.0, 741.0, nan]</t>
  </si>
  <si>
    <t>[722.0, 1311.0, -532.0, nan]</t>
  </si>
  <si>
    <t>[633.0, 2107.0, 572.0, nan]</t>
  </si>
  <si>
    <t>[318.0, 232.0, 214.0, nan]</t>
  </si>
  <si>
    <t>[1850.0, 2126.0, 2452.0, nan]</t>
  </si>
  <si>
    <t>[6615.0, 4614.0, 4993.0, 4233.0]</t>
  </si>
  <si>
    <t>[1353.0, 1581.0, 1338.0, 1558.0]</t>
  </si>
  <si>
    <t>[1280.0, 1144.0, 2271.0, nan]</t>
  </si>
  <si>
    <t>[420.0, 610.0, 3042.0, nan]</t>
  </si>
  <si>
    <t>[863.0, 1782.0, 2510.0, nan]</t>
  </si>
  <si>
    <t>[1404.0, 1950.0, 902.0, nan]</t>
  </si>
  <si>
    <t>[1685.0, 1857.0, 1743.0, nan]</t>
  </si>
  <si>
    <t>[661.0, 749.0, 1653.0, nan]</t>
  </si>
  <si>
    <t>[20.0, 383.0, 785.0, nan]</t>
  </si>
  <si>
    <t>[536.0, -8.0, 2382.0, nan]</t>
  </si>
  <si>
    <t>[3362.0, 2178.0, 5776.0, nan]</t>
  </si>
  <si>
    <t>[13106.0, 11168.0, 15003.0, nan]</t>
  </si>
  <si>
    <t>[1029.0, 1424.0, 1219.0, nan]</t>
  </si>
  <si>
    <t>[7753.0, 14287.0, 27556.0, 28833.0]</t>
  </si>
  <si>
    <t>[280.0, 959.0, -901.0, nan]</t>
  </si>
  <si>
    <t>[7458.0, 7966.0, 8784.0, 9976.0]</t>
  </si>
  <si>
    <t>[8599.0, 13724.0, 14021.0, 18929.0]</t>
  </si>
  <si>
    <t>[826.0, 716.0, 1049.0, 936.0]</t>
  </si>
  <si>
    <t>[662.0, 428.0, 336.0, 409.0]</t>
  </si>
  <si>
    <t>[1876.0, 564.0, 405.0, nan]</t>
  </si>
  <si>
    <t>[-248.0, 51.0, 2241.0, 1257.0]</t>
  </si>
  <si>
    <t>[-398.0, 504.0, 1359.0, 1130.0]</t>
  </si>
  <si>
    <t>[1715.0, 1681.0, 2490.0, nan]</t>
  </si>
  <si>
    <t>[-826.0, 536.0, 1627.0, 690.0]</t>
  </si>
  <si>
    <t>[14008.0, 6210.0, 9152.0, 6998.0]</t>
  </si>
  <si>
    <t>[351.0, 1672.0, 3465.0, nan]</t>
  </si>
  <si>
    <t>[17398.0, 461.0, 1652.0, nan]</t>
  </si>
  <si>
    <t>[4753.0, 4694.0, 2897.0, nan]</t>
  </si>
  <si>
    <t>[622.0, 3043.0, 2939.0, nan]</t>
  </si>
  <si>
    <t>[14496.0, 3591.0, 3534.0, nan]</t>
  </si>
  <si>
    <t>[1343.0, 933.0, 1590.0, nan]</t>
  </si>
  <si>
    <t>[5722.0, 6737.0, 103627.0, nan]</t>
  </si>
  <si>
    <t>[6870.0, 6489.0, 8603.0, 9008.0]</t>
  </si>
  <si>
    <t>[18.0, -378.0, 582.0, nan]</t>
  </si>
  <si>
    <t>[841.0, 1020.0, 1921.0, 2037.0]</t>
  </si>
  <si>
    <t>[433.0, 780.0, 1793.0, nan]</t>
  </si>
  <si>
    <t>[646.0, 236.0, 272.0, nan]</t>
  </si>
  <si>
    <t>[1592.0, 1225.0, 921.0, nan]</t>
  </si>
  <si>
    <t>[694.0, -63.0, 770.0, nan]</t>
  </si>
  <si>
    <t>[-1314.0, 1833.0, 1376.0, nan]</t>
  </si>
  <si>
    <t>[163.0, 145.0, 7553.0, nan]</t>
  </si>
  <si>
    <t>[-5063.0, 1928.0, 4367.0, nan]</t>
  </si>
  <si>
    <t>[1829.0, 1576.0, 1117.0, 1146.0]</t>
  </si>
  <si>
    <t>[2733.0, 3987.0, 4448.0, nan]</t>
  </si>
  <si>
    <t>[391.0, 61.0, 315.0, nan]</t>
  </si>
  <si>
    <t>[621.0, 1167.0, -247.0, nan]</t>
  </si>
  <si>
    <t>[608.0, 659.0, 508.0, nan]</t>
  </si>
  <si>
    <t>[760.0, 774.0, 559.0, nan]</t>
  </si>
  <si>
    <t>[560.0, 472.0, 399.0, nan]</t>
  </si>
  <si>
    <t>[1127.0, -4159.0, 5770.0, nan]</t>
  </si>
  <si>
    <t>[202.0, 294.0, 539.0, 635.0]</t>
  </si>
  <si>
    <t>[270.0, 2765.0, 357.0, nan]</t>
  </si>
  <si>
    <t>[1348.0, 2226.0, 949.0, nan]</t>
  </si>
  <si>
    <t>[490.0, 448.0, 408.0, nan]</t>
  </si>
  <si>
    <t>[404.0, 2185.0, 1414.0, nan]</t>
  </si>
  <si>
    <t>[143.0, 99.0, 3083.0, nan]</t>
  </si>
  <si>
    <t>[604.0, 881.0, 870.0, nan]</t>
  </si>
  <si>
    <t>[1196.0, 1531.0, 1735.0, nan]</t>
  </si>
  <si>
    <t>[542.0, 1691.0, 1043.0, 1195.0]</t>
  </si>
  <si>
    <t>[2461.0, 3166.0, 3271.0, nan]</t>
  </si>
  <si>
    <t>[2377.0, 2254.0, 1121.0, nan]</t>
  </si>
  <si>
    <t>[-189.0, -903.0, 3394.0, nan]</t>
  </si>
  <si>
    <t>[3022.0, 2817.0, 2072.0, nan]</t>
  </si>
  <si>
    <t>[2021.0, 396.0, 1212.0, nan]</t>
  </si>
  <si>
    <t>[547.0, 100.0, 1633.0, nan]</t>
  </si>
  <si>
    <t>[3650.0, 1779.0, 2241.0, nan]</t>
  </si>
  <si>
    <t>[822.0, 849.0, 1649.0, nan]</t>
  </si>
  <si>
    <t>[266.0, 2019.0, 1102.0, nan]</t>
  </si>
  <si>
    <t>[-353.0, -1940.0, 10892.0, nan]</t>
  </si>
  <si>
    <t>[638.0, 2038.0, 849.0, 1113.0]</t>
  </si>
  <si>
    <t>[5581.0, 6584.0, 4596.0, nan]</t>
  </si>
  <si>
    <t>[570.0, 2005.0, 1706.0, nan]</t>
  </si>
  <si>
    <t>[1801.0, 2976.0, 3473.0, 3688.0]</t>
  </si>
  <si>
    <t>[632.0, 1946.0, 2360.0, nan]</t>
  </si>
  <si>
    <t>[77.0, 238.0, 24709.0, nan]</t>
  </si>
  <si>
    <t>[427.0, 589.0, 636.0, nan]</t>
  </si>
  <si>
    <t>[3507.0, 2803.0, 1973.0, 2266.0]</t>
  </si>
  <si>
    <t>[-26714.0, 3220.0, 26439.0, 5914.0]</t>
  </si>
  <si>
    <t>[4228.0, 1641.0, 2674.0, nan]</t>
  </si>
  <si>
    <t>[20549.0, 12632.0, 65430.0, 39427.0]</t>
  </si>
  <si>
    <t>[2310.0, 1728.0, 2301.0, 2907.0]</t>
  </si>
  <si>
    <t>[1663.0, 10553.0, 3691.0, nan]</t>
  </si>
  <si>
    <t>[450.0, 3109.0, 411.0, nan]</t>
  </si>
  <si>
    <t>[8330.0, 6526.0, 7705.0, 8717.0]</t>
  </si>
  <si>
    <t>[2230.0, 2841.0, 3587.0, nan]</t>
  </si>
  <si>
    <t>[602.0, 789.0, 773.0, 861.0]</t>
  </si>
  <si>
    <t>[2088.0, 2643.0, 3762.0, 3921.0]</t>
  </si>
  <si>
    <t>[-84.0, 108.0, 152.0, nan]</t>
  </si>
  <si>
    <t>[219.0, 794.0, 442.0, nan]</t>
  </si>
  <si>
    <t>[2170.0, 2055.0, 4529.0, nan]</t>
  </si>
  <si>
    <t>[2460.0, 4130.0, 6143.0, nan]</t>
  </si>
  <si>
    <t>[1977.0, 1236.0, 1059.0, nan]</t>
  </si>
  <si>
    <t>[-274.0, -117.0, 473.0, nan]</t>
  </si>
  <si>
    <t>[2148.0, 2319.0, 2046.0, nan]</t>
  </si>
  <si>
    <t>[7522.0, 5311.0, 7893.0, 8573.0]</t>
  </si>
  <si>
    <t>[4251.0, 6265.0, 7759.0, nan]</t>
  </si>
  <si>
    <t>[7089.0, 7156.0, 5571.0, nan]</t>
  </si>
  <si>
    <t>[7328.0, 5535.0, 3862.0, 6943.0]</t>
  </si>
  <si>
    <t>[17009.0, 4295.0, 1734.0, nan]</t>
  </si>
  <si>
    <t>[5231.0, 9415.0, 3579.0, 5549.0]</t>
  </si>
  <si>
    <t>[1464.0, 1736.0, 1845.0, 2152.0]</t>
  </si>
  <si>
    <t>[7321.0, 7923.0, 8309.0, 9904.0]</t>
  </si>
  <si>
    <t>[270.0, 7569.0, 3319.0, nan]</t>
  </si>
  <si>
    <t>[2284.0, 8606.0, 13074.0, nan]</t>
  </si>
  <si>
    <t>[871.0, 8130.0, 33268.0, nan]</t>
  </si>
  <si>
    <t>[478.0, 710.0, 1103.0, nan]</t>
  </si>
  <si>
    <t>[-1815.0, 737.0, 7678.0, 4082.0]</t>
  </si>
  <si>
    <t>[1202.0, 1584.0, 1921.0, 2510.0]</t>
  </si>
  <si>
    <t>[6474.0, 17212.0, 28748.0, 16143.0]</t>
  </si>
  <si>
    <t>[3941.0, 8844.0, 13091.0, nan]</t>
  </si>
  <si>
    <t>[9987.0, 8013.0, 10532.0, 10749.0]</t>
  </si>
  <si>
    <t>[4476.0, 4448.0, 16307.0, nan]</t>
  </si>
  <si>
    <t>[452.0, 442.0, 455.0, nan]</t>
  </si>
  <si>
    <t>[8785.0, 6860.0, 6057.0, 12170.0]</t>
  </si>
  <si>
    <t>[8276.0, 5836.0, 26203.0, nan]</t>
  </si>
  <si>
    <t>[19674.0, 13849.0, 10529.0, nan]</t>
  </si>
  <si>
    <t>[645.0, 418.0, 384.0, nan]</t>
  </si>
  <si>
    <t>[1327.0, 1472.0, 2360.0, nan]</t>
  </si>
  <si>
    <t>[1581.0, 1765.0, 1025.0, nan]</t>
  </si>
  <si>
    <t>[165.0, 347.0, 310.0, nan]</t>
  </si>
  <si>
    <t>[10769.0, 4379.0, 3058.0, nan]</t>
  </si>
  <si>
    <t>[-416.0, -587.0, 1690.0, nan]</t>
  </si>
  <si>
    <t>[-388.0, 1291.0, 6961.0, nan]</t>
  </si>
  <si>
    <t>[4062.0, 7600.0, 8656.0, 12250.0]</t>
  </si>
  <si>
    <t>[754.0, 899.0, 3516.0, nan]</t>
  </si>
  <si>
    <t>[6657.0, 7004.0, 6743.0, 7512.0]</t>
  </si>
  <si>
    <t>[180.0, 223.0, 158.0, nan]</t>
  </si>
  <si>
    <t>[250.0, 562.0, 943.0, nan]</t>
  </si>
  <si>
    <t>[4470.0, 4195.0, 6217.0, nan]</t>
  </si>
  <si>
    <t>[1657.0, 952.0, 1386.0, nan]</t>
  </si>
  <si>
    <t>[832.0, 863.0, 744.0, nan]</t>
  </si>
  <si>
    <t>[346.0, 156.0, 3071.0, nan]</t>
  </si>
  <si>
    <t>[1564.0, 1809.0, 1526.0, nan]</t>
  </si>
  <si>
    <t>[8432.0, 14733.0, 16637.0, nan]</t>
  </si>
  <si>
    <t>[1616.0, 1631.0, 1452.0, nan]</t>
  </si>
  <si>
    <t>[96.0, 109.0, 102.0, nan]</t>
  </si>
  <si>
    <t>[5481.0, 8988.0, 15704.0, 25989.0]</t>
  </si>
  <si>
    <t>[3741.0, 4388.0, 5686.0, 8670.0]</t>
  </si>
  <si>
    <t>[922.0, 921.0, 546.0, nan]</t>
  </si>
  <si>
    <t>[845.0, 1402.0, 1959.0, nan]</t>
  </si>
  <si>
    <t>[17009.0, 6196.0, 40451.0, nan]</t>
  </si>
  <si>
    <t>[-55.0, -144.0, 283.0, nan]</t>
  </si>
  <si>
    <t>[-111.0, -77.0, 557.0, nan]</t>
  </si>
  <si>
    <t>[6602.0, 7539.0, 8535.0, 8455.0]</t>
  </si>
  <si>
    <t>[-1052.0, 1086.0, 1539.0, nan]</t>
  </si>
  <si>
    <t>[-88.0, 793.0, 931.0, nan]</t>
  </si>
  <si>
    <t>[319.0, 376.0, 434.0, 717.0]</t>
  </si>
  <si>
    <t>[367.0, 1066.0, 675.0, nan]</t>
  </si>
  <si>
    <t>[1695.0, 2850.0, 6069.0, 7439.0]</t>
  </si>
  <si>
    <t>[194.0, -41.0, 3927.0, nan]</t>
  </si>
  <si>
    <t>[3938.0, 5870.0, 7892.0, nan]</t>
  </si>
  <si>
    <t>[250.0, -330.0, 8324.0, nan]</t>
  </si>
  <si>
    <t>[7530.0, 8202.0, 7350.0, 8854.0]</t>
  </si>
  <si>
    <t>[-1136.0, -1699.0, 5607.0, nan]</t>
  </si>
  <si>
    <t>[-1394.0, 1183.0, 1829.0, nan]</t>
  </si>
  <si>
    <t>[-899.0, -322.0, 1013.0, nan]</t>
  </si>
  <si>
    <t>[555.0, 568.0, 684.0, 724.0]</t>
  </si>
  <si>
    <t>[1471.0, 1024.0, 1422.0, nan]</t>
  </si>
  <si>
    <t>[50.0, 205.0, 643.0, nan]</t>
  </si>
  <si>
    <t>[1276.0, 1472.0, 1473.0, nan]</t>
  </si>
  <si>
    <t>[229.0, 424.0, 603.0, 651.0]</t>
  </si>
  <si>
    <t>[-72.0, -833.0, 1299.0, nan]</t>
  </si>
  <si>
    <t>[3234.0, 2119.0, 3301.0, nan]</t>
  </si>
  <si>
    <t>[768.0, 1092.0, 365.0, nan]</t>
  </si>
  <si>
    <t>[3219.0, 3545.0, 3361.0, nan]</t>
  </si>
  <si>
    <t>[4165.0, 3518.0, 5118.0, 4461.0]</t>
  </si>
  <si>
    <t>[1056.0, 2266.0, 2373.0, nan]</t>
  </si>
  <si>
    <t>[1054.0, 1249.0, 2059.0, nan]</t>
  </si>
  <si>
    <t>[3336.0, 2229.0, 2628.0, 3175.0]</t>
  </si>
  <si>
    <t>[1183.0, 1195.0, 1207.0, nan]</t>
  </si>
  <si>
    <t>[53.0, 820.0, 1557.0, nan]</t>
  </si>
  <si>
    <t>[976.0, 1207.0, 1499.0, 1548.0]</t>
  </si>
  <si>
    <t>[1084.0, 3129.0, 816.0, 1152.0]</t>
  </si>
  <si>
    <t>[-73.0, 77.0, 644.0, nan]</t>
  </si>
  <si>
    <t>[776.0, 950.0, 699.0, nan]</t>
  </si>
  <si>
    <t>[1050.0, 781.0, 707.0, nan]</t>
  </si>
  <si>
    <t>[2026.0, 3239.0, 3245.0, 2100.0]</t>
  </si>
  <si>
    <t>[627.0, 653.0, 827.0, nan]</t>
  </si>
  <si>
    <t>[675.0, 568.0, 954.0, nan]</t>
  </si>
  <si>
    <t>[1705.0, 1661.0, 1577.0, 1827.0]</t>
  </si>
  <si>
    <t>[54191.0, 9312.0, 41851.0, 37602.0]</t>
  </si>
  <si>
    <t>[-611.0, 714.0, 686.0, nan]</t>
  </si>
  <si>
    <t>[442.0, 935.0, 878.0, 1376.0]</t>
  </si>
  <si>
    <t>[327.0, 463.0, 720.0, nan]</t>
  </si>
  <si>
    <t>[1477.0, 1701.0, 1035.0, nan]</t>
  </si>
  <si>
    <t>[1263.0, 1792.0, 1521.0, 2107.0]</t>
  </si>
  <si>
    <t>[793.0, 1013.0, 942.0, nan]</t>
  </si>
  <si>
    <t>[1033.0, 1918.0, 1696.0, 3142.0]</t>
  </si>
  <si>
    <t>[203.0, 312.0, 870.0, nan]</t>
  </si>
  <si>
    <t>[1954.0, 1285.0, 7004.0, 2772.0]</t>
  </si>
  <si>
    <t>[639.0, 1411.0, 3238.0, 5069.0]</t>
  </si>
  <si>
    <t>[2741.0, 1858.0, 2133.0, nan]</t>
  </si>
  <si>
    <t>[96.0, 755.0, 161.0, nan]</t>
  </si>
  <si>
    <t>[9348.0, 10187.0, 7311.0, nan]</t>
  </si>
  <si>
    <t>[49.0, 78.0, 89.0, nan]</t>
  </si>
  <si>
    <t>[1462.0, 1104.0, 2747.0, 2709.0]</t>
  </si>
  <si>
    <t>[682.0, 610.0, 977.0, 725.0]</t>
  </si>
  <si>
    <t>[2009.0, 3907.0, 8672.0, nan]</t>
  </si>
  <si>
    <t>[4623.0, 7906.0, 8922.0, 7972.0]</t>
  </si>
  <si>
    <t>[3373.0, 6167.0, 6264.0, nan]</t>
  </si>
  <si>
    <t>[14699.0, 17015.0, 20194.0, 22717.0]</t>
  </si>
  <si>
    <t>[4869.0, 6040.0, 6127.0, 7244.0]</t>
  </si>
  <si>
    <t>[719.0, 502.0, 683.0, 1210.0]</t>
  </si>
  <si>
    <t>[39.0, 299.0, 204.0, nan]</t>
  </si>
  <si>
    <t>[14667.0, 8796.0, 17405.0, 51209.0]</t>
  </si>
  <si>
    <t>[2641.0, 1411.0, 1107.0, 1545.0]</t>
  </si>
  <si>
    <t>[3237.0, 2365.0, 2974.0, 2186.0]</t>
  </si>
  <si>
    <t>[55.0, 114.0, -31.0, nan]</t>
  </si>
  <si>
    <t>[322.0, 133.0, 750.0, nan]</t>
  </si>
  <si>
    <t>[1731.0, 4731.0, 2152.0, 2653.0]</t>
  </si>
  <si>
    <t>[2677.0, 1732.0, 774.0, 1465.0]</t>
  </si>
  <si>
    <t>[2015.0, 3661.0, 3643.0, nan]</t>
  </si>
  <si>
    <t>[93.0, 658.0, 473.0, nan]</t>
  </si>
  <si>
    <t>[554.0, 1280.0, 921.0, nan]</t>
  </si>
  <si>
    <t>[4399.0, 3676.0, 3015.0, 3686.0]</t>
  </si>
  <si>
    <t>[2775.0, 1250.0, 894.0, nan]</t>
  </si>
  <si>
    <t>[357.0, 455.0, 2319.0, 2642.0]</t>
  </si>
  <si>
    <t>[1789.0, 639.0, 1866.0, 1850.0]</t>
  </si>
  <si>
    <t>[205.0, 511.0, 9617.0, 9962.0]</t>
  </si>
  <si>
    <t>[-1237.0, -69.0, 4082.0, 5319.0]</t>
  </si>
  <si>
    <t>[1201.0, 1404.0, 1160.0, nan]</t>
  </si>
  <si>
    <t>[1608.0, 3643.0, 1310.0, nan]</t>
  </si>
  <si>
    <t>[252.0, 413.0, 396.0, 948.0]</t>
  </si>
  <si>
    <t>[1255.0, 1804.0, 2366.0, 2600.0]</t>
  </si>
  <si>
    <t>[-408.0, -349.0, 2301.0, 3966.0]</t>
  </si>
  <si>
    <t>[1072.0, 1329.0, 1532.0, 1786.0]</t>
  </si>
  <si>
    <t>[-253.0, -134.0, 1751.0, nan]</t>
  </si>
  <si>
    <t>[576.0, 296.0, 493.0, nan]</t>
  </si>
  <si>
    <t>[234.0, 466.0, 498.0, nan]</t>
  </si>
  <si>
    <t>[-414.0, 94.0, 3738.0, nan]</t>
  </si>
  <si>
    <t>[969.0, 1974.0, 2423.0, nan]</t>
  </si>
  <si>
    <t>[466.0, 483.0, 1765.0, nan]</t>
  </si>
  <si>
    <t>[1980.0, 661.0, 4320.0, nan]</t>
  </si>
  <si>
    <t>[849.0, 1032.0, 976.0, 1019.0]</t>
  </si>
  <si>
    <t>[976.0, 733.0, 530.0, nan]</t>
  </si>
  <si>
    <t>[-91.0, 746.0, 1521.0, nan]</t>
  </si>
  <si>
    <t>[5.2, 149.1, nan]</t>
  </si>
  <si>
    <t>[56.3, -74.9, 102.6]</t>
  </si>
  <si>
    <t>[-524.1, -119.7, nan]</t>
  </si>
  <si>
    <t>[23.0, -20.5, nan]</t>
  </si>
  <si>
    <t>[-18.2, 14.2, 11.9]</t>
  </si>
  <si>
    <t>[17.0, 33.4, nan]</t>
  </si>
  <si>
    <t>[-10.0, -1.2, nan]</t>
  </si>
  <si>
    <t>[767.7, -72.7, nan]</t>
  </si>
  <si>
    <t>[81.6, -140.6, nan]</t>
  </si>
  <si>
    <t>[232.9, -72.9, nan]</t>
  </si>
  <si>
    <t>[-27.0, -7.8, nan]</t>
  </si>
  <si>
    <t>[14.9, 15.3, nan]</t>
  </si>
  <si>
    <t>[-30.2, 8.2, -15.2]</t>
  </si>
  <si>
    <t>[16.9, -15.4, 16.4]</t>
  </si>
  <si>
    <t>[-10.6, 98.5, nan]</t>
  </si>
  <si>
    <t>[45.2, 398.7, nan]</t>
  </si>
  <si>
    <t>[106.5, 40.9, nan]</t>
  </si>
  <si>
    <t>[38.9, -53.7, nan]</t>
  </si>
  <si>
    <t>[10.2, -6.1, nan]</t>
  </si>
  <si>
    <t>[13.3, 120.7, nan]</t>
  </si>
  <si>
    <t>[1815.0, 105.0, nan]</t>
  </si>
  <si>
    <t>[-101.5, -29875.0, nan]</t>
  </si>
  <si>
    <t>[-35.2, 165.2, nan]</t>
  </si>
  <si>
    <t>[-14.8, 34.3, nan]</t>
  </si>
  <si>
    <t>[38.4, -14.4, nan]</t>
  </si>
  <si>
    <t>[84.3, 92.9, 4.6]</t>
  </si>
  <si>
    <t>[242.5, -194.0, nan]</t>
  </si>
  <si>
    <t>[6.8, 10.3, 13.6]</t>
  </si>
  <si>
    <t>[59.6, 2.2, 35.0]</t>
  </si>
  <si>
    <t>[-13.3, 46.5, -10.8]</t>
  </si>
  <si>
    <t>[-35.3, -21.5, 21.7]</t>
  </si>
  <si>
    <t>[-69.9, -28.2, nan]</t>
  </si>
  <si>
    <t>[-120.6, 4294.1, -43.9]</t>
  </si>
  <si>
    <t>[-226.6, 169.6, -16.9]</t>
  </si>
  <si>
    <t>[-2.0, 48.1, nan]</t>
  </si>
  <si>
    <t>[-164.9, 203.5, -57.6]</t>
  </si>
  <si>
    <t>[-55.7, 47.4, -23.5]</t>
  </si>
  <si>
    <t>[376.4, 107.2, nan]</t>
  </si>
  <si>
    <t>[-97.4, 258.4, nan]</t>
  </si>
  <si>
    <t>[-1.2, -38.3, nan]</t>
  </si>
  <si>
    <t>[389.2, -3.4, nan]</t>
  </si>
  <si>
    <t>[-75.2, -1.6, nan]</t>
  </si>
  <si>
    <t>[-30.5, 70.4, nan]</t>
  </si>
  <si>
    <t>[17.7, 1438.2, nan]</t>
  </si>
  <si>
    <t>[-5.5, 32.6, 4.7]</t>
  </si>
  <si>
    <t>[-2200.0, -254.0, nan]</t>
  </si>
  <si>
    <t>[21.3, 88.3, 6.0]</t>
  </si>
  <si>
    <t>[80.1, 129.9, nan]</t>
  </si>
  <si>
    <t>[-63.5, 15.3, nan]</t>
  </si>
  <si>
    <t>[-23.1, -24.8, nan]</t>
  </si>
  <si>
    <t>[-109.1, -1322.2, nan]</t>
  </si>
  <si>
    <t>[-239.5, -24.9, nan]</t>
  </si>
  <si>
    <t>[-11.0, 5109.0, nan]</t>
  </si>
  <si>
    <t>[-138.1, 126.5, nan]</t>
  </si>
  <si>
    <t>[-13.8, -29.1, 2.6]</t>
  </si>
  <si>
    <t>[45.9, 11.6, nan]</t>
  </si>
  <si>
    <t>[-84.4, 416.4, nan]</t>
  </si>
  <si>
    <t>[87.9, -121.2, nan]</t>
  </si>
  <si>
    <t>[8.4, -22.9, nan]</t>
  </si>
  <si>
    <t>[1.8, -27.8, nan]</t>
  </si>
  <si>
    <t>[-15.7, -15.5, nan]</t>
  </si>
  <si>
    <t>[-469.0, -238.7, nan]</t>
  </si>
  <si>
    <t>[45.5, 83.3, 17.8]</t>
  </si>
  <si>
    <t>[924.1, -87.1, nan]</t>
  </si>
  <si>
    <t>[65.1, -57.4, nan]</t>
  </si>
  <si>
    <t>[-8.6, -8.9, nan]</t>
  </si>
  <si>
    <t>[440.8, -35.3, nan]</t>
  </si>
  <si>
    <t>[-30.8, 3014.1, nan]</t>
  </si>
  <si>
    <t>[45.9, -1.2, nan]</t>
  </si>
  <si>
    <t>[28.0, 13.3, nan]</t>
  </si>
  <si>
    <t>[212.0, -38.3, 14.6]</t>
  </si>
  <si>
    <t>[28.6, 3.3, nan]</t>
  </si>
  <si>
    <t>[-5.2, -50.3, nan]</t>
  </si>
  <si>
    <t>[377.8, -475.9, nan]</t>
  </si>
  <si>
    <t>[-6.8, -26.4, nan]</t>
  </si>
  <si>
    <t>[-80.4, 206.1, nan]</t>
  </si>
  <si>
    <t>[-81.7, 1533.0, nan]</t>
  </si>
  <si>
    <t>[-51.3, 26.0, nan]</t>
  </si>
  <si>
    <t>[3.3, 94.2, nan]</t>
  </si>
  <si>
    <t>[659.0, -45.4, nan]</t>
  </si>
  <si>
    <t>[449.6, -661.4, nan]</t>
  </si>
  <si>
    <t>[219.4, -58.3, 31.1]</t>
  </si>
  <si>
    <t>[18.0, -30.2, nan]</t>
  </si>
  <si>
    <t>[251.8, -14.9, nan]</t>
  </si>
  <si>
    <t>[65.2, 16.7, 6.2]</t>
  </si>
  <si>
    <t>[207.9, 21.3, nan]</t>
  </si>
  <si>
    <t>[209.1, 10281.9, nan]</t>
  </si>
  <si>
    <t>[37.9, 8.0, nan]</t>
  </si>
  <si>
    <t>[-20.1, -29.6, 14.9]</t>
  </si>
  <si>
    <t>[-112.1, 721.1, -77.6]</t>
  </si>
  <si>
    <t>[-61.2, 62.9, nan]</t>
  </si>
  <si>
    <t>[-38.5, 418.0, -39.7]</t>
  </si>
  <si>
    <t>[-25.2, 33.2, 26.3]</t>
  </si>
  <si>
    <t>[534.6, -65.0, nan]</t>
  </si>
  <si>
    <t>[590.9, -86.8, nan]</t>
  </si>
  <si>
    <t>[-21.7, 18.1, 13.1]</t>
  </si>
  <si>
    <t>[27.4, 26.3, nan]</t>
  </si>
  <si>
    <t>[31.1, -2.0, 11.4]</t>
  </si>
  <si>
    <t>[26.6, 42.3, 4.2]</t>
  </si>
  <si>
    <t>[-228.6, 40.7, nan]</t>
  </si>
  <si>
    <t>[262.6, -44.3, nan]</t>
  </si>
  <si>
    <t>[-5.3, 120.4, nan]</t>
  </si>
  <si>
    <t>[67.9, 48.7, nan]</t>
  </si>
  <si>
    <t>[-37.5, -14.3, nan]</t>
  </si>
  <si>
    <t>[-57.3, -504.3, nan]</t>
  </si>
  <si>
    <t>[8.0, -11.8, nan]</t>
  </si>
  <si>
    <t>[-29.4, 48.6, 8.6]</t>
  </si>
  <si>
    <t>[47.4, 23.8, nan]</t>
  </si>
  <si>
    <t>[0.9, -22.1, nan]</t>
  </si>
  <si>
    <t>[-24.5, -30.2, 79.8]</t>
  </si>
  <si>
    <t>[-74.7, -59.6, nan]</t>
  </si>
  <si>
    <t>[80.0, -62.0, 55.0]</t>
  </si>
  <si>
    <t>[18.6, 6.3, 16.6]</t>
  </si>
  <si>
    <t>[8.2, 4.9, 19.2]</t>
  </si>
  <si>
    <t>[2703.3, -56.2, nan]</t>
  </si>
  <si>
    <t>[276.8, 51.9, nan]</t>
  </si>
  <si>
    <t>[833.4, 309.2, nan]</t>
  </si>
  <si>
    <t>[48.5, 55.4, nan]</t>
  </si>
  <si>
    <t>[-140.6, 941.8, -46.8]</t>
  </si>
  <si>
    <t>[31.8, 21.3, 30.7]</t>
  </si>
  <si>
    <t>[165.9, 67.0, -43.8]</t>
  </si>
  <si>
    <t>[124.4, 48.0, nan]</t>
  </si>
  <si>
    <t>[-19.8, 31.4, 2.1]</t>
  </si>
  <si>
    <t>[-0.6, 266.6, nan]</t>
  </si>
  <si>
    <t>[-2.2, 2.9, nan]</t>
  </si>
  <si>
    <t>[-21.9, -11.7, 100.9]</t>
  </si>
  <si>
    <t>[-29.5, 349.0, nan]</t>
  </si>
  <si>
    <t>[-29.6, -24.0, nan]</t>
  </si>
  <si>
    <t>[-35.2, -8.1, nan]</t>
  </si>
  <si>
    <t>[10.9, 60.3, nan]</t>
  </si>
  <si>
    <t>[11.6, -41.9, nan]</t>
  </si>
  <si>
    <t>[110.3, -10.7, nan]</t>
  </si>
  <si>
    <t>[-59.3, -30.2, nan]</t>
  </si>
  <si>
    <t>[41.1, -387.9, nan]</t>
  </si>
  <si>
    <t>[-432.7, 439.2, nan]</t>
  </si>
  <si>
    <t>[87.1, 13.9, 41.5]</t>
  </si>
  <si>
    <t>[19.2, 291.1, nan]</t>
  </si>
  <si>
    <t>[5.2, -3.7, 11.4]</t>
  </si>
  <si>
    <t>[23.9, -29.1, nan]</t>
  </si>
  <si>
    <t>[124.8, 67.8, nan]</t>
  </si>
  <si>
    <t>[-6.2, 48.2, nan]</t>
  </si>
  <si>
    <t>[-42.5, 45.6, nan]</t>
  </si>
  <si>
    <t>[3.7, -13.8, nan]</t>
  </si>
  <si>
    <t>[-54.9, 1868.6, nan]</t>
  </si>
  <si>
    <t>[15.7, -15.6, nan]</t>
  </si>
  <si>
    <t>[74.7, 12.9, nan]</t>
  </si>
  <si>
    <t>[0.9, -11.0, nan]</t>
  </si>
  <si>
    <t>[13.5, -6.4, nan]</t>
  </si>
  <si>
    <t>[64.0, 74.7, 65.5]</t>
  </si>
  <si>
    <t>[17.3, 29.6, 52.5]</t>
  </si>
  <si>
    <t>[-0.1, -40.7, nan]</t>
  </si>
  <si>
    <t>[65.9, 39.7, nan]</t>
  </si>
  <si>
    <t>[-63.6, 552.9, nan]</t>
  </si>
  <si>
    <t>[161.8, -296.5, nan]</t>
  </si>
  <si>
    <t>[-30.6, -823.4, nan]</t>
  </si>
  <si>
    <t>[14.2, 13.2, -0.9]</t>
  </si>
  <si>
    <t>[-203.2, 41.7, nan]</t>
  </si>
  <si>
    <t>[-1001.1, 17.4, nan]</t>
  </si>
  <si>
    <t>[17.9, 15.4, 65.2]</t>
  </si>
  <si>
    <t>[190.5, -36.7, nan]</t>
  </si>
  <si>
    <t>[68.1, 112.9, 22.6]</t>
  </si>
  <si>
    <t>[-121.1, -9678.0, nan]</t>
  </si>
  <si>
    <t>[49.1, 34.4, nan]</t>
  </si>
  <si>
    <t>[-232.0, -2622.4, nan]</t>
  </si>
  <si>
    <t>[8.9, -10.4, 20.5]</t>
  </si>
  <si>
    <t>[49.6, -430.0, nan]</t>
  </si>
  <si>
    <t>[-184.9, 54.6, nan]</t>
  </si>
  <si>
    <t>[-64.2, -414.6, nan]</t>
  </si>
  <si>
    <t>[2.3, 20.4, 5.8]</t>
  </si>
  <si>
    <t>[-30.4, 38.9, nan]</t>
  </si>
  <si>
    <t>[310.0, 213.7, nan]</t>
  </si>
  <si>
    <t>[15.4, 0.1, nan]</t>
  </si>
  <si>
    <t>[85.2, 42.2, 8.0]</t>
  </si>
  <si>
    <t>[1056.9, -255.9, nan]</t>
  </si>
  <si>
    <t>[-34.5, 55.8, nan]</t>
  </si>
  <si>
    <t>[42.2, -66.6, nan]</t>
  </si>
  <si>
    <t>[10.1, -5.2, nan]</t>
  </si>
  <si>
    <t>[-15.5, 45.5, -12.8]</t>
  </si>
  <si>
    <t>[114.6, 4.7, nan]</t>
  </si>
  <si>
    <t>[18.5, 64.9, nan]</t>
  </si>
  <si>
    <t>[-33.2, 17.9, 20.8]</t>
  </si>
  <si>
    <t>[1.0, 1.0, nan]</t>
  </si>
  <si>
    <t>[1447.2, 89.9, nan]</t>
  </si>
  <si>
    <t>[23.7, 24.2, 3.3]</t>
  </si>
  <si>
    <t>[188.7, -73.9, 41.2]</t>
  </si>
  <si>
    <t>[-205.5, 736.4, nan]</t>
  </si>
  <si>
    <t>[22.4, -26.4, nan]</t>
  </si>
  <si>
    <t>[-25.6, -9.5, nan]</t>
  </si>
  <si>
    <t>[59.9, 0.2, -35.3]</t>
  </si>
  <si>
    <t>[4.1, 26.6, nan]</t>
  </si>
  <si>
    <t>[-15.9, 68.0, nan]</t>
  </si>
  <si>
    <t>[-2.6, -5.1, 15.9]</t>
  </si>
  <si>
    <t>[-82.8, 349.4, -10.2]</t>
  </si>
  <si>
    <t>[-216.9, -3.9, nan]</t>
  </si>
  <si>
    <t>[111.5, -6.1, 56.7]</t>
  </si>
  <si>
    <t>[41.6, 55.5, nan]</t>
  </si>
  <si>
    <t>[15.2, -39.2, nan]</t>
  </si>
  <si>
    <t>[41.9, -15.1, 38.5]</t>
  </si>
  <si>
    <t>[27.7, -7.0, nan]</t>
  </si>
  <si>
    <t>[85.7, -11.6, 85.3]</t>
  </si>
  <si>
    <t>[53.7, 178.8, nan]</t>
  </si>
  <si>
    <t>[-34.2, 445.1, -60.4]</t>
  </si>
  <si>
    <t>[120.8, 129.5, 56.5]</t>
  </si>
  <si>
    <t>[-32.2, 14.8, nan]</t>
  </si>
  <si>
    <t>[686.5, -78.7, nan]</t>
  </si>
  <si>
    <t>[9.0, -28.2, nan]</t>
  </si>
  <si>
    <t>[59.2, 14.1, nan]</t>
  </si>
  <si>
    <t>[-24.5, 148.8, -1.4]</t>
  </si>
  <si>
    <t>[-10.6, 60.2, -25.8]</t>
  </si>
  <si>
    <t>[94.5, 122.0, nan]</t>
  </si>
  <si>
    <t>[71.0, 12.9, -10.6]</t>
  </si>
  <si>
    <t>[82.8, 1.6, nan]</t>
  </si>
  <si>
    <t>[15.8, 18.7, 12.5]</t>
  </si>
  <si>
    <t>[24.1, 1.4, 18.2]</t>
  </si>
  <si>
    <t>[-30.2, 36.1, 77.2]</t>
  </si>
  <si>
    <t>[666.7, -31.8, nan]</t>
  </si>
  <si>
    <t>[-40.0, 97.9, 194.2]</t>
  </si>
  <si>
    <t>[-46.6, -21.5, 39.6]</t>
  </si>
  <si>
    <t>[-26.9, 25.8, -26.5]</t>
  </si>
  <si>
    <t>[107.3, -127.2, nan]</t>
  </si>
  <si>
    <t>[-58.7, 463.9, nan]</t>
  </si>
  <si>
    <t>[173.3, -54.5, 23.3]</t>
  </si>
  <si>
    <t>[-35.3, -55.3, 89.3]</t>
  </si>
  <si>
    <t>[81.7, -0.5, nan]</t>
  </si>
  <si>
    <t>[607.5, -28.1, nan]</t>
  </si>
  <si>
    <t>[131.0, -28.0, nan]</t>
  </si>
  <si>
    <t>[-16.4, -18.0, 22.3]</t>
  </si>
  <si>
    <t>[-55.0, -28.5, nan]</t>
  </si>
  <si>
    <t>[27.5, 409.7, 13.9]</t>
  </si>
  <si>
    <t>[-64.3, 192.0, -0.9]</t>
  </si>
  <si>
    <t>[149.3, 1782.0, 3.6]</t>
  </si>
  <si>
    <t>[-94.4, -6015.9, 30.3]</t>
  </si>
  <si>
    <t>[16.9, -17.4, nan]</t>
  </si>
  <si>
    <t>[126.6, -64.0, nan]</t>
  </si>
  <si>
    <t>[63.9, -4.1, 139.4]</t>
  </si>
  <si>
    <t>[43.7, 31.2, 9.9]</t>
  </si>
  <si>
    <t>[-14.5, -759.3, 72.4]</t>
  </si>
  <si>
    <t>[24.0, 15.3, 16.6]</t>
  </si>
  <si>
    <t>[-47.0, -1406.7, nan]</t>
  </si>
  <si>
    <t>[-48.6, 66.6, nan]</t>
  </si>
  <si>
    <t>[99.1, 6.9, nan]</t>
  </si>
  <si>
    <t>[-122.7, 3876.6, nan]</t>
  </si>
  <si>
    <t>[103.7, 22.7, nan]</t>
  </si>
  <si>
    <t>[3.6, 265.4, nan]</t>
  </si>
  <si>
    <t>[-66.6, 553.6, nan]</t>
  </si>
  <si>
    <t>[21.6, -5.4, 4.4]</t>
  </si>
  <si>
    <t>[-24.9, -27.7, nan]</t>
  </si>
  <si>
    <t>[-919.8, 103.9, nan]</t>
  </si>
  <si>
    <t>[0, 0, 5.2, 149.1, 0]</t>
  </si>
  <si>
    <t>[0, 810.0, 56.4, -74.9, -34.0]</t>
  </si>
  <si>
    <t>[-47.4, 0, 0, 0, 0]</t>
  </si>
  <si>
    <t>[-46.5, 1.2, 22.9, -20.5, -31.1]</t>
  </si>
  <si>
    <t>[-2.7, 30.2, -18.2, 14.2, 36.6]</t>
  </si>
  <si>
    <t>[35.0, 7.4, 16.9, 33.3, -8.6]</t>
  </si>
  <si>
    <t>[-15.3, 6.9, -11.4, -10.0, -1.2]</t>
  </si>
  <si>
    <t>[137.7, -3.9, 767.9, -72.7, 2561.2]</t>
  </si>
  <si>
    <t>[14.0, 93.0, 81.6, 0, 57.5]</t>
  </si>
  <si>
    <t>[-1.6, -4.8, 233.0, -72.9, 0]</t>
  </si>
  <si>
    <t>[-37.0, -18.2, -27.1, -7.6, nan]</t>
  </si>
  <si>
    <t>[24.2, 4.0, 14.9, 15.3, -0.7]</t>
  </si>
  <si>
    <t>[-13.7, 92.3, -30.3, 8.2, -11.2]</t>
  </si>
  <si>
    <t>[-25.5, 28.8, 16.8, -15.3, 136.6]</t>
  </si>
  <si>
    <t>[0.0, 0.7, 8.6, 7.2, 12.9]</t>
  </si>
  <si>
    <t>[20.2, 3.8, 45.1, 399.0, -62.0]</t>
  </si>
  <si>
    <t>[58.3, -7.7, 106.4, 40.8, 1792.2]</t>
  </si>
  <si>
    <t>[-20.7, -17.2, 38.9, -53.8, 0]</t>
  </si>
  <si>
    <t>[-19.2, 2.3, 10.2, -6.1, 14.7]</t>
  </si>
  <si>
    <t>[-89.4, 287.5, 13.3, 120.6, -47.2]</t>
  </si>
  <si>
    <t>[]</t>
  </si>
  <si>
    <t>[154.8, -17.5, 0, 0, 144.8]</t>
  </si>
  <si>
    <t>[-23.5, 100.9, -35.2, 165.3, -78.5]</t>
  </si>
  <si>
    <t>[473.5, -72.4, -14.8, 34.3, 70.0]</t>
  </si>
  <si>
    <t>[nan, -0.9, 38.4, -14.4, 6.4]</t>
  </si>
  <si>
    <t>[15.3, 17.4, 10.8, 17.0, 27.6]</t>
  </si>
  <si>
    <t>[-78.8, 59.1, 242.8, 0, 0]</t>
  </si>
  <si>
    <t>[2.0, 2.1, 2.2, 2.0, 1.9]</t>
  </si>
  <si>
    <t>[6.1, 4.5, -0.5, -0.7, -0.8]</t>
  </si>
  <si>
    <t>[-7.6, 50.3, -69.9, -28.3, 0]</t>
  </si>
  <si>
    <t>[329.8, 0, 0, 4295.7, 27.1]</t>
  </si>
  <si>
    <t>[104.2, 0, 0, 169.8, 0]</t>
  </si>
  <si>
    <t>[-22.5, -5.4, -2.0, 48.1, -64.2]</t>
  </si>
  <si>
    <t>[0, 0, 0, 203.6, -52.4]</t>
  </si>
  <si>
    <t>[153.2, 112.2, -55.7, 47.4, -39.3]</t>
  </si>
  <si>
    <t>[2.6, 1.8, 1.7, 7.9, 14.2]</t>
  </si>
  <si>
    <t>[-29.3, 1048.6, -97.4, 258.7, 0]</t>
  </si>
  <si>
    <t>[40.6, 14.8, -1.2, -38.3, -26.0]</t>
  </si>
  <si>
    <t>[-66.2, -6.7, 389.6, -3.4, -27.5]</t>
  </si>
  <si>
    <t>[69.9, 494.3, -75.2, -1.6, -37.8]</t>
  </si>
  <si>
    <t>[2.7, 21.2, -30.5, 70.5, -24.2]</t>
  </si>
  <si>
    <t>[-45.4, 131.9, 17.8, 1438.1, -75.2]</t>
  </si>
  <si>
    <t>[5.5, 5.0, -5.5, 32.6, 24.9]</t>
  </si>
  <si>
    <t>[-77.7, -58.6, 0, 0, -38.9]</t>
  </si>
  <si>
    <t>[6.6, 10.2, 8.6, 11.2, 20.1]</t>
  </si>
  <si>
    <t>[68.3, -12.2, 79.9, 130.1, 71.5]</t>
  </si>
  <si>
    <t>[nan, -99.0, 15.6, -63.4, 15.2]</t>
  </si>
  <si>
    <t>[0, 0, -23.1, -24.8, -70.0]</t>
  </si>
  <si>
    <t>[40.3, 93.9, 0, 0, 177.9]</t>
  </si>
  <si>
    <t>[0, 0, 0, -24.9, 204.2]</t>
  </si>
  <si>
    <t>[26.0, -27.3, -11.0, 5109.9, -97.2]</t>
  </si>
  <si>
    <t>[-83.1, 0, 0, 126.5, 0]</t>
  </si>
  <si>
    <t>[-32.8, 101.4, -13.8, -29.1, 15.0]</t>
  </si>
  <si>
    <t>[-12.6, 14.5, 45.9, 11.6, 122.6]</t>
  </si>
  <si>
    <t>[88.3, 2.4, -84.5, 418.9, 15.1]</t>
  </si>
  <si>
    <t>[175.9, -48.7, -4.8, 87.8, 0]</t>
  </si>
  <si>
    <t>[13.3, -4.8, 8.5, -23.0, 40.6]</t>
  </si>
  <si>
    <t>[-8.9, 1.3, 1.9, -27.8, nan]</t>
  </si>
  <si>
    <t>[68.5, -7.5, -15.7, -15.5, 0]</t>
  </si>
  <si>
    <t>[-4.8, -21.2, 0, 0, 21.1]</t>
  </si>
  <si>
    <t>[8.0, 11.9, 45.6, 83.5, 56.6]</t>
  </si>
  <si>
    <t>[122.4, -46.9, 925.9, -87.1, 0]</t>
  </si>
  <si>
    <t>[4.0, 151.8, 65.1, -57.3, 231.9]</t>
  </si>
  <si>
    <t>[-99.9, -53.6, -5.4, -8.5, -8.9]</t>
  </si>
  <si>
    <t>[172.6, -26.6, 440.3, -35.3, -10.0]</t>
  </si>
  <si>
    <t>[51.1, -44.3, -30.9, 3020.4, 1128.8]</t>
  </si>
  <si>
    <t>[12.0, -22.3, 45.9, -1.3, -55.7]</t>
  </si>
  <si>
    <t>[9.8, -11.7, 28.0, 13.3, 7.8]</t>
  </si>
  <si>
    <t>[111.1, -85.1, 455.2, 211.9, -38.3]</t>
  </si>
  <si>
    <t>[nan, 339.8, 28.6, 3.3, -13.5]</t>
  </si>
  <si>
    <t>[44.5, 36.4, -5.2, -50.3, 625.8]</t>
  </si>
  <si>
    <t>[0, 0, 0, 0, 0]</t>
  </si>
  <si>
    <t>[-2.5, -11.1, -6.8, -26.4, -3.8]</t>
  </si>
  <si>
    <t>[-9.8, 101.2, -80.4, 206.0, 28.6]</t>
  </si>
  <si>
    <t>[21.3, 3.4, -81.8, 1534.7, -13.1]</t>
  </si>
  <si>
    <t>[-76.9, 725.4, -51.3, 26.0, 74.0]</t>
  </si>
  <si>
    <t>[19.7, -50.5, 3.3, 94.2, -32.5]</t>
  </si>
  <si>
    <t>[-52.3, -42.3, 659.6, -45.4, 15.1]</t>
  </si>
  <si>
    <t>[321.4, 0, 0, 0, -35.2]</t>
  </si>
  <si>
    <t>[-3.8, -22.7, 219.8, -58.4, 89.5]</t>
  </si>
  <si>
    <t>[-31.8, 142.7, 18.0, -30.2, 1.1]</t>
  </si>
  <si>
    <t>[-24.9, -41.8, 226.4, -14.9, 309.8]</t>
  </si>
  <si>
    <t>[-18.4, 23.0, 65.2, 16.7, -23.4]</t>
  </si>
  <si>
    <t>[-9.6, -9.6, 208.0, 21.3, -33.0]</t>
  </si>
  <si>
    <t>[66.7, -45.9, -77.7, 207.2, 10295.0]</t>
  </si>
  <si>
    <t>[263.7, -68.3, 38.0, 8.0, 23.4]</t>
  </si>
  <si>
    <t>[-27.6, -23.3, -20.1, -29.6, 11.5]</t>
  </si>
  <si>
    <t>[-81.3, 0, 0, 721.1, -90.5]</t>
  </si>
  <si>
    <t>[-34.1, 120.7, -61.2, 63.0, -11.8]</t>
  </si>
  <si>
    <t>[122.5, -58.6, -38.5, 418.0, 90.9]</t>
  </si>
  <si>
    <t>[218.0, -16.5, -25.2, 33.2, 154.1]</t>
  </si>
  <si>
    <t>[319.6, -65.5, 534.6, -65.0, 379.8]</t>
  </si>
  <si>
    <t>[69.0, 73.2, 590.7, -86.8, 139.9]</t>
  </si>
  <si>
    <t>[0, 140.9, -21.7, 18.1, -6.0]</t>
  </si>
  <si>
    <t>[4.6, 4.9, 3.9, 4.5, 4.7]</t>
  </si>
  <si>
    <t>[14.1, 13.8, 13.0, 15.1, 13.1]</t>
  </si>
  <si>
    <t>[15.2, 22.5, 11.6, 12.8, 16.9]</t>
  </si>
  <si>
    <t>[0, 0, 0, 40.3, -35.9]</t>
  </si>
  <si>
    <t>[0, 371.3, 263.2, -44.4, 142.4]</t>
  </si>
  <si>
    <t>[6.3, 8.0, 6.2, 5.8, 11.6]</t>
  </si>
  <si>
    <t>[17.5, -3.7, 67.9, 48.7, 969.2]</t>
  </si>
  <si>
    <t>[45.3, 11.5, -37.5, -14.3, 26.2]</t>
  </si>
  <si>
    <t>[45.6, 0, 0, 0, 0]</t>
  </si>
  <si>
    <t>[8.7, 9.4, 9.1, 9.1, 9.4]</t>
  </si>
  <si>
    <t>[13.1, 15.0, 11.0, 6.8, 9.0]</t>
  </si>
  <si>
    <t>[-13.8, -0.1, 47.4, 23.9, -34.2]</t>
  </si>
  <si>
    <t>[147.7, 45.8, 0.9, -22.2, 306.9]</t>
  </si>
  <si>
    <t>[0, 0, -24.5, -30.2, 12.4]</t>
  </si>
  <si>
    <t>[27.0, 229.1, -74.8, -59.6, 25.1]</t>
  </si>
  <si>
    <t>[nan, nan, 80.0, -62.0, -36.0]</t>
  </si>
  <si>
    <t>[3.3, 3.3, 3.5, 3.5, 3.4]</t>
  </si>
  <si>
    <t>[2.4, 2.7, 2.6, 2.5, 2.5]</t>
  </si>
  <si>
    <t>[-67.6, -25.6, 2708.3, -56.2, 679.8]</t>
  </si>
  <si>
    <t>[-19.3, -58.3, 276.7, 51.9, 153.3]</t>
  </si>
  <si>
    <t>[36.4, -90.9, 833.0, 309.2, 0]</t>
  </si>
  <si>
    <t>[8.3, 7.7, 6.7, 9.2, 13.0]</t>
  </si>
  <si>
    <t>[3.6, 0, 0, 941.4, -76.2]</t>
  </si>
  <si>
    <t>[5.1, 7.4, 7.3, 9.1, 10.3]</t>
  </si>
  <si>
    <t>[-40.1, -41.5, 165.8, 67.0, -41.7]</t>
  </si>
  <si>
    <t>[843.1, -86.3, 124.4, 48.0, -32.7]</t>
  </si>
  <si>
    <t>[214.1, 70.5, -19.8, 31.4, 62.7]</t>
  </si>
  <si>
    <t>[-9.4, 9.4, -0.6, 266.6, 8.9]</t>
  </si>
  <si>
    <t>[12.7, -2.4, -2.1, 2.9, 52.5]</t>
  </si>
  <si>
    <t>[-75.8, 1466.7, -21.9, -11.7, 109.1]</t>
  </si>
  <si>
    <t>[56.6, 13.9, -29.5, 349.0, -32.2]</t>
  </si>
  <si>
    <t>[74.6, 179.8, -29.6, -24.0, 16.2]</t>
  </si>
  <si>
    <t>[-29.4, 269.4, -35.2, -8.1, -8.3]</t>
  </si>
  <si>
    <t>[-33.1, 42.4, 10.9, 60.4, 14.4]</t>
  </si>
  <si>
    <t>[0, 0, 111.0, -10.8, -59.3]</t>
  </si>
  <si>
    <t>[-23.2, 48.4, -59.3, -30.2, 262.2]</t>
  </si>
  <si>
    <t>[-47.4, 0, 0, 439.3, 0]</t>
  </si>
  <si>
    <t>[-20.6, -8.8, 87.1, 13.9, 122.1]</t>
  </si>
  <si>
    <t>[61.6, -74.6, 19.3, 291.2, 50.1]</t>
  </si>
  <si>
    <t>[2.5, 2.6, 2.7, 2.7, 2.5]</t>
  </si>
  <si>
    <t>[226.7, 56.0, 24.0, -28.9, -62.6]</t>
  </si>
  <si>
    <t>[-30.9, 843.1, 124.8, 67.9, 0]</t>
  </si>
  <si>
    <t>[620.5, 60.2, -6.1, 48.2, 61.2]</t>
  </si>
  <si>
    <t>[21.1, -18.5, -42.5, 45.6, 117.5]</t>
  </si>
  <si>
    <t>[33.7, -3.2, 3.7, -13.8, 23.0]</t>
  </si>
  <si>
    <t>[0, 0, -54.8, 1863.9, 233.7]</t>
  </si>
  <si>
    <t>[16.4, 1.3, 15.7, -15.7, 77.9]</t>
  </si>
  <si>
    <t>[9.1, 1.5, 74.7, 12.9, 247.3]</t>
  </si>
  <si>
    <t>[53.9, -42.8, 64.0, 74.7, -53.0]</t>
  </si>
  <si>
    <t>[4.7, 6.6, 7.4, 8.2, 9.9]</t>
  </si>
  <si>
    <t>[-21.9, 30.9, -0.1, -40.8, 0]</t>
  </si>
  <si>
    <t>[111.4, -66.8, 66.1, 39.7, -13.9]</t>
  </si>
  <si>
    <t>[289.5, 195.0, -63.6, 552.8, 90.4]</t>
  </si>
  <si>
    <t>[-30.2, 0, 0, 0, 0]</t>
  </si>
  <si>
    <t>[0.1, -25.2, 14.2, 13.2, -6.5]</t>
  </si>
  <si>
    <t>[0, 0, 0, 41.7, -88.3]</t>
  </si>
  <si>
    <t>[0, 0, 0, 17.4, -97.4]</t>
  </si>
  <si>
    <t>[-30.9, 8.1, 18.0, 15.4, -11.4]</t>
  </si>
  <si>
    <t>[-18.0, -44.3, 190.2, -36.7, 0]</t>
  </si>
  <si>
    <t>[0, 0, 68.1, 113.0, -13.3]</t>
  </si>
  <si>
    <t>[532.3, 0, 0, 0, 0]</t>
  </si>
  <si>
    <t>[99.9, 56.5, 49.1, 34.4, 5.2]</t>
  </si>
  <si>
    <t>[111.1, -75.5, 0, 0, 0]</t>
  </si>
  <si>
    <t>[nan, 59.9, 8.9, -10.4, -16.2]</t>
  </si>
  <si>
    <t>[58.2, 0, 0, 54.6, -14.6]</t>
  </si>
  <si>
    <t>[0, 0, 0, 0, -71.1]</t>
  </si>
  <si>
    <t>[124.7, 14.8, 2.3, 20.5, 4.7]</t>
  </si>
  <si>
    <t>[6.0, 51.3, -30.4, 38.9, -14.1]</t>
  </si>
  <si>
    <t>[-67.5, -15.7, 312.2, 213.9, -1.2]</t>
  </si>
  <si>
    <t>[51.8, 0, -19.7, 15.4, 0.1]</t>
  </si>
  <si>
    <t>[-56.6, -16.3, 85.1, 42.2, 75.6]</t>
  </si>
  <si>
    <t>[0, 0, 0, 0, 102.1]</t>
  </si>
  <si>
    <t>[18.5, -4.1, -34.5, 55.8, 2260.9]</t>
  </si>
  <si>
    <t>[-11.9, 0, 25.7, 42.2, -66.6]</t>
  </si>
  <si>
    <t>[-6.8, 0, 19.3, 10.1, -5.2]</t>
  </si>
  <si>
    <t>[128.7, 29.0, -15.5, 45.5, -6.8]</t>
  </si>
  <si>
    <t>[0, 52.6, 114.6, 4.7, 93.3]</t>
  </si>
  <si>
    <t>[31.2, 45.4, 18.5, 64.9, -75.5]</t>
  </si>
  <si>
    <t>[30.1, 105.0, -33.2, 17.9, 34.3]</t>
  </si>
  <si>
    <t>[14.3, 12.3, 11.7, 10.9, 15.0]</t>
  </si>
  <si>
    <t>[0, 0, 1449.2, 89.9, 28.3]</t>
  </si>
  <si>
    <t>[-9.8, 39.0, 23.8, 24.2, -92.9]</t>
  </si>
  <si>
    <t>[nan, nan, nan, 188.6, -73.9]</t>
  </si>
  <si>
    <t>[0, 0, 0, 735.9, -55.8]</t>
  </si>
  <si>
    <t>[61.5, 40.4, 63.5, 22.5, -26.5]</t>
  </si>
  <si>
    <t>[119.1, 8.5, -25.7, -9.4, -6.5]</t>
  </si>
  <si>
    <t>[12.5, 3.5, 59.9, 0.2, -58.8]</t>
  </si>
  <si>
    <t>[1.7, 17.7, 4.2, 26.7, 195.4]</t>
  </si>
  <si>
    <t>[92.1, 19.6, -15.8, 67.9, 60.0]</t>
  </si>
  <si>
    <t>[0, -32.1, 28.5, -2.6, -5.0]</t>
  </si>
  <si>
    <t>[34.1, 112.2, -82.8, 349.4, -62.7]</t>
  </si>
  <si>
    <t>[-4.2, 0, 0, -3.9, 0]</t>
  </si>
  <si>
    <t>[34666.1, 22.3, 111.7, -6.1, 0]</t>
  </si>
  <si>
    <t>[-3.7, 30.5, 41.7, 55.5, 44.3]</t>
  </si>
  <si>
    <t>[nan, -16.7, 15.1, -39.2, 0]</t>
  </si>
  <si>
    <t>[0, 0, 41.8, -15.1, 27.4]</t>
  </si>
  <si>
    <t>[-40.9, 124.7, 27.8, -7.0, -72.3]</t>
  </si>
  <si>
    <t>[278.2, -37.1, 85.7, -11.6, 12.1]</t>
  </si>
  <si>
    <t>[-11.0, -12.8, -34.3, 445.3, -0.9]</t>
  </si>
  <si>
    <t>[127.5, -3.0, 120.7, 129.5, 93.5]</t>
  </si>
  <si>
    <t>[nan, 386.8, -32.2, 14.8, 1.0]</t>
  </si>
  <si>
    <t>[-92.4, 78.7, 688.6, -78.7, -50.4]</t>
  </si>
  <si>
    <t>[6.3, -23.5, 9.0, -28.2, -11.5]</t>
  </si>
  <si>
    <t>[0, 0, -24.5, 148.9, 63.1]</t>
  </si>
  <si>
    <t>[108.1, 43.8, -10.5, 60.0, -39.8]</t>
  </si>
  <si>
    <t>[130.0, 1203.4, 94.5, 122.0, 37.1]</t>
  </si>
  <si>
    <t>[56.6, 21.4, 71.0, 12.9, -41.6]</t>
  </si>
  <si>
    <t>[3.5, -45.6, 82.9, 1.6, -30.0]</t>
  </si>
  <si>
    <t>[2.1, 10.4, 15.8, 18.7, 25.5]</t>
  </si>
  <si>
    <t>[-28.8, 140.2, 24.1, 1.4, 0.7]</t>
  </si>
  <si>
    <t>[0, 15.4, -30.2, 36.1, 139.1]</t>
  </si>
  <si>
    <t>[159.1, -79.4, 676.1, -31.8, -81.7]</t>
  </si>
  <si>
    <t>[191.6, 130.0, -40.0, 97.9, 272.8]</t>
  </si>
  <si>
    <t>[0, -84.1, -46.6, -21.5, -2.0]</t>
  </si>
  <si>
    <t>[99.4, -3.7, -26.9, 25.8, -31.0]</t>
  </si>
  <si>
    <t>[0, 0, 106.5, 0, -50.0]</t>
  </si>
  <si>
    <t>[31.6, -29.7, -58.7, 464.1, 40.4]</t>
  </si>
  <si>
    <t>[0, 0, 173.3, -54.5, -44.3]</t>
  </si>
  <si>
    <t>[0, 80.5, -35.3, -55.3, 0]</t>
  </si>
  <si>
    <t>[-33.0, 119.9, 81.7, -0.5, -46.7]</t>
  </si>
  <si>
    <t>[0, 0, 609.9, -28.1, -12.2]</t>
  </si>
  <si>
    <t>[-36.2, 138.3, 131.0, -28.1, 10.5]</t>
  </si>
  <si>
    <t>[151.7, -19.8, -16.4, -18.0, 27.5]</t>
  </si>
  <si>
    <t>[16.1, 99.6, -55.0, -28.4, 9.4]</t>
  </si>
  <si>
    <t>[nan, 47.5, 0, 27.5, 410.0]</t>
  </si>
  <si>
    <t>[133.9, 21.6, -64.3, 192.1, -70.7]</t>
  </si>
  <si>
    <t>[-54.3, 229.4, 148.6, 1783.2, 389.7]</t>
  </si>
  <si>
    <t>[41.9, 0, 0, 0, 0]</t>
  </si>
  <si>
    <t>[44.4, -17.1, 16.9, -17.4, 91.5]</t>
  </si>
  <si>
    <t>[-18.3, 25.3, 126.6, -64.0, -22.4]</t>
  </si>
  <si>
    <t>[nan, nan, nan, 64.1, -4.0]</t>
  </si>
  <si>
    <t>[51.2, 21.4, 43.7, 31.2, 10.1]</t>
  </si>
  <si>
    <t>[21.3, -0.3, 24.0, 15.2, 28.4]</t>
  </si>
  <si>
    <t>[0, 0, 0, 0, 14.0]</t>
  </si>
  <si>
    <t>[446.1, 1.7, -48.6, 66.5, 248.8]</t>
  </si>
  <si>
    <t>[37.4, -26.3, 99.6, 6.8, 81.0]</t>
  </si>
  <si>
    <t>[0, 0, 0, 3885.4, 447.0]</t>
  </si>
  <si>
    <t>[0, 0, 103.8, 22.8, -40.7]</t>
  </si>
  <si>
    <t>[-80.0, 733.2, 13.0, 3.6, 265.4]</t>
  </si>
  <si>
    <t>[65.7, 50.1, -66.6, 553.7, 593.8]</t>
  </si>
  <si>
    <t>[0, 0, 0, 21.5, -5.4]</t>
  </si>
  <si>
    <t>[347.6, 20.0, -24.9, -27.8, 46.8]</t>
  </si>
  <si>
    <t>[118.5, 0, 0, 103.8, 0]</t>
  </si>
  <si>
    <t>[3087.0, 3238.0, 3657.0, nan]</t>
  </si>
  <si>
    <t>[1796.0, 2480.0, 2839.0, 3136.0]</t>
  </si>
  <si>
    <t>[809.0, 1359.0, 3741.0, nan]</t>
  </si>
  <si>
    <t>[3425.0, 4721.0, 5281.0, nan]</t>
  </si>
  <si>
    <t>[10884.0, 11462.0, 12429.0, 13240.0]</t>
  </si>
  <si>
    <t>[3537.0, 3775.0, 4005.0, nan]</t>
  </si>
  <si>
    <t>[2382.0, 2648.0, 2886.0, nan]</t>
  </si>
  <si>
    <t>[1501.0, 2424.0, 2681.0, nan]</t>
  </si>
  <si>
    <t>[727.0, 888.0, 912.0, nan]</t>
  </si>
  <si>
    <t>[996.0, 1186.0, 1219.0, nan]</t>
  </si>
  <si>
    <t>[1125.0, 1706.0, 2163.0, nan]</t>
  </si>
  <si>
    <t>[1086.0, 1234.0, 1660.0, nan]</t>
  </si>
  <si>
    <t>[2204.0, 2394.0, 2569.0, 2731.0]</t>
  </si>
  <si>
    <t>[1284.0, 1405.0, 1489.0, 1617.0]</t>
  </si>
  <si>
    <t>[6577.0, 6997.0, 8003.0, nan]</t>
  </si>
  <si>
    <t>[771.0, 837.0, 1151.0, nan]</t>
  </si>
  <si>
    <t>[4354.0, 6084.0, 7494.0, nan]</t>
  </si>
  <si>
    <t>[2752.0, 3114.0, 3323.0, nan]</t>
  </si>
  <si>
    <t>[723.0, 773.0, 823.0, nan]</t>
  </si>
  <si>
    <t>[1515.0, 1660.0, 2275.0, nan]</t>
  </si>
  <si>
    <t>[971.0, 1026.0, 1282.0, nan]</t>
  </si>
  <si>
    <t>[4052.0, 3935.0, 4712.0, nan]</t>
  </si>
  <si>
    <t>[3814.0, 4454.0, 5852.0, nan]</t>
  </si>
  <si>
    <t>[6095.0, 6737.0, 7609.0, nan]</t>
  </si>
  <si>
    <t>[1282.0, 1420.0, 1527.0, nan]</t>
  </si>
  <si>
    <t>[20415.0, 22340.0, 28567.0, 35456.0]</t>
  </si>
  <si>
    <t>[401.0, 630.0, 673.0, nan]</t>
  </si>
  <si>
    <t>[264292.0, 281245.0, 307137.0, 329056.0]</t>
  </si>
  <si>
    <t>[43166.0, 50037.0, 56118.0, 64876.0]</t>
  </si>
  <si>
    <t>[5931.0, 6611.0, 7689.0, 8699.0]</t>
  </si>
  <si>
    <t>[8210.0, 8777.0, 9193.0, 10458.0]</t>
  </si>
  <si>
    <t>[1086.0, 1158.0, 1193.0, nan]</t>
  </si>
  <si>
    <t>[2554.0, 2611.0, 3673.0, 4017.0]</t>
  </si>
  <si>
    <t>[2604.0, 2715.0, 3683.0, nan]</t>
  </si>
  <si>
    <t>[5663.0, 5906.0, 6348.0, nan]</t>
  </si>
  <si>
    <t>[4090.0, 4339.0, 5029.0, 5280.0]</t>
  </si>
  <si>
    <t>[4393.0, 5057.0, 6119.0, 6880.0]</t>
  </si>
  <si>
    <t>[2699.0, 2947.0, 3511.0, nan]</t>
  </si>
  <si>
    <t>[10002.0, 10010.0, 13319.0, nan]</t>
  </si>
  <si>
    <t>[1404.0, 1668.0, 1819.0, nan]</t>
  </si>
  <si>
    <t>[1929.0, 2163.0, 2394.0, nan]</t>
  </si>
  <si>
    <t>[3667.0, 4498.0, 5925.0, nan]</t>
  </si>
  <si>
    <t>[7033.0, 7711.0, 9008.0, nan]</t>
  </si>
  <si>
    <t>[7255.0, 8313.0, 10356.0, nan]</t>
  </si>
  <si>
    <t>[2613.0, 2945.0, 3360.0, 3870.0]</t>
  </si>
  <si>
    <t>[1293.0, 1158.0, 1371.0, nan]</t>
  </si>
  <si>
    <t>[4037.0, 5140.0, 7407.0, nan]</t>
  </si>
  <si>
    <t>[1717.0, 1938.0, 2461.0, nan]</t>
  </si>
  <si>
    <t>[840.0, 1001.0, 1230.0, nan]</t>
  </si>
  <si>
    <t>[1192.0, 1304.0, 1403.0, nan]</t>
  </si>
  <si>
    <t>[904.0, 891.0, 1069.0, nan]</t>
  </si>
  <si>
    <t>[922.0, 1181.0, 1513.0, nan]</t>
  </si>
  <si>
    <t>[668.0, 681.0, 1889.0, nan]</t>
  </si>
  <si>
    <t>[670.0, 1058.0, 1872.0, nan]</t>
  </si>
  <si>
    <t>[1390.0, 1540.0, 1570.0, 1755.0]</t>
  </si>
  <si>
    <t>[4316.0, 4685.0, 5069.0, nan]</t>
  </si>
  <si>
    <t>[1801.0, 1831.0, 2043.0, nan]</t>
  </si>
  <si>
    <t>[307.0, 482.0, 829.0, nan]</t>
  </si>
  <si>
    <t>[806.0, 913.0, 1007.0, nan]</t>
  </si>
  <si>
    <t>[2083.0, 2452.0, 2766.0, nan]</t>
  </si>
  <si>
    <t>[462.0, 503.0, 536.0, nan]</t>
  </si>
  <si>
    <t>[2001.0, 1390.0, 2289.0, nan]</t>
  </si>
  <si>
    <t>[2804.0, 3782.0, 5193.0, nan]</t>
  </si>
  <si>
    <t>[499.0, 829.0, 873.0, nan]</t>
  </si>
  <si>
    <t>[1098.0, 1242.0, 1285.0, nan]</t>
  </si>
  <si>
    <t>[1321.0, 1583.0, 1810.0, nan]</t>
  </si>
  <si>
    <t>[1059.0, 1244.0, 1309.0, nan]</t>
  </si>
  <si>
    <t>[453.0, 451.0, 616.0, nan]</t>
  </si>
  <si>
    <t>[949.0, 1077.0, 1189.0, nan]</t>
  </si>
  <si>
    <t>[3334.0, 3683.0, 4103.0, nan]</t>
  </si>
  <si>
    <t>[2049.0, 2923.0, 3887.0, 5789.0]</t>
  </si>
  <si>
    <t>[295.0, 441.0, 1083.0, nan]</t>
  </si>
  <si>
    <t>[4261.0, 5257.0, 5854.0, nan]</t>
  </si>
  <si>
    <t>[1421.0, 1328.0, 1644.0, nan]</t>
  </si>
  <si>
    <t>[786.0, 849.0, 892.0, nan]</t>
  </si>
  <si>
    <t>[1293.0, 1327.0, 1453.0, nan]</t>
  </si>
  <si>
    <t>[3790.0, 4180.0, 4523.0, nan]</t>
  </si>
  <si>
    <t>[3365.0, 3598.0, 3918.0, nan]</t>
  </si>
  <si>
    <t>[1876.0, 2017.0, 2197.0, nan]</t>
  </si>
  <si>
    <t>[647.0, 766.0, 815.0, nan]</t>
  </si>
  <si>
    <t>[7078.0, 5912.0, 7209.0, nan]</t>
  </si>
  <si>
    <t>[983.0, 1181.0, 1193.0, nan]</t>
  </si>
  <si>
    <t>[5425.0, 6020.0, 6263.0, nan]</t>
  </si>
  <si>
    <t>[1562.0, 1747.0, 1890.0, nan]</t>
  </si>
  <si>
    <t>[9151.0, 9973.0, 10835.0, 11961.0]</t>
  </si>
  <si>
    <t>[5227.0, 5801.0, 6530.0, nan]</t>
  </si>
  <si>
    <t>[1424.0, 1395.0, 6034.0, nan]</t>
  </si>
  <si>
    <t>[624.0, 674.0, 766.0, nan]</t>
  </si>
  <si>
    <t>[3619.0, 4203.0, 4595.0, 4910.0]</t>
  </si>
  <si>
    <t>[7342.0, 7451.0, 8887.0, 9160.0]</t>
  </si>
  <si>
    <t>[3054.0, 3274.0, 3676.0, nan]</t>
  </si>
  <si>
    <t>[9750.0, 10398.0, 12508.0, 13900.0]</t>
  </si>
  <si>
    <t>[1502.0, 1670.0, 1891.0, 2185.0]</t>
  </si>
  <si>
    <t>[2226.0, 3176.0, 3576.0, nan]</t>
  </si>
  <si>
    <t>[471.0, 768.0, 801.0, nan]</t>
  </si>
  <si>
    <t>[13779.0, 14931.0, 16497.0, 18322.0]</t>
  </si>
  <si>
    <t>[24734.0, 27485.0, 33492.0, nan]</t>
  </si>
  <si>
    <t>[33734.0, 39195.0, 46144.0, 50130.0]</t>
  </si>
  <si>
    <t>[22765.0, 24324.0, 26748.0, 30050.0]</t>
  </si>
  <si>
    <t>[551.0, 695.0, 895.0, nan]</t>
  </si>
  <si>
    <t>[501.0, 700.0, 812.0, nan]</t>
  </si>
  <si>
    <t>[4617.0, 4853.0, 5609.0, nan]</t>
  </si>
  <si>
    <t>[11999.0, 13362.0, 15877.0, nan]</t>
  </si>
  <si>
    <t>[752.0, 815.0, 862.0, nan]</t>
  </si>
  <si>
    <t>[254.0, 284.0, 737.0, nan]</t>
  </si>
  <si>
    <t>[8814.0, 9609.0, 12633.0, nan]</t>
  </si>
  <si>
    <t>[50978.0, 59459.0, 64142.0, 63350.0]</t>
  </si>
  <si>
    <t>[3676.0, 4578.0, 8019.0, nan]</t>
  </si>
  <si>
    <t>[3941.0, 4830.0, 5513.0, nan]</t>
  </si>
  <si>
    <t>[35485.0, 39747.0, 41412.0, 46549.0]</t>
  </si>
  <si>
    <t>[19144.0, 21512.0, 22391.0, nan]</t>
  </si>
  <si>
    <t>[18444.0, 22317.0, 27430.0, 30402.0]</t>
  </si>
  <si>
    <t>[31317.0, 34699.0, 37563.0, 40580.0]</t>
  </si>
  <si>
    <t>[357039.0, 385339.0, 425037.0, 453982.0]</t>
  </si>
  <si>
    <t>[2472.0, 3411.0, 3822.0, nan]</t>
  </si>
  <si>
    <t>[4350.0, 4727.0, 5235.0, nan]</t>
  </si>
  <si>
    <t>[6058.0, 6315.0, 7742.0, nan]</t>
  </si>
  <si>
    <t>[5196.0, 5717.0, 5797.0, nan]</t>
  </si>
  <si>
    <t>[11285.0, 11715.0, 13382.0, 15221.0]</t>
  </si>
  <si>
    <t>[50476.0, 53851.0, 57977.0, 63236.0]</t>
  </si>
  <si>
    <t>[15662.0, 16608.0, 18987.0, 20179.0]</t>
  </si>
  <si>
    <t>[14495.0, 16827.0, 19470.0, nan]</t>
  </si>
  <si>
    <t>[3914.0, 4534.0, 5531.0, 6440.0]</t>
  </si>
  <si>
    <t>[6236.0, 6697.0, 8666.0, nan]</t>
  </si>
  <si>
    <t>[735.0, 796.0, 863.0, nan]</t>
  </si>
  <si>
    <t>[5335.0, 5849.0, 6335.0, 7350.0]</t>
  </si>
  <si>
    <t>[9436.0, 9640.0, 10305.0, nan]</t>
  </si>
  <si>
    <t>[3644.0, 4184.0, 4547.0, nan]</t>
  </si>
  <si>
    <t>[1111.0, 1195.0, 1264.0, nan]</t>
  </si>
  <si>
    <t>[2941.0, 3279.0, 3730.0, nan]</t>
  </si>
  <si>
    <t>[7524.0, 8140.0, 8263.0, nan]</t>
  </si>
  <si>
    <t>[268.0, 379.0, 878.0, nan]</t>
  </si>
  <si>
    <t>[1956.0, 1976.0, 2024.0, nan]</t>
  </si>
  <si>
    <t>[1110.0, 1152.0, 1491.0, nan]</t>
  </si>
  <si>
    <t>[877.0, 905.0, 1057.0, nan]</t>
  </si>
  <si>
    <t>[6576.0, 7110.0, 7843.0, nan]</t>
  </si>
  <si>
    <t>[3165.0, 3196.0, 3700.0, nan]</t>
  </si>
  <si>
    <t>[357256.0, 391779.0, 440696.0, 470727.0]</t>
  </si>
  <si>
    <t>[586.0, 833.0, 978.0, nan]</t>
  </si>
  <si>
    <t>[525.0, 693.0, 1008.0, nan]</t>
  </si>
  <si>
    <t>[1500.0, 1615.0, 1792.0, nan]</t>
  </si>
  <si>
    <t>[3450.0, 3632.0, 3945.0, nan]</t>
  </si>
  <si>
    <t>[1797.0, 1906.0, 2111.0, nan]</t>
  </si>
  <si>
    <t>[2187.0, 2266.0, 3058.0, nan]</t>
  </si>
  <si>
    <t>[3338.0, 3634.0, 3793.0, nan]</t>
  </si>
  <si>
    <t>[2928.0, 3287.0, 3756.0, nan]</t>
  </si>
  <si>
    <t>[2476.0, 2654.0, 2777.0, nan]</t>
  </si>
  <si>
    <t>[2557.0, 2831.0, 3067.0, nan]</t>
  </si>
  <si>
    <t>[4293.0, 4689.0, 5402.0, 5989.0]</t>
  </si>
  <si>
    <t>[46621.0, 49493.0, 53171.0, 58846.0]</t>
  </si>
  <si>
    <t>[1304.0, 1429.0, 1453.0, nan]</t>
  </si>
  <si>
    <t>[1557.0, 1676.0, 1848.0, nan]</t>
  </si>
  <si>
    <t>[1923.0, 1992.0, 2113.0, nan]</t>
  </si>
  <si>
    <t>[423.0, 412.0, 730.0, nan]</t>
  </si>
  <si>
    <t>[828.0, 793.0, 1178.0, nan]</t>
  </si>
  <si>
    <t>[81144.0, 86842.0, 90369.0, 95861.0]</t>
  </si>
  <si>
    <t>[42.0, 181.0, 331.0, nan]</t>
  </si>
  <si>
    <t>[619.0, 832.0, 1010.0, nan]</t>
  </si>
  <si>
    <t>[2141.0, 2383.0, 2546.0, 3004.0]</t>
  </si>
  <si>
    <t>[2694.0, 3304.0, 3526.0, nan]</t>
  </si>
  <si>
    <t>[161.0, 754.0, 1647.0, 2180.0]</t>
  </si>
  <si>
    <t>[29.0, 26.0, 613.0, nan]</t>
  </si>
  <si>
    <t>[1317.0, 1570.0, 1922.0, nan]</t>
  </si>
  <si>
    <t>[1180.0, 1133.0, 1981.0, nan]</t>
  </si>
  <si>
    <t>[3470.0, 4036.0, 4401.0, 5053.0]</t>
  </si>
  <si>
    <t>[91.0, 2.0, 534.0, nan]</t>
  </si>
  <si>
    <t>[13.0, 280.0, 665.0, nan]</t>
  </si>
  <si>
    <t>[1727.0, 1602.0, 2168.0, nan]</t>
  </si>
  <si>
    <t>[2085.0, 2439.0, 2862.0, 3424.0]</t>
  </si>
  <si>
    <t>[512.0, 646.0, 761.0, nan]</t>
  </si>
  <si>
    <t>[546.0, 572.0, 673.0, nan]</t>
  </si>
  <si>
    <t>[506.0, 635.0, 1031.0, nan]</t>
  </si>
  <si>
    <t>[1017.0, 1091.0, 1187.0, nan]</t>
  </si>
  <si>
    <t>[495.0, 378.0, 621.0, nan]</t>
  </si>
  <si>
    <t>[2049.0, 2170.0, 2403.0, nan]</t>
  </si>
  <si>
    <t>[269.0, 554.0, 557.0, nan]</t>
  </si>
  <si>
    <t>[1153.0, 991.0, 1346.0, nan]</t>
  </si>
  <si>
    <t>[1633.0, 1945.0, 2388.0, 2815.0]</t>
  </si>
  <si>
    <t>[1187.0, 1527.0, 1878.0, nan]</t>
  </si>
  <si>
    <t>[367.0, 422.0, 533.0, nan]</t>
  </si>
  <si>
    <t>[2810.0, 3075.0, 3386.0, 3761.0]</t>
  </si>
  <si>
    <t>[478.0, 492.0, 696.0, nan]</t>
  </si>
  <si>
    <t>[335.0, 387.0, 520.0, nan]</t>
  </si>
  <si>
    <t>[1020.0, 1129.0, 1271.0, 1400.0]</t>
  </si>
  <si>
    <t>[38.0, 149.0, 478.0, 284.0]</t>
  </si>
  <si>
    <t>[127.0, 314.0, 601.0, nan]</t>
  </si>
  <si>
    <t>[450.0, 596.0, 665.0, nan]</t>
  </si>
  <si>
    <t>[894.0, 960.0, 1004.0, nan]</t>
  </si>
  <si>
    <t>[2217.0, 2659.0, 3095.0, 3360.0]</t>
  </si>
  <si>
    <t>[1089.0, 1219.0, 1382.0, nan]</t>
  </si>
  <si>
    <t>[617.0, 675.0, 740.0, nan]</t>
  </si>
  <si>
    <t>[821.0, 1444.0, 1776.0, 2020.0]</t>
  </si>
  <si>
    <t>[47828.0, 48809.0, 52744.0, 58548.0]</t>
  </si>
  <si>
    <t>[41.0, 101.0, 337.0, nan]</t>
  </si>
  <si>
    <t>[1881.0, 2133.0, 2301.0, 2555.0]</t>
  </si>
  <si>
    <t>[192.0, 225.0, 292.0, nan]</t>
  </si>
  <si>
    <t>[876.0, 3034.0, 3321.0, nan]</t>
  </si>
  <si>
    <t>[2133.0, 2494.0, 3078.0, 3573.0]</t>
  </si>
  <si>
    <t>[556.0, 661.0, 746.0, nan]</t>
  </si>
  <si>
    <t>[810.0, 993.0, 1106.0, 1386.0]</t>
  </si>
  <si>
    <t>[300.0, 350.0, 593.0, nan]</t>
  </si>
  <si>
    <t>[4384.0, 4714.0, 6237.0, 6831.0]</t>
  </si>
  <si>
    <t>[4426.0, 4533.0, 4737.0, 6044.0]</t>
  </si>
  <si>
    <t>[2570.0, 2885.0, 3478.0, nan]</t>
  </si>
  <si>
    <t>[190.0, 266.0, 269.0, nan]</t>
  </si>
  <si>
    <t>[1026.0, 1105.0, 1169.0, nan]</t>
  </si>
  <si>
    <t>[3152.0, 3673.0, 5289.0, nan]</t>
  </si>
  <si>
    <t>[2985.0, 3230.0, 3875.0, 4472.0]</t>
  </si>
  <si>
    <t>[705.0, 519.0, 941.0, 1026.0]</t>
  </si>
  <si>
    <t>[251.0, 320.0, 488.0, nan]</t>
  </si>
  <si>
    <t>[2309.0, 2837.0, 3425.0, 3975.0]</t>
  </si>
  <si>
    <t>[898.0, 1021.0, 1129.0, nan]</t>
  </si>
  <si>
    <t>[6325.0, 6812.0, 7469.0, 8199.0]</t>
  </si>
  <si>
    <t>[5183.0, 6472.0, 6784.0, 8062.0]</t>
  </si>
  <si>
    <t>[22819.0, 24587.0, 26744.0, 31565.0]</t>
  </si>
  <si>
    <t>[596.0, 709.0, 828.0, nan]</t>
  </si>
  <si>
    <t>[23473.0, 26286.0, 31482.0, 46391.0]</t>
  </si>
  <si>
    <t>[549.0, 802.0, 1535.0, 1875.0]</t>
  </si>
  <si>
    <t>[3478.0, 3614.0, 5244.0, 5572.0]</t>
  </si>
  <si>
    <t>[20.0, 99.0, 284.0, nan]</t>
  </si>
  <si>
    <t>[1293.0, 1349.0, 1718.0, nan]</t>
  </si>
  <si>
    <t>[1297.0, 2246.0, 2529.0, 2915.0]</t>
  </si>
  <si>
    <t>[1879.0, 2795.0, 3170.0, 3581.0]</t>
  </si>
  <si>
    <t>[630.0, 812.0, 958.0, nan]</t>
  </si>
  <si>
    <t>[460.0, 560.0, 620.0, nan]</t>
  </si>
  <si>
    <t>[893.0, 1027.0, 1114.0, nan]</t>
  </si>
  <si>
    <t>[7849.0, 8754.0, 10355.0, 11242.0]</t>
  </si>
  <si>
    <t>[1403.0, 1506.0, 1604.0, nan]</t>
  </si>
  <si>
    <t>[56.0, 102.0, 797.0, 1053.0]</t>
  </si>
  <si>
    <t>[1314.0, 1471.0, 1795.0, 2120.0]</t>
  </si>
  <si>
    <t>[1280.0, 1525.0, 6453.0, 11268.0]</t>
  </si>
  <si>
    <t>[120.0, 114.0, 734.0, 1516.0]</t>
  </si>
  <si>
    <t>[565.0, 674.0, 728.0, nan]</t>
  </si>
  <si>
    <t>[1086.0, 1364.0, 1459.0, nan]</t>
  </si>
  <si>
    <t>[39.0, 142.0, 629.0, 790.0]</t>
  </si>
  <si>
    <t>[899.0, 1097.0, 1368.0, 1630.0]</t>
  </si>
  <si>
    <t>[390.0, 306.0, 1456.0, 1840.0]</t>
  </si>
  <si>
    <t>[1017.0, 1265.0, 1293.0, 1487.0]</t>
  </si>
  <si>
    <t>[51.0, 40.0, 386.0, nan]</t>
  </si>
  <si>
    <t>[522.0, 528.0, 565.0, nan]</t>
  </si>
  <si>
    <t>[523.0, 580.0, 687.0, nan]</t>
  </si>
  <si>
    <t>[301.0, 304.0, 815.0, nan]</t>
  </si>
  <si>
    <t>[489.0, 686.0, 912.0, nan]</t>
  </si>
  <si>
    <t>[287.0, 325.0, 525.0, nan]</t>
  </si>
  <si>
    <t>[608.0, 635.0, 988.0, nan]</t>
  </si>
  <si>
    <t>[65.0, 107.0, 365.0, nan]</t>
  </si>
  <si>
    <t>[413.0, 467.0, 500.0, nan]</t>
  </si>
  <si>
    <t>[526.0, 608.0, 777.0, nan]</t>
  </si>
  <si>
    <t>[6.6, 6.57, 15.01, nan]</t>
  </si>
  <si>
    <t>[20.58, 26.2, 5.48, 9.89]</t>
  </si>
  <si>
    <t>[-12.18, 40.27, -3.52, nan]</t>
  </si>
  <si>
    <t>[16.67, 15.94, 10.32, nan]</t>
  </si>
  <si>
    <t>[12.46, 9.81, 10.48, 10.91]</t>
  </si>
  <si>
    <t>[6.97, 7.72, 9.68, nan]</t>
  </si>
  <si>
    <t>[11.08, 9.0, 8.09, nan]</t>
  </si>
  <si>
    <t>[7.58, 49.82, 10.45, nan]</t>
  </si>
  <si>
    <t>[11.94, 19.0, -6.92, nan]</t>
  </si>
  <si>
    <t>[6.39, 18.91, 4.66, nan]</t>
  </si>
  <si>
    <t>[17.97, 14.99, 11.22, nan]</t>
  </si>
  <si>
    <t>[13.35, 13.75, 12.71, nan]</t>
  </si>
  <si>
    <t>[19.69, 12.04, 12.07, 9.58]</t>
  </si>
  <si>
    <t>[9.88, 10.64, 8.37, 9.08]</t>
  </si>
  <si>
    <t>[8.58, 7.15, 12.86, nan]</t>
  </si>
  <si>
    <t>[6.07, 8.15, 32.92, nan]</t>
  </si>
  <si>
    <t>[7.28, 13.08, 14.16, nan]</t>
  </si>
  <si>
    <t>[10.66, 13.32, 5.61, nan]</t>
  </si>
  <si>
    <t>[9.75, 10.02, 8.81, nan]</t>
  </si>
  <si>
    <t>[10.61, 10.87, 20.64, nan]</t>
  </si>
  <si>
    <t>[0.74, 14.28, 25.3, nan]</t>
  </si>
  <si>
    <t>[4.58, -0.07, 19.01, nan]</t>
  </si>
  <si>
    <t>[18.57, 10.27, 21.96, nan]</t>
  </si>
  <si>
    <t>[17.49, 12.38, 14.88, nan]</t>
  </si>
  <si>
    <t>[10.99, 14.02, 11.0, nan]</t>
  </si>
  <si>
    <t>[10.84, 16.97, 27.63, 23.53]</t>
  </si>
  <si>
    <t>[12.93, 33.47, -24.87, nan]</t>
  </si>
  <si>
    <t>[8.88, 8.77, 8.96, 9.42]</t>
  </si>
  <si>
    <t>[12.96, 18.14, 16.27, 19.27]</t>
  </si>
  <si>
    <t>[18.52, 14.15, 18.18, 14.16]</t>
  </si>
  <si>
    <t>[21.75, 12.72, 9.44, 10.51]</t>
  </si>
  <si>
    <t>[24.28, 7.1, 4.86, nan]</t>
  </si>
  <si>
    <t>[-3.82, 0.97, 34.98, 16.04]</t>
  </si>
  <si>
    <t>[-5.83, 7.58, 16.99, 12.27]</t>
  </si>
  <si>
    <t>[7.49, 6.92, 9.67, nan]</t>
  </si>
  <si>
    <t>[-8.9, 6.0, 15.2, 5.63]</t>
  </si>
  <si>
    <t>[41.29, 15.21, 18.96, 12.46]</t>
  </si>
  <si>
    <t>[1.73, 7.85, 14.22, nan]</t>
  </si>
  <si>
    <t>[40.39, 1.38, 4.21, nan]</t>
  </si>
  <si>
    <t>[22.26, 18.34, 9.97, nan]</t>
  </si>
  <si>
    <t>[2.54, 11.69, 10.14, nan]</t>
  </si>
  <si>
    <t>[67.82, 11.92, 9.19, nan]</t>
  </si>
  <si>
    <t>[18.79, 11.49, 17.28, nan]</t>
  </si>
  <si>
    <t>[14.53, 15.06, 154.56, nan]</t>
  </si>
  <si>
    <t>[17.7, 14.52, 16.96, 15.49]</t>
  </si>
  <si>
    <t>[0.53, -12.11, 18.52, nan]</t>
  </si>
  <si>
    <t>[8.58, 11.23, 20.09, 19.81]</t>
  </si>
  <si>
    <t>[7.08, 11.61, 22.19, nan]</t>
  </si>
  <si>
    <t>[31.07, 11.11, 11.7, nan]</t>
  </si>
  <si>
    <t>[22.73, 15.7, 10.73, nan]</t>
  </si>
  <si>
    <t>[13.22, -1.11, 12.4, nan]</t>
  </si>
  <si>
    <t>[-14.94, 19.76, 11.58, nan]</t>
  </si>
  <si>
    <t>[3.95, 3.44, 93.94, nan]</t>
  </si>
  <si>
    <t>[-81.71, 40.06, 54.24, nan]</t>
  </si>
  <si>
    <t>[15.15, 11.74, 7.84, 7.52]</t>
  </si>
  <si>
    <t>[7.36, 9.82, 10.11, nan]</t>
  </si>
  <si>
    <t>[15.93, 2.32, 11.27, nan]</t>
  </si>
  <si>
    <t>[31.2, 40.8, -7.59, nan]</t>
  </si>
  <si>
    <t>[14.13, 13.5, 9.31, nan]</t>
  </si>
  <si>
    <t>[22.32, 19.43, 12.19, nan]</t>
  </si>
  <si>
    <t>[12.14, 9.37, 7.35, nan]</t>
  </si>
  <si>
    <t>[9.04, -37.95, 48.53, nan]</t>
  </si>
  <si>
    <t>[13.22, 18.62, 27.81, 28.31]</t>
  </si>
  <si>
    <t>[6.55, 49.13, 4.95, nan]</t>
  </si>
  <si>
    <t>[8.93, 13.31, 5.26, nan]</t>
  </si>
  <si>
    <t>[21.94, 16.67, 13.0, nan]</t>
  </si>
  <si>
    <t>[3.46, 17.45, 10.19, nan]</t>
  </si>
  <si>
    <t>[1.97, 1.36, 35.98, nan]</t>
  </si>
  <si>
    <t>[11.03, 14.41, 12.71, nan]</t>
  </si>
  <si>
    <t>[9.83, 11.57, 11.78, nan]</t>
  </si>
  <si>
    <t>[14.63, 35.27, 17.43, 14.28]</t>
  </si>
  <si>
    <t>[178.68, 95.87, 50.84, nan]</t>
  </si>
  <si>
    <t>[37.93, 26.51, 11.17, nan]</t>
  </si>
  <si>
    <t>[-1.24, -6.16, 21.41, nan]</t>
  </si>
  <si>
    <t>[12.72, 11.0, 7.6, nan]</t>
  </si>
  <si>
    <t>[20.6, 3.66, 10.57, nan]</t>
  </si>
  <si>
    <t>[8.75, 1.45, 21.17, nan]</t>
  </si>
  <si>
    <t>[19.31, 8.26, 9.64, nan]</t>
  </si>
  <si>
    <t>[7.62, 7.12, 12.77, nan]</t>
  </si>
  <si>
    <t>[2.49, 17.15, 8.36, nan]</t>
  </si>
  <si>
    <t>[-0.64, -4.09, 22.75, nan]</t>
  </si>
  <si>
    <t>[7.06, 20.64, 7.84, 10.22]</t>
  </si>
  <si>
    <t>[10.76, 11.5, 7.48, nan]</t>
  </si>
  <si>
    <t>[4.29, 14.18, 10.98, nan]</t>
  </si>
  <si>
    <t>[7.27, 11.21, 12.02, 11.65]</t>
  </si>
  <si>
    <t>[4.55, 13.1, 14.21, nan]</t>
  </si>
  <si>
    <t>[0.53, 1.65, 92.94, nan]</t>
  </si>
  <si>
    <t>[8.53, 10.85, 10.56, nan]</t>
  </si>
  <si>
    <t>[22.21, 15.29, 10.1, 10.94]</t>
  </si>
  <si>
    <t>[-19.91, 2.67, 19.87, 4.03]</t>
  </si>
  <si>
    <t>[28.01, 9.33, 13.85, nan]</t>
  </si>
  <si>
    <t>[7.35, 4.45, 21.01, 10.98]</t>
  </si>
  <si>
    <t>[18.33, 12.03, 14.27, 15.75]</t>
  </si>
  <si>
    <t>[4.56, 30.57, 10.02, nan]</t>
  </si>
  <si>
    <t>[9.89, 50.19, 5.23, nan]</t>
  </si>
  <si>
    <t>[16.72, 11.73, 12.65, 12.92]</t>
  </si>
  <si>
    <t>[13.87, 15.26, 16.06, nan]</t>
  </si>
  <si>
    <t>[13.0, 15.06, 13.08, 13.36]</t>
  </si>
  <si>
    <t>[11.55, 12.76, 16.88, 16.66]</t>
  </si>
  <si>
    <t>[-17.96, 22.51, 24.75, nan]</t>
  </si>
  <si>
    <t>[11.62, 32.82, 14.51, nan]</t>
  </si>
  <si>
    <t>[6.18, 5.8, 11.58, nan]</t>
  </si>
  <si>
    <t>[9.78, 14.61, 18.85, nan]</t>
  </si>
  <si>
    <t>[25.22, 13.6, 10.89, nan]</t>
  </si>
  <si>
    <t>[-76.03, -34.7, 76.89, nan]</t>
  </si>
  <si>
    <t>[9.11, 9.06, 9.35, nan]</t>
  </si>
  <si>
    <t>[10.95, 6.81, 9.04, 9.52]</t>
  </si>
  <si>
    <t>[18.7, 23.04, 23.71, nan]</t>
  </si>
  <si>
    <t>[31.64, 25.13, 16.59, nan]</t>
  </si>
  <si>
    <t>[17.34, 11.79, 7.68, 13.5]</t>
  </si>
  <si>
    <t>[38.88, 12.62, 4.72, nan]</t>
  </si>
  <si>
    <t>[nan, 20.3, 8.85, 12.65]</t>
  </si>
  <si>
    <t>[8.69, 10.36, 10.06, 10.85]</t>
  </si>
  <si>
    <t>[8.78, 8.92, 8.53, 9.37]</t>
  </si>
  <si>
    <t>[1.37, 32.69, 11.94, nan]</t>
  </si>
  <si>
    <t>[2.54, 9.18, 12.7, nan]</t>
  </si>
  <si>
    <t>[0.6, 5.55, 20.0, nan]</t>
  </si>
  <si>
    <t>[6.73, 9.18, 13.04, nan]</t>
  </si>
  <si>
    <t>[-6.06, 2.48, 23.72, 11.06]</t>
  </si>
  <si>
    <t>[7.31, 9.12, 10.32, 12.44]</t>
  </si>
  <si>
    <t>[3.9, 9.85, 14.91, 7.61]</t>
  </si>
  <si>
    <t>[5.56, 11.52, 14.71, nan]</t>
  </si>
  <si>
    <t>[24.46, 16.94, 18.69, 16.04]</t>
  </si>
  <si>
    <t>[8.17, 7.57, 23.35, nan]</t>
  </si>
  <si>
    <t>[9.59, 9.79, 9.29, nan]</t>
  </si>
  <si>
    <t>[15.83, 10.99, 8.9, 15.93]</t>
  </si>
  <si>
    <t>[4.46, 3.06, 13.14, nan]</t>
  </si>
  <si>
    <t>[24.79, 14.26, 9.72, nan]</t>
  </si>
  <si>
    <t>[13.72, 8.05, 6.94, nan]</t>
  </si>
  <si>
    <t>[10.48, 10.23, 14.55, nan]</t>
  </si>
  <si>
    <t>[12.5, 12.97, 7.19, nan]</t>
  </si>
  <si>
    <t>[23.41, 34.66, 21.14, nan]</t>
  </si>
  <si>
    <t>[24.25, 8.91, 6.12, nan]</t>
  </si>
  <si>
    <t>[-6.44, -10.49, 25.83, nan]</t>
  </si>
  <si>
    <t>[-1.01, 3.33, 16.31, nan]</t>
  </si>
  <si>
    <t>[5.52, 9.87, 10.29, 13.88]</t>
  </si>
  <si>
    <t>[5.61, 6.72, 24.25, nan]</t>
  </si>
  <si>
    <t>[9.21, 9.09, 8.2, 8.8]</t>
  </si>
  <si>
    <t>[23.1, 21.11, 12.01, nan]</t>
  </si>
  <si>
    <t>[18.04, 32.25, 38.76, nan]</t>
  </si>
  <si>
    <t>[8.82, 7.75, 10.5, nan]</t>
  </si>
  <si>
    <t>[16.36, 8.62, 11.72, nan]</t>
  </si>
  <si>
    <t>[12.09, 11.65, 9.26, nan]</t>
  </si>
  <si>
    <t>[4.37, 1.83, 30.04, nan]</t>
  </si>
  <si>
    <t>[8.99, 9.58, 7.59, nan]</t>
  </si>
  <si>
    <t>[8.96, 14.22, 14.17, nan]</t>
  </si>
  <si>
    <t>[10.18, 9.59, 8.07, nan]</t>
  </si>
  <si>
    <t>[7.37, 7.81, 10.87, nan]</t>
  </si>
  <si>
    <t>[6.55, 10.03, 15.59, 22.86]</t>
  </si>
  <si>
    <t>[7.37, 8.15, 9.89, 13.82]</t>
  </si>
  <si>
    <t>[12.11, 11.17, 6.27, nan]</t>
  </si>
  <si>
    <t>[5.23, 8.18, 10.48, nan]</t>
  </si>
  <si>
    <t>[16.32, 5.44, 33.89, nan]</t>
  </si>
  <si>
    <t>[-4.01, -12.14, 23.89, nan]</t>
  </si>
  <si>
    <t>[-10.14, -7.29, 43.56, nan]</t>
  </si>
  <si>
    <t>[11.39, 12.32, 13.22, 12.47]</t>
  </si>
  <si>
    <t>[-117.02, 81.43, 52.24, nan]</t>
  </si>
  <si>
    <t>[-2.39, 19.5, 18.28, nan]</t>
  </si>
  <si>
    <t>[15.67, 16.62, 17.6, 25.84]</t>
  </si>
  <si>
    <t>[7.94, 19.66, 10.94, nan]</t>
  </si>
  <si>
    <t>[91.73, 35.28, 33.66, 28.28]</t>
  </si>
  <si>
    <t>[0, -10.29, 100.25, nan, nan]</t>
  </si>
  <si>
    <t>[14.58, 18.57, 20.65, nan]</t>
  </si>
  <si>
    <t>[2.49, -3.03, 56.72, nan]</t>
  </si>
  <si>
    <t>[18.39, 17.14, 13.67, 14.69]</t>
  </si>
  <si>
    <t>[-73.72, -197.47, 123.7, nan]</t>
  </si>
  <si>
    <t>[0, 34.14, 18.04, nan, nan]</t>
  </si>
  <si>
    <t>[-18.84, -7.29, 20.21, nan]</t>
  </si>
  <si>
    <t>[26.8, 22.72, 22.98, 20.4]</t>
  </si>
  <si>
    <t>[29.43, 17.69, 20.23, nan]</t>
  </si>
  <si>
    <t>[1.56, 5.99, 16.88, nan]</t>
  </si>
  <si>
    <t>[27.54, 24.76, 17.27, nan]</t>
  </si>
  <si>
    <t>[4.85, 8.5, 11.19, 11.59]</t>
  </si>
  <si>
    <t>[-2.58, -33.88, 46.13, nan]</t>
  </si>
  <si>
    <t>[20.69, 11.77, 16.91, nan]</t>
  </si>
  <si>
    <t>[21.05, 17.63, 5.21, nan]</t>
  </si>
  <si>
    <t>[14.85, 13.0, 11.52, nan]</t>
  </si>
  <si>
    <t>[31.64, 21.36, 25.66, 18.63]</t>
  </si>
  <si>
    <t>[17.46, 29.85, 24.92, nan]</t>
  </si>
  <si>
    <t>[20.01, 20.57, 28.02, nan]</t>
  </si>
  <si>
    <t>[16.27, 9.55, 10.26, 11.2]</t>
  </si>
  <si>
    <t>[12.36, 11.68, 10.89, nan]</t>
  </si>
  <si>
    <t>[1.09, 15.59, 23.54, nan]</t>
  </si>
  <si>
    <t>[12.04, 13.61, 15.2, 14.15]</t>
  </si>
  <si>
    <t>[nan, 59.19, 15.65, 22.59]</t>
  </si>
  <si>
    <t>[-25.39, 15.91, 64.06, nan]</t>
  </si>
  <si>
    <t>[27.35, 25.33, 16.13, nan]</t>
  </si>
  <si>
    <t>[18.93, 12.7, 10.85, nan]</t>
  </si>
  <si>
    <t>[14.05, 18.9, 16.06, 9.29]</t>
  </si>
  <si>
    <t>[14.16, 13.01, 14.63, nan]</t>
  </si>
  <si>
    <t>[14.23, 10.84, 16.61, nan]</t>
  </si>
  <si>
    <t>[28.89, 18.07, 12.15, 11.93]</t>
  </si>
  <si>
    <t>[21.46, 3.16, 13.5, 11.07]</t>
  </si>
  <si>
    <t>[0, 61.06, 22.2, nan, nan]</t>
  </si>
  <si>
    <t>[6.55, 12.68, 10.8, 15.49]</t>
  </si>
  <si>
    <t>[25.63, 31.75, 39.79, nan]</t>
  </si>
  <si>
    <t>[32.95, 15.59, 6.86, nan]</t>
  </si>
  <si>
    <t>[17.61, 21.61, 15.23, 17.68]</t>
  </si>
  <si>
    <t>[17.09, 18.76, 15.09, nan]</t>
  </si>
  <si>
    <t>[12.42, 19.83, 15.06, 23.49]</t>
  </si>
  <si>
    <t>[19.53, 25.86, 51.02, nan]</t>
  </si>
  <si>
    <t>[11.38, 6.39, 29.27, 9.71]</t>
  </si>
  <si>
    <t>[3.59, 8.04, 17.83, 24.0]</t>
  </si>
  <si>
    <t>[23.54, 13.52, 13.39, nan]</t>
  </si>
  <si>
    <t>[5.15, 33.12, 6.03, nan]</t>
  </si>
  <si>
    <t>[11.75, 12.02, 8.09, nan]</t>
  </si>
  <si>
    <t>[11.12, 15.63, 14.05, nan]</t>
  </si>
  <si>
    <t>[11.42, 7.78, 16.95, 14.3]</t>
  </si>
  <si>
    <t>[24.68, 22.86, 29.7, 16.67]</t>
  </si>
  <si>
    <t>[17.13, 27.34, 42.92, nan]</t>
  </si>
  <si>
    <t>[16.16, 23.15, 21.46, 16.23]</t>
  </si>
  <si>
    <t>[8.51, 14.07, 12.81, nan]</t>
  </si>
  <si>
    <t>[9.26, 10.0, 10.91, 11.19]</t>
  </si>
  <si>
    <t>[19.02, 18.93, 16.94, 17.93]</t>
  </si>
  <si>
    <t>[13.2, 8.8, 11.06, 17.25]</t>
  </si>
  <si>
    <t>[2.93, 20.68, 11.98, nan]</t>
  </si>
  <si>
    <t>[23.45, 11.84, 20.18, 44.05]</t>
  </si>
  <si>
    <t>[27.17, 43.7, 20.4, 22.64]</t>
  </si>
  <si>
    <t>[17.29, 12.66, 14.88, 9.78]</t>
  </si>
  <si>
    <t>[436.59, 71.24, -6.43, nan]</t>
  </si>
  <si>
    <t>[10.65, 4.15, 20.37, nan]</t>
  </si>
  <si>
    <t>[26.19, 47.71, 16.1, 17.41]</t>
  </si>
  <si>
    <t>[49.27, 24.22, 8.69, 14.6]</t>
  </si>
  <si>
    <t>[18.71, 27.38, 22.19, nan]</t>
  </si>
  <si>
    <t>[3.33, 21.06, 13.09, nan]</t>
  </si>
  <si>
    <t>[7.68, 15.86, 10.23, nan]</t>
  </si>
  <si>
    <t>[20.22, 15.9, 11.33, 12.26]</t>
  </si>
  <si>
    <t>[29.17, 11.22, 7.51, nan]</t>
  </si>
  <si>
    <t>[0, 43.92, 40.43, 27.68, nan]</t>
  </si>
  <si>
    <t>[22.47, 8.01, 20.49, 17.06]</t>
  </si>
  <si>
    <t>[8.76, 19.01, 125.91, 58.72]</t>
  </si>
  <si>
    <t>[-69.64, -3.68, 75.7, 46.77]</t>
  </si>
  <si>
    <t>[24.08, 19.05, 13.91, nan]</t>
  </si>
  <si>
    <t>[11.06, 21.18, 6.68, nan]</t>
  </si>
  <si>
    <t>[nan, 84.04, 18.14, 25.48]</t>
  </si>
  <si>
    <t>[19.68, 23.63, 25.11, 22.68]</t>
  </si>
  <si>
    <t>[-26.67, -22.49, 65.71, 60.68]</t>
  </si>
  <si>
    <t>[14.79, 15.71, 15.9, 16.91]</t>
  </si>
  <si>
    <t>[-41.83, -31.4, 113.22, nan]</t>
  </si>
  <si>
    <t>[18.7, 9.11, 14.57, nan]</t>
  </si>
  <si>
    <t>[6.51, 12.73, 11.95, nan]</t>
  </si>
  <si>
    <t>[-15.15, 3.18, 76.4, nan]</t>
  </si>
  <si>
    <t>[20.26, 36.0, 32.49, nan]</t>
  </si>
  <si>
    <t>[20.99, 17.88, 47.0, nan]</t>
  </si>
  <si>
    <t>[25.39, 7.48, 37.44, nan]</t>
  </si>
  <si>
    <t>[73.29, 48.11, 20.56, 15.63]</t>
  </si>
  <si>
    <t>[24.53, 18.13, 11.93, nan]</t>
  </si>
  <si>
    <t>[-1.95, 14.9, 24.84, nan]</t>
  </si>
  <si>
    <t>[5.09, 6.01, 2.81, nan]</t>
  </si>
  <si>
    <t>[4.03, 3.85, 15.06, 8.24]</t>
  </si>
  <si>
    <t>[nan, 5.95, nan, nan]</t>
  </si>
  <si>
    <t>[3.0, 2.15, 1.86, nan]</t>
  </si>
  <si>
    <t>[8.8, 8.9, 7.29, 7.01]</t>
  </si>
  <si>
    <t>[6.27, 4.93, 4.92, nan]</t>
  </si>
  <si>
    <t>[2.79, 5.25, 5.18, nan]</t>
  </si>
  <si>
    <t>[10.26, 1.22, 9.08, nan]</t>
  </si>
  <si>
    <t>[5.03, 6.46, nan, nan]</t>
  </si>
  <si>
    <t>[11.41, 4.2, 17.58, nan]</t>
  </si>
  <si>
    <t>[4.49, 2.82, 1.46, nan]</t>
  </si>
  <si>
    <t>[7.24, 8.02, 7.18, nan]</t>
  </si>
  <si>
    <t>[4.48, 6.39, 5.83, 7.94]</t>
  </si>
  <si>
    <t>[5.62, 5.41, 6.66, 9.11]</t>
  </si>
  <si>
    <t>[3.47, 3.7, 2.05, nan]</t>
  </si>
  <si>
    <t>[15.09, 11.79, 4.26, nan]</t>
  </si>
  <si>
    <t>[10.95, 4.66, 5.1, nan]</t>
  </si>
  <si>
    <t>[3.82, 3.04, 6.13, nan]</t>
  </si>
  <si>
    <t>[7.3, 6.62, 7.6, nan]</t>
  </si>
  <si>
    <t>[6.94, 7.31, 5.25, nan]</t>
  </si>
  <si>
    <t>[70.47, 4.98, 2.72, nan]</t>
  </si>
  <si>
    <t>[14.02, nan, 3.46, nan]</t>
  </si>
  <si>
    <t>[8.79, 10.36, 4.49, nan]</t>
  </si>
  <si>
    <t>[9.04, 9.4, 6.66, nan]</t>
  </si>
  <si>
    <t>[9.04, 6.1, 7.29, nan]</t>
  </si>
  <si>
    <t>[10.09, 5.56, 4.59, 4.23]</t>
  </si>
  <si>
    <t>[8.52, 3.82, nan, nan]</t>
  </si>
  <si>
    <t>[4.86, 4.63, 3.93, 4.67]</t>
  </si>
  <si>
    <t>[6.92, 5.28, 5.63, 5.52]</t>
  </si>
  <si>
    <t>[4.85, 4.71, 3.76, 5.48]</t>
  </si>
  <si>
    <t>[4.08, 4.91, 6.01, 5.91]</t>
  </si>
  <si>
    <t>[4.26, 12.89, 14.08, nan]</t>
  </si>
  <si>
    <t>[nan, 58.86, 2.19, 4.49]</t>
  </si>
  <si>
    <t>[nan, 14.65, 5.64, 8.27]</t>
  </si>
  <si>
    <t>[9.68, 8.59, 5.56, nan]</t>
  </si>
  <si>
    <t>[nan, 7.81, 2.27, 6.45]</t>
  </si>
  <si>
    <t>[1.2, 2.38, 1.83, 3.51]</t>
  </si>
  <si>
    <t>[19.45, 4.69, 2.66, nan]</t>
  </si>
  <si>
    <t>[0.6, 19.06, 6.6, nan]</t>
  </si>
  <si>
    <t>[8.07, 6.74, 11.37, nan]</t>
  </si>
  <si>
    <t>[14.88, 5.34, 6.28, nan]</t>
  </si>
  <si>
    <t>[0.81, 5.19, 7.82, nan]</t>
  </si>
  <si>
    <t>[2.98, 4.38, 3.18, nan]</t>
  </si>
  <si>
    <t>[3.99, 6.0, 0.44, nan]</t>
  </si>
  <si>
    <t>[7.61, 7.86, 7.57, 6.25]</t>
  </si>
  <si>
    <t>[101.72, nan, 4.19, nan]</t>
  </si>
  <si>
    <t>[10.53, 5.49, 3.53, 4.12]</t>
  </si>
  <si>
    <t>[5.88, 3.62, 1.65, nan]</t>
  </si>
  <si>
    <t>[2.16, 9.08, 5.26, nan]</t>
  </si>
  <si>
    <t>[3.67, 5.07, 11.56, nan]</t>
  </si>
  <si>
    <t>[6.68, nan, 4.95, nan]</t>
  </si>
  <si>
    <t>[nan, 6.82, 6.87, nan]</t>
  </si>
  <si>
    <t>[64.15, 71.39, 1.28, nan]</t>
  </si>
  <si>
    <t>[nan, 2.19, 1.09, nan]</t>
  </si>
  <si>
    <t>[5.38, 7.39, 10.11, 10.04]</t>
  </si>
  <si>
    <t>[8.56, 8.77, 8.57, nan]</t>
  </si>
  <si>
    <t>[4.03, 33.25, 6.31, nan]</t>
  </si>
  <si>
    <t>[nan, nan, nan, nan]</t>
  </si>
  <si>
    <t>[12.34, 7.18, 9.86, nan]</t>
  </si>
  <si>
    <t>[3.99, 3.42, 2.6, nan]</t>
  </si>
  <si>
    <t>[6.97, 8.79, 11.89, nan]</t>
  </si>
  <si>
    <t>[4.38, nan, 0.79, nan]</t>
  </si>
  <si>
    <t>[5.9, 3.81, 2.84, 3.29]</t>
  </si>
  <si>
    <t>[69.74, 6.26, 23.48, nan]</t>
  </si>
  <si>
    <t>[7.79, 5.62, 12.17, nan]</t>
  </si>
  <si>
    <t>[3.45, 4.15, 4.92, nan]</t>
  </si>
  <si>
    <t>[33.01, 5.74, 9.54, nan]</t>
  </si>
  <si>
    <t>[46.88, 81.87, 3.0, nan]</t>
  </si>
  <si>
    <t>[14.34, 8.77, 9.61, nan]</t>
  </si>
  <si>
    <t>[4.41, 4.64, 4.03, nan]</t>
  </si>
  <si>
    <t>[nan, nan, 11.02, 8.04]</t>
  </si>
  <si>
    <t>[nan, nan, 8.1, nan]</t>
  </si>
  <si>
    <t>[6.24, 3.85, 5.73, nan]</t>
  </si>
  <si>
    <t>[nan, nan, 2.06, nan]</t>
  </si>
  <si>
    <t>[7.58, 7.61, 9.12, nan]</t>
  </si>
  <si>
    <t>[4.95, 27.38, 8.99, nan]</t>
  </si>
  <si>
    <t>[11.04, 49.77, 2.51, nan]</t>
  </si>
  <si>
    <t>[2.22, 4.62, 5.36, nan]</t>
  </si>
  <si>
    <t>[12.02, 11.59, 7.49, nan]</t>
  </si>
  <si>
    <t>[27.16, 5.67, 10.16, nan]</t>
  </si>
  <si>
    <t>[nan, nan, 2.0, nan]</t>
  </si>
  <si>
    <t>[14.93, 4.71, 12.31, 11.18]</t>
  </si>
  <si>
    <t>[5.73, 4.46, 5.6, nan]</t>
  </si>
  <si>
    <t>[19.12, 6.06, 7.18, nan]</t>
  </si>
  <si>
    <t>[13.91, 7.79, 7.5, 8.01]</t>
  </si>
  <si>
    <t>[12.44, 3.46, 4.32, nan]</t>
  </si>
  <si>
    <t>[135.07, 42.91, 0.49, nan]</t>
  </si>
  <si>
    <t>[12.07, 7.53, 7.82, nan]</t>
  </si>
  <si>
    <t>[2.06, 3.05, 6.87, 5.63]</t>
  </si>
  <si>
    <t>[nan, 33.39, 4.63, 20.97]</t>
  </si>
  <si>
    <t>[2.94, 7.5, 6.38, nan]</t>
  </si>
  <si>
    <t>[9.88, 16.74, 3.4, 7.62]</t>
  </si>
  <si>
    <t>[6.15, 5.84, 5.17, 6.26]</t>
  </si>
  <si>
    <t>[14.55, 1.52, 4.42, nan]</t>
  </si>
  <si>
    <t>[10.58, 1.96, 18.15, nan]</t>
  </si>
  <si>
    <t>[4.93, 6.92, 7.16, 7.63]</t>
  </si>
  <si>
    <t>[5.18, 4.15, 2.74, nan]</t>
  </si>
  <si>
    <t>[7.11, 4.8, 4.74, 5.19]</t>
  </si>
  <si>
    <t>[10.46, 6.75, 3.88, 4.55]</t>
  </si>
  <si>
    <t>[nan, 3.0, 2.59, nan]</t>
  </si>
  <si>
    <t>[7.04, 4.12, 10.99, nan]</t>
  </si>
  <si>
    <t>[10.34, 10.14, 4.7, nan]</t>
  </si>
  <si>
    <t>[7.66, 4.6, 3.57, nan]</t>
  </si>
  <si>
    <t>[5.46, 6.49, 7.67, nan]</t>
  </si>
  <si>
    <t>[nan, nan, 3.67, nan]</t>
  </si>
  <si>
    <t>[4.25, 3.98, 3.73, nan]</t>
  </si>
  <si>
    <t>[9.36, 9.85, 5.54, 5.9]</t>
  </si>
  <si>
    <t>[3.39, 3.17, 3.94, nan]</t>
  </si>
  <si>
    <t>[2.82, 7.83, 7.57, nan]</t>
  </si>
  <si>
    <t>[5.97, 5.61, 9.79, 6.4]</t>
  </si>
  <si>
    <t>[1.01, 2.57, 6.37, nan]</t>
  </si>
  <si>
    <t>[8.54, 2.53, 7.29, 5.27]</t>
  </si>
  <si>
    <t>[3.89, 3.16, 3.06, 3.57]</t>
  </si>
  <si>
    <t>[6.35, 6.01, 5.22, 5.94]</t>
  </si>
  <si>
    <t>[64.56, 1.59, 7.19, nan]</t>
  </si>
  <si>
    <t>[22.94, 6.46, 4.2, nan]</t>
  </si>
  <si>
    <t>[70.23, 6.69, 1.82, nan]</t>
  </si>
  <si>
    <t>[6.19, 3.3, 2.89, nan]</t>
  </si>
  <si>
    <t>[nan, 20.41, 3.22, 7.78]</t>
  </si>
  <si>
    <t>[10.86, 8.02, 5.88, 5.34]</t>
  </si>
  <si>
    <t>[10.82, 4.92, 3.64, 6.69]</t>
  </si>
  <si>
    <t>[6.62, 2.96, 5.02, nan]</t>
  </si>
  <si>
    <t>[2.18, 2.53, 2.66, 3.23]</t>
  </si>
  <si>
    <t>[8.33, 8.03, 3.13, nan]</t>
  </si>
  <si>
    <t>[7.04, 7.63, 11.09, nan]</t>
  </si>
  <si>
    <t>[3.57, 4.37, 6.15, 4.67]</t>
  </si>
  <si>
    <t>[10.32, 12.1, 3.45, nan]</t>
  </si>
  <si>
    <t>[3.01, 4.3, 6.06, nan]</t>
  </si>
  <si>
    <t>[5.27, 7.45, 16.59, nan]</t>
  </si>
  <si>
    <t>[5.4, 5.11, 5.53, nan]</t>
  </si>
  <si>
    <t>[5.4, 7.05, 11.9, nan]</t>
  </si>
  <si>
    <t>[7.13, 6.09, 5.81, nan]</t>
  </si>
  <si>
    <t>[2.22, 6.01, 8.78, nan]</t>
  </si>
  <si>
    <t>[nan, nan, 2.6, nan]</t>
  </si>
  <si>
    <t>[nan, 13.47, 2.83, nan]</t>
  </si>
  <si>
    <t>[10.34, 6.15, 5.58, 6.47]</t>
  </si>
  <si>
    <t>[15.06, 10.45, 3.21, nan]</t>
  </si>
  <si>
    <t>[5.95, 6.19, 4.75, 5.62]</t>
  </si>
  <si>
    <t>[8.32, 8.12, 8.94, nan]</t>
  </si>
  <si>
    <t>[5.22, 2.66, 3.71, nan]</t>
  </si>
  <si>
    <t>[7.48, 9.71, 7.88, nan]</t>
  </si>
  <si>
    <t>[4.77, 8.61, 6.45, nan]</t>
  </si>
  <si>
    <t>[6.06, 5.16, 5.75, nan]</t>
  </si>
  <si>
    <t>[18.63, 42.59, 1.87, nan]</t>
  </si>
  <si>
    <t>[8.58, 8.79, 9.18, nan]</t>
  </si>
  <si>
    <t>[5.06, 4.07, 3.77, nan]</t>
  </si>
  <si>
    <t>[4.83, 4.8, 5.7, nan]</t>
  </si>
  <si>
    <t>[5.61, 4.98, 5.7, nan]</t>
  </si>
  <si>
    <t>[11.4, 11.24, 8.12, 4.17]</t>
  </si>
  <si>
    <t>[8.42, 8.8, 7.11, 5.35]</t>
  </si>
  <si>
    <t>[8.16, 7.11, 10.45, nan]</t>
  </si>
  <si>
    <t>[11.52, 5.4, 5.02, nan]</t>
  </si>
  <si>
    <t>[6.64, 17.35, 3.1, nan]</t>
  </si>
  <si>
    <t>[nan, nan, 5.39, nan]</t>
  </si>
  <si>
    <t>[nan, nan, 2.98, nan]</t>
  </si>
  <si>
    <t>[15.38, 12.44, 9.74, 9.9]</t>
  </si>
  <si>
    <t>[nan, 8.08, 5.98, nan]</t>
  </si>
  <si>
    <t>[nan, 8.75, 6.75, nan]</t>
  </si>
  <si>
    <t>[5.18, 5.84, 5.58, 5.08]</t>
  </si>
  <si>
    <t>[18.63, 11.17, 10.56, nan]</t>
  </si>
  <si>
    <t>[nan, nan, 6.52, 8.16]</t>
  </si>
  <si>
    <t>[14.21, nan, 3.49, nan]</t>
  </si>
  <si>
    <t>[7.07, 5.79, 6.67, nan]</t>
  </si>
  <si>
    <t>[117.43, nan, 3.26, nan]</t>
  </si>
  <si>
    <t>[10.46, 10.5, 9.51, 8.87]</t>
  </si>
  <si>
    <t>[nan, nan, 2.94, nan]</t>
  </si>
  <si>
    <t>[nan, nan, 10.06, nan]</t>
  </si>
  <si>
    <t>[nan, nan, 4.25, nan]</t>
  </si>
  <si>
    <t>[8.57, 9.93, 8.29, 8.95]</t>
  </si>
  <si>
    <t>[5.12, 10.06, 12.73, nan]</t>
  </si>
  <si>
    <t>[46.91, 13.31, 6.15, nan]</t>
  </si>
  <si>
    <t>[nan, nan, 18.05, nan]</t>
  </si>
  <si>
    <t>[12.49, 8.78, 6.9, 9.69]</t>
  </si>
  <si>
    <t>[nan, nan, 7.51, nan]</t>
  </si>
  <si>
    <t>[7.78, 8.94, 7.86, nan]</t>
  </si>
  <si>
    <t>[nan, 10.71, 29.89, nan]</t>
  </si>
  <si>
    <t>[nan, nan, 14.61, nan]</t>
  </si>
  <si>
    <t>[14.23, 13.97, 12.07, 14.1]</t>
  </si>
  <si>
    <t>[13.78, 11.5, 9.99, nan]</t>
  </si>
  <si>
    <t>[12.14, 22.1, 14.5, nan]</t>
  </si>
  <si>
    <t>[6.52, 13.61, 13.34, 10.76]</t>
  </si>
  <si>
    <t>[nan, nan, 4.5, nan]</t>
  </si>
  <si>
    <t>[82.85, 9.99, 8.77, nan]</t>
  </si>
  <si>
    <t>[11.33, 11.01, 12.54, 11.21]</t>
  </si>
  <si>
    <t>[nan, nan, 19.37, 16.66]</t>
  </si>
  <si>
    <t>[nan, 10.39, 3.82, nan]</t>
  </si>
  <si>
    <t>[8.46, 7.88, 13.95, nan]</t>
  </si>
  <si>
    <t>[5.48, 6.94, 7.84, nan]</t>
  </si>
  <si>
    <t>[6.2, 8.83, 14.68, 16.88]</t>
  </si>
  <si>
    <t>[6.2, 7.22, 6.87, nan]</t>
  </si>
  <si>
    <t>[9.48, 7.79, 6.09, nan]</t>
  </si>
  <si>
    <t>[nan, 11.08, 9.98, 12.73]</t>
  </si>
  <si>
    <t>[6.1, 27.12, 9.1, 12.99]</t>
  </si>
  <si>
    <t>[nan, nan, 20.62, nan]</t>
  </si>
  <si>
    <t>[14.45, 7.14, 16.75, 7.99]</t>
  </si>
  <si>
    <t>[11.6, 10.67, 8.29, nan]</t>
  </si>
  <si>
    <t>[nan, 11.05, 12.95, nan]</t>
  </si>
  <si>
    <t>[12.19, 9.49, 13.25, 10.42]</t>
  </si>
  <si>
    <t>[9.81, 10.71, 10.62, nan]</t>
  </si>
  <si>
    <t>[4.3, 5.32, 10.14, 7.75]</t>
  </si>
  <si>
    <t>[13.4, 7.1, 4.57, nan]</t>
  </si>
  <si>
    <t>[36.08, 36.78, 7.27, 21.5]</t>
  </si>
  <si>
    <t>[11.15, 6.87, 5.96, 4.73]</t>
  </si>
  <si>
    <t>[3.46, 12.57, 14.41, nan]</t>
  </si>
  <si>
    <t>[23.44, 5.16, 24.0, nan]</t>
  </si>
  <si>
    <t>[8.45, 8.11, 14.63, nan]</t>
  </si>
  <si>
    <t>[15.15, 8.01, 6.06, nan]</t>
  </si>
  <si>
    <t>[8.38, 15.36, 8.17, 8.58]</t>
  </si>
  <si>
    <t>[nan, nan, 5.68, 12.52]</t>
  </si>
  <si>
    <t>[17.97, 11.32, 6.4, nan]</t>
  </si>
  <si>
    <t>[11.25, 11.37, 11.32, 11.29]</t>
  </si>
  <si>
    <t>[12.81, 7.23, 9.88, nan]</t>
  </si>
  <si>
    <t>[19.56, 13.28, 8.86, 10.39]</t>
  </si>
  <si>
    <t>[12.28, 8.25, 9.82, 9.33]</t>
  </si>
  <si>
    <t>[7.5, 9.44, 7.3, 6.88]</t>
  </si>
  <si>
    <t>[34.54, 4.25, 14.69, nan]</t>
  </si>
  <si>
    <t>[5.95, 8.81, 8.33, 4.56]</t>
  </si>
  <si>
    <t>[nan, nan, 17.57, 12.81]</t>
  </si>
  <si>
    <t>[8.27, 12.31, 14.51, 16.79]</t>
  </si>
  <si>
    <t>[7.43, 31.85, 8.79, nan]</t>
  </si>
  <si>
    <t>[7.48, 7.98, 18.77, 18.3]</t>
  </si>
  <si>
    <t>[6.28, 12.67, 28.36, 12.77]</t>
  </si>
  <si>
    <t>[20.4, 14.25, 12.34, nan]</t>
  </si>
  <si>
    <t>[19.91, 8.35, 12.16, nan]</t>
  </si>
  <si>
    <t>[14.87, 8.17, 13.74, nan]</t>
  </si>
  <si>
    <t>[7.87, 12.58, 12.8, 11.71]</t>
  </si>
  <si>
    <t>[5.62, 15.72, 14.93, nan]</t>
  </si>
  <si>
    <t>[nan, nan, 11.99, 8.57]</t>
  </si>
  <si>
    <t>[3.76, 30.76, 9.81, 8.19]</t>
  </si>
  <si>
    <t>[39.15, 30.16, 10.09, 6.8]</t>
  </si>
  <si>
    <t>[nan, nan, nan, 3.71]</t>
  </si>
  <si>
    <t>[4.87, 6.3, 11.98, nan]</t>
  </si>
  <si>
    <t>[16.17, 9.29, 22.67, nan]</t>
  </si>
  <si>
    <t>[nan, nan, 27.0, 12.61]</t>
  </si>
  <si>
    <t>[12.19, 13.22, 13.0, 11.0]</t>
  </si>
  <si>
    <t>[nan, nan, 7.72, 4.37]</t>
  </si>
  <si>
    <t>[16.33, 11.25, 11.62, 10.64]</t>
  </si>
  <si>
    <t>[nan, nan, 10.51, nan]</t>
  </si>
  <si>
    <t>[7.13, 12.7, 10.17, nan]</t>
  </si>
  <si>
    <t>[14.59, 8.96, 14.62, nan]</t>
  </si>
  <si>
    <t>[nan, 55.01, 5.06, nan]</t>
  </si>
  <si>
    <t>[5.08, 5.98, 8.13, nan]</t>
  </si>
  <si>
    <t>[14.68, 17.27, 9.63, nan]</t>
  </si>
  <si>
    <t>[3.91, 18.61, 11.97, nan]</t>
  </si>
  <si>
    <t>[nan, nan, 19.93, 16.25]</t>
  </si>
  <si>
    <t>[5.87, 9.73, 14.1,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</si>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</sst>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49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284</v>
      </c>
      <c r="C2">
        <f>HYPERLINK("https://finance.naver.com/item/coinfo.nhn?code=042420", "A042420")</f>
        <v>0</v>
      </c>
      <c r="D2">
        <f>HYPERLINK("http://comp.fnguide.com/SVO2/ASP/SVD_Consensus.asp?pGB=1&amp;gicode=A042420&amp;cID=&amp;MenuYn=Y&amp;ReportGB=&amp;NewMenuID=108&amp;stkGb=701", "네오위즈홀딩스")</f>
        <v>0</v>
      </c>
      <c r="E2">
        <v>3</v>
      </c>
      <c r="F2">
        <v>31050</v>
      </c>
      <c r="G2">
        <v>0</v>
      </c>
      <c r="H2">
        <v>2.81</v>
      </c>
      <c r="I2">
        <v>64316</v>
      </c>
      <c r="J2">
        <v>55519</v>
      </c>
      <c r="K2">
        <v>52939</v>
      </c>
      <c r="L2">
        <v>-107.14</v>
      </c>
      <c r="M2">
        <v>-78.8</v>
      </c>
      <c r="N2">
        <v>-70.5</v>
      </c>
      <c r="O2">
        <v>10.8</v>
      </c>
      <c r="P2" t="b">
        <v>1</v>
      </c>
      <c r="Q2">
        <v>0</v>
      </c>
      <c r="R2">
        <v>5841</v>
      </c>
      <c r="U2" t="s">
        <v>532</v>
      </c>
      <c r="V2" t="s">
        <v>780</v>
      </c>
      <c r="W2">
        <v>0</v>
      </c>
      <c r="X2">
        <v>0</v>
      </c>
      <c r="Y2" t="s">
        <v>1028</v>
      </c>
      <c r="Z2">
        <v>61.88057326313123</v>
      </c>
      <c r="AA2">
        <v>2750</v>
      </c>
      <c r="AB2">
        <v>28347</v>
      </c>
      <c r="AC2" t="s">
        <v>1265</v>
      </c>
      <c r="AD2">
        <v>42.57</v>
      </c>
      <c r="AE2" t="s">
        <v>1513</v>
      </c>
      <c r="AF2" t="s">
        <v>1761</v>
      </c>
      <c r="AG2">
        <v>2892</v>
      </c>
      <c r="AH2">
        <v>578</v>
      </c>
      <c r="AI2">
        <v>1461659</v>
      </c>
    </row>
    <row r="3" spans="1:36">
      <c r="A3" s="1" t="s">
        <v>37</v>
      </c>
      <c r="B3" t="s">
        <v>285</v>
      </c>
      <c r="C3">
        <f>HYPERLINK("https://finance.naver.com/item/coinfo.nhn?code=067990", "A067990")</f>
        <v>0</v>
      </c>
      <c r="D3">
        <f>HYPERLINK("http://comp.fnguide.com/SVO2/ASP/SVD_Consensus.asp?pGB=1&amp;gicode=A067990&amp;cID=&amp;MenuYn=Y&amp;ReportGB=&amp;NewMenuID=108&amp;stkGb=701", "도이치모터스")</f>
        <v>0</v>
      </c>
      <c r="E3">
        <v>3</v>
      </c>
      <c r="F3">
        <v>8210</v>
      </c>
      <c r="G3">
        <v>-2.04</v>
      </c>
      <c r="H3">
        <v>15.06</v>
      </c>
      <c r="I3">
        <v>17208</v>
      </c>
      <c r="J3">
        <v>12696</v>
      </c>
      <c r="K3">
        <v>11372</v>
      </c>
      <c r="L3">
        <v>-109.6</v>
      </c>
      <c r="M3">
        <v>-54.64</v>
      </c>
      <c r="N3">
        <v>-38.52</v>
      </c>
      <c r="O3">
        <v>14.9</v>
      </c>
      <c r="P3" t="b">
        <v>1</v>
      </c>
      <c r="Q3">
        <v>1</v>
      </c>
      <c r="R3">
        <v>492</v>
      </c>
      <c r="S3">
        <v>997</v>
      </c>
      <c r="T3">
        <v>102.6</v>
      </c>
      <c r="U3" t="s">
        <v>533</v>
      </c>
      <c r="V3" t="s">
        <v>781</v>
      </c>
      <c r="W3">
        <v>-7.368780808824804</v>
      </c>
      <c r="X3">
        <v>-34</v>
      </c>
      <c r="Y3" t="s">
        <v>1029</v>
      </c>
      <c r="Z3">
        <v>23.91501948736874</v>
      </c>
      <c r="AA3">
        <v>2432</v>
      </c>
      <c r="AB3">
        <v>905475</v>
      </c>
      <c r="AC3" t="s">
        <v>1266</v>
      </c>
      <c r="AD3">
        <v>31.97</v>
      </c>
      <c r="AE3" t="s">
        <v>1514</v>
      </c>
      <c r="AF3" t="s">
        <v>1762</v>
      </c>
      <c r="AG3">
        <v>14511</v>
      </c>
      <c r="AH3">
        <v>449</v>
      </c>
      <c r="AJ3">
        <v>3.31</v>
      </c>
    </row>
    <row r="4" spans="1:36">
      <c r="A4" s="1" t="s">
        <v>38</v>
      </c>
      <c r="B4" t="s">
        <v>286</v>
      </c>
      <c r="C4">
        <f>HYPERLINK("https://finance.naver.com/item/coinfo.nhn?code=066700", "A066700")</f>
        <v>0</v>
      </c>
      <c r="D4">
        <f>HYPERLINK("http://comp.fnguide.com/SVO2/ASP/SVD_Consensus.asp?pGB=1&amp;gicode=A066700&amp;cID=&amp;MenuYn=Y&amp;ReportGB=&amp;NewMenuID=108&amp;stkGb=701", "테라젠이텍스")</f>
        <v>0</v>
      </c>
      <c r="E4">
        <v>3</v>
      </c>
      <c r="F4">
        <v>8330</v>
      </c>
      <c r="G4">
        <v>0</v>
      </c>
      <c r="I4">
        <v>18910</v>
      </c>
      <c r="J4">
        <v>14638</v>
      </c>
      <c r="K4">
        <v>13386</v>
      </c>
      <c r="L4">
        <v>-127.01</v>
      </c>
      <c r="M4">
        <v>-75.73</v>
      </c>
      <c r="N4">
        <v>-60.69</v>
      </c>
      <c r="O4">
        <v>13.42</v>
      </c>
      <c r="P4" t="b">
        <v>0</v>
      </c>
      <c r="Q4">
        <v>0</v>
      </c>
      <c r="R4">
        <v>-277</v>
      </c>
      <c r="U4" t="s">
        <v>534</v>
      </c>
      <c r="V4" t="s">
        <v>782</v>
      </c>
      <c r="W4">
        <v>0</v>
      </c>
      <c r="X4">
        <v>0</v>
      </c>
      <c r="Y4" t="s">
        <v>1030</v>
      </c>
      <c r="Z4">
        <v>-47.4</v>
      </c>
      <c r="AA4">
        <v>2704</v>
      </c>
      <c r="AB4">
        <v>218407</v>
      </c>
      <c r="AC4" t="s">
        <v>1267</v>
      </c>
      <c r="AD4">
        <v>16.86</v>
      </c>
      <c r="AE4" t="s">
        <v>1515</v>
      </c>
      <c r="AF4" t="s">
        <v>1763</v>
      </c>
      <c r="AG4">
        <v>1430</v>
      </c>
      <c r="AH4">
        <v>-63</v>
      </c>
      <c r="AI4">
        <v>469056</v>
      </c>
    </row>
    <row r="5" spans="1:36">
      <c r="A5" s="1" t="s">
        <v>39</v>
      </c>
      <c r="B5" t="s">
        <v>287</v>
      </c>
      <c r="C5">
        <f>HYPERLINK("https://finance.naver.com/item/coinfo.nhn?code=900290", "A900290")</f>
        <v>0</v>
      </c>
      <c r="D5">
        <f>HYPERLINK("http://comp.fnguide.com/SVO2/ASP/SVD_Consensus.asp?pGB=1&amp;gicode=A900290&amp;cID=&amp;MenuYn=Y&amp;ReportGB=&amp;NewMenuID=108&amp;stkGb=701", "GRT")</f>
        <v>0</v>
      </c>
      <c r="E5">
        <v>3</v>
      </c>
      <c r="F5">
        <v>951</v>
      </c>
      <c r="G5">
        <v>0</v>
      </c>
      <c r="H5">
        <v>1.86</v>
      </c>
      <c r="I5">
        <v>12514</v>
      </c>
      <c r="J5">
        <v>9747</v>
      </c>
      <c r="K5">
        <v>8935</v>
      </c>
      <c r="L5">
        <v>-1215.92</v>
      </c>
      <c r="M5">
        <v>-924.92</v>
      </c>
      <c r="N5">
        <v>-839.58</v>
      </c>
      <c r="O5">
        <v>13.25</v>
      </c>
      <c r="P5" t="b">
        <v>0</v>
      </c>
      <c r="Q5">
        <v>0</v>
      </c>
      <c r="R5">
        <v>766</v>
      </c>
      <c r="U5" t="s">
        <v>535</v>
      </c>
      <c r="V5" t="s">
        <v>783</v>
      </c>
      <c r="W5">
        <v>0</v>
      </c>
      <c r="X5">
        <v>-31.1</v>
      </c>
      <c r="Y5" t="s">
        <v>1031</v>
      </c>
      <c r="Z5">
        <v>-18.27884320827336</v>
      </c>
      <c r="AA5">
        <v>641</v>
      </c>
      <c r="AB5">
        <v>0</v>
      </c>
      <c r="AC5" t="s">
        <v>1268</v>
      </c>
      <c r="AD5">
        <v>38.78</v>
      </c>
      <c r="AE5" t="s">
        <v>1516</v>
      </c>
      <c r="AF5" t="s">
        <v>1764</v>
      </c>
      <c r="AG5">
        <v>3434</v>
      </c>
      <c r="AH5">
        <v>679</v>
      </c>
    </row>
    <row r="6" spans="1:36">
      <c r="A6" s="1" t="s">
        <v>40</v>
      </c>
      <c r="B6" t="s">
        <v>288</v>
      </c>
      <c r="C6">
        <f>HYPERLINK("https://finance.naver.com/item/coinfo.nhn?code=028150", "A028150")</f>
        <v>0</v>
      </c>
      <c r="D6">
        <f>HYPERLINK("http://comp.fnguide.com/SVO2/ASP/SVD_Consensus.asp?pGB=1&amp;gicode=A028150&amp;cID=&amp;MenuYn=Y&amp;ReportGB=&amp;NewMenuID=108&amp;stkGb=701", "GS홈쇼핑")</f>
        <v>0</v>
      </c>
      <c r="E6">
        <v>3</v>
      </c>
      <c r="F6">
        <v>149500</v>
      </c>
      <c r="G6">
        <v>4.9</v>
      </c>
      <c r="H6">
        <v>7.29</v>
      </c>
      <c r="I6">
        <v>265882</v>
      </c>
      <c r="J6">
        <v>231895</v>
      </c>
      <c r="K6">
        <v>221927</v>
      </c>
      <c r="L6">
        <v>-77.84999999999999</v>
      </c>
      <c r="M6">
        <v>-55.11</v>
      </c>
      <c r="N6">
        <v>-48.45</v>
      </c>
      <c r="O6">
        <v>10.59</v>
      </c>
      <c r="P6" t="b">
        <v>1</v>
      </c>
      <c r="Q6">
        <v>2</v>
      </c>
      <c r="R6">
        <v>19071</v>
      </c>
      <c r="S6">
        <v>21333</v>
      </c>
      <c r="T6">
        <v>11.9</v>
      </c>
      <c r="U6" t="s">
        <v>536</v>
      </c>
      <c r="V6" t="s">
        <v>784</v>
      </c>
      <c r="W6">
        <v>1.488421564228815</v>
      </c>
      <c r="X6">
        <v>36.6</v>
      </c>
      <c r="Y6" t="s">
        <v>1032</v>
      </c>
      <c r="Z6">
        <v>10.08262733291792</v>
      </c>
      <c r="AA6">
        <v>9811</v>
      </c>
      <c r="AB6">
        <v>72360</v>
      </c>
      <c r="AC6" t="s">
        <v>1269</v>
      </c>
      <c r="AD6">
        <v>36.1</v>
      </c>
      <c r="AE6" t="s">
        <v>1517</v>
      </c>
      <c r="AF6" t="s">
        <v>1765</v>
      </c>
      <c r="AG6">
        <v>12457</v>
      </c>
      <c r="AH6">
        <v>1569</v>
      </c>
      <c r="AI6">
        <v>600000</v>
      </c>
      <c r="AJ6">
        <v>6.12</v>
      </c>
    </row>
    <row r="7" spans="1:36">
      <c r="A7" s="1" t="s">
        <v>41</v>
      </c>
      <c r="B7" t="s">
        <v>289</v>
      </c>
      <c r="C7">
        <f>HYPERLINK("https://finance.naver.com/item/coinfo.nhn?code=021320", "A021320")</f>
        <v>0</v>
      </c>
      <c r="D7">
        <f>HYPERLINK("http://comp.fnguide.com/SVO2/ASP/SVD_Consensus.asp?pGB=1&amp;gicode=A021320&amp;cID=&amp;MenuYn=Y&amp;ReportGB=&amp;NewMenuID=108&amp;stkGb=701", "KCC건설")</f>
        <v>0</v>
      </c>
      <c r="E7">
        <v>3</v>
      </c>
      <c r="F7">
        <v>10450</v>
      </c>
      <c r="G7">
        <v>0</v>
      </c>
      <c r="H7">
        <v>4.92</v>
      </c>
      <c r="I7">
        <v>20745</v>
      </c>
      <c r="J7">
        <v>20351</v>
      </c>
      <c r="K7">
        <v>20236</v>
      </c>
      <c r="L7">
        <v>-98.52</v>
      </c>
      <c r="M7">
        <v>-94.75</v>
      </c>
      <c r="N7">
        <v>-93.64</v>
      </c>
      <c r="O7">
        <v>8.58</v>
      </c>
      <c r="P7" t="b">
        <v>1</v>
      </c>
      <c r="Q7">
        <v>0</v>
      </c>
      <c r="R7">
        <v>1759</v>
      </c>
      <c r="U7" t="s">
        <v>537</v>
      </c>
      <c r="V7" t="s">
        <v>785</v>
      </c>
      <c r="W7">
        <v>0</v>
      </c>
      <c r="X7">
        <v>-8.6</v>
      </c>
      <c r="Y7" t="s">
        <v>1033</v>
      </c>
      <c r="Z7">
        <v>15.6074391789947</v>
      </c>
      <c r="AA7">
        <v>2236</v>
      </c>
      <c r="AB7">
        <v>30701</v>
      </c>
      <c r="AC7" t="s">
        <v>1270</v>
      </c>
      <c r="AD7">
        <v>66.26000000000001</v>
      </c>
      <c r="AE7" t="s">
        <v>1518</v>
      </c>
      <c r="AF7" t="s">
        <v>1766</v>
      </c>
      <c r="AG7">
        <v>11016</v>
      </c>
      <c r="AH7">
        <v>543</v>
      </c>
      <c r="AI7">
        <v>1454564</v>
      </c>
      <c r="AJ7">
        <v>2.08</v>
      </c>
    </row>
    <row r="8" spans="1:36">
      <c r="A8" s="1" t="s">
        <v>42</v>
      </c>
      <c r="B8" t="s">
        <v>290</v>
      </c>
      <c r="C8">
        <f>HYPERLINK("https://finance.naver.com/item/coinfo.nhn?code=900250", "A900250")</f>
        <v>0</v>
      </c>
      <c r="D8">
        <f>HYPERLINK("http://comp.fnguide.com/SVO2/ASP/SVD_Consensus.asp?pGB=1&amp;gicode=A900250&amp;cID=&amp;MenuYn=Y&amp;ReportGB=&amp;NewMenuID=108&amp;stkGb=701", "크리스탈신소재")</f>
        <v>0</v>
      </c>
      <c r="E8">
        <v>3</v>
      </c>
      <c r="F8">
        <v>1630</v>
      </c>
      <c r="G8">
        <v>0</v>
      </c>
      <c r="H8">
        <v>5.18</v>
      </c>
      <c r="I8">
        <v>4561</v>
      </c>
      <c r="J8">
        <v>4382</v>
      </c>
      <c r="K8">
        <v>4329</v>
      </c>
      <c r="L8">
        <v>-179.83</v>
      </c>
      <c r="M8">
        <v>-168.81</v>
      </c>
      <c r="N8">
        <v>-165.57</v>
      </c>
      <c r="O8">
        <v>8.890000000000001</v>
      </c>
      <c r="P8" t="b">
        <v>0</v>
      </c>
      <c r="Q8">
        <v>0</v>
      </c>
      <c r="R8">
        <v>330</v>
      </c>
      <c r="U8" t="s">
        <v>538</v>
      </c>
      <c r="V8" t="s">
        <v>786</v>
      </c>
      <c r="W8">
        <v>0</v>
      </c>
      <c r="X8">
        <v>-1.2</v>
      </c>
      <c r="Y8" t="s">
        <v>1034</v>
      </c>
      <c r="Z8">
        <v>-6.532880581152101</v>
      </c>
      <c r="AA8">
        <v>1105</v>
      </c>
      <c r="AB8">
        <v>496366</v>
      </c>
      <c r="AC8" t="s">
        <v>1271</v>
      </c>
      <c r="AD8">
        <v>20.57</v>
      </c>
      <c r="AE8" t="s">
        <v>1519</v>
      </c>
      <c r="AF8" t="s">
        <v>1767</v>
      </c>
      <c r="AG8">
        <v>908</v>
      </c>
      <c r="AH8">
        <v>311</v>
      </c>
    </row>
    <row r="9" spans="1:36">
      <c r="A9" s="1" t="s">
        <v>43</v>
      </c>
      <c r="B9" t="s">
        <v>291</v>
      </c>
      <c r="C9">
        <f>HYPERLINK("https://finance.naver.com/item/coinfo.nhn?code=151860", "A151860")</f>
        <v>0</v>
      </c>
      <c r="D9">
        <f>HYPERLINK("http://comp.fnguide.com/SVO2/ASP/SVD_Consensus.asp?pGB=1&amp;gicode=A151860&amp;cID=&amp;MenuYn=Y&amp;ReportGB=&amp;NewMenuID=108&amp;stkGb=701", "KG ETS")</f>
        <v>0</v>
      </c>
      <c r="E9">
        <v>3</v>
      </c>
      <c r="F9">
        <v>11100</v>
      </c>
      <c r="G9">
        <v>0</v>
      </c>
      <c r="H9">
        <v>9.08</v>
      </c>
      <c r="I9">
        <v>21919</v>
      </c>
      <c r="J9">
        <v>13609</v>
      </c>
      <c r="K9">
        <v>11172</v>
      </c>
      <c r="L9">
        <v>-97.47</v>
      </c>
      <c r="M9">
        <v>-22.6</v>
      </c>
      <c r="N9">
        <v>-0.65</v>
      </c>
      <c r="O9">
        <v>23.09</v>
      </c>
      <c r="P9" t="b">
        <v>1</v>
      </c>
      <c r="Q9">
        <v>0</v>
      </c>
      <c r="R9">
        <v>741</v>
      </c>
      <c r="U9" t="s">
        <v>539</v>
      </c>
      <c r="V9" t="s">
        <v>787</v>
      </c>
      <c r="W9">
        <v>0</v>
      </c>
      <c r="X9">
        <v>2561.2</v>
      </c>
      <c r="Y9" t="s">
        <v>1035</v>
      </c>
      <c r="Z9">
        <v>170.2044417689655</v>
      </c>
      <c r="AA9">
        <v>3996</v>
      </c>
      <c r="AB9">
        <v>4583740</v>
      </c>
      <c r="AC9" t="s">
        <v>1272</v>
      </c>
      <c r="AD9">
        <v>46.5</v>
      </c>
      <c r="AE9" t="s">
        <v>1520</v>
      </c>
      <c r="AF9" t="s">
        <v>1768</v>
      </c>
      <c r="AG9">
        <v>1539</v>
      </c>
      <c r="AH9">
        <v>191</v>
      </c>
      <c r="AI9">
        <v>1965408</v>
      </c>
      <c r="AJ9">
        <v>1.63</v>
      </c>
    </row>
    <row r="10" spans="1:36">
      <c r="A10" s="1" t="s">
        <v>44</v>
      </c>
      <c r="B10" t="s">
        <v>292</v>
      </c>
      <c r="C10">
        <f>HYPERLINK("https://finance.naver.com/item/coinfo.nhn?code=091340", "A091340")</f>
        <v>0</v>
      </c>
      <c r="D10">
        <f>HYPERLINK("http://comp.fnguide.com/SVO2/ASP/SVD_Consensus.asp?pGB=1&amp;gicode=A091340&amp;cID=&amp;MenuYn=Y&amp;ReportGB=&amp;NewMenuID=108&amp;stkGb=701", "S&amp;K폴리텍")</f>
        <v>0</v>
      </c>
      <c r="E10">
        <v>3</v>
      </c>
      <c r="F10">
        <v>5680</v>
      </c>
      <c r="G10">
        <v>0</v>
      </c>
      <c r="I10">
        <v>8159</v>
      </c>
      <c r="J10">
        <v>8145</v>
      </c>
      <c r="K10">
        <v>8141</v>
      </c>
      <c r="L10">
        <v>-43.64</v>
      </c>
      <c r="M10">
        <v>-43.41</v>
      </c>
      <c r="N10">
        <v>-43.34</v>
      </c>
      <c r="O10">
        <v>8.32</v>
      </c>
      <c r="P10" t="b">
        <v>0</v>
      </c>
      <c r="Q10">
        <v>0</v>
      </c>
      <c r="R10">
        <v>-532</v>
      </c>
      <c r="U10" t="s">
        <v>540</v>
      </c>
      <c r="V10" t="s">
        <v>788</v>
      </c>
      <c r="W10">
        <v>0</v>
      </c>
      <c r="X10">
        <v>57.5</v>
      </c>
      <c r="Y10" t="s">
        <v>1036</v>
      </c>
      <c r="Z10">
        <v>58.38521580073554</v>
      </c>
      <c r="AA10">
        <v>665</v>
      </c>
      <c r="AB10">
        <v>50917</v>
      </c>
      <c r="AC10" t="s">
        <v>1273</v>
      </c>
      <c r="AD10">
        <v>42.34</v>
      </c>
      <c r="AE10" t="s">
        <v>1521</v>
      </c>
      <c r="AF10" t="s">
        <v>1769</v>
      </c>
      <c r="AG10">
        <v>2550</v>
      </c>
      <c r="AH10">
        <v>35</v>
      </c>
      <c r="AI10">
        <v>494438</v>
      </c>
      <c r="AJ10">
        <v>4.78</v>
      </c>
    </row>
    <row r="11" spans="1:36">
      <c r="A11" s="1" t="s">
        <v>45</v>
      </c>
      <c r="B11" t="s">
        <v>293</v>
      </c>
      <c r="C11">
        <f>HYPERLINK("https://finance.naver.com/item/coinfo.nhn?code=056360", "A056360")</f>
        <v>0</v>
      </c>
      <c r="D11">
        <f>HYPERLINK("http://comp.fnguide.com/SVO2/ASP/SVD_Consensus.asp?pGB=1&amp;gicode=A056360&amp;cID=&amp;MenuYn=Y&amp;ReportGB=&amp;NewMenuID=108&amp;stkGb=701", "코위버")</f>
        <v>0</v>
      </c>
      <c r="E11">
        <v>3</v>
      </c>
      <c r="F11">
        <v>9100</v>
      </c>
      <c r="G11">
        <v>0</v>
      </c>
      <c r="H11">
        <v>17.58</v>
      </c>
      <c r="I11">
        <v>15240</v>
      </c>
      <c r="J11">
        <v>13939</v>
      </c>
      <c r="K11">
        <v>13558</v>
      </c>
      <c r="L11">
        <v>-67.47</v>
      </c>
      <c r="M11">
        <v>-53.18</v>
      </c>
      <c r="N11">
        <v>-48.99</v>
      </c>
      <c r="O11">
        <v>9.699999999999999</v>
      </c>
      <c r="P11" t="b">
        <v>1</v>
      </c>
      <c r="Q11">
        <v>0</v>
      </c>
      <c r="R11">
        <v>572</v>
      </c>
      <c r="U11" t="s">
        <v>541</v>
      </c>
      <c r="V11" t="s">
        <v>789</v>
      </c>
      <c r="W11">
        <v>0</v>
      </c>
      <c r="X11">
        <v>0</v>
      </c>
      <c r="Y11" t="s">
        <v>1037</v>
      </c>
      <c r="Z11">
        <v>-4.112633125798437</v>
      </c>
      <c r="AA11">
        <v>892</v>
      </c>
      <c r="AB11">
        <v>30505</v>
      </c>
      <c r="AC11" t="s">
        <v>1274</v>
      </c>
      <c r="AD11">
        <v>28.91</v>
      </c>
      <c r="AE11" t="s">
        <v>1522</v>
      </c>
      <c r="AF11" t="s">
        <v>1770</v>
      </c>
      <c r="AG11">
        <v>809</v>
      </c>
      <c r="AH11">
        <v>32</v>
      </c>
      <c r="AI11">
        <v>450345</v>
      </c>
      <c r="AJ11">
        <v>0.8</v>
      </c>
    </row>
    <row r="12" spans="1:36">
      <c r="A12" s="1" t="s">
        <v>46</v>
      </c>
      <c r="B12" t="s">
        <v>294</v>
      </c>
      <c r="C12">
        <f>HYPERLINK("https://finance.naver.com/item/coinfo.nhn?code=900280", "A900280")</f>
        <v>0</v>
      </c>
      <c r="D12">
        <f>HYPERLINK("http://comp.fnguide.com/SVO2/ASP/SVD_Consensus.asp?pGB=1&amp;gicode=A900280&amp;cID=&amp;MenuYn=Y&amp;ReportGB=&amp;NewMenuID=108&amp;stkGb=701", "골든센츄리")</f>
        <v>0</v>
      </c>
      <c r="E12">
        <v>3</v>
      </c>
      <c r="F12">
        <v>460</v>
      </c>
      <c r="G12">
        <v>0</v>
      </c>
      <c r="H12">
        <v>1.46</v>
      </c>
      <c r="I12">
        <v>2232</v>
      </c>
      <c r="J12">
        <v>1717</v>
      </c>
      <c r="K12">
        <v>1566</v>
      </c>
      <c r="L12">
        <v>-385.31</v>
      </c>
      <c r="M12">
        <v>-273.36</v>
      </c>
      <c r="N12">
        <v>-240.53</v>
      </c>
      <c r="O12">
        <v>13.6</v>
      </c>
      <c r="P12" t="b">
        <v>0</v>
      </c>
      <c r="Q12">
        <v>0</v>
      </c>
      <c r="R12">
        <v>214</v>
      </c>
      <c r="U12" t="s">
        <v>542</v>
      </c>
      <c r="V12" t="s">
        <v>790</v>
      </c>
      <c r="W12">
        <v>0</v>
      </c>
      <c r="Y12" t="s">
        <v>1038</v>
      </c>
      <c r="Z12">
        <v>0</v>
      </c>
      <c r="AA12">
        <v>730</v>
      </c>
      <c r="AB12">
        <v>3322714</v>
      </c>
      <c r="AC12" t="s">
        <v>1275</v>
      </c>
      <c r="AD12">
        <v>27.91</v>
      </c>
      <c r="AE12" t="s">
        <v>1523</v>
      </c>
      <c r="AF12" t="s">
        <v>1771</v>
      </c>
      <c r="AG12">
        <v>1131</v>
      </c>
      <c r="AH12">
        <v>294</v>
      </c>
    </row>
    <row r="13" spans="1:36">
      <c r="A13" s="1" t="s">
        <v>47</v>
      </c>
      <c r="B13" t="s">
        <v>295</v>
      </c>
      <c r="C13">
        <f>HYPERLINK("https://finance.naver.com/item/coinfo.nhn?code=066620", "A066620")</f>
        <v>0</v>
      </c>
      <c r="D13">
        <f>HYPERLINK("http://comp.fnguide.com/SVO2/ASP/SVD_Consensus.asp?pGB=1&amp;gicode=A066620&amp;cID=&amp;MenuYn=Y&amp;ReportGB=&amp;NewMenuID=108&amp;stkGb=701", "국보디자인")</f>
        <v>0</v>
      </c>
      <c r="E13">
        <v>3</v>
      </c>
      <c r="F13">
        <v>23950</v>
      </c>
      <c r="G13">
        <v>0</v>
      </c>
      <c r="H13">
        <v>7.18</v>
      </c>
      <c r="I13">
        <v>38306</v>
      </c>
      <c r="J13">
        <v>29931</v>
      </c>
      <c r="K13">
        <v>27474</v>
      </c>
      <c r="L13">
        <v>-59.94</v>
      </c>
      <c r="M13">
        <v>-24.97</v>
      </c>
      <c r="N13">
        <v>-14.71</v>
      </c>
      <c r="O13">
        <v>13.16</v>
      </c>
      <c r="P13" t="b">
        <v>0</v>
      </c>
      <c r="Q13">
        <v>0</v>
      </c>
      <c r="R13">
        <v>2452</v>
      </c>
      <c r="U13" t="s">
        <v>543</v>
      </c>
      <c r="V13" t="s">
        <v>791</v>
      </c>
      <c r="W13">
        <v>0</v>
      </c>
      <c r="X13">
        <v>-0.7</v>
      </c>
      <c r="Y13" t="s">
        <v>1039</v>
      </c>
      <c r="Z13">
        <v>11.18615296473322</v>
      </c>
      <c r="AA13">
        <v>1796</v>
      </c>
      <c r="AB13">
        <v>42009</v>
      </c>
      <c r="AC13" t="s">
        <v>1276</v>
      </c>
      <c r="AD13">
        <v>53.09</v>
      </c>
      <c r="AE13" t="s">
        <v>1524</v>
      </c>
      <c r="AF13" t="s">
        <v>1772</v>
      </c>
      <c r="AG13">
        <v>2881</v>
      </c>
      <c r="AH13">
        <v>257</v>
      </c>
      <c r="AI13">
        <v>627314</v>
      </c>
      <c r="AJ13">
        <v>1.82</v>
      </c>
    </row>
    <row r="14" spans="1:36">
      <c r="A14" s="1" t="s">
        <v>48</v>
      </c>
      <c r="B14" t="s">
        <v>296</v>
      </c>
      <c r="C14">
        <f>HYPERLINK("https://finance.naver.com/item/coinfo.nhn?code=036190", "A036190")</f>
        <v>0</v>
      </c>
      <c r="D14">
        <f>HYPERLINK("http://comp.fnguide.com/SVO2/ASP/SVD_Consensus.asp?pGB=1&amp;gicode=A036190&amp;cID=&amp;MenuYn=Y&amp;ReportGB=&amp;NewMenuID=108&amp;stkGb=701", "금화피에스시")</f>
        <v>0</v>
      </c>
      <c r="E14">
        <v>3</v>
      </c>
      <c r="F14">
        <v>33600</v>
      </c>
      <c r="G14">
        <v>-0.42</v>
      </c>
      <c r="H14">
        <v>5.83</v>
      </c>
      <c r="I14">
        <v>69862</v>
      </c>
      <c r="J14">
        <v>54261</v>
      </c>
      <c r="K14">
        <v>49685</v>
      </c>
      <c r="L14">
        <v>-107.92</v>
      </c>
      <c r="M14">
        <v>-61.49</v>
      </c>
      <c r="N14">
        <v>-47.87</v>
      </c>
      <c r="O14">
        <v>13.33</v>
      </c>
      <c r="P14" t="b">
        <v>1</v>
      </c>
      <c r="Q14">
        <v>0</v>
      </c>
      <c r="R14">
        <v>4993</v>
      </c>
      <c r="S14">
        <v>4233</v>
      </c>
      <c r="T14">
        <v>-15.2</v>
      </c>
      <c r="U14" t="s">
        <v>544</v>
      </c>
      <c r="V14" t="s">
        <v>792</v>
      </c>
      <c r="W14">
        <v>-13.80286219562009</v>
      </c>
      <c r="X14">
        <v>-11.2</v>
      </c>
      <c r="Y14" t="s">
        <v>1040</v>
      </c>
      <c r="Z14">
        <v>2.134535222378764</v>
      </c>
      <c r="AA14">
        <v>2016</v>
      </c>
      <c r="AB14">
        <v>9251</v>
      </c>
      <c r="AC14" t="s">
        <v>1277</v>
      </c>
      <c r="AD14">
        <v>36.68</v>
      </c>
      <c r="AE14" t="s">
        <v>1525</v>
      </c>
      <c r="AF14" t="s">
        <v>1773</v>
      </c>
      <c r="AG14">
        <v>2353</v>
      </c>
      <c r="AH14">
        <v>270</v>
      </c>
      <c r="AI14">
        <v>94210</v>
      </c>
      <c r="AJ14">
        <v>4.47</v>
      </c>
    </row>
    <row r="15" spans="1:36">
      <c r="A15" s="1" t="s">
        <v>49</v>
      </c>
      <c r="B15" t="s">
        <v>297</v>
      </c>
      <c r="C15">
        <f>HYPERLINK("https://finance.naver.com/item/coinfo.nhn?code=049430", "A049430")</f>
        <v>0</v>
      </c>
      <c r="D15">
        <f>HYPERLINK("http://comp.fnguide.com/SVO2/ASP/SVD_Consensus.asp?pGB=1&amp;gicode=A049430&amp;cID=&amp;MenuYn=Y&amp;ReportGB=&amp;NewMenuID=108&amp;stkGb=701", "코메론")</f>
        <v>0</v>
      </c>
      <c r="E15">
        <v>3</v>
      </c>
      <c r="F15">
        <v>14200</v>
      </c>
      <c r="G15">
        <v>1.39</v>
      </c>
      <c r="H15">
        <v>6.66</v>
      </c>
      <c r="I15">
        <v>20309</v>
      </c>
      <c r="J15">
        <v>18927</v>
      </c>
      <c r="K15">
        <v>18521</v>
      </c>
      <c r="L15">
        <v>-43.02</v>
      </c>
      <c r="M15">
        <v>-33.29</v>
      </c>
      <c r="N15">
        <v>-30.43</v>
      </c>
      <c r="O15">
        <v>9.380000000000001</v>
      </c>
      <c r="P15" t="b">
        <v>1</v>
      </c>
      <c r="Q15">
        <v>1</v>
      </c>
      <c r="R15">
        <v>1338</v>
      </c>
      <c r="S15">
        <v>1558</v>
      </c>
      <c r="T15">
        <v>16.4</v>
      </c>
      <c r="U15" t="s">
        <v>545</v>
      </c>
      <c r="V15" t="s">
        <v>793</v>
      </c>
      <c r="W15">
        <v>4.804344215156475</v>
      </c>
      <c r="X15">
        <v>136.6</v>
      </c>
      <c r="Y15" t="s">
        <v>1041</v>
      </c>
      <c r="Z15">
        <v>17.56623918993452</v>
      </c>
      <c r="AA15">
        <v>1285</v>
      </c>
      <c r="AB15">
        <v>133175</v>
      </c>
      <c r="AC15" t="s">
        <v>1278</v>
      </c>
      <c r="AD15">
        <v>38.73</v>
      </c>
      <c r="AE15" t="s">
        <v>1526</v>
      </c>
      <c r="AF15" t="s">
        <v>1774</v>
      </c>
      <c r="AG15">
        <v>664</v>
      </c>
      <c r="AH15">
        <v>141</v>
      </c>
      <c r="AI15">
        <v>763630</v>
      </c>
      <c r="AJ15">
        <v>2.24</v>
      </c>
    </row>
    <row r="16" spans="1:36">
      <c r="A16" s="1" t="s">
        <v>50</v>
      </c>
      <c r="B16" t="s">
        <v>298</v>
      </c>
      <c r="C16">
        <f>HYPERLINK("https://finance.naver.com/item/coinfo.nhn?code=016610", "A016610")</f>
        <v>0</v>
      </c>
      <c r="D16">
        <f>HYPERLINK("http://comp.fnguide.com/SVO2/ASP/SVD_Consensus.asp?pGB=1&amp;gicode=A016610&amp;cID=&amp;MenuYn=Y&amp;ReportGB=&amp;NewMenuID=108&amp;stkGb=701", "DB금융투자")</f>
        <v>0</v>
      </c>
      <c r="E16">
        <v>3</v>
      </c>
      <c r="F16">
        <v>7170</v>
      </c>
      <c r="G16">
        <v>0</v>
      </c>
      <c r="H16">
        <v>2.05</v>
      </c>
      <c r="I16">
        <v>23840</v>
      </c>
      <c r="J16">
        <v>21164</v>
      </c>
      <c r="K16">
        <v>20379</v>
      </c>
      <c r="L16">
        <v>-232.5</v>
      </c>
      <c r="M16">
        <v>-195.17</v>
      </c>
      <c r="N16">
        <v>-184.22</v>
      </c>
      <c r="O16">
        <v>10.24</v>
      </c>
      <c r="P16" t="b">
        <v>1</v>
      </c>
      <c r="Q16">
        <v>0</v>
      </c>
      <c r="R16">
        <v>2271</v>
      </c>
      <c r="U16" t="s">
        <v>546</v>
      </c>
      <c r="V16" t="s">
        <v>794</v>
      </c>
      <c r="W16">
        <v>0</v>
      </c>
      <c r="X16">
        <v>12.9</v>
      </c>
      <c r="Y16" t="s">
        <v>1042</v>
      </c>
      <c r="Z16">
        <v>7.259805666442443</v>
      </c>
      <c r="AA16">
        <v>3043</v>
      </c>
      <c r="AB16">
        <v>87467</v>
      </c>
      <c r="AC16" t="s">
        <v>1279</v>
      </c>
      <c r="AD16">
        <v>33.72</v>
      </c>
      <c r="AE16" t="s">
        <v>1527</v>
      </c>
      <c r="AF16" t="s">
        <v>1775</v>
      </c>
      <c r="AG16">
        <v>3808</v>
      </c>
      <c r="AH16">
        <v>1366</v>
      </c>
      <c r="AI16">
        <v>1017500</v>
      </c>
      <c r="AJ16">
        <v>6.44</v>
      </c>
    </row>
    <row r="17" spans="1:36">
      <c r="A17" s="1" t="s">
        <v>51</v>
      </c>
      <c r="B17" t="s">
        <v>299</v>
      </c>
      <c r="C17">
        <f>HYPERLINK("https://finance.naver.com/item/coinfo.nhn?code=083550", "A083550")</f>
        <v>0</v>
      </c>
      <c r="D17">
        <f>HYPERLINK("http://comp.fnguide.com/SVO2/ASP/SVD_Consensus.asp?pGB=1&amp;gicode=A083550&amp;cID=&amp;MenuYn=Y&amp;ReportGB=&amp;NewMenuID=108&amp;stkGb=701", "케이엠")</f>
        <v>0</v>
      </c>
      <c r="E17">
        <v>3</v>
      </c>
      <c r="F17">
        <v>10650</v>
      </c>
      <c r="G17">
        <v>0</v>
      </c>
      <c r="H17">
        <v>4.26</v>
      </c>
      <c r="I17">
        <v>28180</v>
      </c>
      <c r="J17">
        <v>18359</v>
      </c>
      <c r="K17">
        <v>15479</v>
      </c>
      <c r="L17">
        <v>-164.6</v>
      </c>
      <c r="M17">
        <v>-72.39</v>
      </c>
      <c r="N17">
        <v>-45.34</v>
      </c>
      <c r="O17">
        <v>20.19</v>
      </c>
      <c r="P17" t="b">
        <v>1</v>
      </c>
      <c r="Q17">
        <v>0</v>
      </c>
      <c r="R17">
        <v>3042</v>
      </c>
      <c r="U17" t="s">
        <v>547</v>
      </c>
      <c r="V17" t="s">
        <v>795</v>
      </c>
      <c r="W17">
        <v>0</v>
      </c>
      <c r="X17">
        <v>-62</v>
      </c>
      <c r="Y17" t="s">
        <v>1043</v>
      </c>
      <c r="Z17">
        <v>27.97663160162575</v>
      </c>
      <c r="AA17">
        <v>1145</v>
      </c>
      <c r="AB17">
        <v>39361</v>
      </c>
      <c r="AC17" t="s">
        <v>1280</v>
      </c>
      <c r="AD17">
        <v>32.04</v>
      </c>
      <c r="AE17" t="s">
        <v>1528</v>
      </c>
      <c r="AF17" t="s">
        <v>1776</v>
      </c>
      <c r="AG17">
        <v>1879</v>
      </c>
      <c r="AH17">
        <v>426</v>
      </c>
      <c r="AI17">
        <v>820305</v>
      </c>
      <c r="AJ17">
        <v>0.74</v>
      </c>
    </row>
    <row r="18" spans="1:36">
      <c r="A18" s="1" t="s">
        <v>52</v>
      </c>
      <c r="B18" t="s">
        <v>300</v>
      </c>
      <c r="C18">
        <f>HYPERLINK("https://finance.naver.com/item/coinfo.nhn?code=032190", "A032190")</f>
        <v>0</v>
      </c>
      <c r="D18">
        <f>HYPERLINK("http://comp.fnguide.com/SVO2/ASP/SVD_Consensus.asp?pGB=1&amp;gicode=A032190&amp;cID=&amp;MenuYn=Y&amp;ReportGB=&amp;NewMenuID=108&amp;stkGb=701", "다우데이타")</f>
        <v>0</v>
      </c>
      <c r="E18">
        <v>3</v>
      </c>
      <c r="F18">
        <v>14500</v>
      </c>
      <c r="G18">
        <v>0</v>
      </c>
      <c r="H18">
        <v>5.1</v>
      </c>
      <c r="I18">
        <v>29829</v>
      </c>
      <c r="J18">
        <v>23756</v>
      </c>
      <c r="K18">
        <v>21974</v>
      </c>
      <c r="L18">
        <v>-105.72</v>
      </c>
      <c r="M18">
        <v>-63.83</v>
      </c>
      <c r="N18">
        <v>-51.55</v>
      </c>
      <c r="O18">
        <v>12.65</v>
      </c>
      <c r="P18" t="b">
        <v>1</v>
      </c>
      <c r="Q18">
        <v>0</v>
      </c>
      <c r="R18">
        <v>2510</v>
      </c>
      <c r="U18" t="s">
        <v>548</v>
      </c>
      <c r="V18" t="s">
        <v>796</v>
      </c>
      <c r="W18">
        <v>0</v>
      </c>
      <c r="X18">
        <v>1792.2</v>
      </c>
      <c r="Y18" t="s">
        <v>1044</v>
      </c>
      <c r="Z18">
        <v>140.432072686481</v>
      </c>
      <c r="AA18">
        <v>5554</v>
      </c>
      <c r="AB18">
        <v>163980</v>
      </c>
      <c r="AC18" t="s">
        <v>1281</v>
      </c>
      <c r="AD18">
        <v>67.67</v>
      </c>
      <c r="AE18" t="s">
        <v>1529</v>
      </c>
      <c r="AF18" t="s">
        <v>1777</v>
      </c>
      <c r="AG18">
        <v>50939</v>
      </c>
      <c r="AH18">
        <v>10553</v>
      </c>
      <c r="AJ18">
        <v>1.95</v>
      </c>
    </row>
    <row r="19" spans="1:36">
      <c r="A19" s="1" t="s">
        <v>53</v>
      </c>
      <c r="B19" t="s">
        <v>301</v>
      </c>
      <c r="C19">
        <f>HYPERLINK("https://finance.naver.com/item/coinfo.nhn?code=005710", "A005710")</f>
        <v>0</v>
      </c>
      <c r="D19">
        <f>HYPERLINK("http://comp.fnguide.com/SVO2/ASP/SVD_Consensus.asp?pGB=1&amp;gicode=A005710&amp;cID=&amp;MenuYn=Y&amp;ReportGB=&amp;NewMenuID=108&amp;stkGb=701", "대원산업")</f>
        <v>0</v>
      </c>
      <c r="E19">
        <v>3</v>
      </c>
      <c r="F19">
        <v>7480</v>
      </c>
      <c r="G19">
        <v>0</v>
      </c>
      <c r="H19">
        <v>6.13</v>
      </c>
      <c r="I19">
        <v>18026</v>
      </c>
      <c r="J19">
        <v>17172</v>
      </c>
      <c r="K19">
        <v>16922</v>
      </c>
      <c r="L19">
        <v>-140.99</v>
      </c>
      <c r="M19">
        <v>-129.58</v>
      </c>
      <c r="N19">
        <v>-126.23</v>
      </c>
      <c r="O19">
        <v>9.02</v>
      </c>
      <c r="P19" t="b">
        <v>1</v>
      </c>
      <c r="Q19">
        <v>0</v>
      </c>
      <c r="R19">
        <v>902</v>
      </c>
      <c r="U19" t="s">
        <v>549</v>
      </c>
      <c r="V19" t="s">
        <v>797</v>
      </c>
      <c r="W19">
        <v>0</v>
      </c>
      <c r="X19">
        <v>0</v>
      </c>
      <c r="Y19" t="s">
        <v>1045</v>
      </c>
      <c r="Z19">
        <v>-19.4321199556595</v>
      </c>
      <c r="AA19">
        <v>1499</v>
      </c>
      <c r="AB19">
        <v>23882</v>
      </c>
      <c r="AC19" t="s">
        <v>1282</v>
      </c>
      <c r="AD19">
        <v>61.55</v>
      </c>
      <c r="AE19" t="s">
        <v>1530</v>
      </c>
      <c r="AF19" t="s">
        <v>1778</v>
      </c>
      <c r="AG19">
        <v>6426</v>
      </c>
      <c r="AH19">
        <v>281</v>
      </c>
      <c r="AJ19">
        <v>2.26</v>
      </c>
    </row>
    <row r="20" spans="1:36">
      <c r="A20" s="1" t="s">
        <v>54</v>
      </c>
      <c r="B20" t="s">
        <v>302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16750</v>
      </c>
      <c r="G20">
        <v>0</v>
      </c>
      <c r="H20">
        <v>7.6</v>
      </c>
      <c r="I20">
        <v>24313</v>
      </c>
      <c r="J20">
        <v>22670</v>
      </c>
      <c r="K20">
        <v>22188</v>
      </c>
      <c r="L20">
        <v>-45.15</v>
      </c>
      <c r="M20">
        <v>-35.34</v>
      </c>
      <c r="N20">
        <v>-32.47</v>
      </c>
      <c r="O20">
        <v>9.369999999999999</v>
      </c>
      <c r="P20" t="b">
        <v>1</v>
      </c>
      <c r="Q20">
        <v>0</v>
      </c>
      <c r="R20">
        <v>1743</v>
      </c>
      <c r="U20" t="s">
        <v>550</v>
      </c>
      <c r="V20" t="s">
        <v>798</v>
      </c>
      <c r="W20">
        <v>0</v>
      </c>
      <c r="X20">
        <v>14.7</v>
      </c>
      <c r="Y20" t="s">
        <v>1046</v>
      </c>
      <c r="Z20">
        <v>-0.3816097002056318</v>
      </c>
      <c r="AA20">
        <v>676</v>
      </c>
      <c r="AB20">
        <v>6240</v>
      </c>
      <c r="AC20" t="s">
        <v>1283</v>
      </c>
      <c r="AD20">
        <v>71.06999999999999</v>
      </c>
      <c r="AE20" t="s">
        <v>1531</v>
      </c>
      <c r="AF20" t="s">
        <v>1779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55</v>
      </c>
      <c r="B21" t="s">
        <v>303</v>
      </c>
      <c r="C21">
        <f>HYPERLINK("https://finance.naver.com/item/coinfo.nhn?code=068790", "A068790")</f>
        <v>0</v>
      </c>
      <c r="D21">
        <f>HYPERLINK("http://comp.fnguide.com/SVO2/ASP/SVD_Consensus.asp?pGB=1&amp;gicode=A068790&amp;cID=&amp;MenuYn=Y&amp;ReportGB=&amp;NewMenuID=108&amp;stkGb=701", "DMS")</f>
        <v>0</v>
      </c>
      <c r="E21">
        <v>3</v>
      </c>
      <c r="F21">
        <v>7740</v>
      </c>
      <c r="G21">
        <v>0</v>
      </c>
      <c r="H21">
        <v>5.25</v>
      </c>
      <c r="I21">
        <v>17621</v>
      </c>
      <c r="J21">
        <v>12702</v>
      </c>
      <c r="K21">
        <v>11259</v>
      </c>
      <c r="L21">
        <v>-127.67</v>
      </c>
      <c r="M21">
        <v>-64.11</v>
      </c>
      <c r="N21">
        <v>-45.47</v>
      </c>
      <c r="O21">
        <v>15.71</v>
      </c>
      <c r="P21" t="b">
        <v>1</v>
      </c>
      <c r="Q21">
        <v>0</v>
      </c>
      <c r="R21">
        <v>1653</v>
      </c>
      <c r="U21" t="s">
        <v>551</v>
      </c>
      <c r="V21" t="s">
        <v>799</v>
      </c>
      <c r="W21">
        <v>0</v>
      </c>
      <c r="X21">
        <v>-47.2</v>
      </c>
      <c r="Y21" t="s">
        <v>1047</v>
      </c>
      <c r="Z21">
        <v>-11.52727936410692</v>
      </c>
      <c r="AA21">
        <v>1902</v>
      </c>
      <c r="AB21">
        <v>75838</v>
      </c>
      <c r="AC21" t="s">
        <v>1284</v>
      </c>
      <c r="AD21">
        <v>20.92</v>
      </c>
      <c r="AE21" t="s">
        <v>1532</v>
      </c>
      <c r="AF21" t="s">
        <v>1780</v>
      </c>
      <c r="AG21">
        <v>2269</v>
      </c>
      <c r="AH21">
        <v>338</v>
      </c>
      <c r="AI21">
        <v>133797</v>
      </c>
      <c r="AJ21">
        <v>1.15</v>
      </c>
    </row>
    <row r="22" spans="1:36">
      <c r="A22" s="1" t="s">
        <v>56</v>
      </c>
      <c r="B22" t="s">
        <v>304</v>
      </c>
      <c r="C22">
        <f>HYPERLINK("https://finance.naver.com/item/coinfo.nhn?code=023460", "A023460")</f>
        <v>0</v>
      </c>
      <c r="D22">
        <f>HYPERLINK("http://comp.fnguide.com/SVO2/ASP/SVD_Consensus.asp?pGB=1&amp;gicode=A023460&amp;cID=&amp;MenuYn=Y&amp;ReportGB=&amp;NewMenuID=108&amp;stkGb=701", "CNH")</f>
        <v>0</v>
      </c>
      <c r="E22">
        <v>3</v>
      </c>
      <c r="F22">
        <v>3550</v>
      </c>
      <c r="G22">
        <v>0</v>
      </c>
      <c r="H22">
        <v>2.72</v>
      </c>
      <c r="I22">
        <v>7786</v>
      </c>
      <c r="J22">
        <v>5360</v>
      </c>
      <c r="K22">
        <v>4648</v>
      </c>
      <c r="L22">
        <v>-119.33</v>
      </c>
      <c r="M22">
        <v>-50.98</v>
      </c>
      <c r="N22">
        <v>-30.93</v>
      </c>
      <c r="O22">
        <v>17.53</v>
      </c>
      <c r="P22" t="b">
        <v>1</v>
      </c>
      <c r="Q22">
        <v>0</v>
      </c>
      <c r="R22">
        <v>785</v>
      </c>
      <c r="U22" t="s">
        <v>552</v>
      </c>
      <c r="V22" t="s">
        <v>800</v>
      </c>
      <c r="W22">
        <v>0</v>
      </c>
      <c r="Y22" t="s">
        <v>1048</v>
      </c>
      <c r="Z22">
        <v>0</v>
      </c>
      <c r="AA22">
        <v>1321</v>
      </c>
      <c r="AB22">
        <v>53599</v>
      </c>
      <c r="AC22" t="s">
        <v>1285</v>
      </c>
      <c r="AD22">
        <v>65.61</v>
      </c>
      <c r="AE22" t="s">
        <v>1533</v>
      </c>
      <c r="AF22" t="s">
        <v>1781</v>
      </c>
      <c r="AG22">
        <v>885</v>
      </c>
      <c r="AH22">
        <v>556</v>
      </c>
      <c r="AI22">
        <v>2418619</v>
      </c>
      <c r="AJ22">
        <v>2.34</v>
      </c>
    </row>
    <row r="23" spans="1:36">
      <c r="A23" s="1" t="s">
        <v>57</v>
      </c>
      <c r="B23" t="s">
        <v>305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10500</v>
      </c>
      <c r="G23">
        <v>0</v>
      </c>
      <c r="H23">
        <v>3.46</v>
      </c>
      <c r="I23">
        <v>17713</v>
      </c>
      <c r="J23">
        <v>15704</v>
      </c>
      <c r="K23">
        <v>15114</v>
      </c>
      <c r="L23">
        <v>-68.7</v>
      </c>
      <c r="M23">
        <v>-49.56</v>
      </c>
      <c r="N23">
        <v>-43.95</v>
      </c>
      <c r="O23">
        <v>10.27</v>
      </c>
      <c r="P23" t="b">
        <v>1</v>
      </c>
      <c r="Q23">
        <v>0</v>
      </c>
      <c r="R23">
        <v>2382</v>
      </c>
      <c r="U23" t="s">
        <v>553</v>
      </c>
      <c r="V23" t="s">
        <v>801</v>
      </c>
      <c r="W23">
        <v>0</v>
      </c>
      <c r="X23">
        <v>144.8</v>
      </c>
      <c r="Y23" t="s">
        <v>1049</v>
      </c>
      <c r="Z23">
        <v>72.64536706667681</v>
      </c>
      <c r="AA23">
        <v>3623</v>
      </c>
      <c r="AB23">
        <v>132676</v>
      </c>
      <c r="AC23" t="s">
        <v>1286</v>
      </c>
      <c r="AD23">
        <v>51</v>
      </c>
      <c r="AE23" t="s">
        <v>1534</v>
      </c>
      <c r="AF23" t="s">
        <v>1782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58</v>
      </c>
      <c r="B24" t="s">
        <v>306</v>
      </c>
      <c r="C24">
        <f>HYPERLINK("https://finance.naver.com/item/coinfo.nhn?code=024720", "A024720")</f>
        <v>0</v>
      </c>
      <c r="D24">
        <f>HYPERLINK("http://comp.fnguide.com/SVO2/ASP/SVD_Consensus.asp?pGB=1&amp;gicode=A024720&amp;cID=&amp;MenuYn=Y&amp;ReportGB=&amp;NewMenuID=108&amp;stkGb=701", "한국콜마홀딩스")</f>
        <v>0</v>
      </c>
      <c r="E24">
        <v>3</v>
      </c>
      <c r="F24">
        <v>32350</v>
      </c>
      <c r="G24">
        <v>0</v>
      </c>
      <c r="H24">
        <v>4.49</v>
      </c>
      <c r="I24">
        <v>66764</v>
      </c>
      <c r="J24">
        <v>45994</v>
      </c>
      <c r="K24">
        <v>39902</v>
      </c>
      <c r="L24">
        <v>-106.38</v>
      </c>
      <c r="M24">
        <v>-42.18</v>
      </c>
      <c r="N24">
        <v>-23.35</v>
      </c>
      <c r="O24">
        <v>17.5</v>
      </c>
      <c r="P24" t="b">
        <v>1</v>
      </c>
      <c r="Q24">
        <v>0</v>
      </c>
      <c r="R24">
        <v>5776</v>
      </c>
      <c r="U24" t="s">
        <v>554</v>
      </c>
      <c r="V24" t="s">
        <v>802</v>
      </c>
      <c r="W24">
        <v>0</v>
      </c>
      <c r="X24">
        <v>-78.5</v>
      </c>
      <c r="Y24" t="s">
        <v>1050</v>
      </c>
      <c r="Z24">
        <v>-10.69445656837169</v>
      </c>
      <c r="AA24">
        <v>6010</v>
      </c>
      <c r="AB24">
        <v>125875</v>
      </c>
      <c r="AC24" t="s">
        <v>1287</v>
      </c>
      <c r="AD24">
        <v>44.37</v>
      </c>
      <c r="AE24" t="s">
        <v>1535</v>
      </c>
      <c r="AF24" t="s">
        <v>1783</v>
      </c>
      <c r="AG24">
        <v>6755</v>
      </c>
      <c r="AH24">
        <v>1057</v>
      </c>
      <c r="AI24">
        <v>97500</v>
      </c>
      <c r="AJ24">
        <v>0.79</v>
      </c>
    </row>
    <row r="25" spans="1:36">
      <c r="A25" s="1" t="s">
        <v>59</v>
      </c>
      <c r="B25" t="s">
        <v>307</v>
      </c>
      <c r="C25">
        <f>HYPERLINK("https://finance.naver.com/item/coinfo.nhn?code=192400", "A192400")</f>
        <v>0</v>
      </c>
      <c r="D25">
        <f>HYPERLINK("http://comp.fnguide.com/SVO2/ASP/SVD_Consensus.asp?pGB=1&amp;gicode=A192400&amp;cID=&amp;MenuYn=Y&amp;ReportGB=&amp;NewMenuID=108&amp;stkGb=701", "쿠쿠홀딩스")</f>
        <v>0</v>
      </c>
      <c r="E25">
        <v>3</v>
      </c>
      <c r="F25">
        <v>139500</v>
      </c>
      <c r="G25">
        <v>0</v>
      </c>
      <c r="H25">
        <v>6.66</v>
      </c>
      <c r="I25">
        <v>213589</v>
      </c>
      <c r="J25">
        <v>159633</v>
      </c>
      <c r="K25">
        <v>143808</v>
      </c>
      <c r="L25">
        <v>-53.11</v>
      </c>
      <c r="M25">
        <v>-14.43</v>
      </c>
      <c r="N25">
        <v>-3.09</v>
      </c>
      <c r="O25">
        <v>14.48</v>
      </c>
      <c r="P25" t="b">
        <v>1</v>
      </c>
      <c r="Q25">
        <v>0</v>
      </c>
      <c r="R25">
        <v>15003</v>
      </c>
      <c r="U25" t="s">
        <v>555</v>
      </c>
      <c r="V25" t="s">
        <v>803</v>
      </c>
      <c r="W25">
        <v>0</v>
      </c>
      <c r="X25">
        <v>70</v>
      </c>
      <c r="Y25" t="s">
        <v>1051</v>
      </c>
      <c r="Z25">
        <v>25.22222222696735</v>
      </c>
      <c r="AA25">
        <v>9922</v>
      </c>
      <c r="AB25">
        <v>3344</v>
      </c>
      <c r="AC25" t="s">
        <v>1288</v>
      </c>
      <c r="AD25">
        <v>69.06999999999999</v>
      </c>
      <c r="AE25" t="s">
        <v>1536</v>
      </c>
      <c r="AF25" t="s">
        <v>1784</v>
      </c>
      <c r="AG25">
        <v>5878</v>
      </c>
      <c r="AH25">
        <v>1023</v>
      </c>
      <c r="AI25">
        <v>896760</v>
      </c>
      <c r="AJ25">
        <v>3.3</v>
      </c>
    </row>
    <row r="26" spans="1:36">
      <c r="A26" s="1" t="s">
        <v>60</v>
      </c>
      <c r="B26" t="s">
        <v>308</v>
      </c>
      <c r="C26">
        <f>HYPERLINK("https://finance.naver.com/item/coinfo.nhn?code=264900", "A264900")</f>
        <v>0</v>
      </c>
      <c r="D26">
        <f>HYPERLINK("http://comp.fnguide.com/SVO2/ASP/SVD_Consensus.asp?pGB=1&amp;gicode=A264900&amp;cID=&amp;MenuYn=Y&amp;ReportGB=&amp;NewMenuID=108&amp;stkGb=701", "크라운제과")</f>
        <v>0</v>
      </c>
      <c r="E26">
        <v>3</v>
      </c>
      <c r="F26">
        <v>13950</v>
      </c>
      <c r="G26">
        <v>0</v>
      </c>
      <c r="H26">
        <v>7.29</v>
      </c>
      <c r="I26">
        <v>18380</v>
      </c>
      <c r="J26">
        <v>15023</v>
      </c>
      <c r="K26">
        <v>14039</v>
      </c>
      <c r="L26">
        <v>-31.76</v>
      </c>
      <c r="M26">
        <v>-7.69</v>
      </c>
      <c r="N26">
        <v>-0.64</v>
      </c>
      <c r="O26">
        <v>12.01</v>
      </c>
      <c r="P26" t="b">
        <v>1</v>
      </c>
      <c r="Q26">
        <v>0</v>
      </c>
      <c r="R26">
        <v>1219</v>
      </c>
      <c r="U26" t="s">
        <v>556</v>
      </c>
      <c r="V26" t="s">
        <v>804</v>
      </c>
      <c r="W26">
        <v>0</v>
      </c>
      <c r="X26">
        <v>6.4</v>
      </c>
      <c r="Y26" t="s">
        <v>1052</v>
      </c>
      <c r="Z26">
        <v>0</v>
      </c>
      <c r="AA26">
        <v>1747</v>
      </c>
      <c r="AB26">
        <v>106385</v>
      </c>
      <c r="AC26" t="s">
        <v>1289</v>
      </c>
      <c r="AD26">
        <v>61.68</v>
      </c>
      <c r="AE26" t="s">
        <v>1537</v>
      </c>
      <c r="AF26" t="s">
        <v>1785</v>
      </c>
      <c r="AG26">
        <v>3815</v>
      </c>
      <c r="AH26">
        <v>235</v>
      </c>
      <c r="AI26">
        <v>507681</v>
      </c>
      <c r="AJ26">
        <v>2.82</v>
      </c>
    </row>
    <row r="27" spans="1:36">
      <c r="A27" s="1" t="s">
        <v>61</v>
      </c>
      <c r="B27" t="s">
        <v>309</v>
      </c>
      <c r="C27">
        <f>HYPERLINK("https://finance.naver.com/item/coinfo.nhn?code=039490", "A039490")</f>
        <v>0</v>
      </c>
      <c r="D27">
        <f>HYPERLINK("http://comp.fnguide.com/SVO2/ASP/SVD_Consensus.asp?pGB=1&amp;gicode=A039490&amp;cID=&amp;MenuYn=Y&amp;ReportGB=&amp;NewMenuID=108&amp;stkGb=701", "키움증권")</f>
        <v>0</v>
      </c>
      <c r="E27">
        <v>3</v>
      </c>
      <c r="F27">
        <v>122000</v>
      </c>
      <c r="G27">
        <v>0.08</v>
      </c>
      <c r="H27">
        <v>4.59</v>
      </c>
      <c r="I27">
        <v>285328</v>
      </c>
      <c r="J27">
        <v>182336</v>
      </c>
      <c r="K27">
        <v>152130</v>
      </c>
      <c r="L27">
        <v>-133.88</v>
      </c>
      <c r="M27">
        <v>-49.46</v>
      </c>
      <c r="N27">
        <v>-24.7</v>
      </c>
      <c r="O27">
        <v>21.28</v>
      </c>
      <c r="P27" t="b">
        <v>1</v>
      </c>
      <c r="Q27">
        <v>3</v>
      </c>
      <c r="R27">
        <v>27556</v>
      </c>
      <c r="S27">
        <v>28833</v>
      </c>
      <c r="T27">
        <v>4.6</v>
      </c>
      <c r="U27" t="s">
        <v>557</v>
      </c>
      <c r="V27" t="s">
        <v>805</v>
      </c>
      <c r="W27">
        <v>54.92794100398437</v>
      </c>
      <c r="X27">
        <v>27.6</v>
      </c>
      <c r="Y27" t="s">
        <v>1053</v>
      </c>
      <c r="Z27">
        <v>17.49374321567527</v>
      </c>
      <c r="AA27">
        <v>31878</v>
      </c>
      <c r="AB27">
        <v>105257</v>
      </c>
      <c r="AC27" t="s">
        <v>1290</v>
      </c>
      <c r="AD27">
        <v>41.37</v>
      </c>
      <c r="AE27" t="s">
        <v>1538</v>
      </c>
      <c r="AF27" t="s">
        <v>1786</v>
      </c>
      <c r="AG27">
        <v>14691</v>
      </c>
      <c r="AH27">
        <v>9690</v>
      </c>
      <c r="AI27">
        <v>500000</v>
      </c>
      <c r="AJ27">
        <v>2.37</v>
      </c>
    </row>
    <row r="28" spans="1:36">
      <c r="A28" s="1" t="s">
        <v>62</v>
      </c>
      <c r="B28" t="s">
        <v>310</v>
      </c>
      <c r="C28">
        <f>HYPERLINK("https://finance.naver.com/item/coinfo.nhn?code=019180", "A019180")</f>
        <v>0</v>
      </c>
      <c r="D28">
        <f>HYPERLINK("http://comp.fnguide.com/SVO2/ASP/SVD_Consensus.asp?pGB=1&amp;gicode=A019180&amp;cID=&amp;MenuYn=Y&amp;ReportGB=&amp;NewMenuID=108&amp;stkGb=701", "티에이치엔")</f>
        <v>0</v>
      </c>
      <c r="E28">
        <v>3</v>
      </c>
      <c r="F28">
        <v>3430</v>
      </c>
      <c r="G28">
        <v>0</v>
      </c>
      <c r="I28">
        <v>5996</v>
      </c>
      <c r="J28">
        <v>4660</v>
      </c>
      <c r="K28">
        <v>4269</v>
      </c>
      <c r="L28">
        <v>-74.81999999999999</v>
      </c>
      <c r="M28">
        <v>-35.87</v>
      </c>
      <c r="N28">
        <v>-24.45</v>
      </c>
      <c r="O28">
        <v>13.31</v>
      </c>
      <c r="P28" t="b">
        <v>0</v>
      </c>
      <c r="Q28">
        <v>0</v>
      </c>
      <c r="R28">
        <v>-901</v>
      </c>
      <c r="U28" t="s">
        <v>558</v>
      </c>
      <c r="V28" t="s">
        <v>806</v>
      </c>
      <c r="W28">
        <v>0</v>
      </c>
      <c r="X28">
        <v>0</v>
      </c>
      <c r="Y28" t="s">
        <v>1054</v>
      </c>
      <c r="Z28">
        <v>4.958017259882075</v>
      </c>
      <c r="AA28">
        <v>617</v>
      </c>
      <c r="AB28">
        <v>239547</v>
      </c>
      <c r="AC28" t="s">
        <v>1291</v>
      </c>
      <c r="AD28">
        <v>42.81</v>
      </c>
      <c r="AE28" t="s">
        <v>1539</v>
      </c>
      <c r="AF28" t="s">
        <v>1787</v>
      </c>
      <c r="AG28">
        <v>3464</v>
      </c>
      <c r="AH28">
        <v>89</v>
      </c>
      <c r="AJ28">
        <v>1.17</v>
      </c>
    </row>
    <row r="29" spans="1:36">
      <c r="A29" s="1" t="s">
        <v>63</v>
      </c>
      <c r="B29" t="s">
        <v>311</v>
      </c>
      <c r="C29">
        <f>HYPERLINK("https://finance.naver.com/item/coinfo.nhn?code=086790", "A086790")</f>
        <v>0</v>
      </c>
      <c r="D29">
        <f>HYPERLINK("http://comp.fnguide.com/SVO2/ASP/SVD_Consensus.asp?pGB=1&amp;gicode=A086790&amp;cID=&amp;MenuYn=Y&amp;ReportGB=&amp;NewMenuID=108&amp;stkGb=701", "하나금융지주")</f>
        <v>0</v>
      </c>
      <c r="E29">
        <v>3</v>
      </c>
      <c r="F29">
        <v>46550</v>
      </c>
      <c r="G29">
        <v>0.39</v>
      </c>
      <c r="H29">
        <v>3.93</v>
      </c>
      <c r="I29">
        <v>112745</v>
      </c>
      <c r="J29">
        <v>108363</v>
      </c>
      <c r="K29">
        <v>107078</v>
      </c>
      <c r="L29">
        <v>-142.2</v>
      </c>
      <c r="M29">
        <v>-132.79</v>
      </c>
      <c r="N29">
        <v>-130.03</v>
      </c>
      <c r="O29">
        <v>8.880000000000001</v>
      </c>
      <c r="P29" t="b">
        <v>1</v>
      </c>
      <c r="Q29">
        <v>3</v>
      </c>
      <c r="R29">
        <v>8784</v>
      </c>
      <c r="S29">
        <v>9976</v>
      </c>
      <c r="T29">
        <v>13.6</v>
      </c>
      <c r="U29" t="s">
        <v>559</v>
      </c>
      <c r="V29" t="s">
        <v>807</v>
      </c>
      <c r="W29">
        <v>10.19833485076749</v>
      </c>
      <c r="X29">
        <v>1.9</v>
      </c>
      <c r="Y29" t="s">
        <v>1055</v>
      </c>
      <c r="Z29">
        <v>2.039949048775269</v>
      </c>
      <c r="AA29">
        <v>139763</v>
      </c>
      <c r="AB29">
        <v>1085515</v>
      </c>
      <c r="AC29" t="s">
        <v>1292</v>
      </c>
      <c r="AD29">
        <v>9.880000000000001</v>
      </c>
      <c r="AE29" t="s">
        <v>1540</v>
      </c>
      <c r="AF29" t="s">
        <v>1788</v>
      </c>
      <c r="AG29">
        <v>100796</v>
      </c>
      <c r="AH29">
        <v>38364</v>
      </c>
      <c r="AI29">
        <v>8678586</v>
      </c>
      <c r="AJ29">
        <v>5.36</v>
      </c>
    </row>
    <row r="30" spans="1:36">
      <c r="A30" s="1" t="s">
        <v>64</v>
      </c>
      <c r="B30" t="s">
        <v>312</v>
      </c>
      <c r="C30">
        <f>HYPERLINK("https://finance.naver.com/item/coinfo.nhn?code=071050", "A071050")</f>
        <v>0</v>
      </c>
      <c r="D30">
        <f>HYPERLINK("http://comp.fnguide.com/SVO2/ASP/SVD_Consensus.asp?pGB=1&amp;gicode=A071050&amp;cID=&amp;MenuYn=Y&amp;ReportGB=&amp;NewMenuID=108&amp;stkGb=701", "한국금융지주")</f>
        <v>0</v>
      </c>
      <c r="E30">
        <v>3</v>
      </c>
      <c r="F30">
        <v>104500</v>
      </c>
      <c r="G30">
        <v>0.19</v>
      </c>
      <c r="H30">
        <v>5.63</v>
      </c>
      <c r="I30">
        <v>209504</v>
      </c>
      <c r="J30">
        <v>148491</v>
      </c>
      <c r="K30">
        <v>130597</v>
      </c>
      <c r="L30">
        <v>-100.48</v>
      </c>
      <c r="M30">
        <v>-42.1</v>
      </c>
      <c r="N30">
        <v>-24.97</v>
      </c>
      <c r="O30">
        <v>16.34</v>
      </c>
      <c r="P30" t="b">
        <v>1</v>
      </c>
      <c r="Q30">
        <v>3</v>
      </c>
      <c r="R30">
        <v>14021</v>
      </c>
      <c r="S30">
        <v>18929</v>
      </c>
      <c r="T30">
        <v>35</v>
      </c>
      <c r="U30" t="s">
        <v>560</v>
      </c>
      <c r="V30" t="s">
        <v>808</v>
      </c>
      <c r="W30">
        <v>30.09856824299635</v>
      </c>
      <c r="X30">
        <v>-0.8</v>
      </c>
      <c r="Y30" t="s">
        <v>1056</v>
      </c>
      <c r="Z30">
        <v>1.677096307241732</v>
      </c>
      <c r="AA30">
        <v>58234</v>
      </c>
      <c r="AB30">
        <v>272080</v>
      </c>
      <c r="AC30" t="s">
        <v>1293</v>
      </c>
      <c r="AD30">
        <v>20.7</v>
      </c>
      <c r="AE30" t="s">
        <v>1541</v>
      </c>
      <c r="AF30" t="s">
        <v>1789</v>
      </c>
      <c r="AG30">
        <v>15708</v>
      </c>
      <c r="AH30">
        <v>8564</v>
      </c>
      <c r="AI30">
        <v>2987479</v>
      </c>
      <c r="AJ30">
        <v>3.8</v>
      </c>
    </row>
    <row r="31" spans="1:36">
      <c r="A31" s="1" t="s">
        <v>65</v>
      </c>
      <c r="B31" t="s">
        <v>313</v>
      </c>
      <c r="C31">
        <f>HYPERLINK("https://finance.naver.com/item/coinfo.nhn?code=123890", "A123890")</f>
        <v>0</v>
      </c>
      <c r="D31">
        <f>HYPERLINK("http://comp.fnguide.com/SVO2/ASP/SVD_Consensus.asp?pGB=1&amp;gicode=A123890&amp;cID=&amp;MenuYn=Y&amp;ReportGB=&amp;NewMenuID=108&amp;stkGb=701", "한국자산신탁")</f>
        <v>0</v>
      </c>
      <c r="E31">
        <v>3</v>
      </c>
      <c r="F31">
        <v>5130</v>
      </c>
      <c r="G31">
        <v>0.88</v>
      </c>
      <c r="H31">
        <v>3.76</v>
      </c>
      <c r="I31">
        <v>12789</v>
      </c>
      <c r="J31">
        <v>8939</v>
      </c>
      <c r="K31">
        <v>7810</v>
      </c>
      <c r="L31">
        <v>-149.3</v>
      </c>
      <c r="M31">
        <v>-74.25</v>
      </c>
      <c r="N31">
        <v>-52.24</v>
      </c>
      <c r="O31">
        <v>16.89</v>
      </c>
      <c r="P31" t="b">
        <v>1</v>
      </c>
      <c r="Q31">
        <v>0</v>
      </c>
      <c r="R31">
        <v>1049</v>
      </c>
      <c r="S31">
        <v>936</v>
      </c>
      <c r="T31">
        <v>-10.8</v>
      </c>
      <c r="U31" t="s">
        <v>561</v>
      </c>
      <c r="V31" t="s">
        <v>809</v>
      </c>
      <c r="W31">
        <v>4.249470751644946</v>
      </c>
      <c r="Y31" t="s">
        <v>1048</v>
      </c>
      <c r="Z31">
        <v>1.677096307241732</v>
      </c>
      <c r="AA31">
        <v>6360</v>
      </c>
      <c r="AB31">
        <v>483834</v>
      </c>
      <c r="AC31" t="s">
        <v>1294</v>
      </c>
      <c r="AD31">
        <v>53.62</v>
      </c>
      <c r="AE31" t="s">
        <v>1542</v>
      </c>
      <c r="AF31" t="s">
        <v>1790</v>
      </c>
      <c r="AG31">
        <v>2401</v>
      </c>
      <c r="AH31">
        <v>1787</v>
      </c>
      <c r="AI31">
        <v>1610697</v>
      </c>
      <c r="AJ31">
        <v>5.58</v>
      </c>
    </row>
    <row r="32" spans="1:36">
      <c r="A32" s="1" t="s">
        <v>66</v>
      </c>
      <c r="B32" t="s">
        <v>314</v>
      </c>
      <c r="C32">
        <f>HYPERLINK("https://finance.naver.com/item/coinfo.nhn?code=034830", "A034830")</f>
        <v>0</v>
      </c>
      <c r="D32">
        <f>HYPERLINK("http://comp.fnguide.com/SVO2/ASP/SVD_Consensus.asp?pGB=1&amp;gicode=A034830&amp;cID=&amp;MenuYn=Y&amp;ReportGB=&amp;NewMenuID=108&amp;stkGb=701", "한국토지신탁")</f>
        <v>0</v>
      </c>
      <c r="E32">
        <v>3</v>
      </c>
      <c r="F32">
        <v>2415</v>
      </c>
      <c r="G32">
        <v>-0.41</v>
      </c>
      <c r="H32">
        <v>6.01</v>
      </c>
      <c r="I32">
        <v>6112</v>
      </c>
      <c r="J32">
        <v>4881</v>
      </c>
      <c r="K32">
        <v>4520</v>
      </c>
      <c r="L32">
        <v>-153.1</v>
      </c>
      <c r="M32">
        <v>-102.1</v>
      </c>
      <c r="N32">
        <v>-87.15000000000001</v>
      </c>
      <c r="O32">
        <v>12.58</v>
      </c>
      <c r="P32" t="b">
        <v>1</v>
      </c>
      <c r="Q32">
        <v>1</v>
      </c>
      <c r="R32">
        <v>336</v>
      </c>
      <c r="S32">
        <v>409</v>
      </c>
      <c r="T32">
        <v>21.7</v>
      </c>
      <c r="U32" t="s">
        <v>562</v>
      </c>
      <c r="V32" t="s">
        <v>810</v>
      </c>
      <c r="W32">
        <v>-14.81662587377367</v>
      </c>
      <c r="Y32" t="s">
        <v>1048</v>
      </c>
      <c r="Z32">
        <v>-10.69445656837169</v>
      </c>
      <c r="AA32">
        <v>6098</v>
      </c>
      <c r="AB32">
        <v>639175</v>
      </c>
      <c r="AC32" t="s">
        <v>1295</v>
      </c>
      <c r="AD32">
        <v>35.46</v>
      </c>
      <c r="AE32" t="s">
        <v>1543</v>
      </c>
      <c r="AF32" t="s">
        <v>1791</v>
      </c>
      <c r="AG32">
        <v>2374</v>
      </c>
      <c r="AH32">
        <v>938</v>
      </c>
      <c r="AI32">
        <v>24446793</v>
      </c>
      <c r="AJ32">
        <v>4.46</v>
      </c>
    </row>
    <row r="33" spans="1:36">
      <c r="A33" s="1" t="s">
        <v>67</v>
      </c>
      <c r="B33" t="s">
        <v>315</v>
      </c>
      <c r="C33">
        <f>HYPERLINK("https://finance.naver.com/item/coinfo.nhn?code=005870", "A005870")</f>
        <v>0</v>
      </c>
      <c r="D33">
        <f>HYPERLINK("http://comp.fnguide.com/SVO2/ASP/SVD_Consensus.asp?pGB=1&amp;gicode=A005870&amp;cID=&amp;MenuYn=Y&amp;ReportGB=&amp;NewMenuID=108&amp;stkGb=701", "휴니드")</f>
        <v>0</v>
      </c>
      <c r="E33">
        <v>3</v>
      </c>
      <c r="F33">
        <v>8680</v>
      </c>
      <c r="G33">
        <v>0</v>
      </c>
      <c r="H33">
        <v>14.08</v>
      </c>
      <c r="I33">
        <v>9710</v>
      </c>
      <c r="J33">
        <v>9357</v>
      </c>
      <c r="K33">
        <v>9253</v>
      </c>
      <c r="L33">
        <v>-11.87</v>
      </c>
      <c r="M33">
        <v>-7.8</v>
      </c>
      <c r="N33">
        <v>-6.61</v>
      </c>
      <c r="O33">
        <v>8.84</v>
      </c>
      <c r="P33" t="b">
        <v>1</v>
      </c>
      <c r="Q33">
        <v>0</v>
      </c>
      <c r="R33">
        <v>405</v>
      </c>
      <c r="U33" t="s">
        <v>563</v>
      </c>
      <c r="V33" t="s">
        <v>811</v>
      </c>
      <c r="W33">
        <v>0</v>
      </c>
      <c r="X33">
        <v>0</v>
      </c>
      <c r="Y33" t="s">
        <v>1057</v>
      </c>
      <c r="Z33">
        <v>-26.00895675182582</v>
      </c>
      <c r="AA33">
        <v>1225</v>
      </c>
      <c r="AB33">
        <v>1431753</v>
      </c>
      <c r="AC33" t="s">
        <v>1296</v>
      </c>
      <c r="AD33">
        <v>22.83</v>
      </c>
      <c r="AE33" t="s">
        <v>1544</v>
      </c>
      <c r="AF33" t="s">
        <v>1792</v>
      </c>
      <c r="AG33">
        <v>1981</v>
      </c>
      <c r="AH33">
        <v>106</v>
      </c>
      <c r="AI33">
        <v>1025525</v>
      </c>
    </row>
    <row r="34" spans="1:36">
      <c r="A34" s="1" t="s">
        <v>68</v>
      </c>
      <c r="B34" t="s">
        <v>316</v>
      </c>
      <c r="C34">
        <f>HYPERLINK("https://finance.naver.com/item/coinfo.nhn?code=014790", "A014790")</f>
        <v>0</v>
      </c>
      <c r="D34">
        <f>HYPERLINK("http://comp.fnguide.com/SVO2/ASP/SVD_Consensus.asp?pGB=1&amp;gicode=A014790&amp;cID=&amp;MenuYn=Y&amp;ReportGB=&amp;NewMenuID=108&amp;stkGb=701", "한라")</f>
        <v>0</v>
      </c>
      <c r="E34">
        <v>3</v>
      </c>
      <c r="F34">
        <v>5650</v>
      </c>
      <c r="G34">
        <v>0</v>
      </c>
      <c r="H34">
        <v>2.19</v>
      </c>
      <c r="I34">
        <v>20822</v>
      </c>
      <c r="J34">
        <v>14241</v>
      </c>
      <c r="K34">
        <v>12311</v>
      </c>
      <c r="L34">
        <v>-268.53</v>
      </c>
      <c r="M34">
        <v>-152.05</v>
      </c>
      <c r="N34">
        <v>-117.89</v>
      </c>
      <c r="O34">
        <v>17.81</v>
      </c>
      <c r="P34" t="b">
        <v>1</v>
      </c>
      <c r="Q34">
        <v>0</v>
      </c>
      <c r="R34">
        <v>2241</v>
      </c>
      <c r="S34">
        <v>1257</v>
      </c>
      <c r="T34">
        <v>-43.9</v>
      </c>
      <c r="U34" t="s">
        <v>564</v>
      </c>
      <c r="V34" t="s">
        <v>812</v>
      </c>
      <c r="W34">
        <v>0</v>
      </c>
      <c r="X34">
        <v>27.1</v>
      </c>
      <c r="Y34" t="s">
        <v>1058</v>
      </c>
      <c r="Z34">
        <v>521.5556265089238</v>
      </c>
      <c r="AA34">
        <v>2196</v>
      </c>
      <c r="AB34">
        <v>159283</v>
      </c>
      <c r="AC34" t="s">
        <v>1297</v>
      </c>
      <c r="AD34">
        <v>45.41</v>
      </c>
      <c r="AE34" t="s">
        <v>1545</v>
      </c>
      <c r="AF34" t="s">
        <v>1793</v>
      </c>
      <c r="AG34">
        <v>15653</v>
      </c>
      <c r="AH34">
        <v>967</v>
      </c>
      <c r="AI34">
        <v>1016341</v>
      </c>
      <c r="AJ34">
        <v>2.04</v>
      </c>
    </row>
    <row r="35" spans="1:36">
      <c r="A35" s="1" t="s">
        <v>69</v>
      </c>
      <c r="B35" t="s">
        <v>317</v>
      </c>
      <c r="C35">
        <f>HYPERLINK("https://finance.naver.com/item/coinfo.nhn?code=016450", "A016450")</f>
        <v>0</v>
      </c>
      <c r="D35">
        <f>HYPERLINK("http://comp.fnguide.com/SVO2/ASP/SVD_Consensus.asp?pGB=1&amp;gicode=A016450&amp;cID=&amp;MenuYn=Y&amp;ReportGB=&amp;NewMenuID=108&amp;stkGb=701", "한세예스24홀딩스")</f>
        <v>0</v>
      </c>
      <c r="E35">
        <v>3</v>
      </c>
      <c r="F35">
        <v>9350</v>
      </c>
      <c r="G35">
        <v>0</v>
      </c>
      <c r="H35">
        <v>5.64</v>
      </c>
      <c r="I35">
        <v>12457</v>
      </c>
      <c r="J35">
        <v>10636</v>
      </c>
      <c r="K35">
        <v>10102</v>
      </c>
      <c r="L35">
        <v>-33.23</v>
      </c>
      <c r="M35">
        <v>-13.76</v>
      </c>
      <c r="N35">
        <v>-8.050000000000001</v>
      </c>
      <c r="O35">
        <v>11.02</v>
      </c>
      <c r="P35" t="b">
        <v>1</v>
      </c>
      <c r="Q35">
        <v>0</v>
      </c>
      <c r="R35">
        <v>1359</v>
      </c>
      <c r="S35">
        <v>1130</v>
      </c>
      <c r="T35">
        <v>-16.9</v>
      </c>
      <c r="U35" t="s">
        <v>565</v>
      </c>
      <c r="V35" t="s">
        <v>813</v>
      </c>
      <c r="W35">
        <v>0</v>
      </c>
      <c r="X35">
        <v>0</v>
      </c>
      <c r="Y35" t="s">
        <v>1059</v>
      </c>
      <c r="Z35">
        <v>134.719321744078</v>
      </c>
      <c r="AA35">
        <v>3740</v>
      </c>
      <c r="AB35">
        <v>213341</v>
      </c>
      <c r="AC35" t="s">
        <v>1298</v>
      </c>
      <c r="AD35">
        <v>79.87</v>
      </c>
      <c r="AE35" t="s">
        <v>1546</v>
      </c>
      <c r="AF35" t="s">
        <v>1794</v>
      </c>
      <c r="AG35">
        <v>27979</v>
      </c>
      <c r="AH35">
        <v>817</v>
      </c>
      <c r="AI35">
        <v>738213</v>
      </c>
      <c r="AJ35">
        <v>3.26</v>
      </c>
    </row>
    <row r="36" spans="1:36">
      <c r="A36" s="1" t="s">
        <v>70</v>
      </c>
      <c r="B36" t="s">
        <v>318</v>
      </c>
      <c r="C36">
        <f>HYPERLINK("https://finance.naver.com/item/coinfo.nhn?code=213500", "A213500")</f>
        <v>0</v>
      </c>
      <c r="D36">
        <f>HYPERLINK("http://comp.fnguide.com/SVO2/ASP/SVD_Consensus.asp?pGB=1&amp;gicode=A213500&amp;cID=&amp;MenuYn=Y&amp;ReportGB=&amp;NewMenuID=108&amp;stkGb=701", "한솔제지")</f>
        <v>0</v>
      </c>
      <c r="E36">
        <v>3</v>
      </c>
      <c r="F36">
        <v>15900</v>
      </c>
      <c r="G36">
        <v>0</v>
      </c>
      <c r="H36">
        <v>5.56</v>
      </c>
      <c r="I36">
        <v>26988</v>
      </c>
      <c r="J36">
        <v>26816</v>
      </c>
      <c r="K36">
        <v>26766</v>
      </c>
      <c r="L36">
        <v>-69.73</v>
      </c>
      <c r="M36">
        <v>-68.66</v>
      </c>
      <c r="N36">
        <v>-68.34</v>
      </c>
      <c r="O36">
        <v>8.390000000000001</v>
      </c>
      <c r="P36" t="b">
        <v>1</v>
      </c>
      <c r="Q36">
        <v>0</v>
      </c>
      <c r="R36">
        <v>2490</v>
      </c>
      <c r="U36" t="s">
        <v>566</v>
      </c>
      <c r="V36" t="s">
        <v>814</v>
      </c>
      <c r="W36">
        <v>0</v>
      </c>
      <c r="X36">
        <v>-64.2</v>
      </c>
      <c r="Y36" t="s">
        <v>1060</v>
      </c>
      <c r="Z36">
        <v>-17.55365639931885</v>
      </c>
      <c r="AA36">
        <v>3784</v>
      </c>
      <c r="AB36">
        <v>221825</v>
      </c>
      <c r="AC36" t="s">
        <v>1299</v>
      </c>
      <c r="AD36">
        <v>30.57</v>
      </c>
      <c r="AE36" t="s">
        <v>1547</v>
      </c>
      <c r="AF36" t="s">
        <v>1795</v>
      </c>
      <c r="AG36">
        <v>15099</v>
      </c>
      <c r="AH36">
        <v>946</v>
      </c>
      <c r="AI36">
        <v>23708</v>
      </c>
      <c r="AJ36">
        <v>5.05</v>
      </c>
    </row>
    <row r="37" spans="1:36">
      <c r="A37" s="1" t="s">
        <v>71</v>
      </c>
      <c r="B37" t="s">
        <v>319</v>
      </c>
      <c r="C37">
        <f>HYPERLINK("https://finance.naver.com/item/coinfo.nhn?code=004150", "A004150")</f>
        <v>0</v>
      </c>
      <c r="D37">
        <f>HYPERLINK("http://comp.fnguide.com/SVO2/ASP/SVD_Consensus.asp?pGB=1&amp;gicode=A004150&amp;cID=&amp;MenuYn=Y&amp;ReportGB=&amp;NewMenuID=108&amp;stkGb=701", "한솔홀딩스")</f>
        <v>0</v>
      </c>
      <c r="E37">
        <v>3</v>
      </c>
      <c r="F37">
        <v>4455</v>
      </c>
      <c r="G37">
        <v>0</v>
      </c>
      <c r="H37">
        <v>2.27</v>
      </c>
      <c r="I37">
        <v>13846</v>
      </c>
      <c r="J37">
        <v>12737</v>
      </c>
      <c r="K37">
        <v>12411</v>
      </c>
      <c r="L37">
        <v>-210.81</v>
      </c>
      <c r="M37">
        <v>-185.9</v>
      </c>
      <c r="N37">
        <v>-178.59</v>
      </c>
      <c r="O37">
        <v>9.6</v>
      </c>
      <c r="P37" t="b">
        <v>1</v>
      </c>
      <c r="Q37">
        <v>0</v>
      </c>
      <c r="R37">
        <v>1627</v>
      </c>
      <c r="S37">
        <v>690</v>
      </c>
      <c r="T37">
        <v>-57.6</v>
      </c>
      <c r="U37" t="s">
        <v>567</v>
      </c>
      <c r="V37" t="s">
        <v>815</v>
      </c>
      <c r="W37">
        <v>0</v>
      </c>
      <c r="X37">
        <v>-52.4</v>
      </c>
      <c r="Y37" t="s">
        <v>1061</v>
      </c>
      <c r="Z37">
        <v>20.21380952286638</v>
      </c>
      <c r="AA37">
        <v>1871</v>
      </c>
      <c r="AB37">
        <v>196133</v>
      </c>
      <c r="AC37" t="s">
        <v>1300</v>
      </c>
      <c r="AD37">
        <v>30.28</v>
      </c>
      <c r="AE37" t="s">
        <v>1548</v>
      </c>
      <c r="AF37" t="s">
        <v>1796</v>
      </c>
      <c r="AG37">
        <v>3595</v>
      </c>
      <c r="AH37">
        <v>125</v>
      </c>
      <c r="AJ37">
        <v>3.26</v>
      </c>
    </row>
    <row r="38" spans="1:36">
      <c r="A38" s="1" t="s">
        <v>72</v>
      </c>
      <c r="B38" t="s">
        <v>320</v>
      </c>
      <c r="C38">
        <f>HYPERLINK("https://finance.naver.com/item/coinfo.nhn?code=004960", "A004960")</f>
        <v>0</v>
      </c>
      <c r="D38">
        <f>HYPERLINK("http://comp.fnguide.com/SVO2/ASP/SVD_Consensus.asp?pGB=1&amp;gicode=A004960&amp;cID=&amp;MenuYn=Y&amp;ReportGB=&amp;NewMenuID=108&amp;stkGb=701", "한신공영")</f>
        <v>0</v>
      </c>
      <c r="E38">
        <v>3</v>
      </c>
      <c r="F38">
        <v>24550</v>
      </c>
      <c r="G38">
        <v>-0.09</v>
      </c>
      <c r="H38">
        <v>1.83</v>
      </c>
      <c r="I38">
        <v>136552</v>
      </c>
      <c r="J38">
        <v>87037</v>
      </c>
      <c r="K38">
        <v>72515</v>
      </c>
      <c r="L38">
        <v>-456.22</v>
      </c>
      <c r="M38">
        <v>-254.53</v>
      </c>
      <c r="N38">
        <v>-195.38</v>
      </c>
      <c r="O38">
        <v>21.43</v>
      </c>
      <c r="P38" t="b">
        <v>1</v>
      </c>
      <c r="Q38">
        <v>0</v>
      </c>
      <c r="R38">
        <v>9152</v>
      </c>
      <c r="S38">
        <v>6998</v>
      </c>
      <c r="T38">
        <v>-23.5</v>
      </c>
      <c r="U38" t="s">
        <v>568</v>
      </c>
      <c r="V38" t="s">
        <v>816</v>
      </c>
      <c r="W38">
        <v>-20.65475935697754</v>
      </c>
      <c r="X38">
        <v>-39.3</v>
      </c>
      <c r="Y38" t="s">
        <v>1062</v>
      </c>
      <c r="Z38">
        <v>16.32144708553329</v>
      </c>
      <c r="AA38">
        <v>2841</v>
      </c>
      <c r="AB38">
        <v>71238</v>
      </c>
      <c r="AC38" t="s">
        <v>1301</v>
      </c>
      <c r="AD38">
        <v>36.76</v>
      </c>
      <c r="AE38" t="s">
        <v>1549</v>
      </c>
      <c r="AF38" t="s">
        <v>1797</v>
      </c>
      <c r="AG38">
        <v>15569</v>
      </c>
      <c r="AH38">
        <v>1199</v>
      </c>
      <c r="AJ38">
        <v>2.39</v>
      </c>
    </row>
    <row r="39" spans="1:36">
      <c r="A39" s="1" t="s">
        <v>73</v>
      </c>
      <c r="B39" t="s">
        <v>321</v>
      </c>
      <c r="C39">
        <f>HYPERLINK("https://finance.naver.com/item/coinfo.nhn?code=001750", "A001750")</f>
        <v>0</v>
      </c>
      <c r="D39">
        <f>HYPERLINK("http://comp.fnguide.com/SVO2/ASP/SVD_Consensus.asp?pGB=1&amp;gicode=A001750&amp;cID=&amp;MenuYn=Y&amp;ReportGB=&amp;NewMenuID=108&amp;stkGb=701", "한양증권")</f>
        <v>0</v>
      </c>
      <c r="E39">
        <v>3</v>
      </c>
      <c r="F39">
        <v>14650</v>
      </c>
      <c r="G39">
        <v>0</v>
      </c>
      <c r="H39">
        <v>2.66</v>
      </c>
      <c r="I39">
        <v>33283</v>
      </c>
      <c r="J39">
        <v>29910</v>
      </c>
      <c r="K39">
        <v>28921</v>
      </c>
      <c r="L39">
        <v>-127.19</v>
      </c>
      <c r="M39">
        <v>-104.17</v>
      </c>
      <c r="N39">
        <v>-97.41</v>
      </c>
      <c r="O39">
        <v>10.02</v>
      </c>
      <c r="P39" t="b">
        <v>1</v>
      </c>
      <c r="Q39">
        <v>0</v>
      </c>
      <c r="R39">
        <v>3465</v>
      </c>
      <c r="U39" t="s">
        <v>569</v>
      </c>
      <c r="V39" t="s">
        <v>817</v>
      </c>
      <c r="W39">
        <v>0</v>
      </c>
      <c r="X39">
        <v>14.2</v>
      </c>
      <c r="Y39" t="s">
        <v>1063</v>
      </c>
      <c r="Z39">
        <v>5.53116391744306</v>
      </c>
      <c r="AA39">
        <v>1865</v>
      </c>
      <c r="AB39">
        <v>43839</v>
      </c>
      <c r="AC39" t="s">
        <v>1302</v>
      </c>
      <c r="AD39">
        <v>41.07</v>
      </c>
      <c r="AE39" t="s">
        <v>1550</v>
      </c>
      <c r="AF39" t="s">
        <v>1798</v>
      </c>
      <c r="AG39">
        <v>1907</v>
      </c>
      <c r="AH39">
        <v>643</v>
      </c>
      <c r="AJ39">
        <v>8.130000000000001</v>
      </c>
    </row>
    <row r="40" spans="1:36">
      <c r="A40" s="1" t="s">
        <v>74</v>
      </c>
      <c r="B40" t="s">
        <v>322</v>
      </c>
      <c r="C40">
        <f>HYPERLINK("https://finance.naver.com/item/coinfo.nhn?code=003300", "A003300")</f>
        <v>0</v>
      </c>
      <c r="D40">
        <f>HYPERLINK("http://comp.fnguide.com/SVO2/ASP/SVD_Consensus.asp?pGB=1&amp;gicode=A003300&amp;cID=&amp;MenuYn=Y&amp;ReportGB=&amp;NewMenuID=108&amp;stkGb=701", "한일홀딩스")</f>
        <v>0</v>
      </c>
      <c r="E40">
        <v>3</v>
      </c>
      <c r="F40">
        <v>13900</v>
      </c>
      <c r="G40">
        <v>0</v>
      </c>
      <c r="H40">
        <v>6.6</v>
      </c>
      <c r="I40">
        <v>51771</v>
      </c>
      <c r="J40">
        <v>48487</v>
      </c>
      <c r="K40">
        <v>47523</v>
      </c>
      <c r="L40">
        <v>-272.46</v>
      </c>
      <c r="M40">
        <v>-248.83</v>
      </c>
      <c r="N40">
        <v>-241.9</v>
      </c>
      <c r="O40">
        <v>9.300000000000001</v>
      </c>
      <c r="P40" t="b">
        <v>1</v>
      </c>
      <c r="Q40">
        <v>0</v>
      </c>
      <c r="R40">
        <v>1652</v>
      </c>
      <c r="U40" t="s">
        <v>570</v>
      </c>
      <c r="V40" t="s">
        <v>818</v>
      </c>
      <c r="W40">
        <v>0</v>
      </c>
      <c r="X40">
        <v>0</v>
      </c>
      <c r="Y40" t="s">
        <v>1064</v>
      </c>
      <c r="Z40">
        <v>-6.712546618821968</v>
      </c>
      <c r="AA40">
        <v>4005</v>
      </c>
      <c r="AB40">
        <v>14769</v>
      </c>
      <c r="AC40" t="s">
        <v>1303</v>
      </c>
      <c r="AD40">
        <v>68.73999999999999</v>
      </c>
      <c r="AE40" t="s">
        <v>1551</v>
      </c>
      <c r="AF40" t="s">
        <v>1799</v>
      </c>
      <c r="AG40">
        <v>15334</v>
      </c>
      <c r="AH40">
        <v>1571</v>
      </c>
      <c r="AI40">
        <v>0</v>
      </c>
      <c r="AJ40">
        <v>4.68</v>
      </c>
    </row>
    <row r="41" spans="1:36">
      <c r="A41" s="1" t="s">
        <v>75</v>
      </c>
      <c r="B41" t="s">
        <v>323</v>
      </c>
      <c r="C41">
        <f>HYPERLINK("https://finance.naver.com/item/coinfo.nhn?code=023910", "A023910")</f>
        <v>0</v>
      </c>
      <c r="D41">
        <f>HYPERLINK("http://comp.fnguide.com/SVO2/ASP/SVD_Consensus.asp?pGB=1&amp;gicode=A023910&amp;cID=&amp;MenuYn=Y&amp;ReportGB=&amp;NewMenuID=108&amp;stkGb=701", "대한약품")</f>
        <v>0</v>
      </c>
      <c r="E41">
        <v>3</v>
      </c>
      <c r="F41">
        <v>34550</v>
      </c>
      <c r="G41">
        <v>0</v>
      </c>
      <c r="H41">
        <v>11.37</v>
      </c>
      <c r="I41">
        <v>54089</v>
      </c>
      <c r="J41">
        <v>40020</v>
      </c>
      <c r="K41">
        <v>35894</v>
      </c>
      <c r="L41">
        <v>-56.55</v>
      </c>
      <c r="M41">
        <v>-15.83</v>
      </c>
      <c r="N41">
        <v>-3.89</v>
      </c>
      <c r="O41">
        <v>14.81</v>
      </c>
      <c r="P41" t="b">
        <v>1</v>
      </c>
      <c r="Q41">
        <v>0</v>
      </c>
      <c r="R41">
        <v>2897</v>
      </c>
      <c r="U41" t="s">
        <v>571</v>
      </c>
      <c r="V41" t="s">
        <v>819</v>
      </c>
      <c r="W41">
        <v>0</v>
      </c>
      <c r="X41">
        <v>-26</v>
      </c>
      <c r="Y41" t="s">
        <v>1065</v>
      </c>
      <c r="Z41">
        <v>-6.148718432545941</v>
      </c>
      <c r="AA41">
        <v>2073</v>
      </c>
      <c r="AB41">
        <v>15471</v>
      </c>
      <c r="AC41" t="s">
        <v>1304</v>
      </c>
      <c r="AD41">
        <v>34.73</v>
      </c>
      <c r="AE41" t="s">
        <v>1552</v>
      </c>
      <c r="AF41" t="s">
        <v>1800</v>
      </c>
      <c r="AG41">
        <v>1661</v>
      </c>
      <c r="AH41">
        <v>300</v>
      </c>
      <c r="AJ41">
        <v>1.21</v>
      </c>
    </row>
    <row r="42" spans="1:36">
      <c r="A42" s="1" t="s">
        <v>76</v>
      </c>
      <c r="B42" t="s">
        <v>324</v>
      </c>
      <c r="C42">
        <f>HYPERLINK("https://finance.naver.com/item/coinfo.nhn?code=079960", "A079960")</f>
        <v>0</v>
      </c>
      <c r="D42">
        <f>HYPERLINK("http://comp.fnguide.com/SVO2/ASP/SVD_Consensus.asp?pGB=1&amp;gicode=A079960&amp;cID=&amp;MenuYn=Y&amp;ReportGB=&amp;NewMenuID=108&amp;stkGb=701", "동양이엔피")</f>
        <v>0</v>
      </c>
      <c r="E42">
        <v>3</v>
      </c>
      <c r="F42">
        <v>18000</v>
      </c>
      <c r="G42">
        <v>0</v>
      </c>
      <c r="H42">
        <v>6.28</v>
      </c>
      <c r="I42">
        <v>34458</v>
      </c>
      <c r="J42">
        <v>32091</v>
      </c>
      <c r="K42">
        <v>31397</v>
      </c>
      <c r="L42">
        <v>-91.43000000000001</v>
      </c>
      <c r="M42">
        <v>-78.28</v>
      </c>
      <c r="N42">
        <v>-74.43000000000001</v>
      </c>
      <c r="O42">
        <v>9.390000000000001</v>
      </c>
      <c r="P42" t="b">
        <v>1</v>
      </c>
      <c r="Q42">
        <v>0</v>
      </c>
      <c r="R42">
        <v>2939</v>
      </c>
      <c r="U42" t="s">
        <v>572</v>
      </c>
      <c r="V42" t="s">
        <v>820</v>
      </c>
      <c r="W42">
        <v>0</v>
      </c>
      <c r="X42">
        <v>-27.5</v>
      </c>
      <c r="Y42" t="s">
        <v>1066</v>
      </c>
      <c r="Z42">
        <v>1.575969746243744</v>
      </c>
      <c r="AA42">
        <v>1415</v>
      </c>
      <c r="AB42">
        <v>37705</v>
      </c>
      <c r="AC42" t="s">
        <v>1305</v>
      </c>
      <c r="AD42">
        <v>40.04</v>
      </c>
      <c r="AE42" t="s">
        <v>1553</v>
      </c>
      <c r="AF42" t="s">
        <v>1801</v>
      </c>
      <c r="AG42">
        <v>4614</v>
      </c>
      <c r="AH42">
        <v>410</v>
      </c>
      <c r="AJ42">
        <v>2.17</v>
      </c>
    </row>
    <row r="43" spans="1:36">
      <c r="A43" s="1" t="s">
        <v>77</v>
      </c>
      <c r="B43" t="s">
        <v>325</v>
      </c>
      <c r="C43">
        <f>HYPERLINK("https://finance.naver.com/item/coinfo.nhn?code=029460", "A029460")</f>
        <v>0</v>
      </c>
      <c r="D43">
        <f>HYPERLINK("http://comp.fnguide.com/SVO2/ASP/SVD_Consensus.asp?pGB=1&amp;gicode=A029460&amp;cID=&amp;MenuYn=Y&amp;ReportGB=&amp;NewMenuID=108&amp;stkGb=701", "케이씨")</f>
        <v>0</v>
      </c>
      <c r="E43">
        <v>3</v>
      </c>
      <c r="F43">
        <v>27000</v>
      </c>
      <c r="G43">
        <v>0</v>
      </c>
      <c r="H43">
        <v>7.82</v>
      </c>
      <c r="I43">
        <v>114057</v>
      </c>
      <c r="J43">
        <v>74751</v>
      </c>
      <c r="K43">
        <v>63223</v>
      </c>
      <c r="L43">
        <v>-322.43</v>
      </c>
      <c r="M43">
        <v>-176.85</v>
      </c>
      <c r="N43">
        <v>-134.16</v>
      </c>
      <c r="O43">
        <v>19.87</v>
      </c>
      <c r="P43" t="b">
        <v>1</v>
      </c>
      <c r="Q43">
        <v>0</v>
      </c>
      <c r="R43">
        <v>3534</v>
      </c>
      <c r="U43" t="s">
        <v>573</v>
      </c>
      <c r="V43" t="s">
        <v>821</v>
      </c>
      <c r="W43">
        <v>0</v>
      </c>
      <c r="X43">
        <v>-37.8</v>
      </c>
      <c r="Y43" t="s">
        <v>1067</v>
      </c>
      <c r="Z43">
        <v>8.914889353812638</v>
      </c>
      <c r="AA43">
        <v>3660</v>
      </c>
      <c r="AB43">
        <v>148744</v>
      </c>
      <c r="AC43" t="s">
        <v>1306</v>
      </c>
      <c r="AD43">
        <v>40.67</v>
      </c>
      <c r="AE43" t="s">
        <v>1554</v>
      </c>
      <c r="AF43" t="s">
        <v>1802</v>
      </c>
      <c r="AG43">
        <v>5764</v>
      </c>
      <c r="AH43">
        <v>761</v>
      </c>
      <c r="AI43">
        <v>1116836</v>
      </c>
      <c r="AJ43">
        <v>1.08</v>
      </c>
    </row>
    <row r="44" spans="1:36">
      <c r="A44" s="1" t="s">
        <v>78</v>
      </c>
      <c r="B44" t="s">
        <v>326</v>
      </c>
      <c r="C44">
        <f>HYPERLINK("https://finance.naver.com/item/coinfo.nhn?code=013120", "A013120")</f>
        <v>0</v>
      </c>
      <c r="D44">
        <f>HYPERLINK("http://comp.fnguide.com/SVO2/ASP/SVD_Consensus.asp?pGB=1&amp;gicode=A013120&amp;cID=&amp;MenuYn=Y&amp;ReportGB=&amp;NewMenuID=108&amp;stkGb=701", "동원개발")</f>
        <v>0</v>
      </c>
      <c r="E44">
        <v>3</v>
      </c>
      <c r="F44">
        <v>6190</v>
      </c>
      <c r="G44">
        <v>0</v>
      </c>
      <c r="H44">
        <v>3.18</v>
      </c>
      <c r="I44">
        <v>18646</v>
      </c>
      <c r="J44">
        <v>13482</v>
      </c>
      <c r="K44">
        <v>11967</v>
      </c>
      <c r="L44">
        <v>-201.24</v>
      </c>
      <c r="M44">
        <v>-117.8</v>
      </c>
      <c r="N44">
        <v>-93.33</v>
      </c>
      <c r="O44">
        <v>15.6</v>
      </c>
      <c r="P44" t="b">
        <v>1</v>
      </c>
      <c r="Q44">
        <v>0</v>
      </c>
      <c r="R44">
        <v>1590</v>
      </c>
      <c r="U44" t="s">
        <v>574</v>
      </c>
      <c r="V44" t="s">
        <v>822</v>
      </c>
      <c r="W44">
        <v>0</v>
      </c>
      <c r="X44">
        <v>-24.2</v>
      </c>
      <c r="Y44" t="s">
        <v>1068</v>
      </c>
      <c r="Z44">
        <v>2.25635110624689</v>
      </c>
      <c r="AA44">
        <v>5621</v>
      </c>
      <c r="AB44">
        <v>146792</v>
      </c>
      <c r="AC44" t="s">
        <v>1307</v>
      </c>
      <c r="AD44">
        <v>60.94</v>
      </c>
      <c r="AE44" t="s">
        <v>1555</v>
      </c>
      <c r="AF44" t="s">
        <v>1803</v>
      </c>
      <c r="AG44">
        <v>6306</v>
      </c>
      <c r="AH44">
        <v>1876</v>
      </c>
      <c r="AJ44">
        <v>3.66</v>
      </c>
    </row>
    <row r="45" spans="1:36">
      <c r="A45" s="1" t="s">
        <v>79</v>
      </c>
      <c r="B45" t="s">
        <v>327</v>
      </c>
      <c r="C45">
        <f>HYPERLINK("https://finance.naver.com/item/coinfo.nhn?code=036830", "A036830")</f>
        <v>0</v>
      </c>
      <c r="D45">
        <f>HYPERLINK("http://comp.fnguide.com/SVO2/ASP/SVD_Consensus.asp?pGB=1&amp;gicode=A036830&amp;cID=&amp;MenuYn=Y&amp;ReportGB=&amp;NewMenuID=108&amp;stkGb=701", "솔브레인홀딩스")</f>
        <v>0</v>
      </c>
      <c r="E45">
        <v>3</v>
      </c>
      <c r="F45">
        <v>37300</v>
      </c>
      <c r="G45">
        <v>0</v>
      </c>
      <c r="H45">
        <v>0.44</v>
      </c>
      <c r="I45">
        <v>511617</v>
      </c>
      <c r="J45">
        <v>238503</v>
      </c>
      <c r="K45">
        <v>158402</v>
      </c>
      <c r="L45">
        <v>-1271.63</v>
      </c>
      <c r="M45">
        <v>-539.42</v>
      </c>
      <c r="N45">
        <v>-324.67</v>
      </c>
      <c r="O45">
        <v>84.72</v>
      </c>
      <c r="P45" t="b">
        <v>1</v>
      </c>
      <c r="Q45">
        <v>0</v>
      </c>
      <c r="R45">
        <v>103627</v>
      </c>
      <c r="U45" t="s">
        <v>575</v>
      </c>
      <c r="V45" t="s">
        <v>823</v>
      </c>
      <c r="W45">
        <v>0</v>
      </c>
      <c r="X45">
        <v>-75.2</v>
      </c>
      <c r="Y45" t="s">
        <v>1069</v>
      </c>
      <c r="Z45">
        <v>41.58426380616827</v>
      </c>
      <c r="AA45">
        <v>7820</v>
      </c>
      <c r="AB45">
        <v>28411</v>
      </c>
      <c r="AC45" t="s">
        <v>1308</v>
      </c>
      <c r="AD45">
        <v>73.58</v>
      </c>
      <c r="AE45" t="s">
        <v>1556</v>
      </c>
      <c r="AF45" t="s">
        <v>1804</v>
      </c>
      <c r="AG45">
        <v>2357</v>
      </c>
      <c r="AH45">
        <v>166</v>
      </c>
      <c r="AI45">
        <v>302463</v>
      </c>
    </row>
    <row r="46" spans="1:36">
      <c r="A46" s="1" t="s">
        <v>80</v>
      </c>
      <c r="B46" t="s">
        <v>328</v>
      </c>
      <c r="C46">
        <f>HYPERLINK("https://finance.naver.com/item/coinfo.nhn?code=192440", "A192440")</f>
        <v>0</v>
      </c>
      <c r="D46">
        <f>HYPERLINK("http://comp.fnguide.com/SVO2/ASP/SVD_Consensus.asp?pGB=1&amp;gicode=A192440&amp;cID=&amp;MenuYn=Y&amp;ReportGB=&amp;NewMenuID=108&amp;stkGb=701", "슈피겐코리아")</f>
        <v>0</v>
      </c>
      <c r="E46">
        <v>3</v>
      </c>
      <c r="F46">
        <v>56300</v>
      </c>
      <c r="G46">
        <v>0.8</v>
      </c>
      <c r="H46">
        <v>7.57</v>
      </c>
      <c r="I46">
        <v>109230</v>
      </c>
      <c r="J46">
        <v>77565</v>
      </c>
      <c r="K46">
        <v>68277</v>
      </c>
      <c r="L46">
        <v>-94.01000000000001</v>
      </c>
      <c r="M46">
        <v>-37.77</v>
      </c>
      <c r="N46">
        <v>-21.27</v>
      </c>
      <c r="O46">
        <v>16.27</v>
      </c>
      <c r="P46" t="b">
        <v>1</v>
      </c>
      <c r="Q46">
        <v>2</v>
      </c>
      <c r="R46">
        <v>8603</v>
      </c>
      <c r="S46">
        <v>9008</v>
      </c>
      <c r="T46">
        <v>4.7</v>
      </c>
      <c r="U46" t="s">
        <v>576</v>
      </c>
      <c r="V46" t="s">
        <v>824</v>
      </c>
      <c r="W46">
        <v>9.473080265624812</v>
      </c>
      <c r="X46">
        <v>24.9</v>
      </c>
      <c r="Y46" t="s">
        <v>1070</v>
      </c>
      <c r="Z46">
        <v>11.63385079514003</v>
      </c>
      <c r="AA46">
        <v>3500</v>
      </c>
      <c r="AB46">
        <v>40058</v>
      </c>
      <c r="AC46" t="s">
        <v>1309</v>
      </c>
      <c r="AD46">
        <v>40.99</v>
      </c>
      <c r="AE46" t="s">
        <v>1557</v>
      </c>
      <c r="AF46" t="s">
        <v>1805</v>
      </c>
      <c r="AG46">
        <v>4033</v>
      </c>
      <c r="AH46">
        <v>797</v>
      </c>
      <c r="AI46">
        <v>186531</v>
      </c>
      <c r="AJ46">
        <v>1.84</v>
      </c>
    </row>
    <row r="47" spans="1:36">
      <c r="A47" s="1" t="s">
        <v>81</v>
      </c>
      <c r="B47" t="s">
        <v>329</v>
      </c>
      <c r="C47">
        <f>HYPERLINK("https://finance.naver.com/item/coinfo.nhn?code=036710", "A036710")</f>
        <v>0</v>
      </c>
      <c r="D47">
        <f>HYPERLINK("http://comp.fnguide.com/SVO2/ASP/SVD_Consensus.asp?pGB=1&amp;gicode=A036710&amp;cID=&amp;MenuYn=Y&amp;ReportGB=&amp;NewMenuID=108&amp;stkGb=701", "심텍홀딩스")</f>
        <v>0</v>
      </c>
      <c r="E47">
        <v>3</v>
      </c>
      <c r="F47">
        <v>2815</v>
      </c>
      <c r="G47">
        <v>0</v>
      </c>
      <c r="H47">
        <v>4.19</v>
      </c>
      <c r="I47">
        <v>3995</v>
      </c>
      <c r="J47">
        <v>3730</v>
      </c>
      <c r="K47">
        <v>3652</v>
      </c>
      <c r="L47">
        <v>-41.93</v>
      </c>
      <c r="M47">
        <v>-32.51</v>
      </c>
      <c r="N47">
        <v>-29.75</v>
      </c>
      <c r="O47">
        <v>9.35</v>
      </c>
      <c r="P47" t="b">
        <v>1</v>
      </c>
      <c r="Q47">
        <v>0</v>
      </c>
      <c r="R47">
        <v>582</v>
      </c>
      <c r="U47" t="s">
        <v>577</v>
      </c>
      <c r="V47" t="s">
        <v>825</v>
      </c>
      <c r="W47">
        <v>0</v>
      </c>
      <c r="X47">
        <v>-38.9</v>
      </c>
      <c r="Y47" t="s">
        <v>1071</v>
      </c>
      <c r="Z47">
        <v>-61.64851912406026</v>
      </c>
      <c r="AA47">
        <v>1145</v>
      </c>
      <c r="AB47">
        <v>144081</v>
      </c>
      <c r="AC47" t="s">
        <v>1310</v>
      </c>
      <c r="AD47">
        <v>47.86</v>
      </c>
      <c r="AE47" t="s">
        <v>1558</v>
      </c>
      <c r="AF47" t="s">
        <v>1806</v>
      </c>
      <c r="AG47">
        <v>12017</v>
      </c>
      <c r="AH47">
        <v>884</v>
      </c>
      <c r="AI47">
        <v>2013455</v>
      </c>
      <c r="AJ47">
        <v>1.23</v>
      </c>
    </row>
    <row r="48" spans="1:36">
      <c r="A48" s="1" t="s">
        <v>82</v>
      </c>
      <c r="B48" t="s">
        <v>330</v>
      </c>
      <c r="C48">
        <f>HYPERLINK("https://finance.naver.com/item/coinfo.nhn?code=078020", "A078020")</f>
        <v>0</v>
      </c>
      <c r="D48">
        <f>HYPERLINK("http://comp.fnguide.com/SVO2/ASP/SVD_Consensus.asp?pGB=1&amp;gicode=A078020&amp;cID=&amp;MenuYn=Y&amp;ReportGB=&amp;NewMenuID=108&amp;stkGb=701", "이베스트투자증권")</f>
        <v>0</v>
      </c>
      <c r="E48">
        <v>3</v>
      </c>
      <c r="F48">
        <v>8390</v>
      </c>
      <c r="G48">
        <v>0.1</v>
      </c>
      <c r="H48">
        <v>3.53</v>
      </c>
      <c r="I48">
        <v>26943</v>
      </c>
      <c r="J48">
        <v>19695</v>
      </c>
      <c r="K48">
        <v>17569</v>
      </c>
      <c r="L48">
        <v>-221.14</v>
      </c>
      <c r="M48">
        <v>-134.74</v>
      </c>
      <c r="N48">
        <v>-109.4</v>
      </c>
      <c r="O48">
        <v>15.22</v>
      </c>
      <c r="P48" t="b">
        <v>1</v>
      </c>
      <c r="Q48">
        <v>3</v>
      </c>
      <c r="R48">
        <v>1921</v>
      </c>
      <c r="S48">
        <v>2037</v>
      </c>
      <c r="T48">
        <v>6</v>
      </c>
      <c r="U48" t="s">
        <v>578</v>
      </c>
      <c r="V48" t="s">
        <v>826</v>
      </c>
      <c r="W48">
        <v>34.27824673492801</v>
      </c>
      <c r="X48">
        <v>20.1</v>
      </c>
      <c r="Y48" t="s">
        <v>1072</v>
      </c>
      <c r="Z48">
        <v>11.24571298867068</v>
      </c>
      <c r="AA48">
        <v>4655</v>
      </c>
      <c r="AB48">
        <v>290730</v>
      </c>
      <c r="AC48" t="s">
        <v>1311</v>
      </c>
      <c r="AD48">
        <v>62.45</v>
      </c>
      <c r="AE48" t="s">
        <v>1559</v>
      </c>
      <c r="AF48" t="s">
        <v>1807</v>
      </c>
      <c r="AG48">
        <v>3409</v>
      </c>
      <c r="AH48">
        <v>1535</v>
      </c>
      <c r="AI48">
        <v>5075498</v>
      </c>
      <c r="AJ48">
        <v>8.1</v>
      </c>
    </row>
    <row r="49" spans="1:36">
      <c r="A49" s="1" t="s">
        <v>83</v>
      </c>
      <c r="B49" t="s">
        <v>331</v>
      </c>
      <c r="C49">
        <f>HYPERLINK("https://finance.naver.com/item/coinfo.nhn?code=024800", "A024800")</f>
        <v>0</v>
      </c>
      <c r="D49">
        <f>HYPERLINK("http://comp.fnguide.com/SVO2/ASP/SVD_Consensus.asp?pGB=1&amp;gicode=A024800&amp;cID=&amp;MenuYn=Y&amp;ReportGB=&amp;NewMenuID=108&amp;stkGb=701", "유성티엔에스")</f>
        <v>0</v>
      </c>
      <c r="E49">
        <v>3</v>
      </c>
      <c r="F49">
        <v>3840</v>
      </c>
      <c r="G49">
        <v>0</v>
      </c>
      <c r="H49">
        <v>1.65</v>
      </c>
      <c r="I49">
        <v>17328</v>
      </c>
      <c r="J49">
        <v>12345</v>
      </c>
      <c r="K49">
        <v>10884</v>
      </c>
      <c r="L49">
        <v>-351.26</v>
      </c>
      <c r="M49">
        <v>-221.49</v>
      </c>
      <c r="N49">
        <v>-183.44</v>
      </c>
      <c r="O49">
        <v>16.14</v>
      </c>
      <c r="P49" t="b">
        <v>1</v>
      </c>
      <c r="Q49">
        <v>0</v>
      </c>
      <c r="R49">
        <v>1793</v>
      </c>
      <c r="U49" t="s">
        <v>579</v>
      </c>
      <c r="V49" t="s">
        <v>827</v>
      </c>
      <c r="W49">
        <v>0</v>
      </c>
      <c r="X49">
        <v>71.5</v>
      </c>
      <c r="Y49" t="s">
        <v>1073</v>
      </c>
      <c r="Z49">
        <v>60.01404638524932</v>
      </c>
      <c r="AA49">
        <v>1201</v>
      </c>
      <c r="AB49">
        <v>115080</v>
      </c>
      <c r="AC49" t="s">
        <v>1312</v>
      </c>
      <c r="AD49">
        <v>52.36</v>
      </c>
      <c r="AE49" t="s">
        <v>1560</v>
      </c>
      <c r="AF49" t="s">
        <v>1808</v>
      </c>
      <c r="AG49">
        <v>2941</v>
      </c>
      <c r="AH49">
        <v>35</v>
      </c>
      <c r="AI49">
        <v>3652884</v>
      </c>
      <c r="AJ49">
        <v>0.51</v>
      </c>
    </row>
    <row r="50" spans="1:36">
      <c r="A50" s="1" t="s">
        <v>84</v>
      </c>
      <c r="B50" t="s">
        <v>332</v>
      </c>
      <c r="C50">
        <f>HYPERLINK("https://finance.naver.com/item/coinfo.nhn?code=900340", "A900340")</f>
        <v>0</v>
      </c>
      <c r="D50">
        <f>HYPERLINK("http://comp.fnguide.com/SVO2/ASP/SVD_Consensus.asp?pGB=1&amp;gicode=A900340&amp;cID=&amp;MenuYn=Y&amp;ReportGB=&amp;NewMenuID=108&amp;stkGb=701", "윙입푸드")</f>
        <v>0</v>
      </c>
      <c r="E50">
        <v>3</v>
      </c>
      <c r="F50">
        <v>1445</v>
      </c>
      <c r="G50">
        <v>0</v>
      </c>
      <c r="H50">
        <v>5.26</v>
      </c>
      <c r="I50">
        <v>4551</v>
      </c>
      <c r="J50">
        <v>3375</v>
      </c>
      <c r="K50">
        <v>3030</v>
      </c>
      <c r="L50">
        <v>-214.93</v>
      </c>
      <c r="M50">
        <v>-133.56</v>
      </c>
      <c r="N50">
        <v>-109.69</v>
      </c>
      <c r="O50">
        <v>14.73</v>
      </c>
      <c r="P50" t="b">
        <v>0</v>
      </c>
      <c r="Q50">
        <v>0</v>
      </c>
      <c r="R50">
        <v>272</v>
      </c>
      <c r="U50" t="s">
        <v>580</v>
      </c>
      <c r="V50" t="s">
        <v>828</v>
      </c>
      <c r="W50">
        <v>0</v>
      </c>
      <c r="X50">
        <v>15.2</v>
      </c>
      <c r="Y50" t="s">
        <v>1074</v>
      </c>
      <c r="Z50">
        <v>0</v>
      </c>
      <c r="AA50">
        <v>693</v>
      </c>
      <c r="AB50">
        <v>514713</v>
      </c>
      <c r="AC50" t="s">
        <v>1313</v>
      </c>
      <c r="AD50">
        <v>47.42</v>
      </c>
      <c r="AE50" t="s">
        <v>1561</v>
      </c>
      <c r="AF50" t="s">
        <v>1809</v>
      </c>
      <c r="AG50">
        <v>1305</v>
      </c>
      <c r="AH50">
        <v>173</v>
      </c>
    </row>
    <row r="51" spans="1:36">
      <c r="A51" s="1" t="s">
        <v>85</v>
      </c>
      <c r="B51" t="s">
        <v>333</v>
      </c>
      <c r="C51">
        <f>HYPERLINK("https://finance.naver.com/item/coinfo.nhn?code=083930", "A083930")</f>
        <v>0</v>
      </c>
      <c r="D51">
        <f>HYPERLINK("http://comp.fnguide.com/SVO2/ASP/SVD_Consensus.asp?pGB=1&amp;gicode=A083930&amp;cID=&amp;MenuYn=Y&amp;ReportGB=&amp;NewMenuID=108&amp;stkGb=701", "아바코")</f>
        <v>0</v>
      </c>
      <c r="E51">
        <v>3</v>
      </c>
      <c r="F51">
        <v>11850</v>
      </c>
      <c r="G51">
        <v>0</v>
      </c>
      <c r="H51">
        <v>11.56</v>
      </c>
      <c r="I51">
        <v>18575</v>
      </c>
      <c r="J51">
        <v>13925</v>
      </c>
      <c r="K51">
        <v>12561</v>
      </c>
      <c r="L51">
        <v>-56.75</v>
      </c>
      <c r="M51">
        <v>-17.51</v>
      </c>
      <c r="N51">
        <v>-6</v>
      </c>
      <c r="O51">
        <v>14.39</v>
      </c>
      <c r="P51" t="b">
        <v>1</v>
      </c>
      <c r="Q51">
        <v>0</v>
      </c>
      <c r="R51">
        <v>921</v>
      </c>
      <c r="U51" t="s">
        <v>581</v>
      </c>
      <c r="V51" t="s">
        <v>829</v>
      </c>
      <c r="W51">
        <v>0</v>
      </c>
      <c r="X51">
        <v>-70</v>
      </c>
      <c r="Y51" t="s">
        <v>1075</v>
      </c>
      <c r="Z51">
        <v>-44.22728174252881</v>
      </c>
      <c r="AA51">
        <v>1826</v>
      </c>
      <c r="AB51">
        <v>33632</v>
      </c>
      <c r="AC51" t="s">
        <v>1314</v>
      </c>
      <c r="AD51">
        <v>27.48</v>
      </c>
      <c r="AE51" t="s">
        <v>1562</v>
      </c>
      <c r="AF51" t="s">
        <v>1810</v>
      </c>
      <c r="AG51">
        <v>2003</v>
      </c>
      <c r="AH51">
        <v>231</v>
      </c>
      <c r="AI51">
        <v>2320960</v>
      </c>
      <c r="AJ51">
        <v>2.82</v>
      </c>
    </row>
    <row r="52" spans="1:36">
      <c r="A52" s="1" t="s">
        <v>86</v>
      </c>
      <c r="B52" t="s">
        <v>334</v>
      </c>
      <c r="C52">
        <f>HYPERLINK("https://finance.naver.com/item/coinfo.nhn?code=031310", "A031310")</f>
        <v>0</v>
      </c>
      <c r="D52">
        <f>HYPERLINK("http://comp.fnguide.com/SVO2/ASP/SVD_Consensus.asp?pGB=1&amp;gicode=A031310&amp;cID=&amp;MenuYn=Y&amp;ReportGB=&amp;NewMenuID=108&amp;stkGb=701", "아이즈비전")</f>
        <v>0</v>
      </c>
      <c r="E52">
        <v>3</v>
      </c>
      <c r="F52">
        <v>5060</v>
      </c>
      <c r="G52">
        <v>0</v>
      </c>
      <c r="H52">
        <v>4.95</v>
      </c>
      <c r="I52">
        <v>7294</v>
      </c>
      <c r="J52">
        <v>7241</v>
      </c>
      <c r="K52">
        <v>7226</v>
      </c>
      <c r="L52">
        <v>-44.15</v>
      </c>
      <c r="M52">
        <v>-43.11</v>
      </c>
      <c r="N52">
        <v>-42.8</v>
      </c>
      <c r="O52">
        <v>8.4</v>
      </c>
      <c r="P52" t="b">
        <v>1</v>
      </c>
      <c r="Q52">
        <v>0</v>
      </c>
      <c r="R52">
        <v>770</v>
      </c>
      <c r="U52" t="s">
        <v>582</v>
      </c>
      <c r="V52" t="s">
        <v>830</v>
      </c>
      <c r="W52">
        <v>0</v>
      </c>
      <c r="X52">
        <v>177.9</v>
      </c>
      <c r="Y52" t="s">
        <v>1076</v>
      </c>
      <c r="Z52">
        <v>96.26431474309074</v>
      </c>
      <c r="AA52">
        <v>798</v>
      </c>
      <c r="AB52">
        <v>264252</v>
      </c>
      <c r="AC52" t="s">
        <v>1315</v>
      </c>
      <c r="AD52">
        <v>18.84</v>
      </c>
      <c r="AE52" t="s">
        <v>1563</v>
      </c>
      <c r="AF52" t="s">
        <v>1811</v>
      </c>
      <c r="AG52">
        <v>1353</v>
      </c>
      <c r="AH52">
        <v>57</v>
      </c>
      <c r="AI52">
        <v>934659</v>
      </c>
    </row>
    <row r="53" spans="1:36">
      <c r="A53" s="1" t="s">
        <v>87</v>
      </c>
      <c r="B53" t="s">
        <v>335</v>
      </c>
      <c r="C53">
        <f>HYPERLINK("https://finance.naver.com/item/coinfo.nhn?code=052790", "A052790")</f>
        <v>0</v>
      </c>
      <c r="D53">
        <f>HYPERLINK("http://comp.fnguide.com/SVO2/ASP/SVD_Consensus.asp?pGB=1&amp;gicode=A052790&amp;cID=&amp;MenuYn=Y&amp;ReportGB=&amp;NewMenuID=108&amp;stkGb=701", "액토즈소프트")</f>
        <v>0</v>
      </c>
      <c r="E53">
        <v>3</v>
      </c>
      <c r="F53">
        <v>12600</v>
      </c>
      <c r="G53">
        <v>0</v>
      </c>
      <c r="H53">
        <v>6.87</v>
      </c>
      <c r="I53">
        <v>20652</v>
      </c>
      <c r="J53">
        <v>16626</v>
      </c>
      <c r="K53">
        <v>15446</v>
      </c>
      <c r="L53">
        <v>-63.9</v>
      </c>
      <c r="M53">
        <v>-31.95</v>
      </c>
      <c r="N53">
        <v>-22.58</v>
      </c>
      <c r="O53">
        <v>12.38</v>
      </c>
      <c r="P53" t="b">
        <v>1</v>
      </c>
      <c r="Q53">
        <v>0</v>
      </c>
      <c r="R53">
        <v>1376</v>
      </c>
      <c r="U53" t="s">
        <v>583</v>
      </c>
      <c r="V53" t="s">
        <v>831</v>
      </c>
      <c r="W53">
        <v>0</v>
      </c>
      <c r="X53">
        <v>204.2</v>
      </c>
      <c r="Y53" t="s">
        <v>1077</v>
      </c>
      <c r="Z53">
        <v>51.1470145255936</v>
      </c>
      <c r="AA53">
        <v>1428</v>
      </c>
      <c r="AB53">
        <v>3791266</v>
      </c>
      <c r="AC53" t="s">
        <v>1316</v>
      </c>
      <c r="AD53">
        <v>51.08</v>
      </c>
      <c r="AE53" t="s">
        <v>1564</v>
      </c>
      <c r="AF53" t="s">
        <v>1812</v>
      </c>
      <c r="AG53">
        <v>475</v>
      </c>
      <c r="AH53">
        <v>179</v>
      </c>
      <c r="AI53">
        <v>406091</v>
      </c>
    </row>
    <row r="54" spans="1:36">
      <c r="A54" s="1" t="s">
        <v>88</v>
      </c>
      <c r="B54" t="s">
        <v>336</v>
      </c>
      <c r="C54">
        <f>HYPERLINK("https://finance.naver.com/item/coinfo.nhn?code=030960", "A030960")</f>
        <v>0</v>
      </c>
      <c r="D54">
        <f>HYPERLINK("http://comp.fnguide.com/SVO2/ASP/SVD_Consensus.asp?pGB=1&amp;gicode=A030960&amp;cID=&amp;MenuYn=Y&amp;ReportGB=&amp;NewMenuID=108&amp;stkGb=701", "양지사")</f>
        <v>0</v>
      </c>
      <c r="E54">
        <v>3</v>
      </c>
      <c r="F54">
        <v>12750</v>
      </c>
      <c r="G54">
        <v>0</v>
      </c>
      <c r="H54">
        <v>1.28</v>
      </c>
      <c r="I54">
        <v>80814</v>
      </c>
      <c r="J54">
        <v>41127</v>
      </c>
      <c r="K54">
        <v>29487</v>
      </c>
      <c r="L54">
        <v>-533.84</v>
      </c>
      <c r="M54">
        <v>-222.56</v>
      </c>
      <c r="N54">
        <v>-131.27</v>
      </c>
      <c r="O54">
        <v>48.77</v>
      </c>
      <c r="P54" t="b">
        <v>1</v>
      </c>
      <c r="Q54">
        <v>0</v>
      </c>
      <c r="R54">
        <v>7553</v>
      </c>
      <c r="U54" t="s">
        <v>584</v>
      </c>
      <c r="V54" t="s">
        <v>832</v>
      </c>
      <c r="W54">
        <v>0</v>
      </c>
      <c r="X54">
        <v>-97.2</v>
      </c>
      <c r="Y54" t="s">
        <v>1078</v>
      </c>
      <c r="Z54">
        <v>3.527678680906843</v>
      </c>
      <c r="AA54">
        <v>2037</v>
      </c>
      <c r="AB54">
        <v>21559</v>
      </c>
      <c r="AC54" t="s">
        <v>1317</v>
      </c>
      <c r="AD54">
        <v>75.53</v>
      </c>
      <c r="AE54" t="s">
        <v>1565</v>
      </c>
      <c r="AF54" t="s">
        <v>1813</v>
      </c>
      <c r="AG54">
        <v>489</v>
      </c>
      <c r="AH54">
        <v>17</v>
      </c>
      <c r="AI54">
        <v>2243930</v>
      </c>
      <c r="AJ54">
        <v>0.52</v>
      </c>
    </row>
    <row r="55" spans="1:36">
      <c r="A55" s="1" t="s">
        <v>89</v>
      </c>
      <c r="B55" t="s">
        <v>337</v>
      </c>
      <c r="C55">
        <f>HYPERLINK("https://finance.naver.com/item/coinfo.nhn?code=032940", "A032940")</f>
        <v>0</v>
      </c>
      <c r="D55">
        <f>HYPERLINK("http://comp.fnguide.com/SVO2/ASP/SVD_Consensus.asp?pGB=1&amp;gicode=A032940&amp;cID=&amp;MenuYn=Y&amp;ReportGB=&amp;NewMenuID=108&amp;stkGb=701", "원익")</f>
        <v>0</v>
      </c>
      <c r="E55">
        <v>3</v>
      </c>
      <c r="F55">
        <v>5510</v>
      </c>
      <c r="G55">
        <v>0</v>
      </c>
      <c r="H55">
        <v>1.09</v>
      </c>
      <c r="I55">
        <v>50175</v>
      </c>
      <c r="J55">
        <v>26571</v>
      </c>
      <c r="K55">
        <v>19648</v>
      </c>
      <c r="L55">
        <v>-810.62</v>
      </c>
      <c r="M55">
        <v>-382.23</v>
      </c>
      <c r="N55">
        <v>-256.59</v>
      </c>
      <c r="O55">
        <v>40.47</v>
      </c>
      <c r="P55" t="b">
        <v>1</v>
      </c>
      <c r="Q55">
        <v>0</v>
      </c>
      <c r="R55">
        <v>4367</v>
      </c>
      <c r="U55" t="s">
        <v>585</v>
      </c>
      <c r="V55" t="s">
        <v>833</v>
      </c>
      <c r="W55">
        <v>0</v>
      </c>
      <c r="X55">
        <v>0</v>
      </c>
      <c r="Y55" t="s">
        <v>1079</v>
      </c>
      <c r="Z55">
        <v>-38.13037902168787</v>
      </c>
      <c r="AA55">
        <v>1002</v>
      </c>
      <c r="AB55">
        <v>97665</v>
      </c>
      <c r="AC55" t="s">
        <v>1318</v>
      </c>
      <c r="AD55">
        <v>47.58</v>
      </c>
      <c r="AE55" t="s">
        <v>1566</v>
      </c>
      <c r="AF55" t="s">
        <v>1814</v>
      </c>
      <c r="AG55">
        <v>875</v>
      </c>
      <c r="AH55">
        <v>46</v>
      </c>
      <c r="AI55">
        <v>49</v>
      </c>
    </row>
    <row r="56" spans="1:36">
      <c r="A56" s="1" t="s">
        <v>90</v>
      </c>
      <c r="B56" t="s">
        <v>338</v>
      </c>
      <c r="C56">
        <f>HYPERLINK("https://finance.naver.com/item/coinfo.nhn?code=069510", "A069510")</f>
        <v>0</v>
      </c>
      <c r="D56">
        <f>HYPERLINK("http://comp.fnguide.com/SVO2/ASP/SVD_Consensus.asp?pGB=1&amp;gicode=A069510&amp;cID=&amp;MenuYn=Y&amp;ReportGB=&amp;NewMenuID=108&amp;stkGb=701", "에스텍")</f>
        <v>0</v>
      </c>
      <c r="E56">
        <v>3</v>
      </c>
      <c r="F56">
        <v>11500</v>
      </c>
      <c r="G56">
        <v>-0.7</v>
      </c>
      <c r="H56">
        <v>10.11</v>
      </c>
      <c r="I56">
        <v>23298</v>
      </c>
      <c r="J56">
        <v>20558</v>
      </c>
      <c r="K56">
        <v>19754</v>
      </c>
      <c r="L56">
        <v>-102.59</v>
      </c>
      <c r="M56">
        <v>-78.77</v>
      </c>
      <c r="N56">
        <v>-71.78</v>
      </c>
      <c r="O56">
        <v>10.36</v>
      </c>
      <c r="P56" t="b">
        <v>1</v>
      </c>
      <c r="Q56">
        <v>1</v>
      </c>
      <c r="R56">
        <v>1117</v>
      </c>
      <c r="S56">
        <v>1146</v>
      </c>
      <c r="T56">
        <v>2.6</v>
      </c>
      <c r="U56" t="s">
        <v>586</v>
      </c>
      <c r="V56" t="s">
        <v>834</v>
      </c>
      <c r="W56">
        <v>-14.40791208454625</v>
      </c>
      <c r="X56">
        <v>15</v>
      </c>
      <c r="Y56" t="s">
        <v>1080</v>
      </c>
      <c r="Z56">
        <v>-0.9952534953296732</v>
      </c>
      <c r="AA56">
        <v>1255</v>
      </c>
      <c r="AB56">
        <v>14650</v>
      </c>
      <c r="AC56" t="s">
        <v>1319</v>
      </c>
      <c r="AD56">
        <v>49.55</v>
      </c>
      <c r="AE56" t="s">
        <v>1567</v>
      </c>
      <c r="AF56" t="s">
        <v>1815</v>
      </c>
      <c r="AG56">
        <v>3125</v>
      </c>
      <c r="AH56">
        <v>133</v>
      </c>
      <c r="AI56">
        <v>2500000</v>
      </c>
      <c r="AJ56">
        <v>3.54</v>
      </c>
    </row>
    <row r="57" spans="1:36">
      <c r="A57" s="1" t="s">
        <v>91</v>
      </c>
      <c r="B57" t="s">
        <v>339</v>
      </c>
      <c r="C57">
        <f>HYPERLINK("https://finance.naver.com/item/coinfo.nhn?code=003800", "A003800")</f>
        <v>0</v>
      </c>
      <c r="D57">
        <f>HYPERLINK("http://comp.fnguide.com/SVO2/ASP/SVD_Consensus.asp?pGB=1&amp;gicode=A003800&amp;cID=&amp;MenuYn=Y&amp;ReportGB=&amp;NewMenuID=108&amp;stkGb=701", "에이스침대")</f>
        <v>0</v>
      </c>
      <c r="E57">
        <v>3</v>
      </c>
      <c r="F57">
        <v>46300</v>
      </c>
      <c r="G57">
        <v>0</v>
      </c>
      <c r="H57">
        <v>8.57</v>
      </c>
      <c r="I57">
        <v>56920</v>
      </c>
      <c r="J57">
        <v>52496</v>
      </c>
      <c r="K57">
        <v>51198</v>
      </c>
      <c r="L57">
        <v>-22.94</v>
      </c>
      <c r="M57">
        <v>-13.38</v>
      </c>
      <c r="N57">
        <v>-10.58</v>
      </c>
      <c r="O57">
        <v>9.550000000000001</v>
      </c>
      <c r="P57" t="b">
        <v>1</v>
      </c>
      <c r="Q57">
        <v>0</v>
      </c>
      <c r="R57">
        <v>4448</v>
      </c>
      <c r="U57" t="s">
        <v>587</v>
      </c>
      <c r="V57" t="s">
        <v>835</v>
      </c>
      <c r="W57">
        <v>0</v>
      </c>
      <c r="X57">
        <v>122.6</v>
      </c>
      <c r="Y57" t="s">
        <v>1081</v>
      </c>
      <c r="Z57">
        <v>29.39345613933162</v>
      </c>
      <c r="AA57">
        <v>5135</v>
      </c>
      <c r="AB57">
        <v>3207</v>
      </c>
      <c r="AC57" t="s">
        <v>1320</v>
      </c>
      <c r="AD57">
        <v>79.56</v>
      </c>
      <c r="AE57" t="s">
        <v>1568</v>
      </c>
      <c r="AF57" t="s">
        <v>1816</v>
      </c>
      <c r="AG57">
        <v>2895</v>
      </c>
      <c r="AH57">
        <v>493</v>
      </c>
      <c r="AI57">
        <v>838055</v>
      </c>
      <c r="AJ57">
        <v>2.89</v>
      </c>
    </row>
    <row r="58" spans="1:36">
      <c r="A58" s="1" t="s">
        <v>92</v>
      </c>
      <c r="B58" t="s">
        <v>340</v>
      </c>
      <c r="C58">
        <f>HYPERLINK("https://finance.naver.com/item/coinfo.nhn?code=073560", "A073560")</f>
        <v>0</v>
      </c>
      <c r="D58">
        <f>HYPERLINK("http://comp.fnguide.com/SVO2/ASP/SVD_Consensus.asp?pGB=1&amp;gicode=A073560&amp;cID=&amp;MenuYn=Y&amp;ReportGB=&amp;NewMenuID=108&amp;stkGb=701", "우리손에프앤지")</f>
        <v>0</v>
      </c>
      <c r="E58">
        <v>3</v>
      </c>
      <c r="F58">
        <v>2350</v>
      </c>
      <c r="G58">
        <v>0</v>
      </c>
      <c r="H58">
        <v>6.31</v>
      </c>
      <c r="I58">
        <v>3222</v>
      </c>
      <c r="J58">
        <v>3061</v>
      </c>
      <c r="K58">
        <v>3014</v>
      </c>
      <c r="L58">
        <v>-37.11</v>
      </c>
      <c r="M58">
        <v>-30.28</v>
      </c>
      <c r="N58">
        <v>-28.27</v>
      </c>
      <c r="O58">
        <v>9.06</v>
      </c>
      <c r="P58" t="b">
        <v>1</v>
      </c>
      <c r="Q58">
        <v>0</v>
      </c>
      <c r="R58">
        <v>315</v>
      </c>
      <c r="U58" t="s">
        <v>588</v>
      </c>
      <c r="V58" t="s">
        <v>836</v>
      </c>
      <c r="W58">
        <v>0</v>
      </c>
      <c r="X58">
        <v>15.1</v>
      </c>
      <c r="Y58" t="s">
        <v>1082</v>
      </c>
      <c r="Z58">
        <v>12.28666776223859</v>
      </c>
      <c r="AA58">
        <v>1627</v>
      </c>
      <c r="AB58">
        <v>628699</v>
      </c>
      <c r="AC58" t="s">
        <v>1321</v>
      </c>
      <c r="AD58">
        <v>49.69</v>
      </c>
      <c r="AE58" t="s">
        <v>1569</v>
      </c>
      <c r="AF58" t="s">
        <v>1817</v>
      </c>
      <c r="AG58">
        <v>2371</v>
      </c>
      <c r="AH58">
        <v>322</v>
      </c>
      <c r="AJ58">
        <v>1.26</v>
      </c>
    </row>
    <row r="59" spans="1:36">
      <c r="A59" s="1" t="s">
        <v>93</v>
      </c>
      <c r="B59" t="s">
        <v>341</v>
      </c>
      <c r="C59">
        <f>HYPERLINK("https://finance.naver.com/item/coinfo.nhn?code=198080", "A198080")</f>
        <v>0</v>
      </c>
      <c r="D59">
        <f>HYPERLINK("http://comp.fnguide.com/SVO2/ASP/SVD_Consensus.asp?pGB=1&amp;gicode=A198080&amp;cID=&amp;MenuYn=Y&amp;ReportGB=&amp;NewMenuID=108&amp;stkGb=701", "엔피디")</f>
        <v>0</v>
      </c>
      <c r="E59">
        <v>3</v>
      </c>
      <c r="F59">
        <v>4045</v>
      </c>
      <c r="G59">
        <v>0</v>
      </c>
      <c r="I59">
        <v>8719</v>
      </c>
      <c r="J59">
        <v>5837</v>
      </c>
      <c r="K59">
        <v>4992</v>
      </c>
      <c r="L59">
        <v>-115.56</v>
      </c>
      <c r="M59">
        <v>-44.31</v>
      </c>
      <c r="N59">
        <v>-23.41</v>
      </c>
      <c r="O59">
        <v>18.8</v>
      </c>
      <c r="P59" t="b">
        <v>0</v>
      </c>
      <c r="Q59">
        <v>0</v>
      </c>
      <c r="R59">
        <v>-247</v>
      </c>
      <c r="U59" t="s">
        <v>589</v>
      </c>
      <c r="V59" t="s">
        <v>837</v>
      </c>
      <c r="W59">
        <v>0</v>
      </c>
      <c r="X59">
        <v>0</v>
      </c>
      <c r="Y59" t="s">
        <v>1083</v>
      </c>
      <c r="Z59">
        <v>26.12477383526033</v>
      </c>
      <c r="AA59">
        <v>871</v>
      </c>
      <c r="AB59">
        <v>38628</v>
      </c>
      <c r="AC59" t="s">
        <v>1322</v>
      </c>
      <c r="AD59">
        <v>64.08</v>
      </c>
      <c r="AE59" t="s">
        <v>1570</v>
      </c>
      <c r="AF59" t="s">
        <v>1818</v>
      </c>
      <c r="AG59">
        <v>2331</v>
      </c>
      <c r="AH59">
        <v>83</v>
      </c>
    </row>
    <row r="60" spans="1:36">
      <c r="A60" s="1" t="s">
        <v>94</v>
      </c>
      <c r="B60" t="s">
        <v>342</v>
      </c>
      <c r="C60">
        <f>HYPERLINK("https://finance.naver.com/item/coinfo.nhn?code=009780", "A009780")</f>
        <v>0</v>
      </c>
      <c r="D60">
        <f>HYPERLINK("http://comp.fnguide.com/SVO2/ASP/SVD_Consensus.asp?pGB=1&amp;gicode=A009780&amp;cID=&amp;MenuYn=Y&amp;ReportGB=&amp;NewMenuID=108&amp;stkGb=701", "엠에스씨")</f>
        <v>0</v>
      </c>
      <c r="E60">
        <v>3</v>
      </c>
      <c r="F60">
        <v>5460</v>
      </c>
      <c r="G60">
        <v>0</v>
      </c>
      <c r="H60">
        <v>9.859999999999999</v>
      </c>
      <c r="I60">
        <v>7934</v>
      </c>
      <c r="J60">
        <v>6625</v>
      </c>
      <c r="K60">
        <v>6241</v>
      </c>
      <c r="L60">
        <v>-45.32</v>
      </c>
      <c r="M60">
        <v>-21.33</v>
      </c>
      <c r="N60">
        <v>-14.3</v>
      </c>
      <c r="O60">
        <v>11.51</v>
      </c>
      <c r="P60" t="b">
        <v>1</v>
      </c>
      <c r="Q60">
        <v>0</v>
      </c>
      <c r="R60">
        <v>508</v>
      </c>
      <c r="U60" t="s">
        <v>590</v>
      </c>
      <c r="V60" t="s">
        <v>838</v>
      </c>
      <c r="W60">
        <v>0</v>
      </c>
      <c r="X60">
        <v>40.6</v>
      </c>
      <c r="Y60" t="s">
        <v>1084</v>
      </c>
      <c r="Z60">
        <v>4.846642700182846</v>
      </c>
      <c r="AA60">
        <v>961</v>
      </c>
      <c r="AB60">
        <v>43327</v>
      </c>
      <c r="AC60" t="s">
        <v>1323</v>
      </c>
      <c r="AD60">
        <v>73.22</v>
      </c>
      <c r="AE60" t="s">
        <v>1571</v>
      </c>
      <c r="AF60" t="s">
        <v>1819</v>
      </c>
      <c r="AG60">
        <v>1464</v>
      </c>
      <c r="AH60">
        <v>129</v>
      </c>
      <c r="AJ60">
        <v>1.2</v>
      </c>
    </row>
    <row r="61" spans="1:36">
      <c r="A61" s="1" t="s">
        <v>95</v>
      </c>
      <c r="B61" t="s">
        <v>343</v>
      </c>
      <c r="C61">
        <f>HYPERLINK("https://finance.naver.com/item/coinfo.nhn?code=900300", "A900300")</f>
        <v>0</v>
      </c>
      <c r="D61">
        <f>HYPERLINK("http://comp.fnguide.com/SVO2/ASP/SVD_Consensus.asp?pGB=1&amp;gicode=A900300&amp;cID=&amp;MenuYn=Y&amp;ReportGB=&amp;NewMenuID=108&amp;stkGb=701", "오가닉티코스메틱")</f>
        <v>0</v>
      </c>
      <c r="E61">
        <v>3</v>
      </c>
      <c r="F61">
        <v>822</v>
      </c>
      <c r="G61">
        <v>0</v>
      </c>
      <c r="H61">
        <v>2.6</v>
      </c>
      <c r="I61">
        <v>6467</v>
      </c>
      <c r="J61">
        <v>4590</v>
      </c>
      <c r="K61">
        <v>4039</v>
      </c>
      <c r="L61">
        <v>-686.78</v>
      </c>
      <c r="M61">
        <v>-458.38</v>
      </c>
      <c r="N61">
        <v>-391.39</v>
      </c>
      <c r="O61">
        <v>16.29</v>
      </c>
      <c r="P61" t="b">
        <v>0</v>
      </c>
      <c r="Q61">
        <v>0</v>
      </c>
      <c r="R61">
        <v>559</v>
      </c>
      <c r="U61" t="s">
        <v>591</v>
      </c>
      <c r="V61" t="s">
        <v>839</v>
      </c>
      <c r="W61">
        <v>0</v>
      </c>
      <c r="Y61" t="s">
        <v>1085</v>
      </c>
      <c r="Z61">
        <v>0</v>
      </c>
      <c r="AA61">
        <v>529</v>
      </c>
      <c r="AB61">
        <v>9968115</v>
      </c>
      <c r="AC61" t="s">
        <v>1324</v>
      </c>
      <c r="AD61">
        <v>11.62</v>
      </c>
      <c r="AE61" t="s">
        <v>1572</v>
      </c>
      <c r="AF61" t="s">
        <v>1820</v>
      </c>
      <c r="AG61">
        <v>2996</v>
      </c>
      <c r="AH61">
        <v>459</v>
      </c>
    </row>
    <row r="62" spans="1:36">
      <c r="A62" s="1" t="s">
        <v>96</v>
      </c>
      <c r="B62" t="s">
        <v>344</v>
      </c>
      <c r="C62">
        <f>HYPERLINK("https://finance.naver.com/item/coinfo.nhn?code=045300", "A045300")</f>
        <v>0</v>
      </c>
      <c r="D62">
        <f>HYPERLINK("http://comp.fnguide.com/SVO2/ASP/SVD_Consensus.asp?pGB=1&amp;gicode=A045300&amp;cID=&amp;MenuYn=Y&amp;ReportGB=&amp;NewMenuID=108&amp;stkGb=701", "성우테크론")</f>
        <v>0</v>
      </c>
      <c r="E62">
        <v>3</v>
      </c>
      <c r="F62">
        <v>5730</v>
      </c>
      <c r="G62">
        <v>0</v>
      </c>
      <c r="H62">
        <v>11.89</v>
      </c>
      <c r="I62">
        <v>6170</v>
      </c>
      <c r="J62">
        <v>5954</v>
      </c>
      <c r="K62">
        <v>5891</v>
      </c>
      <c r="L62">
        <v>-7.68</v>
      </c>
      <c r="M62">
        <v>-3.91</v>
      </c>
      <c r="N62">
        <v>-2.8</v>
      </c>
      <c r="O62">
        <v>8.82</v>
      </c>
      <c r="P62" t="b">
        <v>1</v>
      </c>
      <c r="Q62">
        <v>0</v>
      </c>
      <c r="R62">
        <v>399</v>
      </c>
      <c r="U62" t="s">
        <v>592</v>
      </c>
      <c r="V62" t="s">
        <v>840</v>
      </c>
      <c r="W62">
        <v>0</v>
      </c>
      <c r="X62">
        <v>0</v>
      </c>
      <c r="Y62" t="s">
        <v>1086</v>
      </c>
      <c r="Z62">
        <v>2.649415405345779</v>
      </c>
      <c r="AA62">
        <v>549</v>
      </c>
      <c r="AB62">
        <v>181647</v>
      </c>
      <c r="AC62" t="s">
        <v>1325</v>
      </c>
      <c r="AD62">
        <v>42</v>
      </c>
      <c r="AE62" t="s">
        <v>1573</v>
      </c>
      <c r="AF62" t="s">
        <v>1821</v>
      </c>
      <c r="AG62">
        <v>379</v>
      </c>
      <c r="AH62">
        <v>43</v>
      </c>
      <c r="AI62">
        <v>353222</v>
      </c>
      <c r="AJ62">
        <v>0.83</v>
      </c>
    </row>
    <row r="63" spans="1:36">
      <c r="A63" s="1" t="s">
        <v>97</v>
      </c>
      <c r="B63" t="s">
        <v>345</v>
      </c>
      <c r="C63">
        <f>HYPERLINK("https://finance.naver.com/item/coinfo.nhn?code=037350", "A037350")</f>
        <v>0</v>
      </c>
      <c r="D63">
        <f>HYPERLINK("http://comp.fnguide.com/SVO2/ASP/SVD_Consensus.asp?pGB=1&amp;gicode=A037350&amp;cID=&amp;MenuYn=Y&amp;ReportGB=&amp;NewMenuID=108&amp;stkGb=701", "성도이엔지")</f>
        <v>0</v>
      </c>
      <c r="E63">
        <v>3</v>
      </c>
      <c r="F63">
        <v>6190</v>
      </c>
      <c r="G63">
        <v>0</v>
      </c>
      <c r="H63">
        <v>0.79</v>
      </c>
      <c r="I63">
        <v>49341</v>
      </c>
      <c r="J63">
        <v>29545</v>
      </c>
      <c r="K63">
        <v>23739</v>
      </c>
      <c r="L63">
        <v>-697.1</v>
      </c>
      <c r="M63">
        <v>-377.3</v>
      </c>
      <c r="N63">
        <v>-283.51</v>
      </c>
      <c r="O63">
        <v>25.77</v>
      </c>
      <c r="P63" t="b">
        <v>1</v>
      </c>
      <c r="Q63">
        <v>0</v>
      </c>
      <c r="R63">
        <v>5770</v>
      </c>
      <c r="U63" t="s">
        <v>593</v>
      </c>
      <c r="V63" t="s">
        <v>841</v>
      </c>
      <c r="W63">
        <v>0</v>
      </c>
      <c r="X63">
        <v>21.1</v>
      </c>
      <c r="Y63" t="s">
        <v>1087</v>
      </c>
      <c r="Z63">
        <v>-3.149373066575611</v>
      </c>
      <c r="AA63">
        <v>958</v>
      </c>
      <c r="AB63">
        <v>56402</v>
      </c>
      <c r="AC63" t="s">
        <v>1326</v>
      </c>
      <c r="AD63">
        <v>36.54</v>
      </c>
      <c r="AE63" t="s">
        <v>1574</v>
      </c>
      <c r="AF63" t="s">
        <v>1822</v>
      </c>
      <c r="AG63">
        <v>5375</v>
      </c>
      <c r="AH63">
        <v>192</v>
      </c>
      <c r="AI63">
        <v>1065277</v>
      </c>
      <c r="AJ63">
        <v>4.42</v>
      </c>
    </row>
    <row r="64" spans="1:36">
      <c r="A64" s="1" t="s">
        <v>98</v>
      </c>
      <c r="B64" t="s">
        <v>346</v>
      </c>
      <c r="C64">
        <f>HYPERLINK("https://finance.naver.com/item/coinfo.nhn?code=035890", "A035890")</f>
        <v>0</v>
      </c>
      <c r="D64">
        <f>HYPERLINK("http://comp.fnguide.com/SVO2/ASP/SVD_Consensus.asp?pGB=1&amp;gicode=A035890&amp;cID=&amp;MenuYn=Y&amp;ReportGB=&amp;NewMenuID=108&amp;stkGb=701", "서희건설")</f>
        <v>0</v>
      </c>
      <c r="E64">
        <v>3</v>
      </c>
      <c r="F64">
        <v>2090</v>
      </c>
      <c r="G64">
        <v>0.06</v>
      </c>
      <c r="H64">
        <v>2.84</v>
      </c>
      <c r="I64">
        <v>6339</v>
      </c>
      <c r="J64">
        <v>3983</v>
      </c>
      <c r="K64">
        <v>3292</v>
      </c>
      <c r="L64">
        <v>-203.33</v>
      </c>
      <c r="M64">
        <v>-90.58</v>
      </c>
      <c r="N64">
        <v>-57.52</v>
      </c>
      <c r="O64">
        <v>22.31</v>
      </c>
      <c r="P64" t="b">
        <v>1</v>
      </c>
      <c r="Q64">
        <v>3</v>
      </c>
      <c r="R64">
        <v>539</v>
      </c>
      <c r="S64">
        <v>635</v>
      </c>
      <c r="T64">
        <v>17.8</v>
      </c>
      <c r="U64" t="s">
        <v>594</v>
      </c>
      <c r="V64" t="s">
        <v>842</v>
      </c>
      <c r="W64">
        <v>46.46153548374943</v>
      </c>
      <c r="X64">
        <v>56.6</v>
      </c>
      <c r="Y64" t="s">
        <v>1088</v>
      </c>
      <c r="Z64">
        <v>38.28294135719923</v>
      </c>
      <c r="AA64">
        <v>4803</v>
      </c>
      <c r="AB64">
        <v>2649151</v>
      </c>
      <c r="AC64" t="s">
        <v>1327</v>
      </c>
      <c r="AD64">
        <v>54.12</v>
      </c>
      <c r="AE64" t="s">
        <v>1575</v>
      </c>
      <c r="AF64" t="s">
        <v>1823</v>
      </c>
      <c r="AG64">
        <v>12783</v>
      </c>
      <c r="AH64">
        <v>1744</v>
      </c>
      <c r="AI64">
        <v>9575559</v>
      </c>
      <c r="AJ64">
        <v>2.61</v>
      </c>
    </row>
    <row r="65" spans="1:36">
      <c r="A65" s="1" t="s">
        <v>99</v>
      </c>
      <c r="B65" t="s">
        <v>347</v>
      </c>
      <c r="C65">
        <f>HYPERLINK("https://finance.naver.com/item/coinfo.nhn?code=014100", "A014100")</f>
        <v>0</v>
      </c>
      <c r="D65">
        <f>HYPERLINK("http://comp.fnguide.com/SVO2/ASP/SVD_Consensus.asp?pGB=1&amp;gicode=A014100&amp;cID=&amp;MenuYn=Y&amp;ReportGB=&amp;NewMenuID=108&amp;stkGb=701", "메디앙스")</f>
        <v>0</v>
      </c>
      <c r="E65">
        <v>3</v>
      </c>
      <c r="F65">
        <v>6200</v>
      </c>
      <c r="G65">
        <v>0</v>
      </c>
      <c r="H65">
        <v>23.48</v>
      </c>
      <c r="I65">
        <v>18141</v>
      </c>
      <c r="J65">
        <v>11873</v>
      </c>
      <c r="K65">
        <v>10035</v>
      </c>
      <c r="L65">
        <v>-192.59</v>
      </c>
      <c r="M65">
        <v>-91.5</v>
      </c>
      <c r="N65">
        <v>-61.85</v>
      </c>
      <c r="O65">
        <v>19.94</v>
      </c>
      <c r="P65" t="b">
        <v>1</v>
      </c>
      <c r="Q65">
        <v>0</v>
      </c>
      <c r="R65">
        <v>357</v>
      </c>
      <c r="U65" t="s">
        <v>595</v>
      </c>
      <c r="V65" t="s">
        <v>843</v>
      </c>
      <c r="W65">
        <v>0</v>
      </c>
      <c r="X65">
        <v>0</v>
      </c>
      <c r="Y65" t="s">
        <v>1089</v>
      </c>
      <c r="Z65">
        <v>11.81009359754608</v>
      </c>
      <c r="AA65">
        <v>732</v>
      </c>
      <c r="AB65">
        <v>0</v>
      </c>
      <c r="AC65" t="s">
        <v>1328</v>
      </c>
      <c r="AD65">
        <v>31.55</v>
      </c>
      <c r="AE65" t="s">
        <v>1576</v>
      </c>
      <c r="AF65" t="s">
        <v>1824</v>
      </c>
      <c r="AG65">
        <v>716</v>
      </c>
      <c r="AH65">
        <v>13</v>
      </c>
      <c r="AI65">
        <v>236868</v>
      </c>
    </row>
    <row r="66" spans="1:36">
      <c r="A66" s="1" t="s">
        <v>100</v>
      </c>
      <c r="B66" t="s">
        <v>348</v>
      </c>
      <c r="C66">
        <f>HYPERLINK("https://finance.naver.com/item/coinfo.nhn?code=109860", "A109860")</f>
        <v>0</v>
      </c>
      <c r="D66">
        <f>HYPERLINK("http://comp.fnguide.com/SVO2/ASP/SVD_Consensus.asp?pGB=1&amp;gicode=A109860&amp;cID=&amp;MenuYn=Y&amp;ReportGB=&amp;NewMenuID=108&amp;stkGb=701", "동일금속")</f>
        <v>0</v>
      </c>
      <c r="E66">
        <v>3</v>
      </c>
      <c r="F66">
        <v>13700</v>
      </c>
      <c r="G66">
        <v>0</v>
      </c>
      <c r="H66">
        <v>12.17</v>
      </c>
      <c r="I66">
        <v>20812</v>
      </c>
      <c r="J66">
        <v>20445</v>
      </c>
      <c r="K66">
        <v>20337</v>
      </c>
      <c r="L66">
        <v>-51.91</v>
      </c>
      <c r="M66">
        <v>-49.23</v>
      </c>
      <c r="N66">
        <v>-48.44</v>
      </c>
      <c r="O66">
        <v>8.550000000000001</v>
      </c>
      <c r="P66" t="b">
        <v>1</v>
      </c>
      <c r="Q66">
        <v>0</v>
      </c>
      <c r="R66">
        <v>949</v>
      </c>
      <c r="U66" t="s">
        <v>596</v>
      </c>
      <c r="V66" t="s">
        <v>844</v>
      </c>
      <c r="W66">
        <v>0</v>
      </c>
      <c r="X66">
        <v>231.9</v>
      </c>
      <c r="Y66" t="s">
        <v>1090</v>
      </c>
      <c r="Z66">
        <v>43.69916784184014</v>
      </c>
      <c r="AA66">
        <v>959</v>
      </c>
      <c r="AB66">
        <v>2847</v>
      </c>
      <c r="AC66" t="s">
        <v>1329</v>
      </c>
      <c r="AD66">
        <v>57.72</v>
      </c>
      <c r="AE66" t="s">
        <v>1577</v>
      </c>
      <c r="AF66" t="s">
        <v>1825</v>
      </c>
      <c r="AG66">
        <v>586</v>
      </c>
      <c r="AH66">
        <v>33</v>
      </c>
      <c r="AI66">
        <v>635894</v>
      </c>
      <c r="AJ66">
        <v>2.6</v>
      </c>
    </row>
    <row r="67" spans="1:36">
      <c r="A67" s="1" t="s">
        <v>101</v>
      </c>
      <c r="B67" t="s">
        <v>349</v>
      </c>
      <c r="C67">
        <f>HYPERLINK("https://finance.naver.com/item/coinfo.nhn?code=900310", "A900310")</f>
        <v>0</v>
      </c>
      <c r="D67">
        <f>HYPERLINK("http://comp.fnguide.com/SVO2/ASP/SVD_Consensus.asp?pGB=1&amp;gicode=A900310&amp;cID=&amp;MenuYn=Y&amp;ReportGB=&amp;NewMenuID=108&amp;stkGb=701", "컬러레이")</f>
        <v>0</v>
      </c>
      <c r="E67">
        <v>3</v>
      </c>
      <c r="F67">
        <v>2190</v>
      </c>
      <c r="G67">
        <v>0</v>
      </c>
      <c r="H67">
        <v>4.92</v>
      </c>
      <c r="I67">
        <v>6346</v>
      </c>
      <c r="J67">
        <v>4574</v>
      </c>
      <c r="K67">
        <v>4054</v>
      </c>
      <c r="L67">
        <v>-189.75</v>
      </c>
      <c r="M67">
        <v>-108.85</v>
      </c>
      <c r="N67">
        <v>-85.13</v>
      </c>
      <c r="O67">
        <v>15.71</v>
      </c>
      <c r="P67" t="b">
        <v>0</v>
      </c>
      <c r="Q67">
        <v>0</v>
      </c>
      <c r="R67">
        <v>408</v>
      </c>
      <c r="U67" t="s">
        <v>597</v>
      </c>
      <c r="V67" t="s">
        <v>845</v>
      </c>
      <c r="W67">
        <v>0</v>
      </c>
      <c r="X67">
        <v>-8.9</v>
      </c>
      <c r="Y67" t="s">
        <v>1091</v>
      </c>
      <c r="Z67">
        <v>-79.45672321288191</v>
      </c>
      <c r="AA67">
        <v>1183</v>
      </c>
      <c r="AB67">
        <v>337886</v>
      </c>
      <c r="AC67" t="s">
        <v>1330</v>
      </c>
      <c r="AD67">
        <v>54.03</v>
      </c>
      <c r="AE67" t="s">
        <v>1578</v>
      </c>
      <c r="AF67" t="s">
        <v>1826</v>
      </c>
      <c r="AG67">
        <v>737</v>
      </c>
      <c r="AH67">
        <v>298</v>
      </c>
    </row>
    <row r="68" spans="1:36">
      <c r="A68" s="1" t="s">
        <v>102</v>
      </c>
      <c r="B68" t="s">
        <v>350</v>
      </c>
      <c r="C68">
        <f>HYPERLINK("https://finance.naver.com/item/coinfo.nhn?code=004650", "A004650")</f>
        <v>0</v>
      </c>
      <c r="D68">
        <f>HYPERLINK("http://comp.fnguide.com/SVO2/ASP/SVD_Consensus.asp?pGB=1&amp;gicode=A004650&amp;cID=&amp;MenuYn=Y&amp;ReportGB=&amp;NewMenuID=108&amp;stkGb=701", "창해에탄올")</f>
        <v>0</v>
      </c>
      <c r="E68">
        <v>3</v>
      </c>
      <c r="F68">
        <v>14150</v>
      </c>
      <c r="G68">
        <v>0</v>
      </c>
      <c r="H68">
        <v>9.539999999999999</v>
      </c>
      <c r="I68">
        <v>23880</v>
      </c>
      <c r="J68">
        <v>19958</v>
      </c>
      <c r="K68">
        <v>18807</v>
      </c>
      <c r="L68">
        <v>-68.76000000000001</v>
      </c>
      <c r="M68">
        <v>-41.04</v>
      </c>
      <c r="N68">
        <v>-32.91</v>
      </c>
      <c r="O68">
        <v>11.49</v>
      </c>
      <c r="P68" t="b">
        <v>1</v>
      </c>
      <c r="Q68">
        <v>0</v>
      </c>
      <c r="R68">
        <v>1414</v>
      </c>
      <c r="U68" t="s">
        <v>598</v>
      </c>
      <c r="V68" t="s">
        <v>846</v>
      </c>
      <c r="W68">
        <v>0</v>
      </c>
      <c r="X68">
        <v>-10</v>
      </c>
      <c r="Y68" t="s">
        <v>1092</v>
      </c>
      <c r="Z68">
        <v>44.47767155673657</v>
      </c>
      <c r="AA68">
        <v>1301</v>
      </c>
      <c r="AB68">
        <v>49775</v>
      </c>
      <c r="AC68" t="s">
        <v>1331</v>
      </c>
      <c r="AD68">
        <v>27.14</v>
      </c>
      <c r="AE68" t="s">
        <v>1579</v>
      </c>
      <c r="AF68" t="s">
        <v>1827</v>
      </c>
      <c r="AG68">
        <v>1147</v>
      </c>
      <c r="AH68">
        <v>194</v>
      </c>
      <c r="AI68">
        <v>1603534</v>
      </c>
      <c r="AJ68">
        <v>4.44</v>
      </c>
    </row>
    <row r="69" spans="1:36">
      <c r="A69" s="1" t="s">
        <v>103</v>
      </c>
      <c r="B69" t="s">
        <v>351</v>
      </c>
      <c r="C69">
        <f>HYPERLINK("https://finance.naver.com/item/coinfo.nhn?code=000440", "A000440")</f>
        <v>0</v>
      </c>
      <c r="D69">
        <f>HYPERLINK("http://comp.fnguide.com/SVO2/ASP/SVD_Consensus.asp?pGB=1&amp;gicode=A000440&amp;cID=&amp;MenuYn=Y&amp;ReportGB=&amp;NewMenuID=108&amp;stkGb=701", "중앙에너비스")</f>
        <v>0</v>
      </c>
      <c r="E69">
        <v>3</v>
      </c>
      <c r="F69">
        <v>17400</v>
      </c>
      <c r="G69">
        <v>0</v>
      </c>
      <c r="H69">
        <v>3</v>
      </c>
      <c r="I69">
        <v>31421</v>
      </c>
      <c r="J69">
        <v>21048</v>
      </c>
      <c r="K69">
        <v>18006</v>
      </c>
      <c r="L69">
        <v>-80.58</v>
      </c>
      <c r="M69">
        <v>-20.97</v>
      </c>
      <c r="N69">
        <v>-3.48</v>
      </c>
      <c r="O69">
        <v>18.77</v>
      </c>
      <c r="P69" t="b">
        <v>1</v>
      </c>
      <c r="Q69">
        <v>0</v>
      </c>
      <c r="R69">
        <v>3083</v>
      </c>
      <c r="U69" t="s">
        <v>599</v>
      </c>
      <c r="V69" t="s">
        <v>847</v>
      </c>
      <c r="W69">
        <v>0</v>
      </c>
      <c r="X69">
        <v>1128.8</v>
      </c>
      <c r="Y69" t="s">
        <v>1093</v>
      </c>
      <c r="Z69">
        <v>194.8884995953216</v>
      </c>
      <c r="AA69">
        <v>1084</v>
      </c>
      <c r="AB69">
        <v>1248536</v>
      </c>
      <c r="AC69" t="s">
        <v>1332</v>
      </c>
      <c r="AD69">
        <v>49.88</v>
      </c>
      <c r="AE69" t="s">
        <v>1580</v>
      </c>
      <c r="AF69" t="s">
        <v>1828</v>
      </c>
      <c r="AG69">
        <v>536</v>
      </c>
      <c r="AH69">
        <v>1</v>
      </c>
      <c r="AI69">
        <v>1793295</v>
      </c>
      <c r="AJ69">
        <v>5.18</v>
      </c>
    </row>
    <row r="70" spans="1:36">
      <c r="A70" s="1" t="s">
        <v>104</v>
      </c>
      <c r="B70" t="s">
        <v>352</v>
      </c>
      <c r="C70">
        <f>HYPERLINK("https://finance.naver.com/item/coinfo.nhn?code=131030", "A131030")</f>
        <v>0</v>
      </c>
      <c r="D70">
        <f>HYPERLINK("http://comp.fnguide.com/SVO2/ASP/SVD_Consensus.asp?pGB=1&amp;gicode=A131030&amp;cID=&amp;MenuYn=Y&amp;ReportGB=&amp;NewMenuID=108&amp;stkGb=701", "디에이치피코리아")</f>
        <v>0</v>
      </c>
      <c r="E70">
        <v>3</v>
      </c>
      <c r="F70">
        <v>8300</v>
      </c>
      <c r="G70">
        <v>0</v>
      </c>
      <c r="H70">
        <v>9.609999999999999</v>
      </c>
      <c r="I70">
        <v>11606</v>
      </c>
      <c r="J70">
        <v>9124</v>
      </c>
      <c r="K70">
        <v>8396</v>
      </c>
      <c r="L70">
        <v>-39.84</v>
      </c>
      <c r="M70">
        <v>-9.93</v>
      </c>
      <c r="N70">
        <v>-1.16</v>
      </c>
      <c r="O70">
        <v>13</v>
      </c>
      <c r="P70" t="b">
        <v>1</v>
      </c>
      <c r="Q70">
        <v>0</v>
      </c>
      <c r="R70">
        <v>870</v>
      </c>
      <c r="U70" t="s">
        <v>600</v>
      </c>
      <c r="V70" t="s">
        <v>848</v>
      </c>
      <c r="W70">
        <v>0</v>
      </c>
      <c r="X70">
        <v>-55.7</v>
      </c>
      <c r="Y70" t="s">
        <v>1094</v>
      </c>
      <c r="Z70">
        <v>-11.10383159475015</v>
      </c>
      <c r="AA70">
        <v>1375</v>
      </c>
      <c r="AB70">
        <v>90280</v>
      </c>
      <c r="AC70" t="s">
        <v>1333</v>
      </c>
      <c r="AD70">
        <v>38.38</v>
      </c>
      <c r="AE70" t="s">
        <v>1581</v>
      </c>
      <c r="AF70" t="s">
        <v>1829</v>
      </c>
      <c r="AG70">
        <v>608</v>
      </c>
      <c r="AH70">
        <v>155</v>
      </c>
      <c r="AI70">
        <v>523536</v>
      </c>
      <c r="AJ70">
        <v>1.2</v>
      </c>
    </row>
    <row r="71" spans="1:36">
      <c r="A71" s="1" t="s">
        <v>105</v>
      </c>
      <c r="B71" t="s">
        <v>353</v>
      </c>
      <c r="C71">
        <f>HYPERLINK("https://finance.naver.com/item/coinfo.nhn?code=012700", "A012700")</f>
        <v>0</v>
      </c>
      <c r="D71">
        <f>HYPERLINK("http://comp.fnguide.com/SVO2/ASP/SVD_Consensus.asp?pGB=1&amp;gicode=A012700&amp;cID=&amp;MenuYn=Y&amp;ReportGB=&amp;NewMenuID=108&amp;stkGb=701", "리드코프")</f>
        <v>0</v>
      </c>
      <c r="E71">
        <v>3</v>
      </c>
      <c r="F71">
        <v>9140</v>
      </c>
      <c r="G71">
        <v>0</v>
      </c>
      <c r="H71">
        <v>4.03</v>
      </c>
      <c r="I71">
        <v>21989</v>
      </c>
      <c r="J71">
        <v>18463</v>
      </c>
      <c r="K71">
        <v>17429</v>
      </c>
      <c r="L71">
        <v>-140.58</v>
      </c>
      <c r="M71">
        <v>-102</v>
      </c>
      <c r="N71">
        <v>-90.68000000000001</v>
      </c>
      <c r="O71">
        <v>11.38</v>
      </c>
      <c r="P71" t="b">
        <v>1</v>
      </c>
      <c r="Q71">
        <v>0</v>
      </c>
      <c r="R71">
        <v>1735</v>
      </c>
      <c r="U71" t="s">
        <v>601</v>
      </c>
      <c r="V71" t="s">
        <v>849</v>
      </c>
      <c r="W71">
        <v>0</v>
      </c>
      <c r="X71">
        <v>7.8</v>
      </c>
      <c r="Y71" t="s">
        <v>1095</v>
      </c>
      <c r="Z71">
        <v>8.673670755073237</v>
      </c>
      <c r="AA71">
        <v>2417</v>
      </c>
      <c r="AB71">
        <v>102790</v>
      </c>
      <c r="AC71" t="s">
        <v>1334</v>
      </c>
      <c r="AD71">
        <v>40.16</v>
      </c>
      <c r="AE71" t="s">
        <v>1582</v>
      </c>
      <c r="AF71" t="s">
        <v>1830</v>
      </c>
      <c r="AG71">
        <v>3732</v>
      </c>
      <c r="AH71">
        <v>601</v>
      </c>
      <c r="AI71">
        <v>851283</v>
      </c>
      <c r="AJ71">
        <v>11.44</v>
      </c>
    </row>
    <row r="72" spans="1:36">
      <c r="A72" s="1" t="s">
        <v>106</v>
      </c>
      <c r="B72" t="s">
        <v>354</v>
      </c>
      <c r="C72">
        <f>HYPERLINK("https://finance.naver.com/item/coinfo.nhn?code=204270", "A204270")</f>
        <v>0</v>
      </c>
      <c r="D72">
        <f>HYPERLINK("http://comp.fnguide.com/SVO2/ASP/SVD_Consensus.asp?pGB=1&amp;gicode=A204270&amp;cID=&amp;MenuYn=Y&amp;ReportGB=&amp;NewMenuID=108&amp;stkGb=701", "제이앤티씨")</f>
        <v>0</v>
      </c>
      <c r="E72">
        <v>3</v>
      </c>
      <c r="F72">
        <v>9600</v>
      </c>
      <c r="G72">
        <v>0.37</v>
      </c>
      <c r="H72">
        <v>11.02</v>
      </c>
      <c r="I72">
        <v>18800</v>
      </c>
      <c r="J72">
        <v>11705</v>
      </c>
      <c r="K72">
        <v>9624</v>
      </c>
      <c r="L72">
        <v>-95.84</v>
      </c>
      <c r="M72">
        <v>-21.93</v>
      </c>
      <c r="N72">
        <v>-0.25</v>
      </c>
      <c r="O72">
        <v>22.91</v>
      </c>
      <c r="P72" t="b">
        <v>1</v>
      </c>
      <c r="Q72">
        <v>1</v>
      </c>
      <c r="R72">
        <v>1043</v>
      </c>
      <c r="S72">
        <v>1195</v>
      </c>
      <c r="T72">
        <v>14.6</v>
      </c>
      <c r="U72" t="s">
        <v>602</v>
      </c>
      <c r="V72" t="s">
        <v>850</v>
      </c>
      <c r="W72">
        <v>30.17915810994849</v>
      </c>
      <c r="X72">
        <v>-38.3</v>
      </c>
      <c r="Y72" t="s">
        <v>1096</v>
      </c>
      <c r="Z72">
        <v>27.43387801902448</v>
      </c>
      <c r="AA72">
        <v>5553</v>
      </c>
      <c r="AB72">
        <v>73791</v>
      </c>
      <c r="AC72" t="s">
        <v>1335</v>
      </c>
      <c r="AD72">
        <v>71.38</v>
      </c>
      <c r="AE72" t="s">
        <v>1583</v>
      </c>
      <c r="AF72" t="s">
        <v>1831</v>
      </c>
      <c r="AG72">
        <v>3478</v>
      </c>
      <c r="AH72">
        <v>749</v>
      </c>
      <c r="AI72">
        <v>779845</v>
      </c>
    </row>
    <row r="73" spans="1:36">
      <c r="A73" s="1" t="s">
        <v>107</v>
      </c>
      <c r="B73" t="s">
        <v>355</v>
      </c>
      <c r="C73">
        <f>HYPERLINK("https://finance.naver.com/item/coinfo.nhn?code=950190", "A950190")</f>
        <v>0</v>
      </c>
      <c r="D73">
        <f>HYPERLINK("http://comp.fnguide.com/SVO2/ASP/SVD_Consensus.asp?pGB=1&amp;gicode=A950190&amp;cID=&amp;MenuYn=Y&amp;ReportGB=&amp;NewMenuID=108&amp;stkGb=701", "미투젠")</f>
        <v>0</v>
      </c>
      <c r="E73">
        <v>3</v>
      </c>
      <c r="F73">
        <v>22150</v>
      </c>
      <c r="G73">
        <v>0</v>
      </c>
      <c r="H73">
        <v>8.1</v>
      </c>
      <c r="I73">
        <v>83831</v>
      </c>
      <c r="J73">
        <v>38944</v>
      </c>
      <c r="K73">
        <v>25779</v>
      </c>
      <c r="L73">
        <v>-278.47</v>
      </c>
      <c r="M73">
        <v>-75.81999999999999</v>
      </c>
      <c r="N73">
        <v>-16.38</v>
      </c>
      <c r="O73">
        <v>87.16</v>
      </c>
      <c r="P73" t="b">
        <v>0</v>
      </c>
      <c r="Q73">
        <v>0</v>
      </c>
      <c r="R73">
        <v>3271</v>
      </c>
      <c r="U73" t="s">
        <v>603</v>
      </c>
      <c r="V73" t="s">
        <v>851</v>
      </c>
      <c r="W73">
        <v>0</v>
      </c>
      <c r="X73">
        <v>-13.5</v>
      </c>
      <c r="Y73" t="s">
        <v>1097</v>
      </c>
      <c r="Z73">
        <v>0</v>
      </c>
      <c r="AA73">
        <v>3008</v>
      </c>
      <c r="AB73">
        <v>91602</v>
      </c>
      <c r="AC73" t="s">
        <v>1336</v>
      </c>
      <c r="AD73">
        <v>45.39</v>
      </c>
      <c r="AE73" t="s">
        <v>1584</v>
      </c>
      <c r="AF73" t="s">
        <v>1832</v>
      </c>
      <c r="AG73">
        <v>1130</v>
      </c>
      <c r="AH73">
        <v>474</v>
      </c>
      <c r="AI73">
        <v>14000</v>
      </c>
    </row>
    <row r="74" spans="1:36">
      <c r="A74" s="1" t="s">
        <v>108</v>
      </c>
      <c r="B74" t="s">
        <v>356</v>
      </c>
      <c r="C74">
        <f>HYPERLINK("https://finance.naver.com/item/coinfo.nhn?code=038540", "A038540")</f>
        <v>0</v>
      </c>
      <c r="D74">
        <f>HYPERLINK("http://comp.fnguide.com/SVO2/ASP/SVD_Consensus.asp?pGB=1&amp;gicode=A038540&amp;cID=&amp;MenuYn=Y&amp;ReportGB=&amp;NewMenuID=108&amp;stkGb=701", "상상인")</f>
        <v>0</v>
      </c>
      <c r="E74">
        <v>3</v>
      </c>
      <c r="F74">
        <v>7850</v>
      </c>
      <c r="G74">
        <v>0</v>
      </c>
      <c r="H74">
        <v>5.73</v>
      </c>
      <c r="I74">
        <v>26735</v>
      </c>
      <c r="J74">
        <v>17244</v>
      </c>
      <c r="K74">
        <v>14460</v>
      </c>
      <c r="L74">
        <v>-240.57</v>
      </c>
      <c r="M74">
        <v>-119.66</v>
      </c>
      <c r="N74">
        <v>-84.2</v>
      </c>
      <c r="O74">
        <v>20.74</v>
      </c>
      <c r="P74" t="b">
        <v>1</v>
      </c>
      <c r="Q74">
        <v>0</v>
      </c>
      <c r="R74">
        <v>1121</v>
      </c>
      <c r="U74" t="s">
        <v>604</v>
      </c>
      <c r="V74" t="s">
        <v>852</v>
      </c>
      <c r="W74">
        <v>0</v>
      </c>
      <c r="X74">
        <v>625.8</v>
      </c>
      <c r="Y74" t="s">
        <v>1098</v>
      </c>
      <c r="Z74">
        <v>46.46463763968305</v>
      </c>
      <c r="AA74">
        <v>4343</v>
      </c>
      <c r="AB74">
        <v>313037</v>
      </c>
      <c r="AC74" t="s">
        <v>1337</v>
      </c>
      <c r="AD74">
        <v>31.93</v>
      </c>
      <c r="AE74" t="s">
        <v>1585</v>
      </c>
      <c r="AF74" t="s">
        <v>1833</v>
      </c>
      <c r="AG74">
        <v>4542</v>
      </c>
      <c r="AH74">
        <v>941</v>
      </c>
      <c r="AI74">
        <v>604037</v>
      </c>
    </row>
    <row r="75" spans="1:36">
      <c r="A75" s="1" t="s">
        <v>109</v>
      </c>
      <c r="B75" t="s">
        <v>357</v>
      </c>
      <c r="C75">
        <f>HYPERLINK("https://finance.naver.com/item/coinfo.nhn?code=101930", "A101930")</f>
        <v>0</v>
      </c>
      <c r="D75">
        <f>HYPERLINK("http://comp.fnguide.com/SVO2/ASP/SVD_Consensus.asp?pGB=1&amp;gicode=A101930&amp;cID=&amp;MenuYn=Y&amp;ReportGB=&amp;NewMenuID=108&amp;stkGb=701", "인화정공")</f>
        <v>0</v>
      </c>
      <c r="E75">
        <v>3</v>
      </c>
      <c r="F75">
        <v>12400</v>
      </c>
      <c r="G75">
        <v>0</v>
      </c>
      <c r="H75">
        <v>2.06</v>
      </c>
      <c r="I75">
        <v>23096</v>
      </c>
      <c r="J75">
        <v>20025</v>
      </c>
      <c r="K75">
        <v>19124</v>
      </c>
      <c r="L75">
        <v>-86.25</v>
      </c>
      <c r="M75">
        <v>-61.49</v>
      </c>
      <c r="N75">
        <v>-54.23</v>
      </c>
      <c r="O75">
        <v>10.71</v>
      </c>
      <c r="P75" t="b">
        <v>1</v>
      </c>
      <c r="Q75">
        <v>0</v>
      </c>
      <c r="R75">
        <v>3394</v>
      </c>
      <c r="U75" t="s">
        <v>605</v>
      </c>
      <c r="V75" t="s">
        <v>853</v>
      </c>
      <c r="W75">
        <v>0</v>
      </c>
      <c r="X75">
        <v>0</v>
      </c>
      <c r="Y75" t="s">
        <v>1099</v>
      </c>
      <c r="Z75">
        <v>0</v>
      </c>
      <c r="AA75">
        <v>1157</v>
      </c>
      <c r="AB75">
        <v>38939</v>
      </c>
      <c r="AC75" t="s">
        <v>1338</v>
      </c>
      <c r="AD75">
        <v>50.81</v>
      </c>
      <c r="AE75" t="s">
        <v>1586</v>
      </c>
      <c r="AF75" t="s">
        <v>1834</v>
      </c>
      <c r="AG75">
        <v>1057</v>
      </c>
      <c r="AH75">
        <v>-6</v>
      </c>
      <c r="AI75">
        <v>150857</v>
      </c>
    </row>
    <row r="76" spans="1:36">
      <c r="A76" s="1" t="s">
        <v>110</v>
      </c>
      <c r="B76" t="s">
        <v>358</v>
      </c>
      <c r="C76">
        <f>HYPERLINK("https://finance.naver.com/item/coinfo.nhn?code=115310", "A115310")</f>
        <v>0</v>
      </c>
      <c r="D76">
        <f>HYPERLINK("http://comp.fnguide.com/SVO2/ASP/SVD_Consensus.asp?pGB=1&amp;gicode=A115310&amp;cID=&amp;MenuYn=Y&amp;ReportGB=&amp;NewMenuID=108&amp;stkGb=701", "인포바인")</f>
        <v>0</v>
      </c>
      <c r="E76">
        <v>3</v>
      </c>
      <c r="F76">
        <v>22500</v>
      </c>
      <c r="G76">
        <v>0</v>
      </c>
      <c r="H76">
        <v>9.119999999999999</v>
      </c>
      <c r="I76">
        <v>48087</v>
      </c>
      <c r="J76">
        <v>44267</v>
      </c>
      <c r="K76">
        <v>43147</v>
      </c>
      <c r="L76">
        <v>-113.72</v>
      </c>
      <c r="M76">
        <v>-96.73999999999999</v>
      </c>
      <c r="N76">
        <v>-91.76000000000001</v>
      </c>
      <c r="O76">
        <v>9.59</v>
      </c>
      <c r="P76" t="b">
        <v>1</v>
      </c>
      <c r="Q76">
        <v>0</v>
      </c>
      <c r="R76">
        <v>2072</v>
      </c>
      <c r="U76" t="s">
        <v>606</v>
      </c>
      <c r="V76" t="s">
        <v>854</v>
      </c>
      <c r="W76">
        <v>0</v>
      </c>
      <c r="X76">
        <v>-3.8</v>
      </c>
      <c r="Y76" t="s">
        <v>1100</v>
      </c>
      <c r="Z76">
        <v>-10.57168763851034</v>
      </c>
      <c r="AA76">
        <v>718</v>
      </c>
      <c r="AB76">
        <v>2991</v>
      </c>
      <c r="AC76" t="s">
        <v>1339</v>
      </c>
      <c r="AD76">
        <v>17.43</v>
      </c>
      <c r="AE76" t="s">
        <v>1587</v>
      </c>
      <c r="AF76" t="s">
        <v>1835</v>
      </c>
      <c r="AG76">
        <v>192</v>
      </c>
      <c r="AH76">
        <v>81</v>
      </c>
      <c r="AI76">
        <v>1050332</v>
      </c>
      <c r="AJ76">
        <v>4.76</v>
      </c>
    </row>
    <row r="77" spans="1:36">
      <c r="A77" s="1" t="s">
        <v>111</v>
      </c>
      <c r="B77" t="s">
        <v>359</v>
      </c>
      <c r="C77">
        <f>HYPERLINK("https://finance.naver.com/item/coinfo.nhn?code=141000", "A141000")</f>
        <v>0</v>
      </c>
      <c r="D77">
        <f>HYPERLINK("http://comp.fnguide.com/SVO2/ASP/SVD_Consensus.asp?pGB=1&amp;gicode=A141000&amp;cID=&amp;MenuYn=Y&amp;ReportGB=&amp;NewMenuID=108&amp;stkGb=701", "비아트론")</f>
        <v>0</v>
      </c>
      <c r="E77">
        <v>3</v>
      </c>
      <c r="F77">
        <v>11150</v>
      </c>
      <c r="G77">
        <v>0</v>
      </c>
      <c r="H77">
        <v>8.99</v>
      </c>
      <c r="I77">
        <v>14361</v>
      </c>
      <c r="J77">
        <v>12960</v>
      </c>
      <c r="K77">
        <v>12549</v>
      </c>
      <c r="L77">
        <v>-28.8</v>
      </c>
      <c r="M77">
        <v>-16.23</v>
      </c>
      <c r="N77">
        <v>-12.55</v>
      </c>
      <c r="O77">
        <v>9.94</v>
      </c>
      <c r="P77" t="b">
        <v>1</v>
      </c>
      <c r="Q77">
        <v>0</v>
      </c>
      <c r="R77">
        <v>1212</v>
      </c>
      <c r="U77" t="s">
        <v>607</v>
      </c>
      <c r="V77" t="s">
        <v>855</v>
      </c>
      <c r="W77">
        <v>0</v>
      </c>
      <c r="X77">
        <v>28.6</v>
      </c>
      <c r="Y77" t="s">
        <v>1101</v>
      </c>
      <c r="Z77">
        <v>6.95734060781803</v>
      </c>
      <c r="AA77">
        <v>1351</v>
      </c>
      <c r="AB77">
        <v>78799</v>
      </c>
      <c r="AC77" t="s">
        <v>1340</v>
      </c>
      <c r="AD77">
        <v>19.07</v>
      </c>
      <c r="AE77" t="s">
        <v>1588</v>
      </c>
      <c r="AF77" t="s">
        <v>1836</v>
      </c>
      <c r="AG77">
        <v>926</v>
      </c>
      <c r="AH77">
        <v>167</v>
      </c>
      <c r="AJ77">
        <v>0.92</v>
      </c>
    </row>
    <row r="78" spans="1:36">
      <c r="A78" s="1" t="s">
        <v>112</v>
      </c>
      <c r="B78" t="s">
        <v>360</v>
      </c>
      <c r="C78">
        <f>HYPERLINK("https://finance.naver.com/item/coinfo.nhn?code=035810", "A035810")</f>
        <v>0</v>
      </c>
      <c r="D78">
        <f>HYPERLINK("http://comp.fnguide.com/SVO2/ASP/SVD_Consensus.asp?pGB=1&amp;gicode=A035810&amp;cID=&amp;MenuYn=Y&amp;ReportGB=&amp;NewMenuID=108&amp;stkGb=701", "이지홀딩스")</f>
        <v>0</v>
      </c>
      <c r="E78">
        <v>3</v>
      </c>
      <c r="F78">
        <v>5070</v>
      </c>
      <c r="G78">
        <v>0</v>
      </c>
      <c r="H78">
        <v>2.51</v>
      </c>
      <c r="I78">
        <v>10480</v>
      </c>
      <c r="J78">
        <v>8387</v>
      </c>
      <c r="K78">
        <v>7774</v>
      </c>
      <c r="L78">
        <v>-106.71</v>
      </c>
      <c r="M78">
        <v>-65.43000000000001</v>
      </c>
      <c r="N78">
        <v>-53.33</v>
      </c>
      <c r="O78">
        <v>12.53</v>
      </c>
      <c r="P78" t="b">
        <v>1</v>
      </c>
      <c r="Q78">
        <v>0</v>
      </c>
      <c r="R78">
        <v>1633</v>
      </c>
      <c r="U78" t="s">
        <v>608</v>
      </c>
      <c r="V78" t="s">
        <v>856</v>
      </c>
      <c r="W78">
        <v>0</v>
      </c>
      <c r="X78">
        <v>-13.1</v>
      </c>
      <c r="Y78" t="s">
        <v>1102</v>
      </c>
      <c r="Z78">
        <v>26.52668024126486</v>
      </c>
      <c r="AA78">
        <v>3303</v>
      </c>
      <c r="AB78">
        <v>899499</v>
      </c>
      <c r="AC78" t="s">
        <v>1341</v>
      </c>
      <c r="AD78">
        <v>39.13</v>
      </c>
      <c r="AE78" t="s">
        <v>1589</v>
      </c>
      <c r="AF78" t="s">
        <v>1837</v>
      </c>
      <c r="AG78">
        <v>16083</v>
      </c>
      <c r="AH78">
        <v>470</v>
      </c>
      <c r="AI78">
        <v>9658</v>
      </c>
      <c r="AJ78">
        <v>1.22</v>
      </c>
    </row>
    <row r="79" spans="1:36">
      <c r="A79" s="1" t="s">
        <v>113</v>
      </c>
      <c r="B79" t="s">
        <v>361</v>
      </c>
      <c r="C79">
        <f>HYPERLINK("https://finance.naver.com/item/coinfo.nhn?code=023600", "A023600")</f>
        <v>0</v>
      </c>
      <c r="D79">
        <f>HYPERLINK("http://comp.fnguide.com/SVO2/ASP/SVD_Consensus.asp?pGB=1&amp;gicode=A023600&amp;cID=&amp;MenuYn=Y&amp;ReportGB=&amp;NewMenuID=108&amp;stkGb=701", "삼보판지")</f>
        <v>0</v>
      </c>
      <c r="E79">
        <v>3</v>
      </c>
      <c r="F79">
        <v>17100</v>
      </c>
      <c r="G79">
        <v>0</v>
      </c>
      <c r="H79">
        <v>5.36</v>
      </c>
      <c r="I79">
        <v>31903</v>
      </c>
      <c r="J79">
        <v>27544</v>
      </c>
      <c r="K79">
        <v>26265</v>
      </c>
      <c r="L79">
        <v>-86.56999999999999</v>
      </c>
      <c r="M79">
        <v>-61.07</v>
      </c>
      <c r="N79">
        <v>-53.6</v>
      </c>
      <c r="O79">
        <v>10.79</v>
      </c>
      <c r="P79" t="b">
        <v>1</v>
      </c>
      <c r="Q79">
        <v>0</v>
      </c>
      <c r="R79">
        <v>2241</v>
      </c>
      <c r="U79" t="s">
        <v>609</v>
      </c>
      <c r="V79" t="s">
        <v>857</v>
      </c>
      <c r="W79">
        <v>0</v>
      </c>
      <c r="X79">
        <v>74</v>
      </c>
      <c r="Y79" t="s">
        <v>1103</v>
      </c>
      <c r="Z79">
        <v>15.27763015908943</v>
      </c>
      <c r="AA79">
        <v>2765</v>
      </c>
      <c r="AB79">
        <v>104469</v>
      </c>
      <c r="AC79" t="s">
        <v>1342</v>
      </c>
      <c r="AD79">
        <v>63.47</v>
      </c>
      <c r="AE79" t="s">
        <v>1590</v>
      </c>
      <c r="AF79" t="s">
        <v>1838</v>
      </c>
      <c r="AG79">
        <v>4034</v>
      </c>
      <c r="AH79">
        <v>469</v>
      </c>
      <c r="AI79">
        <v>202211</v>
      </c>
      <c r="AJ79">
        <v>1.04</v>
      </c>
    </row>
    <row r="80" spans="1:36">
      <c r="A80" s="1" t="s">
        <v>114</v>
      </c>
      <c r="B80" t="s">
        <v>362</v>
      </c>
      <c r="C80">
        <f>HYPERLINK("https://finance.naver.com/item/coinfo.nhn?code=037460", "A037460")</f>
        <v>0</v>
      </c>
      <c r="D80">
        <f>HYPERLINK("http://comp.fnguide.com/SVO2/ASP/SVD_Consensus.asp?pGB=1&amp;gicode=A037460&amp;cID=&amp;MenuYn=Y&amp;ReportGB=&amp;NewMenuID=108&amp;stkGb=701", "삼지전자")</f>
        <v>0</v>
      </c>
      <c r="E80">
        <v>3</v>
      </c>
      <c r="F80">
        <v>14350</v>
      </c>
      <c r="G80">
        <v>0</v>
      </c>
      <c r="H80">
        <v>7.49</v>
      </c>
      <c r="I80">
        <v>17309</v>
      </c>
      <c r="J80">
        <v>15544</v>
      </c>
      <c r="K80">
        <v>15026</v>
      </c>
      <c r="L80">
        <v>-20.62</v>
      </c>
      <c r="M80">
        <v>-8.32</v>
      </c>
      <c r="N80">
        <v>-4.71</v>
      </c>
      <c r="O80">
        <v>10.03</v>
      </c>
      <c r="P80" t="b">
        <v>1</v>
      </c>
      <c r="Q80">
        <v>0</v>
      </c>
      <c r="R80">
        <v>1649</v>
      </c>
      <c r="U80" t="s">
        <v>610</v>
      </c>
      <c r="V80" t="s">
        <v>858</v>
      </c>
      <c r="W80">
        <v>0</v>
      </c>
      <c r="X80">
        <v>-32.5</v>
      </c>
      <c r="Y80" t="s">
        <v>1104</v>
      </c>
      <c r="Z80">
        <v>-4.309123225946854</v>
      </c>
      <c r="AA80">
        <v>2342</v>
      </c>
      <c r="AB80">
        <v>228012</v>
      </c>
      <c r="AC80" t="s">
        <v>1343</v>
      </c>
      <c r="AD80">
        <v>46.69</v>
      </c>
      <c r="AE80" t="s">
        <v>1591</v>
      </c>
      <c r="AF80" t="s">
        <v>1839</v>
      </c>
      <c r="AG80">
        <v>15895</v>
      </c>
      <c r="AH80">
        <v>481</v>
      </c>
      <c r="AI80">
        <v>983010</v>
      </c>
      <c r="AJ80">
        <v>2.43</v>
      </c>
    </row>
    <row r="81" spans="1:36">
      <c r="A81" s="1" t="s">
        <v>115</v>
      </c>
      <c r="B81" t="s">
        <v>363</v>
      </c>
      <c r="C81">
        <f>HYPERLINK("https://finance.naver.com/item/coinfo.nhn?code=032750", "A032750")</f>
        <v>0</v>
      </c>
      <c r="D81">
        <f>HYPERLINK("http://comp.fnguide.com/SVO2/ASP/SVD_Consensus.asp?pGB=1&amp;gicode=A032750&amp;cID=&amp;MenuYn=Y&amp;ReportGB=&amp;NewMenuID=108&amp;stkGb=701", "삼진")</f>
        <v>0</v>
      </c>
      <c r="E81">
        <v>3</v>
      </c>
      <c r="F81">
        <v>11850</v>
      </c>
      <c r="G81">
        <v>0</v>
      </c>
      <c r="H81">
        <v>10.16</v>
      </c>
      <c r="I81">
        <v>16876</v>
      </c>
      <c r="J81">
        <v>14927</v>
      </c>
      <c r="K81">
        <v>14356</v>
      </c>
      <c r="L81">
        <v>-42.41</v>
      </c>
      <c r="M81">
        <v>-25.97</v>
      </c>
      <c r="N81">
        <v>-21.15</v>
      </c>
      <c r="O81">
        <v>10.31</v>
      </c>
      <c r="P81" t="b">
        <v>1</v>
      </c>
      <c r="Q81">
        <v>0</v>
      </c>
      <c r="R81">
        <v>1102</v>
      </c>
      <c r="U81" t="s">
        <v>611</v>
      </c>
      <c r="V81" t="s">
        <v>859</v>
      </c>
      <c r="W81">
        <v>0</v>
      </c>
      <c r="X81">
        <v>15.1</v>
      </c>
      <c r="Y81" t="s">
        <v>1105</v>
      </c>
      <c r="Z81">
        <v>5.61106518853427</v>
      </c>
      <c r="AA81">
        <v>711</v>
      </c>
      <c r="AB81">
        <v>14661</v>
      </c>
      <c r="AC81" t="s">
        <v>1344</v>
      </c>
      <c r="AD81">
        <v>44.13</v>
      </c>
      <c r="AE81" t="s">
        <v>1592</v>
      </c>
      <c r="AF81" t="s">
        <v>1840</v>
      </c>
      <c r="AG81">
        <v>1290</v>
      </c>
      <c r="AH81">
        <v>115</v>
      </c>
      <c r="AJ81">
        <v>1.79</v>
      </c>
    </row>
    <row r="82" spans="1:36">
      <c r="A82" s="1" t="s">
        <v>116</v>
      </c>
      <c r="B82" t="s">
        <v>364</v>
      </c>
      <c r="C82">
        <f>HYPERLINK("https://finance.naver.com/item/coinfo.nhn?code=002020", "A002020")</f>
        <v>0</v>
      </c>
      <c r="D82">
        <f>HYPERLINK("http://comp.fnguide.com/SVO2/ASP/SVD_Consensus.asp?pGB=1&amp;gicode=A002020&amp;cID=&amp;MenuYn=Y&amp;ReportGB=&amp;NewMenuID=108&amp;stkGb=701", "코오롱")</f>
        <v>0</v>
      </c>
      <c r="E82">
        <v>3</v>
      </c>
      <c r="F82">
        <v>30000</v>
      </c>
      <c r="G82">
        <v>0</v>
      </c>
      <c r="H82">
        <v>2</v>
      </c>
      <c r="I82">
        <v>78247</v>
      </c>
      <c r="J82">
        <v>65729</v>
      </c>
      <c r="K82">
        <v>62058</v>
      </c>
      <c r="L82">
        <v>-160.82</v>
      </c>
      <c r="M82">
        <v>-119.1</v>
      </c>
      <c r="N82">
        <v>-106.86</v>
      </c>
      <c r="O82">
        <v>11.38</v>
      </c>
      <c r="P82" t="b">
        <v>1</v>
      </c>
      <c r="Q82">
        <v>0</v>
      </c>
      <c r="R82">
        <v>10892</v>
      </c>
      <c r="U82" t="s">
        <v>612</v>
      </c>
      <c r="V82" t="s">
        <v>860</v>
      </c>
      <c r="W82">
        <v>0</v>
      </c>
      <c r="X82">
        <v>-35.2</v>
      </c>
      <c r="Y82" t="s">
        <v>1106</v>
      </c>
      <c r="Z82">
        <v>65.24745081241041</v>
      </c>
      <c r="AA82">
        <v>3788</v>
      </c>
      <c r="AB82">
        <v>34273</v>
      </c>
      <c r="AC82" t="s">
        <v>1345</v>
      </c>
      <c r="AD82">
        <v>52.22</v>
      </c>
      <c r="AE82" t="s">
        <v>1593</v>
      </c>
      <c r="AF82" t="s">
        <v>1841</v>
      </c>
      <c r="AG82">
        <v>48902</v>
      </c>
      <c r="AH82">
        <v>2714</v>
      </c>
      <c r="AJ82">
        <v>2.29</v>
      </c>
    </row>
    <row r="83" spans="1:36">
      <c r="A83" s="1" t="s">
        <v>117</v>
      </c>
      <c r="B83" t="s">
        <v>365</v>
      </c>
      <c r="C83">
        <f>HYPERLINK("https://finance.naver.com/item/coinfo.nhn?code=053690", "A053690")</f>
        <v>0</v>
      </c>
      <c r="D83">
        <f>HYPERLINK("http://comp.fnguide.com/SVO2/ASP/SVD_Consensus.asp?pGB=1&amp;gicode=A053690&amp;cID=&amp;MenuYn=Y&amp;ReportGB=&amp;NewMenuID=108&amp;stkGb=701", "한미글로벌")</f>
        <v>0</v>
      </c>
      <c r="E83">
        <v>3</v>
      </c>
      <c r="F83">
        <v>12450</v>
      </c>
      <c r="G83">
        <v>0.6</v>
      </c>
      <c r="H83">
        <v>12.31</v>
      </c>
      <c r="I83">
        <v>18272</v>
      </c>
      <c r="J83">
        <v>14952</v>
      </c>
      <c r="K83">
        <v>13979</v>
      </c>
      <c r="L83">
        <v>-46.76</v>
      </c>
      <c r="M83">
        <v>-20.1</v>
      </c>
      <c r="N83">
        <v>-12.28</v>
      </c>
      <c r="O83">
        <v>11.98</v>
      </c>
      <c r="P83" t="b">
        <v>1</v>
      </c>
      <c r="Q83">
        <v>1</v>
      </c>
      <c r="R83">
        <v>849</v>
      </c>
      <c r="S83">
        <v>1113</v>
      </c>
      <c r="T83">
        <v>31.1</v>
      </c>
      <c r="U83" t="s">
        <v>613</v>
      </c>
      <c r="V83" t="s">
        <v>861</v>
      </c>
      <c r="W83">
        <v>20.41794722764794</v>
      </c>
      <c r="X83">
        <v>89.5</v>
      </c>
      <c r="Y83" t="s">
        <v>1107</v>
      </c>
      <c r="Z83">
        <v>13.3932267972944</v>
      </c>
      <c r="AA83">
        <v>1364</v>
      </c>
      <c r="AB83">
        <v>541935</v>
      </c>
      <c r="AC83" t="s">
        <v>1346</v>
      </c>
      <c r="AD83">
        <v>24.2</v>
      </c>
      <c r="AE83" t="s">
        <v>1594</v>
      </c>
      <c r="AF83" t="s">
        <v>1842</v>
      </c>
      <c r="AG83">
        <v>2326</v>
      </c>
      <c r="AH83">
        <v>165</v>
      </c>
      <c r="AI83">
        <v>1536000</v>
      </c>
      <c r="AJ83">
        <v>2.87</v>
      </c>
    </row>
    <row r="84" spans="1:36">
      <c r="A84" s="1" t="s">
        <v>118</v>
      </c>
      <c r="B84" t="s">
        <v>366</v>
      </c>
      <c r="C84">
        <f>HYPERLINK("https://finance.naver.com/item/coinfo.nhn?code=007340", "A007340")</f>
        <v>0</v>
      </c>
      <c r="D84">
        <f>HYPERLINK("http://comp.fnguide.com/SVO2/ASP/SVD_Consensus.asp?pGB=1&amp;gicode=A007340&amp;cID=&amp;MenuYn=Y&amp;ReportGB=&amp;NewMenuID=108&amp;stkGb=701", "디티알오토모티브")</f>
        <v>0</v>
      </c>
      <c r="E84">
        <v>3</v>
      </c>
      <c r="F84">
        <v>37800</v>
      </c>
      <c r="G84">
        <v>0</v>
      </c>
      <c r="H84">
        <v>5.6</v>
      </c>
      <c r="I84">
        <v>82012</v>
      </c>
      <c r="J84">
        <v>76485</v>
      </c>
      <c r="K84">
        <v>74864</v>
      </c>
      <c r="L84">
        <v>-116.96</v>
      </c>
      <c r="M84">
        <v>-102.34</v>
      </c>
      <c r="N84">
        <v>-98.05</v>
      </c>
      <c r="O84">
        <v>9.369999999999999</v>
      </c>
      <c r="P84" t="b">
        <v>1</v>
      </c>
      <c r="Q84">
        <v>0</v>
      </c>
      <c r="R84">
        <v>4596</v>
      </c>
      <c r="U84" t="s">
        <v>614</v>
      </c>
      <c r="V84" t="s">
        <v>862</v>
      </c>
      <c r="W84">
        <v>0</v>
      </c>
      <c r="X84">
        <v>1.1</v>
      </c>
      <c r="Y84" t="s">
        <v>1108</v>
      </c>
      <c r="Z84">
        <v>6.627333167827976</v>
      </c>
      <c r="AA84">
        <v>3778</v>
      </c>
      <c r="AB84">
        <v>22170</v>
      </c>
      <c r="AC84" t="s">
        <v>1347</v>
      </c>
      <c r="AD84">
        <v>50.89</v>
      </c>
      <c r="AE84" t="s">
        <v>1595</v>
      </c>
      <c r="AF84" t="s">
        <v>1843</v>
      </c>
      <c r="AG84">
        <v>8239</v>
      </c>
      <c r="AH84">
        <v>714</v>
      </c>
      <c r="AI84">
        <v>1375880</v>
      </c>
      <c r="AJ84">
        <v>7.77</v>
      </c>
    </row>
    <row r="85" spans="1:36">
      <c r="A85" s="1" t="s">
        <v>119</v>
      </c>
      <c r="B85" t="s">
        <v>367</v>
      </c>
      <c r="C85">
        <f>HYPERLINK("https://finance.naver.com/item/coinfo.nhn?code=024090", "A024090")</f>
        <v>0</v>
      </c>
      <c r="D85">
        <f>HYPERLINK("http://comp.fnguide.com/SVO2/ASP/SVD_Consensus.asp?pGB=1&amp;gicode=A024090&amp;cID=&amp;MenuYn=Y&amp;ReportGB=&amp;NewMenuID=108&amp;stkGb=701", "디씨엠")</f>
        <v>0</v>
      </c>
      <c r="E85">
        <v>3</v>
      </c>
      <c r="F85">
        <v>18150</v>
      </c>
      <c r="G85">
        <v>0</v>
      </c>
      <c r="H85">
        <v>7.18</v>
      </c>
      <c r="I85">
        <v>27092</v>
      </c>
      <c r="J85">
        <v>23232</v>
      </c>
      <c r="K85">
        <v>22100</v>
      </c>
      <c r="L85">
        <v>-49.27</v>
      </c>
      <c r="M85">
        <v>-28</v>
      </c>
      <c r="N85">
        <v>-21.77</v>
      </c>
      <c r="O85">
        <v>10.93</v>
      </c>
      <c r="P85" t="b">
        <v>1</v>
      </c>
      <c r="Q85">
        <v>0</v>
      </c>
      <c r="R85">
        <v>1706</v>
      </c>
      <c r="U85" t="s">
        <v>615</v>
      </c>
      <c r="V85" t="s">
        <v>863</v>
      </c>
      <c r="W85">
        <v>0</v>
      </c>
      <c r="X85">
        <v>309.8</v>
      </c>
      <c r="Y85" t="s">
        <v>1109</v>
      </c>
      <c r="Z85">
        <v>37.83608117858333</v>
      </c>
      <c r="AA85">
        <v>2124</v>
      </c>
      <c r="AB85">
        <v>30181</v>
      </c>
      <c r="AC85" t="s">
        <v>1348</v>
      </c>
      <c r="AD85">
        <v>44.57</v>
      </c>
      <c r="AE85" t="s">
        <v>1596</v>
      </c>
      <c r="AF85" t="s">
        <v>1844</v>
      </c>
      <c r="AG85">
        <v>1654</v>
      </c>
      <c r="AH85">
        <v>147</v>
      </c>
      <c r="AI85">
        <v>2511909</v>
      </c>
      <c r="AJ85">
        <v>4.08</v>
      </c>
    </row>
    <row r="86" spans="1:36">
      <c r="A86" s="1" t="s">
        <v>120</v>
      </c>
      <c r="B86" t="s">
        <v>368</v>
      </c>
      <c r="C86">
        <f>HYPERLINK("https://finance.naver.com/item/coinfo.nhn?code=001680", "A001680")</f>
        <v>0</v>
      </c>
      <c r="D86">
        <f>HYPERLINK("http://comp.fnguide.com/SVO2/ASP/SVD_Consensus.asp?pGB=1&amp;gicode=A001680&amp;cID=&amp;MenuYn=Y&amp;ReportGB=&amp;NewMenuID=108&amp;stkGb=701", "대상")</f>
        <v>0</v>
      </c>
      <c r="E86">
        <v>3</v>
      </c>
      <c r="F86">
        <v>29550</v>
      </c>
      <c r="G86">
        <v>0.28</v>
      </c>
      <c r="H86">
        <v>7.5</v>
      </c>
      <c r="I86">
        <v>41287</v>
      </c>
      <c r="J86">
        <v>35360</v>
      </c>
      <c r="K86">
        <v>33622</v>
      </c>
      <c r="L86">
        <v>-39.72</v>
      </c>
      <c r="M86">
        <v>-19.66</v>
      </c>
      <c r="N86">
        <v>-13.78</v>
      </c>
      <c r="O86">
        <v>10.96</v>
      </c>
      <c r="P86" t="b">
        <v>1</v>
      </c>
      <c r="Q86">
        <v>3</v>
      </c>
      <c r="R86">
        <v>3473</v>
      </c>
      <c r="S86">
        <v>3688</v>
      </c>
      <c r="T86">
        <v>6.2</v>
      </c>
      <c r="U86" t="s">
        <v>616</v>
      </c>
      <c r="V86" t="s">
        <v>864</v>
      </c>
      <c r="W86">
        <v>26.97994615881167</v>
      </c>
      <c r="X86">
        <v>-23.4</v>
      </c>
      <c r="Y86" t="s">
        <v>1110</v>
      </c>
      <c r="Z86">
        <v>8.188472172618422</v>
      </c>
      <c r="AA86">
        <v>10238</v>
      </c>
      <c r="AB86">
        <v>301501</v>
      </c>
      <c r="AC86" t="s">
        <v>1349</v>
      </c>
      <c r="AD86">
        <v>44.74</v>
      </c>
      <c r="AE86" t="s">
        <v>1597</v>
      </c>
      <c r="AF86" t="s">
        <v>1845</v>
      </c>
      <c r="AG86">
        <v>31132</v>
      </c>
      <c r="AH86">
        <v>1744</v>
      </c>
      <c r="AJ86">
        <v>2.69</v>
      </c>
    </row>
    <row r="87" spans="1:36">
      <c r="A87" s="1" t="s">
        <v>121</v>
      </c>
      <c r="B87" t="s">
        <v>369</v>
      </c>
      <c r="C87">
        <f>HYPERLINK("https://finance.naver.com/item/coinfo.nhn?code=084690", "A084690")</f>
        <v>0</v>
      </c>
      <c r="D87">
        <f>HYPERLINK("http://comp.fnguide.com/SVO2/ASP/SVD_Consensus.asp?pGB=1&amp;gicode=A084690&amp;cID=&amp;MenuYn=Y&amp;ReportGB=&amp;NewMenuID=108&amp;stkGb=701", "대상홀딩스")</f>
        <v>0</v>
      </c>
      <c r="E87">
        <v>3</v>
      </c>
      <c r="F87">
        <v>12400</v>
      </c>
      <c r="G87">
        <v>0</v>
      </c>
      <c r="H87">
        <v>4.32</v>
      </c>
      <c r="I87">
        <v>26571</v>
      </c>
      <c r="J87">
        <v>21518</v>
      </c>
      <c r="K87">
        <v>20036</v>
      </c>
      <c r="L87">
        <v>-114.28</v>
      </c>
      <c r="M87">
        <v>-73.53</v>
      </c>
      <c r="N87">
        <v>-61.58</v>
      </c>
      <c r="O87">
        <v>12.23</v>
      </c>
      <c r="P87" t="b">
        <v>1</v>
      </c>
      <c r="Q87">
        <v>0</v>
      </c>
      <c r="R87">
        <v>2360</v>
      </c>
      <c r="U87" t="s">
        <v>617</v>
      </c>
      <c r="V87" t="s">
        <v>865</v>
      </c>
      <c r="W87">
        <v>0</v>
      </c>
      <c r="X87">
        <v>-33</v>
      </c>
      <c r="Y87" t="s">
        <v>1111</v>
      </c>
      <c r="Z87">
        <v>15.3890602002315</v>
      </c>
      <c r="AA87">
        <v>4490</v>
      </c>
      <c r="AB87">
        <v>129476</v>
      </c>
      <c r="AC87" t="s">
        <v>1350</v>
      </c>
      <c r="AD87">
        <v>67.3</v>
      </c>
      <c r="AE87" t="s">
        <v>1598</v>
      </c>
      <c r="AF87" t="s">
        <v>1846</v>
      </c>
      <c r="AG87">
        <v>37543</v>
      </c>
      <c r="AH87">
        <v>2070</v>
      </c>
      <c r="AJ87">
        <v>2.16</v>
      </c>
    </row>
    <row r="88" spans="1:36">
      <c r="A88" s="1" t="s">
        <v>122</v>
      </c>
      <c r="B88" t="s">
        <v>370</v>
      </c>
      <c r="C88">
        <f>HYPERLINK("https://finance.naver.com/item/coinfo.nhn?code=034810", "A034810")</f>
        <v>0</v>
      </c>
      <c r="D88">
        <f>HYPERLINK("http://comp.fnguide.com/SVO2/ASP/SVD_Consensus.asp?pGB=1&amp;gicode=A034810&amp;cID=&amp;MenuYn=Y&amp;ReportGB=&amp;NewMenuID=108&amp;stkGb=701", "해성산업")</f>
        <v>0</v>
      </c>
      <c r="E88">
        <v>3</v>
      </c>
      <c r="F88">
        <v>16250</v>
      </c>
      <c r="G88">
        <v>0</v>
      </c>
      <c r="H88">
        <v>0.49</v>
      </c>
      <c r="I88">
        <v>133822</v>
      </c>
      <c r="J88">
        <v>68579</v>
      </c>
      <c r="K88">
        <v>49444</v>
      </c>
      <c r="L88">
        <v>-723.52</v>
      </c>
      <c r="M88">
        <v>-322.03</v>
      </c>
      <c r="N88">
        <v>-204.27</v>
      </c>
      <c r="O88">
        <v>47.11</v>
      </c>
      <c r="P88" t="b">
        <v>1</v>
      </c>
      <c r="Q88">
        <v>0</v>
      </c>
      <c r="R88">
        <v>24709</v>
      </c>
      <c r="U88" t="s">
        <v>618</v>
      </c>
      <c r="V88" t="s">
        <v>866</v>
      </c>
      <c r="W88">
        <v>0</v>
      </c>
      <c r="X88">
        <v>10295</v>
      </c>
      <c r="Y88" t="s">
        <v>1112</v>
      </c>
      <c r="Z88">
        <v>129.8987905818248</v>
      </c>
      <c r="AA88">
        <v>4283</v>
      </c>
      <c r="AB88">
        <v>251794</v>
      </c>
      <c r="AC88" t="s">
        <v>1351</v>
      </c>
      <c r="AD88">
        <v>63.91</v>
      </c>
      <c r="AE88" t="s">
        <v>1599</v>
      </c>
      <c r="AF88" t="s">
        <v>1847</v>
      </c>
      <c r="AG88">
        <v>4794</v>
      </c>
      <c r="AH88">
        <v>231</v>
      </c>
      <c r="AI88">
        <v>764637</v>
      </c>
      <c r="AJ88">
        <v>1.43</v>
      </c>
    </row>
    <row r="89" spans="1:36">
      <c r="A89" s="1" t="s">
        <v>123</v>
      </c>
      <c r="B89" t="s">
        <v>371</v>
      </c>
      <c r="C89">
        <f>HYPERLINK("https://finance.naver.com/item/coinfo.nhn?code=046110", "A046110")</f>
        <v>0</v>
      </c>
      <c r="D89">
        <f>HYPERLINK("http://comp.fnguide.com/SVO2/ASP/SVD_Consensus.asp?pGB=1&amp;gicode=A046110&amp;cID=&amp;MenuYn=Y&amp;ReportGB=&amp;NewMenuID=108&amp;stkGb=701", "한일네트웍스")</f>
        <v>0</v>
      </c>
      <c r="E89">
        <v>3</v>
      </c>
      <c r="F89">
        <v>5990</v>
      </c>
      <c r="G89">
        <v>0</v>
      </c>
      <c r="H89">
        <v>7.82</v>
      </c>
      <c r="I89">
        <v>7966</v>
      </c>
      <c r="J89">
        <v>7044</v>
      </c>
      <c r="K89">
        <v>6773</v>
      </c>
      <c r="L89">
        <v>-32.99</v>
      </c>
      <c r="M89">
        <v>-17.59</v>
      </c>
      <c r="N89">
        <v>-13.08</v>
      </c>
      <c r="O89">
        <v>10.32</v>
      </c>
      <c r="P89" t="b">
        <v>1</v>
      </c>
      <c r="Q89">
        <v>0</v>
      </c>
      <c r="R89">
        <v>636</v>
      </c>
      <c r="U89" t="s">
        <v>619</v>
      </c>
      <c r="V89" t="s">
        <v>867</v>
      </c>
      <c r="W89">
        <v>0</v>
      </c>
      <c r="X89">
        <v>23.4</v>
      </c>
      <c r="Y89" t="s">
        <v>1113</v>
      </c>
      <c r="Z89">
        <v>16.22086754821028</v>
      </c>
      <c r="AA89">
        <v>716</v>
      </c>
      <c r="AB89">
        <v>172566</v>
      </c>
      <c r="AC89" t="s">
        <v>1352</v>
      </c>
      <c r="AD89">
        <v>50.1</v>
      </c>
      <c r="AE89" t="s">
        <v>1600</v>
      </c>
      <c r="AF89" t="s">
        <v>1848</v>
      </c>
      <c r="AG89">
        <v>1174</v>
      </c>
      <c r="AH89">
        <v>100</v>
      </c>
      <c r="AJ89">
        <v>4.83</v>
      </c>
    </row>
    <row r="90" spans="1:36">
      <c r="A90" s="1" t="s">
        <v>124</v>
      </c>
      <c r="B90" t="s">
        <v>372</v>
      </c>
      <c r="C90">
        <f>HYPERLINK("https://finance.naver.com/item/coinfo.nhn?code=005960", "A005960")</f>
        <v>0</v>
      </c>
      <c r="D90">
        <f>HYPERLINK("http://comp.fnguide.com/SVO2/ASP/SVD_Consensus.asp?pGB=1&amp;gicode=A005960&amp;cID=&amp;MenuYn=Y&amp;ReportGB=&amp;NewMenuID=108&amp;stkGb=701", "동부건설")</f>
        <v>0</v>
      </c>
      <c r="E90">
        <v>3</v>
      </c>
      <c r="F90">
        <v>12750</v>
      </c>
      <c r="G90">
        <v>-0.51</v>
      </c>
      <c r="H90">
        <v>6.87</v>
      </c>
      <c r="I90">
        <v>33741</v>
      </c>
      <c r="J90">
        <v>25741</v>
      </c>
      <c r="K90">
        <v>23394</v>
      </c>
      <c r="L90">
        <v>-164.64</v>
      </c>
      <c r="M90">
        <v>-101.89</v>
      </c>
      <c r="N90">
        <v>-83.48999999999999</v>
      </c>
      <c r="O90">
        <v>13.85</v>
      </c>
      <c r="P90" t="b">
        <v>1</v>
      </c>
      <c r="Q90">
        <v>1</v>
      </c>
      <c r="R90">
        <v>1973</v>
      </c>
      <c r="S90">
        <v>2266</v>
      </c>
      <c r="T90">
        <v>14.9</v>
      </c>
      <c r="U90" t="s">
        <v>620</v>
      </c>
      <c r="V90" t="s">
        <v>868</v>
      </c>
      <c r="W90">
        <v>-13.54041318926386</v>
      </c>
      <c r="X90">
        <v>11.5</v>
      </c>
      <c r="Y90" t="s">
        <v>1114</v>
      </c>
      <c r="Z90">
        <v>-19.01853163171838</v>
      </c>
      <c r="AA90">
        <v>2898</v>
      </c>
      <c r="AB90">
        <v>102293</v>
      </c>
      <c r="AC90" t="s">
        <v>1353</v>
      </c>
      <c r="AD90">
        <v>56.84</v>
      </c>
      <c r="AE90" t="s">
        <v>1601</v>
      </c>
      <c r="AF90" t="s">
        <v>1849</v>
      </c>
      <c r="AG90">
        <v>12146</v>
      </c>
      <c r="AH90">
        <v>521</v>
      </c>
      <c r="AI90">
        <v>4291</v>
      </c>
      <c r="AJ90">
        <v>6.64</v>
      </c>
    </row>
    <row r="91" spans="1:36">
      <c r="A91" s="1" t="s">
        <v>125</v>
      </c>
      <c r="B91" t="s">
        <v>373</v>
      </c>
      <c r="C91">
        <f>HYPERLINK("https://finance.naver.com/item/coinfo.nhn?code=000640", "A000640")</f>
        <v>0</v>
      </c>
      <c r="D91">
        <f>HYPERLINK("http://comp.fnguide.com/SVO2/ASP/SVD_Consensus.asp?pGB=1&amp;gicode=A000640&amp;cID=&amp;MenuYn=Y&amp;ReportGB=&amp;NewMenuID=108&amp;stkGb=701", "동아쏘시오홀딩스")</f>
        <v>0</v>
      </c>
      <c r="E91">
        <v>3</v>
      </c>
      <c r="F91">
        <v>124000</v>
      </c>
      <c r="G91">
        <v>0</v>
      </c>
      <c r="H91">
        <v>4.63</v>
      </c>
      <c r="I91">
        <v>191353</v>
      </c>
      <c r="J91">
        <v>164939</v>
      </c>
      <c r="K91">
        <v>157192</v>
      </c>
      <c r="L91">
        <v>-54.32</v>
      </c>
      <c r="M91">
        <v>-33.02</v>
      </c>
      <c r="N91">
        <v>-26.77</v>
      </c>
      <c r="O91">
        <v>10.83</v>
      </c>
      <c r="P91" t="b">
        <v>1</v>
      </c>
      <c r="Q91">
        <v>0</v>
      </c>
      <c r="R91">
        <v>26439</v>
      </c>
      <c r="S91">
        <v>5914</v>
      </c>
      <c r="T91">
        <v>-77.59999999999999</v>
      </c>
      <c r="U91" t="s">
        <v>621</v>
      </c>
      <c r="V91" t="s">
        <v>869</v>
      </c>
      <c r="W91">
        <v>0</v>
      </c>
      <c r="X91">
        <v>-90.5</v>
      </c>
      <c r="Y91" t="s">
        <v>1115</v>
      </c>
      <c r="Z91">
        <v>-47.35944962608467</v>
      </c>
      <c r="AA91">
        <v>7633</v>
      </c>
      <c r="AB91">
        <v>10504</v>
      </c>
      <c r="AC91" t="s">
        <v>1354</v>
      </c>
      <c r="AD91">
        <v>40.84</v>
      </c>
      <c r="AE91" t="s">
        <v>1602</v>
      </c>
      <c r="AF91" t="s">
        <v>1850</v>
      </c>
      <c r="AG91">
        <v>7833</v>
      </c>
      <c r="AH91">
        <v>506</v>
      </c>
      <c r="AI91">
        <v>98190</v>
      </c>
      <c r="AJ91">
        <v>0.82</v>
      </c>
    </row>
    <row r="92" spans="1:36">
      <c r="A92" s="1" t="s">
        <v>126</v>
      </c>
      <c r="B92" t="s">
        <v>374</v>
      </c>
      <c r="C92">
        <f>HYPERLINK("https://finance.naver.com/item/coinfo.nhn?code=045100", "A045100")</f>
        <v>0</v>
      </c>
      <c r="D92">
        <f>HYPERLINK("http://comp.fnguide.com/SVO2/ASP/SVD_Consensus.asp?pGB=1&amp;gicode=A045100&amp;cID=&amp;MenuYn=Y&amp;ReportGB=&amp;NewMenuID=108&amp;stkGb=701", "한양이엔지")</f>
        <v>0</v>
      </c>
      <c r="E92">
        <v>3</v>
      </c>
      <c r="F92">
        <v>18550</v>
      </c>
      <c r="G92">
        <v>0</v>
      </c>
      <c r="H92">
        <v>6.38</v>
      </c>
      <c r="I92">
        <v>37431</v>
      </c>
      <c r="J92">
        <v>27784</v>
      </c>
      <c r="K92">
        <v>24954</v>
      </c>
      <c r="L92">
        <v>-101.78</v>
      </c>
      <c r="M92">
        <v>-49.78</v>
      </c>
      <c r="N92">
        <v>-34.52</v>
      </c>
      <c r="O92">
        <v>14.7</v>
      </c>
      <c r="P92" t="b">
        <v>1</v>
      </c>
      <c r="Q92">
        <v>0</v>
      </c>
      <c r="R92">
        <v>2674</v>
      </c>
      <c r="U92" t="s">
        <v>622</v>
      </c>
      <c r="V92" t="s">
        <v>870</v>
      </c>
      <c r="W92">
        <v>0</v>
      </c>
      <c r="X92">
        <v>-11.8</v>
      </c>
      <c r="Y92" t="s">
        <v>1116</v>
      </c>
      <c r="Z92">
        <v>-4.096350824848072</v>
      </c>
      <c r="AA92">
        <v>3339</v>
      </c>
      <c r="AB92">
        <v>272643</v>
      </c>
      <c r="AC92" t="s">
        <v>1355</v>
      </c>
      <c r="AD92">
        <v>45.6</v>
      </c>
      <c r="AE92" t="s">
        <v>1603</v>
      </c>
      <c r="AF92" t="s">
        <v>1851</v>
      </c>
      <c r="AG92">
        <v>7585</v>
      </c>
      <c r="AH92">
        <v>533</v>
      </c>
      <c r="AI92">
        <v>602572</v>
      </c>
      <c r="AJ92">
        <v>2.93</v>
      </c>
    </row>
    <row r="93" spans="1:36">
      <c r="A93" s="1" t="s">
        <v>127</v>
      </c>
      <c r="B93" t="s">
        <v>375</v>
      </c>
      <c r="C93">
        <f>HYPERLINK("https://finance.naver.com/item/coinfo.nhn?code=006040", "A006040")</f>
        <v>0</v>
      </c>
      <c r="D93">
        <f>HYPERLINK("http://comp.fnguide.com/SVO2/ASP/SVD_Consensus.asp?pGB=1&amp;gicode=A006040&amp;cID=&amp;MenuYn=Y&amp;ReportGB=&amp;NewMenuID=108&amp;stkGb=701", "동원산업")</f>
        <v>0</v>
      </c>
      <c r="E93">
        <v>3</v>
      </c>
      <c r="F93">
        <v>300500</v>
      </c>
      <c r="G93">
        <v>0.14</v>
      </c>
      <c r="H93">
        <v>3.4</v>
      </c>
      <c r="I93">
        <v>583758</v>
      </c>
      <c r="J93">
        <v>455296</v>
      </c>
      <c r="K93">
        <v>417620</v>
      </c>
      <c r="L93">
        <v>-94.26000000000001</v>
      </c>
      <c r="M93">
        <v>-51.51</v>
      </c>
      <c r="N93">
        <v>-38.98</v>
      </c>
      <c r="O93">
        <v>13.21</v>
      </c>
      <c r="P93" t="b">
        <v>0</v>
      </c>
      <c r="Q93">
        <v>0</v>
      </c>
      <c r="R93">
        <v>65430</v>
      </c>
      <c r="S93">
        <v>39427</v>
      </c>
      <c r="T93">
        <v>-39.7</v>
      </c>
      <c r="U93" t="s">
        <v>623</v>
      </c>
      <c r="V93" t="s">
        <v>871</v>
      </c>
      <c r="W93">
        <v>24.3103805298277</v>
      </c>
      <c r="X93">
        <v>90.90000000000001</v>
      </c>
      <c r="Y93" t="s">
        <v>1117</v>
      </c>
      <c r="Z93">
        <v>41.14588855075625</v>
      </c>
      <c r="AA93">
        <v>11051</v>
      </c>
      <c r="AB93">
        <v>3748</v>
      </c>
      <c r="AC93" t="s">
        <v>1356</v>
      </c>
      <c r="AD93">
        <v>63.3</v>
      </c>
      <c r="AE93" t="s">
        <v>1604</v>
      </c>
      <c r="AF93" t="s">
        <v>1852</v>
      </c>
      <c r="AG93">
        <v>28573</v>
      </c>
      <c r="AH93">
        <v>3065</v>
      </c>
      <c r="AI93">
        <v>266581</v>
      </c>
      <c r="AJ93">
        <v>2.25</v>
      </c>
    </row>
    <row r="94" spans="1:36">
      <c r="A94" s="1" t="s">
        <v>128</v>
      </c>
      <c r="B94" t="s">
        <v>376</v>
      </c>
      <c r="C94">
        <f>HYPERLINK("https://finance.naver.com/item/coinfo.nhn?code=210540", "A210540")</f>
        <v>0</v>
      </c>
      <c r="D94">
        <f>HYPERLINK("http://comp.fnguide.com/SVO2/ASP/SVD_Consensus.asp?pGB=1&amp;gicode=A210540&amp;cID=&amp;MenuYn=Y&amp;ReportGB=&amp;NewMenuID=108&amp;stkGb=701", "디와이파워")</f>
        <v>0</v>
      </c>
      <c r="E94">
        <v>3</v>
      </c>
      <c r="F94">
        <v>18200</v>
      </c>
      <c r="G94">
        <v>0.65</v>
      </c>
      <c r="H94">
        <v>5.17</v>
      </c>
      <c r="I94">
        <v>29315</v>
      </c>
      <c r="J94">
        <v>22107</v>
      </c>
      <c r="K94">
        <v>19993</v>
      </c>
      <c r="L94">
        <v>-61.07</v>
      </c>
      <c r="M94">
        <v>-21.47</v>
      </c>
      <c r="N94">
        <v>-9.85</v>
      </c>
      <c r="O94">
        <v>14.2</v>
      </c>
      <c r="P94" t="b">
        <v>0</v>
      </c>
      <c r="Q94">
        <v>2</v>
      </c>
      <c r="R94">
        <v>2301</v>
      </c>
      <c r="S94">
        <v>2907</v>
      </c>
      <c r="T94">
        <v>26.3</v>
      </c>
      <c r="U94" t="s">
        <v>624</v>
      </c>
      <c r="V94" t="s">
        <v>872</v>
      </c>
      <c r="W94">
        <v>7.961702470425269</v>
      </c>
      <c r="X94">
        <v>154.1</v>
      </c>
      <c r="Y94" t="s">
        <v>1118</v>
      </c>
      <c r="Z94">
        <v>46.38777729357086</v>
      </c>
      <c r="AA94">
        <v>2010</v>
      </c>
      <c r="AB94">
        <v>130337</v>
      </c>
      <c r="AC94" t="s">
        <v>1357</v>
      </c>
      <c r="AD94">
        <v>38.46</v>
      </c>
      <c r="AE94" t="s">
        <v>1605</v>
      </c>
      <c r="AF94" t="s">
        <v>1853</v>
      </c>
      <c r="AG94">
        <v>3048</v>
      </c>
      <c r="AH94">
        <v>355</v>
      </c>
      <c r="AI94">
        <v>5857</v>
      </c>
      <c r="AJ94">
        <v>1.85</v>
      </c>
    </row>
    <row r="95" spans="1:36">
      <c r="A95" s="1" t="s">
        <v>129</v>
      </c>
      <c r="B95" t="s">
        <v>377</v>
      </c>
      <c r="C95">
        <f>HYPERLINK("https://finance.naver.com/item/coinfo.nhn?code=003960", "A003960")</f>
        <v>0</v>
      </c>
      <c r="D95">
        <f>HYPERLINK("http://comp.fnguide.com/SVO2/ASP/SVD_Consensus.asp?pGB=1&amp;gicode=A003960&amp;cID=&amp;MenuYn=Y&amp;ReportGB=&amp;NewMenuID=108&amp;stkGb=701", "사조대림")</f>
        <v>0</v>
      </c>
      <c r="E95">
        <v>3</v>
      </c>
      <c r="F95">
        <v>26500</v>
      </c>
      <c r="G95">
        <v>0</v>
      </c>
      <c r="H95">
        <v>4.42</v>
      </c>
      <c r="I95">
        <v>93551</v>
      </c>
      <c r="J95">
        <v>66979</v>
      </c>
      <c r="K95">
        <v>59186</v>
      </c>
      <c r="L95">
        <v>-253.02</v>
      </c>
      <c r="M95">
        <v>-152.75</v>
      </c>
      <c r="N95">
        <v>-123.34</v>
      </c>
      <c r="O95">
        <v>15.96</v>
      </c>
      <c r="P95" t="b">
        <v>1</v>
      </c>
      <c r="Q95">
        <v>0</v>
      </c>
      <c r="R95">
        <v>3691</v>
      </c>
      <c r="U95" t="s">
        <v>625</v>
      </c>
      <c r="V95" t="s">
        <v>873</v>
      </c>
      <c r="W95">
        <v>0</v>
      </c>
      <c r="X95">
        <v>379.8</v>
      </c>
      <c r="Y95" t="s">
        <v>1119</v>
      </c>
      <c r="Z95">
        <v>72.84490652313735</v>
      </c>
      <c r="AA95">
        <v>2429</v>
      </c>
      <c r="AB95">
        <v>88232</v>
      </c>
      <c r="AC95" t="s">
        <v>1358</v>
      </c>
      <c r="AD95">
        <v>47.43</v>
      </c>
      <c r="AE95" t="s">
        <v>1606</v>
      </c>
      <c r="AF95" t="s">
        <v>1854</v>
      </c>
      <c r="AG95">
        <v>17181</v>
      </c>
      <c r="AH95">
        <v>494</v>
      </c>
      <c r="AI95">
        <v>1814170</v>
      </c>
      <c r="AJ95">
        <v>1.23</v>
      </c>
    </row>
    <row r="96" spans="1:36">
      <c r="A96" s="1" t="s">
        <v>130</v>
      </c>
      <c r="B96" t="s">
        <v>378</v>
      </c>
      <c r="C96">
        <f>HYPERLINK("https://finance.naver.com/item/coinfo.nhn?code=005670", "A005670")</f>
        <v>0</v>
      </c>
      <c r="D96">
        <f>HYPERLINK("http://comp.fnguide.com/SVO2/ASP/SVD_Consensus.asp?pGB=1&amp;gicode=A005670&amp;cID=&amp;MenuYn=Y&amp;ReportGB=&amp;NewMenuID=108&amp;stkGb=701", "푸드웰")</f>
        <v>0</v>
      </c>
      <c r="E96">
        <v>3</v>
      </c>
      <c r="F96">
        <v>7790</v>
      </c>
      <c r="G96">
        <v>0</v>
      </c>
      <c r="H96">
        <v>18.15</v>
      </c>
      <c r="I96">
        <v>20845</v>
      </c>
      <c r="J96">
        <v>13386</v>
      </c>
      <c r="K96">
        <v>11198</v>
      </c>
      <c r="L96">
        <v>-167.58</v>
      </c>
      <c r="M96">
        <v>-71.84</v>
      </c>
      <c r="N96">
        <v>-43.75</v>
      </c>
      <c r="O96">
        <v>20.99</v>
      </c>
      <c r="P96" t="b">
        <v>1</v>
      </c>
      <c r="Q96">
        <v>0</v>
      </c>
      <c r="R96">
        <v>411</v>
      </c>
      <c r="U96" t="s">
        <v>626</v>
      </c>
      <c r="V96" t="s">
        <v>874</v>
      </c>
      <c r="W96">
        <v>0</v>
      </c>
      <c r="X96">
        <v>139.9</v>
      </c>
      <c r="Y96" t="s">
        <v>1120</v>
      </c>
      <c r="Z96">
        <v>44.96582968683678</v>
      </c>
      <c r="AA96">
        <v>779</v>
      </c>
      <c r="AB96">
        <v>75701</v>
      </c>
      <c r="AC96" t="s">
        <v>1359</v>
      </c>
      <c r="AD96">
        <v>45.81</v>
      </c>
      <c r="AE96" t="s">
        <v>1607</v>
      </c>
      <c r="AF96" t="s">
        <v>1855</v>
      </c>
      <c r="AG96">
        <v>1373</v>
      </c>
      <c r="AH96">
        <v>62</v>
      </c>
      <c r="AI96">
        <v>280618</v>
      </c>
      <c r="AJ96">
        <v>1.14</v>
      </c>
    </row>
    <row r="97" spans="1:36">
      <c r="A97" s="1" t="s">
        <v>131</v>
      </c>
      <c r="B97" t="s">
        <v>379</v>
      </c>
      <c r="C97">
        <f>HYPERLINK("https://finance.naver.com/item/coinfo.nhn?code=004000", "A004000")</f>
        <v>0</v>
      </c>
      <c r="D97">
        <f>HYPERLINK("http://comp.fnguide.com/SVO2/ASP/SVD_Consensus.asp?pGB=1&amp;gicode=A004000&amp;cID=&amp;MenuYn=Y&amp;ReportGB=&amp;NewMenuID=108&amp;stkGb=701", "롯데정밀화학")</f>
        <v>0</v>
      </c>
      <c r="E97">
        <v>3</v>
      </c>
      <c r="F97">
        <v>66500</v>
      </c>
      <c r="G97">
        <v>4.75</v>
      </c>
      <c r="H97">
        <v>7.16</v>
      </c>
      <c r="I97">
        <v>101617</v>
      </c>
      <c r="J97">
        <v>79811</v>
      </c>
      <c r="K97">
        <v>73416</v>
      </c>
      <c r="L97">
        <v>-52.81</v>
      </c>
      <c r="M97">
        <v>-20.02</v>
      </c>
      <c r="N97">
        <v>-10.4</v>
      </c>
      <c r="O97">
        <v>13.02</v>
      </c>
      <c r="P97" t="b">
        <v>1</v>
      </c>
      <c r="Q97">
        <v>2</v>
      </c>
      <c r="R97">
        <v>7705</v>
      </c>
      <c r="S97">
        <v>8717</v>
      </c>
      <c r="T97">
        <v>13.1</v>
      </c>
      <c r="U97" t="s">
        <v>627</v>
      </c>
      <c r="V97" t="s">
        <v>875</v>
      </c>
      <c r="W97">
        <v>1.505931626140122</v>
      </c>
      <c r="X97">
        <v>-6</v>
      </c>
      <c r="Y97" t="s">
        <v>1121</v>
      </c>
      <c r="Z97">
        <v>20.29403104760008</v>
      </c>
      <c r="AA97">
        <v>17157</v>
      </c>
      <c r="AB97">
        <v>647787</v>
      </c>
      <c r="AC97" t="s">
        <v>1360</v>
      </c>
      <c r="AD97">
        <v>31.13</v>
      </c>
      <c r="AE97" t="s">
        <v>1608</v>
      </c>
      <c r="AF97" t="s">
        <v>1856</v>
      </c>
      <c r="AG97">
        <v>12636</v>
      </c>
      <c r="AH97">
        <v>1392</v>
      </c>
      <c r="AI97">
        <v>330000</v>
      </c>
      <c r="AJ97">
        <v>2.72</v>
      </c>
    </row>
    <row r="98" spans="1:36">
      <c r="A98" s="1" t="s">
        <v>132</v>
      </c>
      <c r="B98" t="s">
        <v>380</v>
      </c>
      <c r="C98">
        <f>HYPERLINK("https://finance.naver.com/item/coinfo.nhn?code=138040", "A138040")</f>
        <v>0</v>
      </c>
      <c r="D98">
        <f>HYPERLINK("http://comp.fnguide.com/SVO2/ASP/SVD_Consensus.asp?pGB=1&amp;gicode=A138040&amp;cID=&amp;MenuYn=Y&amp;ReportGB=&amp;NewMenuID=108&amp;stkGb=701", "메리츠금융지주")</f>
        <v>0</v>
      </c>
      <c r="E98">
        <v>3</v>
      </c>
      <c r="F98">
        <v>18700</v>
      </c>
      <c r="G98">
        <v>0</v>
      </c>
      <c r="H98">
        <v>2.74</v>
      </c>
      <c r="I98">
        <v>48165</v>
      </c>
      <c r="J98">
        <v>34995</v>
      </c>
      <c r="K98">
        <v>31133</v>
      </c>
      <c r="L98">
        <v>-157.57</v>
      </c>
      <c r="M98">
        <v>-87.14</v>
      </c>
      <c r="N98">
        <v>-66.48999999999999</v>
      </c>
      <c r="O98">
        <v>15.43</v>
      </c>
      <c r="P98" t="b">
        <v>1</v>
      </c>
      <c r="Q98">
        <v>0</v>
      </c>
      <c r="R98">
        <v>3587</v>
      </c>
      <c r="U98" t="s">
        <v>628</v>
      </c>
      <c r="V98" t="s">
        <v>876</v>
      </c>
      <c r="W98">
        <v>0</v>
      </c>
      <c r="X98">
        <v>4.7</v>
      </c>
      <c r="Y98" t="s">
        <v>1122</v>
      </c>
      <c r="Z98">
        <v>4.519455476415923</v>
      </c>
      <c r="AA98">
        <v>25060</v>
      </c>
      <c r="AB98">
        <v>306839</v>
      </c>
      <c r="AC98" t="s">
        <v>1361</v>
      </c>
      <c r="AD98">
        <v>72.25</v>
      </c>
      <c r="AE98" t="s">
        <v>1609</v>
      </c>
      <c r="AF98" t="s">
        <v>1857</v>
      </c>
      <c r="AG98">
        <v>18245</v>
      </c>
      <c r="AH98">
        <v>13721</v>
      </c>
      <c r="AI98">
        <v>4755670</v>
      </c>
      <c r="AJ98">
        <v>9.17</v>
      </c>
    </row>
    <row r="99" spans="1:36">
      <c r="A99" s="1" t="s">
        <v>133</v>
      </c>
      <c r="B99" t="s">
        <v>381</v>
      </c>
      <c r="C99">
        <f>HYPERLINK("https://finance.naver.com/item/coinfo.nhn?code=008560", "A008560")</f>
        <v>0</v>
      </c>
      <c r="D99">
        <f>HYPERLINK("http://comp.fnguide.com/SVO2/ASP/SVD_Consensus.asp?pGB=1&amp;gicode=A008560&amp;cID=&amp;MenuYn=Y&amp;ReportGB=&amp;NewMenuID=108&amp;stkGb=701", "메리츠증권")</f>
        <v>0</v>
      </c>
      <c r="E99">
        <v>3</v>
      </c>
      <c r="F99">
        <v>4470</v>
      </c>
      <c r="G99">
        <v>0.37</v>
      </c>
      <c r="H99">
        <v>4.74</v>
      </c>
      <c r="I99">
        <v>12225</v>
      </c>
      <c r="J99">
        <v>9365</v>
      </c>
      <c r="K99">
        <v>8526</v>
      </c>
      <c r="L99">
        <v>-173.49</v>
      </c>
      <c r="M99">
        <v>-109.5</v>
      </c>
      <c r="N99">
        <v>-90.73999999999999</v>
      </c>
      <c r="O99">
        <v>13.73</v>
      </c>
      <c r="P99" t="b">
        <v>1</v>
      </c>
      <c r="Q99">
        <v>1</v>
      </c>
      <c r="R99">
        <v>773</v>
      </c>
      <c r="S99">
        <v>861</v>
      </c>
      <c r="T99">
        <v>11.4</v>
      </c>
      <c r="U99" t="s">
        <v>629</v>
      </c>
      <c r="V99" t="s">
        <v>877</v>
      </c>
      <c r="W99">
        <v>12.69500125713936</v>
      </c>
      <c r="X99">
        <v>13.1</v>
      </c>
      <c r="Y99" t="s">
        <v>1123</v>
      </c>
      <c r="Z99">
        <v>13.81745114909643</v>
      </c>
      <c r="AA99">
        <v>30473</v>
      </c>
      <c r="AB99">
        <v>2087905</v>
      </c>
      <c r="AC99" t="s">
        <v>1362</v>
      </c>
      <c r="AD99">
        <v>49.17</v>
      </c>
      <c r="AE99" t="s">
        <v>1610</v>
      </c>
      <c r="AF99" t="s">
        <v>1858</v>
      </c>
      <c r="AG99">
        <v>14334</v>
      </c>
      <c r="AH99">
        <v>8280</v>
      </c>
      <c r="AI99">
        <v>57488182</v>
      </c>
      <c r="AJ99">
        <v>8.73</v>
      </c>
    </row>
    <row r="100" spans="1:36">
      <c r="A100" s="1" t="s">
        <v>134</v>
      </c>
      <c r="B100" t="s">
        <v>382</v>
      </c>
      <c r="C100">
        <f>HYPERLINK("https://finance.naver.com/item/coinfo.nhn?code=000060", "A000060")</f>
        <v>0</v>
      </c>
      <c r="D100">
        <f>HYPERLINK("http://comp.fnguide.com/SVO2/ASP/SVD_Consensus.asp?pGB=1&amp;gicode=A000060&amp;cID=&amp;MenuYn=Y&amp;ReportGB=&amp;NewMenuID=108&amp;stkGb=701", "메리츠화재")</f>
        <v>0</v>
      </c>
      <c r="E100">
        <v>3</v>
      </c>
      <c r="F100">
        <v>17850</v>
      </c>
      <c r="G100">
        <v>0.17</v>
      </c>
      <c r="H100">
        <v>3.88</v>
      </c>
      <c r="I100">
        <v>40486</v>
      </c>
      <c r="J100">
        <v>30130</v>
      </c>
      <c r="K100">
        <v>27093</v>
      </c>
      <c r="L100">
        <v>-126.81</v>
      </c>
      <c r="M100">
        <v>-68.8</v>
      </c>
      <c r="N100">
        <v>-51.78</v>
      </c>
      <c r="O100">
        <v>14.62</v>
      </c>
      <c r="P100" t="b">
        <v>1</v>
      </c>
      <c r="Q100">
        <v>3</v>
      </c>
      <c r="R100">
        <v>3762</v>
      </c>
      <c r="S100">
        <v>3921</v>
      </c>
      <c r="T100">
        <v>4.2</v>
      </c>
      <c r="U100" t="s">
        <v>630</v>
      </c>
      <c r="V100" t="s">
        <v>878</v>
      </c>
      <c r="W100">
        <v>23.35841338184872</v>
      </c>
      <c r="X100">
        <v>16.9</v>
      </c>
      <c r="Y100" t="s">
        <v>1124</v>
      </c>
      <c r="Z100">
        <v>15.73781380795656</v>
      </c>
      <c r="AA100">
        <v>21532</v>
      </c>
      <c r="AB100">
        <v>390705</v>
      </c>
      <c r="AC100" t="s">
        <v>1363</v>
      </c>
      <c r="AD100">
        <v>56.3</v>
      </c>
      <c r="AE100" t="s">
        <v>1611</v>
      </c>
      <c r="AF100" t="s">
        <v>1859</v>
      </c>
      <c r="AG100">
        <v>91806</v>
      </c>
      <c r="AH100">
        <v>6080</v>
      </c>
      <c r="AI100">
        <v>4264022</v>
      </c>
      <c r="AJ100">
        <v>8.77</v>
      </c>
    </row>
    <row r="101" spans="1:36">
      <c r="A101" s="1" t="s">
        <v>135</v>
      </c>
      <c r="B101" t="s">
        <v>383</v>
      </c>
      <c r="C101">
        <f>HYPERLINK("https://finance.naver.com/item/coinfo.nhn?code=007120", "A007120")</f>
        <v>0</v>
      </c>
      <c r="D101">
        <f>HYPERLINK("http://comp.fnguide.com/SVO2/ASP/SVD_Consensus.asp?pGB=1&amp;gicode=A007120&amp;cID=&amp;MenuYn=Y&amp;ReportGB=&amp;NewMenuID=108&amp;stkGb=701", "미래아이앤지")</f>
        <v>0</v>
      </c>
      <c r="E101">
        <v>3</v>
      </c>
      <c r="F101">
        <v>547</v>
      </c>
      <c r="G101">
        <v>0</v>
      </c>
      <c r="H101">
        <v>2.59</v>
      </c>
      <c r="I101">
        <v>1666</v>
      </c>
      <c r="J101">
        <v>1092</v>
      </c>
      <c r="K101">
        <v>923</v>
      </c>
      <c r="L101">
        <v>-204.52</v>
      </c>
      <c r="M101">
        <v>-99.55</v>
      </c>
      <c r="N101">
        <v>-68.76000000000001</v>
      </c>
      <c r="O101">
        <v>19.88</v>
      </c>
      <c r="P101" t="b">
        <v>1</v>
      </c>
      <c r="Q101">
        <v>0</v>
      </c>
      <c r="R101">
        <v>152</v>
      </c>
      <c r="U101" t="s">
        <v>631</v>
      </c>
      <c r="V101" t="s">
        <v>879</v>
      </c>
      <c r="W101">
        <v>0</v>
      </c>
      <c r="X101">
        <v>-35.9</v>
      </c>
      <c r="Y101" t="s">
        <v>1125</v>
      </c>
      <c r="Z101">
        <v>-5.167357940422224</v>
      </c>
      <c r="AA101">
        <v>708</v>
      </c>
      <c r="AB101">
        <v>711285</v>
      </c>
      <c r="AC101" t="s">
        <v>1364</v>
      </c>
      <c r="AD101">
        <v>24.76</v>
      </c>
      <c r="AE101" t="s">
        <v>1612</v>
      </c>
      <c r="AF101" t="s">
        <v>1860</v>
      </c>
      <c r="AG101">
        <v>58</v>
      </c>
      <c r="AH101">
        <v>7</v>
      </c>
      <c r="AI101">
        <v>799813</v>
      </c>
    </row>
    <row r="102" spans="1:36">
      <c r="A102" s="1" t="s">
        <v>136</v>
      </c>
      <c r="B102" t="s">
        <v>384</v>
      </c>
      <c r="C102">
        <f>HYPERLINK("https://finance.naver.com/item/coinfo.nhn?code=002410", "A002410")</f>
        <v>0</v>
      </c>
      <c r="D102">
        <f>HYPERLINK("http://comp.fnguide.com/SVO2/ASP/SVD_Consensus.asp?pGB=1&amp;gicode=A002410&amp;cID=&amp;MenuYn=Y&amp;ReportGB=&amp;NewMenuID=108&amp;stkGb=701", "범양건영")</f>
        <v>0</v>
      </c>
      <c r="E102">
        <v>3</v>
      </c>
      <c r="F102">
        <v>4015</v>
      </c>
      <c r="G102">
        <v>0</v>
      </c>
      <c r="H102">
        <v>10.99</v>
      </c>
      <c r="I102">
        <v>7932</v>
      </c>
      <c r="J102">
        <v>5173</v>
      </c>
      <c r="K102">
        <v>4364</v>
      </c>
      <c r="L102">
        <v>-97.56</v>
      </c>
      <c r="M102">
        <v>-28.85</v>
      </c>
      <c r="N102">
        <v>-8.69</v>
      </c>
      <c r="O102">
        <v>20.13</v>
      </c>
      <c r="P102" t="b">
        <v>0</v>
      </c>
      <c r="Q102">
        <v>0</v>
      </c>
      <c r="R102">
        <v>442</v>
      </c>
      <c r="U102" t="s">
        <v>632</v>
      </c>
      <c r="V102" t="s">
        <v>880</v>
      </c>
      <c r="W102">
        <v>0</v>
      </c>
      <c r="X102">
        <v>142.4</v>
      </c>
      <c r="Y102" t="s">
        <v>1126</v>
      </c>
      <c r="Z102">
        <v>119.1606963506477</v>
      </c>
      <c r="AA102">
        <v>997</v>
      </c>
      <c r="AB102">
        <v>142189</v>
      </c>
      <c r="AC102" t="s">
        <v>1365</v>
      </c>
      <c r="AD102">
        <v>33.22</v>
      </c>
      <c r="AE102" t="s">
        <v>1613</v>
      </c>
      <c r="AF102" t="s">
        <v>1861</v>
      </c>
      <c r="AG102">
        <v>1444</v>
      </c>
      <c r="AH102">
        <v>120</v>
      </c>
      <c r="AI102">
        <v>2030</v>
      </c>
    </row>
    <row r="103" spans="1:36">
      <c r="A103" s="1" t="s">
        <v>137</v>
      </c>
      <c r="B103" t="s">
        <v>385</v>
      </c>
      <c r="C103">
        <f>HYPERLINK("https://finance.naver.com/item/coinfo.nhn?code=001270", "A001270")</f>
        <v>0</v>
      </c>
      <c r="D103">
        <f>HYPERLINK("http://comp.fnguide.com/SVO2/ASP/SVD_Consensus.asp?pGB=1&amp;gicode=A001270&amp;cID=&amp;MenuYn=Y&amp;ReportGB=&amp;NewMenuID=108&amp;stkGb=701", "부국증권")</f>
        <v>0</v>
      </c>
      <c r="E103">
        <v>3</v>
      </c>
      <c r="F103">
        <v>25300</v>
      </c>
      <c r="G103">
        <v>0</v>
      </c>
      <c r="H103">
        <v>4.7</v>
      </c>
      <c r="I103">
        <v>99600</v>
      </c>
      <c r="J103">
        <v>96547</v>
      </c>
      <c r="K103">
        <v>95652</v>
      </c>
      <c r="L103">
        <v>-293.68</v>
      </c>
      <c r="M103">
        <v>-281.61</v>
      </c>
      <c r="N103">
        <v>-278.07</v>
      </c>
      <c r="O103">
        <v>8.75</v>
      </c>
      <c r="P103" t="b">
        <v>1</v>
      </c>
      <c r="Q103">
        <v>0</v>
      </c>
      <c r="R103">
        <v>4529</v>
      </c>
      <c r="U103" t="s">
        <v>633</v>
      </c>
      <c r="V103" t="s">
        <v>881</v>
      </c>
      <c r="W103">
        <v>0</v>
      </c>
      <c r="X103">
        <v>11.6</v>
      </c>
      <c r="Y103" t="s">
        <v>1127</v>
      </c>
      <c r="Z103">
        <v>7.55888210564617</v>
      </c>
      <c r="AA103">
        <v>2624</v>
      </c>
      <c r="AB103">
        <v>6164</v>
      </c>
      <c r="AC103" t="s">
        <v>1366</v>
      </c>
      <c r="AD103">
        <v>31.9</v>
      </c>
      <c r="AE103" t="s">
        <v>1614</v>
      </c>
      <c r="AF103" t="s">
        <v>1862</v>
      </c>
      <c r="AG103">
        <v>2056</v>
      </c>
      <c r="AH103">
        <v>772</v>
      </c>
      <c r="AI103">
        <v>4430764</v>
      </c>
      <c r="AJ103">
        <v>5.63</v>
      </c>
    </row>
    <row r="104" spans="1:36">
      <c r="A104" s="1" t="s">
        <v>138</v>
      </c>
      <c r="B104" t="s">
        <v>386</v>
      </c>
      <c r="C104">
        <f>HYPERLINK("https://finance.naver.com/item/coinfo.nhn?code=023590", "A023590")</f>
        <v>0</v>
      </c>
      <c r="D104">
        <f>HYPERLINK("http://comp.fnguide.com/SVO2/ASP/SVD_Consensus.asp?pGB=1&amp;gicode=A023590&amp;cID=&amp;MenuYn=Y&amp;ReportGB=&amp;NewMenuID=108&amp;stkGb=701", "다우기술")</f>
        <v>0</v>
      </c>
      <c r="E104">
        <v>3</v>
      </c>
      <c r="F104">
        <v>27250</v>
      </c>
      <c r="G104">
        <v>0</v>
      </c>
      <c r="H104">
        <v>3.57</v>
      </c>
      <c r="I104">
        <v>70407</v>
      </c>
      <c r="J104">
        <v>50457</v>
      </c>
      <c r="K104">
        <v>44605</v>
      </c>
      <c r="L104">
        <v>-158.37</v>
      </c>
      <c r="M104">
        <v>-85.16</v>
      </c>
      <c r="N104">
        <v>-63.69</v>
      </c>
      <c r="O104">
        <v>15.93</v>
      </c>
      <c r="P104" t="b">
        <v>1</v>
      </c>
      <c r="Q104">
        <v>0</v>
      </c>
      <c r="R104">
        <v>6143</v>
      </c>
      <c r="U104" t="s">
        <v>634</v>
      </c>
      <c r="V104" t="s">
        <v>882</v>
      </c>
      <c r="W104">
        <v>0</v>
      </c>
      <c r="X104">
        <v>969.2</v>
      </c>
      <c r="Y104" t="s">
        <v>1128</v>
      </c>
      <c r="Z104">
        <v>97.70468172269808</v>
      </c>
      <c r="AA104">
        <v>12226</v>
      </c>
      <c r="AB104">
        <v>92550</v>
      </c>
      <c r="AC104" t="s">
        <v>1367</v>
      </c>
      <c r="AD104">
        <v>46.73</v>
      </c>
      <c r="AE104" t="s">
        <v>1615</v>
      </c>
      <c r="AF104" t="s">
        <v>1863</v>
      </c>
      <c r="AG104">
        <v>47329</v>
      </c>
      <c r="AH104">
        <v>10154</v>
      </c>
      <c r="AI104">
        <v>1600000</v>
      </c>
      <c r="AJ104">
        <v>2.28</v>
      </c>
    </row>
    <row r="105" spans="1:36">
      <c r="A105" s="1" t="s">
        <v>139</v>
      </c>
      <c r="B105" t="s">
        <v>387</v>
      </c>
      <c r="C105">
        <f>HYPERLINK("https://finance.naver.com/item/coinfo.nhn?code=039010", "A039010")</f>
        <v>0</v>
      </c>
      <c r="D105">
        <f>HYPERLINK("http://comp.fnguide.com/SVO2/ASP/SVD_Consensus.asp?pGB=1&amp;gicode=A039010&amp;cID=&amp;MenuYn=Y&amp;ReportGB=&amp;NewMenuID=108&amp;stkGb=701", "현대에이치티")</f>
        <v>0</v>
      </c>
      <c r="E105">
        <v>3</v>
      </c>
      <c r="F105">
        <v>9980</v>
      </c>
      <c r="G105">
        <v>0</v>
      </c>
      <c r="H105">
        <v>7.67</v>
      </c>
      <c r="I105">
        <v>18347</v>
      </c>
      <c r="J105">
        <v>13844</v>
      </c>
      <c r="K105">
        <v>12523</v>
      </c>
      <c r="L105">
        <v>-83.84</v>
      </c>
      <c r="M105">
        <v>-38.71</v>
      </c>
      <c r="N105">
        <v>-25.48</v>
      </c>
      <c r="O105">
        <v>14.18</v>
      </c>
      <c r="P105" t="b">
        <v>1</v>
      </c>
      <c r="Q105">
        <v>0</v>
      </c>
      <c r="R105">
        <v>1059</v>
      </c>
      <c r="U105" t="s">
        <v>635</v>
      </c>
      <c r="V105" t="s">
        <v>883</v>
      </c>
      <c r="W105">
        <v>0</v>
      </c>
      <c r="X105">
        <v>26.2</v>
      </c>
      <c r="Y105" t="s">
        <v>1129</v>
      </c>
      <c r="Z105">
        <v>1.833843401726698</v>
      </c>
      <c r="AA105">
        <v>861</v>
      </c>
      <c r="AB105">
        <v>67913</v>
      </c>
      <c r="AC105" t="s">
        <v>1368</v>
      </c>
      <c r="AD105">
        <v>38.47</v>
      </c>
      <c r="AE105" t="s">
        <v>1616</v>
      </c>
      <c r="AF105" t="s">
        <v>1864</v>
      </c>
      <c r="AG105">
        <v>1037</v>
      </c>
      <c r="AH105">
        <v>86</v>
      </c>
      <c r="AI105">
        <v>597186</v>
      </c>
      <c r="AJ105">
        <v>4.31</v>
      </c>
    </row>
    <row r="106" spans="1:36">
      <c r="A106" s="1" t="s">
        <v>140</v>
      </c>
      <c r="B106" t="s">
        <v>388</v>
      </c>
      <c r="C106">
        <f>HYPERLINK("https://finance.naver.com/item/coinfo.nhn?code=090710", "A090710")</f>
        <v>0</v>
      </c>
      <c r="D106">
        <f>HYPERLINK("http://comp.fnguide.com/SVO2/ASP/SVD_Consensus.asp?pGB=1&amp;gicode=A090710&amp;cID=&amp;MenuYn=Y&amp;ReportGB=&amp;NewMenuID=108&amp;stkGb=701", "휴림로봇")</f>
        <v>0</v>
      </c>
      <c r="E106">
        <v>3</v>
      </c>
      <c r="F106">
        <v>1050</v>
      </c>
      <c r="G106">
        <v>0</v>
      </c>
      <c r="H106">
        <v>3.67</v>
      </c>
      <c r="I106">
        <v>2871</v>
      </c>
      <c r="J106">
        <v>1539</v>
      </c>
      <c r="K106">
        <v>1148</v>
      </c>
      <c r="L106">
        <v>-173.39</v>
      </c>
      <c r="M106">
        <v>-46.53</v>
      </c>
      <c r="N106">
        <v>-9.32</v>
      </c>
      <c r="O106">
        <v>38.45</v>
      </c>
      <c r="P106" t="b">
        <v>1</v>
      </c>
      <c r="Q106">
        <v>0</v>
      </c>
      <c r="R106">
        <v>473</v>
      </c>
      <c r="U106" t="s">
        <v>636</v>
      </c>
      <c r="V106" t="s">
        <v>884</v>
      </c>
      <c r="W106">
        <v>0</v>
      </c>
      <c r="X106">
        <v>0</v>
      </c>
      <c r="Y106" t="s">
        <v>1130</v>
      </c>
      <c r="Z106">
        <v>45.59999999999999</v>
      </c>
      <c r="AA106">
        <v>1165</v>
      </c>
      <c r="AB106">
        <v>4179845</v>
      </c>
      <c r="AC106" t="s">
        <v>1369</v>
      </c>
      <c r="AD106">
        <v>9.31</v>
      </c>
      <c r="AE106" t="s">
        <v>1617</v>
      </c>
      <c r="AF106" t="s">
        <v>1865</v>
      </c>
      <c r="AG106">
        <v>207</v>
      </c>
      <c r="AH106">
        <v>-89</v>
      </c>
      <c r="AI106">
        <v>41541</v>
      </c>
    </row>
    <row r="107" spans="1:36">
      <c r="A107" s="1" t="s">
        <v>141</v>
      </c>
      <c r="B107" t="s">
        <v>389</v>
      </c>
      <c r="C107">
        <f>HYPERLINK("https://finance.naver.com/item/coinfo.nhn?code=030610", "A030610")</f>
        <v>0</v>
      </c>
      <c r="D107">
        <f>HYPERLINK("http://comp.fnguide.com/SVO2/ASP/SVD_Consensus.asp?pGB=1&amp;gicode=A030610&amp;cID=&amp;MenuYn=Y&amp;ReportGB=&amp;NewMenuID=108&amp;stkGb=701", "교보증권")</f>
        <v>0</v>
      </c>
      <c r="E107">
        <v>3</v>
      </c>
      <c r="F107">
        <v>8970</v>
      </c>
      <c r="G107">
        <v>0</v>
      </c>
      <c r="H107">
        <v>3.73</v>
      </c>
      <c r="I107">
        <v>22063</v>
      </c>
      <c r="J107">
        <v>20769</v>
      </c>
      <c r="K107">
        <v>20389</v>
      </c>
      <c r="L107">
        <v>-145.96</v>
      </c>
      <c r="M107">
        <v>-131.53</v>
      </c>
      <c r="N107">
        <v>-127.3</v>
      </c>
      <c r="O107">
        <v>9.210000000000001</v>
      </c>
      <c r="P107" t="b">
        <v>1</v>
      </c>
      <c r="Q107">
        <v>0</v>
      </c>
      <c r="R107">
        <v>2046</v>
      </c>
      <c r="U107" t="s">
        <v>637</v>
      </c>
      <c r="V107" t="s">
        <v>885</v>
      </c>
      <c r="W107">
        <v>0</v>
      </c>
      <c r="X107">
        <v>9.4</v>
      </c>
      <c r="Y107" t="s">
        <v>1131</v>
      </c>
      <c r="Z107">
        <v>9.139695521446356</v>
      </c>
      <c r="AA107">
        <v>5799</v>
      </c>
      <c r="AB107">
        <v>68058</v>
      </c>
      <c r="AC107" t="s">
        <v>1370</v>
      </c>
      <c r="AD107">
        <v>73.16</v>
      </c>
      <c r="AE107" t="s">
        <v>1618</v>
      </c>
      <c r="AF107" t="s">
        <v>1866</v>
      </c>
      <c r="AG107">
        <v>3494</v>
      </c>
      <c r="AH107">
        <v>1366</v>
      </c>
      <c r="AI107">
        <v>1093598</v>
      </c>
      <c r="AJ107">
        <v>5.89</v>
      </c>
    </row>
    <row r="108" spans="1:36">
      <c r="A108" s="1" t="s">
        <v>142</v>
      </c>
      <c r="B108" t="s">
        <v>390</v>
      </c>
      <c r="C108">
        <f>HYPERLINK("https://finance.naver.com/item/coinfo.nhn?code=005830", "A005830")</f>
        <v>0</v>
      </c>
      <c r="D108">
        <f>HYPERLINK("http://comp.fnguide.com/SVO2/ASP/SVD_Consensus.asp?pGB=1&amp;gicode=A005830&amp;cID=&amp;MenuYn=Y&amp;ReportGB=&amp;NewMenuID=108&amp;stkGb=701", "DB손해보험")</f>
        <v>0</v>
      </c>
      <c r="E108">
        <v>3</v>
      </c>
      <c r="F108">
        <v>50600</v>
      </c>
      <c r="G108">
        <v>1.25</v>
      </c>
      <c r="H108">
        <v>5.54</v>
      </c>
      <c r="I108">
        <v>110880</v>
      </c>
      <c r="J108">
        <v>108481</v>
      </c>
      <c r="K108">
        <v>107777</v>
      </c>
      <c r="L108">
        <v>-119.13</v>
      </c>
      <c r="M108">
        <v>-114.39</v>
      </c>
      <c r="N108">
        <v>-113</v>
      </c>
      <c r="O108">
        <v>8.619999999999999</v>
      </c>
      <c r="P108" t="b">
        <v>1</v>
      </c>
      <c r="Q108">
        <v>2</v>
      </c>
      <c r="R108">
        <v>7893</v>
      </c>
      <c r="S108">
        <v>8573</v>
      </c>
      <c r="T108">
        <v>8.6</v>
      </c>
      <c r="U108" t="s">
        <v>638</v>
      </c>
      <c r="V108" t="s">
        <v>886</v>
      </c>
      <c r="W108">
        <v>4.444228262047711</v>
      </c>
      <c r="X108">
        <v>9</v>
      </c>
      <c r="Y108" t="s">
        <v>1132</v>
      </c>
      <c r="Z108">
        <v>10.94206235865574</v>
      </c>
      <c r="AA108">
        <v>35825</v>
      </c>
      <c r="AB108">
        <v>93734</v>
      </c>
      <c r="AC108" t="s">
        <v>1371</v>
      </c>
      <c r="AD108">
        <v>23.21</v>
      </c>
      <c r="AE108" t="s">
        <v>1619</v>
      </c>
      <c r="AF108" t="s">
        <v>1867</v>
      </c>
      <c r="AG108">
        <v>154561</v>
      </c>
      <c r="AH108">
        <v>7310</v>
      </c>
      <c r="AI108">
        <v>10756531</v>
      </c>
      <c r="AJ108">
        <v>5.03</v>
      </c>
    </row>
    <row r="109" spans="1:36">
      <c r="A109" s="1" t="s">
        <v>143</v>
      </c>
      <c r="B109" t="s">
        <v>391</v>
      </c>
      <c r="C109">
        <f>HYPERLINK("https://finance.naver.com/item/coinfo.nhn?code=001880", "A001880")</f>
        <v>0</v>
      </c>
      <c r="D109">
        <f>HYPERLINK("http://comp.fnguide.com/SVO2/ASP/SVD_Consensus.asp?pGB=1&amp;gicode=A001880&amp;cID=&amp;MenuYn=Y&amp;ReportGB=&amp;NewMenuID=108&amp;stkGb=701", "DL건설")</f>
        <v>0</v>
      </c>
      <c r="E109">
        <v>3</v>
      </c>
      <c r="F109">
        <v>36150</v>
      </c>
      <c r="G109">
        <v>0</v>
      </c>
      <c r="H109">
        <v>3.94</v>
      </c>
      <c r="I109">
        <v>99238</v>
      </c>
      <c r="J109">
        <v>62028</v>
      </c>
      <c r="K109">
        <v>51115</v>
      </c>
      <c r="L109">
        <v>-174.52</v>
      </c>
      <c r="M109">
        <v>-71.58</v>
      </c>
      <c r="N109">
        <v>-41.4</v>
      </c>
      <c r="O109">
        <v>22.65</v>
      </c>
      <c r="P109" t="b">
        <v>1</v>
      </c>
      <c r="Q109">
        <v>0</v>
      </c>
      <c r="R109">
        <v>7759</v>
      </c>
      <c r="U109" t="s">
        <v>639</v>
      </c>
      <c r="V109" t="s">
        <v>887</v>
      </c>
      <c r="W109">
        <v>0</v>
      </c>
      <c r="X109">
        <v>-34.2</v>
      </c>
      <c r="Y109" t="s">
        <v>1133</v>
      </c>
      <c r="Z109">
        <v>0.6870200310768348</v>
      </c>
      <c r="AA109">
        <v>7972</v>
      </c>
      <c r="AB109">
        <v>51838</v>
      </c>
      <c r="AC109" t="s">
        <v>1372</v>
      </c>
      <c r="AD109">
        <v>66.36</v>
      </c>
      <c r="AE109" t="s">
        <v>1620</v>
      </c>
      <c r="AF109" t="s">
        <v>1868</v>
      </c>
      <c r="AG109">
        <v>17346</v>
      </c>
      <c r="AH109">
        <v>2034</v>
      </c>
      <c r="AI109">
        <v>371</v>
      </c>
      <c r="AJ109">
        <v>1.8</v>
      </c>
    </row>
    <row r="110" spans="1:36">
      <c r="A110" s="1" t="s">
        <v>144</v>
      </c>
      <c r="B110" t="s">
        <v>392</v>
      </c>
      <c r="C110">
        <f>HYPERLINK("https://finance.naver.com/item/coinfo.nhn?code=007700", "A007700")</f>
        <v>0</v>
      </c>
      <c r="D110">
        <f>HYPERLINK("http://comp.fnguide.com/SVO2/ASP/SVD_Consensus.asp?pGB=1&amp;gicode=A007700&amp;cID=&amp;MenuYn=Y&amp;ReportGB=&amp;NewMenuID=108&amp;stkGb=701", "F&amp;F홀딩스")</f>
        <v>0</v>
      </c>
      <c r="E110">
        <v>3</v>
      </c>
      <c r="F110">
        <v>40400</v>
      </c>
      <c r="G110">
        <v>0</v>
      </c>
      <c r="H110">
        <v>7.57</v>
      </c>
      <c r="I110">
        <v>190323</v>
      </c>
      <c r="J110">
        <v>120289</v>
      </c>
      <c r="K110">
        <v>99749</v>
      </c>
      <c r="L110">
        <v>-371.1</v>
      </c>
      <c r="M110">
        <v>-197.75</v>
      </c>
      <c r="N110">
        <v>-146.9</v>
      </c>
      <c r="O110">
        <v>21.95</v>
      </c>
      <c r="P110" t="b">
        <v>1</v>
      </c>
      <c r="Q110">
        <v>0</v>
      </c>
      <c r="R110">
        <v>5571</v>
      </c>
      <c r="U110" t="s">
        <v>640</v>
      </c>
      <c r="V110" t="s">
        <v>888</v>
      </c>
      <c r="W110">
        <v>0</v>
      </c>
      <c r="X110">
        <v>306.9</v>
      </c>
      <c r="Y110" t="s">
        <v>1134</v>
      </c>
      <c r="Z110">
        <v>63.08288914650668</v>
      </c>
      <c r="AA110">
        <v>3126</v>
      </c>
      <c r="AB110">
        <v>439599</v>
      </c>
      <c r="AC110" t="s">
        <v>1373</v>
      </c>
      <c r="AD110">
        <v>58.82</v>
      </c>
      <c r="AE110" t="s">
        <v>1621</v>
      </c>
      <c r="AF110" t="s">
        <v>1869</v>
      </c>
      <c r="AG110">
        <v>8376</v>
      </c>
      <c r="AH110">
        <v>1226</v>
      </c>
      <c r="AI110">
        <v>79896</v>
      </c>
      <c r="AJ110">
        <v>2.37</v>
      </c>
    </row>
    <row r="111" spans="1:36">
      <c r="A111" s="1" t="s">
        <v>145</v>
      </c>
      <c r="B111" t="s">
        <v>393</v>
      </c>
      <c r="C111">
        <f>HYPERLINK("https://finance.naver.com/item/coinfo.nhn?code=006360", "A006360")</f>
        <v>0</v>
      </c>
      <c r="D111">
        <f>HYPERLINK("http://comp.fnguide.com/SVO2/ASP/SVD_Consensus.asp?pGB=1&amp;gicode=A006360&amp;cID=&amp;MenuYn=Y&amp;ReportGB=&amp;NewMenuID=108&amp;stkGb=701", "GS건설")</f>
        <v>0</v>
      </c>
      <c r="E111">
        <v>3</v>
      </c>
      <c r="F111">
        <v>44400</v>
      </c>
      <c r="G111">
        <v>-5.5</v>
      </c>
      <c r="H111">
        <v>9.789999999999999</v>
      </c>
      <c r="I111">
        <v>62722</v>
      </c>
      <c r="J111">
        <v>54504</v>
      </c>
      <c r="K111">
        <v>52094</v>
      </c>
      <c r="L111">
        <v>-41.27</v>
      </c>
      <c r="M111">
        <v>-22.76</v>
      </c>
      <c r="N111">
        <v>-17.33</v>
      </c>
      <c r="O111">
        <v>10.66</v>
      </c>
      <c r="P111" t="b">
        <v>0</v>
      </c>
      <c r="Q111">
        <v>1</v>
      </c>
      <c r="R111">
        <v>3862</v>
      </c>
      <c r="S111">
        <v>6943</v>
      </c>
      <c r="T111">
        <v>79.8</v>
      </c>
      <c r="U111" t="s">
        <v>641</v>
      </c>
      <c r="V111" t="s">
        <v>889</v>
      </c>
      <c r="W111">
        <v>-1.780582566382993</v>
      </c>
      <c r="X111">
        <v>12.4</v>
      </c>
      <c r="Y111" t="s">
        <v>1135</v>
      </c>
      <c r="Z111">
        <v>-16.01735241277139</v>
      </c>
      <c r="AA111">
        <v>37958</v>
      </c>
      <c r="AB111">
        <v>670615</v>
      </c>
      <c r="AC111" t="s">
        <v>1374</v>
      </c>
      <c r="AD111">
        <v>23.8</v>
      </c>
      <c r="AE111" t="s">
        <v>1622</v>
      </c>
      <c r="AF111" t="s">
        <v>1870</v>
      </c>
      <c r="AG111">
        <v>101229</v>
      </c>
      <c r="AH111">
        <v>7504</v>
      </c>
      <c r="AI111">
        <v>692595</v>
      </c>
      <c r="AJ111">
        <v>3.17</v>
      </c>
    </row>
    <row r="112" spans="1:36">
      <c r="A112" s="1" t="s">
        <v>146</v>
      </c>
      <c r="B112" t="s">
        <v>394</v>
      </c>
      <c r="C112">
        <f>HYPERLINK("https://finance.naver.com/item/coinfo.nhn?code=012630", "A012630")</f>
        <v>0</v>
      </c>
      <c r="D112">
        <f>HYPERLINK("http://comp.fnguide.com/SVO2/ASP/SVD_Consensus.asp?pGB=1&amp;gicode=A012630&amp;cID=&amp;MenuYn=Y&amp;ReportGB=&amp;NewMenuID=108&amp;stkGb=701", "HDC")</f>
        <v>0</v>
      </c>
      <c r="E112">
        <v>3</v>
      </c>
      <c r="F112">
        <v>14050</v>
      </c>
      <c r="G112">
        <v>0</v>
      </c>
      <c r="H112">
        <v>6.37</v>
      </c>
      <c r="I112">
        <v>64201</v>
      </c>
      <c r="J112">
        <v>50378</v>
      </c>
      <c r="K112">
        <v>46323</v>
      </c>
      <c r="L112">
        <v>-356.94</v>
      </c>
      <c r="M112">
        <v>-258.56</v>
      </c>
      <c r="N112">
        <v>-229.7</v>
      </c>
      <c r="O112">
        <v>13.05</v>
      </c>
      <c r="P112" t="b">
        <v>1</v>
      </c>
      <c r="Q112">
        <v>0</v>
      </c>
      <c r="R112">
        <v>1734</v>
      </c>
      <c r="U112" t="s">
        <v>642</v>
      </c>
      <c r="V112" t="s">
        <v>890</v>
      </c>
      <c r="W112">
        <v>0</v>
      </c>
      <c r="X112">
        <v>25.1</v>
      </c>
      <c r="Y112" t="s">
        <v>1136</v>
      </c>
      <c r="Z112">
        <v>-11.84759532078039</v>
      </c>
      <c r="AA112">
        <v>8394</v>
      </c>
      <c r="AB112">
        <v>484652</v>
      </c>
      <c r="AC112" t="s">
        <v>1375</v>
      </c>
      <c r="AD112">
        <v>38.17</v>
      </c>
      <c r="AE112" t="s">
        <v>1623</v>
      </c>
      <c r="AF112" t="s">
        <v>1871</v>
      </c>
      <c r="AG112">
        <v>39519</v>
      </c>
      <c r="AH112">
        <v>5447</v>
      </c>
      <c r="AI112">
        <v>4919656</v>
      </c>
      <c r="AJ112">
        <v>2.26</v>
      </c>
    </row>
    <row r="113" spans="1:36">
      <c r="A113" s="1" t="s">
        <v>147</v>
      </c>
      <c r="B113" t="s">
        <v>395</v>
      </c>
      <c r="C113">
        <f>HYPERLINK("https://finance.naver.com/item/coinfo.nhn?code=294870", "A294870")</f>
        <v>0</v>
      </c>
      <c r="D113">
        <f>HYPERLINK("http://comp.fnguide.com/SVO2/ASP/SVD_Consensus.asp?pGB=1&amp;gicode=A294870&amp;cID=&amp;MenuYn=Y&amp;ReportGB=&amp;NewMenuID=108&amp;stkGb=701", "HDC현대산업개발")</f>
        <v>0</v>
      </c>
      <c r="E113">
        <v>3</v>
      </c>
      <c r="F113">
        <v>29250</v>
      </c>
      <c r="G113">
        <v>3.7</v>
      </c>
      <c r="H113">
        <v>7.29</v>
      </c>
      <c r="I113">
        <v>56127</v>
      </c>
      <c r="J113">
        <v>47545</v>
      </c>
      <c r="K113">
        <v>45028</v>
      </c>
      <c r="L113">
        <v>-91.89</v>
      </c>
      <c r="M113">
        <v>-62.55</v>
      </c>
      <c r="N113">
        <v>-53.94</v>
      </c>
      <c r="O113">
        <v>11.19</v>
      </c>
      <c r="P113" t="b">
        <v>0</v>
      </c>
      <c r="Q113">
        <v>1</v>
      </c>
      <c r="R113">
        <v>3579</v>
      </c>
      <c r="S113">
        <v>5549</v>
      </c>
      <c r="T113">
        <v>55</v>
      </c>
      <c r="U113" t="s">
        <v>643</v>
      </c>
      <c r="V113" t="s">
        <v>891</v>
      </c>
      <c r="W113">
        <v>1.967694498212524</v>
      </c>
      <c r="X113">
        <v>-36</v>
      </c>
      <c r="Y113" t="s">
        <v>1137</v>
      </c>
      <c r="Z113">
        <v>0</v>
      </c>
      <c r="AA113">
        <v>19278</v>
      </c>
      <c r="AB113">
        <v>418030</v>
      </c>
      <c r="AC113" t="s">
        <v>1376</v>
      </c>
      <c r="AD113">
        <v>41.48</v>
      </c>
      <c r="AE113" t="s">
        <v>1624</v>
      </c>
      <c r="AF113" t="s">
        <v>1872</v>
      </c>
      <c r="AG113">
        <v>36702</v>
      </c>
      <c r="AH113">
        <v>5857</v>
      </c>
      <c r="AI113">
        <v>9470</v>
      </c>
      <c r="AJ113">
        <v>2.3</v>
      </c>
    </row>
    <row r="114" spans="1:36">
      <c r="A114" s="1" t="s">
        <v>148</v>
      </c>
      <c r="B114" t="s">
        <v>396</v>
      </c>
      <c r="C114">
        <f>HYPERLINK("https://finance.naver.com/item/coinfo.nhn?code=175330", "A175330")</f>
        <v>0</v>
      </c>
      <c r="D114">
        <f>HYPERLINK("http://comp.fnguide.com/SVO2/ASP/SVD_Consensus.asp?pGB=1&amp;gicode=A175330&amp;cID=&amp;MenuYn=Y&amp;ReportGB=&amp;NewMenuID=108&amp;stkGb=701", "JB금융지주")</f>
        <v>0</v>
      </c>
      <c r="E114">
        <v>3</v>
      </c>
      <c r="F114">
        <v>7690</v>
      </c>
      <c r="G114">
        <v>0.22</v>
      </c>
      <c r="H114">
        <v>3.06</v>
      </c>
      <c r="I114">
        <v>23128</v>
      </c>
      <c r="J114">
        <v>20879</v>
      </c>
      <c r="K114">
        <v>20220</v>
      </c>
      <c r="L114">
        <v>-200.75</v>
      </c>
      <c r="M114">
        <v>-171.51</v>
      </c>
      <c r="N114">
        <v>-162.93</v>
      </c>
      <c r="O114">
        <v>9.93</v>
      </c>
      <c r="P114" t="b">
        <v>1</v>
      </c>
      <c r="Q114">
        <v>3</v>
      </c>
      <c r="R114">
        <v>1845</v>
      </c>
      <c r="S114">
        <v>2152</v>
      </c>
      <c r="T114">
        <v>16.6</v>
      </c>
      <c r="U114" t="s">
        <v>644</v>
      </c>
      <c r="V114" t="s">
        <v>892</v>
      </c>
      <c r="W114">
        <v>13.70306401214927</v>
      </c>
      <c r="X114">
        <v>3.4</v>
      </c>
      <c r="Y114" t="s">
        <v>1138</v>
      </c>
      <c r="Z114">
        <v>3.399961315269606</v>
      </c>
      <c r="AA114">
        <v>15148</v>
      </c>
      <c r="AB114">
        <v>400354</v>
      </c>
      <c r="AC114" t="s">
        <v>1377</v>
      </c>
      <c r="AD114">
        <v>14.61</v>
      </c>
      <c r="AE114" t="s">
        <v>1625</v>
      </c>
      <c r="AF114" t="s">
        <v>1873</v>
      </c>
      <c r="AG114">
        <v>18135</v>
      </c>
      <c r="AH114">
        <v>4695</v>
      </c>
      <c r="AI114">
        <v>2638818</v>
      </c>
      <c r="AJ114">
        <v>6.63</v>
      </c>
    </row>
    <row r="115" spans="1:36">
      <c r="A115" s="1" t="s">
        <v>149</v>
      </c>
      <c r="B115" t="s">
        <v>397</v>
      </c>
      <c r="C115">
        <f>HYPERLINK("https://finance.naver.com/item/coinfo.nhn?code=105560", "A105560")</f>
        <v>0</v>
      </c>
      <c r="D115">
        <f>HYPERLINK("http://comp.fnguide.com/SVO2/ASP/SVD_Consensus.asp?pGB=1&amp;gicode=A105560&amp;cID=&amp;MenuYn=Y&amp;ReportGB=&amp;NewMenuID=108&amp;stkGb=701", "KB금융")</f>
        <v>0</v>
      </c>
      <c r="E115">
        <v>3</v>
      </c>
      <c r="F115">
        <v>58800</v>
      </c>
      <c r="G115">
        <v>0.49</v>
      </c>
      <c r="H115">
        <v>5.22</v>
      </c>
      <c r="I115">
        <v>114365</v>
      </c>
      <c r="J115">
        <v>111241</v>
      </c>
      <c r="K115">
        <v>110325</v>
      </c>
      <c r="L115">
        <v>-94.5</v>
      </c>
      <c r="M115">
        <v>-89.19</v>
      </c>
      <c r="N115">
        <v>-87.63</v>
      </c>
      <c r="O115">
        <v>8.699999999999999</v>
      </c>
      <c r="P115" t="b">
        <v>1</v>
      </c>
      <c r="Q115">
        <v>3</v>
      </c>
      <c r="R115">
        <v>8309</v>
      </c>
      <c r="S115">
        <v>9904</v>
      </c>
      <c r="T115">
        <v>19.2</v>
      </c>
      <c r="U115" t="s">
        <v>645</v>
      </c>
      <c r="V115" t="s">
        <v>893</v>
      </c>
      <c r="W115">
        <v>10.60115648319244</v>
      </c>
      <c r="X115">
        <v>2.5</v>
      </c>
      <c r="Y115" t="s">
        <v>1139</v>
      </c>
      <c r="Z115">
        <v>2.539949297176491</v>
      </c>
      <c r="AA115">
        <v>244495</v>
      </c>
      <c r="AB115">
        <v>1839032</v>
      </c>
      <c r="AC115" t="s">
        <v>1378</v>
      </c>
      <c r="AD115">
        <v>9.93</v>
      </c>
      <c r="AE115" t="s">
        <v>1626</v>
      </c>
      <c r="AF115" t="s">
        <v>1874</v>
      </c>
      <c r="AG115">
        <v>144857</v>
      </c>
      <c r="AH115">
        <v>46160</v>
      </c>
      <c r="AI115">
        <v>26173585</v>
      </c>
      <c r="AJ115">
        <v>4.08</v>
      </c>
    </row>
    <row r="116" spans="1:36">
      <c r="A116" s="1" t="s">
        <v>150</v>
      </c>
      <c r="B116" t="s">
        <v>398</v>
      </c>
      <c r="C116">
        <f>HYPERLINK("https://finance.naver.com/item/coinfo.nhn?code=001390", "A001390")</f>
        <v>0</v>
      </c>
      <c r="D116">
        <f>HYPERLINK("http://comp.fnguide.com/SVO2/ASP/SVD_Consensus.asp?pGB=1&amp;gicode=A001390&amp;cID=&amp;MenuYn=Y&amp;ReportGB=&amp;NewMenuID=108&amp;stkGb=701", "KG케미칼")</f>
        <v>0</v>
      </c>
      <c r="E116">
        <v>3</v>
      </c>
      <c r="F116">
        <v>30100</v>
      </c>
      <c r="G116">
        <v>0</v>
      </c>
      <c r="H116">
        <v>7.19</v>
      </c>
      <c r="I116">
        <v>57606</v>
      </c>
      <c r="J116">
        <v>40067</v>
      </c>
      <c r="K116">
        <v>34923</v>
      </c>
      <c r="L116">
        <v>-91.38</v>
      </c>
      <c r="M116">
        <v>-33.11</v>
      </c>
      <c r="N116">
        <v>-16.02</v>
      </c>
      <c r="O116">
        <v>17.09</v>
      </c>
      <c r="P116" t="b">
        <v>1</v>
      </c>
      <c r="Q116">
        <v>0</v>
      </c>
      <c r="R116">
        <v>3319</v>
      </c>
      <c r="U116" t="s">
        <v>646</v>
      </c>
      <c r="V116" t="s">
        <v>894</v>
      </c>
      <c r="W116">
        <v>0</v>
      </c>
      <c r="X116">
        <v>679.8</v>
      </c>
      <c r="Y116" t="s">
        <v>1140</v>
      </c>
      <c r="Z116">
        <v>87.41474545917265</v>
      </c>
      <c r="AA116">
        <v>4174</v>
      </c>
      <c r="AB116">
        <v>217714</v>
      </c>
      <c r="AC116" t="s">
        <v>1379</v>
      </c>
      <c r="AD116">
        <v>49.9</v>
      </c>
      <c r="AE116" t="s">
        <v>1627</v>
      </c>
      <c r="AF116" t="s">
        <v>1875</v>
      </c>
      <c r="AG116">
        <v>36864</v>
      </c>
      <c r="AH116">
        <v>2430</v>
      </c>
      <c r="AI116">
        <v>200910</v>
      </c>
      <c r="AJ116">
        <v>1.68</v>
      </c>
    </row>
    <row r="117" spans="1:36">
      <c r="A117" s="1" t="s">
        <v>151</v>
      </c>
      <c r="B117" t="s">
        <v>399</v>
      </c>
      <c r="C117">
        <f>HYPERLINK("https://finance.naver.com/item/coinfo.nhn?code=025000", "A025000")</f>
        <v>0</v>
      </c>
      <c r="D117">
        <f>HYPERLINK("http://comp.fnguide.com/SVO2/ASP/SVD_Consensus.asp?pGB=1&amp;gicode=A025000&amp;cID=&amp;MenuYn=Y&amp;ReportGB=&amp;NewMenuID=108&amp;stkGb=701", "KPX케미칼")</f>
        <v>0</v>
      </c>
      <c r="E117">
        <v>3</v>
      </c>
      <c r="F117">
        <v>65000</v>
      </c>
      <c r="G117">
        <v>0</v>
      </c>
      <c r="H117">
        <v>4.2</v>
      </c>
      <c r="I117">
        <v>130427</v>
      </c>
      <c r="J117">
        <v>118391</v>
      </c>
      <c r="K117">
        <v>114861</v>
      </c>
      <c r="L117">
        <v>-100.66</v>
      </c>
      <c r="M117">
        <v>-82.14</v>
      </c>
      <c r="N117">
        <v>-76.70999999999999</v>
      </c>
      <c r="O117">
        <v>9.83</v>
      </c>
      <c r="P117" t="b">
        <v>1</v>
      </c>
      <c r="Q117">
        <v>0</v>
      </c>
      <c r="R117">
        <v>13074</v>
      </c>
      <c r="U117" t="s">
        <v>647</v>
      </c>
      <c r="V117" t="s">
        <v>895</v>
      </c>
      <c r="W117">
        <v>0</v>
      </c>
      <c r="X117">
        <v>153.3</v>
      </c>
      <c r="Y117" t="s">
        <v>1141</v>
      </c>
      <c r="Z117">
        <v>37.29023067047068</v>
      </c>
      <c r="AA117">
        <v>3146</v>
      </c>
      <c r="AB117">
        <v>11831</v>
      </c>
      <c r="AC117" t="s">
        <v>1380</v>
      </c>
      <c r="AD117">
        <v>64.40000000000001</v>
      </c>
      <c r="AE117" t="s">
        <v>1628</v>
      </c>
      <c r="AF117" t="s">
        <v>1876</v>
      </c>
      <c r="AG117">
        <v>7467</v>
      </c>
      <c r="AH117">
        <v>641</v>
      </c>
      <c r="AI117">
        <v>84779</v>
      </c>
      <c r="AJ117">
        <v>5.01</v>
      </c>
    </row>
    <row r="118" spans="1:36">
      <c r="A118" s="1" t="s">
        <v>152</v>
      </c>
      <c r="B118" t="s">
        <v>400</v>
      </c>
      <c r="C118">
        <f>HYPERLINK("https://finance.naver.com/item/coinfo.nhn?code=092230", "A092230")</f>
        <v>0</v>
      </c>
      <c r="D118">
        <f>HYPERLINK("http://comp.fnguide.com/SVO2/ASP/SVD_Consensus.asp?pGB=1&amp;gicode=A092230&amp;cID=&amp;MenuYn=Y&amp;ReportGB=&amp;NewMenuID=108&amp;stkGb=701", "KPX홀딩스")</f>
        <v>0</v>
      </c>
      <c r="E118">
        <v>3</v>
      </c>
      <c r="F118">
        <v>72200</v>
      </c>
      <c r="G118">
        <v>0</v>
      </c>
      <c r="H118">
        <v>1.82</v>
      </c>
      <c r="I118">
        <v>281892</v>
      </c>
      <c r="J118">
        <v>230938</v>
      </c>
      <c r="K118">
        <v>215993</v>
      </c>
      <c r="L118">
        <v>-290.43</v>
      </c>
      <c r="M118">
        <v>-219.86</v>
      </c>
      <c r="N118">
        <v>-199.16</v>
      </c>
      <c r="O118">
        <v>11.95</v>
      </c>
      <c r="P118" t="b">
        <v>1</v>
      </c>
      <c r="Q118">
        <v>0</v>
      </c>
      <c r="R118">
        <v>33268</v>
      </c>
      <c r="U118" t="s">
        <v>648</v>
      </c>
      <c r="V118" t="s">
        <v>896</v>
      </c>
      <c r="W118">
        <v>0</v>
      </c>
      <c r="X118">
        <v>0</v>
      </c>
      <c r="Y118" t="s">
        <v>1142</v>
      </c>
      <c r="Z118">
        <v>47.54288045273092</v>
      </c>
      <c r="AA118">
        <v>3050</v>
      </c>
      <c r="AB118">
        <v>19975</v>
      </c>
      <c r="AC118" t="s">
        <v>1381</v>
      </c>
      <c r="AD118">
        <v>74.15000000000001</v>
      </c>
      <c r="AE118" t="s">
        <v>1629</v>
      </c>
      <c r="AF118" t="s">
        <v>1877</v>
      </c>
      <c r="AG118">
        <v>9532</v>
      </c>
      <c r="AH118">
        <v>791</v>
      </c>
      <c r="AI118">
        <v>270437</v>
      </c>
      <c r="AJ118">
        <v>5.13</v>
      </c>
    </row>
    <row r="119" spans="1:36">
      <c r="A119" s="1" t="s">
        <v>153</v>
      </c>
      <c r="B119" t="s">
        <v>401</v>
      </c>
      <c r="C119">
        <f>HYPERLINK("https://finance.naver.com/item/coinfo.nhn?code=030210", "A030210")</f>
        <v>0</v>
      </c>
      <c r="D119">
        <f>HYPERLINK("http://comp.fnguide.com/SVO2/ASP/SVD_Consensus.asp?pGB=1&amp;gicode=A030210&amp;cID=&amp;MenuYn=Y&amp;ReportGB=&amp;NewMenuID=108&amp;stkGb=701", "KTB투자증권")</f>
        <v>0</v>
      </c>
      <c r="E119">
        <v>3</v>
      </c>
      <c r="F119">
        <v>5980</v>
      </c>
      <c r="G119">
        <v>0</v>
      </c>
      <c r="H119">
        <v>2.89</v>
      </c>
      <c r="I119">
        <v>12663</v>
      </c>
      <c r="J119">
        <v>10982</v>
      </c>
      <c r="K119">
        <v>10488</v>
      </c>
      <c r="L119">
        <v>-111.76</v>
      </c>
      <c r="M119">
        <v>-83.64</v>
      </c>
      <c r="N119">
        <v>-75.39</v>
      </c>
      <c r="O119">
        <v>10.7</v>
      </c>
      <c r="P119" t="b">
        <v>1</v>
      </c>
      <c r="Q119">
        <v>0</v>
      </c>
      <c r="R119">
        <v>1103</v>
      </c>
      <c r="U119" t="s">
        <v>649</v>
      </c>
      <c r="V119" t="s">
        <v>897</v>
      </c>
      <c r="W119">
        <v>0</v>
      </c>
      <c r="X119">
        <v>13</v>
      </c>
      <c r="Y119" t="s">
        <v>1143</v>
      </c>
      <c r="Z119">
        <v>8.95870483273773</v>
      </c>
      <c r="AA119">
        <v>3607</v>
      </c>
      <c r="AB119">
        <v>306036</v>
      </c>
      <c r="AC119" t="s">
        <v>1382</v>
      </c>
      <c r="AD119">
        <v>25.52</v>
      </c>
      <c r="AE119" t="s">
        <v>1630</v>
      </c>
      <c r="AF119" t="s">
        <v>1878</v>
      </c>
      <c r="AG119">
        <v>2996</v>
      </c>
      <c r="AH119">
        <v>665</v>
      </c>
      <c r="AI119">
        <v>1290313</v>
      </c>
      <c r="AJ119">
        <v>4.7</v>
      </c>
    </row>
    <row r="120" spans="1:36">
      <c r="A120" s="1" t="s">
        <v>154</v>
      </c>
      <c r="B120" t="s">
        <v>402</v>
      </c>
      <c r="C120">
        <f>HYPERLINK("https://finance.naver.com/item/coinfo.nhn?code=001120", "A001120")</f>
        <v>0</v>
      </c>
      <c r="D120">
        <f>HYPERLINK("http://comp.fnguide.com/SVO2/ASP/SVD_Consensus.asp?pGB=1&amp;gicode=A001120&amp;cID=&amp;MenuYn=Y&amp;ReportGB=&amp;NewMenuID=108&amp;stkGb=701", "LG상사")</f>
        <v>0</v>
      </c>
      <c r="E120">
        <v>3</v>
      </c>
      <c r="F120">
        <v>31750</v>
      </c>
      <c r="G120">
        <v>0</v>
      </c>
      <c r="H120">
        <v>3.22</v>
      </c>
      <c r="I120">
        <v>56869</v>
      </c>
      <c r="J120">
        <v>45232</v>
      </c>
      <c r="K120">
        <v>41819</v>
      </c>
      <c r="L120">
        <v>-79.11</v>
      </c>
      <c r="M120">
        <v>-42.46</v>
      </c>
      <c r="N120">
        <v>-31.71</v>
      </c>
      <c r="O120">
        <v>12.69</v>
      </c>
      <c r="P120" t="b">
        <v>1</v>
      </c>
      <c r="Q120">
        <v>0</v>
      </c>
      <c r="R120">
        <v>7678</v>
      </c>
      <c r="S120">
        <v>4082</v>
      </c>
      <c r="T120">
        <v>-46.8</v>
      </c>
      <c r="U120" t="s">
        <v>650</v>
      </c>
      <c r="V120" t="s">
        <v>898</v>
      </c>
      <c r="W120">
        <v>0</v>
      </c>
      <c r="X120">
        <v>-76.2</v>
      </c>
      <c r="Y120" t="s">
        <v>1144</v>
      </c>
      <c r="Z120">
        <v>36.93614428732636</v>
      </c>
      <c r="AA120">
        <v>12306</v>
      </c>
      <c r="AB120">
        <v>206151</v>
      </c>
      <c r="AC120" t="s">
        <v>1383</v>
      </c>
      <c r="AD120">
        <v>24.76</v>
      </c>
      <c r="AE120" t="s">
        <v>1631</v>
      </c>
      <c r="AF120" t="s">
        <v>1879</v>
      </c>
      <c r="AG120">
        <v>112826</v>
      </c>
      <c r="AH120">
        <v>1598</v>
      </c>
      <c r="AI120">
        <v>2792074</v>
      </c>
      <c r="AJ120">
        <v>1.62</v>
      </c>
    </row>
    <row r="121" spans="1:36">
      <c r="A121" s="1" t="s">
        <v>155</v>
      </c>
      <c r="B121" t="s">
        <v>403</v>
      </c>
      <c r="C121">
        <f>HYPERLINK("https://finance.naver.com/item/coinfo.nhn?code=005940", "A005940")</f>
        <v>0</v>
      </c>
      <c r="D121">
        <f>HYPERLINK("http://comp.fnguide.com/SVO2/ASP/SVD_Consensus.asp?pGB=1&amp;gicode=A005940&amp;cID=&amp;MenuYn=Y&amp;ReportGB=&amp;NewMenuID=108&amp;stkGb=701", "NH투자증권")</f>
        <v>0</v>
      </c>
      <c r="E121">
        <v>3</v>
      </c>
      <c r="F121">
        <v>13400</v>
      </c>
      <c r="G121">
        <v>0.21</v>
      </c>
      <c r="H121">
        <v>5.88</v>
      </c>
      <c r="I121">
        <v>23435</v>
      </c>
      <c r="J121">
        <v>21788</v>
      </c>
      <c r="K121">
        <v>21305</v>
      </c>
      <c r="L121">
        <v>-74.89</v>
      </c>
      <c r="M121">
        <v>-62.6</v>
      </c>
      <c r="N121">
        <v>-59</v>
      </c>
      <c r="O121">
        <v>9.42</v>
      </c>
      <c r="P121" t="b">
        <v>0</v>
      </c>
      <c r="Q121">
        <v>3</v>
      </c>
      <c r="R121">
        <v>1921</v>
      </c>
      <c r="S121">
        <v>2510</v>
      </c>
      <c r="T121">
        <v>30.7</v>
      </c>
      <c r="U121" t="s">
        <v>651</v>
      </c>
      <c r="V121" t="s">
        <v>899</v>
      </c>
      <c r="W121">
        <v>27.84505457795734</v>
      </c>
      <c r="X121">
        <v>10.3</v>
      </c>
      <c r="Y121" t="s">
        <v>1145</v>
      </c>
      <c r="Z121">
        <v>7.82547908960618</v>
      </c>
      <c r="AA121">
        <v>37709</v>
      </c>
      <c r="AB121">
        <v>678084</v>
      </c>
      <c r="AC121" t="s">
        <v>1384</v>
      </c>
      <c r="AD121">
        <v>49.12</v>
      </c>
      <c r="AE121" t="s">
        <v>1632</v>
      </c>
      <c r="AF121" t="s">
        <v>1880</v>
      </c>
      <c r="AG121">
        <v>16809</v>
      </c>
      <c r="AH121">
        <v>7873</v>
      </c>
      <c r="AI121">
        <v>683671</v>
      </c>
      <c r="AJ121">
        <v>6.19</v>
      </c>
    </row>
    <row r="122" spans="1:36">
      <c r="A122" s="1" t="s">
        <v>156</v>
      </c>
      <c r="B122" t="s">
        <v>404</v>
      </c>
      <c r="C122">
        <f>HYPERLINK("https://finance.naver.com/item/coinfo.nhn?code=018670", "A018670")</f>
        <v>0</v>
      </c>
      <c r="D122">
        <f>HYPERLINK("http://comp.fnguide.com/SVO2/ASP/SVD_Consensus.asp?pGB=1&amp;gicode=A018670&amp;cID=&amp;MenuYn=Y&amp;ReportGB=&amp;NewMenuID=108&amp;stkGb=701", "SK가스")</f>
        <v>0</v>
      </c>
      <c r="E122">
        <v>3</v>
      </c>
      <c r="F122">
        <v>108000</v>
      </c>
      <c r="G122">
        <v>0.1</v>
      </c>
      <c r="H122">
        <v>3.64</v>
      </c>
      <c r="I122">
        <v>291636</v>
      </c>
      <c r="J122">
        <v>244832</v>
      </c>
      <c r="K122">
        <v>231105</v>
      </c>
      <c r="L122">
        <v>-170.03</v>
      </c>
      <c r="M122">
        <v>-126.7</v>
      </c>
      <c r="N122">
        <v>-113.99</v>
      </c>
      <c r="O122">
        <v>11.39</v>
      </c>
      <c r="P122" t="b">
        <v>1</v>
      </c>
      <c r="Q122">
        <v>0</v>
      </c>
      <c r="R122">
        <v>28748</v>
      </c>
      <c r="S122">
        <v>16143</v>
      </c>
      <c r="T122">
        <v>-43.8</v>
      </c>
      <c r="U122" t="s">
        <v>652</v>
      </c>
      <c r="V122" t="s">
        <v>900</v>
      </c>
      <c r="W122">
        <v>35.64081003514232</v>
      </c>
      <c r="X122">
        <v>-41.7</v>
      </c>
      <c r="Y122" t="s">
        <v>1146</v>
      </c>
      <c r="Z122">
        <v>-1.937143857038492</v>
      </c>
      <c r="AA122">
        <v>9969</v>
      </c>
      <c r="AB122">
        <v>15818</v>
      </c>
      <c r="AC122" t="s">
        <v>1385</v>
      </c>
      <c r="AD122">
        <v>72.34999999999999</v>
      </c>
      <c r="AE122" t="s">
        <v>1633</v>
      </c>
      <c r="AF122" t="s">
        <v>1881</v>
      </c>
      <c r="AG122">
        <v>44123</v>
      </c>
      <c r="AH122">
        <v>1902</v>
      </c>
      <c r="AI122">
        <v>297248</v>
      </c>
      <c r="AJ122">
        <v>3.83</v>
      </c>
    </row>
    <row r="123" spans="1:36">
      <c r="A123" s="1" t="s">
        <v>157</v>
      </c>
      <c r="B123" t="s">
        <v>405</v>
      </c>
      <c r="C123">
        <f>HYPERLINK("https://finance.naver.com/item/coinfo.nhn?code=006120", "A006120")</f>
        <v>0</v>
      </c>
      <c r="D123">
        <f>HYPERLINK("http://comp.fnguide.com/SVO2/ASP/SVD_Consensus.asp?pGB=1&amp;gicode=A006120&amp;cID=&amp;MenuYn=Y&amp;ReportGB=&amp;NewMenuID=108&amp;stkGb=701", "SK디스커버리")</f>
        <v>0</v>
      </c>
      <c r="E123">
        <v>3</v>
      </c>
      <c r="F123">
        <v>52300</v>
      </c>
      <c r="G123">
        <v>0</v>
      </c>
      <c r="H123">
        <v>5.02</v>
      </c>
      <c r="I123">
        <v>149455</v>
      </c>
      <c r="J123">
        <v>121569</v>
      </c>
      <c r="K123">
        <v>113391</v>
      </c>
      <c r="L123">
        <v>-185.76</v>
      </c>
      <c r="M123">
        <v>-132.45</v>
      </c>
      <c r="N123">
        <v>-116.81</v>
      </c>
      <c r="O123">
        <v>12.12</v>
      </c>
      <c r="P123" t="b">
        <v>1</v>
      </c>
      <c r="Q123">
        <v>0</v>
      </c>
      <c r="R123">
        <v>13091</v>
      </c>
      <c r="U123" t="s">
        <v>653</v>
      </c>
      <c r="V123" t="s">
        <v>901</v>
      </c>
      <c r="W123">
        <v>0</v>
      </c>
      <c r="X123">
        <v>-32.7</v>
      </c>
      <c r="Y123" t="s">
        <v>1147</v>
      </c>
      <c r="Z123">
        <v>23.62764285216936</v>
      </c>
      <c r="AA123">
        <v>9957</v>
      </c>
      <c r="AB123">
        <v>32409</v>
      </c>
      <c r="AC123" t="s">
        <v>1386</v>
      </c>
      <c r="AD123">
        <v>47.5</v>
      </c>
      <c r="AE123" t="s">
        <v>1634</v>
      </c>
      <c r="AF123" t="s">
        <v>1882</v>
      </c>
      <c r="AG123">
        <v>45195</v>
      </c>
      <c r="AH123">
        <v>1730</v>
      </c>
      <c r="AI123">
        <v>12137</v>
      </c>
      <c r="AJ123">
        <v>1.52</v>
      </c>
    </row>
    <row r="124" spans="1:36">
      <c r="A124" s="1" t="s">
        <v>158</v>
      </c>
      <c r="B124" t="s">
        <v>406</v>
      </c>
      <c r="C124">
        <f>HYPERLINK("https://finance.naver.com/item/coinfo.nhn?code=013580", "A013580")</f>
        <v>0</v>
      </c>
      <c r="D124">
        <f>HYPERLINK("http://comp.fnguide.com/SVO2/ASP/SVD_Consensus.asp?pGB=1&amp;gicode=A013580&amp;cID=&amp;MenuYn=Y&amp;ReportGB=&amp;NewMenuID=108&amp;stkGb=701", "계룡건설")</f>
        <v>0</v>
      </c>
      <c r="E124">
        <v>3</v>
      </c>
      <c r="F124">
        <v>34700</v>
      </c>
      <c r="G124">
        <v>1.08</v>
      </c>
      <c r="H124">
        <v>2.66</v>
      </c>
      <c r="I124">
        <v>143454</v>
      </c>
      <c r="J124">
        <v>95511</v>
      </c>
      <c r="K124">
        <v>81450</v>
      </c>
      <c r="L124">
        <v>-313.41</v>
      </c>
      <c r="M124">
        <v>-175.25</v>
      </c>
      <c r="N124">
        <v>-134.73</v>
      </c>
      <c r="O124">
        <v>19.07</v>
      </c>
      <c r="P124" t="b">
        <v>1</v>
      </c>
      <c r="Q124">
        <v>2</v>
      </c>
      <c r="R124">
        <v>10532</v>
      </c>
      <c r="S124">
        <v>10749</v>
      </c>
      <c r="T124">
        <v>2.1</v>
      </c>
      <c r="U124" t="s">
        <v>654</v>
      </c>
      <c r="V124" t="s">
        <v>902</v>
      </c>
      <c r="W124">
        <v>2.470414241233621</v>
      </c>
      <c r="X124">
        <v>62.7</v>
      </c>
      <c r="Y124" t="s">
        <v>1148</v>
      </c>
      <c r="Z124">
        <v>55.80806040411497</v>
      </c>
      <c r="AA124">
        <v>3099</v>
      </c>
      <c r="AB124">
        <v>35493</v>
      </c>
      <c r="AC124" t="s">
        <v>1387</v>
      </c>
      <c r="AD124">
        <v>38.7</v>
      </c>
      <c r="AE124" t="s">
        <v>1635</v>
      </c>
      <c r="AF124" t="s">
        <v>1883</v>
      </c>
      <c r="AG124">
        <v>22000</v>
      </c>
      <c r="AH124">
        <v>1748</v>
      </c>
      <c r="AI124">
        <v>73110</v>
      </c>
      <c r="AJ124">
        <v>2.14</v>
      </c>
    </row>
    <row r="125" spans="1:36">
      <c r="A125" s="1" t="s">
        <v>159</v>
      </c>
      <c r="B125" t="s">
        <v>407</v>
      </c>
      <c r="C125">
        <f>HYPERLINK("https://finance.naver.com/item/coinfo.nhn?code=015350", "A015350")</f>
        <v>0</v>
      </c>
      <c r="D125">
        <f>HYPERLINK("http://comp.fnguide.com/SVO2/ASP/SVD_Consensus.asp?pGB=1&amp;gicode=A015350&amp;cID=&amp;MenuYn=Y&amp;ReportGB=&amp;NewMenuID=108&amp;stkGb=701", "부산가스")</f>
        <v>0</v>
      </c>
      <c r="E125">
        <v>3</v>
      </c>
      <c r="F125">
        <v>62300</v>
      </c>
      <c r="G125">
        <v>0</v>
      </c>
      <c r="H125">
        <v>3.13</v>
      </c>
      <c r="I125">
        <v>162445</v>
      </c>
      <c r="J125">
        <v>117590</v>
      </c>
      <c r="K125">
        <v>104435</v>
      </c>
      <c r="L125">
        <v>-160.75</v>
      </c>
      <c r="M125">
        <v>-88.75</v>
      </c>
      <c r="N125">
        <v>-67.63</v>
      </c>
      <c r="O125">
        <v>15.56</v>
      </c>
      <c r="P125" t="b">
        <v>1</v>
      </c>
      <c r="Q125">
        <v>0</v>
      </c>
      <c r="R125">
        <v>16307</v>
      </c>
      <c r="U125" t="s">
        <v>655</v>
      </c>
      <c r="V125" t="s">
        <v>903</v>
      </c>
      <c r="W125">
        <v>0</v>
      </c>
      <c r="X125">
        <v>8.9</v>
      </c>
      <c r="Y125" t="s">
        <v>1149</v>
      </c>
      <c r="Z125">
        <v>31.50747793262387</v>
      </c>
      <c r="AA125">
        <v>6853</v>
      </c>
      <c r="AB125">
        <v>23413</v>
      </c>
      <c r="AC125" t="s">
        <v>1388</v>
      </c>
      <c r="AD125">
        <v>67.31999999999999</v>
      </c>
      <c r="AE125" t="s">
        <v>1636</v>
      </c>
      <c r="AF125" t="s">
        <v>1884</v>
      </c>
      <c r="AG125">
        <v>9221</v>
      </c>
      <c r="AH125">
        <v>351</v>
      </c>
      <c r="AI125">
        <v>999000</v>
      </c>
      <c r="AJ125">
        <v>1.96</v>
      </c>
    </row>
    <row r="126" spans="1:36">
      <c r="A126" s="1" t="s">
        <v>160</v>
      </c>
      <c r="B126" t="s">
        <v>408</v>
      </c>
      <c r="C126">
        <f>HYPERLINK("https://finance.naver.com/item/coinfo.nhn?code=045060", "A045060")</f>
        <v>0</v>
      </c>
      <c r="D126">
        <f>HYPERLINK("http://comp.fnguide.com/SVO2/ASP/SVD_Consensus.asp?pGB=1&amp;gicode=A045060&amp;cID=&amp;MenuYn=Y&amp;ReportGB=&amp;NewMenuID=108&amp;stkGb=701", "오공")</f>
        <v>0</v>
      </c>
      <c r="E126">
        <v>3</v>
      </c>
      <c r="F126">
        <v>5210</v>
      </c>
      <c r="G126">
        <v>0</v>
      </c>
      <c r="H126">
        <v>11.09</v>
      </c>
      <c r="I126">
        <v>5865</v>
      </c>
      <c r="J126">
        <v>5424</v>
      </c>
      <c r="K126">
        <v>5295</v>
      </c>
      <c r="L126">
        <v>-12.57</v>
      </c>
      <c r="M126">
        <v>-4.11</v>
      </c>
      <c r="N126">
        <v>-1.63</v>
      </c>
      <c r="O126">
        <v>9.51</v>
      </c>
      <c r="P126" t="b">
        <v>1</v>
      </c>
      <c r="Q126">
        <v>0</v>
      </c>
      <c r="R126">
        <v>455</v>
      </c>
      <c r="U126" t="s">
        <v>656</v>
      </c>
      <c r="V126" t="s">
        <v>904</v>
      </c>
      <c r="W126">
        <v>0</v>
      </c>
      <c r="X126">
        <v>52.5</v>
      </c>
      <c r="Y126" t="s">
        <v>1150</v>
      </c>
      <c r="Z126">
        <v>11.06272597497515</v>
      </c>
      <c r="AA126">
        <v>883</v>
      </c>
      <c r="AB126">
        <v>113173</v>
      </c>
      <c r="AC126" t="s">
        <v>1389</v>
      </c>
      <c r="AD126">
        <v>30.92</v>
      </c>
      <c r="AE126" t="s">
        <v>1637</v>
      </c>
      <c r="AF126" t="s">
        <v>1885</v>
      </c>
      <c r="AG126">
        <v>1508</v>
      </c>
      <c r="AH126">
        <v>99</v>
      </c>
      <c r="AI126">
        <v>87473</v>
      </c>
      <c r="AJ126">
        <v>1.19</v>
      </c>
    </row>
    <row r="127" spans="1:36">
      <c r="A127" s="1" t="s">
        <v>161</v>
      </c>
      <c r="B127" t="s">
        <v>409</v>
      </c>
      <c r="C127">
        <f>HYPERLINK("https://finance.naver.com/item/coinfo.nhn?code=002310", "A002310")</f>
        <v>0</v>
      </c>
      <c r="D127">
        <f>HYPERLINK("http://comp.fnguide.com/SVO2/ASP/SVD_Consensus.asp?pGB=1&amp;gicode=A002310&amp;cID=&amp;MenuYn=Y&amp;ReportGB=&amp;NewMenuID=108&amp;stkGb=701", "아세아제지")</f>
        <v>0</v>
      </c>
      <c r="E127">
        <v>3</v>
      </c>
      <c r="F127">
        <v>56800</v>
      </c>
      <c r="G127">
        <v>0.54</v>
      </c>
      <c r="H127">
        <v>6.15</v>
      </c>
      <c r="I127">
        <v>91623</v>
      </c>
      <c r="J127">
        <v>79259</v>
      </c>
      <c r="K127">
        <v>75633</v>
      </c>
      <c r="L127">
        <v>-61.31</v>
      </c>
      <c r="M127">
        <v>-39.54</v>
      </c>
      <c r="N127">
        <v>-33.16</v>
      </c>
      <c r="O127">
        <v>10.75</v>
      </c>
      <c r="P127" t="b">
        <v>1</v>
      </c>
      <c r="Q127">
        <v>1</v>
      </c>
      <c r="R127">
        <v>6057</v>
      </c>
      <c r="S127">
        <v>12170</v>
      </c>
      <c r="T127">
        <v>100.9</v>
      </c>
      <c r="U127" t="s">
        <v>657</v>
      </c>
      <c r="V127" t="s">
        <v>905</v>
      </c>
      <c r="W127">
        <v>11.48006794467278</v>
      </c>
      <c r="X127">
        <v>109.1</v>
      </c>
      <c r="Y127" t="s">
        <v>1151</v>
      </c>
      <c r="Z127">
        <v>40.46023669771272</v>
      </c>
      <c r="AA127">
        <v>5087</v>
      </c>
      <c r="AB127">
        <v>36642</v>
      </c>
      <c r="AC127" t="s">
        <v>1390</v>
      </c>
      <c r="AD127">
        <v>49.87</v>
      </c>
      <c r="AE127" t="s">
        <v>1638</v>
      </c>
      <c r="AF127" t="s">
        <v>1886</v>
      </c>
      <c r="AG127">
        <v>7316</v>
      </c>
      <c r="AH127">
        <v>657</v>
      </c>
      <c r="AJ127">
        <v>1.88</v>
      </c>
    </row>
    <row r="128" spans="1:36">
      <c r="A128" s="1" t="s">
        <v>162</v>
      </c>
      <c r="B128" t="s">
        <v>410</v>
      </c>
      <c r="C128">
        <f>HYPERLINK("https://finance.naver.com/item/coinfo.nhn?code=017390", "A017390")</f>
        <v>0</v>
      </c>
      <c r="D128">
        <f>HYPERLINK("http://comp.fnguide.com/SVO2/ASP/SVD_Consensus.asp?pGB=1&amp;gicode=A017390&amp;cID=&amp;MenuYn=Y&amp;ReportGB=&amp;NewMenuID=108&amp;stkGb=701", "서울가스")</f>
        <v>0</v>
      </c>
      <c r="E128">
        <v>3</v>
      </c>
      <c r="F128">
        <v>128500</v>
      </c>
      <c r="G128">
        <v>0</v>
      </c>
      <c r="H128">
        <v>3.45</v>
      </c>
      <c r="I128">
        <v>266468</v>
      </c>
      <c r="J128">
        <v>265837</v>
      </c>
      <c r="K128">
        <v>265652</v>
      </c>
      <c r="L128">
        <v>-107.37</v>
      </c>
      <c r="M128">
        <v>-106.88</v>
      </c>
      <c r="N128">
        <v>-106.73</v>
      </c>
      <c r="O128">
        <v>8.33</v>
      </c>
      <c r="P128" t="b">
        <v>1</v>
      </c>
      <c r="Q128">
        <v>0</v>
      </c>
      <c r="R128">
        <v>26203</v>
      </c>
      <c r="U128" t="s">
        <v>658</v>
      </c>
      <c r="V128" t="s">
        <v>906</v>
      </c>
      <c r="W128">
        <v>0</v>
      </c>
      <c r="X128">
        <v>-32.2</v>
      </c>
      <c r="Y128" t="s">
        <v>1152</v>
      </c>
      <c r="Z128">
        <v>30.79650118345112</v>
      </c>
      <c r="AA128">
        <v>6425</v>
      </c>
      <c r="AB128">
        <v>11323</v>
      </c>
      <c r="AC128" t="s">
        <v>1391</v>
      </c>
      <c r="AD128">
        <v>63.53</v>
      </c>
      <c r="AE128" t="s">
        <v>1639</v>
      </c>
      <c r="AF128" t="s">
        <v>1887</v>
      </c>
      <c r="AG128">
        <v>12807</v>
      </c>
      <c r="AH128">
        <v>80</v>
      </c>
      <c r="AI128">
        <v>1117208</v>
      </c>
      <c r="AJ128">
        <v>18.51</v>
      </c>
    </row>
    <row r="129" spans="1:36">
      <c r="A129" s="1" t="s">
        <v>163</v>
      </c>
      <c r="B129" t="s">
        <v>411</v>
      </c>
      <c r="C129">
        <f>HYPERLINK("https://finance.naver.com/item/coinfo.nhn?code=016590", "A016590")</f>
        <v>0</v>
      </c>
      <c r="D129">
        <f>HYPERLINK("http://comp.fnguide.com/SVO2/ASP/SVD_Consensus.asp?pGB=1&amp;gicode=A016590&amp;cID=&amp;MenuYn=Y&amp;ReportGB=&amp;NewMenuID=108&amp;stkGb=701", "신대양제지")</f>
        <v>0</v>
      </c>
      <c r="E129">
        <v>3</v>
      </c>
      <c r="F129">
        <v>95500</v>
      </c>
      <c r="G129">
        <v>0</v>
      </c>
      <c r="H129">
        <v>6.06</v>
      </c>
      <c r="I129">
        <v>201652</v>
      </c>
      <c r="J129">
        <v>154377</v>
      </c>
      <c r="K129">
        <v>140512</v>
      </c>
      <c r="L129">
        <v>-111.15</v>
      </c>
      <c r="M129">
        <v>-61.65</v>
      </c>
      <c r="N129">
        <v>-47.13</v>
      </c>
      <c r="O129">
        <v>13.74</v>
      </c>
      <c r="P129" t="b">
        <v>1</v>
      </c>
      <c r="Q129">
        <v>0</v>
      </c>
      <c r="R129">
        <v>10529</v>
      </c>
      <c r="U129" t="s">
        <v>659</v>
      </c>
      <c r="V129" t="s">
        <v>907</v>
      </c>
      <c r="W129">
        <v>0</v>
      </c>
      <c r="X129">
        <v>16.2</v>
      </c>
      <c r="Y129" t="s">
        <v>1153</v>
      </c>
      <c r="Z129">
        <v>24.88114321842199</v>
      </c>
      <c r="AA129">
        <v>3848</v>
      </c>
      <c r="AB129">
        <v>11615</v>
      </c>
      <c r="AC129" t="s">
        <v>1392</v>
      </c>
      <c r="AD129">
        <v>54.34</v>
      </c>
      <c r="AE129" t="s">
        <v>1640</v>
      </c>
      <c r="AF129" t="s">
        <v>1888</v>
      </c>
      <c r="AG129">
        <v>6092</v>
      </c>
      <c r="AH129">
        <v>646</v>
      </c>
      <c r="AI129">
        <v>295661</v>
      </c>
      <c r="AJ129">
        <v>0.98</v>
      </c>
    </row>
    <row r="130" spans="1:36">
      <c r="A130" s="1" t="s">
        <v>164</v>
      </c>
      <c r="B130" t="s">
        <v>412</v>
      </c>
      <c r="C130">
        <f>HYPERLINK("https://finance.naver.com/item/coinfo.nhn?code=006740", "A006740")</f>
        <v>0</v>
      </c>
      <c r="D130">
        <f>HYPERLINK("http://comp.fnguide.com/SVO2/ASP/SVD_Consensus.asp?pGB=1&amp;gicode=A006740&amp;cID=&amp;MenuYn=Y&amp;ReportGB=&amp;NewMenuID=108&amp;stkGb=701", "영풍제지")</f>
        <v>0</v>
      </c>
      <c r="E130">
        <v>3</v>
      </c>
      <c r="F130">
        <v>6770</v>
      </c>
      <c r="G130">
        <v>0</v>
      </c>
      <c r="H130">
        <v>16.59</v>
      </c>
      <c r="I130">
        <v>7314</v>
      </c>
      <c r="J130">
        <v>7243</v>
      </c>
      <c r="K130">
        <v>7222</v>
      </c>
      <c r="L130">
        <v>-8.039999999999999</v>
      </c>
      <c r="M130">
        <v>-6.98</v>
      </c>
      <c r="N130">
        <v>-6.67</v>
      </c>
      <c r="O130">
        <v>8.44</v>
      </c>
      <c r="P130" t="b">
        <v>0</v>
      </c>
      <c r="Q130">
        <v>0</v>
      </c>
      <c r="R130">
        <v>384</v>
      </c>
      <c r="U130" t="s">
        <v>660</v>
      </c>
      <c r="V130" t="s">
        <v>908</v>
      </c>
      <c r="W130">
        <v>0</v>
      </c>
      <c r="X130">
        <v>-8.300000000000001</v>
      </c>
      <c r="Y130" t="s">
        <v>1154</v>
      </c>
      <c r="Z130">
        <v>7.327815250953962</v>
      </c>
      <c r="AA130">
        <v>1503</v>
      </c>
      <c r="AB130">
        <v>188248</v>
      </c>
      <c r="AC130" t="s">
        <v>1393</v>
      </c>
      <c r="AD130">
        <v>52.64</v>
      </c>
      <c r="AE130" t="s">
        <v>1641</v>
      </c>
      <c r="AF130" t="s">
        <v>1889</v>
      </c>
      <c r="AG130">
        <v>982</v>
      </c>
      <c r="AH130">
        <v>102</v>
      </c>
      <c r="AI130">
        <v>4627676</v>
      </c>
      <c r="AJ130">
        <v>0.63</v>
      </c>
    </row>
    <row r="131" spans="1:36">
      <c r="A131" s="1" t="s">
        <v>165</v>
      </c>
      <c r="B131" t="s">
        <v>413</v>
      </c>
      <c r="C131">
        <f>HYPERLINK("https://finance.naver.com/item/coinfo.nhn?code=017890", "A017890")</f>
        <v>0</v>
      </c>
      <c r="D131">
        <f>HYPERLINK("http://comp.fnguide.com/SVO2/ASP/SVD_Consensus.asp?pGB=1&amp;gicode=A017890&amp;cID=&amp;MenuYn=Y&amp;ReportGB=&amp;NewMenuID=108&amp;stkGb=701", "한국알콜")</f>
        <v>0</v>
      </c>
      <c r="E131">
        <v>3</v>
      </c>
      <c r="F131">
        <v>14700</v>
      </c>
      <c r="G131">
        <v>0</v>
      </c>
      <c r="H131">
        <v>5.53</v>
      </c>
      <c r="I131">
        <v>27146</v>
      </c>
      <c r="J131">
        <v>21807</v>
      </c>
      <c r="K131">
        <v>20241</v>
      </c>
      <c r="L131">
        <v>-84.67</v>
      </c>
      <c r="M131">
        <v>-48.34</v>
      </c>
      <c r="N131">
        <v>-37.69</v>
      </c>
      <c r="O131">
        <v>12.43</v>
      </c>
      <c r="P131" t="b">
        <v>1</v>
      </c>
      <c r="Q131">
        <v>0</v>
      </c>
      <c r="R131">
        <v>2360</v>
      </c>
      <c r="U131" t="s">
        <v>661</v>
      </c>
      <c r="V131" t="s">
        <v>909</v>
      </c>
      <c r="W131">
        <v>0</v>
      </c>
      <c r="X131">
        <v>14.4</v>
      </c>
      <c r="Y131" t="s">
        <v>1155</v>
      </c>
      <c r="Z131">
        <v>14.15622750822349</v>
      </c>
      <c r="AA131">
        <v>3176</v>
      </c>
      <c r="AB131">
        <v>477601</v>
      </c>
      <c r="AC131" t="s">
        <v>1394</v>
      </c>
      <c r="AD131">
        <v>38.58</v>
      </c>
      <c r="AE131" t="s">
        <v>1642</v>
      </c>
      <c r="AF131" t="s">
        <v>1890</v>
      </c>
      <c r="AG131">
        <v>3717</v>
      </c>
      <c r="AH131">
        <v>561</v>
      </c>
      <c r="AI131">
        <v>1025167</v>
      </c>
      <c r="AJ131">
        <v>0.77</v>
      </c>
    </row>
    <row r="132" spans="1:36">
      <c r="A132" s="1" t="s">
        <v>166</v>
      </c>
      <c r="B132" t="s">
        <v>414</v>
      </c>
      <c r="C132">
        <f>HYPERLINK("https://finance.naver.com/item/coinfo.nhn?code=033660", "A033660")</f>
        <v>0</v>
      </c>
      <c r="D132">
        <f>HYPERLINK("http://comp.fnguide.com/SVO2/ASP/SVD_Consensus.asp?pGB=1&amp;gicode=A033660&amp;cID=&amp;MenuYn=Y&amp;ReportGB=&amp;NewMenuID=108&amp;stkGb=701", "우리금융캐피탈")</f>
        <v>0</v>
      </c>
      <c r="E132">
        <v>3</v>
      </c>
      <c r="F132">
        <v>11650</v>
      </c>
      <c r="G132">
        <v>0</v>
      </c>
      <c r="H132">
        <v>11.9</v>
      </c>
      <c r="I132">
        <v>17947</v>
      </c>
      <c r="J132">
        <v>16140</v>
      </c>
      <c r="K132">
        <v>15610</v>
      </c>
      <c r="L132">
        <v>-54.05</v>
      </c>
      <c r="M132">
        <v>-38.54</v>
      </c>
      <c r="N132">
        <v>-33.99</v>
      </c>
      <c r="O132">
        <v>10</v>
      </c>
      <c r="P132" t="b">
        <v>0</v>
      </c>
      <c r="Q132">
        <v>0</v>
      </c>
      <c r="R132">
        <v>1025</v>
      </c>
      <c r="U132" t="s">
        <v>662</v>
      </c>
      <c r="V132" t="s">
        <v>910</v>
      </c>
      <c r="W132">
        <v>0</v>
      </c>
      <c r="Y132" t="s">
        <v>1048</v>
      </c>
      <c r="Z132">
        <v>0</v>
      </c>
      <c r="AA132">
        <v>6704</v>
      </c>
      <c r="AB132">
        <v>58397</v>
      </c>
      <c r="AC132" t="s">
        <v>1395</v>
      </c>
      <c r="AD132">
        <v>90.48</v>
      </c>
      <c r="AE132" t="s">
        <v>1643</v>
      </c>
      <c r="AF132" t="s">
        <v>1891</v>
      </c>
      <c r="AG132">
        <v>2431</v>
      </c>
      <c r="AH132">
        <v>1381</v>
      </c>
      <c r="AI132">
        <v>2064059</v>
      </c>
      <c r="AJ132">
        <v>2.62</v>
      </c>
    </row>
    <row r="133" spans="1:36">
      <c r="A133" s="1" t="s">
        <v>167</v>
      </c>
      <c r="B133" t="s">
        <v>415</v>
      </c>
      <c r="C133">
        <f>HYPERLINK("https://finance.naver.com/item/coinfo.nhn?code=027970", "A027970")</f>
        <v>0</v>
      </c>
      <c r="D133">
        <f>HYPERLINK("http://comp.fnguide.com/SVO2/ASP/SVD_Consensus.asp?pGB=1&amp;gicode=A027970&amp;cID=&amp;MenuYn=Y&amp;ReportGB=&amp;NewMenuID=108&amp;stkGb=701", "세하")</f>
        <v>0</v>
      </c>
      <c r="E133">
        <v>3</v>
      </c>
      <c r="F133">
        <v>2160</v>
      </c>
      <c r="G133">
        <v>0</v>
      </c>
      <c r="H133">
        <v>5.81</v>
      </c>
      <c r="I133">
        <v>4783</v>
      </c>
      <c r="J133">
        <v>2855</v>
      </c>
      <c r="K133">
        <v>2290</v>
      </c>
      <c r="L133">
        <v>-121.42</v>
      </c>
      <c r="M133">
        <v>-32.17</v>
      </c>
      <c r="N133">
        <v>-6</v>
      </c>
      <c r="O133">
        <v>26.02</v>
      </c>
      <c r="P133" t="b">
        <v>1</v>
      </c>
      <c r="Q133">
        <v>0</v>
      </c>
      <c r="R133">
        <v>310</v>
      </c>
      <c r="U133" t="s">
        <v>663</v>
      </c>
      <c r="V133" t="s">
        <v>911</v>
      </c>
      <c r="W133">
        <v>0</v>
      </c>
      <c r="X133">
        <v>-59.3</v>
      </c>
      <c r="Y133" t="s">
        <v>1156</v>
      </c>
      <c r="Z133">
        <v>-8.501514353150696</v>
      </c>
      <c r="AA133">
        <v>1243</v>
      </c>
      <c r="AB133">
        <v>508777</v>
      </c>
      <c r="AC133" t="s">
        <v>1396</v>
      </c>
      <c r="AD133">
        <v>50.73</v>
      </c>
      <c r="AE133" t="s">
        <v>1644</v>
      </c>
      <c r="AF133" t="s">
        <v>1892</v>
      </c>
      <c r="AG133">
        <v>1895</v>
      </c>
      <c r="AH133">
        <v>211</v>
      </c>
      <c r="AI133">
        <v>1305</v>
      </c>
    </row>
    <row r="134" spans="1:36">
      <c r="A134" s="1" t="s">
        <v>168</v>
      </c>
      <c r="B134" t="s">
        <v>416</v>
      </c>
      <c r="C134">
        <f>HYPERLINK("https://finance.naver.com/item/coinfo.nhn?code=034300", "A034300")</f>
        <v>0</v>
      </c>
      <c r="D134">
        <f>HYPERLINK("http://comp.fnguide.com/SVO2/ASP/SVD_Consensus.asp?pGB=1&amp;gicode=A034300&amp;cID=&amp;MenuYn=Y&amp;ReportGB=&amp;NewMenuID=108&amp;stkGb=701", "신세계건설")</f>
        <v>0</v>
      </c>
      <c r="E134">
        <v>3</v>
      </c>
      <c r="F134">
        <v>45000</v>
      </c>
      <c r="G134">
        <v>0</v>
      </c>
      <c r="H134">
        <v>8.779999999999999</v>
      </c>
      <c r="I134">
        <v>61401</v>
      </c>
      <c r="J134">
        <v>55009</v>
      </c>
      <c r="K134">
        <v>53134</v>
      </c>
      <c r="L134">
        <v>-36.45</v>
      </c>
      <c r="M134">
        <v>-22.24</v>
      </c>
      <c r="N134">
        <v>-18.08</v>
      </c>
      <c r="O134">
        <v>10.07</v>
      </c>
      <c r="P134" t="b">
        <v>0</v>
      </c>
      <c r="Q134">
        <v>0</v>
      </c>
      <c r="R134">
        <v>3058</v>
      </c>
      <c r="U134" t="s">
        <v>664</v>
      </c>
      <c r="V134" t="s">
        <v>912</v>
      </c>
      <c r="W134">
        <v>0</v>
      </c>
      <c r="X134">
        <v>262.2</v>
      </c>
      <c r="Y134" t="s">
        <v>1157</v>
      </c>
      <c r="Z134">
        <v>3.237785408080507</v>
      </c>
      <c r="AA134">
        <v>1800</v>
      </c>
      <c r="AB134">
        <v>20252</v>
      </c>
      <c r="AC134" t="s">
        <v>1397</v>
      </c>
      <c r="AD134">
        <v>42.7</v>
      </c>
      <c r="AE134" t="s">
        <v>1645</v>
      </c>
      <c r="AF134" t="s">
        <v>1893</v>
      </c>
      <c r="AG134">
        <v>9568</v>
      </c>
      <c r="AH134">
        <v>206</v>
      </c>
      <c r="AJ134">
        <v>2.98</v>
      </c>
    </row>
    <row r="135" spans="1:36">
      <c r="A135" s="1" t="s">
        <v>169</v>
      </c>
      <c r="B135" t="s">
        <v>417</v>
      </c>
      <c r="C135">
        <f>HYPERLINK("https://finance.naver.com/item/coinfo.nhn?code=105840", "A105840")</f>
        <v>0</v>
      </c>
      <c r="D135">
        <f>HYPERLINK("http://comp.fnguide.com/SVO2/ASP/SVD_Consensus.asp?pGB=1&amp;gicode=A105840&amp;cID=&amp;MenuYn=Y&amp;ReportGB=&amp;NewMenuID=108&amp;stkGb=701", "우진")</f>
        <v>0</v>
      </c>
      <c r="E135">
        <v>3</v>
      </c>
      <c r="F135">
        <v>5880</v>
      </c>
      <c r="G135">
        <v>0</v>
      </c>
      <c r="H135">
        <v>2.6</v>
      </c>
      <c r="I135">
        <v>11650</v>
      </c>
      <c r="J135">
        <v>9186</v>
      </c>
      <c r="K135">
        <v>8463</v>
      </c>
      <c r="L135">
        <v>-98.12</v>
      </c>
      <c r="M135">
        <v>-56.22</v>
      </c>
      <c r="N135">
        <v>-43.94</v>
      </c>
      <c r="O135">
        <v>12.91</v>
      </c>
      <c r="P135" t="b">
        <v>1</v>
      </c>
      <c r="Q135">
        <v>0</v>
      </c>
      <c r="R135">
        <v>1690</v>
      </c>
      <c r="U135" t="s">
        <v>665</v>
      </c>
      <c r="V135" t="s">
        <v>913</v>
      </c>
      <c r="W135">
        <v>0</v>
      </c>
      <c r="X135">
        <v>0</v>
      </c>
      <c r="Y135" t="s">
        <v>1099</v>
      </c>
      <c r="Z135">
        <v>0</v>
      </c>
      <c r="AA135">
        <v>1190</v>
      </c>
      <c r="AB135">
        <v>1357137</v>
      </c>
      <c r="AC135" t="s">
        <v>1398</v>
      </c>
      <c r="AD135">
        <v>37.08</v>
      </c>
      <c r="AE135" t="s">
        <v>1646</v>
      </c>
      <c r="AF135" t="s">
        <v>1894</v>
      </c>
      <c r="AG135">
        <v>898</v>
      </c>
      <c r="AH135">
        <v>11</v>
      </c>
      <c r="AI135">
        <v>314955</v>
      </c>
      <c r="AJ135">
        <v>2.28</v>
      </c>
    </row>
    <row r="136" spans="1:36">
      <c r="A136" s="1" t="s">
        <v>170</v>
      </c>
      <c r="B136" t="s">
        <v>418</v>
      </c>
      <c r="C136">
        <f>HYPERLINK("https://finance.naver.com/item/coinfo.nhn?code=005820", "A005820")</f>
        <v>0</v>
      </c>
      <c r="D136">
        <f>HYPERLINK("http://comp.fnguide.com/SVO2/ASP/SVD_Consensus.asp?pGB=1&amp;gicode=A005820&amp;cID=&amp;MenuYn=Y&amp;ReportGB=&amp;NewMenuID=108&amp;stkGb=701", "원림")</f>
        <v>0</v>
      </c>
      <c r="E136">
        <v>3</v>
      </c>
      <c r="F136">
        <v>25200</v>
      </c>
      <c r="G136">
        <v>0</v>
      </c>
      <c r="H136">
        <v>2.83</v>
      </c>
      <c r="I136">
        <v>57349</v>
      </c>
      <c r="J136">
        <v>53814</v>
      </c>
      <c r="K136">
        <v>52778</v>
      </c>
      <c r="L136">
        <v>-127.58</v>
      </c>
      <c r="M136">
        <v>-113.55</v>
      </c>
      <c r="N136">
        <v>-109.43</v>
      </c>
      <c r="O136">
        <v>9.26</v>
      </c>
      <c r="P136" t="b">
        <v>1</v>
      </c>
      <c r="Q136">
        <v>0</v>
      </c>
      <c r="R136">
        <v>6961</v>
      </c>
      <c r="U136" t="s">
        <v>666</v>
      </c>
      <c r="V136" t="s">
        <v>914</v>
      </c>
      <c r="W136">
        <v>0</v>
      </c>
      <c r="X136">
        <v>0</v>
      </c>
      <c r="Y136" t="s">
        <v>1158</v>
      </c>
      <c r="Z136">
        <v>68.42559187961905</v>
      </c>
      <c r="AA136">
        <v>579</v>
      </c>
      <c r="AB136">
        <v>5672</v>
      </c>
      <c r="AC136" t="s">
        <v>1399</v>
      </c>
      <c r="AD136">
        <v>60.52</v>
      </c>
      <c r="AE136" t="s">
        <v>1647</v>
      </c>
      <c r="AF136" t="s">
        <v>1895</v>
      </c>
      <c r="AG136">
        <v>684</v>
      </c>
      <c r="AH136">
        <v>54</v>
      </c>
      <c r="AI136">
        <v>240590</v>
      </c>
      <c r="AJ136">
        <v>2.44</v>
      </c>
    </row>
    <row r="137" spans="1:36">
      <c r="A137" s="1" t="s">
        <v>171</v>
      </c>
      <c r="B137" t="s">
        <v>419</v>
      </c>
      <c r="C137">
        <f>HYPERLINK("https://finance.naver.com/item/coinfo.nhn?code=014830", "A014830")</f>
        <v>0</v>
      </c>
      <c r="D137">
        <f>HYPERLINK("http://comp.fnguide.com/SVO2/ASP/SVD_Consensus.asp?pGB=1&amp;gicode=A014830&amp;cID=&amp;MenuYn=Y&amp;ReportGB=&amp;NewMenuID=108&amp;stkGb=701", "유니드")</f>
        <v>0</v>
      </c>
      <c r="E137">
        <v>3</v>
      </c>
      <c r="F137">
        <v>79300</v>
      </c>
      <c r="G137">
        <v>0.13</v>
      </c>
      <c r="H137">
        <v>5.58</v>
      </c>
      <c r="I137">
        <v>101238</v>
      </c>
      <c r="J137">
        <v>94481</v>
      </c>
      <c r="K137">
        <v>92499</v>
      </c>
      <c r="L137">
        <v>-27.66</v>
      </c>
      <c r="M137">
        <v>-19.14</v>
      </c>
      <c r="N137">
        <v>-16.64</v>
      </c>
      <c r="O137">
        <v>9.35</v>
      </c>
      <c r="P137" t="b">
        <v>1</v>
      </c>
      <c r="Q137">
        <v>3</v>
      </c>
      <c r="R137">
        <v>8656</v>
      </c>
      <c r="S137">
        <v>12250</v>
      </c>
      <c r="T137">
        <v>41.5</v>
      </c>
      <c r="U137" t="s">
        <v>667</v>
      </c>
      <c r="V137" t="s">
        <v>915</v>
      </c>
      <c r="W137">
        <v>44.47232117925526</v>
      </c>
      <c r="X137">
        <v>122.1</v>
      </c>
      <c r="Y137" t="s">
        <v>1159</v>
      </c>
      <c r="Z137">
        <v>27.93585685446665</v>
      </c>
      <c r="AA137">
        <v>7050</v>
      </c>
      <c r="AB137">
        <v>42275</v>
      </c>
      <c r="AC137" t="s">
        <v>1400</v>
      </c>
      <c r="AD137">
        <v>46.37</v>
      </c>
      <c r="AE137" t="s">
        <v>1648</v>
      </c>
      <c r="AF137" t="s">
        <v>1896</v>
      </c>
      <c r="AG137">
        <v>8905</v>
      </c>
      <c r="AH137">
        <v>962</v>
      </c>
      <c r="AI137">
        <v>158000</v>
      </c>
      <c r="AJ137">
        <v>2.9</v>
      </c>
    </row>
    <row r="138" spans="1:36">
      <c r="A138" s="1" t="s">
        <v>172</v>
      </c>
      <c r="B138" t="s">
        <v>420</v>
      </c>
      <c r="C138">
        <f>HYPERLINK("https://finance.naver.com/item/coinfo.nhn?code=136490", "A136490")</f>
        <v>0</v>
      </c>
      <c r="D138">
        <f>HYPERLINK("http://comp.fnguide.com/SVO2/ASP/SVD_Consensus.asp?pGB=1&amp;gicode=A136490&amp;cID=&amp;MenuYn=Y&amp;ReportGB=&amp;NewMenuID=108&amp;stkGb=701", "선진")</f>
        <v>0</v>
      </c>
      <c r="E138">
        <v>3</v>
      </c>
      <c r="F138">
        <v>17700</v>
      </c>
      <c r="G138">
        <v>0</v>
      </c>
      <c r="H138">
        <v>3.21</v>
      </c>
      <c r="I138">
        <v>28683</v>
      </c>
      <c r="J138">
        <v>20916</v>
      </c>
      <c r="K138">
        <v>18639</v>
      </c>
      <c r="L138">
        <v>-62.05</v>
      </c>
      <c r="M138">
        <v>-18.17</v>
      </c>
      <c r="N138">
        <v>-5.3</v>
      </c>
      <c r="O138">
        <v>15.3</v>
      </c>
      <c r="P138" t="b">
        <v>1</v>
      </c>
      <c r="Q138">
        <v>0</v>
      </c>
      <c r="R138">
        <v>3516</v>
      </c>
      <c r="U138" t="s">
        <v>668</v>
      </c>
      <c r="V138" t="s">
        <v>916</v>
      </c>
      <c r="W138">
        <v>0</v>
      </c>
      <c r="X138">
        <v>50.1</v>
      </c>
      <c r="Y138" t="s">
        <v>1160</v>
      </c>
      <c r="Z138">
        <v>23.520491477994</v>
      </c>
      <c r="AA138">
        <v>4209</v>
      </c>
      <c r="AB138">
        <v>144009</v>
      </c>
      <c r="AC138" t="s">
        <v>1401</v>
      </c>
      <c r="AD138">
        <v>50.04</v>
      </c>
      <c r="AE138" t="s">
        <v>1649</v>
      </c>
      <c r="AF138" t="s">
        <v>1897</v>
      </c>
      <c r="AG138">
        <v>13481</v>
      </c>
      <c r="AH138">
        <v>1076</v>
      </c>
      <c r="AI138">
        <v>396</v>
      </c>
      <c r="AJ138">
        <v>0.88</v>
      </c>
    </row>
    <row r="139" spans="1:36">
      <c r="A139" s="1" t="s">
        <v>173</v>
      </c>
      <c r="B139" t="s">
        <v>421</v>
      </c>
      <c r="C139">
        <f>HYPERLINK("https://finance.naver.com/item/coinfo.nhn?code=055550", "A055550")</f>
        <v>0</v>
      </c>
      <c r="D139">
        <f>HYPERLINK("http://comp.fnguide.com/SVO2/ASP/SVD_Consensus.asp?pGB=1&amp;gicode=A055550&amp;cID=&amp;MenuYn=Y&amp;ReportGB=&amp;NewMenuID=108&amp;stkGb=701", "신한지주")</f>
        <v>0</v>
      </c>
      <c r="E139">
        <v>3</v>
      </c>
      <c r="F139">
        <v>42250</v>
      </c>
      <c r="G139">
        <v>1.15</v>
      </c>
      <c r="H139">
        <v>4.75</v>
      </c>
      <c r="I139">
        <v>89059</v>
      </c>
      <c r="J139">
        <v>86839</v>
      </c>
      <c r="K139">
        <v>86188</v>
      </c>
      <c r="L139">
        <v>-110.79</v>
      </c>
      <c r="M139">
        <v>-105.54</v>
      </c>
      <c r="N139">
        <v>-104</v>
      </c>
      <c r="O139">
        <v>8.66</v>
      </c>
      <c r="P139" t="b">
        <v>1</v>
      </c>
      <c r="Q139">
        <v>1</v>
      </c>
      <c r="R139">
        <v>6743</v>
      </c>
      <c r="S139">
        <v>7512</v>
      </c>
      <c r="T139">
        <v>11.4</v>
      </c>
      <c r="U139" t="s">
        <v>669</v>
      </c>
      <c r="V139" t="s">
        <v>917</v>
      </c>
      <c r="W139">
        <v>4.113985724311653</v>
      </c>
      <c r="X139">
        <v>2.5</v>
      </c>
      <c r="Y139" t="s">
        <v>1161</v>
      </c>
      <c r="Z139">
        <v>2.599961013634111</v>
      </c>
      <c r="AA139">
        <v>218263</v>
      </c>
      <c r="AB139">
        <v>1400797</v>
      </c>
      <c r="AC139" t="s">
        <v>1402</v>
      </c>
      <c r="AD139">
        <v>9.81</v>
      </c>
      <c r="AE139" t="s">
        <v>1650</v>
      </c>
      <c r="AF139" t="s">
        <v>1898</v>
      </c>
      <c r="AG139">
        <v>147740</v>
      </c>
      <c r="AH139">
        <v>49297</v>
      </c>
      <c r="AI139">
        <v>3926</v>
      </c>
      <c r="AJ139">
        <v>4.68</v>
      </c>
    </row>
    <row r="140" spans="1:36">
      <c r="A140" s="1" t="s">
        <v>174</v>
      </c>
      <c r="B140" t="s">
        <v>422</v>
      </c>
      <c r="C140">
        <f>HYPERLINK("https://finance.naver.com/item/coinfo.nhn?code=011330", "A011330")</f>
        <v>0</v>
      </c>
      <c r="D140">
        <f>HYPERLINK("http://comp.fnguide.com/SVO2/ASP/SVD_Consensus.asp?pGB=1&amp;gicode=A011330&amp;cID=&amp;MenuYn=Y&amp;ReportGB=&amp;NewMenuID=108&amp;stkGb=701", "유니켐")</f>
        <v>0</v>
      </c>
      <c r="E140">
        <v>3</v>
      </c>
      <c r="F140">
        <v>1655</v>
      </c>
      <c r="G140">
        <v>0</v>
      </c>
      <c r="H140">
        <v>8.94</v>
      </c>
      <c r="I140">
        <v>2936</v>
      </c>
      <c r="J140">
        <v>2052</v>
      </c>
      <c r="K140">
        <v>1793</v>
      </c>
      <c r="L140">
        <v>-77.37</v>
      </c>
      <c r="M140">
        <v>-23.98</v>
      </c>
      <c r="N140">
        <v>-8.32</v>
      </c>
      <c r="O140">
        <v>16.89</v>
      </c>
      <c r="P140" t="b">
        <v>1</v>
      </c>
      <c r="Q140">
        <v>0</v>
      </c>
      <c r="R140">
        <v>158</v>
      </c>
      <c r="U140" t="s">
        <v>670</v>
      </c>
      <c r="V140" t="s">
        <v>918</v>
      </c>
      <c r="W140">
        <v>0</v>
      </c>
      <c r="X140">
        <v>-62.6</v>
      </c>
      <c r="Y140" t="s">
        <v>1162</v>
      </c>
      <c r="Z140">
        <v>10.93978609803115</v>
      </c>
      <c r="AA140">
        <v>1137</v>
      </c>
      <c r="AB140">
        <v>275013</v>
      </c>
      <c r="AC140" t="s">
        <v>1403</v>
      </c>
      <c r="AD140">
        <v>18.61</v>
      </c>
      <c r="AE140" t="s">
        <v>1651</v>
      </c>
      <c r="AF140" t="s">
        <v>1899</v>
      </c>
      <c r="AG140">
        <v>1262</v>
      </c>
      <c r="AH140">
        <v>153</v>
      </c>
      <c r="AI140">
        <v>907818</v>
      </c>
      <c r="AJ140">
        <v>3.53</v>
      </c>
    </row>
    <row r="141" spans="1:36">
      <c r="A141" s="1" t="s">
        <v>175</v>
      </c>
      <c r="B141" t="s">
        <v>423</v>
      </c>
      <c r="C141">
        <f>HYPERLINK("https://finance.naver.com/item/coinfo.nhn?code=002870", "A002870")</f>
        <v>0</v>
      </c>
      <c r="D141">
        <f>HYPERLINK("http://comp.fnguide.com/SVO2/ASP/SVD_Consensus.asp?pGB=1&amp;gicode=A002870&amp;cID=&amp;MenuYn=Y&amp;ReportGB=&amp;NewMenuID=108&amp;stkGb=701", "신풍제지")</f>
        <v>0</v>
      </c>
      <c r="E141">
        <v>3</v>
      </c>
      <c r="F141">
        <v>3305</v>
      </c>
      <c r="G141">
        <v>0</v>
      </c>
      <c r="H141">
        <v>3.71</v>
      </c>
      <c r="I141">
        <v>14525</v>
      </c>
      <c r="J141">
        <v>8082</v>
      </c>
      <c r="K141">
        <v>6192</v>
      </c>
      <c r="L141">
        <v>-339.48</v>
      </c>
      <c r="M141">
        <v>-144.54</v>
      </c>
      <c r="N141">
        <v>-87.37</v>
      </c>
      <c r="O141">
        <v>33.14</v>
      </c>
      <c r="P141" t="b">
        <v>1</v>
      </c>
      <c r="Q141">
        <v>0</v>
      </c>
      <c r="R141">
        <v>943</v>
      </c>
      <c r="U141" t="s">
        <v>671</v>
      </c>
      <c r="V141" t="s">
        <v>919</v>
      </c>
      <c r="W141">
        <v>0</v>
      </c>
      <c r="X141">
        <v>0</v>
      </c>
      <c r="Y141" t="s">
        <v>1163</v>
      </c>
      <c r="Z141">
        <v>122.7002470508904</v>
      </c>
      <c r="AA141">
        <v>1155</v>
      </c>
      <c r="AB141">
        <v>200927</v>
      </c>
      <c r="AC141" t="s">
        <v>1404</v>
      </c>
      <c r="AD141">
        <v>34.87</v>
      </c>
      <c r="AE141" t="s">
        <v>1652</v>
      </c>
      <c r="AF141" t="s">
        <v>1900</v>
      </c>
      <c r="AG141">
        <v>338</v>
      </c>
      <c r="AH141">
        <v>-104</v>
      </c>
      <c r="AI141">
        <v>7252320</v>
      </c>
      <c r="AJ141">
        <v>1.43</v>
      </c>
    </row>
    <row r="142" spans="1:36">
      <c r="A142" s="1" t="s">
        <v>176</v>
      </c>
      <c r="B142" t="s">
        <v>424</v>
      </c>
      <c r="C142">
        <f>HYPERLINK("https://finance.naver.com/item/coinfo.nhn?code=007540", "A007540")</f>
        <v>0</v>
      </c>
      <c r="D142">
        <f>HYPERLINK("http://comp.fnguide.com/SVO2/ASP/SVD_Consensus.asp?pGB=1&amp;gicode=A007540&amp;cID=&amp;MenuYn=Y&amp;ReportGB=&amp;NewMenuID=108&amp;stkGb=701", "샘표")</f>
        <v>0</v>
      </c>
      <c r="E142">
        <v>3</v>
      </c>
      <c r="F142">
        <v>58400</v>
      </c>
      <c r="G142">
        <v>0</v>
      </c>
      <c r="H142">
        <v>7.88</v>
      </c>
      <c r="I142">
        <v>90576</v>
      </c>
      <c r="J142">
        <v>84795</v>
      </c>
      <c r="K142">
        <v>83100</v>
      </c>
      <c r="L142">
        <v>-55.1</v>
      </c>
      <c r="M142">
        <v>-45.2</v>
      </c>
      <c r="N142">
        <v>-42.29</v>
      </c>
      <c r="O142">
        <v>9.300000000000001</v>
      </c>
      <c r="P142" t="b">
        <v>0</v>
      </c>
      <c r="Q142">
        <v>0</v>
      </c>
      <c r="R142">
        <v>6217</v>
      </c>
      <c r="U142" t="s">
        <v>672</v>
      </c>
      <c r="V142" t="s">
        <v>920</v>
      </c>
      <c r="W142">
        <v>0</v>
      </c>
      <c r="X142">
        <v>61.2</v>
      </c>
      <c r="Y142" t="s">
        <v>1164</v>
      </c>
      <c r="Z142">
        <v>91.70571768976865</v>
      </c>
      <c r="AA142">
        <v>1679</v>
      </c>
      <c r="AB142">
        <v>19860</v>
      </c>
      <c r="AC142" t="s">
        <v>1405</v>
      </c>
      <c r="AD142">
        <v>48.44</v>
      </c>
      <c r="AE142" t="s">
        <v>1653</v>
      </c>
      <c r="AF142" t="s">
        <v>1901</v>
      </c>
      <c r="AG142">
        <v>3191</v>
      </c>
      <c r="AH142">
        <v>411</v>
      </c>
      <c r="AI142">
        <v>658187</v>
      </c>
      <c r="AJ142">
        <v>0.41</v>
      </c>
    </row>
    <row r="143" spans="1:36">
      <c r="A143" s="1" t="s">
        <v>177</v>
      </c>
      <c r="B143" t="s">
        <v>425</v>
      </c>
      <c r="C143">
        <f>HYPERLINK("https://finance.naver.com/item/coinfo.nhn?code=161000", "A161000")</f>
        <v>0</v>
      </c>
      <c r="D143">
        <f>HYPERLINK("http://comp.fnguide.com/SVO2/ASP/SVD_Consensus.asp?pGB=1&amp;gicode=A161000&amp;cID=&amp;MenuYn=Y&amp;ReportGB=&amp;NewMenuID=108&amp;stkGb=701", "애경유화")</f>
        <v>0</v>
      </c>
      <c r="E143">
        <v>3</v>
      </c>
      <c r="F143">
        <v>12450</v>
      </c>
      <c r="G143">
        <v>0</v>
      </c>
      <c r="H143">
        <v>6.45</v>
      </c>
      <c r="I143">
        <v>17257</v>
      </c>
      <c r="J143">
        <v>14441</v>
      </c>
      <c r="K143">
        <v>13615</v>
      </c>
      <c r="L143">
        <v>-38.61</v>
      </c>
      <c r="M143">
        <v>-15.99</v>
      </c>
      <c r="N143">
        <v>-9.359999999999999</v>
      </c>
      <c r="O143">
        <v>11.46</v>
      </c>
      <c r="P143" t="b">
        <v>1</v>
      </c>
      <c r="Q143">
        <v>0</v>
      </c>
      <c r="R143">
        <v>1386</v>
      </c>
      <c r="U143" t="s">
        <v>673</v>
      </c>
      <c r="V143" t="s">
        <v>921</v>
      </c>
      <c r="W143">
        <v>0</v>
      </c>
      <c r="X143">
        <v>117.5</v>
      </c>
      <c r="Y143" t="s">
        <v>1165</v>
      </c>
      <c r="Z143">
        <v>12.43927756877317</v>
      </c>
      <c r="AA143">
        <v>3989</v>
      </c>
      <c r="AB143">
        <v>304591</v>
      </c>
      <c r="AC143" t="s">
        <v>1406</v>
      </c>
      <c r="AD143">
        <v>49.45</v>
      </c>
      <c r="AE143" t="s">
        <v>1654</v>
      </c>
      <c r="AF143" t="s">
        <v>1902</v>
      </c>
      <c r="AG143">
        <v>9089</v>
      </c>
      <c r="AH143">
        <v>575</v>
      </c>
      <c r="AI143">
        <v>475850</v>
      </c>
      <c r="AJ143">
        <v>3.91</v>
      </c>
    </row>
    <row r="144" spans="1:36">
      <c r="A144" s="1" t="s">
        <v>178</v>
      </c>
      <c r="B144" t="s">
        <v>426</v>
      </c>
      <c r="C144">
        <f>HYPERLINK("https://finance.naver.com/item/coinfo.nhn?code=010960", "A010960")</f>
        <v>0</v>
      </c>
      <c r="D144">
        <f>HYPERLINK("http://comp.fnguide.com/SVO2/ASP/SVD_Consensus.asp?pGB=1&amp;gicode=A010960&amp;cID=&amp;MenuYn=Y&amp;ReportGB=&amp;NewMenuID=108&amp;stkGb=701", "삼호개발")</f>
        <v>0</v>
      </c>
      <c r="E144">
        <v>3</v>
      </c>
      <c r="F144">
        <v>6210</v>
      </c>
      <c r="G144">
        <v>0</v>
      </c>
      <c r="H144">
        <v>5.75</v>
      </c>
      <c r="I144">
        <v>11976</v>
      </c>
      <c r="J144">
        <v>10476</v>
      </c>
      <c r="K144">
        <v>10036</v>
      </c>
      <c r="L144">
        <v>-92.84</v>
      </c>
      <c r="M144">
        <v>-68.69</v>
      </c>
      <c r="N144">
        <v>-61.6</v>
      </c>
      <c r="O144">
        <v>10.53</v>
      </c>
      <c r="P144" t="b">
        <v>1</v>
      </c>
      <c r="Q144">
        <v>0</v>
      </c>
      <c r="R144">
        <v>744</v>
      </c>
      <c r="U144" t="s">
        <v>674</v>
      </c>
      <c r="V144" t="s">
        <v>922</v>
      </c>
      <c r="W144">
        <v>0</v>
      </c>
      <c r="X144">
        <v>23</v>
      </c>
      <c r="Y144" t="s">
        <v>1166</v>
      </c>
      <c r="Z144">
        <v>7.309847984177797</v>
      </c>
      <c r="AA144">
        <v>1553</v>
      </c>
      <c r="AB144">
        <v>303242</v>
      </c>
      <c r="AC144" t="s">
        <v>1407</v>
      </c>
      <c r="AD144">
        <v>32.42</v>
      </c>
      <c r="AE144" t="s">
        <v>1655</v>
      </c>
      <c r="AF144" t="s">
        <v>1903</v>
      </c>
      <c r="AG144">
        <v>3634</v>
      </c>
      <c r="AH144">
        <v>136</v>
      </c>
      <c r="AI144">
        <v>2640000</v>
      </c>
      <c r="AJ144">
        <v>4.44</v>
      </c>
    </row>
    <row r="145" spans="1:36">
      <c r="A145" s="1" t="s">
        <v>179</v>
      </c>
      <c r="B145" t="s">
        <v>427</v>
      </c>
      <c r="C145">
        <f>HYPERLINK("https://finance.naver.com/item/coinfo.nhn?code=000700", "A000700")</f>
        <v>0</v>
      </c>
      <c r="D145">
        <f>HYPERLINK("http://comp.fnguide.com/SVO2/ASP/SVD_Consensus.asp?pGB=1&amp;gicode=A000700&amp;cID=&amp;MenuYn=Y&amp;ReportGB=&amp;NewMenuID=108&amp;stkGb=701", "유수홀딩스")</f>
        <v>0</v>
      </c>
      <c r="E145">
        <v>3</v>
      </c>
      <c r="F145">
        <v>8330</v>
      </c>
      <c r="G145">
        <v>0</v>
      </c>
      <c r="H145">
        <v>1.87</v>
      </c>
      <c r="I145">
        <v>24642</v>
      </c>
      <c r="J145">
        <v>17458</v>
      </c>
      <c r="K145">
        <v>15351</v>
      </c>
      <c r="L145">
        <v>-195.82</v>
      </c>
      <c r="M145">
        <v>-109.58</v>
      </c>
      <c r="N145">
        <v>-84.29000000000001</v>
      </c>
      <c r="O145">
        <v>16.36</v>
      </c>
      <c r="P145" t="b">
        <v>1</v>
      </c>
      <c r="Q145">
        <v>0</v>
      </c>
      <c r="R145">
        <v>3071</v>
      </c>
      <c r="U145" t="s">
        <v>675</v>
      </c>
      <c r="V145" t="s">
        <v>923</v>
      </c>
      <c r="W145">
        <v>0</v>
      </c>
      <c r="X145">
        <v>233.7</v>
      </c>
      <c r="Y145" t="s">
        <v>1167</v>
      </c>
      <c r="Z145">
        <v>209.4126061719243</v>
      </c>
      <c r="AA145">
        <v>2169</v>
      </c>
      <c r="AB145">
        <v>186374</v>
      </c>
      <c r="AC145" t="s">
        <v>1408</v>
      </c>
      <c r="AD145">
        <v>47.05</v>
      </c>
      <c r="AE145" t="s">
        <v>1656</v>
      </c>
      <c r="AF145" t="s">
        <v>1904</v>
      </c>
      <c r="AG145">
        <v>3348</v>
      </c>
      <c r="AH145">
        <v>-152</v>
      </c>
      <c r="AI145">
        <v>1583588</v>
      </c>
      <c r="AJ145">
        <v>4.36</v>
      </c>
    </row>
    <row r="146" spans="1:36">
      <c r="A146" s="1" t="s">
        <v>180</v>
      </c>
      <c r="B146" t="s">
        <v>428</v>
      </c>
      <c r="C146">
        <f>HYPERLINK("https://finance.naver.com/item/coinfo.nhn?code=002810", "A002810")</f>
        <v>0</v>
      </c>
      <c r="D146">
        <f>HYPERLINK("http://comp.fnguide.com/SVO2/ASP/SVD_Consensus.asp?pGB=1&amp;gicode=A002810&amp;cID=&amp;MenuYn=Y&amp;ReportGB=&amp;NewMenuID=108&amp;stkGb=701", "삼영무역")</f>
        <v>0</v>
      </c>
      <c r="E146">
        <v>3</v>
      </c>
      <c r="F146">
        <v>16450</v>
      </c>
      <c r="G146">
        <v>0</v>
      </c>
      <c r="H146">
        <v>9.18</v>
      </c>
      <c r="I146">
        <v>22001</v>
      </c>
      <c r="J146">
        <v>21714</v>
      </c>
      <c r="K146">
        <v>21630</v>
      </c>
      <c r="L146">
        <v>-33.74</v>
      </c>
      <c r="M146">
        <v>-32</v>
      </c>
      <c r="N146">
        <v>-31.49</v>
      </c>
      <c r="O146">
        <v>8.49</v>
      </c>
      <c r="P146" t="b">
        <v>1</v>
      </c>
      <c r="Q146">
        <v>0</v>
      </c>
      <c r="R146">
        <v>1526</v>
      </c>
      <c r="U146" t="s">
        <v>676</v>
      </c>
      <c r="V146" t="s">
        <v>924</v>
      </c>
      <c r="W146">
        <v>0</v>
      </c>
      <c r="X146">
        <v>77.90000000000001</v>
      </c>
      <c r="Y146" t="s">
        <v>1168</v>
      </c>
      <c r="Z146">
        <v>15.39310551897355</v>
      </c>
      <c r="AA146">
        <v>3038</v>
      </c>
      <c r="AB146">
        <v>22361</v>
      </c>
      <c r="AC146" t="s">
        <v>1409</v>
      </c>
      <c r="AD146">
        <v>44.51</v>
      </c>
      <c r="AE146" t="s">
        <v>1657</v>
      </c>
      <c r="AF146" t="s">
        <v>1905</v>
      </c>
      <c r="AG146">
        <v>3924</v>
      </c>
      <c r="AH146">
        <v>224</v>
      </c>
      <c r="AI146">
        <v>838844</v>
      </c>
      <c r="AJ146">
        <v>3.57</v>
      </c>
    </row>
    <row r="147" spans="1:36">
      <c r="A147" s="1" t="s">
        <v>181</v>
      </c>
      <c r="B147" t="s">
        <v>429</v>
      </c>
      <c r="C147">
        <f>HYPERLINK("https://finance.naver.com/item/coinfo.nhn?code=002170", "A002170")</f>
        <v>0</v>
      </c>
      <c r="D147">
        <f>HYPERLINK("http://comp.fnguide.com/SVO2/ASP/SVD_Consensus.asp?pGB=1&amp;gicode=A002170&amp;cID=&amp;MenuYn=Y&amp;ReportGB=&amp;NewMenuID=108&amp;stkGb=701", "삼양통상")</f>
        <v>0</v>
      </c>
      <c r="E147">
        <v>3</v>
      </c>
      <c r="F147">
        <v>78700</v>
      </c>
      <c r="G147">
        <v>0</v>
      </c>
      <c r="H147">
        <v>3.77</v>
      </c>
      <c r="I147">
        <v>211514</v>
      </c>
      <c r="J147">
        <v>164349</v>
      </c>
      <c r="K147">
        <v>150516</v>
      </c>
      <c r="L147">
        <v>-168.76</v>
      </c>
      <c r="M147">
        <v>-108.83</v>
      </c>
      <c r="N147">
        <v>-91.25</v>
      </c>
      <c r="O147">
        <v>13.32</v>
      </c>
      <c r="P147" t="b">
        <v>1</v>
      </c>
      <c r="Q147">
        <v>0</v>
      </c>
      <c r="R147">
        <v>16637</v>
      </c>
      <c r="U147" t="s">
        <v>677</v>
      </c>
      <c r="V147" t="s">
        <v>925</v>
      </c>
      <c r="W147">
        <v>0</v>
      </c>
      <c r="X147">
        <v>247.3</v>
      </c>
      <c r="Y147" t="s">
        <v>1169</v>
      </c>
      <c r="Z147">
        <v>49.96726963799885</v>
      </c>
      <c r="AA147">
        <v>2361</v>
      </c>
      <c r="AB147">
        <v>5549</v>
      </c>
      <c r="AC147" t="s">
        <v>1410</v>
      </c>
      <c r="AD147">
        <v>55.32</v>
      </c>
      <c r="AE147" t="s">
        <v>1658</v>
      </c>
      <c r="AF147" t="s">
        <v>1906</v>
      </c>
      <c r="AG147">
        <v>1984</v>
      </c>
      <c r="AH147">
        <v>577</v>
      </c>
      <c r="AI147">
        <v>150575</v>
      </c>
      <c r="AJ147">
        <v>1.99</v>
      </c>
    </row>
    <row r="148" spans="1:36">
      <c r="A148" s="1" t="s">
        <v>182</v>
      </c>
      <c r="B148" t="s">
        <v>430</v>
      </c>
      <c r="C148">
        <f>HYPERLINK("https://finance.naver.com/item/coinfo.nhn?code=007330", "A007330")</f>
        <v>0</v>
      </c>
      <c r="D148">
        <f>HYPERLINK("http://comp.fnguide.com/SVO2/ASP/SVD_Consensus.asp?pGB=1&amp;gicode=A007330&amp;cID=&amp;MenuYn=Y&amp;ReportGB=&amp;NewMenuID=108&amp;stkGb=701", "푸른저축은행")</f>
        <v>0</v>
      </c>
      <c r="E148">
        <v>3</v>
      </c>
      <c r="F148">
        <v>20050</v>
      </c>
      <c r="G148">
        <v>0</v>
      </c>
      <c r="H148">
        <v>5.7</v>
      </c>
      <c r="I148">
        <v>25171</v>
      </c>
      <c r="J148">
        <v>24122</v>
      </c>
      <c r="K148">
        <v>23815</v>
      </c>
      <c r="L148">
        <v>-25.54</v>
      </c>
      <c r="M148">
        <v>-20.31</v>
      </c>
      <c r="N148">
        <v>-18.78</v>
      </c>
      <c r="O148">
        <v>8.93</v>
      </c>
      <c r="P148" t="b">
        <v>1</v>
      </c>
      <c r="Q148">
        <v>0</v>
      </c>
      <c r="R148">
        <v>1452</v>
      </c>
      <c r="U148" t="s">
        <v>678</v>
      </c>
      <c r="V148" t="s">
        <v>926</v>
      </c>
      <c r="W148">
        <v>0</v>
      </c>
      <c r="Y148" t="s">
        <v>1048</v>
      </c>
      <c r="Z148">
        <v>44.96582968683678</v>
      </c>
      <c r="AA148">
        <v>3024</v>
      </c>
      <c r="AB148">
        <v>510222</v>
      </c>
      <c r="AC148" t="s">
        <v>1411</v>
      </c>
      <c r="AD148">
        <v>62.31</v>
      </c>
      <c r="AE148" t="s">
        <v>1659</v>
      </c>
      <c r="AF148" t="s">
        <v>1907</v>
      </c>
      <c r="AG148">
        <v>520</v>
      </c>
      <c r="AH148">
        <v>254</v>
      </c>
      <c r="AI148">
        <v>3214891</v>
      </c>
      <c r="AJ148">
        <v>6.64</v>
      </c>
    </row>
    <row r="149" spans="1:36">
      <c r="A149" s="1" t="s">
        <v>183</v>
      </c>
      <c r="B149" t="s">
        <v>431</v>
      </c>
      <c r="C149">
        <f>HYPERLINK("https://finance.naver.com/item/coinfo.nhn?code=023760", "A023760")</f>
        <v>0</v>
      </c>
      <c r="D149">
        <f>HYPERLINK("http://comp.fnguide.com/SVO2/ASP/SVD_Consensus.asp?pGB=1&amp;gicode=A023760&amp;cID=&amp;MenuYn=Y&amp;ReportGB=&amp;NewMenuID=108&amp;stkGb=701", "한국캐피탈")</f>
        <v>0</v>
      </c>
      <c r="E149">
        <v>3</v>
      </c>
      <c r="F149">
        <v>853</v>
      </c>
      <c r="G149">
        <v>0</v>
      </c>
      <c r="H149">
        <v>5.7</v>
      </c>
      <c r="I149">
        <v>1096</v>
      </c>
      <c r="J149">
        <v>1028</v>
      </c>
      <c r="K149">
        <v>1009</v>
      </c>
      <c r="L149">
        <v>-28.49</v>
      </c>
      <c r="M149">
        <v>-20.56</v>
      </c>
      <c r="N149">
        <v>-18.23</v>
      </c>
      <c r="O149">
        <v>9.27</v>
      </c>
      <c r="P149" t="b">
        <v>1</v>
      </c>
      <c r="Q149">
        <v>0</v>
      </c>
      <c r="R149">
        <v>102</v>
      </c>
      <c r="U149" t="s">
        <v>679</v>
      </c>
      <c r="V149" t="s">
        <v>927</v>
      </c>
      <c r="W149">
        <v>0</v>
      </c>
      <c r="Y149" t="s">
        <v>1048</v>
      </c>
      <c r="Z149">
        <v>-10.11122124640329</v>
      </c>
      <c r="AA149">
        <v>2692</v>
      </c>
      <c r="AB149">
        <v>519389</v>
      </c>
      <c r="AC149" t="s">
        <v>1412</v>
      </c>
      <c r="AD149">
        <v>80.41</v>
      </c>
      <c r="AE149" t="s">
        <v>1660</v>
      </c>
      <c r="AF149" t="s">
        <v>1908</v>
      </c>
      <c r="AG149">
        <v>762</v>
      </c>
      <c r="AH149">
        <v>420</v>
      </c>
      <c r="AI149">
        <v>3193001</v>
      </c>
      <c r="AJ149">
        <v>4.32</v>
      </c>
    </row>
    <row r="150" spans="1:36">
      <c r="A150" s="1" t="s">
        <v>184</v>
      </c>
      <c r="B150" t="s">
        <v>432</v>
      </c>
      <c r="C150">
        <f>HYPERLINK("https://finance.naver.com/item/coinfo.nhn?code=001630", "A001630")</f>
        <v>0</v>
      </c>
      <c r="D150">
        <f>HYPERLINK("http://comp.fnguide.com/SVO2/ASP/SVD_Consensus.asp?pGB=1&amp;gicode=A001630&amp;cID=&amp;MenuYn=Y&amp;ReportGB=&amp;NewMenuID=108&amp;stkGb=701", "종근당홀딩스")</f>
        <v>0</v>
      </c>
      <c r="E150">
        <v>3</v>
      </c>
      <c r="F150">
        <v>108500</v>
      </c>
      <c r="G150">
        <v>0.12</v>
      </c>
      <c r="H150">
        <v>8.119999999999999</v>
      </c>
      <c r="I150">
        <v>159552</v>
      </c>
      <c r="J150">
        <v>129210</v>
      </c>
      <c r="K150">
        <v>120311</v>
      </c>
      <c r="L150">
        <v>-47.05</v>
      </c>
      <c r="M150">
        <v>-19.09</v>
      </c>
      <c r="N150">
        <v>-10.89</v>
      </c>
      <c r="O150">
        <v>12.23</v>
      </c>
      <c r="P150" t="b">
        <v>1</v>
      </c>
      <c r="Q150">
        <v>3</v>
      </c>
      <c r="R150">
        <v>15704</v>
      </c>
      <c r="S150">
        <v>25989</v>
      </c>
      <c r="T150">
        <v>65.5</v>
      </c>
      <c r="U150" t="s">
        <v>680</v>
      </c>
      <c r="V150" t="s">
        <v>928</v>
      </c>
      <c r="W150">
        <v>68.00089049036684</v>
      </c>
      <c r="X150">
        <v>-53</v>
      </c>
      <c r="Y150" t="s">
        <v>1170</v>
      </c>
      <c r="Z150">
        <v>3.460328238296229</v>
      </c>
      <c r="AA150">
        <v>5436</v>
      </c>
      <c r="AB150">
        <v>10646</v>
      </c>
      <c r="AC150" t="s">
        <v>1413</v>
      </c>
      <c r="AD150">
        <v>45.98</v>
      </c>
      <c r="AE150" t="s">
        <v>1661</v>
      </c>
      <c r="AF150" t="s">
        <v>1909</v>
      </c>
      <c r="AG150">
        <v>8581</v>
      </c>
      <c r="AH150">
        <v>893</v>
      </c>
      <c r="AI150">
        <v>21017</v>
      </c>
      <c r="AJ150">
        <v>1.1</v>
      </c>
    </row>
    <row r="151" spans="1:36">
      <c r="A151" s="1" t="s">
        <v>185</v>
      </c>
      <c r="B151" t="s">
        <v>433</v>
      </c>
      <c r="C151">
        <f>HYPERLINK("https://finance.naver.com/item/coinfo.nhn?code=016360", "A016360")</f>
        <v>0</v>
      </c>
      <c r="D151">
        <f>HYPERLINK("http://comp.fnguide.com/SVO2/ASP/SVD_Consensus.asp?pGB=1&amp;gicode=A016360&amp;cID=&amp;MenuYn=Y&amp;ReportGB=&amp;NewMenuID=108&amp;stkGb=701", "삼성증권")</f>
        <v>0</v>
      </c>
      <c r="E151">
        <v>3</v>
      </c>
      <c r="F151">
        <v>46400</v>
      </c>
      <c r="G151">
        <v>0.22</v>
      </c>
      <c r="H151">
        <v>7.11</v>
      </c>
      <c r="I151">
        <v>63774</v>
      </c>
      <c r="J151">
        <v>61270</v>
      </c>
      <c r="K151">
        <v>60535</v>
      </c>
      <c r="L151">
        <v>-37.45</v>
      </c>
      <c r="M151">
        <v>-32.05</v>
      </c>
      <c r="N151">
        <v>-30.46</v>
      </c>
      <c r="O151">
        <v>8.890000000000001</v>
      </c>
      <c r="P151" t="b">
        <v>0</v>
      </c>
      <c r="Q151">
        <v>3</v>
      </c>
      <c r="R151">
        <v>5686</v>
      </c>
      <c r="S151">
        <v>8670</v>
      </c>
      <c r="T151">
        <v>52.5</v>
      </c>
      <c r="U151" t="s">
        <v>681</v>
      </c>
      <c r="V151" t="s">
        <v>929</v>
      </c>
      <c r="W151">
        <v>32.35010365681381</v>
      </c>
      <c r="X151">
        <v>9.9</v>
      </c>
      <c r="Y151" t="s">
        <v>1171</v>
      </c>
      <c r="Z151">
        <v>7.346187379610924</v>
      </c>
      <c r="AA151">
        <v>41435</v>
      </c>
      <c r="AB151">
        <v>338109</v>
      </c>
      <c r="AC151" t="s">
        <v>1414</v>
      </c>
      <c r="AD151">
        <v>29.8</v>
      </c>
      <c r="AE151" t="s">
        <v>1662</v>
      </c>
      <c r="AF151" t="s">
        <v>1910</v>
      </c>
      <c r="AG151">
        <v>14926</v>
      </c>
      <c r="AH151">
        <v>6780</v>
      </c>
      <c r="AJ151">
        <v>5.44</v>
      </c>
    </row>
    <row r="152" spans="1:36">
      <c r="A152" s="1" t="s">
        <v>186</v>
      </c>
      <c r="B152" t="s">
        <v>434</v>
      </c>
      <c r="C152">
        <f>HYPERLINK("https://finance.naver.com/item/coinfo.nhn?code=035000", "A035000")</f>
        <v>0</v>
      </c>
      <c r="D152">
        <f>HYPERLINK("http://comp.fnguide.com/SVO2/ASP/SVD_Consensus.asp?pGB=1&amp;gicode=A035000&amp;cID=&amp;MenuYn=Y&amp;ReportGB=&amp;NewMenuID=108&amp;stkGb=701", "지투알")</f>
        <v>0</v>
      </c>
      <c r="E152">
        <v>3</v>
      </c>
      <c r="F152">
        <v>6760</v>
      </c>
      <c r="G152">
        <v>0</v>
      </c>
      <c r="H152">
        <v>10.45</v>
      </c>
      <c r="I152">
        <v>9588</v>
      </c>
      <c r="J152">
        <v>9219</v>
      </c>
      <c r="K152">
        <v>9111</v>
      </c>
      <c r="L152">
        <v>-41.83</v>
      </c>
      <c r="M152">
        <v>-36.38</v>
      </c>
      <c r="N152">
        <v>-34.78</v>
      </c>
      <c r="O152">
        <v>8.880000000000001</v>
      </c>
      <c r="P152" t="b">
        <v>1</v>
      </c>
      <c r="Q152">
        <v>0</v>
      </c>
      <c r="R152">
        <v>546</v>
      </c>
      <c r="U152" t="s">
        <v>682</v>
      </c>
      <c r="V152" t="s">
        <v>930</v>
      </c>
      <c r="W152">
        <v>0</v>
      </c>
      <c r="X152">
        <v>0</v>
      </c>
      <c r="Y152" t="s">
        <v>1172</v>
      </c>
      <c r="Z152">
        <v>-11.82012703230757</v>
      </c>
      <c r="AA152">
        <v>1120</v>
      </c>
      <c r="AB152">
        <v>57008</v>
      </c>
      <c r="AC152" t="s">
        <v>1415</v>
      </c>
      <c r="AD152">
        <v>35</v>
      </c>
      <c r="AE152" t="s">
        <v>1663</v>
      </c>
      <c r="AF152" t="s">
        <v>1911</v>
      </c>
      <c r="AG152">
        <v>3756</v>
      </c>
      <c r="AH152">
        <v>253</v>
      </c>
      <c r="AI152">
        <v>359765</v>
      </c>
      <c r="AJ152">
        <v>5.26</v>
      </c>
    </row>
    <row r="153" spans="1:36">
      <c r="A153" s="1" t="s">
        <v>187</v>
      </c>
      <c r="B153" t="s">
        <v>435</v>
      </c>
      <c r="C153">
        <f>HYPERLINK("https://finance.naver.com/item/coinfo.nhn?code=006090", "A006090")</f>
        <v>0</v>
      </c>
      <c r="D153">
        <f>HYPERLINK("http://comp.fnguide.com/SVO2/ASP/SVD_Consensus.asp?pGB=1&amp;gicode=A006090&amp;cID=&amp;MenuYn=Y&amp;ReportGB=&amp;NewMenuID=108&amp;stkGb=701", "사조오양")</f>
        <v>0</v>
      </c>
      <c r="E153">
        <v>3</v>
      </c>
      <c r="F153">
        <v>11750</v>
      </c>
      <c r="G153">
        <v>0</v>
      </c>
      <c r="H153">
        <v>5.02</v>
      </c>
      <c r="I153">
        <v>20884</v>
      </c>
      <c r="J153">
        <v>20131</v>
      </c>
      <c r="K153">
        <v>19911</v>
      </c>
      <c r="L153">
        <v>-77.73999999999999</v>
      </c>
      <c r="M153">
        <v>-71.33</v>
      </c>
      <c r="N153">
        <v>-69.45</v>
      </c>
      <c r="O153">
        <v>8.84</v>
      </c>
      <c r="P153" t="b">
        <v>1</v>
      </c>
      <c r="Q153">
        <v>0</v>
      </c>
      <c r="R153">
        <v>1959</v>
      </c>
      <c r="U153" t="s">
        <v>683</v>
      </c>
      <c r="V153" t="s">
        <v>931</v>
      </c>
      <c r="W153">
        <v>0</v>
      </c>
      <c r="X153">
        <v>-13.9</v>
      </c>
      <c r="Y153" t="s">
        <v>1173</v>
      </c>
      <c r="Z153">
        <v>6.994745816215153</v>
      </c>
      <c r="AA153">
        <v>1107</v>
      </c>
      <c r="AB153">
        <v>68143</v>
      </c>
      <c r="AC153" t="s">
        <v>1416</v>
      </c>
      <c r="AD153">
        <v>60.53</v>
      </c>
      <c r="AE153" t="s">
        <v>1664</v>
      </c>
      <c r="AF153" t="s">
        <v>1912</v>
      </c>
      <c r="AG153">
        <v>3276</v>
      </c>
      <c r="AH153">
        <v>267</v>
      </c>
      <c r="AI153">
        <v>3</v>
      </c>
      <c r="AJ153">
        <v>1.52</v>
      </c>
    </row>
    <row r="154" spans="1:36">
      <c r="A154" s="1" t="s">
        <v>188</v>
      </c>
      <c r="B154" t="s">
        <v>436</v>
      </c>
      <c r="C154">
        <f>HYPERLINK("https://finance.naver.com/item/coinfo.nhn?code=035510", "A035510")</f>
        <v>0</v>
      </c>
      <c r="D154">
        <f>HYPERLINK("http://comp.fnguide.com/SVO2/ASP/SVD_Consensus.asp?pGB=1&amp;gicode=A035510&amp;cID=&amp;MenuYn=Y&amp;ReportGB=&amp;NewMenuID=108&amp;stkGb=701", "신세계 I&amp;C")</f>
        <v>0</v>
      </c>
      <c r="E154">
        <v>3</v>
      </c>
      <c r="F154">
        <v>177000</v>
      </c>
      <c r="G154">
        <v>0</v>
      </c>
      <c r="H154">
        <v>3.1</v>
      </c>
      <c r="I154">
        <v>457727</v>
      </c>
      <c r="J154">
        <v>291522</v>
      </c>
      <c r="K154">
        <v>242776</v>
      </c>
      <c r="L154">
        <v>-158.6</v>
      </c>
      <c r="M154">
        <v>-64.7</v>
      </c>
      <c r="N154">
        <v>-37.16</v>
      </c>
      <c r="O154">
        <v>21.48</v>
      </c>
      <c r="P154" t="b">
        <v>1</v>
      </c>
      <c r="Q154">
        <v>0</v>
      </c>
      <c r="R154">
        <v>40451</v>
      </c>
      <c r="U154" t="s">
        <v>684</v>
      </c>
      <c r="V154" t="s">
        <v>932</v>
      </c>
      <c r="W154">
        <v>0</v>
      </c>
      <c r="X154">
        <v>90.40000000000001</v>
      </c>
      <c r="Y154" t="s">
        <v>1174</v>
      </c>
      <c r="Z154">
        <v>120.381731179954</v>
      </c>
      <c r="AA154">
        <v>3044</v>
      </c>
      <c r="AB154">
        <v>5119</v>
      </c>
      <c r="AC154" t="s">
        <v>1417</v>
      </c>
      <c r="AD154">
        <v>35.65</v>
      </c>
      <c r="AE154" t="s">
        <v>1665</v>
      </c>
      <c r="AF154" t="s">
        <v>1913</v>
      </c>
      <c r="AG154">
        <v>4803</v>
      </c>
      <c r="AH154">
        <v>300</v>
      </c>
      <c r="AI154">
        <v>525419</v>
      </c>
      <c r="AJ154">
        <v>1.99</v>
      </c>
    </row>
    <row r="155" spans="1:36">
      <c r="A155" s="1" t="s">
        <v>189</v>
      </c>
      <c r="B155" t="s">
        <v>437</v>
      </c>
      <c r="C155">
        <f>HYPERLINK("https://finance.naver.com/item/coinfo.nhn?code=043260", "A043260")</f>
        <v>0</v>
      </c>
      <c r="D155">
        <f>HYPERLINK("http://comp.fnguide.com/SVO2/ASP/SVD_Consensus.asp?pGB=1&amp;gicode=A043260&amp;cID=&amp;MenuYn=Y&amp;ReportGB=&amp;NewMenuID=108&amp;stkGb=701", "성호전자")</f>
        <v>0</v>
      </c>
      <c r="E155">
        <v>2</v>
      </c>
      <c r="F155">
        <v>1575</v>
      </c>
      <c r="G155">
        <v>0</v>
      </c>
      <c r="H155">
        <v>5.39</v>
      </c>
      <c r="I155">
        <v>1993</v>
      </c>
      <c r="J155">
        <v>1633</v>
      </c>
      <c r="K155">
        <v>1527</v>
      </c>
      <c r="L155">
        <v>-26.52</v>
      </c>
      <c r="M155">
        <v>-3.67</v>
      </c>
      <c r="N155">
        <v>3.03</v>
      </c>
      <c r="O155">
        <v>11.95</v>
      </c>
      <c r="P155" t="b">
        <v>1</v>
      </c>
      <c r="Q155">
        <v>0</v>
      </c>
      <c r="R155">
        <v>283</v>
      </c>
      <c r="U155" t="s">
        <v>685</v>
      </c>
      <c r="V155" t="s">
        <v>933</v>
      </c>
      <c r="W155">
        <v>0</v>
      </c>
      <c r="X155">
        <v>0</v>
      </c>
      <c r="Y155" t="s">
        <v>1175</v>
      </c>
      <c r="Z155">
        <v>-30.2</v>
      </c>
      <c r="AA155">
        <v>841</v>
      </c>
      <c r="AB155">
        <v>560665</v>
      </c>
      <c r="AC155" t="s">
        <v>1418</v>
      </c>
      <c r="AD155">
        <v>38.62</v>
      </c>
      <c r="AE155" t="s">
        <v>1666</v>
      </c>
      <c r="AF155" t="s">
        <v>1914</v>
      </c>
      <c r="AG155">
        <v>1072</v>
      </c>
      <c r="AH155">
        <v>28</v>
      </c>
      <c r="AI155">
        <v>683922</v>
      </c>
    </row>
    <row r="156" spans="1:36">
      <c r="A156" s="1" t="s">
        <v>190</v>
      </c>
      <c r="B156" t="s">
        <v>438</v>
      </c>
      <c r="C156">
        <f>HYPERLINK("https://finance.naver.com/item/coinfo.nhn?code=137940", "A137940")</f>
        <v>0</v>
      </c>
      <c r="D156">
        <f>HYPERLINK("http://comp.fnguide.com/SVO2/ASP/SVD_Consensus.asp?pGB=1&amp;gicode=A137940&amp;cID=&amp;MenuYn=Y&amp;ReportGB=&amp;NewMenuID=108&amp;stkGb=701", "넥스트아이")</f>
        <v>0</v>
      </c>
      <c r="E156">
        <v>2</v>
      </c>
      <c r="F156">
        <v>2470</v>
      </c>
      <c r="G156">
        <v>0</v>
      </c>
      <c r="H156">
        <v>2.98</v>
      </c>
      <c r="I156">
        <v>4102</v>
      </c>
      <c r="J156">
        <v>2600</v>
      </c>
      <c r="K156">
        <v>2159</v>
      </c>
      <c r="L156">
        <v>-66.08</v>
      </c>
      <c r="M156">
        <v>-5.25</v>
      </c>
      <c r="N156">
        <v>12.59</v>
      </c>
      <c r="O156">
        <v>21.78</v>
      </c>
      <c r="P156" t="b">
        <v>1</v>
      </c>
      <c r="Q156">
        <v>0</v>
      </c>
      <c r="R156">
        <v>557</v>
      </c>
      <c r="U156" t="s">
        <v>686</v>
      </c>
      <c r="V156" t="s">
        <v>934</v>
      </c>
      <c r="W156">
        <v>0</v>
      </c>
      <c r="X156">
        <v>0</v>
      </c>
      <c r="Y156" t="s">
        <v>1099</v>
      </c>
      <c r="Z156">
        <v>0</v>
      </c>
      <c r="AA156">
        <v>1905</v>
      </c>
      <c r="AB156">
        <v>105497412</v>
      </c>
      <c r="AC156" t="s">
        <v>1419</v>
      </c>
      <c r="AD156">
        <v>29.42</v>
      </c>
      <c r="AE156" t="s">
        <v>1667</v>
      </c>
      <c r="AF156" t="s">
        <v>1915</v>
      </c>
      <c r="AG156">
        <v>348</v>
      </c>
      <c r="AH156">
        <v>-104</v>
      </c>
      <c r="AI156">
        <v>1759210</v>
      </c>
      <c r="AJ156">
        <v>1.02</v>
      </c>
    </row>
    <row r="157" spans="1:36">
      <c r="A157" s="1" t="s">
        <v>191</v>
      </c>
      <c r="B157" t="s">
        <v>439</v>
      </c>
      <c r="C157">
        <f>HYPERLINK("https://finance.naver.com/item/coinfo.nhn?code=033780", "A033780")</f>
        <v>0</v>
      </c>
      <c r="D157">
        <f>HYPERLINK("http://comp.fnguide.com/SVO2/ASP/SVD_Consensus.asp?pGB=1&amp;gicode=A033780&amp;cID=&amp;MenuYn=Y&amp;ReportGB=&amp;NewMenuID=108&amp;stkGb=701", "KT&amp;G")</f>
        <v>0</v>
      </c>
      <c r="E157">
        <v>2</v>
      </c>
      <c r="F157">
        <v>83700</v>
      </c>
      <c r="G157">
        <v>1.13</v>
      </c>
      <c r="H157">
        <v>9.74</v>
      </c>
      <c r="I157">
        <v>110695</v>
      </c>
      <c r="J157">
        <v>88287</v>
      </c>
      <c r="K157">
        <v>81715</v>
      </c>
      <c r="L157">
        <v>-32.25</v>
      </c>
      <c r="M157">
        <v>-5.48</v>
      </c>
      <c r="N157">
        <v>2.37</v>
      </c>
      <c r="O157">
        <v>12.62</v>
      </c>
      <c r="P157" t="b">
        <v>1</v>
      </c>
      <c r="Q157">
        <v>0</v>
      </c>
      <c r="R157">
        <v>8535</v>
      </c>
      <c r="S157">
        <v>8455</v>
      </c>
      <c r="T157">
        <v>-0.9</v>
      </c>
      <c r="U157" t="s">
        <v>687</v>
      </c>
      <c r="V157" t="s">
        <v>935</v>
      </c>
      <c r="W157">
        <v>8.60806138133643</v>
      </c>
      <c r="X157">
        <v>-6.5</v>
      </c>
      <c r="Y157" t="s">
        <v>1176</v>
      </c>
      <c r="Z157">
        <v>-1.976103173116761</v>
      </c>
      <c r="AA157">
        <v>114914</v>
      </c>
      <c r="AB157">
        <v>447149</v>
      </c>
      <c r="AC157" t="s">
        <v>1420</v>
      </c>
      <c r="AD157">
        <v>9.1</v>
      </c>
      <c r="AE157" t="s">
        <v>1668</v>
      </c>
      <c r="AF157" t="s">
        <v>1916</v>
      </c>
      <c r="AG157">
        <v>53016</v>
      </c>
      <c r="AH157">
        <v>14811</v>
      </c>
      <c r="AI157">
        <v>13212574</v>
      </c>
      <c r="AJ157">
        <v>5.78</v>
      </c>
    </row>
    <row r="158" spans="1:36">
      <c r="A158" s="1" t="s">
        <v>192</v>
      </c>
      <c r="B158" t="s">
        <v>440</v>
      </c>
      <c r="C158">
        <f>HYPERLINK("https://finance.naver.com/item/coinfo.nhn?code=023770", "A023770")</f>
        <v>0</v>
      </c>
      <c r="D158">
        <f>HYPERLINK("http://comp.fnguide.com/SVO2/ASP/SVD_Consensus.asp?pGB=1&amp;gicode=A023770&amp;cID=&amp;MenuYn=Y&amp;ReportGB=&amp;NewMenuID=108&amp;stkGb=701", "플레이위드")</f>
        <v>0</v>
      </c>
      <c r="E158">
        <v>2</v>
      </c>
      <c r="F158">
        <v>11250</v>
      </c>
      <c r="G158">
        <v>0</v>
      </c>
      <c r="H158">
        <v>5.98</v>
      </c>
      <c r="I158">
        <v>24613</v>
      </c>
      <c r="J158">
        <v>12317</v>
      </c>
      <c r="K158">
        <v>8710</v>
      </c>
      <c r="L158">
        <v>-118.78</v>
      </c>
      <c r="M158">
        <v>-9.48</v>
      </c>
      <c r="N158">
        <v>22.57</v>
      </c>
      <c r="O158">
        <v>53.26</v>
      </c>
      <c r="P158" t="b">
        <v>1</v>
      </c>
      <c r="Q158">
        <v>0</v>
      </c>
      <c r="R158">
        <v>1539</v>
      </c>
      <c r="U158" t="s">
        <v>688</v>
      </c>
      <c r="V158" t="s">
        <v>936</v>
      </c>
      <c r="W158">
        <v>0</v>
      </c>
      <c r="X158">
        <v>-88.3</v>
      </c>
      <c r="Y158" t="s">
        <v>1177</v>
      </c>
      <c r="Z158">
        <v>-59.28280461524886</v>
      </c>
      <c r="AA158">
        <v>979</v>
      </c>
      <c r="AB158">
        <v>314761</v>
      </c>
      <c r="AC158" t="s">
        <v>1421</v>
      </c>
      <c r="AD158">
        <v>22.59</v>
      </c>
      <c r="AE158" t="s">
        <v>1669</v>
      </c>
      <c r="AF158" t="s">
        <v>1917</v>
      </c>
      <c r="AG158">
        <v>430</v>
      </c>
      <c r="AH158">
        <v>136</v>
      </c>
      <c r="AI158">
        <v>73438</v>
      </c>
      <c r="AJ158">
        <v>3.26</v>
      </c>
    </row>
    <row r="159" spans="1:36">
      <c r="A159" s="1" t="s">
        <v>193</v>
      </c>
      <c r="B159" t="s">
        <v>441</v>
      </c>
      <c r="C159">
        <f>HYPERLINK("https://finance.naver.com/item/coinfo.nhn?code=046940", "A046940")</f>
        <v>0</v>
      </c>
      <c r="D159">
        <f>HYPERLINK("http://comp.fnguide.com/SVO2/ASP/SVD_Consensus.asp?pGB=1&amp;gicode=A046940&amp;cID=&amp;MenuYn=Y&amp;ReportGB=&amp;NewMenuID=108&amp;stkGb=701", "우원개발")</f>
        <v>0</v>
      </c>
      <c r="E159">
        <v>2</v>
      </c>
      <c r="F159">
        <v>6980</v>
      </c>
      <c r="G159">
        <v>0</v>
      </c>
      <c r="H159">
        <v>6.75</v>
      </c>
      <c r="I159">
        <v>10530</v>
      </c>
      <c r="J159">
        <v>7605</v>
      </c>
      <c r="K159">
        <v>6747</v>
      </c>
      <c r="L159">
        <v>-50.86</v>
      </c>
      <c r="M159">
        <v>-8.960000000000001</v>
      </c>
      <c r="N159">
        <v>3.33</v>
      </c>
      <c r="O159">
        <v>15.64</v>
      </c>
      <c r="P159" t="b">
        <v>0</v>
      </c>
      <c r="Q159">
        <v>0</v>
      </c>
      <c r="R159">
        <v>931</v>
      </c>
      <c r="U159" t="s">
        <v>689</v>
      </c>
      <c r="V159" t="s">
        <v>937</v>
      </c>
      <c r="W159">
        <v>0</v>
      </c>
      <c r="X159">
        <v>-97.40000000000001</v>
      </c>
      <c r="Y159" t="s">
        <v>1178</v>
      </c>
      <c r="Z159">
        <v>-82.52888097459127</v>
      </c>
      <c r="AA159">
        <v>1262</v>
      </c>
      <c r="AB159">
        <v>165960</v>
      </c>
      <c r="AC159" t="s">
        <v>1422</v>
      </c>
      <c r="AD159">
        <v>34.98</v>
      </c>
      <c r="AE159" t="s">
        <v>1670</v>
      </c>
      <c r="AF159" t="s">
        <v>1918</v>
      </c>
      <c r="AG159">
        <v>3163</v>
      </c>
      <c r="AH159">
        <v>326</v>
      </c>
    </row>
    <row r="160" spans="1:36">
      <c r="A160" s="1" t="s">
        <v>194</v>
      </c>
      <c r="B160" t="s">
        <v>442</v>
      </c>
      <c r="C160">
        <f>HYPERLINK("https://finance.naver.com/item/coinfo.nhn?code=031330", "A031330")</f>
        <v>0</v>
      </c>
      <c r="D160">
        <f>HYPERLINK("http://comp.fnguide.com/SVO2/ASP/SVD_Consensus.asp?pGB=1&amp;gicode=A031330&amp;cID=&amp;MenuYn=Y&amp;ReportGB=&amp;NewMenuID=108&amp;stkGb=701", "에스에이엠티")</f>
        <v>0</v>
      </c>
      <c r="E160">
        <v>2</v>
      </c>
      <c r="F160">
        <v>3640</v>
      </c>
      <c r="G160">
        <v>0.18</v>
      </c>
      <c r="H160">
        <v>5.58</v>
      </c>
      <c r="I160">
        <v>5306</v>
      </c>
      <c r="J160">
        <v>3704</v>
      </c>
      <c r="K160">
        <v>3234</v>
      </c>
      <c r="L160">
        <v>-45.78</v>
      </c>
      <c r="M160">
        <v>-1.75</v>
      </c>
      <c r="N160">
        <v>11.17</v>
      </c>
      <c r="O160">
        <v>16.95</v>
      </c>
      <c r="P160" t="b">
        <v>1</v>
      </c>
      <c r="Q160">
        <v>3</v>
      </c>
      <c r="R160">
        <v>434</v>
      </c>
      <c r="S160">
        <v>717</v>
      </c>
      <c r="T160">
        <v>65.2</v>
      </c>
      <c r="U160" t="s">
        <v>690</v>
      </c>
      <c r="V160" t="s">
        <v>938</v>
      </c>
      <c r="W160">
        <v>30.99153125914993</v>
      </c>
      <c r="X160">
        <v>-11.4</v>
      </c>
      <c r="Y160" t="s">
        <v>1179</v>
      </c>
      <c r="Z160">
        <v>-2.058882298451625</v>
      </c>
      <c r="AA160">
        <v>3640</v>
      </c>
      <c r="AB160">
        <v>2320123</v>
      </c>
      <c r="AC160" t="s">
        <v>1423</v>
      </c>
      <c r="AD160">
        <v>50.02</v>
      </c>
      <c r="AE160" t="s">
        <v>1671</v>
      </c>
      <c r="AF160" t="s">
        <v>1919</v>
      </c>
      <c r="AG160">
        <v>12405</v>
      </c>
      <c r="AH160">
        <v>341</v>
      </c>
      <c r="AI160">
        <v>2000000</v>
      </c>
      <c r="AJ160">
        <v>6.2</v>
      </c>
    </row>
    <row r="161" spans="1:36">
      <c r="A161" s="1" t="s">
        <v>195</v>
      </c>
      <c r="B161" t="s">
        <v>443</v>
      </c>
      <c r="C161">
        <f>HYPERLINK("https://finance.naver.com/item/coinfo.nhn?code=006060", "A006060")</f>
        <v>0</v>
      </c>
      <c r="D161">
        <f>HYPERLINK("http://comp.fnguide.com/SVO2/ASP/SVD_Consensus.asp?pGB=1&amp;gicode=A006060&amp;cID=&amp;MenuYn=Y&amp;ReportGB=&amp;NewMenuID=108&amp;stkGb=701", "화승인더")</f>
        <v>0</v>
      </c>
      <c r="E161">
        <v>2</v>
      </c>
      <c r="F161">
        <v>8100</v>
      </c>
      <c r="G161">
        <v>0</v>
      </c>
      <c r="H161">
        <v>10.56</v>
      </c>
      <c r="I161">
        <v>10731</v>
      </c>
      <c r="J161">
        <v>8330</v>
      </c>
      <c r="K161">
        <v>7625</v>
      </c>
      <c r="L161">
        <v>-32.48</v>
      </c>
      <c r="M161">
        <v>-2.83</v>
      </c>
      <c r="N161">
        <v>5.86</v>
      </c>
      <c r="O161">
        <v>13.35</v>
      </c>
      <c r="P161" t="b">
        <v>1</v>
      </c>
      <c r="Q161">
        <v>0</v>
      </c>
      <c r="R161">
        <v>675</v>
      </c>
      <c r="U161" t="s">
        <v>691</v>
      </c>
      <c r="V161" t="s">
        <v>939</v>
      </c>
      <c r="W161">
        <v>0</v>
      </c>
      <c r="X161">
        <v>0</v>
      </c>
      <c r="Y161" t="s">
        <v>1180</v>
      </c>
      <c r="Z161">
        <v>-4.2932560235446</v>
      </c>
      <c r="AA161">
        <v>4481</v>
      </c>
      <c r="AB161">
        <v>253683</v>
      </c>
      <c r="AC161" t="s">
        <v>1424</v>
      </c>
      <c r="AD161">
        <v>33.59</v>
      </c>
      <c r="AE161" t="s">
        <v>1672</v>
      </c>
      <c r="AF161" t="s">
        <v>1920</v>
      </c>
      <c r="AG161">
        <v>12988</v>
      </c>
      <c r="AH161">
        <v>824</v>
      </c>
      <c r="AI161">
        <v>2482393</v>
      </c>
      <c r="AJ161">
        <v>2.64</v>
      </c>
    </row>
    <row r="162" spans="1:36">
      <c r="A162" s="1" t="s">
        <v>196</v>
      </c>
      <c r="B162" t="s">
        <v>444</v>
      </c>
      <c r="C162">
        <f>HYPERLINK("https://finance.naver.com/item/coinfo.nhn?code=298540", "A298540")</f>
        <v>0</v>
      </c>
      <c r="D162">
        <f>HYPERLINK("http://comp.fnguide.com/SVO2/ASP/SVD_Consensus.asp?pGB=1&amp;gicode=A298540&amp;cID=&amp;MenuYn=Y&amp;ReportGB=&amp;NewMenuID=108&amp;stkGb=701", "더네이쳐홀딩스")</f>
        <v>0</v>
      </c>
      <c r="E162">
        <v>2</v>
      </c>
      <c r="F162">
        <v>60700</v>
      </c>
      <c r="G162">
        <v>0.1</v>
      </c>
      <c r="H162">
        <v>6.52</v>
      </c>
      <c r="I162">
        <v>119727</v>
      </c>
      <c r="J162">
        <v>62275</v>
      </c>
      <c r="K162">
        <v>45425</v>
      </c>
      <c r="L162">
        <v>-97.23999999999999</v>
      </c>
      <c r="M162">
        <v>-2.59</v>
      </c>
      <c r="N162">
        <v>25.16</v>
      </c>
      <c r="O162">
        <v>43.88</v>
      </c>
      <c r="P162" t="b">
        <v>1</v>
      </c>
      <c r="Q162">
        <v>3</v>
      </c>
      <c r="R162">
        <v>6069</v>
      </c>
      <c r="S162">
        <v>7439</v>
      </c>
      <c r="T162">
        <v>22.6</v>
      </c>
      <c r="U162" t="s">
        <v>692</v>
      </c>
      <c r="V162" t="s">
        <v>940</v>
      </c>
      <c r="W162">
        <v>63.71103280693939</v>
      </c>
      <c r="X162">
        <v>-13.3</v>
      </c>
      <c r="Y162" t="s">
        <v>1181</v>
      </c>
      <c r="Z162">
        <v>45.8776655539957</v>
      </c>
      <c r="AA162">
        <v>4414</v>
      </c>
      <c r="AB162">
        <v>49972</v>
      </c>
      <c r="AC162" t="s">
        <v>1425</v>
      </c>
      <c r="AD162">
        <v>38.97</v>
      </c>
      <c r="AE162" t="s">
        <v>1673</v>
      </c>
      <c r="AF162" t="s">
        <v>1921</v>
      </c>
      <c r="AG162">
        <v>2909</v>
      </c>
      <c r="AH162">
        <v>552</v>
      </c>
      <c r="AJ162">
        <v>1.01</v>
      </c>
    </row>
    <row r="163" spans="1:36">
      <c r="A163" s="1" t="s">
        <v>197</v>
      </c>
      <c r="B163" t="s">
        <v>445</v>
      </c>
      <c r="C163">
        <f>HYPERLINK("https://finance.naver.com/item/coinfo.nhn?code=225220", "A225220")</f>
        <v>0</v>
      </c>
      <c r="D163">
        <f>HYPERLINK("http://comp.fnguide.com/SVO2/ASP/SVD_Consensus.asp?pGB=1&amp;gicode=A225220&amp;cID=&amp;MenuYn=Y&amp;ReportGB=&amp;NewMenuID=108&amp;stkGb=701", "제놀루션")</f>
        <v>0</v>
      </c>
      <c r="E163">
        <v>2</v>
      </c>
      <c r="F163">
        <v>14950</v>
      </c>
      <c r="G163">
        <v>0</v>
      </c>
      <c r="H163">
        <v>3.49</v>
      </c>
      <c r="I163">
        <v>38695</v>
      </c>
      <c r="J163">
        <v>19587</v>
      </c>
      <c r="K163">
        <v>13983</v>
      </c>
      <c r="L163">
        <v>-158.83</v>
      </c>
      <c r="M163">
        <v>-31.02</v>
      </c>
      <c r="N163">
        <v>6.47</v>
      </c>
      <c r="O163">
        <v>50.12</v>
      </c>
      <c r="P163" t="b">
        <v>1</v>
      </c>
      <c r="Q163">
        <v>0</v>
      </c>
      <c r="R163">
        <v>3927</v>
      </c>
      <c r="U163" t="s">
        <v>693</v>
      </c>
      <c r="V163" t="s">
        <v>941</v>
      </c>
      <c r="W163">
        <v>0</v>
      </c>
      <c r="X163">
        <v>0</v>
      </c>
      <c r="Y163" t="s">
        <v>1182</v>
      </c>
      <c r="Z163">
        <v>532.3</v>
      </c>
      <c r="AA163">
        <v>1430</v>
      </c>
      <c r="AB163">
        <v>558964</v>
      </c>
      <c r="AC163" t="s">
        <v>1426</v>
      </c>
      <c r="AD163">
        <v>24.87</v>
      </c>
      <c r="AE163" t="s">
        <v>1674</v>
      </c>
      <c r="AF163" t="s">
        <v>1922</v>
      </c>
      <c r="AG163">
        <v>853</v>
      </c>
      <c r="AH163">
        <v>540</v>
      </c>
      <c r="AJ163">
        <v>2.56</v>
      </c>
    </row>
    <row r="164" spans="1:36">
      <c r="A164" s="1" t="s">
        <v>198</v>
      </c>
      <c r="B164" t="s">
        <v>446</v>
      </c>
      <c r="C164">
        <f>HYPERLINK("https://finance.naver.com/item/coinfo.nhn?code=248170", "A248170")</f>
        <v>0</v>
      </c>
      <c r="D164">
        <f>HYPERLINK("http://comp.fnguide.com/SVO2/ASP/SVD_Consensus.asp?pGB=1&amp;gicode=A248170&amp;cID=&amp;MenuYn=Y&amp;ReportGB=&amp;NewMenuID=108&amp;stkGb=701", "샘표식품")</f>
        <v>0</v>
      </c>
      <c r="E164">
        <v>2</v>
      </c>
      <c r="F164">
        <v>63800</v>
      </c>
      <c r="G164">
        <v>0</v>
      </c>
      <c r="H164">
        <v>6.67</v>
      </c>
      <c r="I164">
        <v>96068</v>
      </c>
      <c r="J164">
        <v>64122</v>
      </c>
      <c r="K164">
        <v>54753</v>
      </c>
      <c r="L164">
        <v>-50.58</v>
      </c>
      <c r="M164">
        <v>-0.51</v>
      </c>
      <c r="N164">
        <v>14.18</v>
      </c>
      <c r="O164">
        <v>18.94</v>
      </c>
      <c r="P164" t="b">
        <v>1</v>
      </c>
      <c r="Q164">
        <v>0</v>
      </c>
      <c r="R164">
        <v>7892</v>
      </c>
      <c r="U164" t="s">
        <v>694</v>
      </c>
      <c r="V164" t="s">
        <v>942</v>
      </c>
      <c r="W164">
        <v>0</v>
      </c>
      <c r="X164">
        <v>5.2</v>
      </c>
      <c r="Y164" t="s">
        <v>1183</v>
      </c>
      <c r="Z164">
        <v>45.82902011384766</v>
      </c>
      <c r="AA164">
        <v>2915</v>
      </c>
      <c r="AB164">
        <v>51732</v>
      </c>
      <c r="AC164" t="s">
        <v>1427</v>
      </c>
      <c r="AD164">
        <v>60.02</v>
      </c>
      <c r="AE164" t="s">
        <v>1675</v>
      </c>
      <c r="AF164" t="s">
        <v>1923</v>
      </c>
      <c r="AG164">
        <v>3189</v>
      </c>
      <c r="AH164">
        <v>428</v>
      </c>
      <c r="AI164">
        <v>1690</v>
      </c>
      <c r="AJ164">
        <v>0.38</v>
      </c>
    </row>
    <row r="165" spans="1:36">
      <c r="A165" s="1" t="s">
        <v>199</v>
      </c>
      <c r="B165" t="s">
        <v>447</v>
      </c>
      <c r="C165">
        <f>HYPERLINK("https://finance.naver.com/item/coinfo.nhn?code=038290", "A038290")</f>
        <v>0</v>
      </c>
      <c r="D165">
        <f>HYPERLINK("http://comp.fnguide.com/SVO2/ASP/SVD_Consensus.asp?pGB=1&amp;gicode=A038290&amp;cID=&amp;MenuYn=Y&amp;ReportGB=&amp;NewMenuID=108&amp;stkGb=701", "마크로젠")</f>
        <v>0</v>
      </c>
      <c r="E165">
        <v>2</v>
      </c>
      <c r="F165">
        <v>32750</v>
      </c>
      <c r="G165">
        <v>0</v>
      </c>
      <c r="H165">
        <v>3.26</v>
      </c>
      <c r="I165">
        <v>70687</v>
      </c>
      <c r="J165">
        <v>40921</v>
      </c>
      <c r="K165">
        <v>32191</v>
      </c>
      <c r="L165">
        <v>-115.84</v>
      </c>
      <c r="M165">
        <v>-24.95</v>
      </c>
      <c r="N165">
        <v>1.71</v>
      </c>
      <c r="O165">
        <v>28.78</v>
      </c>
      <c r="P165" t="b">
        <v>1</v>
      </c>
      <c r="Q165">
        <v>0</v>
      </c>
      <c r="R165">
        <v>8324</v>
      </c>
      <c r="U165" t="s">
        <v>695</v>
      </c>
      <c r="V165" t="s">
        <v>943</v>
      </c>
      <c r="W165">
        <v>0</v>
      </c>
      <c r="X165">
        <v>0</v>
      </c>
      <c r="Y165" t="s">
        <v>1184</v>
      </c>
      <c r="Z165">
        <v>-28.0837292401782</v>
      </c>
      <c r="AA165">
        <v>3496</v>
      </c>
      <c r="AB165">
        <v>71263</v>
      </c>
      <c r="AC165" t="s">
        <v>1428</v>
      </c>
      <c r="AD165">
        <v>10.26</v>
      </c>
      <c r="AE165" t="s">
        <v>1676</v>
      </c>
      <c r="AF165" t="s">
        <v>1924</v>
      </c>
      <c r="AG165">
        <v>1126</v>
      </c>
      <c r="AH165">
        <v>72</v>
      </c>
      <c r="AI165">
        <v>957784</v>
      </c>
      <c r="AJ165">
        <v>1.11</v>
      </c>
    </row>
    <row r="166" spans="1:36">
      <c r="A166" s="1" t="s">
        <v>200</v>
      </c>
      <c r="B166" t="s">
        <v>448</v>
      </c>
      <c r="C166">
        <f>HYPERLINK("https://finance.naver.com/item/coinfo.nhn?code=267980", "A267980")</f>
        <v>0</v>
      </c>
      <c r="D166">
        <f>HYPERLINK("http://comp.fnguide.com/SVO2/ASP/SVD_Consensus.asp?pGB=1&amp;gicode=A267980&amp;cID=&amp;MenuYn=Y&amp;ReportGB=&amp;NewMenuID=108&amp;stkGb=701", "매일유업")</f>
        <v>0</v>
      </c>
      <c r="E166">
        <v>2</v>
      </c>
      <c r="F166">
        <v>78500</v>
      </c>
      <c r="G166">
        <v>1.71</v>
      </c>
      <c r="H166">
        <v>9.51</v>
      </c>
      <c r="I166">
        <v>108867</v>
      </c>
      <c r="J166">
        <v>78689</v>
      </c>
      <c r="K166">
        <v>69838</v>
      </c>
      <c r="L166">
        <v>-38.68</v>
      </c>
      <c r="M166">
        <v>-0.24</v>
      </c>
      <c r="N166">
        <v>11.03</v>
      </c>
      <c r="O166">
        <v>15.61</v>
      </c>
      <c r="P166" t="b">
        <v>1</v>
      </c>
      <c r="Q166">
        <v>1</v>
      </c>
      <c r="R166">
        <v>7350</v>
      </c>
      <c r="S166">
        <v>8854</v>
      </c>
      <c r="T166">
        <v>20.5</v>
      </c>
      <c r="U166" t="s">
        <v>696</v>
      </c>
      <c r="V166" t="s">
        <v>944</v>
      </c>
      <c r="W166">
        <v>5.545805525202052</v>
      </c>
      <c r="X166">
        <v>-16.2</v>
      </c>
      <c r="Y166" t="s">
        <v>1185</v>
      </c>
      <c r="Z166">
        <v>0</v>
      </c>
      <c r="AA166">
        <v>6157</v>
      </c>
      <c r="AB166">
        <v>72874</v>
      </c>
      <c r="AC166" t="s">
        <v>1429</v>
      </c>
      <c r="AD166">
        <v>56.27</v>
      </c>
      <c r="AE166" t="s">
        <v>1677</v>
      </c>
      <c r="AF166" t="s">
        <v>1925</v>
      </c>
      <c r="AG166">
        <v>14631</v>
      </c>
      <c r="AH166">
        <v>865</v>
      </c>
      <c r="AI166">
        <v>239111</v>
      </c>
      <c r="AJ166">
        <v>1.14</v>
      </c>
    </row>
    <row r="167" spans="1:36">
      <c r="A167" s="1" t="s">
        <v>201</v>
      </c>
      <c r="B167" t="s">
        <v>449</v>
      </c>
      <c r="C167">
        <f>HYPERLINK("https://finance.naver.com/item/coinfo.nhn?code=229000", "A229000")</f>
        <v>0</v>
      </c>
      <c r="D167">
        <f>HYPERLINK("http://comp.fnguide.com/SVO2/ASP/SVD_Consensus.asp?pGB=1&amp;gicode=A229000&amp;cID=&amp;MenuYn=Y&amp;ReportGB=&amp;NewMenuID=108&amp;stkGb=701", "젠큐릭스")</f>
        <v>0</v>
      </c>
      <c r="E167">
        <v>2</v>
      </c>
      <c r="F167">
        <v>24750</v>
      </c>
      <c r="G167">
        <v>0</v>
      </c>
      <c r="H167">
        <v>2.94</v>
      </c>
      <c r="I167">
        <v>61531</v>
      </c>
      <c r="J167">
        <v>30004</v>
      </c>
      <c r="K167">
        <v>20757</v>
      </c>
      <c r="L167">
        <v>-148.61</v>
      </c>
      <c r="M167">
        <v>-21.23</v>
      </c>
      <c r="N167">
        <v>16.13</v>
      </c>
      <c r="O167">
        <v>61.85</v>
      </c>
      <c r="P167" t="b">
        <v>1</v>
      </c>
      <c r="Q167">
        <v>0</v>
      </c>
      <c r="R167">
        <v>5607</v>
      </c>
      <c r="U167" t="s">
        <v>697</v>
      </c>
      <c r="V167" t="s">
        <v>945</v>
      </c>
      <c r="W167">
        <v>0</v>
      </c>
      <c r="X167">
        <v>0</v>
      </c>
      <c r="Y167" t="s">
        <v>1099</v>
      </c>
      <c r="Z167">
        <v>0</v>
      </c>
      <c r="AA167">
        <v>1601</v>
      </c>
      <c r="AB167">
        <v>124205</v>
      </c>
      <c r="AC167" t="s">
        <v>1430</v>
      </c>
      <c r="AD167">
        <v>17.88</v>
      </c>
      <c r="AE167" t="s">
        <v>1678</v>
      </c>
      <c r="AF167" t="s">
        <v>1926</v>
      </c>
      <c r="AG167">
        <v>16</v>
      </c>
      <c r="AH167">
        <v>-93</v>
      </c>
    </row>
    <row r="168" spans="1:36">
      <c r="A168" s="1" t="s">
        <v>202</v>
      </c>
      <c r="B168" t="s">
        <v>450</v>
      </c>
      <c r="C168">
        <f>HYPERLINK("https://finance.naver.com/item/coinfo.nhn?code=318410", "A318410")</f>
        <v>0</v>
      </c>
      <c r="D168">
        <f>HYPERLINK("http://comp.fnguide.com/SVO2/ASP/SVD_Consensus.asp?pGB=1&amp;gicode=A318410&amp;cID=&amp;MenuYn=Y&amp;ReportGB=&amp;NewMenuID=108&amp;stkGb=701", "비비씨")</f>
        <v>0</v>
      </c>
      <c r="E168">
        <v>2</v>
      </c>
      <c r="F168">
        <v>19100</v>
      </c>
      <c r="G168">
        <v>0</v>
      </c>
      <c r="H168">
        <v>10.06</v>
      </c>
      <c r="I168">
        <v>30099</v>
      </c>
      <c r="J168">
        <v>19534</v>
      </c>
      <c r="K168">
        <v>16435</v>
      </c>
      <c r="L168">
        <v>-57.59</v>
      </c>
      <c r="M168">
        <v>-2.27</v>
      </c>
      <c r="N168">
        <v>13.95</v>
      </c>
      <c r="O168">
        <v>20.4</v>
      </c>
      <c r="P168" t="b">
        <v>1</v>
      </c>
      <c r="Q168">
        <v>0</v>
      </c>
      <c r="R168">
        <v>1829</v>
      </c>
      <c r="U168" t="s">
        <v>698</v>
      </c>
      <c r="V168" t="s">
        <v>946</v>
      </c>
      <c r="W168">
        <v>0</v>
      </c>
      <c r="X168">
        <v>-14.6</v>
      </c>
      <c r="Y168" t="s">
        <v>1186</v>
      </c>
      <c r="Z168">
        <v>27.82759356928104</v>
      </c>
      <c r="AA168">
        <v>1037</v>
      </c>
      <c r="AB168">
        <v>36867</v>
      </c>
      <c r="AC168" t="s">
        <v>1431</v>
      </c>
      <c r="AD168">
        <v>39.83</v>
      </c>
      <c r="AE168" t="s">
        <v>1679</v>
      </c>
      <c r="AF168" t="s">
        <v>1927</v>
      </c>
      <c r="AG168">
        <v>376</v>
      </c>
      <c r="AH168">
        <v>102</v>
      </c>
    </row>
    <row r="169" spans="1:36">
      <c r="A169" s="1" t="s">
        <v>203</v>
      </c>
      <c r="B169" t="s">
        <v>451</v>
      </c>
      <c r="C169">
        <f>HYPERLINK("https://finance.naver.com/item/coinfo.nhn?code=004540", "A004540")</f>
        <v>0</v>
      </c>
      <c r="D169">
        <f>HYPERLINK("http://comp.fnguide.com/SVO2/ASP/SVD_Consensus.asp?pGB=1&amp;gicode=A004540&amp;cID=&amp;MenuYn=Y&amp;ReportGB=&amp;NewMenuID=108&amp;stkGb=701", "깨끗한나라")</f>
        <v>0</v>
      </c>
      <c r="E169">
        <v>2</v>
      </c>
      <c r="F169">
        <v>6260</v>
      </c>
      <c r="G169">
        <v>0</v>
      </c>
      <c r="H169">
        <v>4.25</v>
      </c>
      <c r="I169">
        <v>7088</v>
      </c>
      <c r="J169">
        <v>6339</v>
      </c>
      <c r="K169">
        <v>6119</v>
      </c>
      <c r="L169">
        <v>-13.22</v>
      </c>
      <c r="M169">
        <v>-1.26</v>
      </c>
      <c r="N169">
        <v>2.25</v>
      </c>
      <c r="O169">
        <v>10.11</v>
      </c>
      <c r="P169" t="b">
        <v>1</v>
      </c>
      <c r="Q169">
        <v>0</v>
      </c>
      <c r="R169">
        <v>1013</v>
      </c>
      <c r="U169" t="s">
        <v>699</v>
      </c>
      <c r="V169" t="s">
        <v>947</v>
      </c>
      <c r="W169">
        <v>0</v>
      </c>
      <c r="X169">
        <v>-71.09999999999999</v>
      </c>
      <c r="Y169" t="s">
        <v>1187</v>
      </c>
      <c r="Z169">
        <v>-71.09999999999999</v>
      </c>
      <c r="AA169">
        <v>2331</v>
      </c>
      <c r="AB169">
        <v>476625</v>
      </c>
      <c r="AC169" t="s">
        <v>1432</v>
      </c>
      <c r="AD169">
        <v>40.04</v>
      </c>
      <c r="AE169" t="s">
        <v>1680</v>
      </c>
      <c r="AF169" t="s">
        <v>1928</v>
      </c>
      <c r="AG169">
        <v>5916</v>
      </c>
      <c r="AH169">
        <v>521</v>
      </c>
      <c r="AI169">
        <v>1446</v>
      </c>
      <c r="AJ169">
        <v>2.32</v>
      </c>
    </row>
    <row r="170" spans="1:36">
      <c r="A170" s="1" t="s">
        <v>204</v>
      </c>
      <c r="B170" t="s">
        <v>452</v>
      </c>
      <c r="C170">
        <f>HYPERLINK("https://finance.naver.com/item/coinfo.nhn?code=033290", "A033290")</f>
        <v>0</v>
      </c>
      <c r="D170">
        <f>HYPERLINK("http://comp.fnguide.com/SVO2/ASP/SVD_Consensus.asp?pGB=1&amp;gicode=A033290&amp;cID=&amp;MenuYn=Y&amp;ReportGB=&amp;NewMenuID=108&amp;stkGb=701", "코웰패션")</f>
        <v>0</v>
      </c>
      <c r="E170">
        <v>1</v>
      </c>
      <c r="F170">
        <v>6480</v>
      </c>
      <c r="G170">
        <v>0.9</v>
      </c>
      <c r="H170">
        <v>8.289999999999999</v>
      </c>
      <c r="I170">
        <v>9509</v>
      </c>
      <c r="J170">
        <v>5866</v>
      </c>
      <c r="K170">
        <v>4798</v>
      </c>
      <c r="L170">
        <v>-46.74</v>
      </c>
      <c r="M170">
        <v>9.470000000000001</v>
      </c>
      <c r="N170">
        <v>25.96</v>
      </c>
      <c r="O170">
        <v>23.53</v>
      </c>
      <c r="P170" t="b">
        <v>1</v>
      </c>
      <c r="Q170">
        <v>3</v>
      </c>
      <c r="R170">
        <v>684</v>
      </c>
      <c r="S170">
        <v>724</v>
      </c>
      <c r="T170">
        <v>5.8</v>
      </c>
      <c r="U170" t="s">
        <v>700</v>
      </c>
      <c r="V170" t="s">
        <v>948</v>
      </c>
      <c r="W170">
        <v>9.226813177137405</v>
      </c>
      <c r="X170">
        <v>4.7</v>
      </c>
      <c r="Y170" t="s">
        <v>1188</v>
      </c>
      <c r="Z170">
        <v>27.195241595808</v>
      </c>
      <c r="AA170">
        <v>5735</v>
      </c>
      <c r="AB170">
        <v>301327</v>
      </c>
      <c r="AC170" t="s">
        <v>1433</v>
      </c>
      <c r="AD170">
        <v>70.83</v>
      </c>
      <c r="AE170" t="s">
        <v>1681</v>
      </c>
      <c r="AF170" t="s">
        <v>1929</v>
      </c>
      <c r="AG170">
        <v>4264</v>
      </c>
      <c r="AH170">
        <v>801</v>
      </c>
      <c r="AI170">
        <v>3171107</v>
      </c>
      <c r="AJ170">
        <v>2.12</v>
      </c>
    </row>
    <row r="171" spans="1:36">
      <c r="A171" s="1" t="s">
        <v>205</v>
      </c>
      <c r="B171" t="s">
        <v>453</v>
      </c>
      <c r="C171">
        <f>HYPERLINK("https://finance.naver.com/item/coinfo.nhn?code=241790", "A241790")</f>
        <v>0</v>
      </c>
      <c r="D171">
        <f>HYPERLINK("http://comp.fnguide.com/SVO2/ASP/SVD_Consensus.asp?pGB=1&amp;gicode=A241790&amp;cID=&amp;MenuYn=Y&amp;ReportGB=&amp;NewMenuID=108&amp;stkGb=701", "오션브릿지")</f>
        <v>0</v>
      </c>
      <c r="E171">
        <v>1</v>
      </c>
      <c r="F171">
        <v>17900</v>
      </c>
      <c r="G171">
        <v>0</v>
      </c>
      <c r="H171">
        <v>12.73</v>
      </c>
      <c r="I171">
        <v>19412</v>
      </c>
      <c r="J171">
        <v>12482</v>
      </c>
      <c r="K171">
        <v>10450</v>
      </c>
      <c r="L171">
        <v>-8.449999999999999</v>
      </c>
      <c r="M171">
        <v>30.27</v>
      </c>
      <c r="N171">
        <v>41.62</v>
      </c>
      <c r="O171">
        <v>20.92</v>
      </c>
      <c r="P171" t="b">
        <v>1</v>
      </c>
      <c r="Q171">
        <v>0</v>
      </c>
      <c r="R171">
        <v>1422</v>
      </c>
      <c r="U171" t="s">
        <v>701</v>
      </c>
      <c r="V171" t="s">
        <v>949</v>
      </c>
      <c r="W171">
        <v>0</v>
      </c>
      <c r="X171">
        <v>-14.1</v>
      </c>
      <c r="Y171" t="s">
        <v>1189</v>
      </c>
      <c r="Z171">
        <v>5.898519485151565</v>
      </c>
      <c r="AA171">
        <v>1790</v>
      </c>
      <c r="AB171">
        <v>48846</v>
      </c>
      <c r="AC171" t="s">
        <v>1434</v>
      </c>
      <c r="AD171">
        <v>33.4</v>
      </c>
      <c r="AE171" t="s">
        <v>1682</v>
      </c>
      <c r="AF171" t="s">
        <v>1930</v>
      </c>
      <c r="AG171">
        <v>916</v>
      </c>
      <c r="AH171">
        <v>154</v>
      </c>
      <c r="AI171">
        <v>123197</v>
      </c>
      <c r="AJ171">
        <v>1.77</v>
      </c>
    </row>
    <row r="172" spans="1:36">
      <c r="A172" s="1" t="s">
        <v>206</v>
      </c>
      <c r="B172" t="s">
        <v>454</v>
      </c>
      <c r="C172">
        <f>HYPERLINK("https://finance.naver.com/item/coinfo.nhn?code=021650", "A021650")</f>
        <v>0</v>
      </c>
      <c r="D172">
        <f>HYPERLINK("http://comp.fnguide.com/SVO2/ASP/SVD_Consensus.asp?pGB=1&amp;gicode=A021650&amp;cID=&amp;MenuYn=Y&amp;ReportGB=&amp;NewMenuID=108&amp;stkGb=701", "한국큐빅")</f>
        <v>0</v>
      </c>
      <c r="E172">
        <v>1</v>
      </c>
      <c r="F172">
        <v>4970</v>
      </c>
      <c r="G172">
        <v>0</v>
      </c>
      <c r="H172">
        <v>6.15</v>
      </c>
      <c r="I172">
        <v>5337</v>
      </c>
      <c r="J172">
        <v>4630</v>
      </c>
      <c r="K172">
        <v>4422</v>
      </c>
      <c r="L172">
        <v>-7.39</v>
      </c>
      <c r="M172">
        <v>6.85</v>
      </c>
      <c r="N172">
        <v>11.02</v>
      </c>
      <c r="O172">
        <v>10.7</v>
      </c>
      <c r="P172" t="b">
        <v>1</v>
      </c>
      <c r="Q172">
        <v>0</v>
      </c>
      <c r="R172">
        <v>643</v>
      </c>
      <c r="U172" t="s">
        <v>702</v>
      </c>
      <c r="V172" t="s">
        <v>950</v>
      </c>
      <c r="W172">
        <v>0</v>
      </c>
      <c r="X172">
        <v>-1.2</v>
      </c>
      <c r="Y172" t="s">
        <v>1190</v>
      </c>
      <c r="Z172">
        <v>28.49121526223044</v>
      </c>
      <c r="AA172">
        <v>813</v>
      </c>
      <c r="AB172">
        <v>83586</v>
      </c>
      <c r="AC172" t="s">
        <v>1435</v>
      </c>
      <c r="AD172">
        <v>45.81</v>
      </c>
      <c r="AE172" t="s">
        <v>1683</v>
      </c>
      <c r="AF172" t="s">
        <v>1931</v>
      </c>
      <c r="AG172">
        <v>1707</v>
      </c>
      <c r="AH172">
        <v>118</v>
      </c>
      <c r="AI172">
        <v>100474</v>
      </c>
      <c r="AJ172">
        <v>1.27</v>
      </c>
    </row>
    <row r="173" spans="1:36">
      <c r="A173" s="1" t="s">
        <v>207</v>
      </c>
      <c r="B173" t="s">
        <v>455</v>
      </c>
      <c r="C173">
        <f>HYPERLINK("https://finance.naver.com/item/coinfo.nhn?code=199820", "A199820")</f>
        <v>0</v>
      </c>
      <c r="D173">
        <f>HYPERLINK("http://comp.fnguide.com/SVO2/ASP/SVD_Consensus.asp?pGB=1&amp;gicode=A199820&amp;cID=&amp;MenuYn=Y&amp;ReportGB=&amp;NewMenuID=108&amp;stkGb=701", "제일전기공업")</f>
        <v>0</v>
      </c>
      <c r="E173">
        <v>1</v>
      </c>
      <c r="F173">
        <v>23650</v>
      </c>
      <c r="G173">
        <v>0</v>
      </c>
      <c r="H173">
        <v>18.05</v>
      </c>
      <c r="I173">
        <v>24014</v>
      </c>
      <c r="J173">
        <v>15294</v>
      </c>
      <c r="K173">
        <v>12737</v>
      </c>
      <c r="L173">
        <v>-1.54</v>
      </c>
      <c r="M173">
        <v>35.33</v>
      </c>
      <c r="N173">
        <v>46.14</v>
      </c>
      <c r="O173">
        <v>21.48</v>
      </c>
      <c r="P173" t="b">
        <v>1</v>
      </c>
      <c r="Q173">
        <v>0</v>
      </c>
      <c r="R173">
        <v>1473</v>
      </c>
      <c r="U173" t="s">
        <v>703</v>
      </c>
      <c r="V173" t="s">
        <v>951</v>
      </c>
      <c r="W173">
        <v>0</v>
      </c>
      <c r="X173">
        <v>0.1</v>
      </c>
      <c r="Y173" t="s">
        <v>1191</v>
      </c>
      <c r="Z173">
        <v>8.932331942083692</v>
      </c>
      <c r="AA173">
        <v>2628</v>
      </c>
      <c r="AB173">
        <v>34985</v>
      </c>
      <c r="AC173" t="s">
        <v>1436</v>
      </c>
      <c r="AD173">
        <v>60.52</v>
      </c>
      <c r="AE173" t="s">
        <v>1684</v>
      </c>
      <c r="AF173" t="s">
        <v>1932</v>
      </c>
      <c r="AG173">
        <v>1513</v>
      </c>
      <c r="AH173">
        <v>191</v>
      </c>
    </row>
    <row r="174" spans="1:36">
      <c r="A174" s="1" t="s">
        <v>208</v>
      </c>
      <c r="B174" t="s">
        <v>456</v>
      </c>
      <c r="C174">
        <f>HYPERLINK("https://finance.naver.com/item/coinfo.nhn?code=126600", "A126600")</f>
        <v>0</v>
      </c>
      <c r="D174">
        <f>HYPERLINK("http://comp.fnguide.com/SVO2/ASP/SVD_Consensus.asp?pGB=1&amp;gicode=A126600&amp;cID=&amp;MenuYn=Y&amp;ReportGB=&amp;NewMenuID=108&amp;stkGb=701", "코프라")</f>
        <v>0</v>
      </c>
      <c r="E174">
        <v>1</v>
      </c>
      <c r="F174">
        <v>6310</v>
      </c>
      <c r="G174">
        <v>0.17</v>
      </c>
      <c r="H174">
        <v>6.9</v>
      </c>
      <c r="I174">
        <v>6516</v>
      </c>
      <c r="J174">
        <v>6125</v>
      </c>
      <c r="K174">
        <v>6010</v>
      </c>
      <c r="L174">
        <v>-3.26</v>
      </c>
      <c r="M174">
        <v>2.93</v>
      </c>
      <c r="N174">
        <v>4.75</v>
      </c>
      <c r="O174">
        <v>9.24</v>
      </c>
      <c r="P174" t="b">
        <v>1</v>
      </c>
      <c r="Q174">
        <v>3</v>
      </c>
      <c r="R174">
        <v>603</v>
      </c>
      <c r="S174">
        <v>651</v>
      </c>
      <c r="T174">
        <v>8</v>
      </c>
      <c r="U174" t="s">
        <v>704</v>
      </c>
      <c r="V174" t="s">
        <v>952</v>
      </c>
      <c r="W174">
        <v>41.6842073105993</v>
      </c>
      <c r="X174">
        <v>75.59999999999999</v>
      </c>
      <c r="Y174" t="s">
        <v>1192</v>
      </c>
      <c r="Z174">
        <v>10.91981660532333</v>
      </c>
      <c r="AA174">
        <v>1332</v>
      </c>
      <c r="AB174">
        <v>513642</v>
      </c>
      <c r="AC174" t="s">
        <v>1437</v>
      </c>
      <c r="AD174">
        <v>34.17</v>
      </c>
      <c r="AE174" t="s">
        <v>1685</v>
      </c>
      <c r="AF174" t="s">
        <v>1933</v>
      </c>
      <c r="AG174">
        <v>1509</v>
      </c>
      <c r="AH174">
        <v>115</v>
      </c>
      <c r="AI174">
        <v>842699</v>
      </c>
      <c r="AJ174">
        <v>2.4</v>
      </c>
    </row>
    <row r="175" spans="1:36">
      <c r="A175" s="1" t="s">
        <v>209</v>
      </c>
      <c r="B175" t="s">
        <v>457</v>
      </c>
      <c r="C175">
        <f>HYPERLINK("https://finance.naver.com/item/coinfo.nhn?code=053980", "A053980")</f>
        <v>0</v>
      </c>
      <c r="D175">
        <f>HYPERLINK("http://comp.fnguide.com/SVO2/ASP/SVD_Consensus.asp?pGB=1&amp;gicode=A053980&amp;cID=&amp;MenuYn=Y&amp;ReportGB=&amp;NewMenuID=108&amp;stkGb=701", "오상자이엘")</f>
        <v>0</v>
      </c>
      <c r="E175">
        <v>1</v>
      </c>
      <c r="F175">
        <v>7100</v>
      </c>
      <c r="G175">
        <v>0</v>
      </c>
      <c r="H175">
        <v>7.51</v>
      </c>
      <c r="I175">
        <v>9782</v>
      </c>
      <c r="J175">
        <v>6076</v>
      </c>
      <c r="K175">
        <v>4989</v>
      </c>
      <c r="L175">
        <v>-37.78</v>
      </c>
      <c r="M175">
        <v>14.42</v>
      </c>
      <c r="N175">
        <v>29.73</v>
      </c>
      <c r="O175">
        <v>23.07</v>
      </c>
      <c r="P175" t="b">
        <v>1</v>
      </c>
      <c r="Q175">
        <v>0</v>
      </c>
      <c r="R175">
        <v>1299</v>
      </c>
      <c r="U175" t="s">
        <v>705</v>
      </c>
      <c r="V175" t="s">
        <v>953</v>
      </c>
      <c r="W175">
        <v>0</v>
      </c>
      <c r="X175">
        <v>102.1</v>
      </c>
      <c r="Y175" t="s">
        <v>1193</v>
      </c>
      <c r="Z175">
        <v>102.1</v>
      </c>
      <c r="AA175">
        <v>1260</v>
      </c>
      <c r="AB175">
        <v>45773</v>
      </c>
      <c r="AC175" t="s">
        <v>1438</v>
      </c>
      <c r="AD175">
        <v>36.14</v>
      </c>
      <c r="AE175" t="s">
        <v>1686</v>
      </c>
      <c r="AF175" t="s">
        <v>1934</v>
      </c>
      <c r="AG175">
        <v>690</v>
      </c>
      <c r="AH175">
        <v>-58</v>
      </c>
      <c r="AI175">
        <v>106437</v>
      </c>
    </row>
    <row r="176" spans="1:36">
      <c r="A176" s="1" t="s">
        <v>210</v>
      </c>
      <c r="B176" t="s">
        <v>458</v>
      </c>
      <c r="C176">
        <f>HYPERLINK("https://finance.naver.com/item/coinfo.nhn?code=110790", "A110790")</f>
        <v>0</v>
      </c>
      <c r="D176">
        <f>HYPERLINK("http://comp.fnguide.com/SVO2/ASP/SVD_Consensus.asp?pGB=1&amp;gicode=A110790&amp;cID=&amp;MenuYn=Y&amp;ReportGB=&amp;NewMenuID=108&amp;stkGb=701", "크리스에프앤씨")</f>
        <v>0</v>
      </c>
      <c r="E176">
        <v>1</v>
      </c>
      <c r="F176">
        <v>32900</v>
      </c>
      <c r="G176">
        <v>0</v>
      </c>
      <c r="H176">
        <v>7.86</v>
      </c>
      <c r="I176">
        <v>42266</v>
      </c>
      <c r="J176">
        <v>30371</v>
      </c>
      <c r="K176">
        <v>26882</v>
      </c>
      <c r="L176">
        <v>-28.47</v>
      </c>
      <c r="M176">
        <v>7.69</v>
      </c>
      <c r="N176">
        <v>18.29</v>
      </c>
      <c r="O176">
        <v>15.83</v>
      </c>
      <c r="P176" t="b">
        <v>1</v>
      </c>
      <c r="Q176">
        <v>0</v>
      </c>
      <c r="R176">
        <v>3301</v>
      </c>
      <c r="U176" t="s">
        <v>706</v>
      </c>
      <c r="V176" t="s">
        <v>954</v>
      </c>
      <c r="W176">
        <v>0</v>
      </c>
      <c r="X176">
        <v>2260.9</v>
      </c>
      <c r="Y176" t="s">
        <v>1194</v>
      </c>
      <c r="Z176">
        <v>93.85841634374574</v>
      </c>
      <c r="AA176">
        <v>3854</v>
      </c>
      <c r="AB176">
        <v>64446</v>
      </c>
      <c r="AC176" t="s">
        <v>1439</v>
      </c>
      <c r="AD176">
        <v>40.12</v>
      </c>
      <c r="AE176" t="s">
        <v>1687</v>
      </c>
      <c r="AF176" t="s">
        <v>1935</v>
      </c>
      <c r="AG176">
        <v>2924</v>
      </c>
      <c r="AH176">
        <v>498</v>
      </c>
      <c r="AI176">
        <v>874441</v>
      </c>
      <c r="AJ176">
        <v>2.85</v>
      </c>
    </row>
    <row r="177" spans="1:36">
      <c r="A177" s="1" t="s">
        <v>211</v>
      </c>
      <c r="B177" t="s">
        <v>459</v>
      </c>
      <c r="C177">
        <f>HYPERLINK("https://finance.naver.com/item/coinfo.nhn?code=318010", "A318010")</f>
        <v>0</v>
      </c>
      <c r="D177">
        <f>HYPERLINK("http://comp.fnguide.com/SVO2/ASP/SVD_Consensus.asp?pGB=1&amp;gicode=A318010&amp;cID=&amp;MenuYn=Y&amp;ReportGB=&amp;NewMenuID=108&amp;stkGb=701", "팜스빌")</f>
        <v>0</v>
      </c>
      <c r="E177">
        <v>1</v>
      </c>
      <c r="F177">
        <v>10100</v>
      </c>
      <c r="G177">
        <v>0</v>
      </c>
      <c r="H177">
        <v>29.89</v>
      </c>
      <c r="I177">
        <v>10255</v>
      </c>
      <c r="J177">
        <v>8387</v>
      </c>
      <c r="K177">
        <v>7839</v>
      </c>
      <c r="L177">
        <v>-1.53</v>
      </c>
      <c r="M177">
        <v>16.96</v>
      </c>
      <c r="N177">
        <v>22.38</v>
      </c>
      <c r="O177">
        <v>11.99</v>
      </c>
      <c r="P177" t="b">
        <v>1</v>
      </c>
      <c r="Q177">
        <v>0</v>
      </c>
      <c r="R177">
        <v>365</v>
      </c>
      <c r="U177" t="s">
        <v>707</v>
      </c>
      <c r="V177" t="s">
        <v>955</v>
      </c>
      <c r="W177">
        <v>0</v>
      </c>
      <c r="X177">
        <v>-66.59999999999999</v>
      </c>
      <c r="Y177" t="s">
        <v>1195</v>
      </c>
      <c r="Z177">
        <v>-14.83928240072844</v>
      </c>
      <c r="AA177">
        <v>801</v>
      </c>
      <c r="AB177">
        <v>12689</v>
      </c>
      <c r="AC177" t="s">
        <v>1440</v>
      </c>
      <c r="AD177">
        <v>70.37</v>
      </c>
      <c r="AE177" t="s">
        <v>1688</v>
      </c>
      <c r="AF177" t="s">
        <v>1936</v>
      </c>
      <c r="AG177">
        <v>394</v>
      </c>
      <c r="AH177">
        <v>43</v>
      </c>
      <c r="AI177">
        <v>82908</v>
      </c>
      <c r="AJ177">
        <v>0.92</v>
      </c>
    </row>
    <row r="178" spans="1:36">
      <c r="A178" s="1" t="s">
        <v>212</v>
      </c>
      <c r="B178" t="s">
        <v>460</v>
      </c>
      <c r="C178">
        <f>HYPERLINK("https://finance.naver.com/item/coinfo.nhn?code=053080", "A053080")</f>
        <v>0</v>
      </c>
      <c r="D178">
        <f>HYPERLINK("http://comp.fnguide.com/SVO2/ASP/SVD_Consensus.asp?pGB=1&amp;gicode=A053080&amp;cID=&amp;MenuYn=Y&amp;ReportGB=&amp;NewMenuID=108&amp;stkGb=701", "원방테크")</f>
        <v>0</v>
      </c>
      <c r="E178">
        <v>1</v>
      </c>
      <c r="F178">
        <v>45750</v>
      </c>
      <c r="G178">
        <v>0</v>
      </c>
      <c r="H178">
        <v>14.61</v>
      </c>
      <c r="I178">
        <v>47925</v>
      </c>
      <c r="J178">
        <v>38293</v>
      </c>
      <c r="K178">
        <v>35468</v>
      </c>
      <c r="L178">
        <v>-4.76</v>
      </c>
      <c r="M178">
        <v>16.3</v>
      </c>
      <c r="N178">
        <v>22.47</v>
      </c>
      <c r="O178">
        <v>12.57</v>
      </c>
      <c r="P178" t="b">
        <v>1</v>
      </c>
      <c r="Q178">
        <v>0</v>
      </c>
      <c r="R178">
        <v>3361</v>
      </c>
      <c r="U178" t="s">
        <v>708</v>
      </c>
      <c r="V178" t="s">
        <v>956</v>
      </c>
      <c r="W178">
        <v>0</v>
      </c>
      <c r="X178">
        <v>-5.2</v>
      </c>
      <c r="Y178" t="s">
        <v>1196</v>
      </c>
      <c r="Z178">
        <v>3.791790285938879</v>
      </c>
      <c r="AA178">
        <v>1965</v>
      </c>
      <c r="AB178">
        <v>12223</v>
      </c>
      <c r="AC178" t="s">
        <v>1441</v>
      </c>
      <c r="AD178">
        <v>56.35</v>
      </c>
      <c r="AE178" t="s">
        <v>1689</v>
      </c>
      <c r="AF178" t="s">
        <v>1937</v>
      </c>
      <c r="AG178">
        <v>3269</v>
      </c>
      <c r="AH178">
        <v>217</v>
      </c>
      <c r="AI178">
        <v>41311</v>
      </c>
      <c r="AJ178">
        <v>1.89</v>
      </c>
    </row>
    <row r="179" spans="1:36">
      <c r="A179" s="1" t="s">
        <v>213</v>
      </c>
      <c r="B179" t="s">
        <v>461</v>
      </c>
      <c r="C179">
        <f>HYPERLINK("https://finance.naver.com/item/coinfo.nhn?code=243070", "A243070")</f>
        <v>0</v>
      </c>
      <c r="D179">
        <f>HYPERLINK("http://comp.fnguide.com/SVO2/ASP/SVD_Consensus.asp?pGB=1&amp;gicode=A243070&amp;cID=&amp;MenuYn=Y&amp;ReportGB=&amp;NewMenuID=108&amp;stkGb=701", "휴온스")</f>
        <v>0</v>
      </c>
      <c r="E179">
        <v>1</v>
      </c>
      <c r="F179">
        <v>62900</v>
      </c>
      <c r="G179">
        <v>5.14</v>
      </c>
      <c r="H179">
        <v>12.07</v>
      </c>
      <c r="I179">
        <v>67428</v>
      </c>
      <c r="J179">
        <v>40655</v>
      </c>
      <c r="K179">
        <v>32802</v>
      </c>
      <c r="L179">
        <v>-7.2</v>
      </c>
      <c r="M179">
        <v>35.37</v>
      </c>
      <c r="N179">
        <v>47.85</v>
      </c>
      <c r="O179">
        <v>25.22</v>
      </c>
      <c r="P179" t="b">
        <v>1</v>
      </c>
      <c r="Q179">
        <v>0</v>
      </c>
      <c r="R179">
        <v>5118</v>
      </c>
      <c r="S179">
        <v>4461</v>
      </c>
      <c r="T179">
        <v>-12.8</v>
      </c>
      <c r="U179" t="s">
        <v>709</v>
      </c>
      <c r="V179" t="s">
        <v>957</v>
      </c>
      <c r="W179">
        <v>2.347851203675355</v>
      </c>
      <c r="X179">
        <v>-6.8</v>
      </c>
      <c r="Y179" t="s">
        <v>1197</v>
      </c>
      <c r="Z179">
        <v>27.58461220211403</v>
      </c>
      <c r="AA179">
        <v>6831</v>
      </c>
      <c r="AB179">
        <v>128027</v>
      </c>
      <c r="AC179" t="s">
        <v>1442</v>
      </c>
      <c r="AD179">
        <v>45.02</v>
      </c>
      <c r="AE179" t="s">
        <v>1690</v>
      </c>
      <c r="AF179" t="s">
        <v>1938</v>
      </c>
      <c r="AG179">
        <v>4067</v>
      </c>
      <c r="AH179">
        <v>541</v>
      </c>
      <c r="AI179">
        <v>96996</v>
      </c>
      <c r="AJ179">
        <v>0.88</v>
      </c>
    </row>
    <row r="180" spans="1:36">
      <c r="A180" s="1" t="s">
        <v>214</v>
      </c>
      <c r="B180" t="s">
        <v>462</v>
      </c>
      <c r="C180">
        <f>HYPERLINK("https://finance.naver.com/item/coinfo.nhn?code=044340", "A044340")</f>
        <v>0</v>
      </c>
      <c r="D180">
        <f>HYPERLINK("http://comp.fnguide.com/SVO2/ASP/SVD_Consensus.asp?pGB=1&amp;gicode=A044340&amp;cID=&amp;MenuYn=Y&amp;ReportGB=&amp;NewMenuID=108&amp;stkGb=701", "위닉스")</f>
        <v>0</v>
      </c>
      <c r="E180">
        <v>1</v>
      </c>
      <c r="F180">
        <v>22650</v>
      </c>
      <c r="G180">
        <v>0</v>
      </c>
      <c r="H180">
        <v>9.99</v>
      </c>
      <c r="I180">
        <v>36016</v>
      </c>
      <c r="J180">
        <v>21689</v>
      </c>
      <c r="K180">
        <v>17487</v>
      </c>
      <c r="L180">
        <v>-59.01</v>
      </c>
      <c r="M180">
        <v>4.24</v>
      </c>
      <c r="N180">
        <v>22.8</v>
      </c>
      <c r="O180">
        <v>25.32</v>
      </c>
      <c r="P180" t="b">
        <v>1</v>
      </c>
      <c r="Q180">
        <v>0</v>
      </c>
      <c r="R180">
        <v>2373</v>
      </c>
      <c r="U180" t="s">
        <v>710</v>
      </c>
      <c r="V180" t="s">
        <v>958</v>
      </c>
      <c r="W180">
        <v>0</v>
      </c>
      <c r="X180">
        <v>93.3</v>
      </c>
      <c r="Y180" t="s">
        <v>1198</v>
      </c>
      <c r="Z180">
        <v>60.45036032755316</v>
      </c>
      <c r="AA180">
        <v>4048</v>
      </c>
      <c r="AB180">
        <v>109173</v>
      </c>
      <c r="AC180" t="s">
        <v>1443</v>
      </c>
      <c r="AD180">
        <v>47.92</v>
      </c>
      <c r="AE180" t="s">
        <v>1691</v>
      </c>
      <c r="AF180" t="s">
        <v>1939</v>
      </c>
      <c r="AG180">
        <v>3823</v>
      </c>
      <c r="AH180">
        <v>520</v>
      </c>
      <c r="AI180">
        <v>1966696</v>
      </c>
      <c r="AJ180">
        <v>2.11</v>
      </c>
    </row>
    <row r="181" spans="1:36">
      <c r="A181" s="1" t="s">
        <v>215</v>
      </c>
      <c r="B181" t="s">
        <v>463</v>
      </c>
      <c r="C181">
        <f>HYPERLINK("https://finance.naver.com/item/coinfo.nhn?code=045520", "A045520")</f>
        <v>0</v>
      </c>
      <c r="D181">
        <f>HYPERLINK("http://comp.fnguide.com/SVO2/ASP/SVD_Consensus.asp?pGB=1&amp;gicode=A045520&amp;cID=&amp;MenuYn=Y&amp;ReportGB=&amp;NewMenuID=108&amp;stkGb=701", "크린앤사이언스")</f>
        <v>0</v>
      </c>
      <c r="E181">
        <v>1</v>
      </c>
      <c r="F181">
        <v>23300</v>
      </c>
      <c r="G181">
        <v>0</v>
      </c>
      <c r="H181">
        <v>14.5</v>
      </c>
      <c r="I181">
        <v>25407</v>
      </c>
      <c r="J181">
        <v>15528</v>
      </c>
      <c r="K181">
        <v>12630</v>
      </c>
      <c r="L181">
        <v>-9.039999999999999</v>
      </c>
      <c r="M181">
        <v>33.36</v>
      </c>
      <c r="N181">
        <v>45.79</v>
      </c>
      <c r="O181">
        <v>24.2</v>
      </c>
      <c r="P181" t="b">
        <v>1</v>
      </c>
      <c r="Q181">
        <v>0</v>
      </c>
      <c r="R181">
        <v>2059</v>
      </c>
      <c r="U181" t="s">
        <v>711</v>
      </c>
      <c r="V181" t="s">
        <v>959</v>
      </c>
      <c r="W181">
        <v>0</v>
      </c>
      <c r="X181">
        <v>-75.5</v>
      </c>
      <c r="Y181" t="s">
        <v>1199</v>
      </c>
      <c r="Z181">
        <v>-1.797924570193488</v>
      </c>
      <c r="AA181">
        <v>1515</v>
      </c>
      <c r="AB181">
        <v>43460</v>
      </c>
      <c r="AC181" t="s">
        <v>1444</v>
      </c>
      <c r="AD181">
        <v>32.66</v>
      </c>
      <c r="AE181" t="s">
        <v>1692</v>
      </c>
      <c r="AF181" t="s">
        <v>1940</v>
      </c>
      <c r="AG181">
        <v>1505</v>
      </c>
      <c r="AH181">
        <v>189</v>
      </c>
      <c r="AI181">
        <v>383000</v>
      </c>
      <c r="AJ181">
        <v>1.68</v>
      </c>
    </row>
    <row r="182" spans="1:36">
      <c r="A182" s="1" t="s">
        <v>216</v>
      </c>
      <c r="B182" t="s">
        <v>464</v>
      </c>
      <c r="C182">
        <f>HYPERLINK("https://finance.naver.com/item/coinfo.nhn?code=104830", "A104830")</f>
        <v>0</v>
      </c>
      <c r="D182">
        <f>HYPERLINK("http://comp.fnguide.com/SVO2/ASP/SVD_Consensus.asp?pGB=1&amp;gicode=A104830&amp;cID=&amp;MenuYn=Y&amp;ReportGB=&amp;NewMenuID=108&amp;stkGb=701", "원익머트리얼즈")</f>
        <v>0</v>
      </c>
      <c r="E182">
        <v>1</v>
      </c>
      <c r="F182">
        <v>34150</v>
      </c>
      <c r="G182">
        <v>-8.1</v>
      </c>
      <c r="H182">
        <v>13.34</v>
      </c>
      <c r="I182">
        <v>35673</v>
      </c>
      <c r="J182">
        <v>30455</v>
      </c>
      <c r="K182">
        <v>28925</v>
      </c>
      <c r="L182">
        <v>-4.46</v>
      </c>
      <c r="M182">
        <v>10.82</v>
      </c>
      <c r="N182">
        <v>15.3</v>
      </c>
      <c r="O182">
        <v>11.03</v>
      </c>
      <c r="P182" t="b">
        <v>1</v>
      </c>
      <c r="Q182">
        <v>2</v>
      </c>
      <c r="R182">
        <v>2628</v>
      </c>
      <c r="S182">
        <v>3175</v>
      </c>
      <c r="T182">
        <v>20.8</v>
      </c>
      <c r="U182" t="s">
        <v>712</v>
      </c>
      <c r="V182" t="s">
        <v>960</v>
      </c>
      <c r="W182">
        <v>-1.647425193409924</v>
      </c>
      <c r="X182">
        <v>34.3</v>
      </c>
      <c r="Y182" t="s">
        <v>1200</v>
      </c>
      <c r="Z182">
        <v>23.04939636953329</v>
      </c>
      <c r="AA182">
        <v>4306</v>
      </c>
      <c r="AB182">
        <v>58621</v>
      </c>
      <c r="AC182" t="s">
        <v>1445</v>
      </c>
      <c r="AD182">
        <v>45.69</v>
      </c>
      <c r="AE182" t="s">
        <v>1693</v>
      </c>
      <c r="AF182" t="s">
        <v>1941</v>
      </c>
      <c r="AG182">
        <v>2768</v>
      </c>
      <c r="AH182">
        <v>459</v>
      </c>
      <c r="AJ182">
        <v>0.57</v>
      </c>
    </row>
    <row r="183" spans="1:36">
      <c r="A183" s="1" t="s">
        <v>217</v>
      </c>
      <c r="B183" t="s">
        <v>465</v>
      </c>
      <c r="C183">
        <f>HYPERLINK("https://finance.naver.com/item/coinfo.nhn?code=190650", "A190650")</f>
        <v>0</v>
      </c>
      <c r="D183">
        <f>HYPERLINK("http://comp.fnguide.com/SVO2/ASP/SVD_Consensus.asp?pGB=1&amp;gicode=A190650&amp;cID=&amp;MenuYn=Y&amp;ReportGB=&amp;NewMenuID=108&amp;stkGb=701", "코리아에셋투자증권")</f>
        <v>0</v>
      </c>
      <c r="E183">
        <v>1</v>
      </c>
      <c r="F183">
        <v>12800</v>
      </c>
      <c r="G183">
        <v>0</v>
      </c>
      <c r="H183">
        <v>4.5</v>
      </c>
      <c r="I183">
        <v>14963</v>
      </c>
      <c r="J183">
        <v>12556</v>
      </c>
      <c r="K183">
        <v>11850</v>
      </c>
      <c r="L183">
        <v>-16.9</v>
      </c>
      <c r="M183">
        <v>1.91</v>
      </c>
      <c r="N183">
        <v>7.42</v>
      </c>
      <c r="O183">
        <v>11.4</v>
      </c>
      <c r="P183" t="b">
        <v>1</v>
      </c>
      <c r="Q183">
        <v>0</v>
      </c>
      <c r="R183">
        <v>1207</v>
      </c>
      <c r="U183" t="s">
        <v>713</v>
      </c>
      <c r="V183" t="s">
        <v>961</v>
      </c>
      <c r="W183">
        <v>0</v>
      </c>
      <c r="X183">
        <v>15</v>
      </c>
      <c r="Y183" t="s">
        <v>1201</v>
      </c>
      <c r="Z183">
        <v>12.8292520656804</v>
      </c>
      <c r="AA183">
        <v>818</v>
      </c>
      <c r="AB183">
        <v>153973</v>
      </c>
      <c r="AC183" t="s">
        <v>1446</v>
      </c>
      <c r="AD183">
        <v>50.73</v>
      </c>
      <c r="AE183" t="s">
        <v>1694</v>
      </c>
      <c r="AF183" t="s">
        <v>1942</v>
      </c>
      <c r="AG183">
        <v>560</v>
      </c>
      <c r="AH183">
        <v>94</v>
      </c>
      <c r="AJ183">
        <v>5.52</v>
      </c>
    </row>
    <row r="184" spans="1:36">
      <c r="A184" s="1" t="s">
        <v>218</v>
      </c>
      <c r="B184" t="s">
        <v>466</v>
      </c>
      <c r="C184">
        <f>HYPERLINK("https://finance.naver.com/item/coinfo.nhn?code=170790", "A170790")</f>
        <v>0</v>
      </c>
      <c r="D184">
        <f>HYPERLINK("http://comp.fnguide.com/SVO2/ASP/SVD_Consensus.asp?pGB=1&amp;gicode=A170790&amp;cID=&amp;MenuYn=Y&amp;ReportGB=&amp;NewMenuID=108&amp;stkGb=701", "파이오링크")</f>
        <v>0</v>
      </c>
      <c r="E184">
        <v>1</v>
      </c>
      <c r="F184">
        <v>13100</v>
      </c>
      <c r="G184">
        <v>0</v>
      </c>
      <c r="H184">
        <v>8.77</v>
      </c>
      <c r="I184">
        <v>16083</v>
      </c>
      <c r="J184">
        <v>11172</v>
      </c>
      <c r="K184">
        <v>9731</v>
      </c>
      <c r="L184">
        <v>-22.77</v>
      </c>
      <c r="M184">
        <v>14.72</v>
      </c>
      <c r="N184">
        <v>25.71</v>
      </c>
      <c r="O184">
        <v>17.15</v>
      </c>
      <c r="P184" t="b">
        <v>1</v>
      </c>
      <c r="Q184">
        <v>0</v>
      </c>
      <c r="R184">
        <v>1557</v>
      </c>
      <c r="U184" t="s">
        <v>714</v>
      </c>
      <c r="V184" t="s">
        <v>962</v>
      </c>
      <c r="W184">
        <v>0</v>
      </c>
      <c r="X184">
        <v>28.3</v>
      </c>
      <c r="Y184" t="s">
        <v>1202</v>
      </c>
      <c r="Z184">
        <v>235.4437489535029</v>
      </c>
      <c r="AA184">
        <v>898</v>
      </c>
      <c r="AB184">
        <v>16854</v>
      </c>
      <c r="AC184" t="s">
        <v>1447</v>
      </c>
      <c r="AD184">
        <v>39.28</v>
      </c>
      <c r="AE184" t="s">
        <v>1695</v>
      </c>
      <c r="AF184" t="s">
        <v>1943</v>
      </c>
      <c r="AG184">
        <v>398</v>
      </c>
      <c r="AH184">
        <v>65</v>
      </c>
      <c r="AI184">
        <v>176221</v>
      </c>
      <c r="AJ184">
        <v>1.1</v>
      </c>
    </row>
    <row r="185" spans="1:36">
      <c r="A185" s="1" t="s">
        <v>219</v>
      </c>
      <c r="B185" t="s">
        <v>467</v>
      </c>
      <c r="C185">
        <f>HYPERLINK("https://finance.naver.com/item/coinfo.nhn?code=136540", "A136540")</f>
        <v>0</v>
      </c>
      <c r="D185">
        <f>HYPERLINK("http://comp.fnguide.com/SVO2/ASP/SVD_Consensus.asp?pGB=1&amp;gicode=A136540&amp;cID=&amp;MenuYn=Y&amp;ReportGB=&amp;NewMenuID=108&amp;stkGb=701", "윈스")</f>
        <v>0</v>
      </c>
      <c r="E185">
        <v>1</v>
      </c>
      <c r="F185">
        <v>17350</v>
      </c>
      <c r="G185">
        <v>0.75</v>
      </c>
      <c r="H185">
        <v>12.54</v>
      </c>
      <c r="I185">
        <v>19700</v>
      </c>
      <c r="J185">
        <v>14883</v>
      </c>
      <c r="K185">
        <v>13471</v>
      </c>
      <c r="L185">
        <v>-13.54</v>
      </c>
      <c r="M185">
        <v>14.22</v>
      </c>
      <c r="N185">
        <v>22.36</v>
      </c>
      <c r="O185">
        <v>14.14</v>
      </c>
      <c r="P185" t="b">
        <v>1</v>
      </c>
      <c r="Q185">
        <v>3</v>
      </c>
      <c r="R185">
        <v>1499</v>
      </c>
      <c r="S185">
        <v>1548</v>
      </c>
      <c r="T185">
        <v>3.3</v>
      </c>
      <c r="U185" t="s">
        <v>715</v>
      </c>
      <c r="V185" t="s">
        <v>963</v>
      </c>
      <c r="W185">
        <v>16.64439430979714</v>
      </c>
      <c r="X185">
        <v>-92.90000000000001</v>
      </c>
      <c r="Y185" t="s">
        <v>1203</v>
      </c>
      <c r="Z185">
        <v>-32.81622769576757</v>
      </c>
      <c r="AA185">
        <v>2119</v>
      </c>
      <c r="AB185">
        <v>73883</v>
      </c>
      <c r="AC185" t="s">
        <v>1448</v>
      </c>
      <c r="AD185">
        <v>37.8</v>
      </c>
      <c r="AE185" t="s">
        <v>1696</v>
      </c>
      <c r="AF185" t="s">
        <v>1944</v>
      </c>
      <c r="AG185">
        <v>939</v>
      </c>
      <c r="AH185">
        <v>187</v>
      </c>
      <c r="AI185">
        <v>1217675</v>
      </c>
      <c r="AJ185">
        <v>2.13</v>
      </c>
    </row>
    <row r="186" spans="1:36">
      <c r="A186" s="1" t="s">
        <v>220</v>
      </c>
      <c r="B186" t="s">
        <v>468</v>
      </c>
      <c r="C186">
        <f>HYPERLINK("https://finance.naver.com/item/coinfo.nhn?code=347770", "A347770")</f>
        <v>0</v>
      </c>
      <c r="D186">
        <f>HYPERLINK("http://comp.fnguide.com/SVO2/ASP/SVD_Consensus.asp?pGB=1&amp;gicode=A347770&amp;cID=&amp;MenuYn=Y&amp;ReportGB=&amp;NewMenuID=108&amp;stkGb=701", "핌스")</f>
        <v>0</v>
      </c>
      <c r="E186">
        <v>1</v>
      </c>
      <c r="F186">
        <v>19200</v>
      </c>
      <c r="G186">
        <v>9.279999999999999</v>
      </c>
      <c r="H186">
        <v>19.37</v>
      </c>
      <c r="I186">
        <v>21137</v>
      </c>
      <c r="J186">
        <v>12396</v>
      </c>
      <c r="K186">
        <v>9832</v>
      </c>
      <c r="L186">
        <v>-10.09</v>
      </c>
      <c r="M186">
        <v>35.44</v>
      </c>
      <c r="N186">
        <v>48.79</v>
      </c>
      <c r="O186">
        <v>27.55</v>
      </c>
      <c r="P186" t="b">
        <v>1</v>
      </c>
      <c r="Q186">
        <v>1</v>
      </c>
      <c r="R186">
        <v>816</v>
      </c>
      <c r="S186">
        <v>1152</v>
      </c>
      <c r="T186">
        <v>41.2</v>
      </c>
      <c r="U186" t="s">
        <v>716</v>
      </c>
      <c r="V186" t="s">
        <v>964</v>
      </c>
      <c r="W186">
        <v>2.08783552825369</v>
      </c>
      <c r="X186">
        <v>-73.90000000000001</v>
      </c>
      <c r="Y186" t="s">
        <v>1204</v>
      </c>
      <c r="Z186">
        <v>0</v>
      </c>
      <c r="AA186">
        <v>1442</v>
      </c>
      <c r="AB186">
        <v>81387</v>
      </c>
      <c r="AC186" t="s">
        <v>1449</v>
      </c>
      <c r="AD186">
        <v>40.11</v>
      </c>
      <c r="AE186" t="s">
        <v>1697</v>
      </c>
      <c r="AF186" t="s">
        <v>1945</v>
      </c>
      <c r="AG186">
        <v>405</v>
      </c>
      <c r="AH186">
        <v>41</v>
      </c>
    </row>
    <row r="187" spans="1:36">
      <c r="A187" s="1" t="s">
        <v>221</v>
      </c>
      <c r="B187" t="s">
        <v>469</v>
      </c>
      <c r="C187">
        <f>HYPERLINK("https://finance.naver.com/item/coinfo.nhn?code=014940", "A014940")</f>
        <v>0</v>
      </c>
      <c r="D187">
        <f>HYPERLINK("http://comp.fnguide.com/SVO2/ASP/SVD_Consensus.asp?pGB=1&amp;gicode=A014940&amp;cID=&amp;MenuYn=Y&amp;ReportGB=&amp;NewMenuID=108&amp;stkGb=701", "오리엔탈정공")</f>
        <v>0</v>
      </c>
      <c r="E187">
        <v>1</v>
      </c>
      <c r="F187">
        <v>5100</v>
      </c>
      <c r="G187">
        <v>0</v>
      </c>
      <c r="H187">
        <v>3.82</v>
      </c>
      <c r="I187">
        <v>5935</v>
      </c>
      <c r="J187">
        <v>3204</v>
      </c>
      <c r="K187">
        <v>2402</v>
      </c>
      <c r="L187">
        <v>-16.38</v>
      </c>
      <c r="M187">
        <v>37.18</v>
      </c>
      <c r="N187">
        <v>52.89</v>
      </c>
      <c r="O187">
        <v>37.33</v>
      </c>
      <c r="P187" t="b">
        <v>1</v>
      </c>
      <c r="Q187">
        <v>0</v>
      </c>
      <c r="R187">
        <v>644</v>
      </c>
      <c r="U187" t="s">
        <v>717</v>
      </c>
      <c r="V187" t="s">
        <v>965</v>
      </c>
      <c r="W187">
        <v>0</v>
      </c>
      <c r="X187">
        <v>-55.8</v>
      </c>
      <c r="Y187" t="s">
        <v>1205</v>
      </c>
      <c r="Z187">
        <v>92.21545203234834</v>
      </c>
      <c r="AA187">
        <v>2324</v>
      </c>
      <c r="AB187">
        <v>807667</v>
      </c>
      <c r="AC187" t="s">
        <v>1450</v>
      </c>
      <c r="AD187">
        <v>45.77</v>
      </c>
      <c r="AE187" t="s">
        <v>1698</v>
      </c>
      <c r="AF187" t="s">
        <v>1946</v>
      </c>
      <c r="AG187">
        <v>1677</v>
      </c>
      <c r="AH187">
        <v>213</v>
      </c>
      <c r="AI187">
        <v>26372</v>
      </c>
    </row>
    <row r="188" spans="1:36">
      <c r="A188" s="1" t="s">
        <v>222</v>
      </c>
      <c r="B188" t="s">
        <v>470</v>
      </c>
      <c r="C188">
        <f>HYPERLINK("https://finance.naver.com/item/coinfo.nhn?code=122310", "A122310")</f>
        <v>0</v>
      </c>
      <c r="D188">
        <f>HYPERLINK("http://comp.fnguide.com/SVO2/ASP/SVD_Consensus.asp?pGB=1&amp;gicode=A122310&amp;cID=&amp;MenuYn=Y&amp;ReportGB=&amp;NewMenuID=108&amp;stkGb=701", "제노레이")</f>
        <v>0</v>
      </c>
      <c r="E188">
        <v>1</v>
      </c>
      <c r="F188">
        <v>10350</v>
      </c>
      <c r="G188">
        <v>0</v>
      </c>
      <c r="H188">
        <v>13.95</v>
      </c>
      <c r="I188">
        <v>11808</v>
      </c>
      <c r="J188">
        <v>7573</v>
      </c>
      <c r="K188">
        <v>6331</v>
      </c>
      <c r="L188">
        <v>-14.09</v>
      </c>
      <c r="M188">
        <v>26.83</v>
      </c>
      <c r="N188">
        <v>38.83</v>
      </c>
      <c r="O188">
        <v>21.07</v>
      </c>
      <c r="P188" t="b">
        <v>1</v>
      </c>
      <c r="Q188">
        <v>0</v>
      </c>
      <c r="R188">
        <v>699</v>
      </c>
      <c r="U188" t="s">
        <v>718</v>
      </c>
      <c r="V188" t="s">
        <v>966</v>
      </c>
      <c r="W188">
        <v>0</v>
      </c>
      <c r="X188">
        <v>-26.5</v>
      </c>
      <c r="Y188" t="s">
        <v>1206</v>
      </c>
      <c r="Z188">
        <v>27.26124389042188</v>
      </c>
      <c r="AA188">
        <v>1506</v>
      </c>
      <c r="AB188">
        <v>41607</v>
      </c>
      <c r="AC188" t="s">
        <v>1451</v>
      </c>
      <c r="AD188">
        <v>28.5</v>
      </c>
      <c r="AE188" t="s">
        <v>1699</v>
      </c>
      <c r="AF188" t="s">
        <v>1947</v>
      </c>
      <c r="AG188">
        <v>617</v>
      </c>
      <c r="AH188">
        <v>111</v>
      </c>
      <c r="AI188">
        <v>260000</v>
      </c>
      <c r="AJ188">
        <v>1.23</v>
      </c>
    </row>
    <row r="189" spans="1:36">
      <c r="A189" s="1" t="s">
        <v>223</v>
      </c>
      <c r="B189" t="s">
        <v>471</v>
      </c>
      <c r="C189">
        <f>HYPERLINK("https://finance.naver.com/item/coinfo.nhn?code=094820", "A094820")</f>
        <v>0</v>
      </c>
      <c r="D189">
        <f>HYPERLINK("http://comp.fnguide.com/SVO2/ASP/SVD_Consensus.asp?pGB=1&amp;gicode=A094820&amp;cID=&amp;MenuYn=Y&amp;ReportGB=&amp;NewMenuID=108&amp;stkGb=701", "일진파워")</f>
        <v>0</v>
      </c>
      <c r="E189">
        <v>1</v>
      </c>
      <c r="F189">
        <v>8440</v>
      </c>
      <c r="G189">
        <v>0</v>
      </c>
      <c r="H189">
        <v>7.84</v>
      </c>
      <c r="I189">
        <v>10279</v>
      </c>
      <c r="J189">
        <v>8136</v>
      </c>
      <c r="K189">
        <v>7508</v>
      </c>
      <c r="L189">
        <v>-21.79</v>
      </c>
      <c r="M189">
        <v>3.6</v>
      </c>
      <c r="N189">
        <v>11.04</v>
      </c>
      <c r="O189">
        <v>12.81</v>
      </c>
      <c r="P189" t="b">
        <v>0</v>
      </c>
      <c r="Q189">
        <v>0</v>
      </c>
      <c r="R189">
        <v>707</v>
      </c>
      <c r="U189" t="s">
        <v>719</v>
      </c>
      <c r="V189" t="s">
        <v>967</v>
      </c>
      <c r="W189">
        <v>0</v>
      </c>
      <c r="X189">
        <v>-6.5</v>
      </c>
      <c r="Y189" t="s">
        <v>1207</v>
      </c>
      <c r="Z189">
        <v>8.392728243389168</v>
      </c>
      <c r="AA189">
        <v>1273</v>
      </c>
      <c r="AB189">
        <v>4757431</v>
      </c>
      <c r="AC189" t="s">
        <v>1452</v>
      </c>
      <c r="AD189">
        <v>38.44</v>
      </c>
      <c r="AE189" t="s">
        <v>1700</v>
      </c>
      <c r="AF189" t="s">
        <v>1948</v>
      </c>
      <c r="AG189">
        <v>1680</v>
      </c>
      <c r="AH189">
        <v>131</v>
      </c>
      <c r="AJ189">
        <v>5.42</v>
      </c>
    </row>
    <row r="190" spans="1:36">
      <c r="A190" s="1" t="s">
        <v>224</v>
      </c>
      <c r="B190" t="s">
        <v>472</v>
      </c>
      <c r="C190">
        <f>HYPERLINK("https://finance.naver.com/item/coinfo.nhn?code=102710", "A102710")</f>
        <v>0</v>
      </c>
      <c r="D190">
        <f>HYPERLINK("http://comp.fnguide.com/SVO2/ASP/SVD_Consensus.asp?pGB=1&amp;gicode=A102710&amp;cID=&amp;MenuYn=Y&amp;ReportGB=&amp;NewMenuID=108&amp;stkGb=701", "이엔에프테크놀로지")</f>
        <v>0</v>
      </c>
      <c r="E190">
        <v>1</v>
      </c>
      <c r="F190">
        <v>35450</v>
      </c>
      <c r="G190">
        <v>12.17</v>
      </c>
      <c r="H190">
        <v>14.68</v>
      </c>
      <c r="I190">
        <v>43511</v>
      </c>
      <c r="J190">
        <v>30580</v>
      </c>
      <c r="K190">
        <v>26788</v>
      </c>
      <c r="L190">
        <v>-22.74</v>
      </c>
      <c r="M190">
        <v>13.74</v>
      </c>
      <c r="N190">
        <v>24.43</v>
      </c>
      <c r="O190">
        <v>16.67</v>
      </c>
      <c r="P190" t="b">
        <v>1</v>
      </c>
      <c r="Q190">
        <v>0</v>
      </c>
      <c r="R190">
        <v>3245</v>
      </c>
      <c r="S190">
        <v>2100</v>
      </c>
      <c r="T190">
        <v>-35.3</v>
      </c>
      <c r="U190" t="s">
        <v>720</v>
      </c>
      <c r="V190" t="s">
        <v>968</v>
      </c>
      <c r="W190">
        <v>1.206130862724097</v>
      </c>
      <c r="X190">
        <v>-58.8</v>
      </c>
      <c r="Y190" t="s">
        <v>1208</v>
      </c>
      <c r="Z190">
        <v>-5.127301248381356</v>
      </c>
      <c r="AA190">
        <v>5065</v>
      </c>
      <c r="AB190">
        <v>97399</v>
      </c>
      <c r="AC190" t="s">
        <v>1453</v>
      </c>
      <c r="AD190">
        <v>35.58</v>
      </c>
      <c r="AE190" t="s">
        <v>1701</v>
      </c>
      <c r="AF190" t="s">
        <v>1949</v>
      </c>
      <c r="AG190">
        <v>4866</v>
      </c>
      <c r="AH190">
        <v>682</v>
      </c>
      <c r="AJ190">
        <v>0.31</v>
      </c>
    </row>
    <row r="191" spans="1:36">
      <c r="A191" s="1" t="s">
        <v>225</v>
      </c>
      <c r="B191" t="s">
        <v>473</v>
      </c>
      <c r="C191">
        <f>HYPERLINK("https://finance.naver.com/item/coinfo.nhn?code=039340", "A039340")</f>
        <v>0</v>
      </c>
      <c r="D191">
        <f>HYPERLINK("http://comp.fnguide.com/SVO2/ASP/SVD_Consensus.asp?pGB=1&amp;gicode=A039340&amp;cID=&amp;MenuYn=Y&amp;ReportGB=&amp;NewMenuID=108&amp;stkGb=701", "한국경제TV")</f>
        <v>0</v>
      </c>
      <c r="E191">
        <v>1</v>
      </c>
      <c r="F191">
        <v>8380</v>
      </c>
      <c r="G191">
        <v>0</v>
      </c>
      <c r="H191">
        <v>6.87</v>
      </c>
      <c r="I191">
        <v>10575</v>
      </c>
      <c r="J191">
        <v>8024</v>
      </c>
      <c r="K191">
        <v>7275</v>
      </c>
      <c r="L191">
        <v>-26.19</v>
      </c>
      <c r="M191">
        <v>4.25</v>
      </c>
      <c r="N191">
        <v>13.18</v>
      </c>
      <c r="O191">
        <v>14.01</v>
      </c>
      <c r="P191" t="b">
        <v>1</v>
      </c>
      <c r="Q191">
        <v>0</v>
      </c>
      <c r="R191">
        <v>827</v>
      </c>
      <c r="U191" t="s">
        <v>721</v>
      </c>
      <c r="V191" t="s">
        <v>969</v>
      </c>
      <c r="W191">
        <v>0</v>
      </c>
      <c r="X191">
        <v>195.4</v>
      </c>
      <c r="Y191" t="s">
        <v>1209</v>
      </c>
      <c r="Z191">
        <v>36.0913267806277</v>
      </c>
      <c r="AA191">
        <v>1927</v>
      </c>
      <c r="AB191">
        <v>453998</v>
      </c>
      <c r="AC191" t="s">
        <v>1454</v>
      </c>
      <c r="AD191">
        <v>46.04</v>
      </c>
      <c r="AE191" t="s">
        <v>1702</v>
      </c>
      <c r="AF191" t="s">
        <v>1950</v>
      </c>
      <c r="AG191">
        <v>949</v>
      </c>
      <c r="AH191">
        <v>182</v>
      </c>
      <c r="AI191">
        <v>937408</v>
      </c>
      <c r="AJ191">
        <v>2.29</v>
      </c>
    </row>
    <row r="192" spans="1:36">
      <c r="A192" s="1" t="s">
        <v>226</v>
      </c>
      <c r="B192" t="s">
        <v>474</v>
      </c>
      <c r="C192">
        <f>HYPERLINK("https://finance.naver.com/item/coinfo.nhn?code=010240", "A010240")</f>
        <v>0</v>
      </c>
      <c r="D192">
        <f>HYPERLINK("http://comp.fnguide.com/SVO2/ASP/SVD_Consensus.asp?pGB=1&amp;gicode=A010240&amp;cID=&amp;MenuYn=Y&amp;ReportGB=&amp;NewMenuID=108&amp;stkGb=701", "흥국")</f>
        <v>0</v>
      </c>
      <c r="E192">
        <v>1</v>
      </c>
      <c r="F192">
        <v>9260</v>
      </c>
      <c r="G192">
        <v>0</v>
      </c>
      <c r="H192">
        <v>6.09</v>
      </c>
      <c r="I192">
        <v>11031</v>
      </c>
      <c r="J192">
        <v>8294</v>
      </c>
      <c r="K192">
        <v>7492</v>
      </c>
      <c r="L192">
        <v>-19.12</v>
      </c>
      <c r="M192">
        <v>10.43</v>
      </c>
      <c r="N192">
        <v>19.09</v>
      </c>
      <c r="O192">
        <v>14.29</v>
      </c>
      <c r="P192" t="b">
        <v>1</v>
      </c>
      <c r="Q192">
        <v>0</v>
      </c>
      <c r="R192">
        <v>954</v>
      </c>
      <c r="U192" t="s">
        <v>722</v>
      </c>
      <c r="V192" t="s">
        <v>970</v>
      </c>
      <c r="W192">
        <v>0</v>
      </c>
      <c r="X192">
        <v>60</v>
      </c>
      <c r="Y192" t="s">
        <v>1210</v>
      </c>
      <c r="Z192">
        <v>39.04272254862935</v>
      </c>
      <c r="AA192">
        <v>1141</v>
      </c>
      <c r="AB192">
        <v>205313</v>
      </c>
      <c r="AC192" t="s">
        <v>1455</v>
      </c>
      <c r="AD192">
        <v>51.18</v>
      </c>
      <c r="AE192" t="s">
        <v>1703</v>
      </c>
      <c r="AF192" t="s">
        <v>1951</v>
      </c>
      <c r="AG192">
        <v>1191</v>
      </c>
      <c r="AH192">
        <v>156</v>
      </c>
      <c r="AI192">
        <v>772811</v>
      </c>
      <c r="AJ192">
        <v>3.1</v>
      </c>
    </row>
    <row r="193" spans="1:36">
      <c r="A193" s="1" t="s">
        <v>227</v>
      </c>
      <c r="B193" t="s">
        <v>475</v>
      </c>
      <c r="C193">
        <f>HYPERLINK("https://finance.naver.com/item/coinfo.nhn?code=251970", "A251970")</f>
        <v>0</v>
      </c>
      <c r="D193">
        <f>HYPERLINK("http://comp.fnguide.com/SVO2/ASP/SVD_Consensus.asp?pGB=1&amp;gicode=A251970&amp;cID=&amp;MenuYn=Y&amp;ReportGB=&amp;NewMenuID=108&amp;stkGb=701", "펌텍코리아")</f>
        <v>0</v>
      </c>
      <c r="E193">
        <v>1</v>
      </c>
      <c r="F193">
        <v>23250</v>
      </c>
      <c r="G193">
        <v>4.3</v>
      </c>
      <c r="H193">
        <v>9.98</v>
      </c>
      <c r="I193">
        <v>29878</v>
      </c>
      <c r="J193">
        <v>20873</v>
      </c>
      <c r="K193">
        <v>18232</v>
      </c>
      <c r="L193">
        <v>-28.51</v>
      </c>
      <c r="M193">
        <v>10.22</v>
      </c>
      <c r="N193">
        <v>21.58</v>
      </c>
      <c r="O193">
        <v>16.91</v>
      </c>
      <c r="P193" t="b">
        <v>1</v>
      </c>
      <c r="Q193">
        <v>1</v>
      </c>
      <c r="R193">
        <v>1577</v>
      </c>
      <c r="S193">
        <v>1827</v>
      </c>
      <c r="T193">
        <v>15.9</v>
      </c>
      <c r="U193" t="s">
        <v>723</v>
      </c>
      <c r="V193" t="s">
        <v>971</v>
      </c>
      <c r="W193">
        <v>2.32212127924325</v>
      </c>
      <c r="X193">
        <v>-5</v>
      </c>
      <c r="Y193" t="s">
        <v>1211</v>
      </c>
      <c r="Z193">
        <v>-5.209706925712199</v>
      </c>
      <c r="AA193">
        <v>2883</v>
      </c>
      <c r="AB193">
        <v>38660</v>
      </c>
      <c r="AC193" t="s">
        <v>1456</v>
      </c>
      <c r="AD193">
        <v>61.4</v>
      </c>
      <c r="AE193" t="s">
        <v>1704</v>
      </c>
      <c r="AF193" t="s">
        <v>1952</v>
      </c>
      <c r="AG193">
        <v>1968</v>
      </c>
      <c r="AH193">
        <v>274</v>
      </c>
      <c r="AI193">
        <v>287382</v>
      </c>
      <c r="AJ193">
        <v>2.73</v>
      </c>
    </row>
    <row r="194" spans="1:36">
      <c r="A194" s="1" t="s">
        <v>228</v>
      </c>
      <c r="B194" t="s">
        <v>476</v>
      </c>
      <c r="C194">
        <f>HYPERLINK("https://finance.naver.com/item/coinfo.nhn?code=097950", "A097950")</f>
        <v>0</v>
      </c>
      <c r="D194">
        <f>HYPERLINK("http://comp.fnguide.com/SVO2/ASP/SVD_Consensus.asp?pGB=1&amp;gicode=A097950&amp;cID=&amp;MenuYn=Y&amp;ReportGB=&amp;NewMenuID=108&amp;stkGb=701", "CJ제일제당")</f>
        <v>0</v>
      </c>
      <c r="E194">
        <v>1</v>
      </c>
      <c r="F194">
        <v>488500</v>
      </c>
      <c r="G194">
        <v>-0.79</v>
      </c>
      <c r="H194">
        <v>9.1</v>
      </c>
      <c r="I194">
        <v>492053</v>
      </c>
      <c r="J194">
        <v>413240</v>
      </c>
      <c r="K194">
        <v>390125</v>
      </c>
      <c r="L194">
        <v>-0.73</v>
      </c>
      <c r="M194">
        <v>15.41</v>
      </c>
      <c r="N194">
        <v>20.14</v>
      </c>
      <c r="O194">
        <v>11.38</v>
      </c>
      <c r="P194" t="b">
        <v>1</v>
      </c>
      <c r="Q194">
        <v>0</v>
      </c>
      <c r="R194">
        <v>41851</v>
      </c>
      <c r="S194">
        <v>37602</v>
      </c>
      <c r="T194">
        <v>-10.2</v>
      </c>
      <c r="U194" t="s">
        <v>724</v>
      </c>
      <c r="V194" t="s">
        <v>972</v>
      </c>
      <c r="W194">
        <v>-11.45868850727325</v>
      </c>
      <c r="X194">
        <v>-62.7</v>
      </c>
      <c r="Y194" t="s">
        <v>1212</v>
      </c>
      <c r="Z194">
        <v>-3.881075916147669</v>
      </c>
      <c r="AA194">
        <v>73540</v>
      </c>
      <c r="AB194">
        <v>72172</v>
      </c>
      <c r="AC194" t="s">
        <v>1457</v>
      </c>
      <c r="AD194">
        <v>45.51</v>
      </c>
      <c r="AE194" t="s">
        <v>1705</v>
      </c>
      <c r="AF194" t="s">
        <v>1953</v>
      </c>
      <c r="AG194">
        <v>242457</v>
      </c>
      <c r="AH194">
        <v>13596</v>
      </c>
      <c r="AI194">
        <v>357302</v>
      </c>
      <c r="AJ194">
        <v>1.05</v>
      </c>
    </row>
    <row r="195" spans="1:36">
      <c r="A195" s="1" t="s">
        <v>229</v>
      </c>
      <c r="B195" t="s">
        <v>477</v>
      </c>
      <c r="C195">
        <f>HYPERLINK("https://finance.naver.com/item/coinfo.nhn?code=060850", "A060850")</f>
        <v>0</v>
      </c>
      <c r="D195">
        <f>HYPERLINK("http://comp.fnguide.com/SVO2/ASP/SVD_Consensus.asp?pGB=1&amp;gicode=A060850&amp;cID=&amp;MenuYn=Y&amp;ReportGB=&amp;NewMenuID=108&amp;stkGb=701", "영림원소프트랩")</f>
        <v>0</v>
      </c>
      <c r="E195">
        <v>1</v>
      </c>
      <c r="F195">
        <v>12600</v>
      </c>
      <c r="G195">
        <v>0</v>
      </c>
      <c r="H195">
        <v>20.62</v>
      </c>
      <c r="I195">
        <v>15706</v>
      </c>
      <c r="J195">
        <v>8864</v>
      </c>
      <c r="K195">
        <v>6857</v>
      </c>
      <c r="L195">
        <v>-24.65</v>
      </c>
      <c r="M195">
        <v>29.65</v>
      </c>
      <c r="N195">
        <v>45.58</v>
      </c>
      <c r="O195">
        <v>31.45</v>
      </c>
      <c r="P195" t="b">
        <v>1</v>
      </c>
      <c r="Q195">
        <v>0</v>
      </c>
      <c r="R195">
        <v>686</v>
      </c>
      <c r="U195" t="s">
        <v>725</v>
      </c>
      <c r="V195" t="s">
        <v>973</v>
      </c>
      <c r="W195">
        <v>0</v>
      </c>
      <c r="X195">
        <v>0</v>
      </c>
      <c r="Y195" t="s">
        <v>1213</v>
      </c>
      <c r="Z195">
        <v>-4.050117248638607</v>
      </c>
      <c r="AA195">
        <v>1025</v>
      </c>
      <c r="AB195">
        <v>12333</v>
      </c>
      <c r="AC195" t="s">
        <v>1458</v>
      </c>
      <c r="AD195">
        <v>20.01</v>
      </c>
      <c r="AE195" t="s">
        <v>1706</v>
      </c>
      <c r="AF195" t="s">
        <v>1954</v>
      </c>
      <c r="AG195">
        <v>439</v>
      </c>
      <c r="AH195">
        <v>43</v>
      </c>
      <c r="AJ195">
        <v>0.57</v>
      </c>
    </row>
    <row r="196" spans="1:36">
      <c r="A196" s="1" t="s">
        <v>230</v>
      </c>
      <c r="B196" t="s">
        <v>478</v>
      </c>
      <c r="C196">
        <f>HYPERLINK("https://finance.naver.com/item/coinfo.nhn?code=077500", "A077500")</f>
        <v>0</v>
      </c>
      <c r="D196">
        <f>HYPERLINK("http://comp.fnguide.com/SVO2/ASP/SVD_Consensus.asp?pGB=1&amp;gicode=A077500&amp;cID=&amp;MenuYn=Y&amp;ReportGB=&amp;NewMenuID=108&amp;stkGb=701", "유니퀘스트")</f>
        <v>0</v>
      </c>
      <c r="E196">
        <v>1</v>
      </c>
      <c r="F196">
        <v>11000</v>
      </c>
      <c r="G196">
        <v>0.36</v>
      </c>
      <c r="H196">
        <v>16.75</v>
      </c>
      <c r="I196">
        <v>11112</v>
      </c>
      <c r="J196">
        <v>9628</v>
      </c>
      <c r="K196">
        <v>9193</v>
      </c>
      <c r="L196">
        <v>-1.01</v>
      </c>
      <c r="M196">
        <v>12.47</v>
      </c>
      <c r="N196">
        <v>16.43</v>
      </c>
      <c r="O196">
        <v>10.72</v>
      </c>
      <c r="P196" t="b">
        <v>1</v>
      </c>
      <c r="Q196">
        <v>1</v>
      </c>
      <c r="R196">
        <v>878</v>
      </c>
      <c r="S196">
        <v>1376</v>
      </c>
      <c r="T196">
        <v>56.7</v>
      </c>
      <c r="U196" t="s">
        <v>726</v>
      </c>
      <c r="V196" t="s">
        <v>974</v>
      </c>
      <c r="W196">
        <v>45.99847522958791</v>
      </c>
      <c r="X196">
        <v>0</v>
      </c>
      <c r="Y196" t="s">
        <v>1214</v>
      </c>
      <c r="Z196">
        <v>439.1904861299829</v>
      </c>
      <c r="AA196">
        <v>3006</v>
      </c>
      <c r="AB196">
        <v>357106</v>
      </c>
      <c r="AC196" t="s">
        <v>1459</v>
      </c>
      <c r="AD196">
        <v>44.81</v>
      </c>
      <c r="AE196" t="s">
        <v>1707</v>
      </c>
      <c r="AF196" t="s">
        <v>1955</v>
      </c>
      <c r="AG196">
        <v>4028</v>
      </c>
      <c r="AH196">
        <v>90</v>
      </c>
      <c r="AI196">
        <v>586113</v>
      </c>
      <c r="AJ196">
        <v>0.85</v>
      </c>
    </row>
    <row r="197" spans="1:36">
      <c r="A197" s="1" t="s">
        <v>231</v>
      </c>
      <c r="B197" t="s">
        <v>479</v>
      </c>
      <c r="C197">
        <f>HYPERLINK("https://finance.naver.com/item/coinfo.nhn?code=049720", "A049720")</f>
        <v>0</v>
      </c>
      <c r="D197">
        <f>HYPERLINK("http://comp.fnguide.com/SVO2/ASP/SVD_Consensus.asp?pGB=1&amp;gicode=A049720&amp;cID=&amp;MenuYn=Y&amp;ReportGB=&amp;NewMenuID=108&amp;stkGb=701", "고려신용정보")</f>
        <v>0</v>
      </c>
      <c r="E197">
        <v>1</v>
      </c>
      <c r="F197">
        <v>8200</v>
      </c>
      <c r="G197">
        <v>0</v>
      </c>
      <c r="H197">
        <v>8.289999999999999</v>
      </c>
      <c r="I197">
        <v>8794</v>
      </c>
      <c r="J197">
        <v>4833</v>
      </c>
      <c r="K197">
        <v>3671</v>
      </c>
      <c r="L197">
        <v>-7.25</v>
      </c>
      <c r="M197">
        <v>41.06</v>
      </c>
      <c r="N197">
        <v>55.23</v>
      </c>
      <c r="O197">
        <v>34.75</v>
      </c>
      <c r="P197" t="b">
        <v>1</v>
      </c>
      <c r="Q197">
        <v>0</v>
      </c>
      <c r="R197">
        <v>720</v>
      </c>
      <c r="U197" t="s">
        <v>727</v>
      </c>
      <c r="V197" t="s">
        <v>975</v>
      </c>
      <c r="W197">
        <v>0</v>
      </c>
      <c r="X197">
        <v>44.3</v>
      </c>
      <c r="Y197" t="s">
        <v>1215</v>
      </c>
      <c r="Z197">
        <v>31.92304734513642</v>
      </c>
      <c r="AA197">
        <v>1173</v>
      </c>
      <c r="AB197">
        <v>99962</v>
      </c>
      <c r="AC197" t="s">
        <v>1460</v>
      </c>
      <c r="AD197">
        <v>49.02</v>
      </c>
      <c r="AE197" t="s">
        <v>1708</v>
      </c>
      <c r="AF197" t="s">
        <v>1956</v>
      </c>
      <c r="AG197">
        <v>1332</v>
      </c>
      <c r="AH197">
        <v>105</v>
      </c>
      <c r="AI197">
        <v>398734</v>
      </c>
      <c r="AJ197">
        <v>4.61</v>
      </c>
    </row>
    <row r="198" spans="1:36">
      <c r="A198" s="1" t="s">
        <v>232</v>
      </c>
      <c r="B198" t="s">
        <v>480</v>
      </c>
      <c r="C198">
        <f>HYPERLINK("https://finance.naver.com/item/coinfo.nhn?code=950180", "A950180")</f>
        <v>0</v>
      </c>
      <c r="D198">
        <f>HYPERLINK("http://comp.fnguide.com/SVO2/ASP/SVD_Consensus.asp?pGB=1&amp;gicode=A950180&amp;cID=&amp;MenuYn=Y&amp;ReportGB=&amp;NewMenuID=108&amp;stkGb=701", "SNK")</f>
        <v>0</v>
      </c>
      <c r="E198">
        <v>1</v>
      </c>
      <c r="F198">
        <v>22500</v>
      </c>
      <c r="G198">
        <v>0</v>
      </c>
      <c r="H198">
        <v>12.95</v>
      </c>
      <c r="I198">
        <v>27511</v>
      </c>
      <c r="J198">
        <v>20801</v>
      </c>
      <c r="K198">
        <v>18834</v>
      </c>
      <c r="L198">
        <v>-22.27</v>
      </c>
      <c r="M198">
        <v>7.55</v>
      </c>
      <c r="N198">
        <v>16.29</v>
      </c>
      <c r="O198">
        <v>14.12</v>
      </c>
      <c r="P198" t="b">
        <v>0</v>
      </c>
      <c r="Q198">
        <v>0</v>
      </c>
      <c r="R198">
        <v>1035</v>
      </c>
      <c r="U198" t="s">
        <v>728</v>
      </c>
      <c r="V198" t="s">
        <v>976</v>
      </c>
      <c r="W198">
        <v>0</v>
      </c>
      <c r="X198">
        <v>0</v>
      </c>
      <c r="Y198" t="s">
        <v>1216</v>
      </c>
      <c r="Z198">
        <v>0</v>
      </c>
      <c r="AA198">
        <v>4739</v>
      </c>
      <c r="AB198">
        <v>65281</v>
      </c>
      <c r="AC198" t="s">
        <v>1461</v>
      </c>
      <c r="AD198">
        <v>33.3</v>
      </c>
      <c r="AE198" t="s">
        <v>1709</v>
      </c>
      <c r="AF198" t="s">
        <v>1957</v>
      </c>
      <c r="AG198">
        <v>860</v>
      </c>
      <c r="AH198">
        <v>239</v>
      </c>
      <c r="AI198">
        <v>528203</v>
      </c>
    </row>
    <row r="199" spans="1:36">
      <c r="A199" s="1" t="s">
        <v>233</v>
      </c>
      <c r="B199" t="s">
        <v>481</v>
      </c>
      <c r="C199">
        <f>HYPERLINK("https://finance.naver.com/item/coinfo.nhn?code=035600", "A035600")</f>
        <v>0</v>
      </c>
      <c r="D199">
        <f>HYPERLINK("http://comp.fnguide.com/SVO2/ASP/SVD_Consensus.asp?pGB=1&amp;gicode=A035600&amp;cID=&amp;MenuYn=Y&amp;ReportGB=&amp;NewMenuID=108&amp;stkGb=701", "KG이니시스")</f>
        <v>0</v>
      </c>
      <c r="E199">
        <v>1</v>
      </c>
      <c r="F199">
        <v>21950</v>
      </c>
      <c r="G199">
        <v>0.71</v>
      </c>
      <c r="H199">
        <v>13.25</v>
      </c>
      <c r="I199">
        <v>24734</v>
      </c>
      <c r="J199">
        <v>16939</v>
      </c>
      <c r="K199">
        <v>14654</v>
      </c>
      <c r="L199">
        <v>-12.68</v>
      </c>
      <c r="M199">
        <v>22.83</v>
      </c>
      <c r="N199">
        <v>33.24</v>
      </c>
      <c r="O199">
        <v>17.75</v>
      </c>
      <c r="P199" t="b">
        <v>1</v>
      </c>
      <c r="Q199">
        <v>1</v>
      </c>
      <c r="R199">
        <v>1521</v>
      </c>
      <c r="S199">
        <v>2107</v>
      </c>
      <c r="T199">
        <v>38.5</v>
      </c>
      <c r="U199" t="s">
        <v>729</v>
      </c>
      <c r="V199" t="s">
        <v>977</v>
      </c>
      <c r="W199">
        <v>18.60780980698993</v>
      </c>
      <c r="X199">
        <v>27.4</v>
      </c>
      <c r="Y199" t="s">
        <v>1217</v>
      </c>
      <c r="Z199">
        <v>15.32349164427145</v>
      </c>
      <c r="AA199">
        <v>6125</v>
      </c>
      <c r="AB199">
        <v>196370</v>
      </c>
      <c r="AC199" t="s">
        <v>1462</v>
      </c>
      <c r="AD199">
        <v>41.04</v>
      </c>
      <c r="AE199" t="s">
        <v>1710</v>
      </c>
      <c r="AF199" t="s">
        <v>1958</v>
      </c>
      <c r="AG199">
        <v>8102</v>
      </c>
      <c r="AH199">
        <v>980</v>
      </c>
      <c r="AI199">
        <v>1285946</v>
      </c>
      <c r="AJ199">
        <v>1.74</v>
      </c>
    </row>
    <row r="200" spans="1:36">
      <c r="A200" s="1" t="s">
        <v>234</v>
      </c>
      <c r="B200" t="s">
        <v>482</v>
      </c>
      <c r="C200">
        <f>HYPERLINK("https://finance.naver.com/item/coinfo.nhn?code=036670", "A036670")</f>
        <v>0</v>
      </c>
      <c r="D200">
        <f>HYPERLINK("http://comp.fnguide.com/SVO2/ASP/SVD_Consensus.asp?pGB=1&amp;gicode=A036670&amp;cID=&amp;MenuYn=Y&amp;ReportGB=&amp;NewMenuID=108&amp;stkGb=701", "KCI")</f>
        <v>0</v>
      </c>
      <c r="E200">
        <v>1</v>
      </c>
      <c r="F200">
        <v>9810</v>
      </c>
      <c r="G200">
        <v>0</v>
      </c>
      <c r="H200">
        <v>10.62</v>
      </c>
      <c r="I200">
        <v>13905</v>
      </c>
      <c r="J200">
        <v>9779</v>
      </c>
      <c r="K200">
        <v>8569</v>
      </c>
      <c r="L200">
        <v>-41.74</v>
      </c>
      <c r="M200">
        <v>0.32</v>
      </c>
      <c r="N200">
        <v>12.65</v>
      </c>
      <c r="O200">
        <v>16.65</v>
      </c>
      <c r="P200" t="b">
        <v>1</v>
      </c>
      <c r="Q200">
        <v>0</v>
      </c>
      <c r="R200">
        <v>942</v>
      </c>
      <c r="U200" t="s">
        <v>730</v>
      </c>
      <c r="V200" t="s">
        <v>978</v>
      </c>
      <c r="W200">
        <v>0</v>
      </c>
      <c r="X200">
        <v>-72.3</v>
      </c>
      <c r="Y200" t="s">
        <v>1218</v>
      </c>
      <c r="Z200">
        <v>-15.2505623891247</v>
      </c>
      <c r="AA200">
        <v>1106</v>
      </c>
      <c r="AB200">
        <v>41823</v>
      </c>
      <c r="AC200" t="s">
        <v>1463</v>
      </c>
      <c r="AD200">
        <v>50.02</v>
      </c>
      <c r="AE200" t="s">
        <v>1711</v>
      </c>
      <c r="AF200" t="s">
        <v>1959</v>
      </c>
      <c r="AG200">
        <v>733</v>
      </c>
      <c r="AH200">
        <v>141</v>
      </c>
      <c r="AI200">
        <v>509800</v>
      </c>
      <c r="AJ200">
        <v>2</v>
      </c>
    </row>
    <row r="201" spans="1:36">
      <c r="A201" s="1" t="s">
        <v>235</v>
      </c>
      <c r="B201" t="s">
        <v>483</v>
      </c>
      <c r="C201">
        <f>HYPERLINK("https://finance.naver.com/item/coinfo.nhn?code=083450", "A083450")</f>
        <v>0</v>
      </c>
      <c r="D201">
        <f>HYPERLINK("http://comp.fnguide.com/SVO2/ASP/SVD_Consensus.asp?pGB=1&amp;gicode=A083450&amp;cID=&amp;MenuYn=Y&amp;ReportGB=&amp;NewMenuID=108&amp;stkGb=701", "GST")</f>
        <v>0</v>
      </c>
      <c r="E201">
        <v>1</v>
      </c>
      <c r="F201">
        <v>24350</v>
      </c>
      <c r="G201">
        <v>0.23</v>
      </c>
      <c r="H201">
        <v>10.14</v>
      </c>
      <c r="I201">
        <v>24731</v>
      </c>
      <c r="J201">
        <v>17589</v>
      </c>
      <c r="K201">
        <v>15494</v>
      </c>
      <c r="L201">
        <v>-1.56</v>
      </c>
      <c r="M201">
        <v>27.77</v>
      </c>
      <c r="N201">
        <v>36.37</v>
      </c>
      <c r="O201">
        <v>16.21</v>
      </c>
      <c r="P201" t="b">
        <v>1</v>
      </c>
      <c r="Q201">
        <v>1</v>
      </c>
      <c r="R201">
        <v>1696</v>
      </c>
      <c r="S201">
        <v>3142</v>
      </c>
      <c r="T201">
        <v>85.3</v>
      </c>
      <c r="U201" t="s">
        <v>731</v>
      </c>
      <c r="V201" t="s">
        <v>979</v>
      </c>
      <c r="W201">
        <v>44.89270800953818</v>
      </c>
      <c r="X201">
        <v>12.1</v>
      </c>
      <c r="Y201" t="s">
        <v>1219</v>
      </c>
      <c r="Z201">
        <v>34.35331614027157</v>
      </c>
      <c r="AA201">
        <v>2269</v>
      </c>
      <c r="AB201">
        <v>127736</v>
      </c>
      <c r="AC201" t="s">
        <v>1464</v>
      </c>
      <c r="AD201">
        <v>25.96</v>
      </c>
      <c r="AE201" t="s">
        <v>1712</v>
      </c>
      <c r="AF201" t="s">
        <v>1960</v>
      </c>
      <c r="AG201">
        <v>1669</v>
      </c>
      <c r="AH201">
        <v>182</v>
      </c>
      <c r="AI201">
        <v>583500</v>
      </c>
      <c r="AJ201">
        <v>0.87</v>
      </c>
    </row>
    <row r="202" spans="1:36">
      <c r="A202" s="1" t="s">
        <v>236</v>
      </c>
      <c r="B202" t="s">
        <v>484</v>
      </c>
      <c r="C202">
        <f>HYPERLINK("https://finance.naver.com/item/coinfo.nhn?code=241520", "A241520")</f>
        <v>0</v>
      </c>
      <c r="D202">
        <f>HYPERLINK("http://comp.fnguide.com/SVO2/ASP/SVD_Consensus.asp?pGB=1&amp;gicode=A241520&amp;cID=&amp;MenuYn=Y&amp;ReportGB=&amp;NewMenuID=108&amp;stkGb=701", "DSC인베스트먼트")</f>
        <v>0</v>
      </c>
      <c r="E202">
        <v>1</v>
      </c>
      <c r="F202">
        <v>6130</v>
      </c>
      <c r="G202">
        <v>0</v>
      </c>
      <c r="H202">
        <v>4.57</v>
      </c>
      <c r="I202">
        <v>9742</v>
      </c>
      <c r="J202">
        <v>5257</v>
      </c>
      <c r="K202">
        <v>3941</v>
      </c>
      <c r="L202">
        <v>-58.92</v>
      </c>
      <c r="M202">
        <v>14.25</v>
      </c>
      <c r="N202">
        <v>35.71</v>
      </c>
      <c r="O202">
        <v>37.38</v>
      </c>
      <c r="P202" t="b">
        <v>1</v>
      </c>
      <c r="Q202">
        <v>0</v>
      </c>
      <c r="R202">
        <v>870</v>
      </c>
      <c r="U202" t="s">
        <v>732</v>
      </c>
      <c r="V202" t="s">
        <v>980</v>
      </c>
      <c r="W202">
        <v>0</v>
      </c>
      <c r="Y202" t="s">
        <v>1048</v>
      </c>
      <c r="Z202">
        <v>-11.52727936410692</v>
      </c>
      <c r="AA202">
        <v>1697</v>
      </c>
      <c r="AB202">
        <v>1234947</v>
      </c>
      <c r="AC202" t="s">
        <v>1465</v>
      </c>
      <c r="AD202">
        <v>24.79</v>
      </c>
      <c r="AE202" t="s">
        <v>1713</v>
      </c>
      <c r="AF202" t="s">
        <v>1961</v>
      </c>
      <c r="AG202">
        <v>387</v>
      </c>
      <c r="AH202">
        <v>289</v>
      </c>
      <c r="AI202">
        <v>260753</v>
      </c>
    </row>
    <row r="203" spans="1:36">
      <c r="A203" s="1" t="s">
        <v>237</v>
      </c>
      <c r="B203" t="s">
        <v>485</v>
      </c>
      <c r="C203">
        <f>HYPERLINK("https://finance.naver.com/item/coinfo.nhn?code=161890", "A161890")</f>
        <v>0</v>
      </c>
      <c r="D203">
        <f>HYPERLINK("http://comp.fnguide.com/SVO2/ASP/SVD_Consensus.asp?pGB=1&amp;gicode=A161890&amp;cID=&amp;MenuYn=Y&amp;ReportGB=&amp;NewMenuID=108&amp;stkGb=701", "한국콜마")</f>
        <v>0</v>
      </c>
      <c r="E203">
        <v>1</v>
      </c>
      <c r="F203">
        <v>59600</v>
      </c>
      <c r="G203">
        <v>0.59</v>
      </c>
      <c r="H203">
        <v>7.27</v>
      </c>
      <c r="I203">
        <v>61287</v>
      </c>
      <c r="J203">
        <v>41149</v>
      </c>
      <c r="K203">
        <v>35242</v>
      </c>
      <c r="L203">
        <v>-2.83</v>
      </c>
      <c r="M203">
        <v>30.96</v>
      </c>
      <c r="N203">
        <v>40.87</v>
      </c>
      <c r="O203">
        <v>18.66</v>
      </c>
      <c r="P203" t="b">
        <v>1</v>
      </c>
      <c r="Q203">
        <v>0</v>
      </c>
      <c r="R203">
        <v>7004</v>
      </c>
      <c r="S203">
        <v>2772</v>
      </c>
      <c r="T203">
        <v>-60.4</v>
      </c>
      <c r="U203" t="s">
        <v>733</v>
      </c>
      <c r="V203" t="s">
        <v>981</v>
      </c>
      <c r="W203">
        <v>12.4084830837788</v>
      </c>
      <c r="X203">
        <v>-0.9</v>
      </c>
      <c r="Y203" t="s">
        <v>1220</v>
      </c>
      <c r="Z203">
        <v>22.47182871706821</v>
      </c>
      <c r="AA203">
        <v>13637</v>
      </c>
      <c r="AB203">
        <v>244707</v>
      </c>
      <c r="AC203" t="s">
        <v>1466</v>
      </c>
      <c r="AD203">
        <v>30.26</v>
      </c>
      <c r="AE203" t="s">
        <v>1714</v>
      </c>
      <c r="AF203" t="s">
        <v>1962</v>
      </c>
      <c r="AG203">
        <v>13221</v>
      </c>
      <c r="AH203">
        <v>1217</v>
      </c>
      <c r="AJ203">
        <v>0.68</v>
      </c>
    </row>
    <row r="204" spans="1:36">
      <c r="A204" s="1" t="s">
        <v>238</v>
      </c>
      <c r="B204" t="s">
        <v>486</v>
      </c>
      <c r="C204">
        <f>HYPERLINK("https://finance.naver.com/item/coinfo.nhn?code=003070", "A003070")</f>
        <v>0</v>
      </c>
      <c r="D204">
        <f>HYPERLINK("http://comp.fnguide.com/SVO2/ASP/SVD_Consensus.asp?pGB=1&amp;gicode=A003070&amp;cID=&amp;MenuYn=Y&amp;ReportGB=&amp;NewMenuID=108&amp;stkGb=701", "코오롱글로벌")</f>
        <v>0</v>
      </c>
      <c r="E204">
        <v>1</v>
      </c>
      <c r="F204">
        <v>24000</v>
      </c>
      <c r="G204">
        <v>0.06</v>
      </c>
      <c r="H204">
        <v>5.96</v>
      </c>
      <c r="I204">
        <v>27696</v>
      </c>
      <c r="J204">
        <v>22463</v>
      </c>
      <c r="K204">
        <v>20928</v>
      </c>
      <c r="L204">
        <v>-15.4</v>
      </c>
      <c r="M204">
        <v>6.41</v>
      </c>
      <c r="N204">
        <v>12.8</v>
      </c>
      <c r="O204">
        <v>12.19</v>
      </c>
      <c r="P204" t="b">
        <v>1</v>
      </c>
      <c r="Q204">
        <v>3</v>
      </c>
      <c r="R204">
        <v>3238</v>
      </c>
      <c r="S204">
        <v>5069</v>
      </c>
      <c r="T204">
        <v>56.5</v>
      </c>
      <c r="U204" t="s">
        <v>734</v>
      </c>
      <c r="V204" t="s">
        <v>982</v>
      </c>
      <c r="W204">
        <v>99.41846405192369</v>
      </c>
      <c r="X204">
        <v>93.5</v>
      </c>
      <c r="Y204" t="s">
        <v>1221</v>
      </c>
      <c r="Z204">
        <v>84.92849085321762</v>
      </c>
      <c r="AA204">
        <v>6051</v>
      </c>
      <c r="AB204">
        <v>90185</v>
      </c>
      <c r="AC204" t="s">
        <v>1467</v>
      </c>
      <c r="AD204">
        <v>76.65000000000001</v>
      </c>
      <c r="AE204" t="s">
        <v>1715</v>
      </c>
      <c r="AF204" t="s">
        <v>1963</v>
      </c>
      <c r="AG204">
        <v>39282</v>
      </c>
      <c r="AH204">
        <v>1763</v>
      </c>
      <c r="AI204">
        <v>84095</v>
      </c>
      <c r="AJ204">
        <v>2.07</v>
      </c>
    </row>
    <row r="205" spans="1:36">
      <c r="A205" s="1" t="s">
        <v>239</v>
      </c>
      <c r="B205" t="s">
        <v>487</v>
      </c>
      <c r="C205">
        <f>HYPERLINK("https://finance.naver.com/item/coinfo.nhn?code=281820", "A281820")</f>
        <v>0</v>
      </c>
      <c r="D205">
        <f>HYPERLINK("http://comp.fnguide.com/SVO2/ASP/SVD_Consensus.asp?pGB=1&amp;gicode=A281820&amp;cID=&amp;MenuYn=Y&amp;ReportGB=&amp;NewMenuID=108&amp;stkGb=701", "케이씨텍")</f>
        <v>0</v>
      </c>
      <c r="E205">
        <v>1</v>
      </c>
      <c r="F205">
        <v>27850</v>
      </c>
      <c r="G205">
        <v>0</v>
      </c>
      <c r="H205">
        <v>14.41</v>
      </c>
      <c r="I205">
        <v>30388</v>
      </c>
      <c r="J205">
        <v>22273</v>
      </c>
      <c r="K205">
        <v>19893</v>
      </c>
      <c r="L205">
        <v>-9.109999999999999</v>
      </c>
      <c r="M205">
        <v>20.03</v>
      </c>
      <c r="N205">
        <v>28.57</v>
      </c>
      <c r="O205">
        <v>15.12</v>
      </c>
      <c r="P205" t="b">
        <v>0</v>
      </c>
      <c r="Q205">
        <v>0</v>
      </c>
      <c r="R205">
        <v>2133</v>
      </c>
      <c r="U205" t="s">
        <v>735</v>
      </c>
      <c r="V205" t="s">
        <v>983</v>
      </c>
      <c r="W205">
        <v>0</v>
      </c>
      <c r="X205">
        <v>1</v>
      </c>
      <c r="Y205" t="s">
        <v>1222</v>
      </c>
      <c r="Z205">
        <v>0</v>
      </c>
      <c r="AA205">
        <v>5810</v>
      </c>
      <c r="AB205">
        <v>73429</v>
      </c>
      <c r="AC205" t="s">
        <v>1468</v>
      </c>
      <c r="AD205">
        <v>49.44</v>
      </c>
      <c r="AE205" t="s">
        <v>1716</v>
      </c>
      <c r="AF205" t="s">
        <v>1964</v>
      </c>
      <c r="AG205">
        <v>3199</v>
      </c>
      <c r="AH205">
        <v>561</v>
      </c>
      <c r="AI205">
        <v>4778</v>
      </c>
      <c r="AJ205">
        <v>0.72</v>
      </c>
    </row>
    <row r="206" spans="1:36">
      <c r="A206" s="1" t="s">
        <v>240</v>
      </c>
      <c r="B206" t="s">
        <v>488</v>
      </c>
      <c r="C206">
        <f>HYPERLINK("https://finance.naver.com/item/coinfo.nhn?code=010640", "A010640")</f>
        <v>0</v>
      </c>
      <c r="D206">
        <f>HYPERLINK("http://comp.fnguide.com/SVO2/ASP/SVD_Consensus.asp?pGB=1&amp;gicode=A010640&amp;cID=&amp;MenuYn=Y&amp;ReportGB=&amp;NewMenuID=108&amp;stkGb=701", "진양폴리")</f>
        <v>0</v>
      </c>
      <c r="E206">
        <v>1</v>
      </c>
      <c r="F206">
        <v>3830</v>
      </c>
      <c r="G206">
        <v>0</v>
      </c>
      <c r="H206">
        <v>24</v>
      </c>
      <c r="I206">
        <v>4833</v>
      </c>
      <c r="J206">
        <v>3565</v>
      </c>
      <c r="K206">
        <v>3193</v>
      </c>
      <c r="L206">
        <v>-26.2</v>
      </c>
      <c r="M206">
        <v>6.92</v>
      </c>
      <c r="N206">
        <v>16.63</v>
      </c>
      <c r="O206">
        <v>14.91</v>
      </c>
      <c r="P206" t="b">
        <v>1</v>
      </c>
      <c r="Q206">
        <v>0</v>
      </c>
      <c r="R206">
        <v>161</v>
      </c>
      <c r="U206" t="s">
        <v>736</v>
      </c>
      <c r="V206" t="s">
        <v>984</v>
      </c>
      <c r="W206">
        <v>0</v>
      </c>
      <c r="X206">
        <v>-50.4</v>
      </c>
      <c r="Y206" t="s">
        <v>1223</v>
      </c>
      <c r="Z206">
        <v>-35.32577406474103</v>
      </c>
      <c r="AA206">
        <v>383</v>
      </c>
      <c r="AB206">
        <v>97469</v>
      </c>
      <c r="AC206" t="s">
        <v>1469</v>
      </c>
      <c r="AD206">
        <v>50.5</v>
      </c>
      <c r="AE206" t="s">
        <v>1717</v>
      </c>
      <c r="AF206" t="s">
        <v>1965</v>
      </c>
      <c r="AG206">
        <v>371</v>
      </c>
      <c r="AH206">
        <v>22</v>
      </c>
      <c r="AJ206">
        <v>3.23</v>
      </c>
    </row>
    <row r="207" spans="1:36">
      <c r="A207" s="1" t="s">
        <v>241</v>
      </c>
      <c r="B207" t="s">
        <v>489</v>
      </c>
      <c r="C207">
        <f>HYPERLINK("https://finance.naver.com/item/coinfo.nhn?code=120030", "A120030")</f>
        <v>0</v>
      </c>
      <c r="D207">
        <f>HYPERLINK("http://comp.fnguide.com/SVO2/ASP/SVD_Consensus.asp?pGB=1&amp;gicode=A120030&amp;cID=&amp;MenuYn=Y&amp;ReportGB=&amp;NewMenuID=108&amp;stkGb=701", "조선선재")</f>
        <v>0</v>
      </c>
      <c r="E207">
        <v>1</v>
      </c>
      <c r="F207">
        <v>133500</v>
      </c>
      <c r="G207">
        <v>0</v>
      </c>
      <c r="H207">
        <v>14.63</v>
      </c>
      <c r="I207">
        <v>136820</v>
      </c>
      <c r="J207">
        <v>122988</v>
      </c>
      <c r="K207">
        <v>118931</v>
      </c>
      <c r="L207">
        <v>-2.49</v>
      </c>
      <c r="M207">
        <v>7.87</v>
      </c>
      <c r="N207">
        <v>10.91</v>
      </c>
      <c r="O207">
        <v>10.01</v>
      </c>
      <c r="P207" t="b">
        <v>0</v>
      </c>
      <c r="Q207">
        <v>0</v>
      </c>
      <c r="R207">
        <v>7311</v>
      </c>
      <c r="U207" t="s">
        <v>737</v>
      </c>
      <c r="V207" t="s">
        <v>985</v>
      </c>
      <c r="W207">
        <v>0</v>
      </c>
      <c r="X207">
        <v>-11.5</v>
      </c>
      <c r="Y207" t="s">
        <v>1224</v>
      </c>
      <c r="Z207">
        <v>-10.8466262339288</v>
      </c>
      <c r="AA207">
        <v>1679</v>
      </c>
      <c r="AB207">
        <v>8888</v>
      </c>
      <c r="AC207" t="s">
        <v>1470</v>
      </c>
      <c r="AD207">
        <v>51.84</v>
      </c>
      <c r="AE207" t="s">
        <v>1718</v>
      </c>
      <c r="AF207" t="s">
        <v>1966</v>
      </c>
      <c r="AG207">
        <v>595</v>
      </c>
      <c r="AH207">
        <v>127</v>
      </c>
      <c r="AI207">
        <v>227217</v>
      </c>
      <c r="AJ207">
        <v>1.4</v>
      </c>
    </row>
    <row r="208" spans="1:36">
      <c r="A208" s="1" t="s">
        <v>242</v>
      </c>
      <c r="B208" t="s">
        <v>490</v>
      </c>
      <c r="C208">
        <f>HYPERLINK("https://finance.naver.com/item/coinfo.nhn?code=010050", "A010050")</f>
        <v>0</v>
      </c>
      <c r="D208">
        <f>HYPERLINK("http://comp.fnguide.com/SVO2/ASP/SVD_Consensus.asp?pGB=1&amp;gicode=A010050&amp;cID=&amp;MenuYn=Y&amp;ReportGB=&amp;NewMenuID=108&amp;stkGb=701", "우리종금")</f>
        <v>0</v>
      </c>
      <c r="E208">
        <v>1</v>
      </c>
      <c r="F208">
        <v>927</v>
      </c>
      <c r="G208">
        <v>0</v>
      </c>
      <c r="H208">
        <v>6.06</v>
      </c>
      <c r="I208">
        <v>1027</v>
      </c>
      <c r="J208">
        <v>777</v>
      </c>
      <c r="K208">
        <v>704</v>
      </c>
      <c r="L208">
        <v>-10.79</v>
      </c>
      <c r="M208">
        <v>16.15</v>
      </c>
      <c r="N208">
        <v>24.05</v>
      </c>
      <c r="O208">
        <v>14.09</v>
      </c>
      <c r="P208" t="b">
        <v>1</v>
      </c>
      <c r="Q208">
        <v>0</v>
      </c>
      <c r="R208">
        <v>89</v>
      </c>
      <c r="U208" t="s">
        <v>738</v>
      </c>
      <c r="V208" t="s">
        <v>986</v>
      </c>
      <c r="W208">
        <v>0</v>
      </c>
      <c r="Y208" t="s">
        <v>1048</v>
      </c>
      <c r="Z208">
        <v>0</v>
      </c>
      <c r="AA208">
        <v>8104</v>
      </c>
      <c r="AB208">
        <v>26267027</v>
      </c>
      <c r="AC208" t="s">
        <v>1471</v>
      </c>
      <c r="AD208">
        <v>58.75</v>
      </c>
      <c r="AE208" t="s">
        <v>1719</v>
      </c>
      <c r="AF208" t="s">
        <v>1967</v>
      </c>
      <c r="AG208">
        <v>2563</v>
      </c>
      <c r="AH208">
        <v>687</v>
      </c>
      <c r="AI208">
        <v>69076</v>
      </c>
      <c r="AJ208">
        <v>1.86</v>
      </c>
    </row>
    <row r="209" spans="1:36">
      <c r="A209" s="1" t="s">
        <v>243</v>
      </c>
      <c r="B209" t="s">
        <v>491</v>
      </c>
      <c r="C209">
        <f>HYPERLINK("https://finance.naver.com/item/coinfo.nhn?code=095660", "A095660")</f>
        <v>0</v>
      </c>
      <c r="D209">
        <f>HYPERLINK("http://comp.fnguide.com/SVO2/ASP/SVD_Consensus.asp?pGB=1&amp;gicode=A095660&amp;cID=&amp;MenuYn=Y&amp;ReportGB=&amp;NewMenuID=108&amp;stkGb=701", "네오위즈")</f>
        <v>0</v>
      </c>
      <c r="E209">
        <v>1</v>
      </c>
      <c r="F209">
        <v>23250</v>
      </c>
      <c r="G209">
        <v>0.36</v>
      </c>
      <c r="H209">
        <v>8.17</v>
      </c>
      <c r="I209">
        <v>28281</v>
      </c>
      <c r="J209">
        <v>22254</v>
      </c>
      <c r="K209">
        <v>20486</v>
      </c>
      <c r="L209">
        <v>-21.64</v>
      </c>
      <c r="M209">
        <v>4.29</v>
      </c>
      <c r="N209">
        <v>11.89</v>
      </c>
      <c r="O209">
        <v>12.97</v>
      </c>
      <c r="P209" t="b">
        <v>1</v>
      </c>
      <c r="Q209">
        <v>0</v>
      </c>
      <c r="R209">
        <v>2747</v>
      </c>
      <c r="S209">
        <v>2709</v>
      </c>
      <c r="T209">
        <v>-1.4</v>
      </c>
      <c r="U209" t="s">
        <v>739</v>
      </c>
      <c r="V209" t="s">
        <v>987</v>
      </c>
      <c r="W209">
        <v>22.80745957295487</v>
      </c>
      <c r="X209">
        <v>63.1</v>
      </c>
      <c r="Y209" t="s">
        <v>1225</v>
      </c>
      <c r="Z209">
        <v>45.25862752809535</v>
      </c>
      <c r="AA209">
        <v>5123</v>
      </c>
      <c r="AB209">
        <v>88001</v>
      </c>
      <c r="AC209" t="s">
        <v>1472</v>
      </c>
      <c r="AD209">
        <v>37.36</v>
      </c>
      <c r="AE209" t="s">
        <v>1720</v>
      </c>
      <c r="AF209" t="s">
        <v>1968</v>
      </c>
      <c r="AG209">
        <v>2896</v>
      </c>
      <c r="AH209">
        <v>603</v>
      </c>
      <c r="AI209">
        <v>620108</v>
      </c>
    </row>
    <row r="210" spans="1:36">
      <c r="A210" s="1" t="s">
        <v>244</v>
      </c>
      <c r="B210" t="s">
        <v>492</v>
      </c>
      <c r="C210">
        <f>HYPERLINK("https://finance.naver.com/item/coinfo.nhn?code=244920", "A244920")</f>
        <v>0</v>
      </c>
      <c r="D210">
        <f>HYPERLINK("http://comp.fnguide.com/SVO2/ASP/SVD_Consensus.asp?pGB=1&amp;gicode=A244920&amp;cID=&amp;MenuYn=Y&amp;ReportGB=&amp;NewMenuID=108&amp;stkGb=701", "에이플러스에셋")</f>
        <v>0</v>
      </c>
      <c r="E210">
        <v>1</v>
      </c>
      <c r="F210">
        <v>9080</v>
      </c>
      <c r="G210">
        <v>2.77</v>
      </c>
      <c r="H210">
        <v>5.68</v>
      </c>
      <c r="I210">
        <v>13331</v>
      </c>
      <c r="J210">
        <v>7905</v>
      </c>
      <c r="K210">
        <v>6314</v>
      </c>
      <c r="L210">
        <v>-46.82</v>
      </c>
      <c r="M210">
        <v>12.94</v>
      </c>
      <c r="N210">
        <v>30.47</v>
      </c>
      <c r="O210">
        <v>26.58</v>
      </c>
      <c r="P210" t="b">
        <v>1</v>
      </c>
      <c r="Q210">
        <v>0</v>
      </c>
      <c r="R210">
        <v>977</v>
      </c>
      <c r="S210">
        <v>725</v>
      </c>
      <c r="T210">
        <v>-25.8</v>
      </c>
      <c r="U210" t="s">
        <v>740</v>
      </c>
      <c r="V210" t="s">
        <v>988</v>
      </c>
      <c r="W210">
        <v>2.047251463797495</v>
      </c>
      <c r="X210">
        <v>-39.8</v>
      </c>
      <c r="Y210" t="s">
        <v>1226</v>
      </c>
      <c r="Z210">
        <v>20.86876790969425</v>
      </c>
      <c r="AA210">
        <v>2053</v>
      </c>
      <c r="AB210">
        <v>835183</v>
      </c>
      <c r="AC210" t="s">
        <v>1473</v>
      </c>
      <c r="AD210">
        <v>35.32</v>
      </c>
      <c r="AE210" t="s">
        <v>1721</v>
      </c>
      <c r="AF210" t="s">
        <v>1969</v>
      </c>
      <c r="AG210">
        <v>2851</v>
      </c>
      <c r="AH210">
        <v>232</v>
      </c>
      <c r="AJ210">
        <v>6.31</v>
      </c>
    </row>
    <row r="211" spans="1:36">
      <c r="A211" s="1" t="s">
        <v>245</v>
      </c>
      <c r="B211" t="s">
        <v>493</v>
      </c>
      <c r="C211">
        <f>HYPERLINK("https://finance.naver.com/item/coinfo.nhn?code=134790", "A134790")</f>
        <v>0</v>
      </c>
      <c r="D211">
        <f>HYPERLINK("http://comp.fnguide.com/SVO2/ASP/SVD_Consensus.asp?pGB=1&amp;gicode=A134790&amp;cID=&amp;MenuYn=Y&amp;ReportGB=&amp;NewMenuID=108&amp;stkGb=701", "시디즈")</f>
        <v>0</v>
      </c>
      <c r="E211">
        <v>1</v>
      </c>
      <c r="F211">
        <v>78100</v>
      </c>
      <c r="G211">
        <v>0</v>
      </c>
      <c r="H211">
        <v>6.4</v>
      </c>
      <c r="I211">
        <v>117062</v>
      </c>
      <c r="J211">
        <v>64986</v>
      </c>
      <c r="K211">
        <v>49712</v>
      </c>
      <c r="L211">
        <v>-49.89</v>
      </c>
      <c r="M211">
        <v>16.79</v>
      </c>
      <c r="N211">
        <v>36.35</v>
      </c>
      <c r="O211">
        <v>33.43</v>
      </c>
      <c r="P211" t="b">
        <v>1</v>
      </c>
      <c r="Q211">
        <v>0</v>
      </c>
      <c r="R211">
        <v>8672</v>
      </c>
      <c r="U211" t="s">
        <v>741</v>
      </c>
      <c r="V211" t="s">
        <v>989</v>
      </c>
      <c r="W211">
        <v>0</v>
      </c>
      <c r="X211">
        <v>37.1</v>
      </c>
      <c r="Y211" t="s">
        <v>1227</v>
      </c>
      <c r="Z211">
        <v>181.7235274345116</v>
      </c>
      <c r="AA211">
        <v>1562</v>
      </c>
      <c r="AB211">
        <v>3479</v>
      </c>
      <c r="AC211" t="s">
        <v>1474</v>
      </c>
      <c r="AD211">
        <v>60.72</v>
      </c>
      <c r="AE211" t="s">
        <v>1722</v>
      </c>
      <c r="AF211" t="s">
        <v>1970</v>
      </c>
      <c r="AG211">
        <v>2275</v>
      </c>
      <c r="AH211">
        <v>197</v>
      </c>
      <c r="AI211">
        <v>321042</v>
      </c>
      <c r="AJ211">
        <v>0.54</v>
      </c>
    </row>
    <row r="212" spans="1:36">
      <c r="A212" s="1" t="s">
        <v>246</v>
      </c>
      <c r="B212" t="s">
        <v>494</v>
      </c>
      <c r="C212">
        <f>HYPERLINK("https://finance.naver.com/item/coinfo.nhn?code=003230", "A003230")</f>
        <v>0</v>
      </c>
      <c r="D212">
        <f>HYPERLINK("http://comp.fnguide.com/SVO2/ASP/SVD_Consensus.asp?pGB=1&amp;gicode=A003230&amp;cID=&amp;MenuYn=Y&amp;ReportGB=&amp;NewMenuID=108&amp;stkGb=701", "삼양식품")</f>
        <v>0</v>
      </c>
      <c r="E212">
        <v>1</v>
      </c>
      <c r="F212">
        <v>90000</v>
      </c>
      <c r="G212">
        <v>0.57</v>
      </c>
      <c r="H212">
        <v>11.32</v>
      </c>
      <c r="I212">
        <v>115809</v>
      </c>
      <c r="J212">
        <v>74182</v>
      </c>
      <c r="K212">
        <v>61973</v>
      </c>
      <c r="L212">
        <v>-28.68</v>
      </c>
      <c r="M212">
        <v>17.58</v>
      </c>
      <c r="N212">
        <v>31.14</v>
      </c>
      <c r="O212">
        <v>21.14</v>
      </c>
      <c r="P212" t="b">
        <v>1</v>
      </c>
      <c r="Q212">
        <v>0</v>
      </c>
      <c r="R212">
        <v>8922</v>
      </c>
      <c r="S212">
        <v>7972</v>
      </c>
      <c r="T212">
        <v>-10.6</v>
      </c>
      <c r="U212" t="s">
        <v>742</v>
      </c>
      <c r="V212" t="s">
        <v>990</v>
      </c>
      <c r="W212">
        <v>19.95246867559575</v>
      </c>
      <c r="X212">
        <v>-41.6</v>
      </c>
      <c r="Y212" t="s">
        <v>1228</v>
      </c>
      <c r="Z212">
        <v>16.47230459376652</v>
      </c>
      <c r="AA212">
        <v>6780</v>
      </c>
      <c r="AB212">
        <v>42712</v>
      </c>
      <c r="AC212" t="s">
        <v>1475</v>
      </c>
      <c r="AD212">
        <v>46.11</v>
      </c>
      <c r="AE212" t="s">
        <v>1723</v>
      </c>
      <c r="AF212" t="s">
        <v>1971</v>
      </c>
      <c r="AG212">
        <v>6485</v>
      </c>
      <c r="AH212">
        <v>953</v>
      </c>
      <c r="AI212">
        <v>409</v>
      </c>
      <c r="AJ212">
        <v>0.79</v>
      </c>
    </row>
    <row r="213" spans="1:36">
      <c r="A213" s="1" t="s">
        <v>247</v>
      </c>
      <c r="B213" t="s">
        <v>495</v>
      </c>
      <c r="C213">
        <f>HYPERLINK("https://finance.naver.com/item/coinfo.nhn?code=134380", "A134380")</f>
        <v>0</v>
      </c>
      <c r="D213">
        <f>HYPERLINK("http://comp.fnguide.com/SVO2/ASP/SVD_Consensus.asp?pGB=1&amp;gicode=A134380&amp;cID=&amp;MenuYn=Y&amp;ReportGB=&amp;NewMenuID=108&amp;stkGb=701", "미원화학")</f>
        <v>0</v>
      </c>
      <c r="E213">
        <v>1</v>
      </c>
      <c r="F213">
        <v>77000</v>
      </c>
      <c r="G213">
        <v>0</v>
      </c>
      <c r="H213">
        <v>9.880000000000001</v>
      </c>
      <c r="I213">
        <v>83547</v>
      </c>
      <c r="J213">
        <v>66899</v>
      </c>
      <c r="K213">
        <v>62017</v>
      </c>
      <c r="L213">
        <v>-8.5</v>
      </c>
      <c r="M213">
        <v>13.12</v>
      </c>
      <c r="N213">
        <v>19.46</v>
      </c>
      <c r="O213">
        <v>12.51</v>
      </c>
      <c r="P213" t="b">
        <v>1</v>
      </c>
      <c r="Q213">
        <v>0</v>
      </c>
      <c r="R213">
        <v>6264</v>
      </c>
      <c r="U213" t="s">
        <v>743</v>
      </c>
      <c r="V213" t="s">
        <v>991</v>
      </c>
      <c r="W213">
        <v>0</v>
      </c>
      <c r="X213">
        <v>-30</v>
      </c>
      <c r="Y213" t="s">
        <v>1229</v>
      </c>
      <c r="Z213">
        <v>-6.03871649379405</v>
      </c>
      <c r="AA213">
        <v>1693</v>
      </c>
      <c r="AB213">
        <v>275</v>
      </c>
      <c r="AC213" t="s">
        <v>1476</v>
      </c>
      <c r="AD213">
        <v>56.36</v>
      </c>
      <c r="AE213" t="s">
        <v>1724</v>
      </c>
      <c r="AF213" t="s">
        <v>1972</v>
      </c>
      <c r="AG213">
        <v>1602</v>
      </c>
      <c r="AH213">
        <v>162</v>
      </c>
      <c r="AI213">
        <v>161958</v>
      </c>
      <c r="AJ213">
        <v>4.04</v>
      </c>
    </row>
    <row r="214" spans="1:36">
      <c r="A214" s="1" t="s">
        <v>248</v>
      </c>
      <c r="B214" t="s">
        <v>496</v>
      </c>
      <c r="C214">
        <f>HYPERLINK("https://finance.naver.com/item/coinfo.nhn?code=049770", "A049770")</f>
        <v>0</v>
      </c>
      <c r="D214">
        <f>HYPERLINK("http://comp.fnguide.com/SVO2/ASP/SVD_Consensus.asp?pGB=1&amp;gicode=A049770&amp;cID=&amp;MenuYn=Y&amp;ReportGB=&amp;NewMenuID=108&amp;stkGb=701", "동원F&amp;B")</f>
        <v>0</v>
      </c>
      <c r="E214">
        <v>1</v>
      </c>
      <c r="F214">
        <v>236000</v>
      </c>
      <c r="G214">
        <v>0.57</v>
      </c>
      <c r="H214">
        <v>8.859999999999999</v>
      </c>
      <c r="I214">
        <v>240916</v>
      </c>
      <c r="J214">
        <v>212880</v>
      </c>
      <c r="K214">
        <v>204657</v>
      </c>
      <c r="L214">
        <v>-2.08</v>
      </c>
      <c r="M214">
        <v>9.800000000000001</v>
      </c>
      <c r="N214">
        <v>13.28</v>
      </c>
      <c r="O214">
        <v>10.33</v>
      </c>
      <c r="P214" t="b">
        <v>1</v>
      </c>
      <c r="Q214">
        <v>3</v>
      </c>
      <c r="R214">
        <v>20194</v>
      </c>
      <c r="S214">
        <v>22717</v>
      </c>
      <c r="T214">
        <v>12.5</v>
      </c>
      <c r="U214" t="s">
        <v>744</v>
      </c>
      <c r="V214" t="s">
        <v>992</v>
      </c>
      <c r="W214">
        <v>15.63889514041974</v>
      </c>
      <c r="X214">
        <v>25.5</v>
      </c>
      <c r="Y214" t="s">
        <v>1230</v>
      </c>
      <c r="Z214">
        <v>14.22457844412421</v>
      </c>
      <c r="AA214">
        <v>9108</v>
      </c>
      <c r="AB214">
        <v>11024</v>
      </c>
      <c r="AC214" t="s">
        <v>1477</v>
      </c>
      <c r="AD214">
        <v>74.40000000000001</v>
      </c>
      <c r="AE214" t="s">
        <v>1725</v>
      </c>
      <c r="AF214" t="s">
        <v>1973</v>
      </c>
      <c r="AG214">
        <v>31703</v>
      </c>
      <c r="AH214">
        <v>1163</v>
      </c>
      <c r="AJ214">
        <v>1.96</v>
      </c>
    </row>
    <row r="215" spans="1:36">
      <c r="A215" s="1" t="s">
        <v>249</v>
      </c>
      <c r="B215" t="s">
        <v>497</v>
      </c>
      <c r="C215">
        <f>HYPERLINK("https://finance.naver.com/item/coinfo.nhn?code=192080", "A192080")</f>
        <v>0</v>
      </c>
      <c r="D215">
        <f>HYPERLINK("http://comp.fnguide.com/SVO2/ASP/SVD_Consensus.asp?pGB=1&amp;gicode=A192080&amp;cID=&amp;MenuYn=Y&amp;ReportGB=&amp;NewMenuID=108&amp;stkGb=701", "더블유게임즈")</f>
        <v>0</v>
      </c>
      <c r="E215">
        <v>1</v>
      </c>
      <c r="F215">
        <v>67600</v>
      </c>
      <c r="G215">
        <v>0.6899999999999999</v>
      </c>
      <c r="H215">
        <v>9.82</v>
      </c>
      <c r="I215">
        <v>86427</v>
      </c>
      <c r="J215">
        <v>58930</v>
      </c>
      <c r="K215">
        <v>50865</v>
      </c>
      <c r="L215">
        <v>-27.85</v>
      </c>
      <c r="M215">
        <v>12.83</v>
      </c>
      <c r="N215">
        <v>24.76</v>
      </c>
      <c r="O215">
        <v>17.95</v>
      </c>
      <c r="P215" t="b">
        <v>1</v>
      </c>
      <c r="Q215">
        <v>3</v>
      </c>
      <c r="R215">
        <v>6127</v>
      </c>
      <c r="S215">
        <v>7244</v>
      </c>
      <c r="T215">
        <v>18.2</v>
      </c>
      <c r="U215" t="s">
        <v>745</v>
      </c>
      <c r="V215" t="s">
        <v>993</v>
      </c>
      <c r="W215">
        <v>14.14995317614489</v>
      </c>
      <c r="X215">
        <v>0.7</v>
      </c>
      <c r="Y215" t="s">
        <v>1231</v>
      </c>
      <c r="Z215">
        <v>16.72891284798446</v>
      </c>
      <c r="AA215">
        <v>12421</v>
      </c>
      <c r="AB215">
        <v>69435</v>
      </c>
      <c r="AC215" t="s">
        <v>1478</v>
      </c>
      <c r="AD215">
        <v>43.48</v>
      </c>
      <c r="AE215" t="s">
        <v>1726</v>
      </c>
      <c r="AF215" t="s">
        <v>1974</v>
      </c>
      <c r="AG215">
        <v>6582</v>
      </c>
      <c r="AH215">
        <v>1942</v>
      </c>
      <c r="AI215">
        <v>1398976</v>
      </c>
      <c r="AJ215">
        <v>0.58</v>
      </c>
    </row>
    <row r="216" spans="1:36">
      <c r="A216" s="1" t="s">
        <v>250</v>
      </c>
      <c r="B216" t="s">
        <v>498</v>
      </c>
      <c r="C216">
        <f>HYPERLINK("https://finance.naver.com/item/coinfo.nhn?code=047040", "A047040")</f>
        <v>0</v>
      </c>
      <c r="D216">
        <f>HYPERLINK("http://comp.fnguide.com/SVO2/ASP/SVD_Consensus.asp?pGB=1&amp;gicode=A047040&amp;cID=&amp;MenuYn=Y&amp;ReportGB=&amp;NewMenuID=108&amp;stkGb=701", "대우건설")</f>
        <v>0</v>
      </c>
      <c r="E216">
        <v>1</v>
      </c>
      <c r="F216">
        <v>8320</v>
      </c>
      <c r="G216">
        <v>0.39</v>
      </c>
      <c r="H216">
        <v>7.3</v>
      </c>
      <c r="I216">
        <v>8362</v>
      </c>
      <c r="J216">
        <v>7265</v>
      </c>
      <c r="K216">
        <v>6944</v>
      </c>
      <c r="L216">
        <v>-0.51</v>
      </c>
      <c r="M216">
        <v>12.68</v>
      </c>
      <c r="N216">
        <v>16.54</v>
      </c>
      <c r="O216">
        <v>10.66</v>
      </c>
      <c r="P216" t="b">
        <v>0</v>
      </c>
      <c r="Q216">
        <v>2</v>
      </c>
      <c r="R216">
        <v>683</v>
      </c>
      <c r="S216">
        <v>1210</v>
      </c>
      <c r="T216">
        <v>77.2</v>
      </c>
      <c r="U216" t="s">
        <v>746</v>
      </c>
      <c r="V216" t="s">
        <v>994</v>
      </c>
      <c r="W216">
        <v>18.95766250421111</v>
      </c>
      <c r="X216">
        <v>139.1</v>
      </c>
      <c r="Y216" t="s">
        <v>1232</v>
      </c>
      <c r="Z216">
        <v>27.24031429719258</v>
      </c>
      <c r="AA216">
        <v>34580</v>
      </c>
      <c r="AB216">
        <v>13553906</v>
      </c>
      <c r="AC216" t="s">
        <v>1479</v>
      </c>
      <c r="AD216">
        <v>50.76</v>
      </c>
      <c r="AE216" t="s">
        <v>1727</v>
      </c>
      <c r="AF216" t="s">
        <v>1975</v>
      </c>
      <c r="AG216">
        <v>81367</v>
      </c>
      <c r="AH216">
        <v>5583</v>
      </c>
      <c r="AI216">
        <v>4736918</v>
      </c>
    </row>
    <row r="217" spans="1:36">
      <c r="A217" s="1" t="s">
        <v>251</v>
      </c>
      <c r="B217" t="s">
        <v>499</v>
      </c>
      <c r="C217">
        <f>HYPERLINK("https://finance.naver.com/item/coinfo.nhn?code=013700", "A013700")</f>
        <v>0</v>
      </c>
      <c r="D217">
        <f>HYPERLINK("http://comp.fnguide.com/SVO2/ASP/SVD_Consensus.asp?pGB=1&amp;gicode=A013700&amp;cID=&amp;MenuYn=Y&amp;ReportGB=&amp;NewMenuID=108&amp;stkGb=701", "까뮤이앤씨")</f>
        <v>0</v>
      </c>
      <c r="E217">
        <v>1</v>
      </c>
      <c r="F217">
        <v>2570</v>
      </c>
      <c r="G217">
        <v>0</v>
      </c>
      <c r="H217">
        <v>14.69</v>
      </c>
      <c r="I217">
        <v>3010</v>
      </c>
      <c r="J217">
        <v>2335</v>
      </c>
      <c r="K217">
        <v>2136</v>
      </c>
      <c r="L217">
        <v>-17.13</v>
      </c>
      <c r="M217">
        <v>9.16</v>
      </c>
      <c r="N217">
        <v>16.87</v>
      </c>
      <c r="O217">
        <v>13.37</v>
      </c>
      <c r="P217" t="b">
        <v>0</v>
      </c>
      <c r="Q217">
        <v>0</v>
      </c>
      <c r="R217">
        <v>204</v>
      </c>
      <c r="U217" t="s">
        <v>747</v>
      </c>
      <c r="V217" t="s">
        <v>995</v>
      </c>
      <c r="W217">
        <v>0</v>
      </c>
      <c r="X217">
        <v>-81.7</v>
      </c>
      <c r="Y217" t="s">
        <v>1233</v>
      </c>
      <c r="Z217">
        <v>-12.36097118106223</v>
      </c>
      <c r="AA217">
        <v>1160</v>
      </c>
      <c r="AB217">
        <v>397531</v>
      </c>
      <c r="AC217" t="s">
        <v>1480</v>
      </c>
      <c r="AD217">
        <v>35.06</v>
      </c>
      <c r="AE217" t="s">
        <v>1728</v>
      </c>
      <c r="AF217" t="s">
        <v>1976</v>
      </c>
      <c r="AG217">
        <v>1617</v>
      </c>
      <c r="AH217">
        <v>28</v>
      </c>
      <c r="AI217">
        <v>840000</v>
      </c>
      <c r="AJ217">
        <v>0.67</v>
      </c>
    </row>
    <row r="218" spans="1:36">
      <c r="A218" s="1" t="s">
        <v>252</v>
      </c>
      <c r="B218" t="s">
        <v>500</v>
      </c>
      <c r="C218">
        <f>HYPERLINK("https://finance.naver.com/item/coinfo.nhn?code=011780", "A011780")</f>
        <v>0</v>
      </c>
      <c r="D218">
        <f>HYPERLINK("http://comp.fnguide.com/SVO2/ASP/SVD_Consensus.asp?pGB=1&amp;gicode=A011780&amp;cID=&amp;MenuYn=Y&amp;ReportGB=&amp;NewMenuID=108&amp;stkGb=701", "금호석유")</f>
        <v>0</v>
      </c>
      <c r="E218">
        <v>1</v>
      </c>
      <c r="F218">
        <v>233500</v>
      </c>
      <c r="G218">
        <v>0.16</v>
      </c>
      <c r="H218">
        <v>8.33</v>
      </c>
      <c r="I218">
        <v>273629</v>
      </c>
      <c r="J218">
        <v>186593</v>
      </c>
      <c r="K218">
        <v>161067</v>
      </c>
      <c r="L218">
        <v>-17.19</v>
      </c>
      <c r="M218">
        <v>20.09</v>
      </c>
      <c r="N218">
        <v>31.02</v>
      </c>
      <c r="O218">
        <v>17.94</v>
      </c>
      <c r="P218" t="b">
        <v>1</v>
      </c>
      <c r="Q218">
        <v>2</v>
      </c>
      <c r="R218">
        <v>17405</v>
      </c>
      <c r="S218">
        <v>51209</v>
      </c>
      <c r="T218">
        <v>194.2</v>
      </c>
      <c r="U218" t="s">
        <v>748</v>
      </c>
      <c r="V218" t="s">
        <v>996</v>
      </c>
      <c r="W218">
        <v>51.7329509944382</v>
      </c>
      <c r="X218">
        <v>272.8</v>
      </c>
      <c r="Y218" t="s">
        <v>1234</v>
      </c>
      <c r="Z218">
        <v>97.02333260422988</v>
      </c>
      <c r="AA218">
        <v>71142</v>
      </c>
      <c r="AB218">
        <v>325878</v>
      </c>
      <c r="AC218" t="s">
        <v>1481</v>
      </c>
      <c r="AD218">
        <v>25.06</v>
      </c>
      <c r="AE218" t="s">
        <v>1729</v>
      </c>
      <c r="AF218" t="s">
        <v>1977</v>
      </c>
      <c r="AG218">
        <v>48095</v>
      </c>
      <c r="AH218">
        <v>7422</v>
      </c>
      <c r="AI218">
        <v>5592528</v>
      </c>
      <c r="AJ218">
        <v>2.9</v>
      </c>
    </row>
    <row r="219" spans="1:36">
      <c r="A219" s="1" t="s">
        <v>253</v>
      </c>
      <c r="B219" t="s">
        <v>501</v>
      </c>
      <c r="C219">
        <f>HYPERLINK("https://finance.naver.com/item/coinfo.nhn?code=339770", "A339770")</f>
        <v>0</v>
      </c>
      <c r="D219">
        <f>HYPERLINK("http://comp.fnguide.com/SVO2/ASP/SVD_Consensus.asp?pGB=1&amp;gicode=A339770&amp;cID=&amp;MenuYn=Y&amp;ReportGB=&amp;NewMenuID=108&amp;stkGb=701", "교촌에프앤비")</f>
        <v>0</v>
      </c>
      <c r="E219">
        <v>1</v>
      </c>
      <c r="F219">
        <v>19800</v>
      </c>
      <c r="G219">
        <v>-1.07</v>
      </c>
      <c r="H219">
        <v>17.57</v>
      </c>
      <c r="I219">
        <v>21686</v>
      </c>
      <c r="J219">
        <v>12489</v>
      </c>
      <c r="K219">
        <v>9791</v>
      </c>
      <c r="L219">
        <v>-9.529999999999999</v>
      </c>
      <c r="M219">
        <v>36.93</v>
      </c>
      <c r="N219">
        <v>50.55</v>
      </c>
      <c r="O219">
        <v>29.3</v>
      </c>
      <c r="P219" t="b">
        <v>1</v>
      </c>
      <c r="Q219">
        <v>1</v>
      </c>
      <c r="R219">
        <v>1107</v>
      </c>
      <c r="S219">
        <v>1545</v>
      </c>
      <c r="T219">
        <v>39.6</v>
      </c>
      <c r="U219" t="s">
        <v>749</v>
      </c>
      <c r="V219" t="s">
        <v>997</v>
      </c>
      <c r="W219">
        <v>-16.3565166727141</v>
      </c>
      <c r="X219">
        <v>-2</v>
      </c>
      <c r="Y219" t="s">
        <v>1235</v>
      </c>
      <c r="Z219">
        <v>-49.44565027874371</v>
      </c>
      <c r="AA219">
        <v>4947</v>
      </c>
      <c r="AB219">
        <v>70191</v>
      </c>
      <c r="AC219" t="s">
        <v>1482</v>
      </c>
      <c r="AD219">
        <v>74.09999999999999</v>
      </c>
      <c r="AE219" t="s">
        <v>1730</v>
      </c>
      <c r="AF219" t="s">
        <v>1978</v>
      </c>
      <c r="AG219">
        <v>4476</v>
      </c>
      <c r="AH219">
        <v>410</v>
      </c>
      <c r="AJ219">
        <v>1.03</v>
      </c>
    </row>
    <row r="220" spans="1:36">
      <c r="A220" s="1" t="s">
        <v>254</v>
      </c>
      <c r="B220" t="s">
        <v>502</v>
      </c>
      <c r="C220">
        <f>HYPERLINK("https://finance.naver.com/item/coinfo.nhn?code=210980", "A210980")</f>
        <v>0</v>
      </c>
      <c r="D220">
        <f>HYPERLINK("http://comp.fnguide.com/SVO2/ASP/SVD_Consensus.asp?pGB=1&amp;gicode=A210980&amp;cID=&amp;MenuYn=Y&amp;ReportGB=&amp;NewMenuID=108&amp;stkGb=701", "SK디앤디")</f>
        <v>0</v>
      </c>
      <c r="E220">
        <v>1</v>
      </c>
      <c r="F220">
        <v>36700</v>
      </c>
      <c r="G220">
        <v>-1.19</v>
      </c>
      <c r="H220">
        <v>14.51</v>
      </c>
      <c r="I220">
        <v>48382</v>
      </c>
      <c r="J220">
        <v>36092</v>
      </c>
      <c r="K220">
        <v>32488</v>
      </c>
      <c r="L220">
        <v>-31.83</v>
      </c>
      <c r="M220">
        <v>1.66</v>
      </c>
      <c r="N220">
        <v>11.48</v>
      </c>
      <c r="O220">
        <v>14.54</v>
      </c>
      <c r="P220" t="b">
        <v>1</v>
      </c>
      <c r="Q220">
        <v>0</v>
      </c>
      <c r="R220">
        <v>2974</v>
      </c>
      <c r="S220">
        <v>2186</v>
      </c>
      <c r="T220">
        <v>-26.5</v>
      </c>
      <c r="U220" t="s">
        <v>750</v>
      </c>
      <c r="V220" t="s">
        <v>998</v>
      </c>
      <c r="W220">
        <v>-12.24030220572196</v>
      </c>
      <c r="X220">
        <v>-31</v>
      </c>
      <c r="Y220" t="s">
        <v>1236</v>
      </c>
      <c r="Z220">
        <v>4.03026624509224</v>
      </c>
      <c r="AA220">
        <v>6969</v>
      </c>
      <c r="AB220">
        <v>61317</v>
      </c>
      <c r="AC220" t="s">
        <v>1483</v>
      </c>
      <c r="AD220">
        <v>58.67</v>
      </c>
      <c r="AE220" t="s">
        <v>1731</v>
      </c>
      <c r="AF220" t="s">
        <v>1979</v>
      </c>
      <c r="AG220">
        <v>6998</v>
      </c>
      <c r="AH220">
        <v>1398</v>
      </c>
      <c r="AI220">
        <v>640</v>
      </c>
      <c r="AJ220">
        <v>1.39</v>
      </c>
    </row>
    <row r="221" spans="1:36">
      <c r="A221" s="1" t="s">
        <v>255</v>
      </c>
      <c r="B221" t="s">
        <v>503</v>
      </c>
      <c r="C221">
        <f>HYPERLINK("https://finance.naver.com/item/coinfo.nhn?code=267320", "A267320")</f>
        <v>0</v>
      </c>
      <c r="D221">
        <f>HYPERLINK("http://comp.fnguide.com/SVO2/ASP/SVD_Consensus.asp?pGB=1&amp;gicode=A267320&amp;cID=&amp;MenuYn=Y&amp;ReportGB=&amp;NewMenuID=108&amp;stkGb=701", "나인테크")</f>
        <v>0</v>
      </c>
      <c r="E221">
        <v>1</v>
      </c>
      <c r="F221">
        <v>4520</v>
      </c>
      <c r="G221">
        <v>0</v>
      </c>
      <c r="I221">
        <v>8438</v>
      </c>
      <c r="J221">
        <v>3874</v>
      </c>
      <c r="K221">
        <v>2535</v>
      </c>
      <c r="L221">
        <v>-86.69</v>
      </c>
      <c r="M221">
        <v>14.29</v>
      </c>
      <c r="N221">
        <v>43.91</v>
      </c>
      <c r="O221">
        <v>96.51000000000001</v>
      </c>
      <c r="P221" t="b">
        <v>0</v>
      </c>
      <c r="Q221">
        <v>0</v>
      </c>
      <c r="R221">
        <v>-31</v>
      </c>
      <c r="U221" t="s">
        <v>751</v>
      </c>
      <c r="V221" t="s">
        <v>999</v>
      </c>
      <c r="W221">
        <v>0</v>
      </c>
      <c r="X221">
        <v>-50</v>
      </c>
      <c r="Y221" t="s">
        <v>1237</v>
      </c>
      <c r="Z221">
        <v>1.612007164507867</v>
      </c>
      <c r="AA221">
        <v>1781</v>
      </c>
      <c r="AB221">
        <v>422445</v>
      </c>
      <c r="AC221" t="s">
        <v>1484</v>
      </c>
      <c r="AD221">
        <v>33.2</v>
      </c>
      <c r="AE221" t="s">
        <v>1732</v>
      </c>
      <c r="AF221" t="s">
        <v>1818</v>
      </c>
      <c r="AG221">
        <v>659</v>
      </c>
      <c r="AH221">
        <v>33</v>
      </c>
      <c r="AI221">
        <v>261560</v>
      </c>
    </row>
    <row r="222" spans="1:36">
      <c r="A222" s="1" t="s">
        <v>256</v>
      </c>
      <c r="B222" t="s">
        <v>504</v>
      </c>
      <c r="C222">
        <f>HYPERLINK("https://finance.naver.com/item/coinfo.nhn?code=144960", "A144960")</f>
        <v>0</v>
      </c>
      <c r="D222">
        <f>HYPERLINK("http://comp.fnguide.com/SVO2/ASP/SVD_Consensus.asp?pGB=1&amp;gicode=A144960&amp;cID=&amp;MenuYn=Y&amp;ReportGB=&amp;NewMenuID=108&amp;stkGb=701", "뉴파워프라즈마")</f>
        <v>0</v>
      </c>
      <c r="E222">
        <v>1</v>
      </c>
      <c r="F222">
        <v>6210</v>
      </c>
      <c r="G222">
        <v>0</v>
      </c>
      <c r="H222">
        <v>8.789999999999999</v>
      </c>
      <c r="I222">
        <v>6691</v>
      </c>
      <c r="J222">
        <v>5194</v>
      </c>
      <c r="K222">
        <v>4755</v>
      </c>
      <c r="L222">
        <v>-7.74</v>
      </c>
      <c r="M222">
        <v>16.36</v>
      </c>
      <c r="N222">
        <v>23.42</v>
      </c>
      <c r="O222">
        <v>13.34</v>
      </c>
      <c r="P222" t="b">
        <v>1</v>
      </c>
      <c r="Q222">
        <v>0</v>
      </c>
      <c r="R222">
        <v>750</v>
      </c>
      <c r="U222" t="s">
        <v>752</v>
      </c>
      <c r="V222" t="s">
        <v>1000</v>
      </c>
      <c r="W222">
        <v>0</v>
      </c>
      <c r="X222">
        <v>40.4</v>
      </c>
      <c r="Y222" t="s">
        <v>1238</v>
      </c>
      <c r="Z222">
        <v>24.78916958555286</v>
      </c>
      <c r="AA222">
        <v>2713</v>
      </c>
      <c r="AB222">
        <v>563155</v>
      </c>
      <c r="AC222" t="s">
        <v>1485</v>
      </c>
      <c r="AD222">
        <v>37.2</v>
      </c>
      <c r="AE222" t="s">
        <v>1733</v>
      </c>
      <c r="AF222" t="s">
        <v>1980</v>
      </c>
      <c r="AG222">
        <v>1088</v>
      </c>
      <c r="AH222">
        <v>109</v>
      </c>
      <c r="AI222">
        <v>2414229</v>
      </c>
      <c r="AJ222">
        <v>0.76</v>
      </c>
    </row>
    <row r="223" spans="1:36">
      <c r="A223" s="1" t="s">
        <v>257</v>
      </c>
      <c r="B223" t="s">
        <v>505</v>
      </c>
      <c r="C223">
        <f>HYPERLINK("https://finance.naver.com/item/coinfo.nhn?code=097520", "A097520")</f>
        <v>0</v>
      </c>
      <c r="D223">
        <f>HYPERLINK("http://comp.fnguide.com/SVO2/ASP/SVD_Consensus.asp?pGB=1&amp;gicode=A097520&amp;cID=&amp;MenuYn=Y&amp;ReportGB=&amp;NewMenuID=108&amp;stkGb=701", "엠씨넥스")</f>
        <v>0</v>
      </c>
      <c r="E223">
        <v>1</v>
      </c>
      <c r="F223">
        <v>48550</v>
      </c>
      <c r="G223">
        <v>1.23</v>
      </c>
      <c r="H223">
        <v>18.77</v>
      </c>
      <c r="I223">
        <v>48933</v>
      </c>
      <c r="J223">
        <v>28462</v>
      </c>
      <c r="K223">
        <v>22458</v>
      </c>
      <c r="L223">
        <v>-0.79</v>
      </c>
      <c r="M223">
        <v>41.38</v>
      </c>
      <c r="N223">
        <v>53.74</v>
      </c>
      <c r="O223">
        <v>28.32</v>
      </c>
      <c r="P223" t="b">
        <v>1</v>
      </c>
      <c r="Q223">
        <v>1</v>
      </c>
      <c r="R223">
        <v>2152</v>
      </c>
      <c r="S223">
        <v>2653</v>
      </c>
      <c r="T223">
        <v>23.3</v>
      </c>
      <c r="U223" t="s">
        <v>753</v>
      </c>
      <c r="V223" t="s">
        <v>1001</v>
      </c>
      <c r="W223">
        <v>15.31116723953709</v>
      </c>
      <c r="X223">
        <v>-44.3</v>
      </c>
      <c r="Y223" t="s">
        <v>1239</v>
      </c>
      <c r="Z223">
        <v>-11.52197743210793</v>
      </c>
      <c r="AA223">
        <v>8673</v>
      </c>
      <c r="AB223">
        <v>133475</v>
      </c>
      <c r="AC223" t="s">
        <v>1486</v>
      </c>
      <c r="AD223">
        <v>28.1</v>
      </c>
      <c r="AE223" t="s">
        <v>1734</v>
      </c>
      <c r="AF223" t="s">
        <v>1981</v>
      </c>
      <c r="AG223">
        <v>13113</v>
      </c>
      <c r="AH223">
        <v>592</v>
      </c>
      <c r="AI223">
        <v>230000</v>
      </c>
      <c r="AJ223">
        <v>1.24</v>
      </c>
    </row>
    <row r="224" spans="1:36">
      <c r="A224" s="1" t="s">
        <v>258</v>
      </c>
      <c r="B224" t="s">
        <v>506</v>
      </c>
      <c r="C224">
        <f>HYPERLINK("https://finance.naver.com/item/coinfo.nhn?code=090460", "A090460")</f>
        <v>0</v>
      </c>
      <c r="D224">
        <f>HYPERLINK("http://comp.fnguide.com/SVO2/ASP/SVD_Consensus.asp?pGB=1&amp;gicode=A090460&amp;cID=&amp;MenuYn=Y&amp;ReportGB=&amp;NewMenuID=108&amp;stkGb=701", "비에이치")</f>
        <v>0</v>
      </c>
      <c r="E224">
        <v>1</v>
      </c>
      <c r="F224">
        <v>18700</v>
      </c>
      <c r="G224">
        <v>-1.56</v>
      </c>
      <c r="H224">
        <v>28.36</v>
      </c>
      <c r="I224">
        <v>25330</v>
      </c>
      <c r="J224">
        <v>16371</v>
      </c>
      <c r="K224">
        <v>13743</v>
      </c>
      <c r="L224">
        <v>-35.45</v>
      </c>
      <c r="M224">
        <v>12.46</v>
      </c>
      <c r="N224">
        <v>26.51</v>
      </c>
      <c r="O224">
        <v>20.63</v>
      </c>
      <c r="P224" t="b">
        <v>1</v>
      </c>
      <c r="Q224">
        <v>1</v>
      </c>
      <c r="R224">
        <v>774</v>
      </c>
      <c r="S224">
        <v>1465</v>
      </c>
      <c r="T224">
        <v>89.3</v>
      </c>
      <c r="U224" t="s">
        <v>754</v>
      </c>
      <c r="V224" t="s">
        <v>1002</v>
      </c>
      <c r="W224">
        <v>-18.19356398142982</v>
      </c>
      <c r="X224">
        <v>0</v>
      </c>
      <c r="Y224" t="s">
        <v>1240</v>
      </c>
      <c r="Z224">
        <v>-19.48137745500871</v>
      </c>
      <c r="AA224">
        <v>6301</v>
      </c>
      <c r="AB224">
        <v>1866528</v>
      </c>
      <c r="AC224" t="s">
        <v>1487</v>
      </c>
      <c r="AD224">
        <v>22.27</v>
      </c>
      <c r="AE224" t="s">
        <v>1735</v>
      </c>
      <c r="AF224" t="s">
        <v>1982</v>
      </c>
      <c r="AG224">
        <v>7214</v>
      </c>
      <c r="AH224">
        <v>340</v>
      </c>
      <c r="AI224">
        <v>2586488</v>
      </c>
      <c r="AJ224">
        <v>1.14</v>
      </c>
    </row>
    <row r="225" spans="1:36">
      <c r="A225" s="1" t="s">
        <v>259</v>
      </c>
      <c r="B225" t="s">
        <v>507</v>
      </c>
      <c r="C225">
        <f>HYPERLINK("https://finance.naver.com/item/coinfo.nhn?code=239610", "A239610")</f>
        <v>0</v>
      </c>
      <c r="D225">
        <f>HYPERLINK("http://comp.fnguide.com/SVO2/ASP/SVD_Consensus.asp?pGB=1&amp;gicode=A239610&amp;cID=&amp;MenuYn=Y&amp;ReportGB=&amp;NewMenuID=108&amp;stkGb=701", "에이치엘사이언스")</f>
        <v>0</v>
      </c>
      <c r="E225">
        <v>1</v>
      </c>
      <c r="F225">
        <v>38850</v>
      </c>
      <c r="G225">
        <v>0</v>
      </c>
      <c r="H225">
        <v>12.34</v>
      </c>
      <c r="I225">
        <v>51320</v>
      </c>
      <c r="J225">
        <v>31749</v>
      </c>
      <c r="K225">
        <v>26009</v>
      </c>
      <c r="L225">
        <v>-32.1</v>
      </c>
      <c r="M225">
        <v>18.28</v>
      </c>
      <c r="N225">
        <v>33.05</v>
      </c>
      <c r="O225">
        <v>23.34</v>
      </c>
      <c r="P225" t="b">
        <v>1</v>
      </c>
      <c r="Q225">
        <v>0</v>
      </c>
      <c r="R225">
        <v>3643</v>
      </c>
      <c r="U225" t="s">
        <v>755</v>
      </c>
      <c r="V225" t="s">
        <v>1003</v>
      </c>
      <c r="W225">
        <v>0</v>
      </c>
      <c r="X225">
        <v>-46.7</v>
      </c>
      <c r="Y225" t="s">
        <v>1241</v>
      </c>
      <c r="Z225">
        <v>7.260804451220237</v>
      </c>
      <c r="AA225">
        <v>2095</v>
      </c>
      <c r="AB225">
        <v>9596</v>
      </c>
      <c r="AC225" t="s">
        <v>1488</v>
      </c>
      <c r="AD225">
        <v>63.27</v>
      </c>
      <c r="AE225" t="s">
        <v>1736</v>
      </c>
      <c r="AF225" t="s">
        <v>1983</v>
      </c>
      <c r="AG225">
        <v>1430</v>
      </c>
      <c r="AH225">
        <v>236</v>
      </c>
      <c r="AI225">
        <v>142792</v>
      </c>
      <c r="AJ225">
        <v>0.85</v>
      </c>
    </row>
    <row r="226" spans="1:36">
      <c r="A226" s="1" t="s">
        <v>260</v>
      </c>
      <c r="B226" t="s">
        <v>508</v>
      </c>
      <c r="C226">
        <f>HYPERLINK("https://finance.naver.com/item/coinfo.nhn?code=050760", "A050760")</f>
        <v>0</v>
      </c>
      <c r="D226">
        <f>HYPERLINK("http://comp.fnguide.com/SVO2/ASP/SVD_Consensus.asp?pGB=1&amp;gicode=A050760&amp;cID=&amp;MenuYn=Y&amp;ReportGB=&amp;NewMenuID=108&amp;stkGb=701", "에스폴리텍")</f>
        <v>0</v>
      </c>
      <c r="E226">
        <v>1</v>
      </c>
      <c r="F226">
        <v>5190</v>
      </c>
      <c r="G226">
        <v>0</v>
      </c>
      <c r="H226">
        <v>12.16</v>
      </c>
      <c r="I226">
        <v>6830</v>
      </c>
      <c r="J226">
        <v>5164</v>
      </c>
      <c r="K226">
        <v>4675</v>
      </c>
      <c r="L226">
        <v>-31.6</v>
      </c>
      <c r="M226">
        <v>0.5</v>
      </c>
      <c r="N226">
        <v>9.92</v>
      </c>
      <c r="O226">
        <v>14.12</v>
      </c>
      <c r="P226" t="b">
        <v>1</v>
      </c>
      <c r="Q226">
        <v>0</v>
      </c>
      <c r="R226">
        <v>473</v>
      </c>
      <c r="U226" t="s">
        <v>756</v>
      </c>
      <c r="V226" t="s">
        <v>1004</v>
      </c>
      <c r="W226">
        <v>0</v>
      </c>
      <c r="X226">
        <v>-12.2</v>
      </c>
      <c r="Y226" t="s">
        <v>1242</v>
      </c>
      <c r="Z226">
        <v>64.86945190126592</v>
      </c>
      <c r="AA226">
        <v>848</v>
      </c>
      <c r="AB226">
        <v>50202</v>
      </c>
      <c r="AC226" t="s">
        <v>1489</v>
      </c>
      <c r="AD226">
        <v>32.18</v>
      </c>
      <c r="AE226" t="s">
        <v>1737</v>
      </c>
      <c r="AF226" t="s">
        <v>1984</v>
      </c>
      <c r="AG226">
        <v>1352</v>
      </c>
      <c r="AH226">
        <v>142</v>
      </c>
      <c r="AI226">
        <v>891909</v>
      </c>
      <c r="AJ226">
        <v>0.87</v>
      </c>
    </row>
    <row r="227" spans="1:36">
      <c r="A227" s="1" t="s">
        <v>261</v>
      </c>
      <c r="B227" t="s">
        <v>509</v>
      </c>
      <c r="C227">
        <f>HYPERLINK("https://finance.naver.com/item/coinfo.nhn?code=041910", "A041910")</f>
        <v>0</v>
      </c>
      <c r="D227">
        <f>HYPERLINK("http://comp.fnguide.com/SVO2/ASP/SVD_Consensus.asp?pGB=1&amp;gicode=A041910&amp;cID=&amp;MenuYn=Y&amp;ReportGB=&amp;NewMenuID=108&amp;stkGb=701", "에스텍파마")</f>
        <v>0</v>
      </c>
      <c r="E227">
        <v>1</v>
      </c>
      <c r="F227">
        <v>12200</v>
      </c>
      <c r="G227">
        <v>0</v>
      </c>
      <c r="H227">
        <v>13.74</v>
      </c>
      <c r="I227">
        <v>13424</v>
      </c>
      <c r="J227">
        <v>11124</v>
      </c>
      <c r="K227">
        <v>10449</v>
      </c>
      <c r="L227">
        <v>-10.03</v>
      </c>
      <c r="M227">
        <v>8.82</v>
      </c>
      <c r="N227">
        <v>14.35</v>
      </c>
      <c r="O227">
        <v>11.68</v>
      </c>
      <c r="P227" t="b">
        <v>1</v>
      </c>
      <c r="Q227">
        <v>0</v>
      </c>
      <c r="R227">
        <v>921</v>
      </c>
      <c r="U227" t="s">
        <v>757</v>
      </c>
      <c r="V227" t="s">
        <v>1005</v>
      </c>
      <c r="W227">
        <v>0</v>
      </c>
      <c r="X227">
        <v>10.5</v>
      </c>
      <c r="Y227" t="s">
        <v>1243</v>
      </c>
      <c r="Z227">
        <v>22.78054982640798</v>
      </c>
      <c r="AA227">
        <v>1452</v>
      </c>
      <c r="AB227">
        <v>79244</v>
      </c>
      <c r="AC227" t="s">
        <v>1490</v>
      </c>
      <c r="AD227">
        <v>24.9</v>
      </c>
      <c r="AE227" t="s">
        <v>1738</v>
      </c>
      <c r="AF227" t="s">
        <v>1985</v>
      </c>
      <c r="AG227">
        <v>613</v>
      </c>
      <c r="AH227">
        <v>80</v>
      </c>
      <c r="AI227">
        <v>218257</v>
      </c>
      <c r="AJ227">
        <v>0.79</v>
      </c>
    </row>
    <row r="228" spans="1:36">
      <c r="A228" s="1" t="s">
        <v>262</v>
      </c>
      <c r="B228" t="s">
        <v>510</v>
      </c>
      <c r="C228">
        <f>HYPERLINK("https://finance.naver.com/item/coinfo.nhn?code=056190", "A056190")</f>
        <v>0</v>
      </c>
      <c r="D228">
        <f>HYPERLINK("http://comp.fnguide.com/SVO2/ASP/SVD_Consensus.asp?pGB=1&amp;gicode=A056190&amp;cID=&amp;MenuYn=Y&amp;ReportGB=&amp;NewMenuID=108&amp;stkGb=701", "에스에프에이")</f>
        <v>0</v>
      </c>
      <c r="E228">
        <v>1</v>
      </c>
      <c r="F228">
        <v>43150</v>
      </c>
      <c r="G228">
        <v>-2.24</v>
      </c>
      <c r="H228">
        <v>12.8</v>
      </c>
      <c r="I228">
        <v>49816</v>
      </c>
      <c r="J228">
        <v>37405</v>
      </c>
      <c r="K228">
        <v>33765</v>
      </c>
      <c r="L228">
        <v>-15.45</v>
      </c>
      <c r="M228">
        <v>13.31</v>
      </c>
      <c r="N228">
        <v>21.75</v>
      </c>
      <c r="O228">
        <v>14.33</v>
      </c>
      <c r="P228" t="b">
        <v>1</v>
      </c>
      <c r="Q228">
        <v>1</v>
      </c>
      <c r="R228">
        <v>3015</v>
      </c>
      <c r="S228">
        <v>3686</v>
      </c>
      <c r="T228">
        <v>22.3</v>
      </c>
      <c r="U228" t="s">
        <v>758</v>
      </c>
      <c r="V228" t="s">
        <v>1006</v>
      </c>
      <c r="W228">
        <v>-5.706404602985026</v>
      </c>
      <c r="X228">
        <v>27.5</v>
      </c>
      <c r="Y228" t="s">
        <v>1244</v>
      </c>
      <c r="Z228">
        <v>12.02567765485418</v>
      </c>
      <c r="AA228">
        <v>15495</v>
      </c>
      <c r="AB228">
        <v>143293</v>
      </c>
      <c r="AC228" t="s">
        <v>1491</v>
      </c>
      <c r="AD228">
        <v>54.03</v>
      </c>
      <c r="AE228" t="s">
        <v>1739</v>
      </c>
      <c r="AF228" t="s">
        <v>1986</v>
      </c>
      <c r="AG228">
        <v>15512</v>
      </c>
      <c r="AH228">
        <v>1673</v>
      </c>
      <c r="AI228">
        <v>8470</v>
      </c>
      <c r="AJ228">
        <v>2.46</v>
      </c>
    </row>
    <row r="229" spans="1:36">
      <c r="A229" s="1" t="s">
        <v>263</v>
      </c>
      <c r="B229" t="s">
        <v>511</v>
      </c>
      <c r="C229">
        <f>HYPERLINK("https://finance.naver.com/item/coinfo.nhn?code=255440", "A255440")</f>
        <v>0</v>
      </c>
      <c r="D229">
        <f>HYPERLINK("http://comp.fnguide.com/SVO2/ASP/SVD_Consensus.asp?pGB=1&amp;gicode=A255440&amp;cID=&amp;MenuYn=Y&amp;ReportGB=&amp;NewMenuID=108&amp;stkGb=701", "야스")</f>
        <v>0</v>
      </c>
      <c r="E229">
        <v>1</v>
      </c>
      <c r="F229">
        <v>16100</v>
      </c>
      <c r="G229">
        <v>0</v>
      </c>
      <c r="H229">
        <v>14.93</v>
      </c>
      <c r="I229">
        <v>18378</v>
      </c>
      <c r="J229">
        <v>14807</v>
      </c>
      <c r="K229">
        <v>13760</v>
      </c>
      <c r="L229">
        <v>-14.15</v>
      </c>
      <c r="M229">
        <v>8.029999999999999</v>
      </c>
      <c r="N229">
        <v>14.53</v>
      </c>
      <c r="O229">
        <v>12.36</v>
      </c>
      <c r="P229" t="b">
        <v>1</v>
      </c>
      <c r="Q229">
        <v>0</v>
      </c>
      <c r="R229">
        <v>894</v>
      </c>
      <c r="U229" t="s">
        <v>759</v>
      </c>
      <c r="V229" t="s">
        <v>1007</v>
      </c>
      <c r="W229">
        <v>0</v>
      </c>
      <c r="X229">
        <v>9.4</v>
      </c>
      <c r="Y229" t="s">
        <v>1245</v>
      </c>
      <c r="Z229">
        <v>-3.965534634539047</v>
      </c>
      <c r="AA229">
        <v>2102</v>
      </c>
      <c r="AB229">
        <v>29645</v>
      </c>
      <c r="AC229" t="s">
        <v>1492</v>
      </c>
      <c r="AD229">
        <v>46.59</v>
      </c>
      <c r="AE229" t="s">
        <v>1740</v>
      </c>
      <c r="AF229" t="s">
        <v>1987</v>
      </c>
      <c r="AG229">
        <v>551</v>
      </c>
      <c r="AH229">
        <v>23</v>
      </c>
      <c r="AI229">
        <v>64180</v>
      </c>
      <c r="AJ229">
        <v>0.75</v>
      </c>
    </row>
    <row r="230" spans="1:36">
      <c r="A230" s="1" t="s">
        <v>264</v>
      </c>
      <c r="B230" t="s">
        <v>512</v>
      </c>
      <c r="C230">
        <f>HYPERLINK("https://finance.naver.com/item/coinfo.nhn?code=129890", "A129890")</f>
        <v>0</v>
      </c>
      <c r="D230">
        <f>HYPERLINK("http://comp.fnguide.com/SVO2/ASP/SVD_Consensus.asp?pGB=1&amp;gicode=A129890&amp;cID=&amp;MenuYn=Y&amp;ReportGB=&amp;NewMenuID=108&amp;stkGb=701", "앱코")</f>
        <v>0</v>
      </c>
      <c r="E230">
        <v>1</v>
      </c>
      <c r="F230">
        <v>22650</v>
      </c>
      <c r="G230">
        <v>0.13</v>
      </c>
      <c r="H230">
        <v>11.99</v>
      </c>
      <c r="I230">
        <v>34544</v>
      </c>
      <c r="J230">
        <v>18969</v>
      </c>
      <c r="K230">
        <v>14401</v>
      </c>
      <c r="L230">
        <v>-52.51</v>
      </c>
      <c r="M230">
        <v>16.25</v>
      </c>
      <c r="N230">
        <v>36.42</v>
      </c>
      <c r="O230">
        <v>34.85</v>
      </c>
      <c r="P230" t="b">
        <v>1</v>
      </c>
      <c r="Q230">
        <v>3</v>
      </c>
      <c r="R230">
        <v>2319</v>
      </c>
      <c r="S230">
        <v>2642</v>
      </c>
      <c r="T230">
        <v>13.9</v>
      </c>
      <c r="U230" t="s">
        <v>760</v>
      </c>
      <c r="V230" t="s">
        <v>1008</v>
      </c>
      <c r="W230">
        <v>94.88698974554009</v>
      </c>
      <c r="X230">
        <v>410</v>
      </c>
      <c r="Y230" t="s">
        <v>1246</v>
      </c>
      <c r="Z230">
        <v>0</v>
      </c>
      <c r="AA230">
        <v>2195</v>
      </c>
      <c r="AB230">
        <v>72684</v>
      </c>
      <c r="AC230" t="s">
        <v>1493</v>
      </c>
      <c r="AD230">
        <v>54.19</v>
      </c>
      <c r="AE230" t="s">
        <v>1741</v>
      </c>
      <c r="AF230" t="s">
        <v>1988</v>
      </c>
      <c r="AG230">
        <v>1532</v>
      </c>
      <c r="AH230">
        <v>235</v>
      </c>
    </row>
    <row r="231" spans="1:36">
      <c r="A231" s="1" t="s">
        <v>265</v>
      </c>
      <c r="B231" t="s">
        <v>513</v>
      </c>
      <c r="C231">
        <f>HYPERLINK("https://finance.naver.com/item/coinfo.nhn?code=040910", "A040910")</f>
        <v>0</v>
      </c>
      <c r="D231">
        <f>HYPERLINK("http://comp.fnguide.com/SVO2/ASP/SVD_Consensus.asp?pGB=1&amp;gicode=A040910&amp;cID=&amp;MenuYn=Y&amp;ReportGB=&amp;NewMenuID=108&amp;stkGb=701", "아이씨디")</f>
        <v>0</v>
      </c>
      <c r="E231">
        <v>1</v>
      </c>
      <c r="F231">
        <v>15150</v>
      </c>
      <c r="G231">
        <v>9</v>
      </c>
      <c r="H231">
        <v>9.81</v>
      </c>
      <c r="I231">
        <v>21489</v>
      </c>
      <c r="J231">
        <v>15108</v>
      </c>
      <c r="K231">
        <v>13236</v>
      </c>
      <c r="L231">
        <v>-41.84</v>
      </c>
      <c r="M231">
        <v>0.28</v>
      </c>
      <c r="N231">
        <v>12.63</v>
      </c>
      <c r="O231">
        <v>16.66</v>
      </c>
      <c r="P231" t="b">
        <v>1</v>
      </c>
      <c r="Q231">
        <v>0</v>
      </c>
      <c r="R231">
        <v>1866</v>
      </c>
      <c r="S231">
        <v>1850</v>
      </c>
      <c r="T231">
        <v>-0.9</v>
      </c>
      <c r="U231" t="s">
        <v>761</v>
      </c>
      <c r="V231" t="s">
        <v>1009</v>
      </c>
      <c r="W231">
        <v>1.090010273841879</v>
      </c>
      <c r="X231">
        <v>-70.7</v>
      </c>
      <c r="Y231" t="s">
        <v>1247</v>
      </c>
      <c r="Z231">
        <v>-2.768667391166291</v>
      </c>
      <c r="AA231">
        <v>2737</v>
      </c>
      <c r="AB231">
        <v>114092</v>
      </c>
      <c r="AC231" t="s">
        <v>1494</v>
      </c>
      <c r="AD231">
        <v>23.87</v>
      </c>
      <c r="AE231" t="s">
        <v>1742</v>
      </c>
      <c r="AF231" t="s">
        <v>1989</v>
      </c>
      <c r="AG231">
        <v>3090</v>
      </c>
      <c r="AH231">
        <v>501</v>
      </c>
      <c r="AI231">
        <v>1298869</v>
      </c>
      <c r="AJ231">
        <v>1.91</v>
      </c>
    </row>
    <row r="232" spans="1:36">
      <c r="A232" s="1" t="s">
        <v>266</v>
      </c>
      <c r="B232" t="s">
        <v>514</v>
      </c>
      <c r="C232">
        <f>HYPERLINK("https://finance.naver.com/item/coinfo.nhn?code=096530", "A096530")</f>
        <v>0</v>
      </c>
      <c r="D232">
        <f>HYPERLINK("http://comp.fnguide.com/SVO2/ASP/SVD_Consensus.asp?pGB=1&amp;gicode=A096530&amp;cID=&amp;MenuYn=Y&amp;ReportGB=&amp;NewMenuID=108&amp;stkGb=701", "씨젠")</f>
        <v>0</v>
      </c>
      <c r="E232">
        <v>1</v>
      </c>
      <c r="F232">
        <v>67700</v>
      </c>
      <c r="G232">
        <v>0.04</v>
      </c>
      <c r="H232">
        <v>10.09</v>
      </c>
      <c r="I232">
        <v>106037</v>
      </c>
      <c r="J232">
        <v>50646</v>
      </c>
      <c r="K232">
        <v>34400</v>
      </c>
      <c r="L232">
        <v>-56.63</v>
      </c>
      <c r="M232">
        <v>25.19</v>
      </c>
      <c r="N232">
        <v>49.19</v>
      </c>
      <c r="O232">
        <v>70.75</v>
      </c>
      <c r="P232" t="b">
        <v>1</v>
      </c>
      <c r="Q232">
        <v>3</v>
      </c>
      <c r="R232">
        <v>9617</v>
      </c>
      <c r="S232">
        <v>9962</v>
      </c>
      <c r="T232">
        <v>3.6</v>
      </c>
      <c r="U232" t="s">
        <v>762</v>
      </c>
      <c r="V232" t="s">
        <v>1010</v>
      </c>
      <c r="W232">
        <v>264.9504339023655</v>
      </c>
      <c r="X232">
        <v>389.7</v>
      </c>
      <c r="Y232" t="s">
        <v>1248</v>
      </c>
      <c r="Z232">
        <v>221.8055232387338</v>
      </c>
      <c r="AA232">
        <v>35357</v>
      </c>
      <c r="AB232">
        <v>731806</v>
      </c>
      <c r="AC232" t="s">
        <v>1495</v>
      </c>
      <c r="AD232">
        <v>31.34</v>
      </c>
      <c r="AE232" t="s">
        <v>1743</v>
      </c>
      <c r="AF232" t="s">
        <v>1990</v>
      </c>
      <c r="AG232">
        <v>11252</v>
      </c>
      <c r="AH232">
        <v>6762</v>
      </c>
      <c r="AI232">
        <v>350521</v>
      </c>
      <c r="AJ232">
        <v>0.78</v>
      </c>
    </row>
    <row r="233" spans="1:36">
      <c r="A233" s="1" t="s">
        <v>267</v>
      </c>
      <c r="B233" t="s">
        <v>515</v>
      </c>
      <c r="C233">
        <f>HYPERLINK("https://finance.naver.com/item/coinfo.nhn?code=352700", "A352700")</f>
        <v>0</v>
      </c>
      <c r="D233">
        <f>HYPERLINK("http://comp.fnguide.com/SVO2/ASP/SVD_Consensus.asp?pGB=1&amp;gicode=A352700&amp;cID=&amp;MenuYn=Y&amp;ReportGB=&amp;NewMenuID=108&amp;stkGb=701", "씨앤투스성진")</f>
        <v>0</v>
      </c>
      <c r="E233">
        <v>1</v>
      </c>
      <c r="F233">
        <v>19750</v>
      </c>
      <c r="G233">
        <v>0</v>
      </c>
      <c r="I233">
        <v>34883</v>
      </c>
      <c r="J233">
        <v>18766</v>
      </c>
      <c r="K233">
        <v>14039</v>
      </c>
      <c r="L233">
        <v>-76.62</v>
      </c>
      <c r="M233">
        <v>4.98</v>
      </c>
      <c r="N233">
        <v>28.92</v>
      </c>
      <c r="O233">
        <v>37.85</v>
      </c>
      <c r="P233" t="b">
        <v>0</v>
      </c>
      <c r="Q233">
        <v>3</v>
      </c>
      <c r="R233">
        <v>4082</v>
      </c>
      <c r="S233">
        <v>5319</v>
      </c>
      <c r="T233">
        <v>30.3</v>
      </c>
      <c r="U233" t="s">
        <v>763</v>
      </c>
      <c r="V233" t="s">
        <v>1011</v>
      </c>
      <c r="W233">
        <v>0</v>
      </c>
      <c r="X233">
        <v>0</v>
      </c>
      <c r="Y233" t="s">
        <v>1249</v>
      </c>
      <c r="Z233">
        <v>41.90000000000001</v>
      </c>
      <c r="AA233">
        <v>1974</v>
      </c>
      <c r="AB233">
        <v>263365</v>
      </c>
      <c r="AC233" t="s">
        <v>1496</v>
      </c>
      <c r="AD233">
        <v>38.4</v>
      </c>
      <c r="AE233" t="s">
        <v>1744</v>
      </c>
      <c r="AF233" t="s">
        <v>1991</v>
      </c>
      <c r="AG233">
        <v>1579</v>
      </c>
      <c r="AH233">
        <v>687</v>
      </c>
      <c r="AI233">
        <v>400000</v>
      </c>
    </row>
    <row r="234" spans="1:36">
      <c r="A234" s="1" t="s">
        <v>268</v>
      </c>
      <c r="B234" t="s">
        <v>516</v>
      </c>
      <c r="C234">
        <f>HYPERLINK("https://finance.naver.com/item/coinfo.nhn?code=264660", "A264660")</f>
        <v>0</v>
      </c>
      <c r="D234">
        <f>HYPERLINK("http://comp.fnguide.com/SVO2/ASP/SVD_Consensus.asp?pGB=1&amp;gicode=A264660&amp;cID=&amp;MenuYn=Y&amp;ReportGB=&amp;NewMenuID=108&amp;stkGb=701", "씨앤지하이테크")</f>
        <v>0</v>
      </c>
      <c r="E234">
        <v>1</v>
      </c>
      <c r="F234">
        <v>13200</v>
      </c>
      <c r="G234">
        <v>0</v>
      </c>
      <c r="H234">
        <v>11.98</v>
      </c>
      <c r="I234">
        <v>18739</v>
      </c>
      <c r="J234">
        <v>12964</v>
      </c>
      <c r="K234">
        <v>11270</v>
      </c>
      <c r="L234">
        <v>-41.96</v>
      </c>
      <c r="M234">
        <v>1.79</v>
      </c>
      <c r="N234">
        <v>14.62</v>
      </c>
      <c r="O234">
        <v>17.32</v>
      </c>
      <c r="P234" t="b">
        <v>1</v>
      </c>
      <c r="Q234">
        <v>0</v>
      </c>
      <c r="R234">
        <v>1160</v>
      </c>
      <c r="U234" t="s">
        <v>764</v>
      </c>
      <c r="V234" t="s">
        <v>1012</v>
      </c>
      <c r="W234">
        <v>0</v>
      </c>
      <c r="X234">
        <v>91.5</v>
      </c>
      <c r="Y234" t="s">
        <v>1250</v>
      </c>
      <c r="Z234">
        <v>17.22412834973002</v>
      </c>
      <c r="AA234">
        <v>1110</v>
      </c>
      <c r="AB234">
        <v>14996</v>
      </c>
      <c r="AC234" t="s">
        <v>1497</v>
      </c>
      <c r="AD234">
        <v>33.44</v>
      </c>
      <c r="AE234" t="s">
        <v>1745</v>
      </c>
      <c r="AF234" t="s">
        <v>1992</v>
      </c>
      <c r="AG234">
        <v>1192</v>
      </c>
      <c r="AH234">
        <v>119</v>
      </c>
      <c r="AI234">
        <v>299270</v>
      </c>
      <c r="AJ234">
        <v>2.52</v>
      </c>
    </row>
    <row r="235" spans="1:36">
      <c r="A235" s="1" t="s">
        <v>269</v>
      </c>
      <c r="B235" t="s">
        <v>517</v>
      </c>
      <c r="C235">
        <f>HYPERLINK("https://finance.naver.com/item/coinfo.nhn?code=236200", "A236200")</f>
        <v>0</v>
      </c>
      <c r="D235">
        <f>HYPERLINK("http://comp.fnguide.com/SVO2/ASP/SVD_Consensus.asp?pGB=1&amp;gicode=A236200&amp;cID=&amp;MenuYn=Y&amp;ReportGB=&amp;NewMenuID=108&amp;stkGb=701", "슈프리마")</f>
        <v>0</v>
      </c>
      <c r="E235">
        <v>1</v>
      </c>
      <c r="F235">
        <v>27050</v>
      </c>
      <c r="G235">
        <v>0</v>
      </c>
      <c r="H235">
        <v>22.67</v>
      </c>
      <c r="I235">
        <v>30082</v>
      </c>
      <c r="J235">
        <v>24348</v>
      </c>
      <c r="K235">
        <v>22666</v>
      </c>
      <c r="L235">
        <v>-11.21</v>
      </c>
      <c r="M235">
        <v>9.99</v>
      </c>
      <c r="N235">
        <v>16.21</v>
      </c>
      <c r="O235">
        <v>12.24</v>
      </c>
      <c r="P235" t="b">
        <v>1</v>
      </c>
      <c r="Q235">
        <v>0</v>
      </c>
      <c r="R235">
        <v>1310</v>
      </c>
      <c r="U235" t="s">
        <v>765</v>
      </c>
      <c r="V235" t="s">
        <v>1013</v>
      </c>
      <c r="W235">
        <v>0</v>
      </c>
      <c r="X235">
        <v>-22.4</v>
      </c>
      <c r="Y235" t="s">
        <v>1251</v>
      </c>
      <c r="Z235">
        <v>-8.310532392806181</v>
      </c>
      <c r="AA235">
        <v>1946</v>
      </c>
      <c r="AB235">
        <v>30268</v>
      </c>
      <c r="AC235" t="s">
        <v>1498</v>
      </c>
      <c r="AD235">
        <v>30.38</v>
      </c>
      <c r="AE235" t="s">
        <v>1746</v>
      </c>
      <c r="AF235" t="s">
        <v>1993</v>
      </c>
      <c r="AG235">
        <v>578</v>
      </c>
      <c r="AH235">
        <v>106</v>
      </c>
      <c r="AI235">
        <v>38881</v>
      </c>
    </row>
    <row r="236" spans="1:36">
      <c r="A236" s="1" t="s">
        <v>270</v>
      </c>
      <c r="B236" t="s">
        <v>518</v>
      </c>
      <c r="C236">
        <f>HYPERLINK("https://finance.naver.com/item/coinfo.nhn?code=337930", "A337930")</f>
        <v>0</v>
      </c>
      <c r="D236">
        <f>HYPERLINK("http://comp.fnguide.com/SVO2/ASP/SVD_Consensus.asp?pGB=1&amp;gicode=A337930&amp;cID=&amp;MenuYn=Y&amp;ReportGB=&amp;NewMenuID=108&amp;stkGb=701", "브랜드엑스코퍼레이션")</f>
        <v>0</v>
      </c>
      <c r="E236">
        <v>1</v>
      </c>
      <c r="F236">
        <v>11950</v>
      </c>
      <c r="G236">
        <v>0.49</v>
      </c>
      <c r="H236">
        <v>27</v>
      </c>
      <c r="I236">
        <v>14893</v>
      </c>
      <c r="J236">
        <v>8052</v>
      </c>
      <c r="K236">
        <v>6046</v>
      </c>
      <c r="L236">
        <v>-24.63</v>
      </c>
      <c r="M236">
        <v>32.62</v>
      </c>
      <c r="N236">
        <v>49.41</v>
      </c>
      <c r="O236">
        <v>37.08</v>
      </c>
      <c r="P236" t="b">
        <v>1</v>
      </c>
      <c r="Q236">
        <v>1</v>
      </c>
      <c r="R236">
        <v>396</v>
      </c>
      <c r="S236">
        <v>948</v>
      </c>
      <c r="T236">
        <v>139.4</v>
      </c>
      <c r="U236" t="s">
        <v>766</v>
      </c>
      <c r="V236" t="s">
        <v>1014</v>
      </c>
      <c r="W236">
        <v>55.53945358700369</v>
      </c>
      <c r="X236">
        <v>-4</v>
      </c>
      <c r="Y236" t="s">
        <v>1252</v>
      </c>
      <c r="Z236">
        <v>0</v>
      </c>
      <c r="AA236">
        <v>2278</v>
      </c>
      <c r="AB236">
        <v>124220</v>
      </c>
      <c r="AC236" t="s">
        <v>1499</v>
      </c>
      <c r="AD236">
        <v>49.28</v>
      </c>
      <c r="AE236" t="s">
        <v>1747</v>
      </c>
      <c r="AF236" t="s">
        <v>1994</v>
      </c>
      <c r="AG236">
        <v>1397</v>
      </c>
      <c r="AH236">
        <v>81</v>
      </c>
      <c r="AI236">
        <v>193613</v>
      </c>
      <c r="AJ236">
        <v>1.03</v>
      </c>
    </row>
    <row r="237" spans="1:36">
      <c r="A237" s="1" t="s">
        <v>271</v>
      </c>
      <c r="B237" t="s">
        <v>519</v>
      </c>
      <c r="C237">
        <f>HYPERLINK("https://finance.naver.com/item/coinfo.nhn?code=119860", "A119860")</f>
        <v>0</v>
      </c>
      <c r="D237">
        <f>HYPERLINK("http://comp.fnguide.com/SVO2/ASP/SVD_Consensus.asp?pGB=1&amp;gicode=A119860&amp;cID=&amp;MenuYn=Y&amp;ReportGB=&amp;NewMenuID=108&amp;stkGb=701", "다나와")</f>
        <v>0</v>
      </c>
      <c r="E237">
        <v>1</v>
      </c>
      <c r="F237">
        <v>28600</v>
      </c>
      <c r="G237">
        <v>0.47</v>
      </c>
      <c r="H237">
        <v>13</v>
      </c>
      <c r="I237">
        <v>30156</v>
      </c>
      <c r="J237">
        <v>18556</v>
      </c>
      <c r="K237">
        <v>15154</v>
      </c>
      <c r="L237">
        <v>-5.44</v>
      </c>
      <c r="M237">
        <v>35.12</v>
      </c>
      <c r="N237">
        <v>47.01</v>
      </c>
      <c r="O237">
        <v>23.71</v>
      </c>
      <c r="P237" t="b">
        <v>1</v>
      </c>
      <c r="Q237">
        <v>3</v>
      </c>
      <c r="R237">
        <v>2366</v>
      </c>
      <c r="S237">
        <v>2600</v>
      </c>
      <c r="T237">
        <v>9.9</v>
      </c>
      <c r="U237" t="s">
        <v>767</v>
      </c>
      <c r="V237" t="s">
        <v>1015</v>
      </c>
      <c r="W237">
        <v>27.48607934138225</v>
      </c>
      <c r="X237">
        <v>10.1</v>
      </c>
      <c r="Y237" t="s">
        <v>1253</v>
      </c>
      <c r="Z237">
        <v>30.67414885637352</v>
      </c>
      <c r="AA237">
        <v>3739</v>
      </c>
      <c r="AB237">
        <v>74304</v>
      </c>
      <c r="AC237" t="s">
        <v>1500</v>
      </c>
      <c r="AD237">
        <v>51.35</v>
      </c>
      <c r="AE237" t="s">
        <v>1748</v>
      </c>
      <c r="AF237" t="s">
        <v>1995</v>
      </c>
      <c r="AG237">
        <v>2320</v>
      </c>
      <c r="AH237">
        <v>378</v>
      </c>
      <c r="AI237">
        <v>115000</v>
      </c>
      <c r="AJ237">
        <v>1.95</v>
      </c>
    </row>
    <row r="238" spans="1:36">
      <c r="A238" s="1" t="s">
        <v>272</v>
      </c>
      <c r="B238" t="s">
        <v>520</v>
      </c>
      <c r="C238">
        <f>HYPERLINK("https://finance.naver.com/item/coinfo.nhn?code=064550", "A064550")</f>
        <v>0</v>
      </c>
      <c r="D238">
        <f>HYPERLINK("http://comp.fnguide.com/SVO2/ASP/SVD_Consensus.asp?pGB=1&amp;gicode=A064550&amp;cID=&amp;MenuYn=Y&amp;ReportGB=&amp;NewMenuID=108&amp;stkGb=701", "바이오니아")</f>
        <v>0</v>
      </c>
      <c r="E238">
        <v>1</v>
      </c>
      <c r="F238">
        <v>17350</v>
      </c>
      <c r="G238">
        <v>0</v>
      </c>
      <c r="H238">
        <v>7.72</v>
      </c>
      <c r="I238">
        <v>22933</v>
      </c>
      <c r="J238">
        <v>12790</v>
      </c>
      <c r="K238">
        <v>9815</v>
      </c>
      <c r="L238">
        <v>-32.18</v>
      </c>
      <c r="M238">
        <v>26.28</v>
      </c>
      <c r="N238">
        <v>43.43</v>
      </c>
      <c r="O238">
        <v>32.85</v>
      </c>
      <c r="P238" t="b">
        <v>1</v>
      </c>
      <c r="Q238">
        <v>3</v>
      </c>
      <c r="R238">
        <v>2301</v>
      </c>
      <c r="S238">
        <v>3966</v>
      </c>
      <c r="T238">
        <v>72.40000000000001</v>
      </c>
      <c r="U238" t="s">
        <v>768</v>
      </c>
      <c r="V238" t="s">
        <v>1016</v>
      </c>
      <c r="W238">
        <v>0</v>
      </c>
      <c r="X238">
        <v>0</v>
      </c>
      <c r="Y238" t="s">
        <v>1099</v>
      </c>
      <c r="Z238">
        <v>0</v>
      </c>
      <c r="AA238">
        <v>4360</v>
      </c>
      <c r="AB238">
        <v>137171</v>
      </c>
      <c r="AC238" t="s">
        <v>1501</v>
      </c>
      <c r="AD238">
        <v>16.28</v>
      </c>
      <c r="AE238" t="s">
        <v>1749</v>
      </c>
      <c r="AF238" t="s">
        <v>1996</v>
      </c>
      <c r="AG238">
        <v>2070</v>
      </c>
      <c r="AH238">
        <v>1052</v>
      </c>
    </row>
    <row r="239" spans="1:36">
      <c r="A239" s="1" t="s">
        <v>273</v>
      </c>
      <c r="B239" t="s">
        <v>521</v>
      </c>
      <c r="C239">
        <f>HYPERLINK("https://finance.naver.com/item/coinfo.nhn?code=214180", "A214180")</f>
        <v>0</v>
      </c>
      <c r="D239">
        <f>HYPERLINK("http://comp.fnguide.com/SVO2/ASP/SVD_Consensus.asp?pGB=1&amp;gicode=A214180&amp;cID=&amp;MenuYn=Y&amp;ReportGB=&amp;NewMenuID=108&amp;stkGb=701", "민앤지")</f>
        <v>0</v>
      </c>
      <c r="E239">
        <v>1</v>
      </c>
      <c r="F239">
        <v>19000</v>
      </c>
      <c r="G239">
        <v>0.63</v>
      </c>
      <c r="H239">
        <v>11.62</v>
      </c>
      <c r="I239">
        <v>21457</v>
      </c>
      <c r="J239">
        <v>15492</v>
      </c>
      <c r="K239">
        <v>13743</v>
      </c>
      <c r="L239">
        <v>-12.93</v>
      </c>
      <c r="M239">
        <v>18.46</v>
      </c>
      <c r="N239">
        <v>27.67</v>
      </c>
      <c r="O239">
        <v>15.65</v>
      </c>
      <c r="P239" t="b">
        <v>1</v>
      </c>
      <c r="Q239">
        <v>3</v>
      </c>
      <c r="R239">
        <v>1532</v>
      </c>
      <c r="S239">
        <v>1786</v>
      </c>
      <c r="T239">
        <v>16.6</v>
      </c>
      <c r="U239" t="s">
        <v>769</v>
      </c>
      <c r="V239" t="s">
        <v>1017</v>
      </c>
      <c r="W239">
        <v>18.57228274688975</v>
      </c>
      <c r="X239">
        <v>28.4</v>
      </c>
      <c r="Y239" t="s">
        <v>1254</v>
      </c>
      <c r="Z239">
        <v>17.2732684935641</v>
      </c>
      <c r="AA239">
        <v>2349</v>
      </c>
      <c r="AB239">
        <v>98111</v>
      </c>
      <c r="AC239" t="s">
        <v>1502</v>
      </c>
      <c r="AD239">
        <v>32.58</v>
      </c>
      <c r="AE239" t="s">
        <v>1750</v>
      </c>
      <c r="AF239" t="s">
        <v>1997</v>
      </c>
      <c r="AG239">
        <v>1709</v>
      </c>
      <c r="AH239">
        <v>282</v>
      </c>
      <c r="AI239">
        <v>998795</v>
      </c>
      <c r="AJ239">
        <v>1.91</v>
      </c>
    </row>
    <row r="240" spans="1:36">
      <c r="A240" s="1" t="s">
        <v>274</v>
      </c>
      <c r="B240" t="s">
        <v>522</v>
      </c>
      <c r="C240">
        <f>HYPERLINK("https://finance.naver.com/item/coinfo.nhn?code=058110", "A058110")</f>
        <v>0</v>
      </c>
      <c r="D240">
        <f>HYPERLINK("http://comp.fnguide.com/SVO2/ASP/SVD_Consensus.asp?pGB=1&amp;gicode=A058110&amp;cID=&amp;MenuYn=Y&amp;ReportGB=&amp;NewMenuID=108&amp;stkGb=701", "멕아이씨에스")</f>
        <v>0</v>
      </c>
      <c r="E240">
        <v>1</v>
      </c>
      <c r="F240">
        <v>15400</v>
      </c>
      <c r="G240">
        <v>0</v>
      </c>
      <c r="H240">
        <v>10.51</v>
      </c>
      <c r="I240">
        <v>16423</v>
      </c>
      <c r="J240">
        <v>8129</v>
      </c>
      <c r="K240">
        <v>5696</v>
      </c>
      <c r="L240">
        <v>-6.64</v>
      </c>
      <c r="M240">
        <v>47.22</v>
      </c>
      <c r="N240">
        <v>63.01</v>
      </c>
      <c r="O240">
        <v>56.61</v>
      </c>
      <c r="P240" t="b">
        <v>1</v>
      </c>
      <c r="Q240">
        <v>0</v>
      </c>
      <c r="R240">
        <v>1751</v>
      </c>
      <c r="U240" t="s">
        <v>770</v>
      </c>
      <c r="V240" t="s">
        <v>1018</v>
      </c>
      <c r="W240">
        <v>0</v>
      </c>
      <c r="X240">
        <v>14</v>
      </c>
      <c r="Y240" t="s">
        <v>1255</v>
      </c>
      <c r="Z240">
        <v>14.00000000000001</v>
      </c>
      <c r="AA240">
        <v>2472</v>
      </c>
      <c r="AB240">
        <v>95036</v>
      </c>
      <c r="AC240" t="s">
        <v>1503</v>
      </c>
      <c r="AD240">
        <v>27.82</v>
      </c>
      <c r="AE240" t="s">
        <v>1751</v>
      </c>
      <c r="AF240" t="s">
        <v>1998</v>
      </c>
      <c r="AG240">
        <v>681</v>
      </c>
      <c r="AH240">
        <v>303</v>
      </c>
      <c r="AI240">
        <v>20000</v>
      </c>
      <c r="AJ240">
        <v>0.39</v>
      </c>
    </row>
    <row r="241" spans="1:36">
      <c r="A241" s="1" t="s">
        <v>275</v>
      </c>
      <c r="B241" t="s">
        <v>523</v>
      </c>
      <c r="C241">
        <f>HYPERLINK("https://finance.naver.com/item/coinfo.nhn?code=093520", "A093520")</f>
        <v>0</v>
      </c>
      <c r="D241">
        <f>HYPERLINK("http://comp.fnguide.com/SVO2/ASP/SVD_Consensus.asp?pGB=1&amp;gicode=A093520&amp;cID=&amp;MenuYn=Y&amp;ReportGB=&amp;NewMenuID=108&amp;stkGb=701", "매커스")</f>
        <v>0</v>
      </c>
      <c r="E241">
        <v>1</v>
      </c>
      <c r="F241">
        <v>6890</v>
      </c>
      <c r="G241">
        <v>0</v>
      </c>
      <c r="H241">
        <v>10.17</v>
      </c>
      <c r="I241">
        <v>7605</v>
      </c>
      <c r="J241">
        <v>5884</v>
      </c>
      <c r="K241">
        <v>5380</v>
      </c>
      <c r="L241">
        <v>-10.38</v>
      </c>
      <c r="M241">
        <v>14.6</v>
      </c>
      <c r="N241">
        <v>21.92</v>
      </c>
      <c r="O241">
        <v>13.44</v>
      </c>
      <c r="P241" t="b">
        <v>1</v>
      </c>
      <c r="Q241">
        <v>0</v>
      </c>
      <c r="R241">
        <v>493</v>
      </c>
      <c r="U241" t="s">
        <v>771</v>
      </c>
      <c r="V241" t="s">
        <v>1019</v>
      </c>
      <c r="W241">
        <v>0</v>
      </c>
      <c r="X241">
        <v>248.8</v>
      </c>
      <c r="Y241" t="s">
        <v>1256</v>
      </c>
      <c r="Z241">
        <v>75.35146253725765</v>
      </c>
      <c r="AA241">
        <v>1114</v>
      </c>
      <c r="AB241">
        <v>194289</v>
      </c>
      <c r="AC241" t="s">
        <v>1504</v>
      </c>
      <c r="AD241">
        <v>15.93</v>
      </c>
      <c r="AE241" t="s">
        <v>1752</v>
      </c>
      <c r="AF241" t="s">
        <v>1999</v>
      </c>
      <c r="AG241">
        <v>869</v>
      </c>
      <c r="AH241">
        <v>95</v>
      </c>
      <c r="AI241">
        <v>4135008</v>
      </c>
      <c r="AJ241">
        <v>2</v>
      </c>
    </row>
    <row r="242" spans="1:36">
      <c r="A242" s="1" t="s">
        <v>276</v>
      </c>
      <c r="B242" t="s">
        <v>524</v>
      </c>
      <c r="C242">
        <f>HYPERLINK("https://finance.naver.com/item/coinfo.nhn?code=042500", "A042500")</f>
        <v>0</v>
      </c>
      <c r="D242">
        <f>HYPERLINK("http://comp.fnguide.com/SVO2/ASP/SVD_Consensus.asp?pGB=1&amp;gicode=A042500&amp;cID=&amp;MenuYn=Y&amp;ReportGB=&amp;NewMenuID=108&amp;stkGb=701", "링네트")</f>
        <v>0</v>
      </c>
      <c r="E242">
        <v>1</v>
      </c>
      <c r="F242">
        <v>6430</v>
      </c>
      <c r="G242">
        <v>0</v>
      </c>
      <c r="H242">
        <v>14.62</v>
      </c>
      <c r="I242">
        <v>7283</v>
      </c>
      <c r="J242">
        <v>6138</v>
      </c>
      <c r="K242">
        <v>5802</v>
      </c>
      <c r="L242">
        <v>-13.27</v>
      </c>
      <c r="M242">
        <v>4.54</v>
      </c>
      <c r="N242">
        <v>9.76</v>
      </c>
      <c r="O242">
        <v>11.3</v>
      </c>
      <c r="P242" t="b">
        <v>1</v>
      </c>
      <c r="Q242">
        <v>0</v>
      </c>
      <c r="R242">
        <v>498</v>
      </c>
      <c r="U242" t="s">
        <v>772</v>
      </c>
      <c r="V242" t="s">
        <v>1020</v>
      </c>
      <c r="W242">
        <v>0</v>
      </c>
      <c r="X242">
        <v>81</v>
      </c>
      <c r="Y242" t="s">
        <v>1257</v>
      </c>
      <c r="Z242">
        <v>31.33271337589387</v>
      </c>
      <c r="AA242">
        <v>987</v>
      </c>
      <c r="AB242">
        <v>69561</v>
      </c>
      <c r="AC242" t="s">
        <v>1505</v>
      </c>
      <c r="AD242">
        <v>24.81</v>
      </c>
      <c r="AE242" t="s">
        <v>1753</v>
      </c>
      <c r="AF242" t="s">
        <v>2000</v>
      </c>
      <c r="AG242">
        <v>1495</v>
      </c>
      <c r="AH242">
        <v>74</v>
      </c>
      <c r="AI242">
        <v>2511159</v>
      </c>
    </row>
    <row r="243" spans="1:36">
      <c r="A243" s="1" t="s">
        <v>277</v>
      </c>
      <c r="B243" t="s">
        <v>525</v>
      </c>
      <c r="C243">
        <f>HYPERLINK("https://finance.naver.com/item/coinfo.nhn?code=084650", "A084650")</f>
        <v>0</v>
      </c>
      <c r="D243">
        <f>HYPERLINK("http://comp.fnguide.com/SVO2/ASP/SVD_Consensus.asp?pGB=1&amp;gicode=A084650&amp;cID=&amp;MenuYn=Y&amp;ReportGB=&amp;NewMenuID=108&amp;stkGb=701", "랩지노믹스")</f>
        <v>0</v>
      </c>
      <c r="E243">
        <v>1</v>
      </c>
      <c r="F243">
        <v>24050</v>
      </c>
      <c r="G243">
        <v>0</v>
      </c>
      <c r="H243">
        <v>5.06</v>
      </c>
      <c r="I243">
        <v>34049</v>
      </c>
      <c r="J243">
        <v>18159</v>
      </c>
      <c r="K243">
        <v>13498</v>
      </c>
      <c r="L243">
        <v>-41.58</v>
      </c>
      <c r="M243">
        <v>24.5</v>
      </c>
      <c r="N243">
        <v>43.87</v>
      </c>
      <c r="O243">
        <v>39.26</v>
      </c>
      <c r="P243" t="b">
        <v>1</v>
      </c>
      <c r="Q243">
        <v>0</v>
      </c>
      <c r="R243">
        <v>3738</v>
      </c>
      <c r="U243" t="s">
        <v>773</v>
      </c>
      <c r="V243" t="s">
        <v>1021</v>
      </c>
      <c r="W243">
        <v>0</v>
      </c>
      <c r="X243">
        <v>447</v>
      </c>
      <c r="Y243" t="s">
        <v>1258</v>
      </c>
      <c r="Z243">
        <v>1376.486979285628</v>
      </c>
      <c r="AA243">
        <v>2754</v>
      </c>
      <c r="AB243">
        <v>840814</v>
      </c>
      <c r="AC243" t="s">
        <v>1506</v>
      </c>
      <c r="AD243">
        <v>12.57</v>
      </c>
      <c r="AE243" t="s">
        <v>1754</v>
      </c>
      <c r="AF243" t="s">
        <v>2001</v>
      </c>
      <c r="AG243">
        <v>1195</v>
      </c>
      <c r="AH243">
        <v>549</v>
      </c>
      <c r="AI243">
        <v>127972</v>
      </c>
    </row>
    <row r="244" spans="1:36">
      <c r="A244" s="1" t="s">
        <v>278</v>
      </c>
      <c r="B244" t="s">
        <v>526</v>
      </c>
      <c r="C244">
        <f>HYPERLINK("https://finance.naver.com/item/coinfo.nhn?code=104460", "A104460")</f>
        <v>0</v>
      </c>
      <c r="D244">
        <f>HYPERLINK("http://comp.fnguide.com/SVO2/ASP/SVD_Consensus.asp?pGB=1&amp;gicode=A104460&amp;cID=&amp;MenuYn=Y&amp;ReportGB=&amp;NewMenuID=108&amp;stkGb=701", "디와이피엔에프")</f>
        <v>0</v>
      </c>
      <c r="E244">
        <v>1</v>
      </c>
      <c r="F244">
        <v>28050</v>
      </c>
      <c r="G244">
        <v>0</v>
      </c>
      <c r="H244">
        <v>8.130000000000001</v>
      </c>
      <c r="I244">
        <v>36349</v>
      </c>
      <c r="J244">
        <v>20484</v>
      </c>
      <c r="K244">
        <v>15831</v>
      </c>
      <c r="L244">
        <v>-29.59</v>
      </c>
      <c r="M244">
        <v>26.97</v>
      </c>
      <c r="N244">
        <v>43.56</v>
      </c>
      <c r="O244">
        <v>31.62</v>
      </c>
      <c r="P244" t="b">
        <v>1</v>
      </c>
      <c r="Q244">
        <v>0</v>
      </c>
      <c r="R244">
        <v>2423</v>
      </c>
      <c r="U244" t="s">
        <v>774</v>
      </c>
      <c r="V244" t="s">
        <v>1022</v>
      </c>
      <c r="W244">
        <v>0</v>
      </c>
      <c r="X244">
        <v>-40.7</v>
      </c>
      <c r="Y244" t="s">
        <v>1259</v>
      </c>
      <c r="Z244">
        <v>14.0650022231585</v>
      </c>
      <c r="AA244">
        <v>3005</v>
      </c>
      <c r="AB244">
        <v>23801</v>
      </c>
      <c r="AC244" t="s">
        <v>1507</v>
      </c>
      <c r="AD244">
        <v>49.34</v>
      </c>
      <c r="AE244" t="s">
        <v>1755</v>
      </c>
      <c r="AF244" t="s">
        <v>2002</v>
      </c>
      <c r="AG244">
        <v>2123</v>
      </c>
      <c r="AH244">
        <v>334</v>
      </c>
      <c r="AI244">
        <v>1154603</v>
      </c>
      <c r="AJ244">
        <v>2.13</v>
      </c>
    </row>
    <row r="245" spans="1:36">
      <c r="A245" s="1" t="s">
        <v>279</v>
      </c>
      <c r="B245" t="s">
        <v>527</v>
      </c>
      <c r="C245">
        <f>HYPERLINK("https://finance.naver.com/item/coinfo.nhn?code=263690", "A263690")</f>
        <v>0</v>
      </c>
      <c r="D245">
        <f>HYPERLINK("http://comp.fnguide.com/SVO2/ASP/SVD_Consensus.asp?pGB=1&amp;gicode=A263690&amp;cID=&amp;MenuYn=Y&amp;ReportGB=&amp;NewMenuID=108&amp;stkGb=701", "디알젬")</f>
        <v>0</v>
      </c>
      <c r="E245">
        <v>1</v>
      </c>
      <c r="F245">
        <v>13350</v>
      </c>
      <c r="G245">
        <v>0</v>
      </c>
      <c r="H245">
        <v>9.630000000000001</v>
      </c>
      <c r="I245">
        <v>18627</v>
      </c>
      <c r="J245">
        <v>10379</v>
      </c>
      <c r="K245">
        <v>7961</v>
      </c>
      <c r="L245">
        <v>-39.53</v>
      </c>
      <c r="M245">
        <v>22.25</v>
      </c>
      <c r="N245">
        <v>40.37</v>
      </c>
      <c r="O245">
        <v>32.96</v>
      </c>
      <c r="P245" t="b">
        <v>1</v>
      </c>
      <c r="Q245">
        <v>0</v>
      </c>
      <c r="R245">
        <v>1765</v>
      </c>
      <c r="U245" t="s">
        <v>775</v>
      </c>
      <c r="V245" t="s">
        <v>1023</v>
      </c>
      <c r="W245">
        <v>0</v>
      </c>
      <c r="X245">
        <v>265.4</v>
      </c>
      <c r="Y245" t="s">
        <v>1260</v>
      </c>
      <c r="Z245">
        <v>48.11437140461457</v>
      </c>
      <c r="AA245">
        <v>1512</v>
      </c>
      <c r="AB245">
        <v>39218</v>
      </c>
      <c r="AC245" t="s">
        <v>1508</v>
      </c>
      <c r="AD245">
        <v>42.1</v>
      </c>
      <c r="AE245" t="s">
        <v>1756</v>
      </c>
      <c r="AF245" t="s">
        <v>2003</v>
      </c>
      <c r="AG245">
        <v>1066</v>
      </c>
      <c r="AH245">
        <v>230</v>
      </c>
      <c r="AI245">
        <v>133591</v>
      </c>
      <c r="AJ245">
        <v>1.18</v>
      </c>
    </row>
    <row r="246" spans="1:36">
      <c r="A246" s="1" t="s">
        <v>280</v>
      </c>
      <c r="B246" t="s">
        <v>528</v>
      </c>
      <c r="C246">
        <f>HYPERLINK("https://finance.naver.com/item/coinfo.nhn?code=187870", "A187870")</f>
        <v>0</v>
      </c>
      <c r="D246">
        <f>HYPERLINK("http://comp.fnguide.com/SVO2/ASP/SVD_Consensus.asp?pGB=1&amp;gicode=A187870&amp;cID=&amp;MenuYn=Y&amp;ReportGB=&amp;NewMenuID=108&amp;stkGb=701", "디바이스이엔지")</f>
        <v>0</v>
      </c>
      <c r="E246">
        <v>1</v>
      </c>
      <c r="F246">
        <v>37800</v>
      </c>
      <c r="G246">
        <v>0</v>
      </c>
      <c r="H246">
        <v>11.97</v>
      </c>
      <c r="I246">
        <v>43589</v>
      </c>
      <c r="J246">
        <v>26207</v>
      </c>
      <c r="K246">
        <v>21109</v>
      </c>
      <c r="L246">
        <v>-15.31</v>
      </c>
      <c r="M246">
        <v>30.67</v>
      </c>
      <c r="N246">
        <v>44.15</v>
      </c>
      <c r="O246">
        <v>25.44</v>
      </c>
      <c r="P246" t="b">
        <v>1</v>
      </c>
      <c r="Q246">
        <v>0</v>
      </c>
      <c r="R246">
        <v>4320</v>
      </c>
      <c r="U246" t="s">
        <v>776</v>
      </c>
      <c r="V246" t="s">
        <v>1024</v>
      </c>
      <c r="W246">
        <v>0</v>
      </c>
      <c r="X246">
        <v>593.8</v>
      </c>
      <c r="Y246" t="s">
        <v>1261</v>
      </c>
      <c r="Z246">
        <v>106.6390942687367</v>
      </c>
      <c r="AA246">
        <v>2660</v>
      </c>
      <c r="AB246">
        <v>39822</v>
      </c>
      <c r="AC246" t="s">
        <v>1509</v>
      </c>
      <c r="AD246">
        <v>33.46</v>
      </c>
      <c r="AE246" t="s">
        <v>1757</v>
      </c>
      <c r="AF246" t="s">
        <v>2004</v>
      </c>
      <c r="AG246">
        <v>1262</v>
      </c>
      <c r="AH246">
        <v>437</v>
      </c>
      <c r="AI246">
        <v>87823</v>
      </c>
      <c r="AJ246">
        <v>1.16</v>
      </c>
    </row>
    <row r="247" spans="1:36">
      <c r="A247" s="1" t="s">
        <v>281</v>
      </c>
      <c r="B247" t="s">
        <v>529</v>
      </c>
      <c r="C247">
        <f>HYPERLINK("https://finance.naver.com/item/coinfo.nhn?code=223250", "A223250")</f>
        <v>0</v>
      </c>
      <c r="D247">
        <f>HYPERLINK("http://comp.fnguide.com/SVO2/ASP/SVD_Consensus.asp?pGB=1&amp;gicode=A223250&amp;cID=&amp;MenuYn=Y&amp;ReportGB=&amp;NewMenuID=108&amp;stkGb=701", "드림씨아이에스")</f>
        <v>0</v>
      </c>
      <c r="E247">
        <v>1</v>
      </c>
      <c r="F247">
        <v>16550</v>
      </c>
      <c r="G247">
        <v>3.17</v>
      </c>
      <c r="H247">
        <v>19.93</v>
      </c>
      <c r="I247">
        <v>30280</v>
      </c>
      <c r="J247">
        <v>16220</v>
      </c>
      <c r="K247">
        <v>12097</v>
      </c>
      <c r="L247">
        <v>-82.95999999999999</v>
      </c>
      <c r="M247">
        <v>1.99</v>
      </c>
      <c r="N247">
        <v>26.91</v>
      </c>
      <c r="O247">
        <v>38.53</v>
      </c>
      <c r="P247" t="b">
        <v>1</v>
      </c>
      <c r="Q247">
        <v>1</v>
      </c>
      <c r="R247">
        <v>976</v>
      </c>
      <c r="S247">
        <v>1019</v>
      </c>
      <c r="T247">
        <v>4.4</v>
      </c>
      <c r="U247" t="s">
        <v>777</v>
      </c>
      <c r="V247" t="s">
        <v>1025</v>
      </c>
      <c r="W247">
        <v>6.293915030482</v>
      </c>
      <c r="X247">
        <v>-5.4</v>
      </c>
      <c r="Y247" t="s">
        <v>1262</v>
      </c>
      <c r="Z247">
        <v>7.209607778407623</v>
      </c>
      <c r="AA247">
        <v>926</v>
      </c>
      <c r="AB247">
        <v>3341</v>
      </c>
      <c r="AC247" t="s">
        <v>1510</v>
      </c>
      <c r="AD247">
        <v>63.25</v>
      </c>
      <c r="AE247" t="s">
        <v>1758</v>
      </c>
      <c r="AF247" t="s">
        <v>2005</v>
      </c>
      <c r="AG247">
        <v>235</v>
      </c>
      <c r="AH247">
        <v>48</v>
      </c>
    </row>
    <row r="248" spans="1:36">
      <c r="A248" s="1" t="s">
        <v>282</v>
      </c>
      <c r="B248" t="s">
        <v>530</v>
      </c>
      <c r="C248">
        <f>HYPERLINK("https://finance.naver.com/item/coinfo.nhn?code=290120", "A290120")</f>
        <v>0</v>
      </c>
      <c r="D248">
        <f>HYPERLINK("http://comp.fnguide.com/SVO2/ASP/SVD_Consensus.asp?pGB=1&amp;gicode=A290120&amp;cID=&amp;MenuYn=Y&amp;ReportGB=&amp;NewMenuID=108&amp;stkGb=701", "대유에이피")</f>
        <v>0</v>
      </c>
      <c r="E248">
        <v>1</v>
      </c>
      <c r="F248">
        <v>7620</v>
      </c>
      <c r="G248">
        <v>0</v>
      </c>
      <c r="H248">
        <v>14.1</v>
      </c>
      <c r="I248">
        <v>8909</v>
      </c>
      <c r="J248">
        <v>6355</v>
      </c>
      <c r="K248">
        <v>5606</v>
      </c>
      <c r="L248">
        <v>-16.91</v>
      </c>
      <c r="M248">
        <v>16.6</v>
      </c>
      <c r="N248">
        <v>26.43</v>
      </c>
      <c r="O248">
        <v>16.1</v>
      </c>
      <c r="P248" t="b">
        <v>1</v>
      </c>
      <c r="Q248">
        <v>0</v>
      </c>
      <c r="R248">
        <v>530</v>
      </c>
      <c r="U248" t="s">
        <v>778</v>
      </c>
      <c r="V248" t="s">
        <v>1026</v>
      </c>
      <c r="W248">
        <v>0</v>
      </c>
      <c r="X248">
        <v>46.8</v>
      </c>
      <c r="Y248" t="s">
        <v>1263</v>
      </c>
      <c r="Z248">
        <v>33.71954889124918</v>
      </c>
      <c r="AA248">
        <v>829</v>
      </c>
      <c r="AB248">
        <v>32227</v>
      </c>
      <c r="AC248" t="s">
        <v>1511</v>
      </c>
      <c r="AD248">
        <v>73.5</v>
      </c>
      <c r="AE248" t="s">
        <v>1759</v>
      </c>
      <c r="AF248" t="s">
        <v>2006</v>
      </c>
      <c r="AG248">
        <v>1718</v>
      </c>
      <c r="AH248">
        <v>141</v>
      </c>
      <c r="AJ248">
        <v>2.68</v>
      </c>
    </row>
    <row r="249" spans="1:36">
      <c r="A249" s="1" t="s">
        <v>283</v>
      </c>
      <c r="B249" t="s">
        <v>531</v>
      </c>
      <c r="C249">
        <f>HYPERLINK("https://finance.naver.com/item/coinfo.nhn?code=238490", "A238490")</f>
        <v>0</v>
      </c>
      <c r="D249">
        <f>HYPERLINK("http://comp.fnguide.com/SVO2/ASP/SVD_Consensus.asp?pGB=1&amp;gicode=A238490&amp;cID=&amp;MenuYn=Y&amp;ReportGB=&amp;NewMenuID=108&amp;stkGb=701", "힘스")</f>
        <v>0</v>
      </c>
      <c r="E249">
        <v>1</v>
      </c>
      <c r="F249">
        <v>11150</v>
      </c>
      <c r="G249">
        <v>0</v>
      </c>
      <c r="H249">
        <v>8.42</v>
      </c>
      <c r="I249">
        <v>14575</v>
      </c>
      <c r="J249">
        <v>10067</v>
      </c>
      <c r="K249">
        <v>8745</v>
      </c>
      <c r="L249">
        <v>-30.72</v>
      </c>
      <c r="M249">
        <v>9.710000000000001</v>
      </c>
      <c r="N249">
        <v>21.57</v>
      </c>
      <c r="O249">
        <v>17.39</v>
      </c>
      <c r="P249" t="b">
        <v>1</v>
      </c>
      <c r="Q249">
        <v>0</v>
      </c>
      <c r="R249">
        <v>1521</v>
      </c>
      <c r="U249" t="s">
        <v>779</v>
      </c>
      <c r="V249" t="s">
        <v>1027</v>
      </c>
      <c r="W249">
        <v>0</v>
      </c>
      <c r="X249">
        <v>0</v>
      </c>
      <c r="Y249" t="s">
        <v>1264</v>
      </c>
      <c r="Z249">
        <v>111.0220367639361</v>
      </c>
      <c r="AA249">
        <v>1261</v>
      </c>
      <c r="AB249">
        <v>86008</v>
      </c>
      <c r="AC249" t="s">
        <v>1512</v>
      </c>
      <c r="AD249">
        <v>33.94</v>
      </c>
      <c r="AE249" t="s">
        <v>1760</v>
      </c>
      <c r="AF249" t="s">
        <v>2007</v>
      </c>
      <c r="AG249">
        <v>1062</v>
      </c>
      <c r="AH249">
        <v>250</v>
      </c>
      <c r="AI249">
        <v>144857</v>
      </c>
      <c r="AJ249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1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162</v>
      </c>
      <c r="B2" t="s">
        <v>410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128500</v>
      </c>
      <c r="G2">
        <v>0</v>
      </c>
      <c r="H2">
        <v>3.45</v>
      </c>
      <c r="I2">
        <v>266468</v>
      </c>
      <c r="J2">
        <v>265837</v>
      </c>
      <c r="K2">
        <v>265652</v>
      </c>
      <c r="L2">
        <v>-107.37</v>
      </c>
      <c r="M2">
        <v>-106.88</v>
      </c>
      <c r="N2">
        <v>-106.73</v>
      </c>
      <c r="O2">
        <v>8.33</v>
      </c>
      <c r="P2" t="b">
        <v>1</v>
      </c>
      <c r="Q2">
        <v>0</v>
      </c>
      <c r="R2">
        <v>26203</v>
      </c>
      <c r="U2" t="s">
        <v>658</v>
      </c>
      <c r="V2" t="s">
        <v>906</v>
      </c>
      <c r="W2">
        <v>0</v>
      </c>
      <c r="X2">
        <v>-32.2</v>
      </c>
      <c r="Y2" t="s">
        <v>1152</v>
      </c>
      <c r="Z2">
        <v>30.79650118345112</v>
      </c>
      <c r="AA2">
        <v>6425</v>
      </c>
      <c r="AB2">
        <v>11323</v>
      </c>
      <c r="AC2" t="s">
        <v>1391</v>
      </c>
      <c r="AD2">
        <v>63.53</v>
      </c>
      <c r="AE2" t="s">
        <v>1639</v>
      </c>
      <c r="AF2" t="s">
        <v>1887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132</v>
      </c>
      <c r="B3" t="s">
        <v>380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18700</v>
      </c>
      <c r="G3">
        <v>0</v>
      </c>
      <c r="H3">
        <v>2.74</v>
      </c>
      <c r="I3">
        <v>48165</v>
      </c>
      <c r="J3">
        <v>34995</v>
      </c>
      <c r="K3">
        <v>31133</v>
      </c>
      <c r="L3">
        <v>-157.57</v>
      </c>
      <c r="M3">
        <v>-87.14</v>
      </c>
      <c r="N3">
        <v>-66.48999999999999</v>
      </c>
      <c r="O3">
        <v>15.43</v>
      </c>
      <c r="P3" t="b">
        <v>1</v>
      </c>
      <c r="Q3">
        <v>0</v>
      </c>
      <c r="R3">
        <v>3587</v>
      </c>
      <c r="U3" t="s">
        <v>628</v>
      </c>
      <c r="V3" t="s">
        <v>876</v>
      </c>
      <c r="W3">
        <v>0</v>
      </c>
      <c r="X3">
        <v>4.7</v>
      </c>
      <c r="Y3" t="s">
        <v>1122</v>
      </c>
      <c r="Z3">
        <v>4.519455476415923</v>
      </c>
      <c r="AA3">
        <v>25060</v>
      </c>
      <c r="AB3">
        <v>306839</v>
      </c>
      <c r="AC3" t="s">
        <v>1361</v>
      </c>
      <c r="AD3">
        <v>72.25</v>
      </c>
      <c r="AE3" t="s">
        <v>1609</v>
      </c>
      <c r="AF3" t="s">
        <v>1857</v>
      </c>
      <c r="AG3">
        <v>18245</v>
      </c>
      <c r="AH3">
        <v>13721</v>
      </c>
      <c r="AI3">
        <v>4755670</v>
      </c>
      <c r="AJ3">
        <v>9.17</v>
      </c>
    </row>
    <row r="4" spans="1:36">
      <c r="A4" s="1" t="s">
        <v>134</v>
      </c>
      <c r="B4" t="s">
        <v>382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17850</v>
      </c>
      <c r="G4">
        <v>0.17</v>
      </c>
      <c r="H4">
        <v>3.88</v>
      </c>
      <c r="I4">
        <v>40486</v>
      </c>
      <c r="J4">
        <v>30130</v>
      </c>
      <c r="K4">
        <v>27093</v>
      </c>
      <c r="L4">
        <v>-126.81</v>
      </c>
      <c r="M4">
        <v>-68.8</v>
      </c>
      <c r="N4">
        <v>-51.78</v>
      </c>
      <c r="O4">
        <v>14.62</v>
      </c>
      <c r="P4" t="b">
        <v>1</v>
      </c>
      <c r="Q4">
        <v>3</v>
      </c>
      <c r="R4">
        <v>3762</v>
      </c>
      <c r="S4">
        <v>3921</v>
      </c>
      <c r="T4">
        <v>4.2</v>
      </c>
      <c r="U4" t="s">
        <v>630</v>
      </c>
      <c r="V4" t="s">
        <v>878</v>
      </c>
      <c r="W4">
        <v>23.35841338184872</v>
      </c>
      <c r="X4">
        <v>16.9</v>
      </c>
      <c r="Y4" t="s">
        <v>1124</v>
      </c>
      <c r="Z4">
        <v>15.73781380795656</v>
      </c>
      <c r="AA4">
        <v>21532</v>
      </c>
      <c r="AB4">
        <v>390705</v>
      </c>
      <c r="AC4" t="s">
        <v>1363</v>
      </c>
      <c r="AD4">
        <v>56.3</v>
      </c>
      <c r="AE4" t="s">
        <v>1611</v>
      </c>
      <c r="AF4" t="s">
        <v>1859</v>
      </c>
      <c r="AG4">
        <v>91806</v>
      </c>
      <c r="AH4">
        <v>6080</v>
      </c>
      <c r="AI4">
        <v>4264022</v>
      </c>
      <c r="AJ4">
        <v>8.77</v>
      </c>
    </row>
    <row r="5" spans="1:36">
      <c r="A5" s="1" t="s">
        <v>82</v>
      </c>
      <c r="B5" t="s">
        <v>330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8390</v>
      </c>
      <c r="G5">
        <v>0.1</v>
      </c>
      <c r="H5">
        <v>3.53</v>
      </c>
      <c r="I5">
        <v>26943</v>
      </c>
      <c r="J5">
        <v>19695</v>
      </c>
      <c r="K5">
        <v>17569</v>
      </c>
      <c r="L5">
        <v>-221.14</v>
      </c>
      <c r="M5">
        <v>-134.74</v>
      </c>
      <c r="N5">
        <v>-109.4</v>
      </c>
      <c r="O5">
        <v>15.22</v>
      </c>
      <c r="P5" t="b">
        <v>1</v>
      </c>
      <c r="Q5">
        <v>3</v>
      </c>
      <c r="R5">
        <v>1921</v>
      </c>
      <c r="S5">
        <v>2037</v>
      </c>
      <c r="T5">
        <v>6</v>
      </c>
      <c r="U5" t="s">
        <v>578</v>
      </c>
      <c r="V5" t="s">
        <v>826</v>
      </c>
      <c r="W5">
        <v>34.27824673492801</v>
      </c>
      <c r="X5">
        <v>20.1</v>
      </c>
      <c r="Y5" t="s">
        <v>1072</v>
      </c>
      <c r="Z5">
        <v>11.24571298867068</v>
      </c>
      <c r="AA5">
        <v>4655</v>
      </c>
      <c r="AB5">
        <v>290730</v>
      </c>
      <c r="AC5" t="s">
        <v>1311</v>
      </c>
      <c r="AD5">
        <v>62.45</v>
      </c>
      <c r="AE5" t="s">
        <v>1559</v>
      </c>
      <c r="AF5" t="s">
        <v>1807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118</v>
      </c>
      <c r="B6" t="s">
        <v>366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37800</v>
      </c>
      <c r="G6">
        <v>0</v>
      </c>
      <c r="H6">
        <v>5.6</v>
      </c>
      <c r="I6">
        <v>82012</v>
      </c>
      <c r="J6">
        <v>76485</v>
      </c>
      <c r="K6">
        <v>74864</v>
      </c>
      <c r="L6">
        <v>-116.96</v>
      </c>
      <c r="M6">
        <v>-102.34</v>
      </c>
      <c r="N6">
        <v>-98.05</v>
      </c>
      <c r="O6">
        <v>9.369999999999999</v>
      </c>
      <c r="P6" t="b">
        <v>1</v>
      </c>
      <c r="Q6">
        <v>0</v>
      </c>
      <c r="R6">
        <v>4596</v>
      </c>
      <c r="U6" t="s">
        <v>614</v>
      </c>
      <c r="V6" t="s">
        <v>862</v>
      </c>
      <c r="W6">
        <v>0</v>
      </c>
      <c r="X6">
        <v>1.1</v>
      </c>
      <c r="Y6" t="s">
        <v>1108</v>
      </c>
      <c r="Z6">
        <v>6.627333167827976</v>
      </c>
      <c r="AA6">
        <v>3778</v>
      </c>
      <c r="AB6">
        <v>22170</v>
      </c>
      <c r="AC6" t="s">
        <v>1347</v>
      </c>
      <c r="AD6">
        <v>50.89</v>
      </c>
      <c r="AE6" t="s">
        <v>1595</v>
      </c>
      <c r="AF6" t="s">
        <v>1843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182</v>
      </c>
      <c r="B7" t="s">
        <v>430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20050</v>
      </c>
      <c r="G7">
        <v>0</v>
      </c>
      <c r="H7">
        <v>5.7</v>
      </c>
      <c r="I7">
        <v>25171</v>
      </c>
      <c r="J7">
        <v>24122</v>
      </c>
      <c r="K7">
        <v>23815</v>
      </c>
      <c r="L7">
        <v>-25.54</v>
      </c>
      <c r="M7">
        <v>-20.31</v>
      </c>
      <c r="N7">
        <v>-18.78</v>
      </c>
      <c r="O7">
        <v>8.93</v>
      </c>
      <c r="P7" t="b">
        <v>1</v>
      </c>
      <c r="Q7">
        <v>0</v>
      </c>
      <c r="R7">
        <v>1452</v>
      </c>
      <c r="U7" t="s">
        <v>678</v>
      </c>
      <c r="V7" t="s">
        <v>926</v>
      </c>
      <c r="W7">
        <v>0</v>
      </c>
      <c r="Y7" t="s">
        <v>1048</v>
      </c>
      <c r="Z7">
        <v>44.96582968683678</v>
      </c>
      <c r="AA7">
        <v>3024</v>
      </c>
      <c r="AB7">
        <v>510222</v>
      </c>
      <c r="AC7" t="s">
        <v>1411</v>
      </c>
      <c r="AD7">
        <v>62.31</v>
      </c>
      <c r="AE7" t="s">
        <v>1659</v>
      </c>
      <c r="AF7" t="s">
        <v>1907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124</v>
      </c>
      <c r="B8" t="s">
        <v>372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12750</v>
      </c>
      <c r="G8">
        <v>-0.51</v>
      </c>
      <c r="H8">
        <v>6.87</v>
      </c>
      <c r="I8">
        <v>33741</v>
      </c>
      <c r="J8">
        <v>25741</v>
      </c>
      <c r="K8">
        <v>23394</v>
      </c>
      <c r="L8">
        <v>-164.64</v>
      </c>
      <c r="M8">
        <v>-101.89</v>
      </c>
      <c r="N8">
        <v>-83.48999999999999</v>
      </c>
      <c r="O8">
        <v>13.85</v>
      </c>
      <c r="P8" t="b">
        <v>1</v>
      </c>
      <c r="Q8">
        <v>1</v>
      </c>
      <c r="R8">
        <v>1973</v>
      </c>
      <c r="S8">
        <v>2266</v>
      </c>
      <c r="T8">
        <v>14.9</v>
      </c>
      <c r="U8" t="s">
        <v>620</v>
      </c>
      <c r="V8" t="s">
        <v>868</v>
      </c>
      <c r="W8">
        <v>-13.54041318926386</v>
      </c>
      <c r="X8">
        <v>11.5</v>
      </c>
      <c r="Y8" t="s">
        <v>1114</v>
      </c>
      <c r="Z8">
        <v>-19.01853163171838</v>
      </c>
      <c r="AA8">
        <v>2898</v>
      </c>
      <c r="AB8">
        <v>102293</v>
      </c>
      <c r="AC8" t="s">
        <v>1353</v>
      </c>
      <c r="AD8">
        <v>56.84</v>
      </c>
      <c r="AE8" t="s">
        <v>1601</v>
      </c>
      <c r="AF8" t="s">
        <v>1849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194</v>
      </c>
      <c r="B9" t="s">
        <v>442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2</v>
      </c>
      <c r="F9">
        <v>3640</v>
      </c>
      <c r="G9">
        <v>0.18</v>
      </c>
      <c r="H9">
        <v>5.58</v>
      </c>
      <c r="I9">
        <v>5306</v>
      </c>
      <c r="J9">
        <v>3704</v>
      </c>
      <c r="K9">
        <v>3234</v>
      </c>
      <c r="L9">
        <v>-45.78</v>
      </c>
      <c r="M9">
        <v>-1.75</v>
      </c>
      <c r="N9">
        <v>11.17</v>
      </c>
      <c r="O9">
        <v>16.95</v>
      </c>
      <c r="P9" t="b">
        <v>1</v>
      </c>
      <c r="Q9">
        <v>3</v>
      </c>
      <c r="R9">
        <v>434</v>
      </c>
      <c r="S9">
        <v>717</v>
      </c>
      <c r="T9">
        <v>65.2</v>
      </c>
      <c r="U9" t="s">
        <v>690</v>
      </c>
      <c r="V9" t="s">
        <v>938</v>
      </c>
      <c r="W9">
        <v>30.99153125914993</v>
      </c>
      <c r="X9">
        <v>-11.4</v>
      </c>
      <c r="Y9" t="s">
        <v>1179</v>
      </c>
      <c r="Z9">
        <v>-2.058882298451625</v>
      </c>
      <c r="AA9">
        <v>3640</v>
      </c>
      <c r="AB9">
        <v>2320123</v>
      </c>
      <c r="AC9" t="s">
        <v>1423</v>
      </c>
      <c r="AD9">
        <v>50.02</v>
      </c>
      <c r="AE9" t="s">
        <v>1671</v>
      </c>
      <c r="AF9" t="s">
        <v>1919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141</v>
      </c>
      <c r="B10" t="s">
        <v>389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8970</v>
      </c>
      <c r="G10">
        <v>0</v>
      </c>
      <c r="H10">
        <v>3.73</v>
      </c>
      <c r="I10">
        <v>22063</v>
      </c>
      <c r="J10">
        <v>20769</v>
      </c>
      <c r="K10">
        <v>20389</v>
      </c>
      <c r="L10">
        <v>-145.96</v>
      </c>
      <c r="M10">
        <v>-131.53</v>
      </c>
      <c r="N10">
        <v>-127.3</v>
      </c>
      <c r="O10">
        <v>9.210000000000001</v>
      </c>
      <c r="P10" t="b">
        <v>1</v>
      </c>
      <c r="Q10">
        <v>0</v>
      </c>
      <c r="R10">
        <v>2046</v>
      </c>
      <c r="U10" t="s">
        <v>637</v>
      </c>
      <c r="V10" t="s">
        <v>885</v>
      </c>
      <c r="W10">
        <v>0</v>
      </c>
      <c r="X10">
        <v>9.4</v>
      </c>
      <c r="Y10" t="s">
        <v>1131</v>
      </c>
      <c r="Z10">
        <v>9.139695521446356</v>
      </c>
      <c r="AA10">
        <v>5799</v>
      </c>
      <c r="AB10">
        <v>68058</v>
      </c>
      <c r="AC10" t="s">
        <v>1370</v>
      </c>
      <c r="AD10">
        <v>73.16</v>
      </c>
      <c r="AE10" t="s">
        <v>1618</v>
      </c>
      <c r="AF10" t="s">
        <v>1866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65</v>
      </c>
      <c r="B11" t="s">
        <v>313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5130</v>
      </c>
      <c r="G11">
        <v>0.88</v>
      </c>
      <c r="H11">
        <v>3.76</v>
      </c>
      <c r="I11">
        <v>12789</v>
      </c>
      <c r="J11">
        <v>8939</v>
      </c>
      <c r="K11">
        <v>7810</v>
      </c>
      <c r="L11">
        <v>-149.3</v>
      </c>
      <c r="M11">
        <v>-74.25</v>
      </c>
      <c r="N11">
        <v>-52.24</v>
      </c>
      <c r="O11">
        <v>16.89</v>
      </c>
      <c r="P11" t="b">
        <v>1</v>
      </c>
      <c r="Q11">
        <v>0</v>
      </c>
      <c r="R11">
        <v>1049</v>
      </c>
      <c r="S11">
        <v>936</v>
      </c>
      <c r="T11">
        <v>-10.8</v>
      </c>
      <c r="U11" t="s">
        <v>561</v>
      </c>
      <c r="V11" t="s">
        <v>809</v>
      </c>
      <c r="W11">
        <v>4.249470751644946</v>
      </c>
      <c r="Y11" t="s">
        <v>1048</v>
      </c>
      <c r="Z11">
        <v>1.677096307241732</v>
      </c>
      <c r="AA11">
        <v>6360</v>
      </c>
      <c r="AB11">
        <v>483834</v>
      </c>
      <c r="AC11" t="s">
        <v>1294</v>
      </c>
      <c r="AD11">
        <v>53.62</v>
      </c>
      <c r="AE11" t="s">
        <v>1542</v>
      </c>
      <c r="AF11" t="s">
        <v>1790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217</v>
      </c>
      <c r="B12" t="s">
        <v>465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1</v>
      </c>
      <c r="F12">
        <v>12800</v>
      </c>
      <c r="G12">
        <v>0</v>
      </c>
      <c r="H12">
        <v>4.5</v>
      </c>
      <c r="I12">
        <v>14963</v>
      </c>
      <c r="J12">
        <v>12556</v>
      </c>
      <c r="K12">
        <v>11850</v>
      </c>
      <c r="L12">
        <v>-16.9</v>
      </c>
      <c r="M12">
        <v>1.91</v>
      </c>
      <c r="N12">
        <v>7.42</v>
      </c>
      <c r="O12">
        <v>11.4</v>
      </c>
      <c r="P12" t="b">
        <v>1</v>
      </c>
      <c r="Q12">
        <v>0</v>
      </c>
      <c r="R12">
        <v>1207</v>
      </c>
      <c r="U12" t="s">
        <v>713</v>
      </c>
      <c r="V12" t="s">
        <v>961</v>
      </c>
      <c r="W12">
        <v>0</v>
      </c>
      <c r="X12">
        <v>15</v>
      </c>
      <c r="Y12" t="s">
        <v>1201</v>
      </c>
      <c r="Z12">
        <v>12.8292520656804</v>
      </c>
      <c r="AA12">
        <v>818</v>
      </c>
      <c r="AB12">
        <v>153973</v>
      </c>
      <c r="AC12" t="s">
        <v>1446</v>
      </c>
      <c r="AD12">
        <v>50.73</v>
      </c>
      <c r="AE12" t="s">
        <v>1694</v>
      </c>
      <c r="AF12" t="s">
        <v>1942</v>
      </c>
      <c r="AG12">
        <v>560</v>
      </c>
      <c r="AH12">
        <v>94</v>
      </c>
      <c r="AJ12">
        <v>5.52</v>
      </c>
    </row>
    <row r="13" spans="1:36">
      <c r="A13" s="1" t="s">
        <v>152</v>
      </c>
      <c r="B13" t="s">
        <v>400</v>
      </c>
      <c r="C13">
        <f>HYPERLINK("https://finance.naver.com/item/coinfo.nhn?code=092230", "A092230")</f>
        <v>0</v>
      </c>
      <c r="D13">
        <f>HYPERLINK("http://comp.fnguide.com/SVO2/ASP/SVD_Consensus.asp?pGB=1&amp;gicode=A092230&amp;cID=&amp;MenuYn=Y&amp;ReportGB=&amp;NewMenuID=108&amp;stkGb=701", "KPX홀딩스")</f>
        <v>0</v>
      </c>
      <c r="E13">
        <v>3</v>
      </c>
      <c r="F13">
        <v>72200</v>
      </c>
      <c r="G13">
        <v>0</v>
      </c>
      <c r="H13">
        <v>1.82</v>
      </c>
      <c r="I13">
        <v>281892</v>
      </c>
      <c r="J13">
        <v>230938</v>
      </c>
      <c r="K13">
        <v>215993</v>
      </c>
      <c r="L13">
        <v>-290.43</v>
      </c>
      <c r="M13">
        <v>-219.86</v>
      </c>
      <c r="N13">
        <v>-199.16</v>
      </c>
      <c r="O13">
        <v>11.95</v>
      </c>
      <c r="P13" t="b">
        <v>1</v>
      </c>
      <c r="Q13">
        <v>0</v>
      </c>
      <c r="R13">
        <v>33268</v>
      </c>
      <c r="U13" t="s">
        <v>648</v>
      </c>
      <c r="V13" t="s">
        <v>896</v>
      </c>
      <c r="W13">
        <v>0</v>
      </c>
      <c r="X13">
        <v>0</v>
      </c>
      <c r="Y13" t="s">
        <v>1142</v>
      </c>
      <c r="Z13">
        <v>47.54288045273092</v>
      </c>
      <c r="AA13">
        <v>3050</v>
      </c>
      <c r="AB13">
        <v>19975</v>
      </c>
      <c r="AC13" t="s">
        <v>1381</v>
      </c>
      <c r="AD13">
        <v>74.15000000000001</v>
      </c>
      <c r="AE13" t="s">
        <v>1629</v>
      </c>
      <c r="AF13" t="s">
        <v>1877</v>
      </c>
      <c r="AG13">
        <v>9532</v>
      </c>
      <c r="AH13">
        <v>791</v>
      </c>
      <c r="AI13">
        <v>270437</v>
      </c>
      <c r="AJ13">
        <v>5.13</v>
      </c>
    </row>
    <row r="14" spans="1:36">
      <c r="A14" s="1" t="s">
        <v>151</v>
      </c>
      <c r="B14" t="s">
        <v>399</v>
      </c>
      <c r="C14">
        <f>HYPERLINK("https://finance.naver.com/item/coinfo.nhn?code=025000", "A025000")</f>
        <v>0</v>
      </c>
      <c r="D14">
        <f>HYPERLINK("http://comp.fnguide.com/SVO2/ASP/SVD_Consensus.asp?pGB=1&amp;gicode=A025000&amp;cID=&amp;MenuYn=Y&amp;ReportGB=&amp;NewMenuID=108&amp;stkGb=701", "KPX케미칼")</f>
        <v>0</v>
      </c>
      <c r="E14">
        <v>3</v>
      </c>
      <c r="F14">
        <v>65000</v>
      </c>
      <c r="G14">
        <v>0</v>
      </c>
      <c r="H14">
        <v>4.2</v>
      </c>
      <c r="I14">
        <v>130427</v>
      </c>
      <c r="J14">
        <v>118391</v>
      </c>
      <c r="K14">
        <v>114861</v>
      </c>
      <c r="L14">
        <v>-100.66</v>
      </c>
      <c r="M14">
        <v>-82.14</v>
      </c>
      <c r="N14">
        <v>-76.70999999999999</v>
      </c>
      <c r="O14">
        <v>9.83</v>
      </c>
      <c r="P14" t="b">
        <v>1</v>
      </c>
      <c r="Q14">
        <v>0</v>
      </c>
      <c r="R14">
        <v>13074</v>
      </c>
      <c r="U14" t="s">
        <v>647</v>
      </c>
      <c r="V14" t="s">
        <v>895</v>
      </c>
      <c r="W14">
        <v>0</v>
      </c>
      <c r="X14">
        <v>153.3</v>
      </c>
      <c r="Y14" t="s">
        <v>1141</v>
      </c>
      <c r="Z14">
        <v>37.29023067047068</v>
      </c>
      <c r="AA14">
        <v>3146</v>
      </c>
      <c r="AB14">
        <v>11831</v>
      </c>
      <c r="AC14" t="s">
        <v>1380</v>
      </c>
      <c r="AD14">
        <v>64.40000000000001</v>
      </c>
      <c r="AE14" t="s">
        <v>1628</v>
      </c>
      <c r="AF14" t="s">
        <v>1876</v>
      </c>
      <c r="AG14">
        <v>7467</v>
      </c>
      <c r="AH14">
        <v>641</v>
      </c>
      <c r="AI14">
        <v>84779</v>
      </c>
      <c r="AJ14">
        <v>5.01</v>
      </c>
    </row>
    <row r="15" spans="1:36">
      <c r="A15" s="1" t="s">
        <v>123</v>
      </c>
      <c r="B15" t="s">
        <v>371</v>
      </c>
      <c r="C15">
        <f>HYPERLINK("https://finance.naver.com/item/coinfo.nhn?code=046110", "A046110")</f>
        <v>0</v>
      </c>
      <c r="D15">
        <f>HYPERLINK("http://comp.fnguide.com/SVO2/ASP/SVD_Consensus.asp?pGB=1&amp;gicode=A046110&amp;cID=&amp;MenuYn=Y&amp;ReportGB=&amp;NewMenuID=108&amp;stkGb=701", "한일네트웍스")</f>
        <v>0</v>
      </c>
      <c r="E15">
        <v>3</v>
      </c>
      <c r="F15">
        <v>5990</v>
      </c>
      <c r="G15">
        <v>0</v>
      </c>
      <c r="H15">
        <v>7.82</v>
      </c>
      <c r="I15">
        <v>7966</v>
      </c>
      <c r="J15">
        <v>7044</v>
      </c>
      <c r="K15">
        <v>6773</v>
      </c>
      <c r="L15">
        <v>-32.99</v>
      </c>
      <c r="M15">
        <v>-17.59</v>
      </c>
      <c r="N15">
        <v>-13.08</v>
      </c>
      <c r="O15">
        <v>10.32</v>
      </c>
      <c r="P15" t="b">
        <v>1</v>
      </c>
      <c r="Q15">
        <v>0</v>
      </c>
      <c r="R15">
        <v>636</v>
      </c>
      <c r="U15" t="s">
        <v>619</v>
      </c>
      <c r="V15" t="s">
        <v>867</v>
      </c>
      <c r="W15">
        <v>0</v>
      </c>
      <c r="X15">
        <v>23.4</v>
      </c>
      <c r="Y15" t="s">
        <v>1113</v>
      </c>
      <c r="Z15">
        <v>16.22086754821028</v>
      </c>
      <c r="AA15">
        <v>716</v>
      </c>
      <c r="AB15">
        <v>172566</v>
      </c>
      <c r="AC15" t="s">
        <v>1352</v>
      </c>
      <c r="AD15">
        <v>50.1</v>
      </c>
      <c r="AE15" t="s">
        <v>1600</v>
      </c>
      <c r="AF15" t="s">
        <v>1848</v>
      </c>
      <c r="AG15">
        <v>1174</v>
      </c>
      <c r="AH15">
        <v>100</v>
      </c>
      <c r="AJ15">
        <v>4.83</v>
      </c>
    </row>
    <row r="16" spans="1:36">
      <c r="A16" s="1" t="s">
        <v>74</v>
      </c>
      <c r="B16" t="s">
        <v>322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13900</v>
      </c>
      <c r="G16">
        <v>0</v>
      </c>
      <c r="H16">
        <v>6.6</v>
      </c>
      <c r="I16">
        <v>51771</v>
      </c>
      <c r="J16">
        <v>48487</v>
      </c>
      <c r="K16">
        <v>47523</v>
      </c>
      <c r="L16">
        <v>-272.46</v>
      </c>
      <c r="M16">
        <v>-248.83</v>
      </c>
      <c r="N16">
        <v>-241.9</v>
      </c>
      <c r="O16">
        <v>9.300000000000001</v>
      </c>
      <c r="P16" t="b">
        <v>1</v>
      </c>
      <c r="Q16">
        <v>0</v>
      </c>
      <c r="R16">
        <v>1652</v>
      </c>
      <c r="U16" t="s">
        <v>570</v>
      </c>
      <c r="V16" t="s">
        <v>818</v>
      </c>
      <c r="W16">
        <v>0</v>
      </c>
      <c r="X16">
        <v>0</v>
      </c>
      <c r="Y16" t="s">
        <v>1064</v>
      </c>
      <c r="Z16">
        <v>-6.712546618821968</v>
      </c>
      <c r="AA16">
        <v>4005</v>
      </c>
      <c r="AB16">
        <v>14769</v>
      </c>
      <c r="AC16" t="s">
        <v>1303</v>
      </c>
      <c r="AD16">
        <v>68.73999999999999</v>
      </c>
      <c r="AE16" t="s">
        <v>1551</v>
      </c>
      <c r="AF16" t="s">
        <v>1799</v>
      </c>
      <c r="AG16">
        <v>15334</v>
      </c>
      <c r="AH16">
        <v>1571</v>
      </c>
      <c r="AI16">
        <v>0</v>
      </c>
      <c r="AJ16">
        <v>4.68</v>
      </c>
    </row>
    <row r="17" spans="1:36">
      <c r="A17" s="1" t="s">
        <v>183</v>
      </c>
      <c r="B17" t="s">
        <v>431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853</v>
      </c>
      <c r="G17">
        <v>0</v>
      </c>
      <c r="H17">
        <v>5.7</v>
      </c>
      <c r="I17">
        <v>1096</v>
      </c>
      <c r="J17">
        <v>1028</v>
      </c>
      <c r="K17">
        <v>1009</v>
      </c>
      <c r="L17">
        <v>-28.49</v>
      </c>
      <c r="M17">
        <v>-20.56</v>
      </c>
      <c r="N17">
        <v>-18.23</v>
      </c>
      <c r="O17">
        <v>9.27</v>
      </c>
      <c r="P17" t="b">
        <v>1</v>
      </c>
      <c r="Q17">
        <v>0</v>
      </c>
      <c r="R17">
        <v>102</v>
      </c>
      <c r="U17" t="s">
        <v>679</v>
      </c>
      <c r="V17" t="s">
        <v>927</v>
      </c>
      <c r="W17">
        <v>0</v>
      </c>
      <c r="Y17" t="s">
        <v>1048</v>
      </c>
      <c r="Z17">
        <v>-10.11122124640329</v>
      </c>
      <c r="AA17">
        <v>2692</v>
      </c>
      <c r="AB17">
        <v>519389</v>
      </c>
      <c r="AC17" t="s">
        <v>1412</v>
      </c>
      <c r="AD17">
        <v>80.41</v>
      </c>
      <c r="AE17" t="s">
        <v>1660</v>
      </c>
      <c r="AF17" t="s">
        <v>1908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247</v>
      </c>
      <c r="B18" t="s">
        <v>495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77000</v>
      </c>
      <c r="G18">
        <v>0</v>
      </c>
      <c r="H18">
        <v>9.880000000000001</v>
      </c>
      <c r="I18">
        <v>83547</v>
      </c>
      <c r="J18">
        <v>66899</v>
      </c>
      <c r="K18">
        <v>62017</v>
      </c>
      <c r="L18">
        <v>-8.5</v>
      </c>
      <c r="M18">
        <v>13.12</v>
      </c>
      <c r="N18">
        <v>19.46</v>
      </c>
      <c r="O18">
        <v>12.51</v>
      </c>
      <c r="P18" t="b">
        <v>1</v>
      </c>
      <c r="Q18">
        <v>0</v>
      </c>
      <c r="R18">
        <v>6264</v>
      </c>
      <c r="U18" t="s">
        <v>743</v>
      </c>
      <c r="V18" t="s">
        <v>991</v>
      </c>
      <c r="W18">
        <v>0</v>
      </c>
      <c r="X18">
        <v>-30</v>
      </c>
      <c r="Y18" t="s">
        <v>1229</v>
      </c>
      <c r="Z18">
        <v>-6.03871649379405</v>
      </c>
      <c r="AA18">
        <v>1693</v>
      </c>
      <c r="AB18">
        <v>275</v>
      </c>
      <c r="AC18" t="s">
        <v>1476</v>
      </c>
      <c r="AD18">
        <v>56.36</v>
      </c>
      <c r="AE18" t="s">
        <v>1724</v>
      </c>
      <c r="AF18" t="s">
        <v>1972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156</v>
      </c>
      <c r="B19" t="s">
        <v>404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108000</v>
      </c>
      <c r="G19">
        <v>0.1</v>
      </c>
      <c r="H19">
        <v>3.64</v>
      </c>
      <c r="I19">
        <v>291636</v>
      </c>
      <c r="J19">
        <v>244832</v>
      </c>
      <c r="K19">
        <v>231105</v>
      </c>
      <c r="L19">
        <v>-170.03</v>
      </c>
      <c r="M19">
        <v>-126.7</v>
      </c>
      <c r="N19">
        <v>-113.99</v>
      </c>
      <c r="O19">
        <v>11.39</v>
      </c>
      <c r="P19" t="b">
        <v>1</v>
      </c>
      <c r="Q19">
        <v>0</v>
      </c>
      <c r="R19">
        <v>28748</v>
      </c>
      <c r="S19">
        <v>16143</v>
      </c>
      <c r="T19">
        <v>-43.8</v>
      </c>
      <c r="U19" t="s">
        <v>652</v>
      </c>
      <c r="V19" t="s">
        <v>900</v>
      </c>
      <c r="W19">
        <v>35.64081003514232</v>
      </c>
      <c r="X19">
        <v>-41.7</v>
      </c>
      <c r="Y19" t="s">
        <v>1146</v>
      </c>
      <c r="Z19">
        <v>-1.937143857038492</v>
      </c>
      <c r="AA19">
        <v>9969</v>
      </c>
      <c r="AB19">
        <v>15818</v>
      </c>
      <c r="AC19" t="s">
        <v>1385</v>
      </c>
      <c r="AD19">
        <v>72.34999999999999</v>
      </c>
      <c r="AE19" t="s">
        <v>1633</v>
      </c>
      <c r="AF19" t="s">
        <v>1881</v>
      </c>
      <c r="AG19">
        <v>44123</v>
      </c>
      <c r="AH19">
        <v>1902</v>
      </c>
      <c r="AI19">
        <v>297248</v>
      </c>
      <c r="AJ19">
        <v>3.83</v>
      </c>
    </row>
    <row r="20" spans="1:36">
      <c r="A20" s="1" t="s">
        <v>54</v>
      </c>
      <c r="B20" t="s">
        <v>302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16750</v>
      </c>
      <c r="G20">
        <v>0</v>
      </c>
      <c r="H20">
        <v>7.6</v>
      </c>
      <c r="I20">
        <v>24313</v>
      </c>
      <c r="J20">
        <v>22670</v>
      </c>
      <c r="K20">
        <v>22188</v>
      </c>
      <c r="L20">
        <v>-45.15</v>
      </c>
      <c r="M20">
        <v>-35.34</v>
      </c>
      <c r="N20">
        <v>-32.47</v>
      </c>
      <c r="O20">
        <v>9.369999999999999</v>
      </c>
      <c r="P20" t="b">
        <v>1</v>
      </c>
      <c r="Q20">
        <v>0</v>
      </c>
      <c r="R20">
        <v>1743</v>
      </c>
      <c r="U20" t="s">
        <v>550</v>
      </c>
      <c r="V20" t="s">
        <v>798</v>
      </c>
      <c r="W20">
        <v>0</v>
      </c>
      <c r="X20">
        <v>14.7</v>
      </c>
      <c r="Y20" t="s">
        <v>1046</v>
      </c>
      <c r="Z20">
        <v>-0.3816097002056318</v>
      </c>
      <c r="AA20">
        <v>676</v>
      </c>
      <c r="AB20">
        <v>6240</v>
      </c>
      <c r="AC20" t="s">
        <v>1283</v>
      </c>
      <c r="AD20">
        <v>71.06999999999999</v>
      </c>
      <c r="AE20" t="s">
        <v>1531</v>
      </c>
      <c r="AF20" t="s">
        <v>1779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78</v>
      </c>
      <c r="B21" t="s">
        <v>326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6190</v>
      </c>
      <c r="G21">
        <v>0</v>
      </c>
      <c r="H21">
        <v>3.18</v>
      </c>
      <c r="I21">
        <v>18646</v>
      </c>
      <c r="J21">
        <v>13482</v>
      </c>
      <c r="K21">
        <v>11967</v>
      </c>
      <c r="L21">
        <v>-201.24</v>
      </c>
      <c r="M21">
        <v>-117.8</v>
      </c>
      <c r="N21">
        <v>-93.33</v>
      </c>
      <c r="O21">
        <v>15.6</v>
      </c>
      <c r="P21" t="b">
        <v>1</v>
      </c>
      <c r="Q21">
        <v>0</v>
      </c>
      <c r="R21">
        <v>1590</v>
      </c>
      <c r="U21" t="s">
        <v>574</v>
      </c>
      <c r="V21" t="s">
        <v>822</v>
      </c>
      <c r="W21">
        <v>0</v>
      </c>
      <c r="X21">
        <v>-24.2</v>
      </c>
      <c r="Y21" t="s">
        <v>1068</v>
      </c>
      <c r="Z21">
        <v>2.25635110624689</v>
      </c>
      <c r="AA21">
        <v>5621</v>
      </c>
      <c r="AB21">
        <v>146792</v>
      </c>
      <c r="AC21" t="s">
        <v>1307</v>
      </c>
      <c r="AD21">
        <v>60.94</v>
      </c>
      <c r="AE21" t="s">
        <v>1555</v>
      </c>
      <c r="AF21" t="s">
        <v>1803</v>
      </c>
      <c r="AG21">
        <v>6306</v>
      </c>
      <c r="AH21">
        <v>1876</v>
      </c>
      <c r="AJ21">
        <v>3.66</v>
      </c>
    </row>
    <row r="22" spans="1:36">
      <c r="A22" s="1" t="s">
        <v>57</v>
      </c>
      <c r="B22" t="s">
        <v>305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10500</v>
      </c>
      <c r="G22">
        <v>0</v>
      </c>
      <c r="H22">
        <v>3.46</v>
      </c>
      <c r="I22">
        <v>17713</v>
      </c>
      <c r="J22">
        <v>15704</v>
      </c>
      <c r="K22">
        <v>15114</v>
      </c>
      <c r="L22">
        <v>-68.7</v>
      </c>
      <c r="M22">
        <v>-49.56</v>
      </c>
      <c r="N22">
        <v>-43.95</v>
      </c>
      <c r="O22">
        <v>10.27</v>
      </c>
      <c r="P22" t="b">
        <v>1</v>
      </c>
      <c r="Q22">
        <v>0</v>
      </c>
      <c r="R22">
        <v>2382</v>
      </c>
      <c r="U22" t="s">
        <v>553</v>
      </c>
      <c r="V22" t="s">
        <v>801</v>
      </c>
      <c r="W22">
        <v>0</v>
      </c>
      <c r="X22">
        <v>144.8</v>
      </c>
      <c r="Y22" t="s">
        <v>1049</v>
      </c>
      <c r="Z22">
        <v>72.64536706667681</v>
      </c>
      <c r="AA22">
        <v>3623</v>
      </c>
      <c r="AB22">
        <v>132676</v>
      </c>
      <c r="AC22" t="s">
        <v>1286</v>
      </c>
      <c r="AD22">
        <v>51</v>
      </c>
      <c r="AE22" t="s">
        <v>1534</v>
      </c>
      <c r="AF22" t="s">
        <v>1782</v>
      </c>
      <c r="AG22">
        <v>9203</v>
      </c>
      <c r="AH22">
        <v>399</v>
      </c>
      <c r="AI22">
        <v>1589680</v>
      </c>
      <c r="AJ22">
        <v>3.64</v>
      </c>
    </row>
    <row r="23" spans="1:36">
      <c r="A23" s="1" t="s">
        <v>59</v>
      </c>
      <c r="B23" t="s">
        <v>307</v>
      </c>
      <c r="C23">
        <f>HYPERLINK("https://finance.naver.com/item/coinfo.nhn?code=192400", "A192400")</f>
        <v>0</v>
      </c>
      <c r="D23">
        <f>HYPERLINK("http://comp.fnguide.com/SVO2/ASP/SVD_Consensus.asp?pGB=1&amp;gicode=A192400&amp;cID=&amp;MenuYn=Y&amp;ReportGB=&amp;NewMenuID=108&amp;stkGb=701", "쿠쿠홀딩스")</f>
        <v>0</v>
      </c>
      <c r="E23">
        <v>3</v>
      </c>
      <c r="F23">
        <v>139500</v>
      </c>
      <c r="G23">
        <v>0</v>
      </c>
      <c r="H23">
        <v>6.66</v>
      </c>
      <c r="I23">
        <v>213589</v>
      </c>
      <c r="J23">
        <v>159633</v>
      </c>
      <c r="K23">
        <v>143808</v>
      </c>
      <c r="L23">
        <v>-53.11</v>
      </c>
      <c r="M23">
        <v>-14.43</v>
      </c>
      <c r="N23">
        <v>-3.09</v>
      </c>
      <c r="O23">
        <v>14.48</v>
      </c>
      <c r="P23" t="b">
        <v>1</v>
      </c>
      <c r="Q23">
        <v>0</v>
      </c>
      <c r="R23">
        <v>15003</v>
      </c>
      <c r="U23" t="s">
        <v>555</v>
      </c>
      <c r="V23" t="s">
        <v>803</v>
      </c>
      <c r="W23">
        <v>0</v>
      </c>
      <c r="X23">
        <v>70</v>
      </c>
      <c r="Y23" t="s">
        <v>1051</v>
      </c>
      <c r="Z23">
        <v>25.22222222696735</v>
      </c>
      <c r="AA23">
        <v>9922</v>
      </c>
      <c r="AB23">
        <v>3344</v>
      </c>
      <c r="AC23" t="s">
        <v>1288</v>
      </c>
      <c r="AD23">
        <v>69.06999999999999</v>
      </c>
      <c r="AE23" t="s">
        <v>1536</v>
      </c>
      <c r="AF23" t="s">
        <v>1784</v>
      </c>
      <c r="AG23">
        <v>5878</v>
      </c>
      <c r="AH23">
        <v>1023</v>
      </c>
      <c r="AI23">
        <v>896760</v>
      </c>
      <c r="AJ23">
        <v>3.3</v>
      </c>
    </row>
    <row r="24" spans="1:36">
      <c r="A24" s="1" t="s">
        <v>69</v>
      </c>
      <c r="B24" t="s">
        <v>317</v>
      </c>
      <c r="C24">
        <f>HYPERLINK("https://finance.naver.com/item/coinfo.nhn?code=016450", "A016450")</f>
        <v>0</v>
      </c>
      <c r="D24">
        <f>HYPERLINK("http://comp.fnguide.com/SVO2/ASP/SVD_Consensus.asp?pGB=1&amp;gicode=A016450&amp;cID=&amp;MenuYn=Y&amp;ReportGB=&amp;NewMenuID=108&amp;stkGb=701", "한세예스24홀딩스")</f>
        <v>0</v>
      </c>
      <c r="E24">
        <v>3</v>
      </c>
      <c r="F24">
        <v>9350</v>
      </c>
      <c r="G24">
        <v>0</v>
      </c>
      <c r="H24">
        <v>5.64</v>
      </c>
      <c r="I24">
        <v>12457</v>
      </c>
      <c r="J24">
        <v>10636</v>
      </c>
      <c r="K24">
        <v>10102</v>
      </c>
      <c r="L24">
        <v>-33.23</v>
      </c>
      <c r="M24">
        <v>-13.76</v>
      </c>
      <c r="N24">
        <v>-8.050000000000001</v>
      </c>
      <c r="O24">
        <v>11.02</v>
      </c>
      <c r="P24" t="b">
        <v>1</v>
      </c>
      <c r="Q24">
        <v>0</v>
      </c>
      <c r="R24">
        <v>1359</v>
      </c>
      <c r="S24">
        <v>1130</v>
      </c>
      <c r="T24">
        <v>-16.9</v>
      </c>
      <c r="U24" t="s">
        <v>565</v>
      </c>
      <c r="V24" t="s">
        <v>813</v>
      </c>
      <c r="W24">
        <v>0</v>
      </c>
      <c r="X24">
        <v>0</v>
      </c>
      <c r="Y24" t="s">
        <v>1059</v>
      </c>
      <c r="Z24">
        <v>134.719321744078</v>
      </c>
      <c r="AA24">
        <v>3740</v>
      </c>
      <c r="AB24">
        <v>213341</v>
      </c>
      <c r="AC24" t="s">
        <v>1298</v>
      </c>
      <c r="AD24">
        <v>79.87</v>
      </c>
      <c r="AE24" t="s">
        <v>1546</v>
      </c>
      <c r="AF24" t="s">
        <v>1794</v>
      </c>
      <c r="AG24">
        <v>27979</v>
      </c>
      <c r="AH24">
        <v>817</v>
      </c>
      <c r="AI24">
        <v>738213</v>
      </c>
      <c r="AJ24">
        <v>3.26</v>
      </c>
    </row>
    <row r="25" spans="1:36">
      <c r="A25" s="1" t="s">
        <v>240</v>
      </c>
      <c r="B25" t="s">
        <v>488</v>
      </c>
      <c r="C25">
        <f>HYPERLINK("https://finance.naver.com/item/coinfo.nhn?code=010640", "A010640")</f>
        <v>0</v>
      </c>
      <c r="D25">
        <f>HYPERLINK("http://comp.fnguide.com/SVO2/ASP/SVD_Consensus.asp?pGB=1&amp;gicode=A010640&amp;cID=&amp;MenuYn=Y&amp;ReportGB=&amp;NewMenuID=108&amp;stkGb=701", "진양폴리")</f>
        <v>0</v>
      </c>
      <c r="E25">
        <v>1</v>
      </c>
      <c r="F25">
        <v>3830</v>
      </c>
      <c r="G25">
        <v>0</v>
      </c>
      <c r="H25">
        <v>24</v>
      </c>
      <c r="I25">
        <v>4833</v>
      </c>
      <c r="J25">
        <v>3565</v>
      </c>
      <c r="K25">
        <v>3193</v>
      </c>
      <c r="L25">
        <v>-26.2</v>
      </c>
      <c r="M25">
        <v>6.92</v>
      </c>
      <c r="N25">
        <v>16.63</v>
      </c>
      <c r="O25">
        <v>14.91</v>
      </c>
      <c r="P25" t="b">
        <v>1</v>
      </c>
      <c r="Q25">
        <v>0</v>
      </c>
      <c r="R25">
        <v>161</v>
      </c>
      <c r="U25" t="s">
        <v>736</v>
      </c>
      <c r="V25" t="s">
        <v>984</v>
      </c>
      <c r="W25">
        <v>0</v>
      </c>
      <c r="X25">
        <v>-50.4</v>
      </c>
      <c r="Y25" t="s">
        <v>1223</v>
      </c>
      <c r="Z25">
        <v>-35.32577406474103</v>
      </c>
      <c r="AA25">
        <v>383</v>
      </c>
      <c r="AB25">
        <v>97469</v>
      </c>
      <c r="AC25" t="s">
        <v>1469</v>
      </c>
      <c r="AD25">
        <v>50.5</v>
      </c>
      <c r="AE25" t="s">
        <v>1717</v>
      </c>
      <c r="AF25" t="s">
        <v>1965</v>
      </c>
      <c r="AG25">
        <v>371</v>
      </c>
      <c r="AH25">
        <v>22</v>
      </c>
      <c r="AJ25">
        <v>3.23</v>
      </c>
    </row>
    <row r="26" spans="1:36">
      <c r="A26" s="1" t="s">
        <v>226</v>
      </c>
      <c r="B26" t="s">
        <v>474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9260</v>
      </c>
      <c r="G26">
        <v>0</v>
      </c>
      <c r="H26">
        <v>6.09</v>
      </c>
      <c r="I26">
        <v>11031</v>
      </c>
      <c r="J26">
        <v>8294</v>
      </c>
      <c r="K26">
        <v>7492</v>
      </c>
      <c r="L26">
        <v>-19.12</v>
      </c>
      <c r="M26">
        <v>10.43</v>
      </c>
      <c r="N26">
        <v>19.09</v>
      </c>
      <c r="O26">
        <v>14.29</v>
      </c>
      <c r="P26" t="b">
        <v>1</v>
      </c>
      <c r="Q26">
        <v>0</v>
      </c>
      <c r="R26">
        <v>954</v>
      </c>
      <c r="U26" t="s">
        <v>722</v>
      </c>
      <c r="V26" t="s">
        <v>970</v>
      </c>
      <c r="W26">
        <v>0</v>
      </c>
      <c r="X26">
        <v>60</v>
      </c>
      <c r="Y26" t="s">
        <v>1210</v>
      </c>
      <c r="Z26">
        <v>39.04272254862935</v>
      </c>
      <c r="AA26">
        <v>1141</v>
      </c>
      <c r="AB26">
        <v>205313</v>
      </c>
      <c r="AC26" t="s">
        <v>1455</v>
      </c>
      <c r="AD26">
        <v>51.18</v>
      </c>
      <c r="AE26" t="s">
        <v>1703</v>
      </c>
      <c r="AF26" t="s">
        <v>1951</v>
      </c>
      <c r="AG26">
        <v>1191</v>
      </c>
      <c r="AH26">
        <v>156</v>
      </c>
      <c r="AI26">
        <v>772811</v>
      </c>
      <c r="AJ26">
        <v>3.1</v>
      </c>
    </row>
    <row r="27" spans="1:36">
      <c r="A27" s="1" t="s">
        <v>91</v>
      </c>
      <c r="B27" t="s">
        <v>339</v>
      </c>
      <c r="C27">
        <f>HYPERLINK("https://finance.naver.com/item/coinfo.nhn?code=003800", "A003800")</f>
        <v>0</v>
      </c>
      <c r="D27">
        <f>HYPERLINK("http://comp.fnguide.com/SVO2/ASP/SVD_Consensus.asp?pGB=1&amp;gicode=A003800&amp;cID=&amp;MenuYn=Y&amp;ReportGB=&amp;NewMenuID=108&amp;stkGb=701", "에이스침대")</f>
        <v>0</v>
      </c>
      <c r="E27">
        <v>3</v>
      </c>
      <c r="F27">
        <v>46300</v>
      </c>
      <c r="G27">
        <v>0</v>
      </c>
      <c r="H27">
        <v>8.57</v>
      </c>
      <c r="I27">
        <v>56920</v>
      </c>
      <c r="J27">
        <v>52496</v>
      </c>
      <c r="K27">
        <v>51198</v>
      </c>
      <c r="L27">
        <v>-22.94</v>
      </c>
      <c r="M27">
        <v>-13.38</v>
      </c>
      <c r="N27">
        <v>-10.58</v>
      </c>
      <c r="O27">
        <v>9.550000000000001</v>
      </c>
      <c r="P27" t="b">
        <v>1</v>
      </c>
      <c r="Q27">
        <v>0</v>
      </c>
      <c r="R27">
        <v>4448</v>
      </c>
      <c r="U27" t="s">
        <v>587</v>
      </c>
      <c r="V27" t="s">
        <v>835</v>
      </c>
      <c r="W27">
        <v>0</v>
      </c>
      <c r="X27">
        <v>122.6</v>
      </c>
      <c r="Y27" t="s">
        <v>1081</v>
      </c>
      <c r="Z27">
        <v>29.39345613933162</v>
      </c>
      <c r="AA27">
        <v>5135</v>
      </c>
      <c r="AB27">
        <v>3207</v>
      </c>
      <c r="AC27" t="s">
        <v>1320</v>
      </c>
      <c r="AD27">
        <v>79.56</v>
      </c>
      <c r="AE27" t="s">
        <v>1568</v>
      </c>
      <c r="AF27" t="s">
        <v>1816</v>
      </c>
      <c r="AG27">
        <v>2895</v>
      </c>
      <c r="AH27">
        <v>493</v>
      </c>
      <c r="AI27">
        <v>838055</v>
      </c>
      <c r="AJ27">
        <v>2.89</v>
      </c>
    </row>
    <row r="28" spans="1:36">
      <c r="A28" s="1" t="s">
        <v>60</v>
      </c>
      <c r="B28" t="s">
        <v>308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13950</v>
      </c>
      <c r="G28">
        <v>0</v>
      </c>
      <c r="H28">
        <v>7.29</v>
      </c>
      <c r="I28">
        <v>18380</v>
      </c>
      <c r="J28">
        <v>15023</v>
      </c>
      <c r="K28">
        <v>14039</v>
      </c>
      <c r="L28">
        <v>-31.76</v>
      </c>
      <c r="M28">
        <v>-7.69</v>
      </c>
      <c r="N28">
        <v>-0.64</v>
      </c>
      <c r="O28">
        <v>12.01</v>
      </c>
      <c r="P28" t="b">
        <v>1</v>
      </c>
      <c r="Q28">
        <v>0</v>
      </c>
      <c r="R28">
        <v>1219</v>
      </c>
      <c r="U28" t="s">
        <v>556</v>
      </c>
      <c r="V28" t="s">
        <v>804</v>
      </c>
      <c r="W28">
        <v>0</v>
      </c>
      <c r="X28">
        <v>6.4</v>
      </c>
      <c r="Y28" t="s">
        <v>1052</v>
      </c>
      <c r="Z28">
        <v>0</v>
      </c>
      <c r="AA28">
        <v>1747</v>
      </c>
      <c r="AB28">
        <v>106385</v>
      </c>
      <c r="AC28" t="s">
        <v>1289</v>
      </c>
      <c r="AD28">
        <v>61.68</v>
      </c>
      <c r="AE28" t="s">
        <v>1537</v>
      </c>
      <c r="AF28" t="s">
        <v>1785</v>
      </c>
      <c r="AG28">
        <v>3815</v>
      </c>
      <c r="AH28">
        <v>235</v>
      </c>
      <c r="AI28">
        <v>507681</v>
      </c>
      <c r="AJ28">
        <v>2.82</v>
      </c>
    </row>
    <row r="29" spans="1:36">
      <c r="A29" s="1" t="s">
        <v>227</v>
      </c>
      <c r="B29" t="s">
        <v>475</v>
      </c>
      <c r="C29">
        <f>HYPERLINK("https://finance.naver.com/item/coinfo.nhn?code=251970", "A251970")</f>
        <v>0</v>
      </c>
      <c r="D29">
        <f>HYPERLINK("http://comp.fnguide.com/SVO2/ASP/SVD_Consensus.asp?pGB=1&amp;gicode=A251970&amp;cID=&amp;MenuYn=Y&amp;ReportGB=&amp;NewMenuID=108&amp;stkGb=701", "펌텍코리아")</f>
        <v>0</v>
      </c>
      <c r="E29">
        <v>1</v>
      </c>
      <c r="F29">
        <v>23250</v>
      </c>
      <c r="G29">
        <v>4.3</v>
      </c>
      <c r="H29">
        <v>9.98</v>
      </c>
      <c r="I29">
        <v>29878</v>
      </c>
      <c r="J29">
        <v>20873</v>
      </c>
      <c r="K29">
        <v>18232</v>
      </c>
      <c r="L29">
        <v>-28.51</v>
      </c>
      <c r="M29">
        <v>10.22</v>
      </c>
      <c r="N29">
        <v>21.58</v>
      </c>
      <c r="O29">
        <v>16.91</v>
      </c>
      <c r="P29" t="b">
        <v>1</v>
      </c>
      <c r="Q29">
        <v>1</v>
      </c>
      <c r="R29">
        <v>1577</v>
      </c>
      <c r="S29">
        <v>1827</v>
      </c>
      <c r="T29">
        <v>15.9</v>
      </c>
      <c r="U29" t="s">
        <v>723</v>
      </c>
      <c r="V29" t="s">
        <v>971</v>
      </c>
      <c r="W29">
        <v>2.32212127924325</v>
      </c>
      <c r="X29">
        <v>-5</v>
      </c>
      <c r="Y29" t="s">
        <v>1211</v>
      </c>
      <c r="Z29">
        <v>-5.209706925712199</v>
      </c>
      <c r="AA29">
        <v>2883</v>
      </c>
      <c r="AB29">
        <v>38660</v>
      </c>
      <c r="AC29" t="s">
        <v>1456</v>
      </c>
      <c r="AD29">
        <v>61.4</v>
      </c>
      <c r="AE29" t="s">
        <v>1704</v>
      </c>
      <c r="AF29" t="s">
        <v>1952</v>
      </c>
      <c r="AG29">
        <v>1968</v>
      </c>
      <c r="AH29">
        <v>274</v>
      </c>
      <c r="AI29">
        <v>287382</v>
      </c>
      <c r="AJ29">
        <v>2.73</v>
      </c>
    </row>
    <row r="30" spans="1:36">
      <c r="A30" s="1" t="s">
        <v>282</v>
      </c>
      <c r="B30" t="s">
        <v>530</v>
      </c>
      <c r="C30">
        <f>HYPERLINK("https://finance.naver.com/item/coinfo.nhn?code=290120", "A290120")</f>
        <v>0</v>
      </c>
      <c r="D30">
        <f>HYPERLINK("http://comp.fnguide.com/SVO2/ASP/SVD_Consensus.asp?pGB=1&amp;gicode=A290120&amp;cID=&amp;MenuYn=Y&amp;ReportGB=&amp;NewMenuID=108&amp;stkGb=701", "대유에이피")</f>
        <v>0</v>
      </c>
      <c r="E30">
        <v>1</v>
      </c>
      <c r="F30">
        <v>7620</v>
      </c>
      <c r="G30">
        <v>0</v>
      </c>
      <c r="H30">
        <v>14.1</v>
      </c>
      <c r="I30">
        <v>8909</v>
      </c>
      <c r="J30">
        <v>6355</v>
      </c>
      <c r="K30">
        <v>5606</v>
      </c>
      <c r="L30">
        <v>-16.91</v>
      </c>
      <c r="M30">
        <v>16.6</v>
      </c>
      <c r="N30">
        <v>26.43</v>
      </c>
      <c r="O30">
        <v>16.1</v>
      </c>
      <c r="P30" t="b">
        <v>1</v>
      </c>
      <c r="Q30">
        <v>0</v>
      </c>
      <c r="R30">
        <v>530</v>
      </c>
      <c r="U30" t="s">
        <v>778</v>
      </c>
      <c r="V30" t="s">
        <v>1026</v>
      </c>
      <c r="W30">
        <v>0</v>
      </c>
      <c r="X30">
        <v>46.8</v>
      </c>
      <c r="Y30" t="s">
        <v>1263</v>
      </c>
      <c r="Z30">
        <v>33.71954889124918</v>
      </c>
      <c r="AA30">
        <v>829</v>
      </c>
      <c r="AB30">
        <v>32227</v>
      </c>
      <c r="AC30" t="s">
        <v>1511</v>
      </c>
      <c r="AD30">
        <v>73.5</v>
      </c>
      <c r="AE30" t="s">
        <v>1759</v>
      </c>
      <c r="AF30" t="s">
        <v>2006</v>
      </c>
      <c r="AG30">
        <v>1718</v>
      </c>
      <c r="AH30">
        <v>141</v>
      </c>
      <c r="AJ30">
        <v>2.68</v>
      </c>
    </row>
    <row r="31" spans="1:36">
      <c r="A31" s="1" t="s">
        <v>166</v>
      </c>
      <c r="B31" t="s">
        <v>414</v>
      </c>
      <c r="C31">
        <f>HYPERLINK("https://finance.naver.com/item/coinfo.nhn?code=033660", "A033660")</f>
        <v>0</v>
      </c>
      <c r="D31">
        <f>HYPERLINK("http://comp.fnguide.com/SVO2/ASP/SVD_Consensus.asp?pGB=1&amp;gicode=A033660&amp;cID=&amp;MenuYn=Y&amp;ReportGB=&amp;NewMenuID=108&amp;stkGb=701", "우리금융캐피탈")</f>
        <v>0</v>
      </c>
      <c r="E31">
        <v>3</v>
      </c>
      <c r="F31">
        <v>11650</v>
      </c>
      <c r="G31">
        <v>0</v>
      </c>
      <c r="H31">
        <v>11.9</v>
      </c>
      <c r="I31">
        <v>17947</v>
      </c>
      <c r="J31">
        <v>16140</v>
      </c>
      <c r="K31">
        <v>15610</v>
      </c>
      <c r="L31">
        <v>-54.05</v>
      </c>
      <c r="M31">
        <v>-38.54</v>
      </c>
      <c r="N31">
        <v>-33.99</v>
      </c>
      <c r="O31">
        <v>10</v>
      </c>
      <c r="P31" t="b">
        <v>0</v>
      </c>
      <c r="Q31">
        <v>0</v>
      </c>
      <c r="R31">
        <v>1025</v>
      </c>
      <c r="U31" t="s">
        <v>662</v>
      </c>
      <c r="V31" t="s">
        <v>910</v>
      </c>
      <c r="W31">
        <v>0</v>
      </c>
      <c r="Y31" t="s">
        <v>1048</v>
      </c>
      <c r="Z31">
        <v>0</v>
      </c>
      <c r="AA31">
        <v>6704</v>
      </c>
      <c r="AB31">
        <v>58397</v>
      </c>
      <c r="AC31" t="s">
        <v>1395</v>
      </c>
      <c r="AD31">
        <v>90.48</v>
      </c>
      <c r="AE31" t="s">
        <v>1643</v>
      </c>
      <c r="AF31" t="s">
        <v>1891</v>
      </c>
      <c r="AG31">
        <v>2431</v>
      </c>
      <c r="AH31">
        <v>1381</v>
      </c>
      <c r="AI31">
        <v>2064059</v>
      </c>
      <c r="AJ31">
        <v>2.62</v>
      </c>
    </row>
    <row r="32" spans="1:36">
      <c r="A32" s="1" t="s">
        <v>98</v>
      </c>
      <c r="B32" t="s">
        <v>346</v>
      </c>
      <c r="C32">
        <f>HYPERLINK("https://finance.naver.com/item/coinfo.nhn?code=035890", "A035890")</f>
        <v>0</v>
      </c>
      <c r="D32">
        <f>HYPERLINK("http://comp.fnguide.com/SVO2/ASP/SVD_Consensus.asp?pGB=1&amp;gicode=A035890&amp;cID=&amp;MenuYn=Y&amp;ReportGB=&amp;NewMenuID=108&amp;stkGb=701", "서희건설")</f>
        <v>0</v>
      </c>
      <c r="E32">
        <v>3</v>
      </c>
      <c r="F32">
        <v>2090</v>
      </c>
      <c r="G32">
        <v>0.06</v>
      </c>
      <c r="H32">
        <v>2.84</v>
      </c>
      <c r="I32">
        <v>6339</v>
      </c>
      <c r="J32">
        <v>3983</v>
      </c>
      <c r="K32">
        <v>3292</v>
      </c>
      <c r="L32">
        <v>-203.33</v>
      </c>
      <c r="M32">
        <v>-90.58</v>
      </c>
      <c r="N32">
        <v>-57.52</v>
      </c>
      <c r="O32">
        <v>22.31</v>
      </c>
      <c r="P32" t="b">
        <v>1</v>
      </c>
      <c r="Q32">
        <v>3</v>
      </c>
      <c r="R32">
        <v>539</v>
      </c>
      <c r="S32">
        <v>635</v>
      </c>
      <c r="T32">
        <v>17.8</v>
      </c>
      <c r="U32" t="s">
        <v>594</v>
      </c>
      <c r="V32" t="s">
        <v>842</v>
      </c>
      <c r="W32">
        <v>46.46153548374943</v>
      </c>
      <c r="X32">
        <v>56.6</v>
      </c>
      <c r="Y32" t="s">
        <v>1088</v>
      </c>
      <c r="Z32">
        <v>38.28294135719923</v>
      </c>
      <c r="AA32">
        <v>4803</v>
      </c>
      <c r="AB32">
        <v>2649151</v>
      </c>
      <c r="AC32" t="s">
        <v>1327</v>
      </c>
      <c r="AD32">
        <v>54.12</v>
      </c>
      <c r="AE32" t="s">
        <v>1575</v>
      </c>
      <c r="AF32" t="s">
        <v>1823</v>
      </c>
      <c r="AG32">
        <v>12783</v>
      </c>
      <c r="AH32">
        <v>1744</v>
      </c>
      <c r="AI32">
        <v>9575559</v>
      </c>
      <c r="AJ32">
        <v>2.61</v>
      </c>
    </row>
    <row r="33" spans="1:36">
      <c r="A33" s="1" t="s">
        <v>100</v>
      </c>
      <c r="B33" t="s">
        <v>348</v>
      </c>
      <c r="C33">
        <f>HYPERLINK("https://finance.naver.com/item/coinfo.nhn?code=109860", "A109860")</f>
        <v>0</v>
      </c>
      <c r="D33">
        <f>HYPERLINK("http://comp.fnguide.com/SVO2/ASP/SVD_Consensus.asp?pGB=1&amp;gicode=A109860&amp;cID=&amp;MenuYn=Y&amp;ReportGB=&amp;NewMenuID=108&amp;stkGb=701", "동일금속")</f>
        <v>0</v>
      </c>
      <c r="E33">
        <v>3</v>
      </c>
      <c r="F33">
        <v>13700</v>
      </c>
      <c r="G33">
        <v>0</v>
      </c>
      <c r="H33">
        <v>12.17</v>
      </c>
      <c r="I33">
        <v>20812</v>
      </c>
      <c r="J33">
        <v>20445</v>
      </c>
      <c r="K33">
        <v>20337</v>
      </c>
      <c r="L33">
        <v>-51.91</v>
      </c>
      <c r="M33">
        <v>-49.23</v>
      </c>
      <c r="N33">
        <v>-48.44</v>
      </c>
      <c r="O33">
        <v>8.550000000000001</v>
      </c>
      <c r="P33" t="b">
        <v>1</v>
      </c>
      <c r="Q33">
        <v>0</v>
      </c>
      <c r="R33">
        <v>949</v>
      </c>
      <c r="U33" t="s">
        <v>596</v>
      </c>
      <c r="V33" t="s">
        <v>844</v>
      </c>
      <c r="W33">
        <v>0</v>
      </c>
      <c r="X33">
        <v>231.9</v>
      </c>
      <c r="Y33" t="s">
        <v>1090</v>
      </c>
      <c r="Z33">
        <v>43.69916784184014</v>
      </c>
      <c r="AA33">
        <v>959</v>
      </c>
      <c r="AB33">
        <v>2847</v>
      </c>
      <c r="AC33" t="s">
        <v>1329</v>
      </c>
      <c r="AD33">
        <v>57.72</v>
      </c>
      <c r="AE33" t="s">
        <v>1577</v>
      </c>
      <c r="AF33" t="s">
        <v>1825</v>
      </c>
      <c r="AG33">
        <v>586</v>
      </c>
      <c r="AH33">
        <v>33</v>
      </c>
      <c r="AI33">
        <v>635894</v>
      </c>
      <c r="AJ33">
        <v>2.6</v>
      </c>
    </row>
    <row r="34" spans="1:36">
      <c r="A34" s="1" t="s">
        <v>262</v>
      </c>
      <c r="B34" t="s">
        <v>510</v>
      </c>
      <c r="C34">
        <f>HYPERLINK("https://finance.naver.com/item/coinfo.nhn?code=056190", "A056190")</f>
        <v>0</v>
      </c>
      <c r="D34">
        <f>HYPERLINK("http://comp.fnguide.com/SVO2/ASP/SVD_Consensus.asp?pGB=1&amp;gicode=A056190&amp;cID=&amp;MenuYn=Y&amp;ReportGB=&amp;NewMenuID=108&amp;stkGb=701", "에스에프에이")</f>
        <v>0</v>
      </c>
      <c r="E34">
        <v>1</v>
      </c>
      <c r="F34">
        <v>43150</v>
      </c>
      <c r="G34">
        <v>-2.24</v>
      </c>
      <c r="H34">
        <v>12.8</v>
      </c>
      <c r="I34">
        <v>49816</v>
      </c>
      <c r="J34">
        <v>37405</v>
      </c>
      <c r="K34">
        <v>33765</v>
      </c>
      <c r="L34">
        <v>-15.45</v>
      </c>
      <c r="M34">
        <v>13.31</v>
      </c>
      <c r="N34">
        <v>21.75</v>
      </c>
      <c r="O34">
        <v>14.33</v>
      </c>
      <c r="P34" t="b">
        <v>1</v>
      </c>
      <c r="Q34">
        <v>1</v>
      </c>
      <c r="R34">
        <v>3015</v>
      </c>
      <c r="S34">
        <v>3686</v>
      </c>
      <c r="T34">
        <v>22.3</v>
      </c>
      <c r="U34" t="s">
        <v>758</v>
      </c>
      <c r="V34" t="s">
        <v>1006</v>
      </c>
      <c r="W34">
        <v>-5.706404602985026</v>
      </c>
      <c r="X34">
        <v>27.5</v>
      </c>
      <c r="Y34" t="s">
        <v>1244</v>
      </c>
      <c r="Z34">
        <v>12.02567765485418</v>
      </c>
      <c r="AA34">
        <v>15495</v>
      </c>
      <c r="AB34">
        <v>143293</v>
      </c>
      <c r="AC34" t="s">
        <v>1491</v>
      </c>
      <c r="AD34">
        <v>54.03</v>
      </c>
      <c r="AE34" t="s">
        <v>1739</v>
      </c>
      <c r="AF34" t="s">
        <v>1986</v>
      </c>
      <c r="AG34">
        <v>15512</v>
      </c>
      <c r="AH34">
        <v>1673</v>
      </c>
      <c r="AI34">
        <v>8470</v>
      </c>
      <c r="AJ34">
        <v>2.46</v>
      </c>
    </row>
    <row r="35" spans="1:36">
      <c r="A35" s="1" t="s">
        <v>170</v>
      </c>
      <c r="B35" t="s">
        <v>418</v>
      </c>
      <c r="C35">
        <f>HYPERLINK("https://finance.naver.com/item/coinfo.nhn?code=005820", "A005820")</f>
        <v>0</v>
      </c>
      <c r="D35">
        <f>HYPERLINK("http://comp.fnguide.com/SVO2/ASP/SVD_Consensus.asp?pGB=1&amp;gicode=A005820&amp;cID=&amp;MenuYn=Y&amp;ReportGB=&amp;NewMenuID=108&amp;stkGb=701", "원림")</f>
        <v>0</v>
      </c>
      <c r="E35">
        <v>3</v>
      </c>
      <c r="F35">
        <v>25200</v>
      </c>
      <c r="G35">
        <v>0</v>
      </c>
      <c r="H35">
        <v>2.83</v>
      </c>
      <c r="I35">
        <v>57349</v>
      </c>
      <c r="J35">
        <v>53814</v>
      </c>
      <c r="K35">
        <v>52778</v>
      </c>
      <c r="L35">
        <v>-127.58</v>
      </c>
      <c r="M35">
        <v>-113.55</v>
      </c>
      <c r="N35">
        <v>-109.43</v>
      </c>
      <c r="O35">
        <v>9.26</v>
      </c>
      <c r="P35" t="b">
        <v>1</v>
      </c>
      <c r="Q35">
        <v>0</v>
      </c>
      <c r="R35">
        <v>6961</v>
      </c>
      <c r="U35" t="s">
        <v>666</v>
      </c>
      <c r="V35" t="s">
        <v>914</v>
      </c>
      <c r="W35">
        <v>0</v>
      </c>
      <c r="X35">
        <v>0</v>
      </c>
      <c r="Y35" t="s">
        <v>1158</v>
      </c>
      <c r="Z35">
        <v>68.42559187961905</v>
      </c>
      <c r="AA35">
        <v>579</v>
      </c>
      <c r="AB35">
        <v>5672</v>
      </c>
      <c r="AC35" t="s">
        <v>1399</v>
      </c>
      <c r="AD35">
        <v>60.52</v>
      </c>
      <c r="AE35" t="s">
        <v>1647</v>
      </c>
      <c r="AF35" t="s">
        <v>1895</v>
      </c>
      <c r="AG35">
        <v>684</v>
      </c>
      <c r="AH35">
        <v>54</v>
      </c>
      <c r="AI35">
        <v>240590</v>
      </c>
      <c r="AJ35">
        <v>2.44</v>
      </c>
    </row>
    <row r="36" spans="1:36">
      <c r="A36" s="1" t="s">
        <v>144</v>
      </c>
      <c r="B36" t="s">
        <v>392</v>
      </c>
      <c r="C36">
        <f>HYPERLINK("https://finance.naver.com/item/coinfo.nhn?code=007700", "A007700")</f>
        <v>0</v>
      </c>
      <c r="D36">
        <f>HYPERLINK("http://comp.fnguide.com/SVO2/ASP/SVD_Consensus.asp?pGB=1&amp;gicode=A007700&amp;cID=&amp;MenuYn=Y&amp;ReportGB=&amp;NewMenuID=108&amp;stkGb=701", "F&amp;F홀딩스")</f>
        <v>0</v>
      </c>
      <c r="E36">
        <v>3</v>
      </c>
      <c r="F36">
        <v>40400</v>
      </c>
      <c r="G36">
        <v>0</v>
      </c>
      <c r="H36">
        <v>7.57</v>
      </c>
      <c r="I36">
        <v>190323</v>
      </c>
      <c r="J36">
        <v>120289</v>
      </c>
      <c r="K36">
        <v>99749</v>
      </c>
      <c r="L36">
        <v>-371.1</v>
      </c>
      <c r="M36">
        <v>-197.75</v>
      </c>
      <c r="N36">
        <v>-146.9</v>
      </c>
      <c r="O36">
        <v>21.95</v>
      </c>
      <c r="P36" t="b">
        <v>1</v>
      </c>
      <c r="Q36">
        <v>0</v>
      </c>
      <c r="R36">
        <v>5571</v>
      </c>
      <c r="U36" t="s">
        <v>640</v>
      </c>
      <c r="V36" t="s">
        <v>888</v>
      </c>
      <c r="W36">
        <v>0</v>
      </c>
      <c r="X36">
        <v>306.9</v>
      </c>
      <c r="Y36" t="s">
        <v>1134</v>
      </c>
      <c r="Z36">
        <v>63.08288914650668</v>
      </c>
      <c r="AA36">
        <v>3126</v>
      </c>
      <c r="AB36">
        <v>439599</v>
      </c>
      <c r="AC36" t="s">
        <v>1373</v>
      </c>
      <c r="AD36">
        <v>58.82</v>
      </c>
      <c r="AE36" t="s">
        <v>1621</v>
      </c>
      <c r="AF36" t="s">
        <v>1869</v>
      </c>
      <c r="AG36">
        <v>8376</v>
      </c>
      <c r="AH36">
        <v>1226</v>
      </c>
      <c r="AI36">
        <v>79896</v>
      </c>
      <c r="AJ36">
        <v>2.37</v>
      </c>
    </row>
    <row r="37" spans="1:36">
      <c r="A37" s="1" t="s">
        <v>56</v>
      </c>
      <c r="B37" t="s">
        <v>304</v>
      </c>
      <c r="C37">
        <f>HYPERLINK("https://finance.naver.com/item/coinfo.nhn?code=023460", "A023460")</f>
        <v>0</v>
      </c>
      <c r="D37">
        <f>HYPERLINK("http://comp.fnguide.com/SVO2/ASP/SVD_Consensus.asp?pGB=1&amp;gicode=A023460&amp;cID=&amp;MenuYn=Y&amp;ReportGB=&amp;NewMenuID=108&amp;stkGb=701", "CNH")</f>
        <v>0</v>
      </c>
      <c r="E37">
        <v>3</v>
      </c>
      <c r="F37">
        <v>3550</v>
      </c>
      <c r="G37">
        <v>0</v>
      </c>
      <c r="H37">
        <v>2.72</v>
      </c>
      <c r="I37">
        <v>7786</v>
      </c>
      <c r="J37">
        <v>5360</v>
      </c>
      <c r="K37">
        <v>4648</v>
      </c>
      <c r="L37">
        <v>-119.33</v>
      </c>
      <c r="M37">
        <v>-50.98</v>
      </c>
      <c r="N37">
        <v>-30.93</v>
      </c>
      <c r="O37">
        <v>17.53</v>
      </c>
      <c r="P37" t="b">
        <v>1</v>
      </c>
      <c r="Q37">
        <v>0</v>
      </c>
      <c r="R37">
        <v>785</v>
      </c>
      <c r="U37" t="s">
        <v>552</v>
      </c>
      <c r="V37" t="s">
        <v>800</v>
      </c>
      <c r="W37">
        <v>0</v>
      </c>
      <c r="Y37" t="s">
        <v>1048</v>
      </c>
      <c r="Z37">
        <v>0</v>
      </c>
      <c r="AA37">
        <v>1321</v>
      </c>
      <c r="AB37">
        <v>53599</v>
      </c>
      <c r="AC37" t="s">
        <v>1285</v>
      </c>
      <c r="AD37">
        <v>65.61</v>
      </c>
      <c r="AE37" t="s">
        <v>1533</v>
      </c>
      <c r="AF37" t="s">
        <v>1781</v>
      </c>
      <c r="AG37">
        <v>885</v>
      </c>
      <c r="AH37">
        <v>556</v>
      </c>
      <c r="AI37">
        <v>2418619</v>
      </c>
      <c r="AJ37">
        <v>2.34</v>
      </c>
    </row>
    <row r="38" spans="1:36">
      <c r="A38" s="1" t="s">
        <v>116</v>
      </c>
      <c r="B38" t="s">
        <v>364</v>
      </c>
      <c r="C38">
        <f>HYPERLINK("https://finance.naver.com/item/coinfo.nhn?code=002020", "A002020")</f>
        <v>0</v>
      </c>
      <c r="D38">
        <f>HYPERLINK("http://comp.fnguide.com/SVO2/ASP/SVD_Consensus.asp?pGB=1&amp;gicode=A002020&amp;cID=&amp;MenuYn=Y&amp;ReportGB=&amp;NewMenuID=108&amp;stkGb=701", "코오롱")</f>
        <v>0</v>
      </c>
      <c r="E38">
        <v>3</v>
      </c>
      <c r="F38">
        <v>30000</v>
      </c>
      <c r="G38">
        <v>0</v>
      </c>
      <c r="H38">
        <v>2</v>
      </c>
      <c r="I38">
        <v>78247</v>
      </c>
      <c r="J38">
        <v>65729</v>
      </c>
      <c r="K38">
        <v>62058</v>
      </c>
      <c r="L38">
        <v>-160.82</v>
      </c>
      <c r="M38">
        <v>-119.1</v>
      </c>
      <c r="N38">
        <v>-106.86</v>
      </c>
      <c r="O38">
        <v>11.38</v>
      </c>
      <c r="P38" t="b">
        <v>1</v>
      </c>
      <c r="Q38">
        <v>0</v>
      </c>
      <c r="R38">
        <v>10892</v>
      </c>
      <c r="U38" t="s">
        <v>612</v>
      </c>
      <c r="V38" t="s">
        <v>860</v>
      </c>
      <c r="W38">
        <v>0</v>
      </c>
      <c r="X38">
        <v>-35.2</v>
      </c>
      <c r="Y38" t="s">
        <v>1106</v>
      </c>
      <c r="Z38">
        <v>65.24745081241041</v>
      </c>
      <c r="AA38">
        <v>3788</v>
      </c>
      <c r="AB38">
        <v>34273</v>
      </c>
      <c r="AC38" t="s">
        <v>1345</v>
      </c>
      <c r="AD38">
        <v>52.22</v>
      </c>
      <c r="AE38" t="s">
        <v>1593</v>
      </c>
      <c r="AF38" t="s">
        <v>1841</v>
      </c>
      <c r="AG38">
        <v>48902</v>
      </c>
      <c r="AH38">
        <v>2714</v>
      </c>
      <c r="AJ38">
        <v>2.29</v>
      </c>
    </row>
    <row r="39" spans="1:36">
      <c r="A39" s="1" t="s">
        <v>53</v>
      </c>
      <c r="B39" t="s">
        <v>301</v>
      </c>
      <c r="C39">
        <f>HYPERLINK("https://finance.naver.com/item/coinfo.nhn?code=005710", "A005710")</f>
        <v>0</v>
      </c>
      <c r="D39">
        <f>HYPERLINK("http://comp.fnguide.com/SVO2/ASP/SVD_Consensus.asp?pGB=1&amp;gicode=A005710&amp;cID=&amp;MenuYn=Y&amp;ReportGB=&amp;NewMenuID=108&amp;stkGb=701", "대원산업")</f>
        <v>0</v>
      </c>
      <c r="E39">
        <v>3</v>
      </c>
      <c r="F39">
        <v>7480</v>
      </c>
      <c r="G39">
        <v>0</v>
      </c>
      <c r="H39">
        <v>6.13</v>
      </c>
      <c r="I39">
        <v>18026</v>
      </c>
      <c r="J39">
        <v>17172</v>
      </c>
      <c r="K39">
        <v>16922</v>
      </c>
      <c r="L39">
        <v>-140.99</v>
      </c>
      <c r="M39">
        <v>-129.58</v>
      </c>
      <c r="N39">
        <v>-126.23</v>
      </c>
      <c r="O39">
        <v>9.02</v>
      </c>
      <c r="P39" t="b">
        <v>1</v>
      </c>
      <c r="Q39">
        <v>0</v>
      </c>
      <c r="R39">
        <v>902</v>
      </c>
      <c r="U39" t="s">
        <v>549</v>
      </c>
      <c r="V39" t="s">
        <v>797</v>
      </c>
      <c r="W39">
        <v>0</v>
      </c>
      <c r="X39">
        <v>0</v>
      </c>
      <c r="Y39" t="s">
        <v>1045</v>
      </c>
      <c r="Z39">
        <v>-19.4321199556595</v>
      </c>
      <c r="AA39">
        <v>1499</v>
      </c>
      <c r="AB39">
        <v>23882</v>
      </c>
      <c r="AC39" t="s">
        <v>1282</v>
      </c>
      <c r="AD39">
        <v>61.55</v>
      </c>
      <c r="AE39" t="s">
        <v>1530</v>
      </c>
      <c r="AF39" t="s">
        <v>1778</v>
      </c>
      <c r="AG39">
        <v>6426</v>
      </c>
      <c r="AH39">
        <v>281</v>
      </c>
      <c r="AJ39">
        <v>2.26</v>
      </c>
    </row>
    <row r="40" spans="1:36">
      <c r="A40" s="1" t="s">
        <v>127</v>
      </c>
      <c r="B40" t="s">
        <v>375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300500</v>
      </c>
      <c r="G40">
        <v>0.14</v>
      </c>
      <c r="H40">
        <v>3.4</v>
      </c>
      <c r="I40">
        <v>583758</v>
      </c>
      <c r="J40">
        <v>455296</v>
      </c>
      <c r="K40">
        <v>417620</v>
      </c>
      <c r="L40">
        <v>-94.26000000000001</v>
      </c>
      <c r="M40">
        <v>-51.51</v>
      </c>
      <c r="N40">
        <v>-38.98</v>
      </c>
      <c r="O40">
        <v>13.21</v>
      </c>
      <c r="P40" t="b">
        <v>0</v>
      </c>
      <c r="Q40">
        <v>0</v>
      </c>
      <c r="R40">
        <v>65430</v>
      </c>
      <c r="S40">
        <v>39427</v>
      </c>
      <c r="T40">
        <v>-39.7</v>
      </c>
      <c r="U40" t="s">
        <v>623</v>
      </c>
      <c r="V40" t="s">
        <v>871</v>
      </c>
      <c r="W40">
        <v>24.3103805298277</v>
      </c>
      <c r="X40">
        <v>90.90000000000001</v>
      </c>
      <c r="Y40" t="s">
        <v>1117</v>
      </c>
      <c r="Z40">
        <v>41.14588855075625</v>
      </c>
      <c r="AA40">
        <v>11051</v>
      </c>
      <c r="AB40">
        <v>3748</v>
      </c>
      <c r="AC40" t="s">
        <v>1356</v>
      </c>
      <c r="AD40">
        <v>63.3</v>
      </c>
      <c r="AE40" t="s">
        <v>1604</v>
      </c>
      <c r="AF40" t="s">
        <v>1852</v>
      </c>
      <c r="AG40">
        <v>28573</v>
      </c>
      <c r="AH40">
        <v>3065</v>
      </c>
      <c r="AI40">
        <v>266581</v>
      </c>
      <c r="AJ40">
        <v>2.25</v>
      </c>
    </row>
    <row r="41" spans="1:36">
      <c r="A41" s="1" t="s">
        <v>121</v>
      </c>
      <c r="B41" t="s">
        <v>369</v>
      </c>
      <c r="C41">
        <f>HYPERLINK("https://finance.naver.com/item/coinfo.nhn?code=084690", "A084690")</f>
        <v>0</v>
      </c>
      <c r="D41">
        <f>HYPERLINK("http://comp.fnguide.com/SVO2/ASP/SVD_Consensus.asp?pGB=1&amp;gicode=A084690&amp;cID=&amp;MenuYn=Y&amp;ReportGB=&amp;NewMenuID=108&amp;stkGb=701", "대상홀딩스")</f>
        <v>0</v>
      </c>
      <c r="E41">
        <v>3</v>
      </c>
      <c r="F41">
        <v>12400</v>
      </c>
      <c r="G41">
        <v>0</v>
      </c>
      <c r="H41">
        <v>4.32</v>
      </c>
      <c r="I41">
        <v>26571</v>
      </c>
      <c r="J41">
        <v>21518</v>
      </c>
      <c r="K41">
        <v>20036</v>
      </c>
      <c r="L41">
        <v>-114.28</v>
      </c>
      <c r="M41">
        <v>-73.53</v>
      </c>
      <c r="N41">
        <v>-61.58</v>
      </c>
      <c r="O41">
        <v>12.23</v>
      </c>
      <c r="P41" t="b">
        <v>1</v>
      </c>
      <c r="Q41">
        <v>0</v>
      </c>
      <c r="R41">
        <v>2360</v>
      </c>
      <c r="U41" t="s">
        <v>617</v>
      </c>
      <c r="V41" t="s">
        <v>865</v>
      </c>
      <c r="W41">
        <v>0</v>
      </c>
      <c r="X41">
        <v>-33</v>
      </c>
      <c r="Y41" t="s">
        <v>1111</v>
      </c>
      <c r="Z41">
        <v>15.3890602002315</v>
      </c>
      <c r="AA41">
        <v>4490</v>
      </c>
      <c r="AB41">
        <v>129476</v>
      </c>
      <c r="AC41" t="s">
        <v>1350</v>
      </c>
      <c r="AD41">
        <v>67.3</v>
      </c>
      <c r="AE41" t="s">
        <v>1598</v>
      </c>
      <c r="AF41" t="s">
        <v>1846</v>
      </c>
      <c r="AG41">
        <v>37543</v>
      </c>
      <c r="AH41">
        <v>2070</v>
      </c>
      <c r="AJ41">
        <v>2.16</v>
      </c>
    </row>
    <row r="42" spans="1:36">
      <c r="A42" s="1" t="s">
        <v>204</v>
      </c>
      <c r="B42" t="s">
        <v>452</v>
      </c>
      <c r="C42">
        <f>HYPERLINK("https://finance.naver.com/item/coinfo.nhn?code=033290", "A033290")</f>
        <v>0</v>
      </c>
      <c r="D42">
        <f>HYPERLINK("http://comp.fnguide.com/SVO2/ASP/SVD_Consensus.asp?pGB=1&amp;gicode=A033290&amp;cID=&amp;MenuYn=Y&amp;ReportGB=&amp;NewMenuID=108&amp;stkGb=701", "코웰패션")</f>
        <v>0</v>
      </c>
      <c r="E42">
        <v>1</v>
      </c>
      <c r="F42">
        <v>6480</v>
      </c>
      <c r="G42">
        <v>0.9</v>
      </c>
      <c r="H42">
        <v>8.289999999999999</v>
      </c>
      <c r="I42">
        <v>9509</v>
      </c>
      <c r="J42">
        <v>5866</v>
      </c>
      <c r="K42">
        <v>4798</v>
      </c>
      <c r="L42">
        <v>-46.74</v>
      </c>
      <c r="M42">
        <v>9.470000000000001</v>
      </c>
      <c r="N42">
        <v>25.96</v>
      </c>
      <c r="O42">
        <v>23.53</v>
      </c>
      <c r="P42" t="b">
        <v>1</v>
      </c>
      <c r="Q42">
        <v>3</v>
      </c>
      <c r="R42">
        <v>684</v>
      </c>
      <c r="S42">
        <v>724</v>
      </c>
      <c r="T42">
        <v>5.8</v>
      </c>
      <c r="U42" t="s">
        <v>700</v>
      </c>
      <c r="V42" t="s">
        <v>948</v>
      </c>
      <c r="W42">
        <v>9.226813177137405</v>
      </c>
      <c r="X42">
        <v>4.7</v>
      </c>
      <c r="Y42" t="s">
        <v>1188</v>
      </c>
      <c r="Z42">
        <v>27.195241595808</v>
      </c>
      <c r="AA42">
        <v>5735</v>
      </c>
      <c r="AB42">
        <v>301327</v>
      </c>
      <c r="AC42" t="s">
        <v>1433</v>
      </c>
      <c r="AD42">
        <v>70.83</v>
      </c>
      <c r="AE42" t="s">
        <v>1681</v>
      </c>
      <c r="AF42" t="s">
        <v>1929</v>
      </c>
      <c r="AG42">
        <v>4264</v>
      </c>
      <c r="AH42">
        <v>801</v>
      </c>
      <c r="AI42">
        <v>3171107</v>
      </c>
      <c r="AJ42">
        <v>2.12</v>
      </c>
    </row>
    <row r="43" spans="1:36">
      <c r="A43" s="1" t="s">
        <v>41</v>
      </c>
      <c r="B43" t="s">
        <v>289</v>
      </c>
      <c r="C43">
        <f>HYPERLINK("https://finance.naver.com/item/coinfo.nhn?code=021320", "A021320")</f>
        <v>0</v>
      </c>
      <c r="D43">
        <f>HYPERLINK("http://comp.fnguide.com/SVO2/ASP/SVD_Consensus.asp?pGB=1&amp;gicode=A021320&amp;cID=&amp;MenuYn=Y&amp;ReportGB=&amp;NewMenuID=108&amp;stkGb=701", "KCC건설")</f>
        <v>0</v>
      </c>
      <c r="E43">
        <v>3</v>
      </c>
      <c r="F43">
        <v>10450</v>
      </c>
      <c r="G43">
        <v>0</v>
      </c>
      <c r="H43">
        <v>4.92</v>
      </c>
      <c r="I43">
        <v>20745</v>
      </c>
      <c r="J43">
        <v>20351</v>
      </c>
      <c r="K43">
        <v>20236</v>
      </c>
      <c r="L43">
        <v>-98.52</v>
      </c>
      <c r="M43">
        <v>-94.75</v>
      </c>
      <c r="N43">
        <v>-93.64</v>
      </c>
      <c r="O43">
        <v>8.58</v>
      </c>
      <c r="P43" t="b">
        <v>1</v>
      </c>
      <c r="Q43">
        <v>0</v>
      </c>
      <c r="R43">
        <v>1759</v>
      </c>
      <c r="U43" t="s">
        <v>537</v>
      </c>
      <c r="V43" t="s">
        <v>785</v>
      </c>
      <c r="W43">
        <v>0</v>
      </c>
      <c r="X43">
        <v>-8.6</v>
      </c>
      <c r="Y43" t="s">
        <v>1033</v>
      </c>
      <c r="Z43">
        <v>15.6074391789947</v>
      </c>
      <c r="AA43">
        <v>2236</v>
      </c>
      <c r="AB43">
        <v>30701</v>
      </c>
      <c r="AC43" t="s">
        <v>1270</v>
      </c>
      <c r="AD43">
        <v>66.26000000000001</v>
      </c>
      <c r="AE43" t="s">
        <v>1518</v>
      </c>
      <c r="AF43" t="s">
        <v>1766</v>
      </c>
      <c r="AG43">
        <v>11016</v>
      </c>
      <c r="AH43">
        <v>543</v>
      </c>
      <c r="AI43">
        <v>1454564</v>
      </c>
      <c r="AJ43">
        <v>2.08</v>
      </c>
    </row>
    <row r="44" spans="1:36">
      <c r="A44" s="1" t="s">
        <v>238</v>
      </c>
      <c r="B44" t="s">
        <v>486</v>
      </c>
      <c r="C44">
        <f>HYPERLINK("https://finance.naver.com/item/coinfo.nhn?code=003070", "A003070")</f>
        <v>0</v>
      </c>
      <c r="D44">
        <f>HYPERLINK("http://comp.fnguide.com/SVO2/ASP/SVD_Consensus.asp?pGB=1&amp;gicode=A003070&amp;cID=&amp;MenuYn=Y&amp;ReportGB=&amp;NewMenuID=108&amp;stkGb=701", "코오롱글로벌")</f>
        <v>0</v>
      </c>
      <c r="E44">
        <v>1</v>
      </c>
      <c r="F44">
        <v>24000</v>
      </c>
      <c r="G44">
        <v>0.06</v>
      </c>
      <c r="H44">
        <v>5.96</v>
      </c>
      <c r="I44">
        <v>27696</v>
      </c>
      <c r="J44">
        <v>22463</v>
      </c>
      <c r="K44">
        <v>20928</v>
      </c>
      <c r="L44">
        <v>-15.4</v>
      </c>
      <c r="M44">
        <v>6.41</v>
      </c>
      <c r="N44">
        <v>12.8</v>
      </c>
      <c r="O44">
        <v>12.19</v>
      </c>
      <c r="P44" t="b">
        <v>1</v>
      </c>
      <c r="Q44">
        <v>3</v>
      </c>
      <c r="R44">
        <v>3238</v>
      </c>
      <c r="S44">
        <v>5069</v>
      </c>
      <c r="T44">
        <v>56.5</v>
      </c>
      <c r="U44" t="s">
        <v>734</v>
      </c>
      <c r="V44" t="s">
        <v>982</v>
      </c>
      <c r="W44">
        <v>99.41846405192369</v>
      </c>
      <c r="X44">
        <v>93.5</v>
      </c>
      <c r="Y44" t="s">
        <v>1221</v>
      </c>
      <c r="Z44">
        <v>84.92849085321762</v>
      </c>
      <c r="AA44">
        <v>6051</v>
      </c>
      <c r="AB44">
        <v>90185</v>
      </c>
      <c r="AC44" t="s">
        <v>1467</v>
      </c>
      <c r="AD44">
        <v>76.65000000000001</v>
      </c>
      <c r="AE44" t="s">
        <v>1715</v>
      </c>
      <c r="AF44" t="s">
        <v>1963</v>
      </c>
      <c r="AG44">
        <v>39282</v>
      </c>
      <c r="AH44">
        <v>1763</v>
      </c>
      <c r="AI44">
        <v>84095</v>
      </c>
      <c r="AJ44">
        <v>2.07</v>
      </c>
    </row>
    <row r="45" spans="1:36">
      <c r="A45" s="1" t="s">
        <v>234</v>
      </c>
      <c r="B45" t="s">
        <v>482</v>
      </c>
      <c r="C45">
        <f>HYPERLINK("https://finance.naver.com/item/coinfo.nhn?code=036670", "A036670")</f>
        <v>0</v>
      </c>
      <c r="D45">
        <f>HYPERLINK("http://comp.fnguide.com/SVO2/ASP/SVD_Consensus.asp?pGB=1&amp;gicode=A036670&amp;cID=&amp;MenuYn=Y&amp;ReportGB=&amp;NewMenuID=108&amp;stkGb=701", "KCI")</f>
        <v>0</v>
      </c>
      <c r="E45">
        <v>1</v>
      </c>
      <c r="F45">
        <v>9810</v>
      </c>
      <c r="G45">
        <v>0</v>
      </c>
      <c r="H45">
        <v>10.62</v>
      </c>
      <c r="I45">
        <v>13905</v>
      </c>
      <c r="J45">
        <v>9779</v>
      </c>
      <c r="K45">
        <v>8569</v>
      </c>
      <c r="L45">
        <v>-41.74</v>
      </c>
      <c r="M45">
        <v>0.32</v>
      </c>
      <c r="N45">
        <v>12.65</v>
      </c>
      <c r="O45">
        <v>16.65</v>
      </c>
      <c r="P45" t="b">
        <v>1</v>
      </c>
      <c r="Q45">
        <v>0</v>
      </c>
      <c r="R45">
        <v>942</v>
      </c>
      <c r="U45" t="s">
        <v>730</v>
      </c>
      <c r="V45" t="s">
        <v>978</v>
      </c>
      <c r="W45">
        <v>0</v>
      </c>
      <c r="X45">
        <v>-72.3</v>
      </c>
      <c r="Y45" t="s">
        <v>1218</v>
      </c>
      <c r="Z45">
        <v>-15.2505623891247</v>
      </c>
      <c r="AA45">
        <v>1106</v>
      </c>
      <c r="AB45">
        <v>41823</v>
      </c>
      <c r="AC45" t="s">
        <v>1463</v>
      </c>
      <c r="AD45">
        <v>50.02</v>
      </c>
      <c r="AE45" t="s">
        <v>1711</v>
      </c>
      <c r="AF45" t="s">
        <v>1959</v>
      </c>
      <c r="AG45">
        <v>733</v>
      </c>
      <c r="AH45">
        <v>141</v>
      </c>
      <c r="AI45">
        <v>509800</v>
      </c>
      <c r="AJ45">
        <v>2</v>
      </c>
    </row>
    <row r="46" spans="1:36">
      <c r="A46" s="1" t="s">
        <v>181</v>
      </c>
      <c r="B46" t="s">
        <v>429</v>
      </c>
      <c r="C46">
        <f>HYPERLINK("https://finance.naver.com/item/coinfo.nhn?code=002170", "A002170")</f>
        <v>0</v>
      </c>
      <c r="D46">
        <f>HYPERLINK("http://comp.fnguide.com/SVO2/ASP/SVD_Consensus.asp?pGB=1&amp;gicode=A002170&amp;cID=&amp;MenuYn=Y&amp;ReportGB=&amp;NewMenuID=108&amp;stkGb=701", "삼양통상")</f>
        <v>0</v>
      </c>
      <c r="E46">
        <v>3</v>
      </c>
      <c r="F46">
        <v>78700</v>
      </c>
      <c r="G46">
        <v>0</v>
      </c>
      <c r="H46">
        <v>3.77</v>
      </c>
      <c r="I46">
        <v>211514</v>
      </c>
      <c r="J46">
        <v>164349</v>
      </c>
      <c r="K46">
        <v>150516</v>
      </c>
      <c r="L46">
        <v>-168.76</v>
      </c>
      <c r="M46">
        <v>-108.83</v>
      </c>
      <c r="N46">
        <v>-91.25</v>
      </c>
      <c r="O46">
        <v>13.32</v>
      </c>
      <c r="P46" t="b">
        <v>1</v>
      </c>
      <c r="Q46">
        <v>0</v>
      </c>
      <c r="R46">
        <v>16637</v>
      </c>
      <c r="U46" t="s">
        <v>677</v>
      </c>
      <c r="V46" t="s">
        <v>925</v>
      </c>
      <c r="W46">
        <v>0</v>
      </c>
      <c r="X46">
        <v>247.3</v>
      </c>
      <c r="Y46" t="s">
        <v>1169</v>
      </c>
      <c r="Z46">
        <v>49.96726963799885</v>
      </c>
      <c r="AA46">
        <v>2361</v>
      </c>
      <c r="AB46">
        <v>5549</v>
      </c>
      <c r="AC46" t="s">
        <v>1410</v>
      </c>
      <c r="AD46">
        <v>55.32</v>
      </c>
      <c r="AE46" t="s">
        <v>1658</v>
      </c>
      <c r="AF46" t="s">
        <v>1906</v>
      </c>
      <c r="AG46">
        <v>1984</v>
      </c>
      <c r="AH46">
        <v>577</v>
      </c>
      <c r="AI46">
        <v>150575</v>
      </c>
      <c r="AJ46">
        <v>1.99</v>
      </c>
    </row>
    <row r="47" spans="1:36">
      <c r="A47" s="1" t="s">
        <v>248</v>
      </c>
      <c r="B47" t="s">
        <v>496</v>
      </c>
      <c r="C47">
        <f>HYPERLINK("https://finance.naver.com/item/coinfo.nhn?code=049770", "A049770")</f>
        <v>0</v>
      </c>
      <c r="D47">
        <f>HYPERLINK("http://comp.fnguide.com/SVO2/ASP/SVD_Consensus.asp?pGB=1&amp;gicode=A049770&amp;cID=&amp;MenuYn=Y&amp;ReportGB=&amp;NewMenuID=108&amp;stkGb=701", "동원F&amp;B")</f>
        <v>0</v>
      </c>
      <c r="E47">
        <v>1</v>
      </c>
      <c r="F47">
        <v>236000</v>
      </c>
      <c r="G47">
        <v>0.57</v>
      </c>
      <c r="H47">
        <v>8.859999999999999</v>
      </c>
      <c r="I47">
        <v>240916</v>
      </c>
      <c r="J47">
        <v>212880</v>
      </c>
      <c r="K47">
        <v>204657</v>
      </c>
      <c r="L47">
        <v>-2.08</v>
      </c>
      <c r="M47">
        <v>9.800000000000001</v>
      </c>
      <c r="N47">
        <v>13.28</v>
      </c>
      <c r="O47">
        <v>10.33</v>
      </c>
      <c r="P47" t="b">
        <v>1</v>
      </c>
      <c r="Q47">
        <v>3</v>
      </c>
      <c r="R47">
        <v>20194</v>
      </c>
      <c r="S47">
        <v>22717</v>
      </c>
      <c r="T47">
        <v>12.5</v>
      </c>
      <c r="U47" t="s">
        <v>744</v>
      </c>
      <c r="V47" t="s">
        <v>992</v>
      </c>
      <c r="W47">
        <v>15.63889514041974</v>
      </c>
      <c r="X47">
        <v>25.5</v>
      </c>
      <c r="Y47" t="s">
        <v>1230</v>
      </c>
      <c r="Z47">
        <v>14.22457844412421</v>
      </c>
      <c r="AA47">
        <v>9108</v>
      </c>
      <c r="AB47">
        <v>11024</v>
      </c>
      <c r="AC47" t="s">
        <v>1477</v>
      </c>
      <c r="AD47">
        <v>74.40000000000001</v>
      </c>
      <c r="AE47" t="s">
        <v>1725</v>
      </c>
      <c r="AF47" t="s">
        <v>1973</v>
      </c>
      <c r="AG47">
        <v>31703</v>
      </c>
      <c r="AH47">
        <v>1163</v>
      </c>
      <c r="AJ47">
        <v>1.96</v>
      </c>
    </row>
    <row r="48" spans="1:36">
      <c r="A48" s="1" t="s">
        <v>159</v>
      </c>
      <c r="B48" t="s">
        <v>407</v>
      </c>
      <c r="C48">
        <f>HYPERLINK("https://finance.naver.com/item/coinfo.nhn?code=015350", "A015350")</f>
        <v>0</v>
      </c>
      <c r="D48">
        <f>HYPERLINK("http://comp.fnguide.com/SVO2/ASP/SVD_Consensus.asp?pGB=1&amp;gicode=A015350&amp;cID=&amp;MenuYn=Y&amp;ReportGB=&amp;NewMenuID=108&amp;stkGb=701", "부산가스")</f>
        <v>0</v>
      </c>
      <c r="E48">
        <v>3</v>
      </c>
      <c r="F48">
        <v>62300</v>
      </c>
      <c r="G48">
        <v>0</v>
      </c>
      <c r="H48">
        <v>3.13</v>
      </c>
      <c r="I48">
        <v>162445</v>
      </c>
      <c r="J48">
        <v>117590</v>
      </c>
      <c r="K48">
        <v>104435</v>
      </c>
      <c r="L48">
        <v>-160.75</v>
      </c>
      <c r="M48">
        <v>-88.75</v>
      </c>
      <c r="N48">
        <v>-67.63</v>
      </c>
      <c r="O48">
        <v>15.56</v>
      </c>
      <c r="P48" t="b">
        <v>1</v>
      </c>
      <c r="Q48">
        <v>0</v>
      </c>
      <c r="R48">
        <v>16307</v>
      </c>
      <c r="U48" t="s">
        <v>655</v>
      </c>
      <c r="V48" t="s">
        <v>903</v>
      </c>
      <c r="W48">
        <v>0</v>
      </c>
      <c r="X48">
        <v>8.9</v>
      </c>
      <c r="Y48" t="s">
        <v>1149</v>
      </c>
      <c r="Z48">
        <v>31.50747793262387</v>
      </c>
      <c r="AA48">
        <v>6853</v>
      </c>
      <c r="AB48">
        <v>23413</v>
      </c>
      <c r="AC48" t="s">
        <v>1388</v>
      </c>
      <c r="AD48">
        <v>67.31999999999999</v>
      </c>
      <c r="AE48" t="s">
        <v>1636</v>
      </c>
      <c r="AF48" t="s">
        <v>1884</v>
      </c>
      <c r="AG48">
        <v>9221</v>
      </c>
      <c r="AH48">
        <v>351</v>
      </c>
      <c r="AI48">
        <v>999000</v>
      </c>
      <c r="AJ48">
        <v>1.96</v>
      </c>
    </row>
    <row r="49" spans="1:36">
      <c r="A49" s="1" t="s">
        <v>52</v>
      </c>
      <c r="B49" t="s">
        <v>300</v>
      </c>
      <c r="C49">
        <f>HYPERLINK("https://finance.naver.com/item/coinfo.nhn?code=032190", "A032190")</f>
        <v>0</v>
      </c>
      <c r="D49">
        <f>HYPERLINK("http://comp.fnguide.com/SVO2/ASP/SVD_Consensus.asp?pGB=1&amp;gicode=A032190&amp;cID=&amp;MenuYn=Y&amp;ReportGB=&amp;NewMenuID=108&amp;stkGb=701", "다우데이타")</f>
        <v>0</v>
      </c>
      <c r="E49">
        <v>3</v>
      </c>
      <c r="F49">
        <v>14500</v>
      </c>
      <c r="G49">
        <v>0</v>
      </c>
      <c r="H49">
        <v>5.1</v>
      </c>
      <c r="I49">
        <v>29829</v>
      </c>
      <c r="J49">
        <v>23756</v>
      </c>
      <c r="K49">
        <v>21974</v>
      </c>
      <c r="L49">
        <v>-105.72</v>
      </c>
      <c r="M49">
        <v>-63.83</v>
      </c>
      <c r="N49">
        <v>-51.55</v>
      </c>
      <c r="O49">
        <v>12.65</v>
      </c>
      <c r="P49" t="b">
        <v>1</v>
      </c>
      <c r="Q49">
        <v>0</v>
      </c>
      <c r="R49">
        <v>2510</v>
      </c>
      <c r="U49" t="s">
        <v>548</v>
      </c>
      <c r="V49" t="s">
        <v>796</v>
      </c>
      <c r="W49">
        <v>0</v>
      </c>
      <c r="X49">
        <v>1792.2</v>
      </c>
      <c r="Y49" t="s">
        <v>1044</v>
      </c>
      <c r="Z49">
        <v>140.432072686481</v>
      </c>
      <c r="AA49">
        <v>5554</v>
      </c>
      <c r="AB49">
        <v>163980</v>
      </c>
      <c r="AC49" t="s">
        <v>1281</v>
      </c>
      <c r="AD49">
        <v>67.67</v>
      </c>
      <c r="AE49" t="s">
        <v>1529</v>
      </c>
      <c r="AF49" t="s">
        <v>1777</v>
      </c>
      <c r="AG49">
        <v>50939</v>
      </c>
      <c r="AH49">
        <v>10553</v>
      </c>
      <c r="AJ49">
        <v>1.95</v>
      </c>
    </row>
    <row r="50" spans="1:36">
      <c r="A50" s="1" t="s">
        <v>271</v>
      </c>
      <c r="B50" t="s">
        <v>519</v>
      </c>
      <c r="C50">
        <f>HYPERLINK("https://finance.naver.com/item/coinfo.nhn?code=119860", "A119860")</f>
        <v>0</v>
      </c>
      <c r="D50">
        <f>HYPERLINK("http://comp.fnguide.com/SVO2/ASP/SVD_Consensus.asp?pGB=1&amp;gicode=A119860&amp;cID=&amp;MenuYn=Y&amp;ReportGB=&amp;NewMenuID=108&amp;stkGb=701", "다나와")</f>
        <v>0</v>
      </c>
      <c r="E50">
        <v>1</v>
      </c>
      <c r="F50">
        <v>28600</v>
      </c>
      <c r="G50">
        <v>0.47</v>
      </c>
      <c r="H50">
        <v>13</v>
      </c>
      <c r="I50">
        <v>30156</v>
      </c>
      <c r="J50">
        <v>18556</v>
      </c>
      <c r="K50">
        <v>15154</v>
      </c>
      <c r="L50">
        <v>-5.44</v>
      </c>
      <c r="M50">
        <v>35.12</v>
      </c>
      <c r="N50">
        <v>47.01</v>
      </c>
      <c r="O50">
        <v>23.71</v>
      </c>
      <c r="P50" t="b">
        <v>1</v>
      </c>
      <c r="Q50">
        <v>3</v>
      </c>
      <c r="R50">
        <v>2366</v>
      </c>
      <c r="S50">
        <v>2600</v>
      </c>
      <c r="T50">
        <v>9.9</v>
      </c>
      <c r="U50" t="s">
        <v>767</v>
      </c>
      <c r="V50" t="s">
        <v>1015</v>
      </c>
      <c r="W50">
        <v>27.48607934138225</v>
      </c>
      <c r="X50">
        <v>10.1</v>
      </c>
      <c r="Y50" t="s">
        <v>1253</v>
      </c>
      <c r="Z50">
        <v>30.67414885637352</v>
      </c>
      <c r="AA50">
        <v>3739</v>
      </c>
      <c r="AB50">
        <v>74304</v>
      </c>
      <c r="AC50" t="s">
        <v>1500</v>
      </c>
      <c r="AD50">
        <v>51.35</v>
      </c>
      <c r="AE50" t="s">
        <v>1748</v>
      </c>
      <c r="AF50" t="s">
        <v>1995</v>
      </c>
      <c r="AG50">
        <v>2320</v>
      </c>
      <c r="AH50">
        <v>378</v>
      </c>
      <c r="AI50">
        <v>115000</v>
      </c>
      <c r="AJ50">
        <v>1.95</v>
      </c>
    </row>
    <row r="51" spans="1:36">
      <c r="A51" s="1" t="s">
        <v>212</v>
      </c>
      <c r="B51" t="s">
        <v>460</v>
      </c>
      <c r="C51">
        <f>HYPERLINK("https://finance.naver.com/item/coinfo.nhn?code=053080", "A053080")</f>
        <v>0</v>
      </c>
      <c r="D51">
        <f>HYPERLINK("http://comp.fnguide.com/SVO2/ASP/SVD_Consensus.asp?pGB=1&amp;gicode=A053080&amp;cID=&amp;MenuYn=Y&amp;ReportGB=&amp;NewMenuID=108&amp;stkGb=701", "원방테크")</f>
        <v>0</v>
      </c>
      <c r="E51">
        <v>1</v>
      </c>
      <c r="F51">
        <v>45750</v>
      </c>
      <c r="G51">
        <v>0</v>
      </c>
      <c r="H51">
        <v>14.61</v>
      </c>
      <c r="I51">
        <v>47925</v>
      </c>
      <c r="J51">
        <v>38293</v>
      </c>
      <c r="K51">
        <v>35468</v>
      </c>
      <c r="L51">
        <v>-4.76</v>
      </c>
      <c r="M51">
        <v>16.3</v>
      </c>
      <c r="N51">
        <v>22.47</v>
      </c>
      <c r="O51">
        <v>12.57</v>
      </c>
      <c r="P51" t="b">
        <v>1</v>
      </c>
      <c r="Q51">
        <v>0</v>
      </c>
      <c r="R51">
        <v>3361</v>
      </c>
      <c r="U51" t="s">
        <v>708</v>
      </c>
      <c r="V51" t="s">
        <v>956</v>
      </c>
      <c r="W51">
        <v>0</v>
      </c>
      <c r="X51">
        <v>-5.2</v>
      </c>
      <c r="Y51" t="s">
        <v>1196</v>
      </c>
      <c r="Z51">
        <v>3.791790285938879</v>
      </c>
      <c r="AA51">
        <v>1965</v>
      </c>
      <c r="AB51">
        <v>12223</v>
      </c>
      <c r="AC51" t="s">
        <v>1441</v>
      </c>
      <c r="AD51">
        <v>56.35</v>
      </c>
      <c r="AE51" t="s">
        <v>1689</v>
      </c>
      <c r="AF51" t="s">
        <v>1937</v>
      </c>
      <c r="AG51">
        <v>3269</v>
      </c>
      <c r="AH51">
        <v>217</v>
      </c>
      <c r="AI51">
        <v>41311</v>
      </c>
      <c r="AJ51">
        <v>1.89</v>
      </c>
    </row>
    <row r="52" spans="1:36">
      <c r="A52" s="1" t="s">
        <v>242</v>
      </c>
      <c r="B52" t="s">
        <v>490</v>
      </c>
      <c r="C52">
        <f>HYPERLINK("https://finance.naver.com/item/coinfo.nhn?code=010050", "A010050")</f>
        <v>0</v>
      </c>
      <c r="D52">
        <f>HYPERLINK("http://comp.fnguide.com/SVO2/ASP/SVD_Consensus.asp?pGB=1&amp;gicode=A010050&amp;cID=&amp;MenuYn=Y&amp;ReportGB=&amp;NewMenuID=108&amp;stkGb=701", "우리종금")</f>
        <v>0</v>
      </c>
      <c r="E52">
        <v>1</v>
      </c>
      <c r="F52">
        <v>927</v>
      </c>
      <c r="G52">
        <v>0</v>
      </c>
      <c r="H52">
        <v>6.06</v>
      </c>
      <c r="I52">
        <v>1027</v>
      </c>
      <c r="J52">
        <v>777</v>
      </c>
      <c r="K52">
        <v>704</v>
      </c>
      <c r="L52">
        <v>-10.79</v>
      </c>
      <c r="M52">
        <v>16.15</v>
      </c>
      <c r="N52">
        <v>24.05</v>
      </c>
      <c r="O52">
        <v>14.09</v>
      </c>
      <c r="P52" t="b">
        <v>1</v>
      </c>
      <c r="Q52">
        <v>0</v>
      </c>
      <c r="R52">
        <v>89</v>
      </c>
      <c r="U52" t="s">
        <v>738</v>
      </c>
      <c r="V52" t="s">
        <v>986</v>
      </c>
      <c r="W52">
        <v>0</v>
      </c>
      <c r="Y52" t="s">
        <v>1048</v>
      </c>
      <c r="Z52">
        <v>0</v>
      </c>
      <c r="AA52">
        <v>8104</v>
      </c>
      <c r="AB52">
        <v>26267027</v>
      </c>
      <c r="AC52" t="s">
        <v>1471</v>
      </c>
      <c r="AD52">
        <v>58.75</v>
      </c>
      <c r="AE52" t="s">
        <v>1719</v>
      </c>
      <c r="AF52" t="s">
        <v>1967</v>
      </c>
      <c r="AG52">
        <v>2563</v>
      </c>
      <c r="AH52">
        <v>687</v>
      </c>
      <c r="AI52">
        <v>69076</v>
      </c>
      <c r="AJ52">
        <v>1.86</v>
      </c>
    </row>
    <row r="53" spans="1:36">
      <c r="A53" s="1" t="s">
        <v>47</v>
      </c>
      <c r="B53" t="s">
        <v>295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23950</v>
      </c>
      <c r="G53">
        <v>0</v>
      </c>
      <c r="H53">
        <v>7.18</v>
      </c>
      <c r="I53">
        <v>38306</v>
      </c>
      <c r="J53">
        <v>29931</v>
      </c>
      <c r="K53">
        <v>27474</v>
      </c>
      <c r="L53">
        <v>-59.94</v>
      </c>
      <c r="M53">
        <v>-24.97</v>
      </c>
      <c r="N53">
        <v>-14.71</v>
      </c>
      <c r="O53">
        <v>13.16</v>
      </c>
      <c r="P53" t="b">
        <v>0</v>
      </c>
      <c r="Q53">
        <v>0</v>
      </c>
      <c r="R53">
        <v>2452</v>
      </c>
      <c r="U53" t="s">
        <v>543</v>
      </c>
      <c r="V53" t="s">
        <v>791</v>
      </c>
      <c r="W53">
        <v>0</v>
      </c>
      <c r="X53">
        <v>-0.7</v>
      </c>
      <c r="Y53" t="s">
        <v>1039</v>
      </c>
      <c r="Z53">
        <v>11.18615296473322</v>
      </c>
      <c r="AA53">
        <v>1796</v>
      </c>
      <c r="AB53">
        <v>42009</v>
      </c>
      <c r="AC53" t="s">
        <v>1276</v>
      </c>
      <c r="AD53">
        <v>53.09</v>
      </c>
      <c r="AE53" t="s">
        <v>1524</v>
      </c>
      <c r="AF53" t="s">
        <v>1772</v>
      </c>
      <c r="AG53">
        <v>2881</v>
      </c>
      <c r="AH53">
        <v>257</v>
      </c>
      <c r="AI53">
        <v>627314</v>
      </c>
      <c r="AJ53">
        <v>1.82</v>
      </c>
    </row>
    <row r="54" spans="1:36">
      <c r="A54" s="1" t="s">
        <v>143</v>
      </c>
      <c r="B54" t="s">
        <v>391</v>
      </c>
      <c r="C54">
        <f>HYPERLINK("https://finance.naver.com/item/coinfo.nhn?code=001880", "A001880")</f>
        <v>0</v>
      </c>
      <c r="D54">
        <f>HYPERLINK("http://comp.fnguide.com/SVO2/ASP/SVD_Consensus.asp?pGB=1&amp;gicode=A001880&amp;cID=&amp;MenuYn=Y&amp;ReportGB=&amp;NewMenuID=108&amp;stkGb=701", "DL건설")</f>
        <v>0</v>
      </c>
      <c r="E54">
        <v>3</v>
      </c>
      <c r="F54">
        <v>36150</v>
      </c>
      <c r="G54">
        <v>0</v>
      </c>
      <c r="H54">
        <v>3.94</v>
      </c>
      <c r="I54">
        <v>99238</v>
      </c>
      <c r="J54">
        <v>62028</v>
      </c>
      <c r="K54">
        <v>51115</v>
      </c>
      <c r="L54">
        <v>-174.52</v>
      </c>
      <c r="M54">
        <v>-71.58</v>
      </c>
      <c r="N54">
        <v>-41.4</v>
      </c>
      <c r="O54">
        <v>22.65</v>
      </c>
      <c r="P54" t="b">
        <v>1</v>
      </c>
      <c r="Q54">
        <v>0</v>
      </c>
      <c r="R54">
        <v>7759</v>
      </c>
      <c r="U54" t="s">
        <v>639</v>
      </c>
      <c r="V54" t="s">
        <v>887</v>
      </c>
      <c r="W54">
        <v>0</v>
      </c>
      <c r="X54">
        <v>-34.2</v>
      </c>
      <c r="Y54" t="s">
        <v>1133</v>
      </c>
      <c r="Z54">
        <v>0.6870200310768348</v>
      </c>
      <c r="AA54">
        <v>7972</v>
      </c>
      <c r="AB54">
        <v>51838</v>
      </c>
      <c r="AC54" t="s">
        <v>1372</v>
      </c>
      <c r="AD54">
        <v>66.36</v>
      </c>
      <c r="AE54" t="s">
        <v>1620</v>
      </c>
      <c r="AF54" t="s">
        <v>1868</v>
      </c>
      <c r="AG54">
        <v>17346</v>
      </c>
      <c r="AH54">
        <v>2034</v>
      </c>
      <c r="AI54">
        <v>371</v>
      </c>
      <c r="AJ54">
        <v>1.8</v>
      </c>
    </row>
    <row r="55" spans="1:36">
      <c r="A55" s="1" t="s">
        <v>187</v>
      </c>
      <c r="B55" t="s">
        <v>435</v>
      </c>
      <c r="C55">
        <f>HYPERLINK("https://finance.naver.com/item/coinfo.nhn?code=006090", "A006090")</f>
        <v>0</v>
      </c>
      <c r="D55">
        <f>HYPERLINK("http://comp.fnguide.com/SVO2/ASP/SVD_Consensus.asp?pGB=1&amp;gicode=A006090&amp;cID=&amp;MenuYn=Y&amp;ReportGB=&amp;NewMenuID=108&amp;stkGb=701", "사조오양")</f>
        <v>0</v>
      </c>
      <c r="E55">
        <v>3</v>
      </c>
      <c r="F55">
        <v>11750</v>
      </c>
      <c r="G55">
        <v>0</v>
      </c>
      <c r="H55">
        <v>5.02</v>
      </c>
      <c r="I55">
        <v>20884</v>
      </c>
      <c r="J55">
        <v>20131</v>
      </c>
      <c r="K55">
        <v>19911</v>
      </c>
      <c r="L55">
        <v>-77.73999999999999</v>
      </c>
      <c r="M55">
        <v>-71.33</v>
      </c>
      <c r="N55">
        <v>-69.45</v>
      </c>
      <c r="O55">
        <v>8.84</v>
      </c>
      <c r="P55" t="b">
        <v>1</v>
      </c>
      <c r="Q55">
        <v>0</v>
      </c>
      <c r="R55">
        <v>1959</v>
      </c>
      <c r="U55" t="s">
        <v>683</v>
      </c>
      <c r="V55" t="s">
        <v>931</v>
      </c>
      <c r="W55">
        <v>0</v>
      </c>
      <c r="X55">
        <v>-13.9</v>
      </c>
      <c r="Y55" t="s">
        <v>1173</v>
      </c>
      <c r="Z55">
        <v>6.994745816215153</v>
      </c>
      <c r="AA55">
        <v>1107</v>
      </c>
      <c r="AB55">
        <v>68143</v>
      </c>
      <c r="AC55" t="s">
        <v>1416</v>
      </c>
      <c r="AD55">
        <v>60.53</v>
      </c>
      <c r="AE55" t="s">
        <v>1664</v>
      </c>
      <c r="AF55" t="s">
        <v>1912</v>
      </c>
      <c r="AG55">
        <v>3276</v>
      </c>
      <c r="AH55">
        <v>267</v>
      </c>
      <c r="AI55">
        <v>3</v>
      </c>
      <c r="AJ55">
        <v>1.52</v>
      </c>
    </row>
    <row r="56" spans="1:36">
      <c r="A56" s="1" t="s">
        <v>122</v>
      </c>
      <c r="B56" t="s">
        <v>370</v>
      </c>
      <c r="C56">
        <f>HYPERLINK("https://finance.naver.com/item/coinfo.nhn?code=034810", "A034810")</f>
        <v>0</v>
      </c>
      <c r="D56">
        <f>HYPERLINK("http://comp.fnguide.com/SVO2/ASP/SVD_Consensus.asp?pGB=1&amp;gicode=A034810&amp;cID=&amp;MenuYn=Y&amp;ReportGB=&amp;NewMenuID=108&amp;stkGb=701", "해성산업")</f>
        <v>0</v>
      </c>
      <c r="E56">
        <v>3</v>
      </c>
      <c r="F56">
        <v>16250</v>
      </c>
      <c r="G56">
        <v>0</v>
      </c>
      <c r="H56">
        <v>0.49</v>
      </c>
      <c r="I56">
        <v>133822</v>
      </c>
      <c r="J56">
        <v>68579</v>
      </c>
      <c r="K56">
        <v>49444</v>
      </c>
      <c r="L56">
        <v>-723.52</v>
      </c>
      <c r="M56">
        <v>-322.03</v>
      </c>
      <c r="N56">
        <v>-204.27</v>
      </c>
      <c r="O56">
        <v>47.11</v>
      </c>
      <c r="P56" t="b">
        <v>1</v>
      </c>
      <c r="Q56">
        <v>0</v>
      </c>
      <c r="R56">
        <v>24709</v>
      </c>
      <c r="U56" t="s">
        <v>618</v>
      </c>
      <c r="V56" t="s">
        <v>866</v>
      </c>
      <c r="W56">
        <v>0</v>
      </c>
      <c r="X56">
        <v>10295</v>
      </c>
      <c r="Y56" t="s">
        <v>1112</v>
      </c>
      <c r="Z56">
        <v>129.8987905818248</v>
      </c>
      <c r="AA56">
        <v>4283</v>
      </c>
      <c r="AB56">
        <v>251794</v>
      </c>
      <c r="AC56" t="s">
        <v>1351</v>
      </c>
      <c r="AD56">
        <v>63.91</v>
      </c>
      <c r="AE56" t="s">
        <v>1599</v>
      </c>
      <c r="AF56" t="s">
        <v>1847</v>
      </c>
      <c r="AG56">
        <v>4794</v>
      </c>
      <c r="AH56">
        <v>231</v>
      </c>
      <c r="AI56">
        <v>764637</v>
      </c>
      <c r="AJ56">
        <v>1.43</v>
      </c>
    </row>
    <row r="57" spans="1:36">
      <c r="A57" s="1" t="s">
        <v>241</v>
      </c>
      <c r="B57" t="s">
        <v>489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1</v>
      </c>
      <c r="F57">
        <v>133500</v>
      </c>
      <c r="G57">
        <v>0</v>
      </c>
      <c r="H57">
        <v>14.63</v>
      </c>
      <c r="I57">
        <v>136820</v>
      </c>
      <c r="J57">
        <v>122988</v>
      </c>
      <c r="K57">
        <v>118931</v>
      </c>
      <c r="L57">
        <v>-2.49</v>
      </c>
      <c r="M57">
        <v>7.87</v>
      </c>
      <c r="N57">
        <v>10.91</v>
      </c>
      <c r="O57">
        <v>10.01</v>
      </c>
      <c r="P57" t="b">
        <v>0</v>
      </c>
      <c r="Q57">
        <v>0</v>
      </c>
      <c r="R57">
        <v>7311</v>
      </c>
      <c r="U57" t="s">
        <v>737</v>
      </c>
      <c r="V57" t="s">
        <v>985</v>
      </c>
      <c r="W57">
        <v>0</v>
      </c>
      <c r="X57">
        <v>-11.5</v>
      </c>
      <c r="Y57" t="s">
        <v>1224</v>
      </c>
      <c r="Z57">
        <v>-10.8466262339288</v>
      </c>
      <c r="AA57">
        <v>1679</v>
      </c>
      <c r="AB57">
        <v>8888</v>
      </c>
      <c r="AC57" t="s">
        <v>1470</v>
      </c>
      <c r="AD57">
        <v>51.84</v>
      </c>
      <c r="AE57" t="s">
        <v>1718</v>
      </c>
      <c r="AF57" t="s">
        <v>1966</v>
      </c>
      <c r="AG57">
        <v>595</v>
      </c>
      <c r="AH57">
        <v>127</v>
      </c>
      <c r="AI57">
        <v>227217</v>
      </c>
      <c r="AJ57">
        <v>1.4</v>
      </c>
    </row>
    <row r="58" spans="1:36">
      <c r="A58" s="1" t="s">
        <v>254</v>
      </c>
      <c r="B58" t="s">
        <v>502</v>
      </c>
      <c r="C58">
        <f>HYPERLINK("https://finance.naver.com/item/coinfo.nhn?code=210980", "A210980")</f>
        <v>0</v>
      </c>
      <c r="D58">
        <f>HYPERLINK("http://comp.fnguide.com/SVO2/ASP/SVD_Consensus.asp?pGB=1&amp;gicode=A210980&amp;cID=&amp;MenuYn=Y&amp;ReportGB=&amp;NewMenuID=108&amp;stkGb=701", "SK디앤디")</f>
        <v>0</v>
      </c>
      <c r="E58">
        <v>1</v>
      </c>
      <c r="F58">
        <v>36700</v>
      </c>
      <c r="G58">
        <v>-1.19</v>
      </c>
      <c r="H58">
        <v>14.51</v>
      </c>
      <c r="I58">
        <v>48382</v>
      </c>
      <c r="J58">
        <v>36092</v>
      </c>
      <c r="K58">
        <v>32488</v>
      </c>
      <c r="L58">
        <v>-31.83</v>
      </c>
      <c r="M58">
        <v>1.66</v>
      </c>
      <c r="N58">
        <v>11.48</v>
      </c>
      <c r="O58">
        <v>14.54</v>
      </c>
      <c r="P58" t="b">
        <v>1</v>
      </c>
      <c r="Q58">
        <v>0</v>
      </c>
      <c r="R58">
        <v>2974</v>
      </c>
      <c r="S58">
        <v>2186</v>
      </c>
      <c r="T58">
        <v>-26.5</v>
      </c>
      <c r="U58" t="s">
        <v>750</v>
      </c>
      <c r="V58" t="s">
        <v>998</v>
      </c>
      <c r="W58">
        <v>-12.24030220572196</v>
      </c>
      <c r="X58">
        <v>-31</v>
      </c>
      <c r="Y58" t="s">
        <v>1236</v>
      </c>
      <c r="Z58">
        <v>4.03026624509224</v>
      </c>
      <c r="AA58">
        <v>6969</v>
      </c>
      <c r="AB58">
        <v>61317</v>
      </c>
      <c r="AC58" t="s">
        <v>1483</v>
      </c>
      <c r="AD58">
        <v>58.67</v>
      </c>
      <c r="AE58" t="s">
        <v>1731</v>
      </c>
      <c r="AF58" t="s">
        <v>1979</v>
      </c>
      <c r="AG58">
        <v>6998</v>
      </c>
      <c r="AH58">
        <v>1398</v>
      </c>
      <c r="AI58">
        <v>640</v>
      </c>
      <c r="AJ58">
        <v>1.39</v>
      </c>
    </row>
    <row r="59" spans="1:36">
      <c r="A59" s="1" t="s">
        <v>94</v>
      </c>
      <c r="B59" t="s">
        <v>342</v>
      </c>
      <c r="C59">
        <f>HYPERLINK("https://finance.naver.com/item/coinfo.nhn?code=009780", "A009780")</f>
        <v>0</v>
      </c>
      <c r="D59">
        <f>HYPERLINK("http://comp.fnguide.com/SVO2/ASP/SVD_Consensus.asp?pGB=1&amp;gicode=A009780&amp;cID=&amp;MenuYn=Y&amp;ReportGB=&amp;NewMenuID=108&amp;stkGb=701", "엠에스씨")</f>
        <v>0</v>
      </c>
      <c r="E59">
        <v>3</v>
      </c>
      <c r="F59">
        <v>5460</v>
      </c>
      <c r="G59">
        <v>0</v>
      </c>
      <c r="H59">
        <v>9.859999999999999</v>
      </c>
      <c r="I59">
        <v>7934</v>
      </c>
      <c r="J59">
        <v>6625</v>
      </c>
      <c r="K59">
        <v>6241</v>
      </c>
      <c r="L59">
        <v>-45.32</v>
      </c>
      <c r="M59">
        <v>-21.33</v>
      </c>
      <c r="N59">
        <v>-14.3</v>
      </c>
      <c r="O59">
        <v>11.51</v>
      </c>
      <c r="P59" t="b">
        <v>1</v>
      </c>
      <c r="Q59">
        <v>0</v>
      </c>
      <c r="R59">
        <v>508</v>
      </c>
      <c r="U59" t="s">
        <v>590</v>
      </c>
      <c r="V59" t="s">
        <v>838</v>
      </c>
      <c r="W59">
        <v>0</v>
      </c>
      <c r="X59">
        <v>40.6</v>
      </c>
      <c r="Y59" t="s">
        <v>1084</v>
      </c>
      <c r="Z59">
        <v>4.846642700182846</v>
      </c>
      <c r="AA59">
        <v>961</v>
      </c>
      <c r="AB59">
        <v>43327</v>
      </c>
      <c r="AC59" t="s">
        <v>1323</v>
      </c>
      <c r="AD59">
        <v>73.22</v>
      </c>
      <c r="AE59" t="s">
        <v>1571</v>
      </c>
      <c r="AF59" t="s">
        <v>1819</v>
      </c>
      <c r="AG59">
        <v>1464</v>
      </c>
      <c r="AH59">
        <v>129</v>
      </c>
      <c r="AJ59">
        <v>1.2</v>
      </c>
    </row>
    <row r="60" spans="1:36">
      <c r="A60" s="1" t="s">
        <v>200</v>
      </c>
      <c r="B60" t="s">
        <v>448</v>
      </c>
      <c r="C60">
        <f>HYPERLINK("https://finance.naver.com/item/coinfo.nhn?code=267980", "A267980")</f>
        <v>0</v>
      </c>
      <c r="D60">
        <f>HYPERLINK("http://comp.fnguide.com/SVO2/ASP/SVD_Consensus.asp?pGB=1&amp;gicode=A267980&amp;cID=&amp;MenuYn=Y&amp;ReportGB=&amp;NewMenuID=108&amp;stkGb=701", "매일유업")</f>
        <v>0</v>
      </c>
      <c r="E60">
        <v>2</v>
      </c>
      <c r="F60">
        <v>78500</v>
      </c>
      <c r="G60">
        <v>1.71</v>
      </c>
      <c r="H60">
        <v>9.51</v>
      </c>
      <c r="I60">
        <v>108867</v>
      </c>
      <c r="J60">
        <v>78689</v>
      </c>
      <c r="K60">
        <v>69838</v>
      </c>
      <c r="L60">
        <v>-38.68</v>
      </c>
      <c r="M60">
        <v>-0.24</v>
      </c>
      <c r="N60">
        <v>11.03</v>
      </c>
      <c r="O60">
        <v>15.61</v>
      </c>
      <c r="P60" t="b">
        <v>1</v>
      </c>
      <c r="Q60">
        <v>1</v>
      </c>
      <c r="R60">
        <v>7350</v>
      </c>
      <c r="S60">
        <v>8854</v>
      </c>
      <c r="T60">
        <v>20.5</v>
      </c>
      <c r="U60" t="s">
        <v>696</v>
      </c>
      <c r="V60" t="s">
        <v>944</v>
      </c>
      <c r="W60">
        <v>5.545805525202052</v>
      </c>
      <c r="X60">
        <v>-16.2</v>
      </c>
      <c r="Y60" t="s">
        <v>1185</v>
      </c>
      <c r="Z60">
        <v>0</v>
      </c>
      <c r="AA60">
        <v>6157</v>
      </c>
      <c r="AB60">
        <v>72874</v>
      </c>
      <c r="AC60" t="s">
        <v>1429</v>
      </c>
      <c r="AD60">
        <v>56.27</v>
      </c>
      <c r="AE60" t="s">
        <v>1677</v>
      </c>
      <c r="AF60" t="s">
        <v>1925</v>
      </c>
      <c r="AG60">
        <v>14631</v>
      </c>
      <c r="AH60">
        <v>865</v>
      </c>
      <c r="AI60">
        <v>239111</v>
      </c>
      <c r="AJ60">
        <v>1.14</v>
      </c>
    </row>
    <row r="61" spans="1:36">
      <c r="A61" s="1" t="s">
        <v>113</v>
      </c>
      <c r="B61" t="s">
        <v>361</v>
      </c>
      <c r="C61">
        <f>HYPERLINK("https://finance.naver.com/item/coinfo.nhn?code=023600", "A023600")</f>
        <v>0</v>
      </c>
      <c r="D61">
        <f>HYPERLINK("http://comp.fnguide.com/SVO2/ASP/SVD_Consensus.asp?pGB=1&amp;gicode=A023600&amp;cID=&amp;MenuYn=Y&amp;ReportGB=&amp;NewMenuID=108&amp;stkGb=701", "삼보판지")</f>
        <v>0</v>
      </c>
      <c r="E61">
        <v>3</v>
      </c>
      <c r="F61">
        <v>17100</v>
      </c>
      <c r="G61">
        <v>0</v>
      </c>
      <c r="H61">
        <v>5.36</v>
      </c>
      <c r="I61">
        <v>31903</v>
      </c>
      <c r="J61">
        <v>27544</v>
      </c>
      <c r="K61">
        <v>26265</v>
      </c>
      <c r="L61">
        <v>-86.56999999999999</v>
      </c>
      <c r="M61">
        <v>-61.07</v>
      </c>
      <c r="N61">
        <v>-53.6</v>
      </c>
      <c r="O61">
        <v>10.79</v>
      </c>
      <c r="P61" t="b">
        <v>1</v>
      </c>
      <c r="Q61">
        <v>0</v>
      </c>
      <c r="R61">
        <v>2241</v>
      </c>
      <c r="U61" t="s">
        <v>609</v>
      </c>
      <c r="V61" t="s">
        <v>857</v>
      </c>
      <c r="W61">
        <v>0</v>
      </c>
      <c r="X61">
        <v>74</v>
      </c>
      <c r="Y61" t="s">
        <v>1103</v>
      </c>
      <c r="Z61">
        <v>15.27763015908943</v>
      </c>
      <c r="AA61">
        <v>2765</v>
      </c>
      <c r="AB61">
        <v>104469</v>
      </c>
      <c r="AC61" t="s">
        <v>1342</v>
      </c>
      <c r="AD61">
        <v>63.47</v>
      </c>
      <c r="AE61" t="s">
        <v>1590</v>
      </c>
      <c r="AF61" t="s">
        <v>1838</v>
      </c>
      <c r="AG61">
        <v>4034</v>
      </c>
      <c r="AH61">
        <v>469</v>
      </c>
      <c r="AI61">
        <v>202211</v>
      </c>
      <c r="AJ61">
        <v>1.04</v>
      </c>
    </row>
    <row r="62" spans="1:36">
      <c r="A62" s="1" t="s">
        <v>253</v>
      </c>
      <c r="B62" t="s">
        <v>501</v>
      </c>
      <c r="C62">
        <f>HYPERLINK("https://finance.naver.com/item/coinfo.nhn?code=339770", "A339770")</f>
        <v>0</v>
      </c>
      <c r="D62">
        <f>HYPERLINK("http://comp.fnguide.com/SVO2/ASP/SVD_Consensus.asp?pGB=1&amp;gicode=A339770&amp;cID=&amp;MenuYn=Y&amp;ReportGB=&amp;NewMenuID=108&amp;stkGb=701", "교촌에프앤비")</f>
        <v>0</v>
      </c>
      <c r="E62">
        <v>1</v>
      </c>
      <c r="F62">
        <v>19800</v>
      </c>
      <c r="G62">
        <v>-1.07</v>
      </c>
      <c r="H62">
        <v>17.57</v>
      </c>
      <c r="I62">
        <v>21686</v>
      </c>
      <c r="J62">
        <v>12489</v>
      </c>
      <c r="K62">
        <v>9791</v>
      </c>
      <c r="L62">
        <v>-9.529999999999999</v>
      </c>
      <c r="M62">
        <v>36.93</v>
      </c>
      <c r="N62">
        <v>50.55</v>
      </c>
      <c r="O62">
        <v>29.3</v>
      </c>
      <c r="P62" t="b">
        <v>1</v>
      </c>
      <c r="Q62">
        <v>1</v>
      </c>
      <c r="R62">
        <v>1107</v>
      </c>
      <c r="S62">
        <v>1545</v>
      </c>
      <c r="T62">
        <v>39.6</v>
      </c>
      <c r="U62" t="s">
        <v>749</v>
      </c>
      <c r="V62" t="s">
        <v>997</v>
      </c>
      <c r="W62">
        <v>-16.3565166727141</v>
      </c>
      <c r="X62">
        <v>-2</v>
      </c>
      <c r="Y62" t="s">
        <v>1235</v>
      </c>
      <c r="Z62">
        <v>-49.44565027874371</v>
      </c>
      <c r="AA62">
        <v>4947</v>
      </c>
      <c r="AB62">
        <v>70191</v>
      </c>
      <c r="AC62" t="s">
        <v>1482</v>
      </c>
      <c r="AD62">
        <v>74.09999999999999</v>
      </c>
      <c r="AE62" t="s">
        <v>1730</v>
      </c>
      <c r="AF62" t="s">
        <v>1978</v>
      </c>
      <c r="AG62">
        <v>4476</v>
      </c>
      <c r="AH62">
        <v>410</v>
      </c>
      <c r="AJ62">
        <v>1.03</v>
      </c>
    </row>
    <row r="63" spans="1:36">
      <c r="A63" s="1" t="s">
        <v>163</v>
      </c>
      <c r="B63" t="s">
        <v>411</v>
      </c>
      <c r="C63">
        <f>HYPERLINK("https://finance.naver.com/item/coinfo.nhn?code=016590", "A016590")</f>
        <v>0</v>
      </c>
      <c r="D63">
        <f>HYPERLINK("http://comp.fnguide.com/SVO2/ASP/SVD_Consensus.asp?pGB=1&amp;gicode=A016590&amp;cID=&amp;MenuYn=Y&amp;ReportGB=&amp;NewMenuID=108&amp;stkGb=701", "신대양제지")</f>
        <v>0</v>
      </c>
      <c r="E63">
        <v>3</v>
      </c>
      <c r="F63">
        <v>95500</v>
      </c>
      <c r="G63">
        <v>0</v>
      </c>
      <c r="H63">
        <v>6.06</v>
      </c>
      <c r="I63">
        <v>201652</v>
      </c>
      <c r="J63">
        <v>154377</v>
      </c>
      <c r="K63">
        <v>140512</v>
      </c>
      <c r="L63">
        <v>-111.15</v>
      </c>
      <c r="M63">
        <v>-61.65</v>
      </c>
      <c r="N63">
        <v>-47.13</v>
      </c>
      <c r="O63">
        <v>13.74</v>
      </c>
      <c r="P63" t="b">
        <v>1</v>
      </c>
      <c r="Q63">
        <v>0</v>
      </c>
      <c r="R63">
        <v>10529</v>
      </c>
      <c r="U63" t="s">
        <v>659</v>
      </c>
      <c r="V63" t="s">
        <v>907</v>
      </c>
      <c r="W63">
        <v>0</v>
      </c>
      <c r="X63">
        <v>16.2</v>
      </c>
      <c r="Y63" t="s">
        <v>1153</v>
      </c>
      <c r="Z63">
        <v>24.88114321842199</v>
      </c>
      <c r="AA63">
        <v>3848</v>
      </c>
      <c r="AB63">
        <v>11615</v>
      </c>
      <c r="AC63" t="s">
        <v>1392</v>
      </c>
      <c r="AD63">
        <v>54.34</v>
      </c>
      <c r="AE63" t="s">
        <v>1640</v>
      </c>
      <c r="AF63" t="s">
        <v>1888</v>
      </c>
      <c r="AG63">
        <v>6092</v>
      </c>
      <c r="AH63">
        <v>646</v>
      </c>
      <c r="AI63">
        <v>295661</v>
      </c>
      <c r="AJ63">
        <v>0.98</v>
      </c>
    </row>
    <row r="64" spans="1:36">
      <c r="A64" s="1" t="s">
        <v>211</v>
      </c>
      <c r="B64" t="s">
        <v>459</v>
      </c>
      <c r="C64">
        <f>HYPERLINK("https://finance.naver.com/item/coinfo.nhn?code=318010", "A318010")</f>
        <v>0</v>
      </c>
      <c r="D64">
        <f>HYPERLINK("http://comp.fnguide.com/SVO2/ASP/SVD_Consensus.asp?pGB=1&amp;gicode=A318010&amp;cID=&amp;MenuYn=Y&amp;ReportGB=&amp;NewMenuID=108&amp;stkGb=701", "팜스빌")</f>
        <v>0</v>
      </c>
      <c r="E64">
        <v>1</v>
      </c>
      <c r="F64">
        <v>10100</v>
      </c>
      <c r="G64">
        <v>0</v>
      </c>
      <c r="H64">
        <v>29.89</v>
      </c>
      <c r="I64">
        <v>10255</v>
      </c>
      <c r="J64">
        <v>8387</v>
      </c>
      <c r="K64">
        <v>7839</v>
      </c>
      <c r="L64">
        <v>-1.53</v>
      </c>
      <c r="M64">
        <v>16.96</v>
      </c>
      <c r="N64">
        <v>22.38</v>
      </c>
      <c r="O64">
        <v>11.99</v>
      </c>
      <c r="P64" t="b">
        <v>1</v>
      </c>
      <c r="Q64">
        <v>0</v>
      </c>
      <c r="R64">
        <v>365</v>
      </c>
      <c r="U64" t="s">
        <v>707</v>
      </c>
      <c r="V64" t="s">
        <v>955</v>
      </c>
      <c r="W64">
        <v>0</v>
      </c>
      <c r="X64">
        <v>-66.59999999999999</v>
      </c>
      <c r="Y64" t="s">
        <v>1195</v>
      </c>
      <c r="Z64">
        <v>-14.83928240072844</v>
      </c>
      <c r="AA64">
        <v>801</v>
      </c>
      <c r="AB64">
        <v>12689</v>
      </c>
      <c r="AC64" t="s">
        <v>1440</v>
      </c>
      <c r="AD64">
        <v>70.37</v>
      </c>
      <c r="AE64" t="s">
        <v>1688</v>
      </c>
      <c r="AF64" t="s">
        <v>1936</v>
      </c>
      <c r="AG64">
        <v>394</v>
      </c>
      <c r="AH64">
        <v>43</v>
      </c>
      <c r="AI64">
        <v>82908</v>
      </c>
      <c r="AJ64">
        <v>0.92</v>
      </c>
    </row>
    <row r="65" spans="1:36">
      <c r="A65" s="1" t="s">
        <v>172</v>
      </c>
      <c r="B65" t="s">
        <v>420</v>
      </c>
      <c r="C65">
        <f>HYPERLINK("https://finance.naver.com/item/coinfo.nhn?code=136490", "A136490")</f>
        <v>0</v>
      </c>
      <c r="D65">
        <f>HYPERLINK("http://comp.fnguide.com/SVO2/ASP/SVD_Consensus.asp?pGB=1&amp;gicode=A136490&amp;cID=&amp;MenuYn=Y&amp;ReportGB=&amp;NewMenuID=108&amp;stkGb=701", "선진")</f>
        <v>0</v>
      </c>
      <c r="E65">
        <v>3</v>
      </c>
      <c r="F65">
        <v>17700</v>
      </c>
      <c r="G65">
        <v>0</v>
      </c>
      <c r="H65">
        <v>3.21</v>
      </c>
      <c r="I65">
        <v>28683</v>
      </c>
      <c r="J65">
        <v>20916</v>
      </c>
      <c r="K65">
        <v>18639</v>
      </c>
      <c r="L65">
        <v>-62.05</v>
      </c>
      <c r="M65">
        <v>-18.17</v>
      </c>
      <c r="N65">
        <v>-5.3</v>
      </c>
      <c r="O65">
        <v>15.3</v>
      </c>
      <c r="P65" t="b">
        <v>1</v>
      </c>
      <c r="Q65">
        <v>0</v>
      </c>
      <c r="R65">
        <v>3516</v>
      </c>
      <c r="U65" t="s">
        <v>668</v>
      </c>
      <c r="V65" t="s">
        <v>916</v>
      </c>
      <c r="W65">
        <v>0</v>
      </c>
      <c r="X65">
        <v>50.1</v>
      </c>
      <c r="Y65" t="s">
        <v>1160</v>
      </c>
      <c r="Z65">
        <v>23.520491477994</v>
      </c>
      <c r="AA65">
        <v>4209</v>
      </c>
      <c r="AB65">
        <v>144009</v>
      </c>
      <c r="AC65" t="s">
        <v>1401</v>
      </c>
      <c r="AD65">
        <v>50.04</v>
      </c>
      <c r="AE65" t="s">
        <v>1649</v>
      </c>
      <c r="AF65" t="s">
        <v>1897</v>
      </c>
      <c r="AG65">
        <v>13481</v>
      </c>
      <c r="AH65">
        <v>1076</v>
      </c>
      <c r="AI65">
        <v>396</v>
      </c>
      <c r="AJ65">
        <v>0.88</v>
      </c>
    </row>
    <row r="66" spans="1:36">
      <c r="A66" s="1" t="s">
        <v>259</v>
      </c>
      <c r="B66" t="s">
        <v>507</v>
      </c>
      <c r="C66">
        <f>HYPERLINK("https://finance.naver.com/item/coinfo.nhn?code=239610", "A239610")</f>
        <v>0</v>
      </c>
      <c r="D66">
        <f>HYPERLINK("http://comp.fnguide.com/SVO2/ASP/SVD_Consensus.asp?pGB=1&amp;gicode=A239610&amp;cID=&amp;MenuYn=Y&amp;ReportGB=&amp;NewMenuID=108&amp;stkGb=701", "에이치엘사이언스")</f>
        <v>0</v>
      </c>
      <c r="E66">
        <v>1</v>
      </c>
      <c r="F66">
        <v>38850</v>
      </c>
      <c r="G66">
        <v>0</v>
      </c>
      <c r="H66">
        <v>12.34</v>
      </c>
      <c r="I66">
        <v>51320</v>
      </c>
      <c r="J66">
        <v>31749</v>
      </c>
      <c r="K66">
        <v>26009</v>
      </c>
      <c r="L66">
        <v>-32.1</v>
      </c>
      <c r="M66">
        <v>18.28</v>
      </c>
      <c r="N66">
        <v>33.05</v>
      </c>
      <c r="O66">
        <v>23.34</v>
      </c>
      <c r="P66" t="b">
        <v>1</v>
      </c>
      <c r="Q66">
        <v>0</v>
      </c>
      <c r="R66">
        <v>3643</v>
      </c>
      <c r="U66" t="s">
        <v>755</v>
      </c>
      <c r="V66" t="s">
        <v>1003</v>
      </c>
      <c r="W66">
        <v>0</v>
      </c>
      <c r="X66">
        <v>-46.7</v>
      </c>
      <c r="Y66" t="s">
        <v>1241</v>
      </c>
      <c r="Z66">
        <v>7.260804451220237</v>
      </c>
      <c r="AA66">
        <v>2095</v>
      </c>
      <c r="AB66">
        <v>9596</v>
      </c>
      <c r="AC66" t="s">
        <v>1488</v>
      </c>
      <c r="AD66">
        <v>63.27</v>
      </c>
      <c r="AE66" t="s">
        <v>1736</v>
      </c>
      <c r="AF66" t="s">
        <v>1983</v>
      </c>
      <c r="AG66">
        <v>1430</v>
      </c>
      <c r="AH66">
        <v>236</v>
      </c>
      <c r="AI66">
        <v>142792</v>
      </c>
      <c r="AJ66">
        <v>0.85</v>
      </c>
    </row>
    <row r="67" spans="1:36">
      <c r="A67" s="1" t="s">
        <v>164</v>
      </c>
      <c r="B67" t="s">
        <v>412</v>
      </c>
      <c r="C67">
        <f>HYPERLINK("https://finance.naver.com/item/coinfo.nhn?code=006740", "A006740")</f>
        <v>0</v>
      </c>
      <c r="D67">
        <f>HYPERLINK("http://comp.fnguide.com/SVO2/ASP/SVD_Consensus.asp?pGB=1&amp;gicode=A006740&amp;cID=&amp;MenuYn=Y&amp;ReportGB=&amp;NewMenuID=108&amp;stkGb=701", "영풍제지")</f>
        <v>0</v>
      </c>
      <c r="E67">
        <v>3</v>
      </c>
      <c r="F67">
        <v>6770</v>
      </c>
      <c r="G67">
        <v>0</v>
      </c>
      <c r="H67">
        <v>16.59</v>
      </c>
      <c r="I67">
        <v>7314</v>
      </c>
      <c r="J67">
        <v>7243</v>
      </c>
      <c r="K67">
        <v>7222</v>
      </c>
      <c r="L67">
        <v>-8.039999999999999</v>
      </c>
      <c r="M67">
        <v>-6.98</v>
      </c>
      <c r="N67">
        <v>-6.67</v>
      </c>
      <c r="O67">
        <v>8.44</v>
      </c>
      <c r="P67" t="b">
        <v>0</v>
      </c>
      <c r="Q67">
        <v>0</v>
      </c>
      <c r="R67">
        <v>384</v>
      </c>
      <c r="U67" t="s">
        <v>660</v>
      </c>
      <c r="V67" t="s">
        <v>908</v>
      </c>
      <c r="W67">
        <v>0</v>
      </c>
      <c r="X67">
        <v>-8.300000000000001</v>
      </c>
      <c r="Y67" t="s">
        <v>1154</v>
      </c>
      <c r="Z67">
        <v>7.327815250953962</v>
      </c>
      <c r="AA67">
        <v>1503</v>
      </c>
      <c r="AB67">
        <v>188248</v>
      </c>
      <c r="AC67" t="s">
        <v>1393</v>
      </c>
      <c r="AD67">
        <v>52.64</v>
      </c>
      <c r="AE67" t="s">
        <v>1641</v>
      </c>
      <c r="AF67" t="s">
        <v>1889</v>
      </c>
      <c r="AG67">
        <v>982</v>
      </c>
      <c r="AH67">
        <v>102</v>
      </c>
      <c r="AI67">
        <v>4627676</v>
      </c>
      <c r="AJ67">
        <v>0.63</v>
      </c>
    </row>
    <row r="68" spans="1:36">
      <c r="A68" s="1" t="s">
        <v>245</v>
      </c>
      <c r="B68" t="s">
        <v>493</v>
      </c>
      <c r="C68">
        <f>HYPERLINK("https://finance.naver.com/item/coinfo.nhn?code=134790", "A134790")</f>
        <v>0</v>
      </c>
      <c r="D68">
        <f>HYPERLINK("http://comp.fnguide.com/SVO2/ASP/SVD_Consensus.asp?pGB=1&amp;gicode=A134790&amp;cID=&amp;MenuYn=Y&amp;ReportGB=&amp;NewMenuID=108&amp;stkGb=701", "시디즈")</f>
        <v>0</v>
      </c>
      <c r="E68">
        <v>1</v>
      </c>
      <c r="F68">
        <v>78100</v>
      </c>
      <c r="G68">
        <v>0</v>
      </c>
      <c r="H68">
        <v>6.4</v>
      </c>
      <c r="I68">
        <v>117062</v>
      </c>
      <c r="J68">
        <v>64986</v>
      </c>
      <c r="K68">
        <v>49712</v>
      </c>
      <c r="L68">
        <v>-49.89</v>
      </c>
      <c r="M68">
        <v>16.79</v>
      </c>
      <c r="N68">
        <v>36.35</v>
      </c>
      <c r="O68">
        <v>33.43</v>
      </c>
      <c r="P68" t="b">
        <v>1</v>
      </c>
      <c r="Q68">
        <v>0</v>
      </c>
      <c r="R68">
        <v>8672</v>
      </c>
      <c r="U68" t="s">
        <v>741</v>
      </c>
      <c r="V68" t="s">
        <v>989</v>
      </c>
      <c r="W68">
        <v>0</v>
      </c>
      <c r="X68">
        <v>37.1</v>
      </c>
      <c r="Y68" t="s">
        <v>1227</v>
      </c>
      <c r="Z68">
        <v>181.7235274345116</v>
      </c>
      <c r="AA68">
        <v>1562</v>
      </c>
      <c r="AB68">
        <v>3479</v>
      </c>
      <c r="AC68" t="s">
        <v>1474</v>
      </c>
      <c r="AD68">
        <v>60.72</v>
      </c>
      <c r="AE68" t="s">
        <v>1722</v>
      </c>
      <c r="AF68" t="s">
        <v>1970</v>
      </c>
      <c r="AG68">
        <v>2275</v>
      </c>
      <c r="AH68">
        <v>197</v>
      </c>
      <c r="AI68">
        <v>321042</v>
      </c>
      <c r="AJ68">
        <v>0.54</v>
      </c>
    </row>
    <row r="69" spans="1:36">
      <c r="A69" s="1" t="s">
        <v>88</v>
      </c>
      <c r="B69" t="s">
        <v>336</v>
      </c>
      <c r="C69">
        <f>HYPERLINK("https://finance.naver.com/item/coinfo.nhn?code=030960", "A030960")</f>
        <v>0</v>
      </c>
      <c r="D69">
        <f>HYPERLINK("http://comp.fnguide.com/SVO2/ASP/SVD_Consensus.asp?pGB=1&amp;gicode=A030960&amp;cID=&amp;MenuYn=Y&amp;ReportGB=&amp;NewMenuID=108&amp;stkGb=701", "양지사")</f>
        <v>0</v>
      </c>
      <c r="E69">
        <v>3</v>
      </c>
      <c r="F69">
        <v>12750</v>
      </c>
      <c r="G69">
        <v>0</v>
      </c>
      <c r="H69">
        <v>1.28</v>
      </c>
      <c r="I69">
        <v>80814</v>
      </c>
      <c r="J69">
        <v>41127</v>
      </c>
      <c r="K69">
        <v>29487</v>
      </c>
      <c r="L69">
        <v>-533.84</v>
      </c>
      <c r="M69">
        <v>-222.56</v>
      </c>
      <c r="N69">
        <v>-131.27</v>
      </c>
      <c r="O69">
        <v>48.77</v>
      </c>
      <c r="P69" t="b">
        <v>1</v>
      </c>
      <c r="Q69">
        <v>0</v>
      </c>
      <c r="R69">
        <v>7553</v>
      </c>
      <c r="U69" t="s">
        <v>584</v>
      </c>
      <c r="V69" t="s">
        <v>832</v>
      </c>
      <c r="W69">
        <v>0</v>
      </c>
      <c r="X69">
        <v>-97.2</v>
      </c>
      <c r="Y69" t="s">
        <v>1078</v>
      </c>
      <c r="Z69">
        <v>3.527678680906843</v>
      </c>
      <c r="AA69">
        <v>2037</v>
      </c>
      <c r="AB69">
        <v>21559</v>
      </c>
      <c r="AC69" t="s">
        <v>1317</v>
      </c>
      <c r="AD69">
        <v>75.53</v>
      </c>
      <c r="AE69" t="s">
        <v>1565</v>
      </c>
      <c r="AF69" t="s">
        <v>1813</v>
      </c>
      <c r="AG69">
        <v>489</v>
      </c>
      <c r="AH69">
        <v>17</v>
      </c>
      <c r="AI69">
        <v>2243930</v>
      </c>
      <c r="AJ69">
        <v>0.52</v>
      </c>
    </row>
    <row r="70" spans="1:36">
      <c r="A70" s="1" t="s">
        <v>83</v>
      </c>
      <c r="B70" t="s">
        <v>331</v>
      </c>
      <c r="C70">
        <f>HYPERLINK("https://finance.naver.com/item/coinfo.nhn?code=024800", "A024800")</f>
        <v>0</v>
      </c>
      <c r="D70">
        <f>HYPERLINK("http://comp.fnguide.com/SVO2/ASP/SVD_Consensus.asp?pGB=1&amp;gicode=A024800&amp;cID=&amp;MenuYn=Y&amp;ReportGB=&amp;NewMenuID=108&amp;stkGb=701", "유성티엔에스")</f>
        <v>0</v>
      </c>
      <c r="E70">
        <v>3</v>
      </c>
      <c r="F70">
        <v>3840</v>
      </c>
      <c r="G70">
        <v>0</v>
      </c>
      <c r="H70">
        <v>1.65</v>
      </c>
      <c r="I70">
        <v>17328</v>
      </c>
      <c r="J70">
        <v>12345</v>
      </c>
      <c r="K70">
        <v>10884</v>
      </c>
      <c r="L70">
        <v>-351.26</v>
      </c>
      <c r="M70">
        <v>-221.49</v>
      </c>
      <c r="N70">
        <v>-183.44</v>
      </c>
      <c r="O70">
        <v>16.14</v>
      </c>
      <c r="P70" t="b">
        <v>1</v>
      </c>
      <c r="Q70">
        <v>0</v>
      </c>
      <c r="R70">
        <v>1793</v>
      </c>
      <c r="U70" t="s">
        <v>579</v>
      </c>
      <c r="V70" t="s">
        <v>827</v>
      </c>
      <c r="W70">
        <v>0</v>
      </c>
      <c r="X70">
        <v>71.5</v>
      </c>
      <c r="Y70" t="s">
        <v>1073</v>
      </c>
      <c r="Z70">
        <v>60.01404638524932</v>
      </c>
      <c r="AA70">
        <v>1201</v>
      </c>
      <c r="AB70">
        <v>115080</v>
      </c>
      <c r="AC70" t="s">
        <v>1312</v>
      </c>
      <c r="AD70">
        <v>52.36</v>
      </c>
      <c r="AE70" t="s">
        <v>1560</v>
      </c>
      <c r="AF70" t="s">
        <v>1808</v>
      </c>
      <c r="AG70">
        <v>2941</v>
      </c>
      <c r="AH70">
        <v>35</v>
      </c>
      <c r="AI70">
        <v>3652884</v>
      </c>
      <c r="AJ70">
        <v>0.51</v>
      </c>
    </row>
    <row r="71" spans="1:36">
      <c r="A71" s="1" t="s">
        <v>198</v>
      </c>
      <c r="B71" t="s">
        <v>446</v>
      </c>
      <c r="C71">
        <f>HYPERLINK("https://finance.naver.com/item/coinfo.nhn?code=248170", "A248170")</f>
        <v>0</v>
      </c>
      <c r="D71">
        <f>HYPERLINK("http://comp.fnguide.com/SVO2/ASP/SVD_Consensus.asp?pGB=1&amp;gicode=A248170&amp;cID=&amp;MenuYn=Y&amp;ReportGB=&amp;NewMenuID=108&amp;stkGb=701", "샘표식품")</f>
        <v>0</v>
      </c>
      <c r="E71">
        <v>2</v>
      </c>
      <c r="F71">
        <v>63800</v>
      </c>
      <c r="G71">
        <v>0</v>
      </c>
      <c r="H71">
        <v>6.67</v>
      </c>
      <c r="I71">
        <v>96068</v>
      </c>
      <c r="J71">
        <v>64122</v>
      </c>
      <c r="K71">
        <v>54753</v>
      </c>
      <c r="L71">
        <v>-50.58</v>
      </c>
      <c r="M71">
        <v>-0.51</v>
      </c>
      <c r="N71">
        <v>14.18</v>
      </c>
      <c r="O71">
        <v>18.94</v>
      </c>
      <c r="P71" t="b">
        <v>1</v>
      </c>
      <c r="Q71">
        <v>0</v>
      </c>
      <c r="R71">
        <v>7892</v>
      </c>
      <c r="U71" t="s">
        <v>694</v>
      </c>
      <c r="V71" t="s">
        <v>942</v>
      </c>
      <c r="W71">
        <v>0</v>
      </c>
      <c r="X71">
        <v>5.2</v>
      </c>
      <c r="Y71" t="s">
        <v>1183</v>
      </c>
      <c r="Z71">
        <v>45.82902011384766</v>
      </c>
      <c r="AA71">
        <v>2915</v>
      </c>
      <c r="AB71">
        <v>51732</v>
      </c>
      <c r="AC71" t="s">
        <v>1427</v>
      </c>
      <c r="AD71">
        <v>60.02</v>
      </c>
      <c r="AE71" t="s">
        <v>1675</v>
      </c>
      <c r="AF71" t="s">
        <v>1923</v>
      </c>
      <c r="AG71">
        <v>3189</v>
      </c>
      <c r="AH71">
        <v>428</v>
      </c>
      <c r="AI71">
        <v>1690</v>
      </c>
      <c r="AJ71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2021-06-01T20:21:39Z</dcterms:created>
  <dcterms:modified xsi:type="dcterms:W3CDTF">2021-06-01T20:21:39Z</dcterms:modified>
</cp:coreProperties>
</file>