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<sst xmlns="http://schemas.openxmlformats.org/spreadsheetml/2006/main" count="174" uniqueCount="60">
  <si>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</si>
  <si>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</si>
  <si>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</si>
  <si>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</si>
  <si>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</si>
  <si>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</si>
  <si>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</si>
  <si>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</si>
  <si>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</si>
  <si>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</si>
  <si>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</si>
  <si>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</si>
  <si>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</si>
  <si>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</si>
  <si>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</si>
  <si>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</si>
  <si>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</si>
  <si>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</si>
  <si>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</si>
  <si>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</si>
  <si>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</si>
  <si>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</si>
  <si>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</si>
  <si>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</si>
  <si>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</si>
  <si>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</si>
  <si>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</si>
  <si>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</si>
  <si>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</si>
  <si>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</si>
  <si>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</si>
  <si>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</si>
  <si>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</si>
  <si>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</si>
  <si>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</si>
  <si>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</si>
  <si>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A243070</t>
  </si>
  <si>
    <t>A010780</t>
  </si>
  <si>
    <t>A067900</t>
  </si>
  <si>
    <t>휴온스</t>
  </si>
  <si>
    <t>아이에스동서</t>
  </si>
  <si>
    <t>와이엔텍</t>
  </si>
  <si>
    <t>[4165.0, 3518.0, 5118.0, 3880.0]</t>
  </si>
  <si>
    <t>[7947.0, 2138.0, 4022.0, 3864.0]</t>
  </si>
  <si>
    <t>[496.0, 1012.0, 1203.0, 1451.0]</t>
  </si>
  <si>
    <t>[-15.5, 45.5, -24.2]</t>
  </si>
  <si>
    <t>[-73.1, 88.1, -3.9]</t>
  </si>
  <si>
    <t>[104.0, 18.9, 20.6]</t>
  </si>
  <si>
    <t>[128.7, 29.0, -15.5, 45.5, -12.5]</t>
  </si>
  <si>
    <t>[-8.4, 25.5, -73.1, 88.1, -57.6]</t>
  </si>
  <si>
    <t>[75.3, -21.5, 104.0, 18.8, -1.4]</t>
  </si>
  <si>
    <t>[1633.0, 1945.0, 2388.0, 2658.0]</t>
  </si>
  <si>
    <t>[10667.0, 10983.0, 11774.0, 12312.0]</t>
  </si>
  <si>
    <t>[1166.0, 1348.0, 1572.0, nan]</t>
  </si>
  <si>
    <t>[31.64, 21.36, 25.66, 16.7]</t>
  </si>
  <si>
    <t>[23.01, 6.1, 10.92, 9.91]</t>
  </si>
  <si>
    <t>[8.06, 14.66, 15.0, 16.79]</t>
  </si>
  <si>
    <t>[14.23, 13.97, 12.07, 13.02]</t>
  </si>
  <si>
    <t>[3.86, 15.41, 13.28, 11.7]</t>
  </si>
  <si>
    <t>[9.03, 10.32, 11.43, 8.41]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</si>
</sst>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"/>
  <sheetViews>
    <sheetView tabSelected="1" workbookViewId="0"/>
  </sheetViews>
  <sheetFormatPr defaultRowHeight="15"/>
  <sheetData>
    <row r="1" spans="1:37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</row>
    <row r="2" spans="1:37">
      <c r="A2" s="1" t="s">
        <v>36</v>
      </c>
      <c r="B2" t="s">
        <v>39</v>
      </c>
      <c r="C2">
        <f>HYPERLINK("https://finance.naver.com/item/coinfo.nhn?code=243070", "A243070")</f>
        <v>0</v>
      </c>
      <c r="D2">
        <f>HYPERLINK("http://comp.fnguide.com/SVO2/ASP/SVD_Consensus.asp?pGB=1&amp;gicode=A243070&amp;cID=&amp;MenuYn=Y&amp;ReportGB=&amp;NewMenuID=108&amp;stkGb=701", "휴온스")</f>
        <v>0</v>
      </c>
      <c r="E2">
        <v>1</v>
      </c>
      <c r="F2">
        <v>50500</v>
      </c>
      <c r="G2">
        <v>-5.2</v>
      </c>
      <c r="H2">
        <v>12.07</v>
      </c>
      <c r="I2">
        <v>62671</v>
      </c>
      <c r="J2">
        <v>39375</v>
      </c>
      <c r="K2">
        <v>32185</v>
      </c>
      <c r="L2">
        <v>-24.1</v>
      </c>
      <c r="M2">
        <v>22.03</v>
      </c>
      <c r="N2">
        <v>36.27</v>
      </c>
      <c r="O2">
        <v>25.22</v>
      </c>
      <c r="P2" t="b">
        <v>1</v>
      </c>
      <c r="Q2">
        <v>0</v>
      </c>
      <c r="R2">
        <v>5118</v>
      </c>
      <c r="S2">
        <v>3880</v>
      </c>
      <c r="T2">
        <v>-24.2</v>
      </c>
      <c r="U2" t="s">
        <v>42</v>
      </c>
      <c r="V2" t="s">
        <v>45</v>
      </c>
      <c r="W2">
        <v>-2.322102564909101</v>
      </c>
      <c r="X2">
        <v>-12.5</v>
      </c>
      <c r="Y2" t="s">
        <v>48</v>
      </c>
      <c r="Z2">
        <v>25.98438666872125</v>
      </c>
      <c r="AA2">
        <v>5484</v>
      </c>
      <c r="AB2">
        <v>23995</v>
      </c>
      <c r="AC2" t="s">
        <v>51</v>
      </c>
      <c r="AD2">
        <v>45.02</v>
      </c>
      <c r="AE2" t="s">
        <v>54</v>
      </c>
      <c r="AF2" t="s">
        <v>57</v>
      </c>
      <c r="AG2">
        <v>4067</v>
      </c>
      <c r="AH2">
        <v>541</v>
      </c>
      <c r="AI2">
        <v>96996</v>
      </c>
      <c r="AJ2">
        <v>0.88</v>
      </c>
      <c r="AK2" t="b">
        <v>1</v>
      </c>
    </row>
    <row r="3" spans="1:37">
      <c r="A3" s="1" t="s">
        <v>37</v>
      </c>
      <c r="B3" t="s">
        <v>40</v>
      </c>
      <c r="C3">
        <f>HYPERLINK("https://finance.naver.com/item/coinfo.nhn?code=010780", "A010780")</f>
        <v>0</v>
      </c>
      <c r="D3">
        <f>HYPERLINK("http://comp.fnguide.com/SVO2/ASP/SVD_Consensus.asp?pGB=1&amp;gicode=A010780&amp;cID=&amp;MenuYn=Y&amp;ReportGB=&amp;NewMenuID=108&amp;stkGb=701", "아이에스동서")</f>
        <v>0</v>
      </c>
      <c r="E3">
        <v>1</v>
      </c>
      <c r="F3">
        <v>45200</v>
      </c>
      <c r="G3">
        <v>-0.62</v>
      </c>
      <c r="H3">
        <v>13.28</v>
      </c>
      <c r="I3">
        <v>49060</v>
      </c>
      <c r="J3">
        <v>43083</v>
      </c>
      <c r="K3">
        <v>41238</v>
      </c>
      <c r="L3">
        <v>-8.539999999999999</v>
      </c>
      <c r="M3">
        <v>4.68</v>
      </c>
      <c r="N3">
        <v>8.76</v>
      </c>
      <c r="O3">
        <v>11.33</v>
      </c>
      <c r="P3" t="b">
        <v>1</v>
      </c>
      <c r="Q3">
        <v>0</v>
      </c>
      <c r="R3">
        <v>4022</v>
      </c>
      <c r="S3">
        <v>3864</v>
      </c>
      <c r="T3">
        <v>-3.9</v>
      </c>
      <c r="U3" t="s">
        <v>43</v>
      </c>
      <c r="V3" t="s">
        <v>46</v>
      </c>
      <c r="W3">
        <v>-21.36398664878706</v>
      </c>
      <c r="X3">
        <v>-57.6</v>
      </c>
      <c r="Y3" t="s">
        <v>49</v>
      </c>
      <c r="Z3">
        <v>-24.41959298854306</v>
      </c>
      <c r="AA3">
        <v>13963</v>
      </c>
      <c r="AB3">
        <v>62116</v>
      </c>
      <c r="AC3" t="s">
        <v>52</v>
      </c>
      <c r="AD3">
        <v>54.73</v>
      </c>
      <c r="AE3" t="s">
        <v>55</v>
      </c>
      <c r="AF3" t="s">
        <v>58</v>
      </c>
      <c r="AG3">
        <v>12004</v>
      </c>
      <c r="AH3">
        <v>2090</v>
      </c>
      <c r="AI3">
        <v>447941</v>
      </c>
      <c r="AJ3">
        <v>1.87</v>
      </c>
      <c r="AK3" t="b">
        <v>1</v>
      </c>
    </row>
    <row r="4" spans="1:37">
      <c r="A4" s="1" t="s">
        <v>38</v>
      </c>
      <c r="B4" t="s">
        <v>41</v>
      </c>
      <c r="C4">
        <f>HYPERLINK("https://finance.naver.com/item/coinfo.nhn?code=067900", "A067900")</f>
        <v>0</v>
      </c>
      <c r="D4">
        <f>HYPERLINK("http://comp.fnguide.com/SVO2/ASP/SVD_Consensus.asp?pGB=1&amp;gicode=A067900&amp;cID=&amp;MenuYn=Y&amp;ReportGB=&amp;NewMenuID=108&amp;stkGb=701", "와이엔텍")</f>
        <v>0</v>
      </c>
      <c r="E4">
        <v>1</v>
      </c>
      <c r="F4">
        <v>12200</v>
      </c>
      <c r="G4">
        <v>0.27</v>
      </c>
      <c r="H4">
        <v>11.43</v>
      </c>
      <c r="I4">
        <v>13354</v>
      </c>
      <c r="J4">
        <v>10667</v>
      </c>
      <c r="K4">
        <v>9838</v>
      </c>
      <c r="L4">
        <v>-9.460000000000001</v>
      </c>
      <c r="M4">
        <v>12.56</v>
      </c>
      <c r="N4">
        <v>19.36</v>
      </c>
      <c r="O4">
        <v>13.73</v>
      </c>
      <c r="P4" t="b">
        <v>1</v>
      </c>
      <c r="Q4">
        <v>3</v>
      </c>
      <c r="R4">
        <v>1203</v>
      </c>
      <c r="S4">
        <v>1451</v>
      </c>
      <c r="T4">
        <v>20.6</v>
      </c>
      <c r="U4" t="s">
        <v>44</v>
      </c>
      <c r="V4" t="s">
        <v>47</v>
      </c>
      <c r="W4">
        <v>43.01659807012032</v>
      </c>
      <c r="X4">
        <v>-1.4</v>
      </c>
      <c r="Y4" t="s">
        <v>50</v>
      </c>
      <c r="Z4">
        <v>26.88054024766924</v>
      </c>
      <c r="AA4">
        <v>2220</v>
      </c>
      <c r="AB4">
        <v>107815</v>
      </c>
      <c r="AC4" t="s">
        <v>53</v>
      </c>
      <c r="AD4">
        <v>45.73</v>
      </c>
      <c r="AE4" t="s">
        <v>56</v>
      </c>
      <c r="AF4" t="s">
        <v>59</v>
      </c>
      <c r="AG4">
        <v>1060</v>
      </c>
      <c r="AH4">
        <v>317</v>
      </c>
      <c r="AI4">
        <v>100000</v>
      </c>
      <c r="AK4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2"/>
  <sheetViews>
    <sheetView workbookViewId="0"/>
  </sheetViews>
  <sheetFormatPr defaultRowHeight="15"/>
  <sheetData>
    <row r="1" spans="1:37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</row>
    <row r="2" spans="1:37">
      <c r="A2" s="1" t="s">
        <v>37</v>
      </c>
      <c r="B2" t="s">
        <v>40</v>
      </c>
      <c r="C2">
        <f>HYPERLINK("https://finance.naver.com/item/coinfo.nhn?code=010780", "A010780")</f>
        <v>0</v>
      </c>
      <c r="D2">
        <f>HYPERLINK("http://comp.fnguide.com/SVO2/ASP/SVD_Consensus.asp?pGB=1&amp;gicode=A010780&amp;cID=&amp;MenuYn=Y&amp;ReportGB=&amp;NewMenuID=108&amp;stkGb=701", "아이에스동서")</f>
        <v>0</v>
      </c>
      <c r="E2">
        <v>1</v>
      </c>
      <c r="F2">
        <v>45200</v>
      </c>
      <c r="G2">
        <v>-0.62</v>
      </c>
      <c r="H2">
        <v>13.28</v>
      </c>
      <c r="I2">
        <v>49060</v>
      </c>
      <c r="J2">
        <v>43083</v>
      </c>
      <c r="K2">
        <v>41238</v>
      </c>
      <c r="L2">
        <v>-8.539999999999999</v>
      </c>
      <c r="M2">
        <v>4.68</v>
      </c>
      <c r="N2">
        <v>8.76</v>
      </c>
      <c r="O2">
        <v>11.33</v>
      </c>
      <c r="P2" t="b">
        <v>1</v>
      </c>
      <c r="Q2">
        <v>0</v>
      </c>
      <c r="R2">
        <v>4022</v>
      </c>
      <c r="S2">
        <v>3864</v>
      </c>
      <c r="T2">
        <v>-3.9</v>
      </c>
      <c r="U2" t="s">
        <v>43</v>
      </c>
      <c r="V2" t="s">
        <v>46</v>
      </c>
      <c r="W2">
        <v>-21.36398664878706</v>
      </c>
      <c r="X2">
        <v>-57.6</v>
      </c>
      <c r="Y2" t="s">
        <v>49</v>
      </c>
      <c r="Z2">
        <v>-24.41959298854306</v>
      </c>
      <c r="AA2">
        <v>13963</v>
      </c>
      <c r="AB2">
        <v>62116</v>
      </c>
      <c r="AC2" t="s">
        <v>52</v>
      </c>
      <c r="AD2">
        <v>54.73</v>
      </c>
      <c r="AE2" t="s">
        <v>55</v>
      </c>
      <c r="AF2" t="s">
        <v>58</v>
      </c>
      <c r="AG2">
        <v>12004</v>
      </c>
      <c r="AH2">
        <v>2090</v>
      </c>
      <c r="AI2">
        <v>447941</v>
      </c>
      <c r="AJ2">
        <v>1.87</v>
      </c>
      <c r="AK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2021-10-31T03:07:09Z</dcterms:created>
  <dcterms:modified xsi:type="dcterms:W3CDTF">2021-10-31T03:07:09Z</dcterms:modified>
</cp:coreProperties>
</file>