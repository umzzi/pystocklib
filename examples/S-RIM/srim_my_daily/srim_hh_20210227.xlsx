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<sst xmlns="http://schemas.openxmlformats.org/spreadsheetml/2006/main" count="3230" uniqueCount="2407">
  <si>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</si>
  <si>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</si>
  <si>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</si>
  <si>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</si>
  <si>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</si>
  <si>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</si>
  <si>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</si>
  <si>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</si>
  <si>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</si>
  <si>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</si>
  <si>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</si>
  <si>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</si>
  <si>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</si>
  <si>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</si>
  <si>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</si>
  <si>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</si>
  <si>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</si>
  <si>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</si>
  <si>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</si>
  <si>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</si>
  <si>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</si>
  <si>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</si>
  <si>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</si>
  <si>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</si>
  <si>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</si>
  <si>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</si>
  <si>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</si>
  <si>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</si>
  <si>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</si>
  <si>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</si>
  <si>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</si>
  <si>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</si>
  <si>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</si>
  <si>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</si>
  <si>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</si>
  <si>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</si>
  <si>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</si>
  <si>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A080010</t>
  </si>
  <si>
    <t>A032560</t>
  </si>
  <si>
    <t>A005870</t>
  </si>
  <si>
    <t>A094820</t>
  </si>
  <si>
    <t>A023460</t>
  </si>
  <si>
    <t>A115310</t>
  </si>
  <si>
    <t>A900290</t>
  </si>
  <si>
    <t>A063760</t>
  </si>
  <si>
    <t>A028150</t>
  </si>
  <si>
    <t>A024120</t>
  </si>
  <si>
    <t>A151860</t>
  </si>
  <si>
    <t>A001450</t>
  </si>
  <si>
    <t>A078020</t>
  </si>
  <si>
    <t>A024940</t>
  </si>
  <si>
    <t>A091340</t>
  </si>
  <si>
    <t>A255220</t>
  </si>
  <si>
    <t>A016250</t>
  </si>
  <si>
    <t>A024800</t>
  </si>
  <si>
    <t>A900280</t>
  </si>
  <si>
    <t>A900340</t>
  </si>
  <si>
    <t>A066620</t>
  </si>
  <si>
    <t>A090470</t>
  </si>
  <si>
    <t>A003530</t>
  </si>
  <si>
    <t>A073560</t>
  </si>
  <si>
    <t>A086790</t>
  </si>
  <si>
    <t>A049430</t>
  </si>
  <si>
    <t>A029460</t>
  </si>
  <si>
    <t>A190650</t>
  </si>
  <si>
    <t>A192400</t>
  </si>
  <si>
    <t>A264900</t>
  </si>
  <si>
    <t>A221980</t>
  </si>
  <si>
    <t>A009410</t>
  </si>
  <si>
    <t>A019180</t>
  </si>
  <si>
    <t>A016800</t>
  </si>
  <si>
    <t>A900310</t>
  </si>
  <si>
    <t>A094970</t>
  </si>
  <si>
    <t>A071050</t>
  </si>
  <si>
    <t>A123890</t>
  </si>
  <si>
    <t>A024720</t>
  </si>
  <si>
    <t>A034830</t>
  </si>
  <si>
    <t>A053690</t>
  </si>
  <si>
    <t>A010420</t>
  </si>
  <si>
    <t>A004960</t>
  </si>
  <si>
    <t>A004650</t>
  </si>
  <si>
    <t>A051600</t>
  </si>
  <si>
    <t>A036190</t>
  </si>
  <si>
    <t>A036800</t>
  </si>
  <si>
    <t>A056360</t>
  </si>
  <si>
    <t>A141000</t>
  </si>
  <si>
    <t>A060540</t>
  </si>
  <si>
    <t>A101330</t>
  </si>
  <si>
    <t>A031330</t>
  </si>
  <si>
    <t>A030960</t>
  </si>
  <si>
    <t>A208710</t>
  </si>
  <si>
    <t>A038460</t>
  </si>
  <si>
    <t>A255440</t>
  </si>
  <si>
    <t>A290740</t>
  </si>
  <si>
    <t>A052790</t>
  </si>
  <si>
    <t>A093190</t>
  </si>
  <si>
    <t>A014100</t>
  </si>
  <si>
    <t>A023600</t>
  </si>
  <si>
    <t>A037460</t>
  </si>
  <si>
    <t>A032750</t>
  </si>
  <si>
    <t>A038540</t>
  </si>
  <si>
    <t>A017000</t>
  </si>
  <si>
    <t>A011370</t>
  </si>
  <si>
    <t>A020710</t>
  </si>
  <si>
    <t>A035890</t>
  </si>
  <si>
    <t>A045300</t>
  </si>
  <si>
    <t>A241770</t>
  </si>
  <si>
    <t>A069510</t>
  </si>
  <si>
    <t>A122990</t>
  </si>
  <si>
    <t>A900300</t>
  </si>
  <si>
    <t>A057540</t>
  </si>
  <si>
    <t>A027410</t>
  </si>
  <si>
    <t>A032190</t>
  </si>
  <si>
    <t>A007720</t>
  </si>
  <si>
    <t>A006580</t>
  </si>
  <si>
    <t>A005710</t>
  </si>
  <si>
    <t>A010470</t>
  </si>
  <si>
    <t>A023910</t>
  </si>
  <si>
    <t>A045060</t>
  </si>
  <si>
    <t>A067990</t>
  </si>
  <si>
    <t>A003800</t>
  </si>
  <si>
    <t>A088130</t>
  </si>
  <si>
    <t>A013120</t>
  </si>
  <si>
    <t>A109860</t>
  </si>
  <si>
    <t>A007530</t>
  </si>
  <si>
    <t>A009780</t>
  </si>
  <si>
    <t>A038390</t>
  </si>
  <si>
    <t>A228850</t>
  </si>
  <si>
    <t>A012700</t>
  </si>
  <si>
    <t>A198080</t>
  </si>
  <si>
    <t>A035000</t>
  </si>
  <si>
    <t>A010640</t>
  </si>
  <si>
    <t>A092780</t>
  </si>
  <si>
    <t>A042670</t>
  </si>
  <si>
    <t>A045100</t>
  </si>
  <si>
    <t>A030610</t>
  </si>
  <si>
    <t>A007690</t>
  </si>
  <si>
    <t>A014530</t>
  </si>
  <si>
    <t>A002350</t>
  </si>
  <si>
    <t>A023590</t>
  </si>
  <si>
    <t>A008060</t>
  </si>
  <si>
    <t>A017890</t>
  </si>
  <si>
    <t>A001680</t>
  </si>
  <si>
    <t>A084690</t>
  </si>
  <si>
    <t>A023890</t>
  </si>
  <si>
    <t>A047040</t>
  </si>
  <si>
    <t>A039340</t>
  </si>
  <si>
    <t>A005880</t>
  </si>
  <si>
    <t>A016090</t>
  </si>
  <si>
    <t>A005960</t>
  </si>
  <si>
    <t>A005190</t>
  </si>
  <si>
    <t>A028100</t>
  </si>
  <si>
    <t>A084670</t>
  </si>
  <si>
    <t>A120030</t>
  </si>
  <si>
    <t>A007330</t>
  </si>
  <si>
    <t>A013580</t>
  </si>
  <si>
    <t>A077970</t>
  </si>
  <si>
    <t>A046110</t>
  </si>
  <si>
    <t>A001390</t>
  </si>
  <si>
    <t>A065510</t>
  </si>
  <si>
    <t>A005830</t>
  </si>
  <si>
    <t>A139130</t>
  </si>
  <si>
    <t>A000210</t>
  </si>
  <si>
    <t>A039010</t>
  </si>
  <si>
    <t>A078930</t>
  </si>
  <si>
    <t>A006360</t>
  </si>
  <si>
    <t>A175330</t>
  </si>
  <si>
    <t>A105560</t>
  </si>
  <si>
    <t>A044450</t>
  </si>
  <si>
    <t>A017670</t>
  </si>
  <si>
    <t>A033780</t>
  </si>
  <si>
    <t>A030210</t>
  </si>
  <si>
    <t>A003550</t>
  </si>
  <si>
    <t>A005940</t>
  </si>
  <si>
    <t>A008260</t>
  </si>
  <si>
    <t>A009160</t>
  </si>
  <si>
    <t>A034730</t>
  </si>
  <si>
    <t>A006120</t>
  </si>
  <si>
    <t>A900270</t>
  </si>
  <si>
    <t>A030720</t>
  </si>
  <si>
    <t>A036830</t>
  </si>
  <si>
    <t>A016740</t>
  </si>
  <si>
    <t>A900250</t>
  </si>
  <si>
    <t>A024090</t>
  </si>
  <si>
    <t>A016590</t>
  </si>
  <si>
    <t>A004170</t>
  </si>
  <si>
    <t>A035510</t>
  </si>
  <si>
    <t>A034300</t>
  </si>
  <si>
    <t>A002870</t>
  </si>
  <si>
    <t>A055550</t>
  </si>
  <si>
    <t>A002310</t>
  </si>
  <si>
    <t>A065130</t>
  </si>
  <si>
    <t>A161000</t>
  </si>
  <si>
    <t>A051360</t>
  </si>
  <si>
    <t>A111770</t>
  </si>
  <si>
    <t>A009970</t>
  </si>
  <si>
    <t>A110790</t>
  </si>
  <si>
    <t>A001800</t>
  </si>
  <si>
    <t>A033660</t>
  </si>
  <si>
    <t>A052330</t>
  </si>
  <si>
    <t>A011330</t>
  </si>
  <si>
    <t>A015020</t>
  </si>
  <si>
    <t>A015710</t>
  </si>
  <si>
    <t>A004430</t>
  </si>
  <si>
    <t>A053210</t>
  </si>
  <si>
    <t>A005670</t>
  </si>
  <si>
    <t>A138040</t>
  </si>
  <si>
    <t>A011170</t>
  </si>
  <si>
    <t>A000060</t>
  </si>
  <si>
    <t>A007120</t>
  </si>
  <si>
    <t>A004000</t>
  </si>
  <si>
    <t>A010960</t>
  </si>
  <si>
    <t>A007340</t>
  </si>
  <si>
    <t>A189690</t>
  </si>
  <si>
    <t>A001340</t>
  </si>
  <si>
    <t>A043370</t>
  </si>
  <si>
    <t>A003960</t>
  </si>
  <si>
    <t>A006090</t>
  </si>
  <si>
    <t>A251970</t>
  </si>
  <si>
    <t>A002170</t>
  </si>
  <si>
    <t>A210540</t>
  </si>
  <si>
    <t>A225590</t>
  </si>
  <si>
    <t>A002810</t>
  </si>
  <si>
    <t>A008560</t>
  </si>
  <si>
    <t>A236200</t>
  </si>
  <si>
    <t>A192440</t>
  </si>
  <si>
    <t>A047310</t>
  </si>
  <si>
    <t>A053610</t>
  </si>
  <si>
    <t>A264660</t>
  </si>
  <si>
    <t>A083930</t>
  </si>
  <si>
    <t>A339950</t>
  </si>
  <si>
    <t>A289010</t>
  </si>
  <si>
    <t>A297890</t>
  </si>
  <si>
    <t>A022220</t>
  </si>
  <si>
    <t>A282880</t>
  </si>
  <si>
    <t>A040160</t>
  </si>
  <si>
    <t>A148150</t>
  </si>
  <si>
    <t>A001880</t>
  </si>
  <si>
    <t>A065710</t>
  </si>
  <si>
    <t>A006060</t>
  </si>
  <si>
    <t>A308100</t>
  </si>
  <si>
    <t>A290120</t>
  </si>
  <si>
    <t>A248170</t>
  </si>
  <si>
    <t>A131030</t>
  </si>
  <si>
    <t>A272550</t>
  </si>
  <si>
    <t>A093520</t>
  </si>
  <si>
    <t>A192080</t>
  </si>
  <si>
    <t>A014130</t>
  </si>
  <si>
    <t>A010130</t>
  </si>
  <si>
    <t>A225190</t>
  </si>
  <si>
    <t>A090460</t>
  </si>
  <si>
    <t>A025770</t>
  </si>
  <si>
    <t>A089890</t>
  </si>
  <si>
    <t>A006740</t>
  </si>
  <si>
    <t>A010050</t>
  </si>
  <si>
    <t>A317400</t>
  </si>
  <si>
    <t>A001630</t>
  </si>
  <si>
    <t>A013890</t>
  </si>
  <si>
    <t>A033290</t>
  </si>
  <si>
    <t>A003780</t>
  </si>
  <si>
    <t>A010780</t>
  </si>
  <si>
    <t>A281820</t>
  </si>
  <si>
    <t>A272110</t>
  </si>
  <si>
    <t>A039490</t>
  </si>
  <si>
    <t>A307930</t>
  </si>
  <si>
    <t>A097950</t>
  </si>
  <si>
    <t>A243070</t>
  </si>
  <si>
    <t>A078340</t>
  </si>
  <si>
    <t>A293480</t>
  </si>
  <si>
    <t>A018250</t>
  </si>
  <si>
    <t>A124560</t>
  </si>
  <si>
    <t>A114090</t>
  </si>
  <si>
    <t>A009190</t>
  </si>
  <si>
    <t>A006650</t>
  </si>
  <si>
    <t>A126700</t>
  </si>
  <si>
    <t>A023770</t>
  </si>
  <si>
    <t>A049770</t>
  </si>
  <si>
    <t>A107590</t>
  </si>
  <si>
    <t>A134380</t>
  </si>
  <si>
    <t>A000660</t>
  </si>
  <si>
    <t>A002410</t>
  </si>
  <si>
    <t>A003230</t>
  </si>
  <si>
    <t>A054920</t>
  </si>
  <si>
    <t>A210980</t>
  </si>
  <si>
    <t>A094850</t>
  </si>
  <si>
    <t>A027970</t>
  </si>
  <si>
    <t>A091440</t>
  </si>
  <si>
    <t>A066700</t>
  </si>
  <si>
    <t>A318010</t>
  </si>
  <si>
    <t>A204270</t>
  </si>
  <si>
    <t>A036890</t>
  </si>
  <si>
    <t>A036930</t>
  </si>
  <si>
    <t>A267980</t>
  </si>
  <si>
    <t>A239610</t>
  </si>
  <si>
    <t>A039440</t>
  </si>
  <si>
    <t>A041910</t>
  </si>
  <si>
    <t>A067280</t>
  </si>
  <si>
    <t>A306040</t>
  </si>
  <si>
    <t>A056190</t>
  </si>
  <si>
    <t>A257370</t>
  </si>
  <si>
    <t>A950190</t>
  </si>
  <si>
    <t>A275630</t>
  </si>
  <si>
    <t>A214180</t>
  </si>
  <si>
    <t>A043150</t>
  </si>
  <si>
    <t>A267790</t>
  </si>
  <si>
    <t>A100120</t>
  </si>
  <si>
    <t>A251630</t>
  </si>
  <si>
    <t>A121800</t>
  </si>
  <si>
    <t>A010280</t>
  </si>
  <si>
    <t>A140070</t>
  </si>
  <si>
    <t>A290520</t>
  </si>
  <si>
    <t>A290550</t>
  </si>
  <si>
    <t>A109740</t>
  </si>
  <si>
    <t>A317330</t>
  </si>
  <si>
    <t>A036670</t>
  </si>
  <si>
    <t>A130660</t>
  </si>
  <si>
    <t>A122310</t>
  </si>
  <si>
    <t>A081660</t>
  </si>
  <si>
    <t>A069260</t>
  </si>
  <si>
    <t>A241520</t>
  </si>
  <si>
    <t>A119610</t>
  </si>
  <si>
    <t>A041830</t>
  </si>
  <si>
    <t>A083450</t>
  </si>
  <si>
    <t>A035600</t>
  </si>
  <si>
    <t>A298540</t>
  </si>
  <si>
    <t>A950180</t>
  </si>
  <si>
    <t>A086390</t>
  </si>
  <si>
    <t>A215000</t>
  </si>
  <si>
    <t>A044340</t>
  </si>
  <si>
    <t>A104830</t>
  </si>
  <si>
    <t>A267320</t>
  </si>
  <si>
    <t>A092730</t>
  </si>
  <si>
    <t>A241790</t>
  </si>
  <si>
    <t>A010240</t>
  </si>
  <si>
    <t>AJ네트웍스</t>
  </si>
  <si>
    <t>이상네트웍스</t>
  </si>
  <si>
    <t>황금에스티</t>
  </si>
  <si>
    <t>휴니드</t>
  </si>
  <si>
    <t>일진파워</t>
  </si>
  <si>
    <t>CNH</t>
  </si>
  <si>
    <t>인포바인</t>
  </si>
  <si>
    <t>GRT</t>
  </si>
  <si>
    <t>이엘피</t>
  </si>
  <si>
    <t>GS홈쇼핑</t>
  </si>
  <si>
    <t>KB오토시스</t>
  </si>
  <si>
    <t>KG ETS</t>
  </si>
  <si>
    <t>현대해상</t>
  </si>
  <si>
    <t>이베스트투자증권</t>
  </si>
  <si>
    <t>PN풍년</t>
  </si>
  <si>
    <t>S&amp;K폴리텍</t>
  </si>
  <si>
    <t>SG</t>
  </si>
  <si>
    <t>SGC이테크건설</t>
  </si>
  <si>
    <t>유성티엔에스</t>
  </si>
  <si>
    <t>골든센츄리</t>
  </si>
  <si>
    <t>윙입푸드</t>
  </si>
  <si>
    <t>국보디자인</t>
  </si>
  <si>
    <t>제이스텍</t>
  </si>
  <si>
    <t>한화투자증권</t>
  </si>
  <si>
    <t>우리손에프앤지</t>
  </si>
  <si>
    <t>하나금융지주</t>
  </si>
  <si>
    <t>코메론</t>
  </si>
  <si>
    <t>케이씨</t>
  </si>
  <si>
    <t>코리아에셋투자증권</t>
  </si>
  <si>
    <t>쿠쿠홀딩스</t>
  </si>
  <si>
    <t>크라운제과</t>
  </si>
  <si>
    <t>케이디켐</t>
  </si>
  <si>
    <t>태영건설</t>
  </si>
  <si>
    <t>티에이치엔</t>
  </si>
  <si>
    <t>퍼시스</t>
  </si>
  <si>
    <t>컬러레이</t>
  </si>
  <si>
    <t>제이엠티</t>
  </si>
  <si>
    <t>한국금융지주</t>
  </si>
  <si>
    <t>한국자산신탁</t>
  </si>
  <si>
    <t>한국콜마홀딩스</t>
  </si>
  <si>
    <t>한국토지신탁</t>
  </si>
  <si>
    <t>한미글로벌</t>
  </si>
  <si>
    <t>한솔PNS</t>
  </si>
  <si>
    <t>한신공영</t>
  </si>
  <si>
    <t>창해에탄올</t>
  </si>
  <si>
    <t>한전KPS</t>
  </si>
  <si>
    <t>금화피에스시</t>
  </si>
  <si>
    <t>나이스정보통신</t>
  </si>
  <si>
    <t>코위버</t>
  </si>
  <si>
    <t>비아트론</t>
  </si>
  <si>
    <t>에스에이티</t>
  </si>
  <si>
    <t>모베이스</t>
  </si>
  <si>
    <t>에스에이엠티</t>
  </si>
  <si>
    <t>양지사</t>
  </si>
  <si>
    <t>바이오로그디바이스</t>
  </si>
  <si>
    <t>바이오스마트</t>
  </si>
  <si>
    <t>야스</t>
  </si>
  <si>
    <t>액트로</t>
  </si>
  <si>
    <t>액토즈소프트</t>
  </si>
  <si>
    <t>빅솔론</t>
  </si>
  <si>
    <t>메디앙스</t>
  </si>
  <si>
    <t>삼보판지</t>
  </si>
  <si>
    <t>삼지전자</t>
  </si>
  <si>
    <t>삼진</t>
  </si>
  <si>
    <t>상상인</t>
  </si>
  <si>
    <t>신원종합개발</t>
  </si>
  <si>
    <t>서한</t>
  </si>
  <si>
    <t>시공테크</t>
  </si>
  <si>
    <t>서희건설</t>
  </si>
  <si>
    <t>성우테크론</t>
  </si>
  <si>
    <t>메카로</t>
  </si>
  <si>
    <t>에스텍</t>
  </si>
  <si>
    <t>와이솔</t>
  </si>
  <si>
    <t>오가닉티코스메틱</t>
  </si>
  <si>
    <t>옴니시스템</t>
  </si>
  <si>
    <t>BGF</t>
  </si>
  <si>
    <t>다우데이타</t>
  </si>
  <si>
    <t>대명소노시즌</t>
  </si>
  <si>
    <t>대양제지</t>
  </si>
  <si>
    <t>대원산업</t>
  </si>
  <si>
    <t>오리콤</t>
  </si>
  <si>
    <t>대한약품</t>
  </si>
  <si>
    <t>오공</t>
  </si>
  <si>
    <t>도이치모터스</t>
  </si>
  <si>
    <t>에이스침대</t>
  </si>
  <si>
    <t>동아엘텍</t>
  </si>
  <si>
    <t>동원개발</t>
  </si>
  <si>
    <t>동일금속</t>
  </si>
  <si>
    <t>영신금속</t>
  </si>
  <si>
    <t>엠에스씨</t>
  </si>
  <si>
    <t>레드캡투어</t>
  </si>
  <si>
    <t>레이언스</t>
  </si>
  <si>
    <t>리드코프</t>
  </si>
  <si>
    <t>엔피디</t>
  </si>
  <si>
    <t>지투알</t>
  </si>
  <si>
    <t>진양폴리</t>
  </si>
  <si>
    <t>동양피스톤</t>
  </si>
  <si>
    <t>두산인프라코어</t>
  </si>
  <si>
    <t>한양이엔지</t>
  </si>
  <si>
    <t>교보증권</t>
  </si>
  <si>
    <t>국도화학</t>
  </si>
  <si>
    <t>극동유화</t>
  </si>
  <si>
    <t>넥센타이어</t>
  </si>
  <si>
    <t>다우기술</t>
  </si>
  <si>
    <t>대덕</t>
  </si>
  <si>
    <t>한국알콜</t>
  </si>
  <si>
    <t>대상</t>
  </si>
  <si>
    <t>대상홀딩스</t>
  </si>
  <si>
    <t>한국아트라스비엑스</t>
  </si>
  <si>
    <t>대우건설</t>
  </si>
  <si>
    <t>한국경제TV</t>
  </si>
  <si>
    <t>대한해운</t>
  </si>
  <si>
    <t>대현</t>
  </si>
  <si>
    <t>동부건설</t>
  </si>
  <si>
    <t>동성화학</t>
  </si>
  <si>
    <t>동아지질</t>
  </si>
  <si>
    <t>동양고속</t>
  </si>
  <si>
    <t>조선선재</t>
  </si>
  <si>
    <t>푸른저축은행</t>
  </si>
  <si>
    <t>계룡건설</t>
  </si>
  <si>
    <t>STX엔진</t>
  </si>
  <si>
    <t>한일네트웍스</t>
  </si>
  <si>
    <t>KG케미칼</t>
  </si>
  <si>
    <t>휴비츠</t>
  </si>
  <si>
    <t>DB손해보험</t>
  </si>
  <si>
    <t>DGB금융지주</t>
  </si>
  <si>
    <t>DL</t>
  </si>
  <si>
    <t>현대통신</t>
  </si>
  <si>
    <t>GS</t>
  </si>
  <si>
    <t>GS건설</t>
  </si>
  <si>
    <t>JB금융지주</t>
  </si>
  <si>
    <t>KB금융</t>
  </si>
  <si>
    <t>KSS해운</t>
  </si>
  <si>
    <t>SK텔레콤</t>
  </si>
  <si>
    <t>KT&amp;G</t>
  </si>
  <si>
    <t>KTB투자증권</t>
  </si>
  <si>
    <t>LG</t>
  </si>
  <si>
    <t>NH투자증권</t>
  </si>
  <si>
    <t>NI스틸</t>
  </si>
  <si>
    <t>SIMPAC</t>
  </si>
  <si>
    <t>SK</t>
  </si>
  <si>
    <t>SK디스커버리</t>
  </si>
  <si>
    <t>헝셩그룹</t>
  </si>
  <si>
    <t>동원수산</t>
  </si>
  <si>
    <t>솔브레인홀딩스</t>
  </si>
  <si>
    <t>두올</t>
  </si>
  <si>
    <t>크리스탈신소재</t>
  </si>
  <si>
    <t>디씨엠</t>
  </si>
  <si>
    <t>신대양제지</t>
  </si>
  <si>
    <t>신세계</t>
  </si>
  <si>
    <t>신세계 I&amp;C</t>
  </si>
  <si>
    <t>신세계건설</t>
  </si>
  <si>
    <t>신풍제지</t>
  </si>
  <si>
    <t>신한지주</t>
  </si>
  <si>
    <t>아세아제지</t>
  </si>
  <si>
    <t>탑엔지니어링</t>
  </si>
  <si>
    <t>애경유화</t>
  </si>
  <si>
    <t>토비스</t>
  </si>
  <si>
    <t>영원무역</t>
  </si>
  <si>
    <t>영원무역홀딩스</t>
  </si>
  <si>
    <t>크리스에프앤씨</t>
  </si>
  <si>
    <t>오리온홀딩스</t>
  </si>
  <si>
    <t>우리금융캐피탈</t>
  </si>
  <si>
    <t>코텍</t>
  </si>
  <si>
    <t>유니켐</t>
  </si>
  <si>
    <t>이스타코</t>
  </si>
  <si>
    <t>코콤</t>
  </si>
  <si>
    <t>송원산업</t>
  </si>
  <si>
    <t>스카이라이프</t>
  </si>
  <si>
    <t>푸드웰</t>
  </si>
  <si>
    <t>메리츠금융지주</t>
  </si>
  <si>
    <t>롯데케미칼</t>
  </si>
  <si>
    <t>메리츠화재</t>
  </si>
  <si>
    <t>미래아이앤지</t>
  </si>
  <si>
    <t>롯데정밀화학</t>
  </si>
  <si>
    <t>삼호개발</t>
  </si>
  <si>
    <t>디티알오토모티브</t>
  </si>
  <si>
    <t>포시에스</t>
  </si>
  <si>
    <t>백광산업</t>
  </si>
  <si>
    <t>평화정공</t>
  </si>
  <si>
    <t>사조대림</t>
  </si>
  <si>
    <t>사조오양</t>
  </si>
  <si>
    <t>펌텍코리아</t>
  </si>
  <si>
    <t>삼양통상</t>
  </si>
  <si>
    <t>디와이파워</t>
  </si>
  <si>
    <t>패션플랫폼</t>
  </si>
  <si>
    <t>삼영무역</t>
  </si>
  <si>
    <t>메리츠증권</t>
  </si>
  <si>
    <t>슈프리마</t>
  </si>
  <si>
    <t>슈피겐코리아</t>
  </si>
  <si>
    <t>파워로직스</t>
  </si>
  <si>
    <t>프로텍</t>
  </si>
  <si>
    <t>씨앤지하이테크</t>
  </si>
  <si>
    <t>아바코</t>
  </si>
  <si>
    <t>아이비김영</t>
  </si>
  <si>
    <t>아이스크림에듀</t>
  </si>
  <si>
    <t>엘이티</t>
  </si>
  <si>
    <t>정산애강</t>
  </si>
  <si>
    <t>코윈테크</t>
  </si>
  <si>
    <t>누리텔레콤</t>
  </si>
  <si>
    <t>세경하이테크</t>
  </si>
  <si>
    <t>대림건설</t>
  </si>
  <si>
    <t>서호전기</t>
  </si>
  <si>
    <t>화승인더</t>
  </si>
  <si>
    <t>까스텔바작</t>
  </si>
  <si>
    <t>대유에이피</t>
  </si>
  <si>
    <t>샘표식품</t>
  </si>
  <si>
    <t>디에이치피코리아</t>
  </si>
  <si>
    <t>삼양패키징</t>
  </si>
  <si>
    <t>매커스</t>
  </si>
  <si>
    <t>더블유게임즈</t>
  </si>
  <si>
    <t>한익스프레스</t>
  </si>
  <si>
    <t>고려아연</t>
  </si>
  <si>
    <t>삼양옵틱스</t>
  </si>
  <si>
    <t>비에이치</t>
  </si>
  <si>
    <t>한국정보통신</t>
  </si>
  <si>
    <t>코세스</t>
  </si>
  <si>
    <t>영풍제지</t>
  </si>
  <si>
    <t>우리종금</t>
  </si>
  <si>
    <t>자이에스앤디</t>
  </si>
  <si>
    <t>종근당홀딩스</t>
  </si>
  <si>
    <t>지누스</t>
  </si>
  <si>
    <t>코웰패션</t>
  </si>
  <si>
    <t>진양산업</t>
  </si>
  <si>
    <t>아이에스동서</t>
  </si>
  <si>
    <t>케이씨텍</t>
  </si>
  <si>
    <t>케이엔제이</t>
  </si>
  <si>
    <t>키움증권</t>
  </si>
  <si>
    <t>컴퍼니케이</t>
  </si>
  <si>
    <t>CJ제일제당</t>
  </si>
  <si>
    <t>휴온스</t>
  </si>
  <si>
    <t>컴투스</t>
  </si>
  <si>
    <t>하나제약</t>
  </si>
  <si>
    <t>애경산업</t>
  </si>
  <si>
    <t>태웅로직스</t>
  </si>
  <si>
    <t>GKL</t>
  </si>
  <si>
    <t>대양금속</t>
  </si>
  <si>
    <t>대한유화</t>
  </si>
  <si>
    <t>하이비젼시스템</t>
  </si>
  <si>
    <t>플레이위드</t>
  </si>
  <si>
    <t>동원F&amp;B</t>
  </si>
  <si>
    <t>미원홀딩스</t>
  </si>
  <si>
    <t>미원화학</t>
  </si>
  <si>
    <t>SK하이닉스</t>
  </si>
  <si>
    <t>범양건영</t>
  </si>
  <si>
    <t>삼양식품</t>
  </si>
  <si>
    <t>한컴위드</t>
  </si>
  <si>
    <t>SK디앤디</t>
  </si>
  <si>
    <t>참좋은여행</t>
  </si>
  <si>
    <t>세하</t>
  </si>
  <si>
    <t>텔레필드</t>
  </si>
  <si>
    <t>테라젠이텍스</t>
  </si>
  <si>
    <t>팜스빌</t>
  </si>
  <si>
    <t>제이앤티씨</t>
  </si>
  <si>
    <t>진성티이씨</t>
  </si>
  <si>
    <t>주성엔지니어링</t>
  </si>
  <si>
    <t>매일유업</t>
  </si>
  <si>
    <t>에이치엘사이언스</t>
  </si>
  <si>
    <t>에스티아이</t>
  </si>
  <si>
    <t>에스텍파마</t>
  </si>
  <si>
    <t>멀티캠퍼스</t>
  </si>
  <si>
    <t>에스제이그룹</t>
  </si>
  <si>
    <t>에스에프에이</t>
  </si>
  <si>
    <t>명성티엔에스</t>
  </si>
  <si>
    <t>미투젠</t>
  </si>
  <si>
    <t>에스에스알</t>
  </si>
  <si>
    <t>민앤지</t>
  </si>
  <si>
    <t>바텍</t>
  </si>
  <si>
    <t>배럴</t>
  </si>
  <si>
    <t>뷰웍스</t>
  </si>
  <si>
    <t>브이원텍</t>
  </si>
  <si>
    <t>비덴트</t>
  </si>
  <si>
    <t>쌍용정보통신</t>
  </si>
  <si>
    <t>서플러스글로벌</t>
  </si>
  <si>
    <t>신도기연</t>
  </si>
  <si>
    <t>디케이티</t>
  </si>
  <si>
    <t>디에스케이</t>
  </si>
  <si>
    <t>덕산테코피아</t>
  </si>
  <si>
    <t>KCI</t>
  </si>
  <si>
    <t>한전산업</t>
  </si>
  <si>
    <t>제노레이</t>
  </si>
  <si>
    <t>휠라홀딩스</t>
  </si>
  <si>
    <t>휴켐스</t>
  </si>
  <si>
    <t>DSC인베스트먼트</t>
  </si>
  <si>
    <t>인터로조</t>
  </si>
  <si>
    <t>인바디</t>
  </si>
  <si>
    <t>GST</t>
  </si>
  <si>
    <t>KG이니시스</t>
  </si>
  <si>
    <t>더네이쳐홀딩스</t>
  </si>
  <si>
    <t>SNK</t>
  </si>
  <si>
    <t>유니테스트</t>
  </si>
  <si>
    <t>골프존</t>
  </si>
  <si>
    <t>위닉스</t>
  </si>
  <si>
    <t>원익머트리얼즈</t>
  </si>
  <si>
    <t>나인테크</t>
  </si>
  <si>
    <t>네오팜</t>
  </si>
  <si>
    <t>오션브릿지</t>
  </si>
  <si>
    <t>흥국</t>
  </si>
  <si>
    <t>[320.0, 24.0, 982.0, 11.0]</t>
  </si>
  <si>
    <t>[885.0, 758.0, 1001.0, 977.0]</t>
  </si>
  <si>
    <t>[1434.0, 1038.0, 1720.0, 1422.0]</t>
  </si>
  <si>
    <t>[1248.0, 1876.0, 564.0, nan]</t>
  </si>
  <si>
    <t>[968.0, 1050.0, 781.0, nan]</t>
  </si>
  <si>
    <t>[78.0, 20.0, 414.0, 936.0]</t>
  </si>
  <si>
    <t>[3398.0, 3022.0, 2817.0, nan]</t>
  </si>
  <si>
    <t>[784.0, 964.0, 766.0, nan]</t>
  </si>
  <si>
    <t>[3441.0, 3023.0, 830.0, 439.0]</t>
  </si>
  <si>
    <t>[15680.0, 20419.0, 16696.0, 19262.0]</t>
  </si>
  <si>
    <t>[1068.0, 1109.0, 930.0, 433.0]</t>
  </si>
  <si>
    <t>[326.0, 313.0, 2716.0, nan]</t>
  </si>
  <si>
    <t>[5195.0, 4178.0, 3011.0, 3712.0]</t>
  </si>
  <si>
    <t>[960.0, 841.0, 1020.0, 1750.0]</t>
  </si>
  <si>
    <t>[144.0, 120.0, 542.0, nan]</t>
  </si>
  <si>
    <t>[374.0, 722.0, 1311.0, nan]</t>
  </si>
  <si>
    <t>[418.0, 290.0, 277.0, nan]</t>
  </si>
  <si>
    <t>[10344.0, 12762.0, 6923.0, 114486.0]</t>
  </si>
  <si>
    <t>[494.0, 433.0, 780.0, nan]</t>
  </si>
  <si>
    <t>[318.0, 232.0, 214.0, nan]</t>
  </si>
  <si>
    <t>[559.0, 646.0, 236.0, 225.0]</t>
  </si>
  <si>
    <t>[1779.0, 1850.0, 2126.0, nan]</t>
  </si>
  <si>
    <t>[5079.0, 552.0, 107.0, -998.0]</t>
  </si>
  <si>
    <t>[313.0, 409.0, 505.0, 306.0]</t>
  </si>
  <si>
    <t>[382.0, 391.0, 61.0, nan]</t>
  </si>
  <si>
    <t>[6881.0, 7458.0, 7966.0, 8784.0]</t>
  </si>
  <si>
    <t>[1050.0, 1353.0, 1581.0, nan]</t>
  </si>
  <si>
    <t>[2439.0, 14496.0, 3591.0, nan]</t>
  </si>
  <si>
    <t>[1183.0, 1195.0, 1207.0, nan]</t>
  </si>
  <si>
    <t>[47436.0, 13106.0, 11168.0, nan]</t>
  </si>
  <si>
    <t>[1038.0, 1029.0, 1424.0, nan]</t>
  </si>
  <si>
    <t>[1646.0, 1685.0, 1857.0, nan]</t>
  </si>
  <si>
    <t>[1143.0, 2398.0, 1152.0, 13228.0]</t>
  </si>
  <si>
    <t>[176.0, 280.0, 959.0, -953.0]</t>
  </si>
  <si>
    <t>[1918.0, 3956.0, 2953.0, nan]</t>
  </si>
  <si>
    <t>[518.0, 490.0, 448.0, nan]</t>
  </si>
  <si>
    <t>[466.0, 640.0, 57.0, 346.0]</t>
  </si>
  <si>
    <t>[8285.0, 8599.0, 13724.0, 14019.0]</t>
  </si>
  <si>
    <t>[1013.0, 826.0, 723.0, 1049.0]</t>
  </si>
  <si>
    <t>[1674.0, 3362.0, 2236.0, 7671.0]</t>
  </si>
  <si>
    <t>[662.0, 662.0, 428.0, 351.0]</t>
  </si>
  <si>
    <t>[824.0, 638.0, 2038.0, 969.0]</t>
  </si>
  <si>
    <t>[120.0, 175.0, 154.0, nan]</t>
  </si>
  <si>
    <t>[6602.0, 14008.0, 6210.0, 8762.0]</t>
  </si>
  <si>
    <t>[551.0, 404.0, 2328.0, 1428.0]</t>
  </si>
  <si>
    <t>[3021.0, 3585.0, 3407.0, 1935.0]</t>
  </si>
  <si>
    <t>[3441.0, 6615.0, 4614.0, nan]</t>
  </si>
  <si>
    <t>[3669.0, 3057.0, 3011.0, 1096.0]</t>
  </si>
  <si>
    <t>[665.0, 633.0, 2107.0, 572.0]</t>
  </si>
  <si>
    <t>[1005.0, 2021.0, 396.0, 1222.0]</t>
  </si>
  <si>
    <t>[267.0, 245.0, 355.0, 153.0]</t>
  </si>
  <si>
    <t>[662.0, 879.0, 1924.0, nan]</t>
  </si>
  <si>
    <t>[295.0, 319.0, 376.0, nan]</t>
  </si>
  <si>
    <t>[163.0, 145.0, 7553.0, nan]</t>
  </si>
  <si>
    <t>[126.0, 214.0, 213.0, -568.0]</t>
  </si>
  <si>
    <t>[273.0, 257.0, 1107.0, -561.0]</t>
  </si>
  <si>
    <t>[1390.0, 2775.0, 1250.0, 910.0]</t>
  </si>
  <si>
    <t>[1151.0, 1649.0, 1461.0, 205.0]</t>
  </si>
  <si>
    <t>[-660.0, -1314.0, 1833.0, nan]</t>
  </si>
  <si>
    <t>[1085.0, 758.0, 499.0, 291.0]</t>
  </si>
  <si>
    <t>[507.0, 270.0, 2741.0, nan]</t>
  </si>
  <si>
    <t>[442.0, 3650.0, 1779.0, nan]</t>
  </si>
  <si>
    <t>[1659.0, 822.0, 849.0, nan]</t>
  </si>
  <si>
    <t>[461.0, 266.0, 2019.0, 1027.0]</t>
  </si>
  <si>
    <t>[1744.0, 2377.0, 2254.0, 1163.0]</t>
  </si>
  <si>
    <t>[1376.0, 1170.0, 1338.0, nan]</t>
  </si>
  <si>
    <t>[768.0, 417.0, 98.0, nan]</t>
  </si>
  <si>
    <t>[934.0, 72.0, 765.0, nan]</t>
  </si>
  <si>
    <t>[180.0, 202.0, 294.0, nan]</t>
  </si>
  <si>
    <t>[617.0, 571.0, 481.0, 411.0]</t>
  </si>
  <si>
    <t>[3721.0, 2883.0, 819.0, nan]</t>
  </si>
  <si>
    <t>[908.0, 1829.0, 1576.0, nan]</t>
  </si>
  <si>
    <t>[1928.0, 1878.0, 1203.0, 541.0]</t>
  </si>
  <si>
    <t>[760.0, 774.0, 559.0, nan]</t>
  </si>
  <si>
    <t>[155.0, 78.0, 463.0, -94.0]</t>
  </si>
  <si>
    <t>[74962.0, 576.0, 281.0, 297.0]</t>
  </si>
  <si>
    <t>[935.0, 863.0, 1782.0, 17608.0]</t>
  </si>
  <si>
    <t>[111.0, -42.0, 633.0, -42.0]</t>
  </si>
  <si>
    <t>[-8.0, 1131.0, 876.0, 297.0]</t>
  </si>
  <si>
    <t>[1695.0, 1404.0, 1950.0, 902.0]</t>
  </si>
  <si>
    <t>[356.0, 777.0, 515.0, 65.0]</t>
  </si>
  <si>
    <t>[4139.0, 4753.0, 4694.0, nan]</t>
  </si>
  <si>
    <t>[463.0, 452.0, 442.0, nan]</t>
  </si>
  <si>
    <t>[140.0, 1278.0, 1998.0, 584.0]</t>
  </si>
  <si>
    <t>[2387.0, 2733.0, 3987.0, 3968.0]</t>
  </si>
  <si>
    <t>[1036.0, 1542.0, 1086.0, 985.0]</t>
  </si>
  <si>
    <t>[1108.0, 1343.0, 933.0, nan]</t>
  </si>
  <si>
    <t>[535.0, 1348.0, 2226.0, 799.0]</t>
  </si>
  <si>
    <t>[-2200.0, 236.0, 450.0, -142.0]</t>
  </si>
  <si>
    <t>[638.0, 608.0, 668.0, nan]</t>
  </si>
  <si>
    <t>[996.0, 1639.0, 2589.0, 1292.0]</t>
  </si>
  <si>
    <t>[881.0, 948.0, 885.0, -329.0]</t>
  </si>
  <si>
    <t>[1354.0, 1196.0, 1531.0, nan]</t>
  </si>
  <si>
    <t>[653.0, 621.0, 1167.0, -231.0]</t>
  </si>
  <si>
    <t>[705.0, 922.0, 921.0, 644.0]</t>
  </si>
  <si>
    <t>[54.0, 96.0, 755.0, 171.0]</t>
  </si>
  <si>
    <t>[906.0, 873.0, 738.0, -520.0]</t>
  </si>
  <si>
    <t>[716.0, 1184.0, 1153.0, 1319.0]</t>
  </si>
  <si>
    <t>[1916.0, 4228.0, 1641.0, 2657.0]</t>
  </si>
  <si>
    <t>[2037.0, 2148.0, 2319.0, 1608.0]</t>
  </si>
  <si>
    <t>[7070.0, 7743.0, 5958.0, 4891.0]</t>
  </si>
  <si>
    <t>[433.0, 467.0, 412.0, nan]</t>
  </si>
  <si>
    <t>[1208.0, 994.0, 1135.0, -202.0]</t>
  </si>
  <si>
    <t>[2554.0, 2460.0, 4130.0, 15042.0]</t>
  </si>
  <si>
    <t>[730.0, 5152.0, 794.0, nan]</t>
  </si>
  <si>
    <t>[932.0, 1327.0, 1472.0, nan]</t>
  </si>
  <si>
    <t>[1464.0, 1801.0, 2976.0, 3614.0]</t>
  </si>
  <si>
    <t>[699.0, 632.0, 1946.0, nan]</t>
  </si>
  <si>
    <t>[4648.0, 5462.0, 5806.0, 6339.0]</t>
  </si>
  <si>
    <t>[623.0, 719.0, 502.0, 683.0]</t>
  </si>
  <si>
    <t>[532.0, 627.0, 653.0, 826.0]</t>
  </si>
  <si>
    <t>[494.0, 313.0, 371.0, 114.0]</t>
  </si>
  <si>
    <t>[276.0, 331.0, 376.0, nan]</t>
  </si>
  <si>
    <t>[4571.0, 3507.0, 2803.0, 2562.0]</t>
  </si>
  <si>
    <t>[979.0, 1094.0, 2492.0, nan]</t>
  </si>
  <si>
    <t>[1487.0, 1630.0, 1656.0, 165.0]</t>
  </si>
  <si>
    <t>[-522.0, 446.0, 11314.0, -5489.0]</t>
  </si>
  <si>
    <t>[12222.0, 9348.0, 10187.0, nan]</t>
  </si>
  <si>
    <t>[1386.0, 1616.0, 1631.0, nan]</t>
  </si>
  <si>
    <t>[5856.0, 9987.0, 8013.0, 10665.0]</t>
  </si>
  <si>
    <t>[-242.0, 1009.0, 737.0, 850.0]</t>
  </si>
  <si>
    <t>[1348.0, 427.0, 589.0, nan]</t>
  </si>
  <si>
    <t>[362.0, 270.0, 7569.0, 11775.0]</t>
  </si>
  <si>
    <t>[262.0, 597.0, 663.0, -255.0]</t>
  </si>
  <si>
    <t>[9338.0, 7522.0, 5334.0, 7962.0]</t>
  </si>
  <si>
    <t>[1787.0, 2253.0, 1936.0, 2228.0]</t>
  </si>
  <si>
    <t>[12707.0, 16746.0, 17228.0, 33481.0]</t>
  </si>
  <si>
    <t>[1772.0, 1977.0, 1236.0, nan]</t>
  </si>
  <si>
    <t>[10414.0, 9537.0, 5744.0, -2563.0]</t>
  </si>
  <si>
    <t>[-2349.0, 7328.0, 5535.0, 3655.0]</t>
  </si>
  <si>
    <t>[1191.0, 1464.0, 1736.0, 1845.0]</t>
  </si>
  <si>
    <t>[7920.0, 7321.0, 7923.0, 8309.0]</t>
  </si>
  <si>
    <t>[1108.0, 898.0, 1001.0, 1186.0]</t>
  </si>
  <si>
    <t>[32198.0, 38738.0, 11021.0, 18584.0]</t>
  </si>
  <si>
    <t>[8821.0, 6602.0, 7539.0, 8545.0]</t>
  </si>
  <si>
    <t>[509.0, 478.0, 710.0, 1324.0]</t>
  </si>
  <si>
    <t>[13623.0, 10598.0, 6141.0, 9009.0]</t>
  </si>
  <si>
    <t>[1166.0, 1202.0, 1584.0, 1921.0]</t>
  </si>
  <si>
    <t>[386.0, 357.0, 224.0, nan]</t>
  </si>
  <si>
    <t>[443.0, 1463.0, 145.0, nan]</t>
  </si>
  <si>
    <t>[23650.0, 31767.0, 10113.0, -2846.0]</t>
  </si>
  <si>
    <t>[28731.0, 3941.0, 8844.0, 17527.0]</t>
  </si>
  <si>
    <t>[401.0, 310.0, 407.0, nan]</t>
  </si>
  <si>
    <t>[1278.0, 369.0, 1305.0, -596.0]</t>
  </si>
  <si>
    <t>[2467.0, 5722.0, 6737.0, 68316.0]</t>
  </si>
  <si>
    <t>[457.0, 426.0, 366.0, 146.0]</t>
  </si>
  <si>
    <t>[419.0, 371.0, 334.0, nan]</t>
  </si>
  <si>
    <t>[1113.0, 570.0, 2005.0, nan]</t>
  </si>
  <si>
    <t>[7032.0, 19674.0, 13849.0, 12518.0]</t>
  </si>
  <si>
    <t>[18513.0, 24274.0, 53472.0, -9685.0]</t>
  </si>
  <si>
    <t>[5767.0, 17009.0, 6196.0, nan]</t>
  </si>
  <si>
    <t>[7256.0, 10769.0, 4379.0, nan]</t>
  </si>
  <si>
    <t>[26.0, 250.0, 562.0, 1013.0]</t>
  </si>
  <si>
    <t>[6155.0, 6657.0, 7004.0, 6393.0]</t>
  </si>
  <si>
    <t>[561.0, 8785.0, 6860.0, nan]</t>
  </si>
  <si>
    <t>[854.0, 1049.0, 2259.0, -1576.0]</t>
  </si>
  <si>
    <t>[2032.0, 1657.0, 952.0, 1400.0]</t>
  </si>
  <si>
    <t>[773.0, 1175.0, 1319.0, -385.0]</t>
  </si>
  <si>
    <t>[2453.0, 2551.0, 3753.0, 4101.0]</t>
  </si>
  <si>
    <t>[5251.0, 6325.0, 8870.0, nan]</t>
  </si>
  <si>
    <t>[3372.0, 3234.0, 2119.0, 3296.0]</t>
  </si>
  <si>
    <t>[35070.0, 899.0, 772.0, 3517.0]</t>
  </si>
  <si>
    <t>[904.0, 1581.0, 1765.0, 1025.0]</t>
  </si>
  <si>
    <t>[1394.0, 2250.0, 1975.0, -548.0]</t>
  </si>
  <si>
    <t>[115.0, 180.0, 223.0, nan]</t>
  </si>
  <si>
    <t>[-43.0, -97.0, 256.0, nan]</t>
  </si>
  <si>
    <t>[612.0, 791.0, 469.0, nan]</t>
  </si>
  <si>
    <t>[1475.0, 1587.0, 1448.0, 1144.0]</t>
  </si>
  <si>
    <t>[1200.0, 1079.0, 1141.0, 1196.0]</t>
  </si>
  <si>
    <t>[260.0, 450.0, 3109.0, 575.0]</t>
  </si>
  <si>
    <t>[2590.0, 2230.0, 2841.0, 6905.0]</t>
  </si>
  <si>
    <t>[65466.0, 46074.0, 20860.0, 8175.0]</t>
  </si>
  <si>
    <t>[3479.0, 2088.0, 2643.0, 3580.0]</t>
  </si>
  <si>
    <t>[-28.0, -84.0, 108.0, 150.0]</t>
  </si>
  <si>
    <t>[3459.0, 8330.0, 6526.0, 7705.0]</t>
  </si>
  <si>
    <t>[832.0, 863.0, 744.0, nan]</t>
  </si>
  <si>
    <t>[2299.0, 5581.0, 6584.0, nan]</t>
  </si>
  <si>
    <t>[766.0, 228.0, 620.0, nan]</t>
  </si>
  <si>
    <t>[141.0, 497.0, 357.0, 204.0]</t>
  </si>
  <si>
    <t>[3549.0, 2135.0, 1506.0, 756.0]</t>
  </si>
  <si>
    <t>[4813.0, 1663.0, 10553.0, 3972.0]</t>
  </si>
  <si>
    <t>[2546.0, 845.0, 1402.0, nan]</t>
  </si>
  <si>
    <t>[1327.0, 1705.0, 1661.0, 1975.0]</t>
  </si>
  <si>
    <t>[8310.0, 8432.0, 14733.0, nan]</t>
  </si>
  <si>
    <t>[2765.0, 2310.0, 1728.0, 2301.0]</t>
  </si>
  <si>
    <t>[180.0, 46.0, 156.0, nan]</t>
  </si>
  <si>
    <t>[1544.0, 1564.0, 1941.0, 1876.0]</t>
  </si>
  <si>
    <t>[559.0, 602.0, 789.0, 757.0]</t>
  </si>
  <si>
    <t>[1284.0, 1608.0, 3643.0, 1286.0]</t>
  </si>
  <si>
    <t>[6540.0, 6870.0, 6489.0, 8726.0]</t>
  </si>
  <si>
    <t>[310.0, 696.0, 1611.0, -750.0]</t>
  </si>
  <si>
    <t>[2617.0, 2572.0, 3502.0, 1000.0]</t>
  </si>
  <si>
    <t>[1449.0, 1201.0, 1404.0, nan]</t>
  </si>
  <si>
    <t>[-53.0, 1592.0, 1225.0, nan]</t>
  </si>
  <si>
    <t>[33.0, 163.0, 157.0, 21.0]</t>
  </si>
  <si>
    <t>[644.0, 950.0, 415.0, nan]</t>
  </si>
  <si>
    <t>[341.0, 2355.0, 1138.0, -257.0]</t>
  </si>
  <si>
    <t>[184.0, 145.0, 222.0, 48.0]</t>
  </si>
  <si>
    <t>[441.0, 1456.0, 2120.0, 141.0]</t>
  </si>
  <si>
    <t>[-485.0, 974.0, 736.0, 244.0]</t>
  </si>
  <si>
    <t>[-292.0, 3408.0, 2013.0, -297.0]</t>
  </si>
  <si>
    <t>[4256.0, 4251.0, 6265.0, nan]</t>
  </si>
  <si>
    <t>[1192.0, 1054.0, 2973.0, 1303.0]</t>
  </si>
  <si>
    <t>[659.0, 367.0, 1066.0, nan]</t>
  </si>
  <si>
    <t>[1059.0, 1869.0, 1083.0, 925.0]</t>
  </si>
  <si>
    <t>[813.0, 976.0, 733.0, 633.0]</t>
  </si>
  <si>
    <t>[2517.0, 3938.0, 5870.0, 7880.0]</t>
  </si>
  <si>
    <t>[777.0, 604.0, 881.0, nan]</t>
  </si>
  <si>
    <t>[1966.0, 1507.0, 1998.0, nan]</t>
  </si>
  <si>
    <t>[566.0, 576.0, 296.0, 493.0]</t>
  </si>
  <si>
    <t>[2027.0, 4869.0, 6040.0, 6138.0]</t>
  </si>
  <si>
    <t>[558.0, 441.0, 479.0, -159.0]</t>
  </si>
  <si>
    <t>[33336.0, 27950.0, 33541.0, 30363.0]</t>
  </si>
  <si>
    <t>[1784.0, 1246.0, 1347.0, 213.0]</t>
  </si>
  <si>
    <t>[1483.0, 2677.0, 1732.0, 638.0]</t>
  </si>
  <si>
    <t>[642.0, 644.0, 634.0, 307.0]</t>
  </si>
  <si>
    <t>[626.0, 544.0, 371.0, nan]</t>
  </si>
  <si>
    <t>[175.0, 645.0, 418.0, nan]</t>
  </si>
  <si>
    <t>[39.0, 49.0, 78.0, 72.0]</t>
  </si>
  <si>
    <t>[726.0, 964.0, 676.0, nan]</t>
  </si>
  <si>
    <t>[9583.0, 5481.0, 8988.0, 22560.0]</t>
  </si>
  <si>
    <t>[3627.0, 3503.0, 5669.0, 3178.0]</t>
  </si>
  <si>
    <t>[483.0, 555.0, 568.0, nan]</t>
  </si>
  <si>
    <t>[128.0, 185.0, 525.0, nan]</t>
  </si>
  <si>
    <t>[6331.0, 7947.0, 2138.0, 3919.0]</t>
  </si>
  <si>
    <t>[563.0, 2741.0, 1858.0, nan]</t>
  </si>
  <si>
    <t>[287.0, 346.0, 854.0, -738.0]</t>
  </si>
  <si>
    <t>[10870.0, 7753.0, 14287.0, 26737.0]</t>
  </si>
  <si>
    <t>[227.0, 443.0, 605.0, nan]</t>
  </si>
  <si>
    <t>[25537.0, 54191.0, 9312.0, 44043.0]</t>
  </si>
  <si>
    <t>[3549.0, 4578.0, 3867.0, 5623.0]</t>
  </si>
  <si>
    <t>[11066.0, 10075.0, 8693.0, 6146.0]</t>
  </si>
  <si>
    <t>[2243.0, 1974.0, 1747.0, nan]</t>
  </si>
  <si>
    <t>[1785.0, 2411.0, 1581.0, 431.0]</t>
  </si>
  <si>
    <t>[12.0, 491.0, 631.0, 676.0]</t>
  </si>
  <si>
    <t>[1302.0, 1257.0, 1170.0, -1040.0]</t>
  </si>
  <si>
    <t>[376.0, 212.0, 132.0, nan]</t>
  </si>
  <si>
    <t>[32972.0, 39602.0, 16360.0, 19785.0]</t>
  </si>
  <si>
    <t>[1374.0, 1498.0, 562.0, 686.0]</t>
  </si>
  <si>
    <t>[-459.0, -1052.0, 1086.0, nan]</t>
  </si>
  <si>
    <t>[13313.0, 14699.0, 17015.0, 20194.0]</t>
  </si>
  <si>
    <t>[3332.0, 4154.0, 6591.0, 10256.0]</t>
  </si>
  <si>
    <t>[6204.0, 3373.0, 6167.0, nan]</t>
  </si>
  <si>
    <t>[14617.0, 21346.0, 2766.0, 6532.0]</t>
  </si>
  <si>
    <t>[46.0, 219.0, 794.0, 438.0]</t>
  </si>
  <si>
    <t>[3807.0, 4623.0, 7906.0, 10461.0]</t>
  </si>
  <si>
    <t>[109.0, 20.0, 1903.0, 252.0]</t>
  </si>
  <si>
    <t>[3362.0, 3237.0, 2365.0, 2733.0]</t>
  </si>
  <si>
    <t>[885.0, 731.0, 1635.0, nan]</t>
  </si>
  <si>
    <t>[-91.0, 180.0, 380.0, nan]</t>
  </si>
  <si>
    <t>[75.0, -1357.0, 522.0, -750.0]</t>
  </si>
  <si>
    <t>[42.0, -332.0, 1408.0, nan]</t>
  </si>
  <si>
    <t>[611.0, 768.0, 1092.0, 258.0]</t>
  </si>
  <si>
    <t>[98.0, 542.0, 1691.0, 1453.0]</t>
  </si>
  <si>
    <t>[446.0, 965.0, 979.0, 623.0]</t>
  </si>
  <si>
    <t>[871.0, 906.0, 534.0, nan]</t>
  </si>
  <si>
    <t>[4710.0, 7530.0, 8202.0, 8066.0]</t>
  </si>
  <si>
    <t>[961.0, 2113.0, 3839.0, nan]</t>
  </si>
  <si>
    <t>[1922.0, 1293.0, 1466.0, 702.0]</t>
  </si>
  <si>
    <t>[233.0, 554.0, 1280.0, 898.0]</t>
  </si>
  <si>
    <t>[2066.0, 2928.0, 3143.0, 1678.0]</t>
  </si>
  <si>
    <t>[71.0, 595.0, 1785.0, 1583.0]</t>
  </si>
  <si>
    <t>[5484.0, 4399.0, 3676.0, 3015.0]</t>
  </si>
  <si>
    <t>[1185.0, 320.0, 79.0, nan]</t>
  </si>
  <si>
    <t>[560.0, 2461.0, 3163.0, 2879.0]</t>
  </si>
  <si>
    <t>[605.0, 241.0, 194.0, nan]</t>
  </si>
  <si>
    <t>[1075.0, 1072.0, 1329.0, 2176.0]</t>
  </si>
  <si>
    <t>[5324.0, 1835.0, 2281.0, -1466.0]</t>
  </si>
  <si>
    <t>[666.0, 575.0, 883.0, nan]</t>
  </si>
  <si>
    <t>[1963.0, 2077.0, 2421.0, 2295.0]</t>
  </si>
  <si>
    <t>[832.0, 1031.0, 442.0, 321.0]</t>
  </si>
  <si>
    <t>[2911.0, 2337.0, -258.0, nan]</t>
  </si>
  <si>
    <t>[-127.0, 437.0, 32.0, -333.0]</t>
  </si>
  <si>
    <t>[541.0, 546.0, 43.0, 300.0]</t>
  </si>
  <si>
    <t>[2356.0, 536.0, 2179.0, -554.0]</t>
  </si>
  <si>
    <t>[2221.0, -277.0, 965.0, 1280.0]</t>
  </si>
  <si>
    <t>[-1632.0, 966.0, 306.0, nan]</t>
  </si>
  <si>
    <t>[1416.0, 1242.0, 673.0, nan]</t>
  </si>
  <si>
    <t>[353.0, 793.0, 1013.0, nan]</t>
  </si>
  <si>
    <t>[428.0, 372.0, 531.0, nan]</t>
  </si>
  <si>
    <t>[475.0, 776.0, 950.0, 699.0]</t>
  </si>
  <si>
    <t>[1030.0, 2349.0, 4365.0, 3405.0]</t>
  </si>
  <si>
    <t>[2798.0, 2556.0, 1721.0, 1213.0]</t>
  </si>
  <si>
    <t>[126.0, 303.0, 346.0, 1266.0]</t>
  </si>
  <si>
    <t>[1655.0, 1253.0, 1503.0, 989.0]</t>
  </si>
  <si>
    <t>[1412.0, 1438.0, 1493.0, 1275.0]</t>
  </si>
  <si>
    <t>[1642.0, 1033.0, 1918.0, 1653.0]</t>
  </si>
  <si>
    <t>[-14.0, 1263.0, 1792.0, nan]</t>
  </si>
  <si>
    <t>[-357.0, 1695.0, 2850.0, 5563.0]</t>
  </si>
  <si>
    <t>[1477.0, 1701.0, 1035.0, 1268.0]</t>
  </si>
  <si>
    <t>[1143.0, 2478.0, 1208.0, 166.0]</t>
  </si>
  <si>
    <t>[12639.0, 3254.0, 2584.0, 5975.0]</t>
  </si>
  <si>
    <t>[692.0, 1056.0, 2266.0, 2568.0]</t>
  </si>
  <si>
    <t>[1627.0, 3336.0, 2229.0, 2628.0]</t>
  </si>
  <si>
    <t>[-58.0, 55.0, 114.0, nan]</t>
  </si>
  <si>
    <t>[1549.0, 2060.0, 2438.0, 2175.0]</t>
  </si>
  <si>
    <t>[973.0, 1471.0, 1024.0, nan]</t>
  </si>
  <si>
    <t>[564.0, 675.0, 568.0, nan]</t>
  </si>
  <si>
    <t>[-92.5, 3991.7, -98.9]</t>
  </si>
  <si>
    <t>[-14.4, 32.1, -2.4]</t>
  </si>
  <si>
    <t>[-27.6, 65.7, -17.3]</t>
  </si>
  <si>
    <t>[50.3, -69.9, nan]</t>
  </si>
  <si>
    <t>[8.5, -25.6, nan]</t>
  </si>
  <si>
    <t>[-74.4, 1970.0, 126.1]</t>
  </si>
  <si>
    <t>[-11.1, -6.8, nan]</t>
  </si>
  <si>
    <t>[23.0, -20.5, nan]</t>
  </si>
  <si>
    <t>[-12.1, -72.5, -47.1]</t>
  </si>
  <si>
    <t>[30.2, -18.2, 15.4]</t>
  </si>
  <si>
    <t>[3.8, -16.1, -53.4]</t>
  </si>
  <si>
    <t>[-4.0, 767.7, nan]</t>
  </si>
  <si>
    <t>[-19.6, -27.9, 23.3]</t>
  </si>
  <si>
    <t>[-12.4, 21.3, 71.6]</t>
  </si>
  <si>
    <t>[-16.7, 351.7, nan]</t>
  </si>
  <si>
    <t>[93.0, 81.6, nan]</t>
  </si>
  <si>
    <t>[-30.6, -4.5, nan]</t>
  </si>
  <si>
    <t>[23.4, -45.8, 1553.7]</t>
  </si>
  <si>
    <t>[-12.3, 80.1, nan]</t>
  </si>
  <si>
    <t>[-27.0, -7.8, nan]</t>
  </si>
  <si>
    <t>[15.6, -63.5, -4.7]</t>
  </si>
  <si>
    <t>[4.0, 14.9, nan]</t>
  </si>
  <si>
    <t>[-89.1, -80.6, -1032.7]</t>
  </si>
  <si>
    <t>[30.7, 23.5, -39.4]</t>
  </si>
  <si>
    <t>[2.4, -84.4, nan]</t>
  </si>
  <si>
    <t>[8.4, 6.8, 10.3]</t>
  </si>
  <si>
    <t>[28.9, 16.9, nan]</t>
  </si>
  <si>
    <t>[494.3, -75.2, nan]</t>
  </si>
  <si>
    <t>[1.0, 1.0, nan]</t>
  </si>
  <si>
    <t>[-72.4, -14.8, nan]</t>
  </si>
  <si>
    <t>[-0.9, 38.4, nan]</t>
  </si>
  <si>
    <t>[2.4, 10.2, nan]</t>
  </si>
  <si>
    <t>[109.8, -52.0, 1048.3]</t>
  </si>
  <si>
    <t>[59.1, 242.5, -199.4]</t>
  </si>
  <si>
    <t>[106.3, -25.4, nan]</t>
  </si>
  <si>
    <t>[-5.4, -8.6, nan]</t>
  </si>
  <si>
    <t>[37.3, -91.1, 507.0]</t>
  </si>
  <si>
    <t>[3.8, 59.6, 2.1]</t>
  </si>
  <si>
    <t>[-18.5, -12.5, 45.1]</t>
  </si>
  <si>
    <t>[100.8, -33.5, 243.1]</t>
  </si>
  <si>
    <t>[0.0, -35.3, -18.0]</t>
  </si>
  <si>
    <t>[-22.6, 219.4, -52.5]</t>
  </si>
  <si>
    <t>[45.8, -12.0, nan]</t>
  </si>
  <si>
    <t>[112.2, -55.7, 41.1]</t>
  </si>
  <si>
    <t>[-26.7, 476.2, -38.7]</t>
  </si>
  <si>
    <t>[18.7, -5.0, -43.2]</t>
  </si>
  <si>
    <t>[92.2, -30.2, nan]</t>
  </si>
  <si>
    <t>[-16.7, -1.5, -63.6]</t>
  </si>
  <si>
    <t>[-4.8, 232.9, -72.9]</t>
  </si>
  <si>
    <t>[101.1, -80.4, 208.6]</t>
  </si>
  <si>
    <t>[-8.2, 44.9, -56.9]</t>
  </si>
  <si>
    <t>[32.8, 118.9, nan]</t>
  </si>
  <si>
    <t>[8.1, 17.9, nan]</t>
  </si>
  <si>
    <t>[-11.0, 5109.0, nan]</t>
  </si>
  <si>
    <t>[69.8, -0.5, -366.7]</t>
  </si>
  <si>
    <t>[-5.9, 330.7, -150.7]</t>
  </si>
  <si>
    <t>[99.6, -55.0, -27.2]</t>
  </si>
  <si>
    <t>[43.3, -11.4, -86.0]</t>
  </si>
  <si>
    <t>[99.1, -239.5, nan]</t>
  </si>
  <si>
    <t>[-30.1, -34.2, -41.7]</t>
  </si>
  <si>
    <t>[-46.7, 915.2, nan]</t>
  </si>
  <si>
    <t>[725.8, -51.3, nan]</t>
  </si>
  <si>
    <t>[-50.5, 3.3, nan]</t>
  </si>
  <si>
    <t>[-42.3, 659.0, -49.1]</t>
  </si>
  <si>
    <t>[36.3, -5.2, -48.4]</t>
  </si>
  <si>
    <t>[-15.0, 14.4, nan]</t>
  </si>
  <si>
    <t>[-45.7, -76.5, nan]</t>
  </si>
  <si>
    <t>[-92.3, 962.5, nan]</t>
  </si>
  <si>
    <t>[12.2, 45.5, nan]</t>
  </si>
  <si>
    <t>[-7.5, -15.8, -14.6]</t>
  </si>
  <si>
    <t>[-22.5, -71.6, nan]</t>
  </si>
  <si>
    <t>[101.4, -13.8, nan]</t>
  </si>
  <si>
    <t>[-2.6, -35.9, -55.0]</t>
  </si>
  <si>
    <t>[1.8, -27.8, nan]</t>
  </si>
  <si>
    <t>[-49.7, 493.6, -120.3]</t>
  </si>
  <si>
    <t>[-99.2, -51.2, 5.7]</t>
  </si>
  <si>
    <t>[-7.7, 106.5, 888.1]</t>
  </si>
  <si>
    <t>[-137.8, -1607.1, -106.6]</t>
  </si>
  <si>
    <t>[-14237.5, -22.5, -66.1]</t>
  </si>
  <si>
    <t>[-17.2, 38.9, -53.7]</t>
  </si>
  <si>
    <t>[118.3, -33.7, -87.4]</t>
  </si>
  <si>
    <t>[14.8, -1.2, nan]</t>
  </si>
  <si>
    <t>[-2.4, -2.2, nan]</t>
  </si>
  <si>
    <t>[812.9, 56.3, -70.8]</t>
  </si>
  <si>
    <t>[14.5, 45.9, -0.5]</t>
  </si>
  <si>
    <t>[48.8, -29.6, -9.3]</t>
  </si>
  <si>
    <t>[21.2, -30.5, nan]</t>
  </si>
  <si>
    <t>[152.0, 65.1, -64.1]</t>
  </si>
  <si>
    <t>[-110.7, 90.7, -131.6]</t>
  </si>
  <si>
    <t>[-4.7, 9.9, nan]</t>
  </si>
  <si>
    <t>[64.6, 58.0, -50.1]</t>
  </si>
  <si>
    <t>[7.6, -6.6, -137.2]</t>
  </si>
  <si>
    <t>[-11.7, 28.0, nan]</t>
  </si>
  <si>
    <t>[-4.9, 87.9, -119.8]</t>
  </si>
  <si>
    <t>[30.8, -0.1, -30.1]</t>
  </si>
  <si>
    <t>[77.8, 686.5, -77.4]</t>
  </si>
  <si>
    <t>[-3.6, -15.5, -170.5]</t>
  </si>
  <si>
    <t>[65.4, -2.6, 14.4]</t>
  </si>
  <si>
    <t>[120.7, -61.2, 61.9]</t>
  </si>
  <si>
    <t>[5.4, 8.0, -30.7]</t>
  </si>
  <si>
    <t>[9.5, -23.1, -17.9]</t>
  </si>
  <si>
    <t>[7.9, -11.8, nan]</t>
  </si>
  <si>
    <t>[-17.7, 14.2, -117.8]</t>
  </si>
  <si>
    <t>[-3.7, 67.9, 264.2]</t>
  </si>
  <si>
    <t>[605.8, -84.6, nan]</t>
  </si>
  <si>
    <t>[42.4, 10.9, nan]</t>
  </si>
  <si>
    <t>[23.0, 65.2, 21.4]</t>
  </si>
  <si>
    <t>[-9.6, 207.9, nan]</t>
  </si>
  <si>
    <t>[17.5, 6.3, 9.2]</t>
  </si>
  <si>
    <t>[15.4, -30.2, 36.1]</t>
  </si>
  <si>
    <t>[17.9, 4.1, 26.5]</t>
  </si>
  <si>
    <t>[-36.6, 18.5, -69.3]</t>
  </si>
  <si>
    <t>[19.9, 13.6, nan]</t>
  </si>
  <si>
    <t>[-23.3, -20.1, -8.6]</t>
  </si>
  <si>
    <t>[11.7, 127.8, nan]</t>
  </si>
  <si>
    <t>[9.6, 1.6, -90.0]</t>
  </si>
  <si>
    <t>[-185.4, 2436.8, -148.5]</t>
  </si>
  <si>
    <t>[-23.5, 9.0, nan]</t>
  </si>
  <si>
    <t>[16.6, 0.9, nan]</t>
  </si>
  <si>
    <t>[70.5, -19.8, 33.1]</t>
  </si>
  <si>
    <t>[-516.9, -27.0, 15.3]</t>
  </si>
  <si>
    <t>[-68.3, 37.9, nan]</t>
  </si>
  <si>
    <t>[-25.4, 2703.3, 55.6]</t>
  </si>
  <si>
    <t>[127.9, 11.1, -138.5]</t>
  </si>
  <si>
    <t>[-19.4, -29.1, 49.3]</t>
  </si>
  <si>
    <t>[26.1, -14.1, 15.1]</t>
  </si>
  <si>
    <t>[31.8, 2.9, 94.3]</t>
  </si>
  <si>
    <t>[11.6, -37.5, nan]</t>
  </si>
  <si>
    <t>[-8.4, -39.8, -144.6]</t>
  </si>
  <si>
    <t>[-412.0, -24.5, -34.0]</t>
  </si>
  <si>
    <t>[22.9, 18.6, 6.3]</t>
  </si>
  <si>
    <t>[-7.6, 8.2, 4.9]</t>
  </si>
  <si>
    <t>[-19.0, 11.5, 18.5]</t>
  </si>
  <si>
    <t>[20.3, -71.5, 68.6]</t>
  </si>
  <si>
    <t>[-25.2, 14.2, 13.3]</t>
  </si>
  <si>
    <t>[-6.1, 48.5, 86.5]</t>
  </si>
  <si>
    <t>[-22.2, -42.1, 46.7]</t>
  </si>
  <si>
    <t>[3.1, 31.8, 21.3]</t>
  </si>
  <si>
    <t>[-7.5, -37.3, nan]</t>
  </si>
  <si>
    <t>[230.2, -90.1, nan]</t>
  </si>
  <si>
    <t>[34.3, -68.2, -128.1]</t>
  </si>
  <si>
    <t>[-86.3, 124.4, 98.2]</t>
  </si>
  <si>
    <t>[-22.7, 31.3, nan]</t>
  </si>
  <si>
    <t>[-71.1, 253.7, -145.7]</t>
  </si>
  <si>
    <t>[131.9, 17.7, 914.0]</t>
  </si>
  <si>
    <t>[-6.8, -14.1, -60.1]</t>
  </si>
  <si>
    <t>[-11.5, -10.0, nan]</t>
  </si>
  <si>
    <t>[-48.8, 251.8, nan]</t>
  </si>
  <si>
    <t>[179.8, -29.6, -9.6]</t>
  </si>
  <si>
    <t>[31.1, 120.3, -118.1]</t>
  </si>
  <si>
    <t>[194.9, -63.6, nan]</t>
  </si>
  <si>
    <t>[48.4, -59.3, nan]</t>
  </si>
  <si>
    <t>[861.5, 124.8, 80.2]</t>
  </si>
  <si>
    <t>[8.2, 5.2, -8.7]</t>
  </si>
  <si>
    <t>[1466.0, -21.9, nan]</t>
  </si>
  <si>
    <t>[22.8, 115.3, -169.8]</t>
  </si>
  <si>
    <t>[-18.5, -42.5, 47.1]</t>
  </si>
  <si>
    <t>[52.0, 12.3, -129.2]</t>
  </si>
  <si>
    <t>[4.0, 47.1, 9.3]</t>
  </si>
  <si>
    <t>[20.5, 40.2, nan]</t>
  </si>
  <si>
    <t>[-4.1, -34.5, 55.5]</t>
  </si>
  <si>
    <t>[-97.4, -14.1, 355.6]</t>
  </si>
  <si>
    <t>[74.9, 11.6, -41.9]</t>
  </si>
  <si>
    <t>[61.4, -12.2, -127.7]</t>
  </si>
  <si>
    <t>[56.5, 23.9, nan]</t>
  </si>
  <si>
    <t>[125.6, -363.9, nan]</t>
  </si>
  <si>
    <t>[29.2, -40.7, nan]</t>
  </si>
  <si>
    <t>[7.6, -8.8, -21.0]</t>
  </si>
  <si>
    <t>[-10.1, 5.7, 4.8]</t>
  </si>
  <si>
    <t>[73.1, 590.9, -81.5]</t>
  </si>
  <si>
    <t>[-13.9, 27.4, 143.0]</t>
  </si>
  <si>
    <t>[-29.6, -54.7, -60.8]</t>
  </si>
  <si>
    <t>[-40.0, 26.6, 35.5]</t>
  </si>
  <si>
    <t>[200.0, -228.6, 38.9]</t>
  </si>
  <si>
    <t>[140.8, -21.7, 18.1]</t>
  </si>
  <si>
    <t>[3.7, -13.8, nan]</t>
  </si>
  <si>
    <t>[142.8, 18.0, nan]</t>
  </si>
  <si>
    <t>[-70.2, 171.9, nan]</t>
  </si>
  <si>
    <t>[252.5, -28.2, -42.9]</t>
  </si>
  <si>
    <t>[-39.8, -29.5, -49.8]</t>
  </si>
  <si>
    <t>[-65.4, 534.6, -62.4]</t>
  </si>
  <si>
    <t>[-66.8, 65.9, nan]</t>
  </si>
  <si>
    <t>[28.5, -2.6, 18.9]</t>
  </si>
  <si>
    <t>[1.5, 74.7, nan]</t>
  </si>
  <si>
    <t>[-16.5, -25.2, 33.2]</t>
  </si>
  <si>
    <t>[-74.4, 239.1, nan]</t>
  </si>
  <si>
    <t>[1.3, 24.1, -3.3]</t>
  </si>
  <si>
    <t>[7.7, 31.1, -4.1]</t>
  </si>
  <si>
    <t>[25.2, 126.6, -64.7]</t>
  </si>
  <si>
    <t>[5.0, -5.5, 34.5]</t>
  </si>
  <si>
    <t>[124.5, 131.5, -146.6]</t>
  </si>
  <si>
    <t>[-1.7, 36.2, -71.4]</t>
  </si>
  <si>
    <t>[-17.1, 16.9, nan]</t>
  </si>
  <si>
    <t>[-3103.8, -23.1, nan]</t>
  </si>
  <si>
    <t>[393.9, -3.7, -86.6]</t>
  </si>
  <si>
    <t>[47.5, -56.3, nan]</t>
  </si>
  <si>
    <t>[590.6, -51.7, -122.6]</t>
  </si>
  <si>
    <t>[-21.2, 53.1, -78.4]</t>
  </si>
  <si>
    <t>[230.2, 45.6, -93.3]</t>
  </si>
  <si>
    <t>[-300.8, -24.4, -66.8]</t>
  </si>
  <si>
    <t>[-1267.1, -40.9, -114.8]</t>
  </si>
  <si>
    <t>[-0.1, 47.4, nan]</t>
  </si>
  <si>
    <t>[-11.6, 182.1, -56.2]</t>
  </si>
  <si>
    <t>[-44.3, 190.5, nan]</t>
  </si>
  <si>
    <t>[76.5, -42.1, -14.6]</t>
  </si>
  <si>
    <t>[20.0, -24.9, -13.6]</t>
  </si>
  <si>
    <t>[56.5, 49.1, 34.2]</t>
  </si>
  <si>
    <t>[-22.3, 45.9, nan]</t>
  </si>
  <si>
    <t>[-23.3, 32.6, nan]</t>
  </si>
  <si>
    <t>[1.8, -48.6, 66.6]</t>
  </si>
  <si>
    <t>[140.2, 24.1, 1.6]</t>
  </si>
  <si>
    <t>[-21.0, 8.6, -133.2]</t>
  </si>
  <si>
    <t>[-16.2, 20.0, -9.5]</t>
  </si>
  <si>
    <t>[-30.2, 8.1, -84.2]</t>
  </si>
  <si>
    <t>[80.5, -35.3, -63.2]</t>
  </si>
  <si>
    <t>[0.3, -1.6, -51.6]</t>
  </si>
  <si>
    <t>[-13.1, -31.8, nan]</t>
  </si>
  <si>
    <t>[268.6, -35.2, nan]</t>
  </si>
  <si>
    <t>[25.6, 59.2, -7.7]</t>
  </si>
  <si>
    <t>[32.8, -29.9, nan]</t>
  </si>
  <si>
    <t>[-42.8, 64.0, 151.0]</t>
  </si>
  <si>
    <t>[-3.4, 61.8, -43.9]</t>
  </si>
  <si>
    <t>[14.9, 2.3, nan]</t>
  </si>
  <si>
    <t>[44.5, 183.8, nan]</t>
  </si>
  <si>
    <t>[25.5, -73.1, 83.3]</t>
  </si>
  <si>
    <t>[386.9, -32.2, nan]</t>
  </si>
  <si>
    <t>[20.6, 146.8, -186.4]</t>
  </si>
  <si>
    <t>[-28.7, 84.3, 87.1]</t>
  </si>
  <si>
    <t>[95.2, 36.6, nan]</t>
  </si>
  <si>
    <t>[112.2, -82.8, 373.0]</t>
  </si>
  <si>
    <t>[29.0, -15.5, 45.4]</t>
  </si>
  <si>
    <t>[-9.0, -13.7, -29.3]</t>
  </si>
  <si>
    <t>[-12.0, -11.5, nan]</t>
  </si>
  <si>
    <t>[35.1, -34.4, -72.7]</t>
  </si>
  <si>
    <t>[3991.7, 28.5, 7.1]</t>
  </si>
  <si>
    <t>[-3.5, -6.9, -188.9]</t>
  </si>
  <si>
    <t>[-43.6, -37.7, nan]</t>
  </si>
  <si>
    <t>[20.1, -58.7, 20.9]</t>
  </si>
  <si>
    <t>[9.0, -62.5, 22.1]</t>
  </si>
  <si>
    <t>[129.2, -203.2, nan]</t>
  </si>
  <si>
    <t>[10.4, 15.8, 18.7]</t>
  </si>
  <si>
    <t>[24.7, 58.7, 55.6]</t>
  </si>
  <si>
    <t>[-45.6, 82.8, nan]</t>
  </si>
  <si>
    <t>[46.0, -87.0, 136.2]</t>
  </si>
  <si>
    <t>[376.1, 262.6, -44.8]</t>
  </si>
  <si>
    <t>[21.4, 71.0, 32.3]</t>
  </si>
  <si>
    <t>[-81.7, 9415.0, -86.8]</t>
  </si>
  <si>
    <t>[-3.7, -26.9, 15.6]</t>
  </si>
  <si>
    <t>[-17.4, 123.7, nan]</t>
  </si>
  <si>
    <t>[-297.8, 111.1, nan]</t>
  </si>
  <si>
    <t>[-1909.3, -138.5, -243.7]</t>
  </si>
  <si>
    <t>[-890.5, -524.1, nan]</t>
  </si>
  <si>
    <t>[25.7, 42.2, -76.4]</t>
  </si>
  <si>
    <t>[453.1, 212.0, -14.1]</t>
  </si>
  <si>
    <t>[116.4, 1.5, -36.4]</t>
  </si>
  <si>
    <t>[4.0, -41.1, nan]</t>
  </si>
  <si>
    <t>[59.9, 8.9, -1.7]</t>
  </si>
  <si>
    <t>[119.9, 81.7, nan]</t>
  </si>
  <si>
    <t>[-32.7, 13.4, -52.1]</t>
  </si>
  <si>
    <t>[137.8, 131.0, -29.8]</t>
  </si>
  <si>
    <t>[41.7, 7.3, -46.6]</t>
  </si>
  <si>
    <t>[738.0, 200.0, -11.3]</t>
  </si>
  <si>
    <t>[-19.8, -16.4, -18.0]</t>
  </si>
  <si>
    <t>[-73.0, -75.3, nan]</t>
  </si>
  <si>
    <t>[339.5, 28.5, -9.0]</t>
  </si>
  <si>
    <t>[-60.2, -19.5, nan]</t>
  </si>
  <si>
    <t>[-0.3, 24.0, 63.7]</t>
  </si>
  <si>
    <t>[-65.5, 24.3, -164.3]</t>
  </si>
  <si>
    <t>[-13.7, 53.6, nan]</t>
  </si>
  <si>
    <t>[5.8, 16.6, -5.2]</t>
  </si>
  <si>
    <t>[23.9, -57.1, -27.4]</t>
  </si>
  <si>
    <t>[-19.7, -111.0, nan]</t>
  </si>
  <si>
    <t>[-444.1, -92.7, -1140.6]</t>
  </si>
  <si>
    <t>[0.9, -92.1, 597.7]</t>
  </si>
  <si>
    <t>[-77.2, 306.5, -125.4]</t>
  </si>
  <si>
    <t>[-112.5, -448.4, 32.6]</t>
  </si>
  <si>
    <t>[-159.2, -68.3, nan]</t>
  </si>
  <si>
    <t>[-12.3, -45.8, nan]</t>
  </si>
  <si>
    <t>[124.6, 27.7, nan]</t>
  </si>
  <si>
    <t>[-13.1, 42.7, nan]</t>
  </si>
  <si>
    <t>[63.4, 22.4, -26.4]</t>
  </si>
  <si>
    <t>[128.1, 85.8, -22.0]</t>
  </si>
  <si>
    <t>[-8.6, -32.7, -29.5]</t>
  </si>
  <si>
    <t>[140.5, 14.2, 265.9]</t>
  </si>
  <si>
    <t>[-24.3, 20.0, -34.2]</t>
  </si>
  <si>
    <t>[1.8, 3.8, -14.6]</t>
  </si>
  <si>
    <t>[-37.1, 85.7, -13.8]</t>
  </si>
  <si>
    <t>[-9121.4, 41.9, nan]</t>
  </si>
  <si>
    <t>[-574.8, 68.1, 95.2]</t>
  </si>
  <si>
    <t>[15.2, -39.2, 22.5]</t>
  </si>
  <si>
    <t>[116.8, -51.3, -86.3]</t>
  </si>
  <si>
    <t>[-74.3, -20.6, 131.2]</t>
  </si>
  <si>
    <t>[52.6, 114.6, 13.3]</t>
  </si>
  <si>
    <t>[105.0, -33.2, 17.9]</t>
  </si>
  <si>
    <t>[-194.8, 107.3, nan]</t>
  </si>
  <si>
    <t>[33.0, 18.3, -10.8]</t>
  </si>
  <si>
    <t>[51.2, -30.4, nan]</t>
  </si>
  <si>
    <t>[19.7, -15.9, nan]</t>
  </si>
  <si>
    <t>[-39.7, 11.1, -92.4, 3956.3, 0]</t>
  </si>
  <si>
    <t>[108.0, 37.7, -14.3, 32.0, -14.3]</t>
  </si>
  <si>
    <t>[378.3, -3.1, -27.6, 65.8, -59.8]</t>
  </si>
  <si>
    <t>[1235.4, -7.6, 50.3, -69.9, 0]</t>
  </si>
  <si>
    <t>[127.7, 119.1, 8.5, -25.7, 19.0]</t>
  </si>
  <si>
    <t>[]</t>
  </si>
  <si>
    <t>[11.8, -2.5, -11.1, -6.8, -20.8]</t>
  </si>
  <si>
    <t>[-46.5, 1.2, 22.9, -20.5, -31.0]</t>
  </si>
  <si>
    <t>[250.2, 28.0, -12.2, -72.6, 137.1]</t>
  </si>
  <si>
    <t>[34.4, -2.7, 30.2, -18.2, 10.2]</t>
  </si>
  <si>
    <t>[164.2, -14.0, 3.9, -16.1, -77.2]</t>
  </si>
  <si>
    <t>[-75.6, 137.7, -3.9, 767.9, 94.1]</t>
  </si>
  <si>
    <t>[15.3, 15.6, 10.3, 6.2, 9.5]</t>
  </si>
  <si>
    <t>[6.6, 10.2, 8.6, 11.2, 19.4]</t>
  </si>
  <si>
    <t>[32.9, -18.2, -16.6, 352.9, -48.0]</t>
  </si>
  <si>
    <t>[47.5, 14.0, 93.0, 81.6, 0]</t>
  </si>
  <si>
    <t>[9.5, 33.6, -30.7, -4.2, 0]</t>
  </si>
  <si>
    <t>[51.0, -19.6, 23.4, -45.8, -14.2]</t>
  </si>
  <si>
    <t>[11.6, 68.3, -12.2, 79.9, 61.8]</t>
  </si>
  <si>
    <t>[-37.0, -18.2, -27.1, -7.6, -40.4]</t>
  </si>
  <si>
    <t>[nan, -99.0, 15.6, -63.4, -29.5]</t>
  </si>
  <si>
    <t>[-0.3, 24.2, 4.0, 14.9, 21.4]</t>
  </si>
  <si>
    <t>[155.6, 525.4, -89.1, -80.6, 0]</t>
  </si>
  <si>
    <t>[-20.2, 6.6, 8.0, 9.4, 4.6]</t>
  </si>
  <si>
    <t>[-47.8, 88.3, 2.4, -84.5, 24.2]</t>
  </si>
  <si>
    <t>[2.0, 2.1, 2.2, 2.0, 1.9]</t>
  </si>
  <si>
    <t>[4.4, -25.5, 28.8, 16.8, -23.1]</t>
  </si>
  <si>
    <t>[11.8, 69.9, 494.3, -75.2, 14.7]</t>
  </si>
  <si>
    <t>[14.3, 12.3, 11.7, 10.9, 15.0]</t>
  </si>
  <si>
    <t>[8.7, 473.5, -72.4, -14.8, 38.0]</t>
  </si>
  <si>
    <t>[nan, nan, -0.9, 38.4, 12.5]</t>
  </si>
  <si>
    <t>[-33.7, -19.2, 2.3, 10.2, 5.4]</t>
  </si>
  <si>
    <t>[-90.1, 59514.4, 109.8, -52.0, 412.5]</t>
  </si>
  <si>
    <t>[0, -78.8, 59.1, 242.8, 0]</t>
  </si>
  <si>
    <t>[-22.7, -4.9, 106.2, -25.4, 11.3]</t>
  </si>
  <si>
    <t>[-99.9, -53.6, -5.4, -8.5, -22.9]</t>
  </si>
  <si>
    <t>[0, 981.0, 37.4, -91.1, -30.3]</t>
  </si>
  <si>
    <t>[6.1, 4.5, -0.5, -0.7, 0.0]</t>
  </si>
  <si>
    <t>[0, -23.5, 100.9, -33.5, 19.0]</t>
  </si>
  <si>
    <t>[15.8, -3.8, -22.7, 219.8, -68.9]</t>
  </si>
  <si>
    <t>[-33.0, 146.6, 45.2, -11.8, 12.0]</t>
  </si>
  <si>
    <t>[25.6, 153.2, 112.2, -55.7, 6.7]</t>
  </si>
  <si>
    <t>[-86.5, 172.6, -26.6, 475.5, -11.1]</t>
  </si>
  <si>
    <t>[-48.1, 54.0, 18.7, -5.0, -31.8]</t>
  </si>
  <si>
    <t>[5.6, -13.7, 92.3, -30.3, 19.9]</t>
  </si>
  <si>
    <t>[-0.7, 21.0, -16.7, -1.5, -16.8]</t>
  </si>
  <si>
    <t>[-28.7, -1.6, -4.8, 233.0, -71.9]</t>
  </si>
  <si>
    <t>[73.4, -9.8, 101.2, -80.4, 139.1]</t>
  </si>
  <si>
    <t>[-40.6, 65.1, -8.3, 45.0, -55.3]</t>
  </si>
  <si>
    <t>[7.4, -49.6, 32.8, 119.0, 0]</t>
  </si>
  <si>
    <t>[6.3, -30.9, 8.1, 18.0, -1.0]</t>
  </si>
  <si>
    <t>[26.0, -27.3, -11.0, 5109.9, -95.9]</t>
  </si>
  <si>
    <t>[19.8, -46.8, 69.3, -0.4, 0]</t>
  </si>
  <si>
    <t>[-81.7, 652.2, -5.8, 330.5, -95.3]</t>
  </si>
  <si>
    <t>[1119.3, 16.1, 99.6, -55.0, -32.1]</t>
  </si>
  <si>
    <t>[-75.2, 723.9, 43.2, -11.4, -71.4]</t>
  </si>
  <si>
    <t>[0, 0, 0, 0, -13.7]</t>
  </si>
  <si>
    <t>[-26.6, 46.4, -30.1, -34.2, -33.6]</t>
  </si>
  <si>
    <t>[-51.8, 122.4, -46.9, 916.8, 0]</t>
  </si>
  <si>
    <t>[0, -76.9, 725.4, -51.3, -5.3]</t>
  </si>
  <si>
    <t>[32.3, 19.7, -50.5, 3.3, 98.5]</t>
  </si>
  <si>
    <t>[13.1, -52.3, -42.3, 659.6, -35.1]</t>
  </si>
  <si>
    <t>[114.2, 44.5, 36.4, -5.2, -54.9]</t>
  </si>
  <si>
    <t>[0, 520.2, -14.4, 24.2, -93.7]</t>
  </si>
  <si>
    <t>[100.4, 19.8, -45.6, -76.6, 131.1]</t>
  </si>
  <si>
    <t>[0, 0, -92.3, 967.6, -11.6]</t>
  </si>
  <si>
    <t>[126.2, 8.0, 11.9, 45.6, 188.0]</t>
  </si>
  <si>
    <t>[19876.6, 68.5, -7.5, -15.7, -41.8]</t>
  </si>
  <si>
    <t>[-37.3, 896.5, -22.5, -71.6, -98.4]</t>
  </si>
  <si>
    <t>[4.0, -32.8, 101.4, -13.8, -42.3]</t>
  </si>
  <si>
    <t>[11.4, 33.6, -2.6, -35.9, -76.7]</t>
  </si>
  <si>
    <t>[-8.9, 1.3, 1.9, -27.8, -58.5]</t>
  </si>
  <si>
    <t>[-66.9, 149.4, -49.3, 490.6, -97.5]</t>
  </si>
  <si>
    <t>[20.6, 1924.0, -99.2, -51.2, -5.5]</t>
  </si>
  <si>
    <t>[-75.7, 58.3, -7.7, 106.4, 79.2]</t>
  </si>
  <si>
    <t>[0, 0, 0, 0, 0]</t>
  </si>
  <si>
    <t>[0, 0, 0, -22.5, -26.9]</t>
  </si>
  <si>
    <t>[571.5, -20.7, -17.2, 38.9, 0]</t>
  </si>
  <si>
    <t>[37.9, 1.4, 118.3, -33.7, 0]</t>
  </si>
  <si>
    <t>[28.2, 40.6, 14.8, -1.2, -9.4]</t>
  </si>
  <si>
    <t>[134.6, 12.7, -2.4, -2.1, 6.7]</t>
  </si>
  <si>
    <t>[0, 0, 810.0, 56.4, -73.7]</t>
  </si>
  <si>
    <t>[-0.6, -12.6, 14.5, 45.9, -7.7]</t>
  </si>
  <si>
    <t>[141.3, -53.0, 48.8, -29.5, -17.5]</t>
  </si>
  <si>
    <t>[8.7, 2.7, 21.2, -30.5, 43.1]</t>
  </si>
  <si>
    <t>[-54.2, 4.0, 151.8, 65.1, -57.9]</t>
  </si>
  <si>
    <t>[-45.5, 0, 0, 90.7, 0]</t>
  </si>
  <si>
    <t>[92.5, 13.3, -4.8, 9.9, -3.9]</t>
  </si>
  <si>
    <t>[-17.6, -25.0, 64.5, 57.9, -33.0]</t>
  </si>
  <si>
    <t>[-17.6, -7.0, 7.6, -6.6, -68.4]</t>
  </si>
  <si>
    <t>[-19.2, 9.8, -11.7, 28.0, 7.4]</t>
  </si>
  <si>
    <t>[175.9, -48.7, -4.8, 87.8, -87.5]</t>
  </si>
  <si>
    <t>[28.8, -21.9, 30.9, -0.1, 0]</t>
  </si>
  <si>
    <t>[0, -92.4, 78.7, 688.6, -78.2]</t>
  </si>
  <si>
    <t>[37.8, -2.3, -3.7, -15.5, 0]</t>
  </si>
  <si>
    <t>[0, 135.1, 65.3, -2.7, -35.0]</t>
  </si>
  <si>
    <t>[21.2, -34.1, 120.7, -61.2, 46.9]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</si>
  <si>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</si>
  <si>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</si>
  <si>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</si>
  <si>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</si>
  <si>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</si>
  <si>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</si>
  <si>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[65.4, -33.1, 42.4, 10.9, 61.6]</t>
  </si>
  <si>
    <t>[10.9, -18.4, 23.0, 65.2, 53.0]</t>
  </si>
  <si>
    <t>[17.6, -9.6, -9.6, 208.0, 125.2]</t>
  </si>
  <si>
    <t>[-7.2, -16.1, 17.5, 6.3, -5.9]</t>
  </si>
  <si>
    <t>[0, 0, 15.4, -30.2, -8.6]</t>
  </si>
  <si>
    <t>[32.4, 1.7, 17.7, 4.2, 17.8]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</si>
  <si>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</si>
  <si>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</si>
  <si>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</si>
  <si>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</si>
  <si>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</si>
  <si>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</si>
  <si>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[-0.7, 6.3, -23.5, 9.0, -12.9]</t>
  </si>
  <si>
    <t>[6.3, 214.1, 70.5, -19.8, 34.8]</t>
  </si>
  <si>
    <t>[0, 0, 0, -27.0, 0]</t>
  </si>
  <si>
    <t>[95.4, 263.7, -68.3, 38.0, 13.6]</t>
  </si>
  <si>
    <t>[-24.9, -67.6, -25.6, 2708.3, -75.4]</t>
  </si>
  <si>
    <t>[62.0, -71.9, 127.9, 11.1, 0]</t>
  </si>
  <si>
    <t>[13.1, 15.0, 11.0, 6.8, 10.6]</t>
  </si>
  <si>
    <t>[2.9, 3.0, 3.1, 2.9, 2.7]</t>
  </si>
  <si>
    <t>[28.3, 84.9, 31.8, 2.9, 12.4]</t>
  </si>
  <si>
    <t>[19.9, 45.3, 11.5, -37.5, -21.7]</t>
  </si>
  <si>
    <t>[63.7, 22.4, -8.4, -39.8, 0]</t>
  </si>
  <si>
    <t>[0, 0, 0, -24.5, -31.2]</t>
  </si>
  <si>
    <t>[3.3, 3.3, 3.5, 3.5, 3.4]</t>
  </si>
  <si>
    <t>[2.4, 2.7, 2.6, 2.5, 2.5]</t>
  </si>
  <si>
    <t>[-42.8, 94.1, -19.0, 11.5, 34.9]</t>
  </si>
  <si>
    <t>[10.4, 55.1, 20.3, -71.6, 22.5]</t>
  </si>
  <si>
    <t>[15.5, 0.1, -25.2, 14.2, -5.7]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</si>
  <si>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</si>
  <si>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</si>
  <si>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</si>
  <si>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</si>
  <si>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</si>
  <si>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</si>
  <si>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</si>
  <si>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[-6.7, -8.3, -22.6, 31.2, -50.5]</t>
  </si>
  <si>
    <t>[0, 501.4, -71.1, 253.3, -65.2]</t>
  </si>
  <si>
    <t>[-7.5, -45.4, 131.9, 17.8, 1311.5]</t>
  </si>
  <si>
    <t>[-44.7, -8.6, -6.8, -14.2, -58.7]</t>
  </si>
  <si>
    <t>[-15.3, 6.9, -11.4, -10.0, 9.2]</t>
  </si>
  <si>
    <t>[266.2, -24.9, -41.8, 226.4, -6.4]</t>
  </si>
  <si>
    <t>[0, 74.6, 179.8, -29.6, -17.0]</t>
  </si>
  <si>
    <t>[-43.5, -19.8, 31.1, 120.3, 0]</t>
  </si>
  <si>
    <t>[-62.6, 289.5, 195.0, -63.6, 953.9]</t>
  </si>
  <si>
    <t>[136.7, -23.2, 48.4, -59.3, -58.1]</t>
  </si>
  <si>
    <t>[0, -30.9, 843.1, 124.8, 0]</t>
  </si>
  <si>
    <t>[2.5, 2.6, 2.7, 2.7, 2.5]</t>
  </si>
  <si>
    <t>[0, -75.8, 1466.7, -21.9, -29.4]</t>
  </si>
  <si>
    <t>[-7.7, 30.8, 22.8, 115.3, 0]</t>
  </si>
  <si>
    <t>[89.7, 21.1, -18.5, -42.5, -2.5]</t>
  </si>
  <si>
    <t>[-33.4, -20.6, 51.9, 12.3, -99.8]</t>
  </si>
  <si>
    <t>[-15.3, -1.2, 4.0, 47.1, -1.7]</t>
  </si>
  <si>
    <t>[-18.3, 3.5, 20.5, 40.2, -7.8]</t>
  </si>
  <si>
    <t>[0, 18.5, -4.1, -34.5, 45.2]</t>
  </si>
  <si>
    <t>[45.5, 787.4, -97.4, -14.1, 50.8]</t>
  </si>
  <si>
    <t>[43.0, -42.5, 61.4, -12.2, -94.4]</t>
  </si>
  <si>
    <t>[0, 226.7, 56.0, 24.0, -38.8]</t>
  </si>
  <si>
    <t>[0, 0, 0, 0, -98.0]</t>
  </si>
  <si>
    <t>[-0.9, 48.5, 29.4, -40.8, -22.1]</t>
  </si>
  <si>
    <t>[45.2, -18.1, 7.6, -8.7, -14.5]</t>
  </si>
  <si>
    <t>[-5.6, -16.4, -10.1, 5.7, 22.8]</t>
  </si>
  <si>
    <t>[147.0, 69.0, 73.2, 590.7, -90.7]</t>
  </si>
  <si>
    <t>[4.6, 4.9, 3.9, 4.5, 4.8]</t>
  </si>
  <si>
    <t>[85.0, 22.2, -29.6, -54.7, -87.8]</t>
  </si>
  <si>
    <t>[15.2, 22.5, 11.6, 12.8, 16.5]</t>
  </si>
  <si>
    <t>[0, 0, 0, 0, 836.0]</t>
  </si>
  <si>
    <t>[0, 0, 140.9, -21.7, 2.1]</t>
  </si>
  <si>
    <t>[92.4, 33.7, -3.2, 3.7, -13.8]</t>
  </si>
  <si>
    <t>[10.0, -31.8, 142.7, 18.0, -27.4]</t>
  </si>
  <si>
    <t>[-51.3, 204.3, -70.2, 172.3, -33.3]</t>
  </si>
  <si>
    <t>[0, 167.6, 252.3, -28.2, -46.5]</t>
  </si>
  <si>
    <t>[623.7, 39.8, -39.8, -29.5, -87.9]</t>
  </si>
  <si>
    <t>[-44.1, 319.6, -65.5, 534.6, -73.1]</t>
  </si>
  <si>
    <t>[-10.3, 111.4, -66.8, 66.1, 80.6]</t>
  </si>
  <si>
    <t>[0, -32.1, 28.5, -2.6, -3.2]</t>
  </si>
  <si>
    <t>[117.1, 9.1, 1.5, 74.7, 4.1]</t>
  </si>
  <si>
    <t>[470.8, 218.0, -16.5, -25.2, -7.8]</t>
  </si>
  <si>
    <t>[nan, nan, -74.3, 237.6, 2.8]</t>
  </si>
  <si>
    <t>[29.1, 16.4, 1.3, 24.1, -13.2]</t>
  </si>
  <si>
    <t>[14.1, 13.8, 13.0, 15.1, 13.2]</t>
  </si>
  <si>
    <t>[nan, -18.3, 25.3, 126.6, -50.8]</t>
  </si>
  <si>
    <t>[3.4, 5.5, 5.0, -5.5, 72.8]</t>
  </si>
  <si>
    <t>[32.0, 48.9, 124.3, 131.5, 0]</t>
  </si>
  <si>
    <t>[20.2, 94.9, -1.7, 36.2, -83.2]</t>
  </si>
  <si>
    <t>[49.0, 44.4, -17.1, 16.9, -25.5]</t>
  </si>
  <si>
    <t>[40.8, 0, 0, -23.1, -1.2]</t>
  </si>
  <si>
    <t>[0, 821.1, 400.4, -3.7, 0]</t>
  </si>
  <si>
    <t>[87.1, 3.9, 47.5, -56.3, -16.6]</t>
  </si>
  <si>
    <t>[91.9, 11.6, 591.0, -51.7, nan]</t>
  </si>
  <si>
    <t>[0, 70.8, -21.2, 53.4, -71.0]</t>
  </si>
  <si>
    <t>[nan, 23.0, 230.5, 44.2, -92.5]</t>
  </si>
  <si>
    <t>[46.2, 0, 0, -24.5, 187.4]</t>
  </si>
  <si>
    <t>[-47.4, 0, 0, -41.0, 0]</t>
  </si>
  <si>
    <t>[87.0, -13.8, -0.1, 47.4, 22.6]</t>
  </si>
  <si>
    <t>[203.8, -30.5, -11.6, 182.1, -53.1]</t>
  </si>
  <si>
    <t>[106.4, -18.0, -44.3, 190.2, -53.6]</t>
  </si>
  <si>
    <t>[nan, 0, 76.4, -42.1, -27.4]</t>
  </si>
  <si>
    <t>[nan, 347.6, 20.0, -24.9, 196.1]</t>
  </si>
  <si>
    <t>[nan, 99.9, 56.5, 49.1, 48.1]</t>
  </si>
  <si>
    <t>[11.6, 12.0, -22.3, 45.9, 1.6]</t>
  </si>
  <si>
    <t>[110.8, 15.4, -23.3, 32.5, 54.4]</t>
  </si>
  <si>
    <t>[-64.9, 446.1, 1.7, -48.6, 54.4]</t>
  </si>
  <si>
    <t>[12.7, -28.8, 140.2, 24.1, -4.4]</t>
  </si>
  <si>
    <t>[-31.1, 22.2, -20.9, 8.5, -1.4]</t>
  </si>
  <si>
    <t>[16.3, 6.2, -16.2, 20.0, -14.7]</t>
  </si>
  <si>
    <t>[21.9, 11.7, -30.2, 8.1, -80.2]</t>
  </si>
  <si>
    <t>[0, 0, 80.5, -35.3, -45.5]</t>
  </si>
  <si>
    <t>[26.7, -10.9, 0.3, -1.6, -31.7]</t>
  </si>
  <si>
    <t>[0, 0, -13.2, -31.8, 21.3]</t>
  </si>
  <si>
    <t>[0, -29.4, 269.4, -35.2, -4.8]</t>
  </si>
  <si>
    <t>[-2.5, 0, 32.7, -29.9, -3.3]</t>
  </si>
  <si>
    <t>[70.8, 53.9, -42.8, 64.0, 32.0]</t>
  </si>
  <si>
    <t>[nan, -27.9, -3.4, 61.8, -16.9]</t>
  </si>
  <si>
    <t>[73.8, 124.7, 14.8, 2.3, 22.4]</t>
  </si>
  <si>
    <t>[-74.7, 24.0, 44.9, 182.9, 15.8]</t>
  </si>
  <si>
    <t>[85.2, -8.4, 25.5, -73.1, 126.3]</t>
  </si>
  <si>
    <t>[nan, nan, 386.8, -32.2, 15.8]</t>
  </si>
  <si>
    <t>[0, 0, 20.6, 146.7, 0]</t>
  </si>
  <si>
    <t>[15.3, 17.4, 10.8, 17.0, 27.1]</t>
  </si>
  <si>
    <t>[45.7, 34.1, 112.2, -82.8, 1077.9]</t>
  </si>
  <si>
    <t>[nan, 128.7, 29.0, -15.5, 16.8]</t>
  </si>
  <si>
    <t>[11.3, -6.2, -9.0, -13.7, -21.1]</t>
  </si>
  <si>
    <t>[0, -0.3, -12.0, -11.5, -11.0]</t>
  </si>
  <si>
    <t>[20.9, 76.7, 35.1, -34.4, -70.1]</t>
  </si>
  <si>
    <t>[-14.5, 0, 4041.8, 28.5, -3.2]</t>
  </si>
  <si>
    <t>[24.7, -29.6, -3.5, -6.9, 0]</t>
  </si>
  <si>
    <t>[0, 113.1, -43.6, -37.7, -71.7]</t>
  </si>
  <si>
    <t>[35.7, -21.3, 20.1, -58.7, -18.4]</t>
  </si>
  <si>
    <t>[-46.5, 304.9, 9.0, -62.5, -0.3]</t>
  </si>
  <si>
    <t>[109.2, 0, 0, 0, 502.3]</t>
  </si>
  <si>
    <t>[-11.5, 2.1, 10.4, 15.8, 10.3]</t>
  </si>
  <si>
    <t>[14.6, -31.2, 24.7, 58.7, 19.0]</t>
  </si>
  <si>
    <t>[19.5, 3.5, -45.6, 82.9, 14.7]</t>
  </si>
  <si>
    <t>[-31.7, 260.3, 46.0, -87.0, 40.2]</t>
  </si>
  <si>
    <t>[0, 0, 371.3, 263.2, -43.8]</t>
  </si>
  <si>
    <t>[0, 56.6, 21.4, 71.0, 36.5]</t>
  </si>
  <si>
    <t>[0, 0, -81.4, 9247.3, 2490.9]</t>
  </si>
  <si>
    <t>[17.5, 99.4, -3.7, -26.9, 873.0]</t>
  </si>
  <si>
    <t>[19.7, 79.5, -17.4, 123.6, 0]</t>
  </si>
  <si>
    <t>[0, 0, 0, 111.0, 54.3]</t>
  </si>
  <si>
    <t>[0, -47.4, 0, 0, 0]</t>
  </si>
  <si>
    <t>[-11.9, 0, 25.7, 42.2, -46.9]</t>
  </si>
  <si>
    <t>[111.1, -85.1, 455.2, 211.9, 87.1]</t>
  </si>
  <si>
    <t>[-26.9, 1.0, 116.5, 1.5, -43.2]</t>
  </si>
  <si>
    <t>[323.0, 28.9, 4.0, -41.0, 0]</t>
  </si>
  <si>
    <t>[nan, nan, 59.9, 8.9, -14.5]</t>
  </si>
  <si>
    <t>[-11.9, -33.0, 119.9, 81.7, -4.4]</t>
  </si>
  <si>
    <t>[61.0, 50.6, -32.7, 13.4, -39.9]</t>
  </si>
  <si>
    <t>[0, -36.2, 138.3, 131.0, -30.2]</t>
  </si>
  <si>
    <t>[23.2, -4.4, 41.7, 7.3, -62.0]</t>
  </si>
  <si>
    <t>[nan, 0, 736.0, 200.1, -14.7]</t>
  </si>
  <si>
    <t>[153.7, 151.7, -19.8, -16.4, -9.0]</t>
  </si>
  <si>
    <t>[0, 24.7, -73.0, -75.3, 0]</t>
  </si>
  <si>
    <t>[nan, nan, 339.8, 28.5, 13.6]</t>
  </si>
  <si>
    <t>[nan, 2909.2, -60.1, -19.5, 0]</t>
  </si>
  <si>
    <t>[6.1, 21.3, -0.3, 24.0, -8.1]</t>
  </si>
  <si>
    <t>[16.3, 219.3, -65.5, 24.3, -65.0]</t>
  </si>
  <si>
    <t>[-18.6, 13.2, -13.7, 53.6, 0]</t>
  </si>
  <si>
    <t>[69.7, -27.2, 5.8, 16.6, 3.2]</t>
  </si>
  <si>
    <t>[243.5, 16.1, 23.8, -57.2, -6.9]</t>
  </si>
  <si>
    <t>[0, 0, -19.7, 0, 0]</t>
  </si>
  <si>
    <t>[0, 0, 0, -92.3, 0]</t>
  </si>
  <si>
    <t>[46.9, 7.8, 0.9, -92.2, 5632.2]</t>
  </si>
  <si>
    <t>[nan, 148.8, -77.2, 306.5, -94.0]</t>
  </si>
  <si>
    <t>[0, 453.9, 0, 0, 52.1]</t>
  </si>
  <si>
    <t>[-49.9, 0, 0, -68.4, 0]</t>
  </si>
  <si>
    <t>[9.6, 696.3, -12.3, -45.8, -15.6]</t>
  </si>
  <si>
    <t>[23.3, -40.9, 124.7, 27.8, 8.8]</t>
  </si>
  <si>
    <t>[61.5, 5.7, -13.2, 42.8, -15.9]</t>
  </si>
  <si>
    <t>[61.5, 40.4, 63.5, 22.5, -8.3]</t>
  </si>
  <si>
    <t>[0, -81.9, 128.0, 85.9, -39.0]</t>
  </si>
  <si>
    <t>[17.7, 165.3, -8.7, -32.7, -32.1]</t>
  </si>
  <si>
    <t>[53.3, -0.4, -24.3, 20.0, -10.2]</t>
  </si>
  <si>
    <t>[-1.9, 13.8, 1.8, 3.9, -34.6]</t>
  </si>
  <si>
    <t>[-23.2, 278.2, -37.1, 85.7, 8.8]</t>
  </si>
  <si>
    <t>[0, 0, 0, 41.8, -20.2]</t>
  </si>
  <si>
    <t>[nan, 0, 0, 68.1, 0]</t>
  </si>
  <si>
    <t>[nan, -16.7, 15.1, -39.2, 0]</t>
  </si>
  <si>
    <t>[-70.5, 177.8, 116.8, -51.3, 0]</t>
  </si>
  <si>
    <t>[0.0, 117.1, -74.3, -20.6, 49.9]</t>
  </si>
  <si>
    <t>[0, 0, 52.6, 114.6, -3.0]</t>
  </si>
  <si>
    <t>[-29.0, 30.1, 105.0, -33.2, 6.9]</t>
  </si>
  <si>
    <t>[0, 0, 0, 106.5, 0]</t>
  </si>
  <si>
    <t>[127.2, 49.3, 33.0, 18.4, -8.8]</t>
  </si>
  <si>
    <t>[51.6, 6.0, 51.3, -30.4, 8.5]</t>
  </si>
  <si>
    <t>[156.6, 92.1, 19.6, -15.8, 60.8]</t>
  </si>
  <si>
    <t>[2888.0, 2871.0, 3185.0, nan]</t>
  </si>
  <si>
    <t>[769.0, 849.0, 948.0, nan]</t>
  </si>
  <si>
    <t>[2174.0, 2313.0, 2558.0, nan]</t>
  </si>
  <si>
    <t>[1096.0, 1086.0, 1158.0, nan]</t>
  </si>
  <si>
    <t>[780.0, 894.0, 960.0, nan]</t>
  </si>
  <si>
    <t>[1024.0, 971.0, 1046.0, nan]</t>
  </si>
  <si>
    <t>[730.0, 786.0, 849.0, nan]</t>
  </si>
  <si>
    <t>[3425.0, 4721.0, 5281.0, nan]</t>
  </si>
  <si>
    <t>[536.0, 665.0, 699.0, nan]</t>
  </si>
  <si>
    <t>[10631.0, 10884.0, 11462.0, nan]</t>
  </si>
  <si>
    <t>[851.0, 947.0, 1025.0, nan]</t>
  </si>
  <si>
    <t>[1471.0, 1501.0, 2424.0, nan]</t>
  </si>
  <si>
    <t>[31037.0, 41314.0, 45104.0, nan]</t>
  </si>
  <si>
    <t>[3897.0, 4037.0, 5140.0, nan]</t>
  </si>
  <si>
    <t>[321.0, 331.0, 383.0, nan]</t>
  </si>
  <si>
    <t>[687.0, 727.0, 888.0, nan]</t>
  </si>
  <si>
    <t>[370.0, 595.0, 707.0, nan]</t>
  </si>
  <si>
    <t>[2601.0, 2838.0, 2970.0, nan]</t>
  </si>
  <si>
    <t>[1615.0, 1717.0, 1938.0, nan]</t>
  </si>
  <si>
    <t>[1125.0, 1706.0, 2163.0, nan]</t>
  </si>
  <si>
    <t>[449.0, 840.0, 1001.0, nan]</t>
  </si>
  <si>
    <t>[993.0, 1086.0, 1234.0, nan]</t>
  </si>
  <si>
    <t>[1291.0, 1298.0, 1300.0, nan]</t>
  </si>
  <si>
    <t>[8753.0, 9485.0, 11549.0, nan]</t>
  </si>
  <si>
    <t>[1598.0, 1801.0, 1831.0, nan]</t>
  </si>
  <si>
    <t>[238737.0, 264292.0, 281245.0, nan]</t>
  </si>
  <si>
    <t>[1193.0, 1284.0, 1405.0, nan]</t>
  </si>
  <si>
    <t>[2127.0, 3667.0, 4498.0, nan]</t>
  </si>
  <si>
    <t>[478.0, 492.0, 696.0, nan]</t>
  </si>
  <si>
    <t>[3578.0, 6095.0, 6737.0, nan]</t>
  </si>
  <si>
    <t>[1208.0, 1282.0, 1420.0, nan]</t>
  </si>
  <si>
    <t>[671.0, 723.0, 773.0, nan]</t>
  </si>
  <si>
    <t>[9569.0, 10144.0, 11552.0, nan]</t>
  </si>
  <si>
    <t>[378.0, 401.0, 630.0, nan]</t>
  </si>
  <si>
    <t>[3844.0, 4206.0, 4439.0, nan]</t>
  </si>
  <si>
    <t>[1091.0, 1321.0, 1583.0, nan]</t>
  </si>
  <si>
    <t>[438.0, 550.0, 553.0, nan]</t>
  </si>
  <si>
    <t>[38561.0, 43166.0, 50037.0, nan]</t>
  </si>
  <si>
    <t>[5120.0, 5931.0, 6620.0, nan]</t>
  </si>
  <si>
    <t>[2938.0, 3814.0, 4485.0, nan]</t>
  </si>
  <si>
    <t>[7155.0, 8210.0, 8777.0, nan]</t>
  </si>
  <si>
    <t>[993.0, 983.0, 1181.0, nan]</t>
  </si>
  <si>
    <t>[359.0, 385.0, 411.0, nan]</t>
  </si>
  <si>
    <t>[3460.0, 4393.0, 5057.0, nan]</t>
  </si>
  <si>
    <t>[1092.0, 1059.0, 1244.0, nan]</t>
  </si>
  <si>
    <t>[9051.0, 9841.0, 10634.0, nan]</t>
  </si>
  <si>
    <t>[1827.0, 2204.0, 2394.0, nan]</t>
  </si>
  <si>
    <t>[1797.0, 2039.0, 2301.0, nan]</t>
  </si>
  <si>
    <t>[943.0, 996.0, 1186.0, nan]</t>
  </si>
  <si>
    <t>[1085.0, 1293.0, 1327.0, nan]</t>
  </si>
  <si>
    <t>[704.0, 768.0, 844.0, nan]</t>
  </si>
  <si>
    <t>[2054.0, 2246.0, 2689.0, nan]</t>
  </si>
  <si>
    <t>[1925.0, 2141.0, 2383.0, nan]</t>
  </si>
  <si>
    <t>[668.0, 681.0, 1889.0, nan]</t>
  </si>
  <si>
    <t>[423.0, 464.0, 561.0, nan]</t>
  </si>
  <si>
    <t>[648.0, 805.0, 1055.0, nan]</t>
  </si>
  <si>
    <t>[1067.0, 1403.0, 1506.0, nan]</t>
  </si>
  <si>
    <t>[271.0, 630.0, 760.0, nan]</t>
  </si>
  <si>
    <t>[1071.0, 922.0, 1181.0, nan]</t>
  </si>
  <si>
    <t>[1379.0, 1457.0, 1465.0, nan]</t>
  </si>
  <si>
    <t>[472.0, 499.0, 827.0, nan]</t>
  </si>
  <si>
    <t>[2748.0, 3365.0, 3598.0, nan]</t>
  </si>
  <si>
    <t>[1647.0, 1876.0, 2017.0, nan]</t>
  </si>
  <si>
    <t>[633.0, 647.0, 766.0, nan]</t>
  </si>
  <si>
    <t>[2942.0, 4261.0, 5257.0, nan]</t>
  </si>
  <si>
    <t>[637.0, 757.0, 871.0, nan]</t>
  </si>
  <si>
    <t>[2864.0, 2984.0, 3021.0, nan]</t>
  </si>
  <si>
    <t>[955.0, 945.0, 1083.0, nan]</t>
  </si>
  <si>
    <t>[2541.0, 2804.0, 3782.0, nan]</t>
  </si>
  <si>
    <t>[422.0, 462.0, 503.0, nan]</t>
  </si>
  <si>
    <t>[1176.0, 1382.0, 1413.0, nan]</t>
  </si>
  <si>
    <t>[1245.0, 1390.0, 1540.0, nan]</t>
  </si>
  <si>
    <t>[2196.0, 2597.0, 3409.0, 3515.0]</t>
  </si>
  <si>
    <t>[2083.0, 2452.0, 2766.0, nan]</t>
  </si>
  <si>
    <t>[723.0, 755.0, 946.0, nan]</t>
  </si>
  <si>
    <t>[7082.0, 14991.0, 15026.0, nan]</t>
  </si>
  <si>
    <t>[4729.0, 4354.0, 6084.0, nan]</t>
  </si>
  <si>
    <t>[1064.0, 1030.0, 1656.0, nan]</t>
  </si>
  <si>
    <t>[846.0, 1129.0, 1345.0, nan]</t>
  </si>
  <si>
    <t>[2524.0, 2752.0, 3114.0, nan]</t>
  </si>
  <si>
    <t>[727.0, 783.0, 829.0, nan]</t>
  </si>
  <si>
    <t>[1159.0, 1404.0, 1668.0, nan]</t>
  </si>
  <si>
    <t>[573.0, 735.0, 796.0, nan]</t>
  </si>
  <si>
    <t>[1466.0, 1796.0, 2480.0, nan]</t>
  </si>
  <si>
    <t>[3925.0, 4316.0, 4685.0, 5050.0]</t>
  </si>
  <si>
    <t>[1485.0, 1554.0, 1648.0, nan]</t>
  </si>
  <si>
    <t>[5948.0, 7033.0, 7711.0, nan]</t>
  </si>
  <si>
    <t>[1015.0, 1098.0, 1242.0, nan]</t>
  </si>
  <si>
    <t>[211.0, 367.0, 419.0, nan]</t>
  </si>
  <si>
    <t>[708.0, 806.0, 903.0, nan]</t>
  </si>
  <si>
    <t>[1397.0, 1488.0, 1639.0, nan]</t>
  </si>
  <si>
    <t>[1766.0, 1819.0, 1943.0, nan]</t>
  </si>
  <si>
    <t>[3173.0, 3334.0, 3683.0, nan]</t>
  </si>
  <si>
    <t>[242.0, 307.0, 482.0, nan]</t>
  </si>
  <si>
    <t>[1219.0, 1304.0, 1429.0, nan]</t>
  </si>
  <si>
    <t>[182.0, 190.0, 266.0, nan]</t>
  </si>
  <si>
    <t>[847.0, 937.0, 1061.0, nan]</t>
  </si>
  <si>
    <t>[15937.0, 19169.0, 22226.0, nan]</t>
  </si>
  <si>
    <t>[2380.0, 3054.0, 3274.0, nan]</t>
  </si>
  <si>
    <t>[8158.0, 8814.0, 9609.0, nan]</t>
  </si>
  <si>
    <t>[4582.0, 4886.0, 5166.0, nan]</t>
  </si>
  <si>
    <t>[1484.0, 1599.0, 1682.0, nan]</t>
  </si>
  <si>
    <t>[13355.0, 14248.0, 15543.0, nan]</t>
  </si>
  <si>
    <t>[10570.0, 11999.0, 13362.0, nan]</t>
  </si>
  <si>
    <t>[5201.0, 9839.0, 10397.0, nan]</t>
  </si>
  <si>
    <t>[2531.0, 2941.0, 3279.0, nan]</t>
  </si>
  <si>
    <t>[8710.0, 9151.0, 10048.0, nan]</t>
  </si>
  <si>
    <t>[5088.0, 5227.0, 5830.0, nan]</t>
  </si>
  <si>
    <t>[2631.0, 3138.0, 3672.0, nan]</t>
  </si>
  <si>
    <t>[22426.0, 22819.0, 24587.0, nan]</t>
  </si>
  <si>
    <t>[946.0, 1089.0, 1219.0, nan]</t>
  </si>
  <si>
    <t>[6488.0, 7496.0, 8291.0, nan]</t>
  </si>
  <si>
    <t>[1730.0, 1856.0, 1992.0, nan]</t>
  </si>
  <si>
    <t>[3041.0, 3619.0, 4203.0, 4666.0]</t>
  </si>
  <si>
    <t>[1017.0, 1058.0, 1172.0, nan]</t>
  </si>
  <si>
    <t>[1562.0, 1748.0, 1939.0, nan]</t>
  </si>
  <si>
    <t>[1228.0, 1123.0, 1318.0, nan]</t>
  </si>
  <si>
    <t>[975.0, 1026.0, 1105.0, nan]</t>
  </si>
  <si>
    <t>[2312.0, 2476.0, 2654.0, nan]</t>
  </si>
  <si>
    <t>[3380.0, 3914.0, 4534.0, nan]</t>
  </si>
  <si>
    <t>[993.0, 2212.0, 2375.0, nan]</t>
  </si>
  <si>
    <t>[573.0, 624.0, 674.0, nan]</t>
  </si>
  <si>
    <t>[2433.0, 2472.0, 3411.0, nan]</t>
  </si>
  <si>
    <t>[787.0, 839.0, 880.0, nan]</t>
  </si>
  <si>
    <t>[46280.0, 50978.0, 59490.0, nan]</t>
  </si>
  <si>
    <t>[39052.0, 43369.0, 46170.0, nan]</t>
  </si>
  <si>
    <t>[50643.0, 53900.0, 59373.0, nan]</t>
  </si>
  <si>
    <t>[600.0, 752.0, 815.0, nan]</t>
  </si>
  <si>
    <t>[77302.0, 84904.0, 88778.0, nan]</t>
  </si>
  <si>
    <t>[31673.0, 35485.0, 39747.0, nan]</t>
  </si>
  <si>
    <t>[24295.0, 31317.0, 34699.0, nan]</t>
  </si>
  <si>
    <t>[340387.0, 357039.0, 385339.0, nan]</t>
  </si>
  <si>
    <t>[2274.0, 2494.0, 2788.0, 3100.0]</t>
  </si>
  <si>
    <t>[178421.0, 224708.0, 229568.0, nan]</t>
  </si>
  <si>
    <t>[78025.0, 81144.0, 86842.0, nan]</t>
  </si>
  <si>
    <t>[4844.0, 5196.0, 5717.0, nan]</t>
  </si>
  <si>
    <t>[160026.0, 179987.0, 188270.0, nan]</t>
  </si>
  <si>
    <t>[48306.0, 50476.0, 53851.0, nan]</t>
  </si>
  <si>
    <t>[981.0, 1063.0, 1109.0, nan]</t>
  </si>
  <si>
    <t>[2408.0, 4350.0, 4412.0, nan]</t>
  </si>
  <si>
    <t>[136601.0, 166275.0, 166858.0, nan]</t>
  </si>
  <si>
    <t>[10936.0, 14495.0, 16827.0, nan]</t>
  </si>
  <si>
    <t>[2181.0, 2408.0, 2779.0, nan]</t>
  </si>
  <si>
    <t>[395.0, 446.0, 509.0, nan]</t>
  </si>
  <si>
    <t>[6450.0, 7255.0, 8313.0, nan]</t>
  </si>
  <si>
    <t>[1502.0, 1596.0, 1727.0, nan]</t>
  </si>
  <si>
    <t>[2157.0, 2382.0, 2648.0, nan]</t>
  </si>
  <si>
    <t>[1546.0, 1562.0, 1747.0, nan]</t>
  </si>
  <si>
    <t>[2753.0, 3644.0, 4184.0, nan]</t>
  </si>
  <si>
    <t>[34218.0, 34691.0, 39265.0, nan]</t>
  </si>
  <si>
    <t>[1663.0, 1923.0, 1992.0, nan]</t>
  </si>
  <si>
    <t>[1597.0, 1956.0, 1976.0, nan]</t>
  </si>
  <si>
    <t>[443.0, 525.0, 693.0, nan]</t>
  </si>
  <si>
    <t>[328202.0, 357256.0, 391779.0, nan]</t>
  </si>
  <si>
    <t>[4607.0, 5335.0, 5849.0, nan]</t>
  </si>
  <si>
    <t>[1578.0, 1724.0, 2123.0, nan]</t>
  </si>
  <si>
    <t>[3042.0, 3450.0, 3632.0, nan]</t>
  </si>
  <si>
    <t>[1658.0, 1773.0, 1940.0, nan]</t>
  </si>
  <si>
    <t>[12295.0, 15446.0, 18435.0, 20307.0]</t>
  </si>
  <si>
    <t>[8878.0, 11452.0, 13758.0, nan]</t>
  </si>
  <si>
    <t>[1218.0, 2049.0, 2170.0, nan]</t>
  </si>
  <si>
    <t>[18479.0, 18761.0, 19261.0, nan]</t>
  </si>
  <si>
    <t>[7032.0, 7524.0, 8140.0, nan]</t>
  </si>
  <si>
    <t>[2614.0, 2898.0, 3179.0, nan]</t>
  </si>
  <si>
    <t>[349.0, 586.0, 833.0, nan]</t>
  </si>
  <si>
    <t>[413.0, 369.0, 489.0, nan]</t>
  </si>
  <si>
    <t>[1023.0, 1131.0, 1179.0, nan]</t>
  </si>
  <si>
    <t>[3809.0, 4119.0, 4316.0, nan]</t>
  </si>
  <si>
    <t>[5778.0, 6613.0, 6991.0, nan]</t>
  </si>
  <si>
    <t>[439.0, 471.0, 768.0, nan]</t>
  </si>
  <si>
    <t>[20576.0, 24734.0, 27485.0, nan]</t>
  </si>
  <si>
    <t>[114896.0, 127347.0, 132044.0, 132896.0]</t>
  </si>
  <si>
    <t>[17732.0, 22765.0, 24324.0, nan]</t>
  </si>
  <si>
    <t>[656.0, 551.0, 695.0, nan]</t>
  </si>
  <si>
    <t>[11927.0, 13779.0, 14931.0, nan]</t>
  </si>
  <si>
    <t>[1797.0, 1906.0, 2111.0, nan]</t>
  </si>
  <si>
    <t>[4941.0, 5425.0, 6020.0, nan]</t>
  </si>
  <si>
    <t>[491.0, 502.0, 544.0, nan]</t>
  </si>
  <si>
    <t>[1302.0, 1539.0, 1673.0, nan]</t>
  </si>
  <si>
    <t>[5065.0, 5431.0, 5765.0, 5877.0]</t>
  </si>
  <si>
    <t>[2123.0, 2226.0, 3176.0, nan]</t>
  </si>
  <si>
    <t>[1487.0, 1557.0, 1676.0, nan]</t>
  </si>
  <si>
    <t>[618.0, 821.0, 1444.0, nan]</t>
  </si>
  <si>
    <t>[2716.0, 2928.0, 3287.0, nan]</t>
  </si>
  <si>
    <t>[1281.0, 1502.0, 1670.0, nan]</t>
  </si>
  <si>
    <t>[181.0, 316.0, 393.0, nan]</t>
  </si>
  <si>
    <t>[3090.0, 3338.0, 3607.0, nan]</t>
  </si>
  <si>
    <t>[32129.0, 33734.0, 39195.0, nan]</t>
  </si>
  <si>
    <t>[972.0, 1086.0, 1364.0, nan]</t>
  </si>
  <si>
    <t>[2214.0, 2613.0, 2945.0, nan]</t>
  </si>
  <si>
    <t>[1591.0, 1830.0, 2403.0, nan]</t>
  </si>
  <si>
    <t>[1457.0, 1655.0, 2068.0, nan]</t>
  </si>
  <si>
    <t>[260.0, 565.0, 674.0, nan]</t>
  </si>
  <si>
    <t>[1049.0, 1192.0, 1304.0, nan]</t>
  </si>
  <si>
    <t>[26.0, 96.0, 159.0, nan]</t>
  </si>
  <si>
    <t>[337.0, 489.0, 745.0, nan]</t>
  </si>
  <si>
    <t>[89.0, 183.0, 303.0, nan]</t>
  </si>
  <si>
    <t>[639.0, 716.0, 830.0, nan]</t>
  </si>
  <si>
    <t>[108.0, 211.0, 1034.0, nan]</t>
  </si>
  <si>
    <t>[492.0, 609.0, 683.0, nan]</t>
  </si>
  <si>
    <t>[497.0, 880.0, 1382.0, nan]</t>
  </si>
  <si>
    <t>[3226.0, 3676.0, 4578.0, nan]</t>
  </si>
  <si>
    <t>[599.0, 623.0, 748.0, nan]</t>
  </si>
  <si>
    <t>[2423.0, 2694.0, 3304.0, nan]</t>
  </si>
  <si>
    <t>[519.0, 628.0, 767.0, nan]</t>
  </si>
  <si>
    <t>[243.0, 413.0, 467.0, nan]</t>
  </si>
  <si>
    <t>[1151.0, 1317.0, 1570.0, nan]</t>
  </si>
  <si>
    <t>[866.0, 949.0, 1077.0, nan]</t>
  </si>
  <si>
    <t>[2458.0, 2654.0, 2862.0, nan]</t>
  </si>
  <si>
    <t>[474.0, 522.0, 528.0, nan]</t>
  </si>
  <si>
    <t>[4046.0, 5183.0, 6472.0, nan]</t>
  </si>
  <si>
    <t>[629.0, 669.0, 715.0, nan]</t>
  </si>
  <si>
    <t>[59603.0, 62500.0, 67154.0, nan]</t>
  </si>
  <si>
    <t>[357.0, 361.0, 393.0, nan]</t>
  </si>
  <si>
    <t>[1528.0, 1879.0, 2795.0, nan]</t>
  </si>
  <si>
    <t>[1674.0, 1845.0, 2022.0, nan]</t>
  </si>
  <si>
    <t>[144.0, 210.0, 271.0, nan]</t>
  </si>
  <si>
    <t>[977.0, 1111.0, 1195.0, nan]</t>
  </si>
  <si>
    <t>[2848.0, 3152.0, 3673.0, nan]</t>
  </si>
  <si>
    <t>[282.0, 382.0, 1451.0, nan]</t>
  </si>
  <si>
    <t>[4089.0, 4293.0, 4689.0, nan]</t>
  </si>
  <si>
    <t>[1315.0, 1762.0, 3741.0, nan]</t>
  </si>
  <si>
    <t>[1665.0, 2085.0, 2439.0, nan]</t>
  </si>
  <si>
    <t>[342.0, 354.0, 411.0, nan]</t>
  </si>
  <si>
    <t>[10647.0, 10667.0, 10983.0, nan]</t>
  </si>
  <si>
    <t>[2050.0, 2570.0, 2885.0, nan]</t>
  </si>
  <si>
    <t>[50.0, 71.0, 268.0, nan]</t>
  </si>
  <si>
    <t>[15246.0, 20415.0, 22340.0, nan]</t>
  </si>
  <si>
    <t>[253.0, 232.0, 512.0, nan]</t>
  </si>
  <si>
    <t>[33749.0, 47828.0, 48809.0, nan]</t>
  </si>
  <si>
    <t>[1227.0, 1633.0, 1945.0, nan]</t>
  </si>
  <si>
    <t>[7609.0, 8440.0, 9197.0, nan]</t>
  </si>
  <si>
    <t>[809.0, 2054.0, 2203.0, nan]</t>
  </si>
  <si>
    <t>[1178.0, 3091.0, 3385.0, nan]</t>
  </si>
  <si>
    <t>[155.0, 214.0, 412.0, 517.0]</t>
  </si>
  <si>
    <t>[5321.0, 5621.0, 5852.0, nan]</t>
  </si>
  <si>
    <t>[260.0, 317.0, 667.0, nan]</t>
  </si>
  <si>
    <t>[14732.0, 17011.0, 17786.0, nan]</t>
  </si>
  <si>
    <t>[971.0, 1170.0, 1240.0, nan]</t>
  </si>
  <si>
    <t>[87.0, 42.0, 181.0, nan]</t>
  </si>
  <si>
    <t>[5931.0, 6325.0, 6812.0, nan]</t>
  </si>
  <si>
    <t>[1223.0, 1319.0, 1468.0, nan]</t>
  </si>
  <si>
    <t>[833.0, 898.0, 1021.0, nan]</t>
  </si>
  <si>
    <t>[338153.0, 468457.0, 479284.0, nan]</t>
  </si>
  <si>
    <t>[432.0, 501.0, 700.0, nan]</t>
  </si>
  <si>
    <t>[2001.0, 2309.0, 2837.0, 3561.0]</t>
  </si>
  <si>
    <t>[532.0, 602.0, 1243.0, nan]</t>
  </si>
  <si>
    <t>[2586.0, 3478.0, 3614.0, nan]</t>
  </si>
  <si>
    <t>[735.0, 832.0, 967.0, nan]</t>
  </si>
  <si>
    <t>[186.0, 268.0, 379.0, nan]</t>
  </si>
  <si>
    <t>[250.0, 223.0, 270.0, nan]</t>
  </si>
  <si>
    <t>[869.0, 809.0, 1359.0, nan]</t>
  </si>
  <si>
    <t>[191.0, 269.0, 554.0, nan]</t>
  </si>
  <si>
    <t>[1795.0, 2049.0, 2923.0, 4420.0]</t>
  </si>
  <si>
    <t>[1030.0, 1206.0, 1397.0, nan]</t>
  </si>
  <si>
    <t>[1884.0, 2051.0, 2428.0, nan]</t>
  </si>
  <si>
    <t>[2875.0, 3470.0, 4036.0, 4599.0]</t>
  </si>
  <si>
    <t>[531.0, 630.0, 812.0, nan]</t>
  </si>
  <si>
    <t>[859.0, 1513.0, 1670.0, nan]</t>
  </si>
  <si>
    <t>[824.0, 893.0, 1027.0, nan]</t>
  </si>
  <si>
    <t>[841.0, 952.0, 1097.0, nan]</t>
  </si>
  <si>
    <t>[70.0, 106.0, 694.0, nan]</t>
  </si>
  <si>
    <t>[7773.0, 7849.0, 8754.0, nan]</t>
  </si>
  <si>
    <t>[140.0, 377.0, 383.0, nan]</t>
  </si>
  <si>
    <t>[12.0, 295.0, 441.0, nan]</t>
  </si>
  <si>
    <t>[91.0, 232.0, 247.0, nan]</t>
  </si>
  <si>
    <t>[936.0, 1017.0, 1265.0, nan]</t>
  </si>
  <si>
    <t>[1960.0, 2191.0, 2485.0, nan]</t>
  </si>
  <si>
    <t>[126.0, 385.0, 458.0, nan]</t>
  </si>
  <si>
    <t>[1262.0, 1408.0, 1614.0, nan]</t>
  </si>
  <si>
    <t>[613.0, 770.0, 817.0, nan]</t>
  </si>
  <si>
    <t>[1399.0, 2423.0, 2491.0, nan]</t>
  </si>
  <si>
    <t>[266.0, 441.0, 443.0, nan]</t>
  </si>
  <si>
    <t>[1081.0, 1232.0, 1234.0, nan]</t>
  </si>
  <si>
    <t>[246.0, 308.0, 474.0, nan]</t>
  </si>
  <si>
    <t>[143.0, 284.0, 583.0, nan]</t>
  </si>
  <si>
    <t>[792.0, 1057.0, 1126.0, nan]</t>
  </si>
  <si>
    <t>[428.0, 614.0, 1452.0, nan]</t>
  </si>
  <si>
    <t>[490.0, 556.0, 651.0, nan]</t>
  </si>
  <si>
    <t>[713.0, 754.0, 858.0, nan]</t>
  </si>
  <si>
    <t>[243.0, 450.0, 596.0, nan]</t>
  </si>
  <si>
    <t>[7990.0, 9917.0, 12497.0, nan]</t>
  </si>
  <si>
    <t>[5809.0, 6474.0, 6528.0, nan]</t>
  </si>
  <si>
    <t>[242.0, 300.0, 363.0, nan]</t>
  </si>
  <si>
    <t>[1024.0, 1213.0, 1315.0, nan]</t>
  </si>
  <si>
    <t>[1065.0, 1244.0, 1397.0, nan]</t>
  </si>
  <si>
    <t>[740.0, 810.0, 993.0, 1133.0]</t>
  </si>
  <si>
    <t>[1869.0, 2133.0, 2494.0, nan]</t>
  </si>
  <si>
    <t>[26.0, 161.0, 754.0, nan]</t>
  </si>
  <si>
    <t>[876.0, 3034.0, 3321.0, 2794.0]</t>
  </si>
  <si>
    <t>[927.0, 1403.0, 1594.0, nan]</t>
  </si>
  <si>
    <t>[1893.0, 1949.0, 2000.0, nan]</t>
  </si>
  <si>
    <t>[975.0, 1187.0, 1527.0, 1904.0]</t>
  </si>
  <si>
    <t>[2359.0, 2810.0, 3075.0, nan]</t>
  </si>
  <si>
    <t>[-11.0, 20.0, 99.0, nan]</t>
  </si>
  <si>
    <t>[476.0, 593.0, 1057.0, nan]</t>
  </si>
  <si>
    <t>[401.0, 512.0, 646.0, nan]</t>
  </si>
  <si>
    <t>[553.0, 617.0, 675.0, nan]</t>
  </si>
  <si>
    <t>[5.27, 0.39, 15.18, nan]</t>
  </si>
  <si>
    <t>[10.83, 8.45, 10.04, nan]</t>
  </si>
  <si>
    <t>[9.66, 6.48, 9.89, nan]</t>
  </si>
  <si>
    <t>[17.42, 24.28, 7.1, nan]</t>
  </si>
  <si>
    <t>[20.38, 18.93, 12.7, nan]</t>
  </si>
  <si>
    <t>[2.9, 0.74, 15.27, nan]</t>
  </si>
  <si>
    <t>[14.62, 12.72, 11.0, nan]</t>
  </si>
  <si>
    <t>[16.67, 15.94, 10.32, nan]</t>
  </si>
  <si>
    <t>[40.41, 24.7, 5.98, nan]</t>
  </si>
  <si>
    <t>[10.1, 12.46, 9.81, nan]</t>
  </si>
  <si>
    <t>[15.18, 14.18, 10.84, nan]</t>
  </si>
  <si>
    <t>[8.21, 7.58, 49.82, nan]</t>
  </si>
  <si>
    <t>[15.61, 10.33, 6.23, nan]</t>
  </si>
  <si>
    <t>[10.19, 8.58, 11.23, nan]</t>
  </si>
  <si>
    <t>[4.55, 3.67, 15.19, nan]</t>
  </si>
  <si>
    <t>[5.92, 11.94, 19.0, nan]</t>
  </si>
  <si>
    <t>[38.96, 21.35, 15.65, nan]</t>
  </si>
  <si>
    <t>[11.73, 13.14, 6.68, nan]</t>
  </si>
  <si>
    <t>[7.48, 7.08, 11.61, nan]</t>
  </si>
  <si>
    <t>[17.97, 14.99, 11.22, nan]</t>
  </si>
  <si>
    <t>[44.77, 31.07, 11.11, 10.78]</t>
  </si>
  <si>
    <t>[14.33, 13.35, 13.75, nan]</t>
  </si>
  <si>
    <t>[79.98, 6.22, 1.21, nan]</t>
  </si>
  <si>
    <t>[6.57, 7.95, 9.36, nan]</t>
  </si>
  <si>
    <t>[17.99, 15.93, 2.32, nan]</t>
  </si>
  <si>
    <t>[8.79, 8.88, 8.77, nan]</t>
  </si>
  <si>
    <t>[8.19, 9.88, 10.64, nan]</t>
  </si>
  <si>
    <t>[27.73, 67.82, 11.92, nan]</t>
  </si>
  <si>
    <t>[12.36, 11.68, 10.89, nan]</t>
  </si>
  <si>
    <t>[96.96, 17.49, 12.38, nan]</t>
  </si>
  <si>
    <t>[nan, 10.99, 14.02, nan]</t>
  </si>
  <si>
    <t>[10.14, 9.75, 10.02, nan]</t>
  </si>
  <si>
    <t>[10.12, 19.21, 8.38, nan]</t>
  </si>
  <si>
    <t>[8.6, 12.93, 33.47, nan]</t>
  </si>
  <si>
    <t>[5.86, 11.3, 7.86, nan]</t>
  </si>
  <si>
    <t>[31.54, 21.94, 16.67, nan]</t>
  </si>
  <si>
    <t>[19.27, 21.73, 1.74, nan]</t>
  </si>
  <si>
    <t>[14.11, 12.96, 18.14, nan]</t>
  </si>
  <si>
    <t>[27.12, 18.52, 14.28, nan]</t>
  </si>
  <si>
    <t>[10.26, 18.57, 10.51, nan]</t>
  </si>
  <si>
    <t>[25.66, 21.75, 12.72, nan]</t>
  </si>
  <si>
    <t>[9.08, 7.06, 20.64, nan]</t>
  </si>
  <si>
    <t>[7.11, 9.62, 7.94, nan]</t>
  </si>
  <si>
    <t>[23.63, 41.29, 15.21, nan]</t>
  </si>
  <si>
    <t>[4.55, 3.46, 18.58, nan]</t>
  </si>
  <si>
    <t>[16.04, 17.08, 14.98, nan]</t>
  </si>
  <si>
    <t>[11.76, 19.69, 12.04, nan]</t>
  </si>
  <si>
    <t>[22.14, 15.94, 13.88, nan]</t>
  </si>
  <si>
    <t>[7.13, 6.39, 18.91, nan]</t>
  </si>
  <si>
    <t>[11.73, 20.6, 3.66, 11.15]</t>
  </si>
  <si>
    <t>[9.89, 8.53, 11.5, nan]</t>
  </si>
  <si>
    <t>[7.73, 9.79, 18.68, nan]</t>
  </si>
  <si>
    <t>[16.27, 15.67, 16.62, nan]</t>
  </si>
  <si>
    <t>[3.95, 3.44, 93.94, nan]</t>
  </si>
  <si>
    <t>[8.77, 13.28, 11.98, nan]</t>
  </si>
  <si>
    <t>[7.79, 7.07, 23.82, nan]</t>
  </si>
  <si>
    <t>[20.84, 29.17, 11.22, nan]</t>
  </si>
  <si>
    <t>[43.0, 30.38, 21.0, nan]</t>
  </si>
  <si>
    <t>[-6.72, -14.94, 19.76, nan]</t>
  </si>
  <si>
    <t>[16.24, 10.29, 6.57, nan]</t>
  </si>
  <si>
    <t>[13.48, 6.55, 48.8, nan]</t>
  </si>
  <si>
    <t>[2.65, 19.31, 8.26, nan]</t>
  </si>
  <si>
    <t>[17.28, 7.62, 7.12, nan]</t>
  </si>
  <si>
    <t>[4.38, 2.49, 17.15, nan]</t>
  </si>
  <si>
    <t>[40.99, 37.93, 26.51, nan]</t>
  </si>
  <si>
    <t>[24.51, 16.89, 16.55, nan]</t>
  </si>
  <si>
    <t>[31.06, 14.41, 3.28, nan]</t>
  </si>
  <si>
    <t>[21.5, 1.51, 15.13, nan]</t>
  </si>
  <si>
    <t>[13.36, 13.22, 18.62, nan]</t>
  </si>
  <si>
    <t>[14.84, 12.14, 9.37, nan]</t>
  </si>
  <si>
    <t>[42.16, 22.5, 5.89, nan]</t>
  </si>
  <si>
    <t>[7.97, 15.15, 11.74, nan]</t>
  </si>
  <si>
    <t>[23.62, 18.89, 10.19, 4.4]</t>
  </si>
  <si>
    <t>[22.32, 19.43, 12.19, nan]</t>
  </si>
  <si>
    <t>[9.07, 4.31, 22.13, nan]</t>
  </si>
  <si>
    <t>[428.57, 4.37, 1.79, nan]</t>
  </si>
  <si>
    <t>[7.9, 7.28, 13.08, nan]</t>
  </si>
  <si>
    <t>[10.98, -4.07, 47.51, nan]</t>
  </si>
  <si>
    <t>[-0.25, 30.75, 19.02, nan]</t>
  </si>
  <si>
    <t>[14.33, 10.66, 13.32, nan]</t>
  </si>
  <si>
    <t>[5.74, 11.83, 7.36, nan]</t>
  </si>
  <si>
    <t>[23.78, 22.26, 18.34, nan]</t>
  </si>
  <si>
    <t>[10.7, 9.59, 9.79, nan]</t>
  </si>
  <si>
    <t>[3.48, 20.58, 26.2, nan]</t>
  </si>
  <si>
    <t>[6.94, 7.36, 9.82, 9.04]</t>
  </si>
  <si>
    <t>[8.88, 11.19, 7.4, nan]</t>
  </si>
  <si>
    <t>[18.31, 18.79, 11.49, nan]</t>
  </si>
  <si>
    <t>[3.7, 8.93, 13.31, nan]</t>
  </si>
  <si>
    <t>[-57.87, 8.92, 14.69, nan]</t>
  </si>
  <si>
    <t>[17.21, 14.13, 13.76, nan]</t>
  </si>
  <si>
    <t>[6.21, 9.76, 14.22, nan]</t>
  </si>
  <si>
    <t>[8.55, 8.77, 7.81, nan]</t>
  </si>
  <si>
    <t>[12.03, 9.83, 11.57, nan]</t>
  </si>
  <si>
    <t>[41.0, 31.2, 40.8, nan]</t>
  </si>
  <si>
    <t>[8.71, 12.11, 11.17, nan]</t>
  </si>
  <si>
    <t>[2.99, 5.15, 33.12, nan]</t>
  </si>
  <si>
    <t>[12.68, 12.88, 9.72, nan]</t>
  </si>
  <si>
    <t>[8.13, 14.04, 11.59, nan]</t>
  </si>
  <si>
    <t>[15.21, 28.01, 9.33, nan]</t>
  </si>
  <si>
    <t>[9.39, 9.11, 9.06, nan]</t>
  </si>
  <si>
    <t>[9.18, 9.5, 6.89, nan]</t>
  </si>
  <si>
    <t>[10.48, 10.57, 8.75, nan]</t>
  </si>
  <si>
    <t>[9.88, 7.5, 7.94, nan]</t>
  </si>
  <si>
    <t>[11.53, 9.78, 14.61, nan]</t>
  </si>
  <si>
    <t>[7.22, 35.2, 6.38, nan]</t>
  </si>
  <si>
    <t>[8.18, 10.48, 10.23, nan]</t>
  </si>
  <si>
    <t>[6.13, 7.27, 11.17, nan]</t>
  </si>
  <si>
    <t>[5.16, 4.55, 13.07, nan]</t>
  </si>
  <si>
    <t>[17.6, 17.32, 15.6, 15.8]</t>
  </si>
  <si>
    <t>[12.12, 13.2, 8.8, nan]</t>
  </si>
  <si>
    <t>[13.77, 14.16, 13.01, nan]</t>
  </si>
  <si>
    <t>[19.23, 10.94, 11.47, nan]</t>
  </si>
  <si>
    <t>[7.44, 8.34, 8.65, nan]</t>
  </si>
  <si>
    <t>[34.56, 22.21, 15.29, 13.25]</t>
  </si>
  <si>
    <t>[5.14, 5.62, 11.92, nan]</t>
  </si>
  <si>
    <t>[11.19, 11.32, 10.33, nan]</t>
  </si>
  <si>
    <t>[-1.41, 1.17, 26.85, nan]</t>
  </si>
  <si>
    <t>[16.58, 11.75, 12.02, nan]</t>
  </si>
  <si>
    <t>[9.35, 10.18, 9.59, nan]</t>
  </si>
  <si>
    <t>[16.7, 24.46, 16.94, nan]</t>
  </si>
  <si>
    <t>[-6.48, 17.41, 8.89, nan]</t>
  </si>
  <si>
    <t>[32.45, 8.53, 10.85, nan]</t>
  </si>
  <si>
    <t>[1.88, 1.37, 32.69, nan]</t>
  </si>
  <si>
    <t>[3.99, 8.72, 9.16, nan]</t>
  </si>
  <si>
    <t>[15.03, 10.95, 6.84, nan]</t>
  </si>
  <si>
    <t>[7.97, 9.25, 7.31, nan]</t>
  </si>
  <si>
    <t>[10.14, 12.37, 11.74, nan]</t>
  </si>
  <si>
    <t>[28.9, 25.22, 13.6, nan]</t>
  </si>
  <si>
    <t>[13.42, 11.14, 6.26, nan]</t>
  </si>
  <si>
    <t>[-5.22, 17.34, 11.79, nan]</t>
  </si>
  <si>
    <t>[7.86, 8.69, 10.36, nan]</t>
  </si>
  <si>
    <t>[10.18, 8.78, 8.92, nan]</t>
  </si>
  <si>
    <t>[11.09, 8.73, 8.79, 9.34]</t>
  </si>
  <si>
    <t>[15.38, 15.52, 3.92, nan]</t>
  </si>
  <si>
    <t>[16.37, 11.39, 12.32, nan]</t>
  </si>
  <si>
    <t>[7.66, 6.73, 9.18, nan]</t>
  </si>
  <si>
    <t>[16.04, 10.96, 5.87, nan]</t>
  </si>
  <si>
    <t>[7.39, 7.31, 9.12, nan]</t>
  </si>
  <si>
    <t>[11.87, 9.98, 5.91, nan]</t>
  </si>
  <si>
    <t>[5.36, 20.48, 2.17, nan]</t>
  </si>
  <si>
    <t>[12.53, 14.88, 4.31, nan]</t>
  </si>
  <si>
    <t>[53.52, 5.56, 11.52, nan]</t>
  </si>
  <si>
    <t>[15.32, 10.82, 12.56, nan]</t>
  </si>
  <si>
    <t>[14.66, 4.08, 12.71, nan]</t>
  </si>
  <si>
    <t>[6.85, 14.53, 15.06, nan]</t>
  </si>
  <si>
    <t>[9.89, 9.1, 7.28, nan]</t>
  </si>
  <si>
    <t>[13.58, 11.08, 9.0, nan]</t>
  </si>
  <si>
    <t>[8.6, 4.29, 14.18, nan]</t>
  </si>
  <si>
    <t>[10.37, 24.79, 14.26, nan]</t>
  </si>
  <si>
    <t>[5.48, 6.94, 14.24, nan]</t>
  </si>
  <si>
    <t>[5.98, 16.32, 5.44, nan]</t>
  </si>
  <si>
    <t>[20.18, 24.25, 8.91, nan]</t>
  </si>
  <si>
    <t>[2.16, 18.04, 32.25, nan]</t>
  </si>
  <si>
    <t>[9.13, 9.21, 9.09, nan]</t>
  </si>
  <si>
    <t>[1.09, 15.83, 10.99, nan]</t>
  </si>
  <si>
    <t>[8.72, 10.15, 18.76, nan]</t>
  </si>
  <si>
    <t>[23.22, 16.36, 8.62, nan]</t>
  </si>
  <si>
    <t>[8.06, 11.45, 11.88, nan]</t>
  </si>
  <si>
    <t>[8.78, 8.15, 9.82, 9.38]</t>
  </si>
  <si>
    <t>[8.2, 8.49, 9.6, nan]</t>
  </si>
  <si>
    <t>[32.15, 20.69, 11.77, nan]</t>
  </si>
  <si>
    <t>[85.88, 3.03, 2.54, nan]</t>
  </si>
  <si>
    <t>[7.23, 12.5, 12.97, nan]</t>
  </si>
  <si>
    <t>[8.61, 12.72, 10.12, nan]</t>
  </si>
  <si>
    <t>[18.54, 23.1, 21.11, nan]</t>
  </si>
  <si>
    <t>[-4.42, -10.62, 25.52, nan]</t>
  </si>
  <si>
    <t>[10.92, 12.88, 7.12, nan]</t>
  </si>
  <si>
    <t>[9.6, 9.61, 8.24, nan]</t>
  </si>
  <si>
    <t>[10.25, 8.33, 8.02, nan]</t>
  </si>
  <si>
    <t>[5.95, 9.89, 50.19, nan]</t>
  </si>
  <si>
    <t>[19.4, 13.87, 15.26, nan]</t>
  </si>
  <si>
    <t>[21.52, 13.04, 5.51, 2.12]</t>
  </si>
  <si>
    <t>[22.54, 11.55, 12.76, nan]</t>
  </si>
  <si>
    <t>[-4.64, -17.96, 22.51, nan]</t>
  </si>
  <si>
    <t>[7.74, 16.72, 11.73, nan]</t>
  </si>
  <si>
    <t>[12.09, 11.65, 9.26, nan]</t>
  </si>
  <si>
    <t>[7.77, 10.76, 11.5, nan]</t>
  </si>
  <si>
    <t>[13.69, 3.79, 9.79, nan]</t>
  </si>
  <si>
    <t>[5.06, 15.71, 9.98, nan]</t>
  </si>
  <si>
    <t>[15.06, 8.54, 5.65, 2.73]</t>
  </si>
  <si>
    <t>[14.53, 4.56, 30.57, nan]</t>
  </si>
  <si>
    <t>[17.32, 5.23, 8.18, nan]</t>
  </si>
  <si>
    <t>[30.19, 28.89, 18.07, nan]</t>
  </si>
  <si>
    <t>[9.56, 8.96, 14.22, nan]</t>
  </si>
  <si>
    <t>[26.71, 18.33, 12.03, nan]</t>
  </si>
  <si>
    <t>[26.69, 4.87, 11.69, nan]</t>
  </si>
  <si>
    <t>[9.58, 8.99, 10.32, nan]</t>
  </si>
  <si>
    <t>[13.79, 13.0, 15.06, nan]</t>
  </si>
  <si>
    <t>[9.8, 11.06, 21.18, nan]</t>
  </si>
  <si>
    <t>[19.59, 17.7, 14.52, nan]</t>
  </si>
  <si>
    <t>[6.91, 13.95, 26.19, nan]</t>
  </si>
  <si>
    <t>[19.78, 16.67, 19.94, nan]</t>
  </si>
  <si>
    <t>[40.14, 24.08, 19.05, nan]</t>
  </si>
  <si>
    <t>[-0.82, 22.73, 15.7, nan]</t>
  </si>
  <si>
    <t>[53.56, 106.81, 51.13, 5.66]</t>
  </si>
  <si>
    <t>[23.23, 25.56, 8.07, nan]</t>
  </si>
  <si>
    <t>[36.5, 125.09, 30.35, nan]</t>
  </si>
  <si>
    <t>[16.04, 11.08, 14.9, nan]</t>
  </si>
  <si>
    <t>[25.64, 64.78, 27.52, 1.26]</t>
  </si>
  <si>
    <t>[-11.22, 21.34, 13.73, nan]</t>
  </si>
  <si>
    <t>[-5.35, 46.18, 18.64, nan]</t>
  </si>
  <si>
    <t>[22.24, 18.7, 23.04, nan]</t>
  </si>
  <si>
    <t>[10.47, 8.88, 22.33, nan]</t>
  </si>
  <si>
    <t>[15.42, 7.94, 19.66, nan]</t>
  </si>
  <si>
    <t>[13.04, 19.56, 9.85, 7.96]</t>
  </si>
  <si>
    <t>[30.78, 24.53, 18.13, nan]</t>
  </si>
  <si>
    <t>[10.51, 14.58, 18.57, nan]</t>
  </si>
  <si>
    <t>[15.92, 11.03, 14.41, nan]</t>
  </si>
  <si>
    <t>[12.05, 8.38, 10.29, nan]</t>
  </si>
  <si>
    <t>[20.63, 18.7, 9.11, nan]</t>
  </si>
  <si>
    <t>[9.04, 19.02, 18.93, nan]</t>
  </si>
  <si>
    <t>[11.15, 8.16, 8.3, nan]</t>
  </si>
  <si>
    <t>[10.96, 8.64, 9.76, nan]</t>
  </si>
  <si>
    <t>[51.21, 34.73, 35.97, nan]</t>
  </si>
  <si>
    <t>[35.84, 49.27, 24.22, nan]</t>
  </si>
  <si>
    <t>[15.85, 14.21, 12.7, nan]</t>
  </si>
  <si>
    <t>[112.67, 51.64, 25.95, nan]</t>
  </si>
  <si>
    <t>[4.04, 13.72, 8.05, nan]</t>
  </si>
  <si>
    <t>[8.37, 11.12, 15.63, nan]</t>
  </si>
  <si>
    <t>[0, 32.29, 13.56, nan, nan]</t>
  </si>
  <si>
    <t>[12.48, 6.55, 10.03, nan]</t>
  </si>
  <si>
    <t>[40.13, 28.34, 26.32, nan]</t>
  </si>
  <si>
    <t>[29.71, 26.8, 22.72, nan]</t>
  </si>
  <si>
    <t>[4.78, 6.93, 17.84, nan]</t>
  </si>
  <si>
    <t>[19.87, 23.01, 6.1, nan]</t>
  </si>
  <si>
    <t>[nan, 23.54, 13.52, nan]</t>
  </si>
  <si>
    <t>[46.48, 28.08, 26.22, nan]</t>
  </si>
  <si>
    <t>[17.36, 10.84, 16.97, nan]</t>
  </si>
  <si>
    <t>[0, 25.53, 22.88, nan, nan]</t>
  </si>
  <si>
    <t>[10.91, 21.46, 3.16, nan]</t>
  </si>
  <si>
    <t>[32.39, 31.64, 21.36, nan]</t>
  </si>
  <si>
    <t>[20.4, 16.15, 12.68, nan]</t>
  </si>
  <si>
    <t>[35.63, 18.28, 13.3, nan]</t>
  </si>
  <si>
    <t>[37.21, 28.48, 12.86, nan]</t>
  </si>
  <si>
    <t>[0, 39.83, 30.62, 28.4, 42.72]</t>
  </si>
  <si>
    <t>[15.33, 14.21, 12.62, nan]</t>
  </si>
  <si>
    <t>[46.46, 19.3, 7.06, nan]</t>
  </si>
  <si>
    <t>[15.53, 16.22, 6.11, nan]</t>
  </si>
  <si>
    <t>[23.24, 20.91, 6.97, nan]</t>
  </si>
  <si>
    <t>[-28.87, -117.02, 81.43, nan]</t>
  </si>
  <si>
    <t>[8.98, 9.26, 10.0, nan]</t>
  </si>
  <si>
    <t>[7.5, 7.62, 11.03, nan]</t>
  </si>
  <si>
    <t>[15.82, 8.51, 14.07, nan]</t>
  </si>
  <si>
    <t>[36.8, 38.53, 4.25, nan]</t>
  </si>
  <si>
    <t>[2.57, 11.62, 32.82, nan]</t>
  </si>
  <si>
    <t>[15.28, 16.16, 23.15, 24.63]</t>
  </si>
  <si>
    <t>[2.66, 0.5, 36.53, nan]</t>
  </si>
  <si>
    <t>[23.14, 17.29, 12.66, nan]</t>
  </si>
  <si>
    <t>[18.13, 13.06, 25.44, nan]</t>
  </si>
  <si>
    <t>[-15.84, 23.41, 34.66, nan]</t>
  </si>
  <si>
    <t>[2.11, -52.2, 19.28, nan]</t>
  </si>
  <si>
    <t>[1.6, -12.18, 40.27, nan]</t>
  </si>
  <si>
    <t>[0, 21.05, 17.63, nan, 13.26]</t>
  </si>
  <si>
    <t>[3.28, 14.63, 35.27, 22.89]</t>
  </si>
  <si>
    <t>[9.9, 19.4, 16.91, nan]</t>
  </si>
  <si>
    <t>[25.0, 22.21, 11.5, nan]</t>
  </si>
  <si>
    <t>[nan, 18.39, 17.14, 14.65]</t>
  </si>
  <si>
    <t>[9.56, 18.71, 27.38, nan]</t>
  </si>
  <si>
    <t>[33.49, 16.44, 14.59, nan]</t>
  </si>
  <si>
    <t>[3.41, 7.68, 15.86, nan]</t>
  </si>
  <si>
    <t>[15.29, 19.36, 18.19, nan]</t>
  </si>
  <si>
    <t>[0, 42.83, 33.03, nan, 18.35]</t>
  </si>
  <si>
    <t>[29.26, 20.22, 15.9, nan]</t>
  </si>
  <si>
    <t>[59.74, 6.73, 1.33, nan]</t>
  </si>
  <si>
    <t>[nan, 178.68, 95.79, nan]</t>
  </si>
  <si>
    <t>[43.0, 7.19, 4.69, nan]</t>
  </si>
  <si>
    <t>[17.03, 14.79, 15.71, nan]</t>
  </si>
  <si>
    <t>[46.14, 13.13, 14.49, nan]</t>
  </si>
  <si>
    <t>[37.74, 17.2, 16.33, nan]</t>
  </si>
  <si>
    <t>[16.6, 15.56, 16.03, nan]</t>
  </si>
  <si>
    <t>[25.67, 22.1, 8.37, nan]</t>
  </si>
  <si>
    <t>[68.9, 33.48, -3.01, nan]</t>
  </si>
  <si>
    <t>[-18.59, 50.09, 2.96, nan]</t>
  </si>
  <si>
    <t>[24.19, 17.46, 1.28, nan]</t>
  </si>
  <si>
    <t>[94.76, 12.83, 37.44, nan]</t>
  </si>
  <si>
    <t>[114.7, -7.87, 18.32, nan]</t>
  </si>
  <si>
    <t>[-42.51, 21.27, 5.7, nan]</t>
  </si>
  <si>
    <t>[67.38, 36.08, 10.78, nan]</t>
  </si>
  <si>
    <t>[8.29, 17.09, 18.92, nan]</t>
  </si>
  <si>
    <t>[20.41, 16.51, 21.46, nan]</t>
  </si>
  <si>
    <t>[26.45, 27.35, 25.33, nan]</t>
  </si>
  <si>
    <t>[7.53, 16.03, 23.81, nan]</t>
  </si>
  <si>
    <t>[21.3, 17.02, 10.82, nan]</t>
  </si>
  <si>
    <t>[10.97, 19.53, 18.82, nan]</t>
  </si>
  <si>
    <t>[19.97, 13.05, 13.89, nan]</t>
  </si>
  <si>
    <t>[19.44, 17.04, 15.47, nan]</t>
  </si>
  <si>
    <t>[23.25, 12.42, 19.83, 14.49]</t>
  </si>
  <si>
    <t>[-0.21, 17.61, 21.61, nan]</t>
  </si>
  <si>
    <t>[0, 91.73, 35.28, nan, 37.03]</t>
  </si>
  <si>
    <t>[32.95, 15.59, 6.86, 8.73]</t>
  </si>
  <si>
    <t>[29.34, 44.95, 17.03, nan]</t>
  </si>
  <si>
    <t>[51.19, 10.63, 8.21, nan]</t>
  </si>
  <si>
    <t>[11.97, 17.46, 29.85, 26.76]</t>
  </si>
  <si>
    <t>[9.06, 16.27, 9.55, nan]</t>
  </si>
  <si>
    <t>[0, 436.59, 71.24, nan, nan]</t>
  </si>
  <si>
    <t>[26.83, 28.76, 23.33, nan]</t>
  </si>
  <si>
    <t>[25.01, 29.43, 17.69, nan]</t>
  </si>
  <si>
    <t>[13.25, 14.23, 10.84, nan]</t>
  </si>
  <si>
    <t>[21.76, 186.12, 5.06, nan]</t>
  </si>
  <si>
    <t>[9.85, 9.82, 7.11, nan]</t>
  </si>
  <si>
    <t>[6.28, 7.56, 4.06, nan]</t>
  </si>
  <si>
    <t>[9.13, 4.26, 12.89, nan]</t>
  </si>
  <si>
    <t>[5.36, 5.48, 6.94, nan]</t>
  </si>
  <si>
    <t>[16.94, 70.47, 4.62, nan]</t>
  </si>
  <si>
    <t>[8.37, 7.58, 7.61, nan]</t>
  </si>
  <si>
    <t>[3.0, 2.15, 1.86, nan]</t>
  </si>
  <si>
    <t>[8.57, 4.22, 14.4, nan]</t>
  </si>
  <si>
    <t>[13.83, 8.8, 8.9, nan]</t>
  </si>
  <si>
    <t>[6.58, 4.88, 6.65, nan]</t>
  </si>
  <si>
    <t>[12.77, 10.26, 1.22, nan]</t>
  </si>
  <si>
    <t>[9.05, 9.83, 8.95, nan]</t>
  </si>
  <si>
    <t>[11.26, 10.53, 5.49, nan]</t>
  </si>
  <si>
    <t>[18.75, 18.75, 4.11, nan]</t>
  </si>
  <si>
    <t>[14.98, 5.03, 6.46, nan]</t>
  </si>
  <si>
    <t>[nan, 13.55, 8.06, nan]</t>
  </si>
  <si>
    <t>[5.36, 2.74, 4.58, nan]</t>
  </si>
  <si>
    <t>[7.83, 5.88, 3.62, nan]</t>
  </si>
  <si>
    <t>[4.49, 2.82, 1.46, nan]</t>
  </si>
  <si>
    <t>[nan, 2.16, 9.08, 5.8]</t>
  </si>
  <si>
    <t>[10.29, 7.24, 8.02, nan]</t>
  </si>
  <si>
    <t>[3.52, 9.59, 129.11, nan]</t>
  </si>
  <si>
    <t>[8.62, 4.98, 4.09, nan]</t>
  </si>
  <si>
    <t>[6.15, 4.03, 33.25, nan]</t>
  </si>
  <si>
    <t>[7.24, 4.86, 4.63, nan]</t>
  </si>
  <si>
    <t>[9.29, 5.62, 5.41, nan]</t>
  </si>
  <si>
    <t>[10.13, 0.81, 5.19, nan]</t>
  </si>
  <si>
    <t>[nan, nan, 4.5, nan]</t>
  </si>
  <si>
    <t>[2.69, 9.04, 9.4, nan]</t>
  </si>
  <si>
    <t>[13.54, 9.04, 6.1, nan]</t>
  </si>
  <si>
    <t>[9.69, 7.3, 6.62, nan]</t>
  </si>
  <si>
    <t>[4.51, 2.37, 5.19, nan]</t>
  </si>
  <si>
    <t>[9.72, 8.52, 3.82, nan]</t>
  </si>
  <si>
    <t>[17.2, 7.76, 9.99, nan]</t>
  </si>
  <si>
    <t>[6.13, 3.45, 4.15, nan]</t>
  </si>
  <si>
    <t>[14.14, 4.37, 67.05, nan]</t>
  </si>
  <si>
    <t>[8.33, 6.92, 5.28, nan]</t>
  </si>
  <si>
    <t>[6.05, 4.85, 4.66, nan]</t>
  </si>
  <si>
    <t>[24.38, 8.79, 10.09, nan]</t>
  </si>
  <si>
    <t>[4.73, 4.08, 4.91, nan]</t>
  </si>
  <si>
    <t>[10.88, 14.93, 4.71, nan]</t>
  </si>
  <si>
    <t>[11.97, 7.76, 11.26, nan]</t>
  </si>
  <si>
    <t>[3.44, 1.2, 2.38, nan]</t>
  </si>
  <si>
    <t>[31.58, 33.01, 5.39, nan]</t>
  </si>
  <si>
    <t>[13.44, 9.26, 11.49, nan]</t>
  </si>
  <si>
    <t>[12.47, 4.48, 6.39, nan]</t>
  </si>
  <si>
    <t>[6.23, 6.43, 9.52, nan]</t>
  </si>
  <si>
    <t>[12.26, 11.41, 4.2, nan]</t>
  </si>
  <si>
    <t>[20.6, 4.95, 27.38, 9.45]</t>
  </si>
  <si>
    <t>[7.16, 7.17, 6.27, nan]</t>
  </si>
  <si>
    <t>[8.25, 3.93, 2.2, nan]</t>
  </si>
  <si>
    <t>[6.67, 5.18, 5.84, nan]</t>
  </si>
  <si>
    <t>[64.15, 71.39, 1.28, nan]</t>
  </si>
  <si>
    <t>[19.25, 8.59, 8.74, nan]</t>
  </si>
  <si>
    <t>[17.09, 14.61, 3.92, nan]</t>
  </si>
  <si>
    <t>[19.6, 5.62, 15.72, nan]</t>
  </si>
  <si>
    <t>[nan, 4.05, 9.99, nan]</t>
  </si>
  <si>
    <t>[nan, nan, 6.82, nan]</t>
  </si>
  <si>
    <t>[6.11, 8.27, 11.2, nan]</t>
  </si>
  <si>
    <t>[23.86, 34.87, 3.16, nan]</t>
  </si>
  <si>
    <t>[13.74, 2.22, 4.62, nan]</t>
  </si>
  <si>
    <t>[4.92, 12.02, 11.59, nan]</t>
  </si>
  <si>
    <t>[20.79, 27.16, 5.67, nan]</t>
  </si>
  <si>
    <t>[5.84, 6.24, 3.85, nan]</t>
  </si>
  <si>
    <t>[4.2, 3.51, 3.14, nan]</t>
  </si>
  <si>
    <t>[2.96, 4.46, 12.19, nan]</t>
  </si>
  <si>
    <t>[7.23, 84.96, 6.26, nan]</t>
  </si>
  <si>
    <t>[7.07, 5.9, 3.81, nan]</t>
  </si>
  <si>
    <t>[6.38, 6.84, 8.62, nan]</t>
  </si>
  <si>
    <t>[11.41, 4.89, 18.81, nan]</t>
  </si>
  <si>
    <t>[12.66, 5.38, 7.39, nan]</t>
  </si>
  <si>
    <t>[7.34, 8.23, 12.55, 25.24]</t>
  </si>
  <si>
    <t>[3.99, 3.42, 2.6, nan]</t>
  </si>
  <si>
    <t>[14.97, 22.53, 4.24, nan]</t>
  </si>
  <si>
    <t>[0.2, 14.01, 19.91, nan]</t>
  </si>
  <si>
    <t>[11.02, 10.95, 4.66, nan]</t>
  </si>
  <si>
    <t>[29.69, nan, 2.37, nan]</t>
  </si>
  <si>
    <t>[nan, 2.76, 3.71, nan]</t>
  </si>
  <si>
    <t>[4.61, 3.82, 3.04, nan]</t>
  </si>
  <si>
    <t>[14.24, 6.58, 9.69, nan]</t>
  </si>
  <si>
    <t>[9.89, 8.07, 6.74, nan]</t>
  </si>
  <si>
    <t>[9.78, 7.04, 7.63, nan]</t>
  </si>
  <si>
    <t>[40.08, 3.95, 3.78, nan]</t>
  </si>
  <si>
    <t>[16.38, 8.56, 8.77, 10.33]</t>
  </si>
  <si>
    <t>[12.54, 5.44, 7.47, nan]</t>
  </si>
  <si>
    <t>[4.49, 2.98, 4.38, nan]</t>
  </si>
  <si>
    <t>[13.79, 7.79, 5.62, nan]</t>
  </si>
  <si>
    <t>[nan, 7.82, 3.64, nan]</t>
  </si>
  <si>
    <t>[7.87, 12.34, 7.09, nan]</t>
  </si>
  <si>
    <t>[15.56, 9.24, 6.05, nan]</t>
  </si>
  <si>
    <t>[20.99, 17.25, 14.97, nan]</t>
  </si>
  <si>
    <t>[4.42, 4.41, 4.64, nan]</t>
  </si>
  <si>
    <t>[nan, nan, nan, nan]</t>
  </si>
  <si>
    <t>[14.62, 8.16, 7.11, nan]</t>
  </si>
  <si>
    <t>[30.6, 23.44, 5.16, nan]</t>
  </si>
  <si>
    <t>[4.52, 5.6, 6.53, nan]</t>
  </si>
  <si>
    <t>[12.14, 6.41, 4.82, nan]</t>
  </si>
  <si>
    <t>[7.05, 2.94, 7.5, nan]</t>
  </si>
  <si>
    <t>[4.45, 4.25, 3.98, nan]</t>
  </si>
  <si>
    <t>[8.92, 5.9, 7.9, nan]</t>
  </si>
  <si>
    <t>[7.85, 7.05, 8.37, nan]</t>
  </si>
  <si>
    <t>[9.77, 9.22, 8.04, nan]</t>
  </si>
  <si>
    <t>[7.54, 7.66, 4.6, nan]</t>
  </si>
  <si>
    <t>[13.58, 1.77, 13.23, nan]</t>
  </si>
  <si>
    <t>[7.57, 5.4, 5.11, nan]</t>
  </si>
  <si>
    <t>[18.82, 13.91, 7.79, nan]</t>
  </si>
  <si>
    <t>[14.23, 12.44, 3.46, nan]</t>
  </si>
  <si>
    <t>[10.56, 9.52, 8.8, 9.1]</t>
  </si>
  <si>
    <t>[9.5, 7.5, 9.44, nan]</t>
  </si>
  <si>
    <t>[7.14, 6.2, 7.22, nan]</t>
  </si>
  <si>
    <t>[4.62, 6.95, 6.21, nan]</t>
  </si>
  <si>
    <t>[9.85, 6.96, 6.64, nan]</t>
  </si>
  <si>
    <t>[2.21, 2.06, 3.05, 4.7]</t>
  </si>
  <si>
    <t>[16.85, 12.57, 7.3, nan]</t>
  </si>
  <si>
    <t>[7.87, 10.52, 11.56, nan]</t>
  </si>
  <si>
    <t>[nan, 64.55, 2.41, nan]</t>
  </si>
  <si>
    <t>[6.79, 8.45, 8.11, nan]</t>
  </si>
  <si>
    <t>[5.19, 4.83, 4.8, nan]</t>
  </si>
  <si>
    <t>[2.95, 2.18, 2.53, nan]</t>
  </si>
  <si>
    <t>[nan, 6.69, 9.2, nan]</t>
  </si>
  <si>
    <t>[4.95, 12.07, 7.53, nan]</t>
  </si>
  <si>
    <t>[67.63, 64.56, 1.59, nan]</t>
  </si>
  <si>
    <t>[51.01, 13.49, 12.57, nan]</t>
  </si>
  <si>
    <t>[7.62, 9.36, 9.81, nan]</t>
  </si>
  <si>
    <t>[5.9, 3.69, 3.68, nan]</t>
  </si>
  <si>
    <t>[5.86, 5.53, 4.75, nan]</t>
  </si>
  <si>
    <t>[5.33, 5.46, 6.49, nan]</t>
  </si>
  <si>
    <t>[5.97, 5.41, 8.98, nan]</t>
  </si>
  <si>
    <t>[nan, 5.97, 5.61, nan]</t>
  </si>
  <si>
    <t>[5.1, 3.89, 3.16, nan]</t>
  </si>
  <si>
    <t>[8.01, 6.35, 6.01, nan]</t>
  </si>
  <si>
    <t>[8.19, 7.22, 7.72, 9.15]</t>
  </si>
  <si>
    <t>[8.29, 6.96, 21.59, nan]</t>
  </si>
  <si>
    <t>[13.09, 15.38, 12.44, nan]</t>
  </si>
  <si>
    <t>[7.65, 6.19, 3.3, nan]</t>
  </si>
  <si>
    <t>[6.68, 6.6, 12.02, nan]</t>
  </si>
  <si>
    <t>[11.92, 10.86, 8.02, nan]</t>
  </si>
  <si>
    <t>[7.59, 6.36, 9.85, nan]</t>
  </si>
  <si>
    <t>[9.31, 1.67, 20.31, nan]</t>
  </si>
  <si>
    <t>[11.97, 8.18, 25.91, nan]</t>
  </si>
  <si>
    <t>[1.81, 6.62, 2.96, nan]</t>
  </si>
  <si>
    <t>[5.37, 3.67, 2.62, nan]</t>
  </si>
  <si>
    <t>[7.38, 24.38, 7.78, nan]</t>
  </si>
  <si>
    <t>[13.12, 3.99, 6.0, nan]</t>
  </si>
  <si>
    <t>[8.9, 6.71, 8.59, nan]</t>
  </si>
  <si>
    <t>[5.21, 2.79, 5.25, nan]</t>
  </si>
  <si>
    <t>[11.1, 19.12, 6.06, nan]</t>
  </si>
  <si>
    <t>[4.96, 3.01, 4.3, nan]</t>
  </si>
  <si>
    <t>[16.2, 10.55, 5.4, nan]</t>
  </si>
  <si>
    <t>[14.29, 6.64, 17.35, nan]</t>
  </si>
  <si>
    <t>[3.62, 2.22, 6.01, nan]</t>
  </si>
  <si>
    <t>[31.03, 5.22, 2.66, nan]</t>
  </si>
  <si>
    <t>[8.03, 5.95, 6.19, nan]</t>
  </si>
  <si>
    <t>[32.46, 3.57, 4.37, nan]</t>
  </si>
  <si>
    <t>[7.97, 6.74, 4.45, nan]</t>
  </si>
  <si>
    <t>[8.64, 4.77, 8.61, nan]</t>
  </si>
  <si>
    <t>[10.17, 5.7, 7.14, nan]</t>
  </si>
  <si>
    <t>[12.84, 15.03, 9.13, 10.24]</t>
  </si>
  <si>
    <t>[10.57, 9.88, 5.43, nan]</t>
  </si>
  <si>
    <t>[nan, 7.78, 8.94, nan]</t>
  </si>
  <si>
    <t>[0.76, 19.02, 23.05, nan]</t>
  </si>
  <si>
    <t>[7.71, 5.4, 7.05, nan]</t>
  </si>
  <si>
    <t>[11.73, 6.18, 6.51, nan]</t>
  </si>
  <si>
    <t>[11.42, 8.32, 8.12, nan]</t>
  </si>
  <si>
    <t>[nan, nan, 2.77, nan]</t>
  </si>
  <si>
    <t>[12.98, 8.53, 13.97, nan]</t>
  </si>
  <si>
    <t>[18.31, 12.01, 10.74, nan]</t>
  </si>
  <si>
    <t>[11.21, 10.65, 7.64, nan]</t>
  </si>
  <si>
    <t>[14.98, 10.58, 1.96, nan]</t>
  </si>
  <si>
    <t>[5.81, 5.18, 4.15, nan]</t>
  </si>
  <si>
    <t>[5.62, 6.01, 10.74, 38.9]</t>
  </si>
  <si>
    <t>[6.76, 10.46, 6.75, nan]</t>
  </si>
  <si>
    <t>[nan, nan, 3.0, nan]</t>
  </si>
  <si>
    <t>[18.77, 4.93, 6.92, nan]</t>
  </si>
  <si>
    <t>[6.06, 5.16, 5.75, nan]</t>
  </si>
  <si>
    <t>[13.89, 5.73, 4.46, nan]</t>
  </si>
  <si>
    <t>[8.32, 28.21, 11.99, nan]</t>
  </si>
  <si>
    <t>[18.75, 5.01, 6.89, nan]</t>
  </si>
  <si>
    <t>[2.96, 3.12, 5.73, 14.36]</t>
  </si>
  <si>
    <t>[5.11, 14.55, 1.52, nan]</t>
  </si>
  <si>
    <t>[5.15, 11.52, 5.4, nan]</t>
  </si>
  <si>
    <t>[nan, nan, 11.08, nan]</t>
  </si>
  <si>
    <t>[4.95, 5.06, 4.07, nan]</t>
  </si>
  <si>
    <t>[6.87, 6.15, 5.84, nan]</t>
  </si>
  <si>
    <t>[nan, 28.95, 8.16, nan]</t>
  </si>
  <si>
    <t>[10.24, 8.58, 8.19, nan]</t>
  </si>
  <si>
    <t>[8.18, 7.11, 4.8, nan]</t>
  </si>
  <si>
    <t>[18.23, 16.17, 9.29, nan]</t>
  </si>
  <si>
    <t>[6.94, 7.61, 7.86, nan]</t>
  </si>
  <si>
    <t>[19.44, 9.1, 6.33, nan]</t>
  </si>
  <si>
    <t>[7.29, 4.68, 4.6, nan]</t>
  </si>
  <si>
    <t>[nan, 4.87, 6.3, nan]</t>
  </si>
  <si>
    <t>[nan, 3.67, 5.07, nan]</t>
  </si>
  <si>
    <t>[nan, nan, nan, 74.6]</t>
  </si>
  <si>
    <t>[nan, nan, 19.32, nan]</t>
  </si>
  <si>
    <t>[14.65, 14.65, 9.46, nan]</t>
  </si>
  <si>
    <t>[nan, nan, 11.59, 170.08]</t>
  </si>
  <si>
    <t>[nan, 5.77, 7.46, nan]</t>
  </si>
  <si>
    <t>[nan, nan, 17.74, nan]</t>
  </si>
  <si>
    <t>[3.52, 3.39, 3.17, nan]</t>
  </si>
  <si>
    <t>[11.95, 11.15, 7.87, nan]</t>
  </si>
  <si>
    <t>[15.55, 18.63, 11.17, nan]</t>
  </si>
  <si>
    <t>[nan, nan, 8.68, 14.6]</t>
  </si>
  <si>
    <t>[nan, 5.87, 9.73, nan]</t>
  </si>
  <si>
    <t>[13.86, 7.07, 5.79, nan]</t>
  </si>
  <si>
    <t>[10.19, 14.34, 8.77, nan]</t>
  </si>
  <si>
    <t>[10.3, 11.15, 7.88, nan]</t>
  </si>
  <si>
    <t>[7.3, 7.13, 12.7, nan]</t>
  </si>
  <si>
    <t>[25.5, 12.28, 8.25, nan]</t>
  </si>
  <si>
    <t>[7.96, 9.85, 9.21, nan]</t>
  </si>
  <si>
    <t>[14.79, 15.47, 12.67, nan]</t>
  </si>
  <si>
    <t>[10.17, 10.35, 9.47, nan]</t>
  </si>
  <si>
    <t>[18.41, 6.28, 12.67, nan]</t>
  </si>
  <si>
    <t>[18.93, 14.5, 10.84, nan]</t>
  </si>
  <si>
    <t>[4.07, 9.49, 23.56, nan]</t>
  </si>
  <si>
    <t>[16.6, 5.27, 7.45, nan]</t>
  </si>
  <si>
    <t>[12.77, 15.15, 8.01, nan]</t>
  </si>
  <si>
    <t>[nan, nan, 8.45, nan]</t>
  </si>
  <si>
    <t>[7.57, 11.4, 11.24, nan]</t>
  </si>
  <si>
    <t>[25.59, 13.09, 16.37, nan]</t>
  </si>
  <si>
    <t>[11.15, 8.57, 9.93, nan]</t>
  </si>
  <si>
    <t>[22.81, 28.25, 7.6, nan]</t>
  </si>
  <si>
    <t>[5.5, 3.86, 15.41, nan]</t>
  </si>
  <si>
    <t>[37.84, 3.46, 12.57, nan]</t>
  </si>
  <si>
    <t>[nan, nan, 13.81, nan]</t>
  </si>
  <si>
    <t>[8.06, 10.09, 5.56, nan]</t>
  </si>
  <si>
    <t>[nan, nan, 12.85, nan]</t>
  </si>
  <si>
    <t>[14.33, 6.1, 27.12, nan]</t>
  </si>
  <si>
    <t>[15.86, 12.95, 12.71, nan]</t>
  </si>
  <si>
    <t>[12.3, 12.8, 12.37, nan]</t>
  </si>
  <si>
    <t>[nan, 11.4, 12.91, nan]</t>
  </si>
  <si>
    <t>[nan, 19.74, 17.97, nan]</t>
  </si>
  <si>
    <t>[nan, nan, 8.1, 7.21]</t>
  </si>
  <si>
    <t>[22.46, 19.81, 16.62, nan]</t>
  </si>
  <si>
    <t>[8.51, 17.08, 113.98, nan]</t>
  </si>
  <si>
    <t>[7.99, 3.88, 7.18, nan]</t>
  </si>
  <si>
    <t>[9.46, 5.88, 22.26, nan]</t>
  </si>
  <si>
    <t>[nan, nan, 8.08, nan]</t>
  </si>
  <si>
    <t>[17.58, 19.56, 13.28, nan]</t>
  </si>
  <si>
    <t>[14.56, 8.32, 6.24, nan]</t>
  </si>
  <si>
    <t>[9.48, 12.81, 7.23, nan]</t>
  </si>
  <si>
    <t>[5.23, 2.83, 34.03, nan]</t>
  </si>
  <si>
    <t>[38.91, 7.04, 4.12, nan]</t>
  </si>
  <si>
    <t>[25.42, 11.25, 11.37, 8.33]</t>
  </si>
  <si>
    <t>[31.08, 156.96, 1.46, nan]</t>
  </si>
  <si>
    <t>[10.01, 8.27, 12.31, nan]</t>
  </si>
  <si>
    <t>[12.37, 10.78, 4.1, nan]</t>
  </si>
  <si>
    <t>[nan, 6.52, 5.57, nan]</t>
  </si>
  <si>
    <t>[39.43, nan, 6.53, nan]</t>
  </si>
  <si>
    <t>[260.15, nan, 5.95, nan]</t>
  </si>
  <si>
    <t>[nan, nan, 10.71, nan]</t>
  </si>
  <si>
    <t>[nan, nan, nan, 6.92]</t>
  </si>
  <si>
    <t>[23.68, 7.77, 7.09, nan]</t>
  </si>
  <si>
    <t>[15.62, 7.12, 15.17, nan]</t>
  </si>
  <si>
    <t>[14.08, 10.46, 10.5, 8.86]</t>
  </si>
  <si>
    <t>[32.91, 19.46, 13.59, nan]</t>
  </si>
  <si>
    <t>[13.99, 7.08, 14.05, nan]</t>
  </si>
  <si>
    <t>[52.47, 14.87, 8.17, nan]</t>
  </si>
  <si>
    <t>[15.95, 15.06, 11.03, nan]</t>
  </si>
  <si>
    <t>[nan, nan, 11.28, nan]</t>
  </si>
  <si>
    <t>[7.07, 7.87, 12.58, nan]</t>
  </si>
  <si>
    <t>[nan, 54.95, 214.72, nan]</t>
  </si>
  <si>
    <t>[nan, 37.28, 31.45, nan]</t>
  </si>
  <si>
    <t>[23.34, 16.33, 11.25, nan]</t>
  </si>
  <si>
    <t>[6.4, 11.77, 12.8, nan]</t>
  </si>
  <si>
    <t>[nan, 17.36, 13.7, nan]</t>
  </si>
  <si>
    <t>[20.84, 15.89, 13.01, nan]</t>
  </si>
  <si>
    <t>[28.51, 9.19, 20.91, nan]</t>
  </si>
  <si>
    <t>[7.5, 3.11, nan, nan]</t>
  </si>
  <si>
    <t>[nan, 3.13, 56.74, nan]</t>
  </si>
  <si>
    <t>[6.92, 5.61, 55.93, nan]</t>
  </si>
  <si>
    <t>[nan, nan, 14.3, nan]</t>
  </si>
  <si>
    <t>[nan, 6.8, 29.75, nan]</t>
  </si>
  <si>
    <t>[nan, nan, 28.44, nan]</t>
  </si>
  <si>
    <t>[24.35, 9.81, 10.71, nan]</t>
  </si>
  <si>
    <t>[9.55, 9.57, 6.6, nan]</t>
  </si>
  <si>
    <t>[nan, 8.46, 7.88, nan]</t>
  </si>
  <si>
    <t>[15.85, 22.78, 12.14, nan]</t>
  </si>
  <si>
    <t>[8.77, 9.43, 12.29, nan]</t>
  </si>
  <si>
    <t>[42.71, 13.4, 9.56, nan]</t>
  </si>
  <si>
    <t>[21.59, 18.62, 17.14, nan]</t>
  </si>
  <si>
    <t>[28.4, 15.1, 15.84, nan]</t>
  </si>
  <si>
    <t>[7.52, 4.3, 5.32, 11.8]</t>
  </si>
  <si>
    <t>[nan, 12.19, 9.49, nan]</t>
  </si>
  <si>
    <t>[nan, 11.05, 12.95, 22.4]</t>
  </si>
  <si>
    <t>[11.19, 4.24, 11.88, nan]</t>
  </si>
  <si>
    <t>[3.55, 10.28, 26.67, nan]</t>
  </si>
  <si>
    <t>[19.87, 13.78, 11.5, 9.83]</t>
  </si>
  <si>
    <t>[21.35, 6.52, 13.61, nan]</t>
  </si>
  <si>
    <t>[30.43, 21.85, 19.83, nan]</t>
  </si>
  <si>
    <t>[10.38, 5.12, 10.06,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</si>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</sst>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3885</v>
      </c>
      <c r="G2">
        <v>-0.07000000000000001</v>
      </c>
      <c r="H2">
        <v>5.06</v>
      </c>
      <c r="I2">
        <v>7549</v>
      </c>
      <c r="J2">
        <v>7244</v>
      </c>
      <c r="K2">
        <v>7157</v>
      </c>
      <c r="L2">
        <v>-94.3</v>
      </c>
      <c r="M2">
        <v>-86.47</v>
      </c>
      <c r="N2">
        <v>-84.22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632</v>
      </c>
      <c r="V2" t="s">
        <v>930</v>
      </c>
      <c r="W2">
        <v>-67.68139716352037</v>
      </c>
      <c r="X2">
        <v>0</v>
      </c>
      <c r="Y2" t="s">
        <v>1228</v>
      </c>
      <c r="Z2">
        <v>19.87917837256776</v>
      </c>
      <c r="AA2">
        <v>1819</v>
      </c>
      <c r="AB2">
        <v>55792</v>
      </c>
      <c r="AC2" t="s">
        <v>1518</v>
      </c>
      <c r="AD2">
        <v>72.18000000000001</v>
      </c>
      <c r="AE2" t="s">
        <v>1816</v>
      </c>
      <c r="AF2" t="s">
        <v>2114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335</v>
      </c>
      <c r="C3">
        <f>HYPERLINK("https://finance.naver.com/item/coinfo.nhn?code=080010", "A080010")</f>
        <v>0</v>
      </c>
      <c r="D3">
        <f>HYPERLINK("http://comp.fnguide.com/SVO2/ASP/SVD_Consensus.asp?pGB=1&amp;gicode=A080010&amp;cID=&amp;MenuYn=Y&amp;ReportGB=&amp;NewMenuID=108&amp;stkGb=701", "이상네트웍스")</f>
        <v>0</v>
      </c>
      <c r="E3">
        <v>3</v>
      </c>
      <c r="F3">
        <v>7450</v>
      </c>
      <c r="G3">
        <v>2.13</v>
      </c>
      <c r="H3">
        <v>7.11</v>
      </c>
      <c r="I3">
        <v>12782</v>
      </c>
      <c r="J3">
        <v>11493</v>
      </c>
      <c r="K3">
        <v>11124</v>
      </c>
      <c r="L3">
        <v>-71.56999999999999</v>
      </c>
      <c r="M3">
        <v>-54.27</v>
      </c>
      <c r="N3">
        <v>-49.32</v>
      </c>
      <c r="O3">
        <v>9.640000000000001</v>
      </c>
      <c r="P3" t="b">
        <v>1</v>
      </c>
      <c r="Q3">
        <v>0</v>
      </c>
      <c r="R3">
        <v>1001</v>
      </c>
      <c r="S3">
        <v>977</v>
      </c>
      <c r="T3">
        <v>-2.4</v>
      </c>
      <c r="U3" t="s">
        <v>633</v>
      </c>
      <c r="V3" t="s">
        <v>931</v>
      </c>
      <c r="W3">
        <v>3.341667904453338</v>
      </c>
      <c r="X3">
        <v>-14.3</v>
      </c>
      <c r="Y3" t="s">
        <v>1229</v>
      </c>
      <c r="Z3">
        <v>22.66101951099477</v>
      </c>
      <c r="AA3">
        <v>672</v>
      </c>
      <c r="AB3">
        <v>12394</v>
      </c>
      <c r="AC3" t="s">
        <v>1519</v>
      </c>
      <c r="AD3">
        <v>50.05</v>
      </c>
      <c r="AE3" t="s">
        <v>1817</v>
      </c>
      <c r="AF3" t="s">
        <v>2115</v>
      </c>
      <c r="AG3">
        <v>582</v>
      </c>
      <c r="AH3">
        <v>75</v>
      </c>
      <c r="AI3">
        <v>98424</v>
      </c>
      <c r="AJ3">
        <v>1.4</v>
      </c>
    </row>
    <row r="4" spans="1:36">
      <c r="A4" s="1" t="s">
        <v>38</v>
      </c>
      <c r="B4" t="s">
        <v>336</v>
      </c>
      <c r="C4">
        <f>HYPERLINK("https://finance.naver.com/item/coinfo.nhn?code=032560", "A032560")</f>
        <v>0</v>
      </c>
      <c r="D4">
        <f>HYPERLINK("http://comp.fnguide.com/SVO2/ASP/SVD_Consensus.asp?pGB=1&amp;gicode=A032560&amp;cID=&amp;MenuYn=Y&amp;ReportGB=&amp;NewMenuID=108&amp;stkGb=701", "황금에스티")</f>
        <v>0</v>
      </c>
      <c r="E4">
        <v>3</v>
      </c>
      <c r="F4">
        <v>9250</v>
      </c>
      <c r="G4">
        <v>-15.43</v>
      </c>
      <c r="H4">
        <v>4.06</v>
      </c>
      <c r="I4">
        <v>19857</v>
      </c>
      <c r="J4">
        <v>18908</v>
      </c>
      <c r="K4">
        <v>18636</v>
      </c>
      <c r="L4">
        <v>-114.68</v>
      </c>
      <c r="M4">
        <v>-104.41</v>
      </c>
      <c r="N4">
        <v>-101.48</v>
      </c>
      <c r="O4">
        <v>8.720000000000001</v>
      </c>
      <c r="P4" t="b">
        <v>1</v>
      </c>
      <c r="Q4">
        <v>0</v>
      </c>
      <c r="R4">
        <v>1720</v>
      </c>
      <c r="S4">
        <v>1422</v>
      </c>
      <c r="T4">
        <v>-17.3</v>
      </c>
      <c r="U4" t="s">
        <v>634</v>
      </c>
      <c r="V4" t="s">
        <v>932</v>
      </c>
      <c r="W4">
        <v>-0.2631774829318645</v>
      </c>
      <c r="X4">
        <v>-59.8</v>
      </c>
      <c r="Y4" t="s">
        <v>1230</v>
      </c>
      <c r="Z4">
        <v>17.46667090324865</v>
      </c>
      <c r="AA4">
        <v>1295</v>
      </c>
      <c r="AB4">
        <v>761819</v>
      </c>
      <c r="AC4" t="s">
        <v>1520</v>
      </c>
      <c r="AD4">
        <v>54.12</v>
      </c>
      <c r="AE4" t="s">
        <v>1818</v>
      </c>
      <c r="AF4" t="s">
        <v>2116</v>
      </c>
      <c r="AG4">
        <v>2436</v>
      </c>
      <c r="AH4">
        <v>188</v>
      </c>
      <c r="AI4">
        <v>1861</v>
      </c>
      <c r="AJ4">
        <v>1.43</v>
      </c>
    </row>
    <row r="5" spans="1:36">
      <c r="A5" s="1" t="s">
        <v>39</v>
      </c>
      <c r="B5" t="s">
        <v>337</v>
      </c>
      <c r="C5">
        <f>HYPERLINK("https://finance.naver.com/item/coinfo.nhn?code=005870", "A005870")</f>
        <v>0</v>
      </c>
      <c r="D5">
        <f>HYPERLINK("http://comp.fnguide.com/SVO2/ASP/SVD_Consensus.asp?pGB=1&amp;gicode=A005870&amp;cID=&amp;MenuYn=Y&amp;ReportGB=&amp;NewMenuID=108&amp;stkGb=701", "휴니드")</f>
        <v>0</v>
      </c>
      <c r="E5">
        <v>3</v>
      </c>
      <c r="F5">
        <v>6180</v>
      </c>
      <c r="G5">
        <v>0</v>
      </c>
      <c r="H5">
        <v>12.89</v>
      </c>
      <c r="I5">
        <v>16045</v>
      </c>
      <c r="J5">
        <v>11730</v>
      </c>
      <c r="K5">
        <v>10495</v>
      </c>
      <c r="L5">
        <v>-159.63</v>
      </c>
      <c r="M5">
        <v>-89.8</v>
      </c>
      <c r="N5">
        <v>-69.81</v>
      </c>
      <c r="O5">
        <v>14.55</v>
      </c>
      <c r="P5" t="b">
        <v>1</v>
      </c>
      <c r="Q5">
        <v>0</v>
      </c>
      <c r="R5">
        <v>564</v>
      </c>
      <c r="U5" t="s">
        <v>635</v>
      </c>
      <c r="V5" t="s">
        <v>933</v>
      </c>
      <c r="W5">
        <v>0</v>
      </c>
      <c r="X5">
        <v>0</v>
      </c>
      <c r="Y5" t="s">
        <v>1231</v>
      </c>
      <c r="Z5">
        <v>53.71002911412943</v>
      </c>
      <c r="AA5">
        <v>872</v>
      </c>
      <c r="AB5">
        <v>200095</v>
      </c>
      <c r="AC5" t="s">
        <v>1521</v>
      </c>
      <c r="AD5">
        <v>22.83</v>
      </c>
      <c r="AE5" t="s">
        <v>1819</v>
      </c>
      <c r="AF5" t="s">
        <v>2117</v>
      </c>
      <c r="AG5">
        <v>1947</v>
      </c>
      <c r="AH5">
        <v>88</v>
      </c>
      <c r="AI5">
        <v>1025525</v>
      </c>
    </row>
    <row r="6" spans="1:36">
      <c r="A6" s="1" t="s">
        <v>40</v>
      </c>
      <c r="B6" t="s">
        <v>338</v>
      </c>
      <c r="C6">
        <f>HYPERLINK("https://finance.naver.com/item/coinfo.nhn?code=094820", "A094820")</f>
        <v>0</v>
      </c>
      <c r="D6">
        <f>HYPERLINK("http://comp.fnguide.com/SVO2/ASP/SVD_Consensus.asp?pGB=1&amp;gicode=A094820&amp;cID=&amp;MenuYn=Y&amp;ReportGB=&amp;NewMenuID=108&amp;stkGb=701", "일진파워")</f>
        <v>0</v>
      </c>
      <c r="E6">
        <v>3</v>
      </c>
      <c r="F6">
        <v>5320</v>
      </c>
      <c r="G6">
        <v>0</v>
      </c>
      <c r="H6">
        <v>6.94</v>
      </c>
      <c r="I6">
        <v>13060</v>
      </c>
      <c r="J6">
        <v>9142</v>
      </c>
      <c r="K6">
        <v>8020</v>
      </c>
      <c r="L6">
        <v>-145.49</v>
      </c>
      <c r="M6">
        <v>-71.83</v>
      </c>
      <c r="N6">
        <v>-50.75</v>
      </c>
      <c r="O6">
        <v>16.06</v>
      </c>
      <c r="P6" t="b">
        <v>1</v>
      </c>
      <c r="Q6">
        <v>0</v>
      </c>
      <c r="R6">
        <v>781</v>
      </c>
      <c r="U6" t="s">
        <v>636</v>
      </c>
      <c r="V6" t="s">
        <v>934</v>
      </c>
      <c r="W6">
        <v>0</v>
      </c>
      <c r="X6">
        <v>19</v>
      </c>
      <c r="Y6" t="s">
        <v>1232</v>
      </c>
      <c r="Z6">
        <v>36.77105102731577</v>
      </c>
      <c r="AA6">
        <v>802</v>
      </c>
      <c r="AB6">
        <v>100975</v>
      </c>
      <c r="AC6" t="s">
        <v>1522</v>
      </c>
      <c r="AD6">
        <v>38.44</v>
      </c>
      <c r="AE6" t="s">
        <v>1820</v>
      </c>
      <c r="AF6" t="s">
        <v>2118</v>
      </c>
      <c r="AG6">
        <v>1828</v>
      </c>
      <c r="AH6">
        <v>144</v>
      </c>
      <c r="AI6">
        <v>361965</v>
      </c>
      <c r="AJ6">
        <v>5.54</v>
      </c>
    </row>
    <row r="7" spans="1:36">
      <c r="A7" s="1" t="s">
        <v>41</v>
      </c>
      <c r="B7" t="s">
        <v>339</v>
      </c>
      <c r="C7">
        <f>HYPERLINK("https://finance.naver.com/item/coinfo.nhn?code=023460", "A023460")</f>
        <v>0</v>
      </c>
      <c r="D7">
        <f>HYPERLINK("http://comp.fnguide.com/SVO2/ASP/SVD_Consensus.asp?pGB=1&amp;gicode=A023460&amp;cID=&amp;MenuYn=Y&amp;ReportGB=&amp;NewMenuID=108&amp;stkGb=701", "CNH")</f>
        <v>0</v>
      </c>
      <c r="E7">
        <v>3</v>
      </c>
      <c r="F7">
        <v>2585</v>
      </c>
      <c r="G7">
        <v>0.04</v>
      </c>
      <c r="H7">
        <v>4.62</v>
      </c>
      <c r="I7">
        <v>3137</v>
      </c>
      <c r="J7">
        <v>3059</v>
      </c>
      <c r="K7">
        <v>3037</v>
      </c>
      <c r="L7">
        <v>-21.34</v>
      </c>
      <c r="M7">
        <v>-18.34</v>
      </c>
      <c r="N7">
        <v>-17.48</v>
      </c>
      <c r="O7">
        <v>8.369999999999999</v>
      </c>
      <c r="P7" t="b">
        <v>1</v>
      </c>
      <c r="Q7">
        <v>2</v>
      </c>
      <c r="R7">
        <v>414</v>
      </c>
      <c r="S7">
        <v>936</v>
      </c>
      <c r="T7">
        <v>126.1</v>
      </c>
      <c r="U7" t="s">
        <v>637</v>
      </c>
      <c r="V7" t="s">
        <v>935</v>
      </c>
      <c r="W7">
        <v>128.8250807917395</v>
      </c>
      <c r="Y7" t="s">
        <v>1233</v>
      </c>
      <c r="Z7">
        <v>0</v>
      </c>
      <c r="AA7">
        <v>962</v>
      </c>
      <c r="AB7">
        <v>126270</v>
      </c>
      <c r="AC7" t="s">
        <v>1523</v>
      </c>
      <c r="AD7">
        <v>65.61</v>
      </c>
      <c r="AE7" t="s">
        <v>1821</v>
      </c>
      <c r="AF7" t="s">
        <v>2119</v>
      </c>
      <c r="AG7">
        <v>405</v>
      </c>
      <c r="AH7">
        <v>211</v>
      </c>
      <c r="AI7">
        <v>2418619</v>
      </c>
      <c r="AJ7">
        <v>1.57</v>
      </c>
    </row>
    <row r="8" spans="1:36">
      <c r="A8" s="1" t="s">
        <v>42</v>
      </c>
      <c r="B8" t="s">
        <v>340</v>
      </c>
      <c r="C8">
        <f>HYPERLINK("https://finance.naver.com/item/coinfo.nhn?code=115310", "A115310")</f>
        <v>0</v>
      </c>
      <c r="D8">
        <f>HYPERLINK("http://comp.fnguide.com/SVO2/ASP/SVD_Consensus.asp?pGB=1&amp;gicode=A115310&amp;cID=&amp;MenuYn=Y&amp;ReportGB=&amp;NewMenuID=108&amp;stkGb=701", "인포바인")</f>
        <v>0</v>
      </c>
      <c r="E8">
        <v>3</v>
      </c>
      <c r="F8">
        <v>19650</v>
      </c>
      <c r="G8">
        <v>0</v>
      </c>
      <c r="H8">
        <v>7.61</v>
      </c>
      <c r="I8">
        <v>60163</v>
      </c>
      <c r="J8">
        <v>47852</v>
      </c>
      <c r="K8">
        <v>44328</v>
      </c>
      <c r="L8">
        <v>-206.17</v>
      </c>
      <c r="M8">
        <v>-143.52</v>
      </c>
      <c r="N8">
        <v>-125.59</v>
      </c>
      <c r="O8">
        <v>12.18</v>
      </c>
      <c r="P8" t="b">
        <v>1</v>
      </c>
      <c r="Q8">
        <v>0</v>
      </c>
      <c r="R8">
        <v>2817</v>
      </c>
      <c r="U8" t="s">
        <v>638</v>
      </c>
      <c r="V8" t="s">
        <v>936</v>
      </c>
      <c r="W8">
        <v>0</v>
      </c>
      <c r="X8">
        <v>-20.8</v>
      </c>
      <c r="Y8" t="s">
        <v>1234</v>
      </c>
      <c r="Z8">
        <v>-6.481430546963185</v>
      </c>
      <c r="AA8">
        <v>627</v>
      </c>
      <c r="AB8">
        <v>2164</v>
      </c>
      <c r="AC8" t="s">
        <v>1524</v>
      </c>
      <c r="AD8">
        <v>17.43</v>
      </c>
      <c r="AE8" t="s">
        <v>1822</v>
      </c>
      <c r="AF8" t="s">
        <v>2120</v>
      </c>
      <c r="AG8">
        <v>193</v>
      </c>
      <c r="AH8">
        <v>95</v>
      </c>
      <c r="AI8">
        <v>1050332</v>
      </c>
      <c r="AJ8">
        <v>4.2</v>
      </c>
    </row>
    <row r="9" spans="1:36">
      <c r="A9" s="1" t="s">
        <v>43</v>
      </c>
      <c r="B9" t="s">
        <v>341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12951</v>
      </c>
      <c r="J9">
        <v>9886</v>
      </c>
      <c r="K9">
        <v>9009</v>
      </c>
      <c r="L9">
        <v>-1261.86</v>
      </c>
      <c r="M9">
        <v>-939.5700000000001</v>
      </c>
      <c r="N9">
        <v>-847.3200000000001</v>
      </c>
      <c r="O9">
        <v>13.25</v>
      </c>
      <c r="P9" t="b">
        <v>0</v>
      </c>
      <c r="Q9">
        <v>0</v>
      </c>
      <c r="R9">
        <v>766</v>
      </c>
      <c r="U9" t="s">
        <v>639</v>
      </c>
      <c r="V9" t="s">
        <v>937</v>
      </c>
      <c r="W9">
        <v>0</v>
      </c>
      <c r="X9">
        <v>-31</v>
      </c>
      <c r="Y9" t="s">
        <v>1235</v>
      </c>
      <c r="Z9">
        <v>-18.25513529688798</v>
      </c>
      <c r="AA9">
        <v>641</v>
      </c>
      <c r="AB9">
        <v>0</v>
      </c>
      <c r="AC9" t="s">
        <v>1525</v>
      </c>
      <c r="AD9">
        <v>38.78</v>
      </c>
      <c r="AE9" t="s">
        <v>1823</v>
      </c>
      <c r="AF9" t="s">
        <v>2121</v>
      </c>
      <c r="AG9">
        <v>3434</v>
      </c>
      <c r="AH9">
        <v>679</v>
      </c>
    </row>
    <row r="10" spans="1:36">
      <c r="A10" s="1" t="s">
        <v>44</v>
      </c>
      <c r="B10" t="s">
        <v>342</v>
      </c>
      <c r="C10">
        <f>HYPERLINK("https://finance.naver.com/item/coinfo.nhn?code=063760", "A063760")</f>
        <v>0</v>
      </c>
      <c r="D10">
        <f>HYPERLINK("http://comp.fnguide.com/SVO2/ASP/SVD_Consensus.asp?pGB=1&amp;gicode=A063760&amp;cID=&amp;MenuYn=Y&amp;ReportGB=&amp;NewMenuID=108&amp;stkGb=701", "이엘피")</f>
        <v>0</v>
      </c>
      <c r="E10">
        <v>3</v>
      </c>
      <c r="F10">
        <v>12300</v>
      </c>
      <c r="G10">
        <v>-0.29</v>
      </c>
      <c r="H10">
        <v>14.4</v>
      </c>
      <c r="I10">
        <v>35455</v>
      </c>
      <c r="J10">
        <v>23693</v>
      </c>
      <c r="K10">
        <v>20327</v>
      </c>
      <c r="L10">
        <v>-188.25</v>
      </c>
      <c r="M10">
        <v>-92.63</v>
      </c>
      <c r="N10">
        <v>-65.26000000000001</v>
      </c>
      <c r="O10">
        <v>17.96</v>
      </c>
      <c r="P10" t="b">
        <v>1</v>
      </c>
      <c r="Q10">
        <v>0</v>
      </c>
      <c r="R10">
        <v>830</v>
      </c>
      <c r="S10">
        <v>439</v>
      </c>
      <c r="T10">
        <v>-47.1</v>
      </c>
      <c r="U10" t="s">
        <v>640</v>
      </c>
      <c r="V10" t="s">
        <v>938</v>
      </c>
      <c r="W10">
        <v>-49.61989360648812</v>
      </c>
      <c r="X10">
        <v>137.1</v>
      </c>
      <c r="Y10" t="s">
        <v>1236</v>
      </c>
      <c r="Z10">
        <v>20.65367337843058</v>
      </c>
      <c r="AA10">
        <v>604</v>
      </c>
      <c r="AB10">
        <v>44279</v>
      </c>
      <c r="AC10" t="s">
        <v>1526</v>
      </c>
      <c r="AD10">
        <v>22.33</v>
      </c>
      <c r="AE10" t="s">
        <v>1824</v>
      </c>
      <c r="AF10" t="s">
        <v>2122</v>
      </c>
      <c r="AG10">
        <v>373</v>
      </c>
      <c r="AH10">
        <v>31</v>
      </c>
      <c r="AI10">
        <v>495870</v>
      </c>
      <c r="AJ10">
        <v>1</v>
      </c>
    </row>
    <row r="11" spans="1:36">
      <c r="A11" s="1" t="s">
        <v>45</v>
      </c>
      <c r="B11" t="s">
        <v>343</v>
      </c>
      <c r="C11">
        <f>HYPERLINK("https://finance.naver.com/item/coinfo.nhn?code=028150", "A028150")</f>
        <v>0</v>
      </c>
      <c r="D11">
        <f>HYPERLINK("http://comp.fnguide.com/SVO2/ASP/SVD_Consensus.asp?pGB=1&amp;gicode=A028150&amp;cID=&amp;MenuYn=Y&amp;ReportGB=&amp;NewMenuID=108&amp;stkGb=701", "GS홈쇼핑")</f>
        <v>0</v>
      </c>
      <c r="E11">
        <v>3</v>
      </c>
      <c r="F11">
        <v>136000</v>
      </c>
      <c r="G11">
        <v>1.25</v>
      </c>
      <c r="H11">
        <v>8.9</v>
      </c>
      <c r="I11">
        <v>257472</v>
      </c>
      <c r="J11">
        <v>218366</v>
      </c>
      <c r="K11">
        <v>207173</v>
      </c>
      <c r="L11">
        <v>-89.31999999999999</v>
      </c>
      <c r="M11">
        <v>-60.56</v>
      </c>
      <c r="N11">
        <v>-52.33</v>
      </c>
      <c r="O11">
        <v>10.74</v>
      </c>
      <c r="P11" t="b">
        <v>1</v>
      </c>
      <c r="Q11">
        <v>1</v>
      </c>
      <c r="R11">
        <v>16696</v>
      </c>
      <c r="S11">
        <v>19262</v>
      </c>
      <c r="T11">
        <v>15.4</v>
      </c>
      <c r="U11" t="s">
        <v>641</v>
      </c>
      <c r="V11" t="s">
        <v>939</v>
      </c>
      <c r="W11">
        <v>7.116580188189259</v>
      </c>
      <c r="X11">
        <v>10.2</v>
      </c>
      <c r="Y11" t="s">
        <v>1237</v>
      </c>
      <c r="Z11">
        <v>8.946077444180499</v>
      </c>
      <c r="AA11">
        <v>8925</v>
      </c>
      <c r="AB11">
        <v>36284</v>
      </c>
      <c r="AC11" t="s">
        <v>1527</v>
      </c>
      <c r="AD11">
        <v>36.1</v>
      </c>
      <c r="AE11" t="s">
        <v>1825</v>
      </c>
      <c r="AF11" t="s">
        <v>2123</v>
      </c>
      <c r="AG11">
        <v>12304</v>
      </c>
      <c r="AH11">
        <v>1211</v>
      </c>
      <c r="AI11">
        <v>600000</v>
      </c>
      <c r="AJ11">
        <v>4.37</v>
      </c>
    </row>
    <row r="12" spans="1:36">
      <c r="A12" s="1" t="s">
        <v>46</v>
      </c>
      <c r="B12" t="s">
        <v>344</v>
      </c>
      <c r="C12">
        <f>HYPERLINK("https://finance.naver.com/item/coinfo.nhn?code=024120", "A024120")</f>
        <v>0</v>
      </c>
      <c r="D12">
        <f>HYPERLINK("http://comp.fnguide.com/SVO2/ASP/SVD_Consensus.asp?pGB=1&amp;gicode=A024120&amp;cID=&amp;MenuYn=Y&amp;ReportGB=&amp;NewMenuID=108&amp;stkGb=701", "KB오토시스")</f>
        <v>0</v>
      </c>
      <c r="E12">
        <v>3</v>
      </c>
      <c r="F12">
        <v>9840</v>
      </c>
      <c r="G12">
        <v>-0.26</v>
      </c>
      <c r="H12">
        <v>6.65</v>
      </c>
      <c r="I12">
        <v>14088</v>
      </c>
      <c r="J12">
        <v>10986</v>
      </c>
      <c r="K12">
        <v>10098</v>
      </c>
      <c r="L12">
        <v>-43.17</v>
      </c>
      <c r="M12">
        <v>-11.65</v>
      </c>
      <c r="N12">
        <v>-2.62</v>
      </c>
      <c r="O12">
        <v>12.68</v>
      </c>
      <c r="P12" t="b">
        <v>1</v>
      </c>
      <c r="Q12">
        <v>0</v>
      </c>
      <c r="R12">
        <v>930</v>
      </c>
      <c r="S12">
        <v>433</v>
      </c>
      <c r="T12">
        <v>-53.4</v>
      </c>
      <c r="U12" t="s">
        <v>642</v>
      </c>
      <c r="V12" t="s">
        <v>940</v>
      </c>
      <c r="W12">
        <v>-25.96306859280337</v>
      </c>
      <c r="X12">
        <v>-77.2</v>
      </c>
      <c r="Y12" t="s">
        <v>1238</v>
      </c>
      <c r="Z12">
        <v>-14.70006033450598</v>
      </c>
      <c r="AA12">
        <v>1132</v>
      </c>
      <c r="AB12">
        <v>633534</v>
      </c>
      <c r="AC12" t="s">
        <v>1528</v>
      </c>
      <c r="AD12">
        <v>72.06999999999999</v>
      </c>
      <c r="AE12" t="s">
        <v>1826</v>
      </c>
      <c r="AF12" t="s">
        <v>2124</v>
      </c>
      <c r="AG12">
        <v>1478</v>
      </c>
      <c r="AH12">
        <v>127</v>
      </c>
      <c r="AJ12">
        <v>3.72</v>
      </c>
    </row>
    <row r="13" spans="1:36">
      <c r="A13" s="1" t="s">
        <v>47</v>
      </c>
      <c r="B13" t="s">
        <v>345</v>
      </c>
      <c r="C13">
        <f>HYPERLINK("https://finance.naver.com/item/coinfo.nhn?code=151860", "A151860")</f>
        <v>0</v>
      </c>
      <c r="D13">
        <f>HYPERLINK("http://comp.fnguide.com/SVO2/ASP/SVD_Consensus.asp?pGB=1&amp;gicode=A151860&amp;cID=&amp;MenuYn=Y&amp;ReportGB=&amp;NewMenuID=108&amp;stkGb=701", "KG ETS")</f>
        <v>0</v>
      </c>
      <c r="E13">
        <v>3</v>
      </c>
      <c r="F13">
        <v>6650</v>
      </c>
      <c r="G13">
        <v>0</v>
      </c>
      <c r="H13">
        <v>1.22</v>
      </c>
      <c r="I13">
        <v>25187</v>
      </c>
      <c r="J13">
        <v>14292</v>
      </c>
      <c r="K13">
        <v>11174</v>
      </c>
      <c r="L13">
        <v>-278.75</v>
      </c>
      <c r="M13">
        <v>-114.92</v>
      </c>
      <c r="N13">
        <v>-68.03</v>
      </c>
      <c r="O13">
        <v>28.81</v>
      </c>
      <c r="P13" t="b">
        <v>0</v>
      </c>
      <c r="Q13">
        <v>0</v>
      </c>
      <c r="R13">
        <v>2716</v>
      </c>
      <c r="U13" t="s">
        <v>643</v>
      </c>
      <c r="V13" t="s">
        <v>941</v>
      </c>
      <c r="W13">
        <v>0</v>
      </c>
      <c r="X13">
        <v>94.09999999999999</v>
      </c>
      <c r="Y13" t="s">
        <v>1239</v>
      </c>
      <c r="Z13">
        <v>56.50475027169708</v>
      </c>
      <c r="AA13">
        <v>2394</v>
      </c>
      <c r="AB13">
        <v>1901058</v>
      </c>
      <c r="AC13" t="s">
        <v>1529</v>
      </c>
      <c r="AD13">
        <v>46.5</v>
      </c>
      <c r="AE13" t="s">
        <v>1827</v>
      </c>
      <c r="AF13" t="s">
        <v>2125</v>
      </c>
      <c r="AG13">
        <v>1609</v>
      </c>
      <c r="AH13">
        <v>159</v>
      </c>
      <c r="AI13">
        <v>1433682</v>
      </c>
      <c r="AJ13">
        <v>3.31</v>
      </c>
    </row>
    <row r="14" spans="1:36">
      <c r="A14" s="1" t="s">
        <v>48</v>
      </c>
      <c r="B14" t="s">
        <v>346</v>
      </c>
      <c r="C14">
        <f>HYPERLINK("https://finance.naver.com/item/coinfo.nhn?code=001450", "A001450")</f>
        <v>0</v>
      </c>
      <c r="D14">
        <f>HYPERLINK("http://comp.fnguide.com/SVO2/ASP/SVD_Consensus.asp?pGB=1&amp;gicode=A001450&amp;cID=&amp;MenuYn=Y&amp;ReportGB=&amp;NewMenuID=108&amp;stkGb=701", "현대해상")</f>
        <v>0</v>
      </c>
      <c r="E14">
        <v>3</v>
      </c>
      <c r="F14">
        <v>21900</v>
      </c>
      <c r="G14">
        <v>-0.85</v>
      </c>
      <c r="H14">
        <v>8.949999999999999</v>
      </c>
      <c r="I14">
        <v>65148</v>
      </c>
      <c r="J14">
        <v>60288</v>
      </c>
      <c r="K14">
        <v>58896</v>
      </c>
      <c r="L14">
        <v>-197.48</v>
      </c>
      <c r="M14">
        <v>-175.29</v>
      </c>
      <c r="N14">
        <v>-168.93</v>
      </c>
      <c r="O14">
        <v>9.16</v>
      </c>
      <c r="P14" t="b">
        <v>1</v>
      </c>
      <c r="Q14">
        <v>1</v>
      </c>
      <c r="R14">
        <v>3011</v>
      </c>
      <c r="S14">
        <v>3712</v>
      </c>
      <c r="T14">
        <v>23.3</v>
      </c>
      <c r="U14" t="s">
        <v>644</v>
      </c>
      <c r="V14" t="s">
        <v>942</v>
      </c>
      <c r="W14">
        <v>-10.59026726384014</v>
      </c>
      <c r="X14">
        <v>9.5</v>
      </c>
      <c r="Y14" t="s">
        <v>1240</v>
      </c>
      <c r="Z14">
        <v>11.32180973390236</v>
      </c>
      <c r="AA14">
        <v>19579</v>
      </c>
      <c r="AB14">
        <v>928425</v>
      </c>
      <c r="AC14" t="s">
        <v>1530</v>
      </c>
      <c r="AD14">
        <v>22.54</v>
      </c>
      <c r="AE14" t="s">
        <v>1828</v>
      </c>
      <c r="AF14" t="s">
        <v>2126</v>
      </c>
      <c r="AG14">
        <v>134844</v>
      </c>
      <c r="AH14">
        <v>3953</v>
      </c>
      <c r="AI14">
        <v>10325500</v>
      </c>
      <c r="AJ14">
        <v>3.27</v>
      </c>
    </row>
    <row r="15" spans="1:36">
      <c r="A15" s="1" t="s">
        <v>49</v>
      </c>
      <c r="B15" t="s">
        <v>347</v>
      </c>
      <c r="C15">
        <f>HYPERLINK("https://finance.naver.com/item/coinfo.nhn?code=078020", "A078020")</f>
        <v>0</v>
      </c>
      <c r="D15">
        <f>HYPERLINK("http://comp.fnguide.com/SVO2/ASP/SVD_Consensus.asp?pGB=1&amp;gicode=A078020&amp;cID=&amp;MenuYn=Y&amp;ReportGB=&amp;NewMenuID=108&amp;stkGb=701", "이베스트투자증권")</f>
        <v>0</v>
      </c>
      <c r="E15">
        <v>3</v>
      </c>
      <c r="F15">
        <v>6760</v>
      </c>
      <c r="G15">
        <v>0.25</v>
      </c>
      <c r="H15">
        <v>5.49</v>
      </c>
      <c r="I15">
        <v>12935</v>
      </c>
      <c r="J15">
        <v>11294</v>
      </c>
      <c r="K15">
        <v>10824</v>
      </c>
      <c r="L15">
        <v>-91.34999999999999</v>
      </c>
      <c r="M15">
        <v>-67.06999999999999</v>
      </c>
      <c r="N15">
        <v>-60.12</v>
      </c>
      <c r="O15">
        <v>10.17</v>
      </c>
      <c r="P15" t="b">
        <v>1</v>
      </c>
      <c r="Q15">
        <v>2</v>
      </c>
      <c r="R15">
        <v>1020</v>
      </c>
      <c r="S15">
        <v>1750</v>
      </c>
      <c r="T15">
        <v>71.59999999999999</v>
      </c>
      <c r="U15" t="s">
        <v>645</v>
      </c>
      <c r="V15" t="s">
        <v>943</v>
      </c>
      <c r="W15">
        <v>22.16891874727549</v>
      </c>
      <c r="X15">
        <v>19.4</v>
      </c>
      <c r="Y15" t="s">
        <v>1241</v>
      </c>
      <c r="Z15">
        <v>11.11573099594876</v>
      </c>
      <c r="AA15">
        <v>3751</v>
      </c>
      <c r="AB15">
        <v>210728</v>
      </c>
      <c r="AC15" t="s">
        <v>1531</v>
      </c>
      <c r="AD15">
        <v>62.45</v>
      </c>
      <c r="AE15" t="s">
        <v>1829</v>
      </c>
      <c r="AF15" t="s">
        <v>2127</v>
      </c>
      <c r="AG15">
        <v>1893</v>
      </c>
      <c r="AH15">
        <v>705</v>
      </c>
      <c r="AI15">
        <v>5075498</v>
      </c>
      <c r="AJ15">
        <v>6.16</v>
      </c>
    </row>
    <row r="16" spans="1:36">
      <c r="A16" s="1" t="s">
        <v>50</v>
      </c>
      <c r="B16" t="s">
        <v>348</v>
      </c>
      <c r="C16">
        <f>HYPERLINK("https://finance.naver.com/item/coinfo.nhn?code=024940", "A024940")</f>
        <v>0</v>
      </c>
      <c r="D16">
        <f>HYPERLINK("http://comp.fnguide.com/SVO2/ASP/SVD_Consensus.asp?pGB=1&amp;gicode=A024940&amp;cID=&amp;MenuYn=Y&amp;ReportGB=&amp;NewMenuID=108&amp;stkGb=701", "PN풍년")</f>
        <v>0</v>
      </c>
      <c r="E16">
        <v>3</v>
      </c>
      <c r="F16">
        <v>4105</v>
      </c>
      <c r="G16">
        <v>0</v>
      </c>
      <c r="H16">
        <v>4.11</v>
      </c>
      <c r="I16">
        <v>5139</v>
      </c>
      <c r="J16">
        <v>4639</v>
      </c>
      <c r="K16">
        <v>4495</v>
      </c>
      <c r="L16">
        <v>-25.2</v>
      </c>
      <c r="M16">
        <v>-13</v>
      </c>
      <c r="N16">
        <v>-9.51</v>
      </c>
      <c r="O16">
        <v>9.58</v>
      </c>
      <c r="P16" t="b">
        <v>1</v>
      </c>
      <c r="Q16">
        <v>0</v>
      </c>
      <c r="R16">
        <v>542</v>
      </c>
      <c r="U16" t="s">
        <v>646</v>
      </c>
      <c r="V16" t="s">
        <v>944</v>
      </c>
      <c r="W16">
        <v>0</v>
      </c>
      <c r="X16">
        <v>-48</v>
      </c>
      <c r="Y16" t="s">
        <v>1242</v>
      </c>
      <c r="Z16">
        <v>16.38312116011171</v>
      </c>
      <c r="AA16">
        <v>411</v>
      </c>
      <c r="AB16">
        <v>108398</v>
      </c>
      <c r="AC16" t="s">
        <v>1532</v>
      </c>
      <c r="AD16">
        <v>38.07</v>
      </c>
      <c r="AE16" t="s">
        <v>1830</v>
      </c>
      <c r="AF16" t="s">
        <v>2128</v>
      </c>
      <c r="AG16">
        <v>546</v>
      </c>
      <c r="AH16">
        <v>-13</v>
      </c>
      <c r="AI16">
        <v>1101320</v>
      </c>
      <c r="AJ16">
        <v>1.12</v>
      </c>
    </row>
    <row r="17" spans="1:36">
      <c r="A17" s="1" t="s">
        <v>51</v>
      </c>
      <c r="B17" t="s">
        <v>349</v>
      </c>
      <c r="C17">
        <f>HYPERLINK("https://finance.naver.com/item/coinfo.nhn?code=091340", "A091340")</f>
        <v>0</v>
      </c>
      <c r="D17">
        <f>HYPERLINK("http://comp.fnguide.com/SVO2/ASP/SVD_Consensus.asp?pGB=1&amp;gicode=A091340&amp;cID=&amp;MenuYn=Y&amp;ReportGB=&amp;NewMenuID=108&amp;stkGb=701", "S&amp;K폴리텍")</f>
        <v>0</v>
      </c>
      <c r="E17">
        <v>3</v>
      </c>
      <c r="F17">
        <v>5110</v>
      </c>
      <c r="G17">
        <v>0</v>
      </c>
      <c r="H17">
        <v>6.46</v>
      </c>
      <c r="I17">
        <v>14290</v>
      </c>
      <c r="J17">
        <v>10473</v>
      </c>
      <c r="K17">
        <v>9380</v>
      </c>
      <c r="L17">
        <v>-179.65</v>
      </c>
      <c r="M17">
        <v>-104.95</v>
      </c>
      <c r="N17">
        <v>-83.56</v>
      </c>
      <c r="O17">
        <v>14.47</v>
      </c>
      <c r="P17" t="b">
        <v>1</v>
      </c>
      <c r="Q17">
        <v>0</v>
      </c>
      <c r="R17">
        <v>1311</v>
      </c>
      <c r="U17" t="s">
        <v>647</v>
      </c>
      <c r="V17" t="s">
        <v>945</v>
      </c>
      <c r="W17">
        <v>0</v>
      </c>
      <c r="X17">
        <v>0</v>
      </c>
      <c r="Y17" t="s">
        <v>1243</v>
      </c>
      <c r="Z17">
        <v>55.80898779645362</v>
      </c>
      <c r="AA17">
        <v>598</v>
      </c>
      <c r="AB17">
        <v>159872</v>
      </c>
      <c r="AC17" t="s">
        <v>1533</v>
      </c>
      <c r="AD17">
        <v>42.34</v>
      </c>
      <c r="AE17" t="s">
        <v>1831</v>
      </c>
      <c r="AF17" t="s">
        <v>2129</v>
      </c>
      <c r="AG17">
        <v>3380</v>
      </c>
      <c r="AH17">
        <v>257</v>
      </c>
      <c r="AI17">
        <v>494438</v>
      </c>
    </row>
    <row r="18" spans="1:36">
      <c r="A18" s="1" t="s">
        <v>52</v>
      </c>
      <c r="B18" t="s">
        <v>350</v>
      </c>
      <c r="C18">
        <f>HYPERLINK("https://finance.naver.com/item/coinfo.nhn?code=255220", "A255220")</f>
        <v>0</v>
      </c>
      <c r="D18">
        <f>HYPERLINK("http://comp.fnguide.com/SVO2/ASP/SVD_Consensus.asp?pGB=1&amp;gicode=A255220&amp;cID=&amp;MenuYn=Y&amp;ReportGB=&amp;NewMenuID=108&amp;stkGb=701", "SG")</f>
        <v>0</v>
      </c>
      <c r="E18">
        <v>3</v>
      </c>
      <c r="F18">
        <v>2050</v>
      </c>
      <c r="G18">
        <v>0</v>
      </c>
      <c r="H18">
        <v>8.06</v>
      </c>
      <c r="I18">
        <v>5979</v>
      </c>
      <c r="J18">
        <v>3736</v>
      </c>
      <c r="K18">
        <v>3094</v>
      </c>
      <c r="L18">
        <v>-191.67</v>
      </c>
      <c r="M18">
        <v>-82.25</v>
      </c>
      <c r="N18">
        <v>-50.93</v>
      </c>
      <c r="O18">
        <v>21.44</v>
      </c>
      <c r="P18" t="b">
        <v>1</v>
      </c>
      <c r="Q18">
        <v>0</v>
      </c>
      <c r="R18">
        <v>277</v>
      </c>
      <c r="U18" t="s">
        <v>648</v>
      </c>
      <c r="V18" t="s">
        <v>946</v>
      </c>
      <c r="W18">
        <v>0</v>
      </c>
      <c r="X18">
        <v>0</v>
      </c>
      <c r="Y18" t="s">
        <v>1244</v>
      </c>
      <c r="Z18">
        <v>-0.7273008337143727</v>
      </c>
      <c r="AA18">
        <v>753</v>
      </c>
      <c r="AB18">
        <v>64776</v>
      </c>
      <c r="AC18" t="s">
        <v>1534</v>
      </c>
      <c r="AD18">
        <v>40.46</v>
      </c>
      <c r="AE18" t="s">
        <v>1832</v>
      </c>
      <c r="AF18" t="s">
        <v>2130</v>
      </c>
      <c r="AG18">
        <v>1328</v>
      </c>
      <c r="AH18">
        <v>128</v>
      </c>
      <c r="AI18">
        <v>5117492</v>
      </c>
    </row>
    <row r="19" spans="1:36">
      <c r="A19" s="1" t="s">
        <v>53</v>
      </c>
      <c r="B19" t="s">
        <v>351</v>
      </c>
      <c r="C19">
        <f>HYPERLINK("https://finance.naver.com/item/coinfo.nhn?code=016250", "A016250")</f>
        <v>0</v>
      </c>
      <c r="D19">
        <f>HYPERLINK("http://comp.fnguide.com/SVO2/ASP/SVD_Consensus.asp?pGB=1&amp;gicode=A016250&amp;cID=&amp;MenuYn=Y&amp;ReportGB=&amp;NewMenuID=108&amp;stkGb=701", "SGC이테크건설")</f>
        <v>0</v>
      </c>
      <c r="E19">
        <v>3</v>
      </c>
      <c r="F19">
        <v>50600</v>
      </c>
      <c r="G19">
        <v>0.04</v>
      </c>
      <c r="H19">
        <v>4.58</v>
      </c>
      <c r="I19">
        <v>256111</v>
      </c>
      <c r="J19">
        <v>229849</v>
      </c>
      <c r="K19">
        <v>222332</v>
      </c>
      <c r="L19">
        <v>-406.15</v>
      </c>
      <c r="M19">
        <v>-354.25</v>
      </c>
      <c r="N19">
        <v>-339.39</v>
      </c>
      <c r="O19">
        <v>9.68</v>
      </c>
      <c r="P19" t="b">
        <v>1</v>
      </c>
      <c r="Q19">
        <v>1</v>
      </c>
      <c r="R19">
        <v>6923</v>
      </c>
      <c r="S19">
        <v>114486</v>
      </c>
      <c r="T19">
        <v>1553.7</v>
      </c>
      <c r="U19" t="s">
        <v>649</v>
      </c>
      <c r="V19" t="s">
        <v>947</v>
      </c>
      <c r="W19">
        <v>122.8043800247067</v>
      </c>
      <c r="X19">
        <v>-14.2</v>
      </c>
      <c r="Y19" t="s">
        <v>1245</v>
      </c>
      <c r="Z19">
        <v>-6.97344333923623</v>
      </c>
      <c r="AA19">
        <v>1024</v>
      </c>
      <c r="AB19">
        <v>5871</v>
      </c>
      <c r="AC19" t="s">
        <v>1535</v>
      </c>
      <c r="AD19">
        <v>49.71</v>
      </c>
      <c r="AE19" t="s">
        <v>1833</v>
      </c>
      <c r="AF19" t="s">
        <v>2131</v>
      </c>
      <c r="AG19">
        <v>16985</v>
      </c>
      <c r="AH19">
        <v>770</v>
      </c>
      <c r="AI19">
        <v>182423</v>
      </c>
      <c r="AJ19">
        <v>4.73</v>
      </c>
    </row>
    <row r="20" spans="1:36">
      <c r="A20" s="1" t="s">
        <v>54</v>
      </c>
      <c r="B20" t="s">
        <v>352</v>
      </c>
      <c r="C20">
        <f>HYPERLINK("https://finance.naver.com/item/coinfo.nhn?code=024800", "A024800")</f>
        <v>0</v>
      </c>
      <c r="D20">
        <f>HYPERLINK("http://comp.fnguide.com/SVO2/ASP/SVD_Consensus.asp?pGB=1&amp;gicode=A024800&amp;cID=&amp;MenuYn=Y&amp;ReportGB=&amp;NewMenuID=108&amp;stkGb=701", "유성티엔에스")</f>
        <v>0</v>
      </c>
      <c r="E20">
        <v>3</v>
      </c>
      <c r="F20">
        <v>2970</v>
      </c>
      <c r="G20">
        <v>0</v>
      </c>
      <c r="H20">
        <v>3.62</v>
      </c>
      <c r="I20">
        <v>9653</v>
      </c>
      <c r="J20">
        <v>8797</v>
      </c>
      <c r="K20">
        <v>8552</v>
      </c>
      <c r="L20">
        <v>-225.01</v>
      </c>
      <c r="M20">
        <v>-196.21</v>
      </c>
      <c r="N20">
        <v>-187.96</v>
      </c>
      <c r="O20">
        <v>9.41</v>
      </c>
      <c r="P20" t="b">
        <v>1</v>
      </c>
      <c r="Q20">
        <v>0</v>
      </c>
      <c r="R20">
        <v>780</v>
      </c>
      <c r="U20" t="s">
        <v>650</v>
      </c>
      <c r="V20" t="s">
        <v>948</v>
      </c>
      <c r="W20">
        <v>0</v>
      </c>
      <c r="X20">
        <v>61.8</v>
      </c>
      <c r="Y20" t="s">
        <v>1246</v>
      </c>
      <c r="Z20">
        <v>36.85179602933748</v>
      </c>
      <c r="AA20">
        <v>808</v>
      </c>
      <c r="AB20">
        <v>301313</v>
      </c>
      <c r="AC20" t="s">
        <v>1536</v>
      </c>
      <c r="AD20">
        <v>48.23</v>
      </c>
      <c r="AE20" t="s">
        <v>1834</v>
      </c>
      <c r="AF20" t="s">
        <v>2132</v>
      </c>
      <c r="AG20">
        <v>3581</v>
      </c>
      <c r="AH20">
        <v>74</v>
      </c>
      <c r="AI20">
        <v>3652884</v>
      </c>
      <c r="AJ20">
        <v>0.53</v>
      </c>
    </row>
    <row r="21" spans="1:36">
      <c r="A21" s="1" t="s">
        <v>55</v>
      </c>
      <c r="B21" t="s">
        <v>353</v>
      </c>
      <c r="C21">
        <f>HYPERLINK("https://finance.naver.com/item/coinfo.nhn?code=900280", "A900280")</f>
        <v>0</v>
      </c>
      <c r="D21">
        <f>HYPERLINK("http://comp.fnguide.com/SVO2/ASP/SVD_Consensus.asp?pGB=1&amp;gicode=A900280&amp;cID=&amp;MenuYn=Y&amp;ReportGB=&amp;NewMenuID=108&amp;stkGb=701", "골든센츄리")</f>
        <v>0</v>
      </c>
      <c r="E21">
        <v>3</v>
      </c>
      <c r="F21">
        <v>434</v>
      </c>
      <c r="G21">
        <v>0</v>
      </c>
      <c r="H21">
        <v>1.46</v>
      </c>
      <c r="I21">
        <v>2310</v>
      </c>
      <c r="J21">
        <v>1742</v>
      </c>
      <c r="K21">
        <v>1579</v>
      </c>
      <c r="L21">
        <v>-432.34</v>
      </c>
      <c r="M21">
        <v>-301.39</v>
      </c>
      <c r="N21">
        <v>-263.91</v>
      </c>
      <c r="O21">
        <v>13.6</v>
      </c>
      <c r="P21" t="b">
        <v>0</v>
      </c>
      <c r="Q21">
        <v>0</v>
      </c>
      <c r="R21">
        <v>214</v>
      </c>
      <c r="U21" t="s">
        <v>651</v>
      </c>
      <c r="V21" t="s">
        <v>949</v>
      </c>
      <c r="W21">
        <v>0</v>
      </c>
      <c r="X21">
        <v>-40.4</v>
      </c>
      <c r="Y21" t="s">
        <v>1247</v>
      </c>
      <c r="Z21">
        <v>-27.02939912100937</v>
      </c>
      <c r="AA21">
        <v>689</v>
      </c>
      <c r="AB21">
        <v>24219965</v>
      </c>
      <c r="AC21" t="s">
        <v>1537</v>
      </c>
      <c r="AD21">
        <v>28.29</v>
      </c>
      <c r="AE21" t="s">
        <v>1835</v>
      </c>
      <c r="AF21" t="s">
        <v>2133</v>
      </c>
      <c r="AG21">
        <v>1131</v>
      </c>
      <c r="AH21">
        <v>294</v>
      </c>
    </row>
    <row r="22" spans="1:36">
      <c r="A22" s="1" t="s">
        <v>56</v>
      </c>
      <c r="B22" t="s">
        <v>354</v>
      </c>
      <c r="C22">
        <f>HYPERLINK("https://finance.naver.com/item/coinfo.nhn?code=900340", "A900340")</f>
        <v>0</v>
      </c>
      <c r="D22">
        <f>HYPERLINK("http://comp.fnguide.com/SVO2/ASP/SVD_Consensus.asp?pGB=1&amp;gicode=A900340&amp;cID=&amp;MenuYn=Y&amp;ReportGB=&amp;NewMenuID=108&amp;stkGb=701", "윙입푸드")</f>
        <v>0</v>
      </c>
      <c r="E22">
        <v>3</v>
      </c>
      <c r="F22">
        <v>1305</v>
      </c>
      <c r="G22">
        <v>-0.35</v>
      </c>
      <c r="H22">
        <v>9.08</v>
      </c>
      <c r="I22">
        <v>6081</v>
      </c>
      <c r="J22">
        <v>3687</v>
      </c>
      <c r="K22">
        <v>3001</v>
      </c>
      <c r="L22">
        <v>-365.98</v>
      </c>
      <c r="M22">
        <v>-182.5</v>
      </c>
      <c r="N22">
        <v>-129.98</v>
      </c>
      <c r="O22">
        <v>23.37</v>
      </c>
      <c r="P22" t="b">
        <v>0</v>
      </c>
      <c r="Q22">
        <v>0</v>
      </c>
      <c r="R22">
        <v>236</v>
      </c>
      <c r="S22">
        <v>225</v>
      </c>
      <c r="T22">
        <v>-4.7</v>
      </c>
      <c r="U22" t="s">
        <v>652</v>
      </c>
      <c r="V22" t="s">
        <v>950</v>
      </c>
      <c r="W22">
        <v>-26.19011425432258</v>
      </c>
      <c r="X22">
        <v>-29.5</v>
      </c>
      <c r="Y22" t="s">
        <v>1248</v>
      </c>
      <c r="Z22">
        <v>0</v>
      </c>
      <c r="AA22">
        <v>626</v>
      </c>
      <c r="AB22">
        <v>308135</v>
      </c>
      <c r="AC22" t="s">
        <v>1538</v>
      </c>
      <c r="AD22">
        <v>47.42</v>
      </c>
      <c r="AE22" t="s">
        <v>1836</v>
      </c>
      <c r="AF22" t="s">
        <v>2134</v>
      </c>
      <c r="AG22">
        <v>1116</v>
      </c>
      <c r="AH22">
        <v>190</v>
      </c>
    </row>
    <row r="23" spans="1:36">
      <c r="A23" s="1" t="s">
        <v>57</v>
      </c>
      <c r="B23" t="s">
        <v>355</v>
      </c>
      <c r="C23">
        <f>HYPERLINK("https://finance.naver.com/item/coinfo.nhn?code=066620", "A066620")</f>
        <v>0</v>
      </c>
      <c r="D23">
        <f>HYPERLINK("http://comp.fnguide.com/SVO2/ASP/SVD_Consensus.asp?pGB=1&amp;gicode=A066620&amp;cID=&amp;MenuYn=Y&amp;ReportGB=&amp;NewMenuID=108&amp;stkGb=701", "국보디자인")</f>
        <v>0</v>
      </c>
      <c r="E23">
        <v>3</v>
      </c>
      <c r="F23">
        <v>19500</v>
      </c>
      <c r="G23">
        <v>0</v>
      </c>
      <c r="H23">
        <v>8.02</v>
      </c>
      <c r="I23">
        <v>30701</v>
      </c>
      <c r="J23">
        <v>23061</v>
      </c>
      <c r="K23">
        <v>20874</v>
      </c>
      <c r="L23">
        <v>-57.44</v>
      </c>
      <c r="M23">
        <v>-18.26</v>
      </c>
      <c r="N23">
        <v>-7.04</v>
      </c>
      <c r="O23">
        <v>13.71</v>
      </c>
      <c r="P23" t="b">
        <v>1</v>
      </c>
      <c r="Q23">
        <v>0</v>
      </c>
      <c r="R23">
        <v>2126</v>
      </c>
      <c r="U23" t="s">
        <v>653</v>
      </c>
      <c r="V23" t="s">
        <v>951</v>
      </c>
      <c r="W23">
        <v>0</v>
      </c>
      <c r="X23">
        <v>21.4</v>
      </c>
      <c r="Y23" t="s">
        <v>1249</v>
      </c>
      <c r="Z23">
        <v>12.42884827928215</v>
      </c>
      <c r="AA23">
        <v>1463</v>
      </c>
      <c r="AB23">
        <v>68518</v>
      </c>
      <c r="AC23" t="s">
        <v>1539</v>
      </c>
      <c r="AD23">
        <v>53.09</v>
      </c>
      <c r="AE23" t="s">
        <v>1837</v>
      </c>
      <c r="AF23" t="s">
        <v>2135</v>
      </c>
      <c r="AG23">
        <v>2690</v>
      </c>
      <c r="AH23">
        <v>116</v>
      </c>
      <c r="AI23">
        <v>627314</v>
      </c>
      <c r="AJ23">
        <v>1.76</v>
      </c>
    </row>
    <row r="24" spans="1:36">
      <c r="A24" s="1" t="s">
        <v>58</v>
      </c>
      <c r="B24" t="s">
        <v>356</v>
      </c>
      <c r="C24">
        <f>HYPERLINK("https://finance.naver.com/item/coinfo.nhn?code=090470", "A090470")</f>
        <v>0</v>
      </c>
      <c r="D24">
        <f>HYPERLINK("http://comp.fnguide.com/SVO2/ASP/SVD_Consensus.asp?pGB=1&amp;gicode=A090470&amp;cID=&amp;MenuYn=Y&amp;ReportGB=&amp;NewMenuID=108&amp;stkGb=701", "제이스텍")</f>
        <v>0</v>
      </c>
      <c r="E24">
        <v>3</v>
      </c>
      <c r="F24">
        <v>7500</v>
      </c>
      <c r="G24">
        <v>0</v>
      </c>
      <c r="H24">
        <v>129.11</v>
      </c>
      <c r="I24">
        <v>17931</v>
      </c>
      <c r="J24">
        <v>12567</v>
      </c>
      <c r="K24">
        <v>11032</v>
      </c>
      <c r="L24">
        <v>-139.08</v>
      </c>
      <c r="M24">
        <v>-67.56</v>
      </c>
      <c r="N24">
        <v>-47.09</v>
      </c>
      <c r="O24">
        <v>16.01</v>
      </c>
      <c r="P24" t="b">
        <v>0</v>
      </c>
      <c r="Q24">
        <v>0</v>
      </c>
      <c r="R24">
        <v>107</v>
      </c>
      <c r="S24">
        <v>-998</v>
      </c>
      <c r="T24">
        <v>-1032.7</v>
      </c>
      <c r="U24" t="s">
        <v>654</v>
      </c>
      <c r="V24" t="s">
        <v>952</v>
      </c>
      <c r="W24">
        <v>0</v>
      </c>
      <c r="X24">
        <v>0</v>
      </c>
      <c r="Y24" t="s">
        <v>1250</v>
      </c>
      <c r="Z24">
        <v>-23.7505459312436</v>
      </c>
      <c r="AA24">
        <v>1095</v>
      </c>
      <c r="AB24">
        <v>65901</v>
      </c>
      <c r="AC24" t="s">
        <v>1540</v>
      </c>
      <c r="AD24">
        <v>44.24</v>
      </c>
      <c r="AE24" t="s">
        <v>1838</v>
      </c>
      <c r="AF24" t="s">
        <v>2136</v>
      </c>
      <c r="AG24">
        <v>1269</v>
      </c>
      <c r="AH24">
        <v>4</v>
      </c>
      <c r="AI24">
        <v>126393</v>
      </c>
      <c r="AJ24">
        <v>0.36</v>
      </c>
    </row>
    <row r="25" spans="1:36">
      <c r="A25" s="1" t="s">
        <v>59</v>
      </c>
      <c r="B25" t="s">
        <v>357</v>
      </c>
      <c r="C25">
        <f>HYPERLINK("https://finance.naver.com/item/coinfo.nhn?code=003530", "A003530")</f>
        <v>0</v>
      </c>
      <c r="D25">
        <f>HYPERLINK("http://comp.fnguide.com/SVO2/ASP/SVD_Consensus.asp?pGB=1&amp;gicode=A003530&amp;cID=&amp;MenuYn=Y&amp;ReportGB=&amp;NewMenuID=108&amp;stkGb=701", "한화투자증권")</f>
        <v>0</v>
      </c>
      <c r="E25">
        <v>3</v>
      </c>
      <c r="F25">
        <v>2780</v>
      </c>
      <c r="G25">
        <v>-5.58</v>
      </c>
      <c r="H25">
        <v>4.09</v>
      </c>
      <c r="I25">
        <v>5673</v>
      </c>
      <c r="J25">
        <v>5509</v>
      </c>
      <c r="K25">
        <v>5462</v>
      </c>
      <c r="L25">
        <v>-104.05</v>
      </c>
      <c r="M25">
        <v>-98.17</v>
      </c>
      <c r="N25">
        <v>-96.48999999999999</v>
      </c>
      <c r="O25">
        <v>8.42</v>
      </c>
      <c r="P25" t="b">
        <v>1</v>
      </c>
      <c r="Q25">
        <v>0</v>
      </c>
      <c r="R25">
        <v>505</v>
      </c>
      <c r="S25">
        <v>306</v>
      </c>
      <c r="T25">
        <v>-39.4</v>
      </c>
      <c r="U25" t="s">
        <v>655</v>
      </c>
      <c r="V25" t="s">
        <v>953</v>
      </c>
      <c r="W25">
        <v>-0.7329635633821607</v>
      </c>
      <c r="X25">
        <v>4.6</v>
      </c>
      <c r="Y25" t="s">
        <v>1251</v>
      </c>
      <c r="Z25">
        <v>1.005860204630804</v>
      </c>
      <c r="AA25">
        <v>5964</v>
      </c>
      <c r="AB25">
        <v>1912345</v>
      </c>
      <c r="AC25" t="s">
        <v>1541</v>
      </c>
      <c r="AD25">
        <v>46.2</v>
      </c>
      <c r="AE25" t="s">
        <v>1839</v>
      </c>
      <c r="AF25" t="s">
        <v>2137</v>
      </c>
      <c r="AG25">
        <v>3483</v>
      </c>
      <c r="AH25">
        <v>1119</v>
      </c>
      <c r="AI25">
        <v>677387</v>
      </c>
    </row>
    <row r="26" spans="1:36">
      <c r="A26" s="1" t="s">
        <v>60</v>
      </c>
      <c r="B26" t="s">
        <v>358</v>
      </c>
      <c r="C26">
        <f>HYPERLINK("https://finance.naver.com/item/coinfo.nhn?code=073560", "A073560")</f>
        <v>0</v>
      </c>
      <c r="D26">
        <f>HYPERLINK("http://comp.fnguide.com/SVO2/ASP/SVD_Consensus.asp?pGB=1&amp;gicode=A073560&amp;cID=&amp;MenuYn=Y&amp;ReportGB=&amp;NewMenuID=108&amp;stkGb=701", "우리손에프앤지")</f>
        <v>0</v>
      </c>
      <c r="E26">
        <v>3</v>
      </c>
      <c r="F26">
        <v>2125</v>
      </c>
      <c r="G26">
        <v>0</v>
      </c>
      <c r="H26">
        <v>33.25</v>
      </c>
      <c r="I26">
        <v>3122</v>
      </c>
      <c r="J26">
        <v>2836</v>
      </c>
      <c r="K26">
        <v>2754</v>
      </c>
      <c r="L26">
        <v>-46.92</v>
      </c>
      <c r="M26">
        <v>-33.45</v>
      </c>
      <c r="N26">
        <v>-29.59</v>
      </c>
      <c r="O26">
        <v>9.470000000000001</v>
      </c>
      <c r="P26" t="b">
        <v>1</v>
      </c>
      <c r="Q26">
        <v>0</v>
      </c>
      <c r="R26">
        <v>61</v>
      </c>
      <c r="U26" t="s">
        <v>656</v>
      </c>
      <c r="V26" t="s">
        <v>954</v>
      </c>
      <c r="W26">
        <v>0</v>
      </c>
      <c r="X26">
        <v>24.2</v>
      </c>
      <c r="Y26" t="s">
        <v>1252</v>
      </c>
      <c r="Z26">
        <v>-27.97971846638403</v>
      </c>
      <c r="AA26">
        <v>1471</v>
      </c>
      <c r="AB26">
        <v>1570074</v>
      </c>
      <c r="AC26" t="s">
        <v>1542</v>
      </c>
      <c r="AD26">
        <v>49.69</v>
      </c>
      <c r="AE26" t="s">
        <v>1840</v>
      </c>
      <c r="AF26" t="s">
        <v>2138</v>
      </c>
      <c r="AG26">
        <v>2252</v>
      </c>
      <c r="AH26">
        <v>102</v>
      </c>
      <c r="AJ26">
        <v>1.24</v>
      </c>
    </row>
    <row r="27" spans="1:36">
      <c r="A27" s="1" t="s">
        <v>61</v>
      </c>
      <c r="B27" t="s">
        <v>359</v>
      </c>
      <c r="C27">
        <f>HYPERLINK("https://finance.naver.com/item/coinfo.nhn?code=086790", "A086790")</f>
        <v>0</v>
      </c>
      <c r="D27">
        <f>HYPERLINK("http://comp.fnguide.com/SVO2/ASP/SVD_Consensus.asp?pGB=1&amp;gicode=A086790&amp;cID=&amp;MenuYn=Y&amp;ReportGB=&amp;NewMenuID=108&amp;stkGb=701", "하나금융지주")</f>
        <v>0</v>
      </c>
      <c r="E27">
        <v>3</v>
      </c>
      <c r="F27">
        <v>37050</v>
      </c>
      <c r="G27">
        <v>0.55</v>
      </c>
      <c r="H27">
        <v>4.63</v>
      </c>
      <c r="I27">
        <v>105963</v>
      </c>
      <c r="J27">
        <v>100267</v>
      </c>
      <c r="K27">
        <v>98637</v>
      </c>
      <c r="L27">
        <v>-186</v>
      </c>
      <c r="M27">
        <v>-170.63</v>
      </c>
      <c r="N27">
        <v>-166.23</v>
      </c>
      <c r="O27">
        <v>8.81</v>
      </c>
      <c r="P27" t="b">
        <v>1</v>
      </c>
      <c r="Q27">
        <v>3</v>
      </c>
      <c r="R27">
        <v>7966</v>
      </c>
      <c r="S27">
        <v>8784</v>
      </c>
      <c r="T27">
        <v>10.3</v>
      </c>
      <c r="U27" t="s">
        <v>657</v>
      </c>
      <c r="V27" t="s">
        <v>955</v>
      </c>
      <c r="W27">
        <v>8.490576202335864</v>
      </c>
      <c r="X27">
        <v>1.9</v>
      </c>
      <c r="Y27" t="s">
        <v>1253</v>
      </c>
      <c r="Z27">
        <v>2.039949048775269</v>
      </c>
      <c r="AA27">
        <v>111240</v>
      </c>
      <c r="AB27">
        <v>2590493</v>
      </c>
      <c r="AC27" t="s">
        <v>1543</v>
      </c>
      <c r="AD27">
        <v>9.880000000000001</v>
      </c>
      <c r="AE27" t="s">
        <v>1841</v>
      </c>
      <c r="AF27" t="s">
        <v>2139</v>
      </c>
      <c r="AG27">
        <v>111182</v>
      </c>
      <c r="AH27">
        <v>32587</v>
      </c>
      <c r="AI27">
        <v>8678586</v>
      </c>
      <c r="AJ27">
        <v>5.69</v>
      </c>
    </row>
    <row r="28" spans="1:36">
      <c r="A28" s="1" t="s">
        <v>62</v>
      </c>
      <c r="B28" t="s">
        <v>360</v>
      </c>
      <c r="C28">
        <f>HYPERLINK("https://finance.naver.com/item/coinfo.nhn?code=049430", "A049430")</f>
        <v>0</v>
      </c>
      <c r="D28">
        <f>HYPERLINK("http://comp.fnguide.com/SVO2/ASP/SVD_Consensus.asp?pGB=1&amp;gicode=A049430&amp;cID=&amp;MenuYn=Y&amp;ReportGB=&amp;NewMenuID=108&amp;stkGb=701", "코메론")</f>
        <v>0</v>
      </c>
      <c r="E28">
        <v>3</v>
      </c>
      <c r="F28">
        <v>8670</v>
      </c>
      <c r="G28">
        <v>0</v>
      </c>
      <c r="H28">
        <v>5.41</v>
      </c>
      <c r="I28">
        <v>21101</v>
      </c>
      <c r="J28">
        <v>18618</v>
      </c>
      <c r="K28">
        <v>17908</v>
      </c>
      <c r="L28">
        <v>-143.38</v>
      </c>
      <c r="M28">
        <v>-114.75</v>
      </c>
      <c r="N28">
        <v>-106.55</v>
      </c>
      <c r="O28">
        <v>9.98</v>
      </c>
      <c r="P28" t="b">
        <v>1</v>
      </c>
      <c r="Q28">
        <v>0</v>
      </c>
      <c r="R28">
        <v>1581</v>
      </c>
      <c r="U28" t="s">
        <v>658</v>
      </c>
      <c r="V28" t="s">
        <v>956</v>
      </c>
      <c r="W28">
        <v>0</v>
      </c>
      <c r="X28">
        <v>-23.1</v>
      </c>
      <c r="Y28" t="s">
        <v>1254</v>
      </c>
      <c r="Z28">
        <v>-2.08970402584453</v>
      </c>
      <c r="AA28">
        <v>784</v>
      </c>
      <c r="AB28">
        <v>28475</v>
      </c>
      <c r="AC28" t="s">
        <v>1544</v>
      </c>
      <c r="AD28">
        <v>38.73</v>
      </c>
      <c r="AE28" t="s">
        <v>1842</v>
      </c>
      <c r="AF28" t="s">
        <v>2140</v>
      </c>
      <c r="AG28">
        <v>666</v>
      </c>
      <c r="AH28">
        <v>139</v>
      </c>
      <c r="AI28">
        <v>763630</v>
      </c>
      <c r="AJ28">
        <v>2.34</v>
      </c>
    </row>
    <row r="29" spans="1:36">
      <c r="A29" s="1" t="s">
        <v>63</v>
      </c>
      <c r="B29" t="s">
        <v>361</v>
      </c>
      <c r="C29">
        <f>HYPERLINK("https://finance.naver.com/item/coinfo.nhn?code=029460", "A029460")</f>
        <v>0</v>
      </c>
      <c r="D29">
        <f>HYPERLINK("http://comp.fnguide.com/SVO2/ASP/SVD_Consensus.asp?pGB=1&amp;gicode=A029460&amp;cID=&amp;MenuYn=Y&amp;ReportGB=&amp;NewMenuID=108&amp;stkGb=701", "케이씨")</f>
        <v>0</v>
      </c>
      <c r="E29">
        <v>3</v>
      </c>
      <c r="F29">
        <v>27750</v>
      </c>
      <c r="G29">
        <v>0</v>
      </c>
      <c r="H29">
        <v>5.19</v>
      </c>
      <c r="I29">
        <v>149661</v>
      </c>
      <c r="J29">
        <v>81627</v>
      </c>
      <c r="K29">
        <v>62154</v>
      </c>
      <c r="L29">
        <v>-439.32</v>
      </c>
      <c r="M29">
        <v>-194.15</v>
      </c>
      <c r="N29">
        <v>-123.98</v>
      </c>
      <c r="O29">
        <v>33.19</v>
      </c>
      <c r="P29" t="b">
        <v>1</v>
      </c>
      <c r="Q29">
        <v>0</v>
      </c>
      <c r="R29">
        <v>3591</v>
      </c>
      <c r="U29" t="s">
        <v>659</v>
      </c>
      <c r="V29" t="s">
        <v>957</v>
      </c>
      <c r="W29">
        <v>0</v>
      </c>
      <c r="X29">
        <v>14.7</v>
      </c>
      <c r="Y29" t="s">
        <v>1255</v>
      </c>
      <c r="Z29">
        <v>26.27901983432512</v>
      </c>
      <c r="AA29">
        <v>3761</v>
      </c>
      <c r="AB29">
        <v>86240</v>
      </c>
      <c r="AC29" t="s">
        <v>1545</v>
      </c>
      <c r="AD29">
        <v>40.67</v>
      </c>
      <c r="AE29" t="s">
        <v>1843</v>
      </c>
      <c r="AF29" t="s">
        <v>2141</v>
      </c>
      <c r="AG29">
        <v>5119</v>
      </c>
      <c r="AH29">
        <v>653</v>
      </c>
      <c r="AI29">
        <v>1116836</v>
      </c>
      <c r="AJ29">
        <v>1.34</v>
      </c>
    </row>
    <row r="30" spans="1:36">
      <c r="A30" s="1" t="s">
        <v>64</v>
      </c>
      <c r="B30" t="s">
        <v>362</v>
      </c>
      <c r="C30">
        <f>HYPERLINK("https://finance.naver.com/item/coinfo.nhn?code=190650", "A190650")</f>
        <v>0</v>
      </c>
      <c r="D30">
        <f>HYPERLINK("http://comp.fnguide.com/SVO2/ASP/SVD_Consensus.asp?pGB=1&amp;gicode=A190650&amp;cID=&amp;MenuYn=Y&amp;ReportGB=&amp;NewMenuID=108&amp;stkGb=701", "코리아에셋투자증권")</f>
        <v>0</v>
      </c>
      <c r="E30">
        <v>3</v>
      </c>
      <c r="F30">
        <v>7860</v>
      </c>
      <c r="G30">
        <v>0</v>
      </c>
      <c r="H30">
        <v>4.5</v>
      </c>
      <c r="I30">
        <v>15485</v>
      </c>
      <c r="J30">
        <v>12734</v>
      </c>
      <c r="K30">
        <v>11946</v>
      </c>
      <c r="L30">
        <v>-97.01000000000001</v>
      </c>
      <c r="M30">
        <v>-62.01</v>
      </c>
      <c r="N30">
        <v>-51.99</v>
      </c>
      <c r="O30">
        <v>11.4</v>
      </c>
      <c r="P30" t="b">
        <v>1</v>
      </c>
      <c r="Q30">
        <v>0</v>
      </c>
      <c r="R30">
        <v>1207</v>
      </c>
      <c r="U30" t="s">
        <v>660</v>
      </c>
      <c r="V30" t="s">
        <v>958</v>
      </c>
      <c r="W30">
        <v>0</v>
      </c>
      <c r="X30">
        <v>15</v>
      </c>
      <c r="Y30" t="s">
        <v>1256</v>
      </c>
      <c r="Z30">
        <v>12.8292520656804</v>
      </c>
      <c r="AA30">
        <v>502</v>
      </c>
      <c r="AB30">
        <v>23200</v>
      </c>
      <c r="AC30" t="s">
        <v>1546</v>
      </c>
      <c r="AD30">
        <v>51.42</v>
      </c>
      <c r="AE30" t="s">
        <v>1844</v>
      </c>
      <c r="AF30" t="s">
        <v>2142</v>
      </c>
      <c r="AG30">
        <v>560</v>
      </c>
      <c r="AH30">
        <v>94</v>
      </c>
      <c r="AJ30">
        <v>5.52</v>
      </c>
    </row>
    <row r="31" spans="1:36">
      <c r="A31" s="1" t="s">
        <v>65</v>
      </c>
      <c r="B31" t="s">
        <v>363</v>
      </c>
      <c r="C31">
        <f>HYPERLINK("https://finance.naver.com/item/coinfo.nhn?code=192400", "A192400")</f>
        <v>0</v>
      </c>
      <c r="D31">
        <f>HYPERLINK("http://comp.fnguide.com/SVO2/ASP/SVD_Consensus.asp?pGB=1&amp;gicode=A192400&amp;cID=&amp;MenuYn=Y&amp;ReportGB=&amp;NewMenuID=108&amp;stkGb=701", "쿠쿠홀딩스")</f>
        <v>0</v>
      </c>
      <c r="E31">
        <v>3</v>
      </c>
      <c r="F31">
        <v>127000</v>
      </c>
      <c r="G31">
        <v>0</v>
      </c>
      <c r="H31">
        <v>9.4</v>
      </c>
      <c r="I31">
        <v>380842</v>
      </c>
      <c r="J31">
        <v>217520</v>
      </c>
      <c r="K31">
        <v>170774</v>
      </c>
      <c r="L31">
        <v>-199.88</v>
      </c>
      <c r="M31">
        <v>-71.28</v>
      </c>
      <c r="N31">
        <v>-34.47</v>
      </c>
      <c r="O31">
        <v>28.18</v>
      </c>
      <c r="P31" t="b">
        <v>0</v>
      </c>
      <c r="Q31">
        <v>0</v>
      </c>
      <c r="R31">
        <v>11168</v>
      </c>
      <c r="U31" t="s">
        <v>661</v>
      </c>
      <c r="V31" t="s">
        <v>959</v>
      </c>
      <c r="W31">
        <v>0</v>
      </c>
      <c r="X31">
        <v>38</v>
      </c>
      <c r="Y31" t="s">
        <v>1257</v>
      </c>
      <c r="Z31">
        <v>15.13255589098257</v>
      </c>
      <c r="AA31">
        <v>9033</v>
      </c>
      <c r="AB31">
        <v>14544</v>
      </c>
      <c r="AC31" t="s">
        <v>1547</v>
      </c>
      <c r="AD31">
        <v>69.06999999999999</v>
      </c>
      <c r="AE31" t="s">
        <v>1845</v>
      </c>
      <c r="AF31" t="s">
        <v>2143</v>
      </c>
      <c r="AG31">
        <v>5283</v>
      </c>
      <c r="AH31">
        <v>745</v>
      </c>
      <c r="AI31">
        <v>896760</v>
      </c>
      <c r="AJ31">
        <v>2.86</v>
      </c>
    </row>
    <row r="32" spans="1:36">
      <c r="A32" s="1" t="s">
        <v>66</v>
      </c>
      <c r="B32" t="s">
        <v>364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9810</v>
      </c>
      <c r="G32">
        <v>0</v>
      </c>
      <c r="H32">
        <v>6.1</v>
      </c>
      <c r="I32">
        <v>15727</v>
      </c>
      <c r="J32">
        <v>13383</v>
      </c>
      <c r="K32">
        <v>12713</v>
      </c>
      <c r="L32">
        <v>-60.32</v>
      </c>
      <c r="M32">
        <v>-36.43</v>
      </c>
      <c r="N32">
        <v>-29.59</v>
      </c>
      <c r="O32">
        <v>10.67</v>
      </c>
      <c r="P32" t="b">
        <v>1</v>
      </c>
      <c r="Q32">
        <v>0</v>
      </c>
      <c r="R32">
        <v>1424</v>
      </c>
      <c r="U32" t="s">
        <v>662</v>
      </c>
      <c r="V32" t="s">
        <v>960</v>
      </c>
      <c r="W32">
        <v>0</v>
      </c>
      <c r="X32">
        <v>12.5</v>
      </c>
      <c r="Y32" t="s">
        <v>1258</v>
      </c>
      <c r="Z32">
        <v>0</v>
      </c>
      <c r="AA32">
        <v>1229</v>
      </c>
      <c r="AB32">
        <v>53488</v>
      </c>
      <c r="AC32" t="s">
        <v>1548</v>
      </c>
      <c r="AD32">
        <v>61.68</v>
      </c>
      <c r="AE32" t="s">
        <v>1846</v>
      </c>
      <c r="AF32" t="s">
        <v>2144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67</v>
      </c>
      <c r="B33" t="s">
        <v>365</v>
      </c>
      <c r="C33">
        <f>HYPERLINK("https://finance.naver.com/item/coinfo.nhn?code=221980", "A221980")</f>
        <v>0</v>
      </c>
      <c r="D33">
        <f>HYPERLINK("http://comp.fnguide.com/SVO2/ASP/SVD_Consensus.asp?pGB=1&amp;gicode=A221980&amp;cID=&amp;MenuYn=Y&amp;ReportGB=&amp;NewMenuID=108&amp;stkGb=701", "케이디켐")</f>
        <v>0</v>
      </c>
      <c r="E33">
        <v>3</v>
      </c>
      <c r="F33">
        <v>13300</v>
      </c>
      <c r="G33">
        <v>0</v>
      </c>
      <c r="H33">
        <v>6.62</v>
      </c>
      <c r="I33">
        <v>25096</v>
      </c>
      <c r="J33">
        <v>22178</v>
      </c>
      <c r="K33">
        <v>21343</v>
      </c>
      <c r="L33">
        <v>-88.69</v>
      </c>
      <c r="M33">
        <v>-66.75</v>
      </c>
      <c r="N33">
        <v>-60.47</v>
      </c>
      <c r="O33">
        <v>9.949999999999999</v>
      </c>
      <c r="P33" t="b">
        <v>1</v>
      </c>
      <c r="Q33">
        <v>0</v>
      </c>
      <c r="R33">
        <v>1857</v>
      </c>
      <c r="U33" t="s">
        <v>663</v>
      </c>
      <c r="V33" t="s">
        <v>961</v>
      </c>
      <c r="W33">
        <v>0</v>
      </c>
      <c r="X33">
        <v>5.4</v>
      </c>
      <c r="Y33" t="s">
        <v>1259</v>
      </c>
      <c r="Z33">
        <v>-8.63822140513677</v>
      </c>
      <c r="AA33">
        <v>537</v>
      </c>
      <c r="AB33">
        <v>9007</v>
      </c>
      <c r="AC33" t="s">
        <v>1549</v>
      </c>
      <c r="AD33">
        <v>71.06999999999999</v>
      </c>
      <c r="AE33" t="s">
        <v>1847</v>
      </c>
      <c r="AF33" t="s">
        <v>2145</v>
      </c>
      <c r="AG33">
        <v>488</v>
      </c>
      <c r="AH33">
        <v>64</v>
      </c>
      <c r="AI33">
        <v>213443</v>
      </c>
      <c r="AJ33">
        <v>4.07</v>
      </c>
    </row>
    <row r="34" spans="1:36">
      <c r="A34" s="1" t="s">
        <v>68</v>
      </c>
      <c r="B34" t="s">
        <v>366</v>
      </c>
      <c r="C34">
        <f>HYPERLINK("https://finance.naver.com/item/coinfo.nhn?code=009410", "A009410")</f>
        <v>0</v>
      </c>
      <c r="D34">
        <f>HYPERLINK("http://comp.fnguide.com/SVO2/ASP/SVD_Consensus.asp?pGB=1&amp;gicode=A009410&amp;cID=&amp;MenuYn=Y&amp;ReportGB=&amp;NewMenuID=108&amp;stkGb=701", "태영건설")</f>
        <v>0</v>
      </c>
      <c r="E34">
        <v>3</v>
      </c>
      <c r="F34">
        <v>11850</v>
      </c>
      <c r="G34">
        <v>0.04</v>
      </c>
      <c r="H34">
        <v>5.19</v>
      </c>
      <c r="I34">
        <v>45481</v>
      </c>
      <c r="J34">
        <v>36023</v>
      </c>
      <c r="K34">
        <v>33316</v>
      </c>
      <c r="L34">
        <v>-283.8</v>
      </c>
      <c r="M34">
        <v>-203.99</v>
      </c>
      <c r="N34">
        <v>-181.15</v>
      </c>
      <c r="O34">
        <v>12.28</v>
      </c>
      <c r="P34" t="b">
        <v>1</v>
      </c>
      <c r="Q34">
        <v>1</v>
      </c>
      <c r="R34">
        <v>1152</v>
      </c>
      <c r="S34">
        <v>13228</v>
      </c>
      <c r="T34">
        <v>1048.3</v>
      </c>
      <c r="U34" t="s">
        <v>664</v>
      </c>
      <c r="V34" t="s">
        <v>962</v>
      </c>
      <c r="W34">
        <v>126.1347795528478</v>
      </c>
      <c r="X34">
        <v>412.5</v>
      </c>
      <c r="Y34" t="s">
        <v>1260</v>
      </c>
      <c r="Z34">
        <v>213.8668093656727</v>
      </c>
      <c r="AA34">
        <v>4610</v>
      </c>
      <c r="AB34">
        <v>216984</v>
      </c>
      <c r="AC34" t="s">
        <v>1550</v>
      </c>
      <c r="AD34">
        <v>49.37</v>
      </c>
      <c r="AE34" t="s">
        <v>1848</v>
      </c>
      <c r="AF34" t="s">
        <v>2146</v>
      </c>
      <c r="AG34">
        <v>39244</v>
      </c>
      <c r="AH34">
        <v>3912</v>
      </c>
      <c r="AI34">
        <v>7780</v>
      </c>
      <c r="AJ34">
        <v>2.51</v>
      </c>
    </row>
    <row r="35" spans="1:36">
      <c r="A35" s="1" t="s">
        <v>69</v>
      </c>
      <c r="B35" t="s">
        <v>367</v>
      </c>
      <c r="C35">
        <f>HYPERLINK("https://finance.naver.com/item/coinfo.nhn?code=019180", "A019180")</f>
        <v>0</v>
      </c>
      <c r="D35">
        <f>HYPERLINK("http://comp.fnguide.com/SVO2/ASP/SVD_Consensus.asp?pGB=1&amp;gicode=A019180&amp;cID=&amp;MenuYn=Y&amp;ReportGB=&amp;NewMenuID=108&amp;stkGb=701", "티에이치엔")</f>
        <v>0</v>
      </c>
      <c r="E35">
        <v>3</v>
      </c>
      <c r="F35">
        <v>3350</v>
      </c>
      <c r="G35">
        <v>0</v>
      </c>
      <c r="H35">
        <v>3.82</v>
      </c>
      <c r="I35">
        <v>9810</v>
      </c>
      <c r="J35">
        <v>6027</v>
      </c>
      <c r="K35">
        <v>4945</v>
      </c>
      <c r="L35">
        <v>-192.83</v>
      </c>
      <c r="M35">
        <v>-79.92</v>
      </c>
      <c r="N35">
        <v>-47.61</v>
      </c>
      <c r="O35">
        <v>22.48</v>
      </c>
      <c r="P35" t="b">
        <v>1</v>
      </c>
      <c r="Q35">
        <v>0</v>
      </c>
      <c r="R35">
        <v>959</v>
      </c>
      <c r="S35">
        <v>-953</v>
      </c>
      <c r="T35">
        <v>-199.4</v>
      </c>
      <c r="U35" t="s">
        <v>665</v>
      </c>
      <c r="V35" t="s">
        <v>963</v>
      </c>
      <c r="W35">
        <v>0</v>
      </c>
      <c r="X35">
        <v>0</v>
      </c>
      <c r="Y35" t="s">
        <v>1261</v>
      </c>
      <c r="Z35">
        <v>4.958017259882075</v>
      </c>
      <c r="AA35">
        <v>603</v>
      </c>
      <c r="AB35">
        <v>131512</v>
      </c>
      <c r="AC35" t="s">
        <v>1551</v>
      </c>
      <c r="AD35">
        <v>42.81</v>
      </c>
      <c r="AE35" t="s">
        <v>1849</v>
      </c>
      <c r="AF35" t="s">
        <v>2147</v>
      </c>
      <c r="AG35">
        <v>4022</v>
      </c>
      <c r="AH35">
        <v>215</v>
      </c>
      <c r="AJ35">
        <v>1.64</v>
      </c>
    </row>
    <row r="36" spans="1:36">
      <c r="A36" s="1" t="s">
        <v>70</v>
      </c>
      <c r="B36" t="s">
        <v>368</v>
      </c>
      <c r="C36">
        <f>HYPERLINK("https://finance.naver.com/item/coinfo.nhn?code=016800", "A016800")</f>
        <v>0</v>
      </c>
      <c r="D36">
        <f>HYPERLINK("http://comp.fnguide.com/SVO2/ASP/SVD_Consensus.asp?pGB=1&amp;gicode=A016800&amp;cID=&amp;MenuYn=Y&amp;ReportGB=&amp;NewMenuID=108&amp;stkGb=701", "퍼시스")</f>
        <v>0</v>
      </c>
      <c r="E36">
        <v>3</v>
      </c>
      <c r="F36">
        <v>29800</v>
      </c>
      <c r="G36">
        <v>0</v>
      </c>
      <c r="H36">
        <v>9.99</v>
      </c>
      <c r="I36">
        <v>52334</v>
      </c>
      <c r="J36">
        <v>49971</v>
      </c>
      <c r="K36">
        <v>49295</v>
      </c>
      <c r="L36">
        <v>-75.62</v>
      </c>
      <c r="M36">
        <v>-67.69</v>
      </c>
      <c r="N36">
        <v>-65.42</v>
      </c>
      <c r="O36">
        <v>8.67</v>
      </c>
      <c r="P36" t="b">
        <v>1</v>
      </c>
      <c r="Q36">
        <v>0</v>
      </c>
      <c r="R36">
        <v>2953</v>
      </c>
      <c r="U36" t="s">
        <v>666</v>
      </c>
      <c r="V36" t="s">
        <v>964</v>
      </c>
      <c r="W36">
        <v>0</v>
      </c>
      <c r="X36">
        <v>11.3</v>
      </c>
      <c r="Y36" t="s">
        <v>1262</v>
      </c>
      <c r="Z36">
        <v>4.707196756523069</v>
      </c>
      <c r="AA36">
        <v>3427</v>
      </c>
      <c r="AB36">
        <v>494</v>
      </c>
      <c r="AC36" t="s">
        <v>1552</v>
      </c>
      <c r="AD36">
        <v>54.71</v>
      </c>
      <c r="AE36" t="s">
        <v>1850</v>
      </c>
      <c r="AF36" t="s">
        <v>2148</v>
      </c>
      <c r="AG36">
        <v>3047</v>
      </c>
      <c r="AH36">
        <v>251</v>
      </c>
      <c r="AI36">
        <v>2327051</v>
      </c>
      <c r="AJ36">
        <v>3.39</v>
      </c>
    </row>
    <row r="37" spans="1:36">
      <c r="A37" s="1" t="s">
        <v>71</v>
      </c>
      <c r="B37" t="s">
        <v>369</v>
      </c>
      <c r="C37">
        <f>HYPERLINK("https://finance.naver.com/item/coinfo.nhn?code=900310", "A900310")</f>
        <v>0</v>
      </c>
      <c r="D37">
        <f>HYPERLINK("http://comp.fnguide.com/SVO2/ASP/SVD_Consensus.asp?pGB=1&amp;gicode=A900310&amp;cID=&amp;MenuYn=Y&amp;ReportGB=&amp;NewMenuID=108&amp;stkGb=701", "컬러레이")</f>
        <v>0</v>
      </c>
      <c r="E37">
        <v>3</v>
      </c>
      <c r="F37">
        <v>2060</v>
      </c>
      <c r="G37">
        <v>0</v>
      </c>
      <c r="H37">
        <v>4.15</v>
      </c>
      <c r="I37">
        <v>7641</v>
      </c>
      <c r="J37">
        <v>4818</v>
      </c>
      <c r="K37">
        <v>4010</v>
      </c>
      <c r="L37">
        <v>-270.93</v>
      </c>
      <c r="M37">
        <v>-133.88</v>
      </c>
      <c r="N37">
        <v>-94.66</v>
      </c>
      <c r="O37">
        <v>20.91</v>
      </c>
      <c r="P37" t="b">
        <v>0</v>
      </c>
      <c r="Q37">
        <v>0</v>
      </c>
      <c r="R37">
        <v>448</v>
      </c>
      <c r="U37" t="s">
        <v>667</v>
      </c>
      <c r="V37" t="s">
        <v>965</v>
      </c>
      <c r="W37">
        <v>0</v>
      </c>
      <c r="X37">
        <v>-22.9</v>
      </c>
      <c r="Y37" t="s">
        <v>1263</v>
      </c>
      <c r="Z37">
        <v>-80.13095845669149</v>
      </c>
      <c r="AA37">
        <v>1112</v>
      </c>
      <c r="AB37">
        <v>325815</v>
      </c>
      <c r="AC37" t="s">
        <v>1553</v>
      </c>
      <c r="AD37">
        <v>54.03</v>
      </c>
      <c r="AE37" t="s">
        <v>1851</v>
      </c>
      <c r="AF37" t="s">
        <v>2149</v>
      </c>
      <c r="AG37">
        <v>509</v>
      </c>
      <c r="AH37">
        <v>276</v>
      </c>
    </row>
    <row r="38" spans="1:36">
      <c r="A38" s="1" t="s">
        <v>72</v>
      </c>
      <c r="B38" t="s">
        <v>370</v>
      </c>
      <c r="C38">
        <f>HYPERLINK("https://finance.naver.com/item/coinfo.nhn?code=094970", "A094970")</f>
        <v>0</v>
      </c>
      <c r="D38">
        <f>HYPERLINK("http://comp.fnguide.com/SVO2/ASP/SVD_Consensus.asp?pGB=1&amp;gicode=A094970&amp;cID=&amp;MenuYn=Y&amp;ReportGB=&amp;NewMenuID=108&amp;stkGb=701", "제이엠티")</f>
        <v>0</v>
      </c>
      <c r="E38">
        <v>3</v>
      </c>
      <c r="F38">
        <v>3305</v>
      </c>
      <c r="G38">
        <v>-7.07</v>
      </c>
      <c r="H38">
        <v>67.05</v>
      </c>
      <c r="I38">
        <v>4673</v>
      </c>
      <c r="J38">
        <v>3855</v>
      </c>
      <c r="K38">
        <v>3621</v>
      </c>
      <c r="L38">
        <v>-41.38</v>
      </c>
      <c r="M38">
        <v>-16.65</v>
      </c>
      <c r="N38">
        <v>-9.57</v>
      </c>
      <c r="O38">
        <v>11.33</v>
      </c>
      <c r="P38" t="b">
        <v>0</v>
      </c>
      <c r="Q38">
        <v>1</v>
      </c>
      <c r="R38">
        <v>57</v>
      </c>
      <c r="S38">
        <v>346</v>
      </c>
      <c r="T38">
        <v>507</v>
      </c>
      <c r="U38" t="s">
        <v>668</v>
      </c>
      <c r="V38" t="s">
        <v>966</v>
      </c>
      <c r="W38">
        <v>-9.478916219412403</v>
      </c>
      <c r="X38">
        <v>-30.3</v>
      </c>
      <c r="Y38" t="s">
        <v>1264</v>
      </c>
      <c r="Z38">
        <v>-2.026459434790839</v>
      </c>
      <c r="AA38">
        <v>554</v>
      </c>
      <c r="AB38">
        <v>2374852</v>
      </c>
      <c r="AC38" t="s">
        <v>1554</v>
      </c>
      <c r="AD38">
        <v>43.98</v>
      </c>
      <c r="AE38" t="s">
        <v>1852</v>
      </c>
      <c r="AF38" t="s">
        <v>2150</v>
      </c>
      <c r="AG38">
        <v>833</v>
      </c>
      <c r="AH38">
        <v>20</v>
      </c>
      <c r="AI38">
        <v>36106</v>
      </c>
      <c r="AJ38">
        <v>1.31</v>
      </c>
    </row>
    <row r="39" spans="1:36">
      <c r="A39" s="1" t="s">
        <v>73</v>
      </c>
      <c r="B39" t="s">
        <v>371</v>
      </c>
      <c r="C39">
        <f>HYPERLINK("https://finance.naver.com/item/coinfo.nhn?code=071050", "A071050")</f>
        <v>0</v>
      </c>
      <c r="D39">
        <f>HYPERLINK("http://comp.fnguide.com/SVO2/ASP/SVD_Consensus.asp?pGB=1&amp;gicode=A071050&amp;cID=&amp;MenuYn=Y&amp;ReportGB=&amp;NewMenuID=108&amp;stkGb=701", "한국금융지주")</f>
        <v>0</v>
      </c>
      <c r="E39">
        <v>3</v>
      </c>
      <c r="F39">
        <v>87300</v>
      </c>
      <c r="G39">
        <v>0.28</v>
      </c>
      <c r="H39">
        <v>5.28</v>
      </c>
      <c r="I39">
        <v>186226</v>
      </c>
      <c r="J39">
        <v>131468</v>
      </c>
      <c r="K39">
        <v>115794</v>
      </c>
      <c r="L39">
        <v>-113.32</v>
      </c>
      <c r="M39">
        <v>-50.59</v>
      </c>
      <c r="N39">
        <v>-32.64</v>
      </c>
      <c r="O39">
        <v>15.74</v>
      </c>
      <c r="P39" t="b">
        <v>1</v>
      </c>
      <c r="Q39">
        <v>3</v>
      </c>
      <c r="R39">
        <v>13724</v>
      </c>
      <c r="S39">
        <v>14019</v>
      </c>
      <c r="T39">
        <v>2.1</v>
      </c>
      <c r="U39" t="s">
        <v>669</v>
      </c>
      <c r="V39" t="s">
        <v>967</v>
      </c>
      <c r="W39">
        <v>19.14760790045342</v>
      </c>
      <c r="X39">
        <v>0</v>
      </c>
      <c r="Y39" t="s">
        <v>1265</v>
      </c>
      <c r="Z39">
        <v>2.305975528003579</v>
      </c>
      <c r="AA39">
        <v>48649</v>
      </c>
      <c r="AB39">
        <v>952376</v>
      </c>
      <c r="AC39" t="s">
        <v>1555</v>
      </c>
      <c r="AD39">
        <v>20.7</v>
      </c>
      <c r="AE39" t="s">
        <v>1853</v>
      </c>
      <c r="AF39" t="s">
        <v>2151</v>
      </c>
      <c r="AG39">
        <v>14001</v>
      </c>
      <c r="AH39">
        <v>9418</v>
      </c>
      <c r="AI39">
        <v>2987479</v>
      </c>
      <c r="AJ39">
        <v>4.01</v>
      </c>
    </row>
    <row r="40" spans="1:36">
      <c r="A40" s="1" t="s">
        <v>74</v>
      </c>
      <c r="B40" t="s">
        <v>372</v>
      </c>
      <c r="C40">
        <f>HYPERLINK("https://finance.naver.com/item/coinfo.nhn?code=123890", "A123890")</f>
        <v>0</v>
      </c>
      <c r="D40">
        <f>HYPERLINK("http://comp.fnguide.com/SVO2/ASP/SVD_Consensus.asp?pGB=1&amp;gicode=A123890&amp;cID=&amp;MenuYn=Y&amp;ReportGB=&amp;NewMenuID=108&amp;stkGb=701", "한국자산신탁")</f>
        <v>0</v>
      </c>
      <c r="E40">
        <v>3</v>
      </c>
      <c r="F40">
        <v>3880</v>
      </c>
      <c r="G40">
        <v>4.07</v>
      </c>
      <c r="H40">
        <v>4.66</v>
      </c>
      <c r="I40">
        <v>12030</v>
      </c>
      <c r="J40">
        <v>8061</v>
      </c>
      <c r="K40">
        <v>6926</v>
      </c>
      <c r="L40">
        <v>-210.04</v>
      </c>
      <c r="M40">
        <v>-107.77</v>
      </c>
      <c r="N40">
        <v>-78.5</v>
      </c>
      <c r="O40">
        <v>17.83</v>
      </c>
      <c r="P40" t="b">
        <v>1</v>
      </c>
      <c r="Q40">
        <v>1</v>
      </c>
      <c r="R40">
        <v>723</v>
      </c>
      <c r="S40">
        <v>1049</v>
      </c>
      <c r="T40">
        <v>45.1</v>
      </c>
      <c r="U40" t="s">
        <v>670</v>
      </c>
      <c r="V40" t="s">
        <v>968</v>
      </c>
      <c r="W40">
        <v>1.144985871277204</v>
      </c>
      <c r="Y40" t="s">
        <v>1233</v>
      </c>
      <c r="Z40">
        <v>2.305975528003579</v>
      </c>
      <c r="AA40">
        <v>4810</v>
      </c>
      <c r="AB40">
        <v>407236</v>
      </c>
      <c r="AC40" t="s">
        <v>1556</v>
      </c>
      <c r="AD40">
        <v>53.62</v>
      </c>
      <c r="AE40" t="s">
        <v>1854</v>
      </c>
      <c r="AF40" t="s">
        <v>2152</v>
      </c>
      <c r="AG40">
        <v>2233</v>
      </c>
      <c r="AH40">
        <v>1141</v>
      </c>
      <c r="AI40">
        <v>1610697</v>
      </c>
      <c r="AJ40">
        <v>5.4</v>
      </c>
    </row>
    <row r="41" spans="1:36">
      <c r="A41" s="1" t="s">
        <v>75</v>
      </c>
      <c r="B41" t="s">
        <v>373</v>
      </c>
      <c r="C41">
        <f>HYPERLINK("https://finance.naver.com/item/coinfo.nhn?code=024720", "A024720")</f>
        <v>0</v>
      </c>
      <c r="D41">
        <f>HYPERLINK("http://comp.fnguide.com/SVO2/ASP/SVD_Consensus.asp?pGB=1&amp;gicode=A024720&amp;cID=&amp;MenuYn=Y&amp;ReportGB=&amp;NewMenuID=108&amp;stkGb=701", "한국콜마홀딩스")</f>
        <v>0</v>
      </c>
      <c r="E41">
        <v>3</v>
      </c>
      <c r="F41">
        <v>27300</v>
      </c>
      <c r="G41">
        <v>0.15</v>
      </c>
      <c r="H41">
        <v>10.09</v>
      </c>
      <c r="I41">
        <v>39810</v>
      </c>
      <c r="J41">
        <v>30495</v>
      </c>
      <c r="K41">
        <v>27829</v>
      </c>
      <c r="L41">
        <v>-45.83</v>
      </c>
      <c r="M41">
        <v>-11.7</v>
      </c>
      <c r="N41">
        <v>-1.94</v>
      </c>
      <c r="O41">
        <v>13.16</v>
      </c>
      <c r="P41" t="b">
        <v>0</v>
      </c>
      <c r="Q41">
        <v>1</v>
      </c>
      <c r="R41">
        <v>2236</v>
      </c>
      <c r="S41">
        <v>7671</v>
      </c>
      <c r="T41">
        <v>243.1</v>
      </c>
      <c r="U41" t="s">
        <v>671</v>
      </c>
      <c r="V41" t="s">
        <v>969</v>
      </c>
      <c r="W41">
        <v>66.08689165534898</v>
      </c>
      <c r="X41">
        <v>19</v>
      </c>
      <c r="Y41" t="s">
        <v>1266</v>
      </c>
      <c r="Z41">
        <v>5.015279997605071</v>
      </c>
      <c r="AA41">
        <v>5071</v>
      </c>
      <c r="AB41">
        <v>66850</v>
      </c>
      <c r="AC41" t="s">
        <v>1557</v>
      </c>
      <c r="AD41">
        <v>44.39</v>
      </c>
      <c r="AE41" t="s">
        <v>1855</v>
      </c>
      <c r="AF41" t="s">
        <v>2153</v>
      </c>
      <c r="AG41">
        <v>5934</v>
      </c>
      <c r="AH41">
        <v>930</v>
      </c>
      <c r="AI41">
        <v>97500</v>
      </c>
      <c r="AJ41">
        <v>0.86</v>
      </c>
    </row>
    <row r="42" spans="1:36">
      <c r="A42" s="1" t="s">
        <v>76</v>
      </c>
      <c r="B42" t="s">
        <v>374</v>
      </c>
      <c r="C42">
        <f>HYPERLINK("https://finance.naver.com/item/coinfo.nhn?code=034830", "A034830")</f>
        <v>0</v>
      </c>
      <c r="D42">
        <f>HYPERLINK("http://comp.fnguide.com/SVO2/ASP/SVD_Consensus.asp?pGB=1&amp;gicode=A034830&amp;cID=&amp;MenuYn=Y&amp;ReportGB=&amp;NewMenuID=108&amp;stkGb=701", "한국토지신탁")</f>
        <v>0</v>
      </c>
      <c r="E42">
        <v>3</v>
      </c>
      <c r="F42">
        <v>2100</v>
      </c>
      <c r="G42">
        <v>-0.18</v>
      </c>
      <c r="H42">
        <v>4.91</v>
      </c>
      <c r="I42">
        <v>8584</v>
      </c>
      <c r="J42">
        <v>5746</v>
      </c>
      <c r="K42">
        <v>4933</v>
      </c>
      <c r="L42">
        <v>-308.76</v>
      </c>
      <c r="M42">
        <v>-173.6</v>
      </c>
      <c r="N42">
        <v>-134.91</v>
      </c>
      <c r="O42">
        <v>17.89</v>
      </c>
      <c r="P42" t="b">
        <v>1</v>
      </c>
      <c r="Q42">
        <v>0</v>
      </c>
      <c r="R42">
        <v>428</v>
      </c>
      <c r="S42">
        <v>351</v>
      </c>
      <c r="T42">
        <v>-18</v>
      </c>
      <c r="U42" t="s">
        <v>672</v>
      </c>
      <c r="V42" t="s">
        <v>970</v>
      </c>
      <c r="W42">
        <v>-27.16182319689763</v>
      </c>
      <c r="Y42" t="s">
        <v>1233</v>
      </c>
      <c r="Z42">
        <v>5.015279997605071</v>
      </c>
      <c r="AA42">
        <v>5302</v>
      </c>
      <c r="AB42">
        <v>1164294</v>
      </c>
      <c r="AC42" t="s">
        <v>1558</v>
      </c>
      <c r="AD42">
        <v>35.46</v>
      </c>
      <c r="AE42" t="s">
        <v>1856</v>
      </c>
      <c r="AF42" t="s">
        <v>2154</v>
      </c>
      <c r="AG42">
        <v>2557</v>
      </c>
      <c r="AH42">
        <v>1193</v>
      </c>
      <c r="AI42">
        <v>24446793</v>
      </c>
      <c r="AJ42">
        <v>5.24</v>
      </c>
    </row>
    <row r="43" spans="1:36">
      <c r="A43" s="1" t="s">
        <v>77</v>
      </c>
      <c r="B43" t="s">
        <v>375</v>
      </c>
      <c r="C43">
        <f>HYPERLINK("https://finance.naver.com/item/coinfo.nhn?code=053690", "A053690")</f>
        <v>0</v>
      </c>
      <c r="D43">
        <f>HYPERLINK("http://comp.fnguide.com/SVO2/ASP/SVD_Consensus.asp?pGB=1&amp;gicode=A053690&amp;cID=&amp;MenuYn=Y&amp;ReportGB=&amp;NewMenuID=108&amp;stkGb=701", "한미글로벌")</f>
        <v>0</v>
      </c>
      <c r="E43">
        <v>3</v>
      </c>
      <c r="F43">
        <v>9830</v>
      </c>
      <c r="G43">
        <v>0.86</v>
      </c>
      <c r="H43">
        <v>4.71</v>
      </c>
      <c r="I43">
        <v>22173</v>
      </c>
      <c r="J43">
        <v>16396</v>
      </c>
      <c r="K43">
        <v>14742</v>
      </c>
      <c r="L43">
        <v>-125.57</v>
      </c>
      <c r="M43">
        <v>-66.79000000000001</v>
      </c>
      <c r="N43">
        <v>-49.97</v>
      </c>
      <c r="O43">
        <v>14.19</v>
      </c>
      <c r="P43" t="b">
        <v>1</v>
      </c>
      <c r="Q43">
        <v>0</v>
      </c>
      <c r="R43">
        <v>2038</v>
      </c>
      <c r="S43">
        <v>969</v>
      </c>
      <c r="T43">
        <v>-52.5</v>
      </c>
      <c r="U43" t="s">
        <v>673</v>
      </c>
      <c r="V43" t="s">
        <v>971</v>
      </c>
      <c r="W43">
        <v>5.500980052739135</v>
      </c>
      <c r="X43">
        <v>-68.90000000000001</v>
      </c>
      <c r="Y43" t="s">
        <v>1267</v>
      </c>
      <c r="Z43">
        <v>-3.051656094564636</v>
      </c>
      <c r="AA43">
        <v>1077</v>
      </c>
      <c r="AB43">
        <v>112104</v>
      </c>
      <c r="AC43" t="s">
        <v>1559</v>
      </c>
      <c r="AD43">
        <v>27.06</v>
      </c>
      <c r="AE43" t="s">
        <v>1857</v>
      </c>
      <c r="AF43" t="s">
        <v>2155</v>
      </c>
      <c r="AG43">
        <v>2947</v>
      </c>
      <c r="AH43">
        <v>244</v>
      </c>
      <c r="AI43">
        <v>1536000</v>
      </c>
      <c r="AJ43">
        <v>2.08</v>
      </c>
    </row>
    <row r="44" spans="1:36">
      <c r="A44" s="1" t="s">
        <v>78</v>
      </c>
      <c r="B44" t="s">
        <v>376</v>
      </c>
      <c r="C44">
        <f>HYPERLINK("https://finance.naver.com/item/coinfo.nhn?code=010420", "A010420")</f>
        <v>0</v>
      </c>
      <c r="D44">
        <f>HYPERLINK("http://comp.fnguide.com/SVO2/ASP/SVD_Consensus.asp?pGB=1&amp;gicode=A010420&amp;cID=&amp;MenuYn=Y&amp;ReportGB=&amp;NewMenuID=108&amp;stkGb=701", "한솔PNS")</f>
        <v>0</v>
      </c>
      <c r="E44">
        <v>3</v>
      </c>
      <c r="F44">
        <v>1825</v>
      </c>
      <c r="G44">
        <v>0</v>
      </c>
      <c r="H44">
        <v>11.26</v>
      </c>
      <c r="I44">
        <v>2091</v>
      </c>
      <c r="J44">
        <v>2040</v>
      </c>
      <c r="K44">
        <v>2025</v>
      </c>
      <c r="L44">
        <v>-14.58</v>
      </c>
      <c r="M44">
        <v>-11.77</v>
      </c>
      <c r="N44">
        <v>-10.97</v>
      </c>
      <c r="O44">
        <v>8.359999999999999</v>
      </c>
      <c r="P44" t="b">
        <v>1</v>
      </c>
      <c r="Q44">
        <v>0</v>
      </c>
      <c r="R44">
        <v>154</v>
      </c>
      <c r="U44" t="s">
        <v>674</v>
      </c>
      <c r="V44" t="s">
        <v>972</v>
      </c>
      <c r="W44">
        <v>0</v>
      </c>
      <c r="X44">
        <v>12</v>
      </c>
      <c r="Y44" t="s">
        <v>1268</v>
      </c>
      <c r="Z44">
        <v>18.8349587679008</v>
      </c>
      <c r="AA44">
        <v>374</v>
      </c>
      <c r="AB44">
        <v>346507</v>
      </c>
      <c r="AC44" t="s">
        <v>1560</v>
      </c>
      <c r="AD44">
        <v>46.07</v>
      </c>
      <c r="AE44" t="s">
        <v>1858</v>
      </c>
      <c r="AF44" t="s">
        <v>2156</v>
      </c>
      <c r="AG44">
        <v>2339</v>
      </c>
      <c r="AH44">
        <v>40</v>
      </c>
      <c r="AJ44">
        <v>1.44</v>
      </c>
    </row>
    <row r="45" spans="1:36">
      <c r="A45" s="1" t="s">
        <v>79</v>
      </c>
      <c r="B45" t="s">
        <v>377</v>
      </c>
      <c r="C45">
        <f>HYPERLINK("https://finance.naver.com/item/coinfo.nhn?code=004960", "A004960")</f>
        <v>0</v>
      </c>
      <c r="D45">
        <f>HYPERLINK("http://comp.fnguide.com/SVO2/ASP/SVD_Consensus.asp?pGB=1&amp;gicode=A004960&amp;cID=&amp;MenuYn=Y&amp;ReportGB=&amp;NewMenuID=108&amp;stkGb=701", "한신공영")</f>
        <v>0</v>
      </c>
      <c r="E45">
        <v>3</v>
      </c>
      <c r="F45">
        <v>18400</v>
      </c>
      <c r="G45">
        <v>0.24</v>
      </c>
      <c r="H45">
        <v>2.38</v>
      </c>
      <c r="I45">
        <v>137909</v>
      </c>
      <c r="J45">
        <v>81439</v>
      </c>
      <c r="K45">
        <v>65276</v>
      </c>
      <c r="L45">
        <v>-649.51</v>
      </c>
      <c r="M45">
        <v>-342.6</v>
      </c>
      <c r="N45">
        <v>-254.76</v>
      </c>
      <c r="O45">
        <v>25.31</v>
      </c>
      <c r="P45" t="b">
        <v>1</v>
      </c>
      <c r="Q45">
        <v>1</v>
      </c>
      <c r="R45">
        <v>6210</v>
      </c>
      <c r="S45">
        <v>8762</v>
      </c>
      <c r="T45">
        <v>41.1</v>
      </c>
      <c r="U45" t="s">
        <v>675</v>
      </c>
      <c r="V45" t="s">
        <v>973</v>
      </c>
      <c r="W45">
        <v>9.873267434110055</v>
      </c>
      <c r="X45">
        <v>6.7</v>
      </c>
      <c r="Y45" t="s">
        <v>1269</v>
      </c>
      <c r="Z45">
        <v>26.11111723875887</v>
      </c>
      <c r="AA45">
        <v>2129</v>
      </c>
      <c r="AB45">
        <v>101907</v>
      </c>
      <c r="AC45" t="s">
        <v>1561</v>
      </c>
      <c r="AD45">
        <v>36.76</v>
      </c>
      <c r="AE45" t="s">
        <v>1859</v>
      </c>
      <c r="AF45" t="s">
        <v>2157</v>
      </c>
      <c r="AG45">
        <v>16233</v>
      </c>
      <c r="AH45">
        <v>1245</v>
      </c>
      <c r="AJ45">
        <v>2.36</v>
      </c>
    </row>
    <row r="46" spans="1:36">
      <c r="A46" s="1" t="s">
        <v>80</v>
      </c>
      <c r="B46" t="s">
        <v>378</v>
      </c>
      <c r="C46">
        <f>HYPERLINK("https://finance.naver.com/item/coinfo.nhn?code=004650", "A004650")</f>
        <v>0</v>
      </c>
      <c r="D46">
        <f>HYPERLINK("http://comp.fnguide.com/SVO2/ASP/SVD_Consensus.asp?pGB=1&amp;gicode=A004650&amp;cID=&amp;MenuYn=Y&amp;ReportGB=&amp;NewMenuID=108&amp;stkGb=701", "창해에탄올")</f>
        <v>0</v>
      </c>
      <c r="E46">
        <v>3</v>
      </c>
      <c r="F46">
        <v>12700</v>
      </c>
      <c r="G46">
        <v>0.14</v>
      </c>
      <c r="H46">
        <v>5.39</v>
      </c>
      <c r="I46">
        <v>22900</v>
      </c>
      <c r="J46">
        <v>19001</v>
      </c>
      <c r="K46">
        <v>17885</v>
      </c>
      <c r="L46">
        <v>-80.31999999999999</v>
      </c>
      <c r="M46">
        <v>-49.61</v>
      </c>
      <c r="N46">
        <v>-40.83</v>
      </c>
      <c r="O46">
        <v>11.2</v>
      </c>
      <c r="P46" t="b">
        <v>1</v>
      </c>
      <c r="Q46">
        <v>0</v>
      </c>
      <c r="R46">
        <v>2328</v>
      </c>
      <c r="S46">
        <v>1428</v>
      </c>
      <c r="T46">
        <v>-38.7</v>
      </c>
      <c r="U46" t="s">
        <v>676</v>
      </c>
      <c r="V46" t="s">
        <v>974</v>
      </c>
      <c r="W46">
        <v>37.31328836141761</v>
      </c>
      <c r="X46">
        <v>-11.1</v>
      </c>
      <c r="Y46" t="s">
        <v>1270</v>
      </c>
      <c r="Z46">
        <v>6.684310267165183</v>
      </c>
      <c r="AA46">
        <v>1167</v>
      </c>
      <c r="AB46">
        <v>63575</v>
      </c>
      <c r="AC46" t="s">
        <v>1562</v>
      </c>
      <c r="AD46">
        <v>27.14</v>
      </c>
      <c r="AE46" t="s">
        <v>1860</v>
      </c>
      <c r="AF46" t="s">
        <v>2158</v>
      </c>
      <c r="AG46">
        <v>1873</v>
      </c>
      <c r="AH46">
        <v>89</v>
      </c>
      <c r="AI46">
        <v>1603534</v>
      </c>
      <c r="AJ46">
        <v>4.78</v>
      </c>
    </row>
    <row r="47" spans="1:36">
      <c r="A47" s="1" t="s">
        <v>81</v>
      </c>
      <c r="B47" t="s">
        <v>379</v>
      </c>
      <c r="C47">
        <f>HYPERLINK("https://finance.naver.com/item/coinfo.nhn?code=051600", "A051600")</f>
        <v>0</v>
      </c>
      <c r="D47">
        <f>HYPERLINK("http://comp.fnguide.com/SVO2/ASP/SVD_Consensus.asp?pGB=1&amp;gicode=A051600&amp;cID=&amp;MenuYn=Y&amp;ReportGB=&amp;NewMenuID=108&amp;stkGb=701", "한전KPS")</f>
        <v>0</v>
      </c>
      <c r="E47">
        <v>3</v>
      </c>
      <c r="F47">
        <v>26850</v>
      </c>
      <c r="G47">
        <v>-0.83</v>
      </c>
      <c r="H47">
        <v>11.49</v>
      </c>
      <c r="I47">
        <v>46722</v>
      </c>
      <c r="J47">
        <v>32880</v>
      </c>
      <c r="K47">
        <v>28918</v>
      </c>
      <c r="L47">
        <v>-74.01000000000001</v>
      </c>
      <c r="M47">
        <v>-22.46</v>
      </c>
      <c r="N47">
        <v>-7.7</v>
      </c>
      <c r="O47">
        <v>15.86</v>
      </c>
      <c r="P47" t="b">
        <v>0</v>
      </c>
      <c r="Q47">
        <v>0</v>
      </c>
      <c r="R47">
        <v>3407</v>
      </c>
      <c r="S47">
        <v>1935</v>
      </c>
      <c r="T47">
        <v>-43.2</v>
      </c>
      <c r="U47" t="s">
        <v>677</v>
      </c>
      <c r="V47" t="s">
        <v>975</v>
      </c>
      <c r="W47">
        <v>-13.79994293746812</v>
      </c>
      <c r="X47">
        <v>-31.8</v>
      </c>
      <c r="Y47" t="s">
        <v>1271</v>
      </c>
      <c r="Z47">
        <v>-9.274503094994824</v>
      </c>
      <c r="AA47">
        <v>12083</v>
      </c>
      <c r="AB47">
        <v>301203</v>
      </c>
      <c r="AC47" t="s">
        <v>1563</v>
      </c>
      <c r="AD47">
        <v>51</v>
      </c>
      <c r="AE47" t="s">
        <v>1861</v>
      </c>
      <c r="AF47" t="s">
        <v>2159</v>
      </c>
      <c r="AG47">
        <v>12469</v>
      </c>
      <c r="AH47">
        <v>1939</v>
      </c>
      <c r="AJ47">
        <v>4.9</v>
      </c>
    </row>
    <row r="48" spans="1:36">
      <c r="A48" s="1" t="s">
        <v>82</v>
      </c>
      <c r="B48" t="s">
        <v>380</v>
      </c>
      <c r="C48">
        <f>HYPERLINK("https://finance.naver.com/item/coinfo.nhn?code=036190", "A036190")</f>
        <v>0</v>
      </c>
      <c r="D48">
        <f>HYPERLINK("http://comp.fnguide.com/SVO2/ASP/SVD_Consensus.asp?pGB=1&amp;gicode=A036190&amp;cID=&amp;MenuYn=Y&amp;ReportGB=&amp;NewMenuID=108&amp;stkGb=701", "금화피에스시")</f>
        <v>0</v>
      </c>
      <c r="E48">
        <v>3</v>
      </c>
      <c r="F48">
        <v>28850</v>
      </c>
      <c r="G48">
        <v>0</v>
      </c>
      <c r="H48">
        <v>6.39</v>
      </c>
      <c r="I48">
        <v>73508</v>
      </c>
      <c r="J48">
        <v>53743</v>
      </c>
      <c r="K48">
        <v>48086</v>
      </c>
      <c r="L48">
        <v>-154.79</v>
      </c>
      <c r="M48">
        <v>-86.29000000000001</v>
      </c>
      <c r="N48">
        <v>-66.68000000000001</v>
      </c>
      <c r="O48">
        <v>14.54</v>
      </c>
      <c r="P48" t="b">
        <v>1</v>
      </c>
      <c r="Q48">
        <v>0</v>
      </c>
      <c r="R48">
        <v>4614</v>
      </c>
      <c r="U48" t="s">
        <v>678</v>
      </c>
      <c r="V48" t="s">
        <v>976</v>
      </c>
      <c r="W48">
        <v>0</v>
      </c>
      <c r="X48">
        <v>19.9</v>
      </c>
      <c r="Y48" t="s">
        <v>1272</v>
      </c>
      <c r="Z48">
        <v>7.92975516258263</v>
      </c>
      <c r="AA48">
        <v>1731</v>
      </c>
      <c r="AB48">
        <v>10905</v>
      </c>
      <c r="AC48" t="s">
        <v>1564</v>
      </c>
      <c r="AD48">
        <v>36.68</v>
      </c>
      <c r="AE48" t="s">
        <v>1862</v>
      </c>
      <c r="AF48" t="s">
        <v>2160</v>
      </c>
      <c r="AG48">
        <v>2094</v>
      </c>
      <c r="AH48">
        <v>343</v>
      </c>
      <c r="AI48">
        <v>94210</v>
      </c>
      <c r="AJ48">
        <v>4.41</v>
      </c>
    </row>
    <row r="49" spans="1:36">
      <c r="A49" s="1" t="s">
        <v>83</v>
      </c>
      <c r="B49" t="s">
        <v>381</v>
      </c>
      <c r="C49">
        <f>HYPERLINK("https://finance.naver.com/item/coinfo.nhn?code=036800", "A036800")</f>
        <v>0</v>
      </c>
      <c r="D49">
        <f>HYPERLINK("http://comp.fnguide.com/SVO2/ASP/SVD_Consensus.asp?pGB=1&amp;gicode=A036800&amp;cID=&amp;MenuYn=Y&amp;ReportGB=&amp;NewMenuID=108&amp;stkGb=701", "나이스정보통신")</f>
        <v>0</v>
      </c>
      <c r="E49">
        <v>3</v>
      </c>
      <c r="F49">
        <v>28750</v>
      </c>
      <c r="G49">
        <v>-0.29</v>
      </c>
      <c r="H49">
        <v>9.52</v>
      </c>
      <c r="I49">
        <v>48797</v>
      </c>
      <c r="J49">
        <v>34260</v>
      </c>
      <c r="K49">
        <v>30099</v>
      </c>
      <c r="L49">
        <v>-69.73</v>
      </c>
      <c r="M49">
        <v>-19.17</v>
      </c>
      <c r="N49">
        <v>-4.69</v>
      </c>
      <c r="O49">
        <v>15.94</v>
      </c>
      <c r="P49" t="b">
        <v>1</v>
      </c>
      <c r="Q49">
        <v>0</v>
      </c>
      <c r="R49">
        <v>3011</v>
      </c>
      <c r="S49">
        <v>1096</v>
      </c>
      <c r="T49">
        <v>-63.6</v>
      </c>
      <c r="U49" t="s">
        <v>679</v>
      </c>
      <c r="V49" t="s">
        <v>977</v>
      </c>
      <c r="W49">
        <v>-33.15623990335111</v>
      </c>
      <c r="X49">
        <v>-16.8</v>
      </c>
      <c r="Y49" t="s">
        <v>1273</v>
      </c>
      <c r="Z49">
        <v>-3.885738048839227</v>
      </c>
      <c r="AA49">
        <v>2875</v>
      </c>
      <c r="AB49">
        <v>38693</v>
      </c>
      <c r="AC49" t="s">
        <v>1565</v>
      </c>
      <c r="AD49">
        <v>42.74</v>
      </c>
      <c r="AE49" t="s">
        <v>1863</v>
      </c>
      <c r="AF49" t="s">
        <v>2161</v>
      </c>
      <c r="AG49">
        <v>4529</v>
      </c>
      <c r="AH49">
        <v>350</v>
      </c>
      <c r="AI49">
        <v>625978</v>
      </c>
      <c r="AJ49">
        <v>1.61</v>
      </c>
    </row>
    <row r="50" spans="1:36">
      <c r="A50" s="1" t="s">
        <v>84</v>
      </c>
      <c r="B50" t="s">
        <v>382</v>
      </c>
      <c r="C50">
        <f>HYPERLINK("https://finance.naver.com/item/coinfo.nhn?code=056360", "A056360")</f>
        <v>0</v>
      </c>
      <c r="D50">
        <f>HYPERLINK("http://comp.fnguide.com/SVO2/ASP/SVD_Consensus.asp?pGB=1&amp;gicode=A056360&amp;cID=&amp;MenuYn=Y&amp;ReportGB=&amp;NewMenuID=108&amp;stkGb=701", "코위버")</f>
        <v>0</v>
      </c>
      <c r="E50">
        <v>3</v>
      </c>
      <c r="F50">
        <v>9580</v>
      </c>
      <c r="G50">
        <v>-0.85</v>
      </c>
      <c r="H50">
        <v>4.2</v>
      </c>
      <c r="I50">
        <v>20210</v>
      </c>
      <c r="J50">
        <v>15702</v>
      </c>
      <c r="K50">
        <v>14411</v>
      </c>
      <c r="L50">
        <v>-110.96</v>
      </c>
      <c r="M50">
        <v>-63.9</v>
      </c>
      <c r="N50">
        <v>-50.43</v>
      </c>
      <c r="O50">
        <v>12.77</v>
      </c>
      <c r="P50" t="b">
        <v>1</v>
      </c>
      <c r="Q50">
        <v>0</v>
      </c>
      <c r="R50">
        <v>2107</v>
      </c>
      <c r="S50">
        <v>572</v>
      </c>
      <c r="T50">
        <v>-72.90000000000001</v>
      </c>
      <c r="U50" t="s">
        <v>680</v>
      </c>
      <c r="V50" t="s">
        <v>978</v>
      </c>
      <c r="W50">
        <v>-4.945354873454633</v>
      </c>
      <c r="X50">
        <v>-71.90000000000001</v>
      </c>
      <c r="Y50" t="s">
        <v>1274</v>
      </c>
      <c r="Z50">
        <v>-8.972120482559143</v>
      </c>
      <c r="AA50">
        <v>939</v>
      </c>
      <c r="AB50">
        <v>141758</v>
      </c>
      <c r="AC50" t="s">
        <v>1566</v>
      </c>
      <c r="AD50">
        <v>28.91</v>
      </c>
      <c r="AE50" t="s">
        <v>1864</v>
      </c>
      <c r="AF50" t="s">
        <v>2162</v>
      </c>
      <c r="AG50">
        <v>1131</v>
      </c>
      <c r="AH50">
        <v>117</v>
      </c>
      <c r="AI50">
        <v>450345</v>
      </c>
      <c r="AJ50">
        <v>2.26</v>
      </c>
    </row>
    <row r="51" spans="1:36">
      <c r="A51" s="1" t="s">
        <v>85</v>
      </c>
      <c r="B51" t="s">
        <v>383</v>
      </c>
      <c r="C51">
        <f>HYPERLINK("https://finance.naver.com/item/coinfo.nhn?code=141000", "A141000")</f>
        <v>0</v>
      </c>
      <c r="D51">
        <f>HYPERLINK("http://comp.fnguide.com/SVO2/ASP/SVD_Consensus.asp?pGB=1&amp;gicode=A141000&amp;cID=&amp;MenuYn=Y&amp;ReportGB=&amp;NewMenuID=108&amp;stkGb=701", "비아트론")</f>
        <v>0</v>
      </c>
      <c r="E51">
        <v>3</v>
      </c>
      <c r="F51">
        <v>11550</v>
      </c>
      <c r="G51">
        <v>4.06</v>
      </c>
      <c r="H51">
        <v>27.38</v>
      </c>
      <c r="I51">
        <v>14548</v>
      </c>
      <c r="J51">
        <v>12393</v>
      </c>
      <c r="K51">
        <v>11777</v>
      </c>
      <c r="L51">
        <v>-25.96</v>
      </c>
      <c r="M51">
        <v>-7.3</v>
      </c>
      <c r="N51">
        <v>-1.96</v>
      </c>
      <c r="O51">
        <v>10.65</v>
      </c>
      <c r="P51" t="b">
        <v>1</v>
      </c>
      <c r="Q51">
        <v>1</v>
      </c>
      <c r="R51">
        <v>396</v>
      </c>
      <c r="S51">
        <v>1222</v>
      </c>
      <c r="T51">
        <v>208.6</v>
      </c>
      <c r="U51" t="s">
        <v>681</v>
      </c>
      <c r="V51" t="s">
        <v>979</v>
      </c>
      <c r="W51">
        <v>6.746756508097684</v>
      </c>
      <c r="X51">
        <v>139.1</v>
      </c>
      <c r="Y51" t="s">
        <v>1275</v>
      </c>
      <c r="Z51">
        <v>8.079630412028592</v>
      </c>
      <c r="AA51">
        <v>1399</v>
      </c>
      <c r="AB51">
        <v>182769</v>
      </c>
      <c r="AC51" t="s">
        <v>1567</v>
      </c>
      <c r="AD51">
        <v>19.07</v>
      </c>
      <c r="AE51" t="s">
        <v>1865</v>
      </c>
      <c r="AF51" t="s">
        <v>2163</v>
      </c>
      <c r="AG51">
        <v>500</v>
      </c>
      <c r="AH51">
        <v>38</v>
      </c>
    </row>
    <row r="52" spans="1:36">
      <c r="A52" s="1" t="s">
        <v>86</v>
      </c>
      <c r="B52" t="s">
        <v>384</v>
      </c>
      <c r="C52">
        <f>HYPERLINK("https://finance.naver.com/item/coinfo.nhn?code=060540", "A060540")</f>
        <v>0</v>
      </c>
      <c r="D52">
        <f>HYPERLINK("http://comp.fnguide.com/SVO2/ASP/SVD_Consensus.asp?pGB=1&amp;gicode=A060540&amp;cID=&amp;MenuYn=Y&amp;ReportGB=&amp;NewMenuID=108&amp;stkGb=701", "에스에이티")</f>
        <v>0</v>
      </c>
      <c r="E52">
        <v>3</v>
      </c>
      <c r="F52">
        <v>2480</v>
      </c>
      <c r="G52">
        <v>-0.37</v>
      </c>
      <c r="H52">
        <v>6.27</v>
      </c>
      <c r="I52">
        <v>4124</v>
      </c>
      <c r="J52">
        <v>3588</v>
      </c>
      <c r="K52">
        <v>3435</v>
      </c>
      <c r="L52">
        <v>-66.3</v>
      </c>
      <c r="M52">
        <v>-44.68</v>
      </c>
      <c r="N52">
        <v>-38.49</v>
      </c>
      <c r="O52">
        <v>10.24</v>
      </c>
      <c r="P52" t="b">
        <v>1</v>
      </c>
      <c r="Q52">
        <v>0</v>
      </c>
      <c r="R52">
        <v>355</v>
      </c>
      <c r="S52">
        <v>153</v>
      </c>
      <c r="T52">
        <v>-56.9</v>
      </c>
      <c r="U52" t="s">
        <v>682</v>
      </c>
      <c r="V52" t="s">
        <v>980</v>
      </c>
      <c r="W52">
        <v>-16.926448224414</v>
      </c>
      <c r="X52">
        <v>-55.3</v>
      </c>
      <c r="Y52" t="s">
        <v>1276</v>
      </c>
      <c r="Z52">
        <v>-10.23321403604741</v>
      </c>
      <c r="AA52">
        <v>648</v>
      </c>
      <c r="AB52">
        <v>406985</v>
      </c>
      <c r="AC52" t="s">
        <v>1568</v>
      </c>
      <c r="AD52">
        <v>40.82</v>
      </c>
      <c r="AE52" t="s">
        <v>1866</v>
      </c>
      <c r="AF52" t="s">
        <v>2164</v>
      </c>
      <c r="AG52">
        <v>1402</v>
      </c>
      <c r="AH52">
        <v>100</v>
      </c>
      <c r="AI52">
        <v>372</v>
      </c>
      <c r="AJ52">
        <v>2.25</v>
      </c>
    </row>
    <row r="53" spans="1:36">
      <c r="A53" s="1" t="s">
        <v>87</v>
      </c>
      <c r="B53" t="s">
        <v>385</v>
      </c>
      <c r="C53">
        <f>HYPERLINK("https://finance.naver.com/item/coinfo.nhn?code=101330", "A101330")</f>
        <v>0</v>
      </c>
      <c r="D53">
        <f>HYPERLINK("http://comp.fnguide.com/SVO2/ASP/SVD_Consensus.asp?pGB=1&amp;gicode=A101330&amp;cID=&amp;MenuYn=Y&amp;ReportGB=&amp;NewMenuID=108&amp;stkGb=701", "모베이스")</f>
        <v>0</v>
      </c>
      <c r="E53">
        <v>3</v>
      </c>
      <c r="F53">
        <v>3690</v>
      </c>
      <c r="G53">
        <v>0</v>
      </c>
      <c r="H53">
        <v>2.2</v>
      </c>
      <c r="I53">
        <v>19627</v>
      </c>
      <c r="J53">
        <v>14654</v>
      </c>
      <c r="K53">
        <v>13231</v>
      </c>
      <c r="L53">
        <v>-431.9</v>
      </c>
      <c r="M53">
        <v>-297.13</v>
      </c>
      <c r="N53">
        <v>-258.56</v>
      </c>
      <c r="O53">
        <v>13.89</v>
      </c>
      <c r="P53" t="b">
        <v>1</v>
      </c>
      <c r="Q53">
        <v>0</v>
      </c>
      <c r="R53">
        <v>1924</v>
      </c>
      <c r="U53" t="s">
        <v>683</v>
      </c>
      <c r="V53" t="s">
        <v>981</v>
      </c>
      <c r="W53">
        <v>0</v>
      </c>
      <c r="X53">
        <v>0</v>
      </c>
      <c r="Y53" t="s">
        <v>1277</v>
      </c>
      <c r="Z53">
        <v>12.01321226649743</v>
      </c>
      <c r="AA53">
        <v>884</v>
      </c>
      <c r="AB53">
        <v>145172</v>
      </c>
      <c r="AC53" t="s">
        <v>1569</v>
      </c>
      <c r="AD53">
        <v>45.22</v>
      </c>
      <c r="AE53" t="s">
        <v>1867</v>
      </c>
      <c r="AF53" t="s">
        <v>2165</v>
      </c>
      <c r="AG53">
        <v>6525</v>
      </c>
      <c r="AH53">
        <v>320</v>
      </c>
      <c r="AI53">
        <v>227362</v>
      </c>
    </row>
    <row r="54" spans="1:36">
      <c r="A54" s="1" t="s">
        <v>88</v>
      </c>
      <c r="B54" t="s">
        <v>386</v>
      </c>
      <c r="C54">
        <f>HYPERLINK("https://finance.naver.com/item/coinfo.nhn?code=031330", "A031330")</f>
        <v>0</v>
      </c>
      <c r="D54">
        <f>HYPERLINK("http://comp.fnguide.com/SVO2/ASP/SVD_Consensus.asp?pGB=1&amp;gicode=A031330&amp;cID=&amp;MenuYn=Y&amp;ReportGB=&amp;NewMenuID=108&amp;stkGb=701", "에스에이엠티")</f>
        <v>0</v>
      </c>
      <c r="E54">
        <v>3</v>
      </c>
      <c r="F54">
        <v>2625</v>
      </c>
      <c r="G54">
        <v>0</v>
      </c>
      <c r="H54">
        <v>5.84</v>
      </c>
      <c r="I54">
        <v>4926</v>
      </c>
      <c r="J54">
        <v>3431</v>
      </c>
      <c r="K54">
        <v>3003</v>
      </c>
      <c r="L54">
        <v>-87.64</v>
      </c>
      <c r="M54">
        <v>-30.69</v>
      </c>
      <c r="N54">
        <v>-14.39</v>
      </c>
      <c r="O54">
        <v>16.25</v>
      </c>
      <c r="P54" t="b">
        <v>1</v>
      </c>
      <c r="Q54">
        <v>0</v>
      </c>
      <c r="R54">
        <v>376</v>
      </c>
      <c r="U54" t="s">
        <v>684</v>
      </c>
      <c r="V54" t="s">
        <v>982</v>
      </c>
      <c r="W54">
        <v>0</v>
      </c>
      <c r="X54">
        <v>-1</v>
      </c>
      <c r="Y54" t="s">
        <v>1278</v>
      </c>
      <c r="Z54">
        <v>-1.492149739999793</v>
      </c>
      <c r="AA54">
        <v>2625</v>
      </c>
      <c r="AB54">
        <v>642652</v>
      </c>
      <c r="AC54" t="s">
        <v>1570</v>
      </c>
      <c r="AD54">
        <v>50.02</v>
      </c>
      <c r="AE54" t="s">
        <v>1868</v>
      </c>
      <c r="AF54" t="s">
        <v>2166</v>
      </c>
      <c r="AG54">
        <v>12138</v>
      </c>
      <c r="AH54">
        <v>337</v>
      </c>
      <c r="AI54">
        <v>2000000</v>
      </c>
      <c r="AJ54">
        <v>6.38</v>
      </c>
    </row>
    <row r="55" spans="1:36">
      <c r="A55" s="1" t="s">
        <v>89</v>
      </c>
      <c r="B55" t="s">
        <v>387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14250</v>
      </c>
      <c r="G55">
        <v>0</v>
      </c>
      <c r="H55">
        <v>1.28</v>
      </c>
      <c r="I55">
        <v>83636</v>
      </c>
      <c r="J55">
        <v>41744</v>
      </c>
      <c r="K55">
        <v>29754</v>
      </c>
      <c r="L55">
        <v>-486.92</v>
      </c>
      <c r="M55">
        <v>-192.94</v>
      </c>
      <c r="N55">
        <v>-108.8</v>
      </c>
      <c r="O55">
        <v>48.77</v>
      </c>
      <c r="P55" t="b">
        <v>1</v>
      </c>
      <c r="Q55">
        <v>0</v>
      </c>
      <c r="R55">
        <v>7553</v>
      </c>
      <c r="U55" t="s">
        <v>685</v>
      </c>
      <c r="V55" t="s">
        <v>983</v>
      </c>
      <c r="W55">
        <v>0</v>
      </c>
      <c r="X55">
        <v>-95.90000000000001</v>
      </c>
      <c r="Y55" t="s">
        <v>1279</v>
      </c>
      <c r="Z55">
        <v>11.7330467586956</v>
      </c>
      <c r="AA55">
        <v>2277</v>
      </c>
      <c r="AB55">
        <v>3629371</v>
      </c>
      <c r="AC55" t="s">
        <v>1571</v>
      </c>
      <c r="AD55">
        <v>75.53</v>
      </c>
      <c r="AE55" t="s">
        <v>1869</v>
      </c>
      <c r="AF55" t="s">
        <v>2167</v>
      </c>
      <c r="AG55">
        <v>489</v>
      </c>
      <c r="AH55">
        <v>17</v>
      </c>
      <c r="AI55">
        <v>2243930</v>
      </c>
      <c r="AJ55">
        <v>0.52</v>
      </c>
    </row>
    <row r="56" spans="1:36">
      <c r="A56" s="1" t="s">
        <v>90</v>
      </c>
      <c r="B56" t="s">
        <v>388</v>
      </c>
      <c r="C56">
        <f>HYPERLINK("https://finance.naver.com/item/coinfo.nhn?code=208710", "A208710")</f>
        <v>0</v>
      </c>
      <c r="D56">
        <f>HYPERLINK("http://comp.fnguide.com/SVO2/ASP/SVD_Consensus.asp?pGB=1&amp;gicode=A208710&amp;cID=&amp;MenuYn=Y&amp;ReportGB=&amp;NewMenuID=108&amp;stkGb=701", "바이오로그디바이스")</f>
        <v>0</v>
      </c>
      <c r="E56">
        <v>3</v>
      </c>
      <c r="F56">
        <v>1735</v>
      </c>
      <c r="G56">
        <v>0</v>
      </c>
      <c r="H56">
        <v>8.74</v>
      </c>
      <c r="I56">
        <v>2878</v>
      </c>
      <c r="J56">
        <v>2318</v>
      </c>
      <c r="K56">
        <v>2157</v>
      </c>
      <c r="L56">
        <v>-65.88</v>
      </c>
      <c r="M56">
        <v>-33.58</v>
      </c>
      <c r="N56">
        <v>-24.34</v>
      </c>
      <c r="O56">
        <v>11.88</v>
      </c>
      <c r="P56" t="b">
        <v>1</v>
      </c>
      <c r="Q56">
        <v>0</v>
      </c>
      <c r="R56">
        <v>213</v>
      </c>
      <c r="S56">
        <v>-568</v>
      </c>
      <c r="T56">
        <v>-366.7</v>
      </c>
      <c r="U56" t="s">
        <v>686</v>
      </c>
      <c r="V56" t="s">
        <v>984</v>
      </c>
      <c r="W56">
        <v>0</v>
      </c>
      <c r="X56">
        <v>0</v>
      </c>
      <c r="Y56" t="s">
        <v>1280</v>
      </c>
      <c r="Z56">
        <v>1.817208690354288</v>
      </c>
      <c r="AA56">
        <v>501</v>
      </c>
      <c r="AB56">
        <v>16455071</v>
      </c>
      <c r="AC56" t="s">
        <v>1572</v>
      </c>
      <c r="AD56">
        <v>24.08</v>
      </c>
      <c r="AE56" t="s">
        <v>1870</v>
      </c>
      <c r="AF56" t="s">
        <v>2168</v>
      </c>
      <c r="AG56">
        <v>904</v>
      </c>
      <c r="AH56">
        <v>70</v>
      </c>
    </row>
    <row r="57" spans="1:36">
      <c r="A57" s="1" t="s">
        <v>91</v>
      </c>
      <c r="B57" t="s">
        <v>389</v>
      </c>
      <c r="C57">
        <f>HYPERLINK("https://finance.naver.com/item/coinfo.nhn?code=038460", "A038460")</f>
        <v>0</v>
      </c>
      <c r="D57">
        <f>HYPERLINK("http://comp.fnguide.com/SVO2/ASP/SVD_Consensus.asp?pGB=1&amp;gicode=A038460&amp;cID=&amp;MenuYn=Y&amp;ReportGB=&amp;NewMenuID=108&amp;stkGb=701", "바이오스마트")</f>
        <v>0</v>
      </c>
      <c r="E57">
        <v>3</v>
      </c>
      <c r="F57">
        <v>6470</v>
      </c>
      <c r="G57">
        <v>0</v>
      </c>
      <c r="H57">
        <v>3.92</v>
      </c>
      <c r="I57">
        <v>10665</v>
      </c>
      <c r="J57">
        <v>7566</v>
      </c>
      <c r="K57">
        <v>6679</v>
      </c>
      <c r="L57">
        <v>-64.84</v>
      </c>
      <c r="M57">
        <v>-16.94</v>
      </c>
      <c r="N57">
        <v>-3.23</v>
      </c>
      <c r="O57">
        <v>15.57</v>
      </c>
      <c r="P57" t="b">
        <v>1</v>
      </c>
      <c r="Q57">
        <v>0</v>
      </c>
      <c r="R57">
        <v>1107</v>
      </c>
      <c r="S57">
        <v>-561</v>
      </c>
      <c r="T57">
        <v>-150.7</v>
      </c>
      <c r="U57" t="s">
        <v>687</v>
      </c>
      <c r="V57" t="s">
        <v>985</v>
      </c>
      <c r="W57">
        <v>0</v>
      </c>
      <c r="X57">
        <v>-95.3</v>
      </c>
      <c r="Y57" t="s">
        <v>1281</v>
      </c>
      <c r="Z57">
        <v>-23.47888896454662</v>
      </c>
      <c r="AA57">
        <v>1300</v>
      </c>
      <c r="AB57">
        <v>150764</v>
      </c>
      <c r="AC57" t="s">
        <v>1573</v>
      </c>
      <c r="AD57">
        <v>23.2</v>
      </c>
      <c r="AE57" t="s">
        <v>1871</v>
      </c>
      <c r="AF57" t="s">
        <v>2169</v>
      </c>
      <c r="AG57">
        <v>1590</v>
      </c>
      <c r="AH57">
        <v>31</v>
      </c>
      <c r="AI57">
        <v>889896</v>
      </c>
      <c r="AJ57">
        <v>1.45</v>
      </c>
    </row>
    <row r="58" spans="1:36">
      <c r="A58" s="1" t="s">
        <v>92</v>
      </c>
      <c r="B58" t="s">
        <v>390</v>
      </c>
      <c r="C58">
        <f>HYPERLINK("https://finance.naver.com/item/coinfo.nhn?code=255440", "A255440")</f>
        <v>0</v>
      </c>
      <c r="D58">
        <f>HYPERLINK("http://comp.fnguide.com/SVO2/ASP/SVD_Consensus.asp?pGB=1&amp;gicode=A255440&amp;cID=&amp;MenuYn=Y&amp;ReportGB=&amp;NewMenuID=108&amp;stkGb=701", "야스")</f>
        <v>0</v>
      </c>
      <c r="E58">
        <v>3</v>
      </c>
      <c r="F58">
        <v>13350</v>
      </c>
      <c r="G58">
        <v>-1.19</v>
      </c>
      <c r="H58">
        <v>15.72</v>
      </c>
      <c r="I58">
        <v>27179</v>
      </c>
      <c r="J58">
        <v>17834</v>
      </c>
      <c r="K58">
        <v>15160</v>
      </c>
      <c r="L58">
        <v>-103.58</v>
      </c>
      <c r="M58">
        <v>-33.59</v>
      </c>
      <c r="N58">
        <v>-13.55</v>
      </c>
      <c r="O58">
        <v>18.81</v>
      </c>
      <c r="P58" t="b">
        <v>1</v>
      </c>
      <c r="Q58">
        <v>0</v>
      </c>
      <c r="R58">
        <v>1250</v>
      </c>
      <c r="S58">
        <v>910</v>
      </c>
      <c r="T58">
        <v>-27.2</v>
      </c>
      <c r="U58" t="s">
        <v>688</v>
      </c>
      <c r="V58" t="s">
        <v>986</v>
      </c>
      <c r="W58">
        <v>-13.2036471479411</v>
      </c>
      <c r="X58">
        <v>-32.1</v>
      </c>
      <c r="Y58" t="s">
        <v>1282</v>
      </c>
      <c r="Z58">
        <v>53.89946982336158</v>
      </c>
      <c r="AA58">
        <v>1743</v>
      </c>
      <c r="AB58">
        <v>64537</v>
      </c>
      <c r="AC58" t="s">
        <v>1574</v>
      </c>
      <c r="AD58">
        <v>46.59</v>
      </c>
      <c r="AE58" t="s">
        <v>1872</v>
      </c>
      <c r="AF58" t="s">
        <v>2170</v>
      </c>
      <c r="AG58">
        <v>869</v>
      </c>
      <c r="AH58">
        <v>125</v>
      </c>
      <c r="AI58">
        <v>64180</v>
      </c>
      <c r="AJ58">
        <v>0.76</v>
      </c>
    </row>
    <row r="59" spans="1:36">
      <c r="A59" s="1" t="s">
        <v>93</v>
      </c>
      <c r="B59" t="s">
        <v>391</v>
      </c>
      <c r="C59">
        <f>HYPERLINK("https://finance.naver.com/item/coinfo.nhn?code=290740", "A290740")</f>
        <v>0</v>
      </c>
      <c r="D59">
        <f>HYPERLINK("http://comp.fnguide.com/SVO2/ASP/SVD_Consensus.asp?pGB=1&amp;gicode=A290740&amp;cID=&amp;MenuYn=Y&amp;ReportGB=&amp;NewMenuID=108&amp;stkGb=701", "액트로")</f>
        <v>0</v>
      </c>
      <c r="E59">
        <v>3</v>
      </c>
      <c r="F59">
        <v>9300</v>
      </c>
      <c r="G59">
        <v>-0.23</v>
      </c>
      <c r="H59">
        <v>9.99</v>
      </c>
      <c r="I59">
        <v>26572</v>
      </c>
      <c r="J59">
        <v>15240</v>
      </c>
      <c r="K59">
        <v>11996</v>
      </c>
      <c r="L59">
        <v>-185.72</v>
      </c>
      <c r="M59">
        <v>-63.87</v>
      </c>
      <c r="N59">
        <v>-28.99</v>
      </c>
      <c r="O59">
        <v>27.79</v>
      </c>
      <c r="P59" t="b">
        <v>1</v>
      </c>
      <c r="Q59">
        <v>0</v>
      </c>
      <c r="R59">
        <v>1461</v>
      </c>
      <c r="S59">
        <v>205</v>
      </c>
      <c r="T59">
        <v>-86</v>
      </c>
      <c r="U59" t="s">
        <v>689</v>
      </c>
      <c r="V59" t="s">
        <v>987</v>
      </c>
      <c r="W59">
        <v>-43.77415608407404</v>
      </c>
      <c r="X59">
        <v>-71.40000000000001</v>
      </c>
      <c r="Y59" t="s">
        <v>1283</v>
      </c>
      <c r="Z59">
        <v>-5.808049261906911</v>
      </c>
      <c r="AA59">
        <v>936</v>
      </c>
      <c r="AB59">
        <v>46986</v>
      </c>
      <c r="AC59" t="s">
        <v>1575</v>
      </c>
      <c r="AD59">
        <v>37.87</v>
      </c>
      <c r="AE59" t="s">
        <v>1873</v>
      </c>
      <c r="AF59" t="s">
        <v>2171</v>
      </c>
      <c r="AG59">
        <v>1078</v>
      </c>
      <c r="AH59">
        <v>130</v>
      </c>
      <c r="AI59">
        <v>153257</v>
      </c>
      <c r="AJ59">
        <v>1.37</v>
      </c>
    </row>
    <row r="60" spans="1:36">
      <c r="A60" s="1" t="s">
        <v>94</v>
      </c>
      <c r="B60" t="s">
        <v>392</v>
      </c>
      <c r="C60">
        <f>HYPERLINK("https://finance.naver.com/item/coinfo.nhn?code=052790", "A052790")</f>
        <v>0</v>
      </c>
      <c r="D60">
        <f>HYPERLINK("http://comp.fnguide.com/SVO2/ASP/SVD_Consensus.asp?pGB=1&amp;gicode=A052790&amp;cID=&amp;MenuYn=Y&amp;ReportGB=&amp;NewMenuID=108&amp;stkGb=701", "액토즈소프트")</f>
        <v>0</v>
      </c>
      <c r="E60">
        <v>3</v>
      </c>
      <c r="F60">
        <v>8520</v>
      </c>
      <c r="G60">
        <v>0</v>
      </c>
      <c r="H60">
        <v>6.82</v>
      </c>
      <c r="I60">
        <v>13318</v>
      </c>
      <c r="J60">
        <v>11815</v>
      </c>
      <c r="K60">
        <v>11385</v>
      </c>
      <c r="L60">
        <v>-56.31</v>
      </c>
      <c r="M60">
        <v>-38.67</v>
      </c>
      <c r="N60">
        <v>-33.62</v>
      </c>
      <c r="O60">
        <v>9.880000000000001</v>
      </c>
      <c r="P60" t="b">
        <v>1</v>
      </c>
      <c r="Q60">
        <v>0</v>
      </c>
      <c r="R60">
        <v>1833</v>
      </c>
      <c r="U60" t="s">
        <v>690</v>
      </c>
      <c r="V60" t="s">
        <v>988</v>
      </c>
      <c r="W60">
        <v>0</v>
      </c>
      <c r="X60">
        <v>-13.7</v>
      </c>
      <c r="Y60" t="s">
        <v>1284</v>
      </c>
      <c r="Z60">
        <v>-13.7</v>
      </c>
      <c r="AA60">
        <v>965</v>
      </c>
      <c r="AB60">
        <v>35383</v>
      </c>
      <c r="AC60" t="s">
        <v>1576</v>
      </c>
      <c r="AD60">
        <v>51.08</v>
      </c>
      <c r="AE60" t="s">
        <v>1874</v>
      </c>
      <c r="AF60" t="s">
        <v>2172</v>
      </c>
      <c r="AG60">
        <v>627</v>
      </c>
      <c r="AH60">
        <v>257</v>
      </c>
      <c r="AI60">
        <v>406091</v>
      </c>
    </row>
    <row r="61" spans="1:36">
      <c r="A61" s="1" t="s">
        <v>95</v>
      </c>
      <c r="B61" t="s">
        <v>393</v>
      </c>
      <c r="C61">
        <f>HYPERLINK("https://finance.naver.com/item/coinfo.nhn?code=093190", "A093190")</f>
        <v>0</v>
      </c>
      <c r="D61">
        <f>HYPERLINK("http://comp.fnguide.com/SVO2/ASP/SVD_Consensus.asp?pGB=1&amp;gicode=A093190&amp;cID=&amp;MenuYn=Y&amp;ReportGB=&amp;NewMenuID=108&amp;stkGb=701", "빅솔론")</f>
        <v>0</v>
      </c>
      <c r="E61">
        <v>3</v>
      </c>
      <c r="F61">
        <v>4770</v>
      </c>
      <c r="G61">
        <v>-0.32</v>
      </c>
      <c r="H61">
        <v>11.2</v>
      </c>
      <c r="I61">
        <v>10499</v>
      </c>
      <c r="J61">
        <v>9563</v>
      </c>
      <c r="K61">
        <v>9295</v>
      </c>
      <c r="L61">
        <v>-120.11</v>
      </c>
      <c r="M61">
        <v>-100.48</v>
      </c>
      <c r="N61">
        <v>-94.86</v>
      </c>
      <c r="O61">
        <v>9.42</v>
      </c>
      <c r="P61" t="b">
        <v>1</v>
      </c>
      <c r="Q61">
        <v>0</v>
      </c>
      <c r="R61">
        <v>499</v>
      </c>
      <c r="S61">
        <v>291</v>
      </c>
      <c r="T61">
        <v>-41.7</v>
      </c>
      <c r="U61" t="s">
        <v>691</v>
      </c>
      <c r="V61" t="s">
        <v>989</v>
      </c>
      <c r="W61">
        <v>-35.51522214875673</v>
      </c>
      <c r="X61">
        <v>-33.6</v>
      </c>
      <c r="Y61" t="s">
        <v>1285</v>
      </c>
      <c r="Z61">
        <v>-19.97574179755875</v>
      </c>
      <c r="AA61">
        <v>918</v>
      </c>
      <c r="AB61">
        <v>31054</v>
      </c>
      <c r="AC61" t="s">
        <v>1577</v>
      </c>
      <c r="AD61">
        <v>40.88</v>
      </c>
      <c r="AE61" t="s">
        <v>1875</v>
      </c>
      <c r="AF61" t="s">
        <v>2173</v>
      </c>
      <c r="AG61">
        <v>848</v>
      </c>
      <c r="AH61">
        <v>95</v>
      </c>
      <c r="AI61">
        <v>2846707</v>
      </c>
      <c r="AJ61">
        <v>3.4</v>
      </c>
    </row>
    <row r="62" spans="1:36">
      <c r="A62" s="1" t="s">
        <v>96</v>
      </c>
      <c r="B62" t="s">
        <v>394</v>
      </c>
      <c r="C62">
        <f>HYPERLINK("https://finance.naver.com/item/coinfo.nhn?code=014100", "A014100")</f>
        <v>0</v>
      </c>
      <c r="D62">
        <f>HYPERLINK("http://comp.fnguide.com/SVO2/ASP/SVD_Consensus.asp?pGB=1&amp;gicode=A014100&amp;cID=&amp;MenuYn=Y&amp;ReportGB=&amp;NewMenuID=108&amp;stkGb=701", "메디앙스")</f>
        <v>0</v>
      </c>
      <c r="E62">
        <v>3</v>
      </c>
      <c r="F62">
        <v>4195</v>
      </c>
      <c r="G62">
        <v>0</v>
      </c>
      <c r="H62">
        <v>3.16</v>
      </c>
      <c r="I62">
        <v>25710</v>
      </c>
      <c r="J62">
        <v>14585</v>
      </c>
      <c r="K62">
        <v>11401</v>
      </c>
      <c r="L62">
        <v>-512.87</v>
      </c>
      <c r="M62">
        <v>-247.69</v>
      </c>
      <c r="N62">
        <v>-171.79</v>
      </c>
      <c r="O62">
        <v>28.83</v>
      </c>
      <c r="P62" t="b">
        <v>1</v>
      </c>
      <c r="Q62">
        <v>0</v>
      </c>
      <c r="R62">
        <v>2741</v>
      </c>
      <c r="U62" t="s">
        <v>692</v>
      </c>
      <c r="V62" t="s">
        <v>990</v>
      </c>
      <c r="W62">
        <v>0</v>
      </c>
      <c r="X62">
        <v>0</v>
      </c>
      <c r="Y62" t="s">
        <v>1286</v>
      </c>
      <c r="Z62">
        <v>55.10577567581962</v>
      </c>
      <c r="AA62">
        <v>495</v>
      </c>
      <c r="AB62">
        <v>0</v>
      </c>
      <c r="AC62" t="s">
        <v>1578</v>
      </c>
      <c r="AD62">
        <v>30.49</v>
      </c>
      <c r="AE62" t="s">
        <v>1876</v>
      </c>
      <c r="AF62" t="s">
        <v>2174</v>
      </c>
      <c r="AG62">
        <v>973</v>
      </c>
      <c r="AH62">
        <v>-1</v>
      </c>
      <c r="AI62">
        <v>236868</v>
      </c>
    </row>
    <row r="63" spans="1:36">
      <c r="A63" s="1" t="s">
        <v>97</v>
      </c>
      <c r="B63" t="s">
        <v>395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11850</v>
      </c>
      <c r="G63">
        <v>0</v>
      </c>
      <c r="H63">
        <v>4.62</v>
      </c>
      <c r="I63">
        <v>30929</v>
      </c>
      <c r="J63">
        <v>25896</v>
      </c>
      <c r="K63">
        <v>24455</v>
      </c>
      <c r="L63">
        <v>-161</v>
      </c>
      <c r="M63">
        <v>-118.53</v>
      </c>
      <c r="N63">
        <v>-106.37</v>
      </c>
      <c r="O63">
        <v>11.01</v>
      </c>
      <c r="P63" t="b">
        <v>1</v>
      </c>
      <c r="Q63">
        <v>0</v>
      </c>
      <c r="R63">
        <v>1779</v>
      </c>
      <c r="U63" t="s">
        <v>693</v>
      </c>
      <c r="V63" t="s">
        <v>991</v>
      </c>
      <c r="W63">
        <v>0</v>
      </c>
      <c r="X63">
        <v>-5.3</v>
      </c>
      <c r="Y63" t="s">
        <v>1287</v>
      </c>
      <c r="Z63">
        <v>-3.163553070742187</v>
      </c>
      <c r="AA63">
        <v>1916</v>
      </c>
      <c r="AB63">
        <v>130017</v>
      </c>
      <c r="AC63" t="s">
        <v>1579</v>
      </c>
      <c r="AD63">
        <v>63.54</v>
      </c>
      <c r="AE63" t="s">
        <v>1877</v>
      </c>
      <c r="AF63" t="s">
        <v>2175</v>
      </c>
      <c r="AG63">
        <v>3670</v>
      </c>
      <c r="AH63">
        <v>457</v>
      </c>
      <c r="AI63">
        <v>202211</v>
      </c>
      <c r="AJ63">
        <v>1.52</v>
      </c>
    </row>
    <row r="64" spans="1:36">
      <c r="A64" s="1" t="s">
        <v>98</v>
      </c>
      <c r="B64" t="s">
        <v>396</v>
      </c>
      <c r="C64">
        <f>HYPERLINK("https://finance.naver.com/item/coinfo.nhn?code=037460", "A037460")</f>
        <v>0</v>
      </c>
      <c r="D64">
        <f>HYPERLINK("http://comp.fnguide.com/SVO2/ASP/SVD_Consensus.asp?pGB=1&amp;gicode=A037460&amp;cID=&amp;MenuYn=Y&amp;ReportGB=&amp;NewMenuID=108&amp;stkGb=701", "삼지전자")</f>
        <v>0</v>
      </c>
      <c r="E64">
        <v>3</v>
      </c>
      <c r="F64">
        <v>13450</v>
      </c>
      <c r="G64">
        <v>0</v>
      </c>
      <c r="H64">
        <v>11.59</v>
      </c>
      <c r="I64">
        <v>14727</v>
      </c>
      <c r="J64">
        <v>13783</v>
      </c>
      <c r="K64">
        <v>13513</v>
      </c>
      <c r="L64">
        <v>-9.49</v>
      </c>
      <c r="M64">
        <v>-2.48</v>
      </c>
      <c r="N64">
        <v>-0.47</v>
      </c>
      <c r="O64">
        <v>8.98</v>
      </c>
      <c r="P64" t="b">
        <v>1</v>
      </c>
      <c r="Q64">
        <v>0</v>
      </c>
      <c r="R64">
        <v>849</v>
      </c>
      <c r="U64" t="s">
        <v>694</v>
      </c>
      <c r="V64" t="s">
        <v>992</v>
      </c>
      <c r="W64">
        <v>0</v>
      </c>
      <c r="X64">
        <v>98.5</v>
      </c>
      <c r="Y64" t="s">
        <v>1288</v>
      </c>
      <c r="Z64">
        <v>9.957284308027269</v>
      </c>
      <c r="AA64">
        <v>2195</v>
      </c>
      <c r="AB64">
        <v>219553</v>
      </c>
      <c r="AC64" t="s">
        <v>1580</v>
      </c>
      <c r="AD64">
        <v>46.69</v>
      </c>
      <c r="AE64" t="s">
        <v>1878</v>
      </c>
      <c r="AF64" t="s">
        <v>2176</v>
      </c>
      <c r="AG64">
        <v>14950</v>
      </c>
      <c r="AH64">
        <v>362</v>
      </c>
      <c r="AI64">
        <v>983010</v>
      </c>
      <c r="AJ64">
        <v>1.42</v>
      </c>
    </row>
    <row r="65" spans="1:36">
      <c r="A65" s="1" t="s">
        <v>99</v>
      </c>
      <c r="B65" t="s">
        <v>397</v>
      </c>
      <c r="C65">
        <f>HYPERLINK("https://finance.naver.com/item/coinfo.nhn?code=032750", "A032750")</f>
        <v>0</v>
      </c>
      <c r="D65">
        <f>HYPERLINK("http://comp.fnguide.com/SVO2/ASP/SVD_Consensus.asp?pGB=1&amp;gicode=A032750&amp;cID=&amp;MenuYn=Y&amp;ReportGB=&amp;NewMenuID=108&amp;stkGb=701", "삼진")</f>
        <v>0</v>
      </c>
      <c r="E65">
        <v>3</v>
      </c>
      <c r="F65">
        <v>11600</v>
      </c>
      <c r="G65">
        <v>0.19</v>
      </c>
      <c r="H65">
        <v>5.67</v>
      </c>
      <c r="I65">
        <v>16133</v>
      </c>
      <c r="J65">
        <v>14115</v>
      </c>
      <c r="K65">
        <v>13538</v>
      </c>
      <c r="L65">
        <v>-39.08</v>
      </c>
      <c r="M65">
        <v>-21.68</v>
      </c>
      <c r="N65">
        <v>-16.7</v>
      </c>
      <c r="O65">
        <v>10.13</v>
      </c>
      <c r="P65" t="b">
        <v>1</v>
      </c>
      <c r="Q65">
        <v>0</v>
      </c>
      <c r="R65">
        <v>2019</v>
      </c>
      <c r="S65">
        <v>1027</v>
      </c>
      <c r="T65">
        <v>-49.1</v>
      </c>
      <c r="U65" t="s">
        <v>695</v>
      </c>
      <c r="V65" t="s">
        <v>993</v>
      </c>
      <c r="W65">
        <v>30.63066081402421</v>
      </c>
      <c r="X65">
        <v>-35.1</v>
      </c>
      <c r="Y65" t="s">
        <v>1289</v>
      </c>
      <c r="Z65">
        <v>8.942488161386098</v>
      </c>
      <c r="AA65">
        <v>696</v>
      </c>
      <c r="AB65">
        <v>39212</v>
      </c>
      <c r="AC65" t="s">
        <v>1581</v>
      </c>
      <c r="AD65">
        <v>44.13</v>
      </c>
      <c r="AE65" t="s">
        <v>1879</v>
      </c>
      <c r="AF65" t="s">
        <v>2177</v>
      </c>
      <c r="AG65">
        <v>1352</v>
      </c>
      <c r="AH65">
        <v>117</v>
      </c>
      <c r="AJ65">
        <v>1.75</v>
      </c>
    </row>
    <row r="66" spans="1:36">
      <c r="A66" s="1" t="s">
        <v>100</v>
      </c>
      <c r="B66" t="s">
        <v>398</v>
      </c>
      <c r="C66">
        <f>HYPERLINK("https://finance.naver.com/item/coinfo.nhn?code=038540", "A038540")</f>
        <v>0</v>
      </c>
      <c r="D66">
        <f>HYPERLINK("http://comp.fnguide.com/SVO2/ASP/SVD_Consensus.asp?pGB=1&amp;gicode=A038540&amp;cID=&amp;MenuYn=Y&amp;ReportGB=&amp;NewMenuID=108&amp;stkGb=701", "상상인")</f>
        <v>0</v>
      </c>
      <c r="E66">
        <v>3</v>
      </c>
      <c r="F66">
        <v>6190</v>
      </c>
      <c r="G66">
        <v>-0.3</v>
      </c>
      <c r="H66">
        <v>3.85</v>
      </c>
      <c r="I66">
        <v>39204</v>
      </c>
      <c r="J66">
        <v>21462</v>
      </c>
      <c r="K66">
        <v>16384</v>
      </c>
      <c r="L66">
        <v>-533.34</v>
      </c>
      <c r="M66">
        <v>-246.72</v>
      </c>
      <c r="N66">
        <v>-164.68</v>
      </c>
      <c r="O66">
        <v>32.73</v>
      </c>
      <c r="P66" t="b">
        <v>1</v>
      </c>
      <c r="Q66">
        <v>0</v>
      </c>
      <c r="R66">
        <v>2254</v>
      </c>
      <c r="S66">
        <v>1163</v>
      </c>
      <c r="T66">
        <v>-48.4</v>
      </c>
      <c r="U66" t="s">
        <v>696</v>
      </c>
      <c r="V66" t="s">
        <v>994</v>
      </c>
      <c r="W66">
        <v>-12.63892591788719</v>
      </c>
      <c r="X66">
        <v>-54.9</v>
      </c>
      <c r="Y66" t="s">
        <v>1290</v>
      </c>
      <c r="Z66">
        <v>12.53751281964544</v>
      </c>
      <c r="AA66">
        <v>3425</v>
      </c>
      <c r="AB66">
        <v>419486</v>
      </c>
      <c r="AC66" t="s">
        <v>1582</v>
      </c>
      <c r="AD66">
        <v>31.93</v>
      </c>
      <c r="AE66" t="s">
        <v>1880</v>
      </c>
      <c r="AF66" t="s">
        <v>2178</v>
      </c>
      <c r="AG66">
        <v>5413</v>
      </c>
      <c r="AH66">
        <v>1824</v>
      </c>
      <c r="AI66">
        <v>604037</v>
      </c>
      <c r="AJ66">
        <v>2.31</v>
      </c>
    </row>
    <row r="67" spans="1:36">
      <c r="A67" s="1" t="s">
        <v>101</v>
      </c>
      <c r="B67" t="s">
        <v>399</v>
      </c>
      <c r="C67">
        <f>HYPERLINK("https://finance.naver.com/item/coinfo.nhn?code=017000", "A017000")</f>
        <v>0</v>
      </c>
      <c r="D67">
        <f>HYPERLINK("http://comp.fnguide.com/SVO2/ASP/SVD_Consensus.asp?pGB=1&amp;gicode=A017000&amp;cID=&amp;MenuYn=Y&amp;ReportGB=&amp;NewMenuID=108&amp;stkGb=701", "신원종합개발")</f>
        <v>0</v>
      </c>
      <c r="E67">
        <v>3</v>
      </c>
      <c r="F67">
        <v>5620</v>
      </c>
      <c r="G67">
        <v>0</v>
      </c>
      <c r="H67">
        <v>3.14</v>
      </c>
      <c r="I67">
        <v>19946</v>
      </c>
      <c r="J67">
        <v>13319</v>
      </c>
      <c r="K67">
        <v>11423</v>
      </c>
      <c r="L67">
        <v>-254.9</v>
      </c>
      <c r="M67">
        <v>-137</v>
      </c>
      <c r="N67">
        <v>-103.25</v>
      </c>
      <c r="O67">
        <v>17.99</v>
      </c>
      <c r="P67" t="b">
        <v>1</v>
      </c>
      <c r="Q67">
        <v>0</v>
      </c>
      <c r="R67">
        <v>1338</v>
      </c>
      <c r="U67" t="s">
        <v>697</v>
      </c>
      <c r="V67" t="s">
        <v>995</v>
      </c>
      <c r="W67">
        <v>0</v>
      </c>
      <c r="X67">
        <v>-93.7</v>
      </c>
      <c r="Y67" t="s">
        <v>1291</v>
      </c>
      <c r="Z67">
        <v>-19.71823388081634</v>
      </c>
      <c r="AA67">
        <v>577</v>
      </c>
      <c r="AB67">
        <v>293144</v>
      </c>
      <c r="AC67" t="s">
        <v>1583</v>
      </c>
      <c r="AD67">
        <v>18.38</v>
      </c>
      <c r="AE67" t="s">
        <v>1881</v>
      </c>
      <c r="AF67" t="s">
        <v>2179</v>
      </c>
      <c r="AG67">
        <v>2565</v>
      </c>
      <c r="AH67">
        <v>69</v>
      </c>
      <c r="AI67">
        <v>472513</v>
      </c>
    </row>
    <row r="68" spans="1:36">
      <c r="A68" s="1" t="s">
        <v>102</v>
      </c>
      <c r="B68" t="s">
        <v>400</v>
      </c>
      <c r="C68">
        <f>HYPERLINK("https://finance.naver.com/item/coinfo.nhn?code=011370", "A011370")</f>
        <v>0</v>
      </c>
      <c r="D68">
        <f>HYPERLINK("http://comp.fnguide.com/SVO2/ASP/SVD_Consensus.asp?pGB=1&amp;gicode=A011370&amp;cID=&amp;MenuYn=Y&amp;ReportGB=&amp;NewMenuID=108&amp;stkGb=701", "서한")</f>
        <v>0</v>
      </c>
      <c r="E68">
        <v>3</v>
      </c>
      <c r="F68">
        <v>1500</v>
      </c>
      <c r="G68">
        <v>0</v>
      </c>
      <c r="H68">
        <v>12.19</v>
      </c>
      <c r="I68">
        <v>4338</v>
      </c>
      <c r="J68">
        <v>3533</v>
      </c>
      <c r="K68">
        <v>3302</v>
      </c>
      <c r="L68">
        <v>-189.22</v>
      </c>
      <c r="M68">
        <v>-135.5</v>
      </c>
      <c r="N68">
        <v>-120.13</v>
      </c>
      <c r="O68">
        <v>11.62</v>
      </c>
      <c r="P68" t="b">
        <v>1</v>
      </c>
      <c r="Q68">
        <v>0</v>
      </c>
      <c r="R68">
        <v>98</v>
      </c>
      <c r="U68" t="s">
        <v>698</v>
      </c>
      <c r="V68" t="s">
        <v>996</v>
      </c>
      <c r="W68">
        <v>0</v>
      </c>
      <c r="X68">
        <v>131.1</v>
      </c>
      <c r="Y68" t="s">
        <v>1292</v>
      </c>
      <c r="Z68">
        <v>-6.718859451246695</v>
      </c>
      <c r="AA68">
        <v>1513</v>
      </c>
      <c r="AB68">
        <v>768295</v>
      </c>
      <c r="AC68" t="s">
        <v>1584</v>
      </c>
      <c r="AD68">
        <v>11.26</v>
      </c>
      <c r="AE68" t="s">
        <v>1882</v>
      </c>
      <c r="AF68" t="s">
        <v>2180</v>
      </c>
      <c r="AG68">
        <v>5481</v>
      </c>
      <c r="AH68">
        <v>240</v>
      </c>
      <c r="AJ68">
        <v>2.52</v>
      </c>
    </row>
    <row r="69" spans="1:36">
      <c r="A69" s="1" t="s">
        <v>103</v>
      </c>
      <c r="B69" t="s">
        <v>401</v>
      </c>
      <c r="C69">
        <f>HYPERLINK("https://finance.naver.com/item/coinfo.nhn?code=020710", "A020710")</f>
        <v>0</v>
      </c>
      <c r="D69">
        <f>HYPERLINK("http://comp.fnguide.com/SVO2/ASP/SVD_Consensus.asp?pGB=1&amp;gicode=A020710&amp;cID=&amp;MenuYn=Y&amp;ReportGB=&amp;NewMenuID=108&amp;stkGb=701", "시공테크")</f>
        <v>0</v>
      </c>
      <c r="E69">
        <v>3</v>
      </c>
      <c r="F69">
        <v>5330</v>
      </c>
      <c r="G69">
        <v>0</v>
      </c>
      <c r="H69">
        <v>6.26</v>
      </c>
      <c r="I69">
        <v>8473</v>
      </c>
      <c r="J69">
        <v>6890</v>
      </c>
      <c r="K69">
        <v>6437</v>
      </c>
      <c r="L69">
        <v>-58.97</v>
      </c>
      <c r="M69">
        <v>-29.27</v>
      </c>
      <c r="N69">
        <v>-20.76</v>
      </c>
      <c r="O69">
        <v>11.65</v>
      </c>
      <c r="P69" t="b">
        <v>0</v>
      </c>
      <c r="Q69">
        <v>0</v>
      </c>
      <c r="R69">
        <v>765</v>
      </c>
      <c r="U69" t="s">
        <v>699</v>
      </c>
      <c r="V69" t="s">
        <v>997</v>
      </c>
      <c r="W69">
        <v>0</v>
      </c>
      <c r="X69">
        <v>-11.6</v>
      </c>
      <c r="Y69" t="s">
        <v>1293</v>
      </c>
      <c r="Z69">
        <v>-10.09499867591507</v>
      </c>
      <c r="AA69">
        <v>1069</v>
      </c>
      <c r="AB69">
        <v>49568</v>
      </c>
      <c r="AC69" t="s">
        <v>1585</v>
      </c>
      <c r="AD69">
        <v>43.21</v>
      </c>
      <c r="AE69" t="s">
        <v>1883</v>
      </c>
      <c r="AF69" t="s">
        <v>2181</v>
      </c>
      <c r="AG69">
        <v>1198</v>
      </c>
      <c r="AH69">
        <v>80</v>
      </c>
      <c r="AI69">
        <v>1478045</v>
      </c>
      <c r="AJ69">
        <v>1.67</v>
      </c>
    </row>
    <row r="70" spans="1:36">
      <c r="A70" s="1" t="s">
        <v>104</v>
      </c>
      <c r="B70" t="s">
        <v>402</v>
      </c>
      <c r="C70">
        <f>HYPERLINK("https://finance.naver.com/item/coinfo.nhn?code=035890", "A035890")</f>
        <v>0</v>
      </c>
      <c r="D70">
        <f>HYPERLINK("http://comp.fnguide.com/SVO2/ASP/SVD_Consensus.asp?pGB=1&amp;gicode=A035890&amp;cID=&amp;MenuYn=Y&amp;ReportGB=&amp;NewMenuID=108&amp;stkGb=701", "서희건설")</f>
        <v>0</v>
      </c>
      <c r="E70">
        <v>3</v>
      </c>
      <c r="F70">
        <v>1535</v>
      </c>
      <c r="G70">
        <v>0</v>
      </c>
      <c r="H70">
        <v>3.81</v>
      </c>
      <c r="I70">
        <v>3414</v>
      </c>
      <c r="J70">
        <v>2397</v>
      </c>
      <c r="K70">
        <v>2106</v>
      </c>
      <c r="L70">
        <v>-122.4</v>
      </c>
      <c r="M70">
        <v>-56.15</v>
      </c>
      <c r="N70">
        <v>-37.18</v>
      </c>
      <c r="O70">
        <v>15.94</v>
      </c>
      <c r="P70" t="b">
        <v>1</v>
      </c>
      <c r="Q70">
        <v>0</v>
      </c>
      <c r="R70">
        <v>294</v>
      </c>
      <c r="U70" t="s">
        <v>700</v>
      </c>
      <c r="V70" t="s">
        <v>998</v>
      </c>
      <c r="W70">
        <v>0</v>
      </c>
      <c r="X70">
        <v>188</v>
      </c>
      <c r="Y70" t="s">
        <v>1294</v>
      </c>
      <c r="Z70">
        <v>62.87711233297934</v>
      </c>
      <c r="AA70">
        <v>3528</v>
      </c>
      <c r="AB70">
        <v>861296</v>
      </c>
      <c r="AC70" t="s">
        <v>1586</v>
      </c>
      <c r="AD70">
        <v>50.37</v>
      </c>
      <c r="AE70" t="s">
        <v>1884</v>
      </c>
      <c r="AF70" t="s">
        <v>2182</v>
      </c>
      <c r="AG70">
        <v>12430</v>
      </c>
      <c r="AH70">
        <v>1182</v>
      </c>
      <c r="AI70">
        <v>9575559</v>
      </c>
      <c r="AJ70">
        <v>2.68</v>
      </c>
    </row>
    <row r="71" spans="1:36">
      <c r="A71" s="1" t="s">
        <v>105</v>
      </c>
      <c r="B71" t="s">
        <v>403</v>
      </c>
      <c r="C71">
        <f>HYPERLINK("https://finance.naver.com/item/coinfo.nhn?code=045300", "A045300")</f>
        <v>0</v>
      </c>
      <c r="D71">
        <f>HYPERLINK("http://comp.fnguide.com/SVO2/ASP/SVD_Consensus.asp?pGB=1&amp;gicode=A045300&amp;cID=&amp;MenuYn=Y&amp;ReportGB=&amp;NewMenuID=108&amp;stkGb=701", "성우테크론")</f>
        <v>0</v>
      </c>
      <c r="E71">
        <v>3</v>
      </c>
      <c r="F71">
        <v>5460</v>
      </c>
      <c r="G71">
        <v>-0.68</v>
      </c>
      <c r="H71">
        <v>8.619999999999999</v>
      </c>
      <c r="I71">
        <v>7763</v>
      </c>
      <c r="J71">
        <v>6440</v>
      </c>
      <c r="K71">
        <v>6062</v>
      </c>
      <c r="L71">
        <v>-42.18</v>
      </c>
      <c r="M71">
        <v>-17.96</v>
      </c>
      <c r="N71">
        <v>-11.02</v>
      </c>
      <c r="O71">
        <v>11.21</v>
      </c>
      <c r="P71" t="b">
        <v>1</v>
      </c>
      <c r="Q71">
        <v>0</v>
      </c>
      <c r="R71">
        <v>481</v>
      </c>
      <c r="S71">
        <v>411</v>
      </c>
      <c r="T71">
        <v>-14.6</v>
      </c>
      <c r="U71" t="s">
        <v>701</v>
      </c>
      <c r="V71" t="s">
        <v>999</v>
      </c>
      <c r="W71">
        <v>-12.70877966797608</v>
      </c>
      <c r="X71">
        <v>-41.8</v>
      </c>
      <c r="Y71" t="s">
        <v>1295</v>
      </c>
      <c r="Z71">
        <v>173.4026716865229</v>
      </c>
      <c r="AA71">
        <v>523</v>
      </c>
      <c r="AB71">
        <v>435755</v>
      </c>
      <c r="AC71" t="s">
        <v>1587</v>
      </c>
      <c r="AD71">
        <v>42</v>
      </c>
      <c r="AE71" t="s">
        <v>1885</v>
      </c>
      <c r="AF71" t="s">
        <v>2183</v>
      </c>
      <c r="AG71">
        <v>330</v>
      </c>
      <c r="AH71">
        <v>22</v>
      </c>
      <c r="AI71">
        <v>353222</v>
      </c>
      <c r="AJ71">
        <v>0.95</v>
      </c>
    </row>
    <row r="72" spans="1:36">
      <c r="A72" s="1" t="s">
        <v>106</v>
      </c>
      <c r="B72" t="s">
        <v>404</v>
      </c>
      <c r="C72">
        <f>HYPERLINK("https://finance.naver.com/item/coinfo.nhn?code=241770", "A241770")</f>
        <v>0</v>
      </c>
      <c r="D72">
        <f>HYPERLINK("http://comp.fnguide.com/SVO2/ASP/SVD_Consensus.asp?pGB=1&amp;gicode=A241770&amp;cID=&amp;MenuYn=Y&amp;ReportGB=&amp;NewMenuID=108&amp;stkGb=701", "메카로")</f>
        <v>0</v>
      </c>
      <c r="E72">
        <v>3</v>
      </c>
      <c r="F72">
        <v>15000</v>
      </c>
      <c r="G72">
        <v>0</v>
      </c>
      <c r="H72">
        <v>18.81</v>
      </c>
      <c r="I72">
        <v>31662</v>
      </c>
      <c r="J72">
        <v>21394</v>
      </c>
      <c r="K72">
        <v>18456</v>
      </c>
      <c r="L72">
        <v>-111.08</v>
      </c>
      <c r="M72">
        <v>-42.63</v>
      </c>
      <c r="N72">
        <v>-23.04</v>
      </c>
      <c r="O72">
        <v>17.47</v>
      </c>
      <c r="P72" t="b">
        <v>1</v>
      </c>
      <c r="Q72">
        <v>0</v>
      </c>
      <c r="R72">
        <v>819</v>
      </c>
      <c r="U72" t="s">
        <v>702</v>
      </c>
      <c r="V72" t="s">
        <v>1000</v>
      </c>
      <c r="W72">
        <v>0</v>
      </c>
      <c r="X72">
        <v>-98.40000000000001</v>
      </c>
      <c r="Y72" t="s">
        <v>1296</v>
      </c>
      <c r="Z72">
        <v>-53.38808199501476</v>
      </c>
      <c r="AA72">
        <v>1515</v>
      </c>
      <c r="AB72">
        <v>53417</v>
      </c>
      <c r="AC72" t="s">
        <v>1588</v>
      </c>
      <c r="AD72">
        <v>60.36</v>
      </c>
      <c r="AE72" t="s">
        <v>1886</v>
      </c>
      <c r="AF72" t="s">
        <v>2184</v>
      </c>
      <c r="AG72">
        <v>725</v>
      </c>
      <c r="AH72">
        <v>86</v>
      </c>
      <c r="AI72">
        <v>380000</v>
      </c>
      <c r="AJ72">
        <v>1.04</v>
      </c>
    </row>
    <row r="73" spans="1:36">
      <c r="A73" s="1" t="s">
        <v>107</v>
      </c>
      <c r="B73" t="s">
        <v>405</v>
      </c>
      <c r="C73">
        <f>HYPERLINK("https://finance.naver.com/item/coinfo.nhn?code=069510", "A069510")</f>
        <v>0</v>
      </c>
      <c r="D73">
        <f>HYPERLINK("http://comp.fnguide.com/SVO2/ASP/SVD_Consensus.asp?pGB=1&amp;gicode=A069510&amp;cID=&amp;MenuYn=Y&amp;ReportGB=&amp;NewMenuID=108&amp;stkGb=701", "에스텍")</f>
        <v>0</v>
      </c>
      <c r="E73">
        <v>3</v>
      </c>
      <c r="F73">
        <v>10700</v>
      </c>
      <c r="G73">
        <v>0</v>
      </c>
      <c r="H73">
        <v>7.39</v>
      </c>
      <c r="I73">
        <v>27966</v>
      </c>
      <c r="J73">
        <v>22179</v>
      </c>
      <c r="K73">
        <v>20522</v>
      </c>
      <c r="L73">
        <v>-161.36</v>
      </c>
      <c r="M73">
        <v>-107.28</v>
      </c>
      <c r="N73">
        <v>-91.8</v>
      </c>
      <c r="O73">
        <v>12.25</v>
      </c>
      <c r="P73" t="b">
        <v>1</v>
      </c>
      <c r="Q73">
        <v>0</v>
      </c>
      <c r="R73">
        <v>1576</v>
      </c>
      <c r="U73" t="s">
        <v>703</v>
      </c>
      <c r="V73" t="s">
        <v>1001</v>
      </c>
      <c r="W73">
        <v>0</v>
      </c>
      <c r="X73">
        <v>-42.3</v>
      </c>
      <c r="Y73" t="s">
        <v>1297</v>
      </c>
      <c r="Z73">
        <v>-6.882988019714242</v>
      </c>
      <c r="AA73">
        <v>1167</v>
      </c>
      <c r="AB73">
        <v>18101</v>
      </c>
      <c r="AC73" t="s">
        <v>1589</v>
      </c>
      <c r="AD73">
        <v>49.55</v>
      </c>
      <c r="AE73" t="s">
        <v>1887</v>
      </c>
      <c r="AF73" t="s">
        <v>2185</v>
      </c>
      <c r="AG73">
        <v>3380</v>
      </c>
      <c r="AH73">
        <v>175</v>
      </c>
      <c r="AI73">
        <v>2500000</v>
      </c>
      <c r="AJ73">
        <v>5.15</v>
      </c>
    </row>
    <row r="74" spans="1:36">
      <c r="A74" s="1" t="s">
        <v>108</v>
      </c>
      <c r="B74" t="s">
        <v>406</v>
      </c>
      <c r="C74">
        <f>HYPERLINK("https://finance.naver.com/item/coinfo.nhn?code=122990", "A122990")</f>
        <v>0</v>
      </c>
      <c r="D74">
        <f>HYPERLINK("http://comp.fnguide.com/SVO2/ASP/SVD_Consensus.asp?pGB=1&amp;gicode=A122990&amp;cID=&amp;MenuYn=Y&amp;ReportGB=&amp;NewMenuID=108&amp;stkGb=701", "와이솔")</f>
        <v>0</v>
      </c>
      <c r="E74">
        <v>3</v>
      </c>
      <c r="F74">
        <v>13650</v>
      </c>
      <c r="G74">
        <v>-0.36</v>
      </c>
      <c r="H74">
        <v>12.55</v>
      </c>
      <c r="I74">
        <v>23559</v>
      </c>
      <c r="J74">
        <v>16825</v>
      </c>
      <c r="K74">
        <v>14898</v>
      </c>
      <c r="L74">
        <v>-72.59</v>
      </c>
      <c r="M74">
        <v>-23.26</v>
      </c>
      <c r="N74">
        <v>-9.140000000000001</v>
      </c>
      <c r="O74">
        <v>15.33</v>
      </c>
      <c r="P74" t="b">
        <v>1</v>
      </c>
      <c r="Q74">
        <v>0</v>
      </c>
      <c r="R74">
        <v>1203</v>
      </c>
      <c r="S74">
        <v>541</v>
      </c>
      <c r="T74">
        <v>-55</v>
      </c>
      <c r="U74" t="s">
        <v>704</v>
      </c>
      <c r="V74" t="s">
        <v>1002</v>
      </c>
      <c r="W74">
        <v>-34.50474559953489</v>
      </c>
      <c r="X74">
        <v>-76.7</v>
      </c>
      <c r="Y74" t="s">
        <v>1298</v>
      </c>
      <c r="Z74">
        <v>-26.36353843601558</v>
      </c>
      <c r="AA74">
        <v>3845</v>
      </c>
      <c r="AB74">
        <v>385517</v>
      </c>
      <c r="AC74" t="s">
        <v>1590</v>
      </c>
      <c r="AD74">
        <v>36.09</v>
      </c>
      <c r="AE74" t="s">
        <v>1888</v>
      </c>
      <c r="AF74" t="s">
        <v>2186</v>
      </c>
      <c r="AG74">
        <v>3703</v>
      </c>
      <c r="AH74">
        <v>400</v>
      </c>
      <c r="AI74">
        <v>515408</v>
      </c>
      <c r="AJ74">
        <v>1.66</v>
      </c>
    </row>
    <row r="75" spans="1:36">
      <c r="A75" s="1" t="s">
        <v>109</v>
      </c>
      <c r="B75" t="s">
        <v>407</v>
      </c>
      <c r="C75">
        <f>HYPERLINK("https://finance.naver.com/item/coinfo.nhn?code=900300", "A900300")</f>
        <v>0</v>
      </c>
      <c r="D75">
        <f>HYPERLINK("http://comp.fnguide.com/SVO2/ASP/SVD_Consensus.asp?pGB=1&amp;gicode=A900300&amp;cID=&amp;MenuYn=Y&amp;ReportGB=&amp;NewMenuID=108&amp;stkGb=701", "오가닉티코스메틱")</f>
        <v>0</v>
      </c>
      <c r="E75">
        <v>3</v>
      </c>
      <c r="F75">
        <v>705</v>
      </c>
      <c r="G75">
        <v>0</v>
      </c>
      <c r="H75">
        <v>2.6</v>
      </c>
      <c r="I75">
        <v>7102</v>
      </c>
      <c r="J75">
        <v>4941</v>
      </c>
      <c r="K75">
        <v>4322</v>
      </c>
      <c r="L75">
        <v>-907.4299999999999</v>
      </c>
      <c r="M75">
        <v>-600.8200000000001</v>
      </c>
      <c r="N75">
        <v>-513.0599999999999</v>
      </c>
      <c r="O75">
        <v>16.29</v>
      </c>
      <c r="P75" t="b">
        <v>0</v>
      </c>
      <c r="Q75">
        <v>0</v>
      </c>
      <c r="R75">
        <v>559</v>
      </c>
      <c r="U75" t="s">
        <v>705</v>
      </c>
      <c r="V75" t="s">
        <v>1003</v>
      </c>
      <c r="W75">
        <v>0</v>
      </c>
      <c r="X75">
        <v>-58.5</v>
      </c>
      <c r="Y75" t="s">
        <v>1299</v>
      </c>
      <c r="Z75">
        <v>-22.37931695371097</v>
      </c>
      <c r="AA75">
        <v>454</v>
      </c>
      <c r="AB75">
        <v>2172305</v>
      </c>
      <c r="AC75" t="s">
        <v>1591</v>
      </c>
      <c r="AD75">
        <v>11.62</v>
      </c>
      <c r="AE75" t="s">
        <v>1889</v>
      </c>
      <c r="AF75" t="s">
        <v>2187</v>
      </c>
      <c r="AG75">
        <v>2996</v>
      </c>
      <c r="AH75">
        <v>459</v>
      </c>
    </row>
    <row r="76" spans="1:36">
      <c r="A76" s="1" t="s">
        <v>110</v>
      </c>
      <c r="B76" t="s">
        <v>408</v>
      </c>
      <c r="C76">
        <f>HYPERLINK("https://finance.naver.com/item/coinfo.nhn?code=057540", "A057540")</f>
        <v>0</v>
      </c>
      <c r="D76">
        <f>HYPERLINK("http://comp.fnguide.com/SVO2/ASP/SVD_Consensus.asp?pGB=1&amp;gicode=A057540&amp;cID=&amp;MenuYn=Y&amp;ReportGB=&amp;NewMenuID=108&amp;stkGb=701", "옴니시스템")</f>
        <v>0</v>
      </c>
      <c r="E76">
        <v>3</v>
      </c>
      <c r="F76">
        <v>2275</v>
      </c>
      <c r="G76">
        <v>0</v>
      </c>
      <c r="H76">
        <v>4.24</v>
      </c>
      <c r="I76">
        <v>3728</v>
      </c>
      <c r="J76">
        <v>2772</v>
      </c>
      <c r="K76">
        <v>2498</v>
      </c>
      <c r="L76">
        <v>-63.85</v>
      </c>
      <c r="M76">
        <v>-21.84</v>
      </c>
      <c r="N76">
        <v>-9.82</v>
      </c>
      <c r="O76">
        <v>14.01</v>
      </c>
      <c r="P76" t="b">
        <v>1</v>
      </c>
      <c r="Q76">
        <v>0</v>
      </c>
      <c r="R76">
        <v>463</v>
      </c>
      <c r="S76">
        <v>-94</v>
      </c>
      <c r="T76">
        <v>-120.3</v>
      </c>
      <c r="U76" t="s">
        <v>706</v>
      </c>
      <c r="V76" t="s">
        <v>1004</v>
      </c>
      <c r="W76">
        <v>0</v>
      </c>
      <c r="X76">
        <v>-97.5</v>
      </c>
      <c r="Y76" t="s">
        <v>1300</v>
      </c>
      <c r="Z76">
        <v>-42.69491372534636</v>
      </c>
      <c r="AA76">
        <v>1057</v>
      </c>
      <c r="AB76">
        <v>537136</v>
      </c>
      <c r="AC76" t="s">
        <v>1592</v>
      </c>
      <c r="AD76">
        <v>24.91</v>
      </c>
      <c r="AE76" t="s">
        <v>1890</v>
      </c>
      <c r="AF76" t="s">
        <v>2188</v>
      </c>
      <c r="AG76">
        <v>940</v>
      </c>
      <c r="AH76">
        <v>-20</v>
      </c>
      <c r="AI76">
        <v>2105261</v>
      </c>
    </row>
    <row r="77" spans="1:36">
      <c r="A77" s="1" t="s">
        <v>111</v>
      </c>
      <c r="B77" t="s">
        <v>409</v>
      </c>
      <c r="C77">
        <f>HYPERLINK("https://finance.naver.com/item/coinfo.nhn?code=027410", "A027410")</f>
        <v>0</v>
      </c>
      <c r="D77">
        <f>HYPERLINK("http://comp.fnguide.com/SVO2/ASP/SVD_Consensus.asp?pGB=1&amp;gicode=A027410&amp;cID=&amp;MenuYn=Y&amp;ReportGB=&amp;NewMenuID=108&amp;stkGb=701", "BGF")</f>
        <v>0</v>
      </c>
      <c r="E77">
        <v>3</v>
      </c>
      <c r="F77">
        <v>5500</v>
      </c>
      <c r="G77">
        <v>-0.24</v>
      </c>
      <c r="H77">
        <v>19.91</v>
      </c>
      <c r="I77">
        <v>144430</v>
      </c>
      <c r="J77">
        <v>67263</v>
      </c>
      <c r="K77">
        <v>45176</v>
      </c>
      <c r="L77">
        <v>-2525.99</v>
      </c>
      <c r="M77">
        <v>-1122.96</v>
      </c>
      <c r="N77">
        <v>-721.38</v>
      </c>
      <c r="O77">
        <v>73.78</v>
      </c>
      <c r="P77" t="b">
        <v>0</v>
      </c>
      <c r="Q77">
        <v>1</v>
      </c>
      <c r="R77">
        <v>281</v>
      </c>
      <c r="S77">
        <v>297</v>
      </c>
      <c r="T77">
        <v>5.7</v>
      </c>
      <c r="U77" t="s">
        <v>707</v>
      </c>
      <c r="V77" t="s">
        <v>1005</v>
      </c>
      <c r="W77">
        <v>-83.96034834702412</v>
      </c>
      <c r="X77">
        <v>-5.5</v>
      </c>
      <c r="Y77" t="s">
        <v>1301</v>
      </c>
      <c r="Z77">
        <v>-38.21260482142083</v>
      </c>
      <c r="AA77">
        <v>5264</v>
      </c>
      <c r="AB77">
        <v>586536</v>
      </c>
      <c r="AC77" t="s">
        <v>1593</v>
      </c>
      <c r="AD77">
        <v>69.7</v>
      </c>
      <c r="AE77" t="s">
        <v>1891</v>
      </c>
      <c r="AF77" t="s">
        <v>2189</v>
      </c>
      <c r="AG77">
        <v>2403</v>
      </c>
      <c r="AH77">
        <v>294</v>
      </c>
      <c r="AI77">
        <v>8024</v>
      </c>
      <c r="AJ77">
        <v>1.96</v>
      </c>
    </row>
    <row r="78" spans="1:36">
      <c r="A78" s="1" t="s">
        <v>112</v>
      </c>
      <c r="B78" t="s">
        <v>410</v>
      </c>
      <c r="C78">
        <f>HYPERLINK("https://finance.naver.com/item/coinfo.nhn?code=032190", "A032190")</f>
        <v>0</v>
      </c>
      <c r="D78">
        <f>HYPERLINK("http://comp.fnguide.com/SVO2/ASP/SVD_Consensus.asp?pGB=1&amp;gicode=A032190&amp;cID=&amp;MenuYn=Y&amp;ReportGB=&amp;NewMenuID=108&amp;stkGb=701", "다우데이타")</f>
        <v>0</v>
      </c>
      <c r="E78">
        <v>3</v>
      </c>
      <c r="F78">
        <v>13250</v>
      </c>
      <c r="G78">
        <v>0.03</v>
      </c>
      <c r="H78">
        <v>4.66</v>
      </c>
      <c r="I78">
        <v>20368</v>
      </c>
      <c r="J78">
        <v>17681</v>
      </c>
      <c r="K78">
        <v>16912</v>
      </c>
      <c r="L78">
        <v>-53.72</v>
      </c>
      <c r="M78">
        <v>-33.44</v>
      </c>
      <c r="N78">
        <v>-27.63</v>
      </c>
      <c r="O78">
        <v>10.28</v>
      </c>
      <c r="P78" t="b">
        <v>1</v>
      </c>
      <c r="Q78">
        <v>2</v>
      </c>
      <c r="R78">
        <v>1782</v>
      </c>
      <c r="S78">
        <v>17608</v>
      </c>
      <c r="T78">
        <v>888.1</v>
      </c>
      <c r="U78" t="s">
        <v>708</v>
      </c>
      <c r="V78" t="s">
        <v>1006</v>
      </c>
      <c r="W78">
        <v>166.0567114605036</v>
      </c>
      <c r="X78">
        <v>79.2</v>
      </c>
      <c r="Y78" t="s">
        <v>1302</v>
      </c>
      <c r="Z78">
        <v>5.600826566742323</v>
      </c>
      <c r="AA78">
        <v>5075</v>
      </c>
      <c r="AB78">
        <v>428811</v>
      </c>
      <c r="AC78" t="s">
        <v>1594</v>
      </c>
      <c r="AD78">
        <v>67.37</v>
      </c>
      <c r="AE78" t="s">
        <v>1892</v>
      </c>
      <c r="AF78" t="s">
        <v>2190</v>
      </c>
      <c r="AG78">
        <v>36056</v>
      </c>
      <c r="AH78">
        <v>5590</v>
      </c>
      <c r="AJ78">
        <v>2.17</v>
      </c>
    </row>
    <row r="79" spans="1:36">
      <c r="A79" s="1" t="s">
        <v>113</v>
      </c>
      <c r="B79" t="s">
        <v>411</v>
      </c>
      <c r="C79">
        <f>HYPERLINK("https://finance.naver.com/item/coinfo.nhn?code=007720", "A007720")</f>
        <v>0</v>
      </c>
      <c r="D79">
        <f>HYPERLINK("http://comp.fnguide.com/SVO2/ASP/SVD_Consensus.asp?pGB=1&amp;gicode=A007720&amp;cID=&amp;MenuYn=Y&amp;ReportGB=&amp;NewMenuID=108&amp;stkGb=701", "대명소노시즌")</f>
        <v>0</v>
      </c>
      <c r="E79">
        <v>3</v>
      </c>
      <c r="F79">
        <v>1375</v>
      </c>
      <c r="G79">
        <v>0</v>
      </c>
      <c r="H79">
        <v>2.37</v>
      </c>
      <c r="I79">
        <v>5241</v>
      </c>
      <c r="J79">
        <v>3084</v>
      </c>
      <c r="K79">
        <v>2467</v>
      </c>
      <c r="L79">
        <v>-281.16</v>
      </c>
      <c r="M79">
        <v>-124.3</v>
      </c>
      <c r="N79">
        <v>-79.40000000000001</v>
      </c>
      <c r="O79">
        <v>25.58</v>
      </c>
      <c r="P79" t="b">
        <v>1</v>
      </c>
      <c r="Q79">
        <v>0</v>
      </c>
      <c r="R79">
        <v>633</v>
      </c>
      <c r="S79">
        <v>-42</v>
      </c>
      <c r="T79">
        <v>-106.6</v>
      </c>
      <c r="U79" t="s">
        <v>709</v>
      </c>
      <c r="V79" t="s">
        <v>1007</v>
      </c>
      <c r="W79">
        <v>0</v>
      </c>
      <c r="X79">
        <v>0</v>
      </c>
      <c r="Y79" t="s">
        <v>1303</v>
      </c>
      <c r="Z79">
        <v>0</v>
      </c>
      <c r="AA79">
        <v>1386</v>
      </c>
      <c r="AB79">
        <v>1653257</v>
      </c>
      <c r="AC79" t="s">
        <v>1595</v>
      </c>
      <c r="AD79">
        <v>44.44</v>
      </c>
      <c r="AE79" t="s">
        <v>1893</v>
      </c>
      <c r="AF79" t="s">
        <v>2191</v>
      </c>
      <c r="AG79">
        <v>2186</v>
      </c>
      <c r="AH79">
        <v>39</v>
      </c>
    </row>
    <row r="80" spans="1:36">
      <c r="A80" s="1" t="s">
        <v>114</v>
      </c>
      <c r="B80" t="s">
        <v>412</v>
      </c>
      <c r="C80">
        <f>HYPERLINK("https://finance.naver.com/item/coinfo.nhn?code=006580", "A006580")</f>
        <v>0</v>
      </c>
      <c r="D80">
        <f>HYPERLINK("http://comp.fnguide.com/SVO2/ASP/SVD_Consensus.asp?pGB=1&amp;gicode=A006580&amp;cID=&amp;MenuYn=Y&amp;ReportGB=&amp;NewMenuID=108&amp;stkGb=701", "대양제지")</f>
        <v>0</v>
      </c>
      <c r="E80">
        <v>3</v>
      </c>
      <c r="F80">
        <v>3260</v>
      </c>
      <c r="G80">
        <v>0</v>
      </c>
      <c r="H80">
        <v>3.71</v>
      </c>
      <c r="I80">
        <v>16043</v>
      </c>
      <c r="J80">
        <v>10329</v>
      </c>
      <c r="K80">
        <v>8694</v>
      </c>
      <c r="L80">
        <v>-392.1</v>
      </c>
      <c r="M80">
        <v>-216.84</v>
      </c>
      <c r="N80">
        <v>-166.68</v>
      </c>
      <c r="O80">
        <v>19.76</v>
      </c>
      <c r="P80" t="b">
        <v>1</v>
      </c>
      <c r="Q80">
        <v>0</v>
      </c>
      <c r="R80">
        <v>876</v>
      </c>
      <c r="S80">
        <v>297</v>
      </c>
      <c r="T80">
        <v>-66.09999999999999</v>
      </c>
      <c r="U80" t="s">
        <v>710</v>
      </c>
      <c r="V80" t="s">
        <v>1008</v>
      </c>
      <c r="W80">
        <v>0</v>
      </c>
      <c r="X80">
        <v>-26.9</v>
      </c>
      <c r="Y80" t="s">
        <v>1304</v>
      </c>
      <c r="Z80">
        <v>-24.73214497542792</v>
      </c>
      <c r="AA80">
        <v>875</v>
      </c>
      <c r="AB80">
        <v>0</v>
      </c>
      <c r="AC80" t="s">
        <v>1596</v>
      </c>
      <c r="AD80">
        <v>53.58</v>
      </c>
      <c r="AE80" t="s">
        <v>1894</v>
      </c>
      <c r="AF80" t="s">
        <v>2192</v>
      </c>
      <c r="AG80">
        <v>2594</v>
      </c>
      <c r="AH80">
        <v>327</v>
      </c>
      <c r="AI80">
        <v>6193269</v>
      </c>
      <c r="AJ80">
        <v>1.23</v>
      </c>
    </row>
    <row r="81" spans="1:36">
      <c r="A81" s="1" t="s">
        <v>115</v>
      </c>
      <c r="B81" t="s">
        <v>413</v>
      </c>
      <c r="C81">
        <f>HYPERLINK("https://finance.naver.com/item/coinfo.nhn?code=005710", "A005710")</f>
        <v>0</v>
      </c>
      <c r="D81">
        <f>HYPERLINK("http://comp.fnguide.com/SVO2/ASP/SVD_Consensus.asp?pGB=1&amp;gicode=A005710&amp;cID=&amp;MenuYn=Y&amp;ReportGB=&amp;NewMenuID=108&amp;stkGb=701", "대원산업")</f>
        <v>0</v>
      </c>
      <c r="E81">
        <v>3</v>
      </c>
      <c r="F81">
        <v>5670</v>
      </c>
      <c r="G81">
        <v>-0.16</v>
      </c>
      <c r="H81">
        <v>3.04</v>
      </c>
      <c r="I81">
        <v>24419</v>
      </c>
      <c r="J81">
        <v>19097</v>
      </c>
      <c r="K81">
        <v>17574</v>
      </c>
      <c r="L81">
        <v>-330.67</v>
      </c>
      <c r="M81">
        <v>-236.81</v>
      </c>
      <c r="N81">
        <v>-209.94</v>
      </c>
      <c r="O81">
        <v>12.6</v>
      </c>
      <c r="P81" t="b">
        <v>1</v>
      </c>
      <c r="Q81">
        <v>0</v>
      </c>
      <c r="R81">
        <v>1950</v>
      </c>
      <c r="S81">
        <v>902</v>
      </c>
      <c r="T81">
        <v>-53.7</v>
      </c>
      <c r="U81" t="s">
        <v>711</v>
      </c>
      <c r="V81" t="s">
        <v>1009</v>
      </c>
      <c r="W81">
        <v>-18.94660858905609</v>
      </c>
      <c r="X81">
        <v>0</v>
      </c>
      <c r="Y81" t="s">
        <v>1305</v>
      </c>
      <c r="Z81">
        <v>57.31239633791885</v>
      </c>
      <c r="AA81">
        <v>1136</v>
      </c>
      <c r="AB81">
        <v>19068</v>
      </c>
      <c r="AC81" t="s">
        <v>1597</v>
      </c>
      <c r="AD81">
        <v>61.55</v>
      </c>
      <c r="AE81" t="s">
        <v>1895</v>
      </c>
      <c r="AF81" t="s">
        <v>2193</v>
      </c>
      <c r="AG81">
        <v>6610</v>
      </c>
      <c r="AH81">
        <v>263</v>
      </c>
      <c r="AJ81">
        <v>2.11</v>
      </c>
    </row>
    <row r="82" spans="1:36">
      <c r="A82" s="1" t="s">
        <v>116</v>
      </c>
      <c r="B82" t="s">
        <v>414</v>
      </c>
      <c r="C82">
        <f>HYPERLINK("https://finance.naver.com/item/coinfo.nhn?code=010470", "A010470")</f>
        <v>0</v>
      </c>
      <c r="D82">
        <f>HYPERLINK("http://comp.fnguide.com/SVO2/ASP/SVD_Consensus.asp?pGB=1&amp;gicode=A010470&amp;cID=&amp;MenuYn=Y&amp;ReportGB=&amp;NewMenuID=108&amp;stkGb=701", "오리콤")</f>
        <v>0</v>
      </c>
      <c r="E82">
        <v>3</v>
      </c>
      <c r="F82">
        <v>5360</v>
      </c>
      <c r="G82">
        <v>-0.22</v>
      </c>
      <c r="H82">
        <v>9.69</v>
      </c>
      <c r="I82">
        <v>7729</v>
      </c>
      <c r="J82">
        <v>7427</v>
      </c>
      <c r="K82">
        <v>7340</v>
      </c>
      <c r="L82">
        <v>-44.2</v>
      </c>
      <c r="M82">
        <v>-38.56</v>
      </c>
      <c r="N82">
        <v>-36.94</v>
      </c>
      <c r="O82">
        <v>8.58</v>
      </c>
      <c r="P82" t="b">
        <v>0</v>
      </c>
      <c r="Q82">
        <v>0</v>
      </c>
      <c r="R82">
        <v>515</v>
      </c>
      <c r="S82">
        <v>65</v>
      </c>
      <c r="T82">
        <v>-87.40000000000001</v>
      </c>
      <c r="U82" t="s">
        <v>712</v>
      </c>
      <c r="V82" t="s">
        <v>1010</v>
      </c>
      <c r="W82">
        <v>-43.29179033238696</v>
      </c>
      <c r="X82">
        <v>0</v>
      </c>
      <c r="Y82" t="s">
        <v>1306</v>
      </c>
      <c r="Z82">
        <v>19.27306272420797</v>
      </c>
      <c r="AA82">
        <v>635</v>
      </c>
      <c r="AB82">
        <v>79434</v>
      </c>
      <c r="AC82" t="s">
        <v>1598</v>
      </c>
      <c r="AD82">
        <v>62.12</v>
      </c>
      <c r="AE82" t="s">
        <v>1896</v>
      </c>
      <c r="AF82" t="s">
        <v>2194</v>
      </c>
      <c r="AG82">
        <v>1985</v>
      </c>
      <c r="AH82">
        <v>80</v>
      </c>
      <c r="AI82">
        <v>370315</v>
      </c>
      <c r="AJ82">
        <v>4.41</v>
      </c>
    </row>
    <row r="83" spans="1:36">
      <c r="A83" s="1" t="s">
        <v>117</v>
      </c>
      <c r="B83" t="s">
        <v>415</v>
      </c>
      <c r="C83">
        <f>HYPERLINK("https://finance.naver.com/item/coinfo.nhn?code=023910", "A023910")</f>
        <v>0</v>
      </c>
      <c r="D83">
        <f>HYPERLINK("http://comp.fnguide.com/SVO2/ASP/SVD_Consensus.asp?pGB=1&amp;gicode=A023910&amp;cID=&amp;MenuYn=Y&amp;ReportGB=&amp;NewMenuID=108&amp;stkGb=701", "대한약품")</f>
        <v>0</v>
      </c>
      <c r="E83">
        <v>3</v>
      </c>
      <c r="F83">
        <v>33750</v>
      </c>
      <c r="G83">
        <v>0</v>
      </c>
      <c r="H83">
        <v>6.74</v>
      </c>
      <c r="I83">
        <v>71245</v>
      </c>
      <c r="J83">
        <v>45202</v>
      </c>
      <c r="K83">
        <v>37748</v>
      </c>
      <c r="L83">
        <v>-111.1</v>
      </c>
      <c r="M83">
        <v>-33.93</v>
      </c>
      <c r="N83">
        <v>-11.85</v>
      </c>
      <c r="O83">
        <v>20.55</v>
      </c>
      <c r="P83" t="b">
        <v>1</v>
      </c>
      <c r="Q83">
        <v>0</v>
      </c>
      <c r="R83">
        <v>4694</v>
      </c>
      <c r="U83" t="s">
        <v>713</v>
      </c>
      <c r="V83" t="s">
        <v>1011</v>
      </c>
      <c r="W83">
        <v>0</v>
      </c>
      <c r="X83">
        <v>-9.4</v>
      </c>
      <c r="Y83" t="s">
        <v>1307</v>
      </c>
      <c r="Z83">
        <v>13.12017680240059</v>
      </c>
      <c r="AA83">
        <v>2025</v>
      </c>
      <c r="AB83">
        <v>115911</v>
      </c>
      <c r="AC83" t="s">
        <v>1599</v>
      </c>
      <c r="AD83">
        <v>34.73</v>
      </c>
      <c r="AE83" t="s">
        <v>1897</v>
      </c>
      <c r="AF83" t="s">
        <v>2195</v>
      </c>
      <c r="AG83">
        <v>1688</v>
      </c>
      <c r="AH83">
        <v>336</v>
      </c>
      <c r="AJ83">
        <v>1.26</v>
      </c>
    </row>
    <row r="84" spans="1:36">
      <c r="A84" s="1" t="s">
        <v>118</v>
      </c>
      <c r="B84" t="s">
        <v>416</v>
      </c>
      <c r="C84">
        <f>HYPERLINK("https://finance.naver.com/item/coinfo.nhn?code=045060", "A045060")</f>
        <v>0</v>
      </c>
      <c r="D84">
        <f>HYPERLINK("http://comp.fnguide.com/SVO2/ASP/SVD_Consensus.asp?pGB=1&amp;gicode=A045060&amp;cID=&amp;MenuYn=Y&amp;ReportGB=&amp;NewMenuID=108&amp;stkGb=701", "오공")</f>
        <v>0</v>
      </c>
      <c r="E84">
        <v>3</v>
      </c>
      <c r="F84">
        <v>4590</v>
      </c>
      <c r="G84">
        <v>0</v>
      </c>
      <c r="H84">
        <v>7.63</v>
      </c>
      <c r="I84">
        <v>5815</v>
      </c>
      <c r="J84">
        <v>5160</v>
      </c>
      <c r="K84">
        <v>4973</v>
      </c>
      <c r="L84">
        <v>-26.69</v>
      </c>
      <c r="M84">
        <v>-12.43</v>
      </c>
      <c r="N84">
        <v>-8.34</v>
      </c>
      <c r="O84">
        <v>9.880000000000001</v>
      </c>
      <c r="P84" t="b">
        <v>1</v>
      </c>
      <c r="Q84">
        <v>0</v>
      </c>
      <c r="R84">
        <v>442</v>
      </c>
      <c r="U84" t="s">
        <v>714</v>
      </c>
      <c r="V84" t="s">
        <v>1012</v>
      </c>
      <c r="W84">
        <v>0</v>
      </c>
      <c r="X84">
        <v>6.7</v>
      </c>
      <c r="Y84" t="s">
        <v>1308</v>
      </c>
      <c r="Z84">
        <v>21.93538968525355</v>
      </c>
      <c r="AA84">
        <v>778</v>
      </c>
      <c r="AB84">
        <v>195593</v>
      </c>
      <c r="AC84" t="s">
        <v>1600</v>
      </c>
      <c r="AD84">
        <v>30.92</v>
      </c>
      <c r="AE84" t="s">
        <v>1898</v>
      </c>
      <c r="AF84" t="s">
        <v>2196</v>
      </c>
      <c r="AG84">
        <v>1519</v>
      </c>
      <c r="AH84">
        <v>89</v>
      </c>
      <c r="AI84">
        <v>87473</v>
      </c>
      <c r="AJ84">
        <v>1.48</v>
      </c>
    </row>
    <row r="85" spans="1:36">
      <c r="A85" s="1" t="s">
        <v>119</v>
      </c>
      <c r="B85" t="s">
        <v>417</v>
      </c>
      <c r="C85">
        <f>HYPERLINK("https://finance.naver.com/item/coinfo.nhn?code=067990", "A067990")</f>
        <v>0</v>
      </c>
      <c r="D85">
        <f>HYPERLINK("http://comp.fnguide.com/SVO2/ASP/SVD_Consensus.asp?pGB=1&amp;gicode=A067990&amp;cID=&amp;MenuYn=Y&amp;ReportGB=&amp;NewMenuID=108&amp;stkGb=701", "도이치모터스")</f>
        <v>0</v>
      </c>
      <c r="E85">
        <v>3</v>
      </c>
      <c r="F85">
        <v>6470</v>
      </c>
      <c r="G85">
        <v>0.06</v>
      </c>
      <c r="H85">
        <v>3.78</v>
      </c>
      <c r="I85">
        <v>22713</v>
      </c>
      <c r="J85">
        <v>14414</v>
      </c>
      <c r="K85">
        <v>12039</v>
      </c>
      <c r="L85">
        <v>-251.05</v>
      </c>
      <c r="M85">
        <v>-122.78</v>
      </c>
      <c r="N85">
        <v>-86.06999999999999</v>
      </c>
      <c r="O85">
        <v>20.54</v>
      </c>
      <c r="P85" t="b">
        <v>1</v>
      </c>
      <c r="Q85">
        <v>0</v>
      </c>
      <c r="R85">
        <v>1998</v>
      </c>
      <c r="S85">
        <v>584</v>
      </c>
      <c r="T85">
        <v>-70.8</v>
      </c>
      <c r="U85" t="s">
        <v>715</v>
      </c>
      <c r="V85" t="s">
        <v>1013</v>
      </c>
      <c r="W85">
        <v>60.91196766561266</v>
      </c>
      <c r="X85">
        <v>-73.7</v>
      </c>
      <c r="Y85" t="s">
        <v>1309</v>
      </c>
      <c r="Z85">
        <v>55.26657146025182</v>
      </c>
      <c r="AA85">
        <v>1917</v>
      </c>
      <c r="AB85">
        <v>575933</v>
      </c>
      <c r="AC85" t="s">
        <v>1601</v>
      </c>
      <c r="AD85">
        <v>31.97</v>
      </c>
      <c r="AE85" t="s">
        <v>1899</v>
      </c>
      <c r="AF85" t="s">
        <v>2197</v>
      </c>
      <c r="AG85">
        <v>12087</v>
      </c>
      <c r="AH85">
        <v>829</v>
      </c>
      <c r="AI85">
        <v>1100000</v>
      </c>
    </row>
    <row r="86" spans="1:36">
      <c r="A86" s="1" t="s">
        <v>120</v>
      </c>
      <c r="B86" t="s">
        <v>418</v>
      </c>
      <c r="C86">
        <f>HYPERLINK("https://finance.naver.com/item/coinfo.nhn?code=003800", "A003800")</f>
        <v>0</v>
      </c>
      <c r="D86">
        <f>HYPERLINK("http://comp.fnguide.com/SVO2/ASP/SVD_Consensus.asp?pGB=1&amp;gicode=A003800&amp;cID=&amp;MenuYn=Y&amp;ReportGB=&amp;NewMenuID=108&amp;stkGb=701", "에이스침대")</f>
        <v>0</v>
      </c>
      <c r="E86">
        <v>3</v>
      </c>
      <c r="F86">
        <v>41000</v>
      </c>
      <c r="G86">
        <v>0.48</v>
      </c>
      <c r="H86">
        <v>8.77</v>
      </c>
      <c r="I86">
        <v>48548</v>
      </c>
      <c r="J86">
        <v>46840</v>
      </c>
      <c r="K86">
        <v>46351</v>
      </c>
      <c r="L86">
        <v>-18.41</v>
      </c>
      <c r="M86">
        <v>-14.24</v>
      </c>
      <c r="N86">
        <v>-13.05</v>
      </c>
      <c r="O86">
        <v>8.52</v>
      </c>
      <c r="P86" t="b">
        <v>1</v>
      </c>
      <c r="Q86">
        <v>0</v>
      </c>
      <c r="R86">
        <v>3987</v>
      </c>
      <c r="S86">
        <v>3968</v>
      </c>
      <c r="T86">
        <v>-0.5</v>
      </c>
      <c r="U86" t="s">
        <v>716</v>
      </c>
      <c r="V86" t="s">
        <v>1014</v>
      </c>
      <c r="W86">
        <v>18.45715186654524</v>
      </c>
      <c r="X86">
        <v>-7.7</v>
      </c>
      <c r="Y86" t="s">
        <v>1310</v>
      </c>
      <c r="Z86">
        <v>6.02103981867359</v>
      </c>
      <c r="AA86">
        <v>4547</v>
      </c>
      <c r="AB86">
        <v>2267</v>
      </c>
      <c r="AC86" t="s">
        <v>1602</v>
      </c>
      <c r="AD86">
        <v>79.56</v>
      </c>
      <c r="AE86" t="s">
        <v>1900</v>
      </c>
      <c r="AF86" t="s">
        <v>2198</v>
      </c>
      <c r="AG86">
        <v>2774</v>
      </c>
      <c r="AH86">
        <v>499</v>
      </c>
      <c r="AI86">
        <v>838055</v>
      </c>
      <c r="AJ86">
        <v>3.15</v>
      </c>
    </row>
    <row r="87" spans="1:36">
      <c r="A87" s="1" t="s">
        <v>121</v>
      </c>
      <c r="B87" t="s">
        <v>419</v>
      </c>
      <c r="C87">
        <f>HYPERLINK("https://finance.naver.com/item/coinfo.nhn?code=088130", "A088130")</f>
        <v>0</v>
      </c>
      <c r="D87">
        <f>HYPERLINK("http://comp.fnguide.com/SVO2/ASP/SVD_Consensus.asp?pGB=1&amp;gicode=A088130&amp;cID=&amp;MenuYn=Y&amp;ReportGB=&amp;NewMenuID=108&amp;stkGb=701", "동아엘텍")</f>
        <v>0</v>
      </c>
      <c r="E87">
        <v>3</v>
      </c>
      <c r="F87">
        <v>8770</v>
      </c>
      <c r="G87">
        <v>-4.42</v>
      </c>
      <c r="H87">
        <v>7.47</v>
      </c>
      <c r="I87">
        <v>18577</v>
      </c>
      <c r="J87">
        <v>17464</v>
      </c>
      <c r="K87">
        <v>17146</v>
      </c>
      <c r="L87">
        <v>-111.82</v>
      </c>
      <c r="M87">
        <v>-99.14</v>
      </c>
      <c r="N87">
        <v>-95.51000000000001</v>
      </c>
      <c r="O87">
        <v>8.91</v>
      </c>
      <c r="P87" t="b">
        <v>1</v>
      </c>
      <c r="Q87">
        <v>0</v>
      </c>
      <c r="R87">
        <v>1086</v>
      </c>
      <c r="S87">
        <v>985</v>
      </c>
      <c r="T87">
        <v>-9.300000000000001</v>
      </c>
      <c r="U87" t="s">
        <v>717</v>
      </c>
      <c r="V87" t="s">
        <v>1015</v>
      </c>
      <c r="W87">
        <v>-1.690770467276648</v>
      </c>
      <c r="X87">
        <v>-17.5</v>
      </c>
      <c r="Y87" t="s">
        <v>1311</v>
      </c>
      <c r="Z87">
        <v>-0.3722699517306416</v>
      </c>
      <c r="AA87">
        <v>935</v>
      </c>
      <c r="AB87">
        <v>95851</v>
      </c>
      <c r="AC87" t="s">
        <v>1603</v>
      </c>
      <c r="AD87">
        <v>31.01</v>
      </c>
      <c r="AE87" t="s">
        <v>1901</v>
      </c>
      <c r="AF87" t="s">
        <v>2199</v>
      </c>
      <c r="AG87">
        <v>2029</v>
      </c>
      <c r="AH87">
        <v>198</v>
      </c>
      <c r="AI87">
        <v>807091</v>
      </c>
      <c r="AJ87">
        <v>1.85</v>
      </c>
    </row>
    <row r="88" spans="1:36">
      <c r="A88" s="1" t="s">
        <v>122</v>
      </c>
      <c r="B88" t="s">
        <v>420</v>
      </c>
      <c r="C88">
        <f>HYPERLINK("https://finance.naver.com/item/coinfo.nhn?code=013120", "A013120")</f>
        <v>0</v>
      </c>
      <c r="D88">
        <f>HYPERLINK("http://comp.fnguide.com/SVO2/ASP/SVD_Consensus.asp?pGB=1&amp;gicode=A013120&amp;cID=&amp;MenuYn=Y&amp;ReportGB=&amp;NewMenuID=108&amp;stkGb=701", "동원개발")</f>
        <v>0</v>
      </c>
      <c r="E88">
        <v>3</v>
      </c>
      <c r="F88">
        <v>5150</v>
      </c>
      <c r="G88">
        <v>0</v>
      </c>
      <c r="H88">
        <v>4.38</v>
      </c>
      <c r="I88">
        <v>15945</v>
      </c>
      <c r="J88">
        <v>11477</v>
      </c>
      <c r="K88">
        <v>10198</v>
      </c>
      <c r="L88">
        <v>-209.62</v>
      </c>
      <c r="M88">
        <v>-122.86</v>
      </c>
      <c r="N88">
        <v>-98.03</v>
      </c>
      <c r="O88">
        <v>15.06</v>
      </c>
      <c r="P88" t="b">
        <v>1</v>
      </c>
      <c r="Q88">
        <v>0</v>
      </c>
      <c r="R88">
        <v>933</v>
      </c>
      <c r="U88" t="s">
        <v>718</v>
      </c>
      <c r="V88" t="s">
        <v>1016</v>
      </c>
      <c r="W88">
        <v>0</v>
      </c>
      <c r="X88">
        <v>43.1</v>
      </c>
      <c r="Y88" t="s">
        <v>1312</v>
      </c>
      <c r="Z88">
        <v>6.117108852669451</v>
      </c>
      <c r="AA88">
        <v>4677</v>
      </c>
      <c r="AB88">
        <v>219570</v>
      </c>
      <c r="AC88" t="s">
        <v>1604</v>
      </c>
      <c r="AD88">
        <v>61.17</v>
      </c>
      <c r="AE88" t="s">
        <v>1902</v>
      </c>
      <c r="AF88" t="s">
        <v>2200</v>
      </c>
      <c r="AG88">
        <v>6426</v>
      </c>
      <c r="AH88">
        <v>1061</v>
      </c>
      <c r="AJ88">
        <v>4.16</v>
      </c>
    </row>
    <row r="89" spans="1:36">
      <c r="A89" s="1" t="s">
        <v>123</v>
      </c>
      <c r="B89" t="s">
        <v>421</v>
      </c>
      <c r="C89">
        <f>HYPERLINK("https://finance.naver.com/item/coinfo.nhn?code=109860", "A109860")</f>
        <v>0</v>
      </c>
      <c r="D89">
        <f>HYPERLINK("http://comp.fnguide.com/SVO2/ASP/SVD_Consensus.asp?pGB=1&amp;gicode=A109860&amp;cID=&amp;MenuYn=Y&amp;ReportGB=&amp;NewMenuID=108&amp;stkGb=701", "동일금속")</f>
        <v>0</v>
      </c>
      <c r="E89">
        <v>3</v>
      </c>
      <c r="F89">
        <v>12050</v>
      </c>
      <c r="G89">
        <v>0.39</v>
      </c>
      <c r="H89">
        <v>5.62</v>
      </c>
      <c r="I89">
        <v>24656</v>
      </c>
      <c r="J89">
        <v>21442</v>
      </c>
      <c r="K89">
        <v>20522</v>
      </c>
      <c r="L89">
        <v>-104.61</v>
      </c>
      <c r="M89">
        <v>-77.94</v>
      </c>
      <c r="N89">
        <v>-70.31</v>
      </c>
      <c r="O89">
        <v>10.25</v>
      </c>
      <c r="P89" t="b">
        <v>1</v>
      </c>
      <c r="Q89">
        <v>0</v>
      </c>
      <c r="R89">
        <v>2226</v>
      </c>
      <c r="S89">
        <v>799</v>
      </c>
      <c r="T89">
        <v>-64.09999999999999</v>
      </c>
      <c r="U89" t="s">
        <v>719</v>
      </c>
      <c r="V89" t="s">
        <v>1017</v>
      </c>
      <c r="W89">
        <v>14.30906898003581</v>
      </c>
      <c r="X89">
        <v>-57.9</v>
      </c>
      <c r="Y89" t="s">
        <v>1313</v>
      </c>
      <c r="Z89">
        <v>-3.573424730193897</v>
      </c>
      <c r="AA89">
        <v>844</v>
      </c>
      <c r="AB89">
        <v>1168</v>
      </c>
      <c r="AC89" t="s">
        <v>1605</v>
      </c>
      <c r="AD89">
        <v>57.72</v>
      </c>
      <c r="AE89" t="s">
        <v>1903</v>
      </c>
      <c r="AF89" t="s">
        <v>2201</v>
      </c>
      <c r="AG89">
        <v>866</v>
      </c>
      <c r="AH89">
        <v>126</v>
      </c>
      <c r="AI89">
        <v>563000</v>
      </c>
      <c r="AJ89">
        <v>2.24</v>
      </c>
    </row>
    <row r="90" spans="1:36">
      <c r="A90" s="1" t="s">
        <v>124</v>
      </c>
      <c r="B90" t="s">
        <v>422</v>
      </c>
      <c r="C90">
        <f>HYPERLINK("https://finance.naver.com/item/coinfo.nhn?code=007530", "A007530")</f>
        <v>0</v>
      </c>
      <c r="D90">
        <f>HYPERLINK("http://comp.fnguide.com/SVO2/ASP/SVD_Consensus.asp?pGB=1&amp;gicode=A007530&amp;cID=&amp;MenuYn=Y&amp;ReportGB=&amp;NewMenuID=108&amp;stkGb=701", "영신금속")</f>
        <v>0</v>
      </c>
      <c r="E90">
        <v>3</v>
      </c>
      <c r="F90">
        <v>3310</v>
      </c>
      <c r="G90">
        <v>-0.06</v>
      </c>
      <c r="H90">
        <v>3.64</v>
      </c>
      <c r="I90">
        <v>4250</v>
      </c>
      <c r="J90">
        <v>3683</v>
      </c>
      <c r="K90">
        <v>3520</v>
      </c>
      <c r="L90">
        <v>-28.41</v>
      </c>
      <c r="M90">
        <v>-11.26</v>
      </c>
      <c r="N90">
        <v>-6.36</v>
      </c>
      <c r="O90">
        <v>10.32</v>
      </c>
      <c r="P90" t="b">
        <v>1</v>
      </c>
      <c r="Q90">
        <v>0</v>
      </c>
      <c r="R90">
        <v>450</v>
      </c>
      <c r="S90">
        <v>-142</v>
      </c>
      <c r="T90">
        <v>-131.6</v>
      </c>
      <c r="U90" t="s">
        <v>720</v>
      </c>
      <c r="V90" t="s">
        <v>1018</v>
      </c>
      <c r="W90">
        <v>-59.90035592963565</v>
      </c>
      <c r="X90">
        <v>0</v>
      </c>
      <c r="Y90" t="s">
        <v>1314</v>
      </c>
      <c r="Z90">
        <v>1.946799851687353</v>
      </c>
      <c r="AA90">
        <v>425</v>
      </c>
      <c r="AB90">
        <v>56965</v>
      </c>
      <c r="AC90" t="s">
        <v>1606</v>
      </c>
      <c r="AD90">
        <v>29.19</v>
      </c>
      <c r="AE90" t="s">
        <v>1904</v>
      </c>
      <c r="AF90" t="s">
        <v>2202</v>
      </c>
      <c r="AG90">
        <v>1198</v>
      </c>
      <c r="AH90">
        <v>64</v>
      </c>
      <c r="AI90">
        <v>150000</v>
      </c>
    </row>
    <row r="91" spans="1:36">
      <c r="A91" s="1" t="s">
        <v>125</v>
      </c>
      <c r="B91" t="s">
        <v>423</v>
      </c>
      <c r="C91">
        <f>HYPERLINK("https://finance.naver.com/item/coinfo.nhn?code=009780", "A009780")</f>
        <v>0</v>
      </c>
      <c r="D91">
        <f>HYPERLINK("http://comp.fnguide.com/SVO2/ASP/SVD_Consensus.asp?pGB=1&amp;gicode=A009780&amp;cID=&amp;MenuYn=Y&amp;ReportGB=&amp;NewMenuID=108&amp;stkGb=701", "엠에스씨")</f>
        <v>0</v>
      </c>
      <c r="E91">
        <v>3</v>
      </c>
      <c r="F91">
        <v>4825</v>
      </c>
      <c r="G91">
        <v>0</v>
      </c>
      <c r="H91">
        <v>7.09</v>
      </c>
      <c r="I91">
        <v>9250</v>
      </c>
      <c r="J91">
        <v>6781</v>
      </c>
      <c r="K91">
        <v>6074</v>
      </c>
      <c r="L91">
        <v>-91.7</v>
      </c>
      <c r="M91">
        <v>-40.53</v>
      </c>
      <c r="N91">
        <v>-25.88</v>
      </c>
      <c r="O91">
        <v>14.46</v>
      </c>
      <c r="P91" t="b">
        <v>1</v>
      </c>
      <c r="Q91">
        <v>0</v>
      </c>
      <c r="R91">
        <v>668</v>
      </c>
      <c r="U91" t="s">
        <v>721</v>
      </c>
      <c r="V91" t="s">
        <v>1019</v>
      </c>
      <c r="W91">
        <v>0</v>
      </c>
      <c r="X91">
        <v>-3.9</v>
      </c>
      <c r="Y91" t="s">
        <v>1315</v>
      </c>
      <c r="Z91">
        <v>17.00481504585123</v>
      </c>
      <c r="AA91">
        <v>849</v>
      </c>
      <c r="AB91">
        <v>68363</v>
      </c>
      <c r="AC91" t="s">
        <v>1607</v>
      </c>
      <c r="AD91">
        <v>73.22</v>
      </c>
      <c r="AE91" t="s">
        <v>1905</v>
      </c>
      <c r="AF91" t="s">
        <v>2203</v>
      </c>
      <c r="AG91">
        <v>1492</v>
      </c>
      <c r="AH91">
        <v>147</v>
      </c>
      <c r="AJ91">
        <v>1.27</v>
      </c>
    </row>
    <row r="92" spans="1:36">
      <c r="A92" s="1" t="s">
        <v>126</v>
      </c>
      <c r="B92" t="s">
        <v>424</v>
      </c>
      <c r="C92">
        <f>HYPERLINK("https://finance.naver.com/item/coinfo.nhn?code=038390", "A038390")</f>
        <v>0</v>
      </c>
      <c r="D92">
        <f>HYPERLINK("http://comp.fnguide.com/SVO2/ASP/SVD_Consensus.asp?pGB=1&amp;gicode=A038390&amp;cID=&amp;MenuYn=Y&amp;ReportGB=&amp;NewMenuID=108&amp;stkGb=701", "레드캡투어")</f>
        <v>0</v>
      </c>
      <c r="E92">
        <v>3</v>
      </c>
      <c r="F92">
        <v>22300</v>
      </c>
      <c r="G92">
        <v>0.67</v>
      </c>
      <c r="H92">
        <v>6.05</v>
      </c>
      <c r="I92">
        <v>28984</v>
      </c>
      <c r="J92">
        <v>23834</v>
      </c>
      <c r="K92">
        <v>22360</v>
      </c>
      <c r="L92">
        <v>-29.97</v>
      </c>
      <c r="M92">
        <v>-6.88</v>
      </c>
      <c r="N92">
        <v>-0.27</v>
      </c>
      <c r="O92">
        <v>11.4</v>
      </c>
      <c r="P92" t="b">
        <v>0</v>
      </c>
      <c r="Q92">
        <v>0</v>
      </c>
      <c r="R92">
        <v>2589</v>
      </c>
      <c r="S92">
        <v>1292</v>
      </c>
      <c r="T92">
        <v>-50.1</v>
      </c>
      <c r="U92" t="s">
        <v>722</v>
      </c>
      <c r="V92" t="s">
        <v>1020</v>
      </c>
      <c r="W92">
        <v>9.075987751255465</v>
      </c>
      <c r="X92">
        <v>-33</v>
      </c>
      <c r="Y92" t="s">
        <v>1316</v>
      </c>
      <c r="Z92">
        <v>1.466402340512385</v>
      </c>
      <c r="AA92">
        <v>1915</v>
      </c>
      <c r="AB92">
        <v>57491</v>
      </c>
      <c r="AC92" t="s">
        <v>1608</v>
      </c>
      <c r="AD92">
        <v>74.56999999999999</v>
      </c>
      <c r="AE92" t="s">
        <v>1906</v>
      </c>
      <c r="AF92" t="s">
        <v>2204</v>
      </c>
      <c r="AG92">
        <v>2588</v>
      </c>
      <c r="AH92">
        <v>350</v>
      </c>
      <c r="AI92">
        <v>552500</v>
      </c>
      <c r="AJ92">
        <v>5.11</v>
      </c>
    </row>
    <row r="93" spans="1:36">
      <c r="A93" s="1" t="s">
        <v>127</v>
      </c>
      <c r="B93" t="s">
        <v>425</v>
      </c>
      <c r="C93">
        <f>HYPERLINK("https://finance.naver.com/item/coinfo.nhn?code=228850", "A228850")</f>
        <v>0</v>
      </c>
      <c r="D93">
        <f>HYPERLINK("http://comp.fnguide.com/SVO2/ASP/SVD_Consensus.asp?pGB=1&amp;gicode=A228850&amp;cID=&amp;MenuYn=Y&amp;ReportGB=&amp;NewMenuID=108&amp;stkGb=701", "레이언스")</f>
        <v>0</v>
      </c>
      <c r="E93">
        <v>3</v>
      </c>
      <c r="F93">
        <v>11550</v>
      </c>
      <c r="G93">
        <v>0</v>
      </c>
      <c r="H93">
        <v>14.97</v>
      </c>
      <c r="I93">
        <v>12706</v>
      </c>
      <c r="J93">
        <v>12491</v>
      </c>
      <c r="K93">
        <v>12429</v>
      </c>
      <c r="L93">
        <v>-10.01</v>
      </c>
      <c r="M93">
        <v>-8.15</v>
      </c>
      <c r="N93">
        <v>-7.61</v>
      </c>
      <c r="O93">
        <v>8.25</v>
      </c>
      <c r="P93" t="b">
        <v>1</v>
      </c>
      <c r="Q93">
        <v>0</v>
      </c>
      <c r="R93">
        <v>885</v>
      </c>
      <c r="S93">
        <v>-329</v>
      </c>
      <c r="T93">
        <v>-137.2</v>
      </c>
      <c r="U93" t="s">
        <v>723</v>
      </c>
      <c r="V93" t="s">
        <v>1021</v>
      </c>
      <c r="W93">
        <v>0</v>
      </c>
      <c r="X93">
        <v>-68.40000000000001</v>
      </c>
      <c r="Y93" t="s">
        <v>1317</v>
      </c>
      <c r="Z93">
        <v>-24.62084267691696</v>
      </c>
      <c r="AA93">
        <v>1916</v>
      </c>
      <c r="AB93">
        <v>106652</v>
      </c>
      <c r="AC93" t="s">
        <v>1609</v>
      </c>
      <c r="AD93">
        <v>64.86</v>
      </c>
      <c r="AE93" t="s">
        <v>1907</v>
      </c>
      <c r="AF93" t="s">
        <v>2205</v>
      </c>
      <c r="AG93">
        <v>1262</v>
      </c>
      <c r="AH93">
        <v>228</v>
      </c>
      <c r="AI93">
        <v>854574</v>
      </c>
      <c r="AJ93">
        <v>2.26</v>
      </c>
    </row>
    <row r="94" spans="1:36">
      <c r="A94" s="1" t="s">
        <v>128</v>
      </c>
      <c r="B94" t="s">
        <v>426</v>
      </c>
      <c r="C94">
        <f>HYPERLINK("https://finance.naver.com/item/coinfo.nhn?code=012700", "A012700")</f>
        <v>0</v>
      </c>
      <c r="D94">
        <f>HYPERLINK("http://comp.fnguide.com/SVO2/ASP/SVD_Consensus.asp?pGB=1&amp;gicode=A012700&amp;cID=&amp;MenuYn=Y&amp;ReportGB=&amp;NewMenuID=108&amp;stkGb=701", "리드코프")</f>
        <v>0</v>
      </c>
      <c r="E94">
        <v>3</v>
      </c>
      <c r="F94">
        <v>6570</v>
      </c>
      <c r="G94">
        <v>0</v>
      </c>
      <c r="H94">
        <v>4.64</v>
      </c>
      <c r="I94">
        <v>19856</v>
      </c>
      <c r="J94">
        <v>16579</v>
      </c>
      <c r="K94">
        <v>15641</v>
      </c>
      <c r="L94">
        <v>-202.22</v>
      </c>
      <c r="M94">
        <v>-152.35</v>
      </c>
      <c r="N94">
        <v>-138.07</v>
      </c>
      <c r="O94">
        <v>11.07</v>
      </c>
      <c r="P94" t="b">
        <v>1</v>
      </c>
      <c r="Q94">
        <v>0</v>
      </c>
      <c r="R94">
        <v>1531</v>
      </c>
      <c r="U94" t="s">
        <v>724</v>
      </c>
      <c r="V94" t="s">
        <v>1022</v>
      </c>
      <c r="W94">
        <v>0</v>
      </c>
      <c r="X94">
        <v>7.4</v>
      </c>
      <c r="Y94" t="s">
        <v>1318</v>
      </c>
      <c r="Z94">
        <v>1.493383548352334</v>
      </c>
      <c r="AA94">
        <v>1738</v>
      </c>
      <c r="AB94">
        <v>267193</v>
      </c>
      <c r="AC94" t="s">
        <v>1610</v>
      </c>
      <c r="AD94">
        <v>40.16</v>
      </c>
      <c r="AE94" t="s">
        <v>1908</v>
      </c>
      <c r="AF94" t="s">
        <v>2206</v>
      </c>
      <c r="AG94">
        <v>4954</v>
      </c>
      <c r="AH94">
        <v>539</v>
      </c>
      <c r="AI94">
        <v>851283</v>
      </c>
      <c r="AJ94">
        <v>2.11</v>
      </c>
    </row>
    <row r="95" spans="1:36">
      <c r="A95" s="1" t="s">
        <v>129</v>
      </c>
      <c r="B95" t="s">
        <v>427</v>
      </c>
      <c r="C95">
        <f>HYPERLINK("https://finance.naver.com/item/coinfo.nhn?code=198080", "A198080")</f>
        <v>0</v>
      </c>
      <c r="D95">
        <f>HYPERLINK("http://comp.fnguide.com/SVO2/ASP/SVD_Consensus.asp?pGB=1&amp;gicode=A198080&amp;cID=&amp;MenuYn=Y&amp;ReportGB=&amp;NewMenuID=108&amp;stkGb=701", "엔피디")</f>
        <v>0</v>
      </c>
      <c r="E95">
        <v>3</v>
      </c>
      <c r="F95">
        <v>3860</v>
      </c>
      <c r="G95">
        <v>0</v>
      </c>
      <c r="I95">
        <v>10503</v>
      </c>
      <c r="J95">
        <v>5549</v>
      </c>
      <c r="K95">
        <v>4131</v>
      </c>
      <c r="L95">
        <v>-172.09</v>
      </c>
      <c r="M95">
        <v>-43.74</v>
      </c>
      <c r="N95">
        <v>-7.01</v>
      </c>
      <c r="O95">
        <v>37.63</v>
      </c>
      <c r="P95" t="b">
        <v>0</v>
      </c>
      <c r="Q95">
        <v>0</v>
      </c>
      <c r="R95">
        <v>1167</v>
      </c>
      <c r="S95">
        <v>-231</v>
      </c>
      <c r="T95">
        <v>-119.8</v>
      </c>
      <c r="U95" t="s">
        <v>725</v>
      </c>
      <c r="V95" t="s">
        <v>1023</v>
      </c>
      <c r="W95">
        <v>0</v>
      </c>
      <c r="X95">
        <v>-87.5</v>
      </c>
      <c r="Y95" t="s">
        <v>1319</v>
      </c>
      <c r="Z95">
        <v>-20.56309353045354</v>
      </c>
      <c r="AA95">
        <v>831</v>
      </c>
      <c r="AB95">
        <v>181065</v>
      </c>
      <c r="AC95" t="s">
        <v>1611</v>
      </c>
      <c r="AD95">
        <v>64.08</v>
      </c>
      <c r="AE95" t="s">
        <v>1909</v>
      </c>
      <c r="AF95" t="s">
        <v>2207</v>
      </c>
      <c r="AG95">
        <v>3087</v>
      </c>
      <c r="AH95">
        <v>262</v>
      </c>
    </row>
    <row r="96" spans="1:36">
      <c r="A96" s="1" t="s">
        <v>130</v>
      </c>
      <c r="B96" t="s">
        <v>428</v>
      </c>
      <c r="C96">
        <f>HYPERLINK("https://finance.naver.com/item/coinfo.nhn?code=035000", "A035000")</f>
        <v>0</v>
      </c>
      <c r="D96">
        <f>HYPERLINK("http://comp.fnguide.com/SVO2/ASP/SVD_Consensus.asp?pGB=1&amp;gicode=A035000&amp;cID=&amp;MenuYn=Y&amp;ReportGB=&amp;NewMenuID=108&amp;stkGb=701", "지투알")</f>
        <v>0</v>
      </c>
      <c r="E96">
        <v>3</v>
      </c>
      <c r="F96">
        <v>5320</v>
      </c>
      <c r="G96">
        <v>-2.39</v>
      </c>
      <c r="H96">
        <v>7.11</v>
      </c>
      <c r="I96">
        <v>12174</v>
      </c>
      <c r="J96">
        <v>10161</v>
      </c>
      <c r="K96">
        <v>9585</v>
      </c>
      <c r="L96">
        <v>-128.83</v>
      </c>
      <c r="M96">
        <v>-91</v>
      </c>
      <c r="N96">
        <v>-80.18000000000001</v>
      </c>
      <c r="O96">
        <v>11.07</v>
      </c>
      <c r="P96" t="b">
        <v>1</v>
      </c>
      <c r="Q96">
        <v>0</v>
      </c>
      <c r="R96">
        <v>921</v>
      </c>
      <c r="S96">
        <v>644</v>
      </c>
      <c r="T96">
        <v>-30.1</v>
      </c>
      <c r="U96" t="s">
        <v>726</v>
      </c>
      <c r="V96" t="s">
        <v>1024</v>
      </c>
      <c r="W96">
        <v>-2.975040680877306</v>
      </c>
      <c r="X96">
        <v>0</v>
      </c>
      <c r="Y96" t="s">
        <v>1320</v>
      </c>
      <c r="Z96">
        <v>7.094707229278807</v>
      </c>
      <c r="AA96">
        <v>881</v>
      </c>
      <c r="AB96">
        <v>120313</v>
      </c>
      <c r="AC96" t="s">
        <v>1612</v>
      </c>
      <c r="AD96">
        <v>35</v>
      </c>
      <c r="AE96" t="s">
        <v>1910</v>
      </c>
      <c r="AF96" t="s">
        <v>2208</v>
      </c>
      <c r="AG96">
        <v>5421</v>
      </c>
      <c r="AH96">
        <v>219</v>
      </c>
      <c r="AI96">
        <v>359765</v>
      </c>
      <c r="AJ96">
        <v>4.58</v>
      </c>
    </row>
    <row r="97" spans="1:36">
      <c r="A97" s="1" t="s">
        <v>131</v>
      </c>
      <c r="B97" t="s">
        <v>429</v>
      </c>
      <c r="C97">
        <f>HYPERLINK("https://finance.naver.com/item/coinfo.nhn?code=010640", "A010640")</f>
        <v>0</v>
      </c>
      <c r="D97">
        <f>HYPERLINK("http://comp.fnguide.com/SVO2/ASP/SVD_Consensus.asp?pGB=1&amp;gicode=A010640&amp;cID=&amp;MenuYn=Y&amp;ReportGB=&amp;NewMenuID=108&amp;stkGb=701", "진양폴리")</f>
        <v>0</v>
      </c>
      <c r="E97">
        <v>3</v>
      </c>
      <c r="F97">
        <v>3060</v>
      </c>
      <c r="G97">
        <v>0.11</v>
      </c>
      <c r="H97">
        <v>5.16</v>
      </c>
      <c r="I97">
        <v>6227</v>
      </c>
      <c r="J97">
        <v>4089</v>
      </c>
      <c r="K97">
        <v>3477</v>
      </c>
      <c r="L97">
        <v>-103.5</v>
      </c>
      <c r="M97">
        <v>-33.62</v>
      </c>
      <c r="N97">
        <v>-13.62</v>
      </c>
      <c r="O97">
        <v>18.77</v>
      </c>
      <c r="P97" t="b">
        <v>1</v>
      </c>
      <c r="Q97">
        <v>0</v>
      </c>
      <c r="R97">
        <v>755</v>
      </c>
      <c r="S97">
        <v>171</v>
      </c>
      <c r="T97">
        <v>-77.40000000000001</v>
      </c>
      <c r="U97" t="s">
        <v>727</v>
      </c>
      <c r="V97" t="s">
        <v>1025</v>
      </c>
      <c r="W97">
        <v>46.75051733045707</v>
      </c>
      <c r="X97">
        <v>-78.2</v>
      </c>
      <c r="Y97" t="s">
        <v>1321</v>
      </c>
      <c r="Z97">
        <v>-30.48750885169499</v>
      </c>
      <c r="AA97">
        <v>306</v>
      </c>
      <c r="AB97">
        <v>58204</v>
      </c>
      <c r="AC97" t="s">
        <v>1613</v>
      </c>
      <c r="AD97">
        <v>50.5</v>
      </c>
      <c r="AE97" t="s">
        <v>1911</v>
      </c>
      <c r="AF97" t="s">
        <v>2209</v>
      </c>
      <c r="AG97">
        <v>351</v>
      </c>
      <c r="AH97">
        <v>31</v>
      </c>
      <c r="AJ97">
        <v>2.56</v>
      </c>
    </row>
    <row r="98" spans="1:36">
      <c r="A98" s="1" t="s">
        <v>132</v>
      </c>
      <c r="B98" t="s">
        <v>430</v>
      </c>
      <c r="C98">
        <f>HYPERLINK("https://finance.naver.com/item/coinfo.nhn?code=092780", "A092780")</f>
        <v>0</v>
      </c>
      <c r="D98">
        <f>HYPERLINK("http://comp.fnguide.com/SVO2/ASP/SVD_Consensus.asp?pGB=1&amp;gicode=A092780&amp;cID=&amp;MenuYn=Y&amp;ReportGB=&amp;NewMenuID=108&amp;stkGb=701", "동양피스톤")</f>
        <v>0</v>
      </c>
      <c r="E98">
        <v>3</v>
      </c>
      <c r="F98">
        <v>5760</v>
      </c>
      <c r="G98">
        <v>0</v>
      </c>
      <c r="H98">
        <v>6.53</v>
      </c>
      <c r="I98">
        <v>11904</v>
      </c>
      <c r="J98">
        <v>9848</v>
      </c>
      <c r="K98">
        <v>9259</v>
      </c>
      <c r="L98">
        <v>-106.66</v>
      </c>
      <c r="M98">
        <v>-70.95999999999999</v>
      </c>
      <c r="N98">
        <v>-60.75</v>
      </c>
      <c r="O98">
        <v>11.27</v>
      </c>
      <c r="P98" t="b">
        <v>1</v>
      </c>
      <c r="Q98">
        <v>0</v>
      </c>
      <c r="R98">
        <v>738</v>
      </c>
      <c r="S98">
        <v>-520</v>
      </c>
      <c r="T98">
        <v>-170.5</v>
      </c>
      <c r="U98" t="s">
        <v>728</v>
      </c>
      <c r="V98" t="s">
        <v>1026</v>
      </c>
      <c r="W98">
        <v>0</v>
      </c>
      <c r="X98">
        <v>0</v>
      </c>
      <c r="Y98" t="s">
        <v>1322</v>
      </c>
      <c r="Z98">
        <v>2.307316731176723</v>
      </c>
      <c r="AA98">
        <v>759</v>
      </c>
      <c r="AB98">
        <v>98996</v>
      </c>
      <c r="AC98" t="s">
        <v>1614</v>
      </c>
      <c r="AD98">
        <v>55.79</v>
      </c>
      <c r="AE98" t="s">
        <v>1912</v>
      </c>
      <c r="AF98" t="s">
        <v>2210</v>
      </c>
      <c r="AG98">
        <v>3648</v>
      </c>
      <c r="AH98">
        <v>185</v>
      </c>
      <c r="AI98">
        <v>647132</v>
      </c>
      <c r="AJ98">
        <v>2.49</v>
      </c>
    </row>
    <row r="99" spans="1:36">
      <c r="A99" s="1" t="s">
        <v>133</v>
      </c>
      <c r="B99" t="s">
        <v>431</v>
      </c>
      <c r="C99">
        <f>HYPERLINK("https://finance.naver.com/item/coinfo.nhn?code=042670", "A042670")</f>
        <v>0</v>
      </c>
      <c r="D99">
        <f>HYPERLINK("http://comp.fnguide.com/SVO2/ASP/SVD_Consensus.asp?pGB=1&amp;gicode=A042670&amp;cID=&amp;MenuYn=Y&amp;ReportGB=&amp;NewMenuID=108&amp;stkGb=701", "두산인프라코어")</f>
        <v>0</v>
      </c>
      <c r="E99">
        <v>3</v>
      </c>
      <c r="F99">
        <v>7860</v>
      </c>
      <c r="G99">
        <v>0.21</v>
      </c>
      <c r="H99">
        <v>4.82</v>
      </c>
      <c r="I99">
        <v>15165</v>
      </c>
      <c r="J99">
        <v>12237</v>
      </c>
      <c r="K99">
        <v>11399</v>
      </c>
      <c r="L99">
        <v>-92.94</v>
      </c>
      <c r="M99">
        <v>-55.69</v>
      </c>
      <c r="N99">
        <v>-45.03</v>
      </c>
      <c r="O99">
        <v>11.83</v>
      </c>
      <c r="P99" t="b">
        <v>1</v>
      </c>
      <c r="Q99">
        <v>1</v>
      </c>
      <c r="R99">
        <v>1153</v>
      </c>
      <c r="S99">
        <v>1319</v>
      </c>
      <c r="T99">
        <v>14.4</v>
      </c>
      <c r="U99" t="s">
        <v>729</v>
      </c>
      <c r="V99" t="s">
        <v>1027</v>
      </c>
      <c r="W99">
        <v>22.60461808885967</v>
      </c>
      <c r="X99">
        <v>-35</v>
      </c>
      <c r="Y99" t="s">
        <v>1323</v>
      </c>
      <c r="Z99">
        <v>25.20968411864381</v>
      </c>
      <c r="AA99">
        <v>16992</v>
      </c>
      <c r="AB99">
        <v>1796427</v>
      </c>
      <c r="AC99" t="s">
        <v>1615</v>
      </c>
      <c r="AD99">
        <v>34.96</v>
      </c>
      <c r="AE99" t="s">
        <v>1913</v>
      </c>
      <c r="AF99" t="s">
        <v>2211</v>
      </c>
      <c r="AG99">
        <v>81858</v>
      </c>
      <c r="AH99">
        <v>8404</v>
      </c>
      <c r="AI99">
        <v>505</v>
      </c>
    </row>
    <row r="100" spans="1:36">
      <c r="A100" s="1" t="s">
        <v>134</v>
      </c>
      <c r="B100" t="s">
        <v>432</v>
      </c>
      <c r="C100">
        <f>HYPERLINK("https://finance.naver.com/item/coinfo.nhn?code=045100", "A045100")</f>
        <v>0</v>
      </c>
      <c r="D100">
        <f>HYPERLINK("http://comp.fnguide.com/SVO2/ASP/SVD_Consensus.asp?pGB=1&amp;gicode=A045100&amp;cID=&amp;MenuYn=Y&amp;ReportGB=&amp;NewMenuID=108&amp;stkGb=701", "한양이엔지")</f>
        <v>0</v>
      </c>
      <c r="E100">
        <v>3</v>
      </c>
      <c r="F100">
        <v>15750</v>
      </c>
      <c r="G100">
        <v>0.65</v>
      </c>
      <c r="H100">
        <v>7.5</v>
      </c>
      <c r="I100">
        <v>38803</v>
      </c>
      <c r="J100">
        <v>26824</v>
      </c>
      <c r="K100">
        <v>23395</v>
      </c>
      <c r="L100">
        <v>-146.37</v>
      </c>
      <c r="M100">
        <v>-70.31</v>
      </c>
      <c r="N100">
        <v>-48.54</v>
      </c>
      <c r="O100">
        <v>16.54</v>
      </c>
      <c r="P100" t="b">
        <v>0</v>
      </c>
      <c r="Q100">
        <v>1</v>
      </c>
      <c r="R100">
        <v>1641</v>
      </c>
      <c r="S100">
        <v>2657</v>
      </c>
      <c r="T100">
        <v>61.9</v>
      </c>
      <c r="U100" t="s">
        <v>730</v>
      </c>
      <c r="V100" t="s">
        <v>1028</v>
      </c>
      <c r="W100">
        <v>11.50481868347497</v>
      </c>
      <c r="X100">
        <v>46.9</v>
      </c>
      <c r="Y100" t="s">
        <v>1324</v>
      </c>
      <c r="Z100">
        <v>0.09416887656996664</v>
      </c>
      <c r="AA100">
        <v>2835</v>
      </c>
      <c r="AB100">
        <v>301452</v>
      </c>
      <c r="AC100" t="s">
        <v>1616</v>
      </c>
      <c r="AD100">
        <v>45.6</v>
      </c>
      <c r="AE100" t="s">
        <v>1914</v>
      </c>
      <c r="AF100" t="s">
        <v>2212</v>
      </c>
      <c r="AG100">
        <v>7721</v>
      </c>
      <c r="AH100">
        <v>334</v>
      </c>
      <c r="AI100">
        <v>602572</v>
      </c>
      <c r="AJ100">
        <v>3.66</v>
      </c>
    </row>
    <row r="101" spans="1:36">
      <c r="A101" s="1" t="s">
        <v>135</v>
      </c>
      <c r="B101" t="s">
        <v>433</v>
      </c>
      <c r="C101">
        <f>HYPERLINK("https://finance.naver.com/item/coinfo.nhn?code=030610", "A030610")</f>
        <v>0</v>
      </c>
      <c r="D101">
        <f>HYPERLINK("http://comp.fnguide.com/SVO2/ASP/SVD_Consensus.asp?pGB=1&amp;gicode=A030610&amp;cID=&amp;MenuYn=Y&amp;ReportGB=&amp;NewMenuID=108&amp;stkGb=701", "교보증권")</f>
        <v>0</v>
      </c>
      <c r="E101">
        <v>3</v>
      </c>
      <c r="F101">
        <v>7270</v>
      </c>
      <c r="G101">
        <v>-0.52</v>
      </c>
      <c r="H101">
        <v>3.98</v>
      </c>
      <c r="I101">
        <v>17214</v>
      </c>
      <c r="J101">
        <v>15957</v>
      </c>
      <c r="K101">
        <v>15598</v>
      </c>
      <c r="L101">
        <v>-136.78</v>
      </c>
      <c r="M101">
        <v>-119.5</v>
      </c>
      <c r="N101">
        <v>-114.55</v>
      </c>
      <c r="O101">
        <v>9.130000000000001</v>
      </c>
      <c r="P101" t="b">
        <v>1</v>
      </c>
      <c r="Q101">
        <v>0</v>
      </c>
      <c r="R101">
        <v>2319</v>
      </c>
      <c r="S101">
        <v>1608</v>
      </c>
      <c r="T101">
        <v>-30.7</v>
      </c>
      <c r="U101" t="s">
        <v>731</v>
      </c>
      <c r="V101" t="s">
        <v>1029</v>
      </c>
      <c r="W101">
        <v>-7.60129871955264</v>
      </c>
      <c r="X101">
        <v>9.1</v>
      </c>
      <c r="Y101" t="s">
        <v>1325</v>
      </c>
      <c r="Z101">
        <v>9.079772519246077</v>
      </c>
      <c r="AA101">
        <v>4700</v>
      </c>
      <c r="AB101">
        <v>127475</v>
      </c>
      <c r="AC101" t="s">
        <v>1617</v>
      </c>
      <c r="AD101">
        <v>73.16</v>
      </c>
      <c r="AE101" t="s">
        <v>1915</v>
      </c>
      <c r="AF101" t="s">
        <v>2213</v>
      </c>
      <c r="AG101">
        <v>3064</v>
      </c>
      <c r="AH101">
        <v>1104</v>
      </c>
      <c r="AI101">
        <v>1093598</v>
      </c>
      <c r="AJ101">
        <v>4.34</v>
      </c>
    </row>
    <row r="102" spans="1:36">
      <c r="A102" s="1" t="s">
        <v>136</v>
      </c>
      <c r="B102" t="s">
        <v>434</v>
      </c>
      <c r="C102">
        <f>HYPERLINK("https://finance.naver.com/item/coinfo.nhn?code=007690", "A007690")</f>
        <v>0</v>
      </c>
      <c r="D102">
        <f>HYPERLINK("http://comp.fnguide.com/SVO2/ASP/SVD_Consensus.asp?pGB=1&amp;gicode=A007690&amp;cID=&amp;MenuYn=Y&amp;ReportGB=&amp;NewMenuID=108&amp;stkGb=701", "국도화학")</f>
        <v>0</v>
      </c>
      <c r="E102">
        <v>3</v>
      </c>
      <c r="F102">
        <v>55300</v>
      </c>
      <c r="G102">
        <v>-0.68</v>
      </c>
      <c r="H102">
        <v>7.9</v>
      </c>
      <c r="I102">
        <v>96292</v>
      </c>
      <c r="J102">
        <v>95429</v>
      </c>
      <c r="K102">
        <v>95182</v>
      </c>
      <c r="L102">
        <v>-74.13</v>
      </c>
      <c r="M102">
        <v>-72.56999999999999</v>
      </c>
      <c r="N102">
        <v>-72.12</v>
      </c>
      <c r="O102">
        <v>8.140000000000001</v>
      </c>
      <c r="P102" t="b">
        <v>1</v>
      </c>
      <c r="Q102">
        <v>0</v>
      </c>
      <c r="R102">
        <v>5958</v>
      </c>
      <c r="S102">
        <v>4891</v>
      </c>
      <c r="T102">
        <v>-17.9</v>
      </c>
      <c r="U102" t="s">
        <v>732</v>
      </c>
      <c r="V102" t="s">
        <v>1030</v>
      </c>
      <c r="W102">
        <v>-11.57782257079274</v>
      </c>
      <c r="X102">
        <v>-10.1</v>
      </c>
      <c r="Y102" t="s">
        <v>1326</v>
      </c>
      <c r="Z102">
        <v>-11.05131788007191</v>
      </c>
      <c r="AA102">
        <v>3213</v>
      </c>
      <c r="AB102">
        <v>103144</v>
      </c>
      <c r="AC102" t="s">
        <v>1618</v>
      </c>
      <c r="AD102">
        <v>24.61</v>
      </c>
      <c r="AE102" t="s">
        <v>1916</v>
      </c>
      <c r="AF102" t="s">
        <v>2214</v>
      </c>
      <c r="AG102">
        <v>11214</v>
      </c>
      <c r="AH102">
        <v>421</v>
      </c>
      <c r="AI102">
        <v>364289</v>
      </c>
      <c r="AJ102">
        <v>3.19</v>
      </c>
    </row>
    <row r="103" spans="1:36">
      <c r="A103" s="1" t="s">
        <v>137</v>
      </c>
      <c r="B103" t="s">
        <v>435</v>
      </c>
      <c r="C103">
        <f>HYPERLINK("https://finance.naver.com/item/coinfo.nhn?code=014530", "A014530")</f>
        <v>0</v>
      </c>
      <c r="D103">
        <f>HYPERLINK("http://comp.fnguide.com/SVO2/ASP/SVD_Consensus.asp?pGB=1&amp;gicode=A014530&amp;cID=&amp;MenuYn=Y&amp;ReportGB=&amp;NewMenuID=108&amp;stkGb=701", "극동유화")</f>
        <v>0</v>
      </c>
      <c r="E103">
        <v>3</v>
      </c>
      <c r="F103">
        <v>3490</v>
      </c>
      <c r="G103">
        <v>0</v>
      </c>
      <c r="H103">
        <v>8.369999999999999</v>
      </c>
      <c r="I103">
        <v>6008</v>
      </c>
      <c r="J103">
        <v>5401</v>
      </c>
      <c r="K103">
        <v>5227</v>
      </c>
      <c r="L103">
        <v>-72.14</v>
      </c>
      <c r="M103">
        <v>-54.76</v>
      </c>
      <c r="N103">
        <v>-49.78</v>
      </c>
      <c r="O103">
        <v>9.65</v>
      </c>
      <c r="P103" t="b">
        <v>1</v>
      </c>
      <c r="Q103">
        <v>0</v>
      </c>
      <c r="R103">
        <v>412</v>
      </c>
      <c r="U103" t="s">
        <v>733</v>
      </c>
      <c r="V103" t="s">
        <v>1031</v>
      </c>
      <c r="W103">
        <v>0</v>
      </c>
      <c r="X103">
        <v>-19.3</v>
      </c>
      <c r="Y103" t="s">
        <v>1327</v>
      </c>
      <c r="Z103">
        <v>-4.376553793836047</v>
      </c>
      <c r="AA103">
        <v>1217</v>
      </c>
      <c r="AB103">
        <v>4609012</v>
      </c>
      <c r="AC103" t="s">
        <v>1619</v>
      </c>
      <c r="AD103">
        <v>43.36</v>
      </c>
      <c r="AE103" t="s">
        <v>1917</v>
      </c>
      <c r="AF103" t="s">
        <v>2215</v>
      </c>
      <c r="AG103">
        <v>7956</v>
      </c>
      <c r="AH103">
        <v>167</v>
      </c>
      <c r="AI103">
        <v>1200000</v>
      </c>
      <c r="AJ103">
        <v>4.64</v>
      </c>
    </row>
    <row r="104" spans="1:36">
      <c r="A104" s="1" t="s">
        <v>138</v>
      </c>
      <c r="B104" t="s">
        <v>436</v>
      </c>
      <c r="C104">
        <f>HYPERLINK("https://finance.naver.com/item/coinfo.nhn?code=002350", "A002350")</f>
        <v>0</v>
      </c>
      <c r="D104">
        <f>HYPERLINK("http://comp.fnguide.com/SVO2/ASP/SVD_Consensus.asp?pGB=1&amp;gicode=A002350&amp;cID=&amp;MenuYn=Y&amp;ReportGB=&amp;NewMenuID=108&amp;stkGb=701", "넥센타이어")</f>
        <v>0</v>
      </c>
      <c r="E104">
        <v>3</v>
      </c>
      <c r="F104">
        <v>8420</v>
      </c>
      <c r="G104">
        <v>0</v>
      </c>
      <c r="H104">
        <v>8.039999999999999</v>
      </c>
      <c r="I104">
        <v>16358</v>
      </c>
      <c r="J104">
        <v>16241</v>
      </c>
      <c r="K104">
        <v>16208</v>
      </c>
      <c r="L104">
        <v>-94.27</v>
      </c>
      <c r="M104">
        <v>-92.89</v>
      </c>
      <c r="N104">
        <v>-92.48999999999999</v>
      </c>
      <c r="O104">
        <v>8.119999999999999</v>
      </c>
      <c r="P104" t="b">
        <v>1</v>
      </c>
      <c r="Q104">
        <v>0</v>
      </c>
      <c r="R104">
        <v>1135</v>
      </c>
      <c r="S104">
        <v>-202</v>
      </c>
      <c r="T104">
        <v>-117.8</v>
      </c>
      <c r="U104" t="s">
        <v>734</v>
      </c>
      <c r="V104" t="s">
        <v>1032</v>
      </c>
      <c r="W104">
        <v>0</v>
      </c>
      <c r="X104">
        <v>0</v>
      </c>
      <c r="Y104" t="s">
        <v>1328</v>
      </c>
      <c r="Z104">
        <v>-1.72560887448977</v>
      </c>
      <c r="AA104">
        <v>8224</v>
      </c>
      <c r="AB104">
        <v>771315</v>
      </c>
      <c r="AC104" t="s">
        <v>1620</v>
      </c>
      <c r="AD104">
        <v>66.95</v>
      </c>
      <c r="AE104" t="s">
        <v>1918</v>
      </c>
      <c r="AF104" t="s">
        <v>2216</v>
      </c>
      <c r="AG104">
        <v>20223</v>
      </c>
      <c r="AH104">
        <v>2074</v>
      </c>
      <c r="AI104">
        <v>1504451</v>
      </c>
      <c r="AJ104">
        <v>1.15</v>
      </c>
    </row>
    <row r="105" spans="1:36">
      <c r="A105" s="1" t="s">
        <v>139</v>
      </c>
      <c r="B105" t="s">
        <v>437</v>
      </c>
      <c r="C105">
        <f>HYPERLINK("https://finance.naver.com/item/coinfo.nhn?code=023590", "A023590")</f>
        <v>0</v>
      </c>
      <c r="D105">
        <f>HYPERLINK("http://comp.fnguide.com/SVO2/ASP/SVD_Consensus.asp?pGB=1&amp;gicode=A023590&amp;cID=&amp;MenuYn=Y&amp;ReportGB=&amp;NewMenuID=108&amp;stkGb=701", "다우기술")</f>
        <v>0</v>
      </c>
      <c r="E105">
        <v>3</v>
      </c>
      <c r="F105">
        <v>27200</v>
      </c>
      <c r="G105">
        <v>0.06</v>
      </c>
      <c r="H105">
        <v>4.6</v>
      </c>
      <c r="I105">
        <v>48083</v>
      </c>
      <c r="J105">
        <v>37772</v>
      </c>
      <c r="K105">
        <v>34821</v>
      </c>
      <c r="L105">
        <v>-76.78</v>
      </c>
      <c r="M105">
        <v>-38.87</v>
      </c>
      <c r="N105">
        <v>-28.02</v>
      </c>
      <c r="O105">
        <v>12.49</v>
      </c>
      <c r="P105" t="b">
        <v>1</v>
      </c>
      <c r="Q105">
        <v>2</v>
      </c>
      <c r="R105">
        <v>4130</v>
      </c>
      <c r="S105">
        <v>15042</v>
      </c>
      <c r="T105">
        <v>264.2</v>
      </c>
      <c r="U105" t="s">
        <v>735</v>
      </c>
      <c r="V105" t="s">
        <v>1033</v>
      </c>
      <c r="W105">
        <v>80.58110584780268</v>
      </c>
      <c r="X105">
        <v>71.3</v>
      </c>
      <c r="Y105" t="s">
        <v>1329</v>
      </c>
      <c r="Z105">
        <v>25.21970313563479</v>
      </c>
      <c r="AA105">
        <v>12204</v>
      </c>
      <c r="AB105">
        <v>564496</v>
      </c>
      <c r="AC105" t="s">
        <v>1621</v>
      </c>
      <c r="AD105">
        <v>46.72</v>
      </c>
      <c r="AE105" t="s">
        <v>1919</v>
      </c>
      <c r="AF105" t="s">
        <v>2217</v>
      </c>
      <c r="AG105">
        <v>32455</v>
      </c>
      <c r="AH105">
        <v>5075</v>
      </c>
      <c r="AI105">
        <v>1600000</v>
      </c>
      <c r="AJ105">
        <v>2.11</v>
      </c>
    </row>
    <row r="106" spans="1:36">
      <c r="A106" s="1" t="s">
        <v>140</v>
      </c>
      <c r="B106" t="s">
        <v>438</v>
      </c>
      <c r="C106">
        <f>HYPERLINK("https://finance.naver.com/item/coinfo.nhn?code=008060", "A008060")</f>
        <v>0</v>
      </c>
      <c r="D106">
        <f>HYPERLINK("http://comp.fnguide.com/SVO2/ASP/SVD_Consensus.asp?pGB=1&amp;gicode=A008060&amp;cID=&amp;MenuYn=Y&amp;ReportGB=&amp;NewMenuID=108&amp;stkGb=701", "대덕")</f>
        <v>0</v>
      </c>
      <c r="E106">
        <v>3</v>
      </c>
      <c r="F106">
        <v>6700</v>
      </c>
      <c r="G106">
        <v>0</v>
      </c>
      <c r="H106">
        <v>13.23</v>
      </c>
      <c r="I106">
        <v>61689</v>
      </c>
      <c r="J106">
        <v>43100</v>
      </c>
      <c r="K106">
        <v>37779</v>
      </c>
      <c r="L106">
        <v>-820.73</v>
      </c>
      <c r="M106">
        <v>-543.28</v>
      </c>
      <c r="N106">
        <v>-463.87</v>
      </c>
      <c r="O106">
        <v>16.13</v>
      </c>
      <c r="P106" t="b">
        <v>0</v>
      </c>
      <c r="Q106">
        <v>0</v>
      </c>
      <c r="R106">
        <v>794</v>
      </c>
      <c r="U106" t="s">
        <v>736</v>
      </c>
      <c r="V106" t="s">
        <v>1034</v>
      </c>
      <c r="W106">
        <v>0</v>
      </c>
      <c r="X106">
        <v>354.2</v>
      </c>
      <c r="Y106" t="s">
        <v>1330</v>
      </c>
      <c r="Z106">
        <v>41.88293883293524</v>
      </c>
      <c r="AA106">
        <v>2271</v>
      </c>
      <c r="AB106">
        <v>175939</v>
      </c>
      <c r="AC106" t="s">
        <v>1622</v>
      </c>
      <c r="AD106">
        <v>43.32</v>
      </c>
      <c r="AE106" t="s">
        <v>1920</v>
      </c>
      <c r="AF106" t="s">
        <v>2218</v>
      </c>
      <c r="AG106">
        <v>10722</v>
      </c>
      <c r="AH106">
        <v>464</v>
      </c>
      <c r="AJ106">
        <v>2.86</v>
      </c>
    </row>
    <row r="107" spans="1:36">
      <c r="A107" s="1" t="s">
        <v>141</v>
      </c>
      <c r="B107" t="s">
        <v>439</v>
      </c>
      <c r="C107">
        <f>HYPERLINK("https://finance.naver.com/item/coinfo.nhn?code=017890", "A017890")</f>
        <v>0</v>
      </c>
      <c r="D107">
        <f>HYPERLINK("http://comp.fnguide.com/SVO2/ASP/SVD_Consensus.asp?pGB=1&amp;gicode=A017890&amp;cID=&amp;MenuYn=Y&amp;ReportGB=&amp;NewMenuID=108&amp;stkGb=701", "한국알콜")</f>
        <v>0</v>
      </c>
      <c r="E107">
        <v>3</v>
      </c>
      <c r="F107">
        <v>12900</v>
      </c>
      <c r="G107">
        <v>0</v>
      </c>
      <c r="H107">
        <v>5.11</v>
      </c>
      <c r="I107">
        <v>19810</v>
      </c>
      <c r="J107">
        <v>17486</v>
      </c>
      <c r="K107">
        <v>16820</v>
      </c>
      <c r="L107">
        <v>-53.56</v>
      </c>
      <c r="M107">
        <v>-35.55</v>
      </c>
      <c r="N107">
        <v>-30.39</v>
      </c>
      <c r="O107">
        <v>9.970000000000001</v>
      </c>
      <c r="P107" t="b">
        <v>1</v>
      </c>
      <c r="Q107">
        <v>0</v>
      </c>
      <c r="R107">
        <v>1472</v>
      </c>
      <c r="U107" t="s">
        <v>737</v>
      </c>
      <c r="V107" t="s">
        <v>1035</v>
      </c>
      <c r="W107">
        <v>0</v>
      </c>
      <c r="X107">
        <v>61.6</v>
      </c>
      <c r="Y107" t="s">
        <v>1331</v>
      </c>
      <c r="Z107">
        <v>23.07473319642468</v>
      </c>
      <c r="AA107">
        <v>2787</v>
      </c>
      <c r="AB107">
        <v>188467</v>
      </c>
      <c r="AC107" t="s">
        <v>1623</v>
      </c>
      <c r="AD107">
        <v>40.49</v>
      </c>
      <c r="AE107" t="s">
        <v>1921</v>
      </c>
      <c r="AF107" t="s">
        <v>2219</v>
      </c>
      <c r="AG107">
        <v>2914</v>
      </c>
      <c r="AH107">
        <v>331</v>
      </c>
      <c r="AI107">
        <v>1025167</v>
      </c>
      <c r="AJ107">
        <v>1.33</v>
      </c>
    </row>
    <row r="108" spans="1:36">
      <c r="A108" s="1" t="s">
        <v>142</v>
      </c>
      <c r="B108" t="s">
        <v>440</v>
      </c>
      <c r="C108">
        <f>HYPERLINK("https://finance.naver.com/item/coinfo.nhn?code=001680", "A001680")</f>
        <v>0</v>
      </c>
      <c r="D108">
        <f>HYPERLINK("http://comp.fnguide.com/SVO2/ASP/SVD_Consensus.asp?pGB=1&amp;gicode=A001680&amp;cID=&amp;MenuYn=Y&amp;ReportGB=&amp;NewMenuID=108&amp;stkGb=701", "대상")</f>
        <v>0</v>
      </c>
      <c r="E108">
        <v>3</v>
      </c>
      <c r="F108">
        <v>24950</v>
      </c>
      <c r="G108">
        <v>0.22</v>
      </c>
      <c r="H108">
        <v>7.79</v>
      </c>
      <c r="I108">
        <v>32652</v>
      </c>
      <c r="J108">
        <v>30463</v>
      </c>
      <c r="K108">
        <v>29836</v>
      </c>
      <c r="L108">
        <v>-30.87</v>
      </c>
      <c r="M108">
        <v>-22.1</v>
      </c>
      <c r="N108">
        <v>-19.59</v>
      </c>
      <c r="O108">
        <v>9.029999999999999</v>
      </c>
      <c r="P108" t="b">
        <v>1</v>
      </c>
      <c r="Q108">
        <v>3</v>
      </c>
      <c r="R108">
        <v>2976</v>
      </c>
      <c r="S108">
        <v>3614</v>
      </c>
      <c r="T108">
        <v>21.4</v>
      </c>
      <c r="U108" t="s">
        <v>738</v>
      </c>
      <c r="V108" t="s">
        <v>1036</v>
      </c>
      <c r="W108">
        <v>35.11740020748724</v>
      </c>
      <c r="X108">
        <v>53</v>
      </c>
      <c r="Y108" t="s">
        <v>1332</v>
      </c>
      <c r="Z108">
        <v>22.98316287847235</v>
      </c>
      <c r="AA108">
        <v>8645</v>
      </c>
      <c r="AB108">
        <v>250365</v>
      </c>
      <c r="AC108" t="s">
        <v>1624</v>
      </c>
      <c r="AD108">
        <v>44.74</v>
      </c>
      <c r="AE108" t="s">
        <v>1922</v>
      </c>
      <c r="AF108" t="s">
        <v>2220</v>
      </c>
      <c r="AG108">
        <v>29640</v>
      </c>
      <c r="AH108">
        <v>1298</v>
      </c>
      <c r="AJ108">
        <v>2.59</v>
      </c>
    </row>
    <row r="109" spans="1:36">
      <c r="A109" s="1" t="s">
        <v>143</v>
      </c>
      <c r="B109" t="s">
        <v>441</v>
      </c>
      <c r="C109">
        <f>HYPERLINK("https://finance.naver.com/item/coinfo.nhn?code=084690", "A084690")</f>
        <v>0</v>
      </c>
      <c r="D109">
        <f>HYPERLINK("http://comp.fnguide.com/SVO2/ASP/SVD_Consensus.asp?pGB=1&amp;gicode=A084690&amp;cID=&amp;MenuYn=Y&amp;ReportGB=&amp;NewMenuID=108&amp;stkGb=701", "대상홀딩스")</f>
        <v>0</v>
      </c>
      <c r="E109">
        <v>3</v>
      </c>
      <c r="F109">
        <v>9700</v>
      </c>
      <c r="G109">
        <v>0</v>
      </c>
      <c r="H109">
        <v>3.46</v>
      </c>
      <c r="I109">
        <v>17889</v>
      </c>
      <c r="J109">
        <v>16816</v>
      </c>
      <c r="K109">
        <v>16509</v>
      </c>
      <c r="L109">
        <v>-84.43000000000001</v>
      </c>
      <c r="M109">
        <v>-73.36</v>
      </c>
      <c r="N109">
        <v>-70.2</v>
      </c>
      <c r="O109">
        <v>8.91</v>
      </c>
      <c r="P109" t="b">
        <v>1</v>
      </c>
      <c r="Q109">
        <v>0</v>
      </c>
      <c r="R109">
        <v>1946</v>
      </c>
      <c r="U109" t="s">
        <v>739</v>
      </c>
      <c r="V109" t="s">
        <v>1037</v>
      </c>
      <c r="W109">
        <v>0</v>
      </c>
      <c r="X109">
        <v>125.2</v>
      </c>
      <c r="Y109" t="s">
        <v>1333</v>
      </c>
      <c r="Z109">
        <v>46.14119594697726</v>
      </c>
      <c r="AA109">
        <v>3513</v>
      </c>
      <c r="AB109">
        <v>167433</v>
      </c>
      <c r="AC109" t="s">
        <v>1625</v>
      </c>
      <c r="AD109">
        <v>67.3</v>
      </c>
      <c r="AE109" t="s">
        <v>1923</v>
      </c>
      <c r="AF109" t="s">
        <v>2221</v>
      </c>
      <c r="AG109">
        <v>35525</v>
      </c>
      <c r="AH109">
        <v>1555</v>
      </c>
      <c r="AJ109">
        <v>2.97</v>
      </c>
    </row>
    <row r="110" spans="1:36">
      <c r="A110" s="1" t="s">
        <v>144</v>
      </c>
      <c r="B110" t="s">
        <v>442</v>
      </c>
      <c r="C110">
        <f>HYPERLINK("https://finance.naver.com/item/coinfo.nhn?code=023890", "A023890")</f>
        <v>0</v>
      </c>
      <c r="D110">
        <f>HYPERLINK("http://comp.fnguide.com/SVO2/ASP/SVD_Consensus.asp?pGB=1&amp;gicode=A023890&amp;cID=&amp;MenuYn=Y&amp;ReportGB=&amp;NewMenuID=108&amp;stkGb=701", "한국아트라스비엑스")</f>
        <v>0</v>
      </c>
      <c r="E110">
        <v>3</v>
      </c>
      <c r="F110">
        <v>57700</v>
      </c>
      <c r="G110">
        <v>0.8100000000000001</v>
      </c>
      <c r="H110">
        <v>8.800000000000001</v>
      </c>
      <c r="I110">
        <v>198682</v>
      </c>
      <c r="J110">
        <v>137449</v>
      </c>
      <c r="K110">
        <v>119923</v>
      </c>
      <c r="L110">
        <v>-244.34</v>
      </c>
      <c r="M110">
        <v>-138.21</v>
      </c>
      <c r="N110">
        <v>-107.84</v>
      </c>
      <c r="O110">
        <v>16.51</v>
      </c>
      <c r="P110" t="b">
        <v>1</v>
      </c>
      <c r="Q110">
        <v>3</v>
      </c>
      <c r="R110">
        <v>5806</v>
      </c>
      <c r="S110">
        <v>6339</v>
      </c>
      <c r="T110">
        <v>9.199999999999999</v>
      </c>
      <c r="U110" t="s">
        <v>740</v>
      </c>
      <c r="V110" t="s">
        <v>1038</v>
      </c>
      <c r="W110">
        <v>10.89992603615526</v>
      </c>
      <c r="X110">
        <v>-5.9</v>
      </c>
      <c r="Y110" t="s">
        <v>1334</v>
      </c>
      <c r="Z110">
        <v>-1.758691497465448</v>
      </c>
      <c r="AA110">
        <v>5280</v>
      </c>
      <c r="AB110">
        <v>13549</v>
      </c>
      <c r="AC110" t="s">
        <v>1626</v>
      </c>
      <c r="AD110">
        <v>31.13</v>
      </c>
      <c r="AE110" t="s">
        <v>1924</v>
      </c>
      <c r="AF110" t="s">
        <v>2222</v>
      </c>
      <c r="AG110">
        <v>6480</v>
      </c>
      <c r="AH110">
        <v>646</v>
      </c>
      <c r="AI110">
        <v>5346107</v>
      </c>
      <c r="AJ110">
        <v>0.78</v>
      </c>
    </row>
    <row r="111" spans="1:36">
      <c r="A111" s="1" t="s">
        <v>145</v>
      </c>
      <c r="B111" t="s">
        <v>443</v>
      </c>
      <c r="C111">
        <f>HYPERLINK("https://finance.naver.com/item/coinfo.nhn?code=047040", "A047040")</f>
        <v>0</v>
      </c>
      <c r="D111">
        <f>HYPERLINK("http://comp.fnguide.com/SVO2/ASP/SVD_Consensus.asp?pGB=1&amp;gicode=A047040&amp;cID=&amp;MenuYn=Y&amp;ReportGB=&amp;NewMenuID=108&amp;stkGb=701", "대우건설")</f>
        <v>0</v>
      </c>
      <c r="E111">
        <v>3</v>
      </c>
      <c r="F111">
        <v>5870</v>
      </c>
      <c r="G111">
        <v>3.03</v>
      </c>
      <c r="H111">
        <v>9.44</v>
      </c>
      <c r="I111">
        <v>8073</v>
      </c>
      <c r="J111">
        <v>6821</v>
      </c>
      <c r="K111">
        <v>6462</v>
      </c>
      <c r="L111">
        <v>-37.53</v>
      </c>
      <c r="M111">
        <v>-16.2</v>
      </c>
      <c r="N111">
        <v>-10.09</v>
      </c>
      <c r="O111">
        <v>10.82</v>
      </c>
      <c r="P111" t="b">
        <v>0</v>
      </c>
      <c r="Q111">
        <v>1</v>
      </c>
      <c r="R111">
        <v>502</v>
      </c>
      <c r="S111">
        <v>683</v>
      </c>
      <c r="T111">
        <v>36.1</v>
      </c>
      <c r="U111" t="s">
        <v>741</v>
      </c>
      <c r="V111" t="s">
        <v>1039</v>
      </c>
      <c r="W111">
        <v>3.11134507563644</v>
      </c>
      <c r="X111">
        <v>-8.6</v>
      </c>
      <c r="Y111" t="s">
        <v>1335</v>
      </c>
      <c r="Z111">
        <v>-9.703868940002792</v>
      </c>
      <c r="AA111">
        <v>24397</v>
      </c>
      <c r="AB111">
        <v>3662684</v>
      </c>
      <c r="AC111" t="s">
        <v>1627</v>
      </c>
      <c r="AD111">
        <v>50.76</v>
      </c>
      <c r="AE111" t="s">
        <v>1925</v>
      </c>
      <c r="AF111" t="s">
        <v>2223</v>
      </c>
      <c r="AG111">
        <v>86519</v>
      </c>
      <c r="AH111">
        <v>3641</v>
      </c>
      <c r="AI111">
        <v>4736918</v>
      </c>
    </row>
    <row r="112" spans="1:36">
      <c r="A112" s="1" t="s">
        <v>146</v>
      </c>
      <c r="B112" t="s">
        <v>444</v>
      </c>
      <c r="C112">
        <f>HYPERLINK("https://finance.naver.com/item/coinfo.nhn?code=039340", "A039340")</f>
        <v>0</v>
      </c>
      <c r="D112">
        <f>HYPERLINK("http://comp.fnguide.com/SVO2/ASP/SVD_Consensus.asp?pGB=1&amp;gicode=A039340&amp;cID=&amp;MenuYn=Y&amp;ReportGB=&amp;NewMenuID=108&amp;stkGb=701", "한국경제TV")</f>
        <v>0</v>
      </c>
      <c r="E112">
        <v>3</v>
      </c>
      <c r="F112">
        <v>5540</v>
      </c>
      <c r="G112">
        <v>0.46</v>
      </c>
      <c r="H112">
        <v>7.22</v>
      </c>
      <c r="I112">
        <v>9314</v>
      </c>
      <c r="J112">
        <v>7043</v>
      </c>
      <c r="K112">
        <v>6393</v>
      </c>
      <c r="L112">
        <v>-68.13</v>
      </c>
      <c r="M112">
        <v>-27.13</v>
      </c>
      <c r="N112">
        <v>-15.39</v>
      </c>
      <c r="O112">
        <v>13.52</v>
      </c>
      <c r="P112" t="b">
        <v>1</v>
      </c>
      <c r="Q112">
        <v>3</v>
      </c>
      <c r="R112">
        <v>653</v>
      </c>
      <c r="S112">
        <v>826</v>
      </c>
      <c r="T112">
        <v>26.5</v>
      </c>
      <c r="U112" t="s">
        <v>742</v>
      </c>
      <c r="V112" t="s">
        <v>1040</v>
      </c>
      <c r="W112">
        <v>15.79372365241918</v>
      </c>
      <c r="X112">
        <v>17.8</v>
      </c>
      <c r="Y112" t="s">
        <v>1336</v>
      </c>
      <c r="Z112">
        <v>14.23513047308114</v>
      </c>
      <c r="AA112">
        <v>1274</v>
      </c>
      <c r="AB112">
        <v>82194</v>
      </c>
      <c r="AC112" t="s">
        <v>1628</v>
      </c>
      <c r="AD112">
        <v>46.04</v>
      </c>
      <c r="AE112" t="s">
        <v>1926</v>
      </c>
      <c r="AF112" t="s">
        <v>2224</v>
      </c>
      <c r="AG112">
        <v>778</v>
      </c>
      <c r="AH112">
        <v>137</v>
      </c>
      <c r="AI112">
        <v>937408</v>
      </c>
      <c r="AJ112">
        <v>1.91</v>
      </c>
    </row>
    <row r="113" spans="1:36">
      <c r="A113" s="1" t="s">
        <v>147</v>
      </c>
      <c r="B113" t="s">
        <v>445</v>
      </c>
      <c r="C113">
        <f>HYPERLINK("https://finance.naver.com/item/coinfo.nhn?code=005880", "A005880")</f>
        <v>0</v>
      </c>
      <c r="D113">
        <f>HYPERLINK("http://comp.fnguide.com/SVO2/ASP/SVD_Consensus.asp?pGB=1&amp;gicode=A005880&amp;cID=&amp;MenuYn=Y&amp;ReportGB=&amp;NewMenuID=108&amp;stkGb=701", "대한해운")</f>
        <v>0</v>
      </c>
      <c r="E113">
        <v>3</v>
      </c>
      <c r="F113">
        <v>3295</v>
      </c>
      <c r="G113">
        <v>-0.16</v>
      </c>
      <c r="H113">
        <v>6.21</v>
      </c>
      <c r="I113">
        <v>5516</v>
      </c>
      <c r="J113">
        <v>4317</v>
      </c>
      <c r="K113">
        <v>3973</v>
      </c>
      <c r="L113">
        <v>-67.41</v>
      </c>
      <c r="M113">
        <v>-31</v>
      </c>
      <c r="N113">
        <v>-20.58</v>
      </c>
      <c r="O113">
        <v>12.59</v>
      </c>
      <c r="P113" t="b">
        <v>0</v>
      </c>
      <c r="Q113">
        <v>0</v>
      </c>
      <c r="R113">
        <v>371</v>
      </c>
      <c r="S113">
        <v>114</v>
      </c>
      <c r="T113">
        <v>-69.3</v>
      </c>
      <c r="U113" t="s">
        <v>743</v>
      </c>
      <c r="V113" t="s">
        <v>1041</v>
      </c>
      <c r="W113">
        <v>-38.67343197783486</v>
      </c>
      <c r="X113">
        <v>-96.3</v>
      </c>
      <c r="Y113" t="s">
        <v>1337</v>
      </c>
      <c r="Z113">
        <v>-38.7717525730499</v>
      </c>
      <c r="AA113">
        <v>8049</v>
      </c>
      <c r="AB113">
        <v>5079485</v>
      </c>
      <c r="AC113" t="s">
        <v>1629</v>
      </c>
      <c r="AD113">
        <v>51.44</v>
      </c>
      <c r="AE113" t="s">
        <v>1927</v>
      </c>
      <c r="AF113" t="s">
        <v>2225</v>
      </c>
      <c r="AG113">
        <v>10057</v>
      </c>
      <c r="AH113">
        <v>1288</v>
      </c>
      <c r="AI113">
        <v>8386070</v>
      </c>
    </row>
    <row r="114" spans="1:36">
      <c r="A114" s="1" t="s">
        <v>148</v>
      </c>
      <c r="B114" t="s">
        <v>446</v>
      </c>
      <c r="C114">
        <f>HYPERLINK("https://finance.naver.com/item/coinfo.nhn?code=016090", "A016090")</f>
        <v>0</v>
      </c>
      <c r="D114">
        <f>HYPERLINK("http://comp.fnguide.com/SVO2/ASP/SVD_Consensus.asp?pGB=1&amp;gicode=A016090&amp;cID=&amp;MenuYn=Y&amp;ReportGB=&amp;NewMenuID=108&amp;stkGb=701", "대현")</f>
        <v>0</v>
      </c>
      <c r="E114">
        <v>3</v>
      </c>
      <c r="F114">
        <v>2125</v>
      </c>
      <c r="G114">
        <v>0</v>
      </c>
      <c r="H114">
        <v>6.64</v>
      </c>
      <c r="I114">
        <v>4681</v>
      </c>
      <c r="J114">
        <v>4571</v>
      </c>
      <c r="K114">
        <v>4540</v>
      </c>
      <c r="L114">
        <v>-120.27</v>
      </c>
      <c r="M114">
        <v>-115.13</v>
      </c>
      <c r="N114">
        <v>-113.65</v>
      </c>
      <c r="O114">
        <v>8.35</v>
      </c>
      <c r="P114" t="b">
        <v>1</v>
      </c>
      <c r="Q114">
        <v>0</v>
      </c>
      <c r="R114">
        <v>376</v>
      </c>
      <c r="U114" t="s">
        <v>744</v>
      </c>
      <c r="V114" t="s">
        <v>1042</v>
      </c>
      <c r="W114">
        <v>0</v>
      </c>
      <c r="X114">
        <v>-40</v>
      </c>
      <c r="Y114" t="s">
        <v>1338</v>
      </c>
      <c r="Z114">
        <v>4.243009218771654</v>
      </c>
      <c r="AA114">
        <v>941</v>
      </c>
      <c r="AB114">
        <v>346403</v>
      </c>
      <c r="AC114" t="s">
        <v>1630</v>
      </c>
      <c r="AD114">
        <v>47.28</v>
      </c>
      <c r="AE114" t="s">
        <v>1928</v>
      </c>
      <c r="AF114" t="s">
        <v>2226</v>
      </c>
      <c r="AG114">
        <v>2996</v>
      </c>
      <c r="AH114">
        <v>202</v>
      </c>
      <c r="AJ114">
        <v>4.01</v>
      </c>
    </row>
    <row r="115" spans="1:36">
      <c r="A115" s="1" t="s">
        <v>149</v>
      </c>
      <c r="B115" t="s">
        <v>447</v>
      </c>
      <c r="C115">
        <f>HYPERLINK("https://finance.naver.com/item/coinfo.nhn?code=005960", "A005960")</f>
        <v>0</v>
      </c>
      <c r="D115">
        <f>HYPERLINK("http://comp.fnguide.com/SVO2/ASP/SVD_Consensus.asp?pGB=1&amp;gicode=A005960&amp;cID=&amp;MenuYn=Y&amp;ReportGB=&amp;NewMenuID=108&amp;stkGb=701", "동부건설")</f>
        <v>0</v>
      </c>
      <c r="E115">
        <v>3</v>
      </c>
      <c r="F115">
        <v>12050</v>
      </c>
      <c r="G115">
        <v>-0.17</v>
      </c>
      <c r="H115">
        <v>3.05</v>
      </c>
      <c r="I115">
        <v>48035</v>
      </c>
      <c r="J115">
        <v>30339</v>
      </c>
      <c r="K115">
        <v>25273</v>
      </c>
      <c r="L115">
        <v>-298.63</v>
      </c>
      <c r="M115">
        <v>-151.77</v>
      </c>
      <c r="N115">
        <v>-109.74</v>
      </c>
      <c r="O115">
        <v>20.81</v>
      </c>
      <c r="P115" t="b">
        <v>1</v>
      </c>
      <c r="Q115">
        <v>0</v>
      </c>
      <c r="R115">
        <v>2803</v>
      </c>
      <c r="S115">
        <v>2562</v>
      </c>
      <c r="T115">
        <v>-8.6</v>
      </c>
      <c r="U115" t="s">
        <v>745</v>
      </c>
      <c r="V115" t="s">
        <v>1043</v>
      </c>
      <c r="W115">
        <v>-17.56794761499573</v>
      </c>
      <c r="X115">
        <v>21.8</v>
      </c>
      <c r="Y115" t="s">
        <v>1339</v>
      </c>
      <c r="Z115">
        <v>-14.26029213425397</v>
      </c>
      <c r="AA115">
        <v>2736</v>
      </c>
      <c r="AB115">
        <v>91024</v>
      </c>
      <c r="AC115" t="s">
        <v>1631</v>
      </c>
      <c r="AD115">
        <v>62.17</v>
      </c>
      <c r="AE115" t="s">
        <v>1929</v>
      </c>
      <c r="AF115" t="s">
        <v>2227</v>
      </c>
      <c r="AG115">
        <v>11554</v>
      </c>
      <c r="AH115">
        <v>555</v>
      </c>
      <c r="AI115">
        <v>4291</v>
      </c>
      <c r="AJ115">
        <v>8.199999999999999</v>
      </c>
    </row>
    <row r="116" spans="1:36">
      <c r="A116" s="1" t="s">
        <v>150</v>
      </c>
      <c r="B116" t="s">
        <v>448</v>
      </c>
      <c r="C116">
        <f>HYPERLINK("https://finance.naver.com/item/coinfo.nhn?code=005190", "A005190")</f>
        <v>0</v>
      </c>
      <c r="D116">
        <f>HYPERLINK("http://comp.fnguide.com/SVO2/ASP/SVD_Consensus.asp?pGB=1&amp;gicode=A005190&amp;cID=&amp;MenuYn=Y&amp;ReportGB=&amp;NewMenuID=108&amp;stkGb=701", "동성화학")</f>
        <v>0</v>
      </c>
      <c r="E116">
        <v>3</v>
      </c>
      <c r="F116">
        <v>16100</v>
      </c>
      <c r="G116">
        <v>0</v>
      </c>
      <c r="H116">
        <v>7.3</v>
      </c>
      <c r="I116">
        <v>24661</v>
      </c>
      <c r="J116">
        <v>23522</v>
      </c>
      <c r="K116">
        <v>23195</v>
      </c>
      <c r="L116">
        <v>-53.18</v>
      </c>
      <c r="M116">
        <v>-46.1</v>
      </c>
      <c r="N116">
        <v>-44.07</v>
      </c>
      <c r="O116">
        <v>8.69</v>
      </c>
      <c r="P116" t="b">
        <v>1</v>
      </c>
      <c r="Q116">
        <v>0</v>
      </c>
      <c r="R116">
        <v>2492</v>
      </c>
      <c r="U116" t="s">
        <v>746</v>
      </c>
      <c r="V116" t="s">
        <v>1044</v>
      </c>
      <c r="W116">
        <v>0</v>
      </c>
      <c r="X116">
        <v>13.6</v>
      </c>
      <c r="Y116" t="s">
        <v>1340</v>
      </c>
      <c r="Z116">
        <v>7.718437755339846</v>
      </c>
      <c r="AA116">
        <v>859</v>
      </c>
      <c r="AB116">
        <v>22004</v>
      </c>
      <c r="AC116" t="s">
        <v>1632</v>
      </c>
      <c r="AD116">
        <v>51.23</v>
      </c>
      <c r="AE116" t="s">
        <v>1930</v>
      </c>
      <c r="AF116" t="s">
        <v>2228</v>
      </c>
      <c r="AG116">
        <v>2010</v>
      </c>
      <c r="AH116">
        <v>253</v>
      </c>
      <c r="AI116">
        <v>186177</v>
      </c>
      <c r="AJ116">
        <v>3.3</v>
      </c>
    </row>
    <row r="117" spans="1:36">
      <c r="A117" s="1" t="s">
        <v>151</v>
      </c>
      <c r="B117" t="s">
        <v>449</v>
      </c>
      <c r="C117">
        <f>HYPERLINK("https://finance.naver.com/item/coinfo.nhn?code=028100", "A028100")</f>
        <v>0</v>
      </c>
      <c r="D117">
        <f>HYPERLINK("http://comp.fnguide.com/SVO2/ASP/SVD_Consensus.asp?pGB=1&amp;gicode=A028100&amp;cID=&amp;MenuYn=Y&amp;ReportGB=&amp;NewMenuID=108&amp;stkGb=701", "동아지질")</f>
        <v>0</v>
      </c>
      <c r="E117">
        <v>3</v>
      </c>
      <c r="F117">
        <v>16650</v>
      </c>
      <c r="G117">
        <v>-0.22</v>
      </c>
      <c r="H117">
        <v>11.56</v>
      </c>
      <c r="I117">
        <v>23114</v>
      </c>
      <c r="J117">
        <v>19545</v>
      </c>
      <c r="K117">
        <v>18523</v>
      </c>
      <c r="L117">
        <v>-38.83</v>
      </c>
      <c r="M117">
        <v>-17.39</v>
      </c>
      <c r="N117">
        <v>-11.25</v>
      </c>
      <c r="O117">
        <v>10.8</v>
      </c>
      <c r="P117" t="b">
        <v>0</v>
      </c>
      <c r="Q117">
        <v>0</v>
      </c>
      <c r="R117">
        <v>1656</v>
      </c>
      <c r="S117">
        <v>165</v>
      </c>
      <c r="T117">
        <v>-90</v>
      </c>
      <c r="U117" t="s">
        <v>747</v>
      </c>
      <c r="V117" t="s">
        <v>1045</v>
      </c>
      <c r="W117">
        <v>-51.89006678435922</v>
      </c>
      <c r="X117">
        <v>-74.09999999999999</v>
      </c>
      <c r="Y117" t="s">
        <v>1341</v>
      </c>
      <c r="Z117">
        <v>1.552411764209838</v>
      </c>
      <c r="AA117">
        <v>1915</v>
      </c>
      <c r="AB117">
        <v>149065</v>
      </c>
      <c r="AC117" t="s">
        <v>1633</v>
      </c>
      <c r="AD117">
        <v>43.35</v>
      </c>
      <c r="AE117" t="s">
        <v>1931</v>
      </c>
      <c r="AF117" t="s">
        <v>2229</v>
      </c>
      <c r="AG117">
        <v>3809</v>
      </c>
      <c r="AH117">
        <v>229</v>
      </c>
      <c r="AI117">
        <v>200000</v>
      </c>
      <c r="AJ117">
        <v>1.04</v>
      </c>
    </row>
    <row r="118" spans="1:36">
      <c r="A118" s="1" t="s">
        <v>152</v>
      </c>
      <c r="B118" t="s">
        <v>450</v>
      </c>
      <c r="C118">
        <f>HYPERLINK("https://finance.naver.com/item/coinfo.nhn?code=084670", "A084670")</f>
        <v>0</v>
      </c>
      <c r="D118">
        <f>HYPERLINK("http://comp.fnguide.com/SVO2/ASP/SVD_Consensus.asp?pGB=1&amp;gicode=A084670&amp;cID=&amp;MenuYn=Y&amp;ReportGB=&amp;NewMenuID=108&amp;stkGb=701", "동양고속")</f>
        <v>0</v>
      </c>
      <c r="E118">
        <v>3</v>
      </c>
      <c r="F118">
        <v>23450</v>
      </c>
      <c r="G118">
        <v>0.02</v>
      </c>
      <c r="H118">
        <v>2.41</v>
      </c>
      <c r="I118">
        <v>86637</v>
      </c>
      <c r="J118">
        <v>64852</v>
      </c>
      <c r="K118">
        <v>58617</v>
      </c>
      <c r="L118">
        <v>-269.45</v>
      </c>
      <c r="M118">
        <v>-176.56</v>
      </c>
      <c r="N118">
        <v>-149.97</v>
      </c>
      <c r="O118">
        <v>13.82</v>
      </c>
      <c r="P118" t="b">
        <v>0</v>
      </c>
      <c r="Q118">
        <v>0</v>
      </c>
      <c r="R118">
        <v>11314</v>
      </c>
      <c r="S118">
        <v>-5489</v>
      </c>
      <c r="T118">
        <v>-148.5</v>
      </c>
      <c r="U118" t="s">
        <v>748</v>
      </c>
      <c r="V118" t="s">
        <v>1046</v>
      </c>
      <c r="W118">
        <v>119.0258020932728</v>
      </c>
      <c r="X118">
        <v>0</v>
      </c>
      <c r="Y118" t="s">
        <v>1342</v>
      </c>
      <c r="Z118">
        <v>235.5370024304324</v>
      </c>
      <c r="AA118">
        <v>679</v>
      </c>
      <c r="AB118">
        <v>7486</v>
      </c>
      <c r="AC118" t="s">
        <v>1634</v>
      </c>
      <c r="AD118">
        <v>47.52</v>
      </c>
      <c r="AE118" t="s">
        <v>1932</v>
      </c>
      <c r="AF118" t="s">
        <v>2230</v>
      </c>
      <c r="AG118">
        <v>1405</v>
      </c>
      <c r="AH118">
        <v>100</v>
      </c>
      <c r="AI118">
        <v>275048</v>
      </c>
      <c r="AJ118">
        <v>17.25</v>
      </c>
    </row>
    <row r="119" spans="1:36">
      <c r="A119" s="1" t="s">
        <v>153</v>
      </c>
      <c r="B119" t="s">
        <v>451</v>
      </c>
      <c r="C119">
        <f>HYPERLINK("https://finance.naver.com/item/coinfo.nhn?code=120030", "A120030")</f>
        <v>0</v>
      </c>
      <c r="D119">
        <f>HYPERLINK("http://comp.fnguide.com/SVO2/ASP/SVD_Consensus.asp?pGB=1&amp;gicode=A120030&amp;cID=&amp;MenuYn=Y&amp;ReportGB=&amp;NewMenuID=108&amp;stkGb=701", "조선선재")</f>
        <v>0</v>
      </c>
      <c r="E119">
        <v>3</v>
      </c>
      <c r="F119">
        <v>109500</v>
      </c>
      <c r="G119">
        <v>0</v>
      </c>
      <c r="H119">
        <v>8.109999999999999</v>
      </c>
      <c r="I119">
        <v>169269</v>
      </c>
      <c r="J119">
        <v>131928</v>
      </c>
      <c r="K119">
        <v>121240</v>
      </c>
      <c r="L119">
        <v>-54.58</v>
      </c>
      <c r="M119">
        <v>-20.48</v>
      </c>
      <c r="N119">
        <v>-10.72</v>
      </c>
      <c r="O119">
        <v>12.69</v>
      </c>
      <c r="P119" t="b">
        <v>1</v>
      </c>
      <c r="Q119">
        <v>0</v>
      </c>
      <c r="R119">
        <v>10187</v>
      </c>
      <c r="U119" t="s">
        <v>749</v>
      </c>
      <c r="V119" t="s">
        <v>1047</v>
      </c>
      <c r="W119">
        <v>0</v>
      </c>
      <c r="X119">
        <v>-12.9</v>
      </c>
      <c r="Y119" t="s">
        <v>1343</v>
      </c>
      <c r="Z119">
        <v>-5.176120342330337</v>
      </c>
      <c r="AA119">
        <v>1377</v>
      </c>
      <c r="AB119">
        <v>20372</v>
      </c>
      <c r="AC119" t="s">
        <v>1635</v>
      </c>
      <c r="AD119">
        <v>51.84</v>
      </c>
      <c r="AE119" t="s">
        <v>1933</v>
      </c>
      <c r="AF119" t="s">
        <v>2231</v>
      </c>
      <c r="AG119">
        <v>640</v>
      </c>
      <c r="AH119">
        <v>141</v>
      </c>
      <c r="AI119">
        <v>224717</v>
      </c>
      <c r="AJ119">
        <v>1.82</v>
      </c>
    </row>
    <row r="120" spans="1:36">
      <c r="A120" s="1" t="s">
        <v>154</v>
      </c>
      <c r="B120" t="s">
        <v>452</v>
      </c>
      <c r="C120">
        <f>HYPERLINK("https://finance.naver.com/item/coinfo.nhn?code=007330", "A007330")</f>
        <v>0</v>
      </c>
      <c r="D120">
        <f>HYPERLINK("http://comp.fnguide.com/SVO2/ASP/SVD_Consensus.asp?pGB=1&amp;gicode=A007330&amp;cID=&amp;MenuYn=Y&amp;ReportGB=&amp;NewMenuID=108&amp;stkGb=701", "푸른저축은행")</f>
        <v>0</v>
      </c>
      <c r="E120">
        <v>3</v>
      </c>
      <c r="F120">
        <v>8720</v>
      </c>
      <c r="G120">
        <v>0</v>
      </c>
      <c r="H120">
        <v>4.8</v>
      </c>
      <c r="I120">
        <v>27177</v>
      </c>
      <c r="J120">
        <v>24291</v>
      </c>
      <c r="K120">
        <v>23465</v>
      </c>
      <c r="L120">
        <v>-211.67</v>
      </c>
      <c r="M120">
        <v>-178.57</v>
      </c>
      <c r="N120">
        <v>-169.1</v>
      </c>
      <c r="O120">
        <v>9.75</v>
      </c>
      <c r="P120" t="b">
        <v>1</v>
      </c>
      <c r="Q120">
        <v>0</v>
      </c>
      <c r="R120">
        <v>1631</v>
      </c>
      <c r="U120" t="s">
        <v>750</v>
      </c>
      <c r="V120" t="s">
        <v>1048</v>
      </c>
      <c r="W120">
        <v>0</v>
      </c>
      <c r="Y120" t="s">
        <v>1233</v>
      </c>
      <c r="Z120">
        <v>35.9504940035307</v>
      </c>
      <c r="AA120">
        <v>1315</v>
      </c>
      <c r="AB120">
        <v>28639</v>
      </c>
      <c r="AC120" t="s">
        <v>1636</v>
      </c>
      <c r="AD120">
        <v>62.31</v>
      </c>
      <c r="AE120" t="s">
        <v>1934</v>
      </c>
      <c r="AF120" t="s">
        <v>2232</v>
      </c>
      <c r="AG120">
        <v>559</v>
      </c>
      <c r="AH120">
        <v>321</v>
      </c>
      <c r="AI120">
        <v>3214891</v>
      </c>
      <c r="AJ120">
        <v>7.02</v>
      </c>
    </row>
    <row r="121" spans="1:36">
      <c r="A121" s="1" t="s">
        <v>155</v>
      </c>
      <c r="B121" t="s">
        <v>453</v>
      </c>
      <c r="C121">
        <f>HYPERLINK("https://finance.naver.com/item/coinfo.nhn?code=013580", "A013580")</f>
        <v>0</v>
      </c>
      <c r="D121">
        <f>HYPERLINK("http://comp.fnguide.com/SVO2/ASP/SVD_Consensus.asp?pGB=1&amp;gicode=A013580&amp;cID=&amp;MenuYn=Y&amp;ReportGB=&amp;NewMenuID=108&amp;stkGb=701", "계룡건설")</f>
        <v>0</v>
      </c>
      <c r="E121">
        <v>3</v>
      </c>
      <c r="F121">
        <v>28500</v>
      </c>
      <c r="G121">
        <v>0.11</v>
      </c>
      <c r="H121">
        <v>2.53</v>
      </c>
      <c r="I121">
        <v>123860</v>
      </c>
      <c r="J121">
        <v>80296</v>
      </c>
      <c r="K121">
        <v>67827</v>
      </c>
      <c r="L121">
        <v>-334.6</v>
      </c>
      <c r="M121">
        <v>-181.74</v>
      </c>
      <c r="N121">
        <v>-137.99</v>
      </c>
      <c r="O121">
        <v>19.41</v>
      </c>
      <c r="P121" t="b">
        <v>1</v>
      </c>
      <c r="Q121">
        <v>1</v>
      </c>
      <c r="R121">
        <v>8013</v>
      </c>
      <c r="S121">
        <v>10665</v>
      </c>
      <c r="T121">
        <v>33.1</v>
      </c>
      <c r="U121" t="s">
        <v>751</v>
      </c>
      <c r="V121" t="s">
        <v>1049</v>
      </c>
      <c r="W121">
        <v>22.09342279859268</v>
      </c>
      <c r="X121">
        <v>34.8</v>
      </c>
      <c r="Y121" t="s">
        <v>1344</v>
      </c>
      <c r="Z121">
        <v>43.82618766055091</v>
      </c>
      <c r="AA121">
        <v>2545</v>
      </c>
      <c r="AB121">
        <v>37948</v>
      </c>
      <c r="AC121" t="s">
        <v>1637</v>
      </c>
      <c r="AD121">
        <v>39.2</v>
      </c>
      <c r="AE121" t="s">
        <v>1935</v>
      </c>
      <c r="AF121" t="s">
        <v>2233</v>
      </c>
      <c r="AG121">
        <v>22757</v>
      </c>
      <c r="AH121">
        <v>1359</v>
      </c>
      <c r="AI121">
        <v>73110</v>
      </c>
      <c r="AJ121">
        <v>2.96</v>
      </c>
    </row>
    <row r="122" spans="1:36">
      <c r="A122" s="1" t="s">
        <v>156</v>
      </c>
      <c r="B122" t="s">
        <v>454</v>
      </c>
      <c r="C122">
        <f>HYPERLINK("https://finance.naver.com/item/coinfo.nhn?code=077970", "A077970")</f>
        <v>0</v>
      </c>
      <c r="D122">
        <f>HYPERLINK("http://comp.fnguide.com/SVO2/ASP/SVD_Consensus.asp?pGB=1&amp;gicode=A077970&amp;cID=&amp;MenuYn=Y&amp;ReportGB=&amp;NewMenuID=108&amp;stkGb=701", "STX엔진")</f>
        <v>0</v>
      </c>
      <c r="E122">
        <v>3</v>
      </c>
      <c r="F122">
        <v>6470</v>
      </c>
      <c r="G122">
        <v>0</v>
      </c>
      <c r="H122">
        <v>9.199999999999999</v>
      </c>
      <c r="I122">
        <v>13195</v>
      </c>
      <c r="J122">
        <v>11476</v>
      </c>
      <c r="K122">
        <v>10983</v>
      </c>
      <c r="L122">
        <v>-103.95</v>
      </c>
      <c r="M122">
        <v>-77.36</v>
      </c>
      <c r="N122">
        <v>-69.76000000000001</v>
      </c>
      <c r="O122">
        <v>10.25</v>
      </c>
      <c r="P122" t="b">
        <v>1</v>
      </c>
      <c r="Q122">
        <v>1</v>
      </c>
      <c r="R122">
        <v>737</v>
      </c>
      <c r="S122">
        <v>850</v>
      </c>
      <c r="T122">
        <v>15.3</v>
      </c>
      <c r="U122" t="s">
        <v>752</v>
      </c>
      <c r="V122" t="s">
        <v>1050</v>
      </c>
      <c r="W122">
        <v>0</v>
      </c>
      <c r="X122">
        <v>0</v>
      </c>
      <c r="Y122" t="s">
        <v>1345</v>
      </c>
      <c r="Z122">
        <v>-27</v>
      </c>
      <c r="AA122">
        <v>1489</v>
      </c>
      <c r="AB122">
        <v>26613</v>
      </c>
      <c r="AC122" t="s">
        <v>1638</v>
      </c>
      <c r="AD122">
        <v>84.42</v>
      </c>
      <c r="AE122" t="s">
        <v>1936</v>
      </c>
      <c r="AF122" t="s">
        <v>2234</v>
      </c>
      <c r="AG122">
        <v>6106</v>
      </c>
      <c r="AH122">
        <v>300</v>
      </c>
      <c r="AI122">
        <v>9297</v>
      </c>
    </row>
    <row r="123" spans="1:36">
      <c r="A123" s="1" t="s">
        <v>157</v>
      </c>
      <c r="B123" t="s">
        <v>455</v>
      </c>
      <c r="C123">
        <f>HYPERLINK("https://finance.naver.com/item/coinfo.nhn?code=046110", "A046110")</f>
        <v>0</v>
      </c>
      <c r="D123">
        <f>HYPERLINK("http://comp.fnguide.com/SVO2/ASP/SVD_Consensus.asp?pGB=1&amp;gicode=A046110&amp;cID=&amp;MenuYn=Y&amp;ReportGB=&amp;NewMenuID=108&amp;stkGb=701", "한일네트웍스")</f>
        <v>0</v>
      </c>
      <c r="E123">
        <v>3</v>
      </c>
      <c r="F123">
        <v>5370</v>
      </c>
      <c r="G123">
        <v>0</v>
      </c>
      <c r="H123">
        <v>7.53</v>
      </c>
      <c r="I123">
        <v>9615</v>
      </c>
      <c r="J123">
        <v>7231</v>
      </c>
      <c r="K123">
        <v>6549</v>
      </c>
      <c r="L123">
        <v>-79.05</v>
      </c>
      <c r="M123">
        <v>-34.66</v>
      </c>
      <c r="N123">
        <v>-21.95</v>
      </c>
      <c r="O123">
        <v>13.68</v>
      </c>
      <c r="P123" t="b">
        <v>1</v>
      </c>
      <c r="Q123">
        <v>0</v>
      </c>
      <c r="R123">
        <v>589</v>
      </c>
      <c r="U123" t="s">
        <v>753</v>
      </c>
      <c r="V123" t="s">
        <v>1051</v>
      </c>
      <c r="W123">
        <v>0</v>
      </c>
      <c r="X123">
        <v>13.6</v>
      </c>
      <c r="Y123" t="s">
        <v>1346</v>
      </c>
      <c r="Z123">
        <v>28.70544131727133</v>
      </c>
      <c r="AA123">
        <v>642</v>
      </c>
      <c r="AB123">
        <v>281042</v>
      </c>
      <c r="AC123" t="s">
        <v>1639</v>
      </c>
      <c r="AD123">
        <v>50.1</v>
      </c>
      <c r="AE123" t="s">
        <v>1937</v>
      </c>
      <c r="AF123" t="s">
        <v>2235</v>
      </c>
      <c r="AG123">
        <v>1216</v>
      </c>
      <c r="AH123">
        <v>87</v>
      </c>
      <c r="AJ123">
        <v>5.19</v>
      </c>
    </row>
    <row r="124" spans="1:36">
      <c r="A124" s="1" t="s">
        <v>158</v>
      </c>
      <c r="B124" t="s">
        <v>456</v>
      </c>
      <c r="C124">
        <f>HYPERLINK("https://finance.naver.com/item/coinfo.nhn?code=001390", "A001390")</f>
        <v>0</v>
      </c>
      <c r="D124">
        <f>HYPERLINK("http://comp.fnguide.com/SVO2/ASP/SVD_Consensus.asp?pGB=1&amp;gicode=A001390&amp;cID=&amp;MenuYn=Y&amp;ReportGB=&amp;NewMenuID=108&amp;stkGb=701", "KG케미칼")</f>
        <v>0</v>
      </c>
      <c r="E124">
        <v>3</v>
      </c>
      <c r="F124">
        <v>28450</v>
      </c>
      <c r="G124">
        <v>0.01</v>
      </c>
      <c r="H124">
        <v>1.59</v>
      </c>
      <c r="I124">
        <v>53268</v>
      </c>
      <c r="J124">
        <v>36300</v>
      </c>
      <c r="K124">
        <v>31443</v>
      </c>
      <c r="L124">
        <v>-87.23</v>
      </c>
      <c r="M124">
        <v>-27.59</v>
      </c>
      <c r="N124">
        <v>-10.52</v>
      </c>
      <c r="O124">
        <v>17.11</v>
      </c>
      <c r="P124" t="b">
        <v>1</v>
      </c>
      <c r="Q124">
        <v>2</v>
      </c>
      <c r="R124">
        <v>7569</v>
      </c>
      <c r="S124">
        <v>11775</v>
      </c>
      <c r="T124">
        <v>55.6</v>
      </c>
      <c r="U124" t="s">
        <v>754</v>
      </c>
      <c r="V124" t="s">
        <v>1052</v>
      </c>
      <c r="W124">
        <v>219.2561943441687</v>
      </c>
      <c r="X124">
        <v>-75.40000000000001</v>
      </c>
      <c r="Y124" t="s">
        <v>1347</v>
      </c>
      <c r="Z124">
        <v>4.574861474822889</v>
      </c>
      <c r="AA124">
        <v>3945</v>
      </c>
      <c r="AB124">
        <v>600927</v>
      </c>
      <c r="AC124" t="s">
        <v>1640</v>
      </c>
      <c r="AD124">
        <v>49.9</v>
      </c>
      <c r="AE124" t="s">
        <v>1938</v>
      </c>
      <c r="AF124" t="s">
        <v>2236</v>
      </c>
      <c r="AG124">
        <v>20684</v>
      </c>
      <c r="AH124">
        <v>1180</v>
      </c>
      <c r="AI124">
        <v>200910</v>
      </c>
      <c r="AJ124">
        <v>2.92</v>
      </c>
    </row>
    <row r="125" spans="1:36">
      <c r="A125" s="1" t="s">
        <v>159</v>
      </c>
      <c r="B125" t="s">
        <v>457</v>
      </c>
      <c r="C125">
        <f>HYPERLINK("https://finance.naver.com/item/coinfo.nhn?code=065510", "A065510")</f>
        <v>0</v>
      </c>
      <c r="D125">
        <f>HYPERLINK("http://comp.fnguide.com/SVO2/ASP/SVD_Consensus.asp?pGB=1&amp;gicode=A065510&amp;cID=&amp;MenuYn=Y&amp;ReportGB=&amp;NewMenuID=108&amp;stkGb=701", "휴비츠")</f>
        <v>0</v>
      </c>
      <c r="E125">
        <v>3</v>
      </c>
      <c r="F125">
        <v>7820</v>
      </c>
      <c r="G125">
        <v>0</v>
      </c>
      <c r="H125">
        <v>12.57</v>
      </c>
      <c r="I125">
        <v>8437</v>
      </c>
      <c r="J125">
        <v>8355</v>
      </c>
      <c r="K125">
        <v>8332</v>
      </c>
      <c r="L125">
        <v>-7.89</v>
      </c>
      <c r="M125">
        <v>-6.85</v>
      </c>
      <c r="N125">
        <v>-6.55</v>
      </c>
      <c r="O125">
        <v>8.15</v>
      </c>
      <c r="P125" t="b">
        <v>1</v>
      </c>
      <c r="Q125">
        <v>0</v>
      </c>
      <c r="R125">
        <v>663</v>
      </c>
      <c r="S125">
        <v>-255</v>
      </c>
      <c r="T125">
        <v>-138.5</v>
      </c>
      <c r="U125" t="s">
        <v>755</v>
      </c>
      <c r="V125" t="s">
        <v>1053</v>
      </c>
      <c r="W125">
        <v>0</v>
      </c>
      <c r="X125">
        <v>0</v>
      </c>
      <c r="Y125" t="s">
        <v>1348</v>
      </c>
      <c r="Z125">
        <v>3.614355426339744</v>
      </c>
      <c r="AA125">
        <v>929</v>
      </c>
      <c r="AB125">
        <v>40590</v>
      </c>
      <c r="AC125" t="s">
        <v>1641</v>
      </c>
      <c r="AD125">
        <v>26.62</v>
      </c>
      <c r="AE125" t="s">
        <v>1939</v>
      </c>
      <c r="AF125" t="s">
        <v>2237</v>
      </c>
      <c r="AG125">
        <v>880</v>
      </c>
      <c r="AH125">
        <v>117</v>
      </c>
      <c r="AI125">
        <v>1281476</v>
      </c>
      <c r="AJ125">
        <v>1.8</v>
      </c>
    </row>
    <row r="126" spans="1:36">
      <c r="A126" s="1" t="s">
        <v>160</v>
      </c>
      <c r="B126" t="s">
        <v>458</v>
      </c>
      <c r="C126">
        <f>HYPERLINK("https://finance.naver.com/item/coinfo.nhn?code=005830", "A005830")</f>
        <v>0</v>
      </c>
      <c r="D126">
        <f>HYPERLINK("http://comp.fnguide.com/SVO2/ASP/SVD_Consensus.asp?pGB=1&amp;gicode=A005830&amp;cID=&amp;MenuYn=Y&amp;ReportGB=&amp;NewMenuID=108&amp;stkGb=701", "DB손해보험")</f>
        <v>0</v>
      </c>
      <c r="E126">
        <v>3</v>
      </c>
      <c r="F126">
        <v>41400</v>
      </c>
      <c r="G126">
        <v>-1.9</v>
      </c>
      <c r="H126">
        <v>9.81</v>
      </c>
      <c r="I126">
        <v>118289</v>
      </c>
      <c r="J126">
        <v>106773</v>
      </c>
      <c r="K126">
        <v>103477</v>
      </c>
      <c r="L126">
        <v>-185.72</v>
      </c>
      <c r="M126">
        <v>-157.91</v>
      </c>
      <c r="N126">
        <v>-149.94</v>
      </c>
      <c r="O126">
        <v>9.58</v>
      </c>
      <c r="P126" t="b">
        <v>1</v>
      </c>
      <c r="Q126">
        <v>1</v>
      </c>
      <c r="R126">
        <v>5334</v>
      </c>
      <c r="S126">
        <v>7962</v>
      </c>
      <c r="T126">
        <v>49.3</v>
      </c>
      <c r="U126" t="s">
        <v>756</v>
      </c>
      <c r="V126" t="s">
        <v>1054</v>
      </c>
      <c r="W126">
        <v>-5.15516291006608</v>
      </c>
      <c r="X126">
        <v>10.6</v>
      </c>
      <c r="Y126" t="s">
        <v>1349</v>
      </c>
      <c r="Z126">
        <v>11.26586812232602</v>
      </c>
      <c r="AA126">
        <v>29311</v>
      </c>
      <c r="AB126">
        <v>478112</v>
      </c>
      <c r="AC126" t="s">
        <v>1642</v>
      </c>
      <c r="AD126">
        <v>23.21</v>
      </c>
      <c r="AE126" t="s">
        <v>1940</v>
      </c>
      <c r="AF126" t="s">
        <v>2238</v>
      </c>
      <c r="AG126">
        <v>143984</v>
      </c>
      <c r="AH126">
        <v>5116</v>
      </c>
      <c r="AI126">
        <v>10756531</v>
      </c>
      <c r="AJ126">
        <v>2.87</v>
      </c>
    </row>
    <row r="127" spans="1:36">
      <c r="A127" s="1" t="s">
        <v>161</v>
      </c>
      <c r="B127" t="s">
        <v>459</v>
      </c>
      <c r="C127">
        <f>HYPERLINK("https://finance.naver.com/item/coinfo.nhn?code=139130", "A139130")</f>
        <v>0</v>
      </c>
      <c r="D127">
        <f>HYPERLINK("http://comp.fnguide.com/SVO2/ASP/SVD_Consensus.asp?pGB=1&amp;gicode=A139130&amp;cID=&amp;MenuYn=Y&amp;ReportGB=&amp;NewMenuID=108&amp;stkGb=701", "DGB금융지주")</f>
        <v>0</v>
      </c>
      <c r="E127">
        <v>3</v>
      </c>
      <c r="F127">
        <v>7070</v>
      </c>
      <c r="G127">
        <v>0.48</v>
      </c>
      <c r="H127">
        <v>3.68</v>
      </c>
      <c r="I127">
        <v>27455</v>
      </c>
      <c r="J127">
        <v>27360</v>
      </c>
      <c r="K127">
        <v>27332</v>
      </c>
      <c r="L127">
        <v>-288.33</v>
      </c>
      <c r="M127">
        <v>-286.98</v>
      </c>
      <c r="N127">
        <v>-286.6</v>
      </c>
      <c r="O127">
        <v>8.07</v>
      </c>
      <c r="P127" t="b">
        <v>1</v>
      </c>
      <c r="Q127">
        <v>1</v>
      </c>
      <c r="R127">
        <v>1936</v>
      </c>
      <c r="S127">
        <v>2228</v>
      </c>
      <c r="T127">
        <v>15.1</v>
      </c>
      <c r="U127" t="s">
        <v>757</v>
      </c>
      <c r="V127" t="s">
        <v>1055</v>
      </c>
      <c r="W127">
        <v>7.628641354196719</v>
      </c>
      <c r="X127">
        <v>2.7</v>
      </c>
      <c r="Y127" t="s">
        <v>1350</v>
      </c>
      <c r="Z127">
        <v>2.919914469385421</v>
      </c>
      <c r="AA127">
        <v>11959</v>
      </c>
      <c r="AB127">
        <v>521677</v>
      </c>
      <c r="AC127" t="s">
        <v>1643</v>
      </c>
      <c r="AD127">
        <v>13</v>
      </c>
      <c r="AE127" t="s">
        <v>1941</v>
      </c>
      <c r="AF127" t="s">
        <v>2239</v>
      </c>
      <c r="AG127">
        <v>21943</v>
      </c>
      <c r="AH127">
        <v>4322</v>
      </c>
      <c r="AI127">
        <v>1</v>
      </c>
      <c r="AJ127">
        <v>5.76</v>
      </c>
    </row>
    <row r="128" spans="1:36">
      <c r="A128" s="1" t="s">
        <v>162</v>
      </c>
      <c r="B128" t="s">
        <v>460</v>
      </c>
      <c r="C128">
        <f>HYPERLINK("https://finance.naver.com/item/coinfo.nhn?code=000210", "A000210")</f>
        <v>0</v>
      </c>
      <c r="D128">
        <f>HYPERLINK("http://comp.fnguide.com/SVO2/ASP/SVD_Consensus.asp?pGB=1&amp;gicode=A000210&amp;cID=&amp;MenuYn=Y&amp;ReportGB=&amp;NewMenuID=108&amp;stkGb=701", "DL")</f>
        <v>0</v>
      </c>
      <c r="E128">
        <v>3</v>
      </c>
      <c r="F128">
        <v>86500</v>
      </c>
      <c r="G128">
        <v>0.12</v>
      </c>
      <c r="H128">
        <v>4.75</v>
      </c>
      <c r="I128">
        <v>560143</v>
      </c>
      <c r="J128">
        <v>454860</v>
      </c>
      <c r="K128">
        <v>424725</v>
      </c>
      <c r="L128">
        <v>-547.5599999999999</v>
      </c>
      <c r="M128">
        <v>-425.85</v>
      </c>
      <c r="N128">
        <v>-391.01</v>
      </c>
      <c r="O128">
        <v>11.68</v>
      </c>
      <c r="P128" t="b">
        <v>1</v>
      </c>
      <c r="Q128">
        <v>3</v>
      </c>
      <c r="R128">
        <v>17228</v>
      </c>
      <c r="S128">
        <v>33481</v>
      </c>
      <c r="T128">
        <v>94.3</v>
      </c>
      <c r="U128" t="s">
        <v>758</v>
      </c>
      <c r="V128" t="s">
        <v>1056</v>
      </c>
      <c r="W128">
        <v>38.12359133825429</v>
      </c>
      <c r="X128">
        <v>12.4</v>
      </c>
      <c r="Y128" t="s">
        <v>1351</v>
      </c>
      <c r="Z128">
        <v>29.31596135023273</v>
      </c>
      <c r="AA128">
        <v>13357</v>
      </c>
      <c r="AB128">
        <v>385399</v>
      </c>
      <c r="AC128" t="s">
        <v>1644</v>
      </c>
      <c r="AD128">
        <v>23.12</v>
      </c>
      <c r="AE128" t="s">
        <v>1942</v>
      </c>
      <c r="AF128" t="s">
        <v>2240</v>
      </c>
      <c r="AG128">
        <v>97001</v>
      </c>
      <c r="AH128">
        <v>11301</v>
      </c>
      <c r="AJ128">
        <v>1.59</v>
      </c>
    </row>
    <row r="129" spans="1:36">
      <c r="A129" s="1" t="s">
        <v>163</v>
      </c>
      <c r="B129" t="s">
        <v>461</v>
      </c>
      <c r="C129">
        <f>HYPERLINK("https://finance.naver.com/item/coinfo.nhn?code=039010", "A039010")</f>
        <v>0</v>
      </c>
      <c r="D129">
        <f>HYPERLINK("http://comp.fnguide.com/SVO2/ASP/SVD_Consensus.asp?pGB=1&amp;gicode=A039010&amp;cID=&amp;MenuYn=Y&amp;ReportGB=&amp;NewMenuID=108&amp;stkGb=701", "현대통신")</f>
        <v>0</v>
      </c>
      <c r="E129">
        <v>3</v>
      </c>
      <c r="F129">
        <v>9000</v>
      </c>
      <c r="G129">
        <v>0</v>
      </c>
      <c r="H129">
        <v>6.49</v>
      </c>
      <c r="I129">
        <v>25347</v>
      </c>
      <c r="J129">
        <v>16238</v>
      </c>
      <c r="K129">
        <v>13631</v>
      </c>
      <c r="L129">
        <v>-181.63</v>
      </c>
      <c r="M129">
        <v>-80.43000000000001</v>
      </c>
      <c r="N129">
        <v>-51.46</v>
      </c>
      <c r="O129">
        <v>20.02</v>
      </c>
      <c r="P129" t="b">
        <v>1</v>
      </c>
      <c r="Q129">
        <v>0</v>
      </c>
      <c r="R129">
        <v>1236</v>
      </c>
      <c r="U129" t="s">
        <v>759</v>
      </c>
      <c r="V129" t="s">
        <v>1057</v>
      </c>
      <c r="W129">
        <v>0</v>
      </c>
      <c r="X129">
        <v>-21.7</v>
      </c>
      <c r="Y129" t="s">
        <v>1352</v>
      </c>
      <c r="Z129">
        <v>-1.007956655238018</v>
      </c>
      <c r="AA129">
        <v>776</v>
      </c>
      <c r="AB129">
        <v>125438</v>
      </c>
      <c r="AC129" t="s">
        <v>1645</v>
      </c>
      <c r="AD129">
        <v>38.47</v>
      </c>
      <c r="AE129" t="s">
        <v>1943</v>
      </c>
      <c r="AF129" t="s">
        <v>2241</v>
      </c>
      <c r="AG129">
        <v>1046</v>
      </c>
      <c r="AH129">
        <v>105</v>
      </c>
      <c r="AI129">
        <v>597186</v>
      </c>
      <c r="AJ129">
        <v>3.74</v>
      </c>
    </row>
    <row r="130" spans="1:36">
      <c r="A130" s="1" t="s">
        <v>164</v>
      </c>
      <c r="B130" t="s">
        <v>462</v>
      </c>
      <c r="C130">
        <f>HYPERLINK("https://finance.naver.com/item/coinfo.nhn?code=078930", "A078930")</f>
        <v>0</v>
      </c>
      <c r="D130">
        <f>HYPERLINK("http://comp.fnguide.com/SVO2/ASP/SVD_Consensus.asp?pGB=1&amp;gicode=A078930&amp;cID=&amp;MenuYn=Y&amp;ReportGB=&amp;NewMenuID=108&amp;stkGb=701", "GS")</f>
        <v>0</v>
      </c>
      <c r="E130">
        <v>3</v>
      </c>
      <c r="F130">
        <v>39000</v>
      </c>
      <c r="G130">
        <v>0</v>
      </c>
      <c r="H130">
        <v>8.98</v>
      </c>
      <c r="I130">
        <v>108199</v>
      </c>
      <c r="J130">
        <v>100627</v>
      </c>
      <c r="K130">
        <v>98460</v>
      </c>
      <c r="L130">
        <v>-177.43</v>
      </c>
      <c r="M130">
        <v>-158.02</v>
      </c>
      <c r="N130">
        <v>-152.46</v>
      </c>
      <c r="O130">
        <v>9.08</v>
      </c>
      <c r="P130" t="b">
        <v>0</v>
      </c>
      <c r="Q130">
        <v>0</v>
      </c>
      <c r="R130">
        <v>5744</v>
      </c>
      <c r="S130">
        <v>-2563</v>
      </c>
      <c r="T130">
        <v>-144.6</v>
      </c>
      <c r="U130" t="s">
        <v>760</v>
      </c>
      <c r="V130" t="s">
        <v>1058</v>
      </c>
      <c r="W130">
        <v>0</v>
      </c>
      <c r="X130">
        <v>0</v>
      </c>
      <c r="Y130" t="s">
        <v>1353</v>
      </c>
      <c r="Z130">
        <v>2.525174121884355</v>
      </c>
      <c r="AA130">
        <v>36237</v>
      </c>
      <c r="AB130">
        <v>607906</v>
      </c>
      <c r="AC130" t="s">
        <v>1646</v>
      </c>
      <c r="AD130">
        <v>52.14</v>
      </c>
      <c r="AE130" t="s">
        <v>1944</v>
      </c>
      <c r="AF130" t="s">
        <v>2242</v>
      </c>
      <c r="AG130">
        <v>177861</v>
      </c>
      <c r="AH130">
        <v>20331</v>
      </c>
      <c r="AI130">
        <v>19883</v>
      </c>
      <c r="AJ130">
        <v>3.68</v>
      </c>
    </row>
    <row r="131" spans="1:36">
      <c r="A131" s="1" t="s">
        <v>165</v>
      </c>
      <c r="B131" t="s">
        <v>463</v>
      </c>
      <c r="C131">
        <f>HYPERLINK("https://finance.naver.com/item/coinfo.nhn?code=006360", "A006360")</f>
        <v>0</v>
      </c>
      <c r="D131">
        <f>HYPERLINK("http://comp.fnguide.com/SVO2/ASP/SVD_Consensus.asp?pGB=1&amp;gicode=A006360&amp;cID=&amp;MenuYn=Y&amp;ReportGB=&amp;NewMenuID=108&amp;stkGb=701", "GS건설")</f>
        <v>0</v>
      </c>
      <c r="E131">
        <v>3</v>
      </c>
      <c r="F131">
        <v>36350</v>
      </c>
      <c r="G131">
        <v>0</v>
      </c>
      <c r="H131">
        <v>5.61</v>
      </c>
      <c r="I131">
        <v>68404</v>
      </c>
      <c r="J131">
        <v>55567</v>
      </c>
      <c r="K131">
        <v>51893</v>
      </c>
      <c r="L131">
        <v>-88.18000000000001</v>
      </c>
      <c r="M131">
        <v>-52.87</v>
      </c>
      <c r="N131">
        <v>-42.76</v>
      </c>
      <c r="O131">
        <v>11.67</v>
      </c>
      <c r="P131" t="b">
        <v>1</v>
      </c>
      <c r="Q131">
        <v>0</v>
      </c>
      <c r="R131">
        <v>5535</v>
      </c>
      <c r="S131">
        <v>3655</v>
      </c>
      <c r="T131">
        <v>-34</v>
      </c>
      <c r="U131" t="s">
        <v>761</v>
      </c>
      <c r="V131" t="s">
        <v>1059</v>
      </c>
      <c r="W131">
        <v>0</v>
      </c>
      <c r="X131">
        <v>-31.2</v>
      </c>
      <c r="Y131" t="s">
        <v>1354</v>
      </c>
      <c r="Z131">
        <v>-27.92781396405407</v>
      </c>
      <c r="AA131">
        <v>30999</v>
      </c>
      <c r="AB131">
        <v>911006</v>
      </c>
      <c r="AC131" t="s">
        <v>1647</v>
      </c>
      <c r="AD131">
        <v>24.13</v>
      </c>
      <c r="AE131" t="s">
        <v>1945</v>
      </c>
      <c r="AF131" t="s">
        <v>2243</v>
      </c>
      <c r="AG131">
        <v>104166</v>
      </c>
      <c r="AH131">
        <v>7673</v>
      </c>
      <c r="AI131">
        <v>692595</v>
      </c>
      <c r="AJ131">
        <v>3.22</v>
      </c>
    </row>
    <row r="132" spans="1:36">
      <c r="A132" s="1" t="s">
        <v>166</v>
      </c>
      <c r="B132" t="s">
        <v>464</v>
      </c>
      <c r="C132">
        <f>HYPERLINK("https://finance.naver.com/item/coinfo.nhn?code=175330", "A175330")</f>
        <v>0</v>
      </c>
      <c r="D132">
        <f>HYPERLINK("http://comp.fnguide.com/SVO2/ASP/SVD_Consensus.asp?pGB=1&amp;gicode=A175330&amp;cID=&amp;MenuYn=Y&amp;ReportGB=&amp;NewMenuID=108&amp;stkGb=701", "JB금융지주")</f>
        <v>0</v>
      </c>
      <c r="E132">
        <v>3</v>
      </c>
      <c r="F132">
        <v>5830</v>
      </c>
      <c r="G132">
        <v>0.2</v>
      </c>
      <c r="H132">
        <v>3.16</v>
      </c>
      <c r="I132">
        <v>20897</v>
      </c>
      <c r="J132">
        <v>19073</v>
      </c>
      <c r="K132">
        <v>18551</v>
      </c>
      <c r="L132">
        <v>-258.44</v>
      </c>
      <c r="M132">
        <v>-227.15</v>
      </c>
      <c r="N132">
        <v>-218.2</v>
      </c>
      <c r="O132">
        <v>9.390000000000001</v>
      </c>
      <c r="P132" t="b">
        <v>1</v>
      </c>
      <c r="Q132">
        <v>3</v>
      </c>
      <c r="R132">
        <v>1736</v>
      </c>
      <c r="S132">
        <v>1845</v>
      </c>
      <c r="T132">
        <v>6.3</v>
      </c>
      <c r="U132" t="s">
        <v>762</v>
      </c>
      <c r="V132" t="s">
        <v>1060</v>
      </c>
      <c r="W132">
        <v>15.71507614777121</v>
      </c>
      <c r="X132">
        <v>3.4</v>
      </c>
      <c r="Y132" t="s">
        <v>1355</v>
      </c>
      <c r="Z132">
        <v>3.399961315269606</v>
      </c>
      <c r="AA132">
        <v>11484</v>
      </c>
      <c r="AB132">
        <v>405819</v>
      </c>
      <c r="AC132" t="s">
        <v>1648</v>
      </c>
      <c r="AD132">
        <v>13.15</v>
      </c>
      <c r="AE132" t="s">
        <v>1946</v>
      </c>
      <c r="AF132" t="s">
        <v>2244</v>
      </c>
      <c r="AG132">
        <v>18925</v>
      </c>
      <c r="AH132">
        <v>4849</v>
      </c>
      <c r="AI132">
        <v>2638818</v>
      </c>
      <c r="AJ132">
        <v>5.46</v>
      </c>
    </row>
    <row r="133" spans="1:36">
      <c r="A133" s="1" t="s">
        <v>167</v>
      </c>
      <c r="B133" t="s">
        <v>465</v>
      </c>
      <c r="C133">
        <f>HYPERLINK("https://finance.naver.com/item/coinfo.nhn?code=105560", "A105560")</f>
        <v>0</v>
      </c>
      <c r="D133">
        <f>HYPERLINK("http://comp.fnguide.com/SVO2/ASP/SVD_Consensus.asp?pGB=1&amp;gicode=A105560&amp;cID=&amp;MenuYn=Y&amp;ReportGB=&amp;NewMenuID=108&amp;stkGb=701", "KB금융")</f>
        <v>0</v>
      </c>
      <c r="E133">
        <v>3</v>
      </c>
      <c r="F133">
        <v>43800</v>
      </c>
      <c r="G133">
        <v>3.76</v>
      </c>
      <c r="H133">
        <v>6.01</v>
      </c>
      <c r="I133">
        <v>112010</v>
      </c>
      <c r="J133">
        <v>104150</v>
      </c>
      <c r="K133">
        <v>101900</v>
      </c>
      <c r="L133">
        <v>-155.73</v>
      </c>
      <c r="M133">
        <v>-137.78</v>
      </c>
      <c r="N133">
        <v>-132.65</v>
      </c>
      <c r="O133">
        <v>9.08</v>
      </c>
      <c r="P133" t="b">
        <v>1</v>
      </c>
      <c r="Q133">
        <v>2</v>
      </c>
      <c r="R133">
        <v>7923</v>
      </c>
      <c r="S133">
        <v>8309</v>
      </c>
      <c r="T133">
        <v>4.9</v>
      </c>
      <c r="U133" t="s">
        <v>763</v>
      </c>
      <c r="V133" t="s">
        <v>1061</v>
      </c>
      <c r="W133">
        <v>1.599500638213613</v>
      </c>
      <c r="X133">
        <v>2.5</v>
      </c>
      <c r="Y133" t="s">
        <v>1356</v>
      </c>
      <c r="Z133">
        <v>2.539949297176491</v>
      </c>
      <c r="AA133">
        <v>182124</v>
      </c>
      <c r="AB133">
        <v>2596968</v>
      </c>
      <c r="AC133" t="s">
        <v>1649</v>
      </c>
      <c r="AD133">
        <v>9.93</v>
      </c>
      <c r="AE133" t="s">
        <v>1947</v>
      </c>
      <c r="AF133" t="s">
        <v>2245</v>
      </c>
      <c r="AG133">
        <v>146392</v>
      </c>
      <c r="AH133">
        <v>44906</v>
      </c>
      <c r="AI133">
        <v>26173585</v>
      </c>
      <c r="AJ133">
        <v>4.64</v>
      </c>
    </row>
    <row r="134" spans="1:36">
      <c r="A134" s="1" t="s">
        <v>168</v>
      </c>
      <c r="B134" t="s">
        <v>466</v>
      </c>
      <c r="C134">
        <f>HYPERLINK("https://finance.naver.com/item/coinfo.nhn?code=044450", "A044450")</f>
        <v>0</v>
      </c>
      <c r="D134">
        <f>HYPERLINK("http://comp.fnguide.com/SVO2/ASP/SVD_Consensus.asp?pGB=1&amp;gicode=A044450&amp;cID=&amp;MenuYn=Y&amp;ReportGB=&amp;NewMenuID=108&amp;stkGb=701", "KSS해운")</f>
        <v>0</v>
      </c>
      <c r="E134">
        <v>3</v>
      </c>
      <c r="F134">
        <v>10850</v>
      </c>
      <c r="G134">
        <v>3.37</v>
      </c>
      <c r="H134">
        <v>7.72</v>
      </c>
      <c r="I134">
        <v>14168</v>
      </c>
      <c r="J134">
        <v>13116</v>
      </c>
      <c r="K134">
        <v>12815</v>
      </c>
      <c r="L134">
        <v>-30.58</v>
      </c>
      <c r="M134">
        <v>-20.89</v>
      </c>
      <c r="N134">
        <v>-18.11</v>
      </c>
      <c r="O134">
        <v>9.15</v>
      </c>
      <c r="P134" t="b">
        <v>0</v>
      </c>
      <c r="Q134">
        <v>2</v>
      </c>
      <c r="R134">
        <v>1001</v>
      </c>
      <c r="S134">
        <v>1186</v>
      </c>
      <c r="T134">
        <v>18.5</v>
      </c>
      <c r="U134" t="s">
        <v>764</v>
      </c>
      <c r="V134" t="s">
        <v>1062</v>
      </c>
      <c r="W134">
        <v>2.288327802015711</v>
      </c>
      <c r="X134">
        <v>34.9</v>
      </c>
      <c r="Y134" t="s">
        <v>1357</v>
      </c>
      <c r="Z134">
        <v>6.22792053384249</v>
      </c>
      <c r="AA134">
        <v>2516</v>
      </c>
      <c r="AB134">
        <v>90381</v>
      </c>
      <c r="AC134" t="s">
        <v>1650</v>
      </c>
      <c r="AD134">
        <v>30.26</v>
      </c>
      <c r="AE134" t="s">
        <v>1948</v>
      </c>
      <c r="AF134" t="s">
        <v>2246</v>
      </c>
      <c r="AG134">
        <v>2312</v>
      </c>
      <c r="AH134">
        <v>529</v>
      </c>
      <c r="AI134">
        <v>726754</v>
      </c>
      <c r="AJ134">
        <v>3.49</v>
      </c>
    </row>
    <row r="135" spans="1:36">
      <c r="A135" s="1" t="s">
        <v>169</v>
      </c>
      <c r="B135" t="s">
        <v>467</v>
      </c>
      <c r="C135">
        <f>HYPERLINK("https://finance.naver.com/item/coinfo.nhn?code=017670", "A017670")</f>
        <v>0</v>
      </c>
      <c r="D135">
        <f>HYPERLINK("http://comp.fnguide.com/SVO2/ASP/SVD_Consensus.asp?pGB=1&amp;gicode=A017670&amp;cID=&amp;MenuYn=Y&amp;ReportGB=&amp;NewMenuID=108&amp;stkGb=701", "SK텔레콤")</f>
        <v>0</v>
      </c>
      <c r="E135">
        <v>3</v>
      </c>
      <c r="F135">
        <v>247500</v>
      </c>
      <c r="G135">
        <v>-1.29</v>
      </c>
      <c r="H135">
        <v>21.59</v>
      </c>
      <c r="I135">
        <v>390052</v>
      </c>
      <c r="J135">
        <v>349623</v>
      </c>
      <c r="K135">
        <v>338051</v>
      </c>
      <c r="L135">
        <v>-57.6</v>
      </c>
      <c r="M135">
        <v>-41.26</v>
      </c>
      <c r="N135">
        <v>-36.59</v>
      </c>
      <c r="O135">
        <v>9.699999999999999</v>
      </c>
      <c r="P135" t="b">
        <v>0</v>
      </c>
      <c r="Q135">
        <v>1</v>
      </c>
      <c r="R135">
        <v>11021</v>
      </c>
      <c r="S135">
        <v>18584</v>
      </c>
      <c r="T135">
        <v>68.59999999999999</v>
      </c>
      <c r="U135" t="s">
        <v>765</v>
      </c>
      <c r="V135" t="s">
        <v>1063</v>
      </c>
      <c r="W135">
        <v>-16.69788669926903</v>
      </c>
      <c r="X135">
        <v>22.5</v>
      </c>
      <c r="Y135" t="s">
        <v>1358</v>
      </c>
      <c r="Z135">
        <v>-6.446468634937796</v>
      </c>
      <c r="AA135">
        <v>199846</v>
      </c>
      <c r="AB135">
        <v>571416</v>
      </c>
      <c r="AC135" t="s">
        <v>1651</v>
      </c>
      <c r="AD135">
        <v>26.79</v>
      </c>
      <c r="AE135" t="s">
        <v>1949</v>
      </c>
      <c r="AF135" t="s">
        <v>2247</v>
      </c>
      <c r="AG135">
        <v>177437</v>
      </c>
      <c r="AH135">
        <v>11100</v>
      </c>
      <c r="AI135">
        <v>9585568</v>
      </c>
      <c r="AJ135">
        <v>4.2</v>
      </c>
    </row>
    <row r="136" spans="1:36">
      <c r="A136" s="1" t="s">
        <v>170</v>
      </c>
      <c r="B136" t="s">
        <v>468</v>
      </c>
      <c r="C136">
        <f>HYPERLINK("https://finance.naver.com/item/coinfo.nhn?code=033780", "A033780")</f>
        <v>0</v>
      </c>
      <c r="D136">
        <f>HYPERLINK("http://comp.fnguide.com/SVO2/ASP/SVD_Consensus.asp?pGB=1&amp;gicode=A033780&amp;cID=&amp;MenuYn=Y&amp;ReportGB=&amp;NewMenuID=108&amp;stkGb=701", "KT&amp;G")</f>
        <v>0</v>
      </c>
      <c r="E136">
        <v>3</v>
      </c>
      <c r="F136">
        <v>78300</v>
      </c>
      <c r="G136">
        <v>-11.47</v>
      </c>
      <c r="H136">
        <v>12.44</v>
      </c>
      <c r="I136">
        <v>110699</v>
      </c>
      <c r="J136">
        <v>86296</v>
      </c>
      <c r="K136">
        <v>79311</v>
      </c>
      <c r="L136">
        <v>-41.38</v>
      </c>
      <c r="M136">
        <v>-10.21</v>
      </c>
      <c r="N136">
        <v>-1.29</v>
      </c>
      <c r="O136">
        <v>12.69</v>
      </c>
      <c r="P136" t="b">
        <v>1</v>
      </c>
      <c r="Q136">
        <v>2</v>
      </c>
      <c r="R136">
        <v>7539</v>
      </c>
      <c r="S136">
        <v>8545</v>
      </c>
      <c r="T136">
        <v>13.3</v>
      </c>
      <c r="U136" t="s">
        <v>766</v>
      </c>
      <c r="V136" t="s">
        <v>1064</v>
      </c>
      <c r="W136">
        <v>-1.084153818249034</v>
      </c>
      <c r="X136">
        <v>-5.7</v>
      </c>
      <c r="Y136" t="s">
        <v>1359</v>
      </c>
      <c r="Z136">
        <v>-1.413127122868252</v>
      </c>
      <c r="AA136">
        <v>107500</v>
      </c>
      <c r="AB136">
        <v>914224</v>
      </c>
      <c r="AC136" t="s">
        <v>1652</v>
      </c>
      <c r="AD136">
        <v>9.970000000000001</v>
      </c>
      <c r="AE136" t="s">
        <v>1950</v>
      </c>
      <c r="AF136" t="s">
        <v>2248</v>
      </c>
      <c r="AG136">
        <v>49632</v>
      </c>
      <c r="AH136">
        <v>13796</v>
      </c>
      <c r="AI136">
        <v>13212574</v>
      </c>
      <c r="AJ136">
        <v>4.69</v>
      </c>
    </row>
    <row r="137" spans="1:36">
      <c r="A137" s="1" t="s">
        <v>171</v>
      </c>
      <c r="B137" t="s">
        <v>469</v>
      </c>
      <c r="C137">
        <f>HYPERLINK("https://finance.naver.com/item/coinfo.nhn?code=030210", "A030210")</f>
        <v>0</v>
      </c>
      <c r="D137">
        <f>HYPERLINK("http://comp.fnguide.com/SVO2/ASP/SVD_Consensus.asp?pGB=1&amp;gicode=A030210&amp;cID=&amp;MenuYn=Y&amp;ReportGB=&amp;NewMenuID=108&amp;stkGb=701", "KTB투자증권")</f>
        <v>0</v>
      </c>
      <c r="E137">
        <v>3</v>
      </c>
      <c r="F137">
        <v>4070</v>
      </c>
      <c r="G137">
        <v>0.09</v>
      </c>
      <c r="H137">
        <v>3.3</v>
      </c>
      <c r="I137">
        <v>9795</v>
      </c>
      <c r="J137">
        <v>9729</v>
      </c>
      <c r="K137">
        <v>9711</v>
      </c>
      <c r="L137">
        <v>-140.65</v>
      </c>
      <c r="M137">
        <v>-139.05</v>
      </c>
      <c r="N137">
        <v>-138.59</v>
      </c>
      <c r="O137">
        <v>8.109999999999999</v>
      </c>
      <c r="P137" t="b">
        <v>1</v>
      </c>
      <c r="Q137">
        <v>2</v>
      </c>
      <c r="R137">
        <v>710</v>
      </c>
      <c r="S137">
        <v>1324</v>
      </c>
      <c r="T137">
        <v>86.5</v>
      </c>
      <c r="U137" t="s">
        <v>767</v>
      </c>
      <c r="V137" t="s">
        <v>1065</v>
      </c>
      <c r="W137">
        <v>37.51718088342992</v>
      </c>
      <c r="X137">
        <v>8.1</v>
      </c>
      <c r="Y137" t="s">
        <v>1360</v>
      </c>
      <c r="Z137">
        <v>7.996923098167308</v>
      </c>
      <c r="AA137">
        <v>2455</v>
      </c>
      <c r="AB137">
        <v>756046</v>
      </c>
      <c r="AC137" t="s">
        <v>1653</v>
      </c>
      <c r="AD137">
        <v>23.88</v>
      </c>
      <c r="AE137" t="s">
        <v>1951</v>
      </c>
      <c r="AF137" t="s">
        <v>2249</v>
      </c>
      <c r="AG137">
        <v>2336</v>
      </c>
      <c r="AH137">
        <v>375</v>
      </c>
      <c r="AI137">
        <v>1290313</v>
      </c>
      <c r="AJ137">
        <v>6.4</v>
      </c>
    </row>
    <row r="138" spans="1:36">
      <c r="A138" s="1" t="s">
        <v>172</v>
      </c>
      <c r="B138" t="s">
        <v>470</v>
      </c>
      <c r="C138">
        <f>HYPERLINK("https://finance.naver.com/item/coinfo.nhn?code=003550", "A003550")</f>
        <v>0</v>
      </c>
      <c r="D138">
        <f>HYPERLINK("http://comp.fnguide.com/SVO2/ASP/SVD_Consensus.asp?pGB=1&amp;gicode=A003550&amp;cID=&amp;MenuYn=Y&amp;ReportGB=&amp;NewMenuID=108&amp;stkGb=701", "LG")</f>
        <v>0</v>
      </c>
      <c r="E138">
        <v>3</v>
      </c>
      <c r="F138">
        <v>93900</v>
      </c>
      <c r="G138">
        <v>-0.93</v>
      </c>
      <c r="H138">
        <v>12.02</v>
      </c>
      <c r="I138">
        <v>126066</v>
      </c>
      <c r="J138">
        <v>115935</v>
      </c>
      <c r="K138">
        <v>113035</v>
      </c>
      <c r="L138">
        <v>-34.26</v>
      </c>
      <c r="M138">
        <v>-23.47</v>
      </c>
      <c r="N138">
        <v>-20.38</v>
      </c>
      <c r="O138">
        <v>9.26</v>
      </c>
      <c r="P138" t="b">
        <v>0</v>
      </c>
      <c r="Q138">
        <v>1</v>
      </c>
      <c r="R138">
        <v>6141</v>
      </c>
      <c r="S138">
        <v>9009</v>
      </c>
      <c r="T138">
        <v>46.7</v>
      </c>
      <c r="U138" t="s">
        <v>768</v>
      </c>
      <c r="V138" t="s">
        <v>1066</v>
      </c>
      <c r="W138">
        <v>-12.89773974492673</v>
      </c>
      <c r="X138">
        <v>12.8</v>
      </c>
      <c r="Y138" t="s">
        <v>1361</v>
      </c>
      <c r="Z138">
        <v>5.206825921315184</v>
      </c>
      <c r="AA138">
        <v>162031</v>
      </c>
      <c r="AB138">
        <v>833466</v>
      </c>
      <c r="AC138" t="s">
        <v>1654</v>
      </c>
      <c r="AD138">
        <v>45.89</v>
      </c>
      <c r="AE138" t="s">
        <v>1952</v>
      </c>
      <c r="AF138" t="s">
        <v>2250</v>
      </c>
      <c r="AG138">
        <v>65753</v>
      </c>
      <c r="AH138">
        <v>10241</v>
      </c>
      <c r="AI138">
        <v>93789</v>
      </c>
      <c r="AJ138">
        <v>2.98</v>
      </c>
    </row>
    <row r="139" spans="1:36">
      <c r="A139" s="1" t="s">
        <v>173</v>
      </c>
      <c r="B139" t="s">
        <v>471</v>
      </c>
      <c r="C139">
        <f>HYPERLINK("https://finance.naver.com/item/coinfo.nhn?code=005940", "A005940")</f>
        <v>0</v>
      </c>
      <c r="D139">
        <f>HYPERLINK("http://comp.fnguide.com/SVO2/ASP/SVD_Consensus.asp?pGB=1&amp;gicode=A005940&amp;cID=&amp;MenuYn=Y&amp;ReportGB=&amp;NewMenuID=108&amp;stkGb=701", "NH투자증권")</f>
        <v>0</v>
      </c>
      <c r="E139">
        <v>3</v>
      </c>
      <c r="F139">
        <v>10850</v>
      </c>
      <c r="G139">
        <v>0.44</v>
      </c>
      <c r="H139">
        <v>8.02</v>
      </c>
      <c r="I139">
        <v>19681</v>
      </c>
      <c r="J139">
        <v>19382</v>
      </c>
      <c r="K139">
        <v>19297</v>
      </c>
      <c r="L139">
        <v>-81.39</v>
      </c>
      <c r="M139">
        <v>-78.64</v>
      </c>
      <c r="N139">
        <v>-77.84999999999999</v>
      </c>
      <c r="O139">
        <v>8.23</v>
      </c>
      <c r="P139" t="b">
        <v>0</v>
      </c>
      <c r="Q139">
        <v>3</v>
      </c>
      <c r="R139">
        <v>1584</v>
      </c>
      <c r="S139">
        <v>1921</v>
      </c>
      <c r="T139">
        <v>21.3</v>
      </c>
      <c r="U139" t="s">
        <v>769</v>
      </c>
      <c r="V139" t="s">
        <v>1067</v>
      </c>
      <c r="W139">
        <v>18.12585332231658</v>
      </c>
      <c r="X139">
        <v>12</v>
      </c>
      <c r="Y139" t="s">
        <v>1362</v>
      </c>
      <c r="Z139">
        <v>8.155821043436728</v>
      </c>
      <c r="AA139">
        <v>30533</v>
      </c>
      <c r="AB139">
        <v>1537253</v>
      </c>
      <c r="AC139" t="s">
        <v>1655</v>
      </c>
      <c r="AD139">
        <v>49.12</v>
      </c>
      <c r="AE139" t="s">
        <v>1953</v>
      </c>
      <c r="AF139" t="s">
        <v>2251</v>
      </c>
      <c r="AG139">
        <v>13873</v>
      </c>
      <c r="AH139">
        <v>5754</v>
      </c>
      <c r="AI139">
        <v>683671</v>
      </c>
      <c r="AJ139">
        <v>3.94</v>
      </c>
    </row>
    <row r="140" spans="1:36">
      <c r="A140" s="1" t="s">
        <v>174</v>
      </c>
      <c r="B140" t="s">
        <v>472</v>
      </c>
      <c r="C140">
        <f>HYPERLINK("https://finance.naver.com/item/coinfo.nhn?code=008260", "A008260")</f>
        <v>0</v>
      </c>
      <c r="D140">
        <f>HYPERLINK("http://comp.fnguide.com/SVO2/ASP/SVD_Consensus.asp?pGB=1&amp;gicode=A008260&amp;cID=&amp;MenuYn=Y&amp;ReportGB=&amp;NewMenuID=108&amp;stkGb=701", "NI스틸")</f>
        <v>0</v>
      </c>
      <c r="E140">
        <v>3</v>
      </c>
      <c r="F140">
        <v>3220</v>
      </c>
      <c r="G140">
        <v>0</v>
      </c>
      <c r="H140">
        <v>9.85</v>
      </c>
      <c r="I140">
        <v>3994</v>
      </c>
      <c r="J140">
        <v>3924</v>
      </c>
      <c r="K140">
        <v>3904</v>
      </c>
      <c r="L140">
        <v>-24.03</v>
      </c>
      <c r="M140">
        <v>-21.87</v>
      </c>
      <c r="N140">
        <v>-21.25</v>
      </c>
      <c r="O140">
        <v>8.26</v>
      </c>
      <c r="P140" t="b">
        <v>1</v>
      </c>
      <c r="Q140">
        <v>0</v>
      </c>
      <c r="R140">
        <v>224</v>
      </c>
      <c r="U140" t="s">
        <v>770</v>
      </c>
      <c r="V140" t="s">
        <v>1068</v>
      </c>
      <c r="W140">
        <v>0</v>
      </c>
      <c r="X140">
        <v>19.2</v>
      </c>
      <c r="Y140" t="s">
        <v>1363</v>
      </c>
      <c r="Z140">
        <v>1.389534495520905</v>
      </c>
      <c r="AA140">
        <v>921</v>
      </c>
      <c r="AB140">
        <v>664394</v>
      </c>
      <c r="AC140" t="s">
        <v>1656</v>
      </c>
      <c r="AD140">
        <v>58.95</v>
      </c>
      <c r="AE140" t="s">
        <v>1954</v>
      </c>
      <c r="AF140" t="s">
        <v>2252</v>
      </c>
      <c r="AG140">
        <v>1482</v>
      </c>
      <c r="AH140">
        <v>121</v>
      </c>
      <c r="AJ140">
        <v>2.26</v>
      </c>
    </row>
    <row r="141" spans="1:36">
      <c r="A141" s="1" t="s">
        <v>175</v>
      </c>
      <c r="B141" t="s">
        <v>473</v>
      </c>
      <c r="C141">
        <f>HYPERLINK("https://finance.naver.com/item/coinfo.nhn?code=009160", "A009160")</f>
        <v>0</v>
      </c>
      <c r="D141">
        <f>HYPERLINK("http://comp.fnguide.com/SVO2/ASP/SVD_Consensus.asp?pGB=1&amp;gicode=A009160&amp;cID=&amp;MenuYn=Y&amp;ReportGB=&amp;NewMenuID=108&amp;stkGb=701", "SIMPAC")</f>
        <v>0</v>
      </c>
      <c r="E141">
        <v>3</v>
      </c>
      <c r="F141">
        <v>3200</v>
      </c>
      <c r="G141">
        <v>0</v>
      </c>
      <c r="H141">
        <v>20.31</v>
      </c>
      <c r="I141">
        <v>8624</v>
      </c>
      <c r="J141">
        <v>8163</v>
      </c>
      <c r="K141">
        <v>8031</v>
      </c>
      <c r="L141">
        <v>-169.5</v>
      </c>
      <c r="M141">
        <v>-155.09</v>
      </c>
      <c r="N141">
        <v>-150.97</v>
      </c>
      <c r="O141">
        <v>8.800000000000001</v>
      </c>
      <c r="P141" t="b">
        <v>1</v>
      </c>
      <c r="Q141">
        <v>0</v>
      </c>
      <c r="R141">
        <v>145</v>
      </c>
      <c r="U141" t="s">
        <v>771</v>
      </c>
      <c r="V141" t="s">
        <v>1069</v>
      </c>
      <c r="W141">
        <v>0</v>
      </c>
      <c r="X141">
        <v>-46.8</v>
      </c>
      <c r="Y141" t="s">
        <v>1364</v>
      </c>
      <c r="Z141">
        <v>-32.86256593518265</v>
      </c>
      <c r="AA141">
        <v>2094</v>
      </c>
      <c r="AB141">
        <v>167005</v>
      </c>
      <c r="AC141" t="s">
        <v>1657</v>
      </c>
      <c r="AD141">
        <v>60.01</v>
      </c>
      <c r="AE141" t="s">
        <v>1955</v>
      </c>
      <c r="AF141" t="s">
        <v>2253</v>
      </c>
      <c r="AG141">
        <v>4301</v>
      </c>
      <c r="AH141">
        <v>111</v>
      </c>
      <c r="AI141">
        <v>9261604</v>
      </c>
      <c r="AJ141">
        <v>2.04</v>
      </c>
    </row>
    <row r="142" spans="1:36">
      <c r="A142" s="1" t="s">
        <v>176</v>
      </c>
      <c r="B142" t="s">
        <v>474</v>
      </c>
      <c r="C142">
        <f>HYPERLINK("https://finance.naver.com/item/coinfo.nhn?code=034730", "A034730")</f>
        <v>0</v>
      </c>
      <c r="D142">
        <f>HYPERLINK("http://comp.fnguide.com/SVO2/ASP/SVD_Consensus.asp?pGB=1&amp;gicode=A034730&amp;cID=&amp;MenuYn=Y&amp;ReportGB=&amp;NewMenuID=108&amp;stkGb=701", "SK")</f>
        <v>0</v>
      </c>
      <c r="E142">
        <v>3</v>
      </c>
      <c r="F142">
        <v>262500</v>
      </c>
      <c r="G142">
        <v>0</v>
      </c>
      <c r="H142">
        <v>25.91</v>
      </c>
      <c r="I142">
        <v>366083</v>
      </c>
      <c r="J142">
        <v>337868</v>
      </c>
      <c r="K142">
        <v>329792</v>
      </c>
      <c r="L142">
        <v>-39.46</v>
      </c>
      <c r="M142">
        <v>-28.71</v>
      </c>
      <c r="N142">
        <v>-25.63</v>
      </c>
      <c r="O142">
        <v>9.199999999999999</v>
      </c>
      <c r="P142" t="b">
        <v>0</v>
      </c>
      <c r="Q142">
        <v>0</v>
      </c>
      <c r="R142">
        <v>10113</v>
      </c>
      <c r="S142">
        <v>-2846</v>
      </c>
      <c r="T142">
        <v>-128.1</v>
      </c>
      <c r="U142" t="s">
        <v>772</v>
      </c>
      <c r="V142" t="s">
        <v>1070</v>
      </c>
      <c r="W142">
        <v>0</v>
      </c>
      <c r="X142">
        <v>-67.90000000000001</v>
      </c>
      <c r="Y142" t="s">
        <v>1365</v>
      </c>
      <c r="Z142">
        <v>-48.98831413502349</v>
      </c>
      <c r="AA142">
        <v>184696</v>
      </c>
      <c r="AB142">
        <v>548833</v>
      </c>
      <c r="AC142" t="s">
        <v>1658</v>
      </c>
      <c r="AD142">
        <v>29.51</v>
      </c>
      <c r="AE142" t="s">
        <v>1956</v>
      </c>
      <c r="AF142" t="s">
        <v>2254</v>
      </c>
      <c r="AG142">
        <v>992646</v>
      </c>
      <c r="AH142">
        <v>39499</v>
      </c>
      <c r="AI142">
        <v>18055950</v>
      </c>
      <c r="AJ142">
        <v>1.91</v>
      </c>
    </row>
    <row r="143" spans="1:36">
      <c r="A143" s="1" t="s">
        <v>177</v>
      </c>
      <c r="B143" t="s">
        <v>475</v>
      </c>
      <c r="C143">
        <f>HYPERLINK("https://finance.naver.com/item/coinfo.nhn?code=006120", "A006120")</f>
        <v>0</v>
      </c>
      <c r="D143">
        <f>HYPERLINK("http://comp.fnguide.com/SVO2/ASP/SVD_Consensus.asp?pGB=1&amp;gicode=A006120&amp;cID=&amp;MenuYn=Y&amp;ReportGB=&amp;NewMenuID=108&amp;stkGb=701", "SK디스커버리")</f>
        <v>0</v>
      </c>
      <c r="E143">
        <v>3</v>
      </c>
      <c r="F143">
        <v>65400</v>
      </c>
      <c r="G143">
        <v>-0.19</v>
      </c>
      <c r="H143">
        <v>2.96</v>
      </c>
      <c r="I143">
        <v>182327</v>
      </c>
      <c r="J143">
        <v>126049</v>
      </c>
      <c r="K143">
        <v>109941</v>
      </c>
      <c r="L143">
        <v>-178.79</v>
      </c>
      <c r="M143">
        <v>-92.73999999999999</v>
      </c>
      <c r="N143">
        <v>-68.11</v>
      </c>
      <c r="O143">
        <v>16.53</v>
      </c>
      <c r="P143" t="b">
        <v>1</v>
      </c>
      <c r="Q143">
        <v>2</v>
      </c>
      <c r="R143">
        <v>8844</v>
      </c>
      <c r="S143">
        <v>17527</v>
      </c>
      <c r="T143">
        <v>98.2</v>
      </c>
      <c r="U143" t="s">
        <v>773</v>
      </c>
      <c r="V143" t="s">
        <v>1071</v>
      </c>
      <c r="W143">
        <v>-15.22215817163188</v>
      </c>
      <c r="X143">
        <v>115.9</v>
      </c>
      <c r="Y143" t="s">
        <v>1366</v>
      </c>
      <c r="Z143">
        <v>52.80809883747244</v>
      </c>
      <c r="AA143">
        <v>12451</v>
      </c>
      <c r="AB143">
        <v>126800</v>
      </c>
      <c r="AC143" t="s">
        <v>1659</v>
      </c>
      <c r="AD143">
        <v>45.11</v>
      </c>
      <c r="AE143" t="s">
        <v>1957</v>
      </c>
      <c r="AF143" t="s">
        <v>2255</v>
      </c>
      <c r="AG143">
        <v>50211</v>
      </c>
      <c r="AH143">
        <v>1739</v>
      </c>
      <c r="AI143">
        <v>12137</v>
      </c>
      <c r="AJ143">
        <v>2.68</v>
      </c>
    </row>
    <row r="144" spans="1:36">
      <c r="A144" s="1" t="s">
        <v>178</v>
      </c>
      <c r="B144" t="s">
        <v>476</v>
      </c>
      <c r="C144">
        <f>HYPERLINK("https://finance.naver.com/item/coinfo.nhn?code=900270", "A900270")</f>
        <v>0</v>
      </c>
      <c r="D144">
        <f>HYPERLINK("http://comp.fnguide.com/SVO2/ASP/SVD_Consensus.asp?pGB=1&amp;gicode=A900270&amp;cID=&amp;MenuYn=Y&amp;ReportGB=&amp;NewMenuID=108&amp;stkGb=701", "헝셩그룹")</f>
        <v>0</v>
      </c>
      <c r="E144">
        <v>3</v>
      </c>
      <c r="F144">
        <v>610</v>
      </c>
      <c r="G144">
        <v>0</v>
      </c>
      <c r="H144">
        <v>2.62</v>
      </c>
      <c r="I144">
        <v>5388</v>
      </c>
      <c r="J144">
        <v>4241</v>
      </c>
      <c r="K144">
        <v>3912</v>
      </c>
      <c r="L144">
        <v>-783.3099999999999</v>
      </c>
      <c r="M144">
        <v>-595.1799999999999</v>
      </c>
      <c r="N144">
        <v>-541.33</v>
      </c>
      <c r="O144">
        <v>12.44</v>
      </c>
      <c r="P144" t="b">
        <v>0</v>
      </c>
      <c r="Q144">
        <v>0</v>
      </c>
      <c r="R144">
        <v>407</v>
      </c>
      <c r="U144" t="s">
        <v>774</v>
      </c>
      <c r="V144" t="s">
        <v>1072</v>
      </c>
      <c r="W144">
        <v>0</v>
      </c>
      <c r="X144">
        <v>-50.5</v>
      </c>
      <c r="Y144" t="s">
        <v>1367</v>
      </c>
      <c r="Z144">
        <v>-15.5292802263908</v>
      </c>
      <c r="AA144">
        <v>488</v>
      </c>
      <c r="AB144">
        <v>628789</v>
      </c>
      <c r="AC144" t="s">
        <v>1660</v>
      </c>
      <c r="AD144">
        <v>27.42</v>
      </c>
      <c r="AE144" t="s">
        <v>1958</v>
      </c>
      <c r="AF144" t="s">
        <v>2256</v>
      </c>
      <c r="AG144">
        <v>2212</v>
      </c>
      <c r="AH144">
        <v>439</v>
      </c>
    </row>
    <row r="145" spans="1:36">
      <c r="A145" s="1" t="s">
        <v>179</v>
      </c>
      <c r="B145" t="s">
        <v>477</v>
      </c>
      <c r="C145">
        <f>HYPERLINK("https://finance.naver.com/item/coinfo.nhn?code=030720", "A030720")</f>
        <v>0</v>
      </c>
      <c r="D145">
        <f>HYPERLINK("http://comp.fnguide.com/SVO2/ASP/SVD_Consensus.asp?pGB=1&amp;gicode=A030720&amp;cID=&amp;MenuYn=Y&amp;ReportGB=&amp;NewMenuID=108&amp;stkGb=701", "동원수산")</f>
        <v>0</v>
      </c>
      <c r="E145">
        <v>3</v>
      </c>
      <c r="F145">
        <v>8940</v>
      </c>
      <c r="G145">
        <v>0</v>
      </c>
      <c r="H145">
        <v>7.78</v>
      </c>
      <c r="I145">
        <v>13853</v>
      </c>
      <c r="J145">
        <v>12105</v>
      </c>
      <c r="K145">
        <v>11605</v>
      </c>
      <c r="L145">
        <v>-54.96</v>
      </c>
      <c r="M145">
        <v>-35.41</v>
      </c>
      <c r="N145">
        <v>-29.81</v>
      </c>
      <c r="O145">
        <v>10.16</v>
      </c>
      <c r="P145" t="b">
        <v>0</v>
      </c>
      <c r="Q145">
        <v>0</v>
      </c>
      <c r="R145">
        <v>1305</v>
      </c>
      <c r="S145">
        <v>-596</v>
      </c>
      <c r="T145">
        <v>-145.7</v>
      </c>
      <c r="U145" t="s">
        <v>775</v>
      </c>
      <c r="V145" t="s">
        <v>1073</v>
      </c>
      <c r="W145">
        <v>0</v>
      </c>
      <c r="X145">
        <v>-65.2</v>
      </c>
      <c r="Y145" t="s">
        <v>1368</v>
      </c>
      <c r="Z145">
        <v>20.90549431457722</v>
      </c>
      <c r="AA145">
        <v>416</v>
      </c>
      <c r="AB145">
        <v>80850</v>
      </c>
      <c r="AC145" t="s">
        <v>1661</v>
      </c>
      <c r="AD145">
        <v>18.9</v>
      </c>
      <c r="AE145" t="s">
        <v>1959</v>
      </c>
      <c r="AF145" t="s">
        <v>2257</v>
      </c>
      <c r="AG145">
        <v>1640</v>
      </c>
      <c r="AH145">
        <v>151</v>
      </c>
    </row>
    <row r="146" spans="1:36">
      <c r="A146" s="1" t="s">
        <v>180</v>
      </c>
      <c r="B146" t="s">
        <v>478</v>
      </c>
      <c r="C146">
        <f>HYPERLINK("https://finance.naver.com/item/coinfo.nhn?code=036830", "A036830")</f>
        <v>0</v>
      </c>
      <c r="D146">
        <f>HYPERLINK("http://comp.fnguide.com/SVO2/ASP/SVD_Consensus.asp?pGB=1&amp;gicode=A036830&amp;cID=&amp;MenuYn=Y&amp;ReportGB=&amp;NewMenuID=108&amp;stkGb=701", "솔브레인홀딩스")</f>
        <v>0</v>
      </c>
      <c r="E146">
        <v>3</v>
      </c>
      <c r="F146">
        <v>43950</v>
      </c>
      <c r="G146">
        <v>0.03</v>
      </c>
      <c r="H146">
        <v>6</v>
      </c>
      <c r="I146">
        <v>67801</v>
      </c>
      <c r="J146">
        <v>51276</v>
      </c>
      <c r="K146">
        <v>46546</v>
      </c>
      <c r="L146">
        <v>-54.27</v>
      </c>
      <c r="M146">
        <v>-16.67</v>
      </c>
      <c r="N146">
        <v>-5.91</v>
      </c>
      <c r="O146">
        <v>13.52</v>
      </c>
      <c r="P146" t="b">
        <v>1</v>
      </c>
      <c r="Q146">
        <v>3</v>
      </c>
      <c r="R146">
        <v>6737</v>
      </c>
      <c r="S146">
        <v>68316</v>
      </c>
      <c r="T146">
        <v>914</v>
      </c>
      <c r="U146" t="s">
        <v>776</v>
      </c>
      <c r="V146" t="s">
        <v>1074</v>
      </c>
      <c r="W146">
        <v>202.485844366391</v>
      </c>
      <c r="X146">
        <v>1311.5</v>
      </c>
      <c r="Y146" t="s">
        <v>1369</v>
      </c>
      <c r="Z146">
        <v>81.0890787676515</v>
      </c>
      <c r="AA146">
        <v>9214</v>
      </c>
      <c r="AB146">
        <v>64854</v>
      </c>
      <c r="AC146" t="s">
        <v>1662</v>
      </c>
      <c r="AD146">
        <v>73.58</v>
      </c>
      <c r="AE146" t="s">
        <v>1960</v>
      </c>
      <c r="AF146" t="s">
        <v>2258</v>
      </c>
      <c r="AG146">
        <v>10213</v>
      </c>
      <c r="AH146">
        <v>1742</v>
      </c>
      <c r="AI146">
        <v>302463</v>
      </c>
      <c r="AJ146">
        <v>2.1</v>
      </c>
    </row>
    <row r="147" spans="1:36">
      <c r="A147" s="1" t="s">
        <v>181</v>
      </c>
      <c r="B147" t="s">
        <v>479</v>
      </c>
      <c r="C147">
        <f>HYPERLINK("https://finance.naver.com/item/coinfo.nhn?code=016740", "A016740")</f>
        <v>0</v>
      </c>
      <c r="D147">
        <f>HYPERLINK("http://comp.fnguide.com/SVO2/ASP/SVD_Consensus.asp?pGB=1&amp;gicode=A016740&amp;cID=&amp;MenuYn=Y&amp;ReportGB=&amp;NewMenuID=108&amp;stkGb=701", "두올")</f>
        <v>0</v>
      </c>
      <c r="E147">
        <v>3</v>
      </c>
      <c r="F147">
        <v>3880</v>
      </c>
      <c r="G147">
        <v>-0.27</v>
      </c>
      <c r="H147">
        <v>8.59</v>
      </c>
      <c r="I147">
        <v>6770</v>
      </c>
      <c r="J147">
        <v>6623</v>
      </c>
      <c r="K147">
        <v>6581</v>
      </c>
      <c r="L147">
        <v>-74.48</v>
      </c>
      <c r="M147">
        <v>-70.69</v>
      </c>
      <c r="N147">
        <v>-69.59999999999999</v>
      </c>
      <c r="O147">
        <v>8.32</v>
      </c>
      <c r="P147" t="b">
        <v>1</v>
      </c>
      <c r="Q147">
        <v>0</v>
      </c>
      <c r="R147">
        <v>366</v>
      </c>
      <c r="S147">
        <v>146</v>
      </c>
      <c r="T147">
        <v>-60.1</v>
      </c>
      <c r="U147" t="s">
        <v>777</v>
      </c>
      <c r="V147" t="s">
        <v>1075</v>
      </c>
      <c r="W147">
        <v>-31.64126920930139</v>
      </c>
      <c r="X147">
        <v>-58.7</v>
      </c>
      <c r="Y147" t="s">
        <v>1370</v>
      </c>
      <c r="Z147">
        <v>-30.0955350795964</v>
      </c>
      <c r="AA147">
        <v>1050</v>
      </c>
      <c r="AB147">
        <v>8611663</v>
      </c>
      <c r="AC147" t="s">
        <v>1663</v>
      </c>
      <c r="AD147">
        <v>49.34</v>
      </c>
      <c r="AE147" t="s">
        <v>1961</v>
      </c>
      <c r="AF147" t="s">
        <v>2259</v>
      </c>
      <c r="AG147">
        <v>4659</v>
      </c>
      <c r="AH147">
        <v>276</v>
      </c>
      <c r="AI147">
        <v>596916</v>
      </c>
      <c r="AJ147">
        <v>2.55</v>
      </c>
    </row>
    <row r="148" spans="1:36">
      <c r="A148" s="1" t="s">
        <v>182</v>
      </c>
      <c r="B148" t="s">
        <v>480</v>
      </c>
      <c r="C148">
        <f>HYPERLINK("https://finance.naver.com/item/coinfo.nhn?code=900250", "A900250")</f>
        <v>0</v>
      </c>
      <c r="D148">
        <f>HYPERLINK("http://comp.fnguide.com/SVO2/ASP/SVD_Consensus.asp?pGB=1&amp;gicode=A900250&amp;cID=&amp;MenuYn=Y&amp;ReportGB=&amp;NewMenuID=108&amp;stkGb=701", "크리스탈신소재")</f>
        <v>0</v>
      </c>
      <c r="E148">
        <v>3</v>
      </c>
      <c r="F148">
        <v>1750</v>
      </c>
      <c r="G148">
        <v>0</v>
      </c>
      <c r="H148">
        <v>5.25</v>
      </c>
      <c r="I148">
        <v>5093</v>
      </c>
      <c r="J148">
        <v>4382</v>
      </c>
      <c r="K148">
        <v>4178</v>
      </c>
      <c r="L148">
        <v>-191.05</v>
      </c>
      <c r="M148">
        <v>-150.4</v>
      </c>
      <c r="N148">
        <v>-138.76</v>
      </c>
      <c r="O148">
        <v>10.46</v>
      </c>
      <c r="P148" t="b">
        <v>0</v>
      </c>
      <c r="Q148">
        <v>0</v>
      </c>
      <c r="R148">
        <v>334</v>
      </c>
      <c r="U148" t="s">
        <v>778</v>
      </c>
      <c r="V148" t="s">
        <v>1076</v>
      </c>
      <c r="W148">
        <v>0</v>
      </c>
      <c r="X148">
        <v>9.199999999999999</v>
      </c>
      <c r="Y148" t="s">
        <v>1371</v>
      </c>
      <c r="Z148">
        <v>-4.643127864344965</v>
      </c>
      <c r="AA148">
        <v>1186</v>
      </c>
      <c r="AB148">
        <v>1899668</v>
      </c>
      <c r="AC148" t="s">
        <v>1664</v>
      </c>
      <c r="AD148">
        <v>20.57</v>
      </c>
      <c r="AE148" t="s">
        <v>1962</v>
      </c>
      <c r="AF148" t="s">
        <v>2260</v>
      </c>
      <c r="AG148">
        <v>846</v>
      </c>
      <c r="AH148">
        <v>285</v>
      </c>
    </row>
    <row r="149" spans="1:36">
      <c r="A149" s="1" t="s">
        <v>183</v>
      </c>
      <c r="B149" t="s">
        <v>481</v>
      </c>
      <c r="C149">
        <f>HYPERLINK("https://finance.naver.com/item/coinfo.nhn?code=024090", "A024090")</f>
        <v>0</v>
      </c>
      <c r="D149">
        <f>HYPERLINK("http://comp.fnguide.com/SVO2/ASP/SVD_Consensus.asp?pGB=1&amp;gicode=A024090&amp;cID=&amp;MenuYn=Y&amp;ReportGB=&amp;NewMenuID=108&amp;stkGb=701", "디씨엠")</f>
        <v>0</v>
      </c>
      <c r="E149">
        <v>3</v>
      </c>
      <c r="F149">
        <v>12550</v>
      </c>
      <c r="G149">
        <v>0</v>
      </c>
      <c r="H149">
        <v>6.06</v>
      </c>
      <c r="I149">
        <v>23597</v>
      </c>
      <c r="J149">
        <v>20850</v>
      </c>
      <c r="K149">
        <v>20063</v>
      </c>
      <c r="L149">
        <v>-88.03</v>
      </c>
      <c r="M149">
        <v>-66.13</v>
      </c>
      <c r="N149">
        <v>-59.87</v>
      </c>
      <c r="O149">
        <v>9.949999999999999</v>
      </c>
      <c r="P149" t="b">
        <v>1</v>
      </c>
      <c r="Q149">
        <v>0</v>
      </c>
      <c r="R149">
        <v>2005</v>
      </c>
      <c r="U149" t="s">
        <v>779</v>
      </c>
      <c r="V149" t="s">
        <v>1077</v>
      </c>
      <c r="W149">
        <v>0</v>
      </c>
      <c r="X149">
        <v>-6.4</v>
      </c>
      <c r="Y149" t="s">
        <v>1372</v>
      </c>
      <c r="Z149">
        <v>37.36037003117636</v>
      </c>
      <c r="AA149">
        <v>1468</v>
      </c>
      <c r="AB149">
        <v>17216</v>
      </c>
      <c r="AC149" t="s">
        <v>1665</v>
      </c>
      <c r="AD149">
        <v>44.57</v>
      </c>
      <c r="AE149" t="s">
        <v>1963</v>
      </c>
      <c r="AF149" t="s">
        <v>2261</v>
      </c>
      <c r="AG149">
        <v>1453</v>
      </c>
      <c r="AH149">
        <v>175</v>
      </c>
      <c r="AI149">
        <v>2511909</v>
      </c>
      <c r="AJ149">
        <v>4.12</v>
      </c>
    </row>
    <row r="150" spans="1:36">
      <c r="A150" s="1" t="s">
        <v>184</v>
      </c>
      <c r="B150" t="s">
        <v>482</v>
      </c>
      <c r="C150">
        <f>HYPERLINK("https://finance.naver.com/item/coinfo.nhn?code=016590", "A016590")</f>
        <v>0</v>
      </c>
      <c r="D150">
        <f>HYPERLINK("http://comp.fnguide.com/SVO2/ASP/SVD_Consensus.asp?pGB=1&amp;gicode=A016590&amp;cID=&amp;MenuYn=Y&amp;ReportGB=&amp;NewMenuID=108&amp;stkGb=701", "신대양제지")</f>
        <v>0</v>
      </c>
      <c r="E150">
        <v>3</v>
      </c>
      <c r="F150">
        <v>65000</v>
      </c>
      <c r="G150">
        <v>0.2</v>
      </c>
      <c r="H150">
        <v>4.3</v>
      </c>
      <c r="I150">
        <v>233324</v>
      </c>
      <c r="J150">
        <v>158974</v>
      </c>
      <c r="K150">
        <v>137693</v>
      </c>
      <c r="L150">
        <v>-258.96</v>
      </c>
      <c r="M150">
        <v>-144.57</v>
      </c>
      <c r="N150">
        <v>-111.83</v>
      </c>
      <c r="O150">
        <v>17.12</v>
      </c>
      <c r="P150" t="b">
        <v>1</v>
      </c>
      <c r="Q150">
        <v>0</v>
      </c>
      <c r="R150">
        <v>13849</v>
      </c>
      <c r="S150">
        <v>12518</v>
      </c>
      <c r="T150">
        <v>-9.6</v>
      </c>
      <c r="U150" t="s">
        <v>780</v>
      </c>
      <c r="V150" t="s">
        <v>1078</v>
      </c>
      <c r="W150">
        <v>21.20752965815347</v>
      </c>
      <c r="X150">
        <v>-17</v>
      </c>
      <c r="Y150" t="s">
        <v>1373</v>
      </c>
      <c r="Z150">
        <v>29.98273632658002</v>
      </c>
      <c r="AA150">
        <v>2619</v>
      </c>
      <c r="AB150">
        <v>15209</v>
      </c>
      <c r="AC150" t="s">
        <v>1666</v>
      </c>
      <c r="AD150">
        <v>53.49</v>
      </c>
      <c r="AE150" t="s">
        <v>1964</v>
      </c>
      <c r="AF150" t="s">
        <v>2262</v>
      </c>
      <c r="AG150">
        <v>6468</v>
      </c>
      <c r="AH150">
        <v>947</v>
      </c>
      <c r="AI150">
        <v>201500</v>
      </c>
      <c r="AJ150">
        <v>1.05</v>
      </c>
    </row>
    <row r="151" spans="1:36">
      <c r="A151" s="1" t="s">
        <v>185</v>
      </c>
      <c r="B151" t="s">
        <v>483</v>
      </c>
      <c r="C151">
        <f>HYPERLINK("https://finance.naver.com/item/coinfo.nhn?code=004170", "A004170")</f>
        <v>0</v>
      </c>
      <c r="D151">
        <f>HYPERLINK("http://comp.fnguide.com/SVO2/ASP/SVD_Consensus.asp?pGB=1&amp;gicode=A004170&amp;cID=&amp;MenuYn=Y&amp;ReportGB=&amp;NewMenuID=108&amp;stkGb=701", "신세계")</f>
        <v>0</v>
      </c>
      <c r="E151">
        <v>3</v>
      </c>
      <c r="F151">
        <v>267000</v>
      </c>
      <c r="G151">
        <v>0</v>
      </c>
      <c r="H151">
        <v>5.4</v>
      </c>
      <c r="I151">
        <v>514986</v>
      </c>
      <c r="J151">
        <v>445567</v>
      </c>
      <c r="K151">
        <v>425697</v>
      </c>
      <c r="L151">
        <v>-92.88</v>
      </c>
      <c r="M151">
        <v>-66.88</v>
      </c>
      <c r="N151">
        <v>-59.44</v>
      </c>
      <c r="O151">
        <v>10.35</v>
      </c>
      <c r="P151" t="b">
        <v>1</v>
      </c>
      <c r="Q151">
        <v>0</v>
      </c>
      <c r="R151">
        <v>53472</v>
      </c>
      <c r="S151">
        <v>-9685</v>
      </c>
      <c r="T151">
        <v>-118.1</v>
      </c>
      <c r="U151" t="s">
        <v>781</v>
      </c>
      <c r="V151" t="s">
        <v>1079</v>
      </c>
      <c r="W151">
        <v>0</v>
      </c>
      <c r="X151">
        <v>0</v>
      </c>
      <c r="Y151" t="s">
        <v>1374</v>
      </c>
      <c r="Z151">
        <v>6.95719411309057</v>
      </c>
      <c r="AA151">
        <v>26287</v>
      </c>
      <c r="AB151">
        <v>186095</v>
      </c>
      <c r="AC151" t="s">
        <v>1667</v>
      </c>
      <c r="AD151">
        <v>28.57</v>
      </c>
      <c r="AE151" t="s">
        <v>1965</v>
      </c>
      <c r="AF151" t="s">
        <v>2263</v>
      </c>
      <c r="AG151">
        <v>63942</v>
      </c>
      <c r="AH151">
        <v>4678</v>
      </c>
      <c r="AI151">
        <v>8774</v>
      </c>
      <c r="AJ151">
        <v>0.6899999999999999</v>
      </c>
    </row>
    <row r="152" spans="1:36">
      <c r="A152" s="1" t="s">
        <v>186</v>
      </c>
      <c r="B152" t="s">
        <v>484</v>
      </c>
      <c r="C152">
        <f>HYPERLINK("https://finance.naver.com/item/coinfo.nhn?code=035510", "A035510")</f>
        <v>0</v>
      </c>
      <c r="D152">
        <f>HYPERLINK("http://comp.fnguide.com/SVO2/ASP/SVD_Consensus.asp?pGB=1&amp;gicode=A035510&amp;cID=&amp;MenuYn=Y&amp;ReportGB=&amp;NewMenuID=108&amp;stkGb=701", "신세계 I&amp;C")</f>
        <v>0</v>
      </c>
      <c r="E152">
        <v>3</v>
      </c>
      <c r="F152">
        <v>135000</v>
      </c>
      <c r="G152">
        <v>0</v>
      </c>
      <c r="H152">
        <v>17.35</v>
      </c>
      <c r="I152">
        <v>190387</v>
      </c>
      <c r="J152">
        <v>176220</v>
      </c>
      <c r="K152">
        <v>172165</v>
      </c>
      <c r="L152">
        <v>-41.03</v>
      </c>
      <c r="M152">
        <v>-30.53</v>
      </c>
      <c r="N152">
        <v>-27.53</v>
      </c>
      <c r="O152">
        <v>9.16</v>
      </c>
      <c r="P152" t="b">
        <v>1</v>
      </c>
      <c r="Q152">
        <v>0</v>
      </c>
      <c r="R152">
        <v>6196</v>
      </c>
      <c r="U152" t="s">
        <v>782</v>
      </c>
      <c r="V152" t="s">
        <v>1080</v>
      </c>
      <c r="W152">
        <v>0</v>
      </c>
      <c r="X152">
        <v>953.9</v>
      </c>
      <c r="Y152" t="s">
        <v>1375</v>
      </c>
      <c r="Z152">
        <v>75.15412659789197</v>
      </c>
      <c r="AA152">
        <v>2322</v>
      </c>
      <c r="AB152">
        <v>13153</v>
      </c>
      <c r="AC152" t="s">
        <v>1668</v>
      </c>
      <c r="AD152">
        <v>35.87</v>
      </c>
      <c r="AE152" t="s">
        <v>1966</v>
      </c>
      <c r="AF152" t="s">
        <v>2264</v>
      </c>
      <c r="AG152">
        <v>4560</v>
      </c>
      <c r="AH152">
        <v>185</v>
      </c>
      <c r="AI152">
        <v>525419</v>
      </c>
      <c r="AJ152">
        <v>1.86</v>
      </c>
    </row>
    <row r="153" spans="1:36">
      <c r="A153" s="1" t="s">
        <v>187</v>
      </c>
      <c r="B153" t="s">
        <v>485</v>
      </c>
      <c r="C153">
        <f>HYPERLINK("https://finance.naver.com/item/coinfo.nhn?code=034300", "A034300")</f>
        <v>0</v>
      </c>
      <c r="D153">
        <f>HYPERLINK("http://comp.fnguide.com/SVO2/ASP/SVD_Consensus.asp?pGB=1&amp;gicode=A034300&amp;cID=&amp;MenuYn=Y&amp;ReportGB=&amp;NewMenuID=108&amp;stkGb=701", "신세계건설")</f>
        <v>0</v>
      </c>
      <c r="E153">
        <v>3</v>
      </c>
      <c r="F153">
        <v>45550</v>
      </c>
      <c r="G153">
        <v>0</v>
      </c>
      <c r="H153">
        <v>6.01</v>
      </c>
      <c r="I153">
        <v>97948</v>
      </c>
      <c r="J153">
        <v>68846</v>
      </c>
      <c r="K153">
        <v>60516</v>
      </c>
      <c r="L153">
        <v>-115.03</v>
      </c>
      <c r="M153">
        <v>-51.14</v>
      </c>
      <c r="N153">
        <v>-32.86</v>
      </c>
      <c r="O153">
        <v>15.9</v>
      </c>
      <c r="P153" t="b">
        <v>1</v>
      </c>
      <c r="Q153">
        <v>0</v>
      </c>
      <c r="R153">
        <v>4379</v>
      </c>
      <c r="U153" t="s">
        <v>783</v>
      </c>
      <c r="V153" t="s">
        <v>1081</v>
      </c>
      <c r="W153">
        <v>0</v>
      </c>
      <c r="X153">
        <v>-58.1</v>
      </c>
      <c r="Y153" t="s">
        <v>1376</v>
      </c>
      <c r="Z153">
        <v>-14.38292981148358</v>
      </c>
      <c r="AA153">
        <v>1822</v>
      </c>
      <c r="AB153">
        <v>82159</v>
      </c>
      <c r="AC153" t="s">
        <v>1669</v>
      </c>
      <c r="AD153">
        <v>42.7</v>
      </c>
      <c r="AE153" t="s">
        <v>1967</v>
      </c>
      <c r="AF153" t="s">
        <v>2265</v>
      </c>
      <c r="AG153">
        <v>10162</v>
      </c>
      <c r="AH153">
        <v>242</v>
      </c>
      <c r="AJ153">
        <v>3.04</v>
      </c>
    </row>
    <row r="154" spans="1:36">
      <c r="A154" s="1" t="s">
        <v>188</v>
      </c>
      <c r="B154" t="s">
        <v>486</v>
      </c>
      <c r="C154">
        <f>HYPERLINK("https://finance.naver.com/item/coinfo.nhn?code=002870", "A002870")</f>
        <v>0</v>
      </c>
      <c r="D154">
        <f>HYPERLINK("http://comp.fnguide.com/SVO2/ASP/SVD_Consensus.asp?pGB=1&amp;gicode=A002870&amp;cID=&amp;MenuYn=Y&amp;ReportGB=&amp;NewMenuID=108&amp;stkGb=701", "신풍제지")</f>
        <v>0</v>
      </c>
      <c r="E154">
        <v>3</v>
      </c>
      <c r="F154">
        <v>2850</v>
      </c>
      <c r="G154">
        <v>0.01</v>
      </c>
      <c r="H154">
        <v>2.66</v>
      </c>
      <c r="I154">
        <v>7017</v>
      </c>
      <c r="J154">
        <v>4310</v>
      </c>
      <c r="K154">
        <v>3535</v>
      </c>
      <c r="L154">
        <v>-146.2</v>
      </c>
      <c r="M154">
        <v>-51.22</v>
      </c>
      <c r="N154">
        <v>-24.04</v>
      </c>
      <c r="O154">
        <v>22.5</v>
      </c>
      <c r="P154" t="b">
        <v>1</v>
      </c>
      <c r="Q154">
        <v>3</v>
      </c>
      <c r="R154">
        <v>562</v>
      </c>
      <c r="S154">
        <v>1013</v>
      </c>
      <c r="T154">
        <v>80.2</v>
      </c>
      <c r="U154" t="s">
        <v>784</v>
      </c>
      <c r="V154" t="s">
        <v>1082</v>
      </c>
      <c r="W154">
        <v>238.974316760135</v>
      </c>
      <c r="X154">
        <v>0</v>
      </c>
      <c r="Y154" t="s">
        <v>1377</v>
      </c>
      <c r="Z154">
        <v>144.6868892434411</v>
      </c>
      <c r="AA154">
        <v>996</v>
      </c>
      <c r="AB154">
        <v>886269</v>
      </c>
      <c r="AC154" t="s">
        <v>1670</v>
      </c>
      <c r="AD154">
        <v>34.87</v>
      </c>
      <c r="AE154" t="s">
        <v>1968</v>
      </c>
      <c r="AF154" t="s">
        <v>2266</v>
      </c>
      <c r="AG154">
        <v>1569</v>
      </c>
      <c r="AH154">
        <v>114</v>
      </c>
      <c r="AI154">
        <v>7252320</v>
      </c>
      <c r="AJ154">
        <v>4.01</v>
      </c>
    </row>
    <row r="155" spans="1:36">
      <c r="A155" s="1" t="s">
        <v>189</v>
      </c>
      <c r="B155" t="s">
        <v>487</v>
      </c>
      <c r="C155">
        <f>HYPERLINK("https://finance.naver.com/item/coinfo.nhn?code=055550", "A055550")</f>
        <v>0</v>
      </c>
      <c r="D155">
        <f>HYPERLINK("http://comp.fnguide.com/SVO2/ASP/SVD_Consensus.asp?pGB=1&amp;gicode=A055550&amp;cID=&amp;MenuYn=Y&amp;ReportGB=&amp;NewMenuID=108&amp;stkGb=701", "신한지주")</f>
        <v>0</v>
      </c>
      <c r="E155">
        <v>3</v>
      </c>
      <c r="F155">
        <v>32950</v>
      </c>
      <c r="G155">
        <v>4.79</v>
      </c>
      <c r="H155">
        <v>6.19</v>
      </c>
      <c r="I155">
        <v>86398</v>
      </c>
      <c r="J155">
        <v>80068</v>
      </c>
      <c r="K155">
        <v>78257</v>
      </c>
      <c r="L155">
        <v>-162.21</v>
      </c>
      <c r="M155">
        <v>-143</v>
      </c>
      <c r="N155">
        <v>-137.5</v>
      </c>
      <c r="O155">
        <v>9.140000000000001</v>
      </c>
      <c r="P155" t="b">
        <v>1</v>
      </c>
      <c r="Q155">
        <v>0</v>
      </c>
      <c r="R155">
        <v>7004</v>
      </c>
      <c r="S155">
        <v>6393</v>
      </c>
      <c r="T155">
        <v>-8.699999999999999</v>
      </c>
      <c r="U155" t="s">
        <v>785</v>
      </c>
      <c r="V155" t="s">
        <v>1083</v>
      </c>
      <c r="W155">
        <v>1.291093438906676</v>
      </c>
      <c r="X155">
        <v>2.5</v>
      </c>
      <c r="Y155" t="s">
        <v>1378</v>
      </c>
      <c r="Z155">
        <v>2.599961013634111</v>
      </c>
      <c r="AA155">
        <v>170220</v>
      </c>
      <c r="AB155">
        <v>4124995</v>
      </c>
      <c r="AC155" t="s">
        <v>1671</v>
      </c>
      <c r="AD155">
        <v>9.81</v>
      </c>
      <c r="AE155" t="s">
        <v>1969</v>
      </c>
      <c r="AF155" t="s">
        <v>2267</v>
      </c>
      <c r="AG155">
        <v>157074</v>
      </c>
      <c r="AH155">
        <v>50463</v>
      </c>
      <c r="AI155">
        <v>3926</v>
      </c>
      <c r="AJ155">
        <v>4.27</v>
      </c>
    </row>
    <row r="156" spans="1:36">
      <c r="A156" s="1" t="s">
        <v>190</v>
      </c>
      <c r="B156" t="s">
        <v>488</v>
      </c>
      <c r="C156">
        <f>HYPERLINK("https://finance.naver.com/item/coinfo.nhn?code=002310", "A002310")</f>
        <v>0</v>
      </c>
      <c r="D156">
        <f>HYPERLINK("http://comp.fnguide.com/SVO2/ASP/SVD_Consensus.asp?pGB=1&amp;gicode=A002310&amp;cID=&amp;MenuYn=Y&amp;ReportGB=&amp;NewMenuID=108&amp;stkGb=701", "아세아제지")</f>
        <v>0</v>
      </c>
      <c r="E156">
        <v>3</v>
      </c>
      <c r="F156">
        <v>44500</v>
      </c>
      <c r="G156">
        <v>0</v>
      </c>
      <c r="H156">
        <v>4.37</v>
      </c>
      <c r="I156">
        <v>89190</v>
      </c>
      <c r="J156">
        <v>74872</v>
      </c>
      <c r="K156">
        <v>70774</v>
      </c>
      <c r="L156">
        <v>-100.43</v>
      </c>
      <c r="M156">
        <v>-68.25</v>
      </c>
      <c r="N156">
        <v>-59.04</v>
      </c>
      <c r="O156">
        <v>10.95</v>
      </c>
      <c r="P156" t="b">
        <v>1</v>
      </c>
      <c r="Q156">
        <v>0</v>
      </c>
      <c r="R156">
        <v>6860</v>
      </c>
      <c r="U156" t="s">
        <v>786</v>
      </c>
      <c r="V156" t="s">
        <v>1084</v>
      </c>
      <c r="W156">
        <v>0</v>
      </c>
      <c r="X156">
        <v>-29.4</v>
      </c>
      <c r="Y156" t="s">
        <v>1379</v>
      </c>
      <c r="Z156">
        <v>20.24422735583917</v>
      </c>
      <c r="AA156">
        <v>3986</v>
      </c>
      <c r="AB156">
        <v>84317</v>
      </c>
      <c r="AC156" t="s">
        <v>1672</v>
      </c>
      <c r="AD156">
        <v>50.07</v>
      </c>
      <c r="AE156" t="s">
        <v>1970</v>
      </c>
      <c r="AF156" t="s">
        <v>2268</v>
      </c>
      <c r="AG156">
        <v>6977</v>
      </c>
      <c r="AH156">
        <v>711</v>
      </c>
      <c r="AJ156">
        <v>2</v>
      </c>
    </row>
    <row r="157" spans="1:36">
      <c r="A157" s="1" t="s">
        <v>191</v>
      </c>
      <c r="B157" t="s">
        <v>489</v>
      </c>
      <c r="C157">
        <f>HYPERLINK("https://finance.naver.com/item/coinfo.nhn?code=065130", "A065130")</f>
        <v>0</v>
      </c>
      <c r="D157">
        <f>HYPERLINK("http://comp.fnguide.com/SVO2/ASP/SVD_Consensus.asp?pGB=1&amp;gicode=A065130&amp;cID=&amp;MenuYn=Y&amp;ReportGB=&amp;NewMenuID=108&amp;stkGb=701", "탑엔지니어링")</f>
        <v>0</v>
      </c>
      <c r="E157">
        <v>3</v>
      </c>
      <c r="F157">
        <v>9470</v>
      </c>
      <c r="G157">
        <v>0</v>
      </c>
      <c r="H157">
        <v>4.45</v>
      </c>
      <c r="I157">
        <v>23826</v>
      </c>
      <c r="J157">
        <v>17601</v>
      </c>
      <c r="K157">
        <v>15819</v>
      </c>
      <c r="L157">
        <v>-151.6</v>
      </c>
      <c r="M157">
        <v>-85.86</v>
      </c>
      <c r="N157">
        <v>-67.04000000000001</v>
      </c>
      <c r="O157">
        <v>14.22</v>
      </c>
      <c r="P157" t="b">
        <v>1</v>
      </c>
      <c r="Q157">
        <v>0</v>
      </c>
      <c r="R157">
        <v>2259</v>
      </c>
      <c r="S157">
        <v>-1576</v>
      </c>
      <c r="T157">
        <v>-169.8</v>
      </c>
      <c r="U157" t="s">
        <v>787</v>
      </c>
      <c r="V157" t="s">
        <v>1085</v>
      </c>
      <c r="W157">
        <v>0</v>
      </c>
      <c r="X157">
        <v>0</v>
      </c>
      <c r="Y157" t="s">
        <v>1380</v>
      </c>
      <c r="Z157">
        <v>33.66354044244495</v>
      </c>
      <c r="AA157">
        <v>1513</v>
      </c>
      <c r="AB157">
        <v>196542</v>
      </c>
      <c r="AC157" t="s">
        <v>1673</v>
      </c>
      <c r="AD157">
        <v>24.32</v>
      </c>
      <c r="AE157" t="s">
        <v>1971</v>
      </c>
      <c r="AF157" t="s">
        <v>2269</v>
      </c>
      <c r="AG157">
        <v>13059</v>
      </c>
      <c r="AH157">
        <v>706</v>
      </c>
      <c r="AI157">
        <v>181464</v>
      </c>
      <c r="AJ157">
        <v>1</v>
      </c>
    </row>
    <row r="158" spans="1:36">
      <c r="A158" s="1" t="s">
        <v>192</v>
      </c>
      <c r="B158" t="s">
        <v>490</v>
      </c>
      <c r="C158">
        <f>HYPERLINK("https://finance.naver.com/item/coinfo.nhn?code=161000", "A161000")</f>
        <v>0</v>
      </c>
      <c r="D158">
        <f>HYPERLINK("http://comp.fnguide.com/SVO2/ASP/SVD_Consensus.asp?pGB=1&amp;gicode=A161000&amp;cID=&amp;MenuYn=Y&amp;ReportGB=&amp;NewMenuID=108&amp;stkGb=701", "애경유화")</f>
        <v>0</v>
      </c>
      <c r="E158">
        <v>3</v>
      </c>
      <c r="F158">
        <v>10950</v>
      </c>
      <c r="G158">
        <v>-0.74</v>
      </c>
      <c r="H158">
        <v>8.609999999999999</v>
      </c>
      <c r="I158">
        <v>19560</v>
      </c>
      <c r="J158">
        <v>14733</v>
      </c>
      <c r="K158">
        <v>13351</v>
      </c>
      <c r="L158">
        <v>-78.63</v>
      </c>
      <c r="M158">
        <v>-34.55</v>
      </c>
      <c r="N158">
        <v>-21.93</v>
      </c>
      <c r="O158">
        <v>13.63</v>
      </c>
      <c r="P158" t="b">
        <v>1</v>
      </c>
      <c r="Q158">
        <v>1</v>
      </c>
      <c r="R158">
        <v>952</v>
      </c>
      <c r="S158">
        <v>1400</v>
      </c>
      <c r="T158">
        <v>47.1</v>
      </c>
      <c r="U158" t="s">
        <v>788</v>
      </c>
      <c r="V158" t="s">
        <v>1086</v>
      </c>
      <c r="W158">
        <v>-11.66230926126986</v>
      </c>
      <c r="X158">
        <v>-2.5</v>
      </c>
      <c r="Y158" t="s">
        <v>1381</v>
      </c>
      <c r="Z158">
        <v>0.9737088673156036</v>
      </c>
      <c r="AA158">
        <v>3508</v>
      </c>
      <c r="AB158">
        <v>623659</v>
      </c>
      <c r="AC158" t="s">
        <v>1674</v>
      </c>
      <c r="AD158">
        <v>49.45</v>
      </c>
      <c r="AE158" t="s">
        <v>1972</v>
      </c>
      <c r="AF158" t="s">
        <v>2270</v>
      </c>
      <c r="AG158">
        <v>10170</v>
      </c>
      <c r="AH158">
        <v>469</v>
      </c>
      <c r="AI158">
        <v>475850</v>
      </c>
      <c r="AJ158">
        <v>4.27</v>
      </c>
    </row>
    <row r="159" spans="1:36">
      <c r="A159" s="1" t="s">
        <v>193</v>
      </c>
      <c r="B159" t="s">
        <v>491</v>
      </c>
      <c r="C159">
        <f>HYPERLINK("https://finance.naver.com/item/coinfo.nhn?code=051360", "A051360")</f>
        <v>0</v>
      </c>
      <c r="D159">
        <f>HYPERLINK("http://comp.fnguide.com/SVO2/ASP/SVD_Consensus.asp?pGB=1&amp;gicode=A051360&amp;cID=&amp;MenuYn=Y&amp;ReportGB=&amp;NewMenuID=108&amp;stkGb=701", "토비스")</f>
        <v>0</v>
      </c>
      <c r="E159">
        <v>3</v>
      </c>
      <c r="F159">
        <v>7180</v>
      </c>
      <c r="G159">
        <v>0</v>
      </c>
      <c r="H159">
        <v>7.14</v>
      </c>
      <c r="I159">
        <v>17513</v>
      </c>
      <c r="J159">
        <v>14600</v>
      </c>
      <c r="K159">
        <v>13767</v>
      </c>
      <c r="L159">
        <v>-143.92</v>
      </c>
      <c r="M159">
        <v>-103.35</v>
      </c>
      <c r="N159">
        <v>-91.73</v>
      </c>
      <c r="O159">
        <v>11.1</v>
      </c>
      <c r="P159" t="b">
        <v>1</v>
      </c>
      <c r="Q159">
        <v>0</v>
      </c>
      <c r="R159">
        <v>1319</v>
      </c>
      <c r="S159">
        <v>-385</v>
      </c>
      <c r="T159">
        <v>-129.2</v>
      </c>
      <c r="U159" t="s">
        <v>789</v>
      </c>
      <c r="V159" t="s">
        <v>1087</v>
      </c>
      <c r="W159">
        <v>0</v>
      </c>
      <c r="X159">
        <v>-99.8</v>
      </c>
      <c r="Y159" t="s">
        <v>1382</v>
      </c>
      <c r="Z159">
        <v>-71.73477470401507</v>
      </c>
      <c r="AA159">
        <v>1200</v>
      </c>
      <c r="AB159">
        <v>135810</v>
      </c>
      <c r="AC159" t="s">
        <v>1675</v>
      </c>
      <c r="AD159">
        <v>14.37</v>
      </c>
      <c r="AE159" t="s">
        <v>1973</v>
      </c>
      <c r="AF159" t="s">
        <v>2271</v>
      </c>
      <c r="AG159">
        <v>4189</v>
      </c>
      <c r="AH159">
        <v>307</v>
      </c>
      <c r="AI159">
        <v>1385732</v>
      </c>
      <c r="AJ159">
        <v>2.55</v>
      </c>
    </row>
    <row r="160" spans="1:36">
      <c r="A160" s="1" t="s">
        <v>194</v>
      </c>
      <c r="B160" t="s">
        <v>492</v>
      </c>
      <c r="C160">
        <f>HYPERLINK("https://finance.naver.com/item/coinfo.nhn?code=111770", "A111770")</f>
        <v>0</v>
      </c>
      <c r="D160">
        <f>HYPERLINK("http://comp.fnguide.com/SVO2/ASP/SVD_Consensus.asp?pGB=1&amp;gicode=A111770&amp;cID=&amp;MenuYn=Y&amp;ReportGB=&amp;NewMenuID=108&amp;stkGb=701", "영원무역")</f>
        <v>0</v>
      </c>
      <c r="E160">
        <v>3</v>
      </c>
      <c r="F160">
        <v>42000</v>
      </c>
      <c r="G160">
        <v>0.49</v>
      </c>
      <c r="H160">
        <v>9.130000000000001</v>
      </c>
      <c r="I160">
        <v>47633</v>
      </c>
      <c r="J160">
        <v>44272</v>
      </c>
      <c r="K160">
        <v>43310</v>
      </c>
      <c r="L160">
        <v>-13.41</v>
      </c>
      <c r="M160">
        <v>-5.41</v>
      </c>
      <c r="N160">
        <v>-3.12</v>
      </c>
      <c r="O160">
        <v>9.09</v>
      </c>
      <c r="P160" t="b">
        <v>1</v>
      </c>
      <c r="Q160">
        <v>3</v>
      </c>
      <c r="R160">
        <v>3753</v>
      </c>
      <c r="S160">
        <v>4101</v>
      </c>
      <c r="T160">
        <v>9.300000000000001</v>
      </c>
      <c r="U160" t="s">
        <v>790</v>
      </c>
      <c r="V160" t="s">
        <v>1088</v>
      </c>
      <c r="W160">
        <v>18.69216673445067</v>
      </c>
      <c r="X160">
        <v>-1.7</v>
      </c>
      <c r="Y160" t="s">
        <v>1383</v>
      </c>
      <c r="Z160">
        <v>4.705134005170453</v>
      </c>
      <c r="AA160">
        <v>18611</v>
      </c>
      <c r="AB160">
        <v>216882</v>
      </c>
      <c r="AC160" t="s">
        <v>1676</v>
      </c>
      <c r="AD160">
        <v>50.74</v>
      </c>
      <c r="AE160" t="s">
        <v>1974</v>
      </c>
      <c r="AF160" t="s">
        <v>2272</v>
      </c>
      <c r="AG160">
        <v>23883</v>
      </c>
      <c r="AH160">
        <v>2376</v>
      </c>
      <c r="AI160">
        <v>445407</v>
      </c>
      <c r="AJ160">
        <v>1.17</v>
      </c>
    </row>
    <row r="161" spans="1:36">
      <c r="A161" s="1" t="s">
        <v>195</v>
      </c>
      <c r="B161" t="s">
        <v>493</v>
      </c>
      <c r="C161">
        <f>HYPERLINK("https://finance.naver.com/item/coinfo.nhn?code=009970", "A009970")</f>
        <v>0</v>
      </c>
      <c r="D161">
        <f>HYPERLINK("http://comp.fnguide.com/SVO2/ASP/SVD_Consensus.asp?pGB=1&amp;gicode=A009970&amp;cID=&amp;MenuYn=Y&amp;ReportGB=&amp;NewMenuID=108&amp;stkGb=701", "영원무역홀딩스")</f>
        <v>0</v>
      </c>
      <c r="E161">
        <v>3</v>
      </c>
      <c r="F161">
        <v>40800</v>
      </c>
      <c r="G161">
        <v>0</v>
      </c>
      <c r="H161">
        <v>5.43</v>
      </c>
      <c r="I161">
        <v>132991</v>
      </c>
      <c r="J161">
        <v>124336</v>
      </c>
      <c r="K161">
        <v>121859</v>
      </c>
      <c r="L161">
        <v>-225.96</v>
      </c>
      <c r="M161">
        <v>-204.75</v>
      </c>
      <c r="N161">
        <v>-198.67</v>
      </c>
      <c r="O161">
        <v>9</v>
      </c>
      <c r="P161" t="b">
        <v>1</v>
      </c>
      <c r="Q161">
        <v>0</v>
      </c>
      <c r="R161">
        <v>8870</v>
      </c>
      <c r="U161" t="s">
        <v>791</v>
      </c>
      <c r="V161" t="s">
        <v>1089</v>
      </c>
      <c r="W161">
        <v>0</v>
      </c>
      <c r="X161">
        <v>-7.8</v>
      </c>
      <c r="Y161" t="s">
        <v>1384</v>
      </c>
      <c r="Z161">
        <v>5.663666761138875</v>
      </c>
      <c r="AA161">
        <v>5563</v>
      </c>
      <c r="AB161">
        <v>37768</v>
      </c>
      <c r="AC161" t="s">
        <v>1677</v>
      </c>
      <c r="AD161">
        <v>46.24</v>
      </c>
      <c r="AE161" t="s">
        <v>1975</v>
      </c>
      <c r="AF161" t="s">
        <v>2273</v>
      </c>
      <c r="AG161">
        <v>27380</v>
      </c>
      <c r="AH161">
        <v>2990</v>
      </c>
      <c r="AI161">
        <v>2030694</v>
      </c>
      <c r="AJ161">
        <v>2.07</v>
      </c>
    </row>
    <row r="162" spans="1:36">
      <c r="A162" s="1" t="s">
        <v>196</v>
      </c>
      <c r="B162" t="s">
        <v>494</v>
      </c>
      <c r="C162">
        <f>HYPERLINK("https://finance.naver.com/item/coinfo.nhn?code=110790", "A110790")</f>
        <v>0</v>
      </c>
      <c r="D162">
        <f>HYPERLINK("http://comp.fnguide.com/SVO2/ASP/SVD_Consensus.asp?pGB=1&amp;gicode=A110790&amp;cID=&amp;MenuYn=Y&amp;ReportGB=&amp;NewMenuID=108&amp;stkGb=701", "크리스에프앤씨")</f>
        <v>0</v>
      </c>
      <c r="E162">
        <v>3</v>
      </c>
      <c r="F162">
        <v>25150</v>
      </c>
      <c r="G162">
        <v>-11.45</v>
      </c>
      <c r="H162">
        <v>8.94</v>
      </c>
      <c r="I162">
        <v>45274</v>
      </c>
      <c r="J162">
        <v>30134</v>
      </c>
      <c r="K162">
        <v>25800</v>
      </c>
      <c r="L162">
        <v>-80.02</v>
      </c>
      <c r="M162">
        <v>-19.82</v>
      </c>
      <c r="N162">
        <v>-2.58</v>
      </c>
      <c r="O162">
        <v>18.14</v>
      </c>
      <c r="P162" t="b">
        <v>1</v>
      </c>
      <c r="Q162">
        <v>1</v>
      </c>
      <c r="R162">
        <v>2119</v>
      </c>
      <c r="S162">
        <v>3296</v>
      </c>
      <c r="T162">
        <v>55.5</v>
      </c>
      <c r="U162" t="s">
        <v>792</v>
      </c>
      <c r="V162" t="s">
        <v>1090</v>
      </c>
      <c r="W162">
        <v>-0.7805610699457621</v>
      </c>
      <c r="X162">
        <v>45.2</v>
      </c>
      <c r="Y162" t="s">
        <v>1385</v>
      </c>
      <c r="Z162">
        <v>1.96150059370066</v>
      </c>
      <c r="AA162">
        <v>2946</v>
      </c>
      <c r="AB162">
        <v>9914</v>
      </c>
      <c r="AC162" t="s">
        <v>1678</v>
      </c>
      <c r="AD162">
        <v>40.12</v>
      </c>
      <c r="AE162" t="s">
        <v>1976</v>
      </c>
      <c r="AF162" t="s">
        <v>2274</v>
      </c>
      <c r="AG162">
        <v>2595</v>
      </c>
      <c r="AH162">
        <v>377</v>
      </c>
      <c r="AI162">
        <v>874441</v>
      </c>
      <c r="AJ162">
        <v>2.11</v>
      </c>
    </row>
    <row r="163" spans="1:36">
      <c r="A163" s="1" t="s">
        <v>197</v>
      </c>
      <c r="B163" t="s">
        <v>495</v>
      </c>
      <c r="C163">
        <f>HYPERLINK("https://finance.naver.com/item/coinfo.nhn?code=001800", "A001800")</f>
        <v>0</v>
      </c>
      <c r="D163">
        <f>HYPERLINK("http://comp.fnguide.com/SVO2/ASP/SVD_Consensus.asp?pGB=1&amp;gicode=A001800&amp;cID=&amp;MenuYn=Y&amp;ReportGB=&amp;NewMenuID=108&amp;stkGb=701", "오리온홀딩스")</f>
        <v>0</v>
      </c>
      <c r="E163">
        <v>3</v>
      </c>
      <c r="F163">
        <v>13750</v>
      </c>
      <c r="G163">
        <v>-0.43</v>
      </c>
      <c r="H163">
        <v>23.05</v>
      </c>
      <c r="I163">
        <v>66245</v>
      </c>
      <c r="J163">
        <v>45728</v>
      </c>
      <c r="K163">
        <v>39855</v>
      </c>
      <c r="L163">
        <v>-381.78</v>
      </c>
      <c r="M163">
        <v>-232.57</v>
      </c>
      <c r="N163">
        <v>-189.86</v>
      </c>
      <c r="O163">
        <v>16.59</v>
      </c>
      <c r="P163" t="b">
        <v>0</v>
      </c>
      <c r="Q163">
        <v>1</v>
      </c>
      <c r="R163">
        <v>772</v>
      </c>
      <c r="S163">
        <v>3517</v>
      </c>
      <c r="T163">
        <v>355.6</v>
      </c>
      <c r="U163" t="s">
        <v>793</v>
      </c>
      <c r="V163" t="s">
        <v>1091</v>
      </c>
      <c r="W163">
        <v>-53.31435008140635</v>
      </c>
      <c r="X163">
        <v>50.8</v>
      </c>
      <c r="Y163" t="s">
        <v>1386</v>
      </c>
      <c r="Z163">
        <v>-15.34160040286397</v>
      </c>
      <c r="AA163">
        <v>8614</v>
      </c>
      <c r="AB163">
        <v>275198</v>
      </c>
      <c r="AC163" t="s">
        <v>1679</v>
      </c>
      <c r="AD163">
        <v>63.85</v>
      </c>
      <c r="AE163" t="s">
        <v>1977</v>
      </c>
      <c r="AF163" t="s">
        <v>2275</v>
      </c>
      <c r="AG163">
        <v>21036</v>
      </c>
      <c r="AH163">
        <v>2667</v>
      </c>
      <c r="AI163">
        <v>2488769</v>
      </c>
      <c r="AJ163">
        <v>3.65</v>
      </c>
    </row>
    <row r="164" spans="1:36">
      <c r="A164" s="1" t="s">
        <v>198</v>
      </c>
      <c r="B164" t="s">
        <v>496</v>
      </c>
      <c r="C164">
        <f>HYPERLINK("https://finance.naver.com/item/coinfo.nhn?code=033660", "A033660")</f>
        <v>0</v>
      </c>
      <c r="D164">
        <f>HYPERLINK("http://comp.fnguide.com/SVO2/ASP/SVD_Consensus.asp?pGB=1&amp;gicode=A033660&amp;cID=&amp;MenuYn=Y&amp;ReportGB=&amp;NewMenuID=108&amp;stkGb=701", "우리금융캐피탈")</f>
        <v>0</v>
      </c>
      <c r="E164">
        <v>3</v>
      </c>
      <c r="F164">
        <v>10400</v>
      </c>
      <c r="G164">
        <v>1.65</v>
      </c>
      <c r="H164">
        <v>7.05</v>
      </c>
      <c r="I164">
        <v>21690</v>
      </c>
      <c r="J164">
        <v>17483</v>
      </c>
      <c r="K164">
        <v>16279</v>
      </c>
      <c r="L164">
        <v>-108.56</v>
      </c>
      <c r="M164">
        <v>-68.09999999999999</v>
      </c>
      <c r="N164">
        <v>-56.52</v>
      </c>
      <c r="O164">
        <v>11.86</v>
      </c>
      <c r="P164" t="b">
        <v>1</v>
      </c>
      <c r="Q164">
        <v>0</v>
      </c>
      <c r="R164">
        <v>1765</v>
      </c>
      <c r="S164">
        <v>1025</v>
      </c>
      <c r="T164">
        <v>-41.9</v>
      </c>
      <c r="U164" t="s">
        <v>794</v>
      </c>
      <c r="V164" t="s">
        <v>1092</v>
      </c>
      <c r="W164">
        <v>4.282166565814882</v>
      </c>
      <c r="Y164" t="s">
        <v>1233</v>
      </c>
      <c r="Z164">
        <v>-15.34160040286397</v>
      </c>
      <c r="AA164">
        <v>5985</v>
      </c>
      <c r="AB164">
        <v>50315</v>
      </c>
      <c r="AC164" t="s">
        <v>1680</v>
      </c>
      <c r="AD164">
        <v>74.04000000000001</v>
      </c>
      <c r="AE164" t="s">
        <v>1978</v>
      </c>
      <c r="AF164" t="s">
        <v>2276</v>
      </c>
      <c r="AG164">
        <v>2293</v>
      </c>
      <c r="AH164">
        <v>1338</v>
      </c>
      <c r="AI164">
        <v>2064059</v>
      </c>
      <c r="AJ164">
        <v>5.22</v>
      </c>
    </row>
    <row r="165" spans="1:36">
      <c r="A165" s="1" t="s">
        <v>199</v>
      </c>
      <c r="B165" t="s">
        <v>497</v>
      </c>
      <c r="C165">
        <f>HYPERLINK("https://finance.naver.com/item/coinfo.nhn?code=052330", "A052330")</f>
        <v>0</v>
      </c>
      <c r="D165">
        <f>HYPERLINK("http://comp.fnguide.com/SVO2/ASP/SVD_Consensus.asp?pGB=1&amp;gicode=A052330&amp;cID=&amp;MenuYn=Y&amp;ReportGB=&amp;NewMenuID=108&amp;stkGb=701", "코텍")</f>
        <v>0</v>
      </c>
      <c r="E165">
        <v>3</v>
      </c>
      <c r="F165">
        <v>9720</v>
      </c>
      <c r="G165">
        <v>0</v>
      </c>
      <c r="H165">
        <v>6.51</v>
      </c>
      <c r="I165">
        <v>29796</v>
      </c>
      <c r="J165">
        <v>25279</v>
      </c>
      <c r="K165">
        <v>23986</v>
      </c>
      <c r="L165">
        <v>-206.54</v>
      </c>
      <c r="M165">
        <v>-160.07</v>
      </c>
      <c r="N165">
        <v>-146.77</v>
      </c>
      <c r="O165">
        <v>10.73</v>
      </c>
      <c r="P165" t="b">
        <v>1</v>
      </c>
      <c r="Q165">
        <v>0</v>
      </c>
      <c r="R165">
        <v>1975</v>
      </c>
      <c r="S165">
        <v>-548</v>
      </c>
      <c r="T165">
        <v>-127.7</v>
      </c>
      <c r="U165" t="s">
        <v>795</v>
      </c>
      <c r="V165" t="s">
        <v>1093</v>
      </c>
      <c r="W165">
        <v>0</v>
      </c>
      <c r="X165">
        <v>-94.40000000000001</v>
      </c>
      <c r="Y165" t="s">
        <v>1387</v>
      </c>
      <c r="Z165">
        <v>-42.06807082080497</v>
      </c>
      <c r="AA165">
        <v>1514</v>
      </c>
      <c r="AB165">
        <v>69965</v>
      </c>
      <c r="AC165" t="s">
        <v>1681</v>
      </c>
      <c r="AD165">
        <v>32.95</v>
      </c>
      <c r="AE165" t="s">
        <v>1979</v>
      </c>
      <c r="AF165" t="s">
        <v>2277</v>
      </c>
      <c r="AG165">
        <v>2853</v>
      </c>
      <c r="AH165">
        <v>331</v>
      </c>
      <c r="AI165">
        <v>1293395</v>
      </c>
      <c r="AJ165">
        <v>3.11</v>
      </c>
    </row>
    <row r="166" spans="1:36">
      <c r="A166" s="1" t="s">
        <v>200</v>
      </c>
      <c r="B166" t="s">
        <v>498</v>
      </c>
      <c r="C166">
        <f>HYPERLINK("https://finance.naver.com/item/coinfo.nhn?code=011330", "A011330")</f>
        <v>0</v>
      </c>
      <c r="D166">
        <f>HYPERLINK("http://comp.fnguide.com/SVO2/ASP/SVD_Consensus.asp?pGB=1&amp;gicode=A011330&amp;cID=&amp;MenuYn=Y&amp;ReportGB=&amp;NewMenuID=108&amp;stkGb=701", "유니켐")</f>
        <v>0</v>
      </c>
      <c r="E166">
        <v>3</v>
      </c>
      <c r="F166">
        <v>1460</v>
      </c>
      <c r="G166">
        <v>0</v>
      </c>
      <c r="H166">
        <v>8.119999999999999</v>
      </c>
      <c r="I166">
        <v>3270</v>
      </c>
      <c r="J166">
        <v>2046</v>
      </c>
      <c r="K166">
        <v>1696</v>
      </c>
      <c r="L166">
        <v>-123.96</v>
      </c>
      <c r="M166">
        <v>-40.15</v>
      </c>
      <c r="N166">
        <v>-16.16</v>
      </c>
      <c r="O166">
        <v>21.34</v>
      </c>
      <c r="P166" t="b">
        <v>1</v>
      </c>
      <c r="Q166">
        <v>0</v>
      </c>
      <c r="R166">
        <v>223</v>
      </c>
      <c r="U166" t="s">
        <v>796</v>
      </c>
      <c r="V166" t="s">
        <v>1094</v>
      </c>
      <c r="W166">
        <v>0</v>
      </c>
      <c r="X166">
        <v>-38.8</v>
      </c>
      <c r="Y166" t="s">
        <v>1388</v>
      </c>
      <c r="Z166">
        <v>40.23670855421624</v>
      </c>
      <c r="AA166">
        <v>1003</v>
      </c>
      <c r="AB166">
        <v>712959</v>
      </c>
      <c r="AC166" t="s">
        <v>1682</v>
      </c>
      <c r="AD166">
        <v>18.61</v>
      </c>
      <c r="AE166" t="s">
        <v>1980</v>
      </c>
      <c r="AF166" t="s">
        <v>2278</v>
      </c>
      <c r="AG166">
        <v>1088</v>
      </c>
      <c r="AH166">
        <v>179</v>
      </c>
      <c r="AI166">
        <v>907818</v>
      </c>
    </row>
    <row r="167" spans="1:36">
      <c r="A167" s="1" t="s">
        <v>201</v>
      </c>
      <c r="B167" t="s">
        <v>499</v>
      </c>
      <c r="C167">
        <f>HYPERLINK("https://finance.naver.com/item/coinfo.nhn?code=015020", "A015020")</f>
        <v>0</v>
      </c>
      <c r="D167">
        <f>HYPERLINK("http://comp.fnguide.com/SVO2/ASP/SVD_Consensus.asp?pGB=1&amp;gicode=A015020&amp;cID=&amp;MenuYn=Y&amp;ReportGB=&amp;NewMenuID=108&amp;stkGb=701", "이스타코")</f>
        <v>0</v>
      </c>
      <c r="E167">
        <v>3</v>
      </c>
      <c r="F167">
        <v>1020</v>
      </c>
      <c r="G167">
        <v>0</v>
      </c>
      <c r="H167">
        <v>2.77</v>
      </c>
      <c r="I167">
        <v>2000</v>
      </c>
      <c r="J167">
        <v>1555</v>
      </c>
      <c r="K167">
        <v>1428</v>
      </c>
      <c r="L167">
        <v>-96.13</v>
      </c>
      <c r="M167">
        <v>-52.45</v>
      </c>
      <c r="N167">
        <v>-39.95</v>
      </c>
      <c r="O167">
        <v>12.76</v>
      </c>
      <c r="P167" t="b">
        <v>1</v>
      </c>
      <c r="Q167">
        <v>0</v>
      </c>
      <c r="R167">
        <v>256</v>
      </c>
      <c r="U167" t="s">
        <v>797</v>
      </c>
      <c r="V167" t="s">
        <v>1095</v>
      </c>
      <c r="W167">
        <v>0</v>
      </c>
      <c r="X167">
        <v>-98</v>
      </c>
      <c r="Y167" t="s">
        <v>1389</v>
      </c>
      <c r="Z167">
        <v>-98</v>
      </c>
      <c r="AA167">
        <v>437</v>
      </c>
      <c r="AB167">
        <v>2482950</v>
      </c>
      <c r="AC167" t="s">
        <v>1683</v>
      </c>
      <c r="AD167">
        <v>39.42</v>
      </c>
      <c r="AE167" t="s">
        <v>1981</v>
      </c>
      <c r="AF167" t="s">
        <v>2279</v>
      </c>
      <c r="AG167">
        <v>238</v>
      </c>
      <c r="AH167">
        <v>39</v>
      </c>
      <c r="AI167">
        <v>3960641</v>
      </c>
    </row>
    <row r="168" spans="1:36">
      <c r="A168" s="1" t="s">
        <v>202</v>
      </c>
      <c r="B168" t="s">
        <v>500</v>
      </c>
      <c r="C168">
        <f>HYPERLINK("https://finance.naver.com/item/coinfo.nhn?code=015710", "A015710")</f>
        <v>0</v>
      </c>
      <c r="D168">
        <f>HYPERLINK("http://comp.fnguide.com/SVO2/ASP/SVD_Consensus.asp?pGB=1&amp;gicode=A015710&amp;cID=&amp;MenuYn=Y&amp;ReportGB=&amp;NewMenuID=108&amp;stkGb=701", "코콤")</f>
        <v>0</v>
      </c>
      <c r="E168">
        <v>3</v>
      </c>
      <c r="F168">
        <v>6740</v>
      </c>
      <c r="G168">
        <v>0</v>
      </c>
      <c r="H168">
        <v>13.97</v>
      </c>
      <c r="I168">
        <v>8568</v>
      </c>
      <c r="J168">
        <v>7690</v>
      </c>
      <c r="K168">
        <v>7439</v>
      </c>
      <c r="L168">
        <v>-27.12</v>
      </c>
      <c r="M168">
        <v>-14.09</v>
      </c>
      <c r="N168">
        <v>-10.36</v>
      </c>
      <c r="O168">
        <v>9.67</v>
      </c>
      <c r="P168" t="b">
        <v>1</v>
      </c>
      <c r="Q168">
        <v>0</v>
      </c>
      <c r="R168">
        <v>469</v>
      </c>
      <c r="U168" t="s">
        <v>798</v>
      </c>
      <c r="V168" t="s">
        <v>1096</v>
      </c>
      <c r="W168">
        <v>0</v>
      </c>
      <c r="X168">
        <v>-22.1</v>
      </c>
      <c r="Y168" t="s">
        <v>1390</v>
      </c>
      <c r="Z168">
        <v>-2.56416534226479</v>
      </c>
      <c r="AA168">
        <v>1182</v>
      </c>
      <c r="AB168">
        <v>104821</v>
      </c>
      <c r="AC168" t="s">
        <v>1684</v>
      </c>
      <c r="AD168">
        <v>59.2</v>
      </c>
      <c r="AE168" t="s">
        <v>1982</v>
      </c>
      <c r="AF168" t="s">
        <v>2280</v>
      </c>
      <c r="AG168">
        <v>1339</v>
      </c>
      <c r="AH168">
        <v>133</v>
      </c>
      <c r="AI168">
        <v>932563</v>
      </c>
      <c r="AJ168">
        <v>2.44</v>
      </c>
    </row>
    <row r="169" spans="1:36">
      <c r="A169" s="1" t="s">
        <v>203</v>
      </c>
      <c r="B169" t="s">
        <v>501</v>
      </c>
      <c r="C169">
        <f>HYPERLINK("https://finance.naver.com/item/coinfo.nhn?code=004430", "A004430")</f>
        <v>0</v>
      </c>
      <c r="D169">
        <f>HYPERLINK("http://comp.fnguide.com/SVO2/ASP/SVD_Consensus.asp?pGB=1&amp;gicode=A004430&amp;cID=&amp;MenuYn=Y&amp;ReportGB=&amp;NewMenuID=108&amp;stkGb=701", "송원산업")</f>
        <v>0</v>
      </c>
      <c r="E169">
        <v>3</v>
      </c>
      <c r="F169">
        <v>18400</v>
      </c>
      <c r="G169">
        <v>-1.32</v>
      </c>
      <c r="H169">
        <v>10.74</v>
      </c>
      <c r="I169">
        <v>20009</v>
      </c>
      <c r="J169">
        <v>18795</v>
      </c>
      <c r="K169">
        <v>18447</v>
      </c>
      <c r="L169">
        <v>-8.74</v>
      </c>
      <c r="M169">
        <v>-2.14</v>
      </c>
      <c r="N169">
        <v>-0.26</v>
      </c>
      <c r="O169">
        <v>8.92</v>
      </c>
      <c r="P169" t="b">
        <v>1</v>
      </c>
      <c r="Q169">
        <v>0</v>
      </c>
      <c r="R169">
        <v>1448</v>
      </c>
      <c r="S169">
        <v>1144</v>
      </c>
      <c r="T169">
        <v>-21</v>
      </c>
      <c r="U169" t="s">
        <v>799</v>
      </c>
      <c r="V169" t="s">
        <v>1097</v>
      </c>
      <c r="W169">
        <v>-8.1361307574916</v>
      </c>
      <c r="X169">
        <v>-14.5</v>
      </c>
      <c r="Y169" t="s">
        <v>1391</v>
      </c>
      <c r="Z169">
        <v>-0.02303785426702731</v>
      </c>
      <c r="AA169">
        <v>4416</v>
      </c>
      <c r="AB169">
        <v>649533</v>
      </c>
      <c r="AC169" t="s">
        <v>1685</v>
      </c>
      <c r="AD169">
        <v>35.63</v>
      </c>
      <c r="AE169" t="s">
        <v>1983</v>
      </c>
      <c r="AF169" t="s">
        <v>2281</v>
      </c>
      <c r="AG169">
        <v>8143</v>
      </c>
      <c r="AH169">
        <v>593</v>
      </c>
      <c r="AJ169">
        <v>0.96</v>
      </c>
    </row>
    <row r="170" spans="1:36">
      <c r="A170" s="1" t="s">
        <v>204</v>
      </c>
      <c r="B170" t="s">
        <v>502</v>
      </c>
      <c r="C170">
        <f>HYPERLINK("https://finance.naver.com/item/coinfo.nhn?code=053210", "A053210")</f>
        <v>0</v>
      </c>
      <c r="D170">
        <f>HYPERLINK("http://comp.fnguide.com/SVO2/ASP/SVD_Consensus.asp?pGB=1&amp;gicode=A053210&amp;cID=&amp;MenuYn=Y&amp;ReportGB=&amp;NewMenuID=108&amp;stkGb=701", "스카이라이프")</f>
        <v>0</v>
      </c>
      <c r="E170">
        <v>3</v>
      </c>
      <c r="F170">
        <v>8540</v>
      </c>
      <c r="G170">
        <v>-55.21</v>
      </c>
      <c r="H170">
        <v>7.64</v>
      </c>
      <c r="I170">
        <v>15569</v>
      </c>
      <c r="J170">
        <v>15047</v>
      </c>
      <c r="K170">
        <v>14898</v>
      </c>
      <c r="L170">
        <v>-82.3</v>
      </c>
      <c r="M170">
        <v>-76.19</v>
      </c>
      <c r="N170">
        <v>-74.45</v>
      </c>
      <c r="O170">
        <v>8.49</v>
      </c>
      <c r="P170" t="b">
        <v>1</v>
      </c>
      <c r="Q170">
        <v>2</v>
      </c>
      <c r="R170">
        <v>1141</v>
      </c>
      <c r="S170">
        <v>1196</v>
      </c>
      <c r="T170">
        <v>4.8</v>
      </c>
      <c r="U170" t="s">
        <v>800</v>
      </c>
      <c r="V170" t="s">
        <v>1098</v>
      </c>
      <c r="W170">
        <v>-0.1383692388217228</v>
      </c>
      <c r="X170">
        <v>22.8</v>
      </c>
      <c r="Y170" t="s">
        <v>1392</v>
      </c>
      <c r="Z170">
        <v>-1.634622382576045</v>
      </c>
      <c r="AA170">
        <v>4084</v>
      </c>
      <c r="AB170">
        <v>107230</v>
      </c>
      <c r="AC170" t="s">
        <v>1686</v>
      </c>
      <c r="AD170">
        <v>50</v>
      </c>
      <c r="AE170" t="s">
        <v>1984</v>
      </c>
      <c r="AF170" t="s">
        <v>2282</v>
      </c>
      <c r="AG170">
        <v>6946</v>
      </c>
      <c r="AH170">
        <v>694</v>
      </c>
      <c r="AI170">
        <v>258613</v>
      </c>
      <c r="AJ170">
        <v>4.01</v>
      </c>
    </row>
    <row r="171" spans="1:36">
      <c r="A171" s="1" t="s">
        <v>205</v>
      </c>
      <c r="B171" t="s">
        <v>503</v>
      </c>
      <c r="C171">
        <f>HYPERLINK("https://finance.naver.com/item/coinfo.nhn?code=005670", "A005670")</f>
        <v>0</v>
      </c>
      <c r="D171">
        <f>HYPERLINK("http://comp.fnguide.com/SVO2/ASP/SVD_Consensus.asp?pGB=1&amp;gicode=A005670&amp;cID=&amp;MenuYn=Y&amp;ReportGB=&amp;NewMenuID=108&amp;stkGb=701", "푸드웰")</f>
        <v>0</v>
      </c>
      <c r="E171">
        <v>3</v>
      </c>
      <c r="F171">
        <v>6790</v>
      </c>
      <c r="G171">
        <v>0.06</v>
      </c>
      <c r="H171">
        <v>1.96</v>
      </c>
      <c r="I171">
        <v>28950</v>
      </c>
      <c r="J171">
        <v>16333</v>
      </c>
      <c r="K171">
        <v>12721</v>
      </c>
      <c r="L171">
        <v>-326.36</v>
      </c>
      <c r="M171">
        <v>-140.54</v>
      </c>
      <c r="N171">
        <v>-87.34999999999999</v>
      </c>
      <c r="O171">
        <v>29.38</v>
      </c>
      <c r="P171" t="b">
        <v>1</v>
      </c>
      <c r="Q171">
        <v>0</v>
      </c>
      <c r="R171">
        <v>3109</v>
      </c>
      <c r="S171">
        <v>575</v>
      </c>
      <c r="T171">
        <v>-81.5</v>
      </c>
      <c r="U171" t="s">
        <v>801</v>
      </c>
      <c r="V171" t="s">
        <v>1099</v>
      </c>
      <c r="W171">
        <v>30.30507473520372</v>
      </c>
      <c r="X171">
        <v>-90.7</v>
      </c>
      <c r="Y171" t="s">
        <v>1393</v>
      </c>
      <c r="Z171">
        <v>35.9504940035307</v>
      </c>
      <c r="AA171">
        <v>679</v>
      </c>
      <c r="AB171">
        <v>130810</v>
      </c>
      <c r="AC171" t="s">
        <v>1687</v>
      </c>
      <c r="AD171">
        <v>45.81</v>
      </c>
      <c r="AE171" t="s">
        <v>1985</v>
      </c>
      <c r="AF171" t="s">
        <v>2283</v>
      </c>
      <c r="AG171">
        <v>1439</v>
      </c>
      <c r="AH171">
        <v>86</v>
      </c>
      <c r="AI171">
        <v>280618</v>
      </c>
      <c r="AJ171">
        <v>1.64</v>
      </c>
    </row>
    <row r="172" spans="1:36">
      <c r="A172" s="1" t="s">
        <v>206</v>
      </c>
      <c r="B172" t="s">
        <v>504</v>
      </c>
      <c r="C172">
        <f>HYPERLINK("https://finance.naver.com/item/coinfo.nhn?code=138040", "A138040")</f>
        <v>0</v>
      </c>
      <c r="D172">
        <f>HYPERLINK("http://comp.fnguide.com/SVO2/ASP/SVD_Consensus.asp?pGB=1&amp;gicode=A138040&amp;cID=&amp;MenuYn=Y&amp;ReportGB=&amp;NewMenuID=108&amp;stkGb=701", "메리츠금융지주")</f>
        <v>0</v>
      </c>
      <c r="E172">
        <v>3</v>
      </c>
      <c r="F172">
        <v>12250</v>
      </c>
      <c r="G172">
        <v>0.11</v>
      </c>
      <c r="H172">
        <v>4.15</v>
      </c>
      <c r="I172">
        <v>40322</v>
      </c>
      <c r="J172">
        <v>28668</v>
      </c>
      <c r="K172">
        <v>25333</v>
      </c>
      <c r="L172">
        <v>-229.16</v>
      </c>
      <c r="M172">
        <v>-134.03</v>
      </c>
      <c r="N172">
        <v>-106.8</v>
      </c>
      <c r="O172">
        <v>15.49</v>
      </c>
      <c r="P172" t="b">
        <v>1</v>
      </c>
      <c r="Q172">
        <v>2</v>
      </c>
      <c r="R172">
        <v>2841</v>
      </c>
      <c r="S172">
        <v>6905</v>
      </c>
      <c r="T172">
        <v>143</v>
      </c>
      <c r="U172" t="s">
        <v>802</v>
      </c>
      <c r="V172" t="s">
        <v>1100</v>
      </c>
      <c r="W172">
        <v>38.65204656891741</v>
      </c>
      <c r="X172">
        <v>4.8</v>
      </c>
      <c r="Y172" t="s">
        <v>1394</v>
      </c>
      <c r="Z172">
        <v>4.539413365111278</v>
      </c>
      <c r="AA172">
        <v>16416</v>
      </c>
      <c r="AB172">
        <v>288764</v>
      </c>
      <c r="AC172" t="s">
        <v>1688</v>
      </c>
      <c r="AD172">
        <v>72.25</v>
      </c>
      <c r="AE172" t="s">
        <v>1986</v>
      </c>
      <c r="AF172" t="s">
        <v>2284</v>
      </c>
      <c r="AG172">
        <v>18316</v>
      </c>
      <c r="AH172">
        <v>9623</v>
      </c>
      <c r="AI172">
        <v>2385670</v>
      </c>
      <c r="AJ172">
        <v>4.66</v>
      </c>
    </row>
    <row r="173" spans="1:36">
      <c r="A173" s="1" t="s">
        <v>207</v>
      </c>
      <c r="B173" t="s">
        <v>505</v>
      </c>
      <c r="C173">
        <f>HYPERLINK("https://finance.naver.com/item/coinfo.nhn?code=011170", "A011170")</f>
        <v>0</v>
      </c>
      <c r="D173">
        <f>HYPERLINK("http://comp.fnguide.com/SVO2/ASP/SVD_Consensus.asp?pGB=1&amp;gicode=A011170&amp;cID=&amp;MenuYn=Y&amp;ReportGB=&amp;NewMenuID=108&amp;stkGb=701", "롯데케미칼")</f>
        <v>0</v>
      </c>
      <c r="E173">
        <v>3</v>
      </c>
      <c r="F173">
        <v>318000</v>
      </c>
      <c r="G173">
        <v>-0.21</v>
      </c>
      <c r="H173">
        <v>10.74</v>
      </c>
      <c r="I173">
        <v>513419</v>
      </c>
      <c r="J173">
        <v>436585</v>
      </c>
      <c r="K173">
        <v>414593</v>
      </c>
      <c r="L173">
        <v>-61.45</v>
      </c>
      <c r="M173">
        <v>-37.29</v>
      </c>
      <c r="N173">
        <v>-30.38</v>
      </c>
      <c r="O173">
        <v>10.69</v>
      </c>
      <c r="P173" t="b">
        <v>1</v>
      </c>
      <c r="Q173">
        <v>0</v>
      </c>
      <c r="R173">
        <v>20860</v>
      </c>
      <c r="S173">
        <v>8175</v>
      </c>
      <c r="T173">
        <v>-60.8</v>
      </c>
      <c r="U173" t="s">
        <v>803</v>
      </c>
      <c r="V173" t="s">
        <v>1101</v>
      </c>
      <c r="W173">
        <v>-49.99819953150117</v>
      </c>
      <c r="X173">
        <v>-87.8</v>
      </c>
      <c r="Y173" t="s">
        <v>1395</v>
      </c>
      <c r="Z173">
        <v>-38.5028874169244</v>
      </c>
      <c r="AA173">
        <v>108996</v>
      </c>
      <c r="AB173">
        <v>602223</v>
      </c>
      <c r="AC173" t="s">
        <v>1689</v>
      </c>
      <c r="AD173">
        <v>54.92</v>
      </c>
      <c r="AE173" t="s">
        <v>1987</v>
      </c>
      <c r="AF173" t="s">
        <v>2285</v>
      </c>
      <c r="AG173">
        <v>151235</v>
      </c>
      <c r="AH173">
        <v>11073</v>
      </c>
      <c r="AJ173">
        <v>2.99</v>
      </c>
    </row>
    <row r="174" spans="1:36">
      <c r="A174" s="1" t="s">
        <v>208</v>
      </c>
      <c r="B174" t="s">
        <v>506</v>
      </c>
      <c r="C174">
        <f>HYPERLINK("https://finance.naver.com/item/coinfo.nhn?code=000060", "A000060")</f>
        <v>0</v>
      </c>
      <c r="D174">
        <f>HYPERLINK("http://comp.fnguide.com/SVO2/ASP/SVD_Consensus.asp?pGB=1&amp;gicode=A000060&amp;cID=&amp;MenuYn=Y&amp;ReportGB=&amp;NewMenuID=108&amp;stkGb=701", "메리츠화재")</f>
        <v>0</v>
      </c>
      <c r="E174">
        <v>3</v>
      </c>
      <c r="F174">
        <v>16100</v>
      </c>
      <c r="G174">
        <v>6.99</v>
      </c>
      <c r="H174">
        <v>6.75</v>
      </c>
      <c r="I174">
        <v>35942</v>
      </c>
      <c r="J174">
        <v>26751</v>
      </c>
      <c r="K174">
        <v>24120</v>
      </c>
      <c r="L174">
        <v>-123.24</v>
      </c>
      <c r="M174">
        <v>-66.16</v>
      </c>
      <c r="N174">
        <v>-49.82</v>
      </c>
      <c r="O174">
        <v>13.99</v>
      </c>
      <c r="P174" t="b">
        <v>1</v>
      </c>
      <c r="Q174">
        <v>2</v>
      </c>
      <c r="R174">
        <v>2643</v>
      </c>
      <c r="S174">
        <v>3580</v>
      </c>
      <c r="T174">
        <v>35.5</v>
      </c>
      <c r="U174" t="s">
        <v>804</v>
      </c>
      <c r="V174" t="s">
        <v>1102</v>
      </c>
      <c r="W174">
        <v>0.9659068669766624</v>
      </c>
      <c r="X174">
        <v>16.5</v>
      </c>
      <c r="Y174" t="s">
        <v>1396</v>
      </c>
      <c r="Z174">
        <v>15.65850051513527</v>
      </c>
      <c r="AA174">
        <v>19421</v>
      </c>
      <c r="AB174">
        <v>679141</v>
      </c>
      <c r="AC174" t="s">
        <v>1690</v>
      </c>
      <c r="AD174">
        <v>56.32</v>
      </c>
      <c r="AE174" t="s">
        <v>1988</v>
      </c>
      <c r="AF174" t="s">
        <v>2286</v>
      </c>
      <c r="AG174">
        <v>80830</v>
      </c>
      <c r="AH174">
        <v>3528</v>
      </c>
      <c r="AI174">
        <v>2600822</v>
      </c>
      <c r="AJ174">
        <v>4.76</v>
      </c>
    </row>
    <row r="175" spans="1:36">
      <c r="A175" s="1" t="s">
        <v>209</v>
      </c>
      <c r="B175" t="s">
        <v>507</v>
      </c>
      <c r="C175">
        <f>HYPERLINK("https://finance.naver.com/item/coinfo.nhn?code=007120", "A007120")</f>
        <v>0</v>
      </c>
      <c r="D175">
        <f>HYPERLINK("http://comp.fnguide.com/SVO2/ASP/SVD_Consensus.asp?pGB=1&amp;gicode=A007120&amp;cID=&amp;MenuYn=Y&amp;ReportGB=&amp;NewMenuID=108&amp;stkGb=701", "미래아이앤지")</f>
        <v>0</v>
      </c>
      <c r="E175">
        <v>3</v>
      </c>
      <c r="F175">
        <v>501</v>
      </c>
      <c r="G175">
        <v>0</v>
      </c>
      <c r="H175">
        <v>3</v>
      </c>
      <c r="I175">
        <v>758</v>
      </c>
      <c r="J175">
        <v>627</v>
      </c>
      <c r="K175">
        <v>590</v>
      </c>
      <c r="L175">
        <v>-51.28</v>
      </c>
      <c r="M175">
        <v>-25.22</v>
      </c>
      <c r="N175">
        <v>-17.76</v>
      </c>
      <c r="O175">
        <v>11.26</v>
      </c>
      <c r="P175" t="b">
        <v>1</v>
      </c>
      <c r="Q175">
        <v>2</v>
      </c>
      <c r="R175">
        <v>108</v>
      </c>
      <c r="S175">
        <v>150</v>
      </c>
      <c r="T175">
        <v>38.9</v>
      </c>
      <c r="U175" t="s">
        <v>805</v>
      </c>
      <c r="V175" t="s">
        <v>1103</v>
      </c>
      <c r="W175">
        <v>0</v>
      </c>
      <c r="X175">
        <v>836</v>
      </c>
      <c r="Y175" t="s">
        <v>1397</v>
      </c>
      <c r="Z175">
        <v>836</v>
      </c>
      <c r="AA175">
        <v>649</v>
      </c>
      <c r="AB175">
        <v>2832662</v>
      </c>
      <c r="AC175" t="s">
        <v>1691</v>
      </c>
      <c r="AD175">
        <v>24.76</v>
      </c>
      <c r="AE175" t="s">
        <v>1989</v>
      </c>
      <c r="AF175" t="s">
        <v>2287</v>
      </c>
      <c r="AG175">
        <v>75</v>
      </c>
      <c r="AH175">
        <v>1</v>
      </c>
      <c r="AI175">
        <v>799813</v>
      </c>
    </row>
    <row r="176" spans="1:36">
      <c r="A176" s="1" t="s">
        <v>210</v>
      </c>
      <c r="B176" t="s">
        <v>508</v>
      </c>
      <c r="C176">
        <f>HYPERLINK("https://finance.naver.com/item/coinfo.nhn?code=004000", "A004000")</f>
        <v>0</v>
      </c>
      <c r="D176">
        <f>HYPERLINK("http://comp.fnguide.com/SVO2/ASP/SVD_Consensus.asp?pGB=1&amp;gicode=A004000&amp;cID=&amp;MenuYn=Y&amp;ReportGB=&amp;NewMenuID=108&amp;stkGb=701", "롯데정밀화학")</f>
        <v>0</v>
      </c>
      <c r="E176">
        <v>3</v>
      </c>
      <c r="F176">
        <v>53400</v>
      </c>
      <c r="G176">
        <v>0.23</v>
      </c>
      <c r="H176">
        <v>6.92</v>
      </c>
      <c r="I176">
        <v>93037</v>
      </c>
      <c r="J176">
        <v>72407</v>
      </c>
      <c r="K176">
        <v>66502</v>
      </c>
      <c r="L176">
        <v>-74.23</v>
      </c>
      <c r="M176">
        <v>-35.59</v>
      </c>
      <c r="N176">
        <v>-24.54</v>
      </c>
      <c r="O176">
        <v>12.73</v>
      </c>
      <c r="P176" t="b">
        <v>1</v>
      </c>
      <c r="Q176">
        <v>1</v>
      </c>
      <c r="R176">
        <v>6526</v>
      </c>
      <c r="S176">
        <v>7705</v>
      </c>
      <c r="T176">
        <v>18.1</v>
      </c>
      <c r="U176" t="s">
        <v>806</v>
      </c>
      <c r="V176" t="s">
        <v>1104</v>
      </c>
      <c r="W176">
        <v>30.58382354106936</v>
      </c>
      <c r="X176">
        <v>2.1</v>
      </c>
      <c r="Y176" t="s">
        <v>1398</v>
      </c>
      <c r="Z176">
        <v>24.41557987253018</v>
      </c>
      <c r="AA176">
        <v>13777</v>
      </c>
      <c r="AB176">
        <v>155978</v>
      </c>
      <c r="AC176" t="s">
        <v>1692</v>
      </c>
      <c r="AD176">
        <v>31.13</v>
      </c>
      <c r="AE176" t="s">
        <v>1990</v>
      </c>
      <c r="AF176" t="s">
        <v>2288</v>
      </c>
      <c r="AG176">
        <v>13113</v>
      </c>
      <c r="AH176">
        <v>1897</v>
      </c>
      <c r="AI176">
        <v>330000</v>
      </c>
      <c r="AJ176">
        <v>3.77</v>
      </c>
    </row>
    <row r="177" spans="1:36">
      <c r="A177" s="1" t="s">
        <v>211</v>
      </c>
      <c r="B177" t="s">
        <v>509</v>
      </c>
      <c r="C177">
        <f>HYPERLINK("https://finance.naver.com/item/coinfo.nhn?code=010960", "A010960")</f>
        <v>0</v>
      </c>
      <c r="D177">
        <f>HYPERLINK("http://comp.fnguide.com/SVO2/ASP/SVD_Consensus.asp?pGB=1&amp;gicode=A010960&amp;cID=&amp;MenuYn=Y&amp;ReportGB=&amp;NewMenuID=108&amp;stkGb=701", "삼호개발")</f>
        <v>0</v>
      </c>
      <c r="E177">
        <v>3</v>
      </c>
      <c r="F177">
        <v>4430</v>
      </c>
      <c r="G177">
        <v>0</v>
      </c>
      <c r="H177">
        <v>5.75</v>
      </c>
      <c r="I177">
        <v>12394</v>
      </c>
      <c r="J177">
        <v>10624</v>
      </c>
      <c r="K177">
        <v>10117</v>
      </c>
      <c r="L177">
        <v>-179.77</v>
      </c>
      <c r="M177">
        <v>-139.81</v>
      </c>
      <c r="N177">
        <v>-128.38</v>
      </c>
      <c r="O177">
        <v>10.53</v>
      </c>
      <c r="P177" t="b">
        <v>1</v>
      </c>
      <c r="Q177">
        <v>0</v>
      </c>
      <c r="R177">
        <v>744</v>
      </c>
      <c r="U177" t="s">
        <v>807</v>
      </c>
      <c r="V177" t="s">
        <v>1105</v>
      </c>
      <c r="W177">
        <v>0</v>
      </c>
      <c r="X177">
        <v>-13.8</v>
      </c>
      <c r="Y177" t="s">
        <v>1399</v>
      </c>
      <c r="Z177">
        <v>17.35445229750445</v>
      </c>
      <c r="AA177">
        <v>1108</v>
      </c>
      <c r="AB177">
        <v>159289</v>
      </c>
      <c r="AC177" t="s">
        <v>1693</v>
      </c>
      <c r="AD177">
        <v>32.44</v>
      </c>
      <c r="AE177" t="s">
        <v>1991</v>
      </c>
      <c r="AF177" t="s">
        <v>2289</v>
      </c>
      <c r="AG177">
        <v>3634</v>
      </c>
      <c r="AH177">
        <v>136</v>
      </c>
      <c r="AI177">
        <v>2640000</v>
      </c>
      <c r="AJ177">
        <v>4.44</v>
      </c>
    </row>
    <row r="178" spans="1:36">
      <c r="A178" s="1" t="s">
        <v>212</v>
      </c>
      <c r="B178" t="s">
        <v>510</v>
      </c>
      <c r="C178">
        <f>HYPERLINK("https://finance.naver.com/item/coinfo.nhn?code=007340", "A007340")</f>
        <v>0</v>
      </c>
      <c r="D178">
        <f>HYPERLINK("http://comp.fnguide.com/SVO2/ASP/SVD_Consensus.asp?pGB=1&amp;gicode=A007340&amp;cID=&amp;MenuYn=Y&amp;ReportGB=&amp;NewMenuID=108&amp;stkGb=701", "디티알오토모티브")</f>
        <v>0</v>
      </c>
      <c r="E178">
        <v>3</v>
      </c>
      <c r="F178">
        <v>27450</v>
      </c>
      <c r="G178">
        <v>0</v>
      </c>
      <c r="H178">
        <v>4.46</v>
      </c>
      <c r="I178">
        <v>92600</v>
      </c>
      <c r="J178">
        <v>78964</v>
      </c>
      <c r="K178">
        <v>75061</v>
      </c>
      <c r="L178">
        <v>-237.34</v>
      </c>
      <c r="M178">
        <v>-187.67</v>
      </c>
      <c r="N178">
        <v>-173.45</v>
      </c>
      <c r="O178">
        <v>10.63</v>
      </c>
      <c r="P178" t="b">
        <v>1</v>
      </c>
      <c r="Q178">
        <v>0</v>
      </c>
      <c r="R178">
        <v>6584</v>
      </c>
      <c r="U178" t="s">
        <v>808</v>
      </c>
      <c r="V178" t="s">
        <v>1106</v>
      </c>
      <c r="W178">
        <v>0</v>
      </c>
      <c r="X178">
        <v>-27.4</v>
      </c>
      <c r="Y178" t="s">
        <v>1400</v>
      </c>
      <c r="Z178">
        <v>9.298220911236665</v>
      </c>
      <c r="AA178">
        <v>2743</v>
      </c>
      <c r="AB178">
        <v>31866</v>
      </c>
      <c r="AC178" t="s">
        <v>1694</v>
      </c>
      <c r="AD178">
        <v>50.89</v>
      </c>
      <c r="AE178" t="s">
        <v>1992</v>
      </c>
      <c r="AF178" t="s">
        <v>2290</v>
      </c>
      <c r="AG178">
        <v>9298</v>
      </c>
      <c r="AH178">
        <v>802</v>
      </c>
      <c r="AI178">
        <v>1375880</v>
      </c>
      <c r="AJ178">
        <v>5.11</v>
      </c>
    </row>
    <row r="179" spans="1:36">
      <c r="A179" s="1" t="s">
        <v>213</v>
      </c>
      <c r="B179" t="s">
        <v>511</v>
      </c>
      <c r="C179">
        <f>HYPERLINK("https://finance.naver.com/item/coinfo.nhn?code=189690", "A189690")</f>
        <v>0</v>
      </c>
      <c r="D179">
        <f>HYPERLINK("http://comp.fnguide.com/SVO2/ASP/SVD_Consensus.asp?pGB=1&amp;gicode=A189690&amp;cID=&amp;MenuYn=Y&amp;ReportGB=&amp;NewMenuID=108&amp;stkGb=701", "포시에스")</f>
        <v>0</v>
      </c>
      <c r="E179">
        <v>3</v>
      </c>
      <c r="F179">
        <v>6670</v>
      </c>
      <c r="G179">
        <v>0</v>
      </c>
      <c r="H179">
        <v>11.99</v>
      </c>
      <c r="I179">
        <v>7169</v>
      </c>
      <c r="J179">
        <v>6955</v>
      </c>
      <c r="K179">
        <v>6894</v>
      </c>
      <c r="L179">
        <v>-7.48</v>
      </c>
      <c r="M179">
        <v>-4.27</v>
      </c>
      <c r="N179">
        <v>-3.35</v>
      </c>
      <c r="O179">
        <v>8.44</v>
      </c>
      <c r="P179" t="b">
        <v>1</v>
      </c>
      <c r="Q179">
        <v>0</v>
      </c>
      <c r="R179">
        <v>620</v>
      </c>
      <c r="U179" t="s">
        <v>809</v>
      </c>
      <c r="V179" t="s">
        <v>1107</v>
      </c>
      <c r="W179">
        <v>0</v>
      </c>
      <c r="X179">
        <v>-33.3</v>
      </c>
      <c r="Y179" t="s">
        <v>1401</v>
      </c>
      <c r="Z179">
        <v>-4.314940650518729</v>
      </c>
      <c r="AA179">
        <v>551</v>
      </c>
      <c r="AB179">
        <v>74488</v>
      </c>
      <c r="AC179" t="s">
        <v>1695</v>
      </c>
      <c r="AD179">
        <v>51.35</v>
      </c>
      <c r="AE179" t="s">
        <v>1993</v>
      </c>
      <c r="AF179" t="s">
        <v>2291</v>
      </c>
      <c r="AG179">
        <v>217</v>
      </c>
      <c r="AH179">
        <v>48</v>
      </c>
      <c r="AI179">
        <v>274553</v>
      </c>
      <c r="AJ179">
        <v>1.28</v>
      </c>
    </row>
    <row r="180" spans="1:36">
      <c r="A180" s="1" t="s">
        <v>214</v>
      </c>
      <c r="B180" t="s">
        <v>512</v>
      </c>
      <c r="C180">
        <f>HYPERLINK("https://finance.naver.com/item/coinfo.nhn?code=001340", "A001340")</f>
        <v>0</v>
      </c>
      <c r="D180">
        <f>HYPERLINK("http://comp.fnguide.com/SVO2/ASP/SVD_Consensus.asp?pGB=1&amp;gicode=A001340&amp;cID=&amp;MenuYn=Y&amp;ReportGB=&amp;NewMenuID=108&amp;stkGb=701", "백광산업")</f>
        <v>0</v>
      </c>
      <c r="E180">
        <v>3</v>
      </c>
      <c r="F180">
        <v>3595</v>
      </c>
      <c r="G180">
        <v>0.53</v>
      </c>
      <c r="H180">
        <v>6.89</v>
      </c>
      <c r="I180">
        <v>5231</v>
      </c>
      <c r="J180">
        <v>4367</v>
      </c>
      <c r="K180">
        <v>4119</v>
      </c>
      <c r="L180">
        <v>-45.5</v>
      </c>
      <c r="M180">
        <v>-21.47</v>
      </c>
      <c r="N180">
        <v>-14.59</v>
      </c>
      <c r="O180">
        <v>11.07</v>
      </c>
      <c r="P180" t="b">
        <v>1</v>
      </c>
      <c r="Q180">
        <v>0</v>
      </c>
      <c r="R180">
        <v>357</v>
      </c>
      <c r="S180">
        <v>204</v>
      </c>
      <c r="T180">
        <v>-42.9</v>
      </c>
      <c r="U180" t="s">
        <v>810</v>
      </c>
      <c r="V180" t="s">
        <v>1108</v>
      </c>
      <c r="W180">
        <v>13.05936917320263</v>
      </c>
      <c r="X180">
        <v>-46.5</v>
      </c>
      <c r="Y180" t="s">
        <v>1402</v>
      </c>
      <c r="Z180">
        <v>37.94921854664781</v>
      </c>
      <c r="AA180">
        <v>1615</v>
      </c>
      <c r="AB180">
        <v>1078586</v>
      </c>
      <c r="AC180" t="s">
        <v>1696</v>
      </c>
      <c r="AD180">
        <v>43.98</v>
      </c>
      <c r="AE180" t="s">
        <v>1994</v>
      </c>
      <c r="AF180" t="s">
        <v>2292</v>
      </c>
      <c r="AG180">
        <v>1684</v>
      </c>
      <c r="AH180">
        <v>212</v>
      </c>
      <c r="AI180">
        <v>769300</v>
      </c>
      <c r="AJ180">
        <v>3.05</v>
      </c>
    </row>
    <row r="181" spans="1:36">
      <c r="A181" s="1" t="s">
        <v>215</v>
      </c>
      <c r="B181" t="s">
        <v>513</v>
      </c>
      <c r="C181">
        <f>HYPERLINK("https://finance.naver.com/item/coinfo.nhn?code=043370", "A043370")</f>
        <v>0</v>
      </c>
      <c r="D181">
        <f>HYPERLINK("http://comp.fnguide.com/SVO2/ASP/SVD_Consensus.asp?pGB=1&amp;gicode=A043370&amp;cID=&amp;MenuYn=Y&amp;ReportGB=&amp;NewMenuID=108&amp;stkGb=701", "평화정공")</f>
        <v>0</v>
      </c>
      <c r="E181">
        <v>3</v>
      </c>
      <c r="F181">
        <v>10850</v>
      </c>
      <c r="G181">
        <v>-0.14</v>
      </c>
      <c r="H181">
        <v>5.73</v>
      </c>
      <c r="I181">
        <v>28638</v>
      </c>
      <c r="J181">
        <v>28299</v>
      </c>
      <c r="K181">
        <v>28201</v>
      </c>
      <c r="L181">
        <v>-163.94</v>
      </c>
      <c r="M181">
        <v>-160.82</v>
      </c>
      <c r="N181">
        <v>-159.92</v>
      </c>
      <c r="O181">
        <v>8.18</v>
      </c>
      <c r="P181" t="b">
        <v>1</v>
      </c>
      <c r="Q181">
        <v>0</v>
      </c>
      <c r="R181">
        <v>1506</v>
      </c>
      <c r="S181">
        <v>756</v>
      </c>
      <c r="T181">
        <v>-49.8</v>
      </c>
      <c r="U181" t="s">
        <v>811</v>
      </c>
      <c r="V181" t="s">
        <v>1109</v>
      </c>
      <c r="W181">
        <v>-40.27404420929386</v>
      </c>
      <c r="X181">
        <v>-87.90000000000001</v>
      </c>
      <c r="Y181" t="s">
        <v>1403</v>
      </c>
      <c r="Z181">
        <v>-12.27419855721225</v>
      </c>
      <c r="AA181">
        <v>2279</v>
      </c>
      <c r="AB181">
        <v>172852</v>
      </c>
      <c r="AC181" t="s">
        <v>1697</v>
      </c>
      <c r="AD181">
        <v>54.63</v>
      </c>
      <c r="AE181" t="s">
        <v>1995</v>
      </c>
      <c r="AF181" t="s">
        <v>2293</v>
      </c>
      <c r="AG181">
        <v>10884</v>
      </c>
      <c r="AH181">
        <v>156</v>
      </c>
      <c r="AI181">
        <v>463438</v>
      </c>
      <c r="AJ181">
        <v>2.09</v>
      </c>
    </row>
    <row r="182" spans="1:36">
      <c r="A182" s="1" t="s">
        <v>216</v>
      </c>
      <c r="B182" t="s">
        <v>514</v>
      </c>
      <c r="C182">
        <f>HYPERLINK("https://finance.naver.com/item/coinfo.nhn?code=003960", "A003960")</f>
        <v>0</v>
      </c>
      <c r="D182">
        <f>HYPERLINK("http://comp.fnguide.com/SVO2/ASP/SVD_Consensus.asp?pGB=1&amp;gicode=A003960&amp;cID=&amp;MenuYn=Y&amp;ReportGB=&amp;NewMenuID=108&amp;stkGb=701", "사조대림")</f>
        <v>0</v>
      </c>
      <c r="E182">
        <v>3</v>
      </c>
      <c r="F182">
        <v>16900</v>
      </c>
      <c r="G182">
        <v>-0.25</v>
      </c>
      <c r="H182">
        <v>1.52</v>
      </c>
      <c r="I182">
        <v>103587</v>
      </c>
      <c r="J182">
        <v>67394</v>
      </c>
      <c r="K182">
        <v>57034</v>
      </c>
      <c r="L182">
        <v>-512.9400000000001</v>
      </c>
      <c r="M182">
        <v>-298.78</v>
      </c>
      <c r="N182">
        <v>-237.48</v>
      </c>
      <c r="O182">
        <v>19.23</v>
      </c>
      <c r="P182" t="b">
        <v>1</v>
      </c>
      <c r="Q182">
        <v>0</v>
      </c>
      <c r="R182">
        <v>10553</v>
      </c>
      <c r="S182">
        <v>3972</v>
      </c>
      <c r="T182">
        <v>-62.4</v>
      </c>
      <c r="U182" t="s">
        <v>812</v>
      </c>
      <c r="V182" t="s">
        <v>1110</v>
      </c>
      <c r="W182">
        <v>-6.188804502913447</v>
      </c>
      <c r="X182">
        <v>-73.09999999999999</v>
      </c>
      <c r="Y182" t="s">
        <v>1404</v>
      </c>
      <c r="Z182">
        <v>6.675268844958326</v>
      </c>
      <c r="AA182">
        <v>1549</v>
      </c>
      <c r="AB182">
        <v>37295</v>
      </c>
      <c r="AC182" t="s">
        <v>1698</v>
      </c>
      <c r="AD182">
        <v>47.43</v>
      </c>
      <c r="AE182" t="s">
        <v>1996</v>
      </c>
      <c r="AF182" t="s">
        <v>2294</v>
      </c>
      <c r="AG182">
        <v>13297</v>
      </c>
      <c r="AH182">
        <v>496</v>
      </c>
      <c r="AI182">
        <v>1814170</v>
      </c>
      <c r="AJ182">
        <v>0.9399999999999999</v>
      </c>
    </row>
    <row r="183" spans="1:36">
      <c r="A183" s="1" t="s">
        <v>217</v>
      </c>
      <c r="B183" t="s">
        <v>515</v>
      </c>
      <c r="C183">
        <f>HYPERLINK("https://finance.naver.com/item/coinfo.nhn?code=006090", "A006090")</f>
        <v>0</v>
      </c>
      <c r="D183">
        <f>HYPERLINK("http://comp.fnguide.com/SVO2/ASP/SVD_Consensus.asp?pGB=1&amp;gicode=A006090&amp;cID=&amp;MenuYn=Y&amp;ReportGB=&amp;NewMenuID=108&amp;stkGb=701", "사조오양")</f>
        <v>0</v>
      </c>
      <c r="E183">
        <v>3</v>
      </c>
      <c r="F183">
        <v>9750</v>
      </c>
      <c r="G183">
        <v>0</v>
      </c>
      <c r="H183">
        <v>5.4</v>
      </c>
      <c r="I183">
        <v>19339</v>
      </c>
      <c r="J183">
        <v>18409</v>
      </c>
      <c r="K183">
        <v>18142</v>
      </c>
      <c r="L183">
        <v>-98.34999999999999</v>
      </c>
      <c r="M183">
        <v>-88.81</v>
      </c>
      <c r="N183">
        <v>-86.06999999999999</v>
      </c>
      <c r="O183">
        <v>8.720000000000001</v>
      </c>
      <c r="P183" t="b">
        <v>1</v>
      </c>
      <c r="Q183">
        <v>0</v>
      </c>
      <c r="R183">
        <v>1402</v>
      </c>
      <c r="U183" t="s">
        <v>813</v>
      </c>
      <c r="V183" t="s">
        <v>1111</v>
      </c>
      <c r="W183">
        <v>0</v>
      </c>
      <c r="X183">
        <v>80.59999999999999</v>
      </c>
      <c r="Y183" t="s">
        <v>1405</v>
      </c>
      <c r="Z183">
        <v>13.55978918744829</v>
      </c>
      <c r="AA183">
        <v>919</v>
      </c>
      <c r="AB183">
        <v>128350</v>
      </c>
      <c r="AC183" t="s">
        <v>1699</v>
      </c>
      <c r="AD183">
        <v>60.53</v>
      </c>
      <c r="AE183" t="s">
        <v>1997</v>
      </c>
      <c r="AF183" t="s">
        <v>2295</v>
      </c>
      <c r="AG183">
        <v>3136</v>
      </c>
      <c r="AH183">
        <v>226</v>
      </c>
      <c r="AI183">
        <v>3</v>
      </c>
      <c r="AJ183">
        <v>1.32</v>
      </c>
    </row>
    <row r="184" spans="1:36">
      <c r="A184" s="1" t="s">
        <v>218</v>
      </c>
      <c r="B184" t="s">
        <v>516</v>
      </c>
      <c r="C184">
        <f>HYPERLINK("https://finance.naver.com/item/coinfo.nhn?code=251970", "A251970")</f>
        <v>0</v>
      </c>
      <c r="D184">
        <f>HYPERLINK("http://comp.fnguide.com/SVO2/ASP/SVD_Consensus.asp?pGB=1&amp;gicode=A251970&amp;cID=&amp;MenuYn=Y&amp;ReportGB=&amp;NewMenuID=108&amp;stkGb=701", "펌텍코리아")</f>
        <v>0</v>
      </c>
      <c r="E184">
        <v>3</v>
      </c>
      <c r="F184">
        <v>16650</v>
      </c>
      <c r="G184">
        <v>0.78</v>
      </c>
      <c r="H184">
        <v>11.08</v>
      </c>
      <c r="I184">
        <v>35224</v>
      </c>
      <c r="J184">
        <v>21256</v>
      </c>
      <c r="K184">
        <v>17257</v>
      </c>
      <c r="L184">
        <v>-111.56</v>
      </c>
      <c r="M184">
        <v>-27.66</v>
      </c>
      <c r="N184">
        <v>-3.65</v>
      </c>
      <c r="O184">
        <v>23.7</v>
      </c>
      <c r="P184" t="b">
        <v>1</v>
      </c>
      <c r="Q184">
        <v>1</v>
      </c>
      <c r="R184">
        <v>1661</v>
      </c>
      <c r="S184">
        <v>1975</v>
      </c>
      <c r="T184">
        <v>18.9</v>
      </c>
      <c r="U184" t="s">
        <v>814</v>
      </c>
      <c r="V184" t="s">
        <v>1112</v>
      </c>
      <c r="W184">
        <v>14.168942852186</v>
      </c>
      <c r="X184">
        <v>-3.2</v>
      </c>
      <c r="Y184" t="s">
        <v>1406</v>
      </c>
      <c r="Z184">
        <v>-4.763855776294202</v>
      </c>
      <c r="AA184">
        <v>2065</v>
      </c>
      <c r="AB184">
        <v>138373</v>
      </c>
      <c r="AC184" t="s">
        <v>1700</v>
      </c>
      <c r="AD184">
        <v>61.4</v>
      </c>
      <c r="AE184" t="s">
        <v>1998</v>
      </c>
      <c r="AF184" t="s">
        <v>2296</v>
      </c>
      <c r="AG184">
        <v>1754</v>
      </c>
      <c r="AH184">
        <v>269</v>
      </c>
      <c r="AI184">
        <v>287382</v>
      </c>
      <c r="AJ184">
        <v>1.79</v>
      </c>
    </row>
    <row r="185" spans="1:36">
      <c r="A185" s="1" t="s">
        <v>219</v>
      </c>
      <c r="B185" t="s">
        <v>517</v>
      </c>
      <c r="C185">
        <f>HYPERLINK("https://finance.naver.com/item/coinfo.nhn?code=002170", "A002170")</f>
        <v>0</v>
      </c>
      <c r="D185">
        <f>HYPERLINK("http://comp.fnguide.com/SVO2/ASP/SVD_Consensus.asp?pGB=1&amp;gicode=A002170&amp;cID=&amp;MenuYn=Y&amp;ReportGB=&amp;NewMenuID=108&amp;stkGb=701", "삼양통상")</f>
        <v>0</v>
      </c>
      <c r="E185">
        <v>3</v>
      </c>
      <c r="F185">
        <v>62900</v>
      </c>
      <c r="G185">
        <v>0</v>
      </c>
      <c r="H185">
        <v>4.07</v>
      </c>
      <c r="I185">
        <v>168144</v>
      </c>
      <c r="J185">
        <v>136501</v>
      </c>
      <c r="K185">
        <v>127444</v>
      </c>
      <c r="L185">
        <v>-167.32</v>
      </c>
      <c r="M185">
        <v>-117.01</v>
      </c>
      <c r="N185">
        <v>-102.61</v>
      </c>
      <c r="O185">
        <v>11.69</v>
      </c>
      <c r="P185" t="b">
        <v>1</v>
      </c>
      <c r="Q185">
        <v>0</v>
      </c>
      <c r="R185">
        <v>14733</v>
      </c>
      <c r="U185" t="s">
        <v>815</v>
      </c>
      <c r="V185" t="s">
        <v>1113</v>
      </c>
      <c r="W185">
        <v>0</v>
      </c>
      <c r="X185">
        <v>4.1</v>
      </c>
      <c r="Y185" t="s">
        <v>1407</v>
      </c>
      <c r="Z185">
        <v>34.31943309341783</v>
      </c>
      <c r="AA185">
        <v>1887</v>
      </c>
      <c r="AB185">
        <v>11706</v>
      </c>
      <c r="AC185" t="s">
        <v>1701</v>
      </c>
      <c r="AD185">
        <v>54.39</v>
      </c>
      <c r="AE185" t="s">
        <v>1999</v>
      </c>
      <c r="AF185" t="s">
        <v>2297</v>
      </c>
      <c r="AG185">
        <v>1921</v>
      </c>
      <c r="AH185">
        <v>494</v>
      </c>
      <c r="AI185">
        <v>150575</v>
      </c>
      <c r="AJ185">
        <v>1.67</v>
      </c>
    </row>
    <row r="186" spans="1:36">
      <c r="A186" s="1" t="s">
        <v>220</v>
      </c>
      <c r="B186" t="s">
        <v>518</v>
      </c>
      <c r="C186">
        <f>HYPERLINK("https://finance.naver.com/item/coinfo.nhn?code=210540", "A210540")</f>
        <v>0</v>
      </c>
      <c r="D186">
        <f>HYPERLINK("http://comp.fnguide.com/SVO2/ASP/SVD_Consensus.asp?pGB=1&amp;gicode=A210540&amp;cID=&amp;MenuYn=Y&amp;ReportGB=&amp;NewMenuID=108&amp;stkGb=701", "디와이파워")</f>
        <v>0</v>
      </c>
      <c r="E186">
        <v>3</v>
      </c>
      <c r="F186">
        <v>14450</v>
      </c>
      <c r="G186">
        <v>-0.98</v>
      </c>
      <c r="H186">
        <v>5.84</v>
      </c>
      <c r="I186">
        <v>31278</v>
      </c>
      <c r="J186">
        <v>21600</v>
      </c>
      <c r="K186">
        <v>18829</v>
      </c>
      <c r="L186">
        <v>-116.45</v>
      </c>
      <c r="M186">
        <v>-49.48</v>
      </c>
      <c r="N186">
        <v>-30.31</v>
      </c>
      <c r="O186">
        <v>16.58</v>
      </c>
      <c r="P186" t="b">
        <v>1</v>
      </c>
      <c r="Q186">
        <v>1</v>
      </c>
      <c r="R186">
        <v>1728</v>
      </c>
      <c r="S186">
        <v>2301</v>
      </c>
      <c r="T186">
        <v>33.2</v>
      </c>
      <c r="U186" t="s">
        <v>816</v>
      </c>
      <c r="V186" t="s">
        <v>1114</v>
      </c>
      <c r="W186">
        <v>-5.948852341527211</v>
      </c>
      <c r="X186">
        <v>-7.8</v>
      </c>
      <c r="Y186" t="s">
        <v>1408</v>
      </c>
      <c r="Z186">
        <v>59.8990986968679</v>
      </c>
      <c r="AA186">
        <v>1596</v>
      </c>
      <c r="AB186">
        <v>228026</v>
      </c>
      <c r="AC186" t="s">
        <v>1702</v>
      </c>
      <c r="AD186">
        <v>38.46</v>
      </c>
      <c r="AE186" t="s">
        <v>2000</v>
      </c>
      <c r="AF186" t="s">
        <v>2298</v>
      </c>
      <c r="AG186">
        <v>3435</v>
      </c>
      <c r="AH186">
        <v>259</v>
      </c>
      <c r="AI186">
        <v>5857</v>
      </c>
      <c r="AJ186">
        <v>1.98</v>
      </c>
    </row>
    <row r="187" spans="1:36">
      <c r="A187" s="1" t="s">
        <v>221</v>
      </c>
      <c r="B187" t="s">
        <v>519</v>
      </c>
      <c r="C187">
        <f>HYPERLINK("https://finance.naver.com/item/coinfo.nhn?code=225590", "A225590")</f>
        <v>0</v>
      </c>
      <c r="D187">
        <f>HYPERLINK("http://comp.fnguide.com/SVO2/ASP/SVD_Consensus.asp?pGB=1&amp;gicode=A225590&amp;cID=&amp;MenuYn=Y&amp;ReportGB=&amp;NewMenuID=108&amp;stkGb=701", "패션플랫폼")</f>
        <v>0</v>
      </c>
      <c r="E187">
        <v>3</v>
      </c>
      <c r="F187">
        <v>1390</v>
      </c>
      <c r="G187">
        <v>0</v>
      </c>
      <c r="H187">
        <v>8.16</v>
      </c>
      <c r="I187">
        <v>2280</v>
      </c>
      <c r="J187">
        <v>1833</v>
      </c>
      <c r="K187">
        <v>1705</v>
      </c>
      <c r="L187">
        <v>-64.06</v>
      </c>
      <c r="M187">
        <v>-31.9</v>
      </c>
      <c r="N187">
        <v>-22.7</v>
      </c>
      <c r="O187">
        <v>11.92</v>
      </c>
      <c r="P187" t="b">
        <v>1</v>
      </c>
      <c r="Q187">
        <v>0</v>
      </c>
      <c r="R187">
        <v>156</v>
      </c>
      <c r="U187" t="s">
        <v>817</v>
      </c>
      <c r="V187" t="s">
        <v>1115</v>
      </c>
      <c r="W187">
        <v>0</v>
      </c>
      <c r="X187">
        <v>2.8</v>
      </c>
      <c r="Y187" t="s">
        <v>1409</v>
      </c>
      <c r="Z187">
        <v>0</v>
      </c>
      <c r="AA187">
        <v>370</v>
      </c>
      <c r="AB187">
        <v>399558</v>
      </c>
      <c r="AC187" t="s">
        <v>1703</v>
      </c>
      <c r="AD187">
        <v>53.61</v>
      </c>
      <c r="AE187" t="s">
        <v>2001</v>
      </c>
      <c r="AF187" t="s">
        <v>2299</v>
      </c>
      <c r="AG187">
        <v>794</v>
      </c>
      <c r="AH187">
        <v>61</v>
      </c>
      <c r="AI187">
        <v>1029831</v>
      </c>
    </row>
    <row r="188" spans="1:36">
      <c r="A188" s="1" t="s">
        <v>222</v>
      </c>
      <c r="B188" t="s">
        <v>520</v>
      </c>
      <c r="C188">
        <f>HYPERLINK("https://finance.naver.com/item/coinfo.nhn?code=002810", "A002810")</f>
        <v>0</v>
      </c>
      <c r="D188">
        <f>HYPERLINK("http://comp.fnguide.com/SVO2/ASP/SVD_Consensus.asp?pGB=1&amp;gicode=A002810&amp;cID=&amp;MenuYn=Y&amp;ReportGB=&amp;NewMenuID=108&amp;stkGb=701", "삼영무역")</f>
        <v>0</v>
      </c>
      <c r="E188">
        <v>3</v>
      </c>
      <c r="F188">
        <v>14000</v>
      </c>
      <c r="G188">
        <v>1.22</v>
      </c>
      <c r="H188">
        <v>8.19</v>
      </c>
      <c r="I188">
        <v>24884</v>
      </c>
      <c r="J188">
        <v>22233</v>
      </c>
      <c r="K188">
        <v>21474</v>
      </c>
      <c r="L188">
        <v>-77.73999999999999</v>
      </c>
      <c r="M188">
        <v>-58.81</v>
      </c>
      <c r="N188">
        <v>-53.39</v>
      </c>
      <c r="O188">
        <v>9.75</v>
      </c>
      <c r="P188" t="b">
        <v>1</v>
      </c>
      <c r="Q188">
        <v>0</v>
      </c>
      <c r="R188">
        <v>1941</v>
      </c>
      <c r="S188">
        <v>1876</v>
      </c>
      <c r="T188">
        <v>-3.3</v>
      </c>
      <c r="U188" t="s">
        <v>818</v>
      </c>
      <c r="V188" t="s">
        <v>1116</v>
      </c>
      <c r="W188">
        <v>6.725754476995416</v>
      </c>
      <c r="X188">
        <v>-13.2</v>
      </c>
      <c r="Y188" t="s">
        <v>1410</v>
      </c>
      <c r="Z188">
        <v>10.39668560034053</v>
      </c>
      <c r="AA188">
        <v>2585</v>
      </c>
      <c r="AB188">
        <v>29323</v>
      </c>
      <c r="AC188" t="s">
        <v>1704</v>
      </c>
      <c r="AD188">
        <v>44.55</v>
      </c>
      <c r="AE188" t="s">
        <v>2002</v>
      </c>
      <c r="AF188" t="s">
        <v>2300</v>
      </c>
      <c r="AG188">
        <v>2742</v>
      </c>
      <c r="AH188">
        <v>92</v>
      </c>
      <c r="AI188">
        <v>838844</v>
      </c>
      <c r="AJ188">
        <v>2.1</v>
      </c>
    </row>
    <row r="189" spans="1:36">
      <c r="A189" s="1" t="s">
        <v>223</v>
      </c>
      <c r="B189" t="s">
        <v>521</v>
      </c>
      <c r="C189">
        <f>HYPERLINK("https://finance.naver.com/item/coinfo.nhn?code=008560", "A008560")</f>
        <v>0</v>
      </c>
      <c r="D189">
        <f>HYPERLINK("http://comp.fnguide.com/SVO2/ASP/SVD_Consensus.asp?pGB=1&amp;gicode=A008560&amp;cID=&amp;MenuYn=Y&amp;ReportGB=&amp;NewMenuID=108&amp;stkGb=701", "메리츠증권")</f>
        <v>0</v>
      </c>
      <c r="E189">
        <v>3</v>
      </c>
      <c r="F189">
        <v>3760</v>
      </c>
      <c r="G189">
        <v>0.45</v>
      </c>
      <c r="H189">
        <v>4.8</v>
      </c>
      <c r="I189">
        <v>10937</v>
      </c>
      <c r="J189">
        <v>8094</v>
      </c>
      <c r="K189">
        <v>7280</v>
      </c>
      <c r="L189">
        <v>-190.87</v>
      </c>
      <c r="M189">
        <v>-115.25</v>
      </c>
      <c r="N189">
        <v>-93.61</v>
      </c>
      <c r="O189">
        <v>14.16</v>
      </c>
      <c r="P189" t="b">
        <v>1</v>
      </c>
      <c r="Q189">
        <v>0</v>
      </c>
      <c r="R189">
        <v>789</v>
      </c>
      <c r="S189">
        <v>757</v>
      </c>
      <c r="T189">
        <v>-4.1</v>
      </c>
      <c r="U189" t="s">
        <v>819</v>
      </c>
      <c r="V189" t="s">
        <v>1117</v>
      </c>
      <c r="W189">
        <v>10.63155092107486</v>
      </c>
      <c r="X189">
        <v>13.2</v>
      </c>
      <c r="Y189" t="s">
        <v>1411</v>
      </c>
      <c r="Z189">
        <v>13.83757090484359</v>
      </c>
      <c r="AA189">
        <v>25416</v>
      </c>
      <c r="AB189">
        <v>2461783</v>
      </c>
      <c r="AC189" t="s">
        <v>1705</v>
      </c>
      <c r="AD189">
        <v>49.59</v>
      </c>
      <c r="AE189" t="s">
        <v>2003</v>
      </c>
      <c r="AF189" t="s">
        <v>2301</v>
      </c>
      <c r="AG189">
        <v>11587</v>
      </c>
      <c r="AH189">
        <v>6799</v>
      </c>
      <c r="AI189">
        <v>43138182</v>
      </c>
      <c r="AJ189">
        <v>5.28</v>
      </c>
    </row>
    <row r="190" spans="1:36">
      <c r="A190" s="1" t="s">
        <v>224</v>
      </c>
      <c r="B190" t="s">
        <v>522</v>
      </c>
      <c r="C190">
        <f>HYPERLINK("https://finance.naver.com/item/coinfo.nhn?code=236200", "A236200")</f>
        <v>0</v>
      </c>
      <c r="D190">
        <f>HYPERLINK("http://comp.fnguide.com/SVO2/ASP/SVD_Consensus.asp?pGB=1&amp;gicode=A236200&amp;cID=&amp;MenuYn=Y&amp;ReportGB=&amp;NewMenuID=108&amp;stkGb=701", "슈프리마")</f>
        <v>0</v>
      </c>
      <c r="E190">
        <v>2</v>
      </c>
      <c r="F190">
        <v>26300</v>
      </c>
      <c r="G190">
        <v>189.39</v>
      </c>
      <c r="H190">
        <v>9.289999999999999</v>
      </c>
      <c r="I190">
        <v>37821</v>
      </c>
      <c r="J190">
        <v>26578</v>
      </c>
      <c r="K190">
        <v>23360</v>
      </c>
      <c r="L190">
        <v>-43.81</v>
      </c>
      <c r="M190">
        <v>-1.06</v>
      </c>
      <c r="N190">
        <v>11.18</v>
      </c>
      <c r="O190">
        <v>15.91</v>
      </c>
      <c r="P190" t="b">
        <v>1</v>
      </c>
      <c r="Q190">
        <v>0</v>
      </c>
      <c r="R190">
        <v>3643</v>
      </c>
      <c r="S190">
        <v>1286</v>
      </c>
      <c r="T190">
        <v>-64.7</v>
      </c>
      <c r="U190" t="s">
        <v>820</v>
      </c>
      <c r="V190" t="s">
        <v>1118</v>
      </c>
      <c r="W190">
        <v>0.04905246795297025</v>
      </c>
      <c r="X190">
        <v>-50.8</v>
      </c>
      <c r="Y190" t="s">
        <v>1412</v>
      </c>
      <c r="Z190">
        <v>0</v>
      </c>
      <c r="AA190">
        <v>1892</v>
      </c>
      <c r="AB190">
        <v>51277</v>
      </c>
      <c r="AC190" t="s">
        <v>1706</v>
      </c>
      <c r="AD190">
        <v>30.38</v>
      </c>
      <c r="AE190" t="s">
        <v>2004</v>
      </c>
      <c r="AF190" t="s">
        <v>2302</v>
      </c>
      <c r="AG190">
        <v>721</v>
      </c>
      <c r="AH190">
        <v>246</v>
      </c>
      <c r="AI190">
        <v>38881</v>
      </c>
    </row>
    <row r="191" spans="1:36">
      <c r="A191" s="1" t="s">
        <v>225</v>
      </c>
      <c r="B191" t="s">
        <v>523</v>
      </c>
      <c r="C191">
        <f>HYPERLINK("https://finance.naver.com/item/coinfo.nhn?code=192440", "A192440")</f>
        <v>0</v>
      </c>
      <c r="D191">
        <f>HYPERLINK("http://comp.fnguide.com/SVO2/ASP/SVD_Consensus.asp?pGB=1&amp;gicode=A192440&amp;cID=&amp;MenuYn=Y&amp;ReportGB=&amp;NewMenuID=108&amp;stkGb=701", "슈피겐코리아")</f>
        <v>0</v>
      </c>
      <c r="E191">
        <v>2</v>
      </c>
      <c r="F191">
        <v>60800</v>
      </c>
      <c r="G191">
        <v>0.78</v>
      </c>
      <c r="H191">
        <v>7.86</v>
      </c>
      <c r="I191">
        <v>100026</v>
      </c>
      <c r="J191">
        <v>69343</v>
      </c>
      <c r="K191">
        <v>60561</v>
      </c>
      <c r="L191">
        <v>-64.52</v>
      </c>
      <c r="M191">
        <v>-14.05</v>
      </c>
      <c r="N191">
        <v>0.39</v>
      </c>
      <c r="O191">
        <v>16.43</v>
      </c>
      <c r="P191" t="b">
        <v>1</v>
      </c>
      <c r="Q191">
        <v>1</v>
      </c>
      <c r="R191">
        <v>6489</v>
      </c>
      <c r="S191">
        <v>8726</v>
      </c>
      <c r="T191">
        <v>34.5</v>
      </c>
      <c r="U191" t="s">
        <v>821</v>
      </c>
      <c r="V191" t="s">
        <v>1119</v>
      </c>
      <c r="W191">
        <v>10.09843117841207</v>
      </c>
      <c r="X191">
        <v>72.8</v>
      </c>
      <c r="Y191" t="s">
        <v>1413</v>
      </c>
      <c r="Z191">
        <v>13.34113799168193</v>
      </c>
      <c r="AA191">
        <v>3780</v>
      </c>
      <c r="AB191">
        <v>55768</v>
      </c>
      <c r="AC191" t="s">
        <v>1707</v>
      </c>
      <c r="AD191">
        <v>40.99</v>
      </c>
      <c r="AE191" t="s">
        <v>2005</v>
      </c>
      <c r="AF191" t="s">
        <v>2303</v>
      </c>
      <c r="AG191">
        <v>3086</v>
      </c>
      <c r="AH191">
        <v>441</v>
      </c>
      <c r="AI191">
        <v>186531</v>
      </c>
      <c r="AJ191">
        <v>2.55</v>
      </c>
    </row>
    <row r="192" spans="1:36">
      <c r="A192" s="1" t="s">
        <v>226</v>
      </c>
      <c r="B192" t="s">
        <v>524</v>
      </c>
      <c r="C192">
        <f>HYPERLINK("https://finance.naver.com/item/coinfo.nhn?code=047310", "A047310")</f>
        <v>0</v>
      </c>
      <c r="D192">
        <f>HYPERLINK("http://comp.fnguide.com/SVO2/ASP/SVD_Consensus.asp?pGB=1&amp;gicode=A047310&amp;cID=&amp;MenuYn=Y&amp;ReportGB=&amp;NewMenuID=108&amp;stkGb=701", "파워로직스")</f>
        <v>0</v>
      </c>
      <c r="E192">
        <v>2</v>
      </c>
      <c r="F192">
        <v>9700</v>
      </c>
      <c r="G192">
        <v>0</v>
      </c>
      <c r="H192">
        <v>6.33</v>
      </c>
      <c r="I192">
        <v>16449</v>
      </c>
      <c r="J192">
        <v>10774</v>
      </c>
      <c r="K192">
        <v>9149</v>
      </c>
      <c r="L192">
        <v>-69.58</v>
      </c>
      <c r="M192">
        <v>-11.07</v>
      </c>
      <c r="N192">
        <v>5.68</v>
      </c>
      <c r="O192">
        <v>18.9</v>
      </c>
      <c r="P192" t="b">
        <v>1</v>
      </c>
      <c r="Q192">
        <v>0</v>
      </c>
      <c r="R192">
        <v>1611</v>
      </c>
      <c r="S192">
        <v>-750</v>
      </c>
      <c r="T192">
        <v>-146.6</v>
      </c>
      <c r="U192" t="s">
        <v>822</v>
      </c>
      <c r="V192" t="s">
        <v>1120</v>
      </c>
      <c r="W192">
        <v>0</v>
      </c>
      <c r="X192">
        <v>0</v>
      </c>
      <c r="Y192" t="s">
        <v>1414</v>
      </c>
      <c r="Z192">
        <v>78.73607819767912</v>
      </c>
      <c r="AA192">
        <v>3339</v>
      </c>
      <c r="AB192">
        <v>1177362</v>
      </c>
      <c r="AC192" t="s">
        <v>1708</v>
      </c>
      <c r="AD192">
        <v>33.61</v>
      </c>
      <c r="AE192" t="s">
        <v>2006</v>
      </c>
      <c r="AF192" t="s">
        <v>2304</v>
      </c>
      <c r="AG192">
        <v>11079</v>
      </c>
      <c r="AH192">
        <v>506</v>
      </c>
      <c r="AJ192">
        <v>0.49</v>
      </c>
    </row>
    <row r="193" spans="1:36">
      <c r="A193" s="1" t="s">
        <v>227</v>
      </c>
      <c r="B193" t="s">
        <v>525</v>
      </c>
      <c r="C193">
        <f>HYPERLINK("https://finance.naver.com/item/coinfo.nhn?code=053610", "A053610")</f>
        <v>0</v>
      </c>
      <c r="D193">
        <f>HYPERLINK("http://comp.fnguide.com/SVO2/ASP/SVD_Consensus.asp?pGB=1&amp;gicode=A053610&amp;cID=&amp;MenuYn=Y&amp;ReportGB=&amp;NewMenuID=108&amp;stkGb=701", "프로텍")</f>
        <v>0</v>
      </c>
      <c r="E193">
        <v>2</v>
      </c>
      <c r="F193">
        <v>29250</v>
      </c>
      <c r="G193">
        <v>-0.17</v>
      </c>
      <c r="H193">
        <v>4.6</v>
      </c>
      <c r="I193">
        <v>49690</v>
      </c>
      <c r="J193">
        <v>32594</v>
      </c>
      <c r="K193">
        <v>27701</v>
      </c>
      <c r="L193">
        <v>-69.88</v>
      </c>
      <c r="M193">
        <v>-11.43</v>
      </c>
      <c r="N193">
        <v>5.29</v>
      </c>
      <c r="O193">
        <v>18.82</v>
      </c>
      <c r="P193" t="b">
        <v>1</v>
      </c>
      <c r="Q193">
        <v>0</v>
      </c>
      <c r="R193">
        <v>3502</v>
      </c>
      <c r="S193">
        <v>1000</v>
      </c>
      <c r="T193">
        <v>-71.40000000000001</v>
      </c>
      <c r="U193" t="s">
        <v>823</v>
      </c>
      <c r="V193" t="s">
        <v>1121</v>
      </c>
      <c r="W193">
        <v>-27.38401720947291</v>
      </c>
      <c r="X193">
        <v>-83.2</v>
      </c>
      <c r="Y193" t="s">
        <v>1415</v>
      </c>
      <c r="Z193">
        <v>-12.02662717311853</v>
      </c>
      <c r="AA193">
        <v>3218</v>
      </c>
      <c r="AB193">
        <v>150608</v>
      </c>
      <c r="AC193" t="s">
        <v>1709</v>
      </c>
      <c r="AD193">
        <v>31.25</v>
      </c>
      <c r="AE193" t="s">
        <v>2007</v>
      </c>
      <c r="AF193" t="s">
        <v>2305</v>
      </c>
      <c r="AG193">
        <v>1798</v>
      </c>
      <c r="AH193">
        <v>460</v>
      </c>
      <c r="AI193">
        <v>1232000</v>
      </c>
      <c r="AJ193">
        <v>2.48</v>
      </c>
    </row>
    <row r="194" spans="1:36">
      <c r="A194" s="1" t="s">
        <v>228</v>
      </c>
      <c r="B194" t="s">
        <v>526</v>
      </c>
      <c r="C194">
        <f>HYPERLINK("https://finance.naver.com/item/coinfo.nhn?code=264660", "A264660")</f>
        <v>0</v>
      </c>
      <c r="D194">
        <f>HYPERLINK("http://comp.fnguide.com/SVO2/ASP/SVD_Consensus.asp?pGB=1&amp;gicode=A264660&amp;cID=&amp;MenuYn=Y&amp;ReportGB=&amp;NewMenuID=108&amp;stkGb=701", "씨앤지하이테크")</f>
        <v>0</v>
      </c>
      <c r="E194">
        <v>2</v>
      </c>
      <c r="F194">
        <v>13700</v>
      </c>
      <c r="G194">
        <v>0</v>
      </c>
      <c r="H194">
        <v>6.3</v>
      </c>
      <c r="I194">
        <v>25132</v>
      </c>
      <c r="J194">
        <v>15051</v>
      </c>
      <c r="K194">
        <v>12165</v>
      </c>
      <c r="L194">
        <v>-83.45</v>
      </c>
      <c r="M194">
        <v>-9.859999999999999</v>
      </c>
      <c r="N194">
        <v>11.2</v>
      </c>
      <c r="O194">
        <v>24.24</v>
      </c>
      <c r="P194" t="b">
        <v>1</v>
      </c>
      <c r="Q194">
        <v>0</v>
      </c>
      <c r="R194">
        <v>1404</v>
      </c>
      <c r="U194" t="s">
        <v>824</v>
      </c>
      <c r="V194" t="s">
        <v>1122</v>
      </c>
      <c r="W194">
        <v>0</v>
      </c>
      <c r="X194">
        <v>-25.5</v>
      </c>
      <c r="Y194" t="s">
        <v>1416</v>
      </c>
      <c r="Z194">
        <v>9.20832729480432</v>
      </c>
      <c r="AA194">
        <v>1152</v>
      </c>
      <c r="AB194">
        <v>88264</v>
      </c>
      <c r="AC194" t="s">
        <v>1710</v>
      </c>
      <c r="AD194">
        <v>33.44</v>
      </c>
      <c r="AE194" t="s">
        <v>2008</v>
      </c>
      <c r="AF194" t="s">
        <v>2306</v>
      </c>
      <c r="AG194">
        <v>1288</v>
      </c>
      <c r="AH194">
        <v>145</v>
      </c>
      <c r="AI194">
        <v>299270</v>
      </c>
      <c r="AJ194">
        <v>1.7</v>
      </c>
    </row>
    <row r="195" spans="1:36">
      <c r="A195" s="1" t="s">
        <v>229</v>
      </c>
      <c r="B195" t="s">
        <v>527</v>
      </c>
      <c r="C195">
        <f>HYPERLINK("https://finance.naver.com/item/coinfo.nhn?code=083930", "A083930")</f>
        <v>0</v>
      </c>
      <c r="D195">
        <f>HYPERLINK("http://comp.fnguide.com/SVO2/ASP/SVD_Consensus.asp?pGB=1&amp;gicode=A083930&amp;cID=&amp;MenuYn=Y&amp;ReportGB=&amp;NewMenuID=108&amp;stkGb=701", "아바코")</f>
        <v>0</v>
      </c>
      <c r="E195">
        <v>2</v>
      </c>
      <c r="F195">
        <v>13400</v>
      </c>
      <c r="G195">
        <v>0</v>
      </c>
      <c r="H195">
        <v>5.07</v>
      </c>
      <c r="I195">
        <v>19159</v>
      </c>
      <c r="J195">
        <v>13645</v>
      </c>
      <c r="K195">
        <v>12067</v>
      </c>
      <c r="L195">
        <v>-42.98</v>
      </c>
      <c r="M195">
        <v>-1.83</v>
      </c>
      <c r="N195">
        <v>9.949999999999999</v>
      </c>
      <c r="O195">
        <v>15.43</v>
      </c>
      <c r="P195" t="b">
        <v>1</v>
      </c>
      <c r="Q195">
        <v>0</v>
      </c>
      <c r="R195">
        <v>1225</v>
      </c>
      <c r="U195" t="s">
        <v>825</v>
      </c>
      <c r="V195" t="s">
        <v>1123</v>
      </c>
      <c r="W195">
        <v>0</v>
      </c>
      <c r="X195">
        <v>-1.2</v>
      </c>
      <c r="Y195" t="s">
        <v>1417</v>
      </c>
      <c r="Z195">
        <v>2.273231801321018</v>
      </c>
      <c r="AA195">
        <v>2065</v>
      </c>
      <c r="AB195">
        <v>238885</v>
      </c>
      <c r="AC195" t="s">
        <v>1711</v>
      </c>
      <c r="AD195">
        <v>27.48</v>
      </c>
      <c r="AE195" t="s">
        <v>2009</v>
      </c>
      <c r="AF195" t="s">
        <v>2307</v>
      </c>
      <c r="AG195">
        <v>2261</v>
      </c>
      <c r="AH195">
        <v>233</v>
      </c>
      <c r="AI195">
        <v>2320960</v>
      </c>
      <c r="AJ195">
        <v>4.83</v>
      </c>
    </row>
    <row r="196" spans="1:36">
      <c r="A196" s="1" t="s">
        <v>230</v>
      </c>
      <c r="B196" t="s">
        <v>528</v>
      </c>
      <c r="C196">
        <f>HYPERLINK("https://finance.naver.com/item/coinfo.nhn?code=339950", "A339950")</f>
        <v>0</v>
      </c>
      <c r="D196">
        <f>HYPERLINK("http://comp.fnguide.com/SVO2/ASP/SVD_Consensus.asp?pGB=1&amp;gicode=A339950&amp;cID=&amp;MenuYn=Y&amp;ReportGB=&amp;NewMenuID=108&amp;stkGb=701", "아이비김영")</f>
        <v>0</v>
      </c>
      <c r="E196">
        <v>2</v>
      </c>
      <c r="F196">
        <v>1580</v>
      </c>
      <c r="I196">
        <v>3418</v>
      </c>
      <c r="J196">
        <v>1604</v>
      </c>
      <c r="K196">
        <v>1084</v>
      </c>
      <c r="L196">
        <v>-116.35</v>
      </c>
      <c r="M196">
        <v>-1.5</v>
      </c>
      <c r="N196">
        <v>31.38</v>
      </c>
      <c r="O196">
        <v>70.09999999999999</v>
      </c>
      <c r="P196" t="b">
        <v>0</v>
      </c>
      <c r="Q196">
        <v>0</v>
      </c>
      <c r="R196">
        <v>157</v>
      </c>
      <c r="S196">
        <v>21</v>
      </c>
      <c r="T196">
        <v>-86.59999999999999</v>
      </c>
      <c r="U196" t="s">
        <v>826</v>
      </c>
      <c r="V196" t="s">
        <v>1124</v>
      </c>
      <c r="W196">
        <v>-13.94224008177405</v>
      </c>
      <c r="X196">
        <v>0</v>
      </c>
      <c r="Y196" t="s">
        <v>1418</v>
      </c>
      <c r="Z196">
        <v>254.0653740224299</v>
      </c>
      <c r="AA196">
        <v>671</v>
      </c>
      <c r="AB196">
        <v>52918</v>
      </c>
      <c r="AC196" t="s">
        <v>1712</v>
      </c>
      <c r="AD196">
        <v>68.5</v>
      </c>
      <c r="AE196" t="s">
        <v>2010</v>
      </c>
      <c r="AF196" t="s">
        <v>2308</v>
      </c>
      <c r="AG196">
        <v>547</v>
      </c>
      <c r="AH196">
        <v>73</v>
      </c>
      <c r="AI196">
        <v>1832829</v>
      </c>
    </row>
    <row r="197" spans="1:36">
      <c r="A197" s="1" t="s">
        <v>231</v>
      </c>
      <c r="B197" t="s">
        <v>529</v>
      </c>
      <c r="C197">
        <f>HYPERLINK("https://finance.naver.com/item/coinfo.nhn?code=289010", "A289010")</f>
        <v>0</v>
      </c>
      <c r="D197">
        <f>HYPERLINK("http://comp.fnguide.com/SVO2/ASP/SVD_Consensus.asp?pGB=1&amp;gicode=A289010&amp;cID=&amp;MenuYn=Y&amp;ReportGB=&amp;NewMenuID=108&amp;stkGb=701", "아이스크림에듀")</f>
        <v>0</v>
      </c>
      <c r="E197">
        <v>2</v>
      </c>
      <c r="F197">
        <v>7790</v>
      </c>
      <c r="G197">
        <v>0</v>
      </c>
      <c r="H197">
        <v>19.32</v>
      </c>
      <c r="I197">
        <v>12185</v>
      </c>
      <c r="J197">
        <v>8447</v>
      </c>
      <c r="K197">
        <v>7377</v>
      </c>
      <c r="L197">
        <v>-56.41</v>
      </c>
      <c r="M197">
        <v>-8.43</v>
      </c>
      <c r="N197">
        <v>5.3</v>
      </c>
      <c r="O197">
        <v>16.43</v>
      </c>
      <c r="P197" t="b">
        <v>1</v>
      </c>
      <c r="Q197">
        <v>0</v>
      </c>
      <c r="R197">
        <v>415</v>
      </c>
      <c r="U197" t="s">
        <v>827</v>
      </c>
      <c r="V197" t="s">
        <v>1125</v>
      </c>
      <c r="W197">
        <v>0</v>
      </c>
      <c r="X197">
        <v>-16.6</v>
      </c>
      <c r="Y197" t="s">
        <v>1419</v>
      </c>
      <c r="Z197">
        <v>0.8848072553186759</v>
      </c>
      <c r="AA197">
        <v>1002</v>
      </c>
      <c r="AB197">
        <v>79708</v>
      </c>
      <c r="AC197" t="s">
        <v>1713</v>
      </c>
      <c r="AD197">
        <v>43.63</v>
      </c>
      <c r="AE197" t="s">
        <v>2011</v>
      </c>
      <c r="AF197" t="s">
        <v>2309</v>
      </c>
      <c r="AG197">
        <v>1064</v>
      </c>
      <c r="AH197">
        <v>54</v>
      </c>
      <c r="AI197">
        <v>340725</v>
      </c>
      <c r="AJ197">
        <v>1.25</v>
      </c>
    </row>
    <row r="198" spans="1:36">
      <c r="A198" s="1" t="s">
        <v>232</v>
      </c>
      <c r="B198" t="s">
        <v>530</v>
      </c>
      <c r="C198">
        <f>HYPERLINK("https://finance.naver.com/item/coinfo.nhn?code=297890", "A297890")</f>
        <v>0</v>
      </c>
      <c r="D198">
        <f>HYPERLINK("http://comp.fnguide.com/SVO2/ASP/SVD_Consensus.asp?pGB=1&amp;gicode=A297890&amp;cID=&amp;MenuYn=Y&amp;ReportGB=&amp;NewMenuID=108&amp;stkGb=701", "엘이티")</f>
        <v>0</v>
      </c>
      <c r="E198">
        <v>2</v>
      </c>
      <c r="F198">
        <v>13800</v>
      </c>
      <c r="G198">
        <v>0</v>
      </c>
      <c r="I198">
        <v>33455</v>
      </c>
      <c r="J198">
        <v>15955</v>
      </c>
      <c r="K198">
        <v>10947</v>
      </c>
      <c r="L198">
        <v>-142.43</v>
      </c>
      <c r="M198">
        <v>-15.62</v>
      </c>
      <c r="N198">
        <v>20.68</v>
      </c>
      <c r="O198">
        <v>62.96</v>
      </c>
      <c r="P198" t="b">
        <v>0</v>
      </c>
      <c r="Q198">
        <v>0</v>
      </c>
      <c r="R198">
        <v>1138</v>
      </c>
      <c r="S198">
        <v>-257</v>
      </c>
      <c r="T198">
        <v>-122.6</v>
      </c>
      <c r="U198" t="s">
        <v>828</v>
      </c>
      <c r="V198" t="s">
        <v>1126</v>
      </c>
      <c r="W198">
        <v>0</v>
      </c>
      <c r="Y198" t="s">
        <v>1420</v>
      </c>
      <c r="Z198">
        <v>0</v>
      </c>
      <c r="AA198">
        <v>981</v>
      </c>
      <c r="AB198">
        <v>54853</v>
      </c>
      <c r="AC198" t="s">
        <v>1714</v>
      </c>
      <c r="AD198">
        <v>65.56</v>
      </c>
      <c r="AE198" t="s">
        <v>2012</v>
      </c>
      <c r="AF198" t="s">
        <v>2207</v>
      </c>
      <c r="AG198">
        <v>469</v>
      </c>
      <c r="AH198">
        <v>109</v>
      </c>
    </row>
    <row r="199" spans="1:36">
      <c r="A199" s="1" t="s">
        <v>233</v>
      </c>
      <c r="B199" t="s">
        <v>531</v>
      </c>
      <c r="C199">
        <f>HYPERLINK("https://finance.naver.com/item/coinfo.nhn?code=022220", "A022220")</f>
        <v>0</v>
      </c>
      <c r="D199">
        <f>HYPERLINK("http://comp.fnguide.com/SVO2/ASP/SVD_Consensus.asp?pGB=1&amp;gicode=A022220&amp;cID=&amp;MenuYn=Y&amp;ReportGB=&amp;NewMenuID=108&amp;stkGb=701", "정산애강")</f>
        <v>0</v>
      </c>
      <c r="E199">
        <v>2</v>
      </c>
      <c r="F199">
        <v>1975</v>
      </c>
      <c r="G199">
        <v>-0.26</v>
      </c>
      <c r="H199">
        <v>9.460000000000001</v>
      </c>
      <c r="I199">
        <v>2761</v>
      </c>
      <c r="J199">
        <v>2066</v>
      </c>
      <c r="K199">
        <v>1868</v>
      </c>
      <c r="L199">
        <v>-39.78</v>
      </c>
      <c r="M199">
        <v>-4.63</v>
      </c>
      <c r="N199">
        <v>5.43</v>
      </c>
      <c r="O199">
        <v>13.82</v>
      </c>
      <c r="P199" t="b">
        <v>1</v>
      </c>
      <c r="Q199">
        <v>0</v>
      </c>
      <c r="R199">
        <v>222</v>
      </c>
      <c r="S199">
        <v>48</v>
      </c>
      <c r="T199">
        <v>-78.40000000000001</v>
      </c>
      <c r="U199" t="s">
        <v>829</v>
      </c>
      <c r="V199" t="s">
        <v>1127</v>
      </c>
      <c r="W199">
        <v>-36.1268423701753</v>
      </c>
      <c r="X199">
        <v>-71</v>
      </c>
      <c r="Y199" t="s">
        <v>1421</v>
      </c>
      <c r="Z199">
        <v>-12.03511073084639</v>
      </c>
      <c r="AA199">
        <v>1023</v>
      </c>
      <c r="AB199">
        <v>571289</v>
      </c>
      <c r="AC199" t="s">
        <v>1715</v>
      </c>
      <c r="AD199">
        <v>47.53</v>
      </c>
      <c r="AE199" t="s">
        <v>2013</v>
      </c>
      <c r="AF199" t="s">
        <v>2310</v>
      </c>
      <c r="AG199">
        <v>714</v>
      </c>
      <c r="AH199">
        <v>102</v>
      </c>
    </row>
    <row r="200" spans="1:36">
      <c r="A200" s="1" t="s">
        <v>234</v>
      </c>
      <c r="B200" t="s">
        <v>532</v>
      </c>
      <c r="C200">
        <f>HYPERLINK("https://finance.naver.com/item/coinfo.nhn?code=282880", "A282880")</f>
        <v>0</v>
      </c>
      <c r="D200">
        <f>HYPERLINK("http://comp.fnguide.com/SVO2/ASP/SVD_Consensus.asp?pGB=1&amp;gicode=A282880&amp;cID=&amp;MenuYn=Y&amp;ReportGB=&amp;NewMenuID=108&amp;stkGb=701", "코윈테크")</f>
        <v>0</v>
      </c>
      <c r="E200">
        <v>2</v>
      </c>
      <c r="F200">
        <v>23900</v>
      </c>
      <c r="G200">
        <v>-0.37</v>
      </c>
      <c r="H200">
        <v>11.59</v>
      </c>
      <c r="I200">
        <v>57133</v>
      </c>
      <c r="J200">
        <v>29816</v>
      </c>
      <c r="K200">
        <v>21998</v>
      </c>
      <c r="L200">
        <v>-139.05</v>
      </c>
      <c r="M200">
        <v>-24.75</v>
      </c>
      <c r="N200">
        <v>7.96</v>
      </c>
      <c r="O200">
        <v>39.63</v>
      </c>
      <c r="P200" t="b">
        <v>1</v>
      </c>
      <c r="Q200">
        <v>0</v>
      </c>
      <c r="R200">
        <v>2120</v>
      </c>
      <c r="S200">
        <v>141</v>
      </c>
      <c r="T200">
        <v>-93.3</v>
      </c>
      <c r="U200" t="s">
        <v>830</v>
      </c>
      <c r="V200" t="s">
        <v>1128</v>
      </c>
      <c r="W200">
        <v>-31.45048040538674</v>
      </c>
      <c r="X200">
        <v>-92.5</v>
      </c>
      <c r="Y200" t="s">
        <v>1422</v>
      </c>
      <c r="Z200">
        <v>0</v>
      </c>
      <c r="AA200">
        <v>2265</v>
      </c>
      <c r="AB200">
        <v>73841</v>
      </c>
      <c r="AC200" t="s">
        <v>1716</v>
      </c>
      <c r="AD200">
        <v>24.49</v>
      </c>
      <c r="AE200" t="s">
        <v>2014</v>
      </c>
      <c r="AF200" t="s">
        <v>2311</v>
      </c>
      <c r="AG200">
        <v>911</v>
      </c>
      <c r="AH200">
        <v>208</v>
      </c>
      <c r="AI200">
        <v>309230</v>
      </c>
      <c r="AJ200">
        <v>1.89</v>
      </c>
    </row>
    <row r="201" spans="1:36">
      <c r="A201" s="1" t="s">
        <v>235</v>
      </c>
      <c r="B201" t="s">
        <v>533</v>
      </c>
      <c r="C201">
        <f>HYPERLINK("https://finance.naver.com/item/coinfo.nhn?code=040160", "A040160")</f>
        <v>0</v>
      </c>
      <c r="D201">
        <f>HYPERLINK("http://comp.fnguide.com/SVO2/ASP/SVD_Consensus.asp?pGB=1&amp;gicode=A040160&amp;cID=&amp;MenuYn=Y&amp;ReportGB=&amp;NewMenuID=108&amp;stkGb=701", "누리텔레콤")</f>
        <v>0</v>
      </c>
      <c r="E201">
        <v>2</v>
      </c>
      <c r="F201">
        <v>7430</v>
      </c>
      <c r="G201">
        <v>0</v>
      </c>
      <c r="H201">
        <v>7.46</v>
      </c>
      <c r="I201">
        <v>10537</v>
      </c>
      <c r="J201">
        <v>7844</v>
      </c>
      <c r="K201">
        <v>7074</v>
      </c>
      <c r="L201">
        <v>-41.81</v>
      </c>
      <c r="M201">
        <v>-5.58</v>
      </c>
      <c r="N201">
        <v>4.79</v>
      </c>
      <c r="O201">
        <v>13.98</v>
      </c>
      <c r="P201" t="b">
        <v>1</v>
      </c>
      <c r="Q201">
        <v>0</v>
      </c>
      <c r="R201">
        <v>736</v>
      </c>
      <c r="S201">
        <v>244</v>
      </c>
      <c r="T201">
        <v>-66.8</v>
      </c>
      <c r="U201" t="s">
        <v>831</v>
      </c>
      <c r="V201" t="s">
        <v>1129</v>
      </c>
      <c r="W201">
        <v>0</v>
      </c>
      <c r="X201">
        <v>187.4</v>
      </c>
      <c r="Y201" t="s">
        <v>1423</v>
      </c>
      <c r="Z201">
        <v>46.93559953807978</v>
      </c>
      <c r="AA201">
        <v>896</v>
      </c>
      <c r="AB201">
        <v>200960</v>
      </c>
      <c r="AC201" t="s">
        <v>1717</v>
      </c>
      <c r="AD201">
        <v>38.02</v>
      </c>
      <c r="AE201" t="s">
        <v>2015</v>
      </c>
      <c r="AF201" t="s">
        <v>2312</v>
      </c>
      <c r="AG201">
        <v>1479</v>
      </c>
      <c r="AH201">
        <v>116</v>
      </c>
      <c r="AI201">
        <v>757550</v>
      </c>
      <c r="AJ201">
        <v>0.91</v>
      </c>
    </row>
    <row r="202" spans="1:36">
      <c r="A202" s="1" t="s">
        <v>236</v>
      </c>
      <c r="B202" t="s">
        <v>534</v>
      </c>
      <c r="C202">
        <f>HYPERLINK("https://finance.naver.com/item/coinfo.nhn?code=148150", "A148150")</f>
        <v>0</v>
      </c>
      <c r="D202">
        <f>HYPERLINK("http://comp.fnguide.com/SVO2/ASP/SVD_Consensus.asp?pGB=1&amp;gicode=A148150&amp;cID=&amp;MenuYn=Y&amp;ReportGB=&amp;NewMenuID=108&amp;stkGb=701", "세경하이테크")</f>
        <v>0</v>
      </c>
      <c r="E202">
        <v>2</v>
      </c>
      <c r="F202">
        <v>20500</v>
      </c>
      <c r="G202">
        <v>25.72</v>
      </c>
      <c r="H202">
        <v>17.74</v>
      </c>
      <c r="I202">
        <v>36579</v>
      </c>
      <c r="J202">
        <v>21768</v>
      </c>
      <c r="K202">
        <v>17529</v>
      </c>
      <c r="L202">
        <v>-78.44</v>
      </c>
      <c r="M202">
        <v>-6.19</v>
      </c>
      <c r="N202">
        <v>14.49</v>
      </c>
      <c r="O202">
        <v>24.71</v>
      </c>
      <c r="P202" t="b">
        <v>1</v>
      </c>
      <c r="Q202">
        <v>0</v>
      </c>
      <c r="R202">
        <v>2013</v>
      </c>
      <c r="S202">
        <v>-297</v>
      </c>
      <c r="T202">
        <v>-114.8</v>
      </c>
      <c r="U202" t="s">
        <v>832</v>
      </c>
      <c r="V202" t="s">
        <v>1130</v>
      </c>
      <c r="W202">
        <v>0.6898641967316488</v>
      </c>
      <c r="X202">
        <v>0</v>
      </c>
      <c r="Y202" t="s">
        <v>1424</v>
      </c>
      <c r="Z202">
        <v>-44.29183183769187</v>
      </c>
      <c r="AA202">
        <v>2387</v>
      </c>
      <c r="AB202">
        <v>108922</v>
      </c>
      <c r="AC202" t="s">
        <v>1718</v>
      </c>
      <c r="AD202">
        <v>35.35</v>
      </c>
      <c r="AE202" t="s">
        <v>2016</v>
      </c>
      <c r="AF202" t="s">
        <v>2313</v>
      </c>
      <c r="AG202">
        <v>2813</v>
      </c>
      <c r="AH202">
        <v>234</v>
      </c>
      <c r="AJ202">
        <v>0.7</v>
      </c>
    </row>
    <row r="203" spans="1:36">
      <c r="A203" s="1" t="s">
        <v>237</v>
      </c>
      <c r="B203" t="s">
        <v>535</v>
      </c>
      <c r="C203">
        <f>HYPERLINK("https://finance.naver.com/item/coinfo.nhn?code=001880", "A001880")</f>
        <v>0</v>
      </c>
      <c r="D203">
        <f>HYPERLINK("http://comp.fnguide.com/SVO2/ASP/SVD_Consensus.asp?pGB=1&amp;gicode=A001880&amp;cID=&amp;MenuYn=Y&amp;ReportGB=&amp;NewMenuID=108&amp;stkGb=701", "대림건설")</f>
        <v>0</v>
      </c>
      <c r="E203">
        <v>2</v>
      </c>
      <c r="F203">
        <v>30700</v>
      </c>
      <c r="G203">
        <v>0</v>
      </c>
      <c r="H203">
        <v>3.17</v>
      </c>
      <c r="I203">
        <v>55548</v>
      </c>
      <c r="J203">
        <v>34694</v>
      </c>
      <c r="K203">
        <v>28725</v>
      </c>
      <c r="L203">
        <v>-80.94</v>
      </c>
      <c r="M203">
        <v>-13.01</v>
      </c>
      <c r="N203">
        <v>6.43</v>
      </c>
      <c r="O203">
        <v>21.46</v>
      </c>
      <c r="P203" t="b">
        <v>1</v>
      </c>
      <c r="Q203">
        <v>0</v>
      </c>
      <c r="R203">
        <v>6265</v>
      </c>
      <c r="U203" t="s">
        <v>833</v>
      </c>
      <c r="V203" t="s">
        <v>1131</v>
      </c>
      <c r="W203">
        <v>0</v>
      </c>
      <c r="X203">
        <v>22.6</v>
      </c>
      <c r="Y203" t="s">
        <v>1425</v>
      </c>
      <c r="Z203">
        <v>23.81705294524519</v>
      </c>
      <c r="AA203">
        <v>6770</v>
      </c>
      <c r="AB203">
        <v>90882</v>
      </c>
      <c r="AC203" t="s">
        <v>1719</v>
      </c>
      <c r="AD203">
        <v>66.36</v>
      </c>
      <c r="AE203" t="s">
        <v>2017</v>
      </c>
      <c r="AF203" t="s">
        <v>2314</v>
      </c>
      <c r="AG203">
        <v>12799</v>
      </c>
      <c r="AH203">
        <v>1430</v>
      </c>
      <c r="AI203">
        <v>371</v>
      </c>
      <c r="AJ203">
        <v>2.02</v>
      </c>
    </row>
    <row r="204" spans="1:36">
      <c r="A204" s="1" t="s">
        <v>238</v>
      </c>
      <c r="B204" t="s">
        <v>536</v>
      </c>
      <c r="C204">
        <f>HYPERLINK("https://finance.naver.com/item/coinfo.nhn?code=065710", "A065710")</f>
        <v>0</v>
      </c>
      <c r="D204">
        <f>HYPERLINK("http://comp.fnguide.com/SVO2/ASP/SVD_Consensus.asp?pGB=1&amp;gicode=A065710&amp;cID=&amp;MenuYn=Y&amp;ReportGB=&amp;NewMenuID=108&amp;stkGb=701", "서호전기")</f>
        <v>0</v>
      </c>
      <c r="E204">
        <v>2</v>
      </c>
      <c r="F204">
        <v>19100</v>
      </c>
      <c r="G204">
        <v>2.64</v>
      </c>
      <c r="H204">
        <v>7.87</v>
      </c>
      <c r="I204">
        <v>28791</v>
      </c>
      <c r="J204">
        <v>20254</v>
      </c>
      <c r="K204">
        <v>17811</v>
      </c>
      <c r="L204">
        <v>-50.74</v>
      </c>
      <c r="M204">
        <v>-6.04</v>
      </c>
      <c r="N204">
        <v>6.75</v>
      </c>
      <c r="O204">
        <v>15.87</v>
      </c>
      <c r="P204" t="b">
        <v>1</v>
      </c>
      <c r="Q204">
        <v>0</v>
      </c>
      <c r="R204">
        <v>2973</v>
      </c>
      <c r="S204">
        <v>1303</v>
      </c>
      <c r="T204">
        <v>-56.2</v>
      </c>
      <c r="U204" t="s">
        <v>834</v>
      </c>
      <c r="V204" t="s">
        <v>1132</v>
      </c>
      <c r="W204">
        <v>2.985596125750645</v>
      </c>
      <c r="X204">
        <v>-53.1</v>
      </c>
      <c r="Y204" t="s">
        <v>1426</v>
      </c>
      <c r="Z204">
        <v>19.81747236522424</v>
      </c>
      <c r="AA204">
        <v>984</v>
      </c>
      <c r="AB204">
        <v>12064</v>
      </c>
      <c r="AC204" t="s">
        <v>1720</v>
      </c>
      <c r="AD204">
        <v>58.01</v>
      </c>
      <c r="AE204" t="s">
        <v>2018</v>
      </c>
      <c r="AF204" t="s">
        <v>2315</v>
      </c>
      <c r="AG204">
        <v>649</v>
      </c>
      <c r="AH204">
        <v>122</v>
      </c>
      <c r="AI204">
        <v>9078</v>
      </c>
      <c r="AJ204">
        <v>5.13</v>
      </c>
    </row>
    <row r="205" spans="1:36">
      <c r="A205" s="1" t="s">
        <v>239</v>
      </c>
      <c r="B205" t="s">
        <v>537</v>
      </c>
      <c r="C205">
        <f>HYPERLINK("https://finance.naver.com/item/coinfo.nhn?code=006060", "A006060")</f>
        <v>0</v>
      </c>
      <c r="D205">
        <f>HYPERLINK("http://comp.fnguide.com/SVO2/ASP/SVD_Consensus.asp?pGB=1&amp;gicode=A006060&amp;cID=&amp;MenuYn=Y&amp;ReportGB=&amp;NewMenuID=108&amp;stkGb=701", "화승인더")</f>
        <v>0</v>
      </c>
      <c r="E205">
        <v>2</v>
      </c>
      <c r="F205">
        <v>7740</v>
      </c>
      <c r="G205">
        <v>0</v>
      </c>
      <c r="H205">
        <v>11.17</v>
      </c>
      <c r="I205">
        <v>11683</v>
      </c>
      <c r="J205">
        <v>8413</v>
      </c>
      <c r="K205">
        <v>7477</v>
      </c>
      <c r="L205">
        <v>-50.95</v>
      </c>
      <c r="M205">
        <v>-8.69</v>
      </c>
      <c r="N205">
        <v>3.4</v>
      </c>
      <c r="O205">
        <v>15.05</v>
      </c>
      <c r="P205" t="b">
        <v>1</v>
      </c>
      <c r="Q205">
        <v>0</v>
      </c>
      <c r="R205">
        <v>1066</v>
      </c>
      <c r="U205" t="s">
        <v>835</v>
      </c>
      <c r="V205" t="s">
        <v>1133</v>
      </c>
      <c r="W205">
        <v>0</v>
      </c>
      <c r="X205">
        <v>-53.6</v>
      </c>
      <c r="Y205" t="s">
        <v>1427</v>
      </c>
      <c r="Z205">
        <v>4.886314599771047</v>
      </c>
      <c r="AA205">
        <v>4282</v>
      </c>
      <c r="AB205">
        <v>566810</v>
      </c>
      <c r="AC205" t="s">
        <v>1721</v>
      </c>
      <c r="AD205">
        <v>33.59</v>
      </c>
      <c r="AE205" t="s">
        <v>2019</v>
      </c>
      <c r="AF205" t="s">
        <v>2316</v>
      </c>
      <c r="AG205">
        <v>14259</v>
      </c>
      <c r="AH205">
        <v>1136</v>
      </c>
      <c r="AI205">
        <v>2263150</v>
      </c>
      <c r="AJ205">
        <v>0.38</v>
      </c>
    </row>
    <row r="206" spans="1:36">
      <c r="A206" s="1" t="s">
        <v>240</v>
      </c>
      <c r="B206" t="s">
        <v>538</v>
      </c>
      <c r="C206">
        <f>HYPERLINK("https://finance.naver.com/item/coinfo.nhn?code=308100", "A308100")</f>
        <v>0</v>
      </c>
      <c r="D206">
        <f>HYPERLINK("http://comp.fnguide.com/SVO2/ASP/SVD_Consensus.asp?pGB=1&amp;gicode=A308100&amp;cID=&amp;MenuYn=Y&amp;ReportGB=&amp;NewMenuID=108&amp;stkGb=701", "까스텔바작")</f>
        <v>0</v>
      </c>
      <c r="E206">
        <v>2</v>
      </c>
      <c r="F206">
        <v>13500</v>
      </c>
      <c r="G206">
        <v>-1.96</v>
      </c>
      <c r="H206">
        <v>8.68</v>
      </c>
      <c r="I206">
        <v>19743</v>
      </c>
      <c r="J206">
        <v>14878</v>
      </c>
      <c r="K206">
        <v>13485</v>
      </c>
      <c r="L206">
        <v>-46.25</v>
      </c>
      <c r="M206">
        <v>-10.21</v>
      </c>
      <c r="N206">
        <v>0.11</v>
      </c>
      <c r="O206">
        <v>13.62</v>
      </c>
      <c r="P206" t="b">
        <v>1</v>
      </c>
      <c r="Q206">
        <v>0</v>
      </c>
      <c r="R206">
        <v>1083</v>
      </c>
      <c r="S206">
        <v>925</v>
      </c>
      <c r="T206">
        <v>-14.6</v>
      </c>
      <c r="U206" t="s">
        <v>836</v>
      </c>
      <c r="V206" t="s">
        <v>1134</v>
      </c>
      <c r="W206">
        <v>-4.436133106304229</v>
      </c>
      <c r="X206">
        <v>-27.4</v>
      </c>
      <c r="Y206" t="s">
        <v>1428</v>
      </c>
      <c r="Z206">
        <v>0</v>
      </c>
      <c r="AA206">
        <v>891</v>
      </c>
      <c r="AB206">
        <v>79822</v>
      </c>
      <c r="AC206" t="s">
        <v>1722</v>
      </c>
      <c r="AD206">
        <v>70.48999999999999</v>
      </c>
      <c r="AE206" t="s">
        <v>2020</v>
      </c>
      <c r="AF206" t="s">
        <v>2317</v>
      </c>
      <c r="AG206">
        <v>814</v>
      </c>
      <c r="AH206">
        <v>90</v>
      </c>
    </row>
    <row r="207" spans="1:36">
      <c r="A207" s="1" t="s">
        <v>241</v>
      </c>
      <c r="B207" t="s">
        <v>539</v>
      </c>
      <c r="C207">
        <f>HYPERLINK("https://finance.naver.com/item/coinfo.nhn?code=290120", "A290120")</f>
        <v>0</v>
      </c>
      <c r="D207">
        <f>HYPERLINK("http://comp.fnguide.com/SVO2/ASP/SVD_Consensus.asp?pGB=1&amp;gicode=A290120&amp;cID=&amp;MenuYn=Y&amp;ReportGB=&amp;NewMenuID=108&amp;stkGb=701", "대유에이피")</f>
        <v>0</v>
      </c>
      <c r="E207">
        <v>2</v>
      </c>
      <c r="F207">
        <v>6900</v>
      </c>
      <c r="G207">
        <v>-1.22</v>
      </c>
      <c r="H207">
        <v>9.73</v>
      </c>
      <c r="I207">
        <v>11968</v>
      </c>
      <c r="J207">
        <v>7366</v>
      </c>
      <c r="K207">
        <v>6048</v>
      </c>
      <c r="L207">
        <v>-73.45</v>
      </c>
      <c r="M207">
        <v>-6.75</v>
      </c>
      <c r="N207">
        <v>12.34</v>
      </c>
      <c r="O207">
        <v>22.37</v>
      </c>
      <c r="P207" t="b">
        <v>1</v>
      </c>
      <c r="Q207">
        <v>0</v>
      </c>
      <c r="R207">
        <v>733</v>
      </c>
      <c r="S207">
        <v>633</v>
      </c>
      <c r="T207">
        <v>-13.6</v>
      </c>
      <c r="U207" t="s">
        <v>837</v>
      </c>
      <c r="V207" t="s">
        <v>1135</v>
      </c>
      <c r="W207">
        <v>-8.00201642730789</v>
      </c>
      <c r="X207">
        <v>196.1</v>
      </c>
      <c r="Y207" t="s">
        <v>1429</v>
      </c>
      <c r="Z207">
        <v>0</v>
      </c>
      <c r="AA207">
        <v>751</v>
      </c>
      <c r="AB207">
        <v>48204</v>
      </c>
      <c r="AC207" t="s">
        <v>1723</v>
      </c>
      <c r="AD207">
        <v>73.5</v>
      </c>
      <c r="AE207" t="s">
        <v>2021</v>
      </c>
      <c r="AF207" t="s">
        <v>2318</v>
      </c>
      <c r="AG207">
        <v>1575</v>
      </c>
      <c r="AH207">
        <v>101</v>
      </c>
      <c r="AJ207">
        <v>2.81</v>
      </c>
    </row>
    <row r="208" spans="1:36">
      <c r="A208" s="1" t="s">
        <v>242</v>
      </c>
      <c r="B208" t="s">
        <v>540</v>
      </c>
      <c r="C208">
        <f>HYPERLINK("https://finance.naver.com/item/coinfo.nhn?code=248170", "A248170")</f>
        <v>0</v>
      </c>
      <c r="D208">
        <f>HYPERLINK("http://comp.fnguide.com/SVO2/ASP/SVD_Consensus.asp?pGB=1&amp;gicode=A248170&amp;cID=&amp;MenuYn=Y&amp;ReportGB=&amp;NewMenuID=108&amp;stkGb=701", "샘표식품")</f>
        <v>0</v>
      </c>
      <c r="E208">
        <v>2</v>
      </c>
      <c r="F208">
        <v>47450</v>
      </c>
      <c r="G208">
        <v>0.13</v>
      </c>
      <c r="H208">
        <v>5.79</v>
      </c>
      <c r="I208">
        <v>68146</v>
      </c>
      <c r="J208">
        <v>47905</v>
      </c>
      <c r="K208">
        <v>42112</v>
      </c>
      <c r="L208">
        <v>-43.62</v>
      </c>
      <c r="M208">
        <v>-0.96</v>
      </c>
      <c r="N208">
        <v>11.25</v>
      </c>
      <c r="O208">
        <v>15.9</v>
      </c>
      <c r="P208" t="b">
        <v>1</v>
      </c>
      <c r="Q208">
        <v>3</v>
      </c>
      <c r="R208">
        <v>5870</v>
      </c>
      <c r="S208">
        <v>7880</v>
      </c>
      <c r="T208">
        <v>34.2</v>
      </c>
      <c r="U208" t="s">
        <v>838</v>
      </c>
      <c r="V208" t="s">
        <v>1136</v>
      </c>
      <c r="W208">
        <v>46.30129389317463</v>
      </c>
      <c r="X208">
        <v>48.1</v>
      </c>
      <c r="Y208" t="s">
        <v>1430</v>
      </c>
      <c r="Z208">
        <v>0</v>
      </c>
      <c r="AA208">
        <v>2168</v>
      </c>
      <c r="AB208">
        <v>25034</v>
      </c>
      <c r="AC208" t="s">
        <v>1724</v>
      </c>
      <c r="AD208">
        <v>60.02</v>
      </c>
      <c r="AE208" t="s">
        <v>2022</v>
      </c>
      <c r="AF208" t="s">
        <v>2319</v>
      </c>
      <c r="AG208">
        <v>2808</v>
      </c>
      <c r="AH208">
        <v>310</v>
      </c>
      <c r="AI208">
        <v>1690</v>
      </c>
      <c r="AJ208">
        <v>0.59</v>
      </c>
    </row>
    <row r="209" spans="1:36">
      <c r="A209" s="1" t="s">
        <v>243</v>
      </c>
      <c r="B209" t="s">
        <v>541</v>
      </c>
      <c r="C209">
        <f>HYPERLINK("https://finance.naver.com/item/coinfo.nhn?code=131030", "A131030")</f>
        <v>0</v>
      </c>
      <c r="D209">
        <f>HYPERLINK("http://comp.fnguide.com/SVO2/ASP/SVD_Consensus.asp?pGB=1&amp;gicode=A131030&amp;cID=&amp;MenuYn=Y&amp;ReportGB=&amp;NewMenuID=108&amp;stkGb=701", "디에이치피코리아")</f>
        <v>0</v>
      </c>
      <c r="E209">
        <v>2</v>
      </c>
      <c r="F209">
        <v>7820</v>
      </c>
      <c r="G209">
        <v>0</v>
      </c>
      <c r="H209">
        <v>8.77</v>
      </c>
      <c r="I209">
        <v>11331</v>
      </c>
      <c r="J209">
        <v>8563</v>
      </c>
      <c r="K209">
        <v>7771</v>
      </c>
      <c r="L209">
        <v>-44.9</v>
      </c>
      <c r="M209">
        <v>-9.5</v>
      </c>
      <c r="N209">
        <v>0.63</v>
      </c>
      <c r="O209">
        <v>13.54</v>
      </c>
      <c r="P209" t="b">
        <v>1</v>
      </c>
      <c r="Q209">
        <v>0</v>
      </c>
      <c r="R209">
        <v>881</v>
      </c>
      <c r="U209" t="s">
        <v>839</v>
      </c>
      <c r="V209" t="s">
        <v>1137</v>
      </c>
      <c r="W209">
        <v>0</v>
      </c>
      <c r="X209">
        <v>1.6</v>
      </c>
      <c r="Y209" t="s">
        <v>1431</v>
      </c>
      <c r="Z209">
        <v>7.559914216324382</v>
      </c>
      <c r="AA209">
        <v>1295</v>
      </c>
      <c r="AB209">
        <v>95570</v>
      </c>
      <c r="AC209" t="s">
        <v>1725</v>
      </c>
      <c r="AD209">
        <v>38.38</v>
      </c>
      <c r="AE209" t="s">
        <v>2023</v>
      </c>
      <c r="AF209" t="s">
        <v>2320</v>
      </c>
      <c r="AG209">
        <v>604</v>
      </c>
      <c r="AH209">
        <v>152</v>
      </c>
      <c r="AI209">
        <v>523536</v>
      </c>
      <c r="AJ209">
        <v>1.29</v>
      </c>
    </row>
    <row r="210" spans="1:36">
      <c r="A210" s="1" t="s">
        <v>244</v>
      </c>
      <c r="B210" t="s">
        <v>542</v>
      </c>
      <c r="C210">
        <f>HYPERLINK("https://finance.naver.com/item/coinfo.nhn?code=272550", "A272550")</f>
        <v>0</v>
      </c>
      <c r="D210">
        <f>HYPERLINK("http://comp.fnguide.com/SVO2/ASP/SVD_Consensus.asp?pGB=1&amp;gicode=A272550&amp;cID=&amp;MenuYn=Y&amp;ReportGB=&amp;NewMenuID=108&amp;stkGb=701", "삼양패키징")</f>
        <v>0</v>
      </c>
      <c r="E210">
        <v>2</v>
      </c>
      <c r="F210">
        <v>21800</v>
      </c>
      <c r="G210">
        <v>0</v>
      </c>
      <c r="H210">
        <v>7.88</v>
      </c>
      <c r="I210">
        <v>24980</v>
      </c>
      <c r="J210">
        <v>22079</v>
      </c>
      <c r="K210">
        <v>21249</v>
      </c>
      <c r="L210">
        <v>-14.59</v>
      </c>
      <c r="M210">
        <v>-1.28</v>
      </c>
      <c r="N210">
        <v>2.53</v>
      </c>
      <c r="O210">
        <v>9.949999999999999</v>
      </c>
      <c r="P210" t="b">
        <v>1</v>
      </c>
      <c r="Q210">
        <v>0</v>
      </c>
      <c r="R210">
        <v>1998</v>
      </c>
      <c r="U210" t="s">
        <v>840</v>
      </c>
      <c r="V210" t="s">
        <v>1138</v>
      </c>
      <c r="W210">
        <v>0</v>
      </c>
      <c r="X210">
        <v>54.4</v>
      </c>
      <c r="Y210" t="s">
        <v>1432</v>
      </c>
      <c r="Z210">
        <v>30.72149038833822</v>
      </c>
      <c r="AA210">
        <v>3098</v>
      </c>
      <c r="AB210">
        <v>48984</v>
      </c>
      <c r="AC210" t="s">
        <v>1726</v>
      </c>
      <c r="AD210">
        <v>71.01000000000001</v>
      </c>
      <c r="AE210" t="s">
        <v>2024</v>
      </c>
      <c r="AF210" t="s">
        <v>2321</v>
      </c>
      <c r="AG210">
        <v>3754</v>
      </c>
      <c r="AH210">
        <v>416</v>
      </c>
      <c r="AJ210">
        <v>4.76</v>
      </c>
    </row>
    <row r="211" spans="1:36">
      <c r="A211" s="1" t="s">
        <v>245</v>
      </c>
      <c r="B211" t="s">
        <v>543</v>
      </c>
      <c r="C211">
        <f>HYPERLINK("https://finance.naver.com/item/coinfo.nhn?code=093520", "A093520")</f>
        <v>0</v>
      </c>
      <c r="D211">
        <f>HYPERLINK("http://comp.fnguide.com/SVO2/ASP/SVD_Consensus.asp?pGB=1&amp;gicode=A093520&amp;cID=&amp;MenuYn=Y&amp;ReportGB=&amp;NewMenuID=108&amp;stkGb=701", "매커스")</f>
        <v>0</v>
      </c>
      <c r="E211">
        <v>2</v>
      </c>
      <c r="F211">
        <v>5390</v>
      </c>
      <c r="G211">
        <v>-2.84</v>
      </c>
      <c r="H211">
        <v>12.7</v>
      </c>
      <c r="I211">
        <v>7787</v>
      </c>
      <c r="J211">
        <v>5750</v>
      </c>
      <c r="K211">
        <v>5168</v>
      </c>
      <c r="L211">
        <v>-44.47</v>
      </c>
      <c r="M211">
        <v>-6.69</v>
      </c>
      <c r="N211">
        <v>4.13</v>
      </c>
      <c r="O211">
        <v>14.23</v>
      </c>
      <c r="P211" t="b">
        <v>1</v>
      </c>
      <c r="Q211">
        <v>1</v>
      </c>
      <c r="R211">
        <v>296</v>
      </c>
      <c r="S211">
        <v>493</v>
      </c>
      <c r="T211">
        <v>66.59999999999999</v>
      </c>
      <c r="U211" t="s">
        <v>841</v>
      </c>
      <c r="V211" t="s">
        <v>1139</v>
      </c>
      <c r="W211">
        <v>-4.472451794880961</v>
      </c>
      <c r="X211">
        <v>54.4</v>
      </c>
      <c r="Y211" t="s">
        <v>1433</v>
      </c>
      <c r="Z211">
        <v>9.119440919884902</v>
      </c>
      <c r="AA211">
        <v>871</v>
      </c>
      <c r="AB211">
        <v>229328</v>
      </c>
      <c r="AC211" t="s">
        <v>1727</v>
      </c>
      <c r="AD211">
        <v>15.93</v>
      </c>
      <c r="AE211" t="s">
        <v>2025</v>
      </c>
      <c r="AF211" t="s">
        <v>2322</v>
      </c>
      <c r="AG211">
        <v>575</v>
      </c>
      <c r="AH211">
        <v>59</v>
      </c>
      <c r="AI211">
        <v>4135008</v>
      </c>
      <c r="AJ211">
        <v>2.66</v>
      </c>
    </row>
    <row r="212" spans="1:36">
      <c r="A212" s="1" t="s">
        <v>246</v>
      </c>
      <c r="B212" t="s">
        <v>544</v>
      </c>
      <c r="C212">
        <f>HYPERLINK("https://finance.naver.com/item/coinfo.nhn?code=192080", "A192080")</f>
        <v>0</v>
      </c>
      <c r="D212">
        <f>HYPERLINK("http://comp.fnguide.com/SVO2/ASP/SVD_Consensus.asp?pGB=1&amp;gicode=A192080&amp;cID=&amp;MenuYn=Y&amp;ReportGB=&amp;NewMenuID=108&amp;stkGb=701", "더블유게임즈")</f>
        <v>0</v>
      </c>
      <c r="E212">
        <v>2</v>
      </c>
      <c r="F212">
        <v>55300</v>
      </c>
      <c r="G212">
        <v>0.18</v>
      </c>
      <c r="H212">
        <v>8.25</v>
      </c>
      <c r="I212">
        <v>82296</v>
      </c>
      <c r="J212">
        <v>55818</v>
      </c>
      <c r="K212">
        <v>48240</v>
      </c>
      <c r="L212">
        <v>-48.82</v>
      </c>
      <c r="M212">
        <v>-0.9399999999999999</v>
      </c>
      <c r="N212">
        <v>12.77</v>
      </c>
      <c r="O212">
        <v>17.31</v>
      </c>
      <c r="P212" t="b">
        <v>1</v>
      </c>
      <c r="Q212">
        <v>3</v>
      </c>
      <c r="R212">
        <v>6040</v>
      </c>
      <c r="S212">
        <v>6138</v>
      </c>
      <c r="T212">
        <v>1.6</v>
      </c>
      <c r="U212" t="s">
        <v>842</v>
      </c>
      <c r="V212" t="s">
        <v>1140</v>
      </c>
      <c r="W212">
        <v>44.68144274405505</v>
      </c>
      <c r="X212">
        <v>-4.4</v>
      </c>
      <c r="Y212" t="s">
        <v>1434</v>
      </c>
      <c r="Z212">
        <v>17.98894483945883</v>
      </c>
      <c r="AA212">
        <v>10161</v>
      </c>
      <c r="AB212">
        <v>146711</v>
      </c>
      <c r="AC212" t="s">
        <v>1728</v>
      </c>
      <c r="AD212">
        <v>43.62</v>
      </c>
      <c r="AE212" t="s">
        <v>2026</v>
      </c>
      <c r="AF212" t="s">
        <v>2323</v>
      </c>
      <c r="AG212">
        <v>5138</v>
      </c>
      <c r="AH212">
        <v>1546</v>
      </c>
      <c r="AI212">
        <v>1398976</v>
      </c>
      <c r="AJ212">
        <v>0.7</v>
      </c>
    </row>
    <row r="213" spans="1:36">
      <c r="A213" s="1" t="s">
        <v>247</v>
      </c>
      <c r="B213" t="s">
        <v>545</v>
      </c>
      <c r="C213">
        <f>HYPERLINK("https://finance.naver.com/item/coinfo.nhn?code=014130", "A014130")</f>
        <v>0</v>
      </c>
      <c r="D213">
        <f>HYPERLINK("http://comp.fnguide.com/SVO2/ASP/SVD_Consensus.asp?pGB=1&amp;gicode=A014130&amp;cID=&amp;MenuYn=Y&amp;ReportGB=&amp;NewMenuID=108&amp;stkGb=701", "한익스프레스")</f>
        <v>0</v>
      </c>
      <c r="E213">
        <v>2</v>
      </c>
      <c r="F213">
        <v>6100</v>
      </c>
      <c r="G213">
        <v>0</v>
      </c>
      <c r="H213">
        <v>9.210000000000001</v>
      </c>
      <c r="I213">
        <v>6485</v>
      </c>
      <c r="J213">
        <v>6169</v>
      </c>
      <c r="K213">
        <v>6079</v>
      </c>
      <c r="L213">
        <v>-6.3</v>
      </c>
      <c r="M213">
        <v>-1.13</v>
      </c>
      <c r="N213">
        <v>0.35</v>
      </c>
      <c r="O213">
        <v>8.73</v>
      </c>
      <c r="P213" t="b">
        <v>0</v>
      </c>
      <c r="Q213">
        <v>0</v>
      </c>
      <c r="R213">
        <v>479</v>
      </c>
      <c r="S213">
        <v>-159</v>
      </c>
      <c r="T213">
        <v>-133.2</v>
      </c>
      <c r="U213" t="s">
        <v>843</v>
      </c>
      <c r="V213" t="s">
        <v>1141</v>
      </c>
      <c r="W213">
        <v>0</v>
      </c>
      <c r="X213">
        <v>-1.4</v>
      </c>
      <c r="Y213" t="s">
        <v>1435</v>
      </c>
      <c r="Z213">
        <v>-6.555291650575679</v>
      </c>
      <c r="AA213">
        <v>732</v>
      </c>
      <c r="AB213">
        <v>198136</v>
      </c>
      <c r="AC213" t="s">
        <v>1729</v>
      </c>
      <c r="AD213">
        <v>47.27</v>
      </c>
      <c r="AE213" t="s">
        <v>2027</v>
      </c>
      <c r="AF213" t="s">
        <v>2324</v>
      </c>
      <c r="AG213">
        <v>5774</v>
      </c>
      <c r="AH213">
        <v>119</v>
      </c>
      <c r="AJ213">
        <v>1.59</v>
      </c>
    </row>
    <row r="214" spans="1:36">
      <c r="A214" s="1" t="s">
        <v>248</v>
      </c>
      <c r="B214" t="s">
        <v>546</v>
      </c>
      <c r="C214">
        <f>HYPERLINK("https://finance.naver.com/item/coinfo.nhn?code=010130", "A010130")</f>
        <v>0</v>
      </c>
      <c r="D214">
        <f>HYPERLINK("http://comp.fnguide.com/SVO2/ASP/SVD_Consensus.asp?pGB=1&amp;gicode=A010130&amp;cID=&amp;MenuYn=Y&amp;ReportGB=&amp;NewMenuID=108&amp;stkGb=701", "고려아연")</f>
        <v>0</v>
      </c>
      <c r="E214">
        <v>2</v>
      </c>
      <c r="F214">
        <v>403500</v>
      </c>
      <c r="G214">
        <v>-4.1</v>
      </c>
      <c r="H214">
        <v>12.67</v>
      </c>
      <c r="I214">
        <v>454176</v>
      </c>
      <c r="J214">
        <v>409684</v>
      </c>
      <c r="K214">
        <v>396949</v>
      </c>
      <c r="L214">
        <v>-12.56</v>
      </c>
      <c r="M214">
        <v>-1.53</v>
      </c>
      <c r="N214">
        <v>1.62</v>
      </c>
      <c r="O214">
        <v>9.59</v>
      </c>
      <c r="P214" t="b">
        <v>1</v>
      </c>
      <c r="Q214">
        <v>0</v>
      </c>
      <c r="R214">
        <v>33541</v>
      </c>
      <c r="S214">
        <v>30363</v>
      </c>
      <c r="T214">
        <v>-9.5</v>
      </c>
      <c r="U214" t="s">
        <v>844</v>
      </c>
      <c r="V214" t="s">
        <v>1142</v>
      </c>
      <c r="W214">
        <v>-3.092375469618058</v>
      </c>
      <c r="X214">
        <v>-14.7</v>
      </c>
      <c r="Y214" t="s">
        <v>1436</v>
      </c>
      <c r="Z214">
        <v>1.161603683807644</v>
      </c>
      <c r="AA214">
        <v>76140</v>
      </c>
      <c r="AB214">
        <v>114464</v>
      </c>
      <c r="AC214" t="s">
        <v>1730</v>
      </c>
      <c r="AD214">
        <v>48.54</v>
      </c>
      <c r="AE214" t="s">
        <v>2028</v>
      </c>
      <c r="AF214" t="s">
        <v>2325</v>
      </c>
      <c r="AG214">
        <v>66948</v>
      </c>
      <c r="AH214">
        <v>8053</v>
      </c>
      <c r="AI214">
        <v>1195760</v>
      </c>
      <c r="AJ214">
        <v>3.29</v>
      </c>
    </row>
    <row r="215" spans="1:36">
      <c r="A215" s="1" t="s">
        <v>249</v>
      </c>
      <c r="B215" t="s">
        <v>547</v>
      </c>
      <c r="C215">
        <f>HYPERLINK("https://finance.naver.com/item/coinfo.nhn?code=225190", "A225190")</f>
        <v>0</v>
      </c>
      <c r="D215">
        <f>HYPERLINK("http://comp.fnguide.com/SVO2/ASP/SVD_Consensus.asp?pGB=1&amp;gicode=A225190&amp;cID=&amp;MenuYn=Y&amp;ReportGB=&amp;NewMenuID=108&amp;stkGb=701", "삼양옵틱스")</f>
        <v>0</v>
      </c>
      <c r="E215">
        <v>2</v>
      </c>
      <c r="F215">
        <v>8970</v>
      </c>
      <c r="G215">
        <v>-0.19</v>
      </c>
      <c r="H215">
        <v>9.470000000000001</v>
      </c>
      <c r="I215">
        <v>18549</v>
      </c>
      <c r="J215">
        <v>9771</v>
      </c>
      <c r="K215">
        <v>7258</v>
      </c>
      <c r="L215">
        <v>-106.79</v>
      </c>
      <c r="M215">
        <v>-8.93</v>
      </c>
      <c r="N215">
        <v>19.08</v>
      </c>
      <c r="O215">
        <v>38.1</v>
      </c>
      <c r="P215" t="b">
        <v>1</v>
      </c>
      <c r="Q215">
        <v>0</v>
      </c>
      <c r="R215">
        <v>1347</v>
      </c>
      <c r="S215">
        <v>213</v>
      </c>
      <c r="T215">
        <v>-84.2</v>
      </c>
      <c r="U215" t="s">
        <v>845</v>
      </c>
      <c r="V215" t="s">
        <v>1143</v>
      </c>
      <c r="W215">
        <v>-50.78327237220432</v>
      </c>
      <c r="X215">
        <v>-80.2</v>
      </c>
      <c r="Y215" t="s">
        <v>1437</v>
      </c>
      <c r="Z215">
        <v>-27.27551790531576</v>
      </c>
      <c r="AA215">
        <v>905</v>
      </c>
      <c r="AB215">
        <v>26773</v>
      </c>
      <c r="AC215" t="s">
        <v>1731</v>
      </c>
      <c r="AD215">
        <v>68.13</v>
      </c>
      <c r="AE215" t="s">
        <v>2029</v>
      </c>
      <c r="AF215" t="s">
        <v>2326</v>
      </c>
      <c r="AG215">
        <v>636</v>
      </c>
      <c r="AH215">
        <v>157</v>
      </c>
      <c r="AI215">
        <v>28580</v>
      </c>
      <c r="AJ215">
        <v>7.84</v>
      </c>
    </row>
    <row r="216" spans="1:36">
      <c r="A216" s="1" t="s">
        <v>250</v>
      </c>
      <c r="B216" t="s">
        <v>548</v>
      </c>
      <c r="C216">
        <f>HYPERLINK("https://finance.naver.com/item/coinfo.nhn?code=090460", "A090460")</f>
        <v>0</v>
      </c>
      <c r="D216">
        <f>HYPERLINK("http://comp.fnguide.com/SVO2/ASP/SVD_Consensus.asp?pGB=1&amp;gicode=A090460&amp;cID=&amp;MenuYn=Y&amp;ReportGB=&amp;NewMenuID=108&amp;stkGb=701", "비에이치")</f>
        <v>0</v>
      </c>
      <c r="E216">
        <v>2</v>
      </c>
      <c r="F216">
        <v>18050</v>
      </c>
      <c r="G216">
        <v>-0.52</v>
      </c>
      <c r="H216">
        <v>12.67</v>
      </c>
      <c r="I216">
        <v>38936</v>
      </c>
      <c r="J216">
        <v>21020</v>
      </c>
      <c r="K216">
        <v>15893</v>
      </c>
      <c r="L216">
        <v>-115.71</v>
      </c>
      <c r="M216">
        <v>-16.46</v>
      </c>
      <c r="N216">
        <v>11.95</v>
      </c>
      <c r="O216">
        <v>34.51</v>
      </c>
      <c r="P216" t="b">
        <v>1</v>
      </c>
      <c r="Q216">
        <v>0</v>
      </c>
      <c r="R216">
        <v>1732</v>
      </c>
      <c r="S216">
        <v>638</v>
      </c>
      <c r="T216">
        <v>-63.2</v>
      </c>
      <c r="U216" t="s">
        <v>846</v>
      </c>
      <c r="V216" t="s">
        <v>1144</v>
      </c>
      <c r="W216">
        <v>-24.53542998273631</v>
      </c>
      <c r="X216">
        <v>-45.5</v>
      </c>
      <c r="Y216" t="s">
        <v>1438</v>
      </c>
      <c r="Z216">
        <v>-13.98134193358317</v>
      </c>
      <c r="AA216">
        <v>6042</v>
      </c>
      <c r="AB216">
        <v>485745</v>
      </c>
      <c r="AC216" t="s">
        <v>1732</v>
      </c>
      <c r="AD216">
        <v>22</v>
      </c>
      <c r="AE216" t="s">
        <v>2030</v>
      </c>
      <c r="AF216" t="s">
        <v>2327</v>
      </c>
      <c r="AG216">
        <v>6549</v>
      </c>
      <c r="AH216">
        <v>626</v>
      </c>
      <c r="AI216">
        <v>2586488</v>
      </c>
    </row>
    <row r="217" spans="1:36">
      <c r="A217" s="1" t="s">
        <v>251</v>
      </c>
      <c r="B217" t="s">
        <v>549</v>
      </c>
      <c r="C217">
        <f>HYPERLINK("https://finance.naver.com/item/coinfo.nhn?code=025770", "A025770")</f>
        <v>0</v>
      </c>
      <c r="D217">
        <f>HYPERLINK("http://comp.fnguide.com/SVO2/ASP/SVD_Consensus.asp?pGB=1&amp;gicode=A025770&amp;cID=&amp;MenuYn=Y&amp;ReportGB=&amp;NewMenuID=108&amp;stkGb=701", "한국정보통신")</f>
        <v>0</v>
      </c>
      <c r="E217">
        <v>1</v>
      </c>
      <c r="F217">
        <v>9080</v>
      </c>
      <c r="G217">
        <v>-0.5</v>
      </c>
      <c r="H217">
        <v>10.84</v>
      </c>
      <c r="I217">
        <v>9485</v>
      </c>
      <c r="J217">
        <v>7121</v>
      </c>
      <c r="K217">
        <v>6444</v>
      </c>
      <c r="L217">
        <v>-4.46</v>
      </c>
      <c r="M217">
        <v>21.57</v>
      </c>
      <c r="N217">
        <v>29.03</v>
      </c>
      <c r="O217">
        <v>13.73</v>
      </c>
      <c r="P217" t="b">
        <v>1</v>
      </c>
      <c r="Q217">
        <v>0</v>
      </c>
      <c r="R217">
        <v>634</v>
      </c>
      <c r="S217">
        <v>307</v>
      </c>
      <c r="T217">
        <v>-51.6</v>
      </c>
      <c r="U217" t="s">
        <v>847</v>
      </c>
      <c r="V217" t="s">
        <v>1145</v>
      </c>
      <c r="W217">
        <v>-21.82873660489645</v>
      </c>
      <c r="X217">
        <v>-31.7</v>
      </c>
      <c r="Y217" t="s">
        <v>1439</v>
      </c>
      <c r="Z217">
        <v>-5.316520177583229</v>
      </c>
      <c r="AA217">
        <v>3400</v>
      </c>
      <c r="AB217">
        <v>110108</v>
      </c>
      <c r="AC217" t="s">
        <v>1733</v>
      </c>
      <c r="AD217">
        <v>85.73999999999999</v>
      </c>
      <c r="AE217" t="s">
        <v>2031</v>
      </c>
      <c r="AF217" t="s">
        <v>2328</v>
      </c>
      <c r="AG217">
        <v>4988</v>
      </c>
      <c r="AH217">
        <v>342</v>
      </c>
      <c r="AI217">
        <v>954159</v>
      </c>
    </row>
    <row r="218" spans="1:36">
      <c r="A218" s="1" t="s">
        <v>252</v>
      </c>
      <c r="B218" t="s">
        <v>550</v>
      </c>
      <c r="C218">
        <f>HYPERLINK("https://finance.naver.com/item/coinfo.nhn?code=089890", "A089890")</f>
        <v>0</v>
      </c>
      <c r="D218">
        <f>HYPERLINK("http://comp.fnguide.com/SVO2/ASP/SVD_Consensus.asp?pGB=1&amp;gicode=A089890&amp;cID=&amp;MenuYn=Y&amp;ReportGB=&amp;NewMenuID=108&amp;stkGb=701", "코세스")</f>
        <v>0</v>
      </c>
      <c r="E218">
        <v>1</v>
      </c>
      <c r="F218">
        <v>7120</v>
      </c>
      <c r="G218">
        <v>0</v>
      </c>
      <c r="H218">
        <v>23.56</v>
      </c>
      <c r="I218">
        <v>10757</v>
      </c>
      <c r="J218">
        <v>5365</v>
      </c>
      <c r="K218">
        <v>3821</v>
      </c>
      <c r="L218">
        <v>-51.08</v>
      </c>
      <c r="M218">
        <v>24.65</v>
      </c>
      <c r="N218">
        <v>46.33</v>
      </c>
      <c r="O218">
        <v>48.97</v>
      </c>
      <c r="P218" t="b">
        <v>1</v>
      </c>
      <c r="Q218">
        <v>0</v>
      </c>
      <c r="R218">
        <v>371</v>
      </c>
      <c r="U218" t="s">
        <v>848</v>
      </c>
      <c r="V218" t="s">
        <v>1146</v>
      </c>
      <c r="W218">
        <v>0</v>
      </c>
      <c r="X218">
        <v>21.3</v>
      </c>
      <c r="Y218" t="s">
        <v>1440</v>
      </c>
      <c r="Z218">
        <v>-10.45219045738443</v>
      </c>
      <c r="AA218">
        <v>1181</v>
      </c>
      <c r="AB218">
        <v>131636</v>
      </c>
      <c r="AC218" t="s">
        <v>1734</v>
      </c>
      <c r="AD218">
        <v>51.31</v>
      </c>
      <c r="AE218" t="s">
        <v>2032</v>
      </c>
      <c r="AF218" t="s">
        <v>2329</v>
      </c>
      <c r="AG218">
        <v>656</v>
      </c>
      <c r="AH218">
        <v>77</v>
      </c>
      <c r="AI218">
        <v>1202816</v>
      </c>
    </row>
    <row r="219" spans="1:36">
      <c r="A219" s="1" t="s">
        <v>253</v>
      </c>
      <c r="B219" t="s">
        <v>551</v>
      </c>
      <c r="C219">
        <f>HYPERLINK("https://finance.naver.com/item/coinfo.nhn?code=006740", "A006740")</f>
        <v>0</v>
      </c>
      <c r="D219">
        <f>HYPERLINK("http://comp.fnguide.com/SVO2/ASP/SVD_Consensus.asp?pGB=1&amp;gicode=A006740&amp;cID=&amp;MenuYn=Y&amp;ReportGB=&amp;NewMenuID=108&amp;stkGb=701", "영풍제지")</f>
        <v>0</v>
      </c>
      <c r="E219">
        <v>1</v>
      </c>
      <c r="F219">
        <v>7470</v>
      </c>
      <c r="G219">
        <v>0</v>
      </c>
      <c r="H219">
        <v>7.45</v>
      </c>
      <c r="I219">
        <v>7862</v>
      </c>
      <c r="J219">
        <v>7226</v>
      </c>
      <c r="K219">
        <v>7043</v>
      </c>
      <c r="L219">
        <v>-5.25</v>
      </c>
      <c r="M219">
        <v>3.27</v>
      </c>
      <c r="N219">
        <v>5.71</v>
      </c>
      <c r="O219">
        <v>9.27</v>
      </c>
      <c r="P219" t="b">
        <v>1</v>
      </c>
      <c r="Q219">
        <v>0</v>
      </c>
      <c r="R219">
        <v>418</v>
      </c>
      <c r="U219" t="s">
        <v>849</v>
      </c>
      <c r="V219" t="s">
        <v>1147</v>
      </c>
      <c r="W219">
        <v>0</v>
      </c>
      <c r="X219">
        <v>-4.8</v>
      </c>
      <c r="Y219" t="s">
        <v>1441</v>
      </c>
      <c r="Z219">
        <v>12.6233358007017</v>
      </c>
      <c r="AA219">
        <v>1658</v>
      </c>
      <c r="AB219">
        <v>506012</v>
      </c>
      <c r="AC219" t="s">
        <v>1735</v>
      </c>
      <c r="AD219">
        <v>54.44</v>
      </c>
      <c r="AE219" t="s">
        <v>2033</v>
      </c>
      <c r="AF219" t="s">
        <v>2330</v>
      </c>
      <c r="AG219">
        <v>997</v>
      </c>
      <c r="AH219">
        <v>109</v>
      </c>
      <c r="AI219">
        <v>4627676</v>
      </c>
      <c r="AJ219">
        <v>1.28</v>
      </c>
    </row>
    <row r="220" spans="1:36">
      <c r="A220" s="1" t="s">
        <v>254</v>
      </c>
      <c r="B220" t="s">
        <v>552</v>
      </c>
      <c r="C220">
        <f>HYPERLINK("https://finance.naver.com/item/coinfo.nhn?code=010050", "A010050")</f>
        <v>0</v>
      </c>
      <c r="D220">
        <f>HYPERLINK("http://comp.fnguide.com/SVO2/ASP/SVD_Consensus.asp?pGB=1&amp;gicode=A010050&amp;cID=&amp;MenuYn=Y&amp;ReportGB=&amp;NewMenuID=108&amp;stkGb=701", "우리종금")</f>
        <v>0</v>
      </c>
      <c r="E220">
        <v>1</v>
      </c>
      <c r="F220">
        <v>635</v>
      </c>
      <c r="G220">
        <v>0.35</v>
      </c>
      <c r="H220">
        <v>8.01</v>
      </c>
      <c r="I220">
        <v>677</v>
      </c>
      <c r="J220">
        <v>523</v>
      </c>
      <c r="K220">
        <v>479</v>
      </c>
      <c r="L220">
        <v>-6.57</v>
      </c>
      <c r="M220">
        <v>17.65</v>
      </c>
      <c r="N220">
        <v>24.58</v>
      </c>
      <c r="O220">
        <v>12.92</v>
      </c>
      <c r="P220" t="b">
        <v>1</v>
      </c>
      <c r="Q220">
        <v>0</v>
      </c>
      <c r="R220">
        <v>78</v>
      </c>
      <c r="S220">
        <v>72</v>
      </c>
      <c r="T220">
        <v>-7.7</v>
      </c>
      <c r="U220" t="s">
        <v>850</v>
      </c>
      <c r="V220" t="s">
        <v>1148</v>
      </c>
      <c r="W220">
        <v>22.66240286586789</v>
      </c>
      <c r="Y220" t="s">
        <v>1233</v>
      </c>
      <c r="Z220">
        <v>-15.34160040286397</v>
      </c>
      <c r="AA220">
        <v>5551</v>
      </c>
      <c r="AB220">
        <v>11319121</v>
      </c>
      <c r="AC220" t="s">
        <v>1736</v>
      </c>
      <c r="AD220">
        <v>58.75</v>
      </c>
      <c r="AE220" t="s">
        <v>2034</v>
      </c>
      <c r="AF220" t="s">
        <v>2331</v>
      </c>
      <c r="AG220">
        <v>2051</v>
      </c>
      <c r="AH220">
        <v>539</v>
      </c>
      <c r="AI220">
        <v>69076</v>
      </c>
    </row>
    <row r="221" spans="1:36">
      <c r="A221" s="1" t="s">
        <v>255</v>
      </c>
      <c r="B221" t="s">
        <v>553</v>
      </c>
      <c r="C221">
        <f>HYPERLINK("https://finance.naver.com/item/coinfo.nhn?code=317400", "A317400")</f>
        <v>0</v>
      </c>
      <c r="D221">
        <f>HYPERLINK("http://comp.fnguide.com/SVO2/ASP/SVD_Consensus.asp?pGB=1&amp;gicode=A317400&amp;cID=&amp;MenuYn=Y&amp;ReportGB=&amp;NewMenuID=108&amp;stkGb=701", "자이에스앤디")</f>
        <v>0</v>
      </c>
      <c r="E221">
        <v>1</v>
      </c>
      <c r="F221">
        <v>10600</v>
      </c>
      <c r="G221">
        <v>0</v>
      </c>
      <c r="H221">
        <v>8.449999999999999</v>
      </c>
      <c r="I221">
        <v>11851</v>
      </c>
      <c r="J221">
        <v>7995</v>
      </c>
      <c r="K221">
        <v>6891</v>
      </c>
      <c r="L221">
        <v>-11.8</v>
      </c>
      <c r="M221">
        <v>24.58</v>
      </c>
      <c r="N221">
        <v>34.99</v>
      </c>
      <c r="O221">
        <v>17.54</v>
      </c>
      <c r="P221" t="b">
        <v>1</v>
      </c>
      <c r="Q221">
        <v>0</v>
      </c>
      <c r="R221">
        <v>676</v>
      </c>
      <c r="U221" t="s">
        <v>851</v>
      </c>
      <c r="V221" t="s">
        <v>1149</v>
      </c>
      <c r="W221">
        <v>0</v>
      </c>
      <c r="X221">
        <v>-3.3</v>
      </c>
      <c r="Y221" t="s">
        <v>1442</v>
      </c>
      <c r="Z221">
        <v>-3.226821046745387</v>
      </c>
      <c r="AA221">
        <v>2839</v>
      </c>
      <c r="AB221">
        <v>182025</v>
      </c>
      <c r="AC221" t="s">
        <v>1737</v>
      </c>
      <c r="AD221">
        <v>61.17</v>
      </c>
      <c r="AE221" t="s">
        <v>2035</v>
      </c>
      <c r="AF221" t="s">
        <v>2332</v>
      </c>
      <c r="AG221">
        <v>2779</v>
      </c>
      <c r="AH221">
        <v>165</v>
      </c>
      <c r="AJ221">
        <v>1.75</v>
      </c>
    </row>
    <row r="222" spans="1:36">
      <c r="A222" s="1" t="s">
        <v>256</v>
      </c>
      <c r="B222" t="s">
        <v>554</v>
      </c>
      <c r="C222">
        <f>HYPERLINK("https://finance.naver.com/item/coinfo.nhn?code=001630", "A001630")</f>
        <v>0</v>
      </c>
      <c r="D222">
        <f>HYPERLINK("http://comp.fnguide.com/SVO2/ASP/SVD_Consensus.asp?pGB=1&amp;gicode=A001630&amp;cID=&amp;MenuYn=Y&amp;ReportGB=&amp;NewMenuID=108&amp;stkGb=701", "종근당홀딩스")</f>
        <v>0</v>
      </c>
      <c r="E222">
        <v>1</v>
      </c>
      <c r="F222">
        <v>103500</v>
      </c>
      <c r="G222">
        <v>0.34</v>
      </c>
      <c r="H222">
        <v>11.24</v>
      </c>
      <c r="I222">
        <v>108598</v>
      </c>
      <c r="J222">
        <v>99770</v>
      </c>
      <c r="K222">
        <v>97243</v>
      </c>
      <c r="L222">
        <v>-4.93</v>
      </c>
      <c r="M222">
        <v>3.6</v>
      </c>
      <c r="N222">
        <v>6.05</v>
      </c>
      <c r="O222">
        <v>9.279999999999999</v>
      </c>
      <c r="P222" t="b">
        <v>1</v>
      </c>
      <c r="Q222">
        <v>2</v>
      </c>
      <c r="R222">
        <v>8988</v>
      </c>
      <c r="S222">
        <v>22560</v>
      </c>
      <c r="T222">
        <v>151</v>
      </c>
      <c r="U222" t="s">
        <v>852</v>
      </c>
      <c r="V222" t="s">
        <v>1150</v>
      </c>
      <c r="W222">
        <v>33.0366190835913</v>
      </c>
      <c r="X222">
        <v>32</v>
      </c>
      <c r="Y222" t="s">
        <v>1443</v>
      </c>
      <c r="Z222">
        <v>26.62167634380437</v>
      </c>
      <c r="AA222">
        <v>5185</v>
      </c>
      <c r="AB222">
        <v>22061</v>
      </c>
      <c r="AC222" t="s">
        <v>1738</v>
      </c>
      <c r="AD222">
        <v>45.98</v>
      </c>
      <c r="AE222" t="s">
        <v>2036</v>
      </c>
      <c r="AF222" t="s">
        <v>2333</v>
      </c>
      <c r="AG222">
        <v>7206</v>
      </c>
      <c r="AH222">
        <v>862</v>
      </c>
      <c r="AI222">
        <v>14661</v>
      </c>
      <c r="AJ222">
        <v>1.29</v>
      </c>
    </row>
    <row r="223" spans="1:36">
      <c r="A223" s="1" t="s">
        <v>257</v>
      </c>
      <c r="B223" t="s">
        <v>555</v>
      </c>
      <c r="C223">
        <f>HYPERLINK("https://finance.naver.com/item/coinfo.nhn?code=013890", "A013890")</f>
        <v>0</v>
      </c>
      <c r="D223">
        <f>HYPERLINK("http://comp.fnguide.com/SVO2/ASP/SVD_Consensus.asp?pGB=1&amp;gicode=A013890&amp;cID=&amp;MenuYn=Y&amp;ReportGB=&amp;NewMenuID=108&amp;stkGb=701", "지누스")</f>
        <v>0</v>
      </c>
      <c r="E223">
        <v>1</v>
      </c>
      <c r="F223">
        <v>93400</v>
      </c>
      <c r="G223">
        <v>-3.82</v>
      </c>
      <c r="H223">
        <v>16.37</v>
      </c>
      <c r="I223">
        <v>99271</v>
      </c>
      <c r="J223">
        <v>56054</v>
      </c>
      <c r="K223">
        <v>43685</v>
      </c>
      <c r="L223">
        <v>-6.29</v>
      </c>
      <c r="M223">
        <v>39.98</v>
      </c>
      <c r="N223">
        <v>53.23</v>
      </c>
      <c r="O223">
        <v>29.3</v>
      </c>
      <c r="P223" t="b">
        <v>1</v>
      </c>
      <c r="Q223">
        <v>0</v>
      </c>
      <c r="R223">
        <v>5669</v>
      </c>
      <c r="S223">
        <v>3178</v>
      </c>
      <c r="T223">
        <v>-43.9</v>
      </c>
      <c r="U223" t="s">
        <v>853</v>
      </c>
      <c r="V223" t="s">
        <v>1151</v>
      </c>
      <c r="W223">
        <v>-4.286579909599009</v>
      </c>
      <c r="X223">
        <v>-16.9</v>
      </c>
      <c r="Y223" t="s">
        <v>1444</v>
      </c>
      <c r="Z223">
        <v>0</v>
      </c>
      <c r="AA223">
        <v>13456</v>
      </c>
      <c r="AB223">
        <v>63668</v>
      </c>
      <c r="AC223" t="s">
        <v>1739</v>
      </c>
      <c r="AD223">
        <v>39.2</v>
      </c>
      <c r="AE223" t="s">
        <v>2037</v>
      </c>
      <c r="AF223" t="s">
        <v>2334</v>
      </c>
      <c r="AG223">
        <v>8171</v>
      </c>
      <c r="AH223">
        <v>1039</v>
      </c>
      <c r="AI223">
        <v>641430</v>
      </c>
      <c r="AJ223">
        <v>1.35</v>
      </c>
    </row>
    <row r="224" spans="1:36">
      <c r="A224" s="1" t="s">
        <v>258</v>
      </c>
      <c r="B224" t="s">
        <v>556</v>
      </c>
      <c r="C224">
        <f>HYPERLINK("https://finance.naver.com/item/coinfo.nhn?code=033290", "A033290")</f>
        <v>0</v>
      </c>
      <c r="D224">
        <f>HYPERLINK("http://comp.fnguide.com/SVO2/ASP/SVD_Consensus.asp?pGB=1&amp;gicode=A033290&amp;cID=&amp;MenuYn=Y&amp;ReportGB=&amp;NewMenuID=108&amp;stkGb=701", "코웰패션")</f>
        <v>0</v>
      </c>
      <c r="E224">
        <v>1</v>
      </c>
      <c r="F224">
        <v>5700</v>
      </c>
      <c r="G224">
        <v>0</v>
      </c>
      <c r="H224">
        <v>9.93</v>
      </c>
      <c r="I224">
        <v>8997</v>
      </c>
      <c r="J224">
        <v>5317</v>
      </c>
      <c r="K224">
        <v>4264</v>
      </c>
      <c r="L224">
        <v>-57.85</v>
      </c>
      <c r="M224">
        <v>6.71</v>
      </c>
      <c r="N224">
        <v>25.19</v>
      </c>
      <c r="O224">
        <v>25.25</v>
      </c>
      <c r="P224" t="b">
        <v>1</v>
      </c>
      <c r="Q224">
        <v>0</v>
      </c>
      <c r="R224">
        <v>568</v>
      </c>
      <c r="U224" t="s">
        <v>854</v>
      </c>
      <c r="V224" t="s">
        <v>1152</v>
      </c>
      <c r="W224">
        <v>0</v>
      </c>
      <c r="X224">
        <v>22.4</v>
      </c>
      <c r="Y224" t="s">
        <v>1445</v>
      </c>
      <c r="Z224">
        <v>41.20509158442094</v>
      </c>
      <c r="AA224">
        <v>5045</v>
      </c>
      <c r="AB224">
        <v>380848</v>
      </c>
      <c r="AC224" t="s">
        <v>1740</v>
      </c>
      <c r="AD224">
        <v>70.83</v>
      </c>
      <c r="AE224" t="s">
        <v>2038</v>
      </c>
      <c r="AF224" t="s">
        <v>2335</v>
      </c>
      <c r="AG224">
        <v>3947</v>
      </c>
      <c r="AH224">
        <v>761</v>
      </c>
      <c r="AI224">
        <v>3171107</v>
      </c>
      <c r="AJ224">
        <v>1.77</v>
      </c>
    </row>
    <row r="225" spans="1:36">
      <c r="A225" s="1" t="s">
        <v>259</v>
      </c>
      <c r="B225" t="s">
        <v>557</v>
      </c>
      <c r="C225">
        <f>HYPERLINK("https://finance.naver.com/item/coinfo.nhn?code=003780", "A003780")</f>
        <v>0</v>
      </c>
      <c r="D225">
        <f>HYPERLINK("http://comp.fnguide.com/SVO2/ASP/SVD_Consensus.asp?pGB=1&amp;gicode=A003780&amp;cID=&amp;MenuYn=Y&amp;ReportGB=&amp;NewMenuID=108&amp;stkGb=701", "진양산업")</f>
        <v>0</v>
      </c>
      <c r="E225">
        <v>1</v>
      </c>
      <c r="F225">
        <v>3940</v>
      </c>
      <c r="G225">
        <v>0</v>
      </c>
      <c r="H225">
        <v>7.6</v>
      </c>
      <c r="I225">
        <v>4741</v>
      </c>
      <c r="J225">
        <v>3794</v>
      </c>
      <c r="K225">
        <v>3523</v>
      </c>
      <c r="L225">
        <v>-20.33</v>
      </c>
      <c r="M225">
        <v>3.7</v>
      </c>
      <c r="N225">
        <v>10.58</v>
      </c>
      <c r="O225">
        <v>12.03</v>
      </c>
      <c r="P225" t="b">
        <v>1</v>
      </c>
      <c r="Q225">
        <v>0</v>
      </c>
      <c r="R225">
        <v>525</v>
      </c>
      <c r="U225" t="s">
        <v>855</v>
      </c>
      <c r="V225" t="s">
        <v>1153</v>
      </c>
      <c r="W225">
        <v>0</v>
      </c>
      <c r="X225">
        <v>15.8</v>
      </c>
      <c r="Y225" t="s">
        <v>1446</v>
      </c>
      <c r="Z225">
        <v>8.290515156466816</v>
      </c>
      <c r="AA225">
        <v>512</v>
      </c>
      <c r="AB225">
        <v>156485</v>
      </c>
      <c r="AC225" t="s">
        <v>1741</v>
      </c>
      <c r="AD225">
        <v>45.18</v>
      </c>
      <c r="AE225" t="s">
        <v>2039</v>
      </c>
      <c r="AF225" t="s">
        <v>2336</v>
      </c>
      <c r="AG225">
        <v>618</v>
      </c>
      <c r="AH225">
        <v>91</v>
      </c>
      <c r="AJ225">
        <v>5.01</v>
      </c>
    </row>
    <row r="226" spans="1:36">
      <c r="A226" s="1" t="s">
        <v>260</v>
      </c>
      <c r="B226" t="s">
        <v>558</v>
      </c>
      <c r="C226">
        <f>HYPERLINK("https://finance.naver.com/item/coinfo.nhn?code=010780", "A010780")</f>
        <v>0</v>
      </c>
      <c r="D226">
        <f>HYPERLINK("http://comp.fnguide.com/SVO2/ASP/SVD_Consensus.asp?pGB=1&amp;gicode=A010780&amp;cID=&amp;MenuYn=Y&amp;ReportGB=&amp;NewMenuID=108&amp;stkGb=701", "아이에스동서")</f>
        <v>0</v>
      </c>
      <c r="E226">
        <v>1</v>
      </c>
      <c r="F226">
        <v>53700</v>
      </c>
      <c r="G226">
        <v>-1.04</v>
      </c>
      <c r="H226">
        <v>15.41</v>
      </c>
      <c r="I226">
        <v>63117</v>
      </c>
      <c r="J226">
        <v>46907</v>
      </c>
      <c r="K226">
        <v>42267</v>
      </c>
      <c r="L226">
        <v>-17.54</v>
      </c>
      <c r="M226">
        <v>12.65</v>
      </c>
      <c r="N226">
        <v>21.29</v>
      </c>
      <c r="O226">
        <v>14.03</v>
      </c>
      <c r="P226" t="b">
        <v>1</v>
      </c>
      <c r="Q226">
        <v>1</v>
      </c>
      <c r="R226">
        <v>2138</v>
      </c>
      <c r="S226">
        <v>3919</v>
      </c>
      <c r="T226">
        <v>83.3</v>
      </c>
      <c r="U226" t="s">
        <v>856</v>
      </c>
      <c r="V226" t="s">
        <v>1154</v>
      </c>
      <c r="W226">
        <v>-14.78432464022297</v>
      </c>
      <c r="X226">
        <v>126.3</v>
      </c>
      <c r="Y226" t="s">
        <v>1447</v>
      </c>
      <c r="Z226">
        <v>5.323044183168046</v>
      </c>
      <c r="AA226">
        <v>16589</v>
      </c>
      <c r="AB226">
        <v>94946</v>
      </c>
      <c r="AC226" t="s">
        <v>1742</v>
      </c>
      <c r="AD226">
        <v>54.69</v>
      </c>
      <c r="AE226" t="s">
        <v>2040</v>
      </c>
      <c r="AF226" t="s">
        <v>2337</v>
      </c>
      <c r="AG226">
        <v>9641</v>
      </c>
      <c r="AH226">
        <v>662</v>
      </c>
      <c r="AI226">
        <v>447941</v>
      </c>
      <c r="AJ226">
        <v>2.12</v>
      </c>
    </row>
    <row r="227" spans="1:36">
      <c r="A227" s="1" t="s">
        <v>261</v>
      </c>
      <c r="B227" t="s">
        <v>559</v>
      </c>
      <c r="C227">
        <f>HYPERLINK("https://finance.naver.com/item/coinfo.nhn?code=281820", "A281820")</f>
        <v>0</v>
      </c>
      <c r="D227">
        <f>HYPERLINK("http://comp.fnguide.com/SVO2/ASP/SVD_Consensus.asp?pGB=1&amp;gicode=A281820&amp;cID=&amp;MenuYn=Y&amp;ReportGB=&amp;NewMenuID=108&amp;stkGb=701", "케이씨텍")</f>
        <v>0</v>
      </c>
      <c r="E227">
        <v>1</v>
      </c>
      <c r="F227">
        <v>25050</v>
      </c>
      <c r="G227">
        <v>0</v>
      </c>
      <c r="H227">
        <v>12.57</v>
      </c>
      <c r="I227">
        <v>25193</v>
      </c>
      <c r="J227">
        <v>18383</v>
      </c>
      <c r="K227">
        <v>16434</v>
      </c>
      <c r="L227">
        <v>-0.57</v>
      </c>
      <c r="M227">
        <v>26.62</v>
      </c>
      <c r="N227">
        <v>34.4</v>
      </c>
      <c r="O227">
        <v>14.61</v>
      </c>
      <c r="P227" t="b">
        <v>1</v>
      </c>
      <c r="Q227">
        <v>0</v>
      </c>
      <c r="R227">
        <v>1858</v>
      </c>
      <c r="U227" t="s">
        <v>857</v>
      </c>
      <c r="V227" t="s">
        <v>1155</v>
      </c>
      <c r="W227">
        <v>0</v>
      </c>
      <c r="X227">
        <v>15.8</v>
      </c>
      <c r="Y227" t="s">
        <v>1448</v>
      </c>
      <c r="Z227">
        <v>0</v>
      </c>
      <c r="AA227">
        <v>5226</v>
      </c>
      <c r="AB227">
        <v>174860</v>
      </c>
      <c r="AC227" t="s">
        <v>1743</v>
      </c>
      <c r="AD227">
        <v>47.1</v>
      </c>
      <c r="AE227" t="s">
        <v>2041</v>
      </c>
      <c r="AF227" t="s">
        <v>2338</v>
      </c>
      <c r="AG227">
        <v>2653</v>
      </c>
      <c r="AH227">
        <v>491</v>
      </c>
      <c r="AI227">
        <v>4778</v>
      </c>
      <c r="AJ227">
        <v>0.86</v>
      </c>
    </row>
    <row r="228" spans="1:36">
      <c r="A228" s="1" t="s">
        <v>262</v>
      </c>
      <c r="B228" t="s">
        <v>560</v>
      </c>
      <c r="C228">
        <f>HYPERLINK("https://finance.naver.com/item/coinfo.nhn?code=272110", "A272110")</f>
        <v>0</v>
      </c>
      <c r="D228">
        <f>HYPERLINK("http://comp.fnguide.com/SVO2/ASP/SVD_Consensus.asp?pGB=1&amp;gicode=A272110&amp;cID=&amp;MenuYn=Y&amp;ReportGB=&amp;NewMenuID=108&amp;stkGb=701", "케이엔제이")</f>
        <v>0</v>
      </c>
      <c r="E228">
        <v>1</v>
      </c>
      <c r="F228">
        <v>12600</v>
      </c>
      <c r="G228">
        <v>0</v>
      </c>
      <c r="H228">
        <v>13.81</v>
      </c>
      <c r="I228">
        <v>15913</v>
      </c>
      <c r="J228">
        <v>8906</v>
      </c>
      <c r="K228">
        <v>6900</v>
      </c>
      <c r="L228">
        <v>-26.29</v>
      </c>
      <c r="M228">
        <v>29.32</v>
      </c>
      <c r="N228">
        <v>45.24</v>
      </c>
      <c r="O228">
        <v>30.22</v>
      </c>
      <c r="P228" t="b">
        <v>1</v>
      </c>
      <c r="Q228">
        <v>0</v>
      </c>
      <c r="R228">
        <v>854</v>
      </c>
      <c r="S228">
        <v>-738</v>
      </c>
      <c r="T228">
        <v>-186.4</v>
      </c>
      <c r="U228" t="s">
        <v>858</v>
      </c>
      <c r="V228" t="s">
        <v>1156</v>
      </c>
      <c r="W228">
        <v>0</v>
      </c>
      <c r="X228">
        <v>0</v>
      </c>
      <c r="Y228" t="s">
        <v>1449</v>
      </c>
      <c r="Z228">
        <v>72.48773869466778</v>
      </c>
      <c r="AA228">
        <v>800</v>
      </c>
      <c r="AB228">
        <v>77116</v>
      </c>
      <c r="AC228" t="s">
        <v>1744</v>
      </c>
      <c r="AD228">
        <v>26.44</v>
      </c>
      <c r="AE228" t="s">
        <v>2042</v>
      </c>
      <c r="AF228" t="s">
        <v>2339</v>
      </c>
      <c r="AG228">
        <v>563</v>
      </c>
      <c r="AH228">
        <v>38</v>
      </c>
    </row>
    <row r="229" spans="1:36">
      <c r="A229" s="1" t="s">
        <v>263</v>
      </c>
      <c r="B229" t="s">
        <v>561</v>
      </c>
      <c r="C229">
        <f>HYPERLINK("https://finance.naver.com/item/coinfo.nhn?code=039490", "A039490")</f>
        <v>0</v>
      </c>
      <c r="D229">
        <f>HYPERLINK("http://comp.fnguide.com/SVO2/ASP/SVD_Consensus.asp?pGB=1&amp;gicode=A039490&amp;cID=&amp;MenuYn=Y&amp;ReportGB=&amp;NewMenuID=108&amp;stkGb=701", "키움증권")</f>
        <v>0</v>
      </c>
      <c r="E229">
        <v>1</v>
      </c>
      <c r="F229">
        <v>129000</v>
      </c>
      <c r="G229">
        <v>0.16</v>
      </c>
      <c r="H229">
        <v>5.56</v>
      </c>
      <c r="I229">
        <v>164069</v>
      </c>
      <c r="J229">
        <v>118333</v>
      </c>
      <c r="K229">
        <v>105242</v>
      </c>
      <c r="L229">
        <v>-27.19</v>
      </c>
      <c r="M229">
        <v>8.27</v>
      </c>
      <c r="N229">
        <v>18.42</v>
      </c>
      <c r="O229">
        <v>14.99</v>
      </c>
      <c r="P229" t="b">
        <v>1</v>
      </c>
      <c r="Q229">
        <v>2</v>
      </c>
      <c r="R229">
        <v>14287</v>
      </c>
      <c r="S229">
        <v>26737</v>
      </c>
      <c r="T229">
        <v>87.09999999999999</v>
      </c>
      <c r="U229" t="s">
        <v>859</v>
      </c>
      <c r="V229" t="s">
        <v>1157</v>
      </c>
      <c r="W229">
        <v>34.96760793945175</v>
      </c>
      <c r="X229">
        <v>27.1</v>
      </c>
      <c r="Y229" t="s">
        <v>1450</v>
      </c>
      <c r="Z229">
        <v>17.40151881375067</v>
      </c>
      <c r="AA229">
        <v>33440</v>
      </c>
      <c r="AB229">
        <v>228753</v>
      </c>
      <c r="AC229" t="s">
        <v>1745</v>
      </c>
      <c r="AD229">
        <v>41.69</v>
      </c>
      <c r="AE229" t="s">
        <v>2043</v>
      </c>
      <c r="AF229" t="s">
        <v>2340</v>
      </c>
      <c r="AG229">
        <v>8651</v>
      </c>
      <c r="AH229">
        <v>4737</v>
      </c>
      <c r="AI229">
        <v>500000</v>
      </c>
      <c r="AJ229">
        <v>2.52</v>
      </c>
    </row>
    <row r="230" spans="1:36">
      <c r="A230" s="1" t="s">
        <v>264</v>
      </c>
      <c r="B230" t="s">
        <v>562</v>
      </c>
      <c r="C230">
        <f>HYPERLINK("https://finance.naver.com/item/coinfo.nhn?code=307930", "A307930")</f>
        <v>0</v>
      </c>
      <c r="D230">
        <f>HYPERLINK("http://comp.fnguide.com/SVO2/ASP/SVD_Consensus.asp?pGB=1&amp;gicode=A307930&amp;cID=&amp;MenuYn=Y&amp;ReportGB=&amp;NewMenuID=108&amp;stkGb=701", "컴퍼니케이")</f>
        <v>0</v>
      </c>
      <c r="E230">
        <v>1</v>
      </c>
      <c r="F230">
        <v>6980</v>
      </c>
      <c r="G230">
        <v>0</v>
      </c>
      <c r="H230">
        <v>12.85</v>
      </c>
      <c r="I230">
        <v>8159</v>
      </c>
      <c r="J230">
        <v>5234</v>
      </c>
      <c r="K230">
        <v>4397</v>
      </c>
      <c r="L230">
        <v>-16.89</v>
      </c>
      <c r="M230">
        <v>25.01</v>
      </c>
      <c r="N230">
        <v>37</v>
      </c>
      <c r="O230">
        <v>19.95</v>
      </c>
      <c r="P230" t="b">
        <v>1</v>
      </c>
      <c r="Q230">
        <v>0</v>
      </c>
      <c r="R230">
        <v>605</v>
      </c>
      <c r="U230" t="s">
        <v>860</v>
      </c>
      <c r="V230" t="s">
        <v>1158</v>
      </c>
      <c r="W230">
        <v>0</v>
      </c>
      <c r="Y230" t="s">
        <v>1233</v>
      </c>
      <c r="Z230">
        <v>-8.343042120225707</v>
      </c>
      <c r="AA230">
        <v>1090</v>
      </c>
      <c r="AB230">
        <v>94015</v>
      </c>
      <c r="AC230" t="s">
        <v>1746</v>
      </c>
      <c r="AD230">
        <v>73.61</v>
      </c>
      <c r="AE230" t="s">
        <v>2044</v>
      </c>
      <c r="AF230" t="s">
        <v>2341</v>
      </c>
      <c r="AG230">
        <v>169</v>
      </c>
      <c r="AH230">
        <v>108</v>
      </c>
      <c r="AJ230">
        <v>2.06</v>
      </c>
    </row>
    <row r="231" spans="1:36">
      <c r="A231" s="1" t="s">
        <v>265</v>
      </c>
      <c r="B231" t="s">
        <v>563</v>
      </c>
      <c r="C231">
        <f>HYPERLINK("https://finance.naver.com/item/coinfo.nhn?code=097950", "A097950")</f>
        <v>0</v>
      </c>
      <c r="D231">
        <f>HYPERLINK("http://comp.fnguide.com/SVO2/ASP/SVD_Consensus.asp?pGB=1&amp;gicode=A097950&amp;cID=&amp;MenuYn=Y&amp;ReportGB=&amp;NewMenuID=108&amp;stkGb=701", "CJ제일제당")</f>
        <v>0</v>
      </c>
      <c r="E231">
        <v>1</v>
      </c>
      <c r="F231">
        <v>406500</v>
      </c>
      <c r="G231">
        <v>1.36</v>
      </c>
      <c r="H231">
        <v>27.12</v>
      </c>
      <c r="I231">
        <v>436940</v>
      </c>
      <c r="J231">
        <v>374097</v>
      </c>
      <c r="K231">
        <v>356109</v>
      </c>
      <c r="L231">
        <v>-7.49</v>
      </c>
      <c r="M231">
        <v>7.97</v>
      </c>
      <c r="N231">
        <v>12.4</v>
      </c>
      <c r="O231">
        <v>10.55</v>
      </c>
      <c r="P231" t="b">
        <v>0</v>
      </c>
      <c r="Q231">
        <v>1</v>
      </c>
      <c r="R231">
        <v>9312</v>
      </c>
      <c r="S231">
        <v>44043</v>
      </c>
      <c r="T231">
        <v>373</v>
      </c>
      <c r="U231" t="s">
        <v>861</v>
      </c>
      <c r="V231" t="s">
        <v>1159</v>
      </c>
      <c r="W231">
        <v>19.96235671127673</v>
      </c>
      <c r="X231">
        <v>1077.9</v>
      </c>
      <c r="Y231" t="s">
        <v>1451</v>
      </c>
      <c r="Z231">
        <v>53.05732384717095</v>
      </c>
      <c r="AA231">
        <v>61195</v>
      </c>
      <c r="AB231">
        <v>127142</v>
      </c>
      <c r="AC231" t="s">
        <v>1747</v>
      </c>
      <c r="AD231">
        <v>45.51</v>
      </c>
      <c r="AE231" t="s">
        <v>2045</v>
      </c>
      <c r="AF231" t="s">
        <v>2342</v>
      </c>
      <c r="AG231">
        <v>223525</v>
      </c>
      <c r="AH231">
        <v>8969</v>
      </c>
      <c r="AI231">
        <v>357302</v>
      </c>
      <c r="AJ231">
        <v>1.39</v>
      </c>
    </row>
    <row r="232" spans="1:36">
      <c r="A232" s="1" t="s">
        <v>266</v>
      </c>
      <c r="B232" t="s">
        <v>564</v>
      </c>
      <c r="C232">
        <f>HYPERLINK("https://finance.naver.com/item/coinfo.nhn?code=243070", "A243070")</f>
        <v>0</v>
      </c>
      <c r="D232">
        <f>HYPERLINK("http://comp.fnguide.com/SVO2/ASP/SVD_Consensus.asp?pGB=1&amp;gicode=A243070&amp;cID=&amp;MenuYn=Y&amp;ReportGB=&amp;NewMenuID=108&amp;stkGb=701", "휴온스")</f>
        <v>0</v>
      </c>
      <c r="E232">
        <v>1</v>
      </c>
      <c r="F232">
        <v>55600</v>
      </c>
      <c r="G232">
        <v>0.77</v>
      </c>
      <c r="H232">
        <v>12.71</v>
      </c>
      <c r="I232">
        <v>65998</v>
      </c>
      <c r="J232">
        <v>38353</v>
      </c>
      <c r="K232">
        <v>30440</v>
      </c>
      <c r="L232">
        <v>-18.7</v>
      </c>
      <c r="M232">
        <v>31.02</v>
      </c>
      <c r="N232">
        <v>45.25</v>
      </c>
      <c r="O232">
        <v>26.62</v>
      </c>
      <c r="P232" t="b">
        <v>1</v>
      </c>
      <c r="Q232">
        <v>1</v>
      </c>
      <c r="R232">
        <v>3867</v>
      </c>
      <c r="S232">
        <v>5623</v>
      </c>
      <c r="T232">
        <v>45.4</v>
      </c>
      <c r="U232" t="s">
        <v>862</v>
      </c>
      <c r="V232" t="s">
        <v>1160</v>
      </c>
      <c r="W232">
        <v>16.59240889043265</v>
      </c>
      <c r="X232">
        <v>16.8</v>
      </c>
      <c r="Y232" t="s">
        <v>1452</v>
      </c>
      <c r="Z232">
        <v>0</v>
      </c>
      <c r="AA232">
        <v>6038</v>
      </c>
      <c r="AB232">
        <v>62208</v>
      </c>
      <c r="AC232" t="s">
        <v>1748</v>
      </c>
      <c r="AD232">
        <v>45.08</v>
      </c>
      <c r="AE232" t="s">
        <v>2046</v>
      </c>
      <c r="AF232" t="s">
        <v>2343</v>
      </c>
      <c r="AG232">
        <v>3650</v>
      </c>
      <c r="AH232">
        <v>484</v>
      </c>
      <c r="AI232">
        <v>96996</v>
      </c>
      <c r="AJ232">
        <v>1.29</v>
      </c>
    </row>
    <row r="233" spans="1:36">
      <c r="A233" s="1" t="s">
        <v>267</v>
      </c>
      <c r="B233" t="s">
        <v>565</v>
      </c>
      <c r="C233">
        <f>HYPERLINK("https://finance.naver.com/item/coinfo.nhn?code=078340", "A078340")</f>
        <v>0</v>
      </c>
      <c r="D233">
        <f>HYPERLINK("http://comp.fnguide.com/SVO2/ASP/SVD_Consensus.asp?pGB=1&amp;gicode=A078340&amp;cID=&amp;MenuYn=Y&amp;ReportGB=&amp;NewMenuID=108&amp;stkGb=701", "컴투스")</f>
        <v>0</v>
      </c>
      <c r="E233">
        <v>1</v>
      </c>
      <c r="F233">
        <v>138400</v>
      </c>
      <c r="G233">
        <v>-0.6899999999999999</v>
      </c>
      <c r="H233">
        <v>12.37</v>
      </c>
      <c r="I233">
        <v>144210</v>
      </c>
      <c r="J233">
        <v>103607</v>
      </c>
      <c r="K233">
        <v>91985</v>
      </c>
      <c r="L233">
        <v>-4.2</v>
      </c>
      <c r="M233">
        <v>25.14</v>
      </c>
      <c r="N233">
        <v>33.54</v>
      </c>
      <c r="O233">
        <v>15.12</v>
      </c>
      <c r="P233" t="b">
        <v>1</v>
      </c>
      <c r="Q233">
        <v>0</v>
      </c>
      <c r="R233">
        <v>8693</v>
      </c>
      <c r="S233">
        <v>6146</v>
      </c>
      <c r="T233">
        <v>-29.3</v>
      </c>
      <c r="U233" t="s">
        <v>863</v>
      </c>
      <c r="V233" t="s">
        <v>1161</v>
      </c>
      <c r="W233">
        <v>-17.80907516476574</v>
      </c>
      <c r="X233">
        <v>-21.1</v>
      </c>
      <c r="Y233" t="s">
        <v>1453</v>
      </c>
      <c r="Z233">
        <v>-8.343042120225707</v>
      </c>
      <c r="AA233">
        <v>17807</v>
      </c>
      <c r="AB233">
        <v>165516</v>
      </c>
      <c r="AC233" t="s">
        <v>1749</v>
      </c>
      <c r="AD233">
        <v>29.49</v>
      </c>
      <c r="AE233" t="s">
        <v>2047</v>
      </c>
      <c r="AF233" t="s">
        <v>2344</v>
      </c>
      <c r="AG233">
        <v>4693</v>
      </c>
      <c r="AH233">
        <v>1260</v>
      </c>
      <c r="AI233">
        <v>840353</v>
      </c>
      <c r="AJ233">
        <v>1.3</v>
      </c>
    </row>
    <row r="234" spans="1:36">
      <c r="A234" s="1" t="s">
        <v>268</v>
      </c>
      <c r="B234" t="s">
        <v>566</v>
      </c>
      <c r="C234">
        <f>HYPERLINK("https://finance.naver.com/item/coinfo.nhn?code=293480", "A293480")</f>
        <v>0</v>
      </c>
      <c r="D234">
        <f>HYPERLINK("http://comp.fnguide.com/SVO2/ASP/SVD_Consensus.asp?pGB=1&amp;gicode=A293480&amp;cID=&amp;MenuYn=Y&amp;ReportGB=&amp;NewMenuID=108&amp;stkGb=701", "하나제약")</f>
        <v>0</v>
      </c>
      <c r="E234">
        <v>1</v>
      </c>
      <c r="F234">
        <v>23250</v>
      </c>
      <c r="G234">
        <v>0</v>
      </c>
      <c r="H234">
        <v>12.91</v>
      </c>
      <c r="I234">
        <v>32624</v>
      </c>
      <c r="J234">
        <v>21463</v>
      </c>
      <c r="K234">
        <v>18269</v>
      </c>
      <c r="L234">
        <v>-40.32</v>
      </c>
      <c r="M234">
        <v>7.68</v>
      </c>
      <c r="N234">
        <v>21.42</v>
      </c>
      <c r="O234">
        <v>18.68</v>
      </c>
      <c r="P234" t="b">
        <v>1</v>
      </c>
      <c r="Q234">
        <v>0</v>
      </c>
      <c r="R234">
        <v>1747</v>
      </c>
      <c r="U234" t="s">
        <v>864</v>
      </c>
      <c r="V234" t="s">
        <v>1162</v>
      </c>
      <c r="W234">
        <v>0</v>
      </c>
      <c r="X234">
        <v>-11</v>
      </c>
      <c r="Y234" t="s">
        <v>1454</v>
      </c>
      <c r="Z234">
        <v>-8.824579080226002</v>
      </c>
      <c r="AA234">
        <v>3767</v>
      </c>
      <c r="AB234">
        <v>83061</v>
      </c>
      <c r="AC234" t="s">
        <v>1750</v>
      </c>
      <c r="AD234">
        <v>58.69</v>
      </c>
      <c r="AE234" t="s">
        <v>2048</v>
      </c>
      <c r="AF234" t="s">
        <v>2345</v>
      </c>
      <c r="AG234">
        <v>1663</v>
      </c>
      <c r="AH234">
        <v>336</v>
      </c>
      <c r="AI234">
        <v>470540</v>
      </c>
      <c r="AJ234">
        <v>2.04</v>
      </c>
    </row>
    <row r="235" spans="1:36">
      <c r="A235" s="1" t="s">
        <v>269</v>
      </c>
      <c r="B235" t="s">
        <v>567</v>
      </c>
      <c r="C235">
        <f>HYPERLINK("https://finance.naver.com/item/coinfo.nhn?code=018250", "A018250")</f>
        <v>0</v>
      </c>
      <c r="D235">
        <f>HYPERLINK("http://comp.fnguide.com/SVO2/ASP/SVD_Consensus.asp?pGB=1&amp;gicode=A018250&amp;cID=&amp;MenuYn=Y&amp;ReportGB=&amp;NewMenuID=108&amp;stkGb=701", "애경산업")</f>
        <v>0</v>
      </c>
      <c r="E235">
        <v>1</v>
      </c>
      <c r="F235">
        <v>25500</v>
      </c>
      <c r="G235">
        <v>-0.48</v>
      </c>
      <c r="H235">
        <v>17.97</v>
      </c>
      <c r="I235">
        <v>35629</v>
      </c>
      <c r="J235">
        <v>22013</v>
      </c>
      <c r="K235">
        <v>18116</v>
      </c>
      <c r="L235">
        <v>-39.72</v>
      </c>
      <c r="M235">
        <v>13.67</v>
      </c>
      <c r="N235">
        <v>28.96</v>
      </c>
      <c r="O235">
        <v>22.12</v>
      </c>
      <c r="P235" t="b">
        <v>1</v>
      </c>
      <c r="Q235">
        <v>0</v>
      </c>
      <c r="R235">
        <v>1581</v>
      </c>
      <c r="S235">
        <v>431</v>
      </c>
      <c r="T235">
        <v>-72.7</v>
      </c>
      <c r="U235" t="s">
        <v>865</v>
      </c>
      <c r="V235" t="s">
        <v>1163</v>
      </c>
      <c r="W235">
        <v>-37.68767655305996</v>
      </c>
      <c r="X235">
        <v>-70.09999999999999</v>
      </c>
      <c r="Y235" t="s">
        <v>1455</v>
      </c>
      <c r="Z235">
        <v>-10.75607852195181</v>
      </c>
      <c r="AA235">
        <v>6735</v>
      </c>
      <c r="AB235">
        <v>98139</v>
      </c>
      <c r="AC235" t="s">
        <v>1751</v>
      </c>
      <c r="AD235">
        <v>63.35</v>
      </c>
      <c r="AE235" t="s">
        <v>2049</v>
      </c>
      <c r="AF235" t="s">
        <v>2346</v>
      </c>
      <c r="AG235">
        <v>7013</v>
      </c>
      <c r="AH235">
        <v>606</v>
      </c>
      <c r="AI235">
        <v>200010</v>
      </c>
      <c r="AJ235">
        <v>1.58</v>
      </c>
    </row>
    <row r="236" spans="1:36">
      <c r="A236" s="1" t="s">
        <v>270</v>
      </c>
      <c r="B236" t="s">
        <v>568</v>
      </c>
      <c r="C236">
        <f>HYPERLINK("https://finance.naver.com/item/coinfo.nhn?code=124560", "A124560")</f>
        <v>0</v>
      </c>
      <c r="D236">
        <f>HYPERLINK("http://comp.fnguide.com/SVO2/ASP/SVD_Consensus.asp?pGB=1&amp;gicode=A124560&amp;cID=&amp;MenuYn=Y&amp;ReportGB=&amp;NewMenuID=108&amp;stkGb=701", "태웅로직스")</f>
        <v>0</v>
      </c>
      <c r="E236">
        <v>1</v>
      </c>
      <c r="F236">
        <v>4870</v>
      </c>
      <c r="G236">
        <v>0.03</v>
      </c>
      <c r="H236">
        <v>8.1</v>
      </c>
      <c r="I236">
        <v>7817</v>
      </c>
      <c r="J236">
        <v>4446</v>
      </c>
      <c r="K236">
        <v>3481</v>
      </c>
      <c r="L236">
        <v>-60.51</v>
      </c>
      <c r="M236">
        <v>8.710000000000001</v>
      </c>
      <c r="N236">
        <v>28.53</v>
      </c>
      <c r="O236">
        <v>28.59</v>
      </c>
      <c r="P236" t="b">
        <v>1</v>
      </c>
      <c r="Q236">
        <v>3</v>
      </c>
      <c r="R236">
        <v>631</v>
      </c>
      <c r="S236">
        <v>676</v>
      </c>
      <c r="T236">
        <v>7.1</v>
      </c>
      <c r="U236" t="s">
        <v>866</v>
      </c>
      <c r="V236" t="s">
        <v>1164</v>
      </c>
      <c r="W236">
        <v>283.2940940607695</v>
      </c>
      <c r="X236">
        <v>-3.2</v>
      </c>
      <c r="Y236" t="s">
        <v>1456</v>
      </c>
      <c r="Z236">
        <v>157.6222867500069</v>
      </c>
      <c r="AA236">
        <v>951</v>
      </c>
      <c r="AB236">
        <v>286309</v>
      </c>
      <c r="AC236" t="s">
        <v>1752</v>
      </c>
      <c r="AD236">
        <v>38.11</v>
      </c>
      <c r="AE236" t="s">
        <v>2050</v>
      </c>
      <c r="AF236" t="s">
        <v>2347</v>
      </c>
      <c r="AG236">
        <v>2861</v>
      </c>
      <c r="AH236">
        <v>150</v>
      </c>
      <c r="AI236">
        <v>750000</v>
      </c>
      <c r="AJ236">
        <v>0.98</v>
      </c>
    </row>
    <row r="237" spans="1:36">
      <c r="A237" s="1" t="s">
        <v>271</v>
      </c>
      <c r="B237" t="s">
        <v>569</v>
      </c>
      <c r="C237">
        <f>HYPERLINK("https://finance.naver.com/item/coinfo.nhn?code=114090", "A114090")</f>
        <v>0</v>
      </c>
      <c r="D237">
        <f>HYPERLINK("http://comp.fnguide.com/SVO2/ASP/SVD_Consensus.asp?pGB=1&amp;gicode=A114090&amp;cID=&amp;MenuYn=Y&amp;ReportGB=&amp;NewMenuID=108&amp;stkGb=701", "GKL")</f>
        <v>0</v>
      </c>
      <c r="E237">
        <v>1</v>
      </c>
      <c r="F237">
        <v>15950</v>
      </c>
      <c r="G237">
        <v>0</v>
      </c>
      <c r="H237">
        <v>16.62</v>
      </c>
      <c r="I237">
        <v>16045</v>
      </c>
      <c r="J237">
        <v>12098</v>
      </c>
      <c r="K237">
        <v>10968</v>
      </c>
      <c r="L237">
        <v>-0.6</v>
      </c>
      <c r="M237">
        <v>24.15</v>
      </c>
      <c r="N237">
        <v>31.23</v>
      </c>
      <c r="O237">
        <v>13.6</v>
      </c>
      <c r="P237" t="b">
        <v>1</v>
      </c>
      <c r="Q237">
        <v>0</v>
      </c>
      <c r="R237">
        <v>1170</v>
      </c>
      <c r="S237">
        <v>-1040</v>
      </c>
      <c r="T237">
        <v>-188.9</v>
      </c>
      <c r="U237" t="s">
        <v>867</v>
      </c>
      <c r="V237" t="s">
        <v>1165</v>
      </c>
      <c r="W237">
        <v>0</v>
      </c>
      <c r="X237">
        <v>0</v>
      </c>
      <c r="Y237" t="s">
        <v>1457</v>
      </c>
      <c r="Z237">
        <v>-5.761356366183334</v>
      </c>
      <c r="AA237">
        <v>9866</v>
      </c>
      <c r="AB237">
        <v>593333</v>
      </c>
      <c r="AC237" t="s">
        <v>1753</v>
      </c>
      <c r="AD237">
        <v>51</v>
      </c>
      <c r="AE237" t="s">
        <v>2051</v>
      </c>
      <c r="AF237" t="s">
        <v>2348</v>
      </c>
      <c r="AG237">
        <v>4908</v>
      </c>
      <c r="AH237">
        <v>968</v>
      </c>
      <c r="AJ237">
        <v>3.39</v>
      </c>
    </row>
    <row r="238" spans="1:36">
      <c r="A238" s="1" t="s">
        <v>272</v>
      </c>
      <c r="B238" t="s">
        <v>570</v>
      </c>
      <c r="C238">
        <f>HYPERLINK("https://finance.naver.com/item/coinfo.nhn?code=009190", "A009190")</f>
        <v>0</v>
      </c>
      <c r="D238">
        <f>HYPERLINK("http://comp.fnguide.com/SVO2/ASP/SVD_Consensus.asp?pGB=1&amp;gicode=A009190&amp;cID=&amp;MenuYn=Y&amp;ReportGB=&amp;NewMenuID=108&amp;stkGb=701", "대양금속")</f>
        <v>0</v>
      </c>
      <c r="E238">
        <v>1</v>
      </c>
      <c r="F238">
        <v>3855</v>
      </c>
      <c r="G238">
        <v>0</v>
      </c>
      <c r="H238">
        <v>113.98</v>
      </c>
      <c r="I238">
        <v>4982</v>
      </c>
      <c r="J238">
        <v>3348</v>
      </c>
      <c r="K238">
        <v>2880</v>
      </c>
      <c r="L238">
        <v>-29.22</v>
      </c>
      <c r="M238">
        <v>13.15</v>
      </c>
      <c r="N238">
        <v>25.28</v>
      </c>
      <c r="O238">
        <v>17.71</v>
      </c>
      <c r="P238" t="b">
        <v>0</v>
      </c>
      <c r="Q238">
        <v>0</v>
      </c>
      <c r="R238">
        <v>132</v>
      </c>
      <c r="U238" t="s">
        <v>868</v>
      </c>
      <c r="V238" t="s">
        <v>1166</v>
      </c>
      <c r="W238">
        <v>0</v>
      </c>
      <c r="X238">
        <v>-71.7</v>
      </c>
      <c r="Y238" t="s">
        <v>1458</v>
      </c>
      <c r="Z238">
        <v>-32.15243606085663</v>
      </c>
      <c r="AA238">
        <v>1140</v>
      </c>
      <c r="AB238">
        <v>674081</v>
      </c>
      <c r="AC238" t="s">
        <v>1754</v>
      </c>
      <c r="AD238">
        <v>24.78</v>
      </c>
      <c r="AE238" t="s">
        <v>2052</v>
      </c>
      <c r="AF238" t="s">
        <v>2349</v>
      </c>
      <c r="AG238">
        <v>1516</v>
      </c>
      <c r="AH238">
        <v>32</v>
      </c>
      <c r="AI238">
        <v>4663</v>
      </c>
    </row>
    <row r="239" spans="1:36">
      <c r="A239" s="1" t="s">
        <v>273</v>
      </c>
      <c r="B239" t="s">
        <v>571</v>
      </c>
      <c r="C239">
        <f>HYPERLINK("https://finance.naver.com/item/coinfo.nhn?code=006650", "A006650")</f>
        <v>0</v>
      </c>
      <c r="D239">
        <f>HYPERLINK("http://comp.fnguide.com/SVO2/ASP/SVD_Consensus.asp?pGB=1&amp;gicode=A006650&amp;cID=&amp;MenuYn=Y&amp;ReportGB=&amp;NewMenuID=108&amp;stkGb=701", "대한유화")</f>
        <v>0</v>
      </c>
      <c r="E239">
        <v>1</v>
      </c>
      <c r="F239">
        <v>363500</v>
      </c>
      <c r="G239">
        <v>-0.46</v>
      </c>
      <c r="H239">
        <v>7.18</v>
      </c>
      <c r="I239">
        <v>396782</v>
      </c>
      <c r="J239">
        <v>331562</v>
      </c>
      <c r="K239">
        <v>312894</v>
      </c>
      <c r="L239">
        <v>-9.16</v>
      </c>
      <c r="M239">
        <v>8.789999999999999</v>
      </c>
      <c r="N239">
        <v>13.92</v>
      </c>
      <c r="O239">
        <v>11.05</v>
      </c>
      <c r="P239" t="b">
        <v>1</v>
      </c>
      <c r="Q239">
        <v>1</v>
      </c>
      <c r="R239">
        <v>16360</v>
      </c>
      <c r="S239">
        <v>19785</v>
      </c>
      <c r="T239">
        <v>20.9</v>
      </c>
      <c r="U239" t="s">
        <v>869</v>
      </c>
      <c r="V239" t="s">
        <v>1167</v>
      </c>
      <c r="W239">
        <v>-15.67174376012803</v>
      </c>
      <c r="X239">
        <v>-18.4</v>
      </c>
      <c r="Y239" t="s">
        <v>1459</v>
      </c>
      <c r="Z239">
        <v>-15.4433906953866</v>
      </c>
      <c r="AA239">
        <v>23628</v>
      </c>
      <c r="AB239">
        <v>73658</v>
      </c>
      <c r="AC239" t="s">
        <v>1755</v>
      </c>
      <c r="AD239">
        <v>39.78</v>
      </c>
      <c r="AE239" t="s">
        <v>2053</v>
      </c>
      <c r="AF239" t="s">
        <v>2350</v>
      </c>
      <c r="AG239">
        <v>20743</v>
      </c>
      <c r="AH239">
        <v>1138</v>
      </c>
      <c r="AI239">
        <v>323900</v>
      </c>
      <c r="AJ239">
        <v>2.13</v>
      </c>
    </row>
    <row r="240" spans="1:36">
      <c r="A240" s="1" t="s">
        <v>274</v>
      </c>
      <c r="B240" t="s">
        <v>572</v>
      </c>
      <c r="C240">
        <f>HYPERLINK("https://finance.naver.com/item/coinfo.nhn?code=126700", "A126700")</f>
        <v>0</v>
      </c>
      <c r="D240">
        <f>HYPERLINK("http://comp.fnguide.com/SVO2/ASP/SVD_Consensus.asp?pGB=1&amp;gicode=A126700&amp;cID=&amp;MenuYn=Y&amp;ReportGB=&amp;NewMenuID=108&amp;stkGb=701", "하이비젼시스템")</f>
        <v>0</v>
      </c>
      <c r="E240">
        <v>1</v>
      </c>
      <c r="F240">
        <v>14400</v>
      </c>
      <c r="G240">
        <v>-1.08</v>
      </c>
      <c r="H240">
        <v>22.26</v>
      </c>
      <c r="I240">
        <v>16049</v>
      </c>
      <c r="J240">
        <v>11813</v>
      </c>
      <c r="K240">
        <v>10601</v>
      </c>
      <c r="L240">
        <v>-11.45</v>
      </c>
      <c r="M240">
        <v>17.96</v>
      </c>
      <c r="N240">
        <v>26.38</v>
      </c>
      <c r="O240">
        <v>14.33</v>
      </c>
      <c r="P240" t="b">
        <v>1</v>
      </c>
      <c r="Q240">
        <v>1</v>
      </c>
      <c r="R240">
        <v>562</v>
      </c>
      <c r="S240">
        <v>686</v>
      </c>
      <c r="T240">
        <v>22.1</v>
      </c>
      <c r="U240" t="s">
        <v>870</v>
      </c>
      <c r="V240" t="s">
        <v>1168</v>
      </c>
      <c r="W240">
        <v>-20.67845891991605</v>
      </c>
      <c r="X240">
        <v>-0.3</v>
      </c>
      <c r="Y240" t="s">
        <v>1460</v>
      </c>
      <c r="Z240">
        <v>-2.462662460295362</v>
      </c>
      <c r="AA240">
        <v>2152</v>
      </c>
      <c r="AB240">
        <v>409111</v>
      </c>
      <c r="AC240" t="s">
        <v>1756</v>
      </c>
      <c r="AD240">
        <v>18.3</v>
      </c>
      <c r="AE240" t="s">
        <v>2054</v>
      </c>
      <c r="AF240" t="s">
        <v>2351</v>
      </c>
      <c r="AG240">
        <v>1342</v>
      </c>
      <c r="AH240">
        <v>36</v>
      </c>
      <c r="AI240">
        <v>1138431</v>
      </c>
      <c r="AJ240">
        <v>0.4</v>
      </c>
    </row>
    <row r="241" spans="1:36">
      <c r="A241" s="1" t="s">
        <v>275</v>
      </c>
      <c r="B241" t="s">
        <v>573</v>
      </c>
      <c r="C241">
        <f>HYPERLINK("https://finance.naver.com/item/coinfo.nhn?code=023770", "A023770")</f>
        <v>0</v>
      </c>
      <c r="D241">
        <f>HYPERLINK("http://comp.fnguide.com/SVO2/ASP/SVD_Consensus.asp?pGB=1&amp;gicode=A023770&amp;cID=&amp;MenuYn=Y&amp;ReportGB=&amp;NewMenuID=108&amp;stkGb=701", "플레이위드")</f>
        <v>0</v>
      </c>
      <c r="E241">
        <v>1</v>
      </c>
      <c r="F241">
        <v>8710</v>
      </c>
      <c r="G241">
        <v>0</v>
      </c>
      <c r="H241">
        <v>8.08</v>
      </c>
      <c r="I241">
        <v>10558</v>
      </c>
      <c r="J241">
        <v>5475</v>
      </c>
      <c r="K241">
        <v>4021</v>
      </c>
      <c r="L241">
        <v>-21.21</v>
      </c>
      <c r="M241">
        <v>37.14</v>
      </c>
      <c r="N241">
        <v>53.84</v>
      </c>
      <c r="O241">
        <v>40.72</v>
      </c>
      <c r="P241" t="b">
        <v>1</v>
      </c>
      <c r="Q241">
        <v>0</v>
      </c>
      <c r="R241">
        <v>1086</v>
      </c>
      <c r="U241" t="s">
        <v>871</v>
      </c>
      <c r="V241" t="s">
        <v>1169</v>
      </c>
      <c r="W241">
        <v>0</v>
      </c>
      <c r="X241">
        <v>502.3</v>
      </c>
      <c r="Y241" t="s">
        <v>1461</v>
      </c>
      <c r="Z241">
        <v>254.9664209471088</v>
      </c>
      <c r="AA241">
        <v>758</v>
      </c>
      <c r="AB241">
        <v>112166</v>
      </c>
      <c r="AC241" t="s">
        <v>1757</v>
      </c>
      <c r="AD241">
        <v>22.62</v>
      </c>
      <c r="AE241" t="s">
        <v>2055</v>
      </c>
      <c r="AF241" t="s">
        <v>2352</v>
      </c>
      <c r="AG241">
        <v>560</v>
      </c>
      <c r="AH241">
        <v>136</v>
      </c>
    </row>
    <row r="242" spans="1:36">
      <c r="A242" s="1" t="s">
        <v>276</v>
      </c>
      <c r="B242" t="s">
        <v>574</v>
      </c>
      <c r="C242">
        <f>HYPERLINK("https://finance.naver.com/item/coinfo.nhn?code=049770", "A049770")</f>
        <v>0</v>
      </c>
      <c r="D242">
        <f>HYPERLINK("http://comp.fnguide.com/SVO2/ASP/SVD_Consensus.asp?pGB=1&amp;gicode=A049770&amp;cID=&amp;MenuYn=Y&amp;ReportGB=&amp;NewMenuID=108&amp;stkGb=701", "동원F&amp;B")</f>
        <v>0</v>
      </c>
      <c r="E242">
        <v>1</v>
      </c>
      <c r="F242">
        <v>198000</v>
      </c>
      <c r="G242">
        <v>0.89</v>
      </c>
      <c r="H242">
        <v>13.28</v>
      </c>
      <c r="I242">
        <v>210925</v>
      </c>
      <c r="J242">
        <v>190299</v>
      </c>
      <c r="K242">
        <v>184396</v>
      </c>
      <c r="L242">
        <v>-6.53</v>
      </c>
      <c r="M242">
        <v>3.89</v>
      </c>
      <c r="N242">
        <v>6.87</v>
      </c>
      <c r="O242">
        <v>9.58</v>
      </c>
      <c r="P242" t="b">
        <v>1</v>
      </c>
      <c r="Q242">
        <v>3</v>
      </c>
      <c r="R242">
        <v>17015</v>
      </c>
      <c r="S242">
        <v>20194</v>
      </c>
      <c r="T242">
        <v>18.7</v>
      </c>
      <c r="U242" t="s">
        <v>872</v>
      </c>
      <c r="V242" t="s">
        <v>1170</v>
      </c>
      <c r="W242">
        <v>14.91484014135023</v>
      </c>
      <c r="X242">
        <v>10.3</v>
      </c>
      <c r="Y242" t="s">
        <v>1462</v>
      </c>
      <c r="Z242">
        <v>4.964981025361559</v>
      </c>
      <c r="AA242">
        <v>7641</v>
      </c>
      <c r="AB242">
        <v>16274</v>
      </c>
      <c r="AC242" t="s">
        <v>1758</v>
      </c>
      <c r="AD242">
        <v>74.40000000000001</v>
      </c>
      <c r="AE242" t="s">
        <v>2056</v>
      </c>
      <c r="AF242" t="s">
        <v>2353</v>
      </c>
      <c r="AG242">
        <v>30303</v>
      </c>
      <c r="AH242">
        <v>1014</v>
      </c>
      <c r="AJ242">
        <v>1.33</v>
      </c>
    </row>
    <row r="243" spans="1:36">
      <c r="A243" s="1" t="s">
        <v>277</v>
      </c>
      <c r="B243" t="s">
        <v>575</v>
      </c>
      <c r="C243">
        <f>HYPERLINK("https://finance.naver.com/item/coinfo.nhn?code=107590", "A107590")</f>
        <v>0</v>
      </c>
      <c r="D243">
        <f>HYPERLINK("http://comp.fnguide.com/SVO2/ASP/SVD_Consensus.asp?pGB=1&amp;gicode=A107590&amp;cID=&amp;MenuYn=Y&amp;ReportGB=&amp;NewMenuID=108&amp;stkGb=701", "미원홀딩스")</f>
        <v>0</v>
      </c>
      <c r="E243">
        <v>1</v>
      </c>
      <c r="F243">
        <v>72700</v>
      </c>
      <c r="G243">
        <v>0.14</v>
      </c>
      <c r="H243">
        <v>6.24</v>
      </c>
      <c r="I243">
        <v>73414</v>
      </c>
      <c r="J243">
        <v>67337</v>
      </c>
      <c r="K243">
        <v>65597</v>
      </c>
      <c r="L243">
        <v>-0.98</v>
      </c>
      <c r="M243">
        <v>7.38</v>
      </c>
      <c r="N243">
        <v>9.77</v>
      </c>
      <c r="O243">
        <v>9.300000000000001</v>
      </c>
      <c r="P243" t="b">
        <v>1</v>
      </c>
      <c r="Q243">
        <v>3</v>
      </c>
      <c r="R243">
        <v>6591</v>
      </c>
      <c r="S243">
        <v>10256</v>
      </c>
      <c r="T243">
        <v>55.6</v>
      </c>
      <c r="U243" t="s">
        <v>873</v>
      </c>
      <c r="V243" t="s">
        <v>1171</v>
      </c>
      <c r="W243">
        <v>45.48481215094638</v>
      </c>
      <c r="X243">
        <v>19</v>
      </c>
      <c r="Y243" t="s">
        <v>1463</v>
      </c>
      <c r="Z243">
        <v>13.17556714261634</v>
      </c>
      <c r="AA243">
        <v>1687</v>
      </c>
      <c r="AB243">
        <v>2484</v>
      </c>
      <c r="AC243" t="s">
        <v>1759</v>
      </c>
      <c r="AD243">
        <v>71.01000000000001</v>
      </c>
      <c r="AE243" t="s">
        <v>2057</v>
      </c>
      <c r="AF243" t="s">
        <v>2354</v>
      </c>
      <c r="AG243">
        <v>1884</v>
      </c>
      <c r="AH243">
        <v>78</v>
      </c>
      <c r="AJ243">
        <v>0.97</v>
      </c>
    </row>
    <row r="244" spans="1:36">
      <c r="A244" s="1" t="s">
        <v>278</v>
      </c>
      <c r="B244" t="s">
        <v>576</v>
      </c>
      <c r="C244">
        <f>HYPERLINK("https://finance.naver.com/item/coinfo.nhn?code=134380", "A134380")</f>
        <v>0</v>
      </c>
      <c r="D244">
        <f>HYPERLINK("http://comp.fnguide.com/SVO2/ASP/SVD_Consensus.asp?pGB=1&amp;gicode=A134380&amp;cID=&amp;MenuYn=Y&amp;ReportGB=&amp;NewMenuID=108&amp;stkGb=701", "미원화학")</f>
        <v>0</v>
      </c>
      <c r="E244">
        <v>1</v>
      </c>
      <c r="F244">
        <v>61600</v>
      </c>
      <c r="G244">
        <v>0</v>
      </c>
      <c r="H244">
        <v>7.23</v>
      </c>
      <c r="I244">
        <v>78162</v>
      </c>
      <c r="J244">
        <v>61349</v>
      </c>
      <c r="K244">
        <v>56537</v>
      </c>
      <c r="L244">
        <v>-26.89</v>
      </c>
      <c r="M244">
        <v>0.41</v>
      </c>
      <c r="N244">
        <v>8.220000000000001</v>
      </c>
      <c r="O244">
        <v>12.51</v>
      </c>
      <c r="P244" t="b">
        <v>1</v>
      </c>
      <c r="Q244">
        <v>0</v>
      </c>
      <c r="R244">
        <v>6167</v>
      </c>
      <c r="U244" t="s">
        <v>874</v>
      </c>
      <c r="V244" t="s">
        <v>1172</v>
      </c>
      <c r="W244">
        <v>0</v>
      </c>
      <c r="X244">
        <v>14.7</v>
      </c>
      <c r="Y244" t="s">
        <v>1464</v>
      </c>
      <c r="Z244">
        <v>7.136352270952129</v>
      </c>
      <c r="AA244">
        <v>1355</v>
      </c>
      <c r="AB244">
        <v>641</v>
      </c>
      <c r="AC244" t="s">
        <v>1760</v>
      </c>
      <c r="AD244">
        <v>55.67</v>
      </c>
      <c r="AE244" t="s">
        <v>2058</v>
      </c>
      <c r="AF244" t="s">
        <v>2355</v>
      </c>
      <c r="AG244">
        <v>1547</v>
      </c>
      <c r="AH244">
        <v>155</v>
      </c>
      <c r="AI244">
        <v>161958</v>
      </c>
      <c r="AJ244">
        <v>2.24</v>
      </c>
    </row>
    <row r="245" spans="1:36">
      <c r="A245" s="1" t="s">
        <v>279</v>
      </c>
      <c r="B245" t="s">
        <v>577</v>
      </c>
      <c r="C245">
        <f>HYPERLINK("https://finance.naver.com/item/coinfo.nhn?code=000660", "A000660")</f>
        <v>0</v>
      </c>
      <c r="D245">
        <f>HYPERLINK("http://comp.fnguide.com/SVO2/ASP/SVD_Consensus.asp?pGB=1&amp;gicode=A000660&amp;cID=&amp;MenuYn=Y&amp;ReportGB=&amp;NewMenuID=108&amp;stkGb=701", "SK하이닉스")</f>
        <v>0</v>
      </c>
      <c r="E245">
        <v>1</v>
      </c>
      <c r="F245">
        <v>141500</v>
      </c>
      <c r="G245">
        <v>-1.45</v>
      </c>
      <c r="H245">
        <v>34.03</v>
      </c>
      <c r="I245">
        <v>184365</v>
      </c>
      <c r="J245">
        <v>115852</v>
      </c>
      <c r="K245">
        <v>96242</v>
      </c>
      <c r="L245">
        <v>-30.29</v>
      </c>
      <c r="M245">
        <v>18.13</v>
      </c>
      <c r="N245">
        <v>31.98</v>
      </c>
      <c r="O245">
        <v>21.1</v>
      </c>
      <c r="P245" t="b">
        <v>0</v>
      </c>
      <c r="Q245">
        <v>1</v>
      </c>
      <c r="R245">
        <v>2766</v>
      </c>
      <c r="S245">
        <v>6532</v>
      </c>
      <c r="T245">
        <v>136.2</v>
      </c>
      <c r="U245" t="s">
        <v>875</v>
      </c>
      <c r="V245" t="s">
        <v>1173</v>
      </c>
      <c r="W245">
        <v>-23.46524426611085</v>
      </c>
      <c r="X245">
        <v>40.2</v>
      </c>
      <c r="Y245" t="s">
        <v>1465</v>
      </c>
      <c r="Z245">
        <v>-8.118973713105538</v>
      </c>
      <c r="AA245">
        <v>1030123</v>
      </c>
      <c r="AB245">
        <v>10843268</v>
      </c>
      <c r="AC245" t="s">
        <v>1761</v>
      </c>
      <c r="AD245">
        <v>20.07</v>
      </c>
      <c r="AE245" t="s">
        <v>2059</v>
      </c>
      <c r="AF245" t="s">
        <v>2356</v>
      </c>
      <c r="AG245">
        <v>269907</v>
      </c>
      <c r="AH245">
        <v>27127</v>
      </c>
      <c r="AI245">
        <v>44000570</v>
      </c>
      <c r="AJ245">
        <v>1.06</v>
      </c>
    </row>
    <row r="246" spans="1:36">
      <c r="A246" s="1" t="s">
        <v>280</v>
      </c>
      <c r="B246" t="s">
        <v>578</v>
      </c>
      <c r="C246">
        <f>HYPERLINK("https://finance.naver.com/item/coinfo.nhn?code=002410", "A002410")</f>
        <v>0</v>
      </c>
      <c r="D246">
        <f>HYPERLINK("http://comp.fnguide.com/SVO2/ASP/SVD_Consensus.asp?pGB=1&amp;gicode=A002410&amp;cID=&amp;MenuYn=Y&amp;ReportGB=&amp;NewMenuID=108&amp;stkGb=701", "범양건영")</f>
        <v>0</v>
      </c>
      <c r="E246">
        <v>1</v>
      </c>
      <c r="F246">
        <v>4950</v>
      </c>
      <c r="G246">
        <v>0.04</v>
      </c>
      <c r="H246">
        <v>4.12</v>
      </c>
      <c r="I246">
        <v>7281</v>
      </c>
      <c r="J246">
        <v>4606</v>
      </c>
      <c r="K246">
        <v>3841</v>
      </c>
      <c r="L246">
        <v>-47.08</v>
      </c>
      <c r="M246">
        <v>6.95</v>
      </c>
      <c r="N246">
        <v>22.41</v>
      </c>
      <c r="O246">
        <v>20.71</v>
      </c>
      <c r="P246" t="b">
        <v>1</v>
      </c>
      <c r="Q246">
        <v>0</v>
      </c>
      <c r="R246">
        <v>794</v>
      </c>
      <c r="S246">
        <v>438</v>
      </c>
      <c r="T246">
        <v>-44.8</v>
      </c>
      <c r="U246" t="s">
        <v>876</v>
      </c>
      <c r="V246" t="s">
        <v>1174</v>
      </c>
      <c r="W246">
        <v>112.0093525006581</v>
      </c>
      <c r="X246">
        <v>-43.8</v>
      </c>
      <c r="Y246" t="s">
        <v>1466</v>
      </c>
      <c r="Z246">
        <v>112.6799412753776</v>
      </c>
      <c r="AA246">
        <v>1229</v>
      </c>
      <c r="AB246">
        <v>320900</v>
      </c>
      <c r="AC246" t="s">
        <v>1762</v>
      </c>
      <c r="AD246">
        <v>33.22</v>
      </c>
      <c r="AE246" t="s">
        <v>2060</v>
      </c>
      <c r="AF246" t="s">
        <v>2357</v>
      </c>
      <c r="AG246">
        <v>2761</v>
      </c>
      <c r="AH246">
        <v>115</v>
      </c>
      <c r="AI246">
        <v>2030</v>
      </c>
    </row>
    <row r="247" spans="1:36">
      <c r="A247" s="1" t="s">
        <v>281</v>
      </c>
      <c r="B247" t="s">
        <v>579</v>
      </c>
      <c r="C247">
        <f>HYPERLINK("https://finance.naver.com/item/coinfo.nhn?code=003230", "A003230")</f>
        <v>0</v>
      </c>
      <c r="D247">
        <f>HYPERLINK("http://comp.fnguide.com/SVO2/ASP/SVD_Consensus.asp?pGB=1&amp;gicode=A003230&amp;cID=&amp;MenuYn=Y&amp;ReportGB=&amp;NewMenuID=108&amp;stkGb=701", "삼양식품")</f>
        <v>0</v>
      </c>
      <c r="E247">
        <v>1</v>
      </c>
      <c r="F247">
        <v>87100</v>
      </c>
      <c r="G247">
        <v>0.28</v>
      </c>
      <c r="H247">
        <v>11.37</v>
      </c>
      <c r="I247">
        <v>91614</v>
      </c>
      <c r="J247">
        <v>59273</v>
      </c>
      <c r="K247">
        <v>50017</v>
      </c>
      <c r="L247">
        <v>-5.18</v>
      </c>
      <c r="M247">
        <v>31.95</v>
      </c>
      <c r="N247">
        <v>42.58</v>
      </c>
      <c r="O247">
        <v>19.51</v>
      </c>
      <c r="P247" t="b">
        <v>1</v>
      </c>
      <c r="Q247">
        <v>3</v>
      </c>
      <c r="R247">
        <v>7906</v>
      </c>
      <c r="S247">
        <v>10461</v>
      </c>
      <c r="T247">
        <v>32.3</v>
      </c>
      <c r="U247" t="s">
        <v>877</v>
      </c>
      <c r="V247" t="s">
        <v>1175</v>
      </c>
      <c r="W247">
        <v>40.04197074962008</v>
      </c>
      <c r="X247">
        <v>36.5</v>
      </c>
      <c r="Y247" t="s">
        <v>1467</v>
      </c>
      <c r="Z247">
        <v>45.1392256043234</v>
      </c>
      <c r="AA247">
        <v>6561</v>
      </c>
      <c r="AB247">
        <v>54652</v>
      </c>
      <c r="AC247" t="s">
        <v>1763</v>
      </c>
      <c r="AD247">
        <v>46.11</v>
      </c>
      <c r="AE247" t="s">
        <v>2061</v>
      </c>
      <c r="AF247" t="s">
        <v>2358</v>
      </c>
      <c r="AG247">
        <v>5436</v>
      </c>
      <c r="AH247">
        <v>783</v>
      </c>
      <c r="AI247">
        <v>409</v>
      </c>
      <c r="AJ247">
        <v>0.89</v>
      </c>
    </row>
    <row r="248" spans="1:36">
      <c r="A248" s="1" t="s">
        <v>282</v>
      </c>
      <c r="B248" t="s">
        <v>580</v>
      </c>
      <c r="C248">
        <f>HYPERLINK("https://finance.naver.com/item/coinfo.nhn?code=054920", "A054920")</f>
        <v>0</v>
      </c>
      <c r="D248">
        <f>HYPERLINK("http://comp.fnguide.com/SVO2/ASP/SVD_Consensus.asp?pGB=1&amp;gicode=A054920&amp;cID=&amp;MenuYn=Y&amp;ReportGB=&amp;NewMenuID=108&amp;stkGb=701", "한컴위드")</f>
        <v>0</v>
      </c>
      <c r="E248">
        <v>1</v>
      </c>
      <c r="F248">
        <v>8480</v>
      </c>
      <c r="G248">
        <v>0.05</v>
      </c>
      <c r="H248">
        <v>1.46</v>
      </c>
      <c r="I248">
        <v>11787</v>
      </c>
      <c r="J248">
        <v>7724</v>
      </c>
      <c r="K248">
        <v>6561</v>
      </c>
      <c r="L248">
        <v>-39</v>
      </c>
      <c r="M248">
        <v>8.92</v>
      </c>
      <c r="N248">
        <v>22.64</v>
      </c>
      <c r="O248">
        <v>18.88</v>
      </c>
      <c r="P248" t="b">
        <v>1</v>
      </c>
      <c r="Q248">
        <v>0</v>
      </c>
      <c r="R248">
        <v>1903</v>
      </c>
      <c r="S248">
        <v>252</v>
      </c>
      <c r="T248">
        <v>-86.8</v>
      </c>
      <c r="U248" t="s">
        <v>878</v>
      </c>
      <c r="V248" t="s">
        <v>1176</v>
      </c>
      <c r="W248">
        <v>31.97082688630404</v>
      </c>
      <c r="X248">
        <v>2490.9</v>
      </c>
      <c r="Y248" t="s">
        <v>1468</v>
      </c>
      <c r="Z248">
        <v>666.5666579914566</v>
      </c>
      <c r="AA248">
        <v>2393</v>
      </c>
      <c r="AB248">
        <v>301223</v>
      </c>
      <c r="AC248" t="s">
        <v>1764</v>
      </c>
      <c r="AD248">
        <v>30.76</v>
      </c>
      <c r="AE248" t="s">
        <v>2062</v>
      </c>
      <c r="AF248" t="s">
        <v>2359</v>
      </c>
      <c r="AG248">
        <v>158</v>
      </c>
      <c r="AH248">
        <v>-4</v>
      </c>
      <c r="AI248">
        <v>3398468</v>
      </c>
    </row>
    <row r="249" spans="1:36">
      <c r="A249" s="1" t="s">
        <v>283</v>
      </c>
      <c r="B249" t="s">
        <v>581</v>
      </c>
      <c r="C249">
        <f>HYPERLINK("https://finance.naver.com/item/coinfo.nhn?code=210980", "A210980")</f>
        <v>0</v>
      </c>
      <c r="D249">
        <f>HYPERLINK("http://comp.fnguide.com/SVO2/ASP/SVD_Consensus.asp?pGB=1&amp;gicode=A210980&amp;cID=&amp;MenuYn=Y&amp;ReportGB=&amp;NewMenuID=108&amp;stkGb=701", "SK디앤디")</f>
        <v>0</v>
      </c>
      <c r="E249">
        <v>1</v>
      </c>
      <c r="F249">
        <v>35050</v>
      </c>
      <c r="G249">
        <v>-1.85</v>
      </c>
      <c r="H249">
        <v>12.31</v>
      </c>
      <c r="I249">
        <v>37850</v>
      </c>
      <c r="J249">
        <v>26569</v>
      </c>
      <c r="K249">
        <v>23340</v>
      </c>
      <c r="L249">
        <v>-7.99</v>
      </c>
      <c r="M249">
        <v>24.2</v>
      </c>
      <c r="N249">
        <v>33.41</v>
      </c>
      <c r="O249">
        <v>15.95</v>
      </c>
      <c r="P249" t="b">
        <v>1</v>
      </c>
      <c r="Q249">
        <v>1</v>
      </c>
      <c r="R249">
        <v>2365</v>
      </c>
      <c r="S249">
        <v>2733</v>
      </c>
      <c r="T249">
        <v>15.6</v>
      </c>
      <c r="U249" t="s">
        <v>879</v>
      </c>
      <c r="V249" t="s">
        <v>1177</v>
      </c>
      <c r="W249">
        <v>-6.638640735002655</v>
      </c>
      <c r="X249">
        <v>873</v>
      </c>
      <c r="Y249" t="s">
        <v>1469</v>
      </c>
      <c r="Z249">
        <v>74.21434201528096</v>
      </c>
      <c r="AA249">
        <v>6656</v>
      </c>
      <c r="AB249">
        <v>110872</v>
      </c>
      <c r="AC249" t="s">
        <v>1765</v>
      </c>
      <c r="AD249">
        <v>58.67</v>
      </c>
      <c r="AE249" t="s">
        <v>2063</v>
      </c>
      <c r="AF249" t="s">
        <v>2360</v>
      </c>
      <c r="AG249">
        <v>4547</v>
      </c>
      <c r="AH249">
        <v>823</v>
      </c>
      <c r="AI249">
        <v>640</v>
      </c>
      <c r="AJ249">
        <v>2.06</v>
      </c>
    </row>
    <row r="250" spans="1:36">
      <c r="A250" s="1" t="s">
        <v>284</v>
      </c>
      <c r="B250" t="s">
        <v>582</v>
      </c>
      <c r="C250">
        <f>HYPERLINK("https://finance.naver.com/item/coinfo.nhn?code=094850", "A094850")</f>
        <v>0</v>
      </c>
      <c r="D250">
        <f>HYPERLINK("http://comp.fnguide.com/SVO2/ASP/SVD_Consensus.asp?pGB=1&amp;gicode=A094850&amp;cID=&amp;MenuYn=Y&amp;ReportGB=&amp;NewMenuID=108&amp;stkGb=701", "참좋은여행")</f>
        <v>0</v>
      </c>
      <c r="E250">
        <v>1</v>
      </c>
      <c r="F250">
        <v>11800</v>
      </c>
      <c r="G250">
        <v>0</v>
      </c>
      <c r="H250">
        <v>4.1</v>
      </c>
      <c r="I250">
        <v>18355</v>
      </c>
      <c r="J250">
        <v>11744</v>
      </c>
      <c r="K250">
        <v>9851</v>
      </c>
      <c r="L250">
        <v>-55.56</v>
      </c>
      <c r="M250">
        <v>0.48</v>
      </c>
      <c r="N250">
        <v>16.51</v>
      </c>
      <c r="O250">
        <v>20.1</v>
      </c>
      <c r="P250" t="b">
        <v>0</v>
      </c>
      <c r="Q250">
        <v>0</v>
      </c>
      <c r="R250">
        <v>1635</v>
      </c>
      <c r="U250" t="s">
        <v>880</v>
      </c>
      <c r="V250" t="s">
        <v>1178</v>
      </c>
      <c r="W250">
        <v>0</v>
      </c>
      <c r="X250">
        <v>0</v>
      </c>
      <c r="Y250" t="s">
        <v>1470</v>
      </c>
      <c r="Z250">
        <v>41.14081226336899</v>
      </c>
      <c r="AA250">
        <v>1652</v>
      </c>
      <c r="AB250">
        <v>814255</v>
      </c>
      <c r="AC250" t="s">
        <v>1766</v>
      </c>
      <c r="AD250">
        <v>35.71</v>
      </c>
      <c r="AE250" t="s">
        <v>2064</v>
      </c>
      <c r="AF250" t="s">
        <v>2361</v>
      </c>
      <c r="AG250">
        <v>621</v>
      </c>
      <c r="AH250">
        <v>71</v>
      </c>
      <c r="AI250">
        <v>800000</v>
      </c>
      <c r="AJ250">
        <v>2.54</v>
      </c>
    </row>
    <row r="251" spans="1:36">
      <c r="A251" s="1" t="s">
        <v>285</v>
      </c>
      <c r="B251" t="s">
        <v>583</v>
      </c>
      <c r="C251">
        <f>HYPERLINK("https://finance.naver.com/item/coinfo.nhn?code=027970", "A027970")</f>
        <v>0</v>
      </c>
      <c r="D251">
        <f>HYPERLINK("http://comp.fnguide.com/SVO2/ASP/SVD_Consensus.asp?pGB=1&amp;gicode=A027970&amp;cID=&amp;MenuYn=Y&amp;ReportGB=&amp;NewMenuID=108&amp;stkGb=701", "세하")</f>
        <v>0</v>
      </c>
      <c r="E251">
        <v>1</v>
      </c>
      <c r="F251">
        <v>1710</v>
      </c>
      <c r="G251">
        <v>0</v>
      </c>
      <c r="H251">
        <v>5.57</v>
      </c>
      <c r="I251">
        <v>2063</v>
      </c>
      <c r="J251">
        <v>1221</v>
      </c>
      <c r="K251">
        <v>980</v>
      </c>
      <c r="L251">
        <v>-20.67</v>
      </c>
      <c r="M251">
        <v>28.59</v>
      </c>
      <c r="N251">
        <v>42.68</v>
      </c>
      <c r="O251">
        <v>25.13</v>
      </c>
      <c r="P251" t="b">
        <v>1</v>
      </c>
      <c r="Q251">
        <v>0</v>
      </c>
      <c r="R251">
        <v>380</v>
      </c>
      <c r="U251" t="s">
        <v>881</v>
      </c>
      <c r="V251" t="s">
        <v>1179</v>
      </c>
      <c r="W251">
        <v>0</v>
      </c>
      <c r="X251">
        <v>54.3</v>
      </c>
      <c r="Y251" t="s">
        <v>1471</v>
      </c>
      <c r="Z251">
        <v>80.43641539334571</v>
      </c>
      <c r="AA251">
        <v>984</v>
      </c>
      <c r="AB251">
        <v>1145157</v>
      </c>
      <c r="AC251" t="s">
        <v>1767</v>
      </c>
      <c r="AD251">
        <v>50.73</v>
      </c>
      <c r="AE251" t="s">
        <v>2065</v>
      </c>
      <c r="AF251" t="s">
        <v>2362</v>
      </c>
      <c r="AG251">
        <v>1777</v>
      </c>
      <c r="AH251">
        <v>141</v>
      </c>
      <c r="AI251">
        <v>1305</v>
      </c>
    </row>
    <row r="252" spans="1:36">
      <c r="A252" s="1" t="s">
        <v>286</v>
      </c>
      <c r="B252" t="s">
        <v>584</v>
      </c>
      <c r="C252">
        <f>HYPERLINK("https://finance.naver.com/item/coinfo.nhn?code=091440", "A091440")</f>
        <v>0</v>
      </c>
      <c r="D252">
        <f>HYPERLINK("http://comp.fnguide.com/SVO2/ASP/SVD_Consensus.asp?pGB=1&amp;gicode=A091440&amp;cID=&amp;MenuYn=Y&amp;ReportGB=&amp;NewMenuID=108&amp;stkGb=701", "텔레필드")</f>
        <v>0</v>
      </c>
      <c r="E252">
        <v>1</v>
      </c>
      <c r="F252">
        <v>3725</v>
      </c>
      <c r="G252">
        <v>0</v>
      </c>
      <c r="H252">
        <v>6.53</v>
      </c>
      <c r="I252">
        <v>3902</v>
      </c>
      <c r="J252">
        <v>3440</v>
      </c>
      <c r="K252">
        <v>3308</v>
      </c>
      <c r="L252">
        <v>-4.75</v>
      </c>
      <c r="M252">
        <v>7.65</v>
      </c>
      <c r="N252">
        <v>11.19</v>
      </c>
      <c r="O252">
        <v>9.99</v>
      </c>
      <c r="P252" t="b">
        <v>1</v>
      </c>
      <c r="Q252">
        <v>0</v>
      </c>
      <c r="R252">
        <v>522</v>
      </c>
      <c r="S252">
        <v>-750</v>
      </c>
      <c r="T252">
        <v>-243.7</v>
      </c>
      <c r="U252" t="s">
        <v>882</v>
      </c>
      <c r="V252" t="s">
        <v>1180</v>
      </c>
      <c r="W252">
        <v>0</v>
      </c>
      <c r="X252">
        <v>0</v>
      </c>
      <c r="Y252" t="s">
        <v>1303</v>
      </c>
      <c r="Z252">
        <v>0</v>
      </c>
      <c r="AA252">
        <v>342</v>
      </c>
      <c r="AB252">
        <v>110809</v>
      </c>
      <c r="AC252" t="s">
        <v>1768</v>
      </c>
      <c r="AD252">
        <v>19.82</v>
      </c>
      <c r="AE252" t="s">
        <v>2066</v>
      </c>
      <c r="AF252" t="s">
        <v>2363</v>
      </c>
      <c r="AG252">
        <v>565</v>
      </c>
      <c r="AH252">
        <v>57</v>
      </c>
      <c r="AI252">
        <v>554681</v>
      </c>
    </row>
    <row r="253" spans="1:36">
      <c r="A253" s="1" t="s">
        <v>287</v>
      </c>
      <c r="B253" t="s">
        <v>585</v>
      </c>
      <c r="C253">
        <f>HYPERLINK("https://finance.naver.com/item/coinfo.nhn?code=066700", "A066700")</f>
        <v>0</v>
      </c>
      <c r="D253">
        <f>HYPERLINK("http://comp.fnguide.com/SVO2/ASP/SVD_Consensus.asp?pGB=1&amp;gicode=A066700&amp;cID=&amp;MenuYn=Y&amp;ReportGB=&amp;NewMenuID=108&amp;stkGb=701", "테라젠이텍스")</f>
        <v>0</v>
      </c>
      <c r="E253">
        <v>1</v>
      </c>
      <c r="F253">
        <v>7850</v>
      </c>
      <c r="G253">
        <v>0</v>
      </c>
      <c r="H253">
        <v>5.95</v>
      </c>
      <c r="I253">
        <v>10812</v>
      </c>
      <c r="J253">
        <v>6878</v>
      </c>
      <c r="K253">
        <v>5753</v>
      </c>
      <c r="L253">
        <v>-37.73</v>
      </c>
      <c r="M253">
        <v>12.38</v>
      </c>
      <c r="N253">
        <v>26.72</v>
      </c>
      <c r="O253">
        <v>20.4</v>
      </c>
      <c r="P253" t="b">
        <v>1</v>
      </c>
      <c r="Q253">
        <v>0</v>
      </c>
      <c r="R253">
        <v>1408</v>
      </c>
      <c r="U253" t="s">
        <v>883</v>
      </c>
      <c r="V253" t="s">
        <v>1181</v>
      </c>
      <c r="W253">
        <v>0</v>
      </c>
      <c r="X253">
        <v>0</v>
      </c>
      <c r="Y253" t="s">
        <v>1472</v>
      </c>
      <c r="Z253">
        <v>-47.4</v>
      </c>
      <c r="AA253">
        <v>2547</v>
      </c>
      <c r="AB253">
        <v>182194</v>
      </c>
      <c r="AC253" t="s">
        <v>1769</v>
      </c>
      <c r="AD253">
        <v>16.87</v>
      </c>
      <c r="AE253" t="s">
        <v>2067</v>
      </c>
      <c r="AF253" t="s">
        <v>2364</v>
      </c>
      <c r="AG253">
        <v>1381</v>
      </c>
      <c r="AH253">
        <v>37</v>
      </c>
      <c r="AI253">
        <v>469056</v>
      </c>
    </row>
    <row r="254" spans="1:36">
      <c r="A254" s="1" t="s">
        <v>288</v>
      </c>
      <c r="B254" t="s">
        <v>586</v>
      </c>
      <c r="C254">
        <f>HYPERLINK("https://finance.naver.com/item/coinfo.nhn?code=318010", "A318010")</f>
        <v>0</v>
      </c>
      <c r="D254">
        <f>HYPERLINK("http://comp.fnguide.com/SVO2/ASP/SVD_Consensus.asp?pGB=1&amp;gicode=A318010&amp;cID=&amp;MenuYn=Y&amp;ReportGB=&amp;NewMenuID=108&amp;stkGb=701", "팜스빌")</f>
        <v>0</v>
      </c>
      <c r="E254">
        <v>1</v>
      </c>
      <c r="F254">
        <v>10050</v>
      </c>
      <c r="G254">
        <v>-0.43</v>
      </c>
      <c r="H254">
        <v>10.71</v>
      </c>
      <c r="I254">
        <v>13938</v>
      </c>
      <c r="J254">
        <v>9815</v>
      </c>
      <c r="K254">
        <v>8635</v>
      </c>
      <c r="L254">
        <v>-38.68</v>
      </c>
      <c r="M254">
        <v>2.34</v>
      </c>
      <c r="N254">
        <v>14.08</v>
      </c>
      <c r="O254">
        <v>15.83</v>
      </c>
      <c r="P254" t="b">
        <v>1</v>
      </c>
      <c r="Q254">
        <v>0</v>
      </c>
      <c r="R254">
        <v>1092</v>
      </c>
      <c r="S254">
        <v>258</v>
      </c>
      <c r="T254">
        <v>-76.40000000000001</v>
      </c>
      <c r="U254" t="s">
        <v>884</v>
      </c>
      <c r="V254" t="s">
        <v>1182</v>
      </c>
      <c r="W254">
        <v>-25.00212486019985</v>
      </c>
      <c r="X254">
        <v>-46.9</v>
      </c>
      <c r="Y254" t="s">
        <v>1473</v>
      </c>
      <c r="Z254">
        <v>-4.373925992095085</v>
      </c>
      <c r="AA254">
        <v>797</v>
      </c>
      <c r="AB254">
        <v>75275</v>
      </c>
      <c r="AC254" t="s">
        <v>1770</v>
      </c>
      <c r="AD254">
        <v>70.37</v>
      </c>
      <c r="AE254" t="s">
        <v>2068</v>
      </c>
      <c r="AF254" t="s">
        <v>2365</v>
      </c>
      <c r="AG254">
        <v>300</v>
      </c>
      <c r="AH254">
        <v>71</v>
      </c>
      <c r="AI254">
        <v>82908</v>
      </c>
      <c r="AJ254">
        <v>1.71</v>
      </c>
    </row>
    <row r="255" spans="1:36">
      <c r="A255" s="1" t="s">
        <v>289</v>
      </c>
      <c r="B255" t="s">
        <v>587</v>
      </c>
      <c r="C255">
        <f>HYPERLINK("https://finance.naver.com/item/coinfo.nhn?code=204270", "A204270")</f>
        <v>0</v>
      </c>
      <c r="D255">
        <f>HYPERLINK("http://comp.fnguide.com/SVO2/ASP/SVD_Consensus.asp?pGB=1&amp;gicode=A204270&amp;cID=&amp;MenuYn=Y&amp;ReportGB=&amp;NewMenuID=108&amp;stkGb=701", "제이앤티씨")</f>
        <v>0</v>
      </c>
      <c r="E255">
        <v>1</v>
      </c>
      <c r="F255">
        <v>10050</v>
      </c>
      <c r="I255">
        <v>14726</v>
      </c>
      <c r="J255">
        <v>8969</v>
      </c>
      <c r="K255">
        <v>7321</v>
      </c>
      <c r="L255">
        <v>-46.53</v>
      </c>
      <c r="M255">
        <v>10.76</v>
      </c>
      <c r="N255">
        <v>27.15</v>
      </c>
      <c r="O255">
        <v>23.06</v>
      </c>
      <c r="P255" t="b">
        <v>0</v>
      </c>
      <c r="Q255">
        <v>0</v>
      </c>
      <c r="R255">
        <v>1691</v>
      </c>
      <c r="S255">
        <v>1453</v>
      </c>
      <c r="T255">
        <v>-14.1</v>
      </c>
      <c r="U255" t="s">
        <v>885</v>
      </c>
      <c r="V255" t="s">
        <v>1183</v>
      </c>
      <c r="W255">
        <v>145.650209454082</v>
      </c>
      <c r="X255">
        <v>87.09999999999999</v>
      </c>
      <c r="Y255" t="s">
        <v>1474</v>
      </c>
      <c r="Z255">
        <v>59.08990565349621</v>
      </c>
      <c r="AA255">
        <v>5814</v>
      </c>
      <c r="AB255">
        <v>221060</v>
      </c>
      <c r="AC255" t="s">
        <v>1771</v>
      </c>
      <c r="AD255">
        <v>71.38</v>
      </c>
      <c r="AE255" t="s">
        <v>2069</v>
      </c>
      <c r="AF255" t="s">
        <v>2366</v>
      </c>
      <c r="AG255">
        <v>3862</v>
      </c>
      <c r="AH255">
        <v>955</v>
      </c>
      <c r="AI255">
        <v>779845</v>
      </c>
    </row>
    <row r="256" spans="1:36">
      <c r="A256" s="1" t="s">
        <v>290</v>
      </c>
      <c r="B256" t="s">
        <v>588</v>
      </c>
      <c r="C256">
        <f>HYPERLINK("https://finance.naver.com/item/coinfo.nhn?code=036890", "A036890")</f>
        <v>0</v>
      </c>
      <c r="D256">
        <f>HYPERLINK("http://comp.fnguide.com/SVO2/ASP/SVD_Consensus.asp?pGB=1&amp;gicode=A036890&amp;cID=&amp;MenuYn=Y&amp;ReportGB=&amp;NewMenuID=108&amp;stkGb=701", "진성티이씨")</f>
        <v>0</v>
      </c>
      <c r="E256">
        <v>1</v>
      </c>
      <c r="F256">
        <v>11650</v>
      </c>
      <c r="G256">
        <v>0.6</v>
      </c>
      <c r="H256">
        <v>7.09</v>
      </c>
      <c r="I256">
        <v>14459</v>
      </c>
      <c r="J256">
        <v>9986</v>
      </c>
      <c r="K256">
        <v>8706</v>
      </c>
      <c r="L256">
        <v>-24.11</v>
      </c>
      <c r="M256">
        <v>14.28</v>
      </c>
      <c r="N256">
        <v>25.27</v>
      </c>
      <c r="O256">
        <v>16.57</v>
      </c>
      <c r="P256" t="b">
        <v>1</v>
      </c>
      <c r="Q256">
        <v>0</v>
      </c>
      <c r="R256">
        <v>979</v>
      </c>
      <c r="S256">
        <v>623</v>
      </c>
      <c r="T256">
        <v>-36.4</v>
      </c>
      <c r="U256" t="s">
        <v>886</v>
      </c>
      <c r="V256" t="s">
        <v>1184</v>
      </c>
      <c r="W256">
        <v>11.78755860585481</v>
      </c>
      <c r="X256">
        <v>-43.2</v>
      </c>
      <c r="Y256" t="s">
        <v>1475</v>
      </c>
      <c r="Z256">
        <v>-1.621044821287165</v>
      </c>
      <c r="AA256">
        <v>2619</v>
      </c>
      <c r="AB256">
        <v>438510</v>
      </c>
      <c r="AC256" t="s">
        <v>1772</v>
      </c>
      <c r="AD256">
        <v>36.15</v>
      </c>
      <c r="AE256" t="s">
        <v>2070</v>
      </c>
      <c r="AF256" t="s">
        <v>2367</v>
      </c>
      <c r="AG256">
        <v>3556</v>
      </c>
      <c r="AH256">
        <v>299</v>
      </c>
      <c r="AI256">
        <v>2517977</v>
      </c>
      <c r="AJ256">
        <v>2.88</v>
      </c>
    </row>
    <row r="257" spans="1:36">
      <c r="A257" s="1" t="s">
        <v>291</v>
      </c>
      <c r="B257" t="s">
        <v>589</v>
      </c>
      <c r="C257">
        <f>HYPERLINK("https://finance.naver.com/item/coinfo.nhn?code=036930", "A036930")</f>
        <v>0</v>
      </c>
      <c r="D257">
        <f>HYPERLINK("http://comp.fnguide.com/SVO2/ASP/SVD_Consensus.asp?pGB=1&amp;gicode=A036930&amp;cID=&amp;MenuYn=Y&amp;ReportGB=&amp;NewMenuID=108&amp;stkGb=701", "주성엔지니어링")</f>
        <v>0</v>
      </c>
      <c r="E257">
        <v>1</v>
      </c>
      <c r="F257">
        <v>10150</v>
      </c>
      <c r="G257">
        <v>0</v>
      </c>
      <c r="H257">
        <v>15.17</v>
      </c>
      <c r="I257">
        <v>10868</v>
      </c>
      <c r="J257">
        <v>7370</v>
      </c>
      <c r="K257">
        <v>6368</v>
      </c>
      <c r="L257">
        <v>-7.07</v>
      </c>
      <c r="M257">
        <v>27.39</v>
      </c>
      <c r="N257">
        <v>37.26</v>
      </c>
      <c r="O257">
        <v>17.32</v>
      </c>
      <c r="P257" t="b">
        <v>1</v>
      </c>
      <c r="Q257">
        <v>0</v>
      </c>
      <c r="R257">
        <v>534</v>
      </c>
      <c r="U257" t="s">
        <v>887</v>
      </c>
      <c r="V257" t="s">
        <v>1185</v>
      </c>
      <c r="W257">
        <v>0</v>
      </c>
      <c r="X257">
        <v>0</v>
      </c>
      <c r="Y257" t="s">
        <v>1476</v>
      </c>
      <c r="Z257">
        <v>35.24451440952851</v>
      </c>
      <c r="AA257">
        <v>4897</v>
      </c>
      <c r="AB257">
        <v>1042477</v>
      </c>
      <c r="AC257" t="s">
        <v>1773</v>
      </c>
      <c r="AD257">
        <v>28.28</v>
      </c>
      <c r="AE257" t="s">
        <v>2071</v>
      </c>
      <c r="AF257" t="s">
        <v>2368</v>
      </c>
      <c r="AG257">
        <v>2591</v>
      </c>
      <c r="AH257">
        <v>309</v>
      </c>
      <c r="AJ257">
        <v>0.86</v>
      </c>
    </row>
    <row r="258" spans="1:36">
      <c r="A258" s="1" t="s">
        <v>292</v>
      </c>
      <c r="B258" t="s">
        <v>590</v>
      </c>
      <c r="C258">
        <f>HYPERLINK("https://finance.naver.com/item/coinfo.nhn?code=267980", "A267980")</f>
        <v>0</v>
      </c>
      <c r="D258">
        <f>HYPERLINK("http://comp.fnguide.com/SVO2/ASP/SVD_Consensus.asp?pGB=1&amp;gicode=A267980&amp;cID=&amp;MenuYn=Y&amp;ReportGB=&amp;NewMenuID=108&amp;stkGb=701", "매일유업")</f>
        <v>0</v>
      </c>
      <c r="E258">
        <v>1</v>
      </c>
      <c r="F258">
        <v>71500</v>
      </c>
      <c r="G258">
        <v>0.54</v>
      </c>
      <c r="H258">
        <v>10.5</v>
      </c>
      <c r="I258">
        <v>97403</v>
      </c>
      <c r="J258">
        <v>70870</v>
      </c>
      <c r="K258">
        <v>63276</v>
      </c>
      <c r="L258">
        <v>-36.23</v>
      </c>
      <c r="M258">
        <v>0.88</v>
      </c>
      <c r="N258">
        <v>11.5</v>
      </c>
      <c r="O258">
        <v>14.7</v>
      </c>
      <c r="P258" t="b">
        <v>1</v>
      </c>
      <c r="Q258">
        <v>0</v>
      </c>
      <c r="R258">
        <v>8202</v>
      </c>
      <c r="S258">
        <v>8066</v>
      </c>
      <c r="T258">
        <v>-1.7</v>
      </c>
      <c r="U258" t="s">
        <v>888</v>
      </c>
      <c r="V258" t="s">
        <v>1186</v>
      </c>
      <c r="W258">
        <v>19.62169550919404</v>
      </c>
      <c r="X258">
        <v>-14.5</v>
      </c>
      <c r="Y258" t="s">
        <v>1477</v>
      </c>
      <c r="Z258">
        <v>0</v>
      </c>
      <c r="AA258">
        <v>5608</v>
      </c>
      <c r="AB258">
        <v>34154</v>
      </c>
      <c r="AC258" t="s">
        <v>1774</v>
      </c>
      <c r="AD258">
        <v>56.27</v>
      </c>
      <c r="AE258" t="s">
        <v>2072</v>
      </c>
      <c r="AF258" t="s">
        <v>2369</v>
      </c>
      <c r="AG258">
        <v>13933</v>
      </c>
      <c r="AH258">
        <v>853</v>
      </c>
      <c r="AI258">
        <v>248728</v>
      </c>
      <c r="AJ258">
        <v>0.93</v>
      </c>
    </row>
    <row r="259" spans="1:36">
      <c r="A259" s="1" t="s">
        <v>293</v>
      </c>
      <c r="B259" t="s">
        <v>591</v>
      </c>
      <c r="C259">
        <f>HYPERLINK("https://finance.naver.com/item/coinfo.nhn?code=239610", "A239610")</f>
        <v>0</v>
      </c>
      <c r="D259">
        <f>HYPERLINK("http://comp.fnguide.com/SVO2/ASP/SVD_Consensus.asp?pGB=1&amp;gicode=A239610&amp;cID=&amp;MenuYn=Y&amp;ReportGB=&amp;NewMenuID=108&amp;stkGb=701", "에이치엘사이언스")</f>
        <v>0</v>
      </c>
      <c r="E259">
        <v>1</v>
      </c>
      <c r="F259">
        <v>40900</v>
      </c>
      <c r="G259">
        <v>0</v>
      </c>
      <c r="H259">
        <v>13.59</v>
      </c>
      <c r="I259">
        <v>43582</v>
      </c>
      <c r="J259">
        <v>27193</v>
      </c>
      <c r="K259">
        <v>22502</v>
      </c>
      <c r="L259">
        <v>-6.56</v>
      </c>
      <c r="M259">
        <v>33.51</v>
      </c>
      <c r="N259">
        <v>44.98</v>
      </c>
      <c r="O259">
        <v>21.52</v>
      </c>
      <c r="P259" t="b">
        <v>1</v>
      </c>
      <c r="Q259">
        <v>0</v>
      </c>
      <c r="R259">
        <v>3839</v>
      </c>
      <c r="U259" t="s">
        <v>889</v>
      </c>
      <c r="V259" t="s">
        <v>1187</v>
      </c>
      <c r="W259">
        <v>0</v>
      </c>
      <c r="X259">
        <v>-4.4</v>
      </c>
      <c r="Y259" t="s">
        <v>1478</v>
      </c>
      <c r="Z259">
        <v>17.65699495895263</v>
      </c>
      <c r="AA259">
        <v>2205</v>
      </c>
      <c r="AB259">
        <v>25239</v>
      </c>
      <c r="AC259" t="s">
        <v>1775</v>
      </c>
      <c r="AD259">
        <v>63.27</v>
      </c>
      <c r="AE259" t="s">
        <v>2073</v>
      </c>
      <c r="AF259" t="s">
        <v>2370</v>
      </c>
      <c r="AG259">
        <v>1283</v>
      </c>
      <c r="AH259">
        <v>237</v>
      </c>
      <c r="AI259">
        <v>142792</v>
      </c>
      <c r="AJ259">
        <v>0.77</v>
      </c>
    </row>
    <row r="260" spans="1:36">
      <c r="A260" s="1" t="s">
        <v>294</v>
      </c>
      <c r="B260" t="s">
        <v>592</v>
      </c>
      <c r="C260">
        <f>HYPERLINK("https://finance.naver.com/item/coinfo.nhn?code=039440", "A039440")</f>
        <v>0</v>
      </c>
      <c r="D260">
        <f>HYPERLINK("http://comp.fnguide.com/SVO2/ASP/SVD_Consensus.asp?pGB=1&amp;gicode=A039440&amp;cID=&amp;MenuYn=Y&amp;ReportGB=&amp;NewMenuID=108&amp;stkGb=701", "에스티아이")</f>
        <v>0</v>
      </c>
      <c r="E260">
        <v>1</v>
      </c>
      <c r="F260">
        <v>18900</v>
      </c>
      <c r="G260">
        <v>-0.49</v>
      </c>
      <c r="H260">
        <v>14.05</v>
      </c>
      <c r="I260">
        <v>25451</v>
      </c>
      <c r="J260">
        <v>16860</v>
      </c>
      <c r="K260">
        <v>14401</v>
      </c>
      <c r="L260">
        <v>-34.66</v>
      </c>
      <c r="M260">
        <v>10.79</v>
      </c>
      <c r="N260">
        <v>23.8</v>
      </c>
      <c r="O260">
        <v>18.36</v>
      </c>
      <c r="P260" t="b">
        <v>1</v>
      </c>
      <c r="Q260">
        <v>0</v>
      </c>
      <c r="R260">
        <v>1466</v>
      </c>
      <c r="S260">
        <v>702</v>
      </c>
      <c r="T260">
        <v>-52.1</v>
      </c>
      <c r="U260" t="s">
        <v>890</v>
      </c>
      <c r="V260" t="s">
        <v>1188</v>
      </c>
      <c r="W260">
        <v>-28.49750262199162</v>
      </c>
      <c r="X260">
        <v>-39.9</v>
      </c>
      <c r="Y260" t="s">
        <v>1479</v>
      </c>
      <c r="Z260">
        <v>2.148192850049946</v>
      </c>
      <c r="AA260">
        <v>2992</v>
      </c>
      <c r="AB260">
        <v>225276</v>
      </c>
      <c r="AC260" t="s">
        <v>1776</v>
      </c>
      <c r="AD260">
        <v>27.06</v>
      </c>
      <c r="AE260" t="s">
        <v>2074</v>
      </c>
      <c r="AF260" t="s">
        <v>2371</v>
      </c>
      <c r="AG260">
        <v>3189</v>
      </c>
      <c r="AH260">
        <v>271</v>
      </c>
      <c r="AI260">
        <v>811400</v>
      </c>
      <c r="AJ260">
        <v>1.21</v>
      </c>
    </row>
    <row r="261" spans="1:36">
      <c r="A261" s="1" t="s">
        <v>295</v>
      </c>
      <c r="B261" t="s">
        <v>593</v>
      </c>
      <c r="C261">
        <f>HYPERLINK("https://finance.naver.com/item/coinfo.nhn?code=041910", "A041910")</f>
        <v>0</v>
      </c>
      <c r="D261">
        <f>HYPERLINK("http://comp.fnguide.com/SVO2/ASP/SVD_Consensus.asp?pGB=1&amp;gicode=A041910&amp;cID=&amp;MenuYn=Y&amp;ReportGB=&amp;NewMenuID=108&amp;stkGb=701", "에스텍파마")</f>
        <v>0</v>
      </c>
      <c r="E261">
        <v>1</v>
      </c>
      <c r="F261">
        <v>11000</v>
      </c>
      <c r="G261">
        <v>0.14</v>
      </c>
      <c r="H261">
        <v>8.17</v>
      </c>
      <c r="I261">
        <v>12124</v>
      </c>
      <c r="J261">
        <v>10127</v>
      </c>
      <c r="K261">
        <v>9556</v>
      </c>
      <c r="L261">
        <v>-10.22</v>
      </c>
      <c r="M261">
        <v>7.94</v>
      </c>
      <c r="N261">
        <v>13.13</v>
      </c>
      <c r="O261">
        <v>11.06</v>
      </c>
      <c r="P261" t="b">
        <v>1</v>
      </c>
      <c r="Q261">
        <v>0</v>
      </c>
      <c r="R261">
        <v>1280</v>
      </c>
      <c r="S261">
        <v>898</v>
      </c>
      <c r="T261">
        <v>-29.8</v>
      </c>
      <c r="U261" t="s">
        <v>891</v>
      </c>
      <c r="V261" t="s">
        <v>1189</v>
      </c>
      <c r="W261">
        <v>56.81477554519088</v>
      </c>
      <c r="X261">
        <v>-30.2</v>
      </c>
      <c r="Y261" t="s">
        <v>1480</v>
      </c>
      <c r="Z261">
        <v>25.12757585614533</v>
      </c>
      <c r="AA261">
        <v>1309</v>
      </c>
      <c r="AB261">
        <v>127684</v>
      </c>
      <c r="AC261" t="s">
        <v>1777</v>
      </c>
      <c r="AD261">
        <v>24.9</v>
      </c>
      <c r="AE261" t="s">
        <v>2075</v>
      </c>
      <c r="AF261" t="s">
        <v>2372</v>
      </c>
      <c r="AG261">
        <v>465</v>
      </c>
      <c r="AH261">
        <v>38</v>
      </c>
      <c r="AI261">
        <v>218257</v>
      </c>
      <c r="AJ261">
        <v>0.96</v>
      </c>
    </row>
    <row r="262" spans="1:36">
      <c r="A262" s="1" t="s">
        <v>296</v>
      </c>
      <c r="B262" t="s">
        <v>594</v>
      </c>
      <c r="C262">
        <f>HYPERLINK("https://finance.naver.com/item/coinfo.nhn?code=067280", "A067280")</f>
        <v>0</v>
      </c>
      <c r="D262">
        <f>HYPERLINK("http://comp.fnguide.com/SVO2/ASP/SVD_Consensus.asp?pGB=1&amp;gicode=A067280&amp;cID=&amp;MenuYn=Y&amp;ReportGB=&amp;NewMenuID=108&amp;stkGb=701", "멀티캠퍼스")</f>
        <v>0</v>
      </c>
      <c r="E262">
        <v>1</v>
      </c>
      <c r="F262">
        <v>31650</v>
      </c>
      <c r="G262">
        <v>-1.64</v>
      </c>
      <c r="H262">
        <v>11.03</v>
      </c>
      <c r="I262">
        <v>41765</v>
      </c>
      <c r="J262">
        <v>27824</v>
      </c>
      <c r="K262">
        <v>23834</v>
      </c>
      <c r="L262">
        <v>-31.96</v>
      </c>
      <c r="M262">
        <v>12.09</v>
      </c>
      <c r="N262">
        <v>24.69</v>
      </c>
      <c r="O262">
        <v>18.1</v>
      </c>
      <c r="P262" t="b">
        <v>1</v>
      </c>
      <c r="Q262">
        <v>0</v>
      </c>
      <c r="R262">
        <v>3143</v>
      </c>
      <c r="S262">
        <v>1678</v>
      </c>
      <c r="T262">
        <v>-46.6</v>
      </c>
      <c r="U262" t="s">
        <v>892</v>
      </c>
      <c r="V262" t="s">
        <v>1190</v>
      </c>
      <c r="W262">
        <v>-6.709602603007781</v>
      </c>
      <c r="X262">
        <v>-62</v>
      </c>
      <c r="Y262" t="s">
        <v>1481</v>
      </c>
      <c r="Z262">
        <v>-7.409942503135259</v>
      </c>
      <c r="AA262">
        <v>1876</v>
      </c>
      <c r="AB262">
        <v>11420</v>
      </c>
      <c r="AC262" t="s">
        <v>1778</v>
      </c>
      <c r="AD262">
        <v>62.44</v>
      </c>
      <c r="AE262" t="s">
        <v>2076</v>
      </c>
      <c r="AF262" t="s">
        <v>2373</v>
      </c>
      <c r="AG262">
        <v>2880</v>
      </c>
      <c r="AH262">
        <v>242</v>
      </c>
      <c r="AJ262">
        <v>1.73</v>
      </c>
    </row>
    <row r="263" spans="1:36">
      <c r="A263" s="1" t="s">
        <v>297</v>
      </c>
      <c r="B263" t="s">
        <v>595</v>
      </c>
      <c r="C263">
        <f>HYPERLINK("https://finance.naver.com/item/coinfo.nhn?code=306040", "A306040")</f>
        <v>0</v>
      </c>
      <c r="D263">
        <f>HYPERLINK("http://comp.fnguide.com/SVO2/ASP/SVD_Consensus.asp?pGB=1&amp;gicode=A306040&amp;cID=&amp;MenuYn=Y&amp;ReportGB=&amp;NewMenuID=108&amp;stkGb=701", "에스제이그룹")</f>
        <v>0</v>
      </c>
      <c r="E263">
        <v>1</v>
      </c>
      <c r="F263">
        <v>20550</v>
      </c>
      <c r="G263">
        <v>0.06</v>
      </c>
      <c r="H263">
        <v>11.28</v>
      </c>
      <c r="I263">
        <v>27223</v>
      </c>
      <c r="J263">
        <v>15155</v>
      </c>
      <c r="K263">
        <v>11700</v>
      </c>
      <c r="L263">
        <v>-32.47</v>
      </c>
      <c r="M263">
        <v>26.25</v>
      </c>
      <c r="N263">
        <v>43.06</v>
      </c>
      <c r="O263">
        <v>30.79</v>
      </c>
      <c r="P263" t="b">
        <v>1</v>
      </c>
      <c r="Q263">
        <v>0</v>
      </c>
      <c r="R263">
        <v>1785</v>
      </c>
      <c r="S263">
        <v>1583</v>
      </c>
      <c r="T263">
        <v>-11.3</v>
      </c>
      <c r="U263" t="s">
        <v>893</v>
      </c>
      <c r="V263" t="s">
        <v>1191</v>
      </c>
      <c r="W263">
        <v>181.4683913622955</v>
      </c>
      <c r="X263">
        <v>-14.7</v>
      </c>
      <c r="Y263" t="s">
        <v>1482</v>
      </c>
      <c r="Z263">
        <v>0</v>
      </c>
      <c r="AA263">
        <v>2027</v>
      </c>
      <c r="AB263">
        <v>210990</v>
      </c>
      <c r="AC263" t="s">
        <v>1779</v>
      </c>
      <c r="AD263">
        <v>51.79</v>
      </c>
      <c r="AE263" t="s">
        <v>2077</v>
      </c>
      <c r="AF263" t="s">
        <v>2374</v>
      </c>
      <c r="AG263">
        <v>1095</v>
      </c>
      <c r="AH263">
        <v>164</v>
      </c>
      <c r="AI263">
        <v>78094</v>
      </c>
      <c r="AJ263">
        <v>0.66</v>
      </c>
    </row>
    <row r="264" spans="1:36">
      <c r="A264" s="1" t="s">
        <v>298</v>
      </c>
      <c r="B264" t="s">
        <v>596</v>
      </c>
      <c r="C264">
        <f>HYPERLINK("https://finance.naver.com/item/coinfo.nhn?code=056190", "A056190")</f>
        <v>0</v>
      </c>
      <c r="D264">
        <f>HYPERLINK("http://comp.fnguide.com/SVO2/ASP/SVD_Consensus.asp?pGB=1&amp;gicode=A056190&amp;cID=&amp;MenuYn=Y&amp;ReportGB=&amp;NewMenuID=108&amp;stkGb=701", "에스에프에이")</f>
        <v>0</v>
      </c>
      <c r="E264">
        <v>1</v>
      </c>
      <c r="F264">
        <v>42450</v>
      </c>
      <c r="G264">
        <v>-0.7</v>
      </c>
      <c r="H264">
        <v>12.58</v>
      </c>
      <c r="I264">
        <v>59491</v>
      </c>
      <c r="J264">
        <v>38446</v>
      </c>
      <c r="K264">
        <v>32423</v>
      </c>
      <c r="L264">
        <v>-40.14</v>
      </c>
      <c r="M264">
        <v>9.43</v>
      </c>
      <c r="N264">
        <v>23.62</v>
      </c>
      <c r="O264">
        <v>19.57</v>
      </c>
      <c r="P264" t="b">
        <v>1</v>
      </c>
      <c r="Q264">
        <v>0</v>
      </c>
      <c r="R264">
        <v>3676</v>
      </c>
      <c r="S264">
        <v>3015</v>
      </c>
      <c r="T264">
        <v>-18</v>
      </c>
      <c r="U264" t="s">
        <v>894</v>
      </c>
      <c r="V264" t="s">
        <v>1192</v>
      </c>
      <c r="W264">
        <v>-18.07844901160376</v>
      </c>
      <c r="X264">
        <v>-9</v>
      </c>
      <c r="Y264" t="s">
        <v>1483</v>
      </c>
      <c r="Z264">
        <v>31.257807057462</v>
      </c>
      <c r="AA264">
        <v>15243</v>
      </c>
      <c r="AB264">
        <v>230429</v>
      </c>
      <c r="AC264" t="s">
        <v>1780</v>
      </c>
      <c r="AD264">
        <v>54.03</v>
      </c>
      <c r="AE264" t="s">
        <v>2078</v>
      </c>
      <c r="AF264" t="s">
        <v>2375</v>
      </c>
      <c r="AG264">
        <v>15777</v>
      </c>
      <c r="AH264">
        <v>2142</v>
      </c>
      <c r="AI264">
        <v>8470</v>
      </c>
      <c r="AJ264">
        <v>2.28</v>
      </c>
    </row>
    <row r="265" spans="1:36">
      <c r="A265" s="1" t="s">
        <v>299</v>
      </c>
      <c r="B265" t="s">
        <v>597</v>
      </c>
      <c r="C265">
        <f>HYPERLINK("https://finance.naver.com/item/coinfo.nhn?code=257370", "A257370")</f>
        <v>0</v>
      </c>
      <c r="D265">
        <f>HYPERLINK("http://comp.fnguide.com/SVO2/ASP/SVD_Consensus.asp?pGB=1&amp;gicode=A257370&amp;cID=&amp;MenuYn=Y&amp;ReportGB=&amp;NewMenuID=108&amp;stkGb=701", "명성티엔에스")</f>
        <v>0</v>
      </c>
      <c r="E265">
        <v>1</v>
      </c>
      <c r="F265">
        <v>9210</v>
      </c>
      <c r="G265">
        <v>0</v>
      </c>
      <c r="H265">
        <v>214.72</v>
      </c>
      <c r="I265">
        <v>9876</v>
      </c>
      <c r="J265">
        <v>7646</v>
      </c>
      <c r="K265">
        <v>7008</v>
      </c>
      <c r="L265">
        <v>-7.23</v>
      </c>
      <c r="M265">
        <v>16.98</v>
      </c>
      <c r="N265">
        <v>23.91</v>
      </c>
      <c r="O265">
        <v>12.87</v>
      </c>
      <c r="P265" t="b">
        <v>0</v>
      </c>
      <c r="Q265">
        <v>0</v>
      </c>
      <c r="R265">
        <v>79</v>
      </c>
      <c r="U265" t="s">
        <v>895</v>
      </c>
      <c r="V265" t="s">
        <v>1193</v>
      </c>
      <c r="W265">
        <v>0</v>
      </c>
      <c r="X265">
        <v>0</v>
      </c>
      <c r="Y265" t="s">
        <v>1484</v>
      </c>
      <c r="Z265">
        <v>-56.3508567615407</v>
      </c>
      <c r="AA265">
        <v>593</v>
      </c>
      <c r="AB265">
        <v>0</v>
      </c>
      <c r="AC265" t="s">
        <v>1781</v>
      </c>
      <c r="AD265">
        <v>11.49</v>
      </c>
      <c r="AE265" t="s">
        <v>2079</v>
      </c>
      <c r="AF265" t="s">
        <v>2376</v>
      </c>
      <c r="AG265">
        <v>350</v>
      </c>
      <c r="AH265">
        <v>9</v>
      </c>
      <c r="AI265">
        <v>219712</v>
      </c>
    </row>
    <row r="266" spans="1:36">
      <c r="A266" s="1" t="s">
        <v>300</v>
      </c>
      <c r="B266" t="s">
        <v>598</v>
      </c>
      <c r="C266">
        <f>HYPERLINK("https://finance.naver.com/item/coinfo.nhn?code=950190", "A950190")</f>
        <v>0</v>
      </c>
      <c r="D266">
        <f>HYPERLINK("http://comp.fnguide.com/SVO2/ASP/SVD_Consensus.asp?pGB=1&amp;gicode=A950190&amp;cID=&amp;MenuYn=Y&amp;ReportGB=&amp;NewMenuID=108&amp;stkGb=701", "미투젠")</f>
        <v>0</v>
      </c>
      <c r="E266">
        <v>1</v>
      </c>
      <c r="F266">
        <v>23650</v>
      </c>
      <c r="I266">
        <v>43923</v>
      </c>
      <c r="J266">
        <v>19559</v>
      </c>
      <c r="K266">
        <v>12585</v>
      </c>
      <c r="L266">
        <v>-85.72</v>
      </c>
      <c r="M266">
        <v>17.3</v>
      </c>
      <c r="N266">
        <v>46.79</v>
      </c>
      <c r="O266">
        <v>107.45</v>
      </c>
      <c r="P266" t="b">
        <v>0</v>
      </c>
      <c r="Q266">
        <v>0</v>
      </c>
      <c r="R266">
        <v>3163</v>
      </c>
      <c r="S266">
        <v>2879</v>
      </c>
      <c r="T266">
        <v>-9</v>
      </c>
      <c r="U266" t="s">
        <v>896</v>
      </c>
      <c r="V266" t="s">
        <v>1194</v>
      </c>
      <c r="W266">
        <v>72.57099367236182</v>
      </c>
      <c r="X266">
        <v>13.6</v>
      </c>
      <c r="Y266" t="s">
        <v>1485</v>
      </c>
      <c r="Z266">
        <v>0</v>
      </c>
      <c r="AA266">
        <v>3182</v>
      </c>
      <c r="AB266">
        <v>28299</v>
      </c>
      <c r="AC266" t="s">
        <v>1782</v>
      </c>
      <c r="AD266">
        <v>44.05</v>
      </c>
      <c r="AE266" t="s">
        <v>2080</v>
      </c>
      <c r="AF266" t="s">
        <v>2207</v>
      </c>
      <c r="AG266">
        <v>969</v>
      </c>
      <c r="AH266">
        <v>434</v>
      </c>
    </row>
    <row r="267" spans="1:36">
      <c r="A267" s="1" t="s">
        <v>301</v>
      </c>
      <c r="B267" t="s">
        <v>599</v>
      </c>
      <c r="C267">
        <f>HYPERLINK("https://finance.naver.com/item/coinfo.nhn?code=275630", "A275630")</f>
        <v>0</v>
      </c>
      <c r="D267">
        <f>HYPERLINK("http://comp.fnguide.com/SVO2/ASP/SVD_Consensus.asp?pGB=1&amp;gicode=A275630&amp;cID=&amp;MenuYn=Y&amp;ReportGB=&amp;NewMenuID=108&amp;stkGb=701", "에스에스알")</f>
        <v>0</v>
      </c>
      <c r="E267">
        <v>1</v>
      </c>
      <c r="F267">
        <v>5860</v>
      </c>
      <c r="G267">
        <v>0</v>
      </c>
      <c r="H267">
        <v>31.45</v>
      </c>
      <c r="I267">
        <v>6185</v>
      </c>
      <c r="J267">
        <v>4974</v>
      </c>
      <c r="K267">
        <v>4628</v>
      </c>
      <c r="L267">
        <v>-5.54</v>
      </c>
      <c r="M267">
        <v>15.12</v>
      </c>
      <c r="N267">
        <v>21.03</v>
      </c>
      <c r="O267">
        <v>11.91</v>
      </c>
      <c r="P267" t="b">
        <v>1</v>
      </c>
      <c r="Q267">
        <v>0</v>
      </c>
      <c r="R267">
        <v>194</v>
      </c>
      <c r="U267" t="s">
        <v>897</v>
      </c>
      <c r="V267" t="s">
        <v>1195</v>
      </c>
      <c r="W267">
        <v>0</v>
      </c>
      <c r="X267">
        <v>0</v>
      </c>
      <c r="Y267" t="s">
        <v>1486</v>
      </c>
      <c r="Z267">
        <v>0</v>
      </c>
      <c r="AA267">
        <v>348</v>
      </c>
      <c r="AB267">
        <v>18942</v>
      </c>
      <c r="AC267" t="s">
        <v>1783</v>
      </c>
      <c r="AD267">
        <v>32.5</v>
      </c>
      <c r="AE267" t="s">
        <v>2081</v>
      </c>
      <c r="AF267" t="s">
        <v>2377</v>
      </c>
      <c r="AG267">
        <v>136</v>
      </c>
      <c r="AH267">
        <v>6</v>
      </c>
    </row>
    <row r="268" spans="1:36">
      <c r="A268" s="1" t="s">
        <v>302</v>
      </c>
      <c r="B268" t="s">
        <v>600</v>
      </c>
      <c r="C268">
        <f>HYPERLINK("https://finance.naver.com/item/coinfo.nhn?code=214180", "A214180")</f>
        <v>0</v>
      </c>
      <c r="D268">
        <f>HYPERLINK("http://comp.fnguide.com/SVO2/ASP/SVD_Consensus.asp?pGB=1&amp;gicode=A214180&amp;cID=&amp;MenuYn=Y&amp;ReportGB=&amp;NewMenuID=108&amp;stkGb=701", "민앤지")</f>
        <v>0</v>
      </c>
      <c r="E268">
        <v>1</v>
      </c>
      <c r="F268">
        <v>17900</v>
      </c>
      <c r="G268">
        <v>0.42</v>
      </c>
      <c r="H268">
        <v>11.25</v>
      </c>
      <c r="I268">
        <v>21686</v>
      </c>
      <c r="J268">
        <v>15359</v>
      </c>
      <c r="K268">
        <v>13549</v>
      </c>
      <c r="L268">
        <v>-21.15</v>
      </c>
      <c r="M268">
        <v>14.19</v>
      </c>
      <c r="N268">
        <v>24.31</v>
      </c>
      <c r="O268">
        <v>15.62</v>
      </c>
      <c r="P268" t="b">
        <v>1</v>
      </c>
      <c r="Q268">
        <v>2</v>
      </c>
      <c r="R268">
        <v>1329</v>
      </c>
      <c r="S268">
        <v>2176</v>
      </c>
      <c r="T268">
        <v>63.7</v>
      </c>
      <c r="U268" t="s">
        <v>898</v>
      </c>
      <c r="V268" t="s">
        <v>1196</v>
      </c>
      <c r="W268">
        <v>26.4897034222622</v>
      </c>
      <c r="X268">
        <v>-8.1</v>
      </c>
      <c r="Y268" t="s">
        <v>1487</v>
      </c>
      <c r="Z268">
        <v>7.895096535151236</v>
      </c>
      <c r="AA268">
        <v>2213</v>
      </c>
      <c r="AB268">
        <v>130897</v>
      </c>
      <c r="AC268" t="s">
        <v>1784</v>
      </c>
      <c r="AD268">
        <v>25.94</v>
      </c>
      <c r="AE268" t="s">
        <v>2082</v>
      </c>
      <c r="AF268" t="s">
        <v>2378</v>
      </c>
      <c r="AG268">
        <v>1237</v>
      </c>
      <c r="AH268">
        <v>270</v>
      </c>
      <c r="AI268">
        <v>998795</v>
      </c>
      <c r="AJ268">
        <v>1.54</v>
      </c>
    </row>
    <row r="269" spans="1:36">
      <c r="A269" s="1" t="s">
        <v>303</v>
      </c>
      <c r="B269" t="s">
        <v>601</v>
      </c>
      <c r="C269">
        <f>HYPERLINK("https://finance.naver.com/item/coinfo.nhn?code=043150", "A043150")</f>
        <v>0</v>
      </c>
      <c r="D269">
        <f>HYPERLINK("http://comp.fnguide.com/SVO2/ASP/SVD_Consensus.asp?pGB=1&amp;gicode=A043150&amp;cID=&amp;MenuYn=Y&amp;ReportGB=&amp;NewMenuID=108&amp;stkGb=701", "바텍")</f>
        <v>0</v>
      </c>
      <c r="E269">
        <v>1</v>
      </c>
      <c r="F269">
        <v>26300</v>
      </c>
      <c r="G269">
        <v>0</v>
      </c>
      <c r="H269">
        <v>12.8</v>
      </c>
      <c r="I269">
        <v>40283</v>
      </c>
      <c r="J269">
        <v>26164</v>
      </c>
      <c r="K269">
        <v>22123</v>
      </c>
      <c r="L269">
        <v>-53.17</v>
      </c>
      <c r="M269">
        <v>0.52</v>
      </c>
      <c r="N269">
        <v>15.88</v>
      </c>
      <c r="O269">
        <v>19.31</v>
      </c>
      <c r="P269" t="b">
        <v>1</v>
      </c>
      <c r="Q269">
        <v>0</v>
      </c>
      <c r="R269">
        <v>2281</v>
      </c>
      <c r="S269">
        <v>-1466</v>
      </c>
      <c r="T269">
        <v>-164.3</v>
      </c>
      <c r="U269" t="s">
        <v>899</v>
      </c>
      <c r="V269" t="s">
        <v>1197</v>
      </c>
      <c r="W269">
        <v>0</v>
      </c>
      <c r="X269">
        <v>-65</v>
      </c>
      <c r="Y269" t="s">
        <v>1488</v>
      </c>
      <c r="Z269">
        <v>-11.03332079656073</v>
      </c>
      <c r="AA269">
        <v>3907</v>
      </c>
      <c r="AB269">
        <v>171624</v>
      </c>
      <c r="AC269" t="s">
        <v>1785</v>
      </c>
      <c r="AD269">
        <v>53.65</v>
      </c>
      <c r="AE269" t="s">
        <v>2083</v>
      </c>
      <c r="AF269" t="s">
        <v>2379</v>
      </c>
      <c r="AG269">
        <v>2717</v>
      </c>
      <c r="AH269">
        <v>429</v>
      </c>
      <c r="AJ269">
        <v>0.34</v>
      </c>
    </row>
    <row r="270" spans="1:36">
      <c r="A270" s="1" t="s">
        <v>304</v>
      </c>
      <c r="B270" t="s">
        <v>602</v>
      </c>
      <c r="C270">
        <f>HYPERLINK("https://finance.naver.com/item/coinfo.nhn?code=267790", "A267790")</f>
        <v>0</v>
      </c>
      <c r="D270">
        <f>HYPERLINK("http://comp.fnguide.com/SVO2/ASP/SVD_Consensus.asp?pGB=1&amp;gicode=A267790&amp;cID=&amp;MenuYn=Y&amp;ReportGB=&amp;NewMenuID=108&amp;stkGb=701", "배럴")</f>
        <v>0</v>
      </c>
      <c r="E270">
        <v>1</v>
      </c>
      <c r="F270">
        <v>10150</v>
      </c>
      <c r="G270">
        <v>0</v>
      </c>
      <c r="H270">
        <v>13.7</v>
      </c>
      <c r="I270">
        <v>14621</v>
      </c>
      <c r="J270">
        <v>9338</v>
      </c>
      <c r="K270">
        <v>7826</v>
      </c>
      <c r="L270">
        <v>-44.04</v>
      </c>
      <c r="M270">
        <v>8</v>
      </c>
      <c r="N270">
        <v>22.9</v>
      </c>
      <c r="O270">
        <v>20.19</v>
      </c>
      <c r="P270" t="b">
        <v>1</v>
      </c>
      <c r="Q270">
        <v>0</v>
      </c>
      <c r="R270">
        <v>883</v>
      </c>
      <c r="U270" t="s">
        <v>900</v>
      </c>
      <c r="V270" t="s">
        <v>1198</v>
      </c>
      <c r="W270">
        <v>0</v>
      </c>
      <c r="X270">
        <v>0</v>
      </c>
      <c r="Y270" t="s">
        <v>1489</v>
      </c>
      <c r="Z270">
        <v>5.127953644217675</v>
      </c>
      <c r="AA270">
        <v>800</v>
      </c>
      <c r="AB270">
        <v>70120</v>
      </c>
      <c r="AC270" t="s">
        <v>1786</v>
      </c>
      <c r="AD270">
        <v>47.73</v>
      </c>
      <c r="AE270" t="s">
        <v>2084</v>
      </c>
      <c r="AF270" t="s">
        <v>2380</v>
      </c>
      <c r="AG270">
        <v>599</v>
      </c>
      <c r="AH270">
        <v>85</v>
      </c>
    </row>
    <row r="271" spans="1:36">
      <c r="A271" s="1" t="s">
        <v>305</v>
      </c>
      <c r="B271" t="s">
        <v>603</v>
      </c>
      <c r="C271">
        <f>HYPERLINK("https://finance.naver.com/item/coinfo.nhn?code=100120", "A100120")</f>
        <v>0</v>
      </c>
      <c r="D271">
        <f>HYPERLINK("http://comp.fnguide.com/SVO2/ASP/SVD_Consensus.asp?pGB=1&amp;gicode=A100120&amp;cID=&amp;MenuYn=Y&amp;ReportGB=&amp;NewMenuID=108&amp;stkGb=701", "뷰웍스")</f>
        <v>0</v>
      </c>
      <c r="E271">
        <v>1</v>
      </c>
      <c r="F271">
        <v>31700</v>
      </c>
      <c r="G271">
        <v>2.43</v>
      </c>
      <c r="H271">
        <v>13.01</v>
      </c>
      <c r="I271">
        <v>34104</v>
      </c>
      <c r="J271">
        <v>23928</v>
      </c>
      <c r="K271">
        <v>21015</v>
      </c>
      <c r="L271">
        <v>-7.58</v>
      </c>
      <c r="M271">
        <v>24.52</v>
      </c>
      <c r="N271">
        <v>33.71</v>
      </c>
      <c r="O271">
        <v>15.97</v>
      </c>
      <c r="P271" t="b">
        <v>1</v>
      </c>
      <c r="Q271">
        <v>0</v>
      </c>
      <c r="R271">
        <v>2421</v>
      </c>
      <c r="S271">
        <v>2295</v>
      </c>
      <c r="T271">
        <v>-5.2</v>
      </c>
      <c r="U271" t="s">
        <v>901</v>
      </c>
      <c r="V271" t="s">
        <v>1199</v>
      </c>
      <c r="W271">
        <v>5.35719150144538</v>
      </c>
      <c r="X271">
        <v>3.2</v>
      </c>
      <c r="Y271" t="s">
        <v>1490</v>
      </c>
      <c r="Z271">
        <v>9.480161000716269</v>
      </c>
      <c r="AA271">
        <v>3171</v>
      </c>
      <c r="AB271">
        <v>46778</v>
      </c>
      <c r="AC271" t="s">
        <v>1787</v>
      </c>
      <c r="AD271">
        <v>28.46</v>
      </c>
      <c r="AE271" t="s">
        <v>2085</v>
      </c>
      <c r="AF271" t="s">
        <v>2381</v>
      </c>
      <c r="AG271">
        <v>1360</v>
      </c>
      <c r="AH271">
        <v>264</v>
      </c>
      <c r="AI271">
        <v>578927</v>
      </c>
      <c r="AJ271">
        <v>1.27</v>
      </c>
    </row>
    <row r="272" spans="1:36">
      <c r="A272" s="1" t="s">
        <v>306</v>
      </c>
      <c r="B272" t="s">
        <v>604</v>
      </c>
      <c r="C272">
        <f>HYPERLINK("https://finance.naver.com/item/coinfo.nhn?code=251630", "A251630")</f>
        <v>0</v>
      </c>
      <c r="D272">
        <f>HYPERLINK("http://comp.fnguide.com/SVO2/ASP/SVD_Consensus.asp?pGB=1&amp;gicode=A251630&amp;cID=&amp;MenuYn=Y&amp;ReportGB=&amp;NewMenuID=108&amp;stkGb=701", "브이원텍")</f>
        <v>0</v>
      </c>
      <c r="E272">
        <v>1</v>
      </c>
      <c r="F272">
        <v>10700</v>
      </c>
      <c r="G272">
        <v>-0.77</v>
      </c>
      <c r="H272">
        <v>20.91</v>
      </c>
      <c r="I272">
        <v>11222</v>
      </c>
      <c r="J272">
        <v>7903</v>
      </c>
      <c r="K272">
        <v>6953</v>
      </c>
      <c r="L272">
        <v>-4.88</v>
      </c>
      <c r="M272">
        <v>26.14</v>
      </c>
      <c r="N272">
        <v>35.02</v>
      </c>
      <c r="O272">
        <v>15.83</v>
      </c>
      <c r="P272" t="b">
        <v>1</v>
      </c>
      <c r="Q272">
        <v>0</v>
      </c>
      <c r="R272">
        <v>442</v>
      </c>
      <c r="S272">
        <v>321</v>
      </c>
      <c r="T272">
        <v>-27.4</v>
      </c>
      <c r="U272" t="s">
        <v>902</v>
      </c>
      <c r="V272" t="s">
        <v>1200</v>
      </c>
      <c r="W272">
        <v>-27.19602814710489</v>
      </c>
      <c r="X272">
        <v>-6.9</v>
      </c>
      <c r="Y272" t="s">
        <v>1491</v>
      </c>
      <c r="Z272">
        <v>14.49186008396843</v>
      </c>
      <c r="AA272">
        <v>1610</v>
      </c>
      <c r="AB272">
        <v>185509</v>
      </c>
      <c r="AC272" t="s">
        <v>1788</v>
      </c>
      <c r="AD272">
        <v>52.04</v>
      </c>
      <c r="AE272" t="s">
        <v>2086</v>
      </c>
      <c r="AF272" t="s">
        <v>2382</v>
      </c>
      <c r="AG272">
        <v>268</v>
      </c>
      <c r="AH272">
        <v>48</v>
      </c>
      <c r="AI272">
        <v>680241</v>
      </c>
      <c r="AJ272">
        <v>1.08</v>
      </c>
    </row>
    <row r="273" spans="1:36">
      <c r="A273" s="1" t="s">
        <v>307</v>
      </c>
      <c r="B273" t="s">
        <v>605</v>
      </c>
      <c r="C273">
        <f>HYPERLINK("https://finance.naver.com/item/coinfo.nhn?code=121800", "A121800")</f>
        <v>0</v>
      </c>
      <c r="D273">
        <f>HYPERLINK("http://comp.fnguide.com/SVO2/ASP/SVD_Consensus.asp?pGB=1&amp;gicode=A121800&amp;cID=&amp;MenuYn=Y&amp;ReportGB=&amp;NewMenuID=108&amp;stkGb=701", "비덴트")</f>
        <v>0</v>
      </c>
      <c r="E273">
        <v>1</v>
      </c>
      <c r="F273">
        <v>10500</v>
      </c>
      <c r="G273">
        <v>0</v>
      </c>
      <c r="I273">
        <v>15400</v>
      </c>
      <c r="J273">
        <v>9438</v>
      </c>
      <c r="K273">
        <v>7732</v>
      </c>
      <c r="L273">
        <v>-46.66</v>
      </c>
      <c r="M273">
        <v>10.11</v>
      </c>
      <c r="N273">
        <v>26.37</v>
      </c>
      <c r="O273">
        <v>22.64</v>
      </c>
      <c r="P273" t="b">
        <v>0</v>
      </c>
      <c r="Q273">
        <v>0</v>
      </c>
      <c r="R273">
        <v>-258</v>
      </c>
      <c r="U273" t="s">
        <v>903</v>
      </c>
      <c r="V273" t="s">
        <v>1201</v>
      </c>
      <c r="W273">
        <v>0</v>
      </c>
      <c r="X273">
        <v>0</v>
      </c>
      <c r="Y273" t="s">
        <v>1492</v>
      </c>
      <c r="Z273">
        <v>-19.70000000000001</v>
      </c>
      <c r="AA273">
        <v>4796</v>
      </c>
      <c r="AB273">
        <v>7964269</v>
      </c>
      <c r="AC273" t="s">
        <v>1789</v>
      </c>
      <c r="AD273">
        <v>19.4</v>
      </c>
      <c r="AE273" t="s">
        <v>2087</v>
      </c>
      <c r="AF273" t="s">
        <v>2383</v>
      </c>
      <c r="AG273">
        <v>187</v>
      </c>
      <c r="AH273">
        <v>-18</v>
      </c>
      <c r="AI273">
        <v>4015</v>
      </c>
    </row>
    <row r="274" spans="1:36">
      <c r="A274" s="1" t="s">
        <v>308</v>
      </c>
      <c r="B274" t="s">
        <v>606</v>
      </c>
      <c r="C274">
        <f>HYPERLINK("https://finance.naver.com/item/coinfo.nhn?code=010280", "A010280")</f>
        <v>0</v>
      </c>
      <c r="D274">
        <f>HYPERLINK("http://comp.fnguide.com/SVO2/ASP/SVD_Consensus.asp?pGB=1&amp;gicode=A010280&amp;cID=&amp;MenuYn=Y&amp;ReportGB=&amp;NewMenuID=108&amp;stkGb=701", "쌍용정보통신")</f>
        <v>0</v>
      </c>
      <c r="E274">
        <v>1</v>
      </c>
      <c r="F274">
        <v>1655</v>
      </c>
      <c r="G274">
        <v>1.5</v>
      </c>
      <c r="H274">
        <v>56.74</v>
      </c>
      <c r="I274">
        <v>2481</v>
      </c>
      <c r="J274">
        <v>1650</v>
      </c>
      <c r="K274">
        <v>1412</v>
      </c>
      <c r="L274">
        <v>-49.93</v>
      </c>
      <c r="M274">
        <v>0.29</v>
      </c>
      <c r="N274">
        <v>14.67</v>
      </c>
      <c r="O274">
        <v>18.18</v>
      </c>
      <c r="P274" t="b">
        <v>0</v>
      </c>
      <c r="Q274">
        <v>0</v>
      </c>
      <c r="R274">
        <v>32</v>
      </c>
      <c r="S274">
        <v>-333</v>
      </c>
      <c r="T274">
        <v>-1140.6</v>
      </c>
      <c r="U274" t="s">
        <v>904</v>
      </c>
      <c r="V274" t="s">
        <v>1202</v>
      </c>
      <c r="W274">
        <v>37.75174786183191</v>
      </c>
      <c r="X274">
        <v>0</v>
      </c>
      <c r="Y274" t="s">
        <v>1493</v>
      </c>
      <c r="Z274">
        <v>-92.30000000000001</v>
      </c>
      <c r="AA274">
        <v>670</v>
      </c>
      <c r="AB274">
        <v>1106250</v>
      </c>
      <c r="AC274" t="s">
        <v>1790</v>
      </c>
      <c r="AD274">
        <v>40</v>
      </c>
      <c r="AE274" t="s">
        <v>2088</v>
      </c>
      <c r="AF274" t="s">
        <v>2384</v>
      </c>
      <c r="AG274">
        <v>1083</v>
      </c>
      <c r="AH274">
        <v>5</v>
      </c>
    </row>
    <row r="275" spans="1:36">
      <c r="A275" s="1" t="s">
        <v>309</v>
      </c>
      <c r="B275" t="s">
        <v>607</v>
      </c>
      <c r="C275">
        <f>HYPERLINK("https://finance.naver.com/item/coinfo.nhn?code=140070", "A140070")</f>
        <v>0</v>
      </c>
      <c r="D275">
        <f>HYPERLINK("http://comp.fnguide.com/SVO2/ASP/SVD_Consensus.asp?pGB=1&amp;gicode=A140070&amp;cID=&amp;MenuYn=Y&amp;ReportGB=&amp;NewMenuID=108&amp;stkGb=701", "서플러스글로벌")</f>
        <v>0</v>
      </c>
      <c r="E275">
        <v>1</v>
      </c>
      <c r="F275">
        <v>4595</v>
      </c>
      <c r="G275">
        <v>-3.15</v>
      </c>
      <c r="H275">
        <v>55.93</v>
      </c>
      <c r="I275">
        <v>4631</v>
      </c>
      <c r="J275">
        <v>3977</v>
      </c>
      <c r="K275">
        <v>3790</v>
      </c>
      <c r="L275">
        <v>-0.79</v>
      </c>
      <c r="M275">
        <v>13.45</v>
      </c>
      <c r="N275">
        <v>17.52</v>
      </c>
      <c r="O275">
        <v>10.49</v>
      </c>
      <c r="P275" t="b">
        <v>1</v>
      </c>
      <c r="Q275">
        <v>1</v>
      </c>
      <c r="R275">
        <v>43</v>
      </c>
      <c r="S275">
        <v>300</v>
      </c>
      <c r="T275">
        <v>597.7</v>
      </c>
      <c r="U275" t="s">
        <v>905</v>
      </c>
      <c r="V275" t="s">
        <v>1203</v>
      </c>
      <c r="W275">
        <v>-17.76393392053306</v>
      </c>
      <c r="X275">
        <v>5632.2</v>
      </c>
      <c r="Y275" t="s">
        <v>1494</v>
      </c>
      <c r="Z275">
        <v>48.17998008288897</v>
      </c>
      <c r="AA275">
        <v>1700</v>
      </c>
      <c r="AB275">
        <v>578318</v>
      </c>
      <c r="AC275" t="s">
        <v>1791</v>
      </c>
      <c r="AD275">
        <v>56.71</v>
      </c>
      <c r="AE275" t="s">
        <v>2089</v>
      </c>
      <c r="AF275" t="s">
        <v>2385</v>
      </c>
      <c r="AG275">
        <v>1103</v>
      </c>
      <c r="AH275">
        <v>27</v>
      </c>
      <c r="AI275">
        <v>2130000</v>
      </c>
    </row>
    <row r="276" spans="1:36">
      <c r="A276" s="1" t="s">
        <v>310</v>
      </c>
      <c r="B276" t="s">
        <v>608</v>
      </c>
      <c r="C276">
        <f>HYPERLINK("https://finance.naver.com/item/coinfo.nhn?code=290520", "A290520")</f>
        <v>0</v>
      </c>
      <c r="D276">
        <f>HYPERLINK("http://comp.fnguide.com/SVO2/ASP/SVD_Consensus.asp?pGB=1&amp;gicode=A290520&amp;cID=&amp;MenuYn=Y&amp;ReportGB=&amp;NewMenuID=108&amp;stkGb=701", "신도기연")</f>
        <v>0</v>
      </c>
      <c r="E276">
        <v>1</v>
      </c>
      <c r="F276">
        <v>18550</v>
      </c>
      <c r="G276">
        <v>0</v>
      </c>
      <c r="I276">
        <v>28439</v>
      </c>
      <c r="J276">
        <v>14916</v>
      </c>
      <c r="K276">
        <v>11046</v>
      </c>
      <c r="L276">
        <v>-53.31</v>
      </c>
      <c r="M276">
        <v>19.59</v>
      </c>
      <c r="N276">
        <v>40.46</v>
      </c>
      <c r="O276">
        <v>38.79</v>
      </c>
      <c r="P276" t="b">
        <v>0</v>
      </c>
      <c r="Q276">
        <v>0</v>
      </c>
      <c r="R276">
        <v>2179</v>
      </c>
      <c r="S276">
        <v>-554</v>
      </c>
      <c r="T276">
        <v>-125.4</v>
      </c>
      <c r="U276" t="s">
        <v>906</v>
      </c>
      <c r="V276" t="s">
        <v>1204</v>
      </c>
      <c r="W276">
        <v>0</v>
      </c>
      <c r="X276">
        <v>-94</v>
      </c>
      <c r="Y276" t="s">
        <v>1495</v>
      </c>
      <c r="Z276">
        <v>0</v>
      </c>
      <c r="AA276">
        <v>1495</v>
      </c>
      <c r="AB276">
        <v>58265</v>
      </c>
      <c r="AC276" t="s">
        <v>1792</v>
      </c>
      <c r="AD276">
        <v>57.27</v>
      </c>
      <c r="AE276" t="s">
        <v>2090</v>
      </c>
      <c r="AF276" t="s">
        <v>2207</v>
      </c>
      <c r="AG276">
        <v>848</v>
      </c>
      <c r="AH276">
        <v>169</v>
      </c>
    </row>
    <row r="277" spans="1:36">
      <c r="A277" s="1" t="s">
        <v>311</v>
      </c>
      <c r="B277" t="s">
        <v>609</v>
      </c>
      <c r="C277">
        <f>HYPERLINK("https://finance.naver.com/item/coinfo.nhn?code=290550", "A290550")</f>
        <v>0</v>
      </c>
      <c r="D277">
        <f>HYPERLINK("http://comp.fnguide.com/SVO2/ASP/SVD_Consensus.asp?pGB=1&amp;gicode=A290550&amp;cID=&amp;MenuYn=Y&amp;ReportGB=&amp;NewMenuID=108&amp;stkGb=701", "디케이티")</f>
        <v>0</v>
      </c>
      <c r="E277">
        <v>1</v>
      </c>
      <c r="F277">
        <v>19600</v>
      </c>
      <c r="G277">
        <v>-0.85</v>
      </c>
      <c r="H277">
        <v>14.3</v>
      </c>
      <c r="I277">
        <v>24972</v>
      </c>
      <c r="J277">
        <v>14248</v>
      </c>
      <c r="K277">
        <v>11179</v>
      </c>
      <c r="L277">
        <v>-27.41</v>
      </c>
      <c r="M277">
        <v>27.3</v>
      </c>
      <c r="N277">
        <v>42.96</v>
      </c>
      <c r="O277">
        <v>28.28</v>
      </c>
      <c r="P277" t="b">
        <v>1</v>
      </c>
      <c r="Q277">
        <v>2</v>
      </c>
      <c r="R277">
        <v>965</v>
      </c>
      <c r="S277">
        <v>1280</v>
      </c>
      <c r="T277">
        <v>32.6</v>
      </c>
      <c r="U277" t="s">
        <v>907</v>
      </c>
      <c r="V277" t="s">
        <v>1205</v>
      </c>
      <c r="W277">
        <v>-16.72578237052545</v>
      </c>
      <c r="X277">
        <v>52.1</v>
      </c>
      <c r="Y277" t="s">
        <v>1496</v>
      </c>
      <c r="Z277">
        <v>190.255387546898</v>
      </c>
      <c r="AA277">
        <v>1613</v>
      </c>
      <c r="AB277">
        <v>144364</v>
      </c>
      <c r="AC277" t="s">
        <v>1793</v>
      </c>
      <c r="AD277">
        <v>52.24</v>
      </c>
      <c r="AE277" t="s">
        <v>2091</v>
      </c>
      <c r="AF277" t="s">
        <v>2386</v>
      </c>
      <c r="AG277">
        <v>3377</v>
      </c>
      <c r="AH277">
        <v>129</v>
      </c>
    </row>
    <row r="278" spans="1:36">
      <c r="A278" s="1" t="s">
        <v>312</v>
      </c>
      <c r="B278" t="s">
        <v>610</v>
      </c>
      <c r="C278">
        <f>HYPERLINK("https://finance.naver.com/item/coinfo.nhn?code=109740", "A109740")</f>
        <v>0</v>
      </c>
      <c r="D278">
        <f>HYPERLINK("http://comp.fnguide.com/SVO2/ASP/SVD_Consensus.asp?pGB=1&amp;gicode=A109740&amp;cID=&amp;MenuYn=Y&amp;ReportGB=&amp;NewMenuID=108&amp;stkGb=701", "디에스케이")</f>
        <v>0</v>
      </c>
      <c r="E278">
        <v>1</v>
      </c>
      <c r="F278">
        <v>6500</v>
      </c>
      <c r="G278">
        <v>0</v>
      </c>
      <c r="H278">
        <v>29.75</v>
      </c>
      <c r="I278">
        <v>6975</v>
      </c>
      <c r="J278">
        <v>6167</v>
      </c>
      <c r="K278">
        <v>5936</v>
      </c>
      <c r="L278">
        <v>-7.31</v>
      </c>
      <c r="M278">
        <v>5.12</v>
      </c>
      <c r="N278">
        <v>8.67</v>
      </c>
      <c r="O278">
        <v>9.94</v>
      </c>
      <c r="P278" t="b">
        <v>1</v>
      </c>
      <c r="Q278">
        <v>0</v>
      </c>
      <c r="R278">
        <v>306</v>
      </c>
      <c r="U278" t="s">
        <v>908</v>
      </c>
      <c r="V278" t="s">
        <v>1206</v>
      </c>
      <c r="W278">
        <v>0</v>
      </c>
      <c r="X278">
        <v>0</v>
      </c>
      <c r="Y278" t="s">
        <v>1497</v>
      </c>
      <c r="Z278">
        <v>-60.21105681222483</v>
      </c>
      <c r="AA278">
        <v>1323</v>
      </c>
      <c r="AB278">
        <v>74982</v>
      </c>
      <c r="AC278" t="s">
        <v>1794</v>
      </c>
      <c r="AD278">
        <v>23.63</v>
      </c>
      <c r="AE278" t="s">
        <v>2092</v>
      </c>
      <c r="AF278" t="s">
        <v>2387</v>
      </c>
      <c r="AG278">
        <v>765</v>
      </c>
      <c r="AH278">
        <v>55</v>
      </c>
      <c r="AI278">
        <v>346805</v>
      </c>
    </row>
    <row r="279" spans="1:36">
      <c r="A279" s="1" t="s">
        <v>313</v>
      </c>
      <c r="B279" t="s">
        <v>611</v>
      </c>
      <c r="C279">
        <f>HYPERLINK("https://finance.naver.com/item/coinfo.nhn?code=317330", "A317330")</f>
        <v>0</v>
      </c>
      <c r="D279">
        <f>HYPERLINK("http://comp.fnguide.com/SVO2/ASP/SVD_Consensus.asp?pGB=1&amp;gicode=A317330&amp;cID=&amp;MenuYn=Y&amp;ReportGB=&amp;NewMenuID=108&amp;stkGb=701", "덕산테코피아")</f>
        <v>0</v>
      </c>
      <c r="E279">
        <v>1</v>
      </c>
      <c r="F279">
        <v>18400</v>
      </c>
      <c r="G279">
        <v>0</v>
      </c>
      <c r="H279">
        <v>28.44</v>
      </c>
      <c r="I279">
        <v>28417</v>
      </c>
      <c r="J279">
        <v>16152</v>
      </c>
      <c r="K279">
        <v>12641</v>
      </c>
      <c r="L279">
        <v>-54.44</v>
      </c>
      <c r="M279">
        <v>12.22</v>
      </c>
      <c r="N279">
        <v>31.3</v>
      </c>
      <c r="O279">
        <v>28.65</v>
      </c>
      <c r="P279" t="b">
        <v>1</v>
      </c>
      <c r="Q279">
        <v>0</v>
      </c>
      <c r="R279">
        <v>673</v>
      </c>
      <c r="U279" t="s">
        <v>909</v>
      </c>
      <c r="V279" t="s">
        <v>1207</v>
      </c>
      <c r="W279">
        <v>0</v>
      </c>
      <c r="X279">
        <v>-15.6</v>
      </c>
      <c r="Y279" t="s">
        <v>1498</v>
      </c>
      <c r="Z279">
        <v>28.48301500386188</v>
      </c>
      <c r="AA279">
        <v>3381</v>
      </c>
      <c r="AB279">
        <v>128801</v>
      </c>
      <c r="AC279" t="s">
        <v>1795</v>
      </c>
      <c r="AD279">
        <v>57.85</v>
      </c>
      <c r="AE279" t="s">
        <v>2093</v>
      </c>
      <c r="AF279" t="s">
        <v>2388</v>
      </c>
      <c r="AG279">
        <v>618</v>
      </c>
      <c r="AH279">
        <v>134</v>
      </c>
      <c r="AI279">
        <v>126286</v>
      </c>
    </row>
    <row r="280" spans="1:36">
      <c r="A280" s="1" t="s">
        <v>314</v>
      </c>
      <c r="B280" t="s">
        <v>612</v>
      </c>
      <c r="C280">
        <f>HYPERLINK("https://finance.naver.com/item/coinfo.nhn?code=036670", "A036670")</f>
        <v>0</v>
      </c>
      <c r="D280">
        <f>HYPERLINK("http://comp.fnguide.com/SVO2/ASP/SVD_Consensus.asp?pGB=1&amp;gicode=A036670&amp;cID=&amp;MenuYn=Y&amp;ReportGB=&amp;NewMenuID=108&amp;stkGb=701", "KCI")</f>
        <v>0</v>
      </c>
      <c r="E280">
        <v>1</v>
      </c>
      <c r="F280">
        <v>9150</v>
      </c>
      <c r="G280">
        <v>0</v>
      </c>
      <c r="H280">
        <v>10.71</v>
      </c>
      <c r="I280">
        <v>12476</v>
      </c>
      <c r="J280">
        <v>8624</v>
      </c>
      <c r="K280">
        <v>7521</v>
      </c>
      <c r="L280">
        <v>-36.35</v>
      </c>
      <c r="M280">
        <v>5.75</v>
      </c>
      <c r="N280">
        <v>17.8</v>
      </c>
      <c r="O280">
        <v>16.54</v>
      </c>
      <c r="P280" t="b">
        <v>1</v>
      </c>
      <c r="Q280">
        <v>0</v>
      </c>
      <c r="R280">
        <v>1013</v>
      </c>
      <c r="U280" t="s">
        <v>910</v>
      </c>
      <c r="V280" t="s">
        <v>1208</v>
      </c>
      <c r="W280">
        <v>0</v>
      </c>
      <c r="X280">
        <v>8.800000000000001</v>
      </c>
      <c r="Y280" t="s">
        <v>1499</v>
      </c>
      <c r="Z280">
        <v>17.88612050714651</v>
      </c>
      <c r="AA280">
        <v>1031</v>
      </c>
      <c r="AB280">
        <v>34544</v>
      </c>
      <c r="AC280" t="s">
        <v>1796</v>
      </c>
      <c r="AD280">
        <v>50.02</v>
      </c>
      <c r="AE280" t="s">
        <v>2094</v>
      </c>
      <c r="AF280" t="s">
        <v>2389</v>
      </c>
      <c r="AG280">
        <v>696</v>
      </c>
      <c r="AH280">
        <v>145</v>
      </c>
      <c r="AI280">
        <v>509800</v>
      </c>
      <c r="AJ280">
        <v>1.84</v>
      </c>
    </row>
    <row r="281" spans="1:36">
      <c r="A281" s="1" t="s">
        <v>315</v>
      </c>
      <c r="B281" t="s">
        <v>613</v>
      </c>
      <c r="C281">
        <f>HYPERLINK("https://finance.naver.com/item/coinfo.nhn?code=130660", "A130660")</f>
        <v>0</v>
      </c>
      <c r="D281">
        <f>HYPERLINK("http://comp.fnguide.com/SVO2/ASP/SVD_Consensus.asp?pGB=1&amp;gicode=A130660&amp;cID=&amp;MenuYn=Y&amp;ReportGB=&amp;NewMenuID=108&amp;stkGb=701", "한전산업")</f>
        <v>0</v>
      </c>
      <c r="E281">
        <v>1</v>
      </c>
      <c r="F281">
        <v>4730</v>
      </c>
      <c r="G281">
        <v>0</v>
      </c>
      <c r="H281">
        <v>6.6</v>
      </c>
      <c r="I281">
        <v>6444</v>
      </c>
      <c r="J281">
        <v>4159</v>
      </c>
      <c r="K281">
        <v>3505</v>
      </c>
      <c r="L281">
        <v>-36.23</v>
      </c>
      <c r="M281">
        <v>12.08</v>
      </c>
      <c r="N281">
        <v>25.9</v>
      </c>
      <c r="O281">
        <v>19.64</v>
      </c>
      <c r="P281" t="b">
        <v>1</v>
      </c>
      <c r="Q281">
        <v>0</v>
      </c>
      <c r="R281">
        <v>531</v>
      </c>
      <c r="U281" t="s">
        <v>911</v>
      </c>
      <c r="V281" t="s">
        <v>1209</v>
      </c>
      <c r="W281">
        <v>0</v>
      </c>
      <c r="X281">
        <v>-15.9</v>
      </c>
      <c r="Y281" t="s">
        <v>1500</v>
      </c>
      <c r="Z281">
        <v>12.21690551950545</v>
      </c>
      <c r="AA281">
        <v>1542</v>
      </c>
      <c r="AB281">
        <v>309641</v>
      </c>
      <c r="AC281" t="s">
        <v>1797</v>
      </c>
      <c r="AD281">
        <v>31</v>
      </c>
      <c r="AE281" t="s">
        <v>2095</v>
      </c>
      <c r="AF281" t="s">
        <v>2390</v>
      </c>
      <c r="AG281">
        <v>3136</v>
      </c>
      <c r="AH281">
        <v>215</v>
      </c>
      <c r="AJ281">
        <v>6.49</v>
      </c>
    </row>
    <row r="282" spans="1:36">
      <c r="A282" s="1" t="s">
        <v>316</v>
      </c>
      <c r="B282" t="s">
        <v>614</v>
      </c>
      <c r="C282">
        <f>HYPERLINK("https://finance.naver.com/item/coinfo.nhn?code=122310", "A122310")</f>
        <v>0</v>
      </c>
      <c r="D282">
        <f>HYPERLINK("http://comp.fnguide.com/SVO2/ASP/SVD_Consensus.asp?pGB=1&amp;gicode=A122310&amp;cID=&amp;MenuYn=Y&amp;ReportGB=&amp;NewMenuID=108&amp;stkGb=701", "제노레이")</f>
        <v>0</v>
      </c>
      <c r="E282">
        <v>1</v>
      </c>
      <c r="F282">
        <v>9260</v>
      </c>
      <c r="G282">
        <v>0.57</v>
      </c>
      <c r="H282">
        <v>7.88</v>
      </c>
      <c r="I282">
        <v>13616</v>
      </c>
      <c r="J282">
        <v>7954</v>
      </c>
      <c r="K282">
        <v>6333</v>
      </c>
      <c r="L282">
        <v>-47.04</v>
      </c>
      <c r="M282">
        <v>14.11</v>
      </c>
      <c r="N282">
        <v>31.61</v>
      </c>
      <c r="O282">
        <v>26.19</v>
      </c>
      <c r="P282" t="b">
        <v>1</v>
      </c>
      <c r="Q282">
        <v>0</v>
      </c>
      <c r="R282">
        <v>950</v>
      </c>
      <c r="S282">
        <v>699</v>
      </c>
      <c r="T282">
        <v>-26.4</v>
      </c>
      <c r="U282" t="s">
        <v>912</v>
      </c>
      <c r="V282" t="s">
        <v>1210</v>
      </c>
      <c r="W282">
        <v>13.75498253906489</v>
      </c>
      <c r="X282">
        <v>-8.300000000000001</v>
      </c>
      <c r="Y282" t="s">
        <v>1501</v>
      </c>
      <c r="Z282">
        <v>33.0186583552752</v>
      </c>
      <c r="AA282">
        <v>1348</v>
      </c>
      <c r="AB282">
        <v>107816</v>
      </c>
      <c r="AC282" t="s">
        <v>1798</v>
      </c>
      <c r="AD282">
        <v>28.5</v>
      </c>
      <c r="AE282" t="s">
        <v>2096</v>
      </c>
      <c r="AF282" t="s">
        <v>2391</v>
      </c>
      <c r="AG282">
        <v>651</v>
      </c>
      <c r="AH282">
        <v>147</v>
      </c>
      <c r="AI282">
        <v>260000</v>
      </c>
      <c r="AJ282">
        <v>1.8</v>
      </c>
    </row>
    <row r="283" spans="1:36">
      <c r="A283" s="1" t="s">
        <v>317</v>
      </c>
      <c r="B283" t="s">
        <v>615</v>
      </c>
      <c r="C283">
        <f>HYPERLINK("https://finance.naver.com/item/coinfo.nhn?code=081660", "A081660")</f>
        <v>0</v>
      </c>
      <c r="D283">
        <f>HYPERLINK("http://comp.fnguide.com/SVO2/ASP/SVD_Consensus.asp?pGB=1&amp;gicode=A081660&amp;cID=&amp;MenuYn=Y&amp;ReportGB=&amp;NewMenuID=108&amp;stkGb=701", "휠라홀딩스")</f>
        <v>0</v>
      </c>
      <c r="E283">
        <v>1</v>
      </c>
      <c r="F283">
        <v>40000</v>
      </c>
      <c r="G283">
        <v>0.25</v>
      </c>
      <c r="H283">
        <v>12.14</v>
      </c>
      <c r="I283">
        <v>47977</v>
      </c>
      <c r="J283">
        <v>31683</v>
      </c>
      <c r="K283">
        <v>27019</v>
      </c>
      <c r="L283">
        <v>-19.94</v>
      </c>
      <c r="M283">
        <v>20.79</v>
      </c>
      <c r="N283">
        <v>32.45</v>
      </c>
      <c r="O283">
        <v>18.5</v>
      </c>
      <c r="P283" t="b">
        <v>1</v>
      </c>
      <c r="Q283">
        <v>0</v>
      </c>
      <c r="R283">
        <v>4365</v>
      </c>
      <c r="S283">
        <v>3405</v>
      </c>
      <c r="T283">
        <v>-22</v>
      </c>
      <c r="U283" t="s">
        <v>913</v>
      </c>
      <c r="V283" t="s">
        <v>1211</v>
      </c>
      <c r="W283">
        <v>48.96647204411722</v>
      </c>
      <c r="X283">
        <v>-39</v>
      </c>
      <c r="Y283" t="s">
        <v>1502</v>
      </c>
      <c r="Z283">
        <v>-17.29044929373262</v>
      </c>
      <c r="AA283">
        <v>24301</v>
      </c>
      <c r="AB283">
        <v>442336</v>
      </c>
      <c r="AC283" t="s">
        <v>1799</v>
      </c>
      <c r="AD283">
        <v>21.64</v>
      </c>
      <c r="AE283" t="s">
        <v>2097</v>
      </c>
      <c r="AF283" t="s">
        <v>2392</v>
      </c>
      <c r="AG283">
        <v>34504</v>
      </c>
      <c r="AH283">
        <v>4707</v>
      </c>
      <c r="AI283">
        <v>656383</v>
      </c>
      <c r="AJ283">
        <v>0.41</v>
      </c>
    </row>
    <row r="284" spans="1:36">
      <c r="A284" s="1" t="s">
        <v>318</v>
      </c>
      <c r="B284" t="s">
        <v>616</v>
      </c>
      <c r="C284">
        <f>HYPERLINK("https://finance.naver.com/item/coinfo.nhn?code=069260", "A069260")</f>
        <v>0</v>
      </c>
      <c r="D284">
        <f>HYPERLINK("http://comp.fnguide.com/SVO2/ASP/SVD_Consensus.asp?pGB=1&amp;gicode=A069260&amp;cID=&amp;MenuYn=Y&amp;ReportGB=&amp;NewMenuID=108&amp;stkGb=701", "휴켐스")</f>
        <v>0</v>
      </c>
      <c r="E284">
        <v>1</v>
      </c>
      <c r="F284">
        <v>22900</v>
      </c>
      <c r="G284">
        <v>-0.51</v>
      </c>
      <c r="H284">
        <v>12.29</v>
      </c>
      <c r="I284">
        <v>31042</v>
      </c>
      <c r="J284">
        <v>22632</v>
      </c>
      <c r="K284">
        <v>20225</v>
      </c>
      <c r="L284">
        <v>-35.55</v>
      </c>
      <c r="M284">
        <v>1.17</v>
      </c>
      <c r="N284">
        <v>11.68</v>
      </c>
      <c r="O284">
        <v>14.63</v>
      </c>
      <c r="P284" t="b">
        <v>1</v>
      </c>
      <c r="Q284">
        <v>0</v>
      </c>
      <c r="R284">
        <v>1721</v>
      </c>
      <c r="S284">
        <v>1213</v>
      </c>
      <c r="T284">
        <v>-29.5</v>
      </c>
      <c r="U284" t="s">
        <v>914</v>
      </c>
      <c r="V284" t="s">
        <v>1212</v>
      </c>
      <c r="W284">
        <v>-24.30797473643847</v>
      </c>
      <c r="X284">
        <v>-32.1</v>
      </c>
      <c r="Y284" t="s">
        <v>1503</v>
      </c>
      <c r="Z284">
        <v>5.432344921736831</v>
      </c>
      <c r="AA284">
        <v>9361</v>
      </c>
      <c r="AB284">
        <v>215099</v>
      </c>
      <c r="AC284" t="s">
        <v>1800</v>
      </c>
      <c r="AD284">
        <v>43.42</v>
      </c>
      <c r="AE284" t="s">
        <v>2098</v>
      </c>
      <c r="AF284" t="s">
        <v>2393</v>
      </c>
      <c r="AG284">
        <v>6598</v>
      </c>
      <c r="AH284">
        <v>1064</v>
      </c>
      <c r="AI284">
        <v>2507711</v>
      </c>
      <c r="AJ284">
        <v>4.73</v>
      </c>
    </row>
    <row r="285" spans="1:36">
      <c r="A285" s="1" t="s">
        <v>319</v>
      </c>
      <c r="B285" t="s">
        <v>617</v>
      </c>
      <c r="C285">
        <f>HYPERLINK("https://finance.naver.com/item/coinfo.nhn?code=241520", "A241520")</f>
        <v>0</v>
      </c>
      <c r="D285">
        <f>HYPERLINK("http://comp.fnguide.com/SVO2/ASP/SVD_Consensus.asp?pGB=1&amp;gicode=A241520&amp;cID=&amp;MenuYn=Y&amp;ReportGB=&amp;NewMenuID=108&amp;stkGb=701", "DSC인베스트먼트")</f>
        <v>0</v>
      </c>
      <c r="E285">
        <v>1</v>
      </c>
      <c r="F285">
        <v>4110</v>
      </c>
      <c r="G285">
        <v>0.08</v>
      </c>
      <c r="H285">
        <v>9.56</v>
      </c>
      <c r="I285">
        <v>4395</v>
      </c>
      <c r="J285">
        <v>2951</v>
      </c>
      <c r="K285">
        <v>2538</v>
      </c>
      <c r="L285">
        <v>-6.93</v>
      </c>
      <c r="M285">
        <v>28.2</v>
      </c>
      <c r="N285">
        <v>38.26</v>
      </c>
      <c r="O285">
        <v>17.75</v>
      </c>
      <c r="P285" t="b">
        <v>1</v>
      </c>
      <c r="Q285">
        <v>3</v>
      </c>
      <c r="R285">
        <v>346</v>
      </c>
      <c r="S285">
        <v>1266</v>
      </c>
      <c r="T285">
        <v>265.9</v>
      </c>
      <c r="U285" t="s">
        <v>915</v>
      </c>
      <c r="V285" t="s">
        <v>1213</v>
      </c>
      <c r="W285">
        <v>115.7982232770558</v>
      </c>
      <c r="Y285" t="s">
        <v>1233</v>
      </c>
      <c r="Z285">
        <v>5.964262867774539</v>
      </c>
      <c r="AA285">
        <v>1138</v>
      </c>
      <c r="AB285">
        <v>744432</v>
      </c>
      <c r="AC285" t="s">
        <v>1801</v>
      </c>
      <c r="AD285">
        <v>27</v>
      </c>
      <c r="AE285" t="s">
        <v>2099</v>
      </c>
      <c r="AF285" t="s">
        <v>2394</v>
      </c>
      <c r="AG285">
        <v>166</v>
      </c>
      <c r="AH285">
        <v>79</v>
      </c>
      <c r="AI285">
        <v>260753</v>
      </c>
    </row>
    <row r="286" spans="1:36">
      <c r="A286" s="1" t="s">
        <v>320</v>
      </c>
      <c r="B286" t="s">
        <v>618</v>
      </c>
      <c r="C286">
        <f>HYPERLINK("https://finance.naver.com/item/coinfo.nhn?code=119610", "A119610")</f>
        <v>0</v>
      </c>
      <c r="D286">
        <f>HYPERLINK("http://comp.fnguide.com/SVO2/ASP/SVD_Consensus.asp?pGB=1&amp;gicode=A119610&amp;cID=&amp;MenuYn=Y&amp;ReportGB=&amp;NewMenuID=108&amp;stkGb=701", "인터로조")</f>
        <v>0</v>
      </c>
      <c r="E286">
        <v>1</v>
      </c>
      <c r="F286">
        <v>20450</v>
      </c>
      <c r="G286">
        <v>-1.09</v>
      </c>
      <c r="H286">
        <v>17.14</v>
      </c>
      <c r="I286">
        <v>21468</v>
      </c>
      <c r="J286">
        <v>15657</v>
      </c>
      <c r="K286">
        <v>13994</v>
      </c>
      <c r="L286">
        <v>-4.98</v>
      </c>
      <c r="M286">
        <v>23.44</v>
      </c>
      <c r="N286">
        <v>31.57</v>
      </c>
      <c r="O286">
        <v>14.62</v>
      </c>
      <c r="P286" t="b">
        <v>1</v>
      </c>
      <c r="Q286">
        <v>0</v>
      </c>
      <c r="R286">
        <v>1503</v>
      </c>
      <c r="S286">
        <v>989</v>
      </c>
      <c r="T286">
        <v>-34.2</v>
      </c>
      <c r="U286" t="s">
        <v>916</v>
      </c>
      <c r="V286" t="s">
        <v>1214</v>
      </c>
      <c r="W286">
        <v>-15.76336565548985</v>
      </c>
      <c r="X286">
        <v>-10.2</v>
      </c>
      <c r="Y286" t="s">
        <v>1504</v>
      </c>
      <c r="Z286">
        <v>4.489100632774168</v>
      </c>
      <c r="AA286">
        <v>2456</v>
      </c>
      <c r="AB286">
        <v>44940</v>
      </c>
      <c r="AC286" t="s">
        <v>1802</v>
      </c>
      <c r="AD286">
        <v>34.83</v>
      </c>
      <c r="AE286" t="s">
        <v>2100</v>
      </c>
      <c r="AF286" t="s">
        <v>2395</v>
      </c>
      <c r="AG286">
        <v>926</v>
      </c>
      <c r="AH286">
        <v>226</v>
      </c>
      <c r="AI286">
        <v>508351</v>
      </c>
      <c r="AJ286">
        <v>1.13</v>
      </c>
    </row>
    <row r="287" spans="1:36">
      <c r="A287" s="1" t="s">
        <v>321</v>
      </c>
      <c r="B287" t="s">
        <v>619</v>
      </c>
      <c r="C287">
        <f>HYPERLINK("https://finance.naver.com/item/coinfo.nhn?code=041830", "A041830")</f>
        <v>0</v>
      </c>
      <c r="D287">
        <f>HYPERLINK("http://comp.fnguide.com/SVO2/ASP/SVD_Consensus.asp?pGB=1&amp;gicode=A041830&amp;cID=&amp;MenuYn=Y&amp;ReportGB=&amp;NewMenuID=108&amp;stkGb=701", "인바디")</f>
        <v>0</v>
      </c>
      <c r="E287">
        <v>1</v>
      </c>
      <c r="F287">
        <v>18550</v>
      </c>
      <c r="G287">
        <v>-4.71</v>
      </c>
      <c r="H287">
        <v>15.84</v>
      </c>
      <c r="I287">
        <v>22270</v>
      </c>
      <c r="J287">
        <v>15349</v>
      </c>
      <c r="K287">
        <v>13368</v>
      </c>
      <c r="L287">
        <v>-20.06</v>
      </c>
      <c r="M287">
        <v>17.26</v>
      </c>
      <c r="N287">
        <v>27.94</v>
      </c>
      <c r="O287">
        <v>16.66</v>
      </c>
      <c r="P287" t="b">
        <v>1</v>
      </c>
      <c r="Q287">
        <v>0</v>
      </c>
      <c r="R287">
        <v>1493</v>
      </c>
      <c r="S287">
        <v>1275</v>
      </c>
      <c r="T287">
        <v>-14.6</v>
      </c>
      <c r="U287" t="s">
        <v>917</v>
      </c>
      <c r="V287" t="s">
        <v>1215</v>
      </c>
      <c r="W287">
        <v>-3.365026016379091</v>
      </c>
      <c r="X287">
        <v>-34.6</v>
      </c>
      <c r="Y287" t="s">
        <v>1505</v>
      </c>
      <c r="Z287">
        <v>-5.037865323802815</v>
      </c>
      <c r="AA287">
        <v>2538</v>
      </c>
      <c r="AB287">
        <v>113692</v>
      </c>
      <c r="AC287" t="s">
        <v>1803</v>
      </c>
      <c r="AD287">
        <v>28.94</v>
      </c>
      <c r="AE287" t="s">
        <v>2101</v>
      </c>
      <c r="AF287" t="s">
        <v>2396</v>
      </c>
      <c r="AG287">
        <v>1171</v>
      </c>
      <c r="AH287">
        <v>276</v>
      </c>
      <c r="AI287">
        <v>656935</v>
      </c>
      <c r="AJ287">
        <v>0.59</v>
      </c>
    </row>
    <row r="288" spans="1:36">
      <c r="A288" s="1" t="s">
        <v>322</v>
      </c>
      <c r="B288" t="s">
        <v>620</v>
      </c>
      <c r="C288">
        <f>HYPERLINK("https://finance.naver.com/item/coinfo.nhn?code=083450", "A083450")</f>
        <v>0</v>
      </c>
      <c r="D288">
        <f>HYPERLINK("http://comp.fnguide.com/SVO2/ASP/SVD_Consensus.asp?pGB=1&amp;gicode=A083450&amp;cID=&amp;MenuYn=Y&amp;ReportGB=&amp;NewMenuID=108&amp;stkGb=701", "GST")</f>
        <v>0</v>
      </c>
      <c r="E288">
        <v>1</v>
      </c>
      <c r="F288">
        <v>19500</v>
      </c>
      <c r="G288">
        <v>23.31</v>
      </c>
      <c r="H288">
        <v>5.32</v>
      </c>
      <c r="I288">
        <v>25343</v>
      </c>
      <c r="J288">
        <v>16946</v>
      </c>
      <c r="K288">
        <v>14543</v>
      </c>
      <c r="L288">
        <v>-29.96</v>
      </c>
      <c r="M288">
        <v>13.1</v>
      </c>
      <c r="N288">
        <v>25.42</v>
      </c>
      <c r="O288">
        <v>17.93</v>
      </c>
      <c r="P288" t="b">
        <v>1</v>
      </c>
      <c r="Q288">
        <v>0</v>
      </c>
      <c r="R288">
        <v>1918</v>
      </c>
      <c r="S288">
        <v>1653</v>
      </c>
      <c r="T288">
        <v>-13.8</v>
      </c>
      <c r="U288" t="s">
        <v>918</v>
      </c>
      <c r="V288" t="s">
        <v>1216</v>
      </c>
      <c r="W288">
        <v>0.228201710332776</v>
      </c>
      <c r="X288">
        <v>8.800000000000001</v>
      </c>
      <c r="Y288" t="s">
        <v>1506</v>
      </c>
      <c r="Z288">
        <v>29.84787235561015</v>
      </c>
      <c r="AA288">
        <v>1817</v>
      </c>
      <c r="AB288">
        <v>257620</v>
      </c>
      <c r="AC288" t="s">
        <v>1804</v>
      </c>
      <c r="AD288">
        <v>25.95</v>
      </c>
      <c r="AE288" t="s">
        <v>2102</v>
      </c>
      <c r="AF288" t="s">
        <v>2397</v>
      </c>
      <c r="AG288">
        <v>1682</v>
      </c>
      <c r="AH288">
        <v>219</v>
      </c>
      <c r="AI288">
        <v>557868</v>
      </c>
      <c r="AJ288">
        <v>1.96</v>
      </c>
    </row>
    <row r="289" spans="1:36">
      <c r="A289" s="1" t="s">
        <v>323</v>
      </c>
      <c r="B289" t="s">
        <v>621</v>
      </c>
      <c r="C289">
        <f>HYPERLINK("https://finance.naver.com/item/coinfo.nhn?code=035600", "A035600")</f>
        <v>0</v>
      </c>
      <c r="D289">
        <f>HYPERLINK("http://comp.fnguide.com/SVO2/ASP/SVD_Consensus.asp?pGB=1&amp;gicode=A035600&amp;cID=&amp;MenuYn=Y&amp;ReportGB=&amp;NewMenuID=108&amp;stkGb=701", "KG이니시스")</f>
        <v>0</v>
      </c>
      <c r="E289">
        <v>1</v>
      </c>
      <c r="F289">
        <v>18300</v>
      </c>
      <c r="G289">
        <v>0</v>
      </c>
      <c r="H289">
        <v>9.49</v>
      </c>
      <c r="I289">
        <v>19481</v>
      </c>
      <c r="J289">
        <v>13420</v>
      </c>
      <c r="K289">
        <v>11685</v>
      </c>
      <c r="L289">
        <v>-6.45</v>
      </c>
      <c r="M289">
        <v>26.67</v>
      </c>
      <c r="N289">
        <v>36.15</v>
      </c>
      <c r="O289">
        <v>16.68</v>
      </c>
      <c r="P289" t="b">
        <v>1</v>
      </c>
      <c r="Q289">
        <v>0</v>
      </c>
      <c r="R289">
        <v>1792</v>
      </c>
      <c r="U289" t="s">
        <v>919</v>
      </c>
      <c r="V289" t="s">
        <v>1217</v>
      </c>
      <c r="W289">
        <v>0</v>
      </c>
      <c r="X289">
        <v>-20.2</v>
      </c>
      <c r="Y289" t="s">
        <v>1507</v>
      </c>
      <c r="Z289">
        <v>6.374997062279641</v>
      </c>
      <c r="AA289">
        <v>5107</v>
      </c>
      <c r="AB289">
        <v>180031</v>
      </c>
      <c r="AC289" t="s">
        <v>1805</v>
      </c>
      <c r="AD289">
        <v>41.03</v>
      </c>
      <c r="AE289" t="s">
        <v>2103</v>
      </c>
      <c r="AF289" t="s">
        <v>2398</v>
      </c>
      <c r="AG289">
        <v>9561</v>
      </c>
      <c r="AH289">
        <v>861</v>
      </c>
      <c r="AI289">
        <v>1285946</v>
      </c>
      <c r="AJ289">
        <v>1.94</v>
      </c>
    </row>
    <row r="290" spans="1:36">
      <c r="A290" s="1" t="s">
        <v>324</v>
      </c>
      <c r="B290" t="s">
        <v>622</v>
      </c>
      <c r="C290">
        <f>HYPERLINK("https://finance.naver.com/item/coinfo.nhn?code=298540", "A298540")</f>
        <v>0</v>
      </c>
      <c r="D290">
        <f>HYPERLINK("http://comp.fnguide.com/SVO2/ASP/SVD_Consensus.asp?pGB=1&amp;gicode=A298540&amp;cID=&amp;MenuYn=Y&amp;ReportGB=&amp;NewMenuID=108&amp;stkGb=701", "더네이쳐홀딩스")</f>
        <v>0</v>
      </c>
      <c r="E290">
        <v>1</v>
      </c>
      <c r="F290">
        <v>52500</v>
      </c>
      <c r="G290">
        <v>0</v>
      </c>
      <c r="I290">
        <v>62333</v>
      </c>
      <c r="J290">
        <v>31183</v>
      </c>
      <c r="K290">
        <v>22267</v>
      </c>
      <c r="L290">
        <v>-18.73</v>
      </c>
      <c r="M290">
        <v>40.6</v>
      </c>
      <c r="N290">
        <v>57.59</v>
      </c>
      <c r="O290">
        <v>48.22</v>
      </c>
      <c r="P290" t="b">
        <v>0</v>
      </c>
      <c r="Q290">
        <v>3</v>
      </c>
      <c r="R290">
        <v>2850</v>
      </c>
      <c r="S290">
        <v>5563</v>
      </c>
      <c r="T290">
        <v>95.2</v>
      </c>
      <c r="U290" t="s">
        <v>920</v>
      </c>
      <c r="V290" t="s">
        <v>1218</v>
      </c>
      <c r="W290">
        <v>0</v>
      </c>
      <c r="X290">
        <v>0</v>
      </c>
      <c r="Y290" t="s">
        <v>1508</v>
      </c>
      <c r="Z290">
        <v>0</v>
      </c>
      <c r="AA290">
        <v>3818</v>
      </c>
      <c r="AB290">
        <v>126193</v>
      </c>
      <c r="AC290" t="s">
        <v>1806</v>
      </c>
      <c r="AD290">
        <v>38.94</v>
      </c>
      <c r="AE290" t="s">
        <v>2104</v>
      </c>
      <c r="AF290" t="s">
        <v>2207</v>
      </c>
      <c r="AG290">
        <v>2353</v>
      </c>
      <c r="AH290">
        <v>398</v>
      </c>
    </row>
    <row r="291" spans="1:36">
      <c r="A291" s="1" t="s">
        <v>325</v>
      </c>
      <c r="B291" t="s">
        <v>623</v>
      </c>
      <c r="C291">
        <f>HYPERLINK("https://finance.naver.com/item/coinfo.nhn?code=950180", "A950180")</f>
        <v>0</v>
      </c>
      <c r="D291">
        <f>HYPERLINK("http://comp.fnguide.com/SVO2/ASP/SVD_Consensus.asp?pGB=1&amp;gicode=A950180&amp;cID=&amp;MenuYn=Y&amp;ReportGB=&amp;NewMenuID=108&amp;stkGb=701", "SNK")</f>
        <v>0</v>
      </c>
      <c r="E291">
        <v>1</v>
      </c>
      <c r="F291">
        <v>28400</v>
      </c>
      <c r="G291">
        <v>-2.6</v>
      </c>
      <c r="H291">
        <v>12.95</v>
      </c>
      <c r="I291">
        <v>28472</v>
      </c>
      <c r="J291">
        <v>21100</v>
      </c>
      <c r="K291">
        <v>18990</v>
      </c>
      <c r="L291">
        <v>-0.25</v>
      </c>
      <c r="M291">
        <v>25.71</v>
      </c>
      <c r="N291">
        <v>33.14</v>
      </c>
      <c r="O291">
        <v>14.12</v>
      </c>
      <c r="P291" t="b">
        <v>0</v>
      </c>
      <c r="Q291">
        <v>1</v>
      </c>
      <c r="R291">
        <v>1035</v>
      </c>
      <c r="S291">
        <v>1268</v>
      </c>
      <c r="T291">
        <v>22.5</v>
      </c>
      <c r="U291" t="s">
        <v>921</v>
      </c>
      <c r="V291" t="s">
        <v>1219</v>
      </c>
      <c r="W291">
        <v>-4.976567183951042</v>
      </c>
      <c r="X291">
        <v>0</v>
      </c>
      <c r="Y291" t="s">
        <v>1509</v>
      </c>
      <c r="Z291">
        <v>0</v>
      </c>
      <c r="AA291">
        <v>5982</v>
      </c>
      <c r="AB291">
        <v>909394</v>
      </c>
      <c r="AC291" t="s">
        <v>1807</v>
      </c>
      <c r="AD291">
        <v>33.16</v>
      </c>
      <c r="AE291" t="s">
        <v>2105</v>
      </c>
      <c r="AF291" t="s">
        <v>2399</v>
      </c>
      <c r="AG291">
        <v>860</v>
      </c>
      <c r="AH291">
        <v>239</v>
      </c>
      <c r="AI291">
        <v>528203</v>
      </c>
    </row>
    <row r="292" spans="1:36">
      <c r="A292" s="1" t="s">
        <v>326</v>
      </c>
      <c r="B292" t="s">
        <v>624</v>
      </c>
      <c r="C292">
        <f>HYPERLINK("https://finance.naver.com/item/coinfo.nhn?code=086390", "A086390")</f>
        <v>0</v>
      </c>
      <c r="D292">
        <f>HYPERLINK("http://comp.fnguide.com/SVO2/ASP/SVD_Consensus.asp?pGB=1&amp;gicode=A086390&amp;cID=&amp;MenuYn=Y&amp;ReportGB=&amp;NewMenuID=108&amp;stkGb=701", "유니테스트")</f>
        <v>0</v>
      </c>
      <c r="E292">
        <v>1</v>
      </c>
      <c r="F292">
        <v>24200</v>
      </c>
      <c r="G292">
        <v>-0.25</v>
      </c>
      <c r="H292">
        <v>11.88</v>
      </c>
      <c r="I292">
        <v>27750</v>
      </c>
      <c r="J292">
        <v>15815</v>
      </c>
      <c r="K292">
        <v>12399</v>
      </c>
      <c r="L292">
        <v>-14.67</v>
      </c>
      <c r="M292">
        <v>34.65</v>
      </c>
      <c r="N292">
        <v>48.77</v>
      </c>
      <c r="O292">
        <v>28.39</v>
      </c>
      <c r="P292" t="b">
        <v>1</v>
      </c>
      <c r="Q292">
        <v>0</v>
      </c>
      <c r="R292">
        <v>1208</v>
      </c>
      <c r="S292">
        <v>166</v>
      </c>
      <c r="T292">
        <v>-86.3</v>
      </c>
      <c r="U292" t="s">
        <v>922</v>
      </c>
      <c r="V292" t="s">
        <v>1220</v>
      </c>
      <c r="W292">
        <v>-47.50681364314274</v>
      </c>
      <c r="X292">
        <v>0</v>
      </c>
      <c r="Y292" t="s">
        <v>1510</v>
      </c>
      <c r="Z292">
        <v>-3.553688276023181</v>
      </c>
      <c r="AA292">
        <v>5114</v>
      </c>
      <c r="AB292">
        <v>356274</v>
      </c>
      <c r="AC292" t="s">
        <v>1808</v>
      </c>
      <c r="AD292">
        <v>21.07</v>
      </c>
      <c r="AE292" t="s">
        <v>2106</v>
      </c>
      <c r="AF292" t="s">
        <v>2400</v>
      </c>
      <c r="AG292">
        <v>1983</v>
      </c>
      <c r="AH292">
        <v>300</v>
      </c>
      <c r="AI292">
        <v>801309</v>
      </c>
      <c r="AJ292">
        <v>1.74</v>
      </c>
    </row>
    <row r="293" spans="1:36">
      <c r="A293" s="1" t="s">
        <v>327</v>
      </c>
      <c r="B293" t="s">
        <v>625</v>
      </c>
      <c r="C293">
        <f>HYPERLINK("https://finance.naver.com/item/coinfo.nhn?code=215000", "A215000")</f>
        <v>0</v>
      </c>
      <c r="D293">
        <f>HYPERLINK("http://comp.fnguide.com/SVO2/ASP/SVD_Consensus.asp?pGB=1&amp;gicode=A215000&amp;cID=&amp;MenuYn=Y&amp;ReportGB=&amp;NewMenuID=108&amp;stkGb=701", "골프존")</f>
        <v>0</v>
      </c>
      <c r="E293">
        <v>1</v>
      </c>
      <c r="F293">
        <v>62800</v>
      </c>
      <c r="G293">
        <v>-1.2</v>
      </c>
      <c r="H293">
        <v>26.67</v>
      </c>
      <c r="I293">
        <v>64327</v>
      </c>
      <c r="J293">
        <v>44880</v>
      </c>
      <c r="K293">
        <v>39314</v>
      </c>
      <c r="L293">
        <v>-2.43</v>
      </c>
      <c r="M293">
        <v>28.53</v>
      </c>
      <c r="N293">
        <v>37.4</v>
      </c>
      <c r="O293">
        <v>16.18</v>
      </c>
      <c r="P293" t="b">
        <v>1</v>
      </c>
      <c r="Q293">
        <v>1</v>
      </c>
      <c r="R293">
        <v>2584</v>
      </c>
      <c r="S293">
        <v>5975</v>
      </c>
      <c r="T293">
        <v>131.2</v>
      </c>
      <c r="U293" t="s">
        <v>923</v>
      </c>
      <c r="V293" t="s">
        <v>1221</v>
      </c>
      <c r="W293">
        <v>-22.15205515805406</v>
      </c>
      <c r="X293">
        <v>49.9</v>
      </c>
      <c r="Y293" t="s">
        <v>1511</v>
      </c>
      <c r="Z293">
        <v>-9.72785324313945</v>
      </c>
      <c r="AA293">
        <v>3941</v>
      </c>
      <c r="AB293">
        <v>34261</v>
      </c>
      <c r="AC293" t="s">
        <v>1809</v>
      </c>
      <c r="AD293">
        <v>53.51</v>
      </c>
      <c r="AE293" t="s">
        <v>2107</v>
      </c>
      <c r="AF293" t="s">
        <v>2401</v>
      </c>
      <c r="AG293">
        <v>2470</v>
      </c>
      <c r="AH293">
        <v>323</v>
      </c>
      <c r="AI293">
        <v>2945</v>
      </c>
      <c r="AJ293">
        <v>2.98</v>
      </c>
    </row>
    <row r="294" spans="1:36">
      <c r="A294" s="1" t="s">
        <v>328</v>
      </c>
      <c r="B294" t="s">
        <v>626</v>
      </c>
      <c r="C294">
        <f>HYPERLINK("https://finance.naver.com/item/coinfo.nhn?code=044340", "A044340")</f>
        <v>0</v>
      </c>
      <c r="D294">
        <f>HYPERLINK("http://comp.fnguide.com/SVO2/ASP/SVD_Consensus.asp?pGB=1&amp;gicode=A044340&amp;cID=&amp;MenuYn=Y&amp;ReportGB=&amp;NewMenuID=108&amp;stkGb=701", "위닉스")</f>
        <v>0</v>
      </c>
      <c r="E294">
        <v>1</v>
      </c>
      <c r="F294">
        <v>25250</v>
      </c>
      <c r="G294">
        <v>0.21</v>
      </c>
      <c r="H294">
        <v>11.5</v>
      </c>
      <c r="I294">
        <v>27219</v>
      </c>
      <c r="J294">
        <v>16657</v>
      </c>
      <c r="K294">
        <v>13634</v>
      </c>
      <c r="L294">
        <v>-7.8</v>
      </c>
      <c r="M294">
        <v>34.03</v>
      </c>
      <c r="N294">
        <v>46</v>
      </c>
      <c r="O294">
        <v>22.74</v>
      </c>
      <c r="P294" t="b">
        <v>1</v>
      </c>
      <c r="Q294">
        <v>3</v>
      </c>
      <c r="R294">
        <v>2266</v>
      </c>
      <c r="S294">
        <v>2568</v>
      </c>
      <c r="T294">
        <v>13.3</v>
      </c>
      <c r="U294" t="s">
        <v>924</v>
      </c>
      <c r="V294" t="s">
        <v>1222</v>
      </c>
      <c r="W294">
        <v>54.81203532231844</v>
      </c>
      <c r="X294">
        <v>-3</v>
      </c>
      <c r="Y294" t="s">
        <v>1512</v>
      </c>
      <c r="Z294">
        <v>47.00044919417861</v>
      </c>
      <c r="AA294">
        <v>4513</v>
      </c>
      <c r="AB294">
        <v>201398</v>
      </c>
      <c r="AC294" t="s">
        <v>1810</v>
      </c>
      <c r="AD294">
        <v>47.92</v>
      </c>
      <c r="AE294" t="s">
        <v>2108</v>
      </c>
      <c r="AF294" t="s">
        <v>2402</v>
      </c>
      <c r="AG294">
        <v>3862</v>
      </c>
      <c r="AH294">
        <v>514</v>
      </c>
      <c r="AI294">
        <v>1966696</v>
      </c>
      <c r="AJ294">
        <v>1.92</v>
      </c>
    </row>
    <row r="295" spans="1:36">
      <c r="A295" s="1" t="s">
        <v>329</v>
      </c>
      <c r="B295" t="s">
        <v>627</v>
      </c>
      <c r="C295">
        <f>HYPERLINK("https://finance.naver.com/item/coinfo.nhn?code=104830", "A104830")</f>
        <v>0</v>
      </c>
      <c r="D295">
        <f>HYPERLINK("http://comp.fnguide.com/SVO2/ASP/SVD_Consensus.asp?pGB=1&amp;gicode=A104830&amp;cID=&amp;MenuYn=Y&amp;ReportGB=&amp;NewMenuID=108&amp;stkGb=701", "원익머트리얼즈")</f>
        <v>0</v>
      </c>
      <c r="E295">
        <v>1</v>
      </c>
      <c r="F295">
        <v>34600</v>
      </c>
      <c r="G295">
        <v>0.79</v>
      </c>
      <c r="H295">
        <v>13.61</v>
      </c>
      <c r="I295">
        <v>35606</v>
      </c>
      <c r="J295">
        <v>28882</v>
      </c>
      <c r="K295">
        <v>26958</v>
      </c>
      <c r="L295">
        <v>-2.91</v>
      </c>
      <c r="M295">
        <v>16.53</v>
      </c>
      <c r="N295">
        <v>22.09</v>
      </c>
      <c r="O295">
        <v>11.71</v>
      </c>
      <c r="P295" t="b">
        <v>1</v>
      </c>
      <c r="Q295">
        <v>1</v>
      </c>
      <c r="R295">
        <v>2229</v>
      </c>
      <c r="S295">
        <v>2628</v>
      </c>
      <c r="T295">
        <v>17.9</v>
      </c>
      <c r="U295" t="s">
        <v>925</v>
      </c>
      <c r="V295" t="s">
        <v>1223</v>
      </c>
      <c r="W295">
        <v>17.31351374799781</v>
      </c>
      <c r="X295">
        <v>6.9</v>
      </c>
      <c r="Y295" t="s">
        <v>1513</v>
      </c>
      <c r="Z295">
        <v>6.220596220917485</v>
      </c>
      <c r="AA295">
        <v>4362</v>
      </c>
      <c r="AB295">
        <v>170244</v>
      </c>
      <c r="AC295" t="s">
        <v>1811</v>
      </c>
      <c r="AD295">
        <v>45.69</v>
      </c>
      <c r="AE295" t="s">
        <v>2109</v>
      </c>
      <c r="AF295" t="s">
        <v>2403</v>
      </c>
      <c r="AG295">
        <v>2208</v>
      </c>
      <c r="AH295">
        <v>360</v>
      </c>
      <c r="AJ295">
        <v>0.49</v>
      </c>
    </row>
    <row r="296" spans="1:36">
      <c r="A296" s="1" t="s">
        <v>330</v>
      </c>
      <c r="B296" t="s">
        <v>628</v>
      </c>
      <c r="C296">
        <f>HYPERLINK("https://finance.naver.com/item/coinfo.nhn?code=267320", "A267320")</f>
        <v>0</v>
      </c>
      <c r="D296">
        <f>HYPERLINK("http://comp.fnguide.com/SVO2/ASP/SVD_Consensus.asp?pGB=1&amp;gicode=A267320&amp;cID=&amp;MenuYn=Y&amp;ReportGB=&amp;NewMenuID=108&amp;stkGb=701", "나인테크")</f>
        <v>0</v>
      </c>
      <c r="E296">
        <v>1</v>
      </c>
      <c r="F296">
        <v>4765</v>
      </c>
      <c r="G296">
        <v>0</v>
      </c>
      <c r="I296">
        <v>5714</v>
      </c>
      <c r="J296">
        <v>2440</v>
      </c>
      <c r="K296">
        <v>1503</v>
      </c>
      <c r="L296">
        <v>-19.91</v>
      </c>
      <c r="M296">
        <v>48.79</v>
      </c>
      <c r="N296">
        <v>68.45</v>
      </c>
      <c r="O296">
        <v>181.15</v>
      </c>
      <c r="P296" t="b">
        <v>0</v>
      </c>
      <c r="Q296">
        <v>0</v>
      </c>
      <c r="R296">
        <v>114</v>
      </c>
      <c r="U296" t="s">
        <v>926</v>
      </c>
      <c r="V296" t="s">
        <v>1224</v>
      </c>
      <c r="W296">
        <v>0</v>
      </c>
      <c r="X296">
        <v>0</v>
      </c>
      <c r="Y296" t="s">
        <v>1514</v>
      </c>
      <c r="Z296">
        <v>106.5</v>
      </c>
      <c r="AA296">
        <v>1877</v>
      </c>
      <c r="AB296">
        <v>758674</v>
      </c>
      <c r="AC296" t="s">
        <v>1812</v>
      </c>
      <c r="AD296">
        <v>33.2</v>
      </c>
      <c r="AE296" t="s">
        <v>2110</v>
      </c>
      <c r="AF296" t="s">
        <v>2207</v>
      </c>
      <c r="AG296">
        <v>752</v>
      </c>
      <c r="AH296">
        <v>65</v>
      </c>
      <c r="AI296">
        <v>261560</v>
      </c>
    </row>
    <row r="297" spans="1:36">
      <c r="A297" s="1" t="s">
        <v>331</v>
      </c>
      <c r="B297" t="s">
        <v>629</v>
      </c>
      <c r="C297">
        <f>HYPERLINK("https://finance.naver.com/item/coinfo.nhn?code=092730", "A092730")</f>
        <v>0</v>
      </c>
      <c r="D297">
        <f>HYPERLINK("http://comp.fnguide.com/SVO2/ASP/SVD_Consensus.asp?pGB=1&amp;gicode=A092730&amp;cID=&amp;MenuYn=Y&amp;ReportGB=&amp;NewMenuID=108&amp;stkGb=701", "네오팜")</f>
        <v>0</v>
      </c>
      <c r="E297">
        <v>1</v>
      </c>
      <c r="F297">
        <v>32400</v>
      </c>
      <c r="G297">
        <v>1.66</v>
      </c>
      <c r="H297">
        <v>19.83</v>
      </c>
      <c r="I297">
        <v>43350</v>
      </c>
      <c r="J297">
        <v>25466</v>
      </c>
      <c r="K297">
        <v>20347</v>
      </c>
      <c r="L297">
        <v>-33.8</v>
      </c>
      <c r="M297">
        <v>21.4</v>
      </c>
      <c r="N297">
        <v>37.2</v>
      </c>
      <c r="O297">
        <v>25.72</v>
      </c>
      <c r="P297" t="b">
        <v>1</v>
      </c>
      <c r="Q297">
        <v>0</v>
      </c>
      <c r="R297">
        <v>2438</v>
      </c>
      <c r="S297">
        <v>2175</v>
      </c>
      <c r="T297">
        <v>-10.8</v>
      </c>
      <c r="U297" t="s">
        <v>927</v>
      </c>
      <c r="V297" t="s">
        <v>1225</v>
      </c>
      <c r="W297">
        <v>11.96108022702436</v>
      </c>
      <c r="X297">
        <v>-8.800000000000001</v>
      </c>
      <c r="Y297" t="s">
        <v>1515</v>
      </c>
      <c r="Z297">
        <v>37.25660839511444</v>
      </c>
      <c r="AA297">
        <v>2659</v>
      </c>
      <c r="AB297">
        <v>76590</v>
      </c>
      <c r="AC297" t="s">
        <v>1813</v>
      </c>
      <c r="AD297">
        <v>38.94</v>
      </c>
      <c r="AE297" t="s">
        <v>2111</v>
      </c>
      <c r="AF297" t="s">
        <v>2404</v>
      </c>
      <c r="AG297">
        <v>832</v>
      </c>
      <c r="AH297">
        <v>230</v>
      </c>
      <c r="AI297">
        <v>386733</v>
      </c>
      <c r="AJ297">
        <v>1.55</v>
      </c>
    </row>
    <row r="298" spans="1:36">
      <c r="A298" s="1" t="s">
        <v>332</v>
      </c>
      <c r="B298" t="s">
        <v>630</v>
      </c>
      <c r="C298">
        <f>HYPERLINK("https://finance.naver.com/item/coinfo.nhn?code=241790", "A241790")</f>
        <v>0</v>
      </c>
      <c r="D298">
        <f>HYPERLINK("http://comp.fnguide.com/SVO2/ASP/SVD_Consensus.asp?pGB=1&amp;gicode=A241790&amp;cID=&amp;MenuYn=Y&amp;ReportGB=&amp;NewMenuID=108&amp;stkGb=701", "오션브릿지")</f>
        <v>0</v>
      </c>
      <c r="E298">
        <v>1</v>
      </c>
      <c r="F298">
        <v>16800</v>
      </c>
      <c r="G298">
        <v>0</v>
      </c>
      <c r="H298">
        <v>10.06</v>
      </c>
      <c r="I298">
        <v>18608</v>
      </c>
      <c r="J298">
        <v>11373</v>
      </c>
      <c r="K298">
        <v>9302</v>
      </c>
      <c r="L298">
        <v>-10.76</v>
      </c>
      <c r="M298">
        <v>32.3</v>
      </c>
      <c r="N298">
        <v>44.63</v>
      </c>
      <c r="O298">
        <v>22.82</v>
      </c>
      <c r="P298" t="b">
        <v>1</v>
      </c>
      <c r="Q298">
        <v>0</v>
      </c>
      <c r="R298">
        <v>1024</v>
      </c>
      <c r="U298" t="s">
        <v>928</v>
      </c>
      <c r="V298" t="s">
        <v>1226</v>
      </c>
      <c r="W298">
        <v>0</v>
      </c>
      <c r="X298">
        <v>8.5</v>
      </c>
      <c r="Y298" t="s">
        <v>1516</v>
      </c>
      <c r="Z298">
        <v>12.92148855533264</v>
      </c>
      <c r="AA298">
        <v>1680</v>
      </c>
      <c r="AB298">
        <v>182511</v>
      </c>
      <c r="AC298" t="s">
        <v>1814</v>
      </c>
      <c r="AD298">
        <v>33.4</v>
      </c>
      <c r="AE298" t="s">
        <v>2112</v>
      </c>
      <c r="AF298" t="s">
        <v>2405</v>
      </c>
      <c r="AG298">
        <v>758</v>
      </c>
      <c r="AH298">
        <v>128</v>
      </c>
      <c r="AI298">
        <v>123197</v>
      </c>
      <c r="AJ298">
        <v>2.62</v>
      </c>
    </row>
    <row r="299" spans="1:36">
      <c r="A299" s="1" t="s">
        <v>333</v>
      </c>
      <c r="B299" t="s">
        <v>631</v>
      </c>
      <c r="C299">
        <f>HYPERLINK("https://finance.naver.com/item/coinfo.nhn?code=010240", "A010240")</f>
        <v>0</v>
      </c>
      <c r="D299">
        <f>HYPERLINK("http://comp.fnguide.com/SVO2/ASP/SVD_Consensus.asp?pGB=1&amp;gicode=A010240&amp;cID=&amp;MenuYn=Y&amp;ReportGB=&amp;NewMenuID=108&amp;stkGb=701", "흥국")</f>
        <v>0</v>
      </c>
      <c r="E299">
        <v>1</v>
      </c>
      <c r="F299">
        <v>7160</v>
      </c>
      <c r="G299">
        <v>0</v>
      </c>
      <c r="H299">
        <v>7.79</v>
      </c>
      <c r="I299">
        <v>9015</v>
      </c>
      <c r="J299">
        <v>7114</v>
      </c>
      <c r="K299">
        <v>6570</v>
      </c>
      <c r="L299">
        <v>-25.91</v>
      </c>
      <c r="M299">
        <v>0.64</v>
      </c>
      <c r="N299">
        <v>8.24</v>
      </c>
      <c r="O299">
        <v>12.37</v>
      </c>
      <c r="P299" t="b">
        <v>1</v>
      </c>
      <c r="Q299">
        <v>0</v>
      </c>
      <c r="R299">
        <v>568</v>
      </c>
      <c r="U299" t="s">
        <v>929</v>
      </c>
      <c r="V299" t="s">
        <v>1227</v>
      </c>
      <c r="W299">
        <v>0</v>
      </c>
      <c r="X299">
        <v>60.8</v>
      </c>
      <c r="Y299" t="s">
        <v>1517</v>
      </c>
      <c r="Z299">
        <v>51.50350019700674</v>
      </c>
      <c r="AA299">
        <v>882</v>
      </c>
      <c r="AB299">
        <v>157813</v>
      </c>
      <c r="AC299" t="s">
        <v>1815</v>
      </c>
      <c r="AD299">
        <v>51.18</v>
      </c>
      <c r="AE299" t="s">
        <v>2113</v>
      </c>
      <c r="AF299" t="s">
        <v>2406</v>
      </c>
      <c r="AG299">
        <v>1045</v>
      </c>
      <c r="AH299">
        <v>89</v>
      </c>
      <c r="AI299">
        <v>772811</v>
      </c>
      <c r="AJ299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149</v>
      </c>
      <c r="B2" t="s">
        <v>447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12050</v>
      </c>
      <c r="G2">
        <v>-0.17</v>
      </c>
      <c r="H2">
        <v>3.05</v>
      </c>
      <c r="I2">
        <v>48035</v>
      </c>
      <c r="J2">
        <v>30339</v>
      </c>
      <c r="K2">
        <v>25273</v>
      </c>
      <c r="L2">
        <v>-298.63</v>
      </c>
      <c r="M2">
        <v>-151.77</v>
      </c>
      <c r="N2">
        <v>-109.74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745</v>
      </c>
      <c r="V2" t="s">
        <v>1043</v>
      </c>
      <c r="W2">
        <v>-17.56794761499573</v>
      </c>
      <c r="X2">
        <v>21.8</v>
      </c>
      <c r="Y2" t="s">
        <v>1339</v>
      </c>
      <c r="Z2">
        <v>-14.26029213425397</v>
      </c>
      <c r="AA2">
        <v>2736</v>
      </c>
      <c r="AB2">
        <v>91024</v>
      </c>
      <c r="AC2" t="s">
        <v>1631</v>
      </c>
      <c r="AD2">
        <v>62.17</v>
      </c>
      <c r="AE2" t="s">
        <v>1929</v>
      </c>
      <c r="AF2" t="s">
        <v>2227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249</v>
      </c>
      <c r="B3" t="s">
        <v>547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8970</v>
      </c>
      <c r="G3">
        <v>-0.19</v>
      </c>
      <c r="H3">
        <v>9.470000000000001</v>
      </c>
      <c r="I3">
        <v>18549</v>
      </c>
      <c r="J3">
        <v>9771</v>
      </c>
      <c r="K3">
        <v>7258</v>
      </c>
      <c r="L3">
        <v>-106.79</v>
      </c>
      <c r="M3">
        <v>-8.93</v>
      </c>
      <c r="N3">
        <v>19.08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845</v>
      </c>
      <c r="V3" t="s">
        <v>1143</v>
      </c>
      <c r="W3">
        <v>-50.78327237220432</v>
      </c>
      <c r="X3">
        <v>-80.2</v>
      </c>
      <c r="Y3" t="s">
        <v>1437</v>
      </c>
      <c r="Z3">
        <v>-27.27551790531576</v>
      </c>
      <c r="AA3">
        <v>905</v>
      </c>
      <c r="AB3">
        <v>26773</v>
      </c>
      <c r="AC3" t="s">
        <v>1731</v>
      </c>
      <c r="AD3">
        <v>68.13</v>
      </c>
      <c r="AE3" t="s">
        <v>2029</v>
      </c>
      <c r="AF3" t="s">
        <v>2326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154</v>
      </c>
      <c r="B4" t="s">
        <v>452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8720</v>
      </c>
      <c r="G4">
        <v>0</v>
      </c>
      <c r="H4">
        <v>4.8</v>
      </c>
      <c r="I4">
        <v>27177</v>
      </c>
      <c r="J4">
        <v>24291</v>
      </c>
      <c r="K4">
        <v>23465</v>
      </c>
      <c r="L4">
        <v>-211.67</v>
      </c>
      <c r="M4">
        <v>-178.57</v>
      </c>
      <c r="N4">
        <v>-169.1</v>
      </c>
      <c r="O4">
        <v>9.75</v>
      </c>
      <c r="P4" t="b">
        <v>1</v>
      </c>
      <c r="Q4">
        <v>0</v>
      </c>
      <c r="R4">
        <v>1631</v>
      </c>
      <c r="U4" t="s">
        <v>750</v>
      </c>
      <c r="V4" t="s">
        <v>1048</v>
      </c>
      <c r="W4">
        <v>0</v>
      </c>
      <c r="Y4" t="s">
        <v>1233</v>
      </c>
      <c r="Z4">
        <v>35.9504940035307</v>
      </c>
      <c r="AA4">
        <v>1315</v>
      </c>
      <c r="AB4">
        <v>28639</v>
      </c>
      <c r="AC4" t="s">
        <v>1636</v>
      </c>
      <c r="AD4">
        <v>62.31</v>
      </c>
      <c r="AE4" t="s">
        <v>1934</v>
      </c>
      <c r="AF4" t="s">
        <v>2232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88</v>
      </c>
      <c r="B5" t="s">
        <v>386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2625</v>
      </c>
      <c r="G5">
        <v>0</v>
      </c>
      <c r="H5">
        <v>5.84</v>
      </c>
      <c r="I5">
        <v>4926</v>
      </c>
      <c r="J5">
        <v>3431</v>
      </c>
      <c r="K5">
        <v>3003</v>
      </c>
      <c r="L5">
        <v>-87.64</v>
      </c>
      <c r="M5">
        <v>-30.69</v>
      </c>
      <c r="N5">
        <v>-14.39</v>
      </c>
      <c r="O5">
        <v>16.25</v>
      </c>
      <c r="P5" t="b">
        <v>1</v>
      </c>
      <c r="Q5">
        <v>0</v>
      </c>
      <c r="R5">
        <v>376</v>
      </c>
      <c r="U5" t="s">
        <v>684</v>
      </c>
      <c r="V5" t="s">
        <v>982</v>
      </c>
      <c r="W5">
        <v>0</v>
      </c>
      <c r="X5">
        <v>-1</v>
      </c>
      <c r="Y5" t="s">
        <v>1278</v>
      </c>
      <c r="Z5">
        <v>-1.492149739999793</v>
      </c>
      <c r="AA5">
        <v>2625</v>
      </c>
      <c r="AB5">
        <v>642652</v>
      </c>
      <c r="AC5" t="s">
        <v>1570</v>
      </c>
      <c r="AD5">
        <v>50.02</v>
      </c>
      <c r="AE5" t="s">
        <v>1868</v>
      </c>
      <c r="AF5" t="s">
        <v>2166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49</v>
      </c>
      <c r="B6" t="s">
        <v>347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6760</v>
      </c>
      <c r="G6">
        <v>0.25</v>
      </c>
      <c r="H6">
        <v>5.49</v>
      </c>
      <c r="I6">
        <v>12935</v>
      </c>
      <c r="J6">
        <v>11294</v>
      </c>
      <c r="K6">
        <v>10824</v>
      </c>
      <c r="L6">
        <v>-91.34999999999999</v>
      </c>
      <c r="M6">
        <v>-67.06999999999999</v>
      </c>
      <c r="N6">
        <v>-60.12</v>
      </c>
      <c r="O6">
        <v>10.17</v>
      </c>
      <c r="P6" t="b">
        <v>1</v>
      </c>
      <c r="Q6">
        <v>2</v>
      </c>
      <c r="R6">
        <v>1020</v>
      </c>
      <c r="S6">
        <v>1750</v>
      </c>
      <c r="T6">
        <v>71.59999999999999</v>
      </c>
      <c r="U6" t="s">
        <v>645</v>
      </c>
      <c r="V6" t="s">
        <v>943</v>
      </c>
      <c r="W6">
        <v>22.16891874727549</v>
      </c>
      <c r="X6">
        <v>19.4</v>
      </c>
      <c r="Y6" t="s">
        <v>1241</v>
      </c>
      <c r="Z6">
        <v>11.11573099594876</v>
      </c>
      <c r="AA6">
        <v>3751</v>
      </c>
      <c r="AB6">
        <v>210728</v>
      </c>
      <c r="AC6" t="s">
        <v>1531</v>
      </c>
      <c r="AD6">
        <v>62.45</v>
      </c>
      <c r="AE6" t="s">
        <v>1829</v>
      </c>
      <c r="AF6" t="s">
        <v>2127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3885</v>
      </c>
      <c r="G7">
        <v>-0.07000000000000001</v>
      </c>
      <c r="H7">
        <v>5.06</v>
      </c>
      <c r="I7">
        <v>7549</v>
      </c>
      <c r="J7">
        <v>7244</v>
      </c>
      <c r="K7">
        <v>7157</v>
      </c>
      <c r="L7">
        <v>-94.3</v>
      </c>
      <c r="M7">
        <v>-86.47</v>
      </c>
      <c r="N7">
        <v>-84.22</v>
      </c>
      <c r="O7">
        <v>8.6</v>
      </c>
      <c r="P7" t="b">
        <v>1</v>
      </c>
      <c r="Q7">
        <v>0</v>
      </c>
      <c r="R7">
        <v>982</v>
      </c>
      <c r="S7">
        <v>11</v>
      </c>
      <c r="T7">
        <v>-98.90000000000001</v>
      </c>
      <c r="U7" t="s">
        <v>632</v>
      </c>
      <c r="V7" t="s">
        <v>930</v>
      </c>
      <c r="W7">
        <v>-67.68139716352037</v>
      </c>
      <c r="X7">
        <v>0</v>
      </c>
      <c r="Y7" t="s">
        <v>1228</v>
      </c>
      <c r="Z7">
        <v>19.87917837256776</v>
      </c>
      <c r="AA7">
        <v>1819</v>
      </c>
      <c r="AB7">
        <v>55792</v>
      </c>
      <c r="AC7" t="s">
        <v>1518</v>
      </c>
      <c r="AD7">
        <v>72.18000000000001</v>
      </c>
      <c r="AE7" t="s">
        <v>1816</v>
      </c>
      <c r="AF7" t="s">
        <v>2114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64</v>
      </c>
      <c r="B8" t="s">
        <v>362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7860</v>
      </c>
      <c r="G8">
        <v>0</v>
      </c>
      <c r="H8">
        <v>4.5</v>
      </c>
      <c r="I8">
        <v>15485</v>
      </c>
      <c r="J8">
        <v>12734</v>
      </c>
      <c r="K8">
        <v>11946</v>
      </c>
      <c r="L8">
        <v>-97.01000000000001</v>
      </c>
      <c r="M8">
        <v>-62.01</v>
      </c>
      <c r="N8">
        <v>-51.99</v>
      </c>
      <c r="O8">
        <v>11.4</v>
      </c>
      <c r="P8" t="b">
        <v>1</v>
      </c>
      <c r="Q8">
        <v>0</v>
      </c>
      <c r="R8">
        <v>1207</v>
      </c>
      <c r="U8" t="s">
        <v>660</v>
      </c>
      <c r="V8" t="s">
        <v>958</v>
      </c>
      <c r="W8">
        <v>0</v>
      </c>
      <c r="X8">
        <v>15</v>
      </c>
      <c r="Y8" t="s">
        <v>1256</v>
      </c>
      <c r="Z8">
        <v>12.8292520656804</v>
      </c>
      <c r="AA8">
        <v>502</v>
      </c>
      <c r="AB8">
        <v>23200</v>
      </c>
      <c r="AC8" t="s">
        <v>1546</v>
      </c>
      <c r="AD8">
        <v>51.42</v>
      </c>
      <c r="AE8" t="s">
        <v>1844</v>
      </c>
      <c r="AF8" t="s">
        <v>2142</v>
      </c>
      <c r="AG8">
        <v>560</v>
      </c>
      <c r="AH8">
        <v>94</v>
      </c>
      <c r="AJ8">
        <v>5.52</v>
      </c>
    </row>
    <row r="9" spans="1:36">
      <c r="A9" s="1" t="s">
        <v>74</v>
      </c>
      <c r="B9" t="s">
        <v>372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3880</v>
      </c>
      <c r="G9">
        <v>4.07</v>
      </c>
      <c r="H9">
        <v>4.66</v>
      </c>
      <c r="I9">
        <v>12030</v>
      </c>
      <c r="J9">
        <v>8061</v>
      </c>
      <c r="K9">
        <v>6926</v>
      </c>
      <c r="L9">
        <v>-210.04</v>
      </c>
      <c r="M9">
        <v>-107.77</v>
      </c>
      <c r="N9">
        <v>-78.5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670</v>
      </c>
      <c r="V9" t="s">
        <v>968</v>
      </c>
      <c r="W9">
        <v>1.144985871277204</v>
      </c>
      <c r="Y9" t="s">
        <v>1233</v>
      </c>
      <c r="Z9">
        <v>2.305975528003579</v>
      </c>
      <c r="AA9">
        <v>4810</v>
      </c>
      <c r="AB9">
        <v>407236</v>
      </c>
      <c r="AC9" t="s">
        <v>1556</v>
      </c>
      <c r="AD9">
        <v>53.62</v>
      </c>
      <c r="AE9" t="s">
        <v>1854</v>
      </c>
      <c r="AF9" t="s">
        <v>2152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198</v>
      </c>
      <c r="B10" t="s">
        <v>496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10400</v>
      </c>
      <c r="G10">
        <v>1.65</v>
      </c>
      <c r="H10">
        <v>7.05</v>
      </c>
      <c r="I10">
        <v>21690</v>
      </c>
      <c r="J10">
        <v>17483</v>
      </c>
      <c r="K10">
        <v>16279</v>
      </c>
      <c r="L10">
        <v>-108.56</v>
      </c>
      <c r="M10">
        <v>-68.09999999999999</v>
      </c>
      <c r="N10">
        <v>-56.52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794</v>
      </c>
      <c r="V10" t="s">
        <v>1092</v>
      </c>
      <c r="W10">
        <v>4.282166565814882</v>
      </c>
      <c r="Y10" t="s">
        <v>1233</v>
      </c>
      <c r="Z10">
        <v>-15.34160040286397</v>
      </c>
      <c r="AA10">
        <v>5985</v>
      </c>
      <c r="AB10">
        <v>50315</v>
      </c>
      <c r="AC10" t="s">
        <v>1680</v>
      </c>
      <c r="AD10">
        <v>74.04000000000001</v>
      </c>
      <c r="AE10" t="s">
        <v>1978</v>
      </c>
      <c r="AF10" t="s">
        <v>2276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157</v>
      </c>
      <c r="B11" t="s">
        <v>455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5370</v>
      </c>
      <c r="G11">
        <v>0</v>
      </c>
      <c r="H11">
        <v>7.53</v>
      </c>
      <c r="I11">
        <v>9615</v>
      </c>
      <c r="J11">
        <v>7231</v>
      </c>
      <c r="K11">
        <v>6549</v>
      </c>
      <c r="L11">
        <v>-79.05</v>
      </c>
      <c r="M11">
        <v>-34.66</v>
      </c>
      <c r="N11">
        <v>-21.95</v>
      </c>
      <c r="O11">
        <v>13.68</v>
      </c>
      <c r="P11" t="b">
        <v>1</v>
      </c>
      <c r="Q11">
        <v>0</v>
      </c>
      <c r="R11">
        <v>589</v>
      </c>
      <c r="U11" t="s">
        <v>753</v>
      </c>
      <c r="V11" t="s">
        <v>1051</v>
      </c>
      <c r="W11">
        <v>0</v>
      </c>
      <c r="X11">
        <v>13.6</v>
      </c>
      <c r="Y11" t="s">
        <v>1346</v>
      </c>
      <c r="Z11">
        <v>28.70544131727133</v>
      </c>
      <c r="AA11">
        <v>642</v>
      </c>
      <c r="AB11">
        <v>281042</v>
      </c>
      <c r="AC11" t="s">
        <v>1639</v>
      </c>
      <c r="AD11">
        <v>50.1</v>
      </c>
      <c r="AE11" t="s">
        <v>1937</v>
      </c>
      <c r="AF11" t="s">
        <v>2235</v>
      </c>
      <c r="AG11">
        <v>1216</v>
      </c>
      <c r="AH11">
        <v>87</v>
      </c>
      <c r="AJ11">
        <v>5.19</v>
      </c>
    </row>
    <row r="12" spans="1:36">
      <c r="A12" s="1" t="s">
        <v>238</v>
      </c>
      <c r="B12" t="s">
        <v>536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19100</v>
      </c>
      <c r="G12">
        <v>2.64</v>
      </c>
      <c r="H12">
        <v>7.87</v>
      </c>
      <c r="I12">
        <v>28791</v>
      </c>
      <c r="J12">
        <v>20254</v>
      </c>
      <c r="K12">
        <v>17811</v>
      </c>
      <c r="L12">
        <v>-50.74</v>
      </c>
      <c r="M12">
        <v>-6.04</v>
      </c>
      <c r="N12">
        <v>6.75</v>
      </c>
      <c r="O12">
        <v>15.87</v>
      </c>
      <c r="P12" t="b">
        <v>1</v>
      </c>
      <c r="Q12">
        <v>0</v>
      </c>
      <c r="R12">
        <v>2973</v>
      </c>
      <c r="S12">
        <v>1303</v>
      </c>
      <c r="T12">
        <v>-56.2</v>
      </c>
      <c r="U12" t="s">
        <v>834</v>
      </c>
      <c r="V12" t="s">
        <v>1132</v>
      </c>
      <c r="W12">
        <v>2.985596125750645</v>
      </c>
      <c r="X12">
        <v>-53.1</v>
      </c>
      <c r="Y12" t="s">
        <v>1426</v>
      </c>
      <c r="Z12">
        <v>19.81747236522424</v>
      </c>
      <c r="AA12">
        <v>984</v>
      </c>
      <c r="AB12">
        <v>12064</v>
      </c>
      <c r="AC12" t="s">
        <v>1720</v>
      </c>
      <c r="AD12">
        <v>58.01</v>
      </c>
      <c r="AE12" t="s">
        <v>2018</v>
      </c>
      <c r="AF12" t="s">
        <v>2315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126</v>
      </c>
      <c r="B13" t="s">
        <v>424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22300</v>
      </c>
      <c r="G13">
        <v>0.67</v>
      </c>
      <c r="H13">
        <v>6.05</v>
      </c>
      <c r="I13">
        <v>28984</v>
      </c>
      <c r="J13">
        <v>23834</v>
      </c>
      <c r="K13">
        <v>22360</v>
      </c>
      <c r="L13">
        <v>-29.97</v>
      </c>
      <c r="M13">
        <v>-6.88</v>
      </c>
      <c r="N13">
        <v>-0.27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722</v>
      </c>
      <c r="V13" t="s">
        <v>1020</v>
      </c>
      <c r="W13">
        <v>9.075987751255465</v>
      </c>
      <c r="X13">
        <v>-33</v>
      </c>
      <c r="Y13" t="s">
        <v>1316</v>
      </c>
      <c r="Z13">
        <v>1.466402340512385</v>
      </c>
      <c r="AA13">
        <v>1915</v>
      </c>
      <c r="AB13">
        <v>57491</v>
      </c>
      <c r="AC13" t="s">
        <v>1608</v>
      </c>
      <c r="AD13">
        <v>74.56999999999999</v>
      </c>
      <c r="AE13" t="s">
        <v>1906</v>
      </c>
      <c r="AF13" t="s">
        <v>2204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212</v>
      </c>
      <c r="B14" t="s">
        <v>510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27450</v>
      </c>
      <c r="G14">
        <v>0</v>
      </c>
      <c r="H14">
        <v>4.46</v>
      </c>
      <c r="I14">
        <v>92600</v>
      </c>
      <c r="J14">
        <v>78964</v>
      </c>
      <c r="K14">
        <v>75061</v>
      </c>
      <c r="L14">
        <v>-237.34</v>
      </c>
      <c r="M14">
        <v>-187.67</v>
      </c>
      <c r="N14">
        <v>-173.45</v>
      </c>
      <c r="O14">
        <v>10.63</v>
      </c>
      <c r="P14" t="b">
        <v>1</v>
      </c>
      <c r="Q14">
        <v>0</v>
      </c>
      <c r="R14">
        <v>6584</v>
      </c>
      <c r="U14" t="s">
        <v>808</v>
      </c>
      <c r="V14" t="s">
        <v>1106</v>
      </c>
      <c r="W14">
        <v>0</v>
      </c>
      <c r="X14">
        <v>-27.4</v>
      </c>
      <c r="Y14" t="s">
        <v>1400</v>
      </c>
      <c r="Z14">
        <v>9.298220911236665</v>
      </c>
      <c r="AA14">
        <v>2743</v>
      </c>
      <c r="AB14">
        <v>31866</v>
      </c>
      <c r="AC14" t="s">
        <v>1694</v>
      </c>
      <c r="AD14">
        <v>50.89</v>
      </c>
      <c r="AE14" t="s">
        <v>1992</v>
      </c>
      <c r="AF14" t="s">
        <v>2290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81</v>
      </c>
      <c r="B15" t="s">
        <v>379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26850</v>
      </c>
      <c r="G15">
        <v>-0.83</v>
      </c>
      <c r="H15">
        <v>11.49</v>
      </c>
      <c r="I15">
        <v>46722</v>
      </c>
      <c r="J15">
        <v>32880</v>
      </c>
      <c r="K15">
        <v>28918</v>
      </c>
      <c r="L15">
        <v>-74.01000000000001</v>
      </c>
      <c r="M15">
        <v>-22.46</v>
      </c>
      <c r="N15">
        <v>-7.7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677</v>
      </c>
      <c r="V15" t="s">
        <v>975</v>
      </c>
      <c r="W15">
        <v>-13.79994293746812</v>
      </c>
      <c r="X15">
        <v>-31.8</v>
      </c>
      <c r="Y15" t="s">
        <v>1271</v>
      </c>
      <c r="Z15">
        <v>-9.274503094994824</v>
      </c>
      <c r="AA15">
        <v>12083</v>
      </c>
      <c r="AB15">
        <v>301203</v>
      </c>
      <c r="AC15" t="s">
        <v>1563</v>
      </c>
      <c r="AD15">
        <v>51</v>
      </c>
      <c r="AE15" t="s">
        <v>1861</v>
      </c>
      <c r="AF15" t="s">
        <v>2159</v>
      </c>
      <c r="AG15">
        <v>12469</v>
      </c>
      <c r="AH15">
        <v>1939</v>
      </c>
      <c r="AJ15">
        <v>4.9</v>
      </c>
    </row>
    <row r="16" spans="1:36">
      <c r="A16" s="1" t="s">
        <v>244</v>
      </c>
      <c r="B16" t="s">
        <v>542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2</v>
      </c>
      <c r="F16">
        <v>21800</v>
      </c>
      <c r="G16">
        <v>0</v>
      </c>
      <c r="H16">
        <v>7.88</v>
      </c>
      <c r="I16">
        <v>24980</v>
      </c>
      <c r="J16">
        <v>22079</v>
      </c>
      <c r="K16">
        <v>21249</v>
      </c>
      <c r="L16">
        <v>-14.59</v>
      </c>
      <c r="M16">
        <v>-1.28</v>
      </c>
      <c r="N16">
        <v>2.53</v>
      </c>
      <c r="O16">
        <v>9.949999999999999</v>
      </c>
      <c r="P16" t="b">
        <v>1</v>
      </c>
      <c r="Q16">
        <v>0</v>
      </c>
      <c r="R16">
        <v>1998</v>
      </c>
      <c r="U16" t="s">
        <v>840</v>
      </c>
      <c r="V16" t="s">
        <v>1138</v>
      </c>
      <c r="W16">
        <v>0</v>
      </c>
      <c r="X16">
        <v>54.4</v>
      </c>
      <c r="Y16" t="s">
        <v>1432</v>
      </c>
      <c r="Z16">
        <v>30.72149038833822</v>
      </c>
      <c r="AA16">
        <v>3098</v>
      </c>
      <c r="AB16">
        <v>48984</v>
      </c>
      <c r="AC16" t="s">
        <v>1726</v>
      </c>
      <c r="AD16">
        <v>71.01000000000001</v>
      </c>
      <c r="AE16" t="s">
        <v>2024</v>
      </c>
      <c r="AF16" t="s">
        <v>2321</v>
      </c>
      <c r="AG16">
        <v>3754</v>
      </c>
      <c r="AH16">
        <v>416</v>
      </c>
      <c r="AJ16">
        <v>4.76</v>
      </c>
    </row>
    <row r="17" spans="1:36">
      <c r="A17" s="1" t="s">
        <v>208</v>
      </c>
      <c r="B17" t="s">
        <v>506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16100</v>
      </c>
      <c r="G17">
        <v>6.99</v>
      </c>
      <c r="H17">
        <v>6.75</v>
      </c>
      <c r="I17">
        <v>35942</v>
      </c>
      <c r="J17">
        <v>26751</v>
      </c>
      <c r="K17">
        <v>24120</v>
      </c>
      <c r="L17">
        <v>-123.24</v>
      </c>
      <c r="M17">
        <v>-66.16</v>
      </c>
      <c r="N17">
        <v>-49.82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804</v>
      </c>
      <c r="V17" t="s">
        <v>1102</v>
      </c>
      <c r="W17">
        <v>0.9659068669766624</v>
      </c>
      <c r="X17">
        <v>16.5</v>
      </c>
      <c r="Y17" t="s">
        <v>1396</v>
      </c>
      <c r="Z17">
        <v>15.65850051513527</v>
      </c>
      <c r="AA17">
        <v>19421</v>
      </c>
      <c r="AB17">
        <v>679141</v>
      </c>
      <c r="AC17" t="s">
        <v>1690</v>
      </c>
      <c r="AD17">
        <v>56.32</v>
      </c>
      <c r="AE17" t="s">
        <v>1988</v>
      </c>
      <c r="AF17" t="s">
        <v>2286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206</v>
      </c>
      <c r="B18" t="s">
        <v>504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12250</v>
      </c>
      <c r="G18">
        <v>0.11</v>
      </c>
      <c r="H18">
        <v>4.15</v>
      </c>
      <c r="I18">
        <v>40322</v>
      </c>
      <c r="J18">
        <v>28668</v>
      </c>
      <c r="K18">
        <v>25333</v>
      </c>
      <c r="L18">
        <v>-229.16</v>
      </c>
      <c r="M18">
        <v>-134.03</v>
      </c>
      <c r="N18">
        <v>-106.8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802</v>
      </c>
      <c r="V18" t="s">
        <v>1100</v>
      </c>
      <c r="W18">
        <v>38.65204656891741</v>
      </c>
      <c r="X18">
        <v>4.8</v>
      </c>
      <c r="Y18" t="s">
        <v>1394</v>
      </c>
      <c r="Z18">
        <v>4.539413365111278</v>
      </c>
      <c r="AA18">
        <v>16416</v>
      </c>
      <c r="AB18">
        <v>288764</v>
      </c>
      <c r="AC18" t="s">
        <v>1688</v>
      </c>
      <c r="AD18">
        <v>72.25</v>
      </c>
      <c r="AE18" t="s">
        <v>1986</v>
      </c>
      <c r="AF18" t="s">
        <v>2284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116</v>
      </c>
      <c r="B19" t="s">
        <v>414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5360</v>
      </c>
      <c r="G19">
        <v>-0.22</v>
      </c>
      <c r="H19">
        <v>9.69</v>
      </c>
      <c r="I19">
        <v>7729</v>
      </c>
      <c r="J19">
        <v>7427</v>
      </c>
      <c r="K19">
        <v>7340</v>
      </c>
      <c r="L19">
        <v>-44.2</v>
      </c>
      <c r="M19">
        <v>-38.56</v>
      </c>
      <c r="N19">
        <v>-36.94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712</v>
      </c>
      <c r="V19" t="s">
        <v>1010</v>
      </c>
      <c r="W19">
        <v>-43.29179033238696</v>
      </c>
      <c r="X19">
        <v>0</v>
      </c>
      <c r="Y19" t="s">
        <v>1306</v>
      </c>
      <c r="Z19">
        <v>19.27306272420797</v>
      </c>
      <c r="AA19">
        <v>635</v>
      </c>
      <c r="AB19">
        <v>79434</v>
      </c>
      <c r="AC19" t="s">
        <v>1598</v>
      </c>
      <c r="AD19">
        <v>62.12</v>
      </c>
      <c r="AE19" t="s">
        <v>1896</v>
      </c>
      <c r="AF19" t="s">
        <v>2194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135</v>
      </c>
      <c r="B20" t="s">
        <v>433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7270</v>
      </c>
      <c r="G20">
        <v>-0.52</v>
      </c>
      <c r="H20">
        <v>3.98</v>
      </c>
      <c r="I20">
        <v>17214</v>
      </c>
      <c r="J20">
        <v>15957</v>
      </c>
      <c r="K20">
        <v>15598</v>
      </c>
      <c r="L20">
        <v>-136.78</v>
      </c>
      <c r="M20">
        <v>-119.5</v>
      </c>
      <c r="N20">
        <v>-114.55</v>
      </c>
      <c r="O20">
        <v>9.130000000000001</v>
      </c>
      <c r="P20" t="b">
        <v>1</v>
      </c>
      <c r="Q20">
        <v>0</v>
      </c>
      <c r="R20">
        <v>2319</v>
      </c>
      <c r="S20">
        <v>1608</v>
      </c>
      <c r="T20">
        <v>-30.7</v>
      </c>
      <c r="U20" t="s">
        <v>731</v>
      </c>
      <c r="V20" t="s">
        <v>1029</v>
      </c>
      <c r="W20">
        <v>-7.60129871955264</v>
      </c>
      <c r="X20">
        <v>9.1</v>
      </c>
      <c r="Y20" t="s">
        <v>1325</v>
      </c>
      <c r="Z20">
        <v>9.079772519246077</v>
      </c>
      <c r="AA20">
        <v>4700</v>
      </c>
      <c r="AB20">
        <v>127475</v>
      </c>
      <c r="AC20" t="s">
        <v>1617</v>
      </c>
      <c r="AD20">
        <v>73.16</v>
      </c>
      <c r="AE20" t="s">
        <v>1915</v>
      </c>
      <c r="AF20" t="s">
        <v>2213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122</v>
      </c>
      <c r="B21" t="s">
        <v>420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5150</v>
      </c>
      <c r="G21">
        <v>0</v>
      </c>
      <c r="H21">
        <v>4.38</v>
      </c>
      <c r="I21">
        <v>15945</v>
      </c>
      <c r="J21">
        <v>11477</v>
      </c>
      <c r="K21">
        <v>10198</v>
      </c>
      <c r="L21">
        <v>-209.62</v>
      </c>
      <c r="M21">
        <v>-122.86</v>
      </c>
      <c r="N21">
        <v>-98.03</v>
      </c>
      <c r="O21">
        <v>15.06</v>
      </c>
      <c r="P21" t="b">
        <v>1</v>
      </c>
      <c r="Q21">
        <v>0</v>
      </c>
      <c r="R21">
        <v>933</v>
      </c>
      <c r="U21" t="s">
        <v>718</v>
      </c>
      <c r="V21" t="s">
        <v>1016</v>
      </c>
      <c r="W21">
        <v>0</v>
      </c>
      <c r="X21">
        <v>43.1</v>
      </c>
      <c r="Y21" t="s">
        <v>1312</v>
      </c>
      <c r="Z21">
        <v>6.117108852669451</v>
      </c>
      <c r="AA21">
        <v>4677</v>
      </c>
      <c r="AB21">
        <v>219570</v>
      </c>
      <c r="AC21" t="s">
        <v>1604</v>
      </c>
      <c r="AD21">
        <v>61.17</v>
      </c>
      <c r="AE21" t="s">
        <v>1902</v>
      </c>
      <c r="AF21" t="s">
        <v>2200</v>
      </c>
      <c r="AG21">
        <v>6426</v>
      </c>
      <c r="AH21">
        <v>1061</v>
      </c>
      <c r="AJ21">
        <v>4.16</v>
      </c>
    </row>
    <row r="22" spans="1:36">
      <c r="A22" s="1" t="s">
        <v>67</v>
      </c>
      <c r="B22" t="s">
        <v>365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13300</v>
      </c>
      <c r="G22">
        <v>0</v>
      </c>
      <c r="H22">
        <v>6.62</v>
      </c>
      <c r="I22">
        <v>25096</v>
      </c>
      <c r="J22">
        <v>22178</v>
      </c>
      <c r="K22">
        <v>21343</v>
      </c>
      <c r="L22">
        <v>-88.69</v>
      </c>
      <c r="M22">
        <v>-66.75</v>
      </c>
      <c r="N22">
        <v>-60.47</v>
      </c>
      <c r="O22">
        <v>9.949999999999999</v>
      </c>
      <c r="P22" t="b">
        <v>1</v>
      </c>
      <c r="Q22">
        <v>0</v>
      </c>
      <c r="R22">
        <v>1857</v>
      </c>
      <c r="U22" t="s">
        <v>663</v>
      </c>
      <c r="V22" t="s">
        <v>961</v>
      </c>
      <c r="W22">
        <v>0</v>
      </c>
      <c r="X22">
        <v>5.4</v>
      </c>
      <c r="Y22" t="s">
        <v>1259</v>
      </c>
      <c r="Z22">
        <v>-8.63822140513677</v>
      </c>
      <c r="AA22">
        <v>537</v>
      </c>
      <c r="AB22">
        <v>9007</v>
      </c>
      <c r="AC22" t="s">
        <v>1549</v>
      </c>
      <c r="AD22">
        <v>71.06999999999999</v>
      </c>
      <c r="AE22" t="s">
        <v>1847</v>
      </c>
      <c r="AF22" t="s">
        <v>2145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46</v>
      </c>
      <c r="B23" t="s">
        <v>344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9840</v>
      </c>
      <c r="G23">
        <v>-0.26</v>
      </c>
      <c r="H23">
        <v>6.65</v>
      </c>
      <c r="I23">
        <v>14088</v>
      </c>
      <c r="J23">
        <v>10986</v>
      </c>
      <c r="K23">
        <v>10098</v>
      </c>
      <c r="L23">
        <v>-43.17</v>
      </c>
      <c r="M23">
        <v>-11.65</v>
      </c>
      <c r="N23">
        <v>-2.62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642</v>
      </c>
      <c r="V23" t="s">
        <v>940</v>
      </c>
      <c r="W23">
        <v>-25.96306859280337</v>
      </c>
      <c r="X23">
        <v>-77.2</v>
      </c>
      <c r="Y23" t="s">
        <v>1238</v>
      </c>
      <c r="Z23">
        <v>-14.70006033450598</v>
      </c>
      <c r="AA23">
        <v>1132</v>
      </c>
      <c r="AB23">
        <v>633534</v>
      </c>
      <c r="AC23" t="s">
        <v>1528</v>
      </c>
      <c r="AD23">
        <v>72.06999999999999</v>
      </c>
      <c r="AE23" t="s">
        <v>1826</v>
      </c>
      <c r="AF23" t="s">
        <v>2124</v>
      </c>
      <c r="AG23">
        <v>1478</v>
      </c>
      <c r="AH23">
        <v>127</v>
      </c>
      <c r="AJ23">
        <v>3.72</v>
      </c>
    </row>
    <row r="24" spans="1:36">
      <c r="A24" s="1" t="s">
        <v>164</v>
      </c>
      <c r="B24" t="s">
        <v>462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39000</v>
      </c>
      <c r="G24">
        <v>0</v>
      </c>
      <c r="H24">
        <v>8.98</v>
      </c>
      <c r="I24">
        <v>108199</v>
      </c>
      <c r="J24">
        <v>100627</v>
      </c>
      <c r="K24">
        <v>98460</v>
      </c>
      <c r="L24">
        <v>-177.43</v>
      </c>
      <c r="M24">
        <v>-158.02</v>
      </c>
      <c r="N24">
        <v>-152.46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760</v>
      </c>
      <c r="V24" t="s">
        <v>1058</v>
      </c>
      <c r="W24">
        <v>0</v>
      </c>
      <c r="X24">
        <v>0</v>
      </c>
      <c r="Y24" t="s">
        <v>1353</v>
      </c>
      <c r="Z24">
        <v>2.525174121884355</v>
      </c>
      <c r="AA24">
        <v>36237</v>
      </c>
      <c r="AB24">
        <v>607906</v>
      </c>
      <c r="AC24" t="s">
        <v>1646</v>
      </c>
      <c r="AD24">
        <v>52.14</v>
      </c>
      <c r="AE24" t="s">
        <v>1944</v>
      </c>
      <c r="AF24" t="s">
        <v>2242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197</v>
      </c>
      <c r="B25" t="s">
        <v>495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13750</v>
      </c>
      <c r="G25">
        <v>-0.43</v>
      </c>
      <c r="H25">
        <v>23.05</v>
      </c>
      <c r="I25">
        <v>66245</v>
      </c>
      <c r="J25">
        <v>45728</v>
      </c>
      <c r="K25">
        <v>39855</v>
      </c>
      <c r="L25">
        <v>-381.78</v>
      </c>
      <c r="M25">
        <v>-232.57</v>
      </c>
      <c r="N25">
        <v>-189.86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793</v>
      </c>
      <c r="V25" t="s">
        <v>1091</v>
      </c>
      <c r="W25">
        <v>-53.31435008140635</v>
      </c>
      <c r="X25">
        <v>50.8</v>
      </c>
      <c r="Y25" t="s">
        <v>1386</v>
      </c>
      <c r="Z25">
        <v>-15.34160040286397</v>
      </c>
      <c r="AA25">
        <v>8614</v>
      </c>
      <c r="AB25">
        <v>275198</v>
      </c>
      <c r="AC25" t="s">
        <v>1679</v>
      </c>
      <c r="AD25">
        <v>63.85</v>
      </c>
      <c r="AE25" t="s">
        <v>1977</v>
      </c>
      <c r="AF25" t="s">
        <v>2275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70</v>
      </c>
      <c r="B26" t="s">
        <v>368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29800</v>
      </c>
      <c r="G26">
        <v>0</v>
      </c>
      <c r="H26">
        <v>9.99</v>
      </c>
      <c r="I26">
        <v>52334</v>
      </c>
      <c r="J26">
        <v>49971</v>
      </c>
      <c r="K26">
        <v>49295</v>
      </c>
      <c r="L26">
        <v>-75.62</v>
      </c>
      <c r="M26">
        <v>-67.69</v>
      </c>
      <c r="N26">
        <v>-65.42</v>
      </c>
      <c r="O26">
        <v>8.67</v>
      </c>
      <c r="P26" t="b">
        <v>1</v>
      </c>
      <c r="Q26">
        <v>0</v>
      </c>
      <c r="R26">
        <v>2953</v>
      </c>
      <c r="U26" t="s">
        <v>666</v>
      </c>
      <c r="V26" t="s">
        <v>964</v>
      </c>
      <c r="W26">
        <v>0</v>
      </c>
      <c r="X26">
        <v>11.3</v>
      </c>
      <c r="Y26" t="s">
        <v>1262</v>
      </c>
      <c r="Z26">
        <v>4.707196756523069</v>
      </c>
      <c r="AA26">
        <v>3427</v>
      </c>
      <c r="AB26">
        <v>494</v>
      </c>
      <c r="AC26" t="s">
        <v>1552</v>
      </c>
      <c r="AD26">
        <v>54.71</v>
      </c>
      <c r="AE26" t="s">
        <v>1850</v>
      </c>
      <c r="AF26" t="s">
        <v>2148</v>
      </c>
      <c r="AG26">
        <v>3047</v>
      </c>
      <c r="AH26">
        <v>251</v>
      </c>
      <c r="AI26">
        <v>2327051</v>
      </c>
      <c r="AJ26">
        <v>3.39</v>
      </c>
    </row>
    <row r="27" spans="1:36">
      <c r="A27" s="1" t="s">
        <v>333</v>
      </c>
      <c r="B27" t="s">
        <v>631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7160</v>
      </c>
      <c r="G27">
        <v>0</v>
      </c>
      <c r="H27">
        <v>7.79</v>
      </c>
      <c r="I27">
        <v>9015</v>
      </c>
      <c r="J27">
        <v>7114</v>
      </c>
      <c r="K27">
        <v>6570</v>
      </c>
      <c r="L27">
        <v>-25.91</v>
      </c>
      <c r="M27">
        <v>0.64</v>
      </c>
      <c r="N27">
        <v>8.24</v>
      </c>
      <c r="O27">
        <v>12.37</v>
      </c>
      <c r="P27" t="b">
        <v>1</v>
      </c>
      <c r="Q27">
        <v>0</v>
      </c>
      <c r="R27">
        <v>568</v>
      </c>
      <c r="U27" t="s">
        <v>929</v>
      </c>
      <c r="V27" t="s">
        <v>1227</v>
      </c>
      <c r="W27">
        <v>0</v>
      </c>
      <c r="X27">
        <v>60.8</v>
      </c>
      <c r="Y27" t="s">
        <v>1517</v>
      </c>
      <c r="Z27">
        <v>51.50350019700674</v>
      </c>
      <c r="AA27">
        <v>882</v>
      </c>
      <c r="AB27">
        <v>157813</v>
      </c>
      <c r="AC27" t="s">
        <v>1815</v>
      </c>
      <c r="AD27">
        <v>51.18</v>
      </c>
      <c r="AE27" t="s">
        <v>2113</v>
      </c>
      <c r="AF27" t="s">
        <v>2406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271</v>
      </c>
      <c r="B28" t="s">
        <v>569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15950</v>
      </c>
      <c r="G28">
        <v>0</v>
      </c>
      <c r="H28">
        <v>16.62</v>
      </c>
      <c r="I28">
        <v>16045</v>
      </c>
      <c r="J28">
        <v>12098</v>
      </c>
      <c r="K28">
        <v>10968</v>
      </c>
      <c r="L28">
        <v>-0.6</v>
      </c>
      <c r="M28">
        <v>24.15</v>
      </c>
      <c r="N28">
        <v>31.23</v>
      </c>
      <c r="O28">
        <v>13.6</v>
      </c>
      <c r="P28" t="b">
        <v>1</v>
      </c>
      <c r="Q28">
        <v>0</v>
      </c>
      <c r="R28">
        <v>1170</v>
      </c>
      <c r="S28">
        <v>-1040</v>
      </c>
      <c r="T28">
        <v>-188.9</v>
      </c>
      <c r="U28" t="s">
        <v>867</v>
      </c>
      <c r="V28" t="s">
        <v>1165</v>
      </c>
      <c r="W28">
        <v>0</v>
      </c>
      <c r="X28">
        <v>0</v>
      </c>
      <c r="Y28" t="s">
        <v>1457</v>
      </c>
      <c r="Z28">
        <v>-5.761356366183334</v>
      </c>
      <c r="AA28">
        <v>9866</v>
      </c>
      <c r="AB28">
        <v>593333</v>
      </c>
      <c r="AC28" t="s">
        <v>1753</v>
      </c>
      <c r="AD28">
        <v>51</v>
      </c>
      <c r="AE28" t="s">
        <v>2051</v>
      </c>
      <c r="AF28" t="s">
        <v>2348</v>
      </c>
      <c r="AG28">
        <v>4908</v>
      </c>
      <c r="AH28">
        <v>968</v>
      </c>
      <c r="AJ28">
        <v>3.39</v>
      </c>
    </row>
    <row r="29" spans="1:36">
      <c r="A29" s="1" t="s">
        <v>150</v>
      </c>
      <c r="B29" t="s">
        <v>448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16100</v>
      </c>
      <c r="G29">
        <v>0</v>
      </c>
      <c r="H29">
        <v>7.3</v>
      </c>
      <c r="I29">
        <v>24661</v>
      </c>
      <c r="J29">
        <v>23522</v>
      </c>
      <c r="K29">
        <v>23195</v>
      </c>
      <c r="L29">
        <v>-53.18</v>
      </c>
      <c r="M29">
        <v>-46.1</v>
      </c>
      <c r="N29">
        <v>-44.07</v>
      </c>
      <c r="O29">
        <v>8.69</v>
      </c>
      <c r="P29" t="b">
        <v>1</v>
      </c>
      <c r="Q29">
        <v>0</v>
      </c>
      <c r="R29">
        <v>2492</v>
      </c>
      <c r="U29" t="s">
        <v>746</v>
      </c>
      <c r="V29" t="s">
        <v>1044</v>
      </c>
      <c r="W29">
        <v>0</v>
      </c>
      <c r="X29">
        <v>13.6</v>
      </c>
      <c r="Y29" t="s">
        <v>1340</v>
      </c>
      <c r="Z29">
        <v>7.718437755339846</v>
      </c>
      <c r="AA29">
        <v>859</v>
      </c>
      <c r="AB29">
        <v>22004</v>
      </c>
      <c r="AC29" t="s">
        <v>1632</v>
      </c>
      <c r="AD29">
        <v>51.23</v>
      </c>
      <c r="AE29" t="s">
        <v>1930</v>
      </c>
      <c r="AF29" t="s">
        <v>2228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120</v>
      </c>
      <c r="B30" t="s">
        <v>418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41000</v>
      </c>
      <c r="G30">
        <v>0.48</v>
      </c>
      <c r="H30">
        <v>8.77</v>
      </c>
      <c r="I30">
        <v>48548</v>
      </c>
      <c r="J30">
        <v>46840</v>
      </c>
      <c r="K30">
        <v>46351</v>
      </c>
      <c r="L30">
        <v>-18.41</v>
      </c>
      <c r="M30">
        <v>-14.24</v>
      </c>
      <c r="N30">
        <v>-13.05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716</v>
      </c>
      <c r="V30" t="s">
        <v>1014</v>
      </c>
      <c r="W30">
        <v>18.45715186654524</v>
      </c>
      <c r="X30">
        <v>-7.7</v>
      </c>
      <c r="Y30" t="s">
        <v>1310</v>
      </c>
      <c r="Z30">
        <v>6.02103981867359</v>
      </c>
      <c r="AA30">
        <v>4547</v>
      </c>
      <c r="AB30">
        <v>2267</v>
      </c>
      <c r="AC30" t="s">
        <v>1602</v>
      </c>
      <c r="AD30">
        <v>79.56</v>
      </c>
      <c r="AE30" t="s">
        <v>1900</v>
      </c>
      <c r="AF30" t="s">
        <v>2198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207</v>
      </c>
      <c r="B31" t="s">
        <v>505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318000</v>
      </c>
      <c r="G31">
        <v>-0.21</v>
      </c>
      <c r="H31">
        <v>10.74</v>
      </c>
      <c r="I31">
        <v>513419</v>
      </c>
      <c r="J31">
        <v>436585</v>
      </c>
      <c r="K31">
        <v>414593</v>
      </c>
      <c r="L31">
        <v>-61.45</v>
      </c>
      <c r="M31">
        <v>-37.29</v>
      </c>
      <c r="N31">
        <v>-30.38</v>
      </c>
      <c r="O31">
        <v>10.69</v>
      </c>
      <c r="P31" t="b">
        <v>1</v>
      </c>
      <c r="Q31">
        <v>0</v>
      </c>
      <c r="R31">
        <v>20860</v>
      </c>
      <c r="S31">
        <v>8175</v>
      </c>
      <c r="T31">
        <v>-60.8</v>
      </c>
      <c r="U31" t="s">
        <v>803</v>
      </c>
      <c r="V31" t="s">
        <v>1101</v>
      </c>
      <c r="W31">
        <v>-49.99819953150117</v>
      </c>
      <c r="X31">
        <v>-87.8</v>
      </c>
      <c r="Y31" t="s">
        <v>1395</v>
      </c>
      <c r="Z31">
        <v>-38.5028874169244</v>
      </c>
      <c r="AA31">
        <v>108996</v>
      </c>
      <c r="AB31">
        <v>602223</v>
      </c>
      <c r="AC31" t="s">
        <v>1689</v>
      </c>
      <c r="AD31">
        <v>54.92</v>
      </c>
      <c r="AE31" t="s">
        <v>1987</v>
      </c>
      <c r="AF31" t="s">
        <v>2285</v>
      </c>
      <c r="AG31">
        <v>151235</v>
      </c>
      <c r="AH31">
        <v>11073</v>
      </c>
      <c r="AJ31">
        <v>2.99</v>
      </c>
    </row>
    <row r="32" spans="1:36">
      <c r="A32" s="1" t="s">
        <v>327</v>
      </c>
      <c r="B32" t="s">
        <v>625</v>
      </c>
      <c r="C32">
        <f>HYPERLINK("https://finance.naver.com/item/coinfo.nhn?code=215000", "A215000")</f>
        <v>0</v>
      </c>
      <c r="D32">
        <f>HYPERLINK("http://comp.fnguide.com/SVO2/ASP/SVD_Consensus.asp?pGB=1&amp;gicode=A215000&amp;cID=&amp;MenuYn=Y&amp;ReportGB=&amp;NewMenuID=108&amp;stkGb=701", "골프존")</f>
        <v>0</v>
      </c>
      <c r="E32">
        <v>1</v>
      </c>
      <c r="F32">
        <v>62800</v>
      </c>
      <c r="G32">
        <v>-1.2</v>
      </c>
      <c r="H32">
        <v>26.67</v>
      </c>
      <c r="I32">
        <v>64327</v>
      </c>
      <c r="J32">
        <v>44880</v>
      </c>
      <c r="K32">
        <v>39314</v>
      </c>
      <c r="L32">
        <v>-2.43</v>
      </c>
      <c r="M32">
        <v>28.53</v>
      </c>
      <c r="N32">
        <v>37.4</v>
      </c>
      <c r="O32">
        <v>16.18</v>
      </c>
      <c r="P32" t="b">
        <v>1</v>
      </c>
      <c r="Q32">
        <v>1</v>
      </c>
      <c r="R32">
        <v>2584</v>
      </c>
      <c r="S32">
        <v>5975</v>
      </c>
      <c r="T32">
        <v>131.2</v>
      </c>
      <c r="U32" t="s">
        <v>923</v>
      </c>
      <c r="V32" t="s">
        <v>1221</v>
      </c>
      <c r="W32">
        <v>-22.15205515805406</v>
      </c>
      <c r="X32">
        <v>49.9</v>
      </c>
      <c r="Y32" t="s">
        <v>1511</v>
      </c>
      <c r="Z32">
        <v>-9.72785324313945</v>
      </c>
      <c r="AA32">
        <v>3941</v>
      </c>
      <c r="AB32">
        <v>34261</v>
      </c>
      <c r="AC32" t="s">
        <v>1809</v>
      </c>
      <c r="AD32">
        <v>53.51</v>
      </c>
      <c r="AE32" t="s">
        <v>2107</v>
      </c>
      <c r="AF32" t="s">
        <v>2401</v>
      </c>
      <c r="AG32">
        <v>2470</v>
      </c>
      <c r="AH32">
        <v>323</v>
      </c>
      <c r="AI32">
        <v>2945</v>
      </c>
      <c r="AJ32">
        <v>2.98</v>
      </c>
    </row>
    <row r="33" spans="1:36">
      <c r="A33" s="1" t="s">
        <v>143</v>
      </c>
      <c r="B33" t="s">
        <v>441</v>
      </c>
      <c r="C33">
        <f>HYPERLINK("https://finance.naver.com/item/coinfo.nhn?code=084690", "A084690")</f>
        <v>0</v>
      </c>
      <c r="D33">
        <f>HYPERLINK("http://comp.fnguide.com/SVO2/ASP/SVD_Consensus.asp?pGB=1&amp;gicode=A084690&amp;cID=&amp;MenuYn=Y&amp;ReportGB=&amp;NewMenuID=108&amp;stkGb=701", "대상홀딩스")</f>
        <v>0</v>
      </c>
      <c r="E33">
        <v>3</v>
      </c>
      <c r="F33">
        <v>9700</v>
      </c>
      <c r="G33">
        <v>0</v>
      </c>
      <c r="H33">
        <v>3.46</v>
      </c>
      <c r="I33">
        <v>17889</v>
      </c>
      <c r="J33">
        <v>16816</v>
      </c>
      <c r="K33">
        <v>16509</v>
      </c>
      <c r="L33">
        <v>-84.43000000000001</v>
      </c>
      <c r="M33">
        <v>-73.36</v>
      </c>
      <c r="N33">
        <v>-70.2</v>
      </c>
      <c r="O33">
        <v>8.91</v>
      </c>
      <c r="P33" t="b">
        <v>1</v>
      </c>
      <c r="Q33">
        <v>0</v>
      </c>
      <c r="R33">
        <v>1946</v>
      </c>
      <c r="U33" t="s">
        <v>739</v>
      </c>
      <c r="V33" t="s">
        <v>1037</v>
      </c>
      <c r="W33">
        <v>0</v>
      </c>
      <c r="X33">
        <v>125.2</v>
      </c>
      <c r="Y33" t="s">
        <v>1333</v>
      </c>
      <c r="Z33">
        <v>46.14119594697726</v>
      </c>
      <c r="AA33">
        <v>3513</v>
      </c>
      <c r="AB33">
        <v>167433</v>
      </c>
      <c r="AC33" t="s">
        <v>1625</v>
      </c>
      <c r="AD33">
        <v>67.3</v>
      </c>
      <c r="AE33" t="s">
        <v>1923</v>
      </c>
      <c r="AF33" t="s">
        <v>2221</v>
      </c>
      <c r="AG33">
        <v>35525</v>
      </c>
      <c r="AH33">
        <v>1555</v>
      </c>
      <c r="AJ33">
        <v>2.97</v>
      </c>
    </row>
    <row r="34" spans="1:36">
      <c r="A34" s="1" t="s">
        <v>66</v>
      </c>
      <c r="B34" t="s">
        <v>364</v>
      </c>
      <c r="C34">
        <f>HYPERLINK("https://finance.naver.com/item/coinfo.nhn?code=264900", "A264900")</f>
        <v>0</v>
      </c>
      <c r="D34">
        <f>HYPERLINK("http://comp.fnguide.com/SVO2/ASP/SVD_Consensus.asp?pGB=1&amp;gicode=A264900&amp;cID=&amp;MenuYn=Y&amp;ReportGB=&amp;NewMenuID=108&amp;stkGb=701", "크라운제과")</f>
        <v>0</v>
      </c>
      <c r="E34">
        <v>3</v>
      </c>
      <c r="F34">
        <v>9810</v>
      </c>
      <c r="G34">
        <v>0</v>
      </c>
      <c r="H34">
        <v>6.1</v>
      </c>
      <c r="I34">
        <v>15727</v>
      </c>
      <c r="J34">
        <v>13383</v>
      </c>
      <c r="K34">
        <v>12713</v>
      </c>
      <c r="L34">
        <v>-60.32</v>
      </c>
      <c r="M34">
        <v>-36.43</v>
      </c>
      <c r="N34">
        <v>-29.59</v>
      </c>
      <c r="O34">
        <v>10.67</v>
      </c>
      <c r="P34" t="b">
        <v>1</v>
      </c>
      <c r="Q34">
        <v>0</v>
      </c>
      <c r="R34">
        <v>1424</v>
      </c>
      <c r="U34" t="s">
        <v>662</v>
      </c>
      <c r="V34" t="s">
        <v>960</v>
      </c>
      <c r="W34">
        <v>0</v>
      </c>
      <c r="X34">
        <v>12.5</v>
      </c>
      <c r="Y34" t="s">
        <v>1258</v>
      </c>
      <c r="Z34">
        <v>0</v>
      </c>
      <c r="AA34">
        <v>1229</v>
      </c>
      <c r="AB34">
        <v>53488</v>
      </c>
      <c r="AC34" t="s">
        <v>1548</v>
      </c>
      <c r="AD34">
        <v>61.68</v>
      </c>
      <c r="AE34" t="s">
        <v>1846</v>
      </c>
      <c r="AF34" t="s">
        <v>2144</v>
      </c>
      <c r="AG34">
        <v>3866</v>
      </c>
      <c r="AH34">
        <v>265</v>
      </c>
      <c r="AI34">
        <v>507681</v>
      </c>
      <c r="AJ34">
        <v>2.88</v>
      </c>
    </row>
    <row r="35" spans="1:36">
      <c r="A35" s="1" t="s">
        <v>65</v>
      </c>
      <c r="B35" t="s">
        <v>363</v>
      </c>
      <c r="C35">
        <f>HYPERLINK("https://finance.naver.com/item/coinfo.nhn?code=192400", "A192400")</f>
        <v>0</v>
      </c>
      <c r="D35">
        <f>HYPERLINK("http://comp.fnguide.com/SVO2/ASP/SVD_Consensus.asp?pGB=1&amp;gicode=A192400&amp;cID=&amp;MenuYn=Y&amp;ReportGB=&amp;NewMenuID=108&amp;stkGb=701", "쿠쿠홀딩스")</f>
        <v>0</v>
      </c>
      <c r="E35">
        <v>3</v>
      </c>
      <c r="F35">
        <v>127000</v>
      </c>
      <c r="G35">
        <v>0</v>
      </c>
      <c r="H35">
        <v>9.4</v>
      </c>
      <c r="I35">
        <v>380842</v>
      </c>
      <c r="J35">
        <v>217520</v>
      </c>
      <c r="K35">
        <v>170774</v>
      </c>
      <c r="L35">
        <v>-199.88</v>
      </c>
      <c r="M35">
        <v>-71.28</v>
      </c>
      <c r="N35">
        <v>-34.47</v>
      </c>
      <c r="O35">
        <v>28.18</v>
      </c>
      <c r="P35" t="b">
        <v>0</v>
      </c>
      <c r="Q35">
        <v>0</v>
      </c>
      <c r="R35">
        <v>11168</v>
      </c>
      <c r="U35" t="s">
        <v>661</v>
      </c>
      <c r="V35" t="s">
        <v>959</v>
      </c>
      <c r="W35">
        <v>0</v>
      </c>
      <c r="X35">
        <v>38</v>
      </c>
      <c r="Y35" t="s">
        <v>1257</v>
      </c>
      <c r="Z35">
        <v>15.13255589098257</v>
      </c>
      <c r="AA35">
        <v>9033</v>
      </c>
      <c r="AB35">
        <v>14544</v>
      </c>
      <c r="AC35" t="s">
        <v>1547</v>
      </c>
      <c r="AD35">
        <v>69.06999999999999</v>
      </c>
      <c r="AE35" t="s">
        <v>1845</v>
      </c>
      <c r="AF35" t="s">
        <v>2143</v>
      </c>
      <c r="AG35">
        <v>5283</v>
      </c>
      <c r="AH35">
        <v>745</v>
      </c>
      <c r="AI35">
        <v>896760</v>
      </c>
      <c r="AJ35">
        <v>2.86</v>
      </c>
    </row>
    <row r="36" spans="1:36">
      <c r="A36" s="1" t="s">
        <v>241</v>
      </c>
      <c r="B36" t="s">
        <v>539</v>
      </c>
      <c r="C36">
        <f>HYPERLINK("https://finance.naver.com/item/coinfo.nhn?code=290120", "A290120")</f>
        <v>0</v>
      </c>
      <c r="D36">
        <f>HYPERLINK("http://comp.fnguide.com/SVO2/ASP/SVD_Consensus.asp?pGB=1&amp;gicode=A290120&amp;cID=&amp;MenuYn=Y&amp;ReportGB=&amp;NewMenuID=108&amp;stkGb=701", "대유에이피")</f>
        <v>0</v>
      </c>
      <c r="E36">
        <v>2</v>
      </c>
      <c r="F36">
        <v>6900</v>
      </c>
      <c r="G36">
        <v>-1.22</v>
      </c>
      <c r="H36">
        <v>9.73</v>
      </c>
      <c r="I36">
        <v>11968</v>
      </c>
      <c r="J36">
        <v>7366</v>
      </c>
      <c r="K36">
        <v>6048</v>
      </c>
      <c r="L36">
        <v>-73.45</v>
      </c>
      <c r="M36">
        <v>-6.75</v>
      </c>
      <c r="N36">
        <v>12.34</v>
      </c>
      <c r="O36">
        <v>22.37</v>
      </c>
      <c r="P36" t="b">
        <v>1</v>
      </c>
      <c r="Q36">
        <v>0</v>
      </c>
      <c r="R36">
        <v>733</v>
      </c>
      <c r="S36">
        <v>633</v>
      </c>
      <c r="T36">
        <v>-13.6</v>
      </c>
      <c r="U36" t="s">
        <v>837</v>
      </c>
      <c r="V36" t="s">
        <v>1135</v>
      </c>
      <c r="W36">
        <v>-8.00201642730789</v>
      </c>
      <c r="X36">
        <v>196.1</v>
      </c>
      <c r="Y36" t="s">
        <v>1429</v>
      </c>
      <c r="Z36">
        <v>0</v>
      </c>
      <c r="AA36">
        <v>751</v>
      </c>
      <c r="AB36">
        <v>48204</v>
      </c>
      <c r="AC36" t="s">
        <v>1723</v>
      </c>
      <c r="AD36">
        <v>73.5</v>
      </c>
      <c r="AE36" t="s">
        <v>2021</v>
      </c>
      <c r="AF36" t="s">
        <v>2318</v>
      </c>
      <c r="AG36">
        <v>1575</v>
      </c>
      <c r="AH36">
        <v>101</v>
      </c>
      <c r="AJ36">
        <v>2.81</v>
      </c>
    </row>
    <row r="37" spans="1:36">
      <c r="A37" s="1" t="s">
        <v>104</v>
      </c>
      <c r="B37" t="s">
        <v>402</v>
      </c>
      <c r="C37">
        <f>HYPERLINK("https://finance.naver.com/item/coinfo.nhn?code=035890", "A035890")</f>
        <v>0</v>
      </c>
      <c r="D37">
        <f>HYPERLINK("http://comp.fnguide.com/SVO2/ASP/SVD_Consensus.asp?pGB=1&amp;gicode=A035890&amp;cID=&amp;MenuYn=Y&amp;ReportGB=&amp;NewMenuID=108&amp;stkGb=701", "서희건설")</f>
        <v>0</v>
      </c>
      <c r="E37">
        <v>3</v>
      </c>
      <c r="F37">
        <v>1535</v>
      </c>
      <c r="G37">
        <v>0</v>
      </c>
      <c r="H37">
        <v>3.81</v>
      </c>
      <c r="I37">
        <v>3414</v>
      </c>
      <c r="J37">
        <v>2397</v>
      </c>
      <c r="K37">
        <v>2106</v>
      </c>
      <c r="L37">
        <v>-122.4</v>
      </c>
      <c r="M37">
        <v>-56.15</v>
      </c>
      <c r="N37">
        <v>-37.18</v>
      </c>
      <c r="O37">
        <v>15.94</v>
      </c>
      <c r="P37" t="b">
        <v>1</v>
      </c>
      <c r="Q37">
        <v>0</v>
      </c>
      <c r="R37">
        <v>294</v>
      </c>
      <c r="U37" t="s">
        <v>700</v>
      </c>
      <c r="V37" t="s">
        <v>998</v>
      </c>
      <c r="W37">
        <v>0</v>
      </c>
      <c r="X37">
        <v>188</v>
      </c>
      <c r="Y37" t="s">
        <v>1294</v>
      </c>
      <c r="Z37">
        <v>62.87711233297934</v>
      </c>
      <c r="AA37">
        <v>3528</v>
      </c>
      <c r="AB37">
        <v>861296</v>
      </c>
      <c r="AC37" t="s">
        <v>1586</v>
      </c>
      <c r="AD37">
        <v>50.37</v>
      </c>
      <c r="AE37" t="s">
        <v>1884</v>
      </c>
      <c r="AF37" t="s">
        <v>2182</v>
      </c>
      <c r="AG37">
        <v>12430</v>
      </c>
      <c r="AH37">
        <v>1182</v>
      </c>
      <c r="AI37">
        <v>9575559</v>
      </c>
      <c r="AJ37">
        <v>2.68</v>
      </c>
    </row>
    <row r="38" spans="1:36">
      <c r="A38" s="1" t="s">
        <v>131</v>
      </c>
      <c r="B38" t="s">
        <v>429</v>
      </c>
      <c r="C38">
        <f>HYPERLINK("https://finance.naver.com/item/coinfo.nhn?code=010640", "A010640")</f>
        <v>0</v>
      </c>
      <c r="D38">
        <f>HYPERLINK("http://comp.fnguide.com/SVO2/ASP/SVD_Consensus.asp?pGB=1&amp;gicode=A010640&amp;cID=&amp;MenuYn=Y&amp;ReportGB=&amp;NewMenuID=108&amp;stkGb=701", "진양폴리")</f>
        <v>0</v>
      </c>
      <c r="E38">
        <v>3</v>
      </c>
      <c r="F38">
        <v>3060</v>
      </c>
      <c r="G38">
        <v>0.11</v>
      </c>
      <c r="H38">
        <v>5.16</v>
      </c>
      <c r="I38">
        <v>6227</v>
      </c>
      <c r="J38">
        <v>4089</v>
      </c>
      <c r="K38">
        <v>3477</v>
      </c>
      <c r="L38">
        <v>-103.5</v>
      </c>
      <c r="M38">
        <v>-33.62</v>
      </c>
      <c r="N38">
        <v>-13.62</v>
      </c>
      <c r="O38">
        <v>18.77</v>
      </c>
      <c r="P38" t="b">
        <v>1</v>
      </c>
      <c r="Q38">
        <v>0</v>
      </c>
      <c r="R38">
        <v>755</v>
      </c>
      <c r="S38">
        <v>171</v>
      </c>
      <c r="T38">
        <v>-77.40000000000001</v>
      </c>
      <c r="U38" t="s">
        <v>727</v>
      </c>
      <c r="V38" t="s">
        <v>1025</v>
      </c>
      <c r="W38">
        <v>46.75051733045707</v>
      </c>
      <c r="X38">
        <v>-78.2</v>
      </c>
      <c r="Y38" t="s">
        <v>1321</v>
      </c>
      <c r="Z38">
        <v>-30.48750885169499</v>
      </c>
      <c r="AA38">
        <v>306</v>
      </c>
      <c r="AB38">
        <v>58204</v>
      </c>
      <c r="AC38" t="s">
        <v>1613</v>
      </c>
      <c r="AD38">
        <v>50.5</v>
      </c>
      <c r="AE38" t="s">
        <v>1911</v>
      </c>
      <c r="AF38" t="s">
        <v>2209</v>
      </c>
      <c r="AG38">
        <v>351</v>
      </c>
      <c r="AH38">
        <v>31</v>
      </c>
      <c r="AJ38">
        <v>2.56</v>
      </c>
    </row>
    <row r="39" spans="1:36">
      <c r="A39" s="1" t="s">
        <v>132</v>
      </c>
      <c r="B39" t="s">
        <v>430</v>
      </c>
      <c r="C39">
        <f>HYPERLINK("https://finance.naver.com/item/coinfo.nhn?code=092780", "A092780")</f>
        <v>0</v>
      </c>
      <c r="D39">
        <f>HYPERLINK("http://comp.fnguide.com/SVO2/ASP/SVD_Consensus.asp?pGB=1&amp;gicode=A092780&amp;cID=&amp;MenuYn=Y&amp;ReportGB=&amp;NewMenuID=108&amp;stkGb=701", "동양피스톤")</f>
        <v>0</v>
      </c>
      <c r="E39">
        <v>3</v>
      </c>
      <c r="F39">
        <v>5760</v>
      </c>
      <c r="G39">
        <v>0</v>
      </c>
      <c r="H39">
        <v>6.53</v>
      </c>
      <c r="I39">
        <v>11904</v>
      </c>
      <c r="J39">
        <v>9848</v>
      </c>
      <c r="K39">
        <v>9259</v>
      </c>
      <c r="L39">
        <v>-106.66</v>
      </c>
      <c r="M39">
        <v>-70.95999999999999</v>
      </c>
      <c r="N39">
        <v>-60.75</v>
      </c>
      <c r="O39">
        <v>11.27</v>
      </c>
      <c r="P39" t="b">
        <v>1</v>
      </c>
      <c r="Q39">
        <v>0</v>
      </c>
      <c r="R39">
        <v>738</v>
      </c>
      <c r="S39">
        <v>-520</v>
      </c>
      <c r="T39">
        <v>-170.5</v>
      </c>
      <c r="U39" t="s">
        <v>728</v>
      </c>
      <c r="V39" t="s">
        <v>1026</v>
      </c>
      <c r="W39">
        <v>0</v>
      </c>
      <c r="X39">
        <v>0</v>
      </c>
      <c r="Y39" t="s">
        <v>1322</v>
      </c>
      <c r="Z39">
        <v>2.307316731176723</v>
      </c>
      <c r="AA39">
        <v>759</v>
      </c>
      <c r="AB39">
        <v>98996</v>
      </c>
      <c r="AC39" t="s">
        <v>1614</v>
      </c>
      <c r="AD39">
        <v>55.79</v>
      </c>
      <c r="AE39" t="s">
        <v>1912</v>
      </c>
      <c r="AF39" t="s">
        <v>2210</v>
      </c>
      <c r="AG39">
        <v>3648</v>
      </c>
      <c r="AH39">
        <v>185</v>
      </c>
      <c r="AI39">
        <v>647132</v>
      </c>
      <c r="AJ39">
        <v>2.49</v>
      </c>
    </row>
    <row r="40" spans="1:36">
      <c r="A40" s="1" t="s">
        <v>202</v>
      </c>
      <c r="B40" t="s">
        <v>500</v>
      </c>
      <c r="C40">
        <f>HYPERLINK("https://finance.naver.com/item/coinfo.nhn?code=015710", "A015710")</f>
        <v>0</v>
      </c>
      <c r="D40">
        <f>HYPERLINK("http://comp.fnguide.com/SVO2/ASP/SVD_Consensus.asp?pGB=1&amp;gicode=A015710&amp;cID=&amp;MenuYn=Y&amp;ReportGB=&amp;NewMenuID=108&amp;stkGb=701", "코콤")</f>
        <v>0</v>
      </c>
      <c r="E40">
        <v>3</v>
      </c>
      <c r="F40">
        <v>6740</v>
      </c>
      <c r="G40">
        <v>0</v>
      </c>
      <c r="H40">
        <v>13.97</v>
      </c>
      <c r="I40">
        <v>8568</v>
      </c>
      <c r="J40">
        <v>7690</v>
      </c>
      <c r="K40">
        <v>7439</v>
      </c>
      <c r="L40">
        <v>-27.12</v>
      </c>
      <c r="M40">
        <v>-14.09</v>
      </c>
      <c r="N40">
        <v>-10.36</v>
      </c>
      <c r="O40">
        <v>9.67</v>
      </c>
      <c r="P40" t="b">
        <v>1</v>
      </c>
      <c r="Q40">
        <v>0</v>
      </c>
      <c r="R40">
        <v>469</v>
      </c>
      <c r="U40" t="s">
        <v>798</v>
      </c>
      <c r="V40" t="s">
        <v>1096</v>
      </c>
      <c r="W40">
        <v>0</v>
      </c>
      <c r="X40">
        <v>-22.1</v>
      </c>
      <c r="Y40" t="s">
        <v>1390</v>
      </c>
      <c r="Z40">
        <v>-2.56416534226479</v>
      </c>
      <c r="AA40">
        <v>1182</v>
      </c>
      <c r="AB40">
        <v>104821</v>
      </c>
      <c r="AC40" t="s">
        <v>1684</v>
      </c>
      <c r="AD40">
        <v>59.2</v>
      </c>
      <c r="AE40" t="s">
        <v>1982</v>
      </c>
      <c r="AF40" t="s">
        <v>2280</v>
      </c>
      <c r="AG40">
        <v>1339</v>
      </c>
      <c r="AH40">
        <v>133</v>
      </c>
      <c r="AI40">
        <v>932563</v>
      </c>
      <c r="AJ40">
        <v>2.44</v>
      </c>
    </row>
    <row r="41" spans="1:36">
      <c r="A41" s="1" t="s">
        <v>298</v>
      </c>
      <c r="B41" t="s">
        <v>596</v>
      </c>
      <c r="C41">
        <f>HYPERLINK("https://finance.naver.com/item/coinfo.nhn?code=056190", "A056190")</f>
        <v>0</v>
      </c>
      <c r="D41">
        <f>HYPERLINK("http://comp.fnguide.com/SVO2/ASP/SVD_Consensus.asp?pGB=1&amp;gicode=A056190&amp;cID=&amp;MenuYn=Y&amp;ReportGB=&amp;NewMenuID=108&amp;stkGb=701", "에스에프에이")</f>
        <v>0</v>
      </c>
      <c r="E41">
        <v>1</v>
      </c>
      <c r="F41">
        <v>42450</v>
      </c>
      <c r="G41">
        <v>-0.7</v>
      </c>
      <c r="H41">
        <v>12.58</v>
      </c>
      <c r="I41">
        <v>59491</v>
      </c>
      <c r="J41">
        <v>38446</v>
      </c>
      <c r="K41">
        <v>32423</v>
      </c>
      <c r="L41">
        <v>-40.14</v>
      </c>
      <c r="M41">
        <v>9.43</v>
      </c>
      <c r="N41">
        <v>23.62</v>
      </c>
      <c r="O41">
        <v>19.57</v>
      </c>
      <c r="P41" t="b">
        <v>1</v>
      </c>
      <c r="Q41">
        <v>0</v>
      </c>
      <c r="R41">
        <v>3676</v>
      </c>
      <c r="S41">
        <v>3015</v>
      </c>
      <c r="T41">
        <v>-18</v>
      </c>
      <c r="U41" t="s">
        <v>894</v>
      </c>
      <c r="V41" t="s">
        <v>1192</v>
      </c>
      <c r="W41">
        <v>-18.07844901160376</v>
      </c>
      <c r="X41">
        <v>-9</v>
      </c>
      <c r="Y41" t="s">
        <v>1483</v>
      </c>
      <c r="Z41">
        <v>31.257807057462</v>
      </c>
      <c r="AA41">
        <v>15243</v>
      </c>
      <c r="AB41">
        <v>230429</v>
      </c>
      <c r="AC41" t="s">
        <v>1780</v>
      </c>
      <c r="AD41">
        <v>54.03</v>
      </c>
      <c r="AE41" t="s">
        <v>2078</v>
      </c>
      <c r="AF41" t="s">
        <v>2375</v>
      </c>
      <c r="AG41">
        <v>15777</v>
      </c>
      <c r="AH41">
        <v>2142</v>
      </c>
      <c r="AI41">
        <v>8470</v>
      </c>
      <c r="AJ41">
        <v>2.28</v>
      </c>
    </row>
    <row r="42" spans="1:36">
      <c r="A42" s="1" t="s">
        <v>174</v>
      </c>
      <c r="B42" t="s">
        <v>472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3220</v>
      </c>
      <c r="G42">
        <v>0</v>
      </c>
      <c r="H42">
        <v>9.85</v>
      </c>
      <c r="I42">
        <v>3994</v>
      </c>
      <c r="J42">
        <v>3924</v>
      </c>
      <c r="K42">
        <v>3904</v>
      </c>
      <c r="L42">
        <v>-24.03</v>
      </c>
      <c r="M42">
        <v>-21.87</v>
      </c>
      <c r="N42">
        <v>-21.25</v>
      </c>
      <c r="O42">
        <v>8.26</v>
      </c>
      <c r="P42" t="b">
        <v>1</v>
      </c>
      <c r="Q42">
        <v>0</v>
      </c>
      <c r="R42">
        <v>224</v>
      </c>
      <c r="U42" t="s">
        <v>770</v>
      </c>
      <c r="V42" t="s">
        <v>1068</v>
      </c>
      <c r="W42">
        <v>0</v>
      </c>
      <c r="X42">
        <v>19.2</v>
      </c>
      <c r="Y42" t="s">
        <v>1363</v>
      </c>
      <c r="Z42">
        <v>1.389534495520905</v>
      </c>
      <c r="AA42">
        <v>921</v>
      </c>
      <c r="AB42">
        <v>664394</v>
      </c>
      <c r="AC42" t="s">
        <v>1656</v>
      </c>
      <c r="AD42">
        <v>58.95</v>
      </c>
      <c r="AE42" t="s">
        <v>1954</v>
      </c>
      <c r="AF42" t="s">
        <v>2252</v>
      </c>
      <c r="AG42">
        <v>1482</v>
      </c>
      <c r="AH42">
        <v>121</v>
      </c>
      <c r="AJ42">
        <v>2.26</v>
      </c>
    </row>
    <row r="43" spans="1:36">
      <c r="A43" s="1" t="s">
        <v>127</v>
      </c>
      <c r="B43" t="s">
        <v>425</v>
      </c>
      <c r="C43">
        <f>HYPERLINK("https://finance.naver.com/item/coinfo.nhn?code=228850", "A228850")</f>
        <v>0</v>
      </c>
      <c r="D43">
        <f>HYPERLINK("http://comp.fnguide.com/SVO2/ASP/SVD_Consensus.asp?pGB=1&amp;gicode=A228850&amp;cID=&amp;MenuYn=Y&amp;ReportGB=&amp;NewMenuID=108&amp;stkGb=701", "레이언스")</f>
        <v>0</v>
      </c>
      <c r="E43">
        <v>3</v>
      </c>
      <c r="F43">
        <v>11550</v>
      </c>
      <c r="G43">
        <v>0</v>
      </c>
      <c r="H43">
        <v>14.97</v>
      </c>
      <c r="I43">
        <v>12706</v>
      </c>
      <c r="J43">
        <v>12491</v>
      </c>
      <c r="K43">
        <v>12429</v>
      </c>
      <c r="L43">
        <v>-10.01</v>
      </c>
      <c r="M43">
        <v>-8.15</v>
      </c>
      <c r="N43">
        <v>-7.61</v>
      </c>
      <c r="O43">
        <v>8.25</v>
      </c>
      <c r="P43" t="b">
        <v>1</v>
      </c>
      <c r="Q43">
        <v>0</v>
      </c>
      <c r="R43">
        <v>885</v>
      </c>
      <c r="S43">
        <v>-329</v>
      </c>
      <c r="T43">
        <v>-137.2</v>
      </c>
      <c r="U43" t="s">
        <v>723</v>
      </c>
      <c r="V43" t="s">
        <v>1021</v>
      </c>
      <c r="W43">
        <v>0</v>
      </c>
      <c r="X43">
        <v>-68.40000000000001</v>
      </c>
      <c r="Y43" t="s">
        <v>1317</v>
      </c>
      <c r="Z43">
        <v>-24.62084267691696</v>
      </c>
      <c r="AA43">
        <v>1916</v>
      </c>
      <c r="AB43">
        <v>106652</v>
      </c>
      <c r="AC43" t="s">
        <v>1609</v>
      </c>
      <c r="AD43">
        <v>64.86</v>
      </c>
      <c r="AE43" t="s">
        <v>1907</v>
      </c>
      <c r="AF43" t="s">
        <v>2205</v>
      </c>
      <c r="AG43">
        <v>1262</v>
      </c>
      <c r="AH43">
        <v>228</v>
      </c>
      <c r="AI43">
        <v>854574</v>
      </c>
      <c r="AJ43">
        <v>2.26</v>
      </c>
    </row>
    <row r="44" spans="1:36">
      <c r="A44" s="1" t="s">
        <v>123</v>
      </c>
      <c r="B44" t="s">
        <v>421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12050</v>
      </c>
      <c r="G44">
        <v>0.39</v>
      </c>
      <c r="H44">
        <v>5.62</v>
      </c>
      <c r="I44">
        <v>24656</v>
      </c>
      <c r="J44">
        <v>21442</v>
      </c>
      <c r="K44">
        <v>20522</v>
      </c>
      <c r="L44">
        <v>-104.61</v>
      </c>
      <c r="M44">
        <v>-77.94</v>
      </c>
      <c r="N44">
        <v>-70.31</v>
      </c>
      <c r="O44">
        <v>10.25</v>
      </c>
      <c r="P44" t="b">
        <v>1</v>
      </c>
      <c r="Q44">
        <v>0</v>
      </c>
      <c r="R44">
        <v>2226</v>
      </c>
      <c r="S44">
        <v>799</v>
      </c>
      <c r="T44">
        <v>-64.09999999999999</v>
      </c>
      <c r="U44" t="s">
        <v>719</v>
      </c>
      <c r="V44" t="s">
        <v>1017</v>
      </c>
      <c r="W44">
        <v>14.30906898003581</v>
      </c>
      <c r="X44">
        <v>-57.9</v>
      </c>
      <c r="Y44" t="s">
        <v>1313</v>
      </c>
      <c r="Z44">
        <v>-3.573424730193897</v>
      </c>
      <c r="AA44">
        <v>844</v>
      </c>
      <c r="AB44">
        <v>1168</v>
      </c>
      <c r="AC44" t="s">
        <v>1605</v>
      </c>
      <c r="AD44">
        <v>57.72</v>
      </c>
      <c r="AE44" t="s">
        <v>1903</v>
      </c>
      <c r="AF44" t="s">
        <v>2201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278</v>
      </c>
      <c r="B45" t="s">
        <v>576</v>
      </c>
      <c r="C45">
        <f>HYPERLINK("https://finance.naver.com/item/coinfo.nhn?code=134380", "A134380")</f>
        <v>0</v>
      </c>
      <c r="D45">
        <f>HYPERLINK("http://comp.fnguide.com/SVO2/ASP/SVD_Consensus.asp?pGB=1&amp;gicode=A134380&amp;cID=&amp;MenuYn=Y&amp;ReportGB=&amp;NewMenuID=108&amp;stkGb=701", "미원화학")</f>
        <v>0</v>
      </c>
      <c r="E45">
        <v>1</v>
      </c>
      <c r="F45">
        <v>61600</v>
      </c>
      <c r="G45">
        <v>0</v>
      </c>
      <c r="H45">
        <v>7.23</v>
      </c>
      <c r="I45">
        <v>78162</v>
      </c>
      <c r="J45">
        <v>61349</v>
      </c>
      <c r="K45">
        <v>56537</v>
      </c>
      <c r="L45">
        <v>-26.89</v>
      </c>
      <c r="M45">
        <v>0.41</v>
      </c>
      <c r="N45">
        <v>8.220000000000001</v>
      </c>
      <c r="O45">
        <v>12.51</v>
      </c>
      <c r="P45" t="b">
        <v>1</v>
      </c>
      <c r="Q45">
        <v>0</v>
      </c>
      <c r="R45">
        <v>6167</v>
      </c>
      <c r="U45" t="s">
        <v>874</v>
      </c>
      <c r="V45" t="s">
        <v>1172</v>
      </c>
      <c r="W45">
        <v>0</v>
      </c>
      <c r="X45">
        <v>14.7</v>
      </c>
      <c r="Y45" t="s">
        <v>1464</v>
      </c>
      <c r="Z45">
        <v>7.136352270952129</v>
      </c>
      <c r="AA45">
        <v>1355</v>
      </c>
      <c r="AB45">
        <v>641</v>
      </c>
      <c r="AC45" t="s">
        <v>1760</v>
      </c>
      <c r="AD45">
        <v>55.67</v>
      </c>
      <c r="AE45" t="s">
        <v>2058</v>
      </c>
      <c r="AF45" t="s">
        <v>2355</v>
      </c>
      <c r="AG45">
        <v>1547</v>
      </c>
      <c r="AH45">
        <v>155</v>
      </c>
      <c r="AI45">
        <v>161958</v>
      </c>
      <c r="AJ45">
        <v>2.24</v>
      </c>
    </row>
    <row r="46" spans="1:36">
      <c r="A46" s="1" t="s">
        <v>112</v>
      </c>
      <c r="B46" t="s">
        <v>410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13250</v>
      </c>
      <c r="G46">
        <v>0.03</v>
      </c>
      <c r="H46">
        <v>4.66</v>
      </c>
      <c r="I46">
        <v>20368</v>
      </c>
      <c r="J46">
        <v>17681</v>
      </c>
      <c r="K46">
        <v>16912</v>
      </c>
      <c r="L46">
        <v>-53.72</v>
      </c>
      <c r="M46">
        <v>-33.44</v>
      </c>
      <c r="N46">
        <v>-27.63</v>
      </c>
      <c r="O46">
        <v>10.28</v>
      </c>
      <c r="P46" t="b">
        <v>1</v>
      </c>
      <c r="Q46">
        <v>2</v>
      </c>
      <c r="R46">
        <v>1782</v>
      </c>
      <c r="S46">
        <v>17608</v>
      </c>
      <c r="T46">
        <v>888.1</v>
      </c>
      <c r="U46" t="s">
        <v>708</v>
      </c>
      <c r="V46" t="s">
        <v>1006</v>
      </c>
      <c r="W46">
        <v>166.0567114605036</v>
      </c>
      <c r="X46">
        <v>79.2</v>
      </c>
      <c r="Y46" t="s">
        <v>1302</v>
      </c>
      <c r="Z46">
        <v>5.600826566742323</v>
      </c>
      <c r="AA46">
        <v>5075</v>
      </c>
      <c r="AB46">
        <v>428811</v>
      </c>
      <c r="AC46" t="s">
        <v>1594</v>
      </c>
      <c r="AD46">
        <v>67.37</v>
      </c>
      <c r="AE46" t="s">
        <v>1892</v>
      </c>
      <c r="AF46" t="s">
        <v>2190</v>
      </c>
      <c r="AG46">
        <v>36056</v>
      </c>
      <c r="AH46">
        <v>5590</v>
      </c>
      <c r="AJ46">
        <v>2.17</v>
      </c>
    </row>
    <row r="47" spans="1:36">
      <c r="A47" s="1" t="s">
        <v>260</v>
      </c>
      <c r="B47" t="s">
        <v>558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53700</v>
      </c>
      <c r="G47">
        <v>-1.04</v>
      </c>
      <c r="H47">
        <v>15.41</v>
      </c>
      <c r="I47">
        <v>63117</v>
      </c>
      <c r="J47">
        <v>46907</v>
      </c>
      <c r="K47">
        <v>42267</v>
      </c>
      <c r="L47">
        <v>-17.54</v>
      </c>
      <c r="M47">
        <v>12.65</v>
      </c>
      <c r="N47">
        <v>21.29</v>
      </c>
      <c r="O47">
        <v>14.03</v>
      </c>
      <c r="P47" t="b">
        <v>1</v>
      </c>
      <c r="Q47">
        <v>1</v>
      </c>
      <c r="R47">
        <v>2138</v>
      </c>
      <c r="S47">
        <v>3919</v>
      </c>
      <c r="T47">
        <v>83.3</v>
      </c>
      <c r="U47" t="s">
        <v>856</v>
      </c>
      <c r="V47" t="s">
        <v>1154</v>
      </c>
      <c r="W47">
        <v>-14.78432464022297</v>
      </c>
      <c r="X47">
        <v>126.3</v>
      </c>
      <c r="Y47" t="s">
        <v>1447</v>
      </c>
      <c r="Z47">
        <v>5.323044183168046</v>
      </c>
      <c r="AA47">
        <v>16589</v>
      </c>
      <c r="AB47">
        <v>94946</v>
      </c>
      <c r="AC47" t="s">
        <v>1742</v>
      </c>
      <c r="AD47">
        <v>54.69</v>
      </c>
      <c r="AE47" t="s">
        <v>2040</v>
      </c>
      <c r="AF47" t="s">
        <v>2337</v>
      </c>
      <c r="AG47">
        <v>9641</v>
      </c>
      <c r="AH47">
        <v>662</v>
      </c>
      <c r="AI47">
        <v>447941</v>
      </c>
      <c r="AJ47">
        <v>2.12</v>
      </c>
    </row>
    <row r="48" spans="1:36">
      <c r="A48" s="1" t="s">
        <v>115</v>
      </c>
      <c r="B48" t="s">
        <v>413</v>
      </c>
      <c r="C48">
        <f>HYPERLINK("https://finance.naver.com/item/coinfo.nhn?code=005710", "A005710")</f>
        <v>0</v>
      </c>
      <c r="D48">
        <f>HYPERLINK("http://comp.fnguide.com/SVO2/ASP/SVD_Consensus.asp?pGB=1&amp;gicode=A005710&amp;cID=&amp;MenuYn=Y&amp;ReportGB=&amp;NewMenuID=108&amp;stkGb=701", "대원산업")</f>
        <v>0</v>
      </c>
      <c r="E48">
        <v>3</v>
      </c>
      <c r="F48">
        <v>5670</v>
      </c>
      <c r="G48">
        <v>-0.16</v>
      </c>
      <c r="H48">
        <v>3.04</v>
      </c>
      <c r="I48">
        <v>24419</v>
      </c>
      <c r="J48">
        <v>19097</v>
      </c>
      <c r="K48">
        <v>17574</v>
      </c>
      <c r="L48">
        <v>-330.67</v>
      </c>
      <c r="M48">
        <v>-236.81</v>
      </c>
      <c r="N48">
        <v>-209.94</v>
      </c>
      <c r="O48">
        <v>12.6</v>
      </c>
      <c r="P48" t="b">
        <v>1</v>
      </c>
      <c r="Q48">
        <v>0</v>
      </c>
      <c r="R48">
        <v>1950</v>
      </c>
      <c r="S48">
        <v>902</v>
      </c>
      <c r="T48">
        <v>-53.7</v>
      </c>
      <c r="U48" t="s">
        <v>711</v>
      </c>
      <c r="V48" t="s">
        <v>1009</v>
      </c>
      <c r="W48">
        <v>-18.94660858905609</v>
      </c>
      <c r="X48">
        <v>0</v>
      </c>
      <c r="Y48" t="s">
        <v>1305</v>
      </c>
      <c r="Z48">
        <v>57.31239633791885</v>
      </c>
      <c r="AA48">
        <v>1136</v>
      </c>
      <c r="AB48">
        <v>19068</v>
      </c>
      <c r="AC48" t="s">
        <v>1597</v>
      </c>
      <c r="AD48">
        <v>61.55</v>
      </c>
      <c r="AE48" t="s">
        <v>1895</v>
      </c>
      <c r="AF48" t="s">
        <v>2193</v>
      </c>
      <c r="AG48">
        <v>6610</v>
      </c>
      <c r="AH48">
        <v>263</v>
      </c>
      <c r="AJ48">
        <v>2.11</v>
      </c>
    </row>
    <row r="49" spans="1:36">
      <c r="A49" s="1" t="s">
        <v>180</v>
      </c>
      <c r="B49" t="s">
        <v>478</v>
      </c>
      <c r="C49">
        <f>HYPERLINK("https://finance.naver.com/item/coinfo.nhn?code=036830", "A036830")</f>
        <v>0</v>
      </c>
      <c r="D49">
        <f>HYPERLINK("http://comp.fnguide.com/SVO2/ASP/SVD_Consensus.asp?pGB=1&amp;gicode=A036830&amp;cID=&amp;MenuYn=Y&amp;ReportGB=&amp;NewMenuID=108&amp;stkGb=701", "솔브레인홀딩스")</f>
        <v>0</v>
      </c>
      <c r="E49">
        <v>3</v>
      </c>
      <c r="F49">
        <v>43950</v>
      </c>
      <c r="G49">
        <v>0.03</v>
      </c>
      <c r="H49">
        <v>6</v>
      </c>
      <c r="I49">
        <v>67801</v>
      </c>
      <c r="J49">
        <v>51276</v>
      </c>
      <c r="K49">
        <v>46546</v>
      </c>
      <c r="L49">
        <v>-54.27</v>
      </c>
      <c r="M49">
        <v>-16.67</v>
      </c>
      <c r="N49">
        <v>-5.91</v>
      </c>
      <c r="O49">
        <v>13.52</v>
      </c>
      <c r="P49" t="b">
        <v>1</v>
      </c>
      <c r="Q49">
        <v>3</v>
      </c>
      <c r="R49">
        <v>6737</v>
      </c>
      <c r="S49">
        <v>68316</v>
      </c>
      <c r="T49">
        <v>914</v>
      </c>
      <c r="U49" t="s">
        <v>776</v>
      </c>
      <c r="V49" t="s">
        <v>1074</v>
      </c>
      <c r="W49">
        <v>202.485844366391</v>
      </c>
      <c r="X49">
        <v>1311.5</v>
      </c>
      <c r="Y49" t="s">
        <v>1369</v>
      </c>
      <c r="Z49">
        <v>81.0890787676515</v>
      </c>
      <c r="AA49">
        <v>9214</v>
      </c>
      <c r="AB49">
        <v>64854</v>
      </c>
      <c r="AC49" t="s">
        <v>1662</v>
      </c>
      <c r="AD49">
        <v>73.58</v>
      </c>
      <c r="AE49" t="s">
        <v>1960</v>
      </c>
      <c r="AF49" t="s">
        <v>2258</v>
      </c>
      <c r="AG49">
        <v>10213</v>
      </c>
      <c r="AH49">
        <v>1742</v>
      </c>
      <c r="AI49">
        <v>302463</v>
      </c>
      <c r="AJ49">
        <v>2.1</v>
      </c>
    </row>
    <row r="50" spans="1:36">
      <c r="A50" s="1" t="s">
        <v>215</v>
      </c>
      <c r="B50" t="s">
        <v>513</v>
      </c>
      <c r="C50">
        <f>HYPERLINK("https://finance.naver.com/item/coinfo.nhn?code=043370", "A043370")</f>
        <v>0</v>
      </c>
      <c r="D50">
        <f>HYPERLINK("http://comp.fnguide.com/SVO2/ASP/SVD_Consensus.asp?pGB=1&amp;gicode=A043370&amp;cID=&amp;MenuYn=Y&amp;ReportGB=&amp;NewMenuID=108&amp;stkGb=701", "평화정공")</f>
        <v>0</v>
      </c>
      <c r="E50">
        <v>3</v>
      </c>
      <c r="F50">
        <v>10850</v>
      </c>
      <c r="G50">
        <v>-0.14</v>
      </c>
      <c r="H50">
        <v>5.73</v>
      </c>
      <c r="I50">
        <v>28638</v>
      </c>
      <c r="J50">
        <v>28299</v>
      </c>
      <c r="K50">
        <v>28201</v>
      </c>
      <c r="L50">
        <v>-163.94</v>
      </c>
      <c r="M50">
        <v>-160.82</v>
      </c>
      <c r="N50">
        <v>-159.92</v>
      </c>
      <c r="O50">
        <v>8.18</v>
      </c>
      <c r="P50" t="b">
        <v>1</v>
      </c>
      <c r="Q50">
        <v>0</v>
      </c>
      <c r="R50">
        <v>1506</v>
      </c>
      <c r="S50">
        <v>756</v>
      </c>
      <c r="T50">
        <v>-49.8</v>
      </c>
      <c r="U50" t="s">
        <v>811</v>
      </c>
      <c r="V50" t="s">
        <v>1109</v>
      </c>
      <c r="W50">
        <v>-40.27404420929386</v>
      </c>
      <c r="X50">
        <v>-87.90000000000001</v>
      </c>
      <c r="Y50" t="s">
        <v>1403</v>
      </c>
      <c r="Z50">
        <v>-12.27419855721225</v>
      </c>
      <c r="AA50">
        <v>2279</v>
      </c>
      <c r="AB50">
        <v>172852</v>
      </c>
      <c r="AC50" t="s">
        <v>1697</v>
      </c>
      <c r="AD50">
        <v>54.63</v>
      </c>
      <c r="AE50" t="s">
        <v>1995</v>
      </c>
      <c r="AF50" t="s">
        <v>2293</v>
      </c>
      <c r="AG50">
        <v>10884</v>
      </c>
      <c r="AH50">
        <v>156</v>
      </c>
      <c r="AI50">
        <v>463438</v>
      </c>
      <c r="AJ50">
        <v>2.09</v>
      </c>
    </row>
    <row r="51" spans="1:36">
      <c r="A51" s="1" t="s">
        <v>283</v>
      </c>
      <c r="B51" t="s">
        <v>581</v>
      </c>
      <c r="C51">
        <f>HYPERLINK("https://finance.naver.com/item/coinfo.nhn?code=210980", "A210980")</f>
        <v>0</v>
      </c>
      <c r="D51">
        <f>HYPERLINK("http://comp.fnguide.com/SVO2/ASP/SVD_Consensus.asp?pGB=1&amp;gicode=A210980&amp;cID=&amp;MenuYn=Y&amp;ReportGB=&amp;NewMenuID=108&amp;stkGb=701", "SK디앤디")</f>
        <v>0</v>
      </c>
      <c r="E51">
        <v>1</v>
      </c>
      <c r="F51">
        <v>35050</v>
      </c>
      <c r="G51">
        <v>-1.85</v>
      </c>
      <c r="H51">
        <v>12.31</v>
      </c>
      <c r="I51">
        <v>37850</v>
      </c>
      <c r="J51">
        <v>26569</v>
      </c>
      <c r="K51">
        <v>23340</v>
      </c>
      <c r="L51">
        <v>-7.99</v>
      </c>
      <c r="M51">
        <v>24.2</v>
      </c>
      <c r="N51">
        <v>33.41</v>
      </c>
      <c r="O51">
        <v>15.95</v>
      </c>
      <c r="P51" t="b">
        <v>1</v>
      </c>
      <c r="Q51">
        <v>1</v>
      </c>
      <c r="R51">
        <v>2365</v>
      </c>
      <c r="S51">
        <v>2733</v>
      </c>
      <c r="T51">
        <v>15.6</v>
      </c>
      <c r="U51" t="s">
        <v>879</v>
      </c>
      <c r="V51" t="s">
        <v>1177</v>
      </c>
      <c r="W51">
        <v>-6.638640735002655</v>
      </c>
      <c r="X51">
        <v>873</v>
      </c>
      <c r="Y51" t="s">
        <v>1469</v>
      </c>
      <c r="Z51">
        <v>74.21434201528096</v>
      </c>
      <c r="AA51">
        <v>6656</v>
      </c>
      <c r="AB51">
        <v>110872</v>
      </c>
      <c r="AC51" t="s">
        <v>1765</v>
      </c>
      <c r="AD51">
        <v>58.67</v>
      </c>
      <c r="AE51" t="s">
        <v>2063</v>
      </c>
      <c r="AF51" t="s">
        <v>2360</v>
      </c>
      <c r="AG51">
        <v>4547</v>
      </c>
      <c r="AH51">
        <v>823</v>
      </c>
      <c r="AI51">
        <v>640</v>
      </c>
      <c r="AJ51">
        <v>2.06</v>
      </c>
    </row>
    <row r="52" spans="1:36">
      <c r="A52" s="1" t="s">
        <v>264</v>
      </c>
      <c r="B52" t="s">
        <v>562</v>
      </c>
      <c r="C52">
        <f>HYPERLINK("https://finance.naver.com/item/coinfo.nhn?code=307930", "A307930")</f>
        <v>0</v>
      </c>
      <c r="D52">
        <f>HYPERLINK("http://comp.fnguide.com/SVO2/ASP/SVD_Consensus.asp?pGB=1&amp;gicode=A307930&amp;cID=&amp;MenuYn=Y&amp;ReportGB=&amp;NewMenuID=108&amp;stkGb=701", "컴퍼니케이")</f>
        <v>0</v>
      </c>
      <c r="E52">
        <v>1</v>
      </c>
      <c r="F52">
        <v>6980</v>
      </c>
      <c r="G52">
        <v>0</v>
      </c>
      <c r="H52">
        <v>12.85</v>
      </c>
      <c r="I52">
        <v>8159</v>
      </c>
      <c r="J52">
        <v>5234</v>
      </c>
      <c r="K52">
        <v>4397</v>
      </c>
      <c r="L52">
        <v>-16.89</v>
      </c>
      <c r="M52">
        <v>25.01</v>
      </c>
      <c r="N52">
        <v>37</v>
      </c>
      <c r="O52">
        <v>19.95</v>
      </c>
      <c r="P52" t="b">
        <v>1</v>
      </c>
      <c r="Q52">
        <v>0</v>
      </c>
      <c r="R52">
        <v>605</v>
      </c>
      <c r="U52" t="s">
        <v>860</v>
      </c>
      <c r="V52" t="s">
        <v>1158</v>
      </c>
      <c r="W52">
        <v>0</v>
      </c>
      <c r="Y52" t="s">
        <v>1233</v>
      </c>
      <c r="Z52">
        <v>-8.343042120225707</v>
      </c>
      <c r="AA52">
        <v>1090</v>
      </c>
      <c r="AB52">
        <v>94015</v>
      </c>
      <c r="AC52" t="s">
        <v>1746</v>
      </c>
      <c r="AD52">
        <v>73.61</v>
      </c>
      <c r="AE52" t="s">
        <v>2044</v>
      </c>
      <c r="AF52" t="s">
        <v>2341</v>
      </c>
      <c r="AG52">
        <v>169</v>
      </c>
      <c r="AH52">
        <v>108</v>
      </c>
      <c r="AJ52">
        <v>2.06</v>
      </c>
    </row>
    <row r="53" spans="1:36">
      <c r="A53" s="1" t="s">
        <v>268</v>
      </c>
      <c r="B53" t="s">
        <v>566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23250</v>
      </c>
      <c r="G53">
        <v>0</v>
      </c>
      <c r="H53">
        <v>12.91</v>
      </c>
      <c r="I53">
        <v>32624</v>
      </c>
      <c r="J53">
        <v>21463</v>
      </c>
      <c r="K53">
        <v>18269</v>
      </c>
      <c r="L53">
        <v>-40.32</v>
      </c>
      <c r="M53">
        <v>7.68</v>
      </c>
      <c r="N53">
        <v>21.42</v>
      </c>
      <c r="O53">
        <v>18.68</v>
      </c>
      <c r="P53" t="b">
        <v>1</v>
      </c>
      <c r="Q53">
        <v>0</v>
      </c>
      <c r="R53">
        <v>1747</v>
      </c>
      <c r="U53" t="s">
        <v>864</v>
      </c>
      <c r="V53" t="s">
        <v>1162</v>
      </c>
      <c r="W53">
        <v>0</v>
      </c>
      <c r="X53">
        <v>-11</v>
      </c>
      <c r="Y53" t="s">
        <v>1454</v>
      </c>
      <c r="Z53">
        <v>-8.824579080226002</v>
      </c>
      <c r="AA53">
        <v>3767</v>
      </c>
      <c r="AB53">
        <v>83061</v>
      </c>
      <c r="AC53" t="s">
        <v>1750</v>
      </c>
      <c r="AD53">
        <v>58.69</v>
      </c>
      <c r="AE53" t="s">
        <v>2048</v>
      </c>
      <c r="AF53" t="s">
        <v>2345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175</v>
      </c>
      <c r="B54" t="s">
        <v>473</v>
      </c>
      <c r="C54">
        <f>HYPERLINK("https://finance.naver.com/item/coinfo.nhn?code=009160", "A009160")</f>
        <v>0</v>
      </c>
      <c r="D54">
        <f>HYPERLINK("http://comp.fnguide.com/SVO2/ASP/SVD_Consensus.asp?pGB=1&amp;gicode=A009160&amp;cID=&amp;MenuYn=Y&amp;ReportGB=&amp;NewMenuID=108&amp;stkGb=701", "SIMPAC")</f>
        <v>0</v>
      </c>
      <c r="E54">
        <v>3</v>
      </c>
      <c r="F54">
        <v>3200</v>
      </c>
      <c r="G54">
        <v>0</v>
      </c>
      <c r="H54">
        <v>20.31</v>
      </c>
      <c r="I54">
        <v>8624</v>
      </c>
      <c r="J54">
        <v>8163</v>
      </c>
      <c r="K54">
        <v>8031</v>
      </c>
      <c r="L54">
        <v>-169.5</v>
      </c>
      <c r="M54">
        <v>-155.09</v>
      </c>
      <c r="N54">
        <v>-150.97</v>
      </c>
      <c r="O54">
        <v>8.800000000000001</v>
      </c>
      <c r="P54" t="b">
        <v>1</v>
      </c>
      <c r="Q54">
        <v>0</v>
      </c>
      <c r="R54">
        <v>145</v>
      </c>
      <c r="U54" t="s">
        <v>771</v>
      </c>
      <c r="V54" t="s">
        <v>1069</v>
      </c>
      <c r="W54">
        <v>0</v>
      </c>
      <c r="X54">
        <v>-46.8</v>
      </c>
      <c r="Y54" t="s">
        <v>1364</v>
      </c>
      <c r="Z54">
        <v>-32.86256593518265</v>
      </c>
      <c r="AA54">
        <v>2094</v>
      </c>
      <c r="AB54">
        <v>167005</v>
      </c>
      <c r="AC54" t="s">
        <v>1657</v>
      </c>
      <c r="AD54">
        <v>60.01</v>
      </c>
      <c r="AE54" t="s">
        <v>1955</v>
      </c>
      <c r="AF54" t="s">
        <v>2253</v>
      </c>
      <c r="AG54">
        <v>4301</v>
      </c>
      <c r="AH54">
        <v>111</v>
      </c>
      <c r="AI54">
        <v>9261604</v>
      </c>
      <c r="AJ54">
        <v>2.04</v>
      </c>
    </row>
    <row r="55" spans="1:36">
      <c r="A55" s="1" t="s">
        <v>237</v>
      </c>
      <c r="B55" t="s">
        <v>535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"대림건설")</f>
        <v>0</v>
      </c>
      <c r="E55">
        <v>2</v>
      </c>
      <c r="F55">
        <v>30700</v>
      </c>
      <c r="G55">
        <v>0</v>
      </c>
      <c r="H55">
        <v>3.17</v>
      </c>
      <c r="I55">
        <v>55548</v>
      </c>
      <c r="J55">
        <v>34694</v>
      </c>
      <c r="K55">
        <v>28725</v>
      </c>
      <c r="L55">
        <v>-80.94</v>
      </c>
      <c r="M55">
        <v>-13.01</v>
      </c>
      <c r="N55">
        <v>6.43</v>
      </c>
      <c r="O55">
        <v>21.46</v>
      </c>
      <c r="P55" t="b">
        <v>1</v>
      </c>
      <c r="Q55">
        <v>0</v>
      </c>
      <c r="R55">
        <v>6265</v>
      </c>
      <c r="U55" t="s">
        <v>833</v>
      </c>
      <c r="V55" t="s">
        <v>1131</v>
      </c>
      <c r="W55">
        <v>0</v>
      </c>
      <c r="X55">
        <v>22.6</v>
      </c>
      <c r="Y55" t="s">
        <v>1425</v>
      </c>
      <c r="Z55">
        <v>23.81705294524519</v>
      </c>
      <c r="AA55">
        <v>6770</v>
      </c>
      <c r="AB55">
        <v>90882</v>
      </c>
      <c r="AC55" t="s">
        <v>1719</v>
      </c>
      <c r="AD55">
        <v>66.36</v>
      </c>
      <c r="AE55" t="s">
        <v>2017</v>
      </c>
      <c r="AF55" t="s">
        <v>2314</v>
      </c>
      <c r="AG55">
        <v>12799</v>
      </c>
      <c r="AH55">
        <v>1430</v>
      </c>
      <c r="AI55">
        <v>371</v>
      </c>
      <c r="AJ55">
        <v>2.02</v>
      </c>
    </row>
    <row r="56" spans="1:36">
      <c r="A56" s="1" t="s">
        <v>190</v>
      </c>
      <c r="B56" t="s">
        <v>488</v>
      </c>
      <c r="C56">
        <f>HYPERLINK("https://finance.naver.com/item/coinfo.nhn?code=002310", "A002310")</f>
        <v>0</v>
      </c>
      <c r="D56">
        <f>HYPERLINK("http://comp.fnguide.com/SVO2/ASP/SVD_Consensus.asp?pGB=1&amp;gicode=A002310&amp;cID=&amp;MenuYn=Y&amp;ReportGB=&amp;NewMenuID=108&amp;stkGb=701", "아세아제지")</f>
        <v>0</v>
      </c>
      <c r="E56">
        <v>3</v>
      </c>
      <c r="F56">
        <v>44500</v>
      </c>
      <c r="G56">
        <v>0</v>
      </c>
      <c r="H56">
        <v>4.37</v>
      </c>
      <c r="I56">
        <v>89190</v>
      </c>
      <c r="J56">
        <v>74872</v>
      </c>
      <c r="K56">
        <v>70774</v>
      </c>
      <c r="L56">
        <v>-100.43</v>
      </c>
      <c r="M56">
        <v>-68.25</v>
      </c>
      <c r="N56">
        <v>-59.04</v>
      </c>
      <c r="O56">
        <v>10.95</v>
      </c>
      <c r="P56" t="b">
        <v>1</v>
      </c>
      <c r="Q56">
        <v>0</v>
      </c>
      <c r="R56">
        <v>6860</v>
      </c>
      <c r="U56" t="s">
        <v>786</v>
      </c>
      <c r="V56" t="s">
        <v>1084</v>
      </c>
      <c r="W56">
        <v>0</v>
      </c>
      <c r="X56">
        <v>-29.4</v>
      </c>
      <c r="Y56" t="s">
        <v>1379</v>
      </c>
      <c r="Z56">
        <v>20.24422735583917</v>
      </c>
      <c r="AA56">
        <v>3986</v>
      </c>
      <c r="AB56">
        <v>84317</v>
      </c>
      <c r="AC56" t="s">
        <v>1672</v>
      </c>
      <c r="AD56">
        <v>50.07</v>
      </c>
      <c r="AE56" t="s">
        <v>1970</v>
      </c>
      <c r="AF56" t="s">
        <v>2268</v>
      </c>
      <c r="AG56">
        <v>6977</v>
      </c>
      <c r="AH56">
        <v>711</v>
      </c>
      <c r="AJ56">
        <v>2</v>
      </c>
    </row>
    <row r="57" spans="1:36">
      <c r="A57" s="1" t="s">
        <v>111</v>
      </c>
      <c r="B57" t="s">
        <v>409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5500</v>
      </c>
      <c r="G57">
        <v>-0.24</v>
      </c>
      <c r="H57">
        <v>19.91</v>
      </c>
      <c r="I57">
        <v>144430</v>
      </c>
      <c r="J57">
        <v>67263</v>
      </c>
      <c r="K57">
        <v>45176</v>
      </c>
      <c r="L57">
        <v>-2525.99</v>
      </c>
      <c r="M57">
        <v>-1122.96</v>
      </c>
      <c r="N57">
        <v>-721.38</v>
      </c>
      <c r="O57">
        <v>73.78</v>
      </c>
      <c r="P57" t="b">
        <v>0</v>
      </c>
      <c r="Q57">
        <v>1</v>
      </c>
      <c r="R57">
        <v>281</v>
      </c>
      <c r="S57">
        <v>297</v>
      </c>
      <c r="T57">
        <v>5.7</v>
      </c>
      <c r="U57" t="s">
        <v>707</v>
      </c>
      <c r="V57" t="s">
        <v>1005</v>
      </c>
      <c r="W57">
        <v>-83.96034834702412</v>
      </c>
      <c r="X57">
        <v>-5.5</v>
      </c>
      <c r="Y57" t="s">
        <v>1301</v>
      </c>
      <c r="Z57">
        <v>-38.21260482142083</v>
      </c>
      <c r="AA57">
        <v>5264</v>
      </c>
      <c r="AB57">
        <v>586536</v>
      </c>
      <c r="AC57" t="s">
        <v>1593</v>
      </c>
      <c r="AD57">
        <v>69.7</v>
      </c>
      <c r="AE57" t="s">
        <v>1891</v>
      </c>
      <c r="AF57" t="s">
        <v>2189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314</v>
      </c>
      <c r="B58" t="s">
        <v>612</v>
      </c>
      <c r="C58">
        <f>HYPERLINK("https://finance.naver.com/item/coinfo.nhn?code=036670", "A036670")</f>
        <v>0</v>
      </c>
      <c r="D58">
        <f>HYPERLINK("http://comp.fnguide.com/SVO2/ASP/SVD_Consensus.asp?pGB=1&amp;gicode=A036670&amp;cID=&amp;MenuYn=Y&amp;ReportGB=&amp;NewMenuID=108&amp;stkGb=701", "KCI")</f>
        <v>0</v>
      </c>
      <c r="E58">
        <v>1</v>
      </c>
      <c r="F58">
        <v>9150</v>
      </c>
      <c r="G58">
        <v>0</v>
      </c>
      <c r="H58">
        <v>10.71</v>
      </c>
      <c r="I58">
        <v>12476</v>
      </c>
      <c r="J58">
        <v>8624</v>
      </c>
      <c r="K58">
        <v>7521</v>
      </c>
      <c r="L58">
        <v>-36.35</v>
      </c>
      <c r="M58">
        <v>5.75</v>
      </c>
      <c r="N58">
        <v>17.8</v>
      </c>
      <c r="O58">
        <v>16.54</v>
      </c>
      <c r="P58" t="b">
        <v>1</v>
      </c>
      <c r="Q58">
        <v>0</v>
      </c>
      <c r="R58">
        <v>1013</v>
      </c>
      <c r="U58" t="s">
        <v>910</v>
      </c>
      <c r="V58" t="s">
        <v>1208</v>
      </c>
      <c r="W58">
        <v>0</v>
      </c>
      <c r="X58">
        <v>8.800000000000001</v>
      </c>
      <c r="Y58" t="s">
        <v>1499</v>
      </c>
      <c r="Z58">
        <v>17.88612050714651</v>
      </c>
      <c r="AA58">
        <v>1031</v>
      </c>
      <c r="AB58">
        <v>34544</v>
      </c>
      <c r="AC58" t="s">
        <v>1796</v>
      </c>
      <c r="AD58">
        <v>50.02</v>
      </c>
      <c r="AE58" t="s">
        <v>2094</v>
      </c>
      <c r="AF58" t="s">
        <v>2389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153</v>
      </c>
      <c r="B59" t="s">
        <v>451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109500</v>
      </c>
      <c r="G59">
        <v>0</v>
      </c>
      <c r="H59">
        <v>8.109999999999999</v>
      </c>
      <c r="I59">
        <v>169269</v>
      </c>
      <c r="J59">
        <v>131928</v>
      </c>
      <c r="K59">
        <v>121240</v>
      </c>
      <c r="L59">
        <v>-54.58</v>
      </c>
      <c r="M59">
        <v>-20.48</v>
      </c>
      <c r="N59">
        <v>-10.72</v>
      </c>
      <c r="O59">
        <v>12.69</v>
      </c>
      <c r="P59" t="b">
        <v>1</v>
      </c>
      <c r="Q59">
        <v>0</v>
      </c>
      <c r="R59">
        <v>10187</v>
      </c>
      <c r="U59" t="s">
        <v>749</v>
      </c>
      <c r="V59" t="s">
        <v>1047</v>
      </c>
      <c r="W59">
        <v>0</v>
      </c>
      <c r="X59">
        <v>-12.9</v>
      </c>
      <c r="Y59" t="s">
        <v>1343</v>
      </c>
      <c r="Z59">
        <v>-5.176120342330337</v>
      </c>
      <c r="AA59">
        <v>1377</v>
      </c>
      <c r="AB59">
        <v>20372</v>
      </c>
      <c r="AC59" t="s">
        <v>1635</v>
      </c>
      <c r="AD59">
        <v>51.84</v>
      </c>
      <c r="AE59" t="s">
        <v>1933</v>
      </c>
      <c r="AF59" t="s">
        <v>2231</v>
      </c>
      <c r="AG59">
        <v>640</v>
      </c>
      <c r="AH59">
        <v>141</v>
      </c>
      <c r="AI59">
        <v>224717</v>
      </c>
      <c r="AJ59">
        <v>1.82</v>
      </c>
    </row>
    <row r="60" spans="1:36">
      <c r="A60" s="1" t="s">
        <v>218</v>
      </c>
      <c r="B60" t="s">
        <v>516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16650</v>
      </c>
      <c r="G60">
        <v>0.78</v>
      </c>
      <c r="H60">
        <v>11.08</v>
      </c>
      <c r="I60">
        <v>35224</v>
      </c>
      <c r="J60">
        <v>21256</v>
      </c>
      <c r="K60">
        <v>17257</v>
      </c>
      <c r="L60">
        <v>-111.56</v>
      </c>
      <c r="M60">
        <v>-27.66</v>
      </c>
      <c r="N60">
        <v>-3.65</v>
      </c>
      <c r="O60">
        <v>23.7</v>
      </c>
      <c r="P60" t="b">
        <v>1</v>
      </c>
      <c r="Q60">
        <v>1</v>
      </c>
      <c r="R60">
        <v>1661</v>
      </c>
      <c r="S60">
        <v>1975</v>
      </c>
      <c r="T60">
        <v>18.9</v>
      </c>
      <c r="U60" t="s">
        <v>814</v>
      </c>
      <c r="V60" t="s">
        <v>1112</v>
      </c>
      <c r="W60">
        <v>14.168942852186</v>
      </c>
      <c r="X60">
        <v>-3.2</v>
      </c>
      <c r="Y60" t="s">
        <v>1406</v>
      </c>
      <c r="Z60">
        <v>-4.763855776294202</v>
      </c>
      <c r="AA60">
        <v>2065</v>
      </c>
      <c r="AB60">
        <v>138373</v>
      </c>
      <c r="AC60" t="s">
        <v>1700</v>
      </c>
      <c r="AD60">
        <v>61.4</v>
      </c>
      <c r="AE60" t="s">
        <v>1998</v>
      </c>
      <c r="AF60" t="s">
        <v>2296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258</v>
      </c>
      <c r="B61" t="s">
        <v>556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5700</v>
      </c>
      <c r="G61">
        <v>0</v>
      </c>
      <c r="H61">
        <v>9.93</v>
      </c>
      <c r="I61">
        <v>8997</v>
      </c>
      <c r="J61">
        <v>5317</v>
      </c>
      <c r="K61">
        <v>4264</v>
      </c>
      <c r="L61">
        <v>-57.85</v>
      </c>
      <c r="M61">
        <v>6.71</v>
      </c>
      <c r="N61">
        <v>25.19</v>
      </c>
      <c r="O61">
        <v>25.25</v>
      </c>
      <c r="P61" t="b">
        <v>1</v>
      </c>
      <c r="Q61">
        <v>0</v>
      </c>
      <c r="R61">
        <v>568</v>
      </c>
      <c r="U61" t="s">
        <v>854</v>
      </c>
      <c r="V61" t="s">
        <v>1152</v>
      </c>
      <c r="W61">
        <v>0</v>
      </c>
      <c r="X61">
        <v>22.4</v>
      </c>
      <c r="Y61" t="s">
        <v>1445</v>
      </c>
      <c r="Z61">
        <v>41.20509158442094</v>
      </c>
      <c r="AA61">
        <v>5045</v>
      </c>
      <c r="AB61">
        <v>380848</v>
      </c>
      <c r="AC61" t="s">
        <v>1740</v>
      </c>
      <c r="AD61">
        <v>70.83</v>
      </c>
      <c r="AE61" t="s">
        <v>2038</v>
      </c>
      <c r="AF61" t="s">
        <v>2335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57</v>
      </c>
      <c r="B62" t="s">
        <v>355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19500</v>
      </c>
      <c r="G62">
        <v>0</v>
      </c>
      <c r="H62">
        <v>8.02</v>
      </c>
      <c r="I62">
        <v>30701</v>
      </c>
      <c r="J62">
        <v>23061</v>
      </c>
      <c r="K62">
        <v>20874</v>
      </c>
      <c r="L62">
        <v>-57.44</v>
      </c>
      <c r="M62">
        <v>-18.26</v>
      </c>
      <c r="N62">
        <v>-7.04</v>
      </c>
      <c r="O62">
        <v>13.71</v>
      </c>
      <c r="P62" t="b">
        <v>1</v>
      </c>
      <c r="Q62">
        <v>0</v>
      </c>
      <c r="R62">
        <v>2126</v>
      </c>
      <c r="U62" t="s">
        <v>653</v>
      </c>
      <c r="V62" t="s">
        <v>951</v>
      </c>
      <c r="W62">
        <v>0</v>
      </c>
      <c r="X62">
        <v>21.4</v>
      </c>
      <c r="Y62" t="s">
        <v>1249</v>
      </c>
      <c r="Z62">
        <v>12.42884827928215</v>
      </c>
      <c r="AA62">
        <v>1463</v>
      </c>
      <c r="AB62">
        <v>68518</v>
      </c>
      <c r="AC62" t="s">
        <v>1539</v>
      </c>
      <c r="AD62">
        <v>53.09</v>
      </c>
      <c r="AE62" t="s">
        <v>1837</v>
      </c>
      <c r="AF62" t="s">
        <v>2135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255</v>
      </c>
      <c r="B63" t="s">
        <v>553</v>
      </c>
      <c r="C63">
        <f>HYPERLINK("https://finance.naver.com/item/coinfo.nhn?code=317400", "A317400")</f>
        <v>0</v>
      </c>
      <c r="D63">
        <f>HYPERLINK("http://comp.fnguide.com/SVO2/ASP/SVD_Consensus.asp?pGB=1&amp;gicode=A317400&amp;cID=&amp;MenuYn=Y&amp;ReportGB=&amp;NewMenuID=108&amp;stkGb=701", "자이에스앤디")</f>
        <v>0</v>
      </c>
      <c r="E63">
        <v>1</v>
      </c>
      <c r="F63">
        <v>10600</v>
      </c>
      <c r="G63">
        <v>0</v>
      </c>
      <c r="H63">
        <v>8.449999999999999</v>
      </c>
      <c r="I63">
        <v>11851</v>
      </c>
      <c r="J63">
        <v>7995</v>
      </c>
      <c r="K63">
        <v>6891</v>
      </c>
      <c r="L63">
        <v>-11.8</v>
      </c>
      <c r="M63">
        <v>24.58</v>
      </c>
      <c r="N63">
        <v>34.99</v>
      </c>
      <c r="O63">
        <v>17.54</v>
      </c>
      <c r="P63" t="b">
        <v>1</v>
      </c>
      <c r="Q63">
        <v>0</v>
      </c>
      <c r="R63">
        <v>676</v>
      </c>
      <c r="U63" t="s">
        <v>851</v>
      </c>
      <c r="V63" t="s">
        <v>1149</v>
      </c>
      <c r="W63">
        <v>0</v>
      </c>
      <c r="X63">
        <v>-3.3</v>
      </c>
      <c r="Y63" t="s">
        <v>1442</v>
      </c>
      <c r="Z63">
        <v>-3.226821046745387</v>
      </c>
      <c r="AA63">
        <v>2839</v>
      </c>
      <c r="AB63">
        <v>182025</v>
      </c>
      <c r="AC63" t="s">
        <v>1737</v>
      </c>
      <c r="AD63">
        <v>61.17</v>
      </c>
      <c r="AE63" t="s">
        <v>2035</v>
      </c>
      <c r="AF63" t="s">
        <v>2332</v>
      </c>
      <c r="AG63">
        <v>2779</v>
      </c>
      <c r="AH63">
        <v>165</v>
      </c>
      <c r="AJ63">
        <v>1.75</v>
      </c>
    </row>
    <row r="64" spans="1:36">
      <c r="A64" s="1" t="s">
        <v>296</v>
      </c>
      <c r="B64" t="s">
        <v>594</v>
      </c>
      <c r="C64">
        <f>HYPERLINK("https://finance.naver.com/item/coinfo.nhn?code=067280", "A067280")</f>
        <v>0</v>
      </c>
      <c r="D64">
        <f>HYPERLINK("http://comp.fnguide.com/SVO2/ASP/SVD_Consensus.asp?pGB=1&amp;gicode=A067280&amp;cID=&amp;MenuYn=Y&amp;ReportGB=&amp;NewMenuID=108&amp;stkGb=701", "멀티캠퍼스")</f>
        <v>0</v>
      </c>
      <c r="E64">
        <v>1</v>
      </c>
      <c r="F64">
        <v>31650</v>
      </c>
      <c r="G64">
        <v>-1.64</v>
      </c>
      <c r="H64">
        <v>11.03</v>
      </c>
      <c r="I64">
        <v>41765</v>
      </c>
      <c r="J64">
        <v>27824</v>
      </c>
      <c r="K64">
        <v>23834</v>
      </c>
      <c r="L64">
        <v>-31.96</v>
      </c>
      <c r="M64">
        <v>12.09</v>
      </c>
      <c r="N64">
        <v>24.69</v>
      </c>
      <c r="O64">
        <v>18.1</v>
      </c>
      <c r="P64" t="b">
        <v>1</v>
      </c>
      <c r="Q64">
        <v>0</v>
      </c>
      <c r="R64">
        <v>3143</v>
      </c>
      <c r="S64">
        <v>1678</v>
      </c>
      <c r="T64">
        <v>-46.6</v>
      </c>
      <c r="U64" t="s">
        <v>892</v>
      </c>
      <c r="V64" t="s">
        <v>1190</v>
      </c>
      <c r="W64">
        <v>-6.709602603007781</v>
      </c>
      <c r="X64">
        <v>-62</v>
      </c>
      <c r="Y64" t="s">
        <v>1481</v>
      </c>
      <c r="Z64">
        <v>-7.409942503135259</v>
      </c>
      <c r="AA64">
        <v>1876</v>
      </c>
      <c r="AB64">
        <v>11420</v>
      </c>
      <c r="AC64" t="s">
        <v>1778</v>
      </c>
      <c r="AD64">
        <v>62.44</v>
      </c>
      <c r="AE64" t="s">
        <v>2076</v>
      </c>
      <c r="AF64" t="s">
        <v>2373</v>
      </c>
      <c r="AG64">
        <v>2880</v>
      </c>
      <c r="AH64">
        <v>242</v>
      </c>
      <c r="AJ64">
        <v>1.73</v>
      </c>
    </row>
    <row r="65" spans="1:36">
      <c r="A65" s="1" t="s">
        <v>288</v>
      </c>
      <c r="B65" t="s">
        <v>586</v>
      </c>
      <c r="C65">
        <f>HYPERLINK("https://finance.naver.com/item/coinfo.nhn?code=318010", "A318010")</f>
        <v>0</v>
      </c>
      <c r="D65">
        <f>HYPERLINK("http://comp.fnguide.com/SVO2/ASP/SVD_Consensus.asp?pGB=1&amp;gicode=A318010&amp;cID=&amp;MenuYn=Y&amp;ReportGB=&amp;NewMenuID=108&amp;stkGb=701", "팜스빌")</f>
        <v>0</v>
      </c>
      <c r="E65">
        <v>1</v>
      </c>
      <c r="F65">
        <v>10050</v>
      </c>
      <c r="G65">
        <v>-0.43</v>
      </c>
      <c r="H65">
        <v>10.71</v>
      </c>
      <c r="I65">
        <v>13938</v>
      </c>
      <c r="J65">
        <v>9815</v>
      </c>
      <c r="K65">
        <v>8635</v>
      </c>
      <c r="L65">
        <v>-38.68</v>
      </c>
      <c r="M65">
        <v>2.34</v>
      </c>
      <c r="N65">
        <v>14.08</v>
      </c>
      <c r="O65">
        <v>15.83</v>
      </c>
      <c r="P65" t="b">
        <v>1</v>
      </c>
      <c r="Q65">
        <v>0</v>
      </c>
      <c r="R65">
        <v>1092</v>
      </c>
      <c r="S65">
        <v>258</v>
      </c>
      <c r="T65">
        <v>-76.40000000000001</v>
      </c>
      <c r="U65" t="s">
        <v>884</v>
      </c>
      <c r="V65" t="s">
        <v>1182</v>
      </c>
      <c r="W65">
        <v>-25.00212486019985</v>
      </c>
      <c r="X65">
        <v>-46.9</v>
      </c>
      <c r="Y65" t="s">
        <v>1473</v>
      </c>
      <c r="Z65">
        <v>-4.373925992095085</v>
      </c>
      <c r="AA65">
        <v>797</v>
      </c>
      <c r="AB65">
        <v>75275</v>
      </c>
      <c r="AC65" t="s">
        <v>1770</v>
      </c>
      <c r="AD65">
        <v>70.37</v>
      </c>
      <c r="AE65" t="s">
        <v>2068</v>
      </c>
      <c r="AF65" t="s">
        <v>2365</v>
      </c>
      <c r="AG65">
        <v>300</v>
      </c>
      <c r="AH65">
        <v>71</v>
      </c>
      <c r="AI65">
        <v>82908</v>
      </c>
      <c r="AJ65">
        <v>1.71</v>
      </c>
    </row>
    <row r="66" spans="1:36">
      <c r="A66" s="1" t="s">
        <v>219</v>
      </c>
      <c r="B66" t="s">
        <v>517</v>
      </c>
      <c r="C66">
        <f>HYPERLINK("https://finance.naver.com/item/coinfo.nhn?code=002170", "A002170")</f>
        <v>0</v>
      </c>
      <c r="D66">
        <f>HYPERLINK("http://comp.fnguide.com/SVO2/ASP/SVD_Consensus.asp?pGB=1&amp;gicode=A002170&amp;cID=&amp;MenuYn=Y&amp;ReportGB=&amp;NewMenuID=108&amp;stkGb=701", "삼양통상")</f>
        <v>0</v>
      </c>
      <c r="E66">
        <v>3</v>
      </c>
      <c r="F66">
        <v>62900</v>
      </c>
      <c r="G66">
        <v>0</v>
      </c>
      <c r="H66">
        <v>4.07</v>
      </c>
      <c r="I66">
        <v>168144</v>
      </c>
      <c r="J66">
        <v>136501</v>
      </c>
      <c r="K66">
        <v>127444</v>
      </c>
      <c r="L66">
        <v>-167.32</v>
      </c>
      <c r="M66">
        <v>-117.01</v>
      </c>
      <c r="N66">
        <v>-102.61</v>
      </c>
      <c r="O66">
        <v>11.69</v>
      </c>
      <c r="P66" t="b">
        <v>1</v>
      </c>
      <c r="Q66">
        <v>0</v>
      </c>
      <c r="R66">
        <v>14733</v>
      </c>
      <c r="U66" t="s">
        <v>815</v>
      </c>
      <c r="V66" t="s">
        <v>1113</v>
      </c>
      <c r="W66">
        <v>0</v>
      </c>
      <c r="X66">
        <v>4.1</v>
      </c>
      <c r="Y66" t="s">
        <v>1407</v>
      </c>
      <c r="Z66">
        <v>34.31943309341783</v>
      </c>
      <c r="AA66">
        <v>1887</v>
      </c>
      <c r="AB66">
        <v>11706</v>
      </c>
      <c r="AC66" t="s">
        <v>1701</v>
      </c>
      <c r="AD66">
        <v>54.39</v>
      </c>
      <c r="AE66" t="s">
        <v>1999</v>
      </c>
      <c r="AF66" t="s">
        <v>2297</v>
      </c>
      <c r="AG66">
        <v>1921</v>
      </c>
      <c r="AH66">
        <v>494</v>
      </c>
      <c r="AI66">
        <v>150575</v>
      </c>
      <c r="AJ66">
        <v>1.67</v>
      </c>
    </row>
    <row r="67" spans="1:36">
      <c r="A67" s="1" t="s">
        <v>269</v>
      </c>
      <c r="B67" t="s">
        <v>567</v>
      </c>
      <c r="C67">
        <f>HYPERLINK("https://finance.naver.com/item/coinfo.nhn?code=018250", "A018250")</f>
        <v>0</v>
      </c>
      <c r="D67">
        <f>HYPERLINK("http://comp.fnguide.com/SVO2/ASP/SVD_Consensus.asp?pGB=1&amp;gicode=A018250&amp;cID=&amp;MenuYn=Y&amp;ReportGB=&amp;NewMenuID=108&amp;stkGb=701", "애경산업")</f>
        <v>0</v>
      </c>
      <c r="E67">
        <v>1</v>
      </c>
      <c r="F67">
        <v>25500</v>
      </c>
      <c r="G67">
        <v>-0.48</v>
      </c>
      <c r="H67">
        <v>17.97</v>
      </c>
      <c r="I67">
        <v>35629</v>
      </c>
      <c r="J67">
        <v>22013</v>
      </c>
      <c r="K67">
        <v>18116</v>
      </c>
      <c r="L67">
        <v>-39.72</v>
      </c>
      <c r="M67">
        <v>13.67</v>
      </c>
      <c r="N67">
        <v>28.96</v>
      </c>
      <c r="O67">
        <v>22.12</v>
      </c>
      <c r="P67" t="b">
        <v>1</v>
      </c>
      <c r="Q67">
        <v>0</v>
      </c>
      <c r="R67">
        <v>1581</v>
      </c>
      <c r="S67">
        <v>431</v>
      </c>
      <c r="T67">
        <v>-72.7</v>
      </c>
      <c r="U67" t="s">
        <v>865</v>
      </c>
      <c r="V67" t="s">
        <v>1163</v>
      </c>
      <c r="W67">
        <v>-37.68767655305996</v>
      </c>
      <c r="X67">
        <v>-70.09999999999999</v>
      </c>
      <c r="Y67" t="s">
        <v>1455</v>
      </c>
      <c r="Z67">
        <v>-10.75607852195181</v>
      </c>
      <c r="AA67">
        <v>6735</v>
      </c>
      <c r="AB67">
        <v>98139</v>
      </c>
      <c r="AC67" t="s">
        <v>1751</v>
      </c>
      <c r="AD67">
        <v>63.35</v>
      </c>
      <c r="AE67" t="s">
        <v>2049</v>
      </c>
      <c r="AF67" t="s">
        <v>2346</v>
      </c>
      <c r="AG67">
        <v>7013</v>
      </c>
      <c r="AH67">
        <v>606</v>
      </c>
      <c r="AI67">
        <v>200010</v>
      </c>
      <c r="AJ67">
        <v>1.58</v>
      </c>
    </row>
    <row r="68" spans="1:36">
      <c r="A68" s="1" t="s">
        <v>41</v>
      </c>
      <c r="B68" t="s">
        <v>339</v>
      </c>
      <c r="C68">
        <f>HYPERLINK("https://finance.naver.com/item/coinfo.nhn?code=023460", "A023460")</f>
        <v>0</v>
      </c>
      <c r="D68">
        <f>HYPERLINK("http://comp.fnguide.com/SVO2/ASP/SVD_Consensus.asp?pGB=1&amp;gicode=A023460&amp;cID=&amp;MenuYn=Y&amp;ReportGB=&amp;NewMenuID=108&amp;stkGb=701", "CNH")</f>
        <v>0</v>
      </c>
      <c r="E68">
        <v>3</v>
      </c>
      <c r="F68">
        <v>2585</v>
      </c>
      <c r="G68">
        <v>0.04</v>
      </c>
      <c r="H68">
        <v>4.62</v>
      </c>
      <c r="I68">
        <v>3137</v>
      </c>
      <c r="J68">
        <v>3059</v>
      </c>
      <c r="K68">
        <v>3037</v>
      </c>
      <c r="L68">
        <v>-21.34</v>
      </c>
      <c r="M68">
        <v>-18.34</v>
      </c>
      <c r="N68">
        <v>-17.48</v>
      </c>
      <c r="O68">
        <v>8.369999999999999</v>
      </c>
      <c r="P68" t="b">
        <v>1</v>
      </c>
      <c r="Q68">
        <v>2</v>
      </c>
      <c r="R68">
        <v>414</v>
      </c>
      <c r="S68">
        <v>936</v>
      </c>
      <c r="T68">
        <v>126.1</v>
      </c>
      <c r="U68" t="s">
        <v>637</v>
      </c>
      <c r="V68" t="s">
        <v>935</v>
      </c>
      <c r="W68">
        <v>128.8250807917395</v>
      </c>
      <c r="Y68" t="s">
        <v>1233</v>
      </c>
      <c r="Z68">
        <v>0</v>
      </c>
      <c r="AA68">
        <v>962</v>
      </c>
      <c r="AB68">
        <v>126270</v>
      </c>
      <c r="AC68" t="s">
        <v>1523</v>
      </c>
      <c r="AD68">
        <v>65.61</v>
      </c>
      <c r="AE68" t="s">
        <v>1821</v>
      </c>
      <c r="AF68" t="s">
        <v>2119</v>
      </c>
      <c r="AG68">
        <v>405</v>
      </c>
      <c r="AH68">
        <v>211</v>
      </c>
      <c r="AI68">
        <v>2418619</v>
      </c>
      <c r="AJ68">
        <v>1.57</v>
      </c>
    </row>
    <row r="69" spans="1:36">
      <c r="A69" s="1" t="s">
        <v>97</v>
      </c>
      <c r="B69" t="s">
        <v>395</v>
      </c>
      <c r="C69">
        <f>HYPERLINK("https://finance.naver.com/item/coinfo.nhn?code=023600", "A023600")</f>
        <v>0</v>
      </c>
      <c r="D69">
        <f>HYPERLINK("http://comp.fnguide.com/SVO2/ASP/SVD_Consensus.asp?pGB=1&amp;gicode=A023600&amp;cID=&amp;MenuYn=Y&amp;ReportGB=&amp;NewMenuID=108&amp;stkGb=701", "삼보판지")</f>
        <v>0</v>
      </c>
      <c r="E69">
        <v>3</v>
      </c>
      <c r="F69">
        <v>11850</v>
      </c>
      <c r="G69">
        <v>0</v>
      </c>
      <c r="H69">
        <v>4.62</v>
      </c>
      <c r="I69">
        <v>30929</v>
      </c>
      <c r="J69">
        <v>25896</v>
      </c>
      <c r="K69">
        <v>24455</v>
      </c>
      <c r="L69">
        <v>-161</v>
      </c>
      <c r="M69">
        <v>-118.53</v>
      </c>
      <c r="N69">
        <v>-106.37</v>
      </c>
      <c r="O69">
        <v>11.01</v>
      </c>
      <c r="P69" t="b">
        <v>1</v>
      </c>
      <c r="Q69">
        <v>0</v>
      </c>
      <c r="R69">
        <v>1779</v>
      </c>
      <c r="U69" t="s">
        <v>693</v>
      </c>
      <c r="V69" t="s">
        <v>991</v>
      </c>
      <c r="W69">
        <v>0</v>
      </c>
      <c r="X69">
        <v>-5.3</v>
      </c>
      <c r="Y69" t="s">
        <v>1287</v>
      </c>
      <c r="Z69">
        <v>-3.163553070742187</v>
      </c>
      <c r="AA69">
        <v>1916</v>
      </c>
      <c r="AB69">
        <v>130017</v>
      </c>
      <c r="AC69" t="s">
        <v>1579</v>
      </c>
      <c r="AD69">
        <v>63.54</v>
      </c>
      <c r="AE69" t="s">
        <v>1877</v>
      </c>
      <c r="AF69" t="s">
        <v>2175</v>
      </c>
      <c r="AG69">
        <v>3670</v>
      </c>
      <c r="AH69">
        <v>457</v>
      </c>
      <c r="AI69">
        <v>202211</v>
      </c>
      <c r="AJ69">
        <v>1.52</v>
      </c>
    </row>
    <row r="70" spans="1:36">
      <c r="A70" s="1" t="s">
        <v>38</v>
      </c>
      <c r="B70" t="s">
        <v>336</v>
      </c>
      <c r="C70">
        <f>HYPERLINK("https://finance.naver.com/item/coinfo.nhn?code=032560", "A032560")</f>
        <v>0</v>
      </c>
      <c r="D70">
        <f>HYPERLINK("http://comp.fnguide.com/SVO2/ASP/SVD_Consensus.asp?pGB=1&amp;gicode=A032560&amp;cID=&amp;MenuYn=Y&amp;ReportGB=&amp;NewMenuID=108&amp;stkGb=701", "황금에스티")</f>
        <v>0</v>
      </c>
      <c r="E70">
        <v>3</v>
      </c>
      <c r="F70">
        <v>9250</v>
      </c>
      <c r="G70">
        <v>-15.43</v>
      </c>
      <c r="H70">
        <v>4.06</v>
      </c>
      <c r="I70">
        <v>19857</v>
      </c>
      <c r="J70">
        <v>18908</v>
      </c>
      <c r="K70">
        <v>18636</v>
      </c>
      <c r="L70">
        <v>-114.68</v>
      </c>
      <c r="M70">
        <v>-104.41</v>
      </c>
      <c r="N70">
        <v>-101.48</v>
      </c>
      <c r="O70">
        <v>8.720000000000001</v>
      </c>
      <c r="P70" t="b">
        <v>1</v>
      </c>
      <c r="Q70">
        <v>0</v>
      </c>
      <c r="R70">
        <v>1720</v>
      </c>
      <c r="S70">
        <v>1422</v>
      </c>
      <c r="T70">
        <v>-17.3</v>
      </c>
      <c r="U70" t="s">
        <v>634</v>
      </c>
      <c r="V70" t="s">
        <v>932</v>
      </c>
      <c r="W70">
        <v>-0.2631774829318645</v>
      </c>
      <c r="X70">
        <v>-59.8</v>
      </c>
      <c r="Y70" t="s">
        <v>1230</v>
      </c>
      <c r="Z70">
        <v>17.46667090324865</v>
      </c>
      <c r="AA70">
        <v>1295</v>
      </c>
      <c r="AB70">
        <v>761819</v>
      </c>
      <c r="AC70" t="s">
        <v>1520</v>
      </c>
      <c r="AD70">
        <v>54.12</v>
      </c>
      <c r="AE70" t="s">
        <v>1818</v>
      </c>
      <c r="AF70" t="s">
        <v>2116</v>
      </c>
      <c r="AG70">
        <v>2436</v>
      </c>
      <c r="AH70">
        <v>188</v>
      </c>
      <c r="AI70">
        <v>1861</v>
      </c>
      <c r="AJ70">
        <v>1.43</v>
      </c>
    </row>
    <row r="71" spans="1:36">
      <c r="A71" s="1" t="s">
        <v>37</v>
      </c>
      <c r="B71" t="s">
        <v>335</v>
      </c>
      <c r="C71">
        <f>HYPERLINK("https://finance.naver.com/item/coinfo.nhn?code=080010", "A080010")</f>
        <v>0</v>
      </c>
      <c r="D71">
        <f>HYPERLINK("http://comp.fnguide.com/SVO2/ASP/SVD_Consensus.asp?pGB=1&amp;gicode=A080010&amp;cID=&amp;MenuYn=Y&amp;ReportGB=&amp;NewMenuID=108&amp;stkGb=701", "이상네트웍스")</f>
        <v>0</v>
      </c>
      <c r="E71">
        <v>3</v>
      </c>
      <c r="F71">
        <v>7450</v>
      </c>
      <c r="G71">
        <v>2.13</v>
      </c>
      <c r="H71">
        <v>7.11</v>
      </c>
      <c r="I71">
        <v>12782</v>
      </c>
      <c r="J71">
        <v>11493</v>
      </c>
      <c r="K71">
        <v>11124</v>
      </c>
      <c r="L71">
        <v>-71.56999999999999</v>
      </c>
      <c r="M71">
        <v>-54.27</v>
      </c>
      <c r="N71">
        <v>-49.32</v>
      </c>
      <c r="O71">
        <v>9.640000000000001</v>
      </c>
      <c r="P71" t="b">
        <v>1</v>
      </c>
      <c r="Q71">
        <v>0</v>
      </c>
      <c r="R71">
        <v>1001</v>
      </c>
      <c r="S71">
        <v>977</v>
      </c>
      <c r="T71">
        <v>-2.4</v>
      </c>
      <c r="U71" t="s">
        <v>633</v>
      </c>
      <c r="V71" t="s">
        <v>931</v>
      </c>
      <c r="W71">
        <v>3.341667904453338</v>
      </c>
      <c r="X71">
        <v>-14.3</v>
      </c>
      <c r="Y71" t="s">
        <v>1229</v>
      </c>
      <c r="Z71">
        <v>22.66101951099477</v>
      </c>
      <c r="AA71">
        <v>672</v>
      </c>
      <c r="AB71">
        <v>12394</v>
      </c>
      <c r="AC71" t="s">
        <v>1519</v>
      </c>
      <c r="AD71">
        <v>50.05</v>
      </c>
      <c r="AE71" t="s">
        <v>1817</v>
      </c>
      <c r="AF71" t="s">
        <v>2115</v>
      </c>
      <c r="AG71">
        <v>582</v>
      </c>
      <c r="AH71">
        <v>75</v>
      </c>
      <c r="AI71">
        <v>98424</v>
      </c>
      <c r="AJ71">
        <v>1.4</v>
      </c>
    </row>
    <row r="72" spans="1:36">
      <c r="A72" s="1" t="s">
        <v>276</v>
      </c>
      <c r="B72" t="s">
        <v>574</v>
      </c>
      <c r="C72">
        <f>HYPERLINK("https://finance.naver.com/item/coinfo.nhn?code=049770", "A049770")</f>
        <v>0</v>
      </c>
      <c r="D72">
        <f>HYPERLINK("http://comp.fnguide.com/SVO2/ASP/SVD_Consensus.asp?pGB=1&amp;gicode=A049770&amp;cID=&amp;MenuYn=Y&amp;ReportGB=&amp;NewMenuID=108&amp;stkGb=701", "동원F&amp;B")</f>
        <v>0</v>
      </c>
      <c r="E72">
        <v>1</v>
      </c>
      <c r="F72">
        <v>198000</v>
      </c>
      <c r="G72">
        <v>0.89</v>
      </c>
      <c r="H72">
        <v>13.28</v>
      </c>
      <c r="I72">
        <v>210925</v>
      </c>
      <c r="J72">
        <v>190299</v>
      </c>
      <c r="K72">
        <v>184396</v>
      </c>
      <c r="L72">
        <v>-6.53</v>
      </c>
      <c r="M72">
        <v>3.89</v>
      </c>
      <c r="N72">
        <v>6.87</v>
      </c>
      <c r="O72">
        <v>9.58</v>
      </c>
      <c r="P72" t="b">
        <v>1</v>
      </c>
      <c r="Q72">
        <v>3</v>
      </c>
      <c r="R72">
        <v>17015</v>
      </c>
      <c r="S72">
        <v>20194</v>
      </c>
      <c r="T72">
        <v>18.7</v>
      </c>
      <c r="U72" t="s">
        <v>872</v>
      </c>
      <c r="V72" t="s">
        <v>1170</v>
      </c>
      <c r="W72">
        <v>14.91484014135023</v>
      </c>
      <c r="X72">
        <v>10.3</v>
      </c>
      <c r="Y72" t="s">
        <v>1462</v>
      </c>
      <c r="Z72">
        <v>4.964981025361559</v>
      </c>
      <c r="AA72">
        <v>7641</v>
      </c>
      <c r="AB72">
        <v>16274</v>
      </c>
      <c r="AC72" t="s">
        <v>1758</v>
      </c>
      <c r="AD72">
        <v>74.40000000000001</v>
      </c>
      <c r="AE72" t="s">
        <v>2056</v>
      </c>
      <c r="AF72" t="s">
        <v>2353</v>
      </c>
      <c r="AG72">
        <v>30303</v>
      </c>
      <c r="AH72">
        <v>1014</v>
      </c>
      <c r="AJ72">
        <v>1.33</v>
      </c>
    </row>
    <row r="73" spans="1:36">
      <c r="A73" s="1" t="s">
        <v>217</v>
      </c>
      <c r="B73" t="s">
        <v>515</v>
      </c>
      <c r="C73">
        <f>HYPERLINK("https://finance.naver.com/item/coinfo.nhn?code=006090", "A006090")</f>
        <v>0</v>
      </c>
      <c r="D73">
        <f>HYPERLINK("http://comp.fnguide.com/SVO2/ASP/SVD_Consensus.asp?pGB=1&amp;gicode=A006090&amp;cID=&amp;MenuYn=Y&amp;ReportGB=&amp;NewMenuID=108&amp;stkGb=701", "사조오양")</f>
        <v>0</v>
      </c>
      <c r="E73">
        <v>3</v>
      </c>
      <c r="F73">
        <v>9750</v>
      </c>
      <c r="G73">
        <v>0</v>
      </c>
      <c r="H73">
        <v>5.4</v>
      </c>
      <c r="I73">
        <v>19339</v>
      </c>
      <c r="J73">
        <v>18409</v>
      </c>
      <c r="K73">
        <v>18142</v>
      </c>
      <c r="L73">
        <v>-98.34999999999999</v>
      </c>
      <c r="M73">
        <v>-88.81</v>
      </c>
      <c r="N73">
        <v>-86.06999999999999</v>
      </c>
      <c r="O73">
        <v>8.720000000000001</v>
      </c>
      <c r="P73" t="b">
        <v>1</v>
      </c>
      <c r="Q73">
        <v>0</v>
      </c>
      <c r="R73">
        <v>1402</v>
      </c>
      <c r="U73" t="s">
        <v>813</v>
      </c>
      <c r="V73" t="s">
        <v>1111</v>
      </c>
      <c r="W73">
        <v>0</v>
      </c>
      <c r="X73">
        <v>80.59999999999999</v>
      </c>
      <c r="Y73" t="s">
        <v>1405</v>
      </c>
      <c r="Z73">
        <v>13.55978918744829</v>
      </c>
      <c r="AA73">
        <v>919</v>
      </c>
      <c r="AB73">
        <v>128350</v>
      </c>
      <c r="AC73" t="s">
        <v>1699</v>
      </c>
      <c r="AD73">
        <v>60.53</v>
      </c>
      <c r="AE73" t="s">
        <v>1997</v>
      </c>
      <c r="AF73" t="s">
        <v>2295</v>
      </c>
      <c r="AG73">
        <v>3136</v>
      </c>
      <c r="AH73">
        <v>226</v>
      </c>
      <c r="AI73">
        <v>3</v>
      </c>
      <c r="AJ73">
        <v>1.32</v>
      </c>
    </row>
    <row r="74" spans="1:36">
      <c r="A74" s="1" t="s">
        <v>253</v>
      </c>
      <c r="B74" t="s">
        <v>551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1</v>
      </c>
      <c r="F74">
        <v>7470</v>
      </c>
      <c r="G74">
        <v>0</v>
      </c>
      <c r="H74">
        <v>7.45</v>
      </c>
      <c r="I74">
        <v>7862</v>
      </c>
      <c r="J74">
        <v>7226</v>
      </c>
      <c r="K74">
        <v>7043</v>
      </c>
      <c r="L74">
        <v>-5.25</v>
      </c>
      <c r="M74">
        <v>3.27</v>
      </c>
      <c r="N74">
        <v>5.71</v>
      </c>
      <c r="O74">
        <v>9.27</v>
      </c>
      <c r="P74" t="b">
        <v>1</v>
      </c>
      <c r="Q74">
        <v>0</v>
      </c>
      <c r="R74">
        <v>418</v>
      </c>
      <c r="U74" t="s">
        <v>849</v>
      </c>
      <c r="V74" t="s">
        <v>1147</v>
      </c>
      <c r="W74">
        <v>0</v>
      </c>
      <c r="X74">
        <v>-4.8</v>
      </c>
      <c r="Y74" t="s">
        <v>1441</v>
      </c>
      <c r="Z74">
        <v>12.6233358007017</v>
      </c>
      <c r="AA74">
        <v>1658</v>
      </c>
      <c r="AB74">
        <v>506012</v>
      </c>
      <c r="AC74" t="s">
        <v>1735</v>
      </c>
      <c r="AD74">
        <v>54.44</v>
      </c>
      <c r="AE74" t="s">
        <v>2033</v>
      </c>
      <c r="AF74" t="s">
        <v>2330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213</v>
      </c>
      <c r="B75" t="s">
        <v>511</v>
      </c>
      <c r="C75">
        <f>HYPERLINK("https://finance.naver.com/item/coinfo.nhn?code=189690", "A189690")</f>
        <v>0</v>
      </c>
      <c r="D75">
        <f>HYPERLINK("http://comp.fnguide.com/SVO2/ASP/SVD_Consensus.asp?pGB=1&amp;gicode=A189690&amp;cID=&amp;MenuYn=Y&amp;ReportGB=&amp;NewMenuID=108&amp;stkGb=701", "포시에스")</f>
        <v>0</v>
      </c>
      <c r="E75">
        <v>3</v>
      </c>
      <c r="F75">
        <v>6670</v>
      </c>
      <c r="G75">
        <v>0</v>
      </c>
      <c r="H75">
        <v>11.99</v>
      </c>
      <c r="I75">
        <v>7169</v>
      </c>
      <c r="J75">
        <v>6955</v>
      </c>
      <c r="K75">
        <v>6894</v>
      </c>
      <c r="L75">
        <v>-7.48</v>
      </c>
      <c r="M75">
        <v>-4.27</v>
      </c>
      <c r="N75">
        <v>-3.35</v>
      </c>
      <c r="O75">
        <v>8.44</v>
      </c>
      <c r="P75" t="b">
        <v>1</v>
      </c>
      <c r="Q75">
        <v>0</v>
      </c>
      <c r="R75">
        <v>620</v>
      </c>
      <c r="U75" t="s">
        <v>809</v>
      </c>
      <c r="V75" t="s">
        <v>1107</v>
      </c>
      <c r="W75">
        <v>0</v>
      </c>
      <c r="X75">
        <v>-33.3</v>
      </c>
      <c r="Y75" t="s">
        <v>1401</v>
      </c>
      <c r="Z75">
        <v>-4.314940650518729</v>
      </c>
      <c r="AA75">
        <v>551</v>
      </c>
      <c r="AB75">
        <v>74488</v>
      </c>
      <c r="AC75" t="s">
        <v>1695</v>
      </c>
      <c r="AD75">
        <v>51.35</v>
      </c>
      <c r="AE75" t="s">
        <v>1993</v>
      </c>
      <c r="AF75" t="s">
        <v>2291</v>
      </c>
      <c r="AG75">
        <v>217</v>
      </c>
      <c r="AH75">
        <v>48</v>
      </c>
      <c r="AI75">
        <v>274553</v>
      </c>
      <c r="AJ75">
        <v>1.28</v>
      </c>
    </row>
    <row r="76" spans="1:36">
      <c r="A76" s="1" t="s">
        <v>125</v>
      </c>
      <c r="B76" t="s">
        <v>423</v>
      </c>
      <c r="C76">
        <f>HYPERLINK("https://finance.naver.com/item/coinfo.nhn?code=009780", "A009780")</f>
        <v>0</v>
      </c>
      <c r="D76">
        <f>HYPERLINK("http://comp.fnguide.com/SVO2/ASP/SVD_Consensus.asp?pGB=1&amp;gicode=A009780&amp;cID=&amp;MenuYn=Y&amp;ReportGB=&amp;NewMenuID=108&amp;stkGb=701", "엠에스씨")</f>
        <v>0</v>
      </c>
      <c r="E76">
        <v>3</v>
      </c>
      <c r="F76">
        <v>4825</v>
      </c>
      <c r="G76">
        <v>0</v>
      </c>
      <c r="H76">
        <v>7.09</v>
      </c>
      <c r="I76">
        <v>9250</v>
      </c>
      <c r="J76">
        <v>6781</v>
      </c>
      <c r="K76">
        <v>6074</v>
      </c>
      <c r="L76">
        <v>-91.7</v>
      </c>
      <c r="M76">
        <v>-40.53</v>
      </c>
      <c r="N76">
        <v>-25.88</v>
      </c>
      <c r="O76">
        <v>14.46</v>
      </c>
      <c r="P76" t="b">
        <v>1</v>
      </c>
      <c r="Q76">
        <v>0</v>
      </c>
      <c r="R76">
        <v>668</v>
      </c>
      <c r="U76" t="s">
        <v>721</v>
      </c>
      <c r="V76" t="s">
        <v>1019</v>
      </c>
      <c r="W76">
        <v>0</v>
      </c>
      <c r="X76">
        <v>-3.9</v>
      </c>
      <c r="Y76" t="s">
        <v>1315</v>
      </c>
      <c r="Z76">
        <v>17.00481504585123</v>
      </c>
      <c r="AA76">
        <v>849</v>
      </c>
      <c r="AB76">
        <v>68363</v>
      </c>
      <c r="AC76" t="s">
        <v>1607</v>
      </c>
      <c r="AD76">
        <v>73.22</v>
      </c>
      <c r="AE76" t="s">
        <v>1905</v>
      </c>
      <c r="AF76" t="s">
        <v>2203</v>
      </c>
      <c r="AG76">
        <v>1492</v>
      </c>
      <c r="AH76">
        <v>147</v>
      </c>
      <c r="AJ76">
        <v>1.27</v>
      </c>
    </row>
    <row r="77" spans="1:36">
      <c r="A77" s="1" t="s">
        <v>114</v>
      </c>
      <c r="B77" t="s">
        <v>412</v>
      </c>
      <c r="C77">
        <f>HYPERLINK("https://finance.naver.com/item/coinfo.nhn?code=006580", "A006580")</f>
        <v>0</v>
      </c>
      <c r="D77">
        <f>HYPERLINK("http://comp.fnguide.com/SVO2/ASP/SVD_Consensus.asp?pGB=1&amp;gicode=A006580&amp;cID=&amp;MenuYn=Y&amp;ReportGB=&amp;NewMenuID=108&amp;stkGb=701", "대양제지")</f>
        <v>0</v>
      </c>
      <c r="E77">
        <v>3</v>
      </c>
      <c r="F77">
        <v>3260</v>
      </c>
      <c r="G77">
        <v>0</v>
      </c>
      <c r="H77">
        <v>3.71</v>
      </c>
      <c r="I77">
        <v>16043</v>
      </c>
      <c r="J77">
        <v>10329</v>
      </c>
      <c r="K77">
        <v>8694</v>
      </c>
      <c r="L77">
        <v>-392.1</v>
      </c>
      <c r="M77">
        <v>-216.84</v>
      </c>
      <c r="N77">
        <v>-166.68</v>
      </c>
      <c r="O77">
        <v>19.76</v>
      </c>
      <c r="P77" t="b">
        <v>1</v>
      </c>
      <c r="Q77">
        <v>0</v>
      </c>
      <c r="R77">
        <v>876</v>
      </c>
      <c r="S77">
        <v>297</v>
      </c>
      <c r="T77">
        <v>-66.09999999999999</v>
      </c>
      <c r="U77" t="s">
        <v>710</v>
      </c>
      <c r="V77" t="s">
        <v>1008</v>
      </c>
      <c r="W77">
        <v>0</v>
      </c>
      <c r="X77">
        <v>-26.9</v>
      </c>
      <c r="Y77" t="s">
        <v>1304</v>
      </c>
      <c r="Z77">
        <v>-24.73214497542792</v>
      </c>
      <c r="AA77">
        <v>875</v>
      </c>
      <c r="AB77">
        <v>0</v>
      </c>
      <c r="AC77" t="s">
        <v>1596</v>
      </c>
      <c r="AD77">
        <v>53.58</v>
      </c>
      <c r="AE77" t="s">
        <v>1894</v>
      </c>
      <c r="AF77" t="s">
        <v>2192</v>
      </c>
      <c r="AG77">
        <v>2594</v>
      </c>
      <c r="AH77">
        <v>327</v>
      </c>
      <c r="AI77">
        <v>6193269</v>
      </c>
      <c r="AJ77">
        <v>1.23</v>
      </c>
    </row>
    <row r="78" spans="1:36">
      <c r="A78" s="1" t="s">
        <v>194</v>
      </c>
      <c r="B78" t="s">
        <v>492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42000</v>
      </c>
      <c r="G78">
        <v>0.49</v>
      </c>
      <c r="H78">
        <v>9.130000000000001</v>
      </c>
      <c r="I78">
        <v>47633</v>
      </c>
      <c r="J78">
        <v>44272</v>
      </c>
      <c r="K78">
        <v>43310</v>
      </c>
      <c r="L78">
        <v>-13.41</v>
      </c>
      <c r="M78">
        <v>-5.41</v>
      </c>
      <c r="N78">
        <v>-3.12</v>
      </c>
      <c r="O78">
        <v>9.09</v>
      </c>
      <c r="P78" t="b">
        <v>1</v>
      </c>
      <c r="Q78">
        <v>3</v>
      </c>
      <c r="R78">
        <v>3753</v>
      </c>
      <c r="S78">
        <v>4101</v>
      </c>
      <c r="T78">
        <v>9.300000000000001</v>
      </c>
      <c r="U78" t="s">
        <v>790</v>
      </c>
      <c r="V78" t="s">
        <v>1088</v>
      </c>
      <c r="W78">
        <v>18.69216673445067</v>
      </c>
      <c r="X78">
        <v>-1.7</v>
      </c>
      <c r="Y78" t="s">
        <v>1383</v>
      </c>
      <c r="Z78">
        <v>4.705134005170453</v>
      </c>
      <c r="AA78">
        <v>18611</v>
      </c>
      <c r="AB78">
        <v>216882</v>
      </c>
      <c r="AC78" t="s">
        <v>1676</v>
      </c>
      <c r="AD78">
        <v>50.74</v>
      </c>
      <c r="AE78" t="s">
        <v>1974</v>
      </c>
      <c r="AF78" t="s">
        <v>2272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138</v>
      </c>
      <c r="B79" t="s">
        <v>436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8420</v>
      </c>
      <c r="G79">
        <v>0</v>
      </c>
      <c r="H79">
        <v>8.039999999999999</v>
      </c>
      <c r="I79">
        <v>16358</v>
      </c>
      <c r="J79">
        <v>16241</v>
      </c>
      <c r="K79">
        <v>16208</v>
      </c>
      <c r="L79">
        <v>-94.27</v>
      </c>
      <c r="M79">
        <v>-92.89</v>
      </c>
      <c r="N79">
        <v>-92.48999999999999</v>
      </c>
      <c r="O79">
        <v>8.119999999999999</v>
      </c>
      <c r="P79" t="b">
        <v>1</v>
      </c>
      <c r="Q79">
        <v>0</v>
      </c>
      <c r="R79">
        <v>1135</v>
      </c>
      <c r="S79">
        <v>-202</v>
      </c>
      <c r="T79">
        <v>-117.8</v>
      </c>
      <c r="U79" t="s">
        <v>734</v>
      </c>
      <c r="V79" t="s">
        <v>1032</v>
      </c>
      <c r="W79">
        <v>0</v>
      </c>
      <c r="X79">
        <v>0</v>
      </c>
      <c r="Y79" t="s">
        <v>1328</v>
      </c>
      <c r="Z79">
        <v>-1.72560887448977</v>
      </c>
      <c r="AA79">
        <v>8224</v>
      </c>
      <c r="AB79">
        <v>771315</v>
      </c>
      <c r="AC79" t="s">
        <v>1620</v>
      </c>
      <c r="AD79">
        <v>66.95</v>
      </c>
      <c r="AE79" t="s">
        <v>1918</v>
      </c>
      <c r="AF79" t="s">
        <v>2216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306</v>
      </c>
      <c r="B80" t="s">
        <v>604</v>
      </c>
      <c r="C80">
        <f>HYPERLINK("https://finance.naver.com/item/coinfo.nhn?code=251630", "A251630")</f>
        <v>0</v>
      </c>
      <c r="D80">
        <f>HYPERLINK("http://comp.fnguide.com/SVO2/ASP/SVD_Consensus.asp?pGB=1&amp;gicode=A251630&amp;cID=&amp;MenuYn=Y&amp;ReportGB=&amp;NewMenuID=108&amp;stkGb=701", "브이원텍")</f>
        <v>0</v>
      </c>
      <c r="E80">
        <v>1</v>
      </c>
      <c r="F80">
        <v>10700</v>
      </c>
      <c r="G80">
        <v>-0.77</v>
      </c>
      <c r="H80">
        <v>20.91</v>
      </c>
      <c r="I80">
        <v>11222</v>
      </c>
      <c r="J80">
        <v>7903</v>
      </c>
      <c r="K80">
        <v>6953</v>
      </c>
      <c r="L80">
        <v>-4.88</v>
      </c>
      <c r="M80">
        <v>26.14</v>
      </c>
      <c r="N80">
        <v>35.02</v>
      </c>
      <c r="O80">
        <v>15.83</v>
      </c>
      <c r="P80" t="b">
        <v>1</v>
      </c>
      <c r="Q80">
        <v>0</v>
      </c>
      <c r="R80">
        <v>442</v>
      </c>
      <c r="S80">
        <v>321</v>
      </c>
      <c r="T80">
        <v>-27.4</v>
      </c>
      <c r="U80" t="s">
        <v>902</v>
      </c>
      <c r="V80" t="s">
        <v>1200</v>
      </c>
      <c r="W80">
        <v>-27.19602814710489</v>
      </c>
      <c r="X80">
        <v>-6.9</v>
      </c>
      <c r="Y80" t="s">
        <v>1491</v>
      </c>
      <c r="Z80">
        <v>14.49186008396843</v>
      </c>
      <c r="AA80">
        <v>1610</v>
      </c>
      <c r="AB80">
        <v>185509</v>
      </c>
      <c r="AC80" t="s">
        <v>1788</v>
      </c>
      <c r="AD80">
        <v>52.04</v>
      </c>
      <c r="AE80" t="s">
        <v>2086</v>
      </c>
      <c r="AF80" t="s">
        <v>2382</v>
      </c>
      <c r="AG80">
        <v>268</v>
      </c>
      <c r="AH80">
        <v>48</v>
      </c>
      <c r="AI80">
        <v>680241</v>
      </c>
      <c r="AJ80">
        <v>1.08</v>
      </c>
    </row>
    <row r="81" spans="1:36">
      <c r="A81" s="1" t="s">
        <v>184</v>
      </c>
      <c r="B81" t="s">
        <v>482</v>
      </c>
      <c r="C81">
        <f>HYPERLINK("https://finance.naver.com/item/coinfo.nhn?code=016590", "A016590")</f>
        <v>0</v>
      </c>
      <c r="D81">
        <f>HYPERLINK("http://comp.fnguide.com/SVO2/ASP/SVD_Consensus.asp?pGB=1&amp;gicode=A016590&amp;cID=&amp;MenuYn=Y&amp;ReportGB=&amp;NewMenuID=108&amp;stkGb=701", "신대양제지")</f>
        <v>0</v>
      </c>
      <c r="E81">
        <v>3</v>
      </c>
      <c r="F81">
        <v>65000</v>
      </c>
      <c r="G81">
        <v>0.2</v>
      </c>
      <c r="H81">
        <v>4.3</v>
      </c>
      <c r="I81">
        <v>233324</v>
      </c>
      <c r="J81">
        <v>158974</v>
      </c>
      <c r="K81">
        <v>137693</v>
      </c>
      <c r="L81">
        <v>-258.96</v>
      </c>
      <c r="M81">
        <v>-144.57</v>
      </c>
      <c r="N81">
        <v>-111.83</v>
      </c>
      <c r="O81">
        <v>17.12</v>
      </c>
      <c r="P81" t="b">
        <v>1</v>
      </c>
      <c r="Q81">
        <v>0</v>
      </c>
      <c r="R81">
        <v>13849</v>
      </c>
      <c r="S81">
        <v>12518</v>
      </c>
      <c r="T81">
        <v>-9.6</v>
      </c>
      <c r="U81" t="s">
        <v>780</v>
      </c>
      <c r="V81" t="s">
        <v>1078</v>
      </c>
      <c r="W81">
        <v>21.20752965815347</v>
      </c>
      <c r="X81">
        <v>-17</v>
      </c>
      <c r="Y81" t="s">
        <v>1373</v>
      </c>
      <c r="Z81">
        <v>29.98273632658002</v>
      </c>
      <c r="AA81">
        <v>2619</v>
      </c>
      <c r="AB81">
        <v>15209</v>
      </c>
      <c r="AC81" t="s">
        <v>1666</v>
      </c>
      <c r="AD81">
        <v>53.49</v>
      </c>
      <c r="AE81" t="s">
        <v>1964</v>
      </c>
      <c r="AF81" t="s">
        <v>2262</v>
      </c>
      <c r="AG81">
        <v>6468</v>
      </c>
      <c r="AH81">
        <v>947</v>
      </c>
      <c r="AI81">
        <v>201500</v>
      </c>
      <c r="AJ81">
        <v>1.05</v>
      </c>
    </row>
    <row r="82" spans="1:36">
      <c r="A82" s="1" t="s">
        <v>106</v>
      </c>
      <c r="B82" t="s">
        <v>404</v>
      </c>
      <c r="C82">
        <f>HYPERLINK("https://finance.naver.com/item/coinfo.nhn?code=241770", "A241770")</f>
        <v>0</v>
      </c>
      <c r="D82">
        <f>HYPERLINK("http://comp.fnguide.com/SVO2/ASP/SVD_Consensus.asp?pGB=1&amp;gicode=A241770&amp;cID=&amp;MenuYn=Y&amp;ReportGB=&amp;NewMenuID=108&amp;stkGb=701", "메카로")</f>
        <v>0</v>
      </c>
      <c r="E82">
        <v>3</v>
      </c>
      <c r="F82">
        <v>15000</v>
      </c>
      <c r="G82">
        <v>0</v>
      </c>
      <c r="H82">
        <v>18.81</v>
      </c>
      <c r="I82">
        <v>31662</v>
      </c>
      <c r="J82">
        <v>21394</v>
      </c>
      <c r="K82">
        <v>18456</v>
      </c>
      <c r="L82">
        <v>-111.08</v>
      </c>
      <c r="M82">
        <v>-42.63</v>
      </c>
      <c r="N82">
        <v>-23.04</v>
      </c>
      <c r="O82">
        <v>17.47</v>
      </c>
      <c r="P82" t="b">
        <v>1</v>
      </c>
      <c r="Q82">
        <v>0</v>
      </c>
      <c r="R82">
        <v>819</v>
      </c>
      <c r="U82" t="s">
        <v>702</v>
      </c>
      <c r="V82" t="s">
        <v>1000</v>
      </c>
      <c r="W82">
        <v>0</v>
      </c>
      <c r="X82">
        <v>-98.40000000000001</v>
      </c>
      <c r="Y82" t="s">
        <v>1296</v>
      </c>
      <c r="Z82">
        <v>-53.38808199501476</v>
      </c>
      <c r="AA82">
        <v>1515</v>
      </c>
      <c r="AB82">
        <v>53417</v>
      </c>
      <c r="AC82" t="s">
        <v>1588</v>
      </c>
      <c r="AD82">
        <v>60.36</v>
      </c>
      <c r="AE82" t="s">
        <v>1886</v>
      </c>
      <c r="AF82" t="s">
        <v>2184</v>
      </c>
      <c r="AG82">
        <v>725</v>
      </c>
      <c r="AH82">
        <v>86</v>
      </c>
      <c r="AI82">
        <v>380000</v>
      </c>
      <c r="AJ82">
        <v>1.04</v>
      </c>
    </row>
    <row r="83" spans="1:36">
      <c r="A83" s="1" t="s">
        <v>277</v>
      </c>
      <c r="B83" t="s">
        <v>575</v>
      </c>
      <c r="C83">
        <f>HYPERLINK("https://finance.naver.com/item/coinfo.nhn?code=107590", "A107590")</f>
        <v>0</v>
      </c>
      <c r="D83">
        <f>HYPERLINK("http://comp.fnguide.com/SVO2/ASP/SVD_Consensus.asp?pGB=1&amp;gicode=A107590&amp;cID=&amp;MenuYn=Y&amp;ReportGB=&amp;NewMenuID=108&amp;stkGb=701", "미원홀딩스")</f>
        <v>0</v>
      </c>
      <c r="E83">
        <v>1</v>
      </c>
      <c r="F83">
        <v>72700</v>
      </c>
      <c r="G83">
        <v>0.14</v>
      </c>
      <c r="H83">
        <v>6.24</v>
      </c>
      <c r="I83">
        <v>73414</v>
      </c>
      <c r="J83">
        <v>67337</v>
      </c>
      <c r="K83">
        <v>65597</v>
      </c>
      <c r="L83">
        <v>-0.98</v>
      </c>
      <c r="M83">
        <v>7.38</v>
      </c>
      <c r="N83">
        <v>9.77</v>
      </c>
      <c r="O83">
        <v>9.300000000000001</v>
      </c>
      <c r="P83" t="b">
        <v>1</v>
      </c>
      <c r="Q83">
        <v>3</v>
      </c>
      <c r="R83">
        <v>6591</v>
      </c>
      <c r="S83">
        <v>10256</v>
      </c>
      <c r="T83">
        <v>55.6</v>
      </c>
      <c r="U83" t="s">
        <v>873</v>
      </c>
      <c r="V83" t="s">
        <v>1171</v>
      </c>
      <c r="W83">
        <v>45.48481215094638</v>
      </c>
      <c r="X83">
        <v>19</v>
      </c>
      <c r="Y83" t="s">
        <v>1463</v>
      </c>
      <c r="Z83">
        <v>13.17556714261634</v>
      </c>
      <c r="AA83">
        <v>1687</v>
      </c>
      <c r="AB83">
        <v>2484</v>
      </c>
      <c r="AC83" t="s">
        <v>1759</v>
      </c>
      <c r="AD83">
        <v>71.01000000000001</v>
      </c>
      <c r="AE83" t="s">
        <v>2057</v>
      </c>
      <c r="AF83" t="s">
        <v>2354</v>
      </c>
      <c r="AG83">
        <v>1884</v>
      </c>
      <c r="AH83">
        <v>78</v>
      </c>
      <c r="AJ83">
        <v>0.97</v>
      </c>
    </row>
    <row r="84" spans="1:36">
      <c r="A84" s="1" t="s">
        <v>292</v>
      </c>
      <c r="B84" t="s">
        <v>590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1</v>
      </c>
      <c r="F84">
        <v>71500</v>
      </c>
      <c r="G84">
        <v>0.54</v>
      </c>
      <c r="H84">
        <v>10.5</v>
      </c>
      <c r="I84">
        <v>97403</v>
      </c>
      <c r="J84">
        <v>70870</v>
      </c>
      <c r="K84">
        <v>63276</v>
      </c>
      <c r="L84">
        <v>-36.23</v>
      </c>
      <c r="M84">
        <v>0.88</v>
      </c>
      <c r="N84">
        <v>11.5</v>
      </c>
      <c r="O84">
        <v>14.7</v>
      </c>
      <c r="P84" t="b">
        <v>1</v>
      </c>
      <c r="Q84">
        <v>0</v>
      </c>
      <c r="R84">
        <v>8202</v>
      </c>
      <c r="S84">
        <v>8066</v>
      </c>
      <c r="T84">
        <v>-1.7</v>
      </c>
      <c r="U84" t="s">
        <v>888</v>
      </c>
      <c r="V84" t="s">
        <v>1186</v>
      </c>
      <c r="W84">
        <v>19.62169550919404</v>
      </c>
      <c r="X84">
        <v>-14.5</v>
      </c>
      <c r="Y84" t="s">
        <v>1477</v>
      </c>
      <c r="Z84">
        <v>0</v>
      </c>
      <c r="AA84">
        <v>5608</v>
      </c>
      <c r="AB84">
        <v>34154</v>
      </c>
      <c r="AC84" t="s">
        <v>1774</v>
      </c>
      <c r="AD84">
        <v>56.27</v>
      </c>
      <c r="AE84" t="s">
        <v>2072</v>
      </c>
      <c r="AF84" t="s">
        <v>2369</v>
      </c>
      <c r="AG84">
        <v>13933</v>
      </c>
      <c r="AH84">
        <v>853</v>
      </c>
      <c r="AI84">
        <v>248728</v>
      </c>
      <c r="AJ84">
        <v>0.93</v>
      </c>
    </row>
    <row r="85" spans="1:36">
      <c r="A85" s="1" t="s">
        <v>293</v>
      </c>
      <c r="B85" t="s">
        <v>591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40900</v>
      </c>
      <c r="G85">
        <v>0</v>
      </c>
      <c r="H85">
        <v>13.59</v>
      </c>
      <c r="I85">
        <v>43582</v>
      </c>
      <c r="J85">
        <v>27193</v>
      </c>
      <c r="K85">
        <v>22502</v>
      </c>
      <c r="L85">
        <v>-6.56</v>
      </c>
      <c r="M85">
        <v>33.51</v>
      </c>
      <c r="N85">
        <v>44.98</v>
      </c>
      <c r="O85">
        <v>21.52</v>
      </c>
      <c r="P85" t="b">
        <v>1</v>
      </c>
      <c r="Q85">
        <v>0</v>
      </c>
      <c r="R85">
        <v>3839</v>
      </c>
      <c r="U85" t="s">
        <v>889</v>
      </c>
      <c r="V85" t="s">
        <v>1187</v>
      </c>
      <c r="W85">
        <v>0</v>
      </c>
      <c r="X85">
        <v>-4.4</v>
      </c>
      <c r="Y85" t="s">
        <v>1478</v>
      </c>
      <c r="Z85">
        <v>17.65699495895263</v>
      </c>
      <c r="AA85">
        <v>2205</v>
      </c>
      <c r="AB85">
        <v>25239</v>
      </c>
      <c r="AC85" t="s">
        <v>1775</v>
      </c>
      <c r="AD85">
        <v>63.27</v>
      </c>
      <c r="AE85" t="s">
        <v>2073</v>
      </c>
      <c r="AF85" t="s">
        <v>2370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297</v>
      </c>
      <c r="B86" t="s">
        <v>595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20550</v>
      </c>
      <c r="G86">
        <v>0.06</v>
      </c>
      <c r="H86">
        <v>11.28</v>
      </c>
      <c r="I86">
        <v>27223</v>
      </c>
      <c r="J86">
        <v>15155</v>
      </c>
      <c r="K86">
        <v>11700</v>
      </c>
      <c r="L86">
        <v>-32.47</v>
      </c>
      <c r="M86">
        <v>26.25</v>
      </c>
      <c r="N86">
        <v>43.06</v>
      </c>
      <c r="O86">
        <v>30.79</v>
      </c>
      <c r="P86" t="b">
        <v>1</v>
      </c>
      <c r="Q86">
        <v>0</v>
      </c>
      <c r="R86">
        <v>1785</v>
      </c>
      <c r="S86">
        <v>1583</v>
      </c>
      <c r="T86">
        <v>-11.3</v>
      </c>
      <c r="U86" t="s">
        <v>893</v>
      </c>
      <c r="V86" t="s">
        <v>1191</v>
      </c>
      <c r="W86">
        <v>181.4683913622955</v>
      </c>
      <c r="X86">
        <v>-14.7</v>
      </c>
      <c r="Y86" t="s">
        <v>1482</v>
      </c>
      <c r="Z86">
        <v>0</v>
      </c>
      <c r="AA86">
        <v>2027</v>
      </c>
      <c r="AB86">
        <v>210990</v>
      </c>
      <c r="AC86" t="s">
        <v>1779</v>
      </c>
      <c r="AD86">
        <v>51.79</v>
      </c>
      <c r="AE86" t="s">
        <v>2077</v>
      </c>
      <c r="AF86" t="s">
        <v>2374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242</v>
      </c>
      <c r="B87" t="s">
        <v>540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2</v>
      </c>
      <c r="F87">
        <v>47450</v>
      </c>
      <c r="G87">
        <v>0.13</v>
      </c>
      <c r="H87">
        <v>5.79</v>
      </c>
      <c r="I87">
        <v>68146</v>
      </c>
      <c r="J87">
        <v>47905</v>
      </c>
      <c r="K87">
        <v>42112</v>
      </c>
      <c r="L87">
        <v>-43.62</v>
      </c>
      <c r="M87">
        <v>-0.96</v>
      </c>
      <c r="N87">
        <v>11.25</v>
      </c>
      <c r="O87">
        <v>15.9</v>
      </c>
      <c r="P87" t="b">
        <v>1</v>
      </c>
      <c r="Q87">
        <v>3</v>
      </c>
      <c r="R87">
        <v>5870</v>
      </c>
      <c r="S87">
        <v>7880</v>
      </c>
      <c r="T87">
        <v>34.2</v>
      </c>
      <c r="U87" t="s">
        <v>838</v>
      </c>
      <c r="V87" t="s">
        <v>1136</v>
      </c>
      <c r="W87">
        <v>46.30129389317463</v>
      </c>
      <c r="X87">
        <v>48.1</v>
      </c>
      <c r="Y87" t="s">
        <v>1430</v>
      </c>
      <c r="Z87">
        <v>0</v>
      </c>
      <c r="AA87">
        <v>2168</v>
      </c>
      <c r="AB87">
        <v>25034</v>
      </c>
      <c r="AC87" t="s">
        <v>1724</v>
      </c>
      <c r="AD87">
        <v>60.02</v>
      </c>
      <c r="AE87" t="s">
        <v>2022</v>
      </c>
      <c r="AF87" t="s">
        <v>2319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89</v>
      </c>
      <c r="B88" t="s">
        <v>387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14250</v>
      </c>
      <c r="G88">
        <v>0</v>
      </c>
      <c r="H88">
        <v>1.28</v>
      </c>
      <c r="I88">
        <v>83636</v>
      </c>
      <c r="J88">
        <v>41744</v>
      </c>
      <c r="K88">
        <v>29754</v>
      </c>
      <c r="L88">
        <v>-486.92</v>
      </c>
      <c r="M88">
        <v>-192.94</v>
      </c>
      <c r="N88">
        <v>-108.8</v>
      </c>
      <c r="O88">
        <v>48.77</v>
      </c>
      <c r="P88" t="b">
        <v>1</v>
      </c>
      <c r="Q88">
        <v>0</v>
      </c>
      <c r="R88">
        <v>7553</v>
      </c>
      <c r="U88" t="s">
        <v>685</v>
      </c>
      <c r="V88" t="s">
        <v>983</v>
      </c>
      <c r="W88">
        <v>0</v>
      </c>
      <c r="X88">
        <v>-95.90000000000001</v>
      </c>
      <c r="Y88" t="s">
        <v>1279</v>
      </c>
      <c r="Z88">
        <v>11.7330467586956</v>
      </c>
      <c r="AA88">
        <v>2277</v>
      </c>
      <c r="AB88">
        <v>3629371</v>
      </c>
      <c r="AC88" t="s">
        <v>1571</v>
      </c>
      <c r="AD88">
        <v>75.53</v>
      </c>
      <c r="AE88" t="s">
        <v>1869</v>
      </c>
      <c r="AF88" t="s">
        <v>2167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303</v>
      </c>
      <c r="B89" t="s">
        <v>601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1</v>
      </c>
      <c r="F89">
        <v>26300</v>
      </c>
      <c r="G89">
        <v>0</v>
      </c>
      <c r="H89">
        <v>12.8</v>
      </c>
      <c r="I89">
        <v>40283</v>
      </c>
      <c r="J89">
        <v>26164</v>
      </c>
      <c r="K89">
        <v>22123</v>
      </c>
      <c r="L89">
        <v>-53.17</v>
      </c>
      <c r="M89">
        <v>0.52</v>
      </c>
      <c r="N89">
        <v>15.88</v>
      </c>
      <c r="O89">
        <v>19.31</v>
      </c>
      <c r="P89" t="b">
        <v>1</v>
      </c>
      <c r="Q89">
        <v>0</v>
      </c>
      <c r="R89">
        <v>2281</v>
      </c>
      <c r="S89">
        <v>-1466</v>
      </c>
      <c r="T89">
        <v>-164.3</v>
      </c>
      <c r="U89" t="s">
        <v>899</v>
      </c>
      <c r="V89" t="s">
        <v>1197</v>
      </c>
      <c r="W89">
        <v>0</v>
      </c>
      <c r="X89">
        <v>-65</v>
      </c>
      <c r="Y89" t="s">
        <v>1488</v>
      </c>
      <c r="Z89">
        <v>-11.03332079656073</v>
      </c>
      <c r="AA89">
        <v>3907</v>
      </c>
      <c r="AB89">
        <v>171624</v>
      </c>
      <c r="AC89" t="s">
        <v>1785</v>
      </c>
      <c r="AD89">
        <v>53.65</v>
      </c>
      <c r="AE89" t="s">
        <v>2083</v>
      </c>
      <c r="AF89" t="s">
        <v>2379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2021-02-27T09:08:10Z</dcterms:created>
  <dcterms:modified xsi:type="dcterms:W3CDTF">2021-02-27T09:08:10Z</dcterms:modified>
</cp:coreProperties>
</file>