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<sst xmlns="http://schemas.openxmlformats.org/spreadsheetml/2006/main" count="2572" uniqueCount="1948">
  <si>
    <t>[320.0, 24.0, 982.0, nan]</t>
  </si>
  <si>
    <t>[662.0, 879.0, 1924.0, nan]</t>
  </si>
  <si>
    <t>[74962.0, 576.0, 281.0, 272.0]</t>
  </si>
  <si>
    <t>[4139.0, 4753.0, 4694.0, nan]</t>
  </si>
  <si>
    <t>[140.0, 1278.0, 1998.0, 849.0]</t>
  </si>
  <si>
    <t>[1036.0, 1542.0, 1086.0, nan]</t>
  </si>
  <si>
    <t>[1108.0, 1343.0, 933.0, nan]</t>
  </si>
  <si>
    <t>[535.0, 1348.0, 2226.0, nan]</t>
  </si>
  <si>
    <t>[996.0, 1639.0, 2589.0, nan]</t>
  </si>
  <si>
    <t>[881.0, 948.0, 885.0, 485.0]</t>
  </si>
  <si>
    <t>[1354.0, 1196.0, 1531.0, nan]</t>
  </si>
  <si>
    <t>[566.0, 576.0, 296.0, nan]</t>
  </si>
  <si>
    <t>[507.0, 270.0, 2877.0, nan]</t>
  </si>
  <si>
    <t>[3721.0, 2883.0, 819.0, nan]</t>
  </si>
  <si>
    <t>[126.0, 214.0, 213.0, nan]</t>
  </si>
  <si>
    <t>[1013.0, 826.0, 723.0, 993.0]</t>
  </si>
  <si>
    <t>[1005.0, 2021.0, 396.0, nan]</t>
  </si>
  <si>
    <t>[1085.0, 758.0, 499.0, nan]</t>
  </si>
  <si>
    <t>[2389.0, 2690.0, 932.0, nan]</t>
  </si>
  <si>
    <t>[442.0, 3650.0, 1779.0, nan]</t>
  </si>
  <si>
    <t>[1659.0, 822.0, 849.0, nan]</t>
  </si>
  <si>
    <t>[461.0, 266.0, 2019.0, nan]</t>
  </si>
  <si>
    <t>[1744.0, 2377.0, 2254.0, nan]</t>
  </si>
  <si>
    <t>[541.0, 546.0, 43.0, nan]</t>
  </si>
  <si>
    <t>[768.0, 417.0, 98.0, nan]</t>
  </si>
  <si>
    <t>[180.0, 202.0, 294.0, 522.0]</t>
  </si>
  <si>
    <t>[617.0, 571.0, 481.0, nan]</t>
  </si>
  <si>
    <t>[2467.0, 5722.0, 6737.0, nan]</t>
  </si>
  <si>
    <t>[1695.0, 1404.0, 1950.0, nan]</t>
  </si>
  <si>
    <t>[-8.0, 1131.0, 876.0, nan]</t>
  </si>
  <si>
    <t>[111.0, -42.0, 633.0, nan]</t>
  </si>
  <si>
    <t>[935.0, 863.0, 1782.0, nan]</t>
  </si>
  <si>
    <t>[662.0, 662.0, 428.0, 363.0]</t>
  </si>
  <si>
    <t>[824.0, 638.0, 2038.0, 1214.0]</t>
  </si>
  <si>
    <t>[120.0, 175.0, 154.0, nan]</t>
  </si>
  <si>
    <t>[6602.0, 14008.0, 6210.0, nan]</t>
  </si>
  <si>
    <t>[313.0, 409.0, 505.0, nan]</t>
  </si>
  <si>
    <t>[5195.0, 4178.0, 3011.0, 4329.0]</t>
  </si>
  <si>
    <t>[659.0, 367.0, 1066.0, nan]</t>
  </si>
  <si>
    <t>[1461.0, 1157.0, 1005.0, 1344.0]</t>
  </si>
  <si>
    <t>[1434.0, 1038.0, 1794.0, nan]</t>
  </si>
  <si>
    <t>[1248.0, 1876.0, 564.0, nan]</t>
  </si>
  <si>
    <t>[78.0, 20.0, 414.0, nan]</t>
  </si>
  <si>
    <t>[784.0, 964.0, 766.0, nan]</t>
  </si>
  <si>
    <t>[15680.0, 20419.0, 16696.0, 18829.0]</t>
  </si>
  <si>
    <t>[1068.0, 1109.0, 930.0, nan]</t>
  </si>
  <si>
    <t>[326.0, 313.0, 2716.0, nan]</t>
  </si>
  <si>
    <t>[144.0, 120.0, 542.0, nan]</t>
  </si>
  <si>
    <t>[374.0, 722.0, 1311.0, nan]</t>
  </si>
  <si>
    <t>[418.0, 290.0, 277.0, nan]</t>
  </si>
  <si>
    <t>[10344.0, 12762.0, 6923.0, nan]</t>
  </si>
  <si>
    <t>[502.0, 347.0, 1200.0, nan]</t>
  </si>
  <si>
    <t>[318.0, 232.0, 214.0, nan]</t>
  </si>
  <si>
    <t>[1779.0, 1850.0, 2126.0, nan]</t>
  </si>
  <si>
    <t>[3441.0, 6615.0, 4614.0, 5517.0]</t>
  </si>
  <si>
    <t>[1059.0, 1869.0, 1083.0, nan]</t>
  </si>
  <si>
    <t>[3669.0, 3057.0, 3011.0, 2790.0]</t>
  </si>
  <si>
    <t>[934.0, 72.0, 765.0, nan]</t>
  </si>
  <si>
    <t>[1376.0, 1170.0, 1338.0, nan]</t>
  </si>
  <si>
    <t>[1449.0, 1201.0, 1404.0, nan]</t>
  </si>
  <si>
    <t>[1646.0, 1685.0, 1857.0, nan]</t>
  </si>
  <si>
    <t>[1050.0, 1353.0, 1581.0, nan]</t>
  </si>
  <si>
    <t>[665.0, 633.0, 2107.0, nan]</t>
  </si>
  <si>
    <t>[441.0, 1456.0, 2120.0, 659.0]</t>
  </si>
  <si>
    <t>[612.0, 791.0, 469.0, nan]</t>
  </si>
  <si>
    <t>[1394.0, 2250.0, 1975.0, nan]</t>
  </si>
  <si>
    <t>[3372.0, 3234.0, 2119.0, 3098.0]</t>
  </si>
  <si>
    <t>[419.0, 371.0, 334.0, nan]</t>
  </si>
  <si>
    <t>[854.0, 1049.0, 2259.0, nan]</t>
  </si>
  <si>
    <t>[75.0, -1357.0, 522.0, nan]</t>
  </si>
  <si>
    <t>[773.0, 1175.0, 1319.0, nan]</t>
  </si>
  <si>
    <t>[310.0, 696.0, 1611.0, 29.0]</t>
  </si>
  <si>
    <t>[180.0, 46.0, 156.0, nan]</t>
  </si>
  <si>
    <t>[1327.0, 1705.0, 1661.0, nan]</t>
  </si>
  <si>
    <t>[3549.0, 2135.0, 1506.0, 486.0]</t>
  </si>
  <si>
    <t>[260.0, 450.0, 3109.0, nan]</t>
  </si>
  <si>
    <t>[1386.0, 1616.0, 1631.0, nan]</t>
  </si>
  <si>
    <t>[532.0, 627.0, 653.0, nan]</t>
  </si>
  <si>
    <t>[4648.0, 5462.0, 5806.0, 6339.0]</t>
  </si>
  <si>
    <t>[932.0, 1327.0, 1472.0, nan]</t>
  </si>
  <si>
    <t>[1916.0, 4228.0, 1641.0, nan]</t>
  </si>
  <si>
    <t>[1348.0, 427.0, 589.0, nan]</t>
  </si>
  <si>
    <t>[109.0, 20.0, 1903.0, nan]</t>
  </si>
  <si>
    <t>[401.0, 310.0, 407.0, nan]</t>
  </si>
  <si>
    <t>[1772.0, 1977.0, 1236.0, nan]</t>
  </si>
  <si>
    <t>[262.0, 597.0, 663.0, -290.0]</t>
  </si>
  <si>
    <t>[1183.0, 1195.0, 1207.0, nan]</t>
  </si>
  <si>
    <t>[518.0, 490.0, 448.0, nan]</t>
  </si>
  <si>
    <t>[-53.0, 1592.0, 1225.0, nan]</t>
  </si>
  <si>
    <t>[551.0, 404.0, 2328.0, nan]</t>
  </si>
  <si>
    <t>[-660.0, -1314.0, 1833.0, nan]</t>
  </si>
  <si>
    <t>[1151.0, 1649.0, 1461.0, nan]</t>
  </si>
  <si>
    <t>[1390.0, 2775.0, 1250.0,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</si>
  <si>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</si>
  <si>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</si>
  <si>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</si>
  <si>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</si>
  <si>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</si>
  <si>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[638.0, 608.0, 668.0, nan]</t>
  </si>
  <si>
    <t>[760.0, 774.0, 559.0, nan]</t>
  </si>
  <si>
    <t>[463.0, 452.0, 442.0, nan]</t>
  </si>
  <si>
    <t>[356.0, 777.0, 515.0, nan]</t>
  </si>
  <si>
    <t>[155.0, 78.0, 463.0, 23.0]</t>
  </si>
  <si>
    <t>[382.0, 391.0, 61.0, nan]</t>
  </si>
  <si>
    <t>[559.0, 646.0, 236.0, nan]</t>
  </si>
  <si>
    <t>[494.0, 433.0, 780.0, nan]</t>
  </si>
  <si>
    <t>[960.0, 841.0, 1020.0, nan]</t>
  </si>
  <si>
    <t>[885.0, 758.0, 1001.0, nan]</t>
  </si>
  <si>
    <t>[3441.0, 3023.0, 830.0, nan]</t>
  </si>
  <si>
    <t>[3398.0, 3022.0, 2817.0, nan]</t>
  </si>
  <si>
    <t>[968.0, 1050.0, 781.0, nan]</t>
  </si>
  <si>
    <t>[184.0, 145.0, 222.0, nan]</t>
  </si>
  <si>
    <t>[5079.0, 552.0, 107.0, nan]</t>
  </si>
  <si>
    <t>[466.0, 640.0, 57.0, nan]</t>
  </si>
  <si>
    <t>[811.0, 253.0, 318.0, nan]</t>
  </si>
  <si>
    <t>[1674.0, 3362.0, 2236.0, nan]</t>
  </si>
  <si>
    <t>[564.0, 675.0, 568.0, nan]</t>
  </si>
  <si>
    <t>[8285.0, 8599.0, 13724.0, 11500.0]</t>
  </si>
  <si>
    <t>[494.0, 313.0, 371.0, 83.0]</t>
  </si>
  <si>
    <t>[623.0, 719.0, 502.0, 590.0]</t>
  </si>
  <si>
    <t>[8310.0, 8432.0, 14733.0, nan]</t>
  </si>
  <si>
    <t>[699.0, 632.0, 1946.0, nan]</t>
  </si>
  <si>
    <t>[1464.0, 1801.0, 2976.0, 3751.0]</t>
  </si>
  <si>
    <t>[1966.0, 1507.0, 1998.0, nan]</t>
  </si>
  <si>
    <t>[12707.0, 16746.0, 17228.0, 21296.0]</t>
  </si>
  <si>
    <t>[1544.0, 1564.0, 1941.0, nan]</t>
  </si>
  <si>
    <t>[859.0, 832.0, 863.0, nan]</t>
  </si>
  <si>
    <t>[730.0, 5152.0, 794.0, nan]</t>
  </si>
  <si>
    <t>[2554.0, 2460.0, 4130.0, nan]</t>
  </si>
  <si>
    <t>[1208.0, 994.0, 1135.0, 292.0]</t>
  </si>
  <si>
    <t>[4754.0, 6897.0, 5597.0, nan]</t>
  </si>
  <si>
    <t>[433.0, 467.0, 412.0, nan]</t>
  </si>
  <si>
    <t>[7070.0, 7743.0, 5958.0, nan]</t>
  </si>
  <si>
    <t>[2037.0, 2148.0, 2319.0, nan]</t>
  </si>
  <si>
    <t>[1475.0, 1587.0, 1448.0, 1463.0]</t>
  </si>
  <si>
    <t>[2765.0, 2310.0, 1728.0, nan]</t>
  </si>
  <si>
    <t>[7032.0, 19674.0, 13849.0, nan]</t>
  </si>
  <si>
    <t>[18513.0, 24274.0, 53472.0, -4919.0]</t>
  </si>
  <si>
    <t>[32972.0, 39602.0, 16360.0, 20529.0]</t>
  </si>
  <si>
    <t>[276.0, 331.0, 376.0, nan]</t>
  </si>
  <si>
    <t>[5856.0, 9987.0, 8013.0, nan]</t>
  </si>
  <si>
    <t>[4571.0, 3507.0, 2803.0, 2611.0]</t>
  </si>
  <si>
    <t>[2299.0, 5581.0, 6584.0, nan]</t>
  </si>
  <si>
    <t>[457.0, 426.0, 366.0, nan]</t>
  </si>
  <si>
    <t>[3459.0, 8330.0, 6526.0, 6381.0]</t>
  </si>
  <si>
    <t>[716.0, 1184.0, 1153.0, 856.0]</t>
  </si>
  <si>
    <t>[1278.0, 369.0, 1305.0, nan]</t>
  </si>
  <si>
    <t>[49609.0, 20549.0, 12632.0, 46361.0]</t>
  </si>
  <si>
    <t>[65466.0, 46074.0, 20860.0, 7334.0]</t>
  </si>
  <si>
    <t>[13313.0, 14699.0, 17015.0, 18842.0]</t>
  </si>
  <si>
    <t>[906.0, 873.0, 738.0, nan]</t>
  </si>
  <si>
    <t>[2590.0, 2230.0, 2841.0, nan]</t>
  </si>
  <si>
    <t>[559.0, 602.0, 789.0, 714.0]</t>
  </si>
  <si>
    <t>[3479.0, 2088.0, 2643.0, 3364.0]</t>
  </si>
  <si>
    <t>[-28.0, -84.0, 108.0, nan]</t>
  </si>
  <si>
    <t>[-522.0, 446.0, 11314.0, nan]</t>
  </si>
  <si>
    <t>[141.0, 497.0, 357.0, nan]</t>
  </si>
  <si>
    <t>[1487.0, 1630.0, 1656.0, 522.0]</t>
  </si>
  <si>
    <t>[4813.0, 1663.0, 10553.0, nan]</t>
  </si>
  <si>
    <t>[2546.0, 845.0, 1402.0, nan]</t>
  </si>
  <si>
    <t>[979.0, 1094.0, 2492.0, 3224.0]</t>
  </si>
  <si>
    <t>[33336.0, 27950.0, 33541.0, 32471.0]</t>
  </si>
  <si>
    <t>[1200.0, 1079.0, 1141.0, 1379.0]</t>
  </si>
  <si>
    <t>[5767.0, 17009.0, 6196.0, nan]</t>
  </si>
  <si>
    <t>[-2349.0, 7328.0, 5535.0, 5287.0]</t>
  </si>
  <si>
    <t>[509.0, 478.0, 710.0, nan]</t>
  </si>
  <si>
    <t>[7256.0, 10769.0, 4379.0, nan]</t>
  </si>
  <si>
    <t>[1108.0, 898.0, 1001.0, nan]</t>
  </si>
  <si>
    <t>[12222.0, 9348.0, 10187.0, nan]</t>
  </si>
  <si>
    <t>[705.0, 922.0, 921.0, nan]</t>
  </si>
  <si>
    <t>[362.0, 270.0, 7569.0, nan]</t>
  </si>
  <si>
    <t>[7920.0, 7321.0, 7923.0, 8218.0]</t>
  </si>
  <si>
    <t>[1191.0, 1464.0, 1736.0, 1763.0]</t>
  </si>
  <si>
    <t>[2439.0, 14365.0, 3722.0, 4722.0]</t>
  </si>
  <si>
    <t>[2238.0, 2167.0, 1651.0, nan]</t>
  </si>
  <si>
    <t>[115.0, 180.0, 223.0, nan]</t>
  </si>
  <si>
    <t>[47436.0, 13106.0, 11168.0, nan]</t>
  </si>
  <si>
    <t>[1038.0, 1029.0, 1424.0, nan]</t>
  </si>
  <si>
    <t>[10414.0, 9537.0, 5744.0, -359.0]</t>
  </si>
  <si>
    <t>[1787.0, 2253.0, 1936.0, 1843.0]</t>
  </si>
  <si>
    <t>[1143.0, 2398.0, 1152.0, nan]</t>
  </si>
  <si>
    <t>[9338.0, 7522.0, 5334.0, 7592.0]</t>
  </si>
  <si>
    <t>[176.0, 280.0, 959.0, nan]</t>
  </si>
  <si>
    <t>[1918.0, 3956.0, 2953.0, nan]</t>
  </si>
  <si>
    <t>[6881.0, 7458.0, 7966.0, 8291.0]</t>
  </si>
  <si>
    <t>[-43.0, -97.0, 256.0, nan]</t>
  </si>
  <si>
    <t>[1113.0, 570.0, 2005.0, nan]</t>
  </si>
  <si>
    <t>[13623.0, 10598.0, 6141.0, 9130.0]</t>
  </si>
  <si>
    <t>[386.0, 357.0, 224.0, nan]</t>
  </si>
  <si>
    <t>[-242.0, 1009.0, 737.0, nan]</t>
  </si>
  <si>
    <t>[6155.0, 6657.0, 7004.0, 6798.0]</t>
  </si>
  <si>
    <t>[561.0, 8785.0, 6860.0, nan]</t>
  </si>
  <si>
    <t>[32198.0, 38738.0, 11021.0, 17148.0]</t>
  </si>
  <si>
    <t>[28731.0, 3941.0, 8844.0, nan]</t>
  </si>
  <si>
    <t>[23650.0, 31767.0, 10113.0, 928.0]</t>
  </si>
  <si>
    <t>[904.0, 1581.0, 1765.0, 1998.0]</t>
  </si>
  <si>
    <t>[35070.0, 899.0, 772.0, nan]</t>
  </si>
  <si>
    <t>[443.0, 1463.0, 145.0, nan]</t>
  </si>
  <si>
    <t>[1166.0, 1202.0, 1584.0, 1982.0]</t>
  </si>
  <si>
    <t>[2032.0, 1657.0, 952.0, 1414.0]</t>
  </si>
  <si>
    <t>[175.0, 645.0, 418.0, nan]</t>
  </si>
  <si>
    <t>[2453.0, 2551.0, 3753.0, 4054.0]</t>
  </si>
  <si>
    <t>[5251.0, 6325.0, 8870.0, nan]</t>
  </si>
  <si>
    <t>[4256.0, 4251.0, 6265.0, nan]</t>
  </si>
  <si>
    <t>[341.0, 2355.0, 1138.0, nan]</t>
  </si>
  <si>
    <t>[8476.0, 6567.0, 7549.0, 7956.0]</t>
  </si>
  <si>
    <t>[25537.0, 54191.0, 9312.0, 49008.0]</t>
  </si>
  <si>
    <t>[14617.0, 21346.0, 2766.0, 5041.0]</t>
  </si>
  <si>
    <t>[6377.0, 14667.0, 8796.0, 15613.0]</t>
  </si>
  <si>
    <t>[1922.0, 1293.0, 1466.0, nan]</t>
  </si>
  <si>
    <t>[885.0, 731.0, 1635.0, nan]</t>
  </si>
  <si>
    <t>[187.0, 39.0, 299.0, nan]</t>
  </si>
  <si>
    <t>[5484.0, 4399.0, 3676.0, 3241.0]</t>
  </si>
  <si>
    <t>[653.0, 621.0, 1167.0, nan]</t>
  </si>
  <si>
    <t>[2617.0, 2572.0, 3502.0, nan]</t>
  </si>
  <si>
    <t>[1928.0, 1878.0, 1203.0, 670.0]</t>
  </si>
  <si>
    <t>[813.0, 976.0, 733.0, nan]</t>
  </si>
  <si>
    <t>[1784.0, 1246.0, 1347.0, nan]</t>
  </si>
  <si>
    <t>[777.0, 604.0, 881.0, nan]</t>
  </si>
  <si>
    <t>[666.0, 575.0, 883.0, nan]</t>
  </si>
  <si>
    <t>[5324.0, 1835.0, 2281.0, 1270.0]</t>
  </si>
  <si>
    <t>[2911.0, 2337.0, -258.0, nan]</t>
  </si>
  <si>
    <t>[26.0, 250.0, 562.0, nan]</t>
  </si>
  <si>
    <t>[1642.0, 1033.0, 1918.0, nan]</t>
  </si>
  <si>
    <t>[1483.0, 2677.0, 1732.0, 1904.0]</t>
  </si>
  <si>
    <t>[6204.0, 3373.0, 6167.0, nan]</t>
  </si>
  <si>
    <t>[1416.0, 1242.0, 673.0, 707.0]</t>
  </si>
  <si>
    <t>[54.0, 96.0, 755.0, nan]</t>
  </si>
  <si>
    <t>[1477.0, 1701.0, 1035.0, 1268.0]</t>
  </si>
  <si>
    <t>[2517.0, 3938.0, 5870.0, nan]</t>
  </si>
  <si>
    <t>[10870.0, 7753.0, 14287.0, 22013.0]</t>
  </si>
  <si>
    <t>[-127.0, 437.0, 32.0, nan]</t>
  </si>
  <si>
    <t>[3021.0, 3585.0, 3407.0, 2622.0]</t>
  </si>
  <si>
    <t>[6540.0, 6870.0, 6489.0, 11043.0]</t>
  </si>
  <si>
    <t>[4710.0, 7530.0, 8202.0, 8124.0]</t>
  </si>
  <si>
    <t>[428.0, 372.0, 531.0, nan]</t>
  </si>
  <si>
    <t>[287.0, 346.0, 854.0, nan]</t>
  </si>
  <si>
    <t>[-485.0, 974.0, 736.0, 382.0]</t>
  </si>
  <si>
    <t>[12.0, 491.0, 631.0, 676.0]</t>
  </si>
  <si>
    <t>[2805.0, 2161.0, 2355.0, 2347.0]</t>
  </si>
  <si>
    <t>[-58.0, 55.0, 114.0, nan]</t>
  </si>
  <si>
    <t>[1549.0, 2060.0, 2438.0, 2118.0]</t>
  </si>
  <si>
    <t>[-246.0, 969.0, 1974.0, 2483.0]</t>
  </si>
  <si>
    <t>[6331.0, 7947.0, 2138.0, 4136.0]</t>
  </si>
  <si>
    <t>[-1632.0, 966.0, 306.0, nan]</t>
  </si>
  <si>
    <t>[-357.0, 1695.0, 2850.0, 5864.0]</t>
  </si>
  <si>
    <t>[483.0, 555.0, 568.0, 645.0]</t>
  </si>
  <si>
    <t>[626.0, 544.0, 371.0, nan]</t>
  </si>
  <si>
    <t>[42.0, -332.0, 1408.0, nan]</t>
  </si>
  <si>
    <t>[227.0, 443.0, 605.0, nan]</t>
  </si>
  <si>
    <t>[396.0, 444.0, 586.0, nan]</t>
  </si>
  <si>
    <t>[39.0, 49.0, 78.0, nan]</t>
  </si>
  <si>
    <t>[1785.0, 2411.0, 1581.0, 598.0]</t>
  </si>
  <si>
    <t>[672.0, 404.0, 451.0, nan]</t>
  </si>
  <si>
    <t>[3549.0, 4578.0, 3867.0, 4569.0]</t>
  </si>
  <si>
    <t>[2475.0, 1951.0, 2351.0, 4312.0]</t>
  </si>
  <si>
    <t>[18147.0, 11663.0, 13395.0, 14885.0]</t>
  </si>
  <si>
    <t>[4863.0, 7089.0, 7156.0, 5285.0]</t>
  </si>
  <si>
    <t>[731.0, 1262.0, 1356.0, nan]</t>
  </si>
  <si>
    <t>[642.0, 644.0, 634.0, nan]</t>
  </si>
  <si>
    <t>[1030.0, 2349.0, 4365.0, 3197.0]</t>
  </si>
  <si>
    <t>[2798.0, 2556.0, 1721.0, 1832.0]</t>
  </si>
  <si>
    <t>[1374.0, 1498.0, 562.0, 924.0]</t>
  </si>
  <si>
    <t>[1098.0, 1892.0, 1409.0, nan]</t>
  </si>
  <si>
    <t>[-459.0, -1052.0, 1086.0, nan]</t>
  </si>
  <si>
    <t>[128.0, 185.0, 525.0, nan]</t>
  </si>
  <si>
    <t>[353.0, 793.0, 1013.0, nan]</t>
  </si>
  <si>
    <t>[746.0, 1054.0, 655.0, 1014.0]</t>
  </si>
  <si>
    <t>[726.0, 964.0, 676.0, nan]</t>
  </si>
  <si>
    <t>[-14.0, 1263.0, 1792.0, nan]</t>
  </si>
  <si>
    <t>[-91.0, 180.0, 380.0, nan]</t>
  </si>
  <si>
    <t>[611.0, 768.0, 1092.0, nan]</t>
  </si>
  <si>
    <t>[3503.0, 4385.0, 3462.0, 3209.0]</t>
  </si>
  <si>
    <t>[2221.0, -277.0, 965.0, 1251.0]</t>
  </si>
  <si>
    <t>[98.0, 542.0, 1691.0, 1521.0]</t>
  </si>
  <si>
    <t>[446.0, 965.0, 979.0, 678.0]</t>
  </si>
  <si>
    <t>[1192.0, 1054.0, 2973.0, nan]</t>
  </si>
  <si>
    <t>[-2200.0, 236.0, 450.0, nan]</t>
  </si>
  <si>
    <t>[5421.0, 6024.0, 3166.0, 4066.0]</t>
  </si>
  <si>
    <t>[-66.0, 1731.0, 4731.0, 3028.0]</t>
  </si>
  <si>
    <t>[-108.0, 36.0, 133.0, nan]</t>
  </si>
  <si>
    <t>[46.0, 219.0, 794.0, nan]</t>
  </si>
  <si>
    <t>[961.0, 2113.0, 3839.0, nan]</t>
  </si>
  <si>
    <t>[602.0, 1070.0, 602.0, nan]</t>
  </si>
  <si>
    <t>[3332.0, 4154.0, 6591.0, nan]</t>
  </si>
  <si>
    <t>[71.0, 595.0, 1785.0, 1622.0]</t>
  </si>
  <si>
    <t>[-292.0, 3408.0, 2013.0, 241.0]</t>
  </si>
  <si>
    <t>[871.0, 906.0, 534.0, -456.0]</t>
  </si>
  <si>
    <t>[1165.0, 1438.0, 1466.0, nan]</t>
  </si>
  <si>
    <t>[605.0, 241.0, 194.0, nan]</t>
  </si>
  <si>
    <t>[1284.0, 1608.0, 3643.0, nan]</t>
  </si>
  <si>
    <t>[556.0, 1633.0, 397.0, nan]</t>
  </si>
  <si>
    <t>[2356.0, 536.0, 2179.0, nan]</t>
  </si>
  <si>
    <t>[412.0, 101.0, 328.0, nan]</t>
  </si>
  <si>
    <t>[1472.0, 1789.0, 639.0, 2621.0]</t>
  </si>
  <si>
    <t>[644.0, 950.0, 415.0, nan]</t>
  </si>
  <si>
    <t>[2243.0, 1974.0, 1747.0, nan]</t>
  </si>
  <si>
    <t>[2716.0, 3095.0, 1336.0, 1971.0]</t>
  </si>
  <si>
    <t>[2027.0, 4869.0, 6040.0, 7020.0]</t>
  </si>
  <si>
    <t>[973.0, 1471.0, 1024.0, nan]</t>
  </si>
  <si>
    <t>[832.0, 1031.0, 442.0, nan]</t>
  </si>
  <si>
    <t>[1493.0, 5945.0, 2852.0, 2357.0]</t>
  </si>
  <si>
    <t>[1806.0, 2957.0, 1343.0, nan]</t>
  </si>
  <si>
    <t>[475.0, 776.0, 950.0, 1031.0]</t>
  </si>
  <si>
    <t>[2066.0, 2928.0, 3143.0, nan]</t>
  </si>
  <si>
    <t>[831.0, 3502.0, 3985.0, 2206.0]</t>
  </si>
  <si>
    <t>[1185.0, 320.0, 79.0, nan]</t>
  </si>
  <si>
    <t>[1412.0, 1438.0, 1493.0, 1096.0]</t>
  </si>
  <si>
    <t>[560.0, 2461.0, 3163.0, nan]</t>
  </si>
  <si>
    <t>[1075.0, 1072.0, 1329.0, nan]</t>
  </si>
  <si>
    <t>[376.0, 212.0, 132.0, nan]</t>
  </si>
  <si>
    <t>[1839.0, 3208.0, 3635.0, 3094.0]</t>
  </si>
  <si>
    <t>[273.0, 257.0, 1107.0, nan]</t>
  </si>
  <si>
    <t>[1143.0, 2478.0, 1208.0, 483.0]</t>
  </si>
  <si>
    <t>[769.0, 732.0, 718.0, 828.0]</t>
  </si>
  <si>
    <t>[-336.0, 41.0, 253.0, nan]</t>
  </si>
  <si>
    <t>[692.0, 1056.0, 2266.0, nan]</t>
  </si>
  <si>
    <t>[421.0, 1064.0, 1180.0, 1647.0]</t>
  </si>
  <si>
    <t>[1627.0, 3336.0, 2229.0, 2316.0]</t>
  </si>
  <si>
    <t>[1963.0, 2077.0, 2421.0, 2739.0]</t>
  </si>
  <si>
    <t>[33.0, 163.0, 157.0, nan]</t>
  </si>
  <si>
    <t>[-92.5, 3991.7, nan]</t>
  </si>
  <si>
    <t>[32.8, 118.9, nan]</t>
  </si>
  <si>
    <t>[-99.2, -51.2, -3.2]</t>
  </si>
  <si>
    <t>[14.8, -1.2, nan]</t>
  </si>
  <si>
    <t>[812.9, 56.3, -57.5]</t>
  </si>
  <si>
    <t>[48.8, -29.6, nan]</t>
  </si>
  <si>
    <t>[21.2, -30.5, nan]</t>
  </si>
  <si>
    <t>[152.0, 65.1, nan]</t>
  </si>
  <si>
    <t>[64.6, 58.0, nan]</t>
  </si>
  <si>
    <t>[7.6, -6.6, -45.2]</t>
  </si>
  <si>
    <t>[-11.7, 28.0, nan]</t>
  </si>
  <si>
    <t>[1.8, -48.6, nan]</t>
  </si>
  <si>
    <t>[-46.7, 965.6, nan]</t>
  </si>
  <si>
    <t>[-22.5, -71.6, nan]</t>
  </si>
  <si>
    <t>[69.8, -0.5, nan]</t>
  </si>
  <si>
    <t>[-18.5, -12.5, 37.3]</t>
  </si>
  <si>
    <t>[101.1, -80.4, nan]</t>
  </si>
  <si>
    <t>[-30.1, -34.2, nan]</t>
  </si>
  <si>
    <t>[12.6, -65.4, nan]</t>
  </si>
  <si>
    <t>[725.8, -51.3, nan]</t>
  </si>
  <si>
    <t>[-50.5, 3.3, nan]</t>
  </si>
  <si>
    <t>[-42.3, 659.0, nan]</t>
  </si>
  <si>
    <t>[36.3, -5.2, nan]</t>
  </si>
  <si>
    <t>[0.9, -92.1, nan]</t>
  </si>
  <si>
    <t>[-45.7, -76.5, nan]</t>
  </si>
  <si>
    <t>[12.2, 45.5, 77.6]</t>
  </si>
  <si>
    <t>[-7.5, -15.8, nan]</t>
  </si>
  <si>
    <t>[131.9, 17.7, nan]</t>
  </si>
  <si>
    <t>[-17.2, 38.9, nan]</t>
  </si>
  <si>
    <t>[-14237.5, -22.5, nan]</t>
  </si>
  <si>
    <t>[-137.8, -1607.1, nan]</t>
  </si>
  <si>
    <t>[-7.7, 106.5, nan]</t>
  </si>
  <si>
    <t>[0.0, -35.3, -15.2]</t>
  </si>
  <si>
    <t>[-22.6, 219.4, -40.4]</t>
  </si>
  <si>
    <t>[45.8, -12.0, nan]</t>
  </si>
  <si>
    <t>[112.2, -55.7, nan]</t>
  </si>
  <si>
    <t>[30.7, 23.5, nan]</t>
  </si>
  <si>
    <t>[-19.6, -27.9, 43.8]</t>
  </si>
  <si>
    <t>[-44.3, 190.5, nan]</t>
  </si>
  <si>
    <t>[-20.8, -13.1, 33.7]</t>
  </si>
  <si>
    <t>[-27.6, 72.8, nan]</t>
  </si>
  <si>
    <t>[50.3, -69.9, nan]</t>
  </si>
  <si>
    <t>[-74.4, 1970.0, nan]</t>
  </si>
  <si>
    <t>[23.0, -20.5, nan]</t>
  </si>
  <si>
    <t>[30.2, -18.2, 12.8]</t>
  </si>
  <si>
    <t>[3.8, -16.1, nan]</t>
  </si>
  <si>
    <t>[-4.0, 767.7, nan]</t>
  </si>
  <si>
    <t>[-16.7, 351.7, nan]</t>
  </si>
  <si>
    <t>[93.0, 81.6, nan]</t>
  </si>
  <si>
    <t>[-30.6, -4.5, nan]</t>
  </si>
  <si>
    <t>[23.4, -45.8, nan]</t>
  </si>
  <si>
    <t>[-30.9, 245.8, nan]</t>
  </si>
  <si>
    <t>[-27.0, -7.8, nan]</t>
  </si>
  <si>
    <t>[4.0, 14.9, nan]</t>
  </si>
  <si>
    <t>[92.2, -30.2, 19.6]</t>
  </si>
  <si>
    <t>[76.5, -42.1, nan]</t>
  </si>
  <si>
    <t>[-16.7, -1.5, -7.3]</t>
  </si>
  <si>
    <t>[-92.3, 962.5, nan]</t>
  </si>
  <si>
    <t>[-15.0, 14.4, nan]</t>
  </si>
  <si>
    <t>[-17.1, 16.9, nan]</t>
  </si>
  <si>
    <t>[2.4, 10.2, nan]</t>
  </si>
  <si>
    <t>[28.9, 16.9, nan]</t>
  </si>
  <si>
    <t>[-4.8, 232.9, nan]</t>
  </si>
  <si>
    <t>[230.2, 45.6, -68.9]</t>
  </si>
  <si>
    <t>[29.2, -40.7, nan]</t>
  </si>
  <si>
    <t>[61.4, -12.2, nan]</t>
  </si>
  <si>
    <t>[-4.1, -34.5, 46.2]</t>
  </si>
  <si>
    <t>[-11.5, -10.0, nan]</t>
  </si>
  <si>
    <t>[22.8, 115.3, nan]</t>
  </si>
  <si>
    <t>[-1909.3, -138.5, nan]</t>
  </si>
  <si>
    <t>[52.0, 12.3, nan]</t>
  </si>
  <si>
    <t>[124.5, 131.5, -98.2]</t>
  </si>
  <si>
    <t>[-74.4, 239.1, nan]</t>
  </si>
  <si>
    <t>[28.5, -2.6, nan]</t>
  </si>
  <si>
    <t>[-39.8, -29.5, -67.7]</t>
  </si>
  <si>
    <t>[73.1, 590.9, nan]</t>
  </si>
  <si>
    <t>[16.6, 0.9, nan]</t>
  </si>
  <si>
    <t>[17.9, 4.1, nan]</t>
  </si>
  <si>
    <t>[17.5, 6.3, 9.2]</t>
  </si>
  <si>
    <t>[42.4, 10.9, nan]</t>
  </si>
  <si>
    <t>[120.7, -61.2, nan]</t>
  </si>
  <si>
    <t>[-68.3, 37.9, nan]</t>
  </si>
  <si>
    <t>[-81.7, 9415.0, nan]</t>
  </si>
  <si>
    <t>[-22.7, 31.3, nan]</t>
  </si>
  <si>
    <t>[11.6, -37.5, nan]</t>
  </si>
  <si>
    <t>[127.9, 11.1, -143.7]</t>
  </si>
  <si>
    <t>[1.0, 1.0, nan]</t>
  </si>
  <si>
    <t>[-5.4, -8.6, nan]</t>
  </si>
  <si>
    <t>[-3103.8, -23.1, nan]</t>
  </si>
  <si>
    <t>[-26.7, 476.2, nan]</t>
  </si>
  <si>
    <t>[99.1, -239.5, nan]</t>
  </si>
  <si>
    <t>[43.3, -11.4, nan]</t>
  </si>
  <si>
    <t>[99.6, -55.0, nan]</t>
  </si>
  <si>
    <t>[-11.0, 5109.0, nan]</t>
  </si>
  <si>
    <t>[8.1, 17.9, nan]</t>
  </si>
  <si>
    <t>[-8.2, 44.9, nan]</t>
  </si>
  <si>
    <t>[101.4, -13.8, -45.9]</t>
  </si>
  <si>
    <t>[14.5, 45.9, -0.5]</t>
  </si>
  <si>
    <t>[-4.7, 9.9, nan]</t>
  </si>
  <si>
    <t>[1.8, -27.8, nan]</t>
  </si>
  <si>
    <t>[-2.4, -2.2, nan]</t>
  </si>
  <si>
    <t>[118.3, -33.7, nan]</t>
  </si>
  <si>
    <t>[-49.7, 493.6, -95.0]</t>
  </si>
  <si>
    <t>[2.4, -84.4, nan]</t>
  </si>
  <si>
    <t>[15.6, -63.5, nan]</t>
  </si>
  <si>
    <t>[-12.3, 80.1, nan]</t>
  </si>
  <si>
    <t>[-12.4, 21.3, nan]</t>
  </si>
  <si>
    <t>[-14.4, 32.1, nan]</t>
  </si>
  <si>
    <t>[-12.1, -72.5, nan]</t>
  </si>
  <si>
    <t>[-11.1, -6.8, nan]</t>
  </si>
  <si>
    <t>[8.5, -25.6, nan]</t>
  </si>
  <si>
    <t>[-21.2, 53.1, nan]</t>
  </si>
  <si>
    <t>[-89.1, -80.6, nan]</t>
  </si>
  <si>
    <t>[37.3, -91.1, nan]</t>
  </si>
  <si>
    <t>[-68.8, 25.7, nan]</t>
  </si>
  <si>
    <t>[100.8, -33.5, nan]</t>
  </si>
  <si>
    <t>[19.7, -15.9, nan]</t>
  </si>
  <si>
    <t>[3.8, 59.6, -16.2]</t>
  </si>
  <si>
    <t>[-36.6, 18.5, -77.6]</t>
  </si>
  <si>
    <t>[15.4, -30.2, 17.5]</t>
  </si>
  <si>
    <t>[1.5, 74.7, nan]</t>
  </si>
  <si>
    <t>[-9.6, 207.9, nan]</t>
  </si>
  <si>
    <t>[23.0, 65.2, 26.0]</t>
  </si>
  <si>
    <t>[-23.3, 32.6, nan]</t>
  </si>
  <si>
    <t>[31.8, 2.9, 23.6]</t>
  </si>
  <si>
    <t>[1.3, 24.1, nan]</t>
  </si>
  <si>
    <t>[-3.1, 3.7, nan]</t>
  </si>
  <si>
    <t>[605.8, -84.6, nan]</t>
  </si>
  <si>
    <t>[-3.7, 67.9, nan]</t>
  </si>
  <si>
    <t>[-17.7, 14.2, -74.3]</t>
  </si>
  <si>
    <t>[45.1, -18.8, nan]</t>
  </si>
  <si>
    <t>[7.9, -11.8, nan]</t>
  </si>
  <si>
    <t>[9.5, -23.1, nan]</t>
  </si>
  <si>
    <t>[5.4, 8.0, nan]</t>
  </si>
  <si>
    <t>[7.6, -8.8, 1.0]</t>
  </si>
  <si>
    <t>[-16.5, -25.2, nan]</t>
  </si>
  <si>
    <t>[179.8, -29.6, nan]</t>
  </si>
  <si>
    <t>[31.1, 120.3, -109.2]</t>
  </si>
  <si>
    <t>[20.1, -58.7, 25.5]</t>
  </si>
  <si>
    <t>[19.9, 13.6, nan]</t>
  </si>
  <si>
    <t>[70.5, -19.8, nan]</t>
  </si>
  <si>
    <t>[-23.3, -20.1, -6.8]</t>
  </si>
  <si>
    <t>[142.8, 18.0, nan]</t>
  </si>
  <si>
    <t>[-6.8, -14.1, nan]</t>
  </si>
  <si>
    <t>[140.8, -21.7, -2.2]</t>
  </si>
  <si>
    <t>[65.4, -2.6, -25.8]</t>
  </si>
  <si>
    <t>[-71.1, 253.7, nan]</t>
  </si>
  <si>
    <t>[-58.6, -38.5, 267.0]</t>
  </si>
  <si>
    <t>[-29.6, -54.7, -64.8]</t>
  </si>
  <si>
    <t>[10.4, 15.8, 10.7]</t>
  </si>
  <si>
    <t>[-3.6, -15.5, nan]</t>
  </si>
  <si>
    <t>[-13.9, 27.4, nan]</t>
  </si>
  <si>
    <t>[7.7, 31.1, -9.5]</t>
  </si>
  <si>
    <t>[-40.0, 26.6, 27.3]</t>
  </si>
  <si>
    <t>[200.0, -228.6, nan]</t>
  </si>
  <si>
    <t>[-185.4, 2436.8, nan]</t>
  </si>
  <si>
    <t>[252.5, -28.2, nan]</t>
  </si>
  <si>
    <t>[9.6, 1.6, -68.5]</t>
  </si>
  <si>
    <t>[-65.4, 534.6, nan]</t>
  </si>
  <si>
    <t>[-66.8, 65.9, nan]</t>
  </si>
  <si>
    <t>[11.7, 127.8, 29.4]</t>
  </si>
  <si>
    <t>[-16.2, 20.0, -3.2]</t>
  </si>
  <si>
    <t>[-10.1, 5.7, 20.9]</t>
  </si>
  <si>
    <t>[194.9, -63.6, nan]</t>
  </si>
  <si>
    <t>[-412.0, -24.5, -4.5]</t>
  </si>
  <si>
    <t>[-6.1, 48.5, nan]</t>
  </si>
  <si>
    <t>[48.4, -59.3, nan]</t>
  </si>
  <si>
    <t>[-19.0, 11.5, nan]</t>
  </si>
  <si>
    <t>[-23.5, 9.0, nan]</t>
  </si>
  <si>
    <t>[30.8, -0.1, nan]</t>
  </si>
  <si>
    <t>[-25.4, 2703.3, nan]</t>
  </si>
  <si>
    <t>[-7.6, 8.2, 3.7]</t>
  </si>
  <si>
    <t>[22.9, 18.6, 1.6]</t>
  </si>
  <si>
    <t>[489.0, -74.1, 26.9]</t>
  </si>
  <si>
    <t>[-3.2, -23.8, nan]</t>
  </si>
  <si>
    <t>[56.5, 23.9, nan]</t>
  </si>
  <si>
    <t>[-72.4, -14.8, nan]</t>
  </si>
  <si>
    <t>[-0.9, 38.4, nan]</t>
  </si>
  <si>
    <t>[-8.4, -39.8, -106.2]</t>
  </si>
  <si>
    <t>[26.1, -14.1, -4.8]</t>
  </si>
  <si>
    <t>[109.8, -52.0, nan]</t>
  </si>
  <si>
    <t>[-19.4, -29.1, 42.3]</t>
  </si>
  <si>
    <t>[59.1, 242.5, nan]</t>
  </si>
  <si>
    <t>[106.3, -25.4, nan]</t>
  </si>
  <si>
    <t>[8.4, 6.8, 4.1]</t>
  </si>
  <si>
    <t>[125.6, -363.9, nan]</t>
  </si>
  <si>
    <t>[-48.8, 251.8, nan]</t>
  </si>
  <si>
    <t>[-22.2, -42.1, 48.7]</t>
  </si>
  <si>
    <t>[-7.5, -37.3, nan]</t>
  </si>
  <si>
    <t>[-516.9, -27.0, nan]</t>
  </si>
  <si>
    <t>[8.2, 5.2, -2.9]</t>
  </si>
  <si>
    <t>[1466.0, -21.9, nan]</t>
  </si>
  <si>
    <t>[20.3, -71.5, 55.6]</t>
  </si>
  <si>
    <t>[-86.3, 124.4, nan]</t>
  </si>
  <si>
    <t>[34.3, -68.2, -90.8]</t>
  </si>
  <si>
    <t>[74.9, 11.6, 13.2]</t>
  </si>
  <si>
    <t>[-97.4, -14.1, nan]</t>
  </si>
  <si>
    <t>[230.2, -90.1, nan]</t>
  </si>
  <si>
    <t>[3.1, 31.8, 25.1]</t>
  </si>
  <si>
    <t>[-18.5, -42.5, 48.5]</t>
  </si>
  <si>
    <t>[268.6, -35.2, nan]</t>
  </si>
  <si>
    <t>[4.0, 47.1, 8.0]</t>
  </si>
  <si>
    <t>[20.5, 40.2, nan]</t>
  </si>
  <si>
    <t>[-0.1, 47.4, nan]</t>
  </si>
  <si>
    <t>[590.6, -51.7, nan]</t>
  </si>
  <si>
    <t>[-22.5, 15.0, 5.4]</t>
  </si>
  <si>
    <t>[112.2, -82.8, 426.3]</t>
  </si>
  <si>
    <t>[46.0, -87.0, 82.2]</t>
  </si>
  <si>
    <t>[130.0, -40.0, 77.5]</t>
  </si>
  <si>
    <t>[-32.7, 13.4, nan]</t>
  </si>
  <si>
    <t>[-17.4, 123.7, nan]</t>
  </si>
  <si>
    <t>[-79.1, 666.7, nan]</t>
  </si>
  <si>
    <t>[-19.8, -16.4, -11.8]</t>
  </si>
  <si>
    <t>[-4.9, 87.9, nan]</t>
  </si>
  <si>
    <t>[-1.7, 36.2, nan]</t>
  </si>
  <si>
    <t>[-2.6, -35.9, -44.3]</t>
  </si>
  <si>
    <t>[20.0, -24.9, nan]</t>
  </si>
  <si>
    <t>[-30.2, 8.1, nan]</t>
  </si>
  <si>
    <t>[-22.3, 45.9, nan]</t>
  </si>
  <si>
    <t>[-13.7, 53.6, nan]</t>
  </si>
  <si>
    <t>[-65.5, 24.3, -44.3]</t>
  </si>
  <si>
    <t>[-19.7, -111.0, nan]</t>
  </si>
  <si>
    <t>[861.5, 124.8, nan]</t>
  </si>
  <si>
    <t>[-37.1, 85.7, nan]</t>
  </si>
  <si>
    <t>[80.5, -35.3, 9.9]</t>
  </si>
  <si>
    <t>[-45.6, 82.8, nan]</t>
  </si>
  <si>
    <t>[-12.3, -45.8, 5.1]</t>
  </si>
  <si>
    <t>[77.8, 686.5, nan]</t>
  </si>
  <si>
    <t>[15.2, -39.2, 22.5]</t>
  </si>
  <si>
    <t>[56.5, 49.1, nan]</t>
  </si>
  <si>
    <t>[-28.7, 84.3, 54.1]</t>
  </si>
  <si>
    <t>[-444.1, -92.7, nan]</t>
  </si>
  <si>
    <t>[18.7, -5.0, -23.0]</t>
  </si>
  <si>
    <t>[5.0, -5.5, 70.2]</t>
  </si>
  <si>
    <t>[59.9, 8.9, -1.0]</t>
  </si>
  <si>
    <t>[-13.1, 42.7, nan]</t>
  </si>
  <si>
    <t>[20.6, 146.8, nan]</t>
  </si>
  <si>
    <t>[-300.8, -24.4, -48.1]</t>
  </si>
  <si>
    <t>[3991.7, 28.5, 7.1]</t>
  </si>
  <si>
    <t>[-23.0, 9.0, -0.3]</t>
  </si>
  <si>
    <t>[-194.8, 107.3, nan]</t>
  </si>
  <si>
    <t>[33.0, 18.3, -13.1]</t>
  </si>
  <si>
    <t>[-493.9, 103.7, 25.8]</t>
  </si>
  <si>
    <t>[25.5, -73.1, 93.5]</t>
  </si>
  <si>
    <t>[-159.2, -68.3, nan]</t>
  </si>
  <si>
    <t>[-574.8, 68.1, 105.8]</t>
  </si>
  <si>
    <t>[14.9, 2.3, 13.6]</t>
  </si>
  <si>
    <t>[-13.1, -31.8, nan]</t>
  </si>
  <si>
    <t>[-890.5, -524.1, nan]</t>
  </si>
  <si>
    <t>[95.2, 36.6, nan]</t>
  </si>
  <si>
    <t>[12.1, 32.0, nan]</t>
  </si>
  <si>
    <t>[25.6, 59.2, nan]</t>
  </si>
  <si>
    <t>[35.1, -34.4, -62.2]</t>
  </si>
  <si>
    <t>[-39.9, 11.6, nan]</t>
  </si>
  <si>
    <t>[29.0, -15.5, 18.2]</t>
  </si>
  <si>
    <t>[-21.2, 20.5, 83.4]</t>
  </si>
  <si>
    <t>[-35.7, 14.9, 11.1]</t>
  </si>
  <si>
    <t>[45.8, 0.9, -26.1]</t>
  </si>
  <si>
    <t>[72.6, 7.4, nan]</t>
  </si>
  <si>
    <t>[0.3, -1.6, nan]</t>
  </si>
  <si>
    <t>[128.1, 85.8, -26.8]</t>
  </si>
  <si>
    <t>[-8.6, -32.7, 6.4]</t>
  </si>
  <si>
    <t>[9.0, -62.5, 64.4]</t>
  </si>
  <si>
    <t>[72.3, -25.5, nan]</t>
  </si>
  <si>
    <t>[129.2, -203.2, nan]</t>
  </si>
  <si>
    <t>[44.5, 183.8, nan]</t>
  </si>
  <si>
    <t>[124.6, 27.7, nan]</t>
  </si>
  <si>
    <t>[41.3, -37.9, 54.8]</t>
  </si>
  <si>
    <t>[32.8, -29.9, nan]</t>
  </si>
  <si>
    <t>[-9121.4, 41.9, nan]</t>
  </si>
  <si>
    <t>[-297.8, 111.1, nan]</t>
  </si>
  <si>
    <t>[25.7, 42.2, nan]</t>
  </si>
  <si>
    <t>[25.2, -21.0, -7.3]</t>
  </si>
  <si>
    <t>[-112.5, -448.4, 29.6]</t>
  </si>
  <si>
    <t>[453.1, 212.0, -10.1]</t>
  </si>
  <si>
    <t>[116.4, 1.5, -30.7]</t>
  </si>
  <si>
    <t>[-11.6, 182.1, nan]</t>
  </si>
  <si>
    <t>[-110.7, 90.7, nan]</t>
  </si>
  <si>
    <t>[11.1, -47.4, 28.4]</t>
  </si>
  <si>
    <t>[-2722.7, 173.3, -36.0]</t>
  </si>
  <si>
    <t>[-133.3, 269.4, nan]</t>
  </si>
  <si>
    <t>[376.1, 262.6, nan]</t>
  </si>
  <si>
    <t>[119.9, 81.7, nan]</t>
  </si>
  <si>
    <t>[77.7, -43.7, nan]</t>
  </si>
  <si>
    <t>[24.7, 58.7, nan]</t>
  </si>
  <si>
    <t>[738.0, 200.0, -9.1]</t>
  </si>
  <si>
    <t>[-1267.1, -40.9, -88.0]</t>
  </si>
  <si>
    <t>[4.0, -41.1, -185.4]</t>
  </si>
  <si>
    <t>[23.4, 1.9, nan]</t>
  </si>
  <si>
    <t>[-60.2, -19.5, nan]</t>
  </si>
  <si>
    <t>[25.2, 126.6, nan]</t>
  </si>
  <si>
    <t>[193.7, -75.7, nan]</t>
  </si>
  <si>
    <t>[-77.2, 306.5, nan]</t>
  </si>
  <si>
    <t>[-75.5, 224.8, nan]</t>
  </si>
  <si>
    <t>[21.5, -64.3, 310.2]</t>
  </si>
  <si>
    <t>[47.5, -56.3, nan]</t>
  </si>
  <si>
    <t>[-12.0, -11.5, nan]</t>
  </si>
  <si>
    <t>[14.0, -56.8, 47.5]</t>
  </si>
  <si>
    <t>[140.2, 24.1, 16.2]</t>
  </si>
  <si>
    <t>[51.2, -30.4, nan]</t>
  </si>
  <si>
    <t>[23.9, -57.1, nan]</t>
  </si>
  <si>
    <t>[298.2, -52.0, -17.4]</t>
  </si>
  <si>
    <t>[63.7, -54.6, nan]</t>
  </si>
  <si>
    <t>[63.4, 22.4, 8.5]</t>
  </si>
  <si>
    <t>[41.7, 7.3, nan]</t>
  </si>
  <si>
    <t>[321.4, 13.8, -44.6]</t>
  </si>
  <si>
    <t>[-73.0, -75.3, nan]</t>
  </si>
  <si>
    <t>[1.8, 3.8, -26.6]</t>
  </si>
  <si>
    <t>[339.5, 28.5, nan]</t>
  </si>
  <si>
    <t>[-0.3, 24.0, nan]</t>
  </si>
  <si>
    <t>[-43.6, -37.7, nan]</t>
  </si>
  <si>
    <t>[74.4, 13.3, -14.9]</t>
  </si>
  <si>
    <t>[-5.9, 330.7, nan]</t>
  </si>
  <si>
    <t>[116.8, -51.3, -60.0]</t>
  </si>
  <si>
    <t>[-4.8, -1.9, 15.3]</t>
  </si>
  <si>
    <t>[-112.2, 517.1, nan]</t>
  </si>
  <si>
    <t>[52.6, 114.6, nan]</t>
  </si>
  <si>
    <t>[152.7, 10.9, 39.6]</t>
  </si>
  <si>
    <t>[105.0, -33.2, 3.9]</t>
  </si>
  <si>
    <t>[5.8, 16.6, 13.1]</t>
  </si>
  <si>
    <t>[393.9, -3.7, nan]</t>
  </si>
  <si>
    <t>[-39.7, 11.1, -92.4, 3956.3, 0]</t>
  </si>
  <si>
    <t>[7.4, -49.6, 32.8, 119.0, 0]</t>
  </si>
  <si>
    <t>[20.6, 1924.0, -99.2, -51.2, -5.5]</t>
  </si>
  <si>
    <t>[28.2, 40.6, 14.8, -1.2, -9.4]</t>
  </si>
  <si>
    <t>[0, 0, 810.0, 56.4, -73.7]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</si>
  <si>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</si>
  <si>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</si>
  <si>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</si>
  <si>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</si>
  <si>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</si>
  <si>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</si>
  <si>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[-64.9, 446.1, 1.7, -48.6, 54.4]</t>
  </si>
  <si>
    <t>[-51.8, 122.4, -46.9, 967.2, 0]</t>
  </si>
  <si>
    <t>[-37.3, 896.5, -22.5, -71.6, -98.4]</t>
  </si>
  <si>
    <t>[19.8, -46.8, 69.3, -0.4, 0]</t>
  </si>
  <si>
    <t>[]</t>
  </si>
  <si>
    <t>[73.4, -9.8, 101.2, -80.4, 139.1]</t>
  </si>
  <si>
    <t>[-26.6, 46.4, -30.1, -34.2, -33.6]</t>
  </si>
  <si>
    <t>[-0.9, -22.8, 12.6, -65.4, 0]</t>
  </si>
  <si>
    <t>[0, -76.9, 725.4, -51.3, -5.3]</t>
  </si>
  <si>
    <t>[32.3, 19.7, -50.5, 3.3, 98.5]</t>
  </si>
  <si>
    <t>[13.1, -52.3, -42.3, 659.6, -35.1]</t>
  </si>
  <si>
    <t>[114.2, 44.5, 36.4, -5.2, -54.9]</t>
  </si>
  <si>
    <t>[46.9, 7.8, 0.9, -92.2, 5632.2]</t>
  </si>
  <si>
    <t>[100.4, 19.8, -45.6, -76.6, 131.1]</t>
  </si>
  <si>
    <t>[126.2, 8.0, 11.9, 45.6, 188.0]</t>
  </si>
  <si>
    <t>[19876.6, 68.5, -7.5, -15.7, -41.8]</t>
  </si>
  <si>
    <t>[-7.5, -45.4, 131.9, 17.8, 1311.5]</t>
  </si>
  <si>
    <t>[571.5, -20.7, -17.2, 38.9, 0]</t>
  </si>
  <si>
    <t>[0, 0, 0, -22.5, -26.9]</t>
  </si>
  <si>
    <t>[0, 0, 0, 0, 0]</t>
  </si>
  <si>
    <t>[-75.7, 58.3, -7.7, 106.4, 79.2]</t>
  </si>
  <si>
    <t>[15.8, -3.8, -22.7, 219.8, -68.9]</t>
  </si>
  <si>
    <t>[-33.0, 146.6, 45.2, -11.8, 12.0]</t>
  </si>
  <si>
    <t>[25.6, 153.2, 112.2, -55.7, 6.7]</t>
  </si>
  <si>
    <t>[-20.2, 6.6, 8.0, 9.4, 4.6]</t>
  </si>
  <si>
    <t>[15.3, 15.6, 10.3, 6.2, 9.5]</t>
  </si>
  <si>
    <t>[106.4, -18.0, -44.3, 190.2, -53.6]</t>
  </si>
  <si>
    <t>[-20.1, 65.7, -20.8, -13.1, 19.8]</t>
  </si>
  <si>
    <t>[378.3, -3.1, -27.6, 73.0, -59.8]</t>
  </si>
  <si>
    <t>[1235.4, -7.6, 50.3, -69.9, 0]</t>
  </si>
  <si>
    <t>[-46.5, 1.2, 22.9, -20.5, -31.0]</t>
  </si>
  <si>
    <t>[34.4, -2.7, 30.2, -18.2, 10.2]</t>
  </si>
  <si>
    <t>[164.2, -14.0, 3.9, -16.1, -77.2]</t>
  </si>
  <si>
    <t>[-75.6, 137.7, -3.9, 767.9, 94.1]</t>
  </si>
  <si>
    <t>[32.9, -18.2, -16.6, 352.9, -48.0]</t>
  </si>
  <si>
    <t>[47.5, 14.0, 93.0, 81.6, 0]</t>
  </si>
  <si>
    <t>[9.5, 33.6, -30.7, -4.2, 0]</t>
  </si>
  <si>
    <t>[51.0, -19.6, 23.4, -45.8, -14.2]</t>
  </si>
  <si>
    <t>[79.0, -61.8, -30.8, 245.5, -72.6]</t>
  </si>
  <si>
    <t>[-37.0, -18.2, -27.1, -7.6, -40.4]</t>
  </si>
  <si>
    <t>[-0.3, 24.2, 4.0, 14.9, 21.4]</t>
  </si>
  <si>
    <t>[5.6, -13.7, 92.3, -30.3, 19.9]</t>
  </si>
  <si>
    <t>[nan, 0, 76.4, -42.1, -27.4]</t>
  </si>
  <si>
    <t>[-0.7, 21.0, -16.7, -1.5, -16.8]</t>
  </si>
  <si>
    <t>[0, 0, -92.3, 967.6, -11.6]</t>
  </si>
  <si>
    <t>[0, 520.2, -14.4, 24.2, -93.7]</t>
  </si>
  <si>
    <t>[49.0, 44.4, -17.1, 16.9, -25.5]</t>
  </si>
  <si>
    <t>[-33.7, -19.2, 2.3, 10.2, 5.4]</t>
  </si>
  <si>
    <t>[4.4, -25.5, 28.8, 16.8, -23.1]</t>
  </si>
  <si>
    <t>[-28.7, -1.6, -4.8, 233.0, -71.9]</t>
  </si>
  <si>
    <t>[nan, 23.0, 230.5, 44.2, -92.5]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</si>
  <si>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</si>
  <si>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</si>
  <si>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</si>
  <si>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</si>
  <si>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</si>
  <si>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</si>
  <si>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[32.0, 48.9, 124.3, 131.5, 0]</t>
  </si>
  <si>
    <t>[nan, nan, -74.3, 237.6, 2.8]</t>
  </si>
  <si>
    <t>[0, -32.1, 28.5, -2.6, -3.2]</t>
  </si>
  <si>
    <t>[623.7, 39.8, -39.8, -29.5, -87.9]</t>
  </si>
  <si>
    <t>[147.0, 69.0, 73.2, 590.7, -90.7]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</si>
  <si>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</si>
  <si>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</si>
  <si>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</si>
  <si>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</si>
  <si>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</si>
  <si>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[0, 0, -81.4, 9247.3, 2490.9]</t>
  </si>
  <si>
    <t>[-6.7, -8.3, -22.6, 31.2, -50.5]</t>
  </si>
  <si>
    <t>[19.9, 45.3, 11.5, -37.5, -21.7]</t>
  </si>
  <si>
    <t>[62.0, -71.9, 127.9, 11.1, 0]</t>
  </si>
  <si>
    <t>[14.3, 12.3, 11.7, 10.9, 17.4]</t>
  </si>
  <si>
    <t>[-99.9, -53.6, -5.4, -8.5, -22.9]</t>
  </si>
  <si>
    <t>[40.8, 0, 0, -23.1, -1.2]</t>
  </si>
  <si>
    <t>[-86.5, 172.6, -26.6, 475.5, -11.1]</t>
  </si>
  <si>
    <t>[0, 0, 0, 0, -13.7]</t>
  </si>
  <si>
    <t>[-75.2, 723.9, 43.2, -11.4, -71.4]</t>
  </si>
  <si>
    <t>[1119.3, 16.1, 99.6, -55.0, -32.1]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</si>
  <si>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</si>
  <si>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</si>
  <si>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</si>
  <si>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</si>
  <si>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</si>
  <si>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[92.5, 13.3, -4.8, 9.9, -3.9]</t>
  </si>
  <si>
    <t>[-8.9, 1.3, 1.9, -27.8, -58.5]</t>
  </si>
  <si>
    <t>[134.6, 12.7, -2.4, -2.1, 6.7]</t>
  </si>
  <si>
    <t>[37.9, 1.4, 118.3, -33.7, 0]</t>
  </si>
  <si>
    <t>[-66.9, 149.4, -49.3, 490.6, -97.5]</t>
  </si>
  <si>
    <t>[-47.8, 88.3, 2.4, -84.5, 24.2]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</si>
  <si>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</si>
  <si>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</si>
  <si>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</si>
  <si>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</si>
  <si>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</si>
  <si>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</si>
  <si>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</si>
  <si>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[0, 70.8, -21.2, 53.4, -71.0]</t>
  </si>
  <si>
    <t>[155.6, 525.4, -89.1, -80.6, 0]</t>
  </si>
  <si>
    <t>[0, 981.0, 37.4, -91.1, -30.3]</t>
  </si>
  <si>
    <t>[0, 0, -68.8, 25.3, 0]</t>
  </si>
  <si>
    <t>[0, -23.5, 100.9, -33.5, 19.0]</t>
  </si>
  <si>
    <t>[156.6, 92.1, 19.6, -15.8, 60.8]</t>
  </si>
  <si>
    <t>[6.1, 4.5, -0.5, -0.7, 0.0]</t>
  </si>
  <si>
    <t>[-23.5, 305.0, -36.6, 18.4, -96.3]</t>
  </si>
  <si>
    <t>[0, 0, 15.4, -30.2, -8.6]</t>
  </si>
  <si>
    <t>[117.1, 9.1, 1.5, 74.7, 4.1]</t>
  </si>
  <si>
    <t>[17.6, -9.6, -9.6, 208.0, 125.2]</t>
  </si>
  <si>
    <t>[10.9, -18.4, 23.0, 65.2, 53.0]</t>
  </si>
  <si>
    <t>[110.8, 15.4, -23.3, 32.5, 54.4]</t>
  </si>
  <si>
    <t>[28.3, 84.9, 31.8, 2.9, 12.4]</t>
  </si>
  <si>
    <t>[29.1, 16.4, 1.3, 24.1, -13.2]</t>
  </si>
  <si>
    <t>[92.4, 33.7, -3.2, 3.7, -29.7]</t>
  </si>
  <si>
    <t>[-23.6, 52.4, 606.0, -84.6, 354.2]</t>
  </si>
  <si>
    <t>[-5.4, 17.5, -3.7, 67.9, 71.3]</t>
  </si>
  <si>
    <t>[38.8, -28.5, -17.7, 14.2, 0]</t>
  </si>
  <si>
    <t>[-20.3, 6.0, 45.1, -18.9, -6.4]</t>
  </si>
  <si>
    <t>[-3.5, 8.0, 7.9, -11.9, -19.3]</t>
  </si>
  <si>
    <t>[-53.3, 57.5, 9.5, -23.1, -10.1]</t>
  </si>
  <si>
    <t>[8.7, 9.4, 9.1, 9.1, 9.1]</t>
  </si>
  <si>
    <t>[45.2, -18.1, 7.6, -8.7, -14.5]</t>
  </si>
  <si>
    <t>[470.8, 218.0, -16.5, -25.2, -7.8]</t>
  </si>
  <si>
    <t>[0, 74.6, 179.8, -29.6, -17.0]</t>
  </si>
  <si>
    <t>[-43.5, -19.8, 31.1, 120.3, 0]</t>
  </si>
  <si>
    <t>[35.7, -21.3, 20.1, -58.7, -18.4]</t>
  </si>
  <si>
    <t>[465.8, -73.4, 20.1, 13.5, -40.0]</t>
  </si>
  <si>
    <t>[6.3, 214.1, 70.5, -19.8, 34.8]</t>
  </si>
  <si>
    <t>[0, -27.6, -23.3, -20.1, 21.8]</t>
  </si>
  <si>
    <t>[10.0, -31.8, 142.7, 18.0, -27.4]</t>
  </si>
  <si>
    <t>[-44.7, -8.6, -6.8, -14.2, -58.7]</t>
  </si>
  <si>
    <t>[0, 0, 140.9, -21.7, 2.1]</t>
  </si>
  <si>
    <t>[0, 135.1, 65.3, -2.7, -35.0]</t>
  </si>
  <si>
    <t>[0, 501.4, -71.1, 253.3, -65.2]</t>
  </si>
  <si>
    <t>[546.2, 122.5, -58.6, -38.5, 161.1]</t>
  </si>
  <si>
    <t>[85.0, 22.2, -29.6, -54.7, -87.8]</t>
  </si>
  <si>
    <t>[-11.5, 2.1, 10.4, 15.8, 10.3]</t>
  </si>
  <si>
    <t>[37.8, -2.3, -3.7, -15.5, 0]</t>
  </si>
  <si>
    <t>[4.6, 4.9, 3.9, 4.5, 4.8]</t>
  </si>
  <si>
    <t>[14.1, 13.8, 13.0, 15.1, 13.2]</t>
  </si>
  <si>
    <t>[15.2, 22.5, 11.6, 12.8, 16.5]</t>
  </si>
  <si>
    <t>[0, 0, 0, 0, 836.0]</t>
  </si>
  <si>
    <t>[-55.6, 0, 0, 2435.7, 0]</t>
  </si>
  <si>
    <t>[0, 167.6, 252.3, -28.2, -46.5]</t>
  </si>
  <si>
    <t>[149.0, 50.4, 9.6, 1.6, -74.1]</t>
  </si>
  <si>
    <t>[-44.1, 319.6, -65.5, 534.6, -73.1]</t>
  </si>
  <si>
    <t>[-10.3, 111.4, -66.8, 66.1, 80.6]</t>
  </si>
  <si>
    <t>[30.6, -61.6, 11.7, 127.9, 13.6]</t>
  </si>
  <si>
    <t>[16.3, 6.2, -16.2, 20.0, -14.7]</t>
  </si>
  <si>
    <t>[-5.6, -16.4, -10.1, 5.7, 22.8]</t>
  </si>
  <si>
    <t>[-62.6, 289.5, 195.0, -63.6, 953.9]</t>
  </si>
  <si>
    <t>[0, 0, 0, -24.5, -31.2]</t>
  </si>
  <si>
    <t>[8.3, 7.7, 6.7, 9.2, 8.1]</t>
  </si>
  <si>
    <t>[136.7, -23.2, 48.4, -59.3, -58.1]</t>
  </si>
  <si>
    <t>[-42.8, 94.1, -19.0, 11.5, 34.9]</t>
  </si>
  <si>
    <t>[-0.7, 6.3, -23.5, 9.0, -12.9]</t>
  </si>
  <si>
    <t>[28.8, -21.9, 30.9, -0.1, 0]</t>
  </si>
  <si>
    <t>[-24.9, -67.6, -25.6, 2708.3, -75.4]</t>
  </si>
  <si>
    <t>[2.4, 2.7, 2.6, 2.5, 2.5]</t>
  </si>
  <si>
    <t>[3.3, 3.3, 3.5, 3.5, 3.4]</t>
  </si>
  <si>
    <t>[11.8, 69.9, 488.9, -74.1, 14.7]</t>
  </si>
  <si>
    <t>[26.5, 6.1, -3.2, -23.8, 0.1]</t>
  </si>
  <si>
    <t>[0, 226.7, 56.0, 24.0, -38.8]</t>
  </si>
  <si>
    <t>[8.7, 473.5, -72.4, -14.8, 38.0]</t>
  </si>
  <si>
    <t>[nan, nan, -0.9, 38.4, 12.5]</t>
  </si>
  <si>
    <t>[63.7, 22.4, -8.4, -39.8, 0]</t>
  </si>
  <si>
    <t>[2.9, 3.0, 3.1, 2.9, 2.7]</t>
  </si>
  <si>
    <t>[-90.1, 59514.4, 109.8, -52.0, 412.5]</t>
  </si>
  <si>
    <t>[13.1, 15.0, 11.0, 6.8, 10.6]</t>
  </si>
  <si>
    <t>[0, -78.8, 59.1, 242.8, 0]</t>
  </si>
  <si>
    <t>[-22.7, -4.9, 106.2, -25.4, 11.3]</t>
  </si>
  <si>
    <t>[2.0, 2.1, 2.2, 2.0, 1.9]</t>
  </si>
  <si>
    <t>[0, 0, 0, 0, -98.0]</t>
  </si>
  <si>
    <t>[266.2, -24.9, -41.8, 226.4, -6.4]</t>
  </si>
  <si>
    <t>[13.8, 122.9, -22.2, -42.1, 12.8]</t>
  </si>
  <si>
    <t>[44.0, 7.4, -7.6, -37.1, 19.2]</t>
  </si>
  <si>
    <t>[0, 0, 0, -27.0, 0]</t>
  </si>
  <si>
    <t>[2.5, 2.6, 2.7, 2.7, 2.5]</t>
  </si>
  <si>
    <t>[0, -75.8, 1466.7, -21.9, -29.4]</t>
  </si>
  <si>
    <t>[10.4, 55.1, 20.3, -71.6, 22.5]</t>
  </si>
  <si>
    <t>[33.1, 843.1, -86.3, 124.4, 115.9]</t>
  </si>
  <si>
    <t>[-88.5, 119.1, 34.3, -68.2, -67.9]</t>
  </si>
  <si>
    <t>[45.5, 787.4, -97.4, -14.1, 50.8]</t>
  </si>
  <si>
    <t>[-1.5, -20.3, 229.9, -90.1, -46.8]</t>
  </si>
  <si>
    <t>[5.1, 7.4, 7.3, 9.1, 12.0]</t>
  </si>
  <si>
    <t>[89.7, 21.1, -18.5, -42.5, -2.5]</t>
  </si>
  <si>
    <t>[0, -29.4, 269.4, -35.2, -4.8]</t>
  </si>
  <si>
    <t>[-15.3, -1.2, 4.0, 47.1, -1.7]</t>
  </si>
  <si>
    <t>[-18.3, 3.5, 20.5, 40.2, -7.8]</t>
  </si>
  <si>
    <t>[87.0, -13.8, -0.1, 47.4, 22.6]</t>
  </si>
  <si>
    <t>[91.9, 11.6, 591.0, -51.7, nan]</t>
  </si>
  <si>
    <t>[18.8, -5.5, -22.5, 15.0, -5.7]</t>
  </si>
  <si>
    <t>[45.7, 34.1, 112.2, -82.8, 1077.9]</t>
  </si>
  <si>
    <t>[-31.7, 260.3, 46.0, -87.0, 40.2]</t>
  </si>
  <si>
    <t>[-38.4, 191.6, 130.0, -40.0, 35.0]</t>
  </si>
  <si>
    <t>[61.0, 50.6, -32.7, 13.4, -39.9]</t>
  </si>
  <si>
    <t>[19.7, 79.5, -17.4, 123.6, 0]</t>
  </si>
  <si>
    <t>[-37.0, 159.1, -79.4, 676.1, -13.9]</t>
  </si>
  <si>
    <t>[153.7, 151.7, -19.8, -16.4, -9.0]</t>
  </si>
  <si>
    <t>[175.9, -48.7, -4.8, 87.8, -87.5]</t>
  </si>
  <si>
    <t>[20.2, 94.9, -1.7, 36.2, -83.2]</t>
  </si>
  <si>
    <t>[11.4, 33.6, -2.6, -35.9, -76.7]</t>
  </si>
  <si>
    <t>[nan, 347.6, 20.0, -24.9, 196.1]</t>
  </si>
  <si>
    <t>[21.9, 11.7, -30.2, 8.1, -80.2]</t>
  </si>
  <si>
    <t>[11.6, 12.0, -22.3, 45.9, 1.6]</t>
  </si>
  <si>
    <t>[-18.6, 13.2, -13.7, 53.6, 0]</t>
  </si>
  <si>
    <t>[16.3, 219.3, -65.5, 24.3, -65.0]</t>
  </si>
  <si>
    <t>[0, 0, -19.7, 0, 0]</t>
  </si>
  <si>
    <t>[0, -30.9, 843.1, 124.8, 0]</t>
  </si>
  <si>
    <t>[-23.2, 278.2, -37.1, 85.7, 8.8]</t>
  </si>
  <si>
    <t>[0, 0, 80.5, -35.3, -45.5]</t>
  </si>
  <si>
    <t>[19.5, 3.5, -45.6, 82.9, 14.7]</t>
  </si>
  <si>
    <t>[9.6, 696.3, -12.3, -45.8, -15.6]</t>
  </si>
  <si>
    <t>[0, -92.4, 78.7, 688.6, -78.2]</t>
  </si>
  <si>
    <t>[nan, nan, -16.7, 15.1, -39.2]</t>
  </si>
  <si>
    <t>[nan, 99.9, 56.5, 49.1, 48.1]</t>
  </si>
  <si>
    <t>[15.3, 17.4, 10.8, 17.0, 27.1]</t>
  </si>
  <si>
    <t>[0, 0, 0, -92.3, 0]</t>
  </si>
  <si>
    <t>[-48.1, 54.0, 18.7, -5.0, -31.8]</t>
  </si>
  <si>
    <t>[3.4, 5.5, 5.0, -5.5, 72.8]</t>
  </si>
  <si>
    <t>[nan, nan, 59.9, 8.9, -14.5]</t>
  </si>
  <si>
    <t>[61.5, 5.7, -13.2, 42.8, -15.9]</t>
  </si>
  <si>
    <t>[0, 0, 20.6, 146.7, 0]</t>
  </si>
  <si>
    <t>[46.2, 0, 0, -24.5, 187.4]</t>
  </si>
  <si>
    <t>[-14.5, 0, 4041.8, 28.5, -3.2]</t>
  </si>
  <si>
    <t>[17.5, 98.5, -23.0, 9.0, 6.9]</t>
  </si>
  <si>
    <t>[0, 0, 0, 106.5, 0]</t>
  </si>
  <si>
    <t>[127.2, 49.3, 33.0, 18.4, -8.8]</t>
  </si>
  <si>
    <t>[-84.2, 0, 0, 103.8, 3.2]</t>
  </si>
  <si>
    <t>[85.2, -8.4, 25.5, -73.1, 126.3]</t>
  </si>
  <si>
    <t>[-49.9, 0, 0, -68.4, 0]</t>
  </si>
  <si>
    <t>[nan, 0, 0, 68.1, 0]</t>
  </si>
  <si>
    <t>[73.8, 124.7, 14.8, 2.3, 22.4]</t>
  </si>
  <si>
    <t>[0, 0, -13.2, -31.8, 21.3]</t>
  </si>
  <si>
    <t>[0, -47.4, 0, 0, 0]</t>
  </si>
  <si>
    <t>[58.4, -22.3, 12.2, 32.0, -44.5]</t>
  </si>
  <si>
    <t>[20.9, 76.7, 35.1, -34.4, -70.1]</t>
  </si>
  <si>
    <t>[36.6, 5.9, -39.9, 11.8, -58.9]</t>
  </si>
  <si>
    <t>[nan, 128.7, 29.0, -15.5, 16.8]</t>
  </si>
  <si>
    <t>[-30.3, 24.7, -21.2, 20.5, 65.5]</t>
  </si>
  <si>
    <t>[34.1, 34.6, -35.7, 14.9, 60.4]</t>
  </si>
  <si>
    <t>[143.0, 147.7, 45.8, 0.9, -38.7]</t>
  </si>
  <si>
    <t>[0, -6.9, 72.7, 7.4, 44.7]</t>
  </si>
  <si>
    <t>[26.7, -10.9, 0.3, -1.6, -31.7]</t>
  </si>
  <si>
    <t>[0, -81.9, 128.0, 85.9, -39.0]</t>
  </si>
  <si>
    <t>[17.7, 165.3, -8.7, -32.7, -32.1]</t>
  </si>
  <si>
    <t>[-46.5, 304.9, 9.0, -62.5, -0.3]</t>
  </si>
  <si>
    <t>[14.9, 80.1, 72.3, -25.5, 16.0]</t>
  </si>
  <si>
    <t>[109.2, 0, 0, 0, 502.3]</t>
  </si>
  <si>
    <t>[-74.7, 24.0, 44.9, 182.9, 15.8]</t>
  </si>
  <si>
    <t>[23.3, -40.9, 124.7, 27.8, 8.8]</t>
  </si>
  <si>
    <t>[nan, 33.3, 41.2, -37.8, 34.0]</t>
  </si>
  <si>
    <t>[-2.5, 0, 32.7, -29.9, -3.3]</t>
  </si>
  <si>
    <t>[0, 0, 0, 41.8, -20.2]</t>
  </si>
  <si>
    <t>[0, 0, 0, 111.0, 54.3]</t>
  </si>
  <si>
    <t>[-11.9, 0, 25.7, 42.2, -46.9]</t>
  </si>
  <si>
    <t>[14.8, 30.2, 25.2, -21.1, -28.7]</t>
  </si>
  <si>
    <t>[0, 453.9, 0, 0, 52.1]</t>
  </si>
  <si>
    <t>[111.1, -85.1, 455.2, 211.9, 87.1]</t>
  </si>
  <si>
    <t>[-26.9, 1.0, 116.5, 1.5, -43.2]</t>
  </si>
  <si>
    <t>[203.8, -30.5, -11.6, 182.1, -53.1]</t>
  </si>
  <si>
    <t>[-45.5, 0, 0, 90.7, 0]</t>
  </si>
  <si>
    <t>[24.5, 98.2, 11.1, -47.5, 20.7]</t>
  </si>
  <si>
    <t>[0, 0, 0, 173.3, -43.1]</t>
  </si>
  <si>
    <t>[0, 0, 371.3, 263.2, -43.8]</t>
  </si>
  <si>
    <t>[-11.9, -33.0, 119.9, 81.7, -4.4]</t>
  </si>
  <si>
    <t>[nan, 0, 77.6, -43.7, -74.0]</t>
  </si>
  <si>
    <t>[14.6, -31.2, 24.7, 58.7, 19.0]</t>
  </si>
  <si>
    <t>[nan, 0, 736.0, 200.1, -14.7]</t>
  </si>
  <si>
    <t>[-47.4, 0, 0, -41.0, 0]</t>
  </si>
  <si>
    <t>[323.0, 28.9, 4.0, -41.0, 0]</t>
  </si>
  <si>
    <t>[2.4, 80.0, 23.4, 1.9, -18.0]</t>
  </si>
  <si>
    <t>[nan, 2909.2, -60.1, -19.5, 0]</t>
  </si>
  <si>
    <t>[nan, -18.3, 25.3, 126.6, -50.8]</t>
  </si>
  <si>
    <t>[nan, nan, 193.7, -75.7, -72.7]</t>
  </si>
  <si>
    <t>[nan, 148.8, -77.2, 306.5, -94.0]</t>
  </si>
  <si>
    <t>[0, 242.2, -75.4, 223.7, 0]</t>
  </si>
  <si>
    <t>[0, 133.9, 21.6, -64.3, 626.3]</t>
  </si>
  <si>
    <t>[87.1, 3.9, 47.5, -56.3, -16.6]</t>
  </si>
  <si>
    <t>[0, -0.3, -12.0, -11.5, -11.0]</t>
  </si>
  <si>
    <t>[36.7, 51.9, 13.9, -56.8, -62.0]</t>
  </si>
  <si>
    <t>[12.7, -28.8, 140.2, 24.1, -4.4]</t>
  </si>
  <si>
    <t>[51.6, 6.0, 51.3, -30.4, 8.5]</t>
  </si>
  <si>
    <t>[243.5, 16.1, 23.8, -57.2, -6.9]</t>
  </si>
  <si>
    <t>[109.9, 177.2, 298.2, -52.0, -28.4]</t>
  </si>
  <si>
    <t>[-3.4, -3.8, 63.8, -54.6, -4.2]</t>
  </si>
  <si>
    <t>[61.5, 40.4, 63.5, 22.5, -8.3]</t>
  </si>
  <si>
    <t>[23.2, -4.4, 41.7, 7.3, -62.0]</t>
  </si>
  <si>
    <t>[-60.6, 206.2, 321.3, 13.8, -49.7]</t>
  </si>
  <si>
    <t>[0, 24.7, -73.0, -75.3, 0]</t>
  </si>
  <si>
    <t>[-1.9, 13.8, 1.8, 3.9, -34.6]</t>
  </si>
  <si>
    <t>[nan, nan, 339.8, 28.5, 13.6]</t>
  </si>
  <si>
    <t>[6.1, 21.3, -0.3, 24.0, -8.1]</t>
  </si>
  <si>
    <t>[0, 113.1, -43.6, -37.7, -71.7]</t>
  </si>
  <si>
    <t>[nan, nan, 74.5, 13.3, -26.5]</t>
  </si>
  <si>
    <t>[-81.7, 652.2, -5.8, 330.5, -95.3]</t>
  </si>
  <si>
    <t>[-70.5, 177.8, 116.8, -51.3, 0]</t>
  </si>
  <si>
    <t>[97.5, 266.7, -4.8, -1.9, 61.0]</t>
  </si>
  <si>
    <t>[0, 0, 0, 519.0, 7.8]</t>
  </si>
  <si>
    <t>[0, 0, 52.6, 114.6, -3.0]</t>
  </si>
  <si>
    <t>[0, 1154.0, 152.7, 10.9, 39.7]</t>
  </si>
  <si>
    <t>[-29.0, 30.1, 105.0, -33.2, 6.9]</t>
  </si>
  <si>
    <t>[69.7, -27.2, 5.8, 16.6, 3.2]</t>
  </si>
  <si>
    <t>[0, 821.1, 400.4, -3.7, 0]</t>
  </si>
  <si>
    <t>[2888.0, 2871.0, 3185.0, nan]</t>
  </si>
  <si>
    <t>[2054.0, 2246.0, 2689.0, nan]</t>
  </si>
  <si>
    <t>[7082.0, 14991.0, 15026.0, 15180.0]</t>
  </si>
  <si>
    <t>[1159.0, 1404.0, 1668.0, nan]</t>
  </si>
  <si>
    <t>[1466.0, 1796.0, 2480.0, 2535.0]</t>
  </si>
  <si>
    <t>[1485.0, 1554.0, 1648.0, nan]</t>
  </si>
  <si>
    <t>[5948.0, 7033.0, 7711.0, nan]</t>
  </si>
  <si>
    <t>[1015.0, 1098.0, 1242.0, nan]</t>
  </si>
  <si>
    <t>[1397.0, 1488.0, 1639.0, nan]</t>
  </si>
  <si>
    <t>[1766.0, 1819.0, 1943.0, 2000.0]</t>
  </si>
  <si>
    <t>[3173.0, 3334.0, 3683.0, nan]</t>
  </si>
  <si>
    <t>[474.0, 522.0, 528.0, nan]</t>
  </si>
  <si>
    <t>[472.0, 499.0, 841.0, nan]</t>
  </si>
  <si>
    <t>[1176.0, 1382.0, 1413.0, nan]</t>
  </si>
  <si>
    <t>[423.0, 464.0, 561.0, nan]</t>
  </si>
  <si>
    <t>[5120.0, 5931.0, 6620.0, 7759.0]</t>
  </si>
  <si>
    <t>[1085.0, 1293.0, 1327.0, nan]</t>
  </si>
  <si>
    <t>[1379.0, 1457.0, 1465.0, nan]</t>
  </si>
  <si>
    <t>[3222.0, 3303.0, 3423.0, nan]</t>
  </si>
  <si>
    <t>[2748.0, 3320.0, 3553.0, nan]</t>
  </si>
  <si>
    <t>[1647.0, 1876.0, 2017.0, nan]</t>
  </si>
  <si>
    <t>[633.0, 647.0, 766.0, nan]</t>
  </si>
  <si>
    <t>[2942.0, 4261.0, 5257.0, nan]</t>
  </si>
  <si>
    <t>[1081.0, 1232.0, 1234.0, nan]</t>
  </si>
  <si>
    <t>[2864.0, 2984.0, 3021.0, nan]</t>
  </si>
  <si>
    <t>[2541.0, 2804.0, 3782.0, nan]</t>
  </si>
  <si>
    <t>[422.0, 462.0, 503.0, nan]</t>
  </si>
  <si>
    <t>[6450.0, 7255.0, 8313.0, nan]</t>
  </si>
  <si>
    <t>[2524.0, 2752.0, 3114.0, nan]</t>
  </si>
  <si>
    <t>[846.0, 1129.0, 1345.0, nan]</t>
  </si>
  <si>
    <t>[1064.0, 1030.0, 1656.0, nan]</t>
  </si>
  <si>
    <t>[4729.0, 4354.0, 6084.0, nan]</t>
  </si>
  <si>
    <t>[7155.0, 8210.0, 8777.0, 9776.0]</t>
  </si>
  <si>
    <t>[993.0, 983.0, 1181.0, nan]</t>
  </si>
  <si>
    <t>[359.0, 385.0, 411.0, nan]</t>
  </si>
  <si>
    <t>[3460.0, 4393.0, 5057.0, nan]</t>
  </si>
  <si>
    <t>[8753.0, 9485.0, 11549.0, nan]</t>
  </si>
  <si>
    <t>[31037.0, 41314.0, 45104.0, 47130.0]</t>
  </si>
  <si>
    <t>[2423.0, 2694.0, 3304.0, nan]</t>
  </si>
  <si>
    <t>[2431.0, 2596.0, 2738.0, 2950.0]</t>
  </si>
  <si>
    <t>[2174.0, 2313.0, 2601.0, nan]</t>
  </si>
  <si>
    <t>[1096.0, 1086.0, 1158.0, nan]</t>
  </si>
  <si>
    <t>[1024.0, 971.0, 1046.0, nan]</t>
  </si>
  <si>
    <t>[3425.0, 4721.0, 5281.0, nan]</t>
  </si>
  <si>
    <t>[10631.0, 10884.0, 11462.0, 12387.0]</t>
  </si>
  <si>
    <t>[851.0, 947.0, 1025.0, nan]</t>
  </si>
  <si>
    <t>[1471.0, 1501.0, 2424.0, nan]</t>
  </si>
  <si>
    <t>[321.0, 331.0, 383.0, nan]</t>
  </si>
  <si>
    <t>[687.0, 727.0, 888.0, nan]</t>
  </si>
  <si>
    <t>[370.0, 595.0, 707.0, nan]</t>
  </si>
  <si>
    <t>[2601.0, 2838.0, 2970.0, nan]</t>
  </si>
  <si>
    <t>[1249.0, 1394.0, 1579.0, nan]</t>
  </si>
  <si>
    <t>[1125.0, 1706.0, 2163.0, nan]</t>
  </si>
  <si>
    <t>[993.0, 1086.0, 1234.0, nan]</t>
  </si>
  <si>
    <t>[1827.0, 2204.0, 2394.0, 2649.0]</t>
  </si>
  <si>
    <t>[519.0, 628.0, 767.0, nan]</t>
  </si>
  <si>
    <t>[1797.0, 2039.0, 2301.0, 2541.0]</t>
  </si>
  <si>
    <t>[955.0, 945.0, 1083.0, nan]</t>
  </si>
  <si>
    <t>[637.0, 757.0, 871.0, nan]</t>
  </si>
  <si>
    <t>[260.0, 565.0, 674.0, nan]</t>
  </si>
  <si>
    <t>[671.0, 723.0, 773.0, nan]</t>
  </si>
  <si>
    <t>[1193.0, 1284.0, 1405.0, nan]</t>
  </si>
  <si>
    <t>[943.0, 996.0, 1186.0, nan]</t>
  </si>
  <si>
    <t>[108.0, 211.0, 1034.0, nan]</t>
  </si>
  <si>
    <t>[1023.0, 1131.0, 1179.0, nan]</t>
  </si>
  <si>
    <t>[2614.0, 2898.0, 3179.0, nan]</t>
  </si>
  <si>
    <t>[1218.0, 2049.0, 2170.0, 2487.0]</t>
  </si>
  <si>
    <t>[2157.0, 2382.0, 2648.0, nan]</t>
  </si>
  <si>
    <t>[1578.0, 1724.0, 2123.0, nan]</t>
  </si>
  <si>
    <t>[250.0, 223.0, 270.0, nan]</t>
  </si>
  <si>
    <t>[1658.0, 1773.0, 1940.0, nan]</t>
  </si>
  <si>
    <t>[1591.0, 1830.0, 2403.0, 2393.0]</t>
  </si>
  <si>
    <t>[181.0, 316.0, 393.0, nan]</t>
  </si>
  <si>
    <t>[618.0, 821.0, 1444.0, nan]</t>
  </si>
  <si>
    <t>[5065.0, 5431.0, 5765.0, 5829.0]</t>
  </si>
  <si>
    <t>[439.0, 471.0, 768.0, nan]</t>
  </si>
  <si>
    <t>[2312.0, 2476.0, 2654.0, nan]</t>
  </si>
  <si>
    <t>[946.0, 1089.0, 1219.0, nan]</t>
  </si>
  <si>
    <t>[2631.0, 3138.0, 3672.0, nan]</t>
  </si>
  <si>
    <t>[2531.0, 2941.0, 3279.0, nan]</t>
  </si>
  <si>
    <t>[2380.0, 3054.0, 3274.0, nan]</t>
  </si>
  <si>
    <t>[573.0, 624.0, 674.0, nan]</t>
  </si>
  <si>
    <t>[532.0, 602.0, 1243.0, nan]</t>
  </si>
  <si>
    <t>[2181.0, 2408.0, 2779.0, nan]</t>
  </si>
  <si>
    <t>[600.0, 752.0, 815.0, nan]</t>
  </si>
  <si>
    <t>[787.0, 839.0, 880.0, nan]</t>
  </si>
  <si>
    <t>[478.0, 492.0, 696.0, nan]</t>
  </si>
  <si>
    <t>[1091.0, 1321.0, 1583.0, nan]</t>
  </si>
  <si>
    <t>[1049.0, 1192.0, 1304.0, nan]</t>
  </si>
  <si>
    <t>[1092.0, 1059.0, 1244.0, nan]</t>
  </si>
  <si>
    <t>[1071.0, 922.0, 1181.0, nan]</t>
  </si>
  <si>
    <t>[271.0, 630.0, 760.0,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</si>
  <si>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</si>
  <si>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</si>
  <si>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</si>
  <si>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</si>
  <si>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</si>
  <si>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</si>
  <si>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[708.0, 806.0, 903.0, nan]</t>
  </si>
  <si>
    <t>[2083.0, 2452.0, 2766.0, nan]</t>
  </si>
  <si>
    <t>[573.0, 735.0, 796.0, nan]</t>
  </si>
  <si>
    <t>[727.0, 783.0, 829.0, nan]</t>
  </si>
  <si>
    <t>[723.0, 755.0, 946.0, nan]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</si>
  <si>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</si>
  <si>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</si>
  <si>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</si>
  <si>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</si>
  <si>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</si>
  <si>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</si>
  <si>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</si>
  <si>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</si>
  <si>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[639.0, 716.0, 830.0, nan]</t>
  </si>
  <si>
    <t>[1291.0, 1298.0, 1300.0, nan]</t>
  </si>
  <si>
    <t>[438.0, 550.0, 553.0, nan]</t>
  </si>
  <si>
    <t>[383.0, 424.0, 441.0, nan]</t>
  </si>
  <si>
    <t>[2938.0, 3814.0, 4485.0, nan]</t>
  </si>
  <si>
    <t>[553.0, 617.0, 675.0, nan]</t>
  </si>
  <si>
    <t>[38561.0, 43166.0, 50037.0, 54253.0]</t>
  </si>
  <si>
    <t>[6488.0, 7496.0, 8291.0, 8620.0]</t>
  </si>
  <si>
    <t>[22426.0, 22819.0, 24587.0, 27128.0]</t>
  </si>
  <si>
    <t>[2716.0, 2928.0, 3287.0, nan]</t>
  </si>
  <si>
    <t>[5088.0, 5227.0, 5830.0, nan]</t>
  </si>
  <si>
    <t>[8710.0, 9151.0, 10048.0, 11226.0]</t>
  </si>
  <si>
    <t>[2458.0, 2654.0, 2862.0, nan]</t>
  </si>
  <si>
    <t>[50643.0, 53900.0, 59373.0, 66725.0]</t>
  </si>
  <si>
    <t>[3090.0, 3338.0, 3607.0, nan]</t>
  </si>
  <si>
    <t>[1645.0, 1797.0, 1906.0, nan]</t>
  </si>
  <si>
    <t>[5201.0, 9839.0, 10397.0, nan]</t>
  </si>
  <si>
    <t>[10570.0, 11999.0, 13362.0, nan]</t>
  </si>
  <si>
    <t>[13355.0, 14248.0, 15543.0, 15779.0]</t>
  </si>
  <si>
    <t>[8897.0, 9820.0, 10542.0, nan]</t>
  </si>
  <si>
    <t>[1484.0, 1599.0, 1682.0, nan]</t>
  </si>
  <si>
    <t>[4582.0, 4886.0, 5166.0, nan]</t>
  </si>
  <si>
    <t>[8158.0, 8814.0, 9609.0, nan]</t>
  </si>
  <si>
    <t>[3809.0, 4119.0, 4316.0, nan]</t>
  </si>
  <si>
    <t>[1281.0, 1502.0, 1670.0, nan]</t>
  </si>
  <si>
    <t>[2753.0, 3644.0, 4184.0, nan]</t>
  </si>
  <si>
    <t>[34218.0, 34691.0, 39265.0, 35727.0]</t>
  </si>
  <si>
    <t>[14732.0, 17011.0, 17786.0, 18916.0]</t>
  </si>
  <si>
    <t>[1730.0, 1856.0, 1992.0, nan]</t>
  </si>
  <si>
    <t>[3380.0, 3914.0, 4534.0, nan]</t>
  </si>
  <si>
    <t>[3041.0, 3619.0, 4203.0, 4666.0]</t>
  </si>
  <si>
    <t>[4941.0, 5425.0, 6020.0, nan]</t>
  </si>
  <si>
    <t>[1502.0, 1596.0, 1727.0, nan]</t>
  </si>
  <si>
    <t>[11927.0, 13779.0, 14931.0, 16068.0]</t>
  </si>
  <si>
    <t>[15937.0, 19169.0, 22226.0, 25479.0]</t>
  </si>
  <si>
    <t>[395.0, 446.0, 509.0, nan]</t>
  </si>
  <si>
    <t>[9061.0, 9750.0, 10398.0, 12140.0]</t>
  </si>
  <si>
    <t>[114896.0, 127347.0, 132044.0, 133062.0]</t>
  </si>
  <si>
    <t>[5931.0, 6325.0, 6812.0, 7416.0]</t>
  </si>
  <si>
    <t>[847.0, 937.0, 1061.0, nan]</t>
  </si>
  <si>
    <t>[20576.0, 24734.0, 27485.0, nan]</t>
  </si>
  <si>
    <t>[32129.0, 33734.0, 39195.0, 44740.0]</t>
  </si>
  <si>
    <t>[17732.0, 22765.0, 24324.0, 26480.0]</t>
  </si>
  <si>
    <t>[656.0, 551.0, 695.0, nan]</t>
  </si>
  <si>
    <t>[1228.0, 1123.0, 1318.0, nan]</t>
  </si>
  <si>
    <t>[1302.0, 1539.0, 1673.0, nan]</t>
  </si>
  <si>
    <t>[1562.0, 1748.0, 1939.0, 2010.0]</t>
  </si>
  <si>
    <t>[2123.0, 2226.0, 3176.0, nan]</t>
  </si>
  <si>
    <t>[1487.0, 1557.0, 1676.0, nan]</t>
  </si>
  <si>
    <t>[1017.0, 1058.0, 1172.0, nan]</t>
  </si>
  <si>
    <t>[59603.0, 62500.0, 67154.0, 70929.0]</t>
  </si>
  <si>
    <t>[5778.0, 6613.0, 6991.0, 7440.0]</t>
  </si>
  <si>
    <t>[1663.0, 1923.0, 1992.0, nan]</t>
  </si>
  <si>
    <t>[31673.0, 35485.0, 39747.0, 42753.0]</t>
  </si>
  <si>
    <t>[4844.0, 5196.0, 5717.0, nan]</t>
  </si>
  <si>
    <t>[1597.0, 1956.0, 1976.0, nan]</t>
  </si>
  <si>
    <t>[2274.0, 2494.0, 2788.0, nan]</t>
  </si>
  <si>
    <t>[975.0, 1026.0, 1105.0, nan]</t>
  </si>
  <si>
    <t>[1219.0, 1304.0, 1429.0, nan]</t>
  </si>
  <si>
    <t>[2433.0, 2472.0, 3411.0, nan]</t>
  </si>
  <si>
    <t>[340387.0, 357039.0, 385339.0, 414637.0]</t>
  </si>
  <si>
    <t>[24295.0, 31317.0, 34699.0, 37399.0]</t>
  </si>
  <si>
    <t>[2127.0, 3650.0, 4498.0, nan]</t>
  </si>
  <si>
    <t>[3182.0, 3450.0, 3609.0, nan]</t>
  </si>
  <si>
    <t>[349.0, 586.0, 833.0, nan]</t>
  </si>
  <si>
    <t>[3578.0, 6095.0, 6737.0, nan]</t>
  </si>
  <si>
    <t>[1208.0, 1282.0, 1420.0, nan]</t>
  </si>
  <si>
    <t>[77302.0, 84904.0, 88778.0, 86592.0]</t>
  </si>
  <si>
    <t>[39052.0, 43369.0, 46170.0, 49653.0]</t>
  </si>
  <si>
    <t>[9569.0, 10144.0, 11552.0, nan]</t>
  </si>
  <si>
    <t>[46280.0, 50978.0, 59490.0, 64900.0]</t>
  </si>
  <si>
    <t>[378.0, 401.0, 630.0, nan]</t>
  </si>
  <si>
    <t>[3844.0, 4206.0, 4439.0, nan]</t>
  </si>
  <si>
    <t>[238737.0, 264292.0, 281245.0, 304861.0]</t>
  </si>
  <si>
    <t>[413.0, 369.0, 489.0, nan]</t>
  </si>
  <si>
    <t>[1546.0, 1562.0, 1747.0, nan]</t>
  </si>
  <si>
    <t>[160026.0, 179987.0, 188270.0, 202320.0]</t>
  </si>
  <si>
    <t>[981.0, 1063.0, 1109.0, nan]</t>
  </si>
  <si>
    <t>[993.0, 2212.0, 2375.0, nan]</t>
  </si>
  <si>
    <t>[328202.0, 357256.0, 391779.0, 440625.0]</t>
  </si>
  <si>
    <t>[4607.0, 5335.0, 5849.0, nan]</t>
  </si>
  <si>
    <t>[178421.0, 224708.0, 229568.0, 237811.0]</t>
  </si>
  <si>
    <t>[10936.0, 14495.0, 16827.0, nan]</t>
  </si>
  <si>
    <t>[136601.0, 166275.0, 166858.0, 167599.0]</t>
  </si>
  <si>
    <t>[7032.0, 7524.0, 8140.0, 8520.0]</t>
  </si>
  <si>
    <t>[18479.0, 18761.0, 19261.0, nan]</t>
  </si>
  <si>
    <t>[2408.0, 4350.0, 4412.0, nan]</t>
  </si>
  <si>
    <t>[48306.0, 50476.0, 53851.0, 58113.0]</t>
  </si>
  <si>
    <t>[3042.0, 3450.0, 3632.0, nan]</t>
  </si>
  <si>
    <t>[977.0, 1111.0, 1195.0, nan]</t>
  </si>
  <si>
    <t>[12295.0, 15446.0, 18435.0, 19987.0]</t>
  </si>
  <si>
    <t>[8878.0, 11452.0, 13758.0, nan]</t>
  </si>
  <si>
    <t>[3226.0, 3676.0, 4578.0, nan]</t>
  </si>
  <si>
    <t>[89.0, 183.0, 303.0, nan]</t>
  </si>
  <si>
    <t>[77721.0, 80793.0, 86506.0, 90820.0]</t>
  </si>
  <si>
    <t>[33749.0, 47828.0, 48809.0, 57052.0]</t>
  </si>
  <si>
    <t>[338153.0, 468457.0, 479284.0, 509393.0]</t>
  </si>
  <si>
    <t>[18427.0, 23473.0, 26286.0, 30864.0]</t>
  </si>
  <si>
    <t>[859.0, 1513.0, 1670.0, nan]</t>
  </si>
  <si>
    <t>[735.0, 832.0, 967.0, nan]</t>
  </si>
  <si>
    <t>[591.0, 596.0, 709.0, nan]</t>
  </si>
  <si>
    <t>[7773.0, 7849.0, 8754.0, 9490.0]</t>
  </si>
  <si>
    <t>[242.0, 307.0, 482.0, nan]</t>
  </si>
  <si>
    <t>[1457.0, 1655.0, 2068.0, nan]</t>
  </si>
  <si>
    <t>[2196.0, 2597.0, 3409.0, 3544.0]</t>
  </si>
  <si>
    <t>[243.0, 413.0, 467.0, nan]</t>
  </si>
  <si>
    <t>[357.0, 361.0, 393.0, nan]</t>
  </si>
  <si>
    <t>[866.0, 949.0, 1077.0, nan]</t>
  </si>
  <si>
    <t>[126.0, 385.0, 458.0, nan]</t>
  </si>
  <si>
    <t>[1960.0, 2191.0, 2485.0, 2675.0]</t>
  </si>
  <si>
    <t>[1399.0, 2423.0, 2491.0, nan]</t>
  </si>
  <si>
    <t>[443.0, 525.0, 693.0, nan]</t>
  </si>
  <si>
    <t>[740.0, 810.0, 993.0, nan]</t>
  </si>
  <si>
    <t>[1528.0, 1879.0, 2795.0, 3499.0]</t>
  </si>
  <si>
    <t>[833.0, 898.0, 1021.0, nan]</t>
  </si>
  <si>
    <t>[428.0, 614.0, 1452.0, 1582.0]</t>
  </si>
  <si>
    <t>[182.0, 190.0, 266.0, nan]</t>
  </si>
  <si>
    <t>[876.0, 3034.0, 3321.0, 2794.0]</t>
  </si>
  <si>
    <t>[1151.0, 1317.0, 1570.0, nan]</t>
  </si>
  <si>
    <t>[15246.0, 20415.0, 22340.0, 26974.0]</t>
  </si>
  <si>
    <t>[266.0, 441.0, 443.0, nan]</t>
  </si>
  <si>
    <t>[9051.0, 9841.0, 10634.0, 11076.0]</t>
  </si>
  <si>
    <t>[2214.0, 2613.0, 2945.0, 3561.0]</t>
  </si>
  <si>
    <t>[2875.0, 3470.0, 4036.0, 4551.0]</t>
  </si>
  <si>
    <t>[713.0, 754.0, 858.0, nan]</t>
  </si>
  <si>
    <t>[50.0, 71.0, 268.0, nan]</t>
  </si>
  <si>
    <t>[492.0, 609.0, 683.0, nan]</t>
  </si>
  <si>
    <t>[155.0, 214.0, 412.0, 517.0]</t>
  </si>
  <si>
    <t>[1196.0, 1321.0, 1415.0, 1591.0]</t>
  </si>
  <si>
    <t>[-11.0, 20.0, 99.0, nan]</t>
  </si>
  <si>
    <t>[476.0, 593.0, 1057.0, 1181.0]</t>
  </si>
  <si>
    <t>[535.0, 489.0, 686.0, nan]</t>
  </si>
  <si>
    <t>[10647.0, 10667.0, 10983.0, 11911.0]</t>
  </si>
  <si>
    <t>[792.0, 1057.0, 1126.0, nan]</t>
  </si>
  <si>
    <t>[26.0, 161.0, 754.0, 1117.0]</t>
  </si>
  <si>
    <t>[1665.0, 2085.0, 2439.0, 2855.0]</t>
  </si>
  <si>
    <t>[144.0, 210.0, 271.0, nan]</t>
  </si>
  <si>
    <t>[869.0, 809.0, 1359.0, nan]</t>
  </si>
  <si>
    <t>[253.0, 232.0, 512.0, nan]</t>
  </si>
  <si>
    <t>[470.0, 502.0, 541.0, nan]</t>
  </si>
  <si>
    <t>[2848.0, 3152.0, 3673.0, nan]</t>
  </si>
  <si>
    <t>[1178.0, 3091.0, 3385.0, 3393.0]</t>
  </si>
  <si>
    <t>[317.0, 474.0, 531.0, nan]</t>
  </si>
  <si>
    <t>[1227.0, 1633.0, 1945.0, 2323.0]</t>
  </si>
  <si>
    <t>[4558.0, 5584.0, 6447.0, 8167.0]</t>
  </si>
  <si>
    <t>[39893.0, 42602.0, 46703.0, 50752.0]</t>
  </si>
  <si>
    <t>[2960.0, 3941.0, 4830.0, 5444.0]</t>
  </si>
  <si>
    <t>[120.0, 159.0, 312.0, nan]</t>
  </si>
  <si>
    <t>[1674.0, 1845.0, 2022.0, nan]</t>
  </si>
  <si>
    <t>[7990.0, 9917.0, 12497.0, 14379.0]</t>
  </si>
  <si>
    <t>[5809.0, 6474.0, 6528.0, 6879.0]</t>
  </si>
  <si>
    <t>[971.0, 1170.0, 1240.0, 1370.0]</t>
  </si>
  <si>
    <t>[855.0, 1197.0, 1454.0, nan]</t>
  </si>
  <si>
    <t>[87.0, 42.0, 181.0, nan]</t>
  </si>
  <si>
    <t>[342.0, 354.0, 411.0, nan]</t>
  </si>
  <si>
    <t>[490.0, 556.0, 651.0, nan]</t>
  </si>
  <si>
    <t>[68.0, 480.0, 507.0, 568.0]</t>
  </si>
  <si>
    <t>[282.0, 382.0, 1451.0, nan]</t>
  </si>
  <si>
    <t>[1869.0, 2133.0, 2494.0, nan]</t>
  </si>
  <si>
    <t>[186.0, 268.0, 379.0, nan]</t>
  </si>
  <si>
    <t>[191.0, 269.0, 554.0, nan]</t>
  </si>
  <si>
    <t>[11457.0, 12945.0, 13606.0, 14151.0]</t>
  </si>
  <si>
    <t>[143.0, 284.0, 583.0, 686.0]</t>
  </si>
  <si>
    <t>[1795.0, 2049.0, 2923.0, 4419.0]</t>
  </si>
  <si>
    <t>[1030.0, 1206.0, 1397.0, 1519.0]</t>
  </si>
  <si>
    <t>[599.0, 623.0, 748.0, nan]</t>
  </si>
  <si>
    <t>[211.0, 367.0, 419.0, nan]</t>
  </si>
  <si>
    <t>[2072134.0, 2400690.0, 2549155.0, 2742427.0]</t>
  </si>
  <si>
    <t>[980.0, 1297.0, 2246.0, 2714.0]</t>
  </si>
  <si>
    <t>[221.0, 284.0, 377.0, nan]</t>
  </si>
  <si>
    <t>[432.0, 501.0, 700.0, nan]</t>
  </si>
  <si>
    <t>[531.0, 630.0, 812.0, nan]</t>
  </si>
  <si>
    <t>[128.0, 215.0, 727.0, nan]</t>
  </si>
  <si>
    <t>[1223.0, 1319.0, 1468.0, nan]</t>
  </si>
  <si>
    <t>[70.0, 106.0, 694.0, 834.0]</t>
  </si>
  <si>
    <t>[497.0, 880.0, 1382.0, 1392.0]</t>
  </si>
  <si>
    <t>[1884.0, 2051.0, 2428.0, 2155.0]</t>
  </si>
  <si>
    <t>[403.0, 551.0, 1106.0, nan]</t>
  </si>
  <si>
    <t>[91.0, 232.0, 247.0, nan]</t>
  </si>
  <si>
    <t>[972.0, 1086.0, 1364.0, nan]</t>
  </si>
  <si>
    <t>[112.0, 201.0, 387.0, nan]</t>
  </si>
  <si>
    <t>[246.0, 308.0, 474.0, nan]</t>
  </si>
  <si>
    <t>[395.0, 434.0, 549.0, nan]</t>
  </si>
  <si>
    <t>[1341.0, 1314.0, 1471.0, 1915.0]</t>
  </si>
  <si>
    <t>[337.0, 489.0, 745.0, nan]</t>
  </si>
  <si>
    <t>[809.0, 2054.0, 2203.0, nan]</t>
  </si>
  <si>
    <t>[1619.0, 1941.0, 2069.0, 2291.0]</t>
  </si>
  <si>
    <t>[4046.0, 5183.0, 6472.0, 7618.0]</t>
  </si>
  <si>
    <t>[401.0, 512.0, 646.0, nan]</t>
  </si>
  <si>
    <t>[613.0, 770.0, 817.0, nan]</t>
  </si>
  <si>
    <t>[681.0, 1264.0, 1528.0, 1740.0]</t>
  </si>
  <si>
    <t>[1812.0, 2100.0, 2239.0, nan]</t>
  </si>
  <si>
    <t>[243.0, 450.0, 596.0, 727.0]</t>
  </si>
  <si>
    <t>[841.0, 952.0, 1097.0, nan]</t>
  </si>
  <si>
    <t>[1786.0, 2132.0, 2468.0, 2629.0]</t>
  </si>
  <si>
    <t>[140.0, 377.0, 383.0, nan]</t>
  </si>
  <si>
    <t>[1065.0, 1244.0, 1397.0, 1480.0]</t>
  </si>
  <si>
    <t>[12.0, 295.0, 441.0, nan]</t>
  </si>
  <si>
    <t>[936.0, 1017.0, 1265.0, nan]</t>
  </si>
  <si>
    <t>[260.0, 317.0, 667.0, nan]</t>
  </si>
  <si>
    <t>[1253.0, 1467.0, 1806.0, 2090.0]</t>
  </si>
  <si>
    <t>[648.0, 805.0, 1055.0, nan]</t>
  </si>
  <si>
    <t>[927.0, 1403.0, 1594.0, 1640.0]</t>
  </si>
  <si>
    <t>[891.0, 1084.0, 1287.0, nan]</t>
  </si>
  <si>
    <t>[332.0, 372.0, 470.0, nan]</t>
  </si>
  <si>
    <t>[975.0, 1187.0, 1527.0, nan]</t>
  </si>
  <si>
    <t>[533.0, 711.0, 897.0, nan]</t>
  </si>
  <si>
    <t>[2359.0, 2810.0, 3075.0, 3356.0]</t>
  </si>
  <si>
    <t>[1262.0, 1408.0, 1614.0, 1780.0]</t>
  </si>
  <si>
    <t>[26.0, 96.0, 159.0, nan]</t>
  </si>
  <si>
    <t>[5.27, 0.39, 15.18, nan]</t>
  </si>
  <si>
    <t>[7.73, 9.79, 18.68, nan]</t>
  </si>
  <si>
    <t>[428.57, 4.37, 1.79, 1.72]</t>
  </si>
  <si>
    <t>[23.78, 22.26, 18.34, nan]</t>
  </si>
  <si>
    <t>[3.48, 20.58, 26.2, 9.49]</t>
  </si>
  <si>
    <t>[8.88, 11.19, 7.4, nan]</t>
  </si>
  <si>
    <t>[18.31, 18.79, 11.49, nan]</t>
  </si>
  <si>
    <t>[3.7, 8.93, 13.31, nan]</t>
  </si>
  <si>
    <t>[6.21, 9.76, 14.22, nan]</t>
  </si>
  <si>
    <t>[8.55, 8.77, 7.81, 4.08]</t>
  </si>
  <si>
    <t>[12.03, 9.83, 11.57, nan]</t>
  </si>
  <si>
    <t>[20.63, 18.7, 9.11, nan]</t>
  </si>
  <si>
    <t>[13.48, 6.55, 50.67, nan]</t>
  </si>
  <si>
    <t>[42.16, 22.5, 5.89, nan]</t>
  </si>
  <si>
    <t>[8.77, 13.28, 11.98, nan]</t>
  </si>
  <si>
    <t>[27.12, 18.52, 14.28, 17.13]</t>
  </si>
  <si>
    <t>[11.73, 20.6, 3.66, nan]</t>
  </si>
  <si>
    <t>[16.24, 10.29, 6.57, nan]</t>
  </si>
  <si>
    <t>[11.49, 12.12, 4.07, nan]</t>
  </si>
  <si>
    <t>[2.65, 19.45, 8.37, nan]</t>
  </si>
  <si>
    <t>[17.28, 7.62, 7.12, nan]</t>
  </si>
  <si>
    <t>[4.38, 2.49, 17.15, nan]</t>
  </si>
  <si>
    <t>[40.99, 37.93, 26.51, nan]</t>
  </si>
  <si>
    <t>[24.19, 17.46, 1.28, nan]</t>
  </si>
  <si>
    <t>[31.06, 14.41, 3.28, nan]</t>
  </si>
  <si>
    <t>[13.36, 13.22, 18.62, 31.99]</t>
  </si>
  <si>
    <t>[14.84, 12.14, 9.37, nan]</t>
  </si>
  <si>
    <t>[6.85, 14.53, 15.06, nan]</t>
  </si>
  <si>
    <t>[14.33, 10.66, 13.32, nan]</t>
  </si>
  <si>
    <t>[-0.25, 30.75, 19.02, nan]</t>
  </si>
  <si>
    <t>[10.98, -4.07, 47.51, nan]</t>
  </si>
  <si>
    <t>[7.9, 7.28, 13.08, nan]</t>
  </si>
  <si>
    <t>[25.66, 21.75, 12.72, 9.89]</t>
  </si>
  <si>
    <t>[9.08, 7.06, 20.64, 11.26]</t>
  </si>
  <si>
    <t>[7.11, 9.62, 7.94, nan]</t>
  </si>
  <si>
    <t>[23.63, 41.29, 15.21, nan]</t>
  </si>
  <si>
    <t>[6.57, 7.95, 9.36, nan]</t>
  </si>
  <si>
    <t>[15.61, 10.33, 6.23, 8.39]</t>
  </si>
  <si>
    <t>[15.42, 7.94, 19.66, nan]</t>
  </si>
  <si>
    <t>[11.73, 8.56, 7.01, 8.79]</t>
  </si>
  <si>
    <t>[9.66, 6.48, 10.23, nan]</t>
  </si>
  <si>
    <t>[17.42, 24.28, 7.1, nan]</t>
  </si>
  <si>
    <t>[2.9, 0.74, 15.27, nan]</t>
  </si>
  <si>
    <t>[16.67, 15.94, 10.32, nan]</t>
  </si>
  <si>
    <t>[10.1, 12.46, 9.81, 10.36]</t>
  </si>
  <si>
    <t>[15.18, 14.18, 10.84, nan]</t>
  </si>
  <si>
    <t>[8.21, 7.58, 49.82, nan]</t>
  </si>
  <si>
    <t>[4.55, 3.67, 15.19, nan]</t>
  </si>
  <si>
    <t>[5.92, 11.94, 19.0, nan]</t>
  </si>
  <si>
    <t>[38.96, 21.35, 15.65, nan]</t>
  </si>
  <si>
    <t>[11.73, 13.14, 6.68, nan]</t>
  </si>
  <si>
    <t>[5.67, 3.89, 12.08, nan]</t>
  </si>
  <si>
    <t>[17.97, 14.99, 11.22, nan]</t>
  </si>
  <si>
    <t>[14.33, 13.35, 13.75, nan]</t>
  </si>
  <si>
    <t>[11.76, 19.69, 12.04, 13.13]</t>
  </si>
  <si>
    <t>[13.04, 19.56, 9.85, nan]</t>
  </si>
  <si>
    <t>[22.14, 15.94, 13.88, 11.53]</t>
  </si>
  <si>
    <t>[21.5, 1.51, 15.13, nan]</t>
  </si>
  <si>
    <t>[24.51, 16.89, 16.55, nan]</t>
  </si>
  <si>
    <t>[40.14, 24.08, 19.05, nan]</t>
  </si>
  <si>
    <t>[10.14, 9.75, 10.02, nan]</t>
  </si>
  <si>
    <t>[8.19, 9.88, 10.64, nan]</t>
  </si>
  <si>
    <t>[7.13, 6.39, 18.91, nan]</t>
  </si>
  <si>
    <t>[25.64, 64.78, 27.52, 5.9]</t>
  </si>
  <si>
    <t>[10.92, 12.88, 7.12, nan]</t>
  </si>
  <si>
    <t>[8.61, 12.72, 10.12, nan]</t>
  </si>
  <si>
    <t>[32.15, 20.69, 11.77, 15.59]</t>
  </si>
  <si>
    <t>[13.58, 11.08, 9.0, nan]</t>
  </si>
  <si>
    <t>[8.72, 10.15, 18.76, nan]</t>
  </si>
  <si>
    <t>[2.11, -52.2, 19.28, nan]</t>
  </si>
  <si>
    <t>[8.06, 11.45, 11.88, nan]</t>
  </si>
  <si>
    <t>[6.91, 13.95, 26.19, 0.42]</t>
  </si>
  <si>
    <t>[26.69, 4.87, 11.69, nan]</t>
  </si>
  <si>
    <t>[30.19, 28.89, 18.07, nan]</t>
  </si>
  <si>
    <t>[15.06, 8.54, 5.65, 1.76]</t>
  </si>
  <si>
    <t>[5.95, 9.89, 50.19, nan]</t>
  </si>
  <si>
    <t>[9.35, 10.18, 9.59, nan]</t>
  </si>
  <si>
    <t>[13.77, 14.16, 13.01, nan]</t>
  </si>
  <si>
    <t>[17.6, 17.32, 15.6, 15.8]</t>
  </si>
  <si>
    <t>[8.18, 10.48, 10.23, nan]</t>
  </si>
  <si>
    <t>[15.21, 28.01, 9.33, nan]</t>
  </si>
  <si>
    <t>[32.45, 8.53, 10.85, nan]</t>
  </si>
  <si>
    <t>[2.66, 0.5, 36.53, nan]</t>
  </si>
  <si>
    <t>[15.32, 10.82, 12.56, nan]</t>
  </si>
  <si>
    <t>[28.9, 25.22, 13.6, nan]</t>
  </si>
  <si>
    <t>[3.99, 8.72, 9.16, -3.92]</t>
  </si>
  <si>
    <t>[12.36, 11.68, 10.89, nan]</t>
  </si>
  <si>
    <t>[31.54, 21.94, 16.67, nan]</t>
  </si>
  <si>
    <t>[-0.82, 22.73, 15.7, nan]</t>
  </si>
  <si>
    <t>[4.55, 3.46, 18.58, nan]</t>
  </si>
  <si>
    <t>[-6.72, -14.94, 19.76, nan]</t>
  </si>
  <si>
    <t>[43.0, 30.38, 21.0,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</si>
  <si>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</si>
  <si>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</si>
  <si>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</si>
  <si>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</si>
  <si>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</si>
  <si>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</si>
  <si>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[17.21, 14.13, 13.76, nan]</t>
  </si>
  <si>
    <t>[22.32, 19.43, 12.19, nan]</t>
  </si>
  <si>
    <t>[10.7, 9.59, 9.79, nan]</t>
  </si>
  <si>
    <t>[5.74, 11.83, 7.36, nan]</t>
  </si>
  <si>
    <t>[9.07, 4.31, 22.13, 1.06]</t>
  </si>
  <si>
    <t>[17.99, 15.93, 2.32, nan]</t>
  </si>
  <si>
    <t>[44.77, 31.07, 11.11, nan]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</si>
  <si>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</si>
  <si>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</si>
  <si>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</si>
  <si>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</si>
  <si>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</si>
  <si>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</si>
  <si>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[16.04, 11.08, 14.9, nan]</t>
  </si>
  <si>
    <t>[79.98, 6.22, 1.21, nan]</t>
  </si>
  <si>
    <t>[19.27, 21.73, 1.74, nan]</t>
  </si>
  <si>
    <t>[19.95, 5.04, 6.26, nan]</t>
  </si>
  <si>
    <t>[10.26, 18.57, 10.51, nan]</t>
  </si>
  <si>
    <t>[13.25, 14.23, 10.84, nan]</t>
  </si>
  <si>
    <t>[14.11, 12.96, 18.14, 13.58]</t>
  </si>
  <si>
    <t>[19.23, 10.94, 11.47, 2.39]</t>
  </si>
  <si>
    <t>[12.12, 13.2, 8.8, 9.48]</t>
  </si>
  <si>
    <t>[9.56, 8.96, 14.22, nan]</t>
  </si>
  <si>
    <t>[5.16, 4.55, 13.07, nan]</t>
  </si>
  <si>
    <t>[6.13, 7.27, 11.17, 12.7]</t>
  </si>
  <si>
    <t>[12.05, 8.38, 10.29, nan]</t>
  </si>
  <si>
    <t>[10.14, 12.37, 11.74, 13.04]</t>
  </si>
  <si>
    <t>[9.58, 8.99, 10.32, nan]</t>
  </si>
  <si>
    <t>[13.77, 12.09, 11.65, nan]</t>
  </si>
  <si>
    <t>[7.22, 35.2, 6.38, nan]</t>
  </si>
  <si>
    <t>[11.53, 9.78, 14.61, nan]</t>
  </si>
  <si>
    <t>[9.88, 7.5, 7.94, 1.94]</t>
  </si>
  <si>
    <t>[7.76, 10.32, 7.7, nan]</t>
  </si>
  <si>
    <t>[10.48, 10.57, 8.75, nan]</t>
  </si>
  <si>
    <t>[9.18, 9.5, 6.89, nan]</t>
  </si>
  <si>
    <t>[9.39, 9.11, 9.06, nan]</t>
  </si>
  <si>
    <t>[9.6, 9.61, 8.24, 8.13]</t>
  </si>
  <si>
    <t>[26.71, 18.33, 12.03, nan]</t>
  </si>
  <si>
    <t>[10.37, 24.79, 14.26, nan]</t>
  </si>
  <si>
    <t>[5.48, 6.94, 14.24, -1.29]</t>
  </si>
  <si>
    <t>[15.53, 16.22, 6.11, 7.27]</t>
  </si>
  <si>
    <t>[7.44, 8.34, 8.65, nan]</t>
  </si>
  <si>
    <t>[16.7, 24.46, 16.94, nan]</t>
  </si>
  <si>
    <t>[34.56, 22.21, 15.29, 13.25]</t>
  </si>
  <si>
    <t>[7.77, 10.76, 11.5, nan]</t>
  </si>
  <si>
    <t>[9.89, 9.1, 7.28, nan]</t>
  </si>
  <si>
    <t>[7.74, 16.72, 11.73, 10.62]</t>
  </si>
  <si>
    <t>[8.13, 14.04, 11.59, 7.55]</t>
  </si>
  <si>
    <t>[14.66, 4.08, 12.71, nan]</t>
  </si>
  <si>
    <t>[19.65, 7.35, 4.45, 15.13]</t>
  </si>
  <si>
    <t>[21.52, 13.04, 5.51, 1.9]</t>
  </si>
  <si>
    <t>[8.98, 9.26, 10.0, 10.22]</t>
  </si>
  <si>
    <t>[12.68, 12.88, 9.72, nan]</t>
  </si>
  <si>
    <t>[19.4, 13.87, 15.26, nan]</t>
  </si>
  <si>
    <t>[13.79, 13.0, 15.06, 12.28]</t>
  </si>
  <si>
    <t>[22.54, 11.55, 12.76, 15.18]</t>
  </si>
  <si>
    <t>[-4.64, -17.96, 22.51, nan]</t>
  </si>
  <si>
    <t>[-1.41, 1.17, 26.85, nan]</t>
  </si>
  <si>
    <t>[5.06, 15.71, 9.98, nan]</t>
  </si>
  <si>
    <t>[11.19, 11.32, 10.33, 3.04]</t>
  </si>
  <si>
    <t>[14.53, 4.56, 30.57, nan]</t>
  </si>
  <si>
    <t>[17.32, 5.23, 8.18, nan]</t>
  </si>
  <si>
    <t>[5.14, 5.62, 11.92, 14.67]</t>
  </si>
  <si>
    <t>[10.96, 8.64, 9.76, 8.87]</t>
  </si>
  <si>
    <t>[10.25, 8.33, 8.02, 9.14]</t>
  </si>
  <si>
    <t>[5.98, 16.32, 5.44, nan]</t>
  </si>
  <si>
    <t>[-5.22, 17.34, 11.79, 10.27]</t>
  </si>
  <si>
    <t>[7.66, 6.73, 9.18, nan]</t>
  </si>
  <si>
    <t>[20.18, 24.25, 8.91, nan]</t>
  </si>
  <si>
    <t>[11.09, 8.73, 8.79, nan]</t>
  </si>
  <si>
    <t>[16.58, 11.75, 12.02, nan]</t>
  </si>
  <si>
    <t>[8.71, 12.11, 11.17, nan]</t>
  </si>
  <si>
    <t>[1.88, 1.37, 32.69, nan]</t>
  </si>
  <si>
    <t>[10.18, 8.78, 8.92, 8.54]</t>
  </si>
  <si>
    <t>[7.86, 8.69, 10.36, 9.63]</t>
  </si>
  <si>
    <t>[27.73, 67.41, 12.38, 14.23]</t>
  </si>
  <si>
    <t>[14.98, 13.07, 9.36, nan]</t>
  </si>
  <si>
    <t>[18.54, 23.1, 21.11, nan]</t>
  </si>
  <si>
    <t>[96.96, 17.49, 12.38, nan]</t>
  </si>
  <si>
    <t>[nan, 10.99, 14.02, nan]</t>
  </si>
  <si>
    <t>[13.42, 11.14, 6.26, -0.39]</t>
  </si>
  <si>
    <t>[7.97, 9.25, 7.31, 6.51]</t>
  </si>
  <si>
    <t>[10.12, 19.21, 8.38, nan]</t>
  </si>
  <si>
    <t>[15.03, 10.95, 6.84, 8.64]</t>
  </si>
  <si>
    <t>[8.6, 12.93, 33.47, nan]</t>
  </si>
  <si>
    <t>[5.86, 11.3, 7.86, nan]</t>
  </si>
  <si>
    <t>[8.79, 8.88, 8.77, 8.49]</t>
  </si>
  <si>
    <t>[-4.42, -10.62, 25.52, nan]</t>
  </si>
  <si>
    <t>[8.6, 4.29, 14.18, nan]</t>
  </si>
  <si>
    <t>[16.04, 10.96, 5.87, 8.22]</t>
  </si>
  <si>
    <t>[11.87, 9.98, 5.91, nan]</t>
  </si>
  <si>
    <t>[-6.48, 17.41, 8.89, nan]</t>
  </si>
  <si>
    <t>[9.13, 9.21, 9.09, 8.27]</t>
  </si>
  <si>
    <t>[1.09, 15.83, 10.99, nan]</t>
  </si>
  <si>
    <t>[15.38, 15.52, 3.92, 5.93]</t>
  </si>
  <si>
    <t>[53.52, 5.56, 11.52, nan]</t>
  </si>
  <si>
    <t>[12.53, 14.88, 4.31, 0.39]</t>
  </si>
  <si>
    <t>[7.23, 12.5, 12.97, 13.81]</t>
  </si>
  <si>
    <t>[85.88, 3.03, 2.54, nan]</t>
  </si>
  <si>
    <t>[5.36, 20.48, 2.17, nan]</t>
  </si>
  <si>
    <t>[7.39, 7.31, 9.12, 10.63]</t>
  </si>
  <si>
    <t>[23.22, 16.36, 8.62, 12.47]</t>
  </si>
  <si>
    <t>[4.04, 13.72, 8.05, nan]</t>
  </si>
  <si>
    <t>[8.78, 8.15, 9.82, 9.35]</t>
  </si>
  <si>
    <t>[8.2, 8.49, 9.6, nan]</t>
  </si>
  <si>
    <t>[22.24, 18.7, 23.04, nan]</t>
  </si>
  <si>
    <t>[36.5, 125.09, 30.35, nan]</t>
  </si>
  <si>
    <t>[15.71, 11.38, 12.39, 12.32]</t>
  </si>
  <si>
    <t>[10.91, 21.46, 3.16, 15.17]</t>
  </si>
  <si>
    <t>[36.8, 38.53, 4.25, 7.42]</t>
  </si>
  <si>
    <t>[12.34, 23.45, 11.84, 18.3]</t>
  </si>
  <si>
    <t>[33.49, 16.44, 14.59, nan]</t>
  </si>
  <si>
    <t>[18.13, 13.06, 25.44, nan]</t>
  </si>
  <si>
    <t>[15.31, 2.93, 20.68, nan]</t>
  </si>
  <si>
    <t>[29.26, 20.22, 15.9, 12.76]</t>
  </si>
  <si>
    <t>[41.0, 31.2, 40.8, nan]</t>
  </si>
  <si>
    <t>[19.78, 16.67, 19.94, nan]</t>
  </si>
  <si>
    <t>[23.62, 18.89, 10.19, 5.43]</t>
  </si>
  <si>
    <t>[30.78, 24.53, 18.13, nan]</t>
  </si>
  <si>
    <t>[51.21, 34.73, 35.97, nan]</t>
  </si>
  <si>
    <t>[15.92, 11.03, 14.41, nan]</t>
  </si>
  <si>
    <t>[37.74, 17.2, 16.33, nan]</t>
  </si>
  <si>
    <t>[46.14, 13.13, 14.49, 7.31]</t>
  </si>
  <si>
    <t>[68.9, 33.48, -3.01, nan]</t>
  </si>
  <si>
    <t>[2.16, 18.04, 32.25, nan]</t>
  </si>
  <si>
    <t>[23.25, 12.42, 19.83, nan]</t>
  </si>
  <si>
    <t>[35.84, 49.27, 24.22, 20.25]</t>
  </si>
  <si>
    <t>[15.82, 8.51, 14.07, nan]</t>
  </si>
  <si>
    <t>[67.38, 36.08, 10.78, 8.57]</t>
  </si>
  <si>
    <t>[2.99, 5.15, 33.12, nan]</t>
  </si>
  <si>
    <t>[32.95, 15.59, 6.86, 8.73]</t>
  </si>
  <si>
    <t>[10.51, 14.58, 18.57, nan]</t>
  </si>
  <si>
    <t>[17.36, 10.84, 16.97, 22.71]</t>
  </si>
  <si>
    <t>[-18.59, 50.09, 2.96, nan]</t>
  </si>
  <si>
    <t>[16.04, 17.08, 14.98, 10.87]</t>
  </si>
  <si>
    <t>[19.59, 17.7, 14.52, 21.1]</t>
  </si>
  <si>
    <t>[nan, 18.39, 17.14, 14.84]</t>
  </si>
  <si>
    <t>[20.41, 16.51, 21.46, nan]</t>
  </si>
  <si>
    <t>[46.48, 28.08, 26.22, nan]</t>
  </si>
  <si>
    <t>[-11.22, 21.34, 13.73, 6.73]</t>
  </si>
  <si>
    <t>[0, 39.83, 30.62, 28.4, 42.72]</t>
  </si>
  <si>
    <t>[22.56, 15.03, 15.07, 13.67]</t>
  </si>
  <si>
    <t>[0, 436.59, 71.24, nan, nan]</t>
  </si>
  <si>
    <t>[26.83, 28.76, 23.33, 15.53]</t>
  </si>
  <si>
    <t>[-4.73, 20.26, 36.0, 38.78]</t>
  </si>
  <si>
    <t>[19.87, 23.01, 6.1, 11.16]</t>
  </si>
  <si>
    <t>[-42.51, 21.27, 5.7, nan]</t>
  </si>
  <si>
    <t>[0, 91.73, 35.28, 41.72, 37.03]</t>
  </si>
  <si>
    <t>[29.71, 26.8, 22.72, 21.71]</t>
  </si>
  <si>
    <t>[112.67, 51.64, 25.95, nan]</t>
  </si>
  <si>
    <t>[1.6, -12.18, 40.27, nan]</t>
  </si>
  <si>
    <t>[0, 25.53, 22.88, nan, nan]</t>
  </si>
  <si>
    <t>[8.43, 9.27, 11.4, nan]</t>
  </si>
  <si>
    <t>[8.37, 11.12, 15.63, nan]</t>
  </si>
  <si>
    <t>[37.21, 28.48, 12.86, 4.66]</t>
  </si>
  <si>
    <t>[23.89, 11.45, 10.78, nan]</t>
  </si>
  <si>
    <t>[32.39, 31.64, 21.36, 21.16]</t>
  </si>
  <si>
    <t>[27.62, 17.12, 17.4, 26.27]</t>
  </si>
  <si>
    <t>[18.23, 10.6, 11.25, 11.46]</t>
  </si>
  <si>
    <t>[28.66, 31.64, 25.13, 15.84]</t>
  </si>
  <si>
    <t>[23.47, 29.83, 20.38, nan]</t>
  </si>
  <si>
    <t>[15.85, 14.21, 12.7, nan]</t>
  </si>
  <si>
    <t>[7.53, 16.03, 23.81, 14.47]</t>
  </si>
  <si>
    <t>[21.3, 17.02, 10.82, 11.17]</t>
  </si>
  <si>
    <t>[23.24, 20.91, 6.97, 10.58]</t>
  </si>
  <si>
    <t>[30.56, 35.33, 20.86, nan]</t>
  </si>
  <si>
    <t>[-28.87, -117.02, 81.43, nan]</t>
  </si>
  <si>
    <t>[4.78, 6.93, 17.84, nan]</t>
  </si>
  <si>
    <t>[8.29, 17.09, 18.92, nan]</t>
  </si>
  <si>
    <t>[73.32, 22.09, 9.03, 12.83]</t>
  </si>
  <si>
    <t>[0, 32.29, 13.56, nan, nan]</t>
  </si>
  <si>
    <t>[-0.21, 17.61, 21.61, nan]</t>
  </si>
  <si>
    <t>[-15.84, 23.41, 34.66, nan]</t>
  </si>
  <si>
    <t>[0, 21.05, 17.63, nan, 13.26]</t>
  </si>
  <si>
    <t>[9.51, 10.78, 7.82, 6.94]</t>
  </si>
  <si>
    <t>[114.7, -7.87, 18.32, 16.23]</t>
  </si>
  <si>
    <t>[3.28, 14.63, 35.27, 23.58]</t>
  </si>
  <si>
    <t>[9.9, 19.4, 16.91, 10.46]</t>
  </si>
  <si>
    <t>[10.47, 8.88, 22.33, nan]</t>
  </si>
  <si>
    <t>[-57.87, 8.92, 14.69, nan]</t>
  </si>
  <si>
    <t>[21.01, 19.63, 8.69, 10.44]</t>
  </si>
  <si>
    <t>[-1.1, 26.19, 47.71, 21.81]</t>
  </si>
  <si>
    <t>[-25.01, 8.48, 24.26, nan]</t>
  </si>
  <si>
    <t>[2.57, 11.62, 32.82, nan]</t>
  </si>
  <si>
    <t>[9.56, 18.71, 27.38, nan]</t>
  </si>
  <si>
    <t>[0, 50.71, 11.89, nan, nan]</t>
  </si>
  <si>
    <t>[7.5, 7.62, 11.03, nan]</t>
  </si>
  <si>
    <t>[0, 42.83, 33.03, 20.94, 18.35]</t>
  </si>
  <si>
    <t>[-5.35, 46.18, 18.64, 2.02]</t>
  </si>
  <si>
    <t>[25.0, 22.21, 11.5, -9.6]</t>
  </si>
  <si>
    <t>[26.66, 25.15, 15.54, nan]</t>
  </si>
  <si>
    <t>[43.0, 7.19, 4.69, nan]</t>
  </si>
  <si>
    <t>[9.8, 11.06, 21.18, nan]</t>
  </si>
  <si>
    <t>[nan, 22.67, 3.53, nan]</t>
  </si>
  <si>
    <t>[94.76, 12.83, 37.44, nan]</t>
  </si>
  <si>
    <t>[17.09, 3.82, 11.21, nan]</t>
  </si>
  <si>
    <t>[19.84, 22.47, 8.01, 27.76]</t>
  </si>
  <si>
    <t>[23.23, 25.56, 8.07, nan]</t>
  </si>
  <si>
    <t>[35.63, 18.28, 13.3, nan]</t>
  </si>
  <si>
    <t>[26.05, 19.25, 7.37, 10.01]</t>
  </si>
  <si>
    <t>[9.04, 19.02, 18.93, 18.27]</t>
  </si>
  <si>
    <t>[25.01, 29.43, 17.69, nan]</t>
  </si>
  <si>
    <t>[25.67, 22.1, 8.37, nan]</t>
  </si>
  <si>
    <t>[25.71, 63.52, 21.24, 14.99]</t>
  </si>
  <si>
    <t>[10.71, 15.7, 6.43, nan]</t>
  </si>
  <si>
    <t>[26.45, 27.35, 25.33, 22.68]</t>
  </si>
  <si>
    <t>[15.29, 19.36, 18.19, nan]</t>
  </si>
  <si>
    <t>[5.52, 20.86, 20.45, 10.24]</t>
  </si>
  <si>
    <t>[59.74, 6.73, 1.33, nan]</t>
  </si>
  <si>
    <t>[19.44, 17.04, 15.47, 10.43]</t>
  </si>
  <si>
    <t>[nan, 178.68, 95.79, nan]</t>
  </si>
  <si>
    <t>[17.03, 14.79, 15.71, nan]</t>
  </si>
  <si>
    <t>[46.46, 19.3, 7.06, nan]</t>
  </si>
  <si>
    <t>[nan, 22.4, 21.1, 15.09]</t>
  </si>
  <si>
    <t>[7.79, 7.07, 23.82, nan]</t>
  </si>
  <si>
    <t>[29.34, 44.95, 17.03, 6.31]</t>
  </si>
  <si>
    <t>[29.81, 22.72, 18.57, 19.73]</t>
  </si>
  <si>
    <t>[-24.87, 4.19, 22.07, nan]</t>
  </si>
  <si>
    <t>[11.97, 17.46, 29.85, nan]</t>
  </si>
  <si>
    <t>[13.94, 28.23, 24.22, 30.32]</t>
  </si>
  <si>
    <t>[9.06, 16.27, 9.55, 9.08]</t>
  </si>
  <si>
    <t>[16.6, 15.56, 16.03, 16.15]</t>
  </si>
  <si>
    <t>[53.56, 106.81, 51.13, nan]</t>
  </si>
  <si>
    <t>[21.76, 186.12, 5.06, nan]</t>
  </si>
  <si>
    <t>[8.25, 3.93, 2.2, nan]</t>
  </si>
  <si>
    <t>[0.2, 14.01, 19.91, 15.9]</t>
  </si>
  <si>
    <t>[9.89, 8.07, 6.74, nan]</t>
  </si>
  <si>
    <t>[40.81, 4.02, 3.84, 8.13]</t>
  </si>
  <si>
    <t>[12.54, 5.44, 7.47, nan]</t>
  </si>
  <si>
    <t>[4.49, 2.98, 4.38, nan]</t>
  </si>
  <si>
    <t>[13.79, 7.79, 5.62, nan]</t>
  </si>
  <si>
    <t>[15.56, 9.24, 6.05, nan]</t>
  </si>
  <si>
    <t>[20.99, 17.25, 14.97, 22.88]</t>
  </si>
  <si>
    <t>[4.42, 4.41, 4.64, nan]</t>
  </si>
  <si>
    <t>[7.3, 7.13, 12.7, nan]</t>
  </si>
  <si>
    <t>[23.86, 34.87, 3.01, nan]</t>
  </si>
  <si>
    <t>[11.41, 4.89, 18.81, nan]</t>
  </si>
  <si>
    <t>[19.25, 8.59, 8.74, nan]</t>
  </si>
  <si>
    <t>[6.05, 4.85, 4.66, 4.03]</t>
  </si>
  <si>
    <t>[20.6, 4.95, 27.38, nan]</t>
  </si>
  <si>
    <t>[6.11, 8.27, 11.2, nan]</t>
  </si>
  <si>
    <t>[5.04, 4.28, 8.97, nan]</t>
  </si>
  <si>
    <t>[13.74, 2.22, 4.62, nan]</t>
  </si>
  <si>
    <t>[4.92, 12.02, 11.59, nan]</t>
  </si>
  <si>
    <t>[20.79, 27.16, 5.67, nan]</t>
  </si>
  <si>
    <t>[5.84, 6.24, 3.85, nan]</t>
  </si>
  <si>
    <t>[6.92, 5.61, 55.93, nan]</t>
  </si>
  <si>
    <t>[2.96, 4.46, 12.19, nan]</t>
  </si>
  <si>
    <t>[7.07, 5.9, 3.81, 2.58]</t>
  </si>
  <si>
    <t>[6.5, 6.97, 8.79, nan]</t>
  </si>
  <si>
    <t>[13.12, 3.99, 6.0, nan]</t>
  </si>
  <si>
    <t>[4.61, 3.82, 3.04, nan]</t>
  </si>
  <si>
    <t>[nan, 2.76, 3.71, nan]</t>
  </si>
  <si>
    <t>[29.69, nan, 2.37, nan]</t>
  </si>
  <si>
    <t>[11.02, 10.95, 4.66, nan]</t>
  </si>
  <si>
    <t>[4.73, 4.08, 4.91, 5.26]</t>
  </si>
  <si>
    <t>[10.88, 14.93, 4.71, 7.81]</t>
  </si>
  <si>
    <t>[11.97, 7.76, 11.26, nan]</t>
  </si>
  <si>
    <t>[3.44, 1.2, 2.38, nan]</t>
  </si>
  <si>
    <t>[8.62, 4.98, 4.09, nan]</t>
  </si>
  <si>
    <t>[9.05, 9.83, 8.95, 5.29]</t>
  </si>
  <si>
    <t>[15.55, 18.63, 11.17, nan]</t>
  </si>
  <si>
    <t>[15.23, 16.55, 15.37, 12.28]</t>
  </si>
  <si>
    <t>[6.28, 7.56, 3.9, nan]</t>
  </si>
  <si>
    <t>[9.13, 4.26, 12.89, nan]</t>
  </si>
  <si>
    <t>[16.94, 70.47, 4.62, nan]</t>
  </si>
  <si>
    <t>[3.0, 2.15, 1.86, nan]</t>
  </si>
  <si>
    <t>[13.83, 8.8, 8.9, 7.36]</t>
  </si>
  <si>
    <t>[6.58, 4.88, 6.65, nan]</t>
  </si>
  <si>
    <t>[12.77, 10.26, 1.22, nan]</t>
  </si>
  <si>
    <t>[18.75, 18.75, 4.11, nan]</t>
  </si>
  <si>
    <t>[14.98, 5.03, 6.46, nan]</t>
  </si>
  <si>
    <t>[nan, 13.55, 8.06, nan]</t>
  </si>
  <si>
    <t>[12.35, 6.31, 10.56, nan]</t>
  </si>
  <si>
    <t>[23.76, 22.56, 6.87, nan]</t>
  </si>
  <si>
    <t>[4.49, 2.82, 1.46, nan]</t>
  </si>
  <si>
    <t>[10.29, 7.24, 8.02, nan]</t>
  </si>
  <si>
    <t>[12.47, 4.48, 6.39, 5.33]</t>
  </si>
  <si>
    <t>[nan, nan, 8.68, nan]</t>
  </si>
  <si>
    <t>[6.23, 6.43, 9.52, 9.48]</t>
  </si>
  <si>
    <t>[7.23, 84.96, 6.26, nan]</t>
  </si>
  <si>
    <t>[4.2, 3.51, 3.14, nan]</t>
  </si>
  <si>
    <t>[nan, 4.87, 6.3, nan]</t>
  </si>
  <si>
    <t>[9.69, 7.3, 6.62, nan]</t>
  </si>
  <si>
    <t>[9.29, 5.62, 5.41, nan]</t>
  </si>
  <si>
    <t>[12.26, 11.41, 4.2, nan]</t>
  </si>
  <si>
    <t>[nan, nan, 11.87, 30.48]</t>
  </si>
  <si>
    <t>[12.98, 8.53, 13.97, nan]</t>
  </si>
  <si>
    <t>[11.73, 6.18, 6.51, nan]</t>
  </si>
  <si>
    <t>[nan, 7.78, 8.94, 7.2]</t>
  </si>
  <si>
    <t>[5.21, 2.79, 5.25, nan]</t>
  </si>
  <si>
    <t>[7.97, 6.74, 4.45, nan]</t>
  </si>
  <si>
    <t>[39.43, nan, 6.53, nan]</t>
  </si>
  <si>
    <t>[10.17, 5.7, 7.14, nan]</t>
  </si>
  <si>
    <t>[19.44, 9.1, 6.33, 296.39]</t>
  </si>
  <si>
    <t>[nan, 28.95, 8.16, nan]</t>
  </si>
  <si>
    <t>[nan, nan, 11.08, nan]</t>
  </si>
  <si>
    <t>[2.96, 3.12, 5.73, 16.78]</t>
  </si>
  <si>
    <t>[14.98, 10.58, 1.96, nan]</t>
  </si>
  <si>
    <t>[5.19, 4.83, 4.8, nan]</t>
  </si>
  <si>
    <t>[7.14, 6.2, 7.22, nan]</t>
  </si>
  <si>
    <t>[10.56, 9.52, 8.8, 8.65]</t>
  </si>
  <si>
    <t>[7.57, 5.4, 5.11, nan]</t>
  </si>
  <si>
    <t>[7.05, 2.94, 7.5, nan]</t>
  </si>
  <si>
    <t>[4.95, 12.07, 7.53, nan]</t>
  </si>
  <si>
    <t>[31.08, 156.96, 1.46, nan]</t>
  </si>
  <si>
    <t>[5.37, 3.67, 2.62, nan]</t>
  </si>
  <si>
    <t>[5.33, 5.46, 6.49, nan]</t>
  </si>
  <si>
    <t>[51.01, 13.49, 12.57, nan]</t>
  </si>
  <si>
    <t>[nan, nan, 4.5, nan]</t>
  </si>
  <si>
    <t>[6.13, 3.45, 4.15, nan]</t>
  </si>
  <si>
    <t>[nan, 3.67, 5.07, nan]</t>
  </si>
  <si>
    <t>[31.58, 33.01, 5.39, nan]</t>
  </si>
  <si>
    <t>[nan, nan, 6.82, nan]</t>
  </si>
  <si>
    <t>[nan, 4.05, 9.99, nan]</t>
  </si>
  <si>
    <t>[19.6, 5.62, 15.72, nan]</t>
  </si>
  <si>
    <t>[64.15, 71.39, 1.28, nan]</t>
  </si>
  <si>
    <t>[6.67, 5.18, 5.84, nan]</t>
  </si>
  <si>
    <t>[7.16, 7.17, 6.27, nan]</t>
  </si>
  <si>
    <t>[12.66, 5.38, 7.39, 11.67]</t>
  </si>
  <si>
    <t>[16.38, 8.56, 8.77, 9.87]</t>
  </si>
  <si>
    <t>[7.87, 12.34, 7.09, nan]</t>
  </si>
  <si>
    <t>[3.99, 3.42, 2.6, nan]</t>
  </si>
  <si>
    <t>[9.78, 7.04, 7.63, nan]</t>
  </si>
  <si>
    <t>[14.24, 6.58, 9.69, nan]</t>
  </si>
  <si>
    <t>[14.97, 22.53, 4.24, 111.55]</t>
  </si>
  <si>
    <t>[6.15, 4.03, 33.25, nan]</t>
  </si>
  <si>
    <t>[nan, 2.16, 9.08, nan]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</si>
  <si>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</si>
  <si>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</si>
  <si>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</si>
  <si>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</si>
  <si>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</si>
  <si>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</si>
  <si>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[14.65, 14.65, 9.46, nan]</t>
  </si>
  <si>
    <t>[3.52, 9.59, 129.11, nan]</t>
  </si>
  <si>
    <t>[14.14, 4.37, 67.05, nan]</t>
  </si>
  <si>
    <t>[14.74, 25.27, 18.58, nan]</t>
  </si>
  <si>
    <t>[24.38, 8.79, 10.09, nan]</t>
  </si>
  <si>
    <t>[6.26, 9.48, 7.79, nan]</t>
  </si>
  <si>
    <t>[8.33, 6.92, 5.28, 6.77]</t>
  </si>
  <si>
    <t>[4.62, 6.95, 6.21, 36.82]</t>
  </si>
  <si>
    <t>[9.5, 7.5, 9.44, 6.75]</t>
  </si>
  <si>
    <t>[4.95, 5.06, 4.07, nan]</t>
  </si>
  <si>
    <t>[14.23, 12.44, 3.46, nan]</t>
  </si>
  <si>
    <t>[18.82, 13.91, 7.79, 6.81]</t>
  </si>
  <si>
    <t>[10.3, 11.15, 7.88, nan]</t>
  </si>
  <si>
    <t>[6.48, 6.12, 5.25, 3.82]</t>
  </si>
  <si>
    <t>[10.24, 8.58, 8.19, nan]</t>
  </si>
  <si>
    <t>[5.32, 6.06, 5.16, nan]</t>
  </si>
  <si>
    <t>[13.58, 1.77, 13.23, nan]</t>
  </si>
  <si>
    <t>[7.54, 7.66, 4.6, nan]</t>
  </si>
  <si>
    <t>[9.77, 9.22, 8.04, 20.75]</t>
  </si>
  <si>
    <t>[7.52, 5.21, 6.66, nan]</t>
  </si>
  <si>
    <t>[7.85, 7.05, 8.37, nan]</t>
  </si>
  <si>
    <t>[8.92, 5.9, 7.9, nan]</t>
  </si>
  <si>
    <t>[4.45, 4.25, 3.98, nan]</t>
  </si>
  <si>
    <t>[18.31, 12.01, 10.74, 10.46]</t>
  </si>
  <si>
    <t>[6.87, 6.15, 5.84, nan]</t>
  </si>
  <si>
    <t>[4.96, 3.01, 4.3, nan]</t>
  </si>
  <si>
    <t>[16.2, 10.55, 5.4, nan]</t>
  </si>
  <si>
    <t>[7.99, 3.88, 7.18, 11.28]</t>
  </si>
  <si>
    <t>[9.85, 6.96, 6.64, nan]</t>
  </si>
  <si>
    <t>[2.95, 2.18, 2.53, nan]</t>
  </si>
  <si>
    <t>[2.21, 2.06, 3.05, 5.15]</t>
  </si>
  <si>
    <t>[13.89, 5.73, 4.46, nan]</t>
  </si>
  <si>
    <t>[8.9, 6.71, 8.59, nan]</t>
  </si>
  <si>
    <t>[18.77, 4.93, 6.92, 8.78]</t>
  </si>
  <si>
    <t>[12.14, 6.41, 4.82, 9.35]</t>
  </si>
  <si>
    <t>[7.38, 24.38, 7.78, nan]</t>
  </si>
  <si>
    <t>[6.77, 9.88, 16.74, 4.57]</t>
  </si>
  <si>
    <t>[5.62, 6.01, 10.74, 36.68]</t>
  </si>
  <si>
    <t>[17.58, 19.56, 13.28, 9.23]</t>
  </si>
  <si>
    <t>[4.52, 5.6, 6.53, nan]</t>
  </si>
  <si>
    <t>[5.81, 5.18, 4.15, nan]</t>
  </si>
  <si>
    <t>[8.18, 7.11, 4.8, 5.24]</t>
  </si>
  <si>
    <t>[6.76, 10.46, 6.75, 4.38]</t>
  </si>
  <si>
    <t>[nan, nan, 3.0, nan]</t>
  </si>
  <si>
    <t>[nan, 64.55, 2.41, nan]</t>
  </si>
  <si>
    <t>[18.75, 5.01, 6.89, nan]</t>
  </si>
  <si>
    <t>[7.87, 10.52, 11.56, 30.47]</t>
  </si>
  <si>
    <t>[5.11, 14.55, 1.52, nan]</t>
  </si>
  <si>
    <t>[5.15, 11.52, 5.4, nan]</t>
  </si>
  <si>
    <t>[16.85, 12.57, 7.3, 5.01]</t>
  </si>
  <si>
    <t>[14.79, 15.47, 12.67, 12.07]</t>
  </si>
  <si>
    <t>[11.21, 10.65, 7.64, 6.42]</t>
  </si>
  <si>
    <t>[14.29, 6.64, 17.35, nan]</t>
  </si>
  <si>
    <t>[nan, 5.97, 5.61, 6.45]</t>
  </si>
  <si>
    <t>[7.65, 6.19, 3.3, nan]</t>
  </si>
  <si>
    <t>[3.62, 2.22, 6.01, nan]</t>
  </si>
  <si>
    <t>[8.19, 7.22, 7.72, nan]</t>
  </si>
  <si>
    <t>[6.79, 8.45, 8.11, nan]</t>
  </si>
  <si>
    <t>[14.62, 8.16, 7.11, nan]</t>
  </si>
  <si>
    <t>[67.63, 64.56, 1.59, nan]</t>
  </si>
  <si>
    <t>[8.01, 6.35, 6.01, 5.59]</t>
  </si>
  <si>
    <t>[5.1, 3.89, 3.16, 3.13]</t>
  </si>
  <si>
    <t>[10.13, 0.82, 5.01, 5.45]</t>
  </si>
  <si>
    <t>[7.51, 5.82, 9.78, nan]</t>
  </si>
  <si>
    <t>[11.42, 8.32, 8.12, nan]</t>
  </si>
  <si>
    <t>[2.69, 9.04, 9.4, nan]</t>
  </si>
  <si>
    <t>[13.54, 9.04, 6.1, nan]</t>
  </si>
  <si>
    <t>[5.97, 5.41, 8.98, nan]</t>
  </si>
  <si>
    <t>[5.9, 3.69, 3.68, 3.94]</t>
  </si>
  <si>
    <t>[4.51, 2.37, 5.19, nan]</t>
  </si>
  <si>
    <t>[7.62, 9.36, 9.81, 5.79]</t>
  </si>
  <si>
    <t>[9.72, 8.52, 3.82, nan]</t>
  </si>
  <si>
    <t>[17.2, 7.76, 9.99, nan]</t>
  </si>
  <si>
    <t>[7.24, 4.86, 4.63, 4.19]</t>
  </si>
  <si>
    <t>[nan, nan, 2.77, nan]</t>
  </si>
  <si>
    <t>[11.1, 19.12, 6.06, nan]</t>
  </si>
  <si>
    <t>[6.68, 6.6, 12.02, 8.21]</t>
  </si>
  <si>
    <t>[7.59, 6.36, 9.85, nan]</t>
  </si>
  <si>
    <t>[nan, 6.69, 9.2, nan]</t>
  </si>
  <si>
    <t>[8.03, 5.95, 6.19, 4.97]</t>
  </si>
  <si>
    <t>[32.46, 3.57, 4.37, nan]</t>
  </si>
  <si>
    <t>[8.29, 6.96, 21.59, 14.0]</t>
  </si>
  <si>
    <t>[1.81, 6.62, 2.96, nan]</t>
  </si>
  <si>
    <t>[11.97, 8.18, 25.91, 262.52]</t>
  </si>
  <si>
    <t>[7.71, 5.4, 7.05, 6.46]</t>
  </si>
  <si>
    <t>[0.76, 19.02, 23.05, nan]</t>
  </si>
  <si>
    <t>[9.31, 1.67, 20.31, nan]</t>
  </si>
  <si>
    <t>[11.92, 10.86, 8.02, 5.85]</t>
  </si>
  <si>
    <t>[8.64, 4.77, 8.61, 6.39]</t>
  </si>
  <si>
    <t>[16.6, 5.27, 7.45, nan]</t>
  </si>
  <si>
    <t>[12.84, 15.03, 9.13, 7.61]</t>
  </si>
  <si>
    <t>[10.57, 9.88, 5.43, nan]</t>
  </si>
  <si>
    <t>[3.52, 3.39, 3.17, nan]</t>
  </si>
  <si>
    <t>[nan, nan, nan, nan]</t>
  </si>
  <si>
    <t>[13.63, 15.46, 12.42, 10.57]</t>
  </si>
  <si>
    <t>[14.33, 6.1, 27.12, 7.4]</t>
  </si>
  <si>
    <t>[5.23, 2.83, 34.03, 22.82]</t>
  </si>
  <si>
    <t>[15.6, 5.95, 8.81, 8.93]</t>
  </si>
  <si>
    <t>[13.99, 7.08, 14.05, nan]</t>
  </si>
  <si>
    <t>[12.37, 10.78, 4.1, nan]</t>
  </si>
  <si>
    <t>[5.41, 34.54, 4.25, nan]</t>
  </si>
  <si>
    <t>[7.07, 7.87, 12.58, 11.48]</t>
  </si>
  <si>
    <t>[7.29, 4.68, 4.6, nan]</t>
  </si>
  <si>
    <t>[7.34, 8.23, 12.55, 23.36]</t>
  </si>
  <si>
    <t>[nan, 5.87, 9.73, nan]</t>
  </si>
  <si>
    <t>[10.17, 10.35, 9.47, nan]</t>
  </si>
  <si>
    <t>[10.19, 14.34, 8.77, nan]</t>
  </si>
  <si>
    <t>[nan, 17.36, 13.7, nan]</t>
  </si>
  <si>
    <t>[6.4, 11.77, 12.8, 18.31]</t>
  </si>
  <si>
    <t>[7.5, 3.11, nan, nan]</t>
  </si>
  <si>
    <t>[31.03, 5.22, 2.66, nan]</t>
  </si>
  <si>
    <t>[7.52, 4.3, 5.32, nan]</t>
  </si>
  <si>
    <t>[18.41, 6.28, 12.67, 11.03]</t>
  </si>
  <si>
    <t>[9.48, 12.81, 7.23, nan]</t>
  </si>
  <si>
    <t>[nan, nan, 28.44, 22.19]</t>
  </si>
  <si>
    <t>[30.6, 23.44, 5.16, nan]</t>
  </si>
  <si>
    <t>[nan, 11.05, 12.95, 15.07]</t>
  </si>
  <si>
    <t>[13.86, 7.07, 5.79, nan]</t>
  </si>
  <si>
    <t>[8.06, 10.09, 5.56, 6.29]</t>
  </si>
  <si>
    <t>[nan, 3.13, 56.74, nan]</t>
  </si>
  <si>
    <t>[13.44, 9.26, 11.49, 11.06]</t>
  </si>
  <si>
    <t>[6.94, 7.61, 7.86, 5.79]</t>
  </si>
  <si>
    <t>[14.08, 10.46, 10.5, 8.46]</t>
  </si>
  <si>
    <t>[9.55, 9.57, 6.6, nan]</t>
  </si>
  <si>
    <t>[nan, nan, 13.81, nan]</t>
  </si>
  <si>
    <t>[nan, 5.77, 7.46, 21.91]</t>
  </si>
  <si>
    <t>[nan, nan, 8.1, 7.8]</t>
  </si>
  <si>
    <t>[26.56, 13.14, 14.16, 12.7]</t>
  </si>
  <si>
    <t>[30.43, 21.85, 19.83, 13.22]</t>
  </si>
  <si>
    <t>[nan, 5.08, 5.98, 7.33]</t>
  </si>
  <si>
    <t>[5.5, 3.86, 15.41, 11.58]</t>
  </si>
  <si>
    <t>[nan, 6.8, 29.75, nan]</t>
  </si>
  <si>
    <t>[nan, nan, nan, 7.23]</t>
  </si>
  <si>
    <t>[11.15, 8.57, 9.93, 8.83]</t>
  </si>
  <si>
    <t>[4.07, 9.49, 23.56, nan]</t>
  </si>
  <si>
    <t>[260.15, nan, 5.95, nan]</t>
  </si>
  <si>
    <t>[nan, nan, 12.85, nan]</t>
  </si>
  <si>
    <t>[16.6, 11.96, 14.26, nan]</t>
  </si>
  <si>
    <t>[12.77, 15.15, 8.01, nan]</t>
  </si>
  <si>
    <t>[nan, 19.74, 17.97, 40.59]</t>
  </si>
  <si>
    <t>[4.05, 8.45, 9.33, nan]</t>
  </si>
  <si>
    <t>[17.42, 14.22, 13.97, 13.96]</t>
  </si>
  <si>
    <t>[4.85, 5.56, 11.74, 8.12]</t>
  </si>
  <si>
    <t>[7.49, 11.06, 10.68, 12.46]</t>
  </si>
  <si>
    <t>[8.63, 5.65, 15.65, 15.8]</t>
  </si>
  <si>
    <t>[nan, nan, 11.47, nan]</t>
  </si>
  <si>
    <t>[18.93, 14.5, 10.84, nan]</t>
  </si>
  <si>
    <t>[15.85, 22.78, 12.14, 12.93]</t>
  </si>
  <si>
    <t>[8.77, 9.43, 12.29, 12.5]</t>
  </si>
  <si>
    <t>[9.46, 5.88, 22.26, 13.59]</t>
  </si>
  <si>
    <t>[16.86, 6.37, 13.45, nan]</t>
  </si>
  <si>
    <t>[nan, nan, 8.08, nan]</t>
  </si>
  <si>
    <t>[22.81, 28.25, 7.6, nan]</t>
  </si>
  <si>
    <t>[24.35, 9.81, 10.71, nan]</t>
  </si>
  <si>
    <t>[nan, 19.17, 25.19, 21.8]</t>
  </si>
  <si>
    <t>[nan, nan, 8.45, nan]</t>
  </si>
  <si>
    <t>[nan, 12.19, 9.49, nan]</t>
  </si>
  <si>
    <t>[nan, 6.52, 5.57, nan]</t>
  </si>
  <si>
    <t>[nan, nan, 10.71, nan]</t>
  </si>
  <si>
    <t>[18.58, 11.17, 15.77, 16.39]</t>
  </si>
  <si>
    <t>[nan, nan, 14.3, 15.86]</t>
  </si>
  <si>
    <t>[nan, nan, nan, 7.46]</t>
  </si>
  <si>
    <t>[23.68, 7.77, 7.09, 14.82]</t>
  </si>
  <si>
    <t>[11.95, 11.15, 7.87, nan]</t>
  </si>
  <si>
    <t>[nan, 7.82, 3.64, nan]</t>
  </si>
  <si>
    <t>[9.4, 6.42, 17.63, 17.64]</t>
  </si>
  <si>
    <t>[nan, 7.48, 7.98, 12.12]</t>
  </si>
  <si>
    <t>[nan, 39.18, 10.46, nan]</t>
  </si>
  <si>
    <t>[38.91, 7.04, 4.12, nan]</t>
  </si>
  <si>
    <t>[34.51, 20.4, 14.25, nan]</t>
  </si>
  <si>
    <t>[nan, nan, 21.02, nan]</t>
  </si>
  <si>
    <t>[14.56, 8.32, 6.24, nan]</t>
  </si>
  <si>
    <t>[nan, nan, 11.28, 9.71]</t>
  </si>
  <si>
    <t>[nan, nan, 17.74, 91.47]</t>
  </si>
  <si>
    <t>[15.62, 7.12, 15.17, nan]</t>
  </si>
  <si>
    <t>[nan, nan, 19.71, nan]</t>
  </si>
  <si>
    <t>[nan, 37.28, 31.45, nan]</t>
  </si>
  <si>
    <t>[18.23, 16.17, 9.29, nan]</t>
  </si>
  <si>
    <t>[nan, nan, 49.47, nan]</t>
  </si>
  <si>
    <t>[13.56, 30.37, 16.08, nan]</t>
  </si>
  <si>
    <t>[9.34, 3.76, 30.76, 5.91]</t>
  </si>
  <si>
    <t>[nan, nan, 19.32, nan]</t>
  </si>
  <si>
    <t>[nan, 11.4, 12.91, nan]</t>
  </si>
  <si>
    <t>[22.94, 18.58, 40.28, 21.26]</t>
  </si>
  <si>
    <t>[25.5, 12.28, 8.25, 8.33]</t>
  </si>
  <si>
    <t>[10.38, 5.12, 10.06, nan]</t>
  </si>
  <si>
    <t>[28.51, 9.19, 20.91, nan]</t>
  </si>
  <si>
    <t>[28.84, 8.95, 18.34, 24.23]</t>
  </si>
  <si>
    <t>[9.33, 3.86, 10.13, nan]</t>
  </si>
  <si>
    <t>[nan, 8.46, 7.88, 9.46]</t>
  </si>
  <si>
    <t>[15.95, 15.06, 11.03, nan]</t>
  </si>
  <si>
    <t>[13.72, 7.41, 10.42, 17.02]</t>
  </si>
  <si>
    <t>[nan, 54.95, 214.72, nan]</t>
  </si>
  <si>
    <t>[28.4, 15.1, 15.84, 16.33]</t>
  </si>
  <si>
    <t>[23.34, 16.33, 11.25, nan]</t>
  </si>
  <si>
    <t>[8.51, 17.08, 113.98, nan]</t>
  </si>
  <si>
    <t>[43.96, 11.42, 14.72, 14.51]</t>
  </si>
  <si>
    <t>[17.09, 14.61, 3.92, nan]</t>
  </si>
  <si>
    <t>[11.19, 4.24, 11.88, 47.34]</t>
  </si>
  <si>
    <t>[8.17, 4.42, 7.56, 9.19]</t>
  </si>
  <si>
    <t>[nan, 31.21, 7.97, nan]</t>
  </si>
  <si>
    <t>[19.87, 13.78, 11.5, nan]</t>
  </si>
  <si>
    <t>[15.11, 4.61, 7.02, 9.56]</t>
  </si>
  <si>
    <t>[21.35, 6.52, 13.61, 13.69]</t>
  </si>
  <si>
    <t>[20.84, 15.89, 13.01, 10.71]</t>
  </si>
  <si>
    <t>name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</si>
  <si>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</si>
  <si>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</si>
  <si>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</si>
  <si>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</si>
  <si>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</si>
  <si>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</si>
  <si>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</si>
  <si>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</si>
  <si>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</si>
  <si>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</si>
  <si>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</si>
  <si>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 xml:space="preserve"> &lt; 동종업계per</t>
  </si>
  <si>
    <t>eps_level</t>
  </si>
  <si>
    <t>EPS(원)</t>
  </si>
  <si>
    <t>EPS예상</t>
  </si>
  <si>
    <t>esp올해예상증가율</t>
  </si>
  <si>
    <t>eps</t>
  </si>
  <si>
    <t>eps증가율</t>
  </si>
  <si>
    <t>eps증가율기하평균</t>
  </si>
  <si>
    <t>EPS최근증가율</t>
  </si>
  <si>
    <t>EPS증가율_ORG</t>
  </si>
  <si>
    <t>EPS증가율_AVG</t>
  </si>
  <si>
    <t>시가총액(억)</t>
  </si>
  <si>
    <t>거래량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</si>
  <si>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</si>
  <si>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</si>
  <si>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</si>
  <si>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</si>
  <si>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</si>
  <si>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</si>
  <si>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</si>
  <si>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</si>
  <si>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</si>
  <si>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시가총액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</si>
</sst>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22"/>
  <sheetViews>
    <sheetView tabSelected="1" workbookViewId="0"/>
  </sheetViews>
  <sheetFormatPr defaultRowHeight="15"/>
  <sheetData>
    <row r="1" spans="1:34">
      <c r="B1" s="1" t="s">
        <v>1913</v>
      </c>
      <c r="C1" s="1" t="s">
        <v>1914</v>
      </c>
      <c r="D1" s="1" t="s">
        <v>1915</v>
      </c>
      <c r="E1" s="1" t="s">
        <v>1916</v>
      </c>
      <c r="F1" s="1" t="s">
        <v>1917</v>
      </c>
      <c r="G1" s="1" t="s">
        <v>1918</v>
      </c>
      <c r="H1" s="1" t="s">
        <v>1919</v>
      </c>
      <c r="I1" s="1" t="s">
        <v>1920</v>
      </c>
      <c r="J1" s="1" t="s">
        <v>1921</v>
      </c>
      <c r="K1" s="1" t="s">
        <v>1922</v>
      </c>
      <c r="L1" s="1" t="s">
        <v>1923</v>
      </c>
      <c r="M1" s="1" t="s">
        <v>1924</v>
      </c>
      <c r="N1" s="1" t="s">
        <v>1925</v>
      </c>
      <c r="O1" s="1" t="s">
        <v>1926</v>
      </c>
      <c r="P1" s="1" t="s">
        <v>1927</v>
      </c>
      <c r="Q1" s="1" t="s">
        <v>1928</v>
      </c>
      <c r="R1" s="1" t="s">
        <v>1929</v>
      </c>
      <c r="S1" s="1" t="s">
        <v>1930</v>
      </c>
      <c r="T1" s="1" t="s">
        <v>1931</v>
      </c>
      <c r="U1" s="1" t="s">
        <v>1932</v>
      </c>
      <c r="V1" s="1" t="s">
        <v>1933</v>
      </c>
      <c r="W1" s="1" t="s">
        <v>1934</v>
      </c>
      <c r="X1" s="1" t="s">
        <v>1935</v>
      </c>
      <c r="Y1" s="1" t="s">
        <v>1947</v>
      </c>
      <c r="Z1" s="1" t="s">
        <v>1937</v>
      </c>
      <c r="AA1" s="1" t="s">
        <v>1938</v>
      </c>
      <c r="AB1" s="1" t="s">
        <v>1939</v>
      </c>
      <c r="AC1" s="1" t="s">
        <v>1940</v>
      </c>
      <c r="AD1" s="1" t="s">
        <v>1941</v>
      </c>
      <c r="AE1" s="1" t="s">
        <v>1942</v>
      </c>
      <c r="AF1" s="1" t="s">
        <v>1943</v>
      </c>
      <c r="AG1" s="1" t="s">
        <v>1944</v>
      </c>
      <c r="AH1" s="1" t="s">
        <v>1945</v>
      </c>
    </row>
    <row r="2" spans="1:34">
      <c r="A2" s="2">
        <f>HYPERLINK("https://finance.naver.com/item/coinfo.nhn?code=095570", "A095570")</f>
        <v>0</v>
      </c>
      <c r="B2">
        <f>HYPERLINK("http://comp.fnguide.com/SVO2/ASP/SVD_Consensus.asp?pGB=1&amp;gicode=A095570&amp;cID=&amp;MenuYn=Y&amp;ReportGB=&amp;NewMenuID=108&amp;stkGb=701", "AJ네트웍스")</f>
        <v>0</v>
      </c>
      <c r="C2">
        <v>3</v>
      </c>
      <c r="D2">
        <v>4480</v>
      </c>
      <c r="E2">
        <v>0</v>
      </c>
      <c r="F2">
        <v>5.06</v>
      </c>
      <c r="G2">
        <v>7574</v>
      </c>
      <c r="H2">
        <v>7225</v>
      </c>
      <c r="I2">
        <v>7126</v>
      </c>
      <c r="J2">
        <v>-69.06999999999999</v>
      </c>
      <c r="K2">
        <v>-61.28</v>
      </c>
      <c r="L2">
        <v>-59.06</v>
      </c>
      <c r="M2">
        <v>8.6</v>
      </c>
      <c r="N2" t="b">
        <v>1</v>
      </c>
      <c r="O2">
        <v>0</v>
      </c>
      <c r="P2">
        <v>982</v>
      </c>
      <c r="S2" t="s">
        <v>0</v>
      </c>
      <c r="T2" t="s">
        <v>321</v>
      </c>
      <c r="U2">
        <v>0</v>
      </c>
      <c r="V2">
        <v>0</v>
      </c>
      <c r="W2" t="s">
        <v>642</v>
      </c>
      <c r="X2">
        <v>19.87917837256776</v>
      </c>
      <c r="Y2">
        <v>2098</v>
      </c>
      <c r="Z2">
        <v>113067</v>
      </c>
      <c r="AA2" t="s">
        <v>955</v>
      </c>
      <c r="AB2">
        <v>72.18000000000001</v>
      </c>
      <c r="AC2" t="s">
        <v>1276</v>
      </c>
      <c r="AD2" t="s">
        <v>1597</v>
      </c>
      <c r="AE2">
        <v>12028</v>
      </c>
      <c r="AF2">
        <v>178</v>
      </c>
      <c r="AG2">
        <v>1284859</v>
      </c>
      <c r="AH2">
        <v>6.04</v>
      </c>
    </row>
    <row r="3" spans="1:34">
      <c r="A3" s="2">
        <f>HYPERLINK("https://finance.naver.com/item/coinfo.nhn?code=101330", "A101330")</f>
        <v>0</v>
      </c>
      <c r="B3">
        <f>HYPERLINK("http://comp.fnguide.com/SVO2/ASP/SVD_Consensus.asp?pGB=1&amp;gicode=A101330&amp;cID=&amp;MenuYn=Y&amp;ReportGB=&amp;NewMenuID=108&amp;stkGb=701", "모베이스")</f>
        <v>0</v>
      </c>
      <c r="C3">
        <v>3</v>
      </c>
      <c r="D3">
        <v>3960</v>
      </c>
      <c r="E3">
        <v>0</v>
      </c>
      <c r="F3">
        <v>2.2</v>
      </c>
      <c r="G3">
        <v>19825</v>
      </c>
      <c r="H3">
        <v>14715</v>
      </c>
      <c r="I3">
        <v>13262</v>
      </c>
      <c r="J3">
        <v>-400.63</v>
      </c>
      <c r="K3">
        <v>-271.58</v>
      </c>
      <c r="L3">
        <v>-234.91</v>
      </c>
      <c r="M3">
        <v>13.89</v>
      </c>
      <c r="N3" t="b">
        <v>1</v>
      </c>
      <c r="O3">
        <v>0</v>
      </c>
      <c r="P3">
        <v>1924</v>
      </c>
      <c r="S3" t="s">
        <v>1</v>
      </c>
      <c r="T3" t="s">
        <v>322</v>
      </c>
      <c r="U3">
        <v>0</v>
      </c>
      <c r="V3">
        <v>0</v>
      </c>
      <c r="W3" t="s">
        <v>643</v>
      </c>
      <c r="X3">
        <v>12.01321226649743</v>
      </c>
      <c r="Y3">
        <v>949</v>
      </c>
      <c r="Z3">
        <v>4022153</v>
      </c>
      <c r="AA3" t="s">
        <v>956</v>
      </c>
      <c r="AB3">
        <v>45.22</v>
      </c>
      <c r="AC3" t="s">
        <v>1277</v>
      </c>
      <c r="AD3" t="s">
        <v>1598</v>
      </c>
      <c r="AE3">
        <v>6525</v>
      </c>
      <c r="AF3">
        <v>320</v>
      </c>
      <c r="AG3">
        <v>227362</v>
      </c>
    </row>
    <row r="4" spans="1:34">
      <c r="A4" s="2">
        <f>HYPERLINK("https://finance.naver.com/item/coinfo.nhn?code=027410", "A027410")</f>
        <v>0</v>
      </c>
      <c r="B4">
        <f>HYPERLINK("http://comp.fnguide.com/SVO2/ASP/SVD_Consensus.asp?pGB=1&amp;gicode=A027410&amp;cID=&amp;MenuYn=Y&amp;ReportGB=&amp;NewMenuID=108&amp;stkGb=701", "BGF")</f>
        <v>0</v>
      </c>
      <c r="C4">
        <v>3</v>
      </c>
      <c r="D4">
        <v>4320</v>
      </c>
      <c r="E4">
        <v>-0.24</v>
      </c>
      <c r="F4">
        <v>19.91</v>
      </c>
      <c r="G4">
        <v>145885</v>
      </c>
      <c r="H4">
        <v>67556</v>
      </c>
      <c r="I4">
        <v>45297</v>
      </c>
      <c r="J4">
        <v>-3276.96</v>
      </c>
      <c r="K4">
        <v>-1463.8</v>
      </c>
      <c r="L4">
        <v>-948.53</v>
      </c>
      <c r="M4">
        <v>73.78</v>
      </c>
      <c r="N4" t="b">
        <v>0</v>
      </c>
      <c r="O4">
        <v>0</v>
      </c>
      <c r="P4">
        <v>281</v>
      </c>
      <c r="Q4">
        <v>272</v>
      </c>
      <c r="R4">
        <v>-3.2</v>
      </c>
      <c r="S4" t="s">
        <v>2</v>
      </c>
      <c r="T4" t="s">
        <v>323</v>
      </c>
      <c r="U4">
        <v>-84.42379256981964</v>
      </c>
      <c r="V4">
        <v>-5.5</v>
      </c>
      <c r="W4" t="s">
        <v>644</v>
      </c>
      <c r="X4">
        <v>-38.21260482142083</v>
      </c>
      <c r="Y4">
        <v>4135</v>
      </c>
      <c r="Z4">
        <v>202976</v>
      </c>
      <c r="AA4" t="s">
        <v>957</v>
      </c>
      <c r="AB4">
        <v>69.70999999999999</v>
      </c>
      <c r="AC4" t="s">
        <v>1278</v>
      </c>
      <c r="AD4" t="s">
        <v>1599</v>
      </c>
      <c r="AE4">
        <v>2403</v>
      </c>
      <c r="AF4">
        <v>294</v>
      </c>
      <c r="AG4">
        <v>8024</v>
      </c>
      <c r="AH4">
        <v>1.96</v>
      </c>
    </row>
    <row r="5" spans="1:34">
      <c r="A5" s="2">
        <f>HYPERLINK("https://finance.naver.com/item/coinfo.nhn?code=023910", "A023910")</f>
        <v>0</v>
      </c>
      <c r="B5">
        <f>HYPERLINK("http://comp.fnguide.com/SVO2/ASP/SVD_Consensus.asp?pGB=1&amp;gicode=A023910&amp;cID=&amp;MenuYn=Y&amp;ReportGB=&amp;NewMenuID=108&amp;stkGb=701", "대한약품")</f>
        <v>0</v>
      </c>
      <c r="C5">
        <v>3</v>
      </c>
      <c r="D5">
        <v>30400</v>
      </c>
      <c r="E5">
        <v>0</v>
      </c>
      <c r="F5">
        <v>6.74</v>
      </c>
      <c r="G5">
        <v>71963</v>
      </c>
      <c r="H5">
        <v>45391</v>
      </c>
      <c r="I5">
        <v>37840</v>
      </c>
      <c r="J5">
        <v>-136.72</v>
      </c>
      <c r="K5">
        <v>-49.31</v>
      </c>
      <c r="L5">
        <v>-24.47</v>
      </c>
      <c r="M5">
        <v>20.55</v>
      </c>
      <c r="N5" t="b">
        <v>1</v>
      </c>
      <c r="O5">
        <v>0</v>
      </c>
      <c r="P5">
        <v>4694</v>
      </c>
      <c r="S5" t="s">
        <v>3</v>
      </c>
      <c r="T5" t="s">
        <v>324</v>
      </c>
      <c r="U5">
        <v>0</v>
      </c>
      <c r="V5">
        <v>-9.4</v>
      </c>
      <c r="W5" t="s">
        <v>645</v>
      </c>
      <c r="X5">
        <v>13.12017680240059</v>
      </c>
      <c r="Y5">
        <v>1824</v>
      </c>
      <c r="Z5">
        <v>24093</v>
      </c>
      <c r="AA5" t="s">
        <v>958</v>
      </c>
      <c r="AB5">
        <v>34.95</v>
      </c>
      <c r="AC5" t="s">
        <v>1279</v>
      </c>
      <c r="AD5" t="s">
        <v>1600</v>
      </c>
      <c r="AE5">
        <v>1688</v>
      </c>
      <c r="AF5">
        <v>336</v>
      </c>
      <c r="AH5">
        <v>1.26</v>
      </c>
    </row>
    <row r="6" spans="1:34">
      <c r="A6" s="2">
        <f>HYPERLINK("https://finance.naver.com/item/coinfo.nhn?code=067990", "A067990")</f>
        <v>0</v>
      </c>
      <c r="B6">
        <f>HYPERLINK("http://comp.fnguide.com/SVO2/ASP/SVD_Consensus.asp?pGB=1&amp;gicode=A067990&amp;cID=&amp;MenuYn=Y&amp;ReportGB=&amp;NewMenuID=108&amp;stkGb=701", "도이치모터스")</f>
        <v>0</v>
      </c>
      <c r="C6">
        <v>3</v>
      </c>
      <c r="D6">
        <v>6900</v>
      </c>
      <c r="E6">
        <v>0.05</v>
      </c>
      <c r="F6">
        <v>3.84</v>
      </c>
      <c r="G6">
        <v>23816</v>
      </c>
      <c r="H6">
        <v>15026</v>
      </c>
      <c r="I6">
        <v>12528</v>
      </c>
      <c r="J6">
        <v>-245.17</v>
      </c>
      <c r="K6">
        <v>-117.77</v>
      </c>
      <c r="L6">
        <v>-81.56999999999999</v>
      </c>
      <c r="M6">
        <v>20.54</v>
      </c>
      <c r="N6" t="b">
        <v>1</v>
      </c>
      <c r="O6">
        <v>0</v>
      </c>
      <c r="P6">
        <v>1998</v>
      </c>
      <c r="Q6">
        <v>849</v>
      </c>
      <c r="R6">
        <v>-57.5</v>
      </c>
      <c r="S6" t="s">
        <v>4</v>
      </c>
      <c r="T6" t="s">
        <v>325</v>
      </c>
      <c r="U6">
        <v>82.35753164603497</v>
      </c>
      <c r="V6">
        <v>-73.7</v>
      </c>
      <c r="W6" t="s">
        <v>646</v>
      </c>
      <c r="X6">
        <v>55.26657146025182</v>
      </c>
      <c r="Y6">
        <v>1935</v>
      </c>
      <c r="Z6">
        <v>1313553</v>
      </c>
      <c r="AA6" t="s">
        <v>959</v>
      </c>
      <c r="AB6">
        <v>33.11</v>
      </c>
      <c r="AC6" t="s">
        <v>1280</v>
      </c>
      <c r="AD6" t="s">
        <v>1601</v>
      </c>
      <c r="AE6">
        <v>12087</v>
      </c>
      <c r="AF6">
        <v>829</v>
      </c>
      <c r="AG6">
        <v>1100000</v>
      </c>
    </row>
    <row r="7" spans="1:34">
      <c r="A7" s="2">
        <f>HYPERLINK("https://finance.naver.com/item/coinfo.nhn?code=088130", "A088130")</f>
        <v>0</v>
      </c>
      <c r="B7">
        <f>HYPERLINK("http://comp.fnguide.com/SVO2/ASP/SVD_Consensus.asp?pGB=1&amp;gicode=A088130&amp;cID=&amp;MenuYn=Y&amp;ReportGB=&amp;NewMenuID=108&amp;stkGb=701", "동아엘텍")</f>
        <v>0</v>
      </c>
      <c r="C7">
        <v>3</v>
      </c>
      <c r="D7">
        <v>7990</v>
      </c>
      <c r="E7">
        <v>0</v>
      </c>
      <c r="F7">
        <v>7.47</v>
      </c>
      <c r="G7">
        <v>18764</v>
      </c>
      <c r="H7">
        <v>17535</v>
      </c>
      <c r="I7">
        <v>17185</v>
      </c>
      <c r="J7">
        <v>-134.84</v>
      </c>
      <c r="K7">
        <v>-119.46</v>
      </c>
      <c r="L7">
        <v>-115.09</v>
      </c>
      <c r="M7">
        <v>8.91</v>
      </c>
      <c r="N7" t="b">
        <v>1</v>
      </c>
      <c r="O7">
        <v>0</v>
      </c>
      <c r="P7">
        <v>1086</v>
      </c>
      <c r="S7" t="s">
        <v>5</v>
      </c>
      <c r="T7" t="s">
        <v>326</v>
      </c>
      <c r="U7">
        <v>0</v>
      </c>
      <c r="V7">
        <v>-17.5</v>
      </c>
      <c r="W7" t="s">
        <v>647</v>
      </c>
      <c r="X7">
        <v>-0.3722699517306416</v>
      </c>
      <c r="Y7">
        <v>852</v>
      </c>
      <c r="Z7">
        <v>29131</v>
      </c>
      <c r="AA7" t="s">
        <v>960</v>
      </c>
      <c r="AB7">
        <v>31.01</v>
      </c>
      <c r="AC7" t="s">
        <v>1281</v>
      </c>
      <c r="AD7" t="s">
        <v>1602</v>
      </c>
      <c r="AE7">
        <v>2029</v>
      </c>
      <c r="AF7">
        <v>198</v>
      </c>
      <c r="AG7">
        <v>807091</v>
      </c>
      <c r="AH7">
        <v>1.85</v>
      </c>
    </row>
    <row r="8" spans="1:34">
      <c r="A8" s="2">
        <f>HYPERLINK("https://finance.naver.com/item/coinfo.nhn?code=013120", "A013120")</f>
        <v>0</v>
      </c>
      <c r="B8">
        <f>HYPERLINK("http://comp.fnguide.com/SVO2/ASP/SVD_Consensus.asp?pGB=1&amp;gicode=A013120&amp;cID=&amp;MenuYn=Y&amp;ReportGB=&amp;NewMenuID=108&amp;stkGb=701", "동원개발")</f>
        <v>0</v>
      </c>
      <c r="C8">
        <v>3</v>
      </c>
      <c r="D8">
        <v>4445</v>
      </c>
      <c r="E8">
        <v>0</v>
      </c>
      <c r="F8">
        <v>4.38</v>
      </c>
      <c r="G8">
        <v>16106</v>
      </c>
      <c r="H8">
        <v>11525</v>
      </c>
      <c r="I8">
        <v>10223</v>
      </c>
      <c r="J8">
        <v>-262.34</v>
      </c>
      <c r="K8">
        <v>-159.27</v>
      </c>
      <c r="L8">
        <v>-129.98</v>
      </c>
      <c r="M8">
        <v>15.06</v>
      </c>
      <c r="N8" t="b">
        <v>1</v>
      </c>
      <c r="O8">
        <v>0</v>
      </c>
      <c r="P8">
        <v>933</v>
      </c>
      <c r="S8" t="s">
        <v>6</v>
      </c>
      <c r="T8" t="s">
        <v>327</v>
      </c>
      <c r="U8">
        <v>0</v>
      </c>
      <c r="V8">
        <v>43.1</v>
      </c>
      <c r="W8" t="s">
        <v>648</v>
      </c>
      <c r="X8">
        <v>6.117108852669451</v>
      </c>
      <c r="Y8">
        <v>4036</v>
      </c>
      <c r="Z8">
        <v>232379</v>
      </c>
      <c r="AA8" t="s">
        <v>961</v>
      </c>
      <c r="AB8">
        <v>61.17</v>
      </c>
      <c r="AC8" t="s">
        <v>1282</v>
      </c>
      <c r="AD8" t="s">
        <v>1603</v>
      </c>
      <c r="AE8">
        <v>6426</v>
      </c>
      <c r="AF8">
        <v>1061</v>
      </c>
      <c r="AH8">
        <v>4.16</v>
      </c>
    </row>
    <row r="9" spans="1:34">
      <c r="A9" s="2">
        <f>HYPERLINK("https://finance.naver.com/item/coinfo.nhn?code=109860", "A109860")</f>
        <v>0</v>
      </c>
      <c r="B9">
        <f>HYPERLINK("http://comp.fnguide.com/SVO2/ASP/SVD_Consensus.asp?pGB=1&amp;gicode=A109860&amp;cID=&amp;MenuYn=Y&amp;ReportGB=&amp;NewMenuID=108&amp;stkGb=701", "동일금속")</f>
        <v>0</v>
      </c>
      <c r="C9">
        <v>3</v>
      </c>
      <c r="D9">
        <v>10850</v>
      </c>
      <c r="E9">
        <v>0</v>
      </c>
      <c r="F9">
        <v>5.62</v>
      </c>
      <c r="G9">
        <v>24904</v>
      </c>
      <c r="H9">
        <v>21529</v>
      </c>
      <c r="I9">
        <v>20570</v>
      </c>
      <c r="J9">
        <v>-129.53</v>
      </c>
      <c r="K9">
        <v>-98.42</v>
      </c>
      <c r="L9">
        <v>-89.58</v>
      </c>
      <c r="M9">
        <v>10.25</v>
      </c>
      <c r="N9" t="b">
        <v>1</v>
      </c>
      <c r="O9">
        <v>0</v>
      </c>
      <c r="P9">
        <v>2226</v>
      </c>
      <c r="S9" t="s">
        <v>7</v>
      </c>
      <c r="T9" t="s">
        <v>328</v>
      </c>
      <c r="U9">
        <v>0</v>
      </c>
      <c r="V9">
        <v>-57.9</v>
      </c>
      <c r="W9" t="s">
        <v>649</v>
      </c>
      <c r="X9">
        <v>-3.573424730193897</v>
      </c>
      <c r="Y9">
        <v>760</v>
      </c>
      <c r="Z9">
        <v>5639</v>
      </c>
      <c r="AA9" t="s">
        <v>962</v>
      </c>
      <c r="AB9">
        <v>57.72</v>
      </c>
      <c r="AC9" t="s">
        <v>1283</v>
      </c>
      <c r="AD9" t="s">
        <v>1604</v>
      </c>
      <c r="AE9">
        <v>866</v>
      </c>
      <c r="AF9">
        <v>126</v>
      </c>
      <c r="AG9">
        <v>563000</v>
      </c>
      <c r="AH9">
        <v>2.24</v>
      </c>
    </row>
    <row r="10" spans="1:34">
      <c r="A10" s="2">
        <f>HYPERLINK("https://finance.naver.com/item/coinfo.nhn?code=038390", "A038390")</f>
        <v>0</v>
      </c>
      <c r="B10">
        <f>HYPERLINK("http://comp.fnguide.com/SVO2/ASP/SVD_Consensus.asp?pGB=1&amp;gicode=A038390&amp;cID=&amp;MenuYn=Y&amp;ReportGB=&amp;NewMenuID=108&amp;stkGb=701", "레드캡투어")</f>
        <v>0</v>
      </c>
      <c r="C10">
        <v>3</v>
      </c>
      <c r="D10">
        <v>19700</v>
      </c>
      <c r="E10">
        <v>0</v>
      </c>
      <c r="F10">
        <v>6.05</v>
      </c>
      <c r="G10">
        <v>29276</v>
      </c>
      <c r="H10">
        <v>23931</v>
      </c>
      <c r="I10">
        <v>22413</v>
      </c>
      <c r="J10">
        <v>-48.61</v>
      </c>
      <c r="K10">
        <v>-21.48</v>
      </c>
      <c r="L10">
        <v>-13.77</v>
      </c>
      <c r="M10">
        <v>11.4</v>
      </c>
      <c r="N10" t="b">
        <v>0</v>
      </c>
      <c r="O10">
        <v>0</v>
      </c>
      <c r="P10">
        <v>2589</v>
      </c>
      <c r="S10" t="s">
        <v>8</v>
      </c>
      <c r="T10" t="s">
        <v>329</v>
      </c>
      <c r="U10">
        <v>0</v>
      </c>
      <c r="V10">
        <v>-33</v>
      </c>
      <c r="W10" t="s">
        <v>650</v>
      </c>
      <c r="X10">
        <v>1.466402340512385</v>
      </c>
      <c r="Y10">
        <v>1692</v>
      </c>
      <c r="Z10">
        <v>28296</v>
      </c>
      <c r="AA10" t="s">
        <v>963</v>
      </c>
      <c r="AB10">
        <v>74.58</v>
      </c>
      <c r="AC10" t="s">
        <v>1284</v>
      </c>
      <c r="AD10" t="s">
        <v>1605</v>
      </c>
      <c r="AE10">
        <v>2588</v>
      </c>
      <c r="AF10">
        <v>350</v>
      </c>
      <c r="AG10">
        <v>552500</v>
      </c>
      <c r="AH10">
        <v>5.11</v>
      </c>
    </row>
    <row r="11" spans="1:34">
      <c r="A11" s="2">
        <f>HYPERLINK("https://finance.naver.com/item/coinfo.nhn?code=228850", "A228850")</f>
        <v>0</v>
      </c>
      <c r="B11">
        <f>HYPERLINK("http://comp.fnguide.com/SVO2/ASP/SVD_Consensus.asp?pGB=1&amp;gicode=A228850&amp;cID=&amp;MenuYn=Y&amp;ReportGB=&amp;NewMenuID=108&amp;stkGb=701", "레이언스")</f>
        <v>0</v>
      </c>
      <c r="C11">
        <v>3</v>
      </c>
      <c r="D11">
        <v>11100</v>
      </c>
      <c r="E11">
        <v>-0.83</v>
      </c>
      <c r="F11">
        <v>14.97</v>
      </c>
      <c r="G11">
        <v>12834</v>
      </c>
      <c r="H11">
        <v>12541</v>
      </c>
      <c r="I11">
        <v>12458</v>
      </c>
      <c r="J11">
        <v>-15.63</v>
      </c>
      <c r="K11">
        <v>-12.98</v>
      </c>
      <c r="L11">
        <v>-12.23</v>
      </c>
      <c r="M11">
        <v>8.25</v>
      </c>
      <c r="N11" t="b">
        <v>1</v>
      </c>
      <c r="O11">
        <v>0</v>
      </c>
      <c r="P11">
        <v>885</v>
      </c>
      <c r="Q11">
        <v>485</v>
      </c>
      <c r="R11">
        <v>-45.2</v>
      </c>
      <c r="S11" t="s">
        <v>9</v>
      </c>
      <c r="T11" t="s">
        <v>330</v>
      </c>
      <c r="U11">
        <v>-18.0315790843345</v>
      </c>
      <c r="V11">
        <v>-68.40000000000001</v>
      </c>
      <c r="W11" t="s">
        <v>651</v>
      </c>
      <c r="X11">
        <v>-24.62084267691696</v>
      </c>
      <c r="Y11">
        <v>1842</v>
      </c>
      <c r="Z11">
        <v>37715</v>
      </c>
      <c r="AA11" t="s">
        <v>964</v>
      </c>
      <c r="AB11">
        <v>64.86</v>
      </c>
      <c r="AC11" t="s">
        <v>1285</v>
      </c>
      <c r="AD11" t="s">
        <v>1606</v>
      </c>
      <c r="AE11">
        <v>1262</v>
      </c>
      <c r="AF11">
        <v>228</v>
      </c>
      <c r="AG11">
        <v>854574</v>
      </c>
      <c r="AH11">
        <v>2.26</v>
      </c>
    </row>
    <row r="12" spans="1:34">
      <c r="A12" s="2">
        <f>HYPERLINK("https://finance.naver.com/item/coinfo.nhn?code=012700", "A012700")</f>
        <v>0</v>
      </c>
      <c r="B12">
        <f>HYPERLINK("http://comp.fnguide.com/SVO2/ASP/SVD_Consensus.asp?pGB=1&amp;gicode=A012700&amp;cID=&amp;MenuYn=Y&amp;ReportGB=&amp;NewMenuID=108&amp;stkGb=701", "리드코프")</f>
        <v>0</v>
      </c>
      <c r="C12">
        <v>3</v>
      </c>
      <c r="D12">
        <v>6730</v>
      </c>
      <c r="E12">
        <v>0</v>
      </c>
      <c r="F12">
        <v>4.64</v>
      </c>
      <c r="G12">
        <v>20056</v>
      </c>
      <c r="H12">
        <v>16647</v>
      </c>
      <c r="I12">
        <v>15678</v>
      </c>
      <c r="J12">
        <v>-198.01</v>
      </c>
      <c r="K12">
        <v>-147.35</v>
      </c>
      <c r="L12">
        <v>-132.95</v>
      </c>
      <c r="M12">
        <v>11.07</v>
      </c>
      <c r="N12" t="b">
        <v>1</v>
      </c>
      <c r="O12">
        <v>0</v>
      </c>
      <c r="P12">
        <v>1531</v>
      </c>
      <c r="S12" t="s">
        <v>10</v>
      </c>
      <c r="T12" t="s">
        <v>331</v>
      </c>
      <c r="U12">
        <v>0</v>
      </c>
      <c r="V12">
        <v>7.4</v>
      </c>
      <c r="W12" t="s">
        <v>652</v>
      </c>
      <c r="X12">
        <v>1.493383548352334</v>
      </c>
      <c r="Y12">
        <v>1780</v>
      </c>
      <c r="Z12">
        <v>109451</v>
      </c>
      <c r="AA12" t="s">
        <v>965</v>
      </c>
      <c r="AB12">
        <v>40.16</v>
      </c>
      <c r="AC12" t="s">
        <v>1286</v>
      </c>
      <c r="AD12" t="s">
        <v>1607</v>
      </c>
      <c r="AE12">
        <v>4954</v>
      </c>
      <c r="AF12">
        <v>539</v>
      </c>
      <c r="AG12">
        <v>851283</v>
      </c>
      <c r="AH12">
        <v>2.11</v>
      </c>
    </row>
    <row r="13" spans="1:34">
      <c r="A13" s="2">
        <f>HYPERLINK("https://finance.naver.com/item/coinfo.nhn?code=093520", "A093520")</f>
        <v>0</v>
      </c>
      <c r="B13">
        <f>HYPERLINK("http://comp.fnguide.com/SVO2/ASP/SVD_Consensus.asp?pGB=1&amp;gicode=A093520&amp;cID=&amp;MenuYn=Y&amp;ReportGB=&amp;NewMenuID=108&amp;stkGb=701", "매커스")</f>
        <v>0</v>
      </c>
      <c r="C13">
        <v>3</v>
      </c>
      <c r="D13">
        <v>4660</v>
      </c>
      <c r="E13">
        <v>0</v>
      </c>
      <c r="F13">
        <v>12.7</v>
      </c>
      <c r="G13">
        <v>7865</v>
      </c>
      <c r="H13">
        <v>5774</v>
      </c>
      <c r="I13">
        <v>5180</v>
      </c>
      <c r="J13">
        <v>-68.79000000000001</v>
      </c>
      <c r="K13">
        <v>-23.91</v>
      </c>
      <c r="L13">
        <v>-11.16</v>
      </c>
      <c r="M13">
        <v>14.23</v>
      </c>
      <c r="N13" t="b">
        <v>1</v>
      </c>
      <c r="O13">
        <v>0</v>
      </c>
      <c r="P13">
        <v>296</v>
      </c>
      <c r="S13" t="s">
        <v>11</v>
      </c>
      <c r="T13" t="s">
        <v>332</v>
      </c>
      <c r="U13">
        <v>0</v>
      </c>
      <c r="V13">
        <v>54.4</v>
      </c>
      <c r="W13" t="s">
        <v>653</v>
      </c>
      <c r="X13">
        <v>9.119440919884902</v>
      </c>
      <c r="Y13">
        <v>753</v>
      </c>
      <c r="Z13">
        <v>77338</v>
      </c>
      <c r="AA13" t="s">
        <v>966</v>
      </c>
      <c r="AB13">
        <v>15.93</v>
      </c>
      <c r="AC13" t="s">
        <v>1287</v>
      </c>
      <c r="AD13" t="s">
        <v>1608</v>
      </c>
      <c r="AE13">
        <v>575</v>
      </c>
      <c r="AF13">
        <v>59</v>
      </c>
      <c r="AG13">
        <v>4135008</v>
      </c>
      <c r="AH13">
        <v>2.66</v>
      </c>
    </row>
    <row r="14" spans="1:34">
      <c r="A14" s="2">
        <f>HYPERLINK("https://finance.naver.com/item/coinfo.nhn?code=014100", "A014100")</f>
        <v>0</v>
      </c>
      <c r="B14">
        <f>HYPERLINK("http://comp.fnguide.com/SVO2/ASP/SVD_Consensus.asp?pGB=1&amp;gicode=A014100&amp;cID=&amp;MenuYn=Y&amp;ReportGB=&amp;NewMenuID=108&amp;stkGb=701", "메디앙스")</f>
        <v>0</v>
      </c>
      <c r="C14">
        <v>3</v>
      </c>
      <c r="D14">
        <v>4195</v>
      </c>
      <c r="E14">
        <v>0</v>
      </c>
      <c r="F14">
        <v>3.01</v>
      </c>
      <c r="G14">
        <v>27265</v>
      </c>
      <c r="H14">
        <v>15236</v>
      </c>
      <c r="I14">
        <v>11818</v>
      </c>
      <c r="J14">
        <v>-549.9400000000001</v>
      </c>
      <c r="K14">
        <v>-263.2</v>
      </c>
      <c r="L14">
        <v>-181.72</v>
      </c>
      <c r="M14">
        <v>29.76</v>
      </c>
      <c r="N14" t="b">
        <v>1</v>
      </c>
      <c r="O14">
        <v>0</v>
      </c>
      <c r="P14">
        <v>2877</v>
      </c>
      <c r="S14" t="s">
        <v>12</v>
      </c>
      <c r="T14" t="s">
        <v>333</v>
      </c>
      <c r="U14">
        <v>0</v>
      </c>
      <c r="V14">
        <v>0</v>
      </c>
      <c r="W14" t="s">
        <v>654</v>
      </c>
      <c r="X14">
        <v>56.99309079590677</v>
      </c>
      <c r="Y14">
        <v>495</v>
      </c>
      <c r="Z14">
        <v>0</v>
      </c>
      <c r="AA14" t="s">
        <v>967</v>
      </c>
      <c r="AB14">
        <v>30.49</v>
      </c>
      <c r="AC14" t="s">
        <v>1288</v>
      </c>
      <c r="AD14" t="s">
        <v>1609</v>
      </c>
      <c r="AE14">
        <v>973</v>
      </c>
      <c r="AF14">
        <v>16</v>
      </c>
      <c r="AG14">
        <v>236868</v>
      </c>
    </row>
    <row r="15" spans="1:34">
      <c r="A15" s="2">
        <f>HYPERLINK("https://finance.naver.com/item/coinfo.nhn?code=241770", "A241770")</f>
        <v>0</v>
      </c>
      <c r="B15">
        <f>HYPERLINK("http://comp.fnguide.com/SVO2/ASP/SVD_Consensus.asp?pGB=1&amp;gicode=A241770&amp;cID=&amp;MenuYn=Y&amp;ReportGB=&amp;NewMenuID=108&amp;stkGb=701", "메카로")</f>
        <v>0</v>
      </c>
      <c r="C15">
        <v>3</v>
      </c>
      <c r="D15">
        <v>13350</v>
      </c>
      <c r="E15">
        <v>0</v>
      </c>
      <c r="F15">
        <v>18.81</v>
      </c>
      <c r="G15">
        <v>31981</v>
      </c>
      <c r="H15">
        <v>21483</v>
      </c>
      <c r="I15">
        <v>18500</v>
      </c>
      <c r="J15">
        <v>-139.56</v>
      </c>
      <c r="K15">
        <v>-60.92</v>
      </c>
      <c r="L15">
        <v>-38.58</v>
      </c>
      <c r="M15">
        <v>17.47</v>
      </c>
      <c r="N15" t="b">
        <v>1</v>
      </c>
      <c r="O15">
        <v>0</v>
      </c>
      <c r="P15">
        <v>819</v>
      </c>
      <c r="S15" t="s">
        <v>13</v>
      </c>
      <c r="T15" t="s">
        <v>334</v>
      </c>
      <c r="U15">
        <v>0</v>
      </c>
      <c r="V15">
        <v>-98.40000000000001</v>
      </c>
      <c r="W15" t="s">
        <v>655</v>
      </c>
      <c r="X15">
        <v>-53.38808199501476</v>
      </c>
      <c r="Y15">
        <v>1349</v>
      </c>
      <c r="Z15">
        <v>51760</v>
      </c>
      <c r="AA15" t="s">
        <v>968</v>
      </c>
      <c r="AB15">
        <v>60.36</v>
      </c>
      <c r="AC15" t="s">
        <v>1289</v>
      </c>
      <c r="AD15" t="s">
        <v>1610</v>
      </c>
      <c r="AE15">
        <v>725</v>
      </c>
      <c r="AF15">
        <v>86</v>
      </c>
      <c r="AG15">
        <v>380000</v>
      </c>
      <c r="AH15">
        <v>1.04</v>
      </c>
    </row>
    <row r="16" spans="1:34">
      <c r="A16" s="2">
        <f>HYPERLINK("https://finance.naver.com/item/coinfo.nhn?code=208710", "A208710")</f>
        <v>0</v>
      </c>
      <c r="B16">
        <f>HYPERLINK("http://comp.fnguide.com/SVO2/ASP/SVD_Consensus.asp?pGB=1&amp;gicode=A208710&amp;cID=&amp;MenuYn=Y&amp;ReportGB=&amp;NewMenuID=108&amp;stkGb=701", "바이오로그디바이스")</f>
        <v>0</v>
      </c>
      <c r="C16">
        <v>3</v>
      </c>
      <c r="D16">
        <v>1630</v>
      </c>
      <c r="E16">
        <v>0</v>
      </c>
      <c r="F16">
        <v>8.74</v>
      </c>
      <c r="G16">
        <v>2921</v>
      </c>
      <c r="H16">
        <v>2338</v>
      </c>
      <c r="I16">
        <v>2173</v>
      </c>
      <c r="J16">
        <v>-79.19</v>
      </c>
      <c r="K16">
        <v>-43.45</v>
      </c>
      <c r="L16">
        <v>-33.29</v>
      </c>
      <c r="M16">
        <v>11.88</v>
      </c>
      <c r="N16" t="b">
        <v>1</v>
      </c>
      <c r="O16">
        <v>0</v>
      </c>
      <c r="P16">
        <v>213</v>
      </c>
      <c r="S16" t="s">
        <v>14</v>
      </c>
      <c r="T16" t="s">
        <v>335</v>
      </c>
      <c r="U16">
        <v>0</v>
      </c>
      <c r="V16">
        <v>0</v>
      </c>
      <c r="W16" t="s">
        <v>656</v>
      </c>
      <c r="X16">
        <v>1.817208690354288</v>
      </c>
      <c r="Y16">
        <v>471</v>
      </c>
      <c r="Z16">
        <v>262704</v>
      </c>
      <c r="AA16" t="s">
        <v>969</v>
      </c>
      <c r="AB16">
        <v>24.24</v>
      </c>
      <c r="AC16" t="s">
        <v>1290</v>
      </c>
      <c r="AD16" t="s">
        <v>1611</v>
      </c>
      <c r="AE16">
        <v>904</v>
      </c>
      <c r="AF16">
        <v>70</v>
      </c>
      <c r="AG16">
        <v>137119</v>
      </c>
    </row>
    <row r="17" spans="1:34">
      <c r="A17" s="2">
        <f>HYPERLINK("https://finance.naver.com/item/coinfo.nhn?code=123890", "A123890")</f>
        <v>0</v>
      </c>
      <c r="B17">
        <f>HYPERLINK("http://comp.fnguide.com/SVO2/ASP/SVD_Consensus.asp?pGB=1&amp;gicode=A123890&amp;cID=&amp;MenuYn=Y&amp;ReportGB=&amp;NewMenuID=108&amp;stkGb=701", "한국자산신탁")</f>
        <v>0</v>
      </c>
      <c r="C17">
        <v>3</v>
      </c>
      <c r="D17">
        <v>4005</v>
      </c>
      <c r="E17">
        <v>-6.65</v>
      </c>
      <c r="F17">
        <v>4.66</v>
      </c>
      <c r="G17">
        <v>12151</v>
      </c>
      <c r="H17">
        <v>8095</v>
      </c>
      <c r="I17">
        <v>6942</v>
      </c>
      <c r="J17">
        <v>-203.39</v>
      </c>
      <c r="K17">
        <v>-102.12</v>
      </c>
      <c r="L17">
        <v>-73.34</v>
      </c>
      <c r="M17">
        <v>17.83</v>
      </c>
      <c r="N17" t="b">
        <v>1</v>
      </c>
      <c r="O17">
        <v>1</v>
      </c>
      <c r="P17">
        <v>723</v>
      </c>
      <c r="Q17">
        <v>993</v>
      </c>
      <c r="R17">
        <v>37.3</v>
      </c>
      <c r="S17" t="s">
        <v>15</v>
      </c>
      <c r="T17" t="s">
        <v>336</v>
      </c>
      <c r="U17">
        <v>-0.7008800181567243</v>
      </c>
      <c r="W17" t="s">
        <v>657</v>
      </c>
      <c r="X17">
        <v>2.305975528003579</v>
      </c>
      <c r="Y17">
        <v>4965</v>
      </c>
      <c r="Z17">
        <v>264469</v>
      </c>
      <c r="AA17" t="s">
        <v>970</v>
      </c>
      <c r="AB17">
        <v>53.62</v>
      </c>
      <c r="AC17" t="s">
        <v>1291</v>
      </c>
      <c r="AD17" t="s">
        <v>1612</v>
      </c>
      <c r="AE17">
        <v>2233</v>
      </c>
      <c r="AF17">
        <v>1141</v>
      </c>
      <c r="AG17">
        <v>1610697</v>
      </c>
      <c r="AH17">
        <v>5.4</v>
      </c>
    </row>
    <row r="18" spans="1:34">
      <c r="A18" s="2">
        <f>HYPERLINK("https://finance.naver.com/item/coinfo.nhn?code=141000", "A141000")</f>
        <v>0</v>
      </c>
      <c r="B18">
        <f>HYPERLINK("http://comp.fnguide.com/SVO2/ASP/SVD_Consensus.asp?pGB=1&amp;gicode=A141000&amp;cID=&amp;MenuYn=Y&amp;ReportGB=&amp;NewMenuID=108&amp;stkGb=701", "비아트론")</f>
        <v>0</v>
      </c>
      <c r="C18">
        <v>3</v>
      </c>
      <c r="D18">
        <v>10050</v>
      </c>
      <c r="E18">
        <v>0</v>
      </c>
      <c r="F18">
        <v>27.38</v>
      </c>
      <c r="G18">
        <v>15044</v>
      </c>
      <c r="H18">
        <v>12740</v>
      </c>
      <c r="I18">
        <v>12085</v>
      </c>
      <c r="J18">
        <v>-49.69</v>
      </c>
      <c r="K18">
        <v>-26.76</v>
      </c>
      <c r="L18">
        <v>-20.25</v>
      </c>
      <c r="M18">
        <v>10.65</v>
      </c>
      <c r="N18" t="b">
        <v>1</v>
      </c>
      <c r="O18">
        <v>0</v>
      </c>
      <c r="P18">
        <v>396</v>
      </c>
      <c r="S18" t="s">
        <v>16</v>
      </c>
      <c r="T18" t="s">
        <v>337</v>
      </c>
      <c r="U18">
        <v>0</v>
      </c>
      <c r="V18">
        <v>139.1</v>
      </c>
      <c r="W18" t="s">
        <v>658</v>
      </c>
      <c r="X18">
        <v>8.079630412028592</v>
      </c>
      <c r="Y18">
        <v>1218</v>
      </c>
      <c r="Z18">
        <v>148261</v>
      </c>
      <c r="AA18" t="s">
        <v>971</v>
      </c>
      <c r="AB18">
        <v>19.07</v>
      </c>
      <c r="AC18" t="s">
        <v>1292</v>
      </c>
      <c r="AD18" t="s">
        <v>1613</v>
      </c>
      <c r="AE18">
        <v>500</v>
      </c>
      <c r="AF18">
        <v>38</v>
      </c>
      <c r="AG18">
        <v>281420</v>
      </c>
    </row>
    <row r="19" spans="1:34">
      <c r="A19" s="2">
        <f>HYPERLINK("https://finance.naver.com/item/coinfo.nhn?code=093190", "A093190")</f>
        <v>0</v>
      </c>
      <c r="B19">
        <f>HYPERLINK("http://comp.fnguide.com/SVO2/ASP/SVD_Consensus.asp?pGB=1&amp;gicode=A093190&amp;cID=&amp;MenuYn=Y&amp;ReportGB=&amp;NewMenuID=108&amp;stkGb=701", "빅솔론")</f>
        <v>0</v>
      </c>
      <c r="C19">
        <v>3</v>
      </c>
      <c r="D19">
        <v>4455</v>
      </c>
      <c r="E19">
        <v>0</v>
      </c>
      <c r="F19">
        <v>11.2</v>
      </c>
      <c r="G19">
        <v>10605</v>
      </c>
      <c r="H19">
        <v>9601</v>
      </c>
      <c r="I19">
        <v>9316</v>
      </c>
      <c r="J19">
        <v>-138.05</v>
      </c>
      <c r="K19">
        <v>-115.52</v>
      </c>
      <c r="L19">
        <v>-109.12</v>
      </c>
      <c r="M19">
        <v>9.42</v>
      </c>
      <c r="N19" t="b">
        <v>1</v>
      </c>
      <c r="O19">
        <v>0</v>
      </c>
      <c r="P19">
        <v>499</v>
      </c>
      <c r="S19" t="s">
        <v>17</v>
      </c>
      <c r="T19" t="s">
        <v>338</v>
      </c>
      <c r="U19">
        <v>0</v>
      </c>
      <c r="V19">
        <v>-33.6</v>
      </c>
      <c r="W19" t="s">
        <v>659</v>
      </c>
      <c r="X19">
        <v>-19.97574179755875</v>
      </c>
      <c r="Y19">
        <v>857</v>
      </c>
      <c r="Z19">
        <v>10542</v>
      </c>
      <c r="AA19" t="s">
        <v>972</v>
      </c>
      <c r="AB19">
        <v>40.88</v>
      </c>
      <c r="AC19" t="s">
        <v>1293</v>
      </c>
      <c r="AD19" t="s">
        <v>1614</v>
      </c>
      <c r="AE19">
        <v>848</v>
      </c>
      <c r="AF19">
        <v>95</v>
      </c>
      <c r="AG19">
        <v>2846707</v>
      </c>
      <c r="AH19">
        <v>3.4</v>
      </c>
    </row>
    <row r="20" spans="1:34">
      <c r="A20" s="2">
        <f>HYPERLINK("https://finance.naver.com/item/coinfo.nhn?code=018310", "A018310")</f>
        <v>0</v>
      </c>
      <c r="B20">
        <f>HYPERLINK("http://comp.fnguide.com/SVO2/ASP/SVD_Consensus.asp?pGB=1&amp;gicode=A018310&amp;cID=&amp;MenuYn=Y&amp;ReportGB=&amp;NewMenuID=108&amp;stkGb=701", "삼목에스폼")</f>
        <v>0</v>
      </c>
      <c r="C20">
        <v>3</v>
      </c>
      <c r="D20">
        <v>7620</v>
      </c>
      <c r="E20">
        <v>0</v>
      </c>
      <c r="F20">
        <v>8.970000000000001</v>
      </c>
      <c r="G20">
        <v>28907</v>
      </c>
      <c r="H20">
        <v>28798</v>
      </c>
      <c r="I20">
        <v>28767</v>
      </c>
      <c r="J20">
        <v>-279.35</v>
      </c>
      <c r="K20">
        <v>-277.93</v>
      </c>
      <c r="L20">
        <v>-277.52</v>
      </c>
      <c r="M20">
        <v>7.99</v>
      </c>
      <c r="N20" t="b">
        <v>1</v>
      </c>
      <c r="O20">
        <v>0</v>
      </c>
      <c r="P20">
        <v>932</v>
      </c>
      <c r="S20" t="s">
        <v>18</v>
      </c>
      <c r="T20" t="s">
        <v>339</v>
      </c>
      <c r="U20">
        <v>0</v>
      </c>
      <c r="V20">
        <v>0</v>
      </c>
      <c r="W20" t="s">
        <v>660</v>
      </c>
      <c r="X20">
        <v>-26.11158320682037</v>
      </c>
      <c r="Y20">
        <v>1120</v>
      </c>
      <c r="Z20">
        <v>18560</v>
      </c>
      <c r="AA20" t="s">
        <v>973</v>
      </c>
      <c r="AB20">
        <v>50.66</v>
      </c>
      <c r="AC20" t="s">
        <v>1294</v>
      </c>
      <c r="AD20" t="s">
        <v>1615</v>
      </c>
      <c r="AE20">
        <v>1442</v>
      </c>
      <c r="AF20">
        <v>114</v>
      </c>
      <c r="AG20">
        <v>2783927</v>
      </c>
      <c r="AH20">
        <v>1.2</v>
      </c>
    </row>
    <row r="21" spans="1:34">
      <c r="A21" s="2">
        <f>HYPERLINK("https://finance.naver.com/item/coinfo.nhn?code=023600", "A023600")</f>
        <v>0</v>
      </c>
      <c r="B21">
        <f>HYPERLINK("http://comp.fnguide.com/SVO2/ASP/SVD_Consensus.asp?pGB=1&amp;gicode=A023600&amp;cID=&amp;MenuYn=Y&amp;ReportGB=&amp;NewMenuID=108&amp;stkGb=701", "삼보판지")</f>
        <v>0</v>
      </c>
      <c r="C21">
        <v>3</v>
      </c>
      <c r="D21">
        <v>9900</v>
      </c>
      <c r="E21">
        <v>0</v>
      </c>
      <c r="F21">
        <v>4.62</v>
      </c>
      <c r="G21">
        <v>31135</v>
      </c>
      <c r="H21">
        <v>25790</v>
      </c>
      <c r="I21">
        <v>24271</v>
      </c>
      <c r="J21">
        <v>-214.49</v>
      </c>
      <c r="K21">
        <v>-160.5</v>
      </c>
      <c r="L21">
        <v>-145.16</v>
      </c>
      <c r="M21">
        <v>11.11</v>
      </c>
      <c r="N21" t="b">
        <v>1</v>
      </c>
      <c r="O21">
        <v>0</v>
      </c>
      <c r="P21">
        <v>1779</v>
      </c>
      <c r="S21" t="s">
        <v>19</v>
      </c>
      <c r="T21" t="s">
        <v>340</v>
      </c>
      <c r="U21">
        <v>0</v>
      </c>
      <c r="V21">
        <v>-5.3</v>
      </c>
      <c r="W21" t="s">
        <v>661</v>
      </c>
      <c r="X21">
        <v>-3.163553070742187</v>
      </c>
      <c r="Y21">
        <v>1601</v>
      </c>
      <c r="Z21">
        <v>311969</v>
      </c>
      <c r="AA21" t="s">
        <v>974</v>
      </c>
      <c r="AB21">
        <v>63.54</v>
      </c>
      <c r="AC21" t="s">
        <v>1295</v>
      </c>
      <c r="AD21" t="s">
        <v>1616</v>
      </c>
      <c r="AE21">
        <v>3670</v>
      </c>
      <c r="AF21">
        <v>457</v>
      </c>
      <c r="AG21">
        <v>202211</v>
      </c>
      <c r="AH21">
        <v>1.52</v>
      </c>
    </row>
    <row r="22" spans="1:34">
      <c r="A22" s="2">
        <f>HYPERLINK("https://finance.naver.com/item/coinfo.nhn?code=037460", "A037460")</f>
        <v>0</v>
      </c>
      <c r="B22">
        <f>HYPERLINK("http://comp.fnguide.com/SVO2/ASP/SVD_Consensus.asp?pGB=1&amp;gicode=A037460&amp;cID=&amp;MenuYn=Y&amp;ReportGB=&amp;NewMenuID=108&amp;stkGb=701", "삼지전자")</f>
        <v>0</v>
      </c>
      <c r="C22">
        <v>3</v>
      </c>
      <c r="D22">
        <v>12150</v>
      </c>
      <c r="E22">
        <v>0</v>
      </c>
      <c r="F22">
        <v>11.59</v>
      </c>
      <c r="G22">
        <v>14875</v>
      </c>
      <c r="H22">
        <v>13839</v>
      </c>
      <c r="I22">
        <v>13544</v>
      </c>
      <c r="J22">
        <v>-22.43</v>
      </c>
      <c r="K22">
        <v>-13.9</v>
      </c>
      <c r="L22">
        <v>-11.47</v>
      </c>
      <c r="M22">
        <v>8.98</v>
      </c>
      <c r="N22" t="b">
        <v>1</v>
      </c>
      <c r="O22">
        <v>0</v>
      </c>
      <c r="P22">
        <v>849</v>
      </c>
      <c r="S22" t="s">
        <v>20</v>
      </c>
      <c r="T22" t="s">
        <v>341</v>
      </c>
      <c r="U22">
        <v>0</v>
      </c>
      <c r="V22">
        <v>98.5</v>
      </c>
      <c r="W22" t="s">
        <v>662</v>
      </c>
      <c r="X22">
        <v>9.957284308027269</v>
      </c>
      <c r="Y22">
        <v>1983</v>
      </c>
      <c r="Z22">
        <v>134362</v>
      </c>
      <c r="AA22" t="s">
        <v>975</v>
      </c>
      <c r="AB22">
        <v>46.69</v>
      </c>
      <c r="AC22" t="s">
        <v>1296</v>
      </c>
      <c r="AD22" t="s">
        <v>1617</v>
      </c>
      <c r="AE22">
        <v>14950</v>
      </c>
      <c r="AF22">
        <v>362</v>
      </c>
      <c r="AG22">
        <v>983010</v>
      </c>
      <c r="AH22">
        <v>1.42</v>
      </c>
    </row>
    <row r="23" spans="1:34">
      <c r="A23" s="2">
        <f>HYPERLINK("https://finance.naver.com/item/coinfo.nhn?code=032750", "A032750")</f>
        <v>0</v>
      </c>
      <c r="B23">
        <f>HYPERLINK("http://comp.fnguide.com/SVO2/ASP/SVD_Consensus.asp?pGB=1&amp;gicode=A032750&amp;cID=&amp;MenuYn=Y&amp;ReportGB=&amp;NewMenuID=108&amp;stkGb=701", "삼진")</f>
        <v>0</v>
      </c>
      <c r="C23">
        <v>3</v>
      </c>
      <c r="D23">
        <v>10550</v>
      </c>
      <c r="E23">
        <v>0</v>
      </c>
      <c r="F23">
        <v>5.67</v>
      </c>
      <c r="G23">
        <v>16296</v>
      </c>
      <c r="H23">
        <v>14172</v>
      </c>
      <c r="I23">
        <v>13569</v>
      </c>
      <c r="J23">
        <v>-54.46</v>
      </c>
      <c r="K23">
        <v>-34.34</v>
      </c>
      <c r="L23">
        <v>-28.62</v>
      </c>
      <c r="M23">
        <v>10.13</v>
      </c>
      <c r="N23" t="b">
        <v>1</v>
      </c>
      <c r="O23">
        <v>0</v>
      </c>
      <c r="P23">
        <v>2019</v>
      </c>
      <c r="S23" t="s">
        <v>21</v>
      </c>
      <c r="T23" t="s">
        <v>342</v>
      </c>
      <c r="U23">
        <v>0</v>
      </c>
      <c r="V23">
        <v>-35.1</v>
      </c>
      <c r="W23" t="s">
        <v>663</v>
      </c>
      <c r="X23">
        <v>8.942488161386098</v>
      </c>
      <c r="Y23">
        <v>633</v>
      </c>
      <c r="Z23">
        <v>154909</v>
      </c>
      <c r="AA23" t="s">
        <v>976</v>
      </c>
      <c r="AB23">
        <v>44.13</v>
      </c>
      <c r="AC23" t="s">
        <v>1297</v>
      </c>
      <c r="AD23" t="s">
        <v>1618</v>
      </c>
      <c r="AE23">
        <v>1352</v>
      </c>
      <c r="AF23">
        <v>117</v>
      </c>
      <c r="AH23">
        <v>1.75</v>
      </c>
    </row>
    <row r="24" spans="1:34">
      <c r="A24" s="2">
        <f>HYPERLINK("https://finance.naver.com/item/coinfo.nhn?code=038540", "A038540")</f>
        <v>0</v>
      </c>
      <c r="B24">
        <f>HYPERLINK("http://comp.fnguide.com/SVO2/ASP/SVD_Consensus.asp?pGB=1&amp;gicode=A038540&amp;cID=&amp;MenuYn=Y&amp;ReportGB=&amp;NewMenuID=108&amp;stkGb=701", "상상인")</f>
        <v>0</v>
      </c>
      <c r="C24">
        <v>3</v>
      </c>
      <c r="D24">
        <v>6400</v>
      </c>
      <c r="E24">
        <v>0</v>
      </c>
      <c r="F24">
        <v>3.85</v>
      </c>
      <c r="G24">
        <v>39599</v>
      </c>
      <c r="H24">
        <v>21553</v>
      </c>
      <c r="I24">
        <v>16425</v>
      </c>
      <c r="J24">
        <v>-518.73</v>
      </c>
      <c r="K24">
        <v>-236.77</v>
      </c>
      <c r="L24">
        <v>-156.64</v>
      </c>
      <c r="M24">
        <v>32.73</v>
      </c>
      <c r="N24" t="b">
        <v>1</v>
      </c>
      <c r="O24">
        <v>0</v>
      </c>
      <c r="P24">
        <v>2254</v>
      </c>
      <c r="S24" t="s">
        <v>22</v>
      </c>
      <c r="T24" t="s">
        <v>343</v>
      </c>
      <c r="U24">
        <v>0</v>
      </c>
      <c r="V24">
        <v>-54.9</v>
      </c>
      <c r="W24" t="s">
        <v>664</v>
      </c>
      <c r="X24">
        <v>12.53751281964544</v>
      </c>
      <c r="Y24">
        <v>3541</v>
      </c>
      <c r="Z24">
        <v>269809</v>
      </c>
      <c r="AA24" t="s">
        <v>977</v>
      </c>
      <c r="AB24">
        <v>31.93</v>
      </c>
      <c r="AC24" t="s">
        <v>1298</v>
      </c>
      <c r="AD24" t="s">
        <v>1619</v>
      </c>
      <c r="AE24">
        <v>5413</v>
      </c>
      <c r="AF24">
        <v>1824</v>
      </c>
      <c r="AG24">
        <v>604037</v>
      </c>
      <c r="AH24">
        <v>2.31</v>
      </c>
    </row>
    <row r="25" spans="1:34">
      <c r="A25" s="2">
        <f>HYPERLINK("https://finance.naver.com/item/coinfo.nhn?code=140070", "A140070")</f>
        <v>0</v>
      </c>
      <c r="B25">
        <f>HYPERLINK("http://comp.fnguide.com/SVO2/ASP/SVD_Consensus.asp?pGB=1&amp;gicode=A140070&amp;cID=&amp;MenuYn=Y&amp;ReportGB=&amp;NewMenuID=108&amp;stkGb=701", "서플러스글로벌")</f>
        <v>0</v>
      </c>
      <c r="C25">
        <v>3</v>
      </c>
      <c r="D25">
        <v>2845</v>
      </c>
      <c r="E25">
        <v>0</v>
      </c>
      <c r="F25">
        <v>55.93</v>
      </c>
      <c r="G25">
        <v>4678</v>
      </c>
      <c r="H25">
        <v>3993</v>
      </c>
      <c r="I25">
        <v>3799</v>
      </c>
      <c r="J25">
        <v>-64.42</v>
      </c>
      <c r="K25">
        <v>-40.36</v>
      </c>
      <c r="L25">
        <v>-33.52</v>
      </c>
      <c r="M25">
        <v>10.49</v>
      </c>
      <c r="N25" t="b">
        <v>1</v>
      </c>
      <c r="O25">
        <v>0</v>
      </c>
      <c r="P25">
        <v>43</v>
      </c>
      <c r="S25" t="s">
        <v>23</v>
      </c>
      <c r="T25" t="s">
        <v>344</v>
      </c>
      <c r="U25">
        <v>0</v>
      </c>
      <c r="V25">
        <v>5632.2</v>
      </c>
      <c r="W25" t="s">
        <v>665</v>
      </c>
      <c r="X25">
        <v>48.17998008288897</v>
      </c>
      <c r="Y25">
        <v>1052</v>
      </c>
      <c r="Z25">
        <v>110324</v>
      </c>
      <c r="AA25" t="s">
        <v>978</v>
      </c>
      <c r="AB25">
        <v>57.52</v>
      </c>
      <c r="AC25" t="s">
        <v>1299</v>
      </c>
      <c r="AD25" t="s">
        <v>1620</v>
      </c>
      <c r="AE25">
        <v>1103</v>
      </c>
      <c r="AF25">
        <v>27</v>
      </c>
      <c r="AG25">
        <v>2130000</v>
      </c>
    </row>
    <row r="26" spans="1:34">
      <c r="A26" s="2">
        <f>HYPERLINK("https://finance.naver.com/item/coinfo.nhn?code=011370", "A011370")</f>
        <v>0</v>
      </c>
      <c r="B26">
        <f>HYPERLINK("http://comp.fnguide.com/SVO2/ASP/SVD_Consensus.asp?pGB=1&amp;gicode=A011370&amp;cID=&amp;MenuYn=Y&amp;ReportGB=&amp;NewMenuID=108&amp;stkGb=701", "서한")</f>
        <v>0</v>
      </c>
      <c r="C26">
        <v>3</v>
      </c>
      <c r="D26">
        <v>1630</v>
      </c>
      <c r="E26">
        <v>0</v>
      </c>
      <c r="F26">
        <v>12.19</v>
      </c>
      <c r="G26">
        <v>4382</v>
      </c>
      <c r="H26">
        <v>3547</v>
      </c>
      <c r="I26">
        <v>3310</v>
      </c>
      <c r="J26">
        <v>-168.83</v>
      </c>
      <c r="K26">
        <v>-117.61</v>
      </c>
      <c r="L26">
        <v>-103.05</v>
      </c>
      <c r="M26">
        <v>11.62</v>
      </c>
      <c r="N26" t="b">
        <v>1</v>
      </c>
      <c r="O26">
        <v>0</v>
      </c>
      <c r="P26">
        <v>98</v>
      </c>
      <c r="S26" t="s">
        <v>24</v>
      </c>
      <c r="T26" t="s">
        <v>345</v>
      </c>
      <c r="U26">
        <v>0</v>
      </c>
      <c r="V26">
        <v>131.1</v>
      </c>
      <c r="W26" t="s">
        <v>666</v>
      </c>
      <c r="X26">
        <v>-6.718859451246695</v>
      </c>
      <c r="Y26">
        <v>1645</v>
      </c>
      <c r="Z26">
        <v>3982037</v>
      </c>
      <c r="AA26" t="s">
        <v>979</v>
      </c>
      <c r="AB26">
        <v>11.26</v>
      </c>
      <c r="AC26" t="s">
        <v>1300</v>
      </c>
      <c r="AD26" t="s">
        <v>1621</v>
      </c>
      <c r="AE26">
        <v>5481</v>
      </c>
      <c r="AF26">
        <v>240</v>
      </c>
      <c r="AH26">
        <v>2.52</v>
      </c>
    </row>
    <row r="27" spans="1:34">
      <c r="A27" s="2">
        <f>HYPERLINK("https://finance.naver.com/item/coinfo.nhn?code=035890", "A035890")</f>
        <v>0</v>
      </c>
      <c r="B27">
        <f>HYPERLINK("http://comp.fnguide.com/SVO2/ASP/SVD_Consensus.asp?pGB=1&amp;gicode=A035890&amp;cID=&amp;MenuYn=Y&amp;ReportGB=&amp;NewMenuID=108&amp;stkGb=701", "서희건설")</f>
        <v>0</v>
      </c>
      <c r="C27">
        <v>3</v>
      </c>
      <c r="D27">
        <v>1350</v>
      </c>
      <c r="E27">
        <v>0.09</v>
      </c>
      <c r="F27">
        <v>3.81</v>
      </c>
      <c r="G27">
        <v>3448</v>
      </c>
      <c r="H27">
        <v>2407</v>
      </c>
      <c r="I27">
        <v>2111</v>
      </c>
      <c r="J27">
        <v>-155.43</v>
      </c>
      <c r="K27">
        <v>-78.28</v>
      </c>
      <c r="L27">
        <v>-56.36</v>
      </c>
      <c r="M27">
        <v>15.94</v>
      </c>
      <c r="N27" t="b">
        <v>1</v>
      </c>
      <c r="O27">
        <v>3</v>
      </c>
      <c r="P27">
        <v>294</v>
      </c>
      <c r="Q27">
        <v>522</v>
      </c>
      <c r="R27">
        <v>77.59999999999999</v>
      </c>
      <c r="S27" t="s">
        <v>25</v>
      </c>
      <c r="T27" t="s">
        <v>346</v>
      </c>
      <c r="U27">
        <v>42.59345891298947</v>
      </c>
      <c r="V27">
        <v>188</v>
      </c>
      <c r="W27" t="s">
        <v>667</v>
      </c>
      <c r="X27">
        <v>62.87711233297934</v>
      </c>
      <c r="Y27">
        <v>2796</v>
      </c>
      <c r="Z27">
        <v>1126059</v>
      </c>
      <c r="AA27" t="s">
        <v>980</v>
      </c>
      <c r="AB27">
        <v>50.19</v>
      </c>
      <c r="AC27" t="s">
        <v>1301</v>
      </c>
      <c r="AD27" t="s">
        <v>1622</v>
      </c>
      <c r="AE27">
        <v>12430</v>
      </c>
      <c r="AF27">
        <v>1182</v>
      </c>
      <c r="AG27">
        <v>9575559</v>
      </c>
      <c r="AH27">
        <v>2.68</v>
      </c>
    </row>
    <row r="28" spans="1:34">
      <c r="A28" s="2">
        <f>HYPERLINK("https://finance.naver.com/item/coinfo.nhn?code=045300", "A045300")</f>
        <v>0</v>
      </c>
      <c r="B28">
        <f>HYPERLINK("http://comp.fnguide.com/SVO2/ASP/SVD_Consensus.asp?pGB=1&amp;gicode=A045300&amp;cID=&amp;MenuYn=Y&amp;ReportGB=&amp;NewMenuID=108&amp;stkGb=701", "성우테크론")</f>
        <v>0</v>
      </c>
      <c r="C28">
        <v>3</v>
      </c>
      <c r="D28">
        <v>4800</v>
      </c>
      <c r="E28">
        <v>0</v>
      </c>
      <c r="F28">
        <v>8.789999999999999</v>
      </c>
      <c r="G28">
        <v>7841</v>
      </c>
      <c r="H28">
        <v>6466</v>
      </c>
      <c r="I28">
        <v>6076</v>
      </c>
      <c r="J28">
        <v>-63.35</v>
      </c>
      <c r="K28">
        <v>-34.71</v>
      </c>
      <c r="L28">
        <v>-26.58</v>
      </c>
      <c r="M28">
        <v>11.21</v>
      </c>
      <c r="N28" t="b">
        <v>1</v>
      </c>
      <c r="O28">
        <v>0</v>
      </c>
      <c r="P28">
        <v>481</v>
      </c>
      <c r="S28" t="s">
        <v>26</v>
      </c>
      <c r="T28" t="s">
        <v>347</v>
      </c>
      <c r="U28">
        <v>0</v>
      </c>
      <c r="V28">
        <v>-41.8</v>
      </c>
      <c r="W28" t="s">
        <v>668</v>
      </c>
      <c r="X28">
        <v>173.4026716865229</v>
      </c>
      <c r="Y28">
        <v>451</v>
      </c>
      <c r="Z28">
        <v>161582</v>
      </c>
      <c r="AA28" t="s">
        <v>981</v>
      </c>
      <c r="AB28">
        <v>41.96</v>
      </c>
      <c r="AC28" t="s">
        <v>1302</v>
      </c>
      <c r="AD28" t="s">
        <v>1623</v>
      </c>
      <c r="AE28">
        <v>330</v>
      </c>
      <c r="AF28">
        <v>22</v>
      </c>
      <c r="AG28">
        <v>352684</v>
      </c>
      <c r="AH28">
        <v>0.93</v>
      </c>
    </row>
    <row r="29" spans="1:34">
      <c r="A29" s="2">
        <f>HYPERLINK("https://finance.naver.com/item/coinfo.nhn?code=036830", "A036830")</f>
        <v>0</v>
      </c>
      <c r="B29">
        <f>HYPERLINK("http://comp.fnguide.com/SVO2/ASP/SVD_Consensus.asp?pGB=1&amp;gicode=A036830&amp;cID=&amp;MenuYn=Y&amp;ReportGB=&amp;NewMenuID=108&amp;stkGb=701", "솔브레인홀딩스")</f>
        <v>0</v>
      </c>
      <c r="C29">
        <v>3</v>
      </c>
      <c r="D29">
        <v>41850</v>
      </c>
      <c r="E29">
        <v>0</v>
      </c>
      <c r="F29">
        <v>6</v>
      </c>
      <c r="G29">
        <v>155605</v>
      </c>
      <c r="H29">
        <v>116985</v>
      </c>
      <c r="I29">
        <v>106010</v>
      </c>
      <c r="J29">
        <v>-271.82</v>
      </c>
      <c r="K29">
        <v>-179.53</v>
      </c>
      <c r="L29">
        <v>-153.31</v>
      </c>
      <c r="M29">
        <v>13.52</v>
      </c>
      <c r="N29" t="b">
        <v>1</v>
      </c>
      <c r="O29">
        <v>0</v>
      </c>
      <c r="P29">
        <v>6737</v>
      </c>
      <c r="S29" t="s">
        <v>27</v>
      </c>
      <c r="T29" t="s">
        <v>348</v>
      </c>
      <c r="U29">
        <v>0</v>
      </c>
      <c r="V29">
        <v>1311.5</v>
      </c>
      <c r="W29" t="s">
        <v>669</v>
      </c>
      <c r="X29">
        <v>81.0890787676515</v>
      </c>
      <c r="Y29">
        <v>4026</v>
      </c>
      <c r="Z29">
        <v>57498</v>
      </c>
      <c r="AA29" t="s">
        <v>982</v>
      </c>
      <c r="AB29">
        <v>43.45</v>
      </c>
      <c r="AC29" t="s">
        <v>1303</v>
      </c>
      <c r="AD29" t="s">
        <v>1624</v>
      </c>
      <c r="AE29">
        <v>10213</v>
      </c>
      <c r="AF29">
        <v>1742</v>
      </c>
      <c r="AG29">
        <v>526253</v>
      </c>
      <c r="AH29">
        <v>2.1</v>
      </c>
    </row>
    <row r="30" spans="1:34">
      <c r="A30" s="2">
        <f>HYPERLINK("https://finance.naver.com/item/coinfo.nhn?code=005710", "A005710")</f>
        <v>0</v>
      </c>
      <c r="B30">
        <f>HYPERLINK("http://comp.fnguide.com/SVO2/ASP/SVD_Consensus.asp?pGB=1&amp;gicode=A005710&amp;cID=&amp;MenuYn=Y&amp;ReportGB=&amp;NewMenuID=108&amp;stkGb=701", "대원산업")</f>
        <v>0</v>
      </c>
      <c r="C30">
        <v>3</v>
      </c>
      <c r="D30">
        <v>5580</v>
      </c>
      <c r="E30">
        <v>0</v>
      </c>
      <c r="F30">
        <v>3.04</v>
      </c>
      <c r="G30">
        <v>24665</v>
      </c>
      <c r="H30">
        <v>19175</v>
      </c>
      <c r="I30">
        <v>17615</v>
      </c>
      <c r="J30">
        <v>-342.02</v>
      </c>
      <c r="K30">
        <v>-243.64</v>
      </c>
      <c r="L30">
        <v>-215.68</v>
      </c>
      <c r="M30">
        <v>12.6</v>
      </c>
      <c r="N30" t="b">
        <v>1</v>
      </c>
      <c r="O30">
        <v>0</v>
      </c>
      <c r="P30">
        <v>1950</v>
      </c>
      <c r="S30" t="s">
        <v>28</v>
      </c>
      <c r="T30" t="s">
        <v>349</v>
      </c>
      <c r="U30">
        <v>0</v>
      </c>
      <c r="V30">
        <v>0</v>
      </c>
      <c r="W30" t="s">
        <v>670</v>
      </c>
      <c r="X30">
        <v>57.31239633791885</v>
      </c>
      <c r="Y30">
        <v>1118</v>
      </c>
      <c r="Z30">
        <v>5839</v>
      </c>
      <c r="AA30" t="s">
        <v>983</v>
      </c>
      <c r="AB30">
        <v>61.55</v>
      </c>
      <c r="AC30" t="s">
        <v>1304</v>
      </c>
      <c r="AD30" t="s">
        <v>1625</v>
      </c>
      <c r="AE30">
        <v>6610</v>
      </c>
      <c r="AF30">
        <v>263</v>
      </c>
      <c r="AH30">
        <v>2.11</v>
      </c>
    </row>
    <row r="31" spans="1:34">
      <c r="A31" s="2">
        <f>HYPERLINK("https://finance.naver.com/item/coinfo.nhn?code=006580", "A006580")</f>
        <v>0</v>
      </c>
      <c r="B31">
        <f>HYPERLINK("http://comp.fnguide.com/SVO2/ASP/SVD_Consensus.asp?pGB=1&amp;gicode=A006580&amp;cID=&amp;MenuYn=Y&amp;ReportGB=&amp;NewMenuID=108&amp;stkGb=701", "대양제지")</f>
        <v>0</v>
      </c>
      <c r="C31">
        <v>3</v>
      </c>
      <c r="D31">
        <v>3200</v>
      </c>
      <c r="E31">
        <v>0</v>
      </c>
      <c r="F31">
        <v>3.71</v>
      </c>
      <c r="G31">
        <v>16204</v>
      </c>
      <c r="H31">
        <v>10372</v>
      </c>
      <c r="I31">
        <v>8715</v>
      </c>
      <c r="J31">
        <v>-406.38</v>
      </c>
      <c r="K31">
        <v>-224.13</v>
      </c>
      <c r="L31">
        <v>-172.34</v>
      </c>
      <c r="M31">
        <v>19.76</v>
      </c>
      <c r="N31" t="b">
        <v>1</v>
      </c>
      <c r="O31">
        <v>0</v>
      </c>
      <c r="P31">
        <v>876</v>
      </c>
      <c r="S31" t="s">
        <v>29</v>
      </c>
      <c r="T31" t="s">
        <v>350</v>
      </c>
      <c r="U31">
        <v>0</v>
      </c>
      <c r="V31">
        <v>-26.9</v>
      </c>
      <c r="W31" t="s">
        <v>671</v>
      </c>
      <c r="X31">
        <v>-24.73214497542792</v>
      </c>
      <c r="Y31">
        <v>859</v>
      </c>
      <c r="Z31">
        <v>819646</v>
      </c>
      <c r="AA31" t="s">
        <v>984</v>
      </c>
      <c r="AB31">
        <v>53.58</v>
      </c>
      <c r="AC31" t="s">
        <v>1305</v>
      </c>
      <c r="AD31" t="s">
        <v>1626</v>
      </c>
      <c r="AE31">
        <v>2594</v>
      </c>
      <c r="AF31">
        <v>327</v>
      </c>
      <c r="AG31">
        <v>6193269</v>
      </c>
      <c r="AH31">
        <v>1.23</v>
      </c>
    </row>
    <row r="32" spans="1:34">
      <c r="A32" s="2">
        <f>HYPERLINK("https://finance.naver.com/item/coinfo.nhn?code=007720", "A007720")</f>
        <v>0</v>
      </c>
      <c r="B32">
        <f>HYPERLINK("http://comp.fnguide.com/SVO2/ASP/SVD_Consensus.asp?pGB=1&amp;gicode=A007720&amp;cID=&amp;MenuYn=Y&amp;ReportGB=&amp;NewMenuID=108&amp;stkGb=701", "대명소노시즌")</f>
        <v>0</v>
      </c>
      <c r="C32">
        <v>3</v>
      </c>
      <c r="D32">
        <v>1085</v>
      </c>
      <c r="E32">
        <v>0</v>
      </c>
      <c r="F32">
        <v>2.37</v>
      </c>
      <c r="G32">
        <v>5294</v>
      </c>
      <c r="H32">
        <v>3097</v>
      </c>
      <c r="I32">
        <v>2473</v>
      </c>
      <c r="J32">
        <v>-387.9</v>
      </c>
      <c r="K32">
        <v>-185.45</v>
      </c>
      <c r="L32">
        <v>-127.91</v>
      </c>
      <c r="M32">
        <v>25.58</v>
      </c>
      <c r="N32" t="b">
        <v>1</v>
      </c>
      <c r="O32">
        <v>0</v>
      </c>
      <c r="P32">
        <v>633</v>
      </c>
      <c r="S32" t="s">
        <v>30</v>
      </c>
      <c r="T32" t="s">
        <v>351</v>
      </c>
      <c r="U32">
        <v>0</v>
      </c>
      <c r="V32">
        <v>0</v>
      </c>
      <c r="W32" t="s">
        <v>672</v>
      </c>
      <c r="X32">
        <v>0</v>
      </c>
      <c r="Y32">
        <v>1094</v>
      </c>
      <c r="Z32">
        <v>432434</v>
      </c>
      <c r="AA32" t="s">
        <v>985</v>
      </c>
      <c r="AB32">
        <v>44.44</v>
      </c>
      <c r="AC32" t="s">
        <v>1306</v>
      </c>
      <c r="AD32" t="s">
        <v>1627</v>
      </c>
      <c r="AE32">
        <v>2186</v>
      </c>
      <c r="AF32">
        <v>39</v>
      </c>
    </row>
    <row r="33" spans="1:34">
      <c r="A33" s="2">
        <f>HYPERLINK("https://finance.naver.com/item/coinfo.nhn?code=032190", "A032190")</f>
        <v>0</v>
      </c>
      <c r="B33">
        <f>HYPERLINK("http://comp.fnguide.com/SVO2/ASP/SVD_Consensus.asp?pGB=1&amp;gicode=A032190&amp;cID=&amp;MenuYn=Y&amp;ReportGB=&amp;NewMenuID=108&amp;stkGb=701", "다우데이타")</f>
        <v>0</v>
      </c>
      <c r="C33">
        <v>3</v>
      </c>
      <c r="D33">
        <v>12750</v>
      </c>
      <c r="E33">
        <v>0</v>
      </c>
      <c r="F33">
        <v>4.66</v>
      </c>
      <c r="G33">
        <v>20573</v>
      </c>
      <c r="H33">
        <v>17753</v>
      </c>
      <c r="I33">
        <v>16951</v>
      </c>
      <c r="J33">
        <v>-61.36</v>
      </c>
      <c r="K33">
        <v>-39.24</v>
      </c>
      <c r="L33">
        <v>-32.95</v>
      </c>
      <c r="M33">
        <v>10.28</v>
      </c>
      <c r="N33" t="b">
        <v>1</v>
      </c>
      <c r="O33">
        <v>0</v>
      </c>
      <c r="P33">
        <v>1782</v>
      </c>
      <c r="S33" t="s">
        <v>31</v>
      </c>
      <c r="T33" t="s">
        <v>352</v>
      </c>
      <c r="U33">
        <v>0</v>
      </c>
      <c r="V33">
        <v>79.2</v>
      </c>
      <c r="W33" t="s">
        <v>673</v>
      </c>
      <c r="X33">
        <v>5.600826566742323</v>
      </c>
      <c r="Y33">
        <v>4883</v>
      </c>
      <c r="Z33">
        <v>164774</v>
      </c>
      <c r="AA33" t="s">
        <v>986</v>
      </c>
      <c r="AB33">
        <v>67.34999999999999</v>
      </c>
      <c r="AC33" t="s">
        <v>1307</v>
      </c>
      <c r="AD33" t="s">
        <v>1628</v>
      </c>
      <c r="AE33">
        <v>36056</v>
      </c>
      <c r="AF33">
        <v>5590</v>
      </c>
      <c r="AH33">
        <v>2.17</v>
      </c>
    </row>
    <row r="34" spans="1:34">
      <c r="A34" s="2">
        <f>HYPERLINK("https://finance.naver.com/item/coinfo.nhn?code=034830", "A034830")</f>
        <v>0</v>
      </c>
      <c r="B34">
        <f>HYPERLINK("http://comp.fnguide.com/SVO2/ASP/SVD_Consensus.asp?pGB=1&amp;gicode=A034830&amp;cID=&amp;MenuYn=Y&amp;ReportGB=&amp;NewMenuID=108&amp;stkGb=701", "한국토지신탁")</f>
        <v>0</v>
      </c>
      <c r="C34">
        <v>3</v>
      </c>
      <c r="D34">
        <v>1910</v>
      </c>
      <c r="E34">
        <v>-0.19</v>
      </c>
      <c r="F34">
        <v>4.91</v>
      </c>
      <c r="G34">
        <v>8661</v>
      </c>
      <c r="H34">
        <v>5763</v>
      </c>
      <c r="I34">
        <v>4940</v>
      </c>
      <c r="J34">
        <v>-353.48</v>
      </c>
      <c r="K34">
        <v>-201.75</v>
      </c>
      <c r="L34">
        <v>-158.63</v>
      </c>
      <c r="M34">
        <v>17.89</v>
      </c>
      <c r="N34" t="b">
        <v>1</v>
      </c>
      <c r="O34">
        <v>0</v>
      </c>
      <c r="P34">
        <v>428</v>
      </c>
      <c r="Q34">
        <v>363</v>
      </c>
      <c r="R34">
        <v>-15.2</v>
      </c>
      <c r="S34" t="s">
        <v>32</v>
      </c>
      <c r="T34" t="s">
        <v>353</v>
      </c>
      <c r="U34">
        <v>-25.92868301427334</v>
      </c>
      <c r="W34" t="s">
        <v>657</v>
      </c>
      <c r="X34">
        <v>5.015279997605071</v>
      </c>
      <c r="Y34">
        <v>4823</v>
      </c>
      <c r="Z34">
        <v>1894867</v>
      </c>
      <c r="AA34" t="s">
        <v>987</v>
      </c>
      <c r="AB34">
        <v>35.46</v>
      </c>
      <c r="AC34" t="s">
        <v>1308</v>
      </c>
      <c r="AD34" t="s">
        <v>1629</v>
      </c>
      <c r="AE34">
        <v>2557</v>
      </c>
      <c r="AF34">
        <v>1193</v>
      </c>
      <c r="AG34">
        <v>24211374</v>
      </c>
      <c r="AH34">
        <v>5.24</v>
      </c>
    </row>
    <row r="35" spans="1:34">
      <c r="A35" s="2">
        <f>HYPERLINK("https://finance.naver.com/item/coinfo.nhn?code=053690", "A053690")</f>
        <v>0</v>
      </c>
      <c r="B35">
        <f>HYPERLINK("http://comp.fnguide.com/SVO2/ASP/SVD_Consensus.asp?pGB=1&amp;gicode=A053690&amp;cID=&amp;MenuYn=Y&amp;ReportGB=&amp;NewMenuID=108&amp;stkGb=701", "한미글로벌")</f>
        <v>0</v>
      </c>
      <c r="C35">
        <v>3</v>
      </c>
      <c r="D35">
        <v>9480</v>
      </c>
      <c r="E35">
        <v>0.34</v>
      </c>
      <c r="F35">
        <v>4.71</v>
      </c>
      <c r="G35">
        <v>21991</v>
      </c>
      <c r="H35">
        <v>16165</v>
      </c>
      <c r="I35">
        <v>14510</v>
      </c>
      <c r="J35">
        <v>-131.98</v>
      </c>
      <c r="K35">
        <v>-70.52</v>
      </c>
      <c r="L35">
        <v>-53.05</v>
      </c>
      <c r="M35">
        <v>14.19</v>
      </c>
      <c r="N35" t="b">
        <v>1</v>
      </c>
      <c r="O35">
        <v>0</v>
      </c>
      <c r="P35">
        <v>2038</v>
      </c>
      <c r="Q35">
        <v>1214</v>
      </c>
      <c r="R35">
        <v>-40.4</v>
      </c>
      <c r="S35" t="s">
        <v>33</v>
      </c>
      <c r="T35" t="s">
        <v>354</v>
      </c>
      <c r="U35">
        <v>13.79085939619493</v>
      </c>
      <c r="V35">
        <v>-68.90000000000001</v>
      </c>
      <c r="W35" t="s">
        <v>674</v>
      </c>
      <c r="X35">
        <v>-3.051656094564636</v>
      </c>
      <c r="Y35">
        <v>1039</v>
      </c>
      <c r="Z35">
        <v>64455</v>
      </c>
      <c r="AA35" t="s">
        <v>988</v>
      </c>
      <c r="AB35">
        <v>26.61</v>
      </c>
      <c r="AC35" t="s">
        <v>1309</v>
      </c>
      <c r="AD35" t="s">
        <v>1630</v>
      </c>
      <c r="AE35">
        <v>2947</v>
      </c>
      <c r="AF35">
        <v>244</v>
      </c>
      <c r="AG35">
        <v>1362240</v>
      </c>
      <c r="AH35">
        <v>2.08</v>
      </c>
    </row>
    <row r="36" spans="1:34">
      <c r="A36" s="2">
        <f>HYPERLINK("https://finance.naver.com/item/coinfo.nhn?code=010420", "A010420")</f>
        <v>0</v>
      </c>
      <c r="B36">
        <f>HYPERLINK("http://comp.fnguide.com/SVO2/ASP/SVD_Consensus.asp?pGB=1&amp;gicode=A010420&amp;cID=&amp;MenuYn=Y&amp;ReportGB=&amp;NewMenuID=108&amp;stkGb=701", "한솔PNS")</f>
        <v>0</v>
      </c>
      <c r="C36">
        <v>3</v>
      </c>
      <c r="D36">
        <v>1640</v>
      </c>
      <c r="E36">
        <v>0</v>
      </c>
      <c r="F36">
        <v>11.26</v>
      </c>
      <c r="G36">
        <v>2112</v>
      </c>
      <c r="H36">
        <v>2048</v>
      </c>
      <c r="I36">
        <v>2030</v>
      </c>
      <c r="J36">
        <v>-28.78</v>
      </c>
      <c r="K36">
        <v>-24.88</v>
      </c>
      <c r="L36">
        <v>-23.77</v>
      </c>
      <c r="M36">
        <v>8.359999999999999</v>
      </c>
      <c r="N36" t="b">
        <v>1</v>
      </c>
      <c r="O36">
        <v>0</v>
      </c>
      <c r="P36">
        <v>154</v>
      </c>
      <c r="S36" t="s">
        <v>34</v>
      </c>
      <c r="T36" t="s">
        <v>355</v>
      </c>
      <c r="U36">
        <v>0</v>
      </c>
      <c r="V36">
        <v>12</v>
      </c>
      <c r="W36" t="s">
        <v>675</v>
      </c>
      <c r="X36">
        <v>18.8349587679008</v>
      </c>
      <c r="Y36">
        <v>336</v>
      </c>
      <c r="Z36">
        <v>137433</v>
      </c>
      <c r="AA36" t="s">
        <v>989</v>
      </c>
      <c r="AB36">
        <v>46.07</v>
      </c>
      <c r="AC36" t="s">
        <v>1310</v>
      </c>
      <c r="AD36" t="s">
        <v>1631</v>
      </c>
      <c r="AE36">
        <v>2339</v>
      </c>
      <c r="AF36">
        <v>40</v>
      </c>
      <c r="AH36">
        <v>1.44</v>
      </c>
    </row>
    <row r="37" spans="1:34">
      <c r="A37" s="2">
        <f>HYPERLINK("https://finance.naver.com/item/coinfo.nhn?code=004960", "A004960")</f>
        <v>0</v>
      </c>
      <c r="B37">
        <f>HYPERLINK("http://comp.fnguide.com/SVO2/ASP/SVD_Consensus.asp?pGB=1&amp;gicode=A004960&amp;cID=&amp;MenuYn=Y&amp;ReportGB=&amp;NewMenuID=108&amp;stkGb=701", "한신공영")</f>
        <v>0</v>
      </c>
      <c r="C37">
        <v>3</v>
      </c>
      <c r="D37">
        <v>15350</v>
      </c>
      <c r="E37">
        <v>0</v>
      </c>
      <c r="F37">
        <v>2.38</v>
      </c>
      <c r="G37">
        <v>139299</v>
      </c>
      <c r="H37">
        <v>81783</v>
      </c>
      <c r="I37">
        <v>65438</v>
      </c>
      <c r="J37">
        <v>-807.48</v>
      </c>
      <c r="K37">
        <v>-432.79</v>
      </c>
      <c r="L37">
        <v>-326.31</v>
      </c>
      <c r="M37">
        <v>25.31</v>
      </c>
      <c r="N37" t="b">
        <v>1</v>
      </c>
      <c r="O37">
        <v>0</v>
      </c>
      <c r="P37">
        <v>6210</v>
      </c>
      <c r="S37" t="s">
        <v>35</v>
      </c>
      <c r="T37" t="s">
        <v>356</v>
      </c>
      <c r="U37">
        <v>0</v>
      </c>
      <c r="V37">
        <v>6.7</v>
      </c>
      <c r="W37" t="s">
        <v>676</v>
      </c>
      <c r="X37">
        <v>26.11111723875887</v>
      </c>
      <c r="Y37">
        <v>1776</v>
      </c>
      <c r="Z37">
        <v>87765</v>
      </c>
      <c r="AA37" t="s">
        <v>990</v>
      </c>
      <c r="AB37">
        <v>36.76</v>
      </c>
      <c r="AC37" t="s">
        <v>1311</v>
      </c>
      <c r="AD37" t="s">
        <v>1632</v>
      </c>
      <c r="AE37">
        <v>16233</v>
      </c>
      <c r="AF37">
        <v>1245</v>
      </c>
      <c r="AH37">
        <v>2.36</v>
      </c>
    </row>
    <row r="38" spans="1:34">
      <c r="A38" s="2">
        <f>HYPERLINK("https://finance.naver.com/item/coinfo.nhn?code=003530", "A003530")</f>
        <v>0</v>
      </c>
      <c r="B38">
        <f>HYPERLINK("http://comp.fnguide.com/SVO2/ASP/SVD_Consensus.asp?pGB=1&amp;gicode=A003530&amp;cID=&amp;MenuYn=Y&amp;ReportGB=&amp;NewMenuID=108&amp;stkGb=701", "한화투자증권")</f>
        <v>0</v>
      </c>
      <c r="C38">
        <v>3</v>
      </c>
      <c r="D38">
        <v>2120</v>
      </c>
      <c r="E38">
        <v>0</v>
      </c>
      <c r="F38">
        <v>4.09</v>
      </c>
      <c r="G38">
        <v>5730</v>
      </c>
      <c r="H38">
        <v>5531</v>
      </c>
      <c r="I38">
        <v>5475</v>
      </c>
      <c r="J38">
        <v>-170.28</v>
      </c>
      <c r="K38">
        <v>-160.91</v>
      </c>
      <c r="L38">
        <v>-158.25</v>
      </c>
      <c r="M38">
        <v>8.42</v>
      </c>
      <c r="N38" t="b">
        <v>1</v>
      </c>
      <c r="O38">
        <v>0</v>
      </c>
      <c r="P38">
        <v>505</v>
      </c>
      <c r="S38" t="s">
        <v>36</v>
      </c>
      <c r="T38" t="s">
        <v>357</v>
      </c>
      <c r="U38">
        <v>0</v>
      </c>
      <c r="V38">
        <v>4.6</v>
      </c>
      <c r="W38" t="s">
        <v>677</v>
      </c>
      <c r="X38">
        <v>1.005860204630804</v>
      </c>
      <c r="Y38">
        <v>4548</v>
      </c>
      <c r="Z38">
        <v>855377</v>
      </c>
      <c r="AA38" t="s">
        <v>991</v>
      </c>
      <c r="AB38">
        <v>46.24</v>
      </c>
      <c r="AC38" t="s">
        <v>1312</v>
      </c>
      <c r="AD38" t="s">
        <v>1633</v>
      </c>
      <c r="AE38">
        <v>3483</v>
      </c>
      <c r="AF38">
        <v>1119</v>
      </c>
      <c r="AG38">
        <v>677387</v>
      </c>
    </row>
    <row r="39" spans="1:34">
      <c r="A39" s="2">
        <f>HYPERLINK("https://finance.naver.com/item/coinfo.nhn?code=001450", "A001450")</f>
        <v>0</v>
      </c>
      <c r="B39">
        <f>HYPERLINK("http://comp.fnguide.com/SVO2/ASP/SVD_Consensus.asp?pGB=1&amp;gicode=A001450&amp;cID=&amp;MenuYn=Y&amp;ReportGB=&amp;NewMenuID=108&amp;stkGb=701", "현대해상")</f>
        <v>0</v>
      </c>
      <c r="C39">
        <v>3</v>
      </c>
      <c r="D39">
        <v>22900</v>
      </c>
      <c r="E39">
        <v>-1.52</v>
      </c>
      <c r="F39">
        <v>8.949999999999999</v>
      </c>
      <c r="G39">
        <v>65522</v>
      </c>
      <c r="H39">
        <v>60272</v>
      </c>
      <c r="I39">
        <v>58780</v>
      </c>
      <c r="J39">
        <v>-186.12</v>
      </c>
      <c r="K39">
        <v>-163.2</v>
      </c>
      <c r="L39">
        <v>-156.68</v>
      </c>
      <c r="M39">
        <v>9.16</v>
      </c>
      <c r="N39" t="b">
        <v>1</v>
      </c>
      <c r="O39">
        <v>1</v>
      </c>
      <c r="P39">
        <v>3011</v>
      </c>
      <c r="Q39">
        <v>4329</v>
      </c>
      <c r="R39">
        <v>43.8</v>
      </c>
      <c r="S39" t="s">
        <v>37</v>
      </c>
      <c r="T39" t="s">
        <v>358</v>
      </c>
      <c r="U39">
        <v>-5.886902690095552</v>
      </c>
      <c r="V39">
        <v>9.5</v>
      </c>
      <c r="W39" t="s">
        <v>678</v>
      </c>
      <c r="X39">
        <v>11.32180973390236</v>
      </c>
      <c r="Y39">
        <v>20473</v>
      </c>
      <c r="Z39">
        <v>339451</v>
      </c>
      <c r="AA39" t="s">
        <v>992</v>
      </c>
      <c r="AB39">
        <v>22.53</v>
      </c>
      <c r="AC39" t="s">
        <v>1313</v>
      </c>
      <c r="AD39" t="s">
        <v>1634</v>
      </c>
      <c r="AE39">
        <v>134844</v>
      </c>
      <c r="AF39">
        <v>3953</v>
      </c>
      <c r="AG39">
        <v>9985500</v>
      </c>
      <c r="AH39">
        <v>3.27</v>
      </c>
    </row>
    <row r="40" spans="1:34">
      <c r="A40" s="2">
        <f>HYPERLINK("https://finance.naver.com/item/coinfo.nhn?code=006060", "A006060")</f>
        <v>0</v>
      </c>
      <c r="B40">
        <f>HYPERLINK("http://comp.fnguide.com/SVO2/ASP/SVD_Consensus.asp?pGB=1&amp;gicode=A006060&amp;cID=&amp;MenuYn=Y&amp;ReportGB=&amp;NewMenuID=108&amp;stkGb=701", "화승인더")</f>
        <v>0</v>
      </c>
      <c r="C40">
        <v>3</v>
      </c>
      <c r="D40">
        <v>7100</v>
      </c>
      <c r="E40">
        <v>0</v>
      </c>
      <c r="F40">
        <v>11.17</v>
      </c>
      <c r="G40">
        <v>11759</v>
      </c>
      <c r="H40">
        <v>8417</v>
      </c>
      <c r="I40">
        <v>7467</v>
      </c>
      <c r="J40">
        <v>-65.61</v>
      </c>
      <c r="K40">
        <v>-18.55</v>
      </c>
      <c r="L40">
        <v>-5.18</v>
      </c>
      <c r="M40">
        <v>15.05</v>
      </c>
      <c r="N40" t="b">
        <v>1</v>
      </c>
      <c r="O40">
        <v>0</v>
      </c>
      <c r="P40">
        <v>1066</v>
      </c>
      <c r="S40" t="s">
        <v>38</v>
      </c>
      <c r="T40" t="s">
        <v>359</v>
      </c>
      <c r="U40">
        <v>0</v>
      </c>
      <c r="V40">
        <v>-53.6</v>
      </c>
      <c r="W40" t="s">
        <v>679</v>
      </c>
      <c r="X40">
        <v>4.886314599771047</v>
      </c>
      <c r="Y40">
        <v>3928</v>
      </c>
      <c r="Z40">
        <v>478095</v>
      </c>
      <c r="AA40" t="s">
        <v>993</v>
      </c>
      <c r="AB40">
        <v>33.59</v>
      </c>
      <c r="AC40" t="s">
        <v>1314</v>
      </c>
      <c r="AD40" t="s">
        <v>1635</v>
      </c>
      <c r="AE40">
        <v>14259</v>
      </c>
      <c r="AF40">
        <v>1136</v>
      </c>
      <c r="AG40">
        <v>2071532</v>
      </c>
      <c r="AH40">
        <v>0.38</v>
      </c>
    </row>
    <row r="41" spans="1:34">
      <c r="A41" s="2">
        <f>HYPERLINK("https://finance.naver.com/item/coinfo.nhn?code=016580", "A016580")</f>
        <v>0</v>
      </c>
      <c r="B41">
        <f>HYPERLINK("http://comp.fnguide.com/SVO2/ASP/SVD_Consensus.asp?pGB=1&amp;gicode=A016580&amp;cID=&amp;MenuYn=Y&amp;ReportGB=&amp;NewMenuID=108&amp;stkGb=701", "환인제약")</f>
        <v>0</v>
      </c>
      <c r="C41">
        <v>3</v>
      </c>
      <c r="D41">
        <v>16500</v>
      </c>
      <c r="E41">
        <v>-5.62</v>
      </c>
      <c r="F41">
        <v>15.37</v>
      </c>
      <c r="G41">
        <v>18777</v>
      </c>
      <c r="H41">
        <v>18270</v>
      </c>
      <c r="I41">
        <v>18126</v>
      </c>
      <c r="J41">
        <v>-13.8</v>
      </c>
      <c r="K41">
        <v>-10.73</v>
      </c>
      <c r="L41">
        <v>-9.85</v>
      </c>
      <c r="M41">
        <v>8.31</v>
      </c>
      <c r="N41" t="b">
        <v>1</v>
      </c>
      <c r="O41">
        <v>1</v>
      </c>
      <c r="P41">
        <v>1005</v>
      </c>
      <c r="Q41">
        <v>1344</v>
      </c>
      <c r="R41">
        <v>33.7</v>
      </c>
      <c r="S41" t="s">
        <v>39</v>
      </c>
      <c r="T41" t="s">
        <v>360</v>
      </c>
      <c r="U41">
        <v>-2.734507888099491</v>
      </c>
      <c r="V41">
        <v>19.8</v>
      </c>
      <c r="W41" t="s">
        <v>680</v>
      </c>
      <c r="X41">
        <v>1.768696700175076</v>
      </c>
      <c r="Y41">
        <v>3069</v>
      </c>
      <c r="Z41">
        <v>720424</v>
      </c>
      <c r="AA41" t="s">
        <v>994</v>
      </c>
      <c r="AB41">
        <v>21.9</v>
      </c>
      <c r="AC41" t="s">
        <v>1315</v>
      </c>
      <c r="AD41" t="s">
        <v>1636</v>
      </c>
      <c r="AE41">
        <v>1592</v>
      </c>
      <c r="AF41">
        <v>262</v>
      </c>
      <c r="AG41">
        <v>3333000</v>
      </c>
      <c r="AH41">
        <v>1.94</v>
      </c>
    </row>
    <row r="42" spans="1:34">
      <c r="A42" s="2">
        <f>HYPERLINK("https://finance.naver.com/item/coinfo.nhn?code=032560", "A032560")</f>
        <v>0</v>
      </c>
      <c r="B42">
        <f>HYPERLINK("http://comp.fnguide.com/SVO2/ASP/SVD_Consensus.asp?pGB=1&amp;gicode=A032560&amp;cID=&amp;MenuYn=Y&amp;ReportGB=&amp;NewMenuID=108&amp;stkGb=701", "황금에스티")</f>
        <v>0</v>
      </c>
      <c r="C42">
        <v>3</v>
      </c>
      <c r="D42">
        <v>7980</v>
      </c>
      <c r="E42">
        <v>0</v>
      </c>
      <c r="F42">
        <v>3.9</v>
      </c>
      <c r="G42">
        <v>20793</v>
      </c>
      <c r="H42">
        <v>19462</v>
      </c>
      <c r="I42">
        <v>19084</v>
      </c>
      <c r="J42">
        <v>-160.56</v>
      </c>
      <c r="K42">
        <v>-143.88</v>
      </c>
      <c r="L42">
        <v>-139.15</v>
      </c>
      <c r="M42">
        <v>8.880000000000001</v>
      </c>
      <c r="N42" t="b">
        <v>1</v>
      </c>
      <c r="O42">
        <v>0</v>
      </c>
      <c r="P42">
        <v>1794</v>
      </c>
      <c r="S42" t="s">
        <v>40</v>
      </c>
      <c r="T42" t="s">
        <v>361</v>
      </c>
      <c r="U42">
        <v>0</v>
      </c>
      <c r="V42">
        <v>-59.8</v>
      </c>
      <c r="W42" t="s">
        <v>681</v>
      </c>
      <c r="X42">
        <v>18.46961471874909</v>
      </c>
      <c r="Y42">
        <v>1117</v>
      </c>
      <c r="Z42">
        <v>299344</v>
      </c>
      <c r="AA42" t="s">
        <v>995</v>
      </c>
      <c r="AB42">
        <v>54.12</v>
      </c>
      <c r="AC42" t="s">
        <v>1316</v>
      </c>
      <c r="AD42" t="s">
        <v>1637</v>
      </c>
      <c r="AE42">
        <v>2436</v>
      </c>
      <c r="AF42">
        <v>188</v>
      </c>
      <c r="AG42">
        <v>1861</v>
      </c>
      <c r="AH42">
        <v>1.43</v>
      </c>
    </row>
    <row r="43" spans="1:34">
      <c r="A43" s="2">
        <f>HYPERLINK("https://finance.naver.com/item/coinfo.nhn?code=005870", "A005870")</f>
        <v>0</v>
      </c>
      <c r="B43">
        <f>HYPERLINK("http://comp.fnguide.com/SVO2/ASP/SVD_Consensus.asp?pGB=1&amp;gicode=A005870&amp;cID=&amp;MenuYn=Y&amp;ReportGB=&amp;NewMenuID=108&amp;stkGb=701", "휴니드")</f>
        <v>0</v>
      </c>
      <c r="C43">
        <v>3</v>
      </c>
      <c r="D43">
        <v>5730</v>
      </c>
      <c r="E43">
        <v>0</v>
      </c>
      <c r="F43">
        <v>12.89</v>
      </c>
      <c r="G43">
        <v>16207</v>
      </c>
      <c r="H43">
        <v>11778</v>
      </c>
      <c r="I43">
        <v>10520</v>
      </c>
      <c r="J43">
        <v>-182.84</v>
      </c>
      <c r="K43">
        <v>-105.55</v>
      </c>
      <c r="L43">
        <v>-83.59</v>
      </c>
      <c r="M43">
        <v>14.55</v>
      </c>
      <c r="N43" t="b">
        <v>1</v>
      </c>
      <c r="O43">
        <v>0</v>
      </c>
      <c r="P43">
        <v>564</v>
      </c>
      <c r="S43" t="s">
        <v>41</v>
      </c>
      <c r="T43" t="s">
        <v>362</v>
      </c>
      <c r="U43">
        <v>0</v>
      </c>
      <c r="V43">
        <v>0</v>
      </c>
      <c r="W43" t="s">
        <v>682</v>
      </c>
      <c r="X43">
        <v>53.71002911412943</v>
      </c>
      <c r="Y43">
        <v>809</v>
      </c>
      <c r="Z43">
        <v>239569</v>
      </c>
      <c r="AA43" t="s">
        <v>996</v>
      </c>
      <c r="AB43">
        <v>22.83</v>
      </c>
      <c r="AC43" t="s">
        <v>1317</v>
      </c>
      <c r="AD43" t="s">
        <v>1638</v>
      </c>
      <c r="AE43">
        <v>1947</v>
      </c>
      <c r="AF43">
        <v>88</v>
      </c>
      <c r="AG43">
        <v>1025525</v>
      </c>
    </row>
    <row r="44" spans="1:34">
      <c r="A44" s="2">
        <f>HYPERLINK("https://finance.naver.com/item/coinfo.nhn?code=023460", "A023460")</f>
        <v>0</v>
      </c>
      <c r="B44">
        <f>HYPERLINK("http://comp.fnguide.com/SVO2/ASP/SVD_Consensus.asp?pGB=1&amp;gicode=A023460&amp;cID=&amp;MenuYn=Y&amp;ReportGB=&amp;NewMenuID=108&amp;stkGb=701", "CNH")</f>
        <v>0</v>
      </c>
      <c r="C44">
        <v>3</v>
      </c>
      <c r="D44">
        <v>2295</v>
      </c>
      <c r="E44">
        <v>0</v>
      </c>
      <c r="F44">
        <v>4.62</v>
      </c>
      <c r="G44">
        <v>3168</v>
      </c>
      <c r="H44">
        <v>3071</v>
      </c>
      <c r="I44">
        <v>3044</v>
      </c>
      <c r="J44">
        <v>-38.05</v>
      </c>
      <c r="K44">
        <v>-33.83</v>
      </c>
      <c r="L44">
        <v>-32.63</v>
      </c>
      <c r="M44">
        <v>8.369999999999999</v>
      </c>
      <c r="N44" t="b">
        <v>1</v>
      </c>
      <c r="O44">
        <v>0</v>
      </c>
      <c r="P44">
        <v>414</v>
      </c>
      <c r="S44" t="s">
        <v>42</v>
      </c>
      <c r="T44" t="s">
        <v>363</v>
      </c>
      <c r="U44">
        <v>0</v>
      </c>
      <c r="W44" t="s">
        <v>657</v>
      </c>
      <c r="X44">
        <v>0</v>
      </c>
      <c r="Y44">
        <v>854</v>
      </c>
      <c r="Z44">
        <v>621087</v>
      </c>
      <c r="AA44" t="s">
        <v>997</v>
      </c>
      <c r="AB44">
        <v>62.38</v>
      </c>
      <c r="AC44" t="s">
        <v>1318</v>
      </c>
      <c r="AD44" t="s">
        <v>1639</v>
      </c>
      <c r="AE44">
        <v>405</v>
      </c>
      <c r="AF44">
        <v>211</v>
      </c>
      <c r="AG44">
        <v>2418619</v>
      </c>
      <c r="AH44">
        <v>1.57</v>
      </c>
    </row>
    <row r="45" spans="1:34">
      <c r="A45" s="2">
        <f>HYPERLINK("https://finance.naver.com/item/coinfo.nhn?code=900290", "A900290")</f>
        <v>0</v>
      </c>
      <c r="B45">
        <f>HYPERLINK("http://comp.fnguide.com/SVO2/ASP/SVD_Consensus.asp?pGB=1&amp;gicode=A900290&amp;cID=&amp;MenuYn=Y&amp;ReportGB=&amp;NewMenuID=108&amp;stkGb=701", "GRT")</f>
        <v>0</v>
      </c>
      <c r="C45">
        <v>3</v>
      </c>
      <c r="D45">
        <v>951</v>
      </c>
      <c r="E45">
        <v>0</v>
      </c>
      <c r="F45">
        <v>1.86</v>
      </c>
      <c r="G45">
        <v>13082</v>
      </c>
      <c r="H45">
        <v>9927</v>
      </c>
      <c r="I45">
        <v>9030</v>
      </c>
      <c r="J45">
        <v>-1275.58</v>
      </c>
      <c r="K45">
        <v>-943.84</v>
      </c>
      <c r="L45">
        <v>-849.5599999999999</v>
      </c>
      <c r="M45">
        <v>13.25</v>
      </c>
      <c r="N45" t="b">
        <v>0</v>
      </c>
      <c r="O45">
        <v>0</v>
      </c>
      <c r="P45">
        <v>766</v>
      </c>
      <c r="S45" t="s">
        <v>43</v>
      </c>
      <c r="T45" t="s">
        <v>364</v>
      </c>
      <c r="U45">
        <v>0</v>
      </c>
      <c r="V45">
        <v>-31</v>
      </c>
      <c r="W45" t="s">
        <v>683</v>
      </c>
      <c r="X45">
        <v>-18.25513529688798</v>
      </c>
      <c r="Y45">
        <v>641</v>
      </c>
      <c r="Z45">
        <v>0</v>
      </c>
      <c r="AA45" t="s">
        <v>998</v>
      </c>
      <c r="AB45">
        <v>38.78</v>
      </c>
      <c r="AC45" t="s">
        <v>1319</v>
      </c>
      <c r="AD45" t="s">
        <v>1640</v>
      </c>
      <c r="AE45">
        <v>3434</v>
      </c>
      <c r="AF45">
        <v>679</v>
      </c>
    </row>
    <row r="46" spans="1:34">
      <c r="A46" s="2">
        <f>HYPERLINK("https://finance.naver.com/item/coinfo.nhn?code=028150", "A028150")</f>
        <v>0</v>
      </c>
      <c r="B46">
        <f>HYPERLINK("http://comp.fnguide.com/SVO2/ASP/SVD_Consensus.asp?pGB=1&amp;gicode=A028150&amp;cID=&amp;MenuYn=Y&amp;ReportGB=&amp;NewMenuID=108&amp;stkGb=701", "GS홈쇼핑")</f>
        <v>0</v>
      </c>
      <c r="C46">
        <v>3</v>
      </c>
      <c r="D46">
        <v>138600</v>
      </c>
      <c r="E46">
        <v>1.41</v>
      </c>
      <c r="F46">
        <v>8.9</v>
      </c>
      <c r="G46">
        <v>260031</v>
      </c>
      <c r="H46">
        <v>219224</v>
      </c>
      <c r="I46">
        <v>207628</v>
      </c>
      <c r="J46">
        <v>-87.61</v>
      </c>
      <c r="K46">
        <v>-58.17</v>
      </c>
      <c r="L46">
        <v>-49.8</v>
      </c>
      <c r="M46">
        <v>10.74</v>
      </c>
      <c r="N46" t="b">
        <v>1</v>
      </c>
      <c r="O46">
        <v>1</v>
      </c>
      <c r="P46">
        <v>16696</v>
      </c>
      <c r="Q46">
        <v>18829</v>
      </c>
      <c r="R46">
        <v>12.8</v>
      </c>
      <c r="S46" t="s">
        <v>44</v>
      </c>
      <c r="T46" t="s">
        <v>365</v>
      </c>
      <c r="U46">
        <v>6.306004574811941</v>
      </c>
      <c r="V46">
        <v>10.2</v>
      </c>
      <c r="W46" t="s">
        <v>684</v>
      </c>
      <c r="X46">
        <v>8.946077444180499</v>
      </c>
      <c r="Y46">
        <v>9096</v>
      </c>
      <c r="Z46">
        <v>21835</v>
      </c>
      <c r="AA46" t="s">
        <v>999</v>
      </c>
      <c r="AB46">
        <v>36.1</v>
      </c>
      <c r="AC46" t="s">
        <v>1320</v>
      </c>
      <c r="AD46" t="s">
        <v>1641</v>
      </c>
      <c r="AE46">
        <v>12304</v>
      </c>
      <c r="AF46">
        <v>1211</v>
      </c>
      <c r="AG46">
        <v>599200</v>
      </c>
      <c r="AH46">
        <v>4.37</v>
      </c>
    </row>
    <row r="47" spans="1:34">
      <c r="A47" s="2">
        <f>HYPERLINK("https://finance.naver.com/item/coinfo.nhn?code=024120", "A024120")</f>
        <v>0</v>
      </c>
      <c r="B47">
        <f>HYPERLINK("http://comp.fnguide.com/SVO2/ASP/SVD_Consensus.asp?pGB=1&amp;gicode=A024120&amp;cID=&amp;MenuYn=Y&amp;ReportGB=&amp;NewMenuID=108&amp;stkGb=701", "KB오토시스")</f>
        <v>0</v>
      </c>
      <c r="C47">
        <v>3</v>
      </c>
      <c r="D47">
        <v>6070</v>
      </c>
      <c r="E47">
        <v>0</v>
      </c>
      <c r="F47">
        <v>6.65</v>
      </c>
      <c r="G47">
        <v>14230</v>
      </c>
      <c r="H47">
        <v>11031</v>
      </c>
      <c r="I47">
        <v>10122</v>
      </c>
      <c r="J47">
        <v>-134.43</v>
      </c>
      <c r="K47">
        <v>-81.73</v>
      </c>
      <c r="L47">
        <v>-66.75</v>
      </c>
      <c r="M47">
        <v>12.68</v>
      </c>
      <c r="N47" t="b">
        <v>1</v>
      </c>
      <c r="O47">
        <v>0</v>
      </c>
      <c r="P47">
        <v>930</v>
      </c>
      <c r="S47" t="s">
        <v>45</v>
      </c>
      <c r="T47" t="s">
        <v>366</v>
      </c>
      <c r="U47">
        <v>0</v>
      </c>
      <c r="V47">
        <v>-77.2</v>
      </c>
      <c r="W47" t="s">
        <v>685</v>
      </c>
      <c r="X47">
        <v>-14.70006033450598</v>
      </c>
      <c r="Y47">
        <v>698</v>
      </c>
      <c r="Z47">
        <v>20435</v>
      </c>
      <c r="AA47" t="s">
        <v>1000</v>
      </c>
      <c r="AB47">
        <v>72.06999999999999</v>
      </c>
      <c r="AC47" t="s">
        <v>1321</v>
      </c>
      <c r="AD47" t="s">
        <v>1642</v>
      </c>
      <c r="AE47">
        <v>1478</v>
      </c>
      <c r="AF47">
        <v>127</v>
      </c>
      <c r="AH47">
        <v>3.72</v>
      </c>
    </row>
    <row r="48" spans="1:34">
      <c r="A48" s="2">
        <f>HYPERLINK("https://finance.naver.com/item/coinfo.nhn?code=151860", "A151860")</f>
        <v>0</v>
      </c>
      <c r="B48">
        <f>HYPERLINK("http://comp.fnguide.com/SVO2/ASP/SVD_Consensus.asp?pGB=1&amp;gicode=A151860&amp;cID=&amp;MenuYn=Y&amp;ReportGB=&amp;NewMenuID=108&amp;stkGb=701", "KG ETS")</f>
        <v>0</v>
      </c>
      <c r="C48">
        <v>3</v>
      </c>
      <c r="D48">
        <v>5260</v>
      </c>
      <c r="E48">
        <v>0</v>
      </c>
      <c r="F48">
        <v>1.22</v>
      </c>
      <c r="G48">
        <v>25441</v>
      </c>
      <c r="H48">
        <v>14353</v>
      </c>
      <c r="I48">
        <v>11202</v>
      </c>
      <c r="J48">
        <v>-383.66</v>
      </c>
      <c r="K48">
        <v>-172.87</v>
      </c>
      <c r="L48">
        <v>-112.97</v>
      </c>
      <c r="M48">
        <v>28.81</v>
      </c>
      <c r="N48" t="b">
        <v>0</v>
      </c>
      <c r="O48">
        <v>0</v>
      </c>
      <c r="P48">
        <v>2716</v>
      </c>
      <c r="S48" t="s">
        <v>46</v>
      </c>
      <c r="T48" t="s">
        <v>367</v>
      </c>
      <c r="U48">
        <v>0</v>
      </c>
      <c r="V48">
        <v>94.09999999999999</v>
      </c>
      <c r="W48" t="s">
        <v>686</v>
      </c>
      <c r="X48">
        <v>56.50475027169708</v>
      </c>
      <c r="Y48">
        <v>1894</v>
      </c>
      <c r="Z48">
        <v>7531721</v>
      </c>
      <c r="AA48" t="s">
        <v>1001</v>
      </c>
      <c r="AB48">
        <v>46.5</v>
      </c>
      <c r="AC48" t="s">
        <v>1322</v>
      </c>
      <c r="AD48" t="s">
        <v>1643</v>
      </c>
      <c r="AE48">
        <v>1609</v>
      </c>
      <c r="AF48">
        <v>159</v>
      </c>
      <c r="AG48">
        <v>1433682</v>
      </c>
      <c r="AH48">
        <v>3.31</v>
      </c>
    </row>
    <row r="49" spans="1:34">
      <c r="A49" s="2">
        <f>HYPERLINK("https://finance.naver.com/item/coinfo.nhn?code=024940", "A024940")</f>
        <v>0</v>
      </c>
      <c r="B49">
        <f>HYPERLINK("http://comp.fnguide.com/SVO2/ASP/SVD_Consensus.asp?pGB=1&amp;gicode=A024940&amp;cID=&amp;MenuYn=Y&amp;ReportGB=&amp;NewMenuID=108&amp;stkGb=701", "PN풍년")</f>
        <v>0</v>
      </c>
      <c r="C49">
        <v>3</v>
      </c>
      <c r="D49">
        <v>3820</v>
      </c>
      <c r="E49">
        <v>0</v>
      </c>
      <c r="F49">
        <v>4.11</v>
      </c>
      <c r="G49">
        <v>5191</v>
      </c>
      <c r="H49">
        <v>4657</v>
      </c>
      <c r="I49">
        <v>4506</v>
      </c>
      <c r="J49">
        <v>-35.9</v>
      </c>
      <c r="K49">
        <v>-21.92</v>
      </c>
      <c r="L49">
        <v>-17.95</v>
      </c>
      <c r="M49">
        <v>9.58</v>
      </c>
      <c r="N49" t="b">
        <v>1</v>
      </c>
      <c r="O49">
        <v>0</v>
      </c>
      <c r="P49">
        <v>542</v>
      </c>
      <c r="S49" t="s">
        <v>47</v>
      </c>
      <c r="T49" t="s">
        <v>368</v>
      </c>
      <c r="U49">
        <v>0</v>
      </c>
      <c r="V49">
        <v>-48</v>
      </c>
      <c r="W49" t="s">
        <v>687</v>
      </c>
      <c r="X49">
        <v>16.38312116011171</v>
      </c>
      <c r="Y49">
        <v>382</v>
      </c>
      <c r="Z49">
        <v>156483</v>
      </c>
      <c r="AA49" t="s">
        <v>1002</v>
      </c>
      <c r="AB49">
        <v>38.07</v>
      </c>
      <c r="AC49" t="s">
        <v>1323</v>
      </c>
      <c r="AD49" t="s">
        <v>1644</v>
      </c>
      <c r="AE49">
        <v>546</v>
      </c>
      <c r="AF49">
        <v>-13</v>
      </c>
      <c r="AG49">
        <v>1101320</v>
      </c>
      <c r="AH49">
        <v>1.12</v>
      </c>
    </row>
    <row r="50" spans="1:34">
      <c r="A50" s="2">
        <f>HYPERLINK("https://finance.naver.com/item/coinfo.nhn?code=091340", "A091340")</f>
        <v>0</v>
      </c>
      <c r="B50">
        <f>HYPERLINK("http://comp.fnguide.com/SVO2/ASP/SVD_Consensus.asp?pGB=1&amp;gicode=A091340&amp;cID=&amp;MenuYn=Y&amp;ReportGB=&amp;NewMenuID=108&amp;stkGb=701", "S&amp;K폴리텍")</f>
        <v>0</v>
      </c>
      <c r="C50">
        <v>3</v>
      </c>
      <c r="D50">
        <v>4810</v>
      </c>
      <c r="E50">
        <v>0</v>
      </c>
      <c r="F50">
        <v>6.46</v>
      </c>
      <c r="G50">
        <v>14434</v>
      </c>
      <c r="H50">
        <v>10516</v>
      </c>
      <c r="I50">
        <v>9402</v>
      </c>
      <c r="J50">
        <v>-200.08</v>
      </c>
      <c r="K50">
        <v>-118.63</v>
      </c>
      <c r="L50">
        <v>-95.48</v>
      </c>
      <c r="M50">
        <v>14.47</v>
      </c>
      <c r="N50" t="b">
        <v>1</v>
      </c>
      <c r="O50">
        <v>0</v>
      </c>
      <c r="P50">
        <v>1311</v>
      </c>
      <c r="S50" t="s">
        <v>48</v>
      </c>
      <c r="T50" t="s">
        <v>369</v>
      </c>
      <c r="U50">
        <v>0</v>
      </c>
      <c r="V50">
        <v>0</v>
      </c>
      <c r="W50" t="s">
        <v>688</v>
      </c>
      <c r="X50">
        <v>55.80898779645362</v>
      </c>
      <c r="Y50">
        <v>563</v>
      </c>
      <c r="Z50">
        <v>44627</v>
      </c>
      <c r="AA50" t="s">
        <v>1003</v>
      </c>
      <c r="AB50">
        <v>42.34</v>
      </c>
      <c r="AC50" t="s">
        <v>1324</v>
      </c>
      <c r="AD50" t="s">
        <v>1645</v>
      </c>
      <c r="AE50">
        <v>3380</v>
      </c>
      <c r="AF50">
        <v>257</v>
      </c>
      <c r="AG50">
        <v>494438</v>
      </c>
    </row>
    <row r="51" spans="1:34">
      <c r="A51" s="2">
        <f>HYPERLINK("https://finance.naver.com/item/coinfo.nhn?code=255220", "A255220")</f>
        <v>0</v>
      </c>
      <c r="B51">
        <f>HYPERLINK("http://comp.fnguide.com/SVO2/ASP/SVD_Consensus.asp?pGB=1&amp;gicode=A255220&amp;cID=&amp;MenuYn=Y&amp;ReportGB=&amp;NewMenuID=108&amp;stkGb=701", "SG")</f>
        <v>0</v>
      </c>
      <c r="C51">
        <v>3</v>
      </c>
      <c r="D51">
        <v>1900</v>
      </c>
      <c r="E51">
        <v>0</v>
      </c>
      <c r="F51">
        <v>8.06</v>
      </c>
      <c r="G51">
        <v>5307</v>
      </c>
      <c r="H51">
        <v>3297</v>
      </c>
      <c r="I51">
        <v>2725</v>
      </c>
      <c r="J51">
        <v>-179.31</v>
      </c>
      <c r="K51">
        <v>-73.51000000000001</v>
      </c>
      <c r="L51">
        <v>-43.44</v>
      </c>
      <c r="M51">
        <v>21.44</v>
      </c>
      <c r="N51" t="b">
        <v>1</v>
      </c>
      <c r="O51">
        <v>0</v>
      </c>
      <c r="P51">
        <v>277</v>
      </c>
      <c r="S51" t="s">
        <v>49</v>
      </c>
      <c r="T51" t="s">
        <v>370</v>
      </c>
      <c r="U51">
        <v>0</v>
      </c>
      <c r="V51">
        <v>0</v>
      </c>
      <c r="W51" t="s">
        <v>689</v>
      </c>
      <c r="X51">
        <v>-0.7273008337143727</v>
      </c>
      <c r="Y51">
        <v>698</v>
      </c>
      <c r="Z51">
        <v>156160</v>
      </c>
      <c r="AA51" t="s">
        <v>1004</v>
      </c>
      <c r="AB51">
        <v>40.46</v>
      </c>
      <c r="AC51" t="s">
        <v>1325</v>
      </c>
      <c r="AD51" t="s">
        <v>1646</v>
      </c>
      <c r="AE51">
        <v>1328</v>
      </c>
      <c r="AF51">
        <v>128</v>
      </c>
      <c r="AG51">
        <v>754641</v>
      </c>
    </row>
    <row r="52" spans="1:34">
      <c r="A52" s="2">
        <f>HYPERLINK("https://finance.naver.com/item/coinfo.nhn?code=016250", "A016250")</f>
        <v>0</v>
      </c>
      <c r="B52">
        <f>HYPERLINK("http://comp.fnguide.com/SVO2/ASP/SVD_Consensus.asp?pGB=1&amp;gicode=A016250&amp;cID=&amp;MenuYn=Y&amp;ReportGB=&amp;NewMenuID=108&amp;stkGb=701", "SGC이테크건설")</f>
        <v>0</v>
      </c>
      <c r="C52">
        <v>3</v>
      </c>
      <c r="D52">
        <v>57900</v>
      </c>
      <c r="E52">
        <v>0</v>
      </c>
      <c r="F52">
        <v>10.56</v>
      </c>
      <c r="G52">
        <v>258691</v>
      </c>
      <c r="H52">
        <v>230779</v>
      </c>
      <c r="I52">
        <v>222847</v>
      </c>
      <c r="J52">
        <v>-346.79</v>
      </c>
      <c r="K52">
        <v>-298.58</v>
      </c>
      <c r="L52">
        <v>-284.88</v>
      </c>
      <c r="M52">
        <v>9.68</v>
      </c>
      <c r="N52" t="b">
        <v>1</v>
      </c>
      <c r="O52">
        <v>0</v>
      </c>
      <c r="P52">
        <v>6923</v>
      </c>
      <c r="S52" t="s">
        <v>50</v>
      </c>
      <c r="T52" t="s">
        <v>371</v>
      </c>
      <c r="U52">
        <v>0</v>
      </c>
      <c r="V52">
        <v>-14.2</v>
      </c>
      <c r="W52" t="s">
        <v>690</v>
      </c>
      <c r="X52">
        <v>-6.97344333923623</v>
      </c>
      <c r="Y52">
        <v>916</v>
      </c>
      <c r="Z52">
        <v>642691</v>
      </c>
      <c r="AA52" t="s">
        <v>1005</v>
      </c>
      <c r="AB52">
        <v>48.95</v>
      </c>
      <c r="AC52" t="s">
        <v>1326</v>
      </c>
      <c r="AD52" t="s">
        <v>1647</v>
      </c>
      <c r="AE52">
        <v>16985</v>
      </c>
      <c r="AF52">
        <v>770</v>
      </c>
      <c r="AG52">
        <v>182423</v>
      </c>
      <c r="AH52">
        <v>2.05</v>
      </c>
    </row>
    <row r="53" spans="1:34">
      <c r="A53" s="2">
        <f>HYPERLINK("https://finance.naver.com/item/coinfo.nhn?code=078890", "A078890")</f>
        <v>0</v>
      </c>
      <c r="B53">
        <f>HYPERLINK("http://comp.fnguide.com/SVO2/ASP/SVD_Consensus.asp?pGB=1&amp;gicode=A078890&amp;cID=&amp;MenuYn=Y&amp;ReportGB=&amp;NewMenuID=108&amp;stkGb=701", "가온미디어")</f>
        <v>0</v>
      </c>
      <c r="C53">
        <v>3</v>
      </c>
      <c r="D53">
        <v>6180</v>
      </c>
      <c r="E53">
        <v>0</v>
      </c>
      <c r="F53">
        <v>6.87</v>
      </c>
      <c r="G53">
        <v>11429</v>
      </c>
      <c r="H53">
        <v>11145</v>
      </c>
      <c r="I53">
        <v>11065</v>
      </c>
      <c r="J53">
        <v>-84.94</v>
      </c>
      <c r="K53">
        <v>-80.34999999999999</v>
      </c>
      <c r="L53">
        <v>-79.04000000000001</v>
      </c>
      <c r="M53">
        <v>8.279999999999999</v>
      </c>
      <c r="N53" t="b">
        <v>1</v>
      </c>
      <c r="O53">
        <v>0</v>
      </c>
      <c r="P53">
        <v>1200</v>
      </c>
      <c r="S53" t="s">
        <v>51</v>
      </c>
      <c r="T53" t="s">
        <v>372</v>
      </c>
      <c r="U53">
        <v>0</v>
      </c>
      <c r="V53">
        <v>-72.59999999999999</v>
      </c>
      <c r="W53" t="s">
        <v>691</v>
      </c>
      <c r="X53">
        <v>-14.83831993754167</v>
      </c>
      <c r="Y53">
        <v>932</v>
      </c>
      <c r="Z53">
        <v>107066</v>
      </c>
      <c r="AA53" t="s">
        <v>1006</v>
      </c>
      <c r="AB53">
        <v>16.06</v>
      </c>
      <c r="AC53" t="s">
        <v>1327</v>
      </c>
      <c r="AD53" t="s">
        <v>1648</v>
      </c>
      <c r="AE53">
        <v>6010</v>
      </c>
      <c r="AF53">
        <v>291</v>
      </c>
      <c r="AG53">
        <v>664245</v>
      </c>
      <c r="AH53">
        <v>1.19</v>
      </c>
    </row>
    <row r="54" spans="1:34">
      <c r="A54" s="2">
        <f>HYPERLINK("https://finance.naver.com/item/coinfo.nhn?code=900280", "A900280")</f>
        <v>0</v>
      </c>
      <c r="B54">
        <f>HYPERLINK("http://comp.fnguide.com/SVO2/ASP/SVD_Consensus.asp?pGB=1&amp;gicode=A900280&amp;cID=&amp;MenuYn=Y&amp;ReportGB=&amp;NewMenuID=108&amp;stkGb=701", "골든센츄리")</f>
        <v>0</v>
      </c>
      <c r="C54">
        <v>3</v>
      </c>
      <c r="D54">
        <v>305</v>
      </c>
      <c r="E54">
        <v>0</v>
      </c>
      <c r="F54">
        <v>1.46</v>
      </c>
      <c r="G54">
        <v>2334</v>
      </c>
      <c r="H54">
        <v>1749</v>
      </c>
      <c r="I54">
        <v>1583</v>
      </c>
      <c r="J54">
        <v>-665.13</v>
      </c>
      <c r="K54">
        <v>-473.5</v>
      </c>
      <c r="L54">
        <v>-419.05</v>
      </c>
      <c r="M54">
        <v>13.6</v>
      </c>
      <c r="N54" t="b">
        <v>0</v>
      </c>
      <c r="O54">
        <v>0</v>
      </c>
      <c r="P54">
        <v>214</v>
      </c>
      <c r="S54" t="s">
        <v>52</v>
      </c>
      <c r="T54" t="s">
        <v>373</v>
      </c>
      <c r="U54">
        <v>0</v>
      </c>
      <c r="V54">
        <v>-40.4</v>
      </c>
      <c r="W54" t="s">
        <v>692</v>
      </c>
      <c r="X54">
        <v>-27.02939912100937</v>
      </c>
      <c r="Y54">
        <v>484</v>
      </c>
      <c r="Z54">
        <v>2577145</v>
      </c>
      <c r="AA54" t="s">
        <v>1007</v>
      </c>
      <c r="AB54">
        <v>28.29</v>
      </c>
      <c r="AC54" t="s">
        <v>1328</v>
      </c>
      <c r="AD54" t="s">
        <v>1649</v>
      </c>
      <c r="AE54">
        <v>1131</v>
      </c>
      <c r="AF54">
        <v>294</v>
      </c>
    </row>
    <row r="55" spans="1:34">
      <c r="A55" s="2">
        <f>HYPERLINK("https://finance.naver.com/item/coinfo.nhn?code=066620", "A066620")</f>
        <v>0</v>
      </c>
      <c r="B55">
        <f>HYPERLINK("http://comp.fnguide.com/SVO2/ASP/SVD_Consensus.asp?pGB=1&amp;gicode=A066620&amp;cID=&amp;MenuYn=Y&amp;ReportGB=&amp;NewMenuID=108&amp;stkGb=701", "국보디자인")</f>
        <v>0</v>
      </c>
      <c r="C55">
        <v>3</v>
      </c>
      <c r="D55">
        <v>17700</v>
      </c>
      <c r="E55">
        <v>0</v>
      </c>
      <c r="F55">
        <v>8.02</v>
      </c>
      <c r="G55">
        <v>31011</v>
      </c>
      <c r="H55">
        <v>23156</v>
      </c>
      <c r="I55">
        <v>20923</v>
      </c>
      <c r="J55">
        <v>-75.2</v>
      </c>
      <c r="K55">
        <v>-30.82</v>
      </c>
      <c r="L55">
        <v>-18.21</v>
      </c>
      <c r="M55">
        <v>13.71</v>
      </c>
      <c r="N55" t="b">
        <v>1</v>
      </c>
      <c r="O55">
        <v>0</v>
      </c>
      <c r="P55">
        <v>2126</v>
      </c>
      <c r="S55" t="s">
        <v>53</v>
      </c>
      <c r="T55" t="s">
        <v>374</v>
      </c>
      <c r="U55">
        <v>0</v>
      </c>
      <c r="V55">
        <v>21.4</v>
      </c>
      <c r="W55" t="s">
        <v>693</v>
      </c>
      <c r="X55">
        <v>12.42884827928215</v>
      </c>
      <c r="Y55">
        <v>1328</v>
      </c>
      <c r="Z55">
        <v>46352</v>
      </c>
      <c r="AA55" t="s">
        <v>1008</v>
      </c>
      <c r="AB55">
        <v>53.09</v>
      </c>
      <c r="AC55" t="s">
        <v>1329</v>
      </c>
      <c r="AD55" t="s">
        <v>1650</v>
      </c>
      <c r="AE55">
        <v>2690</v>
      </c>
      <c r="AF55">
        <v>116</v>
      </c>
      <c r="AG55">
        <v>627314</v>
      </c>
      <c r="AH55">
        <v>1.76</v>
      </c>
    </row>
    <row r="56" spans="1:34">
      <c r="A56" s="2">
        <f>HYPERLINK("https://finance.naver.com/item/coinfo.nhn?code=036190", "A036190")</f>
        <v>0</v>
      </c>
      <c r="B56">
        <f>HYPERLINK("http://comp.fnguide.com/SVO2/ASP/SVD_Consensus.asp?pGB=1&amp;gicode=A036190&amp;cID=&amp;MenuYn=Y&amp;ReportGB=&amp;NewMenuID=108&amp;stkGb=701", "금화피에스시")</f>
        <v>0</v>
      </c>
      <c r="C56">
        <v>3</v>
      </c>
      <c r="D56">
        <v>29400</v>
      </c>
      <c r="E56">
        <v>0.37</v>
      </c>
      <c r="F56">
        <v>6.39</v>
      </c>
      <c r="G56">
        <v>74249</v>
      </c>
      <c r="H56">
        <v>53965</v>
      </c>
      <c r="I56">
        <v>48201</v>
      </c>
      <c r="J56">
        <v>-152.55</v>
      </c>
      <c r="K56">
        <v>-83.55</v>
      </c>
      <c r="L56">
        <v>-63.95</v>
      </c>
      <c r="M56">
        <v>14.54</v>
      </c>
      <c r="N56" t="b">
        <v>1</v>
      </c>
      <c r="O56">
        <v>1</v>
      </c>
      <c r="P56">
        <v>4614</v>
      </c>
      <c r="Q56">
        <v>5517</v>
      </c>
      <c r="R56">
        <v>19.6</v>
      </c>
      <c r="S56" t="s">
        <v>54</v>
      </c>
      <c r="T56" t="s">
        <v>375</v>
      </c>
      <c r="U56">
        <v>17.07028129403867</v>
      </c>
      <c r="V56">
        <v>19.9</v>
      </c>
      <c r="W56" t="s">
        <v>694</v>
      </c>
      <c r="X56">
        <v>7.92975516258263</v>
      </c>
      <c r="Y56">
        <v>1764</v>
      </c>
      <c r="Z56">
        <v>2346</v>
      </c>
      <c r="AA56" t="s">
        <v>1009</v>
      </c>
      <c r="AB56">
        <v>36.08</v>
      </c>
      <c r="AC56" t="s">
        <v>1330</v>
      </c>
      <c r="AD56" t="s">
        <v>1651</v>
      </c>
      <c r="AE56">
        <v>2094</v>
      </c>
      <c r="AF56">
        <v>343</v>
      </c>
      <c r="AG56">
        <v>94210</v>
      </c>
      <c r="AH56">
        <v>4.41</v>
      </c>
    </row>
    <row r="57" spans="1:34">
      <c r="A57" s="2">
        <f>HYPERLINK("https://finance.naver.com/item/coinfo.nhn?code=308100", "A308100")</f>
        <v>0</v>
      </c>
      <c r="B57">
        <f>HYPERLINK("http://comp.fnguide.com/SVO2/ASP/SVD_Consensus.asp?pGB=1&amp;gicode=A308100&amp;cID=&amp;MenuYn=Y&amp;ReportGB=&amp;NewMenuID=108&amp;stkGb=701", "까스텔바작")</f>
        <v>0</v>
      </c>
      <c r="C57">
        <v>3</v>
      </c>
      <c r="D57">
        <v>9200</v>
      </c>
      <c r="E57">
        <v>0</v>
      </c>
      <c r="F57">
        <v>8.68</v>
      </c>
      <c r="G57">
        <v>19942</v>
      </c>
      <c r="H57">
        <v>14939</v>
      </c>
      <c r="I57">
        <v>13517</v>
      </c>
      <c r="J57">
        <v>-116.76</v>
      </c>
      <c r="K57">
        <v>-62.38</v>
      </c>
      <c r="L57">
        <v>-46.93</v>
      </c>
      <c r="M57">
        <v>13.62</v>
      </c>
      <c r="N57" t="b">
        <v>1</v>
      </c>
      <c r="O57">
        <v>0</v>
      </c>
      <c r="P57">
        <v>1083</v>
      </c>
      <c r="S57" t="s">
        <v>55</v>
      </c>
      <c r="T57" t="s">
        <v>376</v>
      </c>
      <c r="U57">
        <v>0</v>
      </c>
      <c r="V57">
        <v>-27.4</v>
      </c>
      <c r="W57" t="s">
        <v>695</v>
      </c>
      <c r="X57">
        <v>0</v>
      </c>
      <c r="Y57">
        <v>607</v>
      </c>
      <c r="Z57">
        <v>18594</v>
      </c>
      <c r="AA57" t="s">
        <v>1010</v>
      </c>
      <c r="AB57">
        <v>70.48999999999999</v>
      </c>
      <c r="AC57" t="s">
        <v>1331</v>
      </c>
      <c r="AD57" t="s">
        <v>1652</v>
      </c>
      <c r="AE57">
        <v>814</v>
      </c>
      <c r="AF57">
        <v>90</v>
      </c>
    </row>
    <row r="58" spans="1:34">
      <c r="A58" s="2">
        <f>HYPERLINK("https://finance.naver.com/item/coinfo.nhn?code=036800", "A036800")</f>
        <v>0</v>
      </c>
      <c r="B58">
        <f>HYPERLINK("http://comp.fnguide.com/SVO2/ASP/SVD_Consensus.asp?pGB=1&amp;gicode=A036800&amp;cID=&amp;MenuYn=Y&amp;ReportGB=&amp;NewMenuID=108&amp;stkGb=701", "나이스정보통신")</f>
        <v>0</v>
      </c>
      <c r="C58">
        <v>3</v>
      </c>
      <c r="D58">
        <v>26450</v>
      </c>
      <c r="E58">
        <v>-1.09</v>
      </c>
      <c r="F58">
        <v>9.52</v>
      </c>
      <c r="G58">
        <v>49289</v>
      </c>
      <c r="H58">
        <v>34402</v>
      </c>
      <c r="I58">
        <v>30172</v>
      </c>
      <c r="J58">
        <v>-86.34999999999999</v>
      </c>
      <c r="K58">
        <v>-30.06</v>
      </c>
      <c r="L58">
        <v>-14.07</v>
      </c>
      <c r="M58">
        <v>15.94</v>
      </c>
      <c r="N58" t="b">
        <v>1</v>
      </c>
      <c r="O58">
        <v>0</v>
      </c>
      <c r="P58">
        <v>3011</v>
      </c>
      <c r="Q58">
        <v>2790</v>
      </c>
      <c r="R58">
        <v>-7.3</v>
      </c>
      <c r="S58" t="s">
        <v>56</v>
      </c>
      <c r="T58" t="s">
        <v>377</v>
      </c>
      <c r="U58">
        <v>-8.717612897560356</v>
      </c>
      <c r="V58">
        <v>-16.8</v>
      </c>
      <c r="W58" t="s">
        <v>696</v>
      </c>
      <c r="X58">
        <v>-3.885738048839227</v>
      </c>
      <c r="Y58">
        <v>2645</v>
      </c>
      <c r="Z58">
        <v>50120</v>
      </c>
      <c r="AA58" t="s">
        <v>1011</v>
      </c>
      <c r="AB58">
        <v>42.74</v>
      </c>
      <c r="AC58" t="s">
        <v>1332</v>
      </c>
      <c r="AD58" t="s">
        <v>1653</v>
      </c>
      <c r="AE58">
        <v>4529</v>
      </c>
      <c r="AF58">
        <v>350</v>
      </c>
      <c r="AG58">
        <v>625978</v>
      </c>
      <c r="AH58">
        <v>1.61</v>
      </c>
    </row>
    <row r="59" spans="1:34">
      <c r="A59" s="2">
        <f>HYPERLINK("https://finance.naver.com/item/coinfo.nhn?code=020710", "A020710")</f>
        <v>0</v>
      </c>
      <c r="B59">
        <f>HYPERLINK("http://comp.fnguide.com/SVO2/ASP/SVD_Consensus.asp?pGB=1&amp;gicode=A020710&amp;cID=&amp;MenuYn=Y&amp;ReportGB=&amp;NewMenuID=108&amp;stkGb=701", "시공테크")</f>
        <v>0</v>
      </c>
      <c r="C59">
        <v>3</v>
      </c>
      <c r="D59">
        <v>4880</v>
      </c>
      <c r="E59">
        <v>0</v>
      </c>
      <c r="F59">
        <v>6.26</v>
      </c>
      <c r="G59">
        <v>8558</v>
      </c>
      <c r="H59">
        <v>6918</v>
      </c>
      <c r="I59">
        <v>6452</v>
      </c>
      <c r="J59">
        <v>-75.37</v>
      </c>
      <c r="K59">
        <v>-41.76</v>
      </c>
      <c r="L59">
        <v>-32.21</v>
      </c>
      <c r="M59">
        <v>11.65</v>
      </c>
      <c r="N59" t="b">
        <v>0</v>
      </c>
      <c r="O59">
        <v>0</v>
      </c>
      <c r="P59">
        <v>765</v>
      </c>
      <c r="S59" t="s">
        <v>57</v>
      </c>
      <c r="T59" t="s">
        <v>378</v>
      </c>
      <c r="U59">
        <v>0</v>
      </c>
      <c r="V59">
        <v>-11.6</v>
      </c>
      <c r="W59" t="s">
        <v>697</v>
      </c>
      <c r="X59">
        <v>-10.09499867591507</v>
      </c>
      <c r="Y59">
        <v>978</v>
      </c>
      <c r="Z59">
        <v>26541</v>
      </c>
      <c r="AA59" t="s">
        <v>1012</v>
      </c>
      <c r="AB59">
        <v>43.21</v>
      </c>
      <c r="AC59" t="s">
        <v>1333</v>
      </c>
      <c r="AD59" t="s">
        <v>1654</v>
      </c>
      <c r="AE59">
        <v>1198</v>
      </c>
      <c r="AF59">
        <v>80</v>
      </c>
      <c r="AG59">
        <v>1478045</v>
      </c>
      <c r="AH59">
        <v>1.67</v>
      </c>
    </row>
    <row r="60" spans="1:34">
      <c r="A60" s="2">
        <f>HYPERLINK("https://finance.naver.com/item/coinfo.nhn?code=017000", "A017000")</f>
        <v>0</v>
      </c>
      <c r="B60">
        <f>HYPERLINK("http://comp.fnguide.com/SVO2/ASP/SVD_Consensus.asp?pGB=1&amp;gicode=A017000&amp;cID=&amp;MenuYn=Y&amp;ReportGB=&amp;NewMenuID=108&amp;stkGb=701", "신원종합개발")</f>
        <v>0</v>
      </c>
      <c r="C60">
        <v>3</v>
      </c>
      <c r="D60">
        <v>4370</v>
      </c>
      <c r="E60">
        <v>0</v>
      </c>
      <c r="F60">
        <v>3.14</v>
      </c>
      <c r="G60">
        <v>20567</v>
      </c>
      <c r="H60">
        <v>13654</v>
      </c>
      <c r="I60">
        <v>11689</v>
      </c>
      <c r="J60">
        <v>-370.63</v>
      </c>
      <c r="K60">
        <v>-212.44</v>
      </c>
      <c r="L60">
        <v>-167.49</v>
      </c>
      <c r="M60">
        <v>17.99</v>
      </c>
      <c r="N60" t="b">
        <v>1</v>
      </c>
      <c r="O60">
        <v>0</v>
      </c>
      <c r="P60">
        <v>1338</v>
      </c>
      <c r="S60" t="s">
        <v>58</v>
      </c>
      <c r="T60" t="s">
        <v>379</v>
      </c>
      <c r="U60">
        <v>0</v>
      </c>
      <c r="V60">
        <v>-93.7</v>
      </c>
      <c r="W60" t="s">
        <v>698</v>
      </c>
      <c r="X60">
        <v>-19.71823388081634</v>
      </c>
      <c r="Y60">
        <v>440</v>
      </c>
      <c r="Z60">
        <v>77641</v>
      </c>
      <c r="AA60" t="s">
        <v>1013</v>
      </c>
      <c r="AB60">
        <v>18.74</v>
      </c>
      <c r="AC60" t="s">
        <v>1334</v>
      </c>
      <c r="AD60" t="s">
        <v>1655</v>
      </c>
      <c r="AE60">
        <v>2565</v>
      </c>
      <c r="AF60">
        <v>69</v>
      </c>
      <c r="AG60">
        <v>472513</v>
      </c>
    </row>
    <row r="61" spans="1:34">
      <c r="A61" s="2">
        <f>HYPERLINK("https://finance.naver.com/item/coinfo.nhn?code=264660", "A264660")</f>
        <v>0</v>
      </c>
      <c r="B61">
        <f>HYPERLINK("http://comp.fnguide.com/SVO2/ASP/SVD_Consensus.asp?pGB=1&amp;gicode=A264660&amp;cID=&amp;MenuYn=Y&amp;ReportGB=&amp;NewMenuID=108&amp;stkGb=701", "씨앤지하이테크")</f>
        <v>0</v>
      </c>
      <c r="C61">
        <v>3</v>
      </c>
      <c r="D61">
        <v>11650</v>
      </c>
      <c r="E61">
        <v>0</v>
      </c>
      <c r="F61">
        <v>6.3</v>
      </c>
      <c r="G61">
        <v>25385</v>
      </c>
      <c r="H61">
        <v>15114</v>
      </c>
      <c r="I61">
        <v>12196</v>
      </c>
      <c r="J61">
        <v>-117.9</v>
      </c>
      <c r="K61">
        <v>-29.74</v>
      </c>
      <c r="L61">
        <v>-4.68</v>
      </c>
      <c r="M61">
        <v>24.24</v>
      </c>
      <c r="N61" t="b">
        <v>1</v>
      </c>
      <c r="O61">
        <v>0</v>
      </c>
      <c r="P61">
        <v>1404</v>
      </c>
      <c r="S61" t="s">
        <v>59</v>
      </c>
      <c r="T61" t="s">
        <v>380</v>
      </c>
      <c r="U61">
        <v>0</v>
      </c>
      <c r="V61">
        <v>-25.5</v>
      </c>
      <c r="W61" t="s">
        <v>699</v>
      </c>
      <c r="X61">
        <v>9.20832729480432</v>
      </c>
      <c r="Y61">
        <v>979</v>
      </c>
      <c r="Z61">
        <v>85992</v>
      </c>
      <c r="AA61" t="s">
        <v>1014</v>
      </c>
      <c r="AB61">
        <v>33.44</v>
      </c>
      <c r="AC61" t="s">
        <v>1335</v>
      </c>
      <c r="AD61" t="s">
        <v>1656</v>
      </c>
      <c r="AE61">
        <v>1288</v>
      </c>
      <c r="AF61">
        <v>145</v>
      </c>
      <c r="AG61">
        <v>299270</v>
      </c>
      <c r="AH61">
        <v>1.7</v>
      </c>
    </row>
    <row r="62" spans="1:34">
      <c r="A62" s="2">
        <f>HYPERLINK("https://finance.naver.com/item/coinfo.nhn?code=221980", "A221980")</f>
        <v>0</v>
      </c>
      <c r="B62">
        <f>HYPERLINK("http://comp.fnguide.com/SVO2/ASP/SVD_Consensus.asp?pGB=1&amp;gicode=A221980&amp;cID=&amp;MenuYn=Y&amp;ReportGB=&amp;NewMenuID=108&amp;stkGb=701", "케이디켐")</f>
        <v>0</v>
      </c>
      <c r="C62">
        <v>3</v>
      </c>
      <c r="D62">
        <v>12950</v>
      </c>
      <c r="E62">
        <v>0</v>
      </c>
      <c r="F62">
        <v>6.62</v>
      </c>
      <c r="G62">
        <v>25349</v>
      </c>
      <c r="H62">
        <v>22268</v>
      </c>
      <c r="I62">
        <v>21393</v>
      </c>
      <c r="J62">
        <v>-95.75</v>
      </c>
      <c r="K62">
        <v>-71.95</v>
      </c>
      <c r="L62">
        <v>-65.19</v>
      </c>
      <c r="M62">
        <v>9.949999999999999</v>
      </c>
      <c r="N62" t="b">
        <v>1</v>
      </c>
      <c r="O62">
        <v>0</v>
      </c>
      <c r="P62">
        <v>1857</v>
      </c>
      <c r="S62" t="s">
        <v>60</v>
      </c>
      <c r="T62" t="s">
        <v>381</v>
      </c>
      <c r="U62">
        <v>0</v>
      </c>
      <c r="V62">
        <v>5.4</v>
      </c>
      <c r="W62" t="s">
        <v>700</v>
      </c>
      <c r="X62">
        <v>-8.63822140513677</v>
      </c>
      <c r="Y62">
        <v>523</v>
      </c>
      <c r="Z62">
        <v>3823</v>
      </c>
      <c r="AA62" t="s">
        <v>1015</v>
      </c>
      <c r="AB62">
        <v>71.06999999999999</v>
      </c>
      <c r="AC62" t="s">
        <v>1336</v>
      </c>
      <c r="AD62" t="s">
        <v>1657</v>
      </c>
      <c r="AE62">
        <v>488</v>
      </c>
      <c r="AF62">
        <v>64</v>
      </c>
      <c r="AG62">
        <v>213443</v>
      </c>
      <c r="AH62">
        <v>4.07</v>
      </c>
    </row>
    <row r="63" spans="1:34">
      <c r="A63" s="2">
        <f>HYPERLINK("https://finance.naver.com/item/coinfo.nhn?code=049430", "A049430")</f>
        <v>0</v>
      </c>
      <c r="B63">
        <f>HYPERLINK("http://comp.fnguide.com/SVO2/ASP/SVD_Consensus.asp?pGB=1&amp;gicode=A049430&amp;cID=&amp;MenuYn=Y&amp;ReportGB=&amp;NewMenuID=108&amp;stkGb=701", "코메론")</f>
        <v>0</v>
      </c>
      <c r="C63">
        <v>3</v>
      </c>
      <c r="D63">
        <v>8620</v>
      </c>
      <c r="E63">
        <v>0</v>
      </c>
      <c r="F63">
        <v>5.41</v>
      </c>
      <c r="G63">
        <v>21313</v>
      </c>
      <c r="H63">
        <v>18694</v>
      </c>
      <c r="I63">
        <v>17949</v>
      </c>
      <c r="J63">
        <v>-147.26</v>
      </c>
      <c r="K63">
        <v>-116.87</v>
      </c>
      <c r="L63">
        <v>-108.23</v>
      </c>
      <c r="M63">
        <v>9.98</v>
      </c>
      <c r="N63" t="b">
        <v>1</v>
      </c>
      <c r="O63">
        <v>0</v>
      </c>
      <c r="P63">
        <v>1581</v>
      </c>
      <c r="S63" t="s">
        <v>61</v>
      </c>
      <c r="T63" t="s">
        <v>382</v>
      </c>
      <c r="U63">
        <v>0</v>
      </c>
      <c r="V63">
        <v>-23.1</v>
      </c>
      <c r="W63" t="s">
        <v>701</v>
      </c>
      <c r="X63">
        <v>-2.08970402584453</v>
      </c>
      <c r="Y63">
        <v>780</v>
      </c>
      <c r="Z63">
        <v>11021</v>
      </c>
      <c r="AA63" t="s">
        <v>1016</v>
      </c>
      <c r="AB63">
        <v>38.73</v>
      </c>
      <c r="AC63" t="s">
        <v>1337</v>
      </c>
      <c r="AD63" t="s">
        <v>1658</v>
      </c>
      <c r="AE63">
        <v>666</v>
      </c>
      <c r="AF63">
        <v>139</v>
      </c>
      <c r="AG63">
        <v>763630</v>
      </c>
      <c r="AH63">
        <v>2.34</v>
      </c>
    </row>
    <row r="64" spans="1:34">
      <c r="A64" s="2">
        <f>HYPERLINK("https://finance.naver.com/item/coinfo.nhn?code=056360", "A056360")</f>
        <v>0</v>
      </c>
      <c r="B64">
        <f>HYPERLINK("http://comp.fnguide.com/SVO2/ASP/SVD_Consensus.asp?pGB=1&amp;gicode=A056360&amp;cID=&amp;MenuYn=Y&amp;ReportGB=&amp;NewMenuID=108&amp;stkGb=701", "코위버")</f>
        <v>0</v>
      </c>
      <c r="C64">
        <v>3</v>
      </c>
      <c r="D64">
        <v>10050</v>
      </c>
      <c r="E64">
        <v>0</v>
      </c>
      <c r="F64">
        <v>4.2</v>
      </c>
      <c r="G64">
        <v>20414</v>
      </c>
      <c r="H64">
        <v>15766</v>
      </c>
      <c r="I64">
        <v>14445</v>
      </c>
      <c r="J64">
        <v>-103.12</v>
      </c>
      <c r="K64">
        <v>-56.88</v>
      </c>
      <c r="L64">
        <v>-43.74</v>
      </c>
      <c r="M64">
        <v>12.77</v>
      </c>
      <c r="N64" t="b">
        <v>1</v>
      </c>
      <c r="O64">
        <v>0</v>
      </c>
      <c r="P64">
        <v>2107</v>
      </c>
      <c r="S64" t="s">
        <v>62</v>
      </c>
      <c r="T64" t="s">
        <v>383</v>
      </c>
      <c r="U64">
        <v>0</v>
      </c>
      <c r="V64">
        <v>-71.90000000000001</v>
      </c>
      <c r="W64" t="s">
        <v>702</v>
      </c>
      <c r="X64">
        <v>-8.972120482559143</v>
      </c>
      <c r="Y64">
        <v>985</v>
      </c>
      <c r="Z64">
        <v>94804</v>
      </c>
      <c r="AA64" t="s">
        <v>1017</v>
      </c>
      <c r="AB64">
        <v>28.91</v>
      </c>
      <c r="AC64" t="s">
        <v>1338</v>
      </c>
      <c r="AD64" t="s">
        <v>1659</v>
      </c>
      <c r="AE64">
        <v>1131</v>
      </c>
      <c r="AF64">
        <v>117</v>
      </c>
      <c r="AG64">
        <v>450345</v>
      </c>
      <c r="AH64">
        <v>2.26</v>
      </c>
    </row>
    <row r="65" spans="1:34">
      <c r="A65" s="2">
        <f>HYPERLINK("https://finance.naver.com/item/coinfo.nhn?code=282880", "A282880")</f>
        <v>0</v>
      </c>
      <c r="B65">
        <f>HYPERLINK("http://comp.fnguide.com/SVO2/ASP/SVD_Consensus.asp?pGB=1&amp;gicode=A282880&amp;cID=&amp;MenuYn=Y&amp;ReportGB=&amp;NewMenuID=108&amp;stkGb=701", "코윈테크")</f>
        <v>0</v>
      </c>
      <c r="C65">
        <v>3</v>
      </c>
      <c r="D65">
        <v>20100</v>
      </c>
      <c r="E65">
        <v>0.83</v>
      </c>
      <c r="F65">
        <v>11.87</v>
      </c>
      <c r="G65">
        <v>57697</v>
      </c>
      <c r="H65">
        <v>29938</v>
      </c>
      <c r="I65">
        <v>22049</v>
      </c>
      <c r="J65">
        <v>-187.05</v>
      </c>
      <c r="K65">
        <v>-48.94</v>
      </c>
      <c r="L65">
        <v>-9.699999999999999</v>
      </c>
      <c r="M65">
        <v>39.63</v>
      </c>
      <c r="N65" t="b">
        <v>1</v>
      </c>
      <c r="O65">
        <v>0</v>
      </c>
      <c r="P65">
        <v>2120</v>
      </c>
      <c r="Q65">
        <v>659</v>
      </c>
      <c r="R65">
        <v>-68.90000000000001</v>
      </c>
      <c r="S65" t="s">
        <v>63</v>
      </c>
      <c r="T65" t="s">
        <v>384</v>
      </c>
      <c r="U65">
        <v>14.34915095544767</v>
      </c>
      <c r="V65">
        <v>-92.5</v>
      </c>
      <c r="W65" t="s">
        <v>703</v>
      </c>
      <c r="X65">
        <v>0</v>
      </c>
      <c r="Y65">
        <v>1860</v>
      </c>
      <c r="Z65">
        <v>60288</v>
      </c>
      <c r="AA65" t="s">
        <v>1018</v>
      </c>
      <c r="AB65">
        <v>24.47</v>
      </c>
      <c r="AC65" t="s">
        <v>1339</v>
      </c>
      <c r="AD65" t="s">
        <v>1660</v>
      </c>
      <c r="AE65">
        <v>911</v>
      </c>
      <c r="AF65">
        <v>208</v>
      </c>
      <c r="AG65">
        <v>307389</v>
      </c>
      <c r="AH65">
        <v>1.85</v>
      </c>
    </row>
    <row r="66" spans="1:34">
      <c r="A66" s="2">
        <f>HYPERLINK("https://finance.naver.com/item/coinfo.nhn?code=015710", "A015710")</f>
        <v>0</v>
      </c>
      <c r="B66">
        <f>HYPERLINK("http://comp.fnguide.com/SVO2/ASP/SVD_Consensus.asp?pGB=1&amp;gicode=A015710&amp;cID=&amp;MenuYn=Y&amp;ReportGB=&amp;NewMenuID=108&amp;stkGb=701", "코콤")</f>
        <v>0</v>
      </c>
      <c r="C66">
        <v>3</v>
      </c>
      <c r="D66">
        <v>6780</v>
      </c>
      <c r="E66">
        <v>0</v>
      </c>
      <c r="F66">
        <v>13.97</v>
      </c>
      <c r="G66">
        <v>8654</v>
      </c>
      <c r="H66">
        <v>7721</v>
      </c>
      <c r="I66">
        <v>7456</v>
      </c>
      <c r="J66">
        <v>-27.64</v>
      </c>
      <c r="K66">
        <v>-13.88</v>
      </c>
      <c r="L66">
        <v>-9.970000000000001</v>
      </c>
      <c r="M66">
        <v>9.67</v>
      </c>
      <c r="N66" t="b">
        <v>1</v>
      </c>
      <c r="O66">
        <v>0</v>
      </c>
      <c r="P66">
        <v>469</v>
      </c>
      <c r="S66" t="s">
        <v>64</v>
      </c>
      <c r="T66" t="s">
        <v>385</v>
      </c>
      <c r="U66">
        <v>0</v>
      </c>
      <c r="V66">
        <v>-22.1</v>
      </c>
      <c r="W66" t="s">
        <v>704</v>
      </c>
      <c r="X66">
        <v>-2.56416534226479</v>
      </c>
      <c r="Y66">
        <v>1189</v>
      </c>
      <c r="Z66">
        <v>123902</v>
      </c>
      <c r="AA66" t="s">
        <v>1019</v>
      </c>
      <c r="AB66">
        <v>59.2</v>
      </c>
      <c r="AC66" t="s">
        <v>1340</v>
      </c>
      <c r="AD66" t="s">
        <v>1661</v>
      </c>
      <c r="AE66">
        <v>1339</v>
      </c>
      <c r="AF66">
        <v>133</v>
      </c>
      <c r="AG66">
        <v>932563</v>
      </c>
      <c r="AH66">
        <v>2.44</v>
      </c>
    </row>
    <row r="67" spans="1:34">
      <c r="A67" s="2">
        <f>HYPERLINK("https://finance.naver.com/item/coinfo.nhn?code=052330", "A052330")</f>
        <v>0</v>
      </c>
      <c r="B67">
        <f>HYPERLINK("http://comp.fnguide.com/SVO2/ASP/SVD_Consensus.asp?pGB=1&amp;gicode=A052330&amp;cID=&amp;MenuYn=Y&amp;ReportGB=&amp;NewMenuID=108&amp;stkGb=701", "코텍")</f>
        <v>0</v>
      </c>
      <c r="C67">
        <v>3</v>
      </c>
      <c r="D67">
        <v>8980</v>
      </c>
      <c r="E67">
        <v>0</v>
      </c>
      <c r="F67">
        <v>6.51</v>
      </c>
      <c r="G67">
        <v>30096</v>
      </c>
      <c r="H67">
        <v>25381</v>
      </c>
      <c r="I67">
        <v>24042</v>
      </c>
      <c r="J67">
        <v>-235.14</v>
      </c>
      <c r="K67">
        <v>-182.64</v>
      </c>
      <c r="L67">
        <v>-167.72</v>
      </c>
      <c r="M67">
        <v>10.73</v>
      </c>
      <c r="N67" t="b">
        <v>1</v>
      </c>
      <c r="O67">
        <v>0</v>
      </c>
      <c r="P67">
        <v>1975</v>
      </c>
      <c r="S67" t="s">
        <v>65</v>
      </c>
      <c r="T67" t="s">
        <v>386</v>
      </c>
      <c r="U67">
        <v>0</v>
      </c>
      <c r="V67">
        <v>-94.40000000000001</v>
      </c>
      <c r="W67" t="s">
        <v>705</v>
      </c>
      <c r="X67">
        <v>-42.06807082080497</v>
      </c>
      <c r="Y67">
        <v>1399</v>
      </c>
      <c r="Z67">
        <v>34890</v>
      </c>
      <c r="AA67" t="s">
        <v>1020</v>
      </c>
      <c r="AB67">
        <v>32.95</v>
      </c>
      <c r="AC67" t="s">
        <v>1341</v>
      </c>
      <c r="AD67" t="s">
        <v>1662</v>
      </c>
      <c r="AE67">
        <v>2853</v>
      </c>
      <c r="AF67">
        <v>331</v>
      </c>
      <c r="AG67">
        <v>1293395</v>
      </c>
      <c r="AH67">
        <v>3.11</v>
      </c>
    </row>
    <row r="68" spans="1:34">
      <c r="A68" s="2">
        <f>HYPERLINK("https://finance.naver.com/item/coinfo.nhn?code=110790", "A110790")</f>
        <v>0</v>
      </c>
      <c r="B68">
        <f>HYPERLINK("http://comp.fnguide.com/SVO2/ASP/SVD_Consensus.asp?pGB=1&amp;gicode=A110790&amp;cID=&amp;MenuYn=Y&amp;ReportGB=&amp;NewMenuID=108&amp;stkGb=701", "크리스에프앤씨")</f>
        <v>0</v>
      </c>
      <c r="C68">
        <v>3</v>
      </c>
      <c r="D68">
        <v>22300</v>
      </c>
      <c r="E68">
        <v>-3.19</v>
      </c>
      <c r="F68">
        <v>8.94</v>
      </c>
      <c r="G68">
        <v>45730</v>
      </c>
      <c r="H68">
        <v>30259</v>
      </c>
      <c r="I68">
        <v>25862</v>
      </c>
      <c r="J68">
        <v>-105.07</v>
      </c>
      <c r="K68">
        <v>-35.69</v>
      </c>
      <c r="L68">
        <v>-15.98</v>
      </c>
      <c r="M68">
        <v>18.14</v>
      </c>
      <c r="N68" t="b">
        <v>1</v>
      </c>
      <c r="O68">
        <v>1</v>
      </c>
      <c r="P68">
        <v>2119</v>
      </c>
      <c r="Q68">
        <v>3098</v>
      </c>
      <c r="R68">
        <v>46.2</v>
      </c>
      <c r="S68" t="s">
        <v>66</v>
      </c>
      <c r="T68" t="s">
        <v>387</v>
      </c>
      <c r="U68">
        <v>-2.799366984652818</v>
      </c>
      <c r="V68">
        <v>45.2</v>
      </c>
      <c r="W68" t="s">
        <v>706</v>
      </c>
      <c r="X68">
        <v>1.96150059370066</v>
      </c>
      <c r="Y68">
        <v>2613</v>
      </c>
      <c r="Z68">
        <v>37306</v>
      </c>
      <c r="AA68" t="s">
        <v>1021</v>
      </c>
      <c r="AB68">
        <v>40.12</v>
      </c>
      <c r="AC68" t="s">
        <v>1342</v>
      </c>
      <c r="AD68" t="s">
        <v>1663</v>
      </c>
      <c r="AE68">
        <v>2595</v>
      </c>
      <c r="AF68">
        <v>377</v>
      </c>
      <c r="AG68">
        <v>874441</v>
      </c>
      <c r="AH68">
        <v>2.11</v>
      </c>
    </row>
    <row r="69" spans="1:34">
      <c r="A69" s="2">
        <f>HYPERLINK("https://finance.naver.com/item/coinfo.nhn?code=900250", "A900250")</f>
        <v>0</v>
      </c>
      <c r="B69">
        <f>HYPERLINK("http://comp.fnguide.com/SVO2/ASP/SVD_Consensus.asp?pGB=1&amp;gicode=A900250&amp;cID=&amp;MenuYn=Y&amp;ReportGB=&amp;NewMenuID=108&amp;stkGb=701", "크리스탈신소재")</f>
        <v>0</v>
      </c>
      <c r="C69">
        <v>3</v>
      </c>
      <c r="D69">
        <v>1775</v>
      </c>
      <c r="E69">
        <v>0</v>
      </c>
      <c r="F69">
        <v>5.25</v>
      </c>
      <c r="G69">
        <v>5145</v>
      </c>
      <c r="H69">
        <v>4400</v>
      </c>
      <c r="I69">
        <v>4188</v>
      </c>
      <c r="J69">
        <v>-189.85</v>
      </c>
      <c r="K69">
        <v>-147.87</v>
      </c>
      <c r="L69">
        <v>-135.95</v>
      </c>
      <c r="M69">
        <v>10.46</v>
      </c>
      <c r="N69" t="b">
        <v>0</v>
      </c>
      <c r="O69">
        <v>0</v>
      </c>
      <c r="P69">
        <v>334</v>
      </c>
      <c r="S69" t="s">
        <v>67</v>
      </c>
      <c r="T69" t="s">
        <v>388</v>
      </c>
      <c r="U69">
        <v>0</v>
      </c>
      <c r="V69">
        <v>9.199999999999999</v>
      </c>
      <c r="W69" t="s">
        <v>707</v>
      </c>
      <c r="X69">
        <v>-4.643127864344965</v>
      </c>
      <c r="Y69">
        <v>1203</v>
      </c>
      <c r="Z69">
        <v>1574254</v>
      </c>
      <c r="AA69" t="s">
        <v>1022</v>
      </c>
      <c r="AB69">
        <v>21.85</v>
      </c>
      <c r="AC69" t="s">
        <v>1343</v>
      </c>
      <c r="AD69" t="s">
        <v>1664</v>
      </c>
      <c r="AE69">
        <v>846</v>
      </c>
      <c r="AF69">
        <v>285</v>
      </c>
    </row>
    <row r="70" spans="1:34">
      <c r="A70" s="2">
        <f>HYPERLINK("https://finance.naver.com/item/coinfo.nhn?code=065130", "A065130")</f>
        <v>0</v>
      </c>
      <c r="B70">
        <f>HYPERLINK("http://comp.fnguide.com/SVO2/ASP/SVD_Consensus.asp?pGB=1&amp;gicode=A065130&amp;cID=&amp;MenuYn=Y&amp;ReportGB=&amp;NewMenuID=108&amp;stkGb=701", "탑엔지니어링")</f>
        <v>0</v>
      </c>
      <c r="C70">
        <v>3</v>
      </c>
      <c r="D70">
        <v>10050</v>
      </c>
      <c r="E70">
        <v>0</v>
      </c>
      <c r="F70">
        <v>4.45</v>
      </c>
      <c r="G70">
        <v>24067</v>
      </c>
      <c r="H70">
        <v>17674</v>
      </c>
      <c r="I70">
        <v>15857</v>
      </c>
      <c r="J70">
        <v>-139.47</v>
      </c>
      <c r="K70">
        <v>-75.86</v>
      </c>
      <c r="L70">
        <v>-57.78</v>
      </c>
      <c r="M70">
        <v>14.22</v>
      </c>
      <c r="N70" t="b">
        <v>1</v>
      </c>
      <c r="O70">
        <v>0</v>
      </c>
      <c r="P70">
        <v>2259</v>
      </c>
      <c r="S70" t="s">
        <v>68</v>
      </c>
      <c r="T70" t="s">
        <v>389</v>
      </c>
      <c r="U70">
        <v>0</v>
      </c>
      <c r="V70">
        <v>0</v>
      </c>
      <c r="W70" t="s">
        <v>708</v>
      </c>
      <c r="X70">
        <v>33.66354044244495</v>
      </c>
      <c r="Y70">
        <v>1606</v>
      </c>
      <c r="Z70">
        <v>198606</v>
      </c>
      <c r="AA70" t="s">
        <v>1023</v>
      </c>
      <c r="AB70">
        <v>24.32</v>
      </c>
      <c r="AC70" t="s">
        <v>1344</v>
      </c>
      <c r="AD70" t="s">
        <v>1665</v>
      </c>
      <c r="AE70">
        <v>13059</v>
      </c>
      <c r="AF70">
        <v>706</v>
      </c>
      <c r="AG70">
        <v>181464</v>
      </c>
      <c r="AH70">
        <v>1</v>
      </c>
    </row>
    <row r="71" spans="1:34">
      <c r="A71" s="2">
        <f>HYPERLINK("https://finance.naver.com/item/coinfo.nhn?code=091440", "A091440")</f>
        <v>0</v>
      </c>
      <c r="B71">
        <f>HYPERLINK("http://comp.fnguide.com/SVO2/ASP/SVD_Consensus.asp?pGB=1&amp;gicode=A091440&amp;cID=&amp;MenuYn=Y&amp;ReportGB=&amp;NewMenuID=108&amp;stkGb=701", "텔레필드")</f>
        <v>0</v>
      </c>
      <c r="C71">
        <v>3</v>
      </c>
      <c r="D71">
        <v>3175</v>
      </c>
      <c r="E71">
        <v>0</v>
      </c>
      <c r="F71">
        <v>6.53</v>
      </c>
      <c r="G71">
        <v>3941</v>
      </c>
      <c r="H71">
        <v>3454</v>
      </c>
      <c r="I71">
        <v>3316</v>
      </c>
      <c r="J71">
        <v>-24.13</v>
      </c>
      <c r="K71">
        <v>-8.789999999999999</v>
      </c>
      <c r="L71">
        <v>-4.43</v>
      </c>
      <c r="M71">
        <v>9.99</v>
      </c>
      <c r="N71" t="b">
        <v>1</v>
      </c>
      <c r="O71">
        <v>0</v>
      </c>
      <c r="P71">
        <v>522</v>
      </c>
      <c r="S71" t="s">
        <v>69</v>
      </c>
      <c r="T71" t="s">
        <v>390</v>
      </c>
      <c r="U71">
        <v>0</v>
      </c>
      <c r="V71">
        <v>0</v>
      </c>
      <c r="W71" t="s">
        <v>672</v>
      </c>
      <c r="X71">
        <v>0</v>
      </c>
      <c r="Y71">
        <v>291</v>
      </c>
      <c r="Z71">
        <v>119307</v>
      </c>
      <c r="AA71" t="s">
        <v>1024</v>
      </c>
      <c r="AB71">
        <v>19.82</v>
      </c>
      <c r="AC71" t="s">
        <v>1345</v>
      </c>
      <c r="AD71" t="s">
        <v>1666</v>
      </c>
      <c r="AE71">
        <v>565</v>
      </c>
      <c r="AF71">
        <v>57</v>
      </c>
      <c r="AG71">
        <v>554681</v>
      </c>
    </row>
    <row r="72" spans="1:34">
      <c r="A72" s="2">
        <f>HYPERLINK("https://finance.naver.com/item/coinfo.nhn?code=051360", "A051360")</f>
        <v>0</v>
      </c>
      <c r="B72">
        <f>HYPERLINK("http://comp.fnguide.com/SVO2/ASP/SVD_Consensus.asp?pGB=1&amp;gicode=A051360&amp;cID=&amp;MenuYn=Y&amp;ReportGB=&amp;NewMenuID=108&amp;stkGb=701", "토비스")</f>
        <v>0</v>
      </c>
      <c r="C72">
        <v>3</v>
      </c>
      <c r="D72">
        <v>7270</v>
      </c>
      <c r="E72">
        <v>0</v>
      </c>
      <c r="F72">
        <v>7.14</v>
      </c>
      <c r="G72">
        <v>18164</v>
      </c>
      <c r="H72">
        <v>15053</v>
      </c>
      <c r="I72">
        <v>14168</v>
      </c>
      <c r="J72">
        <v>-149.85</v>
      </c>
      <c r="K72">
        <v>-107.05</v>
      </c>
      <c r="L72">
        <v>-94.89</v>
      </c>
      <c r="M72">
        <v>11.1</v>
      </c>
      <c r="N72" t="b">
        <v>1</v>
      </c>
      <c r="O72">
        <v>0</v>
      </c>
      <c r="P72">
        <v>1319</v>
      </c>
      <c r="S72" t="s">
        <v>70</v>
      </c>
      <c r="T72" t="s">
        <v>391</v>
      </c>
      <c r="U72">
        <v>0</v>
      </c>
      <c r="V72">
        <v>-99.8</v>
      </c>
      <c r="W72" t="s">
        <v>709</v>
      </c>
      <c r="X72">
        <v>-71.73477470401507</v>
      </c>
      <c r="Y72">
        <v>1215</v>
      </c>
      <c r="Z72">
        <v>167289</v>
      </c>
      <c r="AA72" t="s">
        <v>1025</v>
      </c>
      <c r="AB72">
        <v>14.3</v>
      </c>
      <c r="AC72" t="s">
        <v>1346</v>
      </c>
      <c r="AD72" t="s">
        <v>1667</v>
      </c>
      <c r="AE72">
        <v>4189</v>
      </c>
      <c r="AF72">
        <v>307</v>
      </c>
      <c r="AG72">
        <v>1785732</v>
      </c>
      <c r="AH72">
        <v>2.55</v>
      </c>
    </row>
    <row r="73" spans="1:34">
      <c r="A73" s="2">
        <f>HYPERLINK("https://finance.naver.com/item/coinfo.nhn?code=047310", "A047310")</f>
        <v>0</v>
      </c>
      <c r="B73">
        <f>HYPERLINK("http://comp.fnguide.com/SVO2/ASP/SVD_Consensus.asp?pGB=1&amp;gicode=A047310&amp;cID=&amp;MenuYn=Y&amp;ReportGB=&amp;NewMenuID=108&amp;stkGb=701", "파워로직스")</f>
        <v>0</v>
      </c>
      <c r="C73">
        <v>3</v>
      </c>
      <c r="D73">
        <v>8610</v>
      </c>
      <c r="E73">
        <v>-0.12</v>
      </c>
      <c r="F73">
        <v>6.33</v>
      </c>
      <c r="G73">
        <v>16615</v>
      </c>
      <c r="H73">
        <v>10819</v>
      </c>
      <c r="I73">
        <v>9171</v>
      </c>
      <c r="J73">
        <v>-92.97</v>
      </c>
      <c r="K73">
        <v>-25.65</v>
      </c>
      <c r="L73">
        <v>-6.52</v>
      </c>
      <c r="M73">
        <v>18.9</v>
      </c>
      <c r="N73" t="b">
        <v>1</v>
      </c>
      <c r="O73">
        <v>0</v>
      </c>
      <c r="P73">
        <v>1611</v>
      </c>
      <c r="Q73">
        <v>29</v>
      </c>
      <c r="R73">
        <v>-98.2</v>
      </c>
      <c r="S73" t="s">
        <v>71</v>
      </c>
      <c r="T73" t="s">
        <v>392</v>
      </c>
      <c r="U73">
        <v>-54.60445003413194</v>
      </c>
      <c r="V73">
        <v>0</v>
      </c>
      <c r="W73" t="s">
        <v>710</v>
      </c>
      <c r="X73">
        <v>78.73607819767912</v>
      </c>
      <c r="Y73">
        <v>2964</v>
      </c>
      <c r="Z73">
        <v>1206123</v>
      </c>
      <c r="AA73" t="s">
        <v>1026</v>
      </c>
      <c r="AB73">
        <v>33.61</v>
      </c>
      <c r="AC73" t="s">
        <v>1347</v>
      </c>
      <c r="AD73" t="s">
        <v>1668</v>
      </c>
      <c r="AE73">
        <v>11079</v>
      </c>
      <c r="AF73">
        <v>506</v>
      </c>
      <c r="AH73">
        <v>0.49</v>
      </c>
    </row>
    <row r="74" spans="1:34">
      <c r="A74" s="2">
        <f>HYPERLINK("https://finance.naver.com/item/coinfo.nhn?code=225590", "A225590")</f>
        <v>0</v>
      </c>
      <c r="B74">
        <f>HYPERLINK("http://comp.fnguide.com/SVO2/ASP/SVD_Consensus.asp?pGB=1&amp;gicode=A225590&amp;cID=&amp;MenuYn=Y&amp;ReportGB=&amp;NewMenuID=108&amp;stkGb=701", "패션플랫폼")</f>
        <v>0</v>
      </c>
      <c r="C74">
        <v>3</v>
      </c>
      <c r="D74">
        <v>1270</v>
      </c>
      <c r="E74">
        <v>0</v>
      </c>
      <c r="F74">
        <v>8.16</v>
      </c>
      <c r="G74">
        <v>2303</v>
      </c>
      <c r="H74">
        <v>1841</v>
      </c>
      <c r="I74">
        <v>1709</v>
      </c>
      <c r="J74">
        <v>-81.37</v>
      </c>
      <c r="K74">
        <v>-44.95</v>
      </c>
      <c r="L74">
        <v>-34.61</v>
      </c>
      <c r="M74">
        <v>11.92</v>
      </c>
      <c r="N74" t="b">
        <v>1</v>
      </c>
      <c r="O74">
        <v>0</v>
      </c>
      <c r="P74">
        <v>156</v>
      </c>
      <c r="S74" t="s">
        <v>72</v>
      </c>
      <c r="T74" t="s">
        <v>393</v>
      </c>
      <c r="U74">
        <v>0</v>
      </c>
      <c r="V74">
        <v>2.8</v>
      </c>
      <c r="W74" t="s">
        <v>711</v>
      </c>
      <c r="X74">
        <v>0</v>
      </c>
      <c r="Y74">
        <v>338</v>
      </c>
      <c r="Z74">
        <v>128401</v>
      </c>
      <c r="AA74" t="s">
        <v>1027</v>
      </c>
      <c r="AB74">
        <v>53.61</v>
      </c>
      <c r="AC74" t="s">
        <v>1348</v>
      </c>
      <c r="AD74" t="s">
        <v>1669</v>
      </c>
      <c r="AE74">
        <v>794</v>
      </c>
      <c r="AF74">
        <v>61</v>
      </c>
      <c r="AG74">
        <v>1029831</v>
      </c>
    </row>
    <row r="75" spans="1:34">
      <c r="A75" s="2">
        <f>HYPERLINK("https://finance.naver.com/item/coinfo.nhn?code=251970", "A251970")</f>
        <v>0</v>
      </c>
      <c r="B75">
        <f>HYPERLINK("http://comp.fnguide.com/SVO2/ASP/SVD_Consensus.asp?pGB=1&amp;gicode=A251970&amp;cID=&amp;MenuYn=Y&amp;ReportGB=&amp;NewMenuID=108&amp;stkGb=701", "펌텍코리아")</f>
        <v>0</v>
      </c>
      <c r="C75">
        <v>3</v>
      </c>
      <c r="D75">
        <v>14700</v>
      </c>
      <c r="E75">
        <v>0</v>
      </c>
      <c r="F75">
        <v>11.08</v>
      </c>
      <c r="G75">
        <v>35579</v>
      </c>
      <c r="H75">
        <v>21345</v>
      </c>
      <c r="I75">
        <v>17300</v>
      </c>
      <c r="J75">
        <v>-142.04</v>
      </c>
      <c r="K75">
        <v>-45.2</v>
      </c>
      <c r="L75">
        <v>-17.69</v>
      </c>
      <c r="M75">
        <v>23.7</v>
      </c>
      <c r="N75" t="b">
        <v>1</v>
      </c>
      <c r="O75">
        <v>0</v>
      </c>
      <c r="P75">
        <v>1661</v>
      </c>
      <c r="S75" t="s">
        <v>73</v>
      </c>
      <c r="T75" t="s">
        <v>394</v>
      </c>
      <c r="U75">
        <v>0</v>
      </c>
      <c r="V75">
        <v>-3.2</v>
      </c>
      <c r="W75" t="s">
        <v>712</v>
      </c>
      <c r="X75">
        <v>-4.763855776294202</v>
      </c>
      <c r="Y75">
        <v>1823</v>
      </c>
      <c r="Z75">
        <v>47109</v>
      </c>
      <c r="AA75" t="s">
        <v>1028</v>
      </c>
      <c r="AB75">
        <v>61.4</v>
      </c>
      <c r="AC75" t="s">
        <v>1349</v>
      </c>
      <c r="AD75" t="s">
        <v>1670</v>
      </c>
      <c r="AE75">
        <v>1754</v>
      </c>
      <c r="AF75">
        <v>269</v>
      </c>
      <c r="AG75">
        <v>287382</v>
      </c>
      <c r="AH75">
        <v>1.79</v>
      </c>
    </row>
    <row r="76" spans="1:34">
      <c r="A76" s="2">
        <f>HYPERLINK("https://finance.naver.com/item/coinfo.nhn?code=043370", "A043370")</f>
        <v>0</v>
      </c>
      <c r="B76">
        <f>HYPERLINK("http://comp.fnguide.com/SVO2/ASP/SVD_Consensus.asp?pGB=1&amp;gicode=A043370&amp;cID=&amp;MenuYn=Y&amp;ReportGB=&amp;NewMenuID=108&amp;stkGb=701", "평화정공")</f>
        <v>0</v>
      </c>
      <c r="C76">
        <v>3</v>
      </c>
      <c r="D76">
        <v>8150</v>
      </c>
      <c r="E76">
        <v>-0.12</v>
      </c>
      <c r="F76">
        <v>5.73</v>
      </c>
      <c r="G76">
        <v>28926</v>
      </c>
      <c r="H76">
        <v>28412</v>
      </c>
      <c r="I76">
        <v>28266</v>
      </c>
      <c r="J76">
        <v>-254.92</v>
      </c>
      <c r="K76">
        <v>-248.62</v>
      </c>
      <c r="L76">
        <v>-246.82</v>
      </c>
      <c r="M76">
        <v>8.18</v>
      </c>
      <c r="N76" t="b">
        <v>1</v>
      </c>
      <c r="O76">
        <v>0</v>
      </c>
      <c r="P76">
        <v>1506</v>
      </c>
      <c r="Q76">
        <v>486</v>
      </c>
      <c r="R76">
        <v>-67.7</v>
      </c>
      <c r="S76" t="s">
        <v>74</v>
      </c>
      <c r="T76" t="s">
        <v>395</v>
      </c>
      <c r="U76">
        <v>-48.43804483954954</v>
      </c>
      <c r="V76">
        <v>-87.90000000000001</v>
      </c>
      <c r="W76" t="s">
        <v>713</v>
      </c>
      <c r="X76">
        <v>-12.27419855721225</v>
      </c>
      <c r="Y76">
        <v>1712</v>
      </c>
      <c r="Z76">
        <v>99171</v>
      </c>
      <c r="AA76" t="s">
        <v>1029</v>
      </c>
      <c r="AB76">
        <v>54.63</v>
      </c>
      <c r="AC76" t="s">
        <v>1350</v>
      </c>
      <c r="AD76" t="s">
        <v>1671</v>
      </c>
      <c r="AE76">
        <v>10884</v>
      </c>
      <c r="AF76">
        <v>156</v>
      </c>
      <c r="AG76">
        <v>463438</v>
      </c>
      <c r="AH76">
        <v>2.09</v>
      </c>
    </row>
    <row r="77" spans="1:34">
      <c r="A77" s="2">
        <f>HYPERLINK("https://finance.naver.com/item/coinfo.nhn?code=005670", "A005670")</f>
        <v>0</v>
      </c>
      <c r="B77">
        <f>HYPERLINK("http://comp.fnguide.com/SVO2/ASP/SVD_Consensus.asp?pGB=1&amp;gicode=A005670&amp;cID=&amp;MenuYn=Y&amp;ReportGB=&amp;NewMenuID=108&amp;stkGb=701", "푸드웰")</f>
        <v>0</v>
      </c>
      <c r="C77">
        <v>3</v>
      </c>
      <c r="D77">
        <v>7700</v>
      </c>
      <c r="E77">
        <v>0</v>
      </c>
      <c r="F77">
        <v>1.96</v>
      </c>
      <c r="G77">
        <v>29393</v>
      </c>
      <c r="H77">
        <v>16487</v>
      </c>
      <c r="I77">
        <v>12819</v>
      </c>
      <c r="J77">
        <v>-281.73</v>
      </c>
      <c r="K77">
        <v>-114.12</v>
      </c>
      <c r="L77">
        <v>-66.48</v>
      </c>
      <c r="M77">
        <v>29.38</v>
      </c>
      <c r="N77" t="b">
        <v>1</v>
      </c>
      <c r="O77">
        <v>0</v>
      </c>
      <c r="P77">
        <v>3109</v>
      </c>
      <c r="S77" t="s">
        <v>75</v>
      </c>
      <c r="T77" t="s">
        <v>396</v>
      </c>
      <c r="U77">
        <v>0</v>
      </c>
      <c r="V77">
        <v>-90.7</v>
      </c>
      <c r="W77" t="s">
        <v>714</v>
      </c>
      <c r="X77">
        <v>35.9504940035307</v>
      </c>
      <c r="Y77">
        <v>770</v>
      </c>
      <c r="Z77">
        <v>10191648</v>
      </c>
      <c r="AA77" t="s">
        <v>1030</v>
      </c>
      <c r="AB77">
        <v>45.81</v>
      </c>
      <c r="AC77" t="s">
        <v>1351</v>
      </c>
      <c r="AD77" t="s">
        <v>1672</v>
      </c>
      <c r="AE77">
        <v>1439</v>
      </c>
      <c r="AF77">
        <v>86</v>
      </c>
      <c r="AG77">
        <v>330618</v>
      </c>
      <c r="AH77">
        <v>1.64</v>
      </c>
    </row>
    <row r="78" spans="1:34">
      <c r="A78" s="2">
        <f>HYPERLINK("https://finance.naver.com/item/coinfo.nhn?code=007330", "A007330")</f>
        <v>0</v>
      </c>
      <c r="B78">
        <f>HYPERLINK("http://comp.fnguide.com/SVO2/ASP/SVD_Consensus.asp?pGB=1&amp;gicode=A007330&amp;cID=&amp;MenuYn=Y&amp;ReportGB=&amp;NewMenuID=108&amp;stkGb=701", "푸른저축은행")</f>
        <v>0</v>
      </c>
      <c r="C78">
        <v>3</v>
      </c>
      <c r="D78">
        <v>8750</v>
      </c>
      <c r="E78">
        <v>0</v>
      </c>
      <c r="F78">
        <v>4.8</v>
      </c>
      <c r="G78">
        <v>27517</v>
      </c>
      <c r="H78">
        <v>24448</v>
      </c>
      <c r="I78">
        <v>23576</v>
      </c>
      <c r="J78">
        <v>-214.48</v>
      </c>
      <c r="K78">
        <v>-179.41</v>
      </c>
      <c r="L78">
        <v>-169.44</v>
      </c>
      <c r="M78">
        <v>9.75</v>
      </c>
      <c r="N78" t="b">
        <v>1</v>
      </c>
      <c r="O78">
        <v>0</v>
      </c>
      <c r="P78">
        <v>1631</v>
      </c>
      <c r="S78" t="s">
        <v>76</v>
      </c>
      <c r="T78" t="s">
        <v>397</v>
      </c>
      <c r="U78">
        <v>0</v>
      </c>
      <c r="W78" t="s">
        <v>657</v>
      </c>
      <c r="X78">
        <v>35.9504940035307</v>
      </c>
      <c r="Y78">
        <v>1320</v>
      </c>
      <c r="Z78">
        <v>18736</v>
      </c>
      <c r="AA78" t="s">
        <v>1031</v>
      </c>
      <c r="AB78">
        <v>62.3</v>
      </c>
      <c r="AC78" t="s">
        <v>1352</v>
      </c>
      <c r="AD78" t="s">
        <v>1673</v>
      </c>
      <c r="AE78">
        <v>559</v>
      </c>
      <c r="AF78">
        <v>321</v>
      </c>
      <c r="AG78">
        <v>3243332</v>
      </c>
      <c r="AH78">
        <v>7.02</v>
      </c>
    </row>
    <row r="79" spans="1:34">
      <c r="A79" s="2">
        <f>HYPERLINK("https://finance.naver.com/item/coinfo.nhn?code=039340", "A039340")</f>
        <v>0</v>
      </c>
      <c r="B79">
        <f>HYPERLINK("http://comp.fnguide.com/SVO2/ASP/SVD_Consensus.asp?pGB=1&amp;gicode=A039340&amp;cID=&amp;MenuYn=Y&amp;ReportGB=&amp;NewMenuID=108&amp;stkGb=701", "한국경제TV")</f>
        <v>0</v>
      </c>
      <c r="C79">
        <v>3</v>
      </c>
      <c r="D79">
        <v>5780</v>
      </c>
      <c r="E79">
        <v>0</v>
      </c>
      <c r="F79">
        <v>7.22</v>
      </c>
      <c r="G79">
        <v>9408</v>
      </c>
      <c r="H79">
        <v>7072</v>
      </c>
      <c r="I79">
        <v>6408</v>
      </c>
      <c r="J79">
        <v>-62.77</v>
      </c>
      <c r="K79">
        <v>-22.35</v>
      </c>
      <c r="L79">
        <v>-10.86</v>
      </c>
      <c r="M79">
        <v>13.52</v>
      </c>
      <c r="N79" t="b">
        <v>1</v>
      </c>
      <c r="O79">
        <v>0</v>
      </c>
      <c r="P79">
        <v>653</v>
      </c>
      <c r="S79" t="s">
        <v>77</v>
      </c>
      <c r="T79" t="s">
        <v>398</v>
      </c>
      <c r="U79">
        <v>0</v>
      </c>
      <c r="V79">
        <v>17.8</v>
      </c>
      <c r="W79" t="s">
        <v>715</v>
      </c>
      <c r="X79">
        <v>14.23513047308114</v>
      </c>
      <c r="Y79">
        <v>1329</v>
      </c>
      <c r="Z79">
        <v>83671</v>
      </c>
      <c r="AA79" t="s">
        <v>1032</v>
      </c>
      <c r="AB79">
        <v>41.97</v>
      </c>
      <c r="AC79" t="s">
        <v>1353</v>
      </c>
      <c r="AD79" t="s">
        <v>1674</v>
      </c>
      <c r="AE79">
        <v>778</v>
      </c>
      <c r="AF79">
        <v>137</v>
      </c>
      <c r="AG79">
        <v>937408</v>
      </c>
      <c r="AH79">
        <v>1.91</v>
      </c>
    </row>
    <row r="80" spans="1:34">
      <c r="A80" s="2">
        <f>HYPERLINK("https://finance.naver.com/item/coinfo.nhn?code=023890", "A023890")</f>
        <v>0</v>
      </c>
      <c r="B80">
        <f>HYPERLINK("http://comp.fnguide.com/SVO2/ASP/SVD_Consensus.asp?pGB=1&amp;gicode=A023890&amp;cID=&amp;MenuYn=Y&amp;ReportGB=&amp;NewMenuID=108&amp;stkGb=701", "한국아트라스비엑스")</f>
        <v>0</v>
      </c>
      <c r="C80">
        <v>3</v>
      </c>
      <c r="D80">
        <v>54800</v>
      </c>
      <c r="E80">
        <v>0.8100000000000001</v>
      </c>
      <c r="F80">
        <v>8.800000000000001</v>
      </c>
      <c r="G80">
        <v>200684</v>
      </c>
      <c r="H80">
        <v>138019</v>
      </c>
      <c r="I80">
        <v>120211</v>
      </c>
      <c r="J80">
        <v>-266.21</v>
      </c>
      <c r="K80">
        <v>-151.86</v>
      </c>
      <c r="L80">
        <v>-119.36</v>
      </c>
      <c r="M80">
        <v>16.51</v>
      </c>
      <c r="N80" t="b">
        <v>1</v>
      </c>
      <c r="O80">
        <v>3</v>
      </c>
      <c r="P80">
        <v>5806</v>
      </c>
      <c r="Q80">
        <v>6339</v>
      </c>
      <c r="R80">
        <v>9.199999999999999</v>
      </c>
      <c r="S80" t="s">
        <v>78</v>
      </c>
      <c r="T80" t="s">
        <v>399</v>
      </c>
      <c r="U80">
        <v>10.89992603615526</v>
      </c>
      <c r="V80">
        <v>-5.9</v>
      </c>
      <c r="W80" t="s">
        <v>716</v>
      </c>
      <c r="X80">
        <v>-1.758691497465448</v>
      </c>
      <c r="Y80">
        <v>5014</v>
      </c>
      <c r="Z80">
        <v>3016</v>
      </c>
      <c r="AA80" t="s">
        <v>1033</v>
      </c>
      <c r="AB80">
        <v>31.13</v>
      </c>
      <c r="AC80" t="s">
        <v>1354</v>
      </c>
      <c r="AD80" t="s">
        <v>1675</v>
      </c>
      <c r="AE80">
        <v>6480</v>
      </c>
      <c r="AF80">
        <v>646</v>
      </c>
      <c r="AG80">
        <v>5346107</v>
      </c>
      <c r="AH80">
        <v>0.78</v>
      </c>
    </row>
    <row r="81" spans="1:34">
      <c r="A81" s="2">
        <f>HYPERLINK("https://finance.naver.com/item/coinfo.nhn?code=017890", "A017890")</f>
        <v>0</v>
      </c>
      <c r="B81">
        <f>HYPERLINK("http://comp.fnguide.com/SVO2/ASP/SVD_Consensus.asp?pGB=1&amp;gicode=A017890&amp;cID=&amp;MenuYn=Y&amp;ReportGB=&amp;NewMenuID=108&amp;stkGb=701", "한국알콜")</f>
        <v>0</v>
      </c>
      <c r="C81">
        <v>3</v>
      </c>
      <c r="D81">
        <v>13500</v>
      </c>
      <c r="E81">
        <v>0</v>
      </c>
      <c r="F81">
        <v>5.11</v>
      </c>
      <c r="G81">
        <v>20009</v>
      </c>
      <c r="H81">
        <v>17556</v>
      </c>
      <c r="I81">
        <v>16859</v>
      </c>
      <c r="J81">
        <v>-48.22</v>
      </c>
      <c r="K81">
        <v>-30.05</v>
      </c>
      <c r="L81">
        <v>-24.88</v>
      </c>
      <c r="M81">
        <v>9.970000000000001</v>
      </c>
      <c r="N81" t="b">
        <v>1</v>
      </c>
      <c r="O81">
        <v>0</v>
      </c>
      <c r="P81">
        <v>1472</v>
      </c>
      <c r="S81" t="s">
        <v>79</v>
      </c>
      <c r="T81" t="s">
        <v>400</v>
      </c>
      <c r="U81">
        <v>0</v>
      </c>
      <c r="V81">
        <v>61.6</v>
      </c>
      <c r="W81" t="s">
        <v>717</v>
      </c>
      <c r="X81">
        <v>23.07473319642468</v>
      </c>
      <c r="Y81">
        <v>2917</v>
      </c>
      <c r="Z81">
        <v>945924</v>
      </c>
      <c r="AA81" t="s">
        <v>1034</v>
      </c>
      <c r="AB81">
        <v>40.49</v>
      </c>
      <c r="AC81" t="s">
        <v>1355</v>
      </c>
      <c r="AD81" t="s">
        <v>1676</v>
      </c>
      <c r="AE81">
        <v>2914</v>
      </c>
      <c r="AF81">
        <v>331</v>
      </c>
      <c r="AG81">
        <v>1025167</v>
      </c>
      <c r="AH81">
        <v>1.33</v>
      </c>
    </row>
    <row r="82" spans="1:34">
      <c r="A82" s="2">
        <f>HYPERLINK("https://finance.naver.com/item/coinfo.nhn?code=045100", "A045100")</f>
        <v>0</v>
      </c>
      <c r="B82">
        <f>HYPERLINK("http://comp.fnguide.com/SVO2/ASP/SVD_Consensus.asp?pGB=1&amp;gicode=A045100&amp;cID=&amp;MenuYn=Y&amp;ReportGB=&amp;NewMenuID=108&amp;stkGb=701", "한양이엔지")</f>
        <v>0</v>
      </c>
      <c r="C82">
        <v>3</v>
      </c>
      <c r="D82">
        <v>14150</v>
      </c>
      <c r="E82">
        <v>0</v>
      </c>
      <c r="F82">
        <v>7.5</v>
      </c>
      <c r="G82">
        <v>39194</v>
      </c>
      <c r="H82">
        <v>26935</v>
      </c>
      <c r="I82">
        <v>23451</v>
      </c>
      <c r="J82">
        <v>-176.99</v>
      </c>
      <c r="K82">
        <v>-90.34999999999999</v>
      </c>
      <c r="L82">
        <v>-65.73</v>
      </c>
      <c r="M82">
        <v>16.54</v>
      </c>
      <c r="N82" t="b">
        <v>0</v>
      </c>
      <c r="O82">
        <v>0</v>
      </c>
      <c r="P82">
        <v>1641</v>
      </c>
      <c r="S82" t="s">
        <v>80</v>
      </c>
      <c r="T82" t="s">
        <v>401</v>
      </c>
      <c r="U82">
        <v>0</v>
      </c>
      <c r="V82">
        <v>46.9</v>
      </c>
      <c r="W82" t="s">
        <v>718</v>
      </c>
      <c r="X82">
        <v>0.09416887656996664</v>
      </c>
      <c r="Y82">
        <v>2547</v>
      </c>
      <c r="Z82">
        <v>342666</v>
      </c>
      <c r="AA82" t="s">
        <v>1035</v>
      </c>
      <c r="AB82">
        <v>45.6</v>
      </c>
      <c r="AC82" t="s">
        <v>1356</v>
      </c>
      <c r="AD82" t="s">
        <v>1677</v>
      </c>
      <c r="AE82">
        <v>7721</v>
      </c>
      <c r="AF82">
        <v>334</v>
      </c>
      <c r="AG82">
        <v>602572</v>
      </c>
      <c r="AH82">
        <v>3.66</v>
      </c>
    </row>
    <row r="83" spans="1:34">
      <c r="A83" s="2">
        <f>HYPERLINK("https://finance.naver.com/item/coinfo.nhn?code=046110", "A046110")</f>
        <v>0</v>
      </c>
      <c r="B83">
        <f>HYPERLINK("http://comp.fnguide.com/SVO2/ASP/SVD_Consensus.asp?pGB=1&amp;gicode=A046110&amp;cID=&amp;MenuYn=Y&amp;ReportGB=&amp;NewMenuID=108&amp;stkGb=701", "한일네트웍스")</f>
        <v>0</v>
      </c>
      <c r="C83">
        <v>3</v>
      </c>
      <c r="D83">
        <v>4920</v>
      </c>
      <c r="E83">
        <v>0</v>
      </c>
      <c r="F83">
        <v>7.53</v>
      </c>
      <c r="G83">
        <v>9712</v>
      </c>
      <c r="H83">
        <v>7261</v>
      </c>
      <c r="I83">
        <v>6564</v>
      </c>
      <c r="J83">
        <v>-97.39</v>
      </c>
      <c r="K83">
        <v>-47.58</v>
      </c>
      <c r="L83">
        <v>-33.42</v>
      </c>
      <c r="M83">
        <v>13.68</v>
      </c>
      <c r="N83" t="b">
        <v>1</v>
      </c>
      <c r="O83">
        <v>0</v>
      </c>
      <c r="P83">
        <v>589</v>
      </c>
      <c r="S83" t="s">
        <v>81</v>
      </c>
      <c r="T83" t="s">
        <v>402</v>
      </c>
      <c r="U83">
        <v>0</v>
      </c>
      <c r="V83">
        <v>13.6</v>
      </c>
      <c r="W83" t="s">
        <v>719</v>
      </c>
      <c r="X83">
        <v>28.70544131727133</v>
      </c>
      <c r="Y83">
        <v>588</v>
      </c>
      <c r="Z83">
        <v>93935</v>
      </c>
      <c r="AA83" t="s">
        <v>1036</v>
      </c>
      <c r="AB83">
        <v>50.1</v>
      </c>
      <c r="AC83" t="s">
        <v>1357</v>
      </c>
      <c r="AD83" t="s">
        <v>1678</v>
      </c>
      <c r="AE83">
        <v>1216</v>
      </c>
      <c r="AF83">
        <v>87</v>
      </c>
      <c r="AH83">
        <v>5.19</v>
      </c>
    </row>
    <row r="84" spans="1:34">
      <c r="A84" s="2">
        <f>HYPERLINK("https://finance.naver.com/item/coinfo.nhn?code=054920", "A054920")</f>
        <v>0</v>
      </c>
      <c r="B84">
        <f>HYPERLINK("http://comp.fnguide.com/SVO2/ASP/SVD_Consensus.asp?pGB=1&amp;gicode=A054920&amp;cID=&amp;MenuYn=Y&amp;ReportGB=&amp;NewMenuID=108&amp;stkGb=701", "한컴위드")</f>
        <v>0</v>
      </c>
      <c r="C84">
        <v>3</v>
      </c>
      <c r="D84">
        <v>6000</v>
      </c>
      <c r="E84">
        <v>0</v>
      </c>
      <c r="F84">
        <v>1.46</v>
      </c>
      <c r="G84">
        <v>11906</v>
      </c>
      <c r="H84">
        <v>7756</v>
      </c>
      <c r="I84">
        <v>6576</v>
      </c>
      <c r="J84">
        <v>-98.43000000000001</v>
      </c>
      <c r="K84">
        <v>-29.26</v>
      </c>
      <c r="L84">
        <v>-9.609999999999999</v>
      </c>
      <c r="M84">
        <v>18.88</v>
      </c>
      <c r="N84" t="b">
        <v>1</v>
      </c>
      <c r="O84">
        <v>0</v>
      </c>
      <c r="P84">
        <v>1903</v>
      </c>
      <c r="S84" t="s">
        <v>82</v>
      </c>
      <c r="T84" t="s">
        <v>403</v>
      </c>
      <c r="U84">
        <v>0</v>
      </c>
      <c r="V84">
        <v>2490.9</v>
      </c>
      <c r="W84" t="s">
        <v>720</v>
      </c>
      <c r="X84">
        <v>666.5666579914566</v>
      </c>
      <c r="Y84">
        <v>1693</v>
      </c>
      <c r="Z84">
        <v>176513</v>
      </c>
      <c r="AA84" t="s">
        <v>1037</v>
      </c>
      <c r="AB84">
        <v>31.37</v>
      </c>
      <c r="AC84" t="s">
        <v>1358</v>
      </c>
      <c r="AD84" t="s">
        <v>1679</v>
      </c>
      <c r="AE84">
        <v>158</v>
      </c>
      <c r="AF84">
        <v>-4</v>
      </c>
      <c r="AG84">
        <v>3398468</v>
      </c>
    </row>
    <row r="85" spans="1:34">
      <c r="A85" s="2">
        <f>HYPERLINK("https://finance.naver.com/item/coinfo.nhn?code=900270", "A900270")</f>
        <v>0</v>
      </c>
      <c r="B85">
        <f>HYPERLINK("http://comp.fnguide.com/SVO2/ASP/SVD_Consensus.asp?pGB=1&amp;gicode=A900270&amp;cID=&amp;MenuYn=Y&amp;ReportGB=&amp;NewMenuID=108&amp;stkGb=701", "헝셩그룹")</f>
        <v>0</v>
      </c>
      <c r="C85">
        <v>3</v>
      </c>
      <c r="D85">
        <v>679</v>
      </c>
      <c r="E85">
        <v>0</v>
      </c>
      <c r="F85">
        <v>2.62</v>
      </c>
      <c r="G85">
        <v>5442</v>
      </c>
      <c r="H85">
        <v>4258</v>
      </c>
      <c r="I85">
        <v>3921</v>
      </c>
      <c r="J85">
        <v>-701.55</v>
      </c>
      <c r="K85">
        <v>-527.09</v>
      </c>
      <c r="L85">
        <v>-477.52</v>
      </c>
      <c r="M85">
        <v>12.44</v>
      </c>
      <c r="N85" t="b">
        <v>0</v>
      </c>
      <c r="O85">
        <v>0</v>
      </c>
      <c r="P85">
        <v>407</v>
      </c>
      <c r="S85" t="s">
        <v>83</v>
      </c>
      <c r="T85" t="s">
        <v>404</v>
      </c>
      <c r="U85">
        <v>0</v>
      </c>
      <c r="V85">
        <v>-50.5</v>
      </c>
      <c r="W85" t="s">
        <v>721</v>
      </c>
      <c r="X85">
        <v>-15.5292802263908</v>
      </c>
      <c r="Y85">
        <v>543</v>
      </c>
      <c r="Z85">
        <v>437280</v>
      </c>
      <c r="AA85" t="s">
        <v>1038</v>
      </c>
      <c r="AB85">
        <v>27.42</v>
      </c>
      <c r="AC85" t="s">
        <v>1359</v>
      </c>
      <c r="AD85" t="s">
        <v>1680</v>
      </c>
      <c r="AE85">
        <v>2212</v>
      </c>
      <c r="AF85">
        <v>439</v>
      </c>
    </row>
    <row r="86" spans="1:34">
      <c r="A86" s="2">
        <f>HYPERLINK("https://finance.naver.com/item/coinfo.nhn?code=039010", "A039010")</f>
        <v>0</v>
      </c>
      <c r="B86">
        <f>HYPERLINK("http://comp.fnguide.com/SVO2/ASP/SVD_Consensus.asp?pGB=1&amp;gicode=A039010&amp;cID=&amp;MenuYn=Y&amp;ReportGB=&amp;NewMenuID=108&amp;stkGb=701", "현대통신")</f>
        <v>0</v>
      </c>
      <c r="C86">
        <v>3</v>
      </c>
      <c r="D86">
        <v>7450</v>
      </c>
      <c r="E86">
        <v>0</v>
      </c>
      <c r="F86">
        <v>6.49</v>
      </c>
      <c r="G86">
        <v>25569</v>
      </c>
      <c r="H86">
        <v>16285</v>
      </c>
      <c r="I86">
        <v>13647</v>
      </c>
      <c r="J86">
        <v>-243.21</v>
      </c>
      <c r="K86">
        <v>-118.6</v>
      </c>
      <c r="L86">
        <v>-83.18000000000001</v>
      </c>
      <c r="M86">
        <v>20.02</v>
      </c>
      <c r="N86" t="b">
        <v>1</v>
      </c>
      <c r="O86">
        <v>0</v>
      </c>
      <c r="P86">
        <v>1236</v>
      </c>
      <c r="S86" t="s">
        <v>84</v>
      </c>
      <c r="T86" t="s">
        <v>405</v>
      </c>
      <c r="U86">
        <v>0</v>
      </c>
      <c r="V86">
        <v>-21.7</v>
      </c>
      <c r="W86" t="s">
        <v>722</v>
      </c>
      <c r="X86">
        <v>-1.007956655238018</v>
      </c>
      <c r="Y86">
        <v>643</v>
      </c>
      <c r="Z86">
        <v>29520</v>
      </c>
      <c r="AA86" t="s">
        <v>1039</v>
      </c>
      <c r="AB86">
        <v>38.47</v>
      </c>
      <c r="AC86" t="s">
        <v>1360</v>
      </c>
      <c r="AD86" t="s">
        <v>1681</v>
      </c>
      <c r="AE86">
        <v>1046</v>
      </c>
      <c r="AF86">
        <v>105</v>
      </c>
      <c r="AG86">
        <v>586897</v>
      </c>
      <c r="AH86">
        <v>3.74</v>
      </c>
    </row>
    <row r="87" spans="1:34">
      <c r="A87" s="2">
        <f>HYPERLINK("https://finance.naver.com/item/coinfo.nhn?code=065510", "A065510")</f>
        <v>0</v>
      </c>
      <c r="B87">
        <f>HYPERLINK("http://comp.fnguide.com/SVO2/ASP/SVD_Consensus.asp?pGB=1&amp;gicode=A065510&amp;cID=&amp;MenuYn=Y&amp;ReportGB=&amp;NewMenuID=108&amp;stkGb=701", "휴비츠")</f>
        <v>0</v>
      </c>
      <c r="C87">
        <v>3</v>
      </c>
      <c r="D87">
        <v>7470</v>
      </c>
      <c r="E87">
        <v>0</v>
      </c>
      <c r="F87">
        <v>12.57</v>
      </c>
      <c r="G87">
        <v>8522</v>
      </c>
      <c r="H87">
        <v>8389</v>
      </c>
      <c r="I87">
        <v>8351</v>
      </c>
      <c r="J87">
        <v>-14.08</v>
      </c>
      <c r="K87">
        <v>-12.3</v>
      </c>
      <c r="L87">
        <v>-11.8</v>
      </c>
      <c r="M87">
        <v>8.15</v>
      </c>
      <c r="N87" t="b">
        <v>1</v>
      </c>
      <c r="O87">
        <v>0</v>
      </c>
      <c r="P87">
        <v>663</v>
      </c>
      <c r="Q87">
        <v>-290</v>
      </c>
      <c r="R87">
        <v>-143.7</v>
      </c>
      <c r="S87" t="s">
        <v>85</v>
      </c>
      <c r="T87" t="s">
        <v>406</v>
      </c>
      <c r="U87">
        <v>0</v>
      </c>
      <c r="V87">
        <v>0</v>
      </c>
      <c r="W87" t="s">
        <v>723</v>
      </c>
      <c r="X87">
        <v>3.614355426339744</v>
      </c>
      <c r="Y87">
        <v>888</v>
      </c>
      <c r="Z87">
        <v>164246</v>
      </c>
      <c r="AA87" t="s">
        <v>1040</v>
      </c>
      <c r="AB87">
        <v>26.62</v>
      </c>
      <c r="AC87" t="s">
        <v>1361</v>
      </c>
      <c r="AD87" t="s">
        <v>1682</v>
      </c>
      <c r="AE87">
        <v>880</v>
      </c>
      <c r="AF87">
        <v>117</v>
      </c>
      <c r="AG87">
        <v>1281476</v>
      </c>
      <c r="AH87">
        <v>1.8</v>
      </c>
    </row>
    <row r="88" spans="1:34">
      <c r="A88" s="2">
        <f>HYPERLINK("https://finance.naver.com/item/coinfo.nhn?code=190650", "A190650")</f>
        <v>0</v>
      </c>
      <c r="B88">
        <f>HYPERLINK("http://comp.fnguide.com/SVO2/ASP/SVD_Consensus.asp?pGB=1&amp;gicode=A190650&amp;cID=&amp;MenuYn=Y&amp;ReportGB=&amp;NewMenuID=108&amp;stkGb=701", "코리아에셋투자증권")</f>
        <v>0</v>
      </c>
      <c r="C88">
        <v>3</v>
      </c>
      <c r="D88">
        <v>7550</v>
      </c>
      <c r="E88">
        <v>0</v>
      </c>
      <c r="F88">
        <v>4.5</v>
      </c>
      <c r="G88">
        <v>15641</v>
      </c>
      <c r="H88">
        <v>12786</v>
      </c>
      <c r="I88">
        <v>11974</v>
      </c>
      <c r="J88">
        <v>-107.17</v>
      </c>
      <c r="K88">
        <v>-69.34999999999999</v>
      </c>
      <c r="L88">
        <v>-58.6</v>
      </c>
      <c r="M88">
        <v>11.4</v>
      </c>
      <c r="N88" t="b">
        <v>1</v>
      </c>
      <c r="O88">
        <v>0</v>
      </c>
      <c r="P88">
        <v>1207</v>
      </c>
      <c r="S88" t="s">
        <v>86</v>
      </c>
      <c r="T88" t="s">
        <v>407</v>
      </c>
      <c r="U88">
        <v>0</v>
      </c>
      <c r="V88">
        <v>17.4</v>
      </c>
      <c r="W88" t="s">
        <v>724</v>
      </c>
      <c r="X88">
        <v>13.29630875068155</v>
      </c>
      <c r="Y88">
        <v>482</v>
      </c>
      <c r="Z88">
        <v>20524</v>
      </c>
      <c r="AA88" t="s">
        <v>1041</v>
      </c>
      <c r="AB88">
        <v>51.42</v>
      </c>
      <c r="AC88" t="s">
        <v>1362</v>
      </c>
      <c r="AD88" t="s">
        <v>1683</v>
      </c>
      <c r="AE88">
        <v>560</v>
      </c>
      <c r="AF88">
        <v>94</v>
      </c>
      <c r="AH88">
        <v>5.52</v>
      </c>
    </row>
    <row r="89" spans="1:34">
      <c r="A89" s="2">
        <f>HYPERLINK("https://finance.naver.com/item/coinfo.nhn?code=900310", "A900310")</f>
        <v>0</v>
      </c>
      <c r="B89">
        <f>HYPERLINK("http://comp.fnguide.com/SVO2/ASP/SVD_Consensus.asp?pGB=1&amp;gicode=A900310&amp;cID=&amp;MenuYn=Y&amp;ReportGB=&amp;NewMenuID=108&amp;stkGb=701", "컬러레이")</f>
        <v>0</v>
      </c>
      <c r="C89">
        <v>3</v>
      </c>
      <c r="D89">
        <v>2145</v>
      </c>
      <c r="E89">
        <v>0</v>
      </c>
      <c r="F89">
        <v>4.15</v>
      </c>
      <c r="G89">
        <v>7718</v>
      </c>
      <c r="H89">
        <v>4838</v>
      </c>
      <c r="I89">
        <v>4020</v>
      </c>
      <c r="J89">
        <v>-259.82</v>
      </c>
      <c r="K89">
        <v>-125.56</v>
      </c>
      <c r="L89">
        <v>-87.40000000000001</v>
      </c>
      <c r="M89">
        <v>20.91</v>
      </c>
      <c r="N89" t="b">
        <v>0</v>
      </c>
      <c r="O89">
        <v>0</v>
      </c>
      <c r="P89">
        <v>448</v>
      </c>
      <c r="S89" t="s">
        <v>87</v>
      </c>
      <c r="T89" t="s">
        <v>408</v>
      </c>
      <c r="U89">
        <v>0</v>
      </c>
      <c r="V89">
        <v>-22.9</v>
      </c>
      <c r="W89" t="s">
        <v>725</v>
      </c>
      <c r="X89">
        <v>-80.13095845669149</v>
      </c>
      <c r="Y89">
        <v>1158</v>
      </c>
      <c r="Z89">
        <v>539793</v>
      </c>
      <c r="AA89" t="s">
        <v>1042</v>
      </c>
      <c r="AB89">
        <v>54.03</v>
      </c>
      <c r="AC89" t="s">
        <v>1363</v>
      </c>
      <c r="AD89" t="s">
        <v>1684</v>
      </c>
      <c r="AE89">
        <v>509</v>
      </c>
      <c r="AF89">
        <v>276</v>
      </c>
    </row>
    <row r="90" spans="1:34">
      <c r="A90" s="2">
        <f>HYPERLINK("https://finance.naver.com/item/coinfo.nhn?code=083930", "A083930")</f>
        <v>0</v>
      </c>
      <c r="B90">
        <f>HYPERLINK("http://comp.fnguide.com/SVO2/ASP/SVD_Consensus.asp?pGB=1&amp;gicode=A083930&amp;cID=&amp;MenuYn=Y&amp;ReportGB=&amp;NewMenuID=108&amp;stkGb=701", "아바코")</f>
        <v>0</v>
      </c>
      <c r="C90">
        <v>3</v>
      </c>
      <c r="D90">
        <v>9450</v>
      </c>
      <c r="E90">
        <v>0</v>
      </c>
      <c r="F90">
        <v>5.07</v>
      </c>
      <c r="G90">
        <v>19483</v>
      </c>
      <c r="H90">
        <v>13794</v>
      </c>
      <c r="I90">
        <v>12177</v>
      </c>
      <c r="J90">
        <v>-106.17</v>
      </c>
      <c r="K90">
        <v>-45.97</v>
      </c>
      <c r="L90">
        <v>-28.86</v>
      </c>
      <c r="M90">
        <v>15.43</v>
      </c>
      <c r="N90" t="b">
        <v>1</v>
      </c>
      <c r="O90">
        <v>0</v>
      </c>
      <c r="P90">
        <v>1225</v>
      </c>
      <c r="S90" t="s">
        <v>88</v>
      </c>
      <c r="T90" t="s">
        <v>409</v>
      </c>
      <c r="U90">
        <v>0</v>
      </c>
      <c r="V90">
        <v>-1.2</v>
      </c>
      <c r="W90" t="s">
        <v>726</v>
      </c>
      <c r="X90">
        <v>2.273231801321018</v>
      </c>
      <c r="Y90">
        <v>1457</v>
      </c>
      <c r="Z90">
        <v>127195</v>
      </c>
      <c r="AA90" t="s">
        <v>1043</v>
      </c>
      <c r="AB90">
        <v>27.48</v>
      </c>
      <c r="AC90" t="s">
        <v>1364</v>
      </c>
      <c r="AD90" t="s">
        <v>1685</v>
      </c>
      <c r="AE90">
        <v>2261</v>
      </c>
      <c r="AF90">
        <v>233</v>
      </c>
      <c r="AG90">
        <v>2408960</v>
      </c>
      <c r="AH90">
        <v>4.83</v>
      </c>
    </row>
    <row r="91" spans="1:34">
      <c r="A91" s="2">
        <f>HYPERLINK("https://finance.naver.com/item/coinfo.nhn?code=004650", "A004650")</f>
        <v>0</v>
      </c>
      <c r="B91">
        <f>HYPERLINK("http://comp.fnguide.com/SVO2/ASP/SVD_Consensus.asp?pGB=1&amp;gicode=A004650&amp;cID=&amp;MenuYn=Y&amp;ReportGB=&amp;NewMenuID=108&amp;stkGb=701", "창해에탄올")</f>
        <v>0</v>
      </c>
      <c r="C91">
        <v>3</v>
      </c>
      <c r="D91">
        <v>14100</v>
      </c>
      <c r="E91">
        <v>0</v>
      </c>
      <c r="F91">
        <v>5.39</v>
      </c>
      <c r="G91">
        <v>23131</v>
      </c>
      <c r="H91">
        <v>19079</v>
      </c>
      <c r="I91">
        <v>17927</v>
      </c>
      <c r="J91">
        <v>-64.05</v>
      </c>
      <c r="K91">
        <v>-35.31</v>
      </c>
      <c r="L91">
        <v>-27.14</v>
      </c>
      <c r="M91">
        <v>11.2</v>
      </c>
      <c r="N91" t="b">
        <v>1</v>
      </c>
      <c r="O91">
        <v>0</v>
      </c>
      <c r="P91">
        <v>2328</v>
      </c>
      <c r="S91" t="s">
        <v>89</v>
      </c>
      <c r="T91" t="s">
        <v>410</v>
      </c>
      <c r="U91">
        <v>0</v>
      </c>
      <c r="V91">
        <v>-11.1</v>
      </c>
      <c r="W91" t="s">
        <v>727</v>
      </c>
      <c r="X91">
        <v>6.684310267165183</v>
      </c>
      <c r="Y91">
        <v>1296</v>
      </c>
      <c r="Z91">
        <v>1928872</v>
      </c>
      <c r="AA91" t="s">
        <v>1044</v>
      </c>
      <c r="AB91">
        <v>27.13</v>
      </c>
      <c r="AC91" t="s">
        <v>1365</v>
      </c>
      <c r="AD91" t="s">
        <v>1686</v>
      </c>
      <c r="AE91">
        <v>1873</v>
      </c>
      <c r="AF91">
        <v>89</v>
      </c>
      <c r="AG91">
        <v>1603534</v>
      </c>
      <c r="AH91">
        <v>4.78</v>
      </c>
    </row>
    <row r="92" spans="1:34">
      <c r="A92" s="2">
        <f>HYPERLINK("https://finance.naver.com/item/coinfo.nhn?code=052790", "A052790")</f>
        <v>0</v>
      </c>
      <c r="B92">
        <f>HYPERLINK("http://comp.fnguide.com/SVO2/ASP/SVD_Consensus.asp?pGB=1&amp;gicode=A052790&amp;cID=&amp;MenuYn=Y&amp;ReportGB=&amp;NewMenuID=108&amp;stkGb=701", "액토즈소프트")</f>
        <v>0</v>
      </c>
      <c r="C92">
        <v>3</v>
      </c>
      <c r="D92">
        <v>9960</v>
      </c>
      <c r="E92">
        <v>0</v>
      </c>
      <c r="F92">
        <v>6.82</v>
      </c>
      <c r="G92">
        <v>13452</v>
      </c>
      <c r="H92">
        <v>11863</v>
      </c>
      <c r="I92">
        <v>11411</v>
      </c>
      <c r="J92">
        <v>-35.06</v>
      </c>
      <c r="K92">
        <v>-19.1</v>
      </c>
      <c r="L92">
        <v>-14.57</v>
      </c>
      <c r="M92">
        <v>9.880000000000001</v>
      </c>
      <c r="N92" t="b">
        <v>1</v>
      </c>
      <c r="O92">
        <v>0</v>
      </c>
      <c r="P92">
        <v>1833</v>
      </c>
      <c r="S92" t="s">
        <v>90</v>
      </c>
      <c r="T92" t="s">
        <v>411</v>
      </c>
      <c r="U92">
        <v>0</v>
      </c>
      <c r="V92">
        <v>-13.7</v>
      </c>
      <c r="W92" t="s">
        <v>728</v>
      </c>
      <c r="X92">
        <v>-13.7</v>
      </c>
      <c r="Y92">
        <v>1129</v>
      </c>
      <c r="Z92">
        <v>162948</v>
      </c>
      <c r="AA92" t="s">
        <v>1045</v>
      </c>
      <c r="AB92">
        <v>51.08</v>
      </c>
      <c r="AC92" t="s">
        <v>1366</v>
      </c>
      <c r="AD92" t="s">
        <v>1687</v>
      </c>
      <c r="AE92">
        <v>627</v>
      </c>
      <c r="AF92">
        <v>257</v>
      </c>
      <c r="AG92">
        <v>406091</v>
      </c>
    </row>
    <row r="93" spans="1:34">
      <c r="A93" s="2">
        <f>HYPERLINK("https://finance.naver.com/item/coinfo.nhn?code=290740", "A290740")</f>
        <v>0</v>
      </c>
      <c r="B93">
        <f>HYPERLINK("http://comp.fnguide.com/SVO2/ASP/SVD_Consensus.asp?pGB=1&amp;gicode=A290740&amp;cID=&amp;MenuYn=Y&amp;ReportGB=&amp;NewMenuID=108&amp;stkGb=701", "액트로")</f>
        <v>0</v>
      </c>
      <c r="C93">
        <v>3</v>
      </c>
      <c r="D93">
        <v>10200</v>
      </c>
      <c r="E93">
        <v>0</v>
      </c>
      <c r="F93">
        <v>9.99</v>
      </c>
      <c r="G93">
        <v>26840</v>
      </c>
      <c r="H93">
        <v>15305</v>
      </c>
      <c r="I93">
        <v>12026</v>
      </c>
      <c r="J93">
        <v>-163.14</v>
      </c>
      <c r="K93">
        <v>-50.04</v>
      </c>
      <c r="L93">
        <v>-17.91</v>
      </c>
      <c r="M93">
        <v>27.79</v>
      </c>
      <c r="N93" t="b">
        <v>1</v>
      </c>
      <c r="O93">
        <v>0</v>
      </c>
      <c r="P93">
        <v>1461</v>
      </c>
      <c r="S93" t="s">
        <v>91</v>
      </c>
      <c r="T93" t="s">
        <v>412</v>
      </c>
      <c r="U93">
        <v>0</v>
      </c>
      <c r="V93">
        <v>-71.40000000000001</v>
      </c>
      <c r="W93" t="s">
        <v>729</v>
      </c>
      <c r="X93">
        <v>-5.808049261906911</v>
      </c>
      <c r="Y93">
        <v>1027</v>
      </c>
      <c r="Z93">
        <v>43170</v>
      </c>
      <c r="AA93" t="s">
        <v>1046</v>
      </c>
      <c r="AB93">
        <v>37.87</v>
      </c>
      <c r="AC93" t="s">
        <v>1367</v>
      </c>
      <c r="AD93" t="s">
        <v>1688</v>
      </c>
      <c r="AE93">
        <v>1078</v>
      </c>
      <c r="AF93">
        <v>130</v>
      </c>
      <c r="AG93">
        <v>153257</v>
      </c>
      <c r="AH93">
        <v>1.37</v>
      </c>
    </row>
    <row r="94" spans="1:34">
      <c r="A94" s="2">
        <f>HYPERLINK("https://finance.naver.com/item/coinfo.nhn?code=255440", "A255440")</f>
        <v>0</v>
      </c>
      <c r="B94">
        <f>HYPERLINK("http://comp.fnguide.com/SVO2/ASP/SVD_Consensus.asp?pGB=1&amp;gicode=A255440&amp;cID=&amp;MenuYn=Y&amp;ReportGB=&amp;NewMenuID=108&amp;stkGb=701", "야스")</f>
        <v>0</v>
      </c>
      <c r="C94">
        <v>3</v>
      </c>
      <c r="D94">
        <v>12550</v>
      </c>
      <c r="E94">
        <v>0</v>
      </c>
      <c r="F94">
        <v>15.72</v>
      </c>
      <c r="G94">
        <v>27452</v>
      </c>
      <c r="H94">
        <v>17908</v>
      </c>
      <c r="I94">
        <v>15196</v>
      </c>
      <c r="J94">
        <v>-118.74</v>
      </c>
      <c r="K94">
        <v>-42.7</v>
      </c>
      <c r="L94">
        <v>-21.09</v>
      </c>
      <c r="M94">
        <v>18.81</v>
      </c>
      <c r="N94" t="b">
        <v>1</v>
      </c>
      <c r="O94">
        <v>0</v>
      </c>
      <c r="P94">
        <v>1250</v>
      </c>
      <c r="S94" t="s">
        <v>92</v>
      </c>
      <c r="T94" t="s">
        <v>413</v>
      </c>
      <c r="U94">
        <v>0</v>
      </c>
      <c r="V94">
        <v>-32.1</v>
      </c>
      <c r="W94" t="s">
        <v>730</v>
      </c>
      <c r="X94">
        <v>53.89946982336158</v>
      </c>
      <c r="Y94">
        <v>1639</v>
      </c>
      <c r="Z94">
        <v>32769</v>
      </c>
      <c r="AA94" t="s">
        <v>1047</v>
      </c>
      <c r="AB94">
        <v>46.59</v>
      </c>
      <c r="AC94" t="s">
        <v>1368</v>
      </c>
      <c r="AD94" t="s">
        <v>1689</v>
      </c>
      <c r="AE94">
        <v>869</v>
      </c>
      <c r="AF94">
        <v>125</v>
      </c>
      <c r="AG94">
        <v>64180</v>
      </c>
      <c r="AH94">
        <v>0.76</v>
      </c>
    </row>
    <row r="95" spans="1:34">
      <c r="A95" s="2">
        <f>HYPERLINK("https://finance.naver.com/item/coinfo.nhn?code=030960", "A030960")</f>
        <v>0</v>
      </c>
      <c r="B95">
        <f>HYPERLINK("http://comp.fnguide.com/SVO2/ASP/SVD_Consensus.asp?pGB=1&amp;gicode=A030960&amp;cID=&amp;MenuYn=Y&amp;ReportGB=&amp;NewMenuID=108&amp;stkGb=701", "양지사")</f>
        <v>0</v>
      </c>
      <c r="C95">
        <v>3</v>
      </c>
      <c r="D95">
        <v>10150</v>
      </c>
      <c r="E95">
        <v>0</v>
      </c>
      <c r="F95">
        <v>1.28</v>
      </c>
      <c r="G95">
        <v>84479</v>
      </c>
      <c r="H95">
        <v>41924</v>
      </c>
      <c r="I95">
        <v>29831</v>
      </c>
      <c r="J95">
        <v>-732.3</v>
      </c>
      <c r="K95">
        <v>-313.05</v>
      </c>
      <c r="L95">
        <v>-193.9</v>
      </c>
      <c r="M95">
        <v>48.77</v>
      </c>
      <c r="N95" t="b">
        <v>1</v>
      </c>
      <c r="O95">
        <v>0</v>
      </c>
      <c r="P95">
        <v>7553</v>
      </c>
      <c r="S95" t="s">
        <v>93</v>
      </c>
      <c r="T95" t="s">
        <v>414</v>
      </c>
      <c r="U95">
        <v>0</v>
      </c>
      <c r="V95">
        <v>-25.1</v>
      </c>
      <c r="W95" t="s">
        <v>731</v>
      </c>
      <c r="X95">
        <v>99.76584356862139</v>
      </c>
      <c r="Y95">
        <v>1622</v>
      </c>
      <c r="Z95">
        <v>62034</v>
      </c>
      <c r="AA95" t="s">
        <v>1048</v>
      </c>
      <c r="AB95">
        <v>75.53</v>
      </c>
      <c r="AC95" t="s">
        <v>1369</v>
      </c>
      <c r="AD95" t="s">
        <v>1690</v>
      </c>
      <c r="AE95">
        <v>489</v>
      </c>
      <c r="AF95">
        <v>17</v>
      </c>
      <c r="AG95">
        <v>2243930</v>
      </c>
      <c r="AH95">
        <v>0.52</v>
      </c>
    </row>
    <row r="96" spans="1:34">
      <c r="A96" s="2">
        <f>HYPERLINK("https://finance.naver.com/item/coinfo.nhn?code=031330", "A031330")</f>
        <v>0</v>
      </c>
      <c r="B96">
        <f>HYPERLINK("http://comp.fnguide.com/SVO2/ASP/SVD_Consensus.asp?pGB=1&amp;gicode=A031330&amp;cID=&amp;MenuYn=Y&amp;ReportGB=&amp;NewMenuID=108&amp;stkGb=701", "에스에이엠티")</f>
        <v>0</v>
      </c>
      <c r="C96">
        <v>3</v>
      </c>
      <c r="D96">
        <v>2355</v>
      </c>
      <c r="E96">
        <v>0</v>
      </c>
      <c r="F96">
        <v>5.84</v>
      </c>
      <c r="G96">
        <v>4975</v>
      </c>
      <c r="H96">
        <v>3445</v>
      </c>
      <c r="I96">
        <v>3010</v>
      </c>
      <c r="J96">
        <v>-111.27</v>
      </c>
      <c r="K96">
        <v>-46.28</v>
      </c>
      <c r="L96">
        <v>-27.81</v>
      </c>
      <c r="M96">
        <v>16.25</v>
      </c>
      <c r="N96" t="b">
        <v>1</v>
      </c>
      <c r="O96">
        <v>0</v>
      </c>
      <c r="P96">
        <v>376</v>
      </c>
      <c r="S96" t="s">
        <v>94</v>
      </c>
      <c r="T96" t="s">
        <v>415</v>
      </c>
      <c r="U96">
        <v>0</v>
      </c>
      <c r="V96">
        <v>-1</v>
      </c>
      <c r="W96" t="s">
        <v>732</v>
      </c>
      <c r="X96">
        <v>-1.492149739999793</v>
      </c>
      <c r="Y96">
        <v>2355</v>
      </c>
      <c r="Z96">
        <v>626881</v>
      </c>
      <c r="AA96" t="s">
        <v>1049</v>
      </c>
      <c r="AB96">
        <v>50.02</v>
      </c>
      <c r="AC96" t="s">
        <v>1370</v>
      </c>
      <c r="AD96" t="s">
        <v>1691</v>
      </c>
      <c r="AE96">
        <v>12138</v>
      </c>
      <c r="AF96">
        <v>337</v>
      </c>
      <c r="AG96">
        <v>2000000</v>
      </c>
      <c r="AH96">
        <v>6.38</v>
      </c>
    </row>
    <row r="97" spans="1:34">
      <c r="A97" s="2">
        <f>HYPERLINK("https://finance.naver.com/item/coinfo.nhn?code=060540", "A060540")</f>
        <v>0</v>
      </c>
      <c r="B97">
        <f>HYPERLINK("http://comp.fnguide.com/SVO2/ASP/SVD_Consensus.asp?pGB=1&amp;gicode=A060540&amp;cID=&amp;MenuYn=Y&amp;ReportGB=&amp;NewMenuID=108&amp;stkGb=701", "에스에이티")</f>
        <v>0</v>
      </c>
      <c r="C97">
        <v>3</v>
      </c>
      <c r="D97">
        <v>2430</v>
      </c>
      <c r="E97">
        <v>0</v>
      </c>
      <c r="F97">
        <v>6.27</v>
      </c>
      <c r="G97">
        <v>4166</v>
      </c>
      <c r="H97">
        <v>3603</v>
      </c>
      <c r="I97">
        <v>3442</v>
      </c>
      <c r="J97">
        <v>-71.43000000000001</v>
      </c>
      <c r="K97">
        <v>-48.25</v>
      </c>
      <c r="L97">
        <v>-41.67</v>
      </c>
      <c r="M97">
        <v>10.24</v>
      </c>
      <c r="N97" t="b">
        <v>1</v>
      </c>
      <c r="O97">
        <v>0</v>
      </c>
      <c r="P97">
        <v>355</v>
      </c>
      <c r="S97" t="s">
        <v>95</v>
      </c>
      <c r="T97" t="s">
        <v>416</v>
      </c>
      <c r="U97">
        <v>0</v>
      </c>
      <c r="V97">
        <v>-55.3</v>
      </c>
      <c r="W97" t="s">
        <v>733</v>
      </c>
      <c r="X97">
        <v>-10.23321403604741</v>
      </c>
      <c r="Y97">
        <v>635</v>
      </c>
      <c r="Z97">
        <v>227365</v>
      </c>
      <c r="AA97" t="s">
        <v>1050</v>
      </c>
      <c r="AB97">
        <v>40.82</v>
      </c>
      <c r="AC97" t="s">
        <v>1371</v>
      </c>
      <c r="AD97" t="s">
        <v>1692</v>
      </c>
      <c r="AE97">
        <v>1402</v>
      </c>
      <c r="AF97">
        <v>100</v>
      </c>
      <c r="AG97">
        <v>372</v>
      </c>
      <c r="AH97">
        <v>2.25</v>
      </c>
    </row>
    <row r="98" spans="1:34">
      <c r="A98" s="2">
        <f>HYPERLINK("https://finance.naver.com/item/coinfo.nhn?code=069510", "A069510")</f>
        <v>0</v>
      </c>
      <c r="B98">
        <f>HYPERLINK("http://comp.fnguide.com/SVO2/ASP/SVD_Consensus.asp?pGB=1&amp;gicode=A069510&amp;cID=&amp;MenuYn=Y&amp;ReportGB=&amp;NewMenuID=108&amp;stkGb=701", "에스텍")</f>
        <v>0</v>
      </c>
      <c r="C98">
        <v>3</v>
      </c>
      <c r="D98">
        <v>9950</v>
      </c>
      <c r="E98">
        <v>-3.57</v>
      </c>
      <c r="F98">
        <v>7.39</v>
      </c>
      <c r="G98">
        <v>28248</v>
      </c>
      <c r="H98">
        <v>22269</v>
      </c>
      <c r="I98">
        <v>20570</v>
      </c>
      <c r="J98">
        <v>-183.9</v>
      </c>
      <c r="K98">
        <v>-123.81</v>
      </c>
      <c r="L98">
        <v>-106.74</v>
      </c>
      <c r="M98">
        <v>12.25</v>
      </c>
      <c r="N98" t="b">
        <v>1</v>
      </c>
      <c r="O98">
        <v>0</v>
      </c>
      <c r="P98">
        <v>1576</v>
      </c>
      <c r="Q98">
        <v>852</v>
      </c>
      <c r="R98">
        <v>-45.9</v>
      </c>
      <c r="S98" t="s">
        <v>96</v>
      </c>
      <c r="T98" t="s">
        <v>417</v>
      </c>
      <c r="U98">
        <v>-2.068742224428166</v>
      </c>
      <c r="V98">
        <v>-42.3</v>
      </c>
      <c r="W98" t="s">
        <v>734</v>
      </c>
      <c r="X98">
        <v>-6.882988019714242</v>
      </c>
      <c r="Y98">
        <v>1086</v>
      </c>
      <c r="Z98">
        <v>11671</v>
      </c>
      <c r="AA98" t="s">
        <v>1051</v>
      </c>
      <c r="AB98">
        <v>49.55</v>
      </c>
      <c r="AC98" t="s">
        <v>1372</v>
      </c>
      <c r="AD98" t="s">
        <v>1693</v>
      </c>
      <c r="AE98">
        <v>3380</v>
      </c>
      <c r="AF98">
        <v>175</v>
      </c>
      <c r="AG98">
        <v>2500000</v>
      </c>
      <c r="AH98">
        <v>5.15</v>
      </c>
    </row>
    <row r="99" spans="1:34">
      <c r="A99" s="2">
        <f>HYPERLINK("https://finance.naver.com/item/coinfo.nhn?code=003800", "A003800")</f>
        <v>0</v>
      </c>
      <c r="B99">
        <f>HYPERLINK("http://comp.fnguide.com/SVO2/ASP/SVD_Consensus.asp?pGB=1&amp;gicode=A003800&amp;cID=&amp;MenuYn=Y&amp;ReportGB=&amp;NewMenuID=108&amp;stkGb=701", "에이스침대")</f>
        <v>0</v>
      </c>
      <c r="C99">
        <v>3</v>
      </c>
      <c r="D99">
        <v>39150</v>
      </c>
      <c r="E99">
        <v>0.48</v>
      </c>
      <c r="F99">
        <v>8.77</v>
      </c>
      <c r="G99">
        <v>49037</v>
      </c>
      <c r="H99">
        <v>47028</v>
      </c>
      <c r="I99">
        <v>46458</v>
      </c>
      <c r="J99">
        <v>-25.25</v>
      </c>
      <c r="K99">
        <v>-20.12</v>
      </c>
      <c r="L99">
        <v>-18.67</v>
      </c>
      <c r="M99">
        <v>8.52</v>
      </c>
      <c r="N99" t="b">
        <v>1</v>
      </c>
      <c r="O99">
        <v>0</v>
      </c>
      <c r="P99">
        <v>3987</v>
      </c>
      <c r="Q99">
        <v>3968</v>
      </c>
      <c r="R99">
        <v>-0.5</v>
      </c>
      <c r="S99" t="s">
        <v>97</v>
      </c>
      <c r="T99" t="s">
        <v>418</v>
      </c>
      <c r="U99">
        <v>18.45715186654524</v>
      </c>
      <c r="V99">
        <v>-7.7</v>
      </c>
      <c r="W99" t="s">
        <v>735</v>
      </c>
      <c r="X99">
        <v>6.02103981867359</v>
      </c>
      <c r="Y99">
        <v>4342</v>
      </c>
      <c r="Z99">
        <v>1754</v>
      </c>
      <c r="AA99" t="s">
        <v>1052</v>
      </c>
      <c r="AB99">
        <v>79.56</v>
      </c>
      <c r="AC99" t="s">
        <v>1373</v>
      </c>
      <c r="AD99" t="s">
        <v>1694</v>
      </c>
      <c r="AE99">
        <v>2774</v>
      </c>
      <c r="AF99">
        <v>499</v>
      </c>
      <c r="AG99">
        <v>838055</v>
      </c>
      <c r="AH99">
        <v>3.15</v>
      </c>
    </row>
    <row r="100" spans="1:34">
      <c r="A100" s="2">
        <f>HYPERLINK("https://finance.naver.com/item/coinfo.nhn?code=009780", "A009780")</f>
        <v>0</v>
      </c>
      <c r="B100">
        <f>HYPERLINK("http://comp.fnguide.com/SVO2/ASP/SVD_Consensus.asp?pGB=1&amp;gicode=A009780&amp;cID=&amp;MenuYn=Y&amp;ReportGB=&amp;NewMenuID=108&amp;stkGb=701", "엠에스씨")</f>
        <v>0</v>
      </c>
      <c r="C100">
        <v>3</v>
      </c>
      <c r="D100">
        <v>4900</v>
      </c>
      <c r="E100">
        <v>0</v>
      </c>
      <c r="F100">
        <v>7.09</v>
      </c>
      <c r="G100">
        <v>9343</v>
      </c>
      <c r="H100">
        <v>6808</v>
      </c>
      <c r="I100">
        <v>6088</v>
      </c>
      <c r="J100">
        <v>-90.67</v>
      </c>
      <c r="K100">
        <v>-38.95</v>
      </c>
      <c r="L100">
        <v>-24.25</v>
      </c>
      <c r="M100">
        <v>14.46</v>
      </c>
      <c r="N100" t="b">
        <v>1</v>
      </c>
      <c r="O100">
        <v>0</v>
      </c>
      <c r="P100">
        <v>668</v>
      </c>
      <c r="S100" t="s">
        <v>98</v>
      </c>
      <c r="T100" t="s">
        <v>419</v>
      </c>
      <c r="U100">
        <v>0</v>
      </c>
      <c r="V100">
        <v>-3.9</v>
      </c>
      <c r="W100" t="s">
        <v>736</v>
      </c>
      <c r="X100">
        <v>17.00481504585123</v>
      </c>
      <c r="Y100">
        <v>862</v>
      </c>
      <c r="Z100">
        <v>168007</v>
      </c>
      <c r="AA100" t="s">
        <v>1053</v>
      </c>
      <c r="AB100">
        <v>73.22</v>
      </c>
      <c r="AC100" t="s">
        <v>1374</v>
      </c>
      <c r="AD100" t="s">
        <v>1695</v>
      </c>
      <c r="AE100">
        <v>1492</v>
      </c>
      <c r="AF100">
        <v>147</v>
      </c>
      <c r="AH100">
        <v>1.27</v>
      </c>
    </row>
    <row r="101" spans="1:34">
      <c r="A101" s="2">
        <f>HYPERLINK("https://finance.naver.com/item/coinfo.nhn?code=900300", "A900300")</f>
        <v>0</v>
      </c>
      <c r="B101">
        <f>HYPERLINK("http://comp.fnguide.com/SVO2/ASP/SVD_Consensus.asp?pGB=1&amp;gicode=A900300&amp;cID=&amp;MenuYn=Y&amp;ReportGB=&amp;NewMenuID=108&amp;stkGb=701", "오가닉티코스메틱")</f>
        <v>0</v>
      </c>
      <c r="C101">
        <v>3</v>
      </c>
      <c r="D101">
        <v>680</v>
      </c>
      <c r="E101">
        <v>0</v>
      </c>
      <c r="F101">
        <v>2.6</v>
      </c>
      <c r="G101">
        <v>8811</v>
      </c>
      <c r="H101">
        <v>6094</v>
      </c>
      <c r="I101">
        <v>5321</v>
      </c>
      <c r="J101">
        <v>-1195.77</v>
      </c>
      <c r="K101">
        <v>-796.11</v>
      </c>
      <c r="L101">
        <v>-682.53</v>
      </c>
      <c r="M101">
        <v>16.29</v>
      </c>
      <c r="N101" t="b">
        <v>0</v>
      </c>
      <c r="O101">
        <v>0</v>
      </c>
      <c r="P101">
        <v>559</v>
      </c>
      <c r="S101" t="s">
        <v>99</v>
      </c>
      <c r="T101" t="s">
        <v>420</v>
      </c>
      <c r="U101">
        <v>0</v>
      </c>
      <c r="V101">
        <v>-58.5</v>
      </c>
      <c r="W101" t="s">
        <v>737</v>
      </c>
      <c r="X101">
        <v>-22.37931695371097</v>
      </c>
      <c r="Y101">
        <v>438</v>
      </c>
      <c r="Z101">
        <v>832227</v>
      </c>
      <c r="AA101" t="s">
        <v>1054</v>
      </c>
      <c r="AB101">
        <v>16.13</v>
      </c>
      <c r="AC101" t="s">
        <v>1375</v>
      </c>
      <c r="AD101" t="s">
        <v>1696</v>
      </c>
      <c r="AE101">
        <v>2996</v>
      </c>
      <c r="AF101">
        <v>459</v>
      </c>
    </row>
    <row r="102" spans="1:34">
      <c r="A102" s="2">
        <f>HYPERLINK("https://finance.naver.com/item/coinfo.nhn?code=045060", "A045060")</f>
        <v>0</v>
      </c>
      <c r="B102">
        <f>HYPERLINK("http://comp.fnguide.com/SVO2/ASP/SVD_Consensus.asp?pGB=1&amp;gicode=A045060&amp;cID=&amp;MenuYn=Y&amp;ReportGB=&amp;NewMenuID=108&amp;stkGb=701", "오공")</f>
        <v>0</v>
      </c>
      <c r="C102">
        <v>3</v>
      </c>
      <c r="D102">
        <v>4765</v>
      </c>
      <c r="E102">
        <v>0</v>
      </c>
      <c r="F102">
        <v>7.63</v>
      </c>
      <c r="G102">
        <v>5874</v>
      </c>
      <c r="H102">
        <v>5181</v>
      </c>
      <c r="I102">
        <v>4984</v>
      </c>
      <c r="J102">
        <v>-23.27</v>
      </c>
      <c r="K102">
        <v>-8.74</v>
      </c>
      <c r="L102">
        <v>-4.61</v>
      </c>
      <c r="M102">
        <v>9.880000000000001</v>
      </c>
      <c r="N102" t="b">
        <v>1</v>
      </c>
      <c r="O102">
        <v>0</v>
      </c>
      <c r="P102">
        <v>442</v>
      </c>
      <c r="S102" t="s">
        <v>100</v>
      </c>
      <c r="T102" t="s">
        <v>421</v>
      </c>
      <c r="U102">
        <v>0</v>
      </c>
      <c r="V102">
        <v>6.7</v>
      </c>
      <c r="W102" t="s">
        <v>738</v>
      </c>
      <c r="X102">
        <v>21.93538968525355</v>
      </c>
      <c r="Y102">
        <v>807</v>
      </c>
      <c r="Z102">
        <v>229791</v>
      </c>
      <c r="AA102" t="s">
        <v>1055</v>
      </c>
      <c r="AB102">
        <v>30.96</v>
      </c>
      <c r="AC102" t="s">
        <v>1376</v>
      </c>
      <c r="AD102" t="s">
        <v>1697</v>
      </c>
      <c r="AE102">
        <v>1519</v>
      </c>
      <c r="AF102">
        <v>89</v>
      </c>
      <c r="AG102">
        <v>87473</v>
      </c>
      <c r="AH102">
        <v>1.48</v>
      </c>
    </row>
    <row r="103" spans="1:34">
      <c r="A103" s="2">
        <f>HYPERLINK("https://finance.naver.com/item/coinfo.nhn?code=010470", "A010470")</f>
        <v>0</v>
      </c>
      <c r="B103">
        <f>HYPERLINK("http://comp.fnguide.com/SVO2/ASP/SVD_Consensus.asp?pGB=1&amp;gicode=A010470&amp;cID=&amp;MenuYn=Y&amp;ReportGB=&amp;NewMenuID=108&amp;stkGb=701", "오리콤")</f>
        <v>0</v>
      </c>
      <c r="C103">
        <v>3</v>
      </c>
      <c r="D103">
        <v>6130</v>
      </c>
      <c r="E103">
        <v>0</v>
      </c>
      <c r="F103">
        <v>9.69</v>
      </c>
      <c r="G103">
        <v>7807</v>
      </c>
      <c r="H103">
        <v>7457</v>
      </c>
      <c r="I103">
        <v>7357</v>
      </c>
      <c r="J103">
        <v>-27.36</v>
      </c>
      <c r="K103">
        <v>-21.64</v>
      </c>
      <c r="L103">
        <v>-20.02</v>
      </c>
      <c r="M103">
        <v>8.58</v>
      </c>
      <c r="N103" t="b">
        <v>0</v>
      </c>
      <c r="O103">
        <v>0</v>
      </c>
      <c r="P103">
        <v>515</v>
      </c>
      <c r="S103" t="s">
        <v>101</v>
      </c>
      <c r="T103" t="s">
        <v>422</v>
      </c>
      <c r="U103">
        <v>0</v>
      </c>
      <c r="V103">
        <v>0</v>
      </c>
      <c r="W103" t="s">
        <v>739</v>
      </c>
      <c r="X103">
        <v>19.27306272420797</v>
      </c>
      <c r="Y103">
        <v>717</v>
      </c>
      <c r="Z103">
        <v>306074</v>
      </c>
      <c r="AA103" t="s">
        <v>1056</v>
      </c>
      <c r="AB103">
        <v>62.87</v>
      </c>
      <c r="AC103" t="s">
        <v>1377</v>
      </c>
      <c r="AD103" t="s">
        <v>1698</v>
      </c>
      <c r="AE103">
        <v>1985</v>
      </c>
      <c r="AF103">
        <v>80</v>
      </c>
      <c r="AG103">
        <v>370315</v>
      </c>
      <c r="AH103">
        <v>4.41</v>
      </c>
    </row>
    <row r="104" spans="1:34">
      <c r="A104" s="2">
        <f>HYPERLINK("https://finance.naver.com/item/coinfo.nhn?code=057540", "A057540")</f>
        <v>0</v>
      </c>
      <c r="B104">
        <f>HYPERLINK("http://comp.fnguide.com/SVO2/ASP/SVD_Consensus.asp?pGB=1&amp;gicode=A057540&amp;cID=&amp;MenuYn=Y&amp;ReportGB=&amp;NewMenuID=108&amp;stkGb=701", "옴니시스템")</f>
        <v>0</v>
      </c>
      <c r="C104">
        <v>3</v>
      </c>
      <c r="D104">
        <v>2560</v>
      </c>
      <c r="E104">
        <v>-0.09</v>
      </c>
      <c r="F104">
        <v>4.24</v>
      </c>
      <c r="G104">
        <v>4027</v>
      </c>
      <c r="H104">
        <v>2977</v>
      </c>
      <c r="I104">
        <v>2679</v>
      </c>
      <c r="J104">
        <v>-57.31</v>
      </c>
      <c r="K104">
        <v>-16.29</v>
      </c>
      <c r="L104">
        <v>-4.63</v>
      </c>
      <c r="M104">
        <v>14.01</v>
      </c>
      <c r="N104" t="b">
        <v>1</v>
      </c>
      <c r="O104">
        <v>0</v>
      </c>
      <c r="P104">
        <v>463</v>
      </c>
      <c r="Q104">
        <v>23</v>
      </c>
      <c r="R104">
        <v>-95</v>
      </c>
      <c r="S104" t="s">
        <v>102</v>
      </c>
      <c r="T104" t="s">
        <v>423</v>
      </c>
      <c r="U104">
        <v>-46.95098873291968</v>
      </c>
      <c r="V104">
        <v>-97.5</v>
      </c>
      <c r="W104" t="s">
        <v>740</v>
      </c>
      <c r="X104">
        <v>-42.69491372534636</v>
      </c>
      <c r="Y104">
        <v>1115</v>
      </c>
      <c r="Z104">
        <v>1266746</v>
      </c>
      <c r="AA104" t="s">
        <v>1057</v>
      </c>
      <c r="AB104">
        <v>19.93</v>
      </c>
      <c r="AC104" t="s">
        <v>1378</v>
      </c>
      <c r="AD104" t="s">
        <v>1699</v>
      </c>
      <c r="AE104">
        <v>940</v>
      </c>
      <c r="AF104">
        <v>-20</v>
      </c>
      <c r="AG104">
        <v>2105261</v>
      </c>
    </row>
    <row r="105" spans="1:34">
      <c r="A105" s="2">
        <f>HYPERLINK("https://finance.naver.com/item/coinfo.nhn?code=073560", "A073560")</f>
        <v>0</v>
      </c>
      <c r="B105">
        <f>HYPERLINK("http://comp.fnguide.com/SVO2/ASP/SVD_Consensus.asp?pGB=1&amp;gicode=A073560&amp;cID=&amp;MenuYn=Y&amp;ReportGB=&amp;NewMenuID=108&amp;stkGb=701", "우리손에프앤지")</f>
        <v>0</v>
      </c>
      <c r="C105">
        <v>3</v>
      </c>
      <c r="D105">
        <v>2040</v>
      </c>
      <c r="E105">
        <v>0</v>
      </c>
      <c r="F105">
        <v>33.25</v>
      </c>
      <c r="G105">
        <v>3154</v>
      </c>
      <c r="H105">
        <v>2847</v>
      </c>
      <c r="I105">
        <v>2760</v>
      </c>
      <c r="J105">
        <v>-54.59</v>
      </c>
      <c r="K105">
        <v>-39.57</v>
      </c>
      <c r="L105">
        <v>-35.31</v>
      </c>
      <c r="M105">
        <v>9.470000000000001</v>
      </c>
      <c r="N105" t="b">
        <v>1</v>
      </c>
      <c r="O105">
        <v>0</v>
      </c>
      <c r="P105">
        <v>61</v>
      </c>
      <c r="S105" t="s">
        <v>103</v>
      </c>
      <c r="T105" t="s">
        <v>424</v>
      </c>
      <c r="U105">
        <v>0</v>
      </c>
      <c r="V105">
        <v>24.2</v>
      </c>
      <c r="W105" t="s">
        <v>741</v>
      </c>
      <c r="X105">
        <v>-27.97971846638403</v>
      </c>
      <c r="Y105">
        <v>1412</v>
      </c>
      <c r="Z105">
        <v>1212141</v>
      </c>
      <c r="AA105" t="s">
        <v>1058</v>
      </c>
      <c r="AB105">
        <v>49.69</v>
      </c>
      <c r="AC105" t="s">
        <v>1379</v>
      </c>
      <c r="AD105" t="s">
        <v>1700</v>
      </c>
      <c r="AE105">
        <v>2252</v>
      </c>
      <c r="AF105">
        <v>102</v>
      </c>
      <c r="AH105">
        <v>1.24</v>
      </c>
    </row>
    <row r="106" spans="1:34">
      <c r="A106" s="2">
        <f>HYPERLINK("https://finance.naver.com/item/coinfo.nhn?code=900340", "A900340")</f>
        <v>0</v>
      </c>
      <c r="B106">
        <f>HYPERLINK("http://comp.fnguide.com/SVO2/ASP/SVD_Consensus.asp?pGB=1&amp;gicode=A900340&amp;cID=&amp;MenuYn=Y&amp;ReportGB=&amp;NewMenuID=108&amp;stkGb=701", "윙입푸드")</f>
        <v>0</v>
      </c>
      <c r="C106">
        <v>3</v>
      </c>
      <c r="D106">
        <v>1445</v>
      </c>
      <c r="E106">
        <v>0</v>
      </c>
      <c r="F106">
        <v>9.08</v>
      </c>
      <c r="G106">
        <v>6142</v>
      </c>
      <c r="H106">
        <v>3702</v>
      </c>
      <c r="I106">
        <v>3009</v>
      </c>
      <c r="J106">
        <v>-325.08</v>
      </c>
      <c r="K106">
        <v>-156.2</v>
      </c>
      <c r="L106">
        <v>-108.21</v>
      </c>
      <c r="M106">
        <v>23.37</v>
      </c>
      <c r="N106" t="b">
        <v>0</v>
      </c>
      <c r="O106">
        <v>0</v>
      </c>
      <c r="P106">
        <v>236</v>
      </c>
      <c r="S106" t="s">
        <v>104</v>
      </c>
      <c r="T106" t="s">
        <v>425</v>
      </c>
      <c r="U106">
        <v>0</v>
      </c>
      <c r="V106">
        <v>-29.5</v>
      </c>
      <c r="W106" t="s">
        <v>742</v>
      </c>
      <c r="X106">
        <v>0</v>
      </c>
      <c r="Y106">
        <v>693</v>
      </c>
      <c r="Z106">
        <v>282495</v>
      </c>
      <c r="AA106" t="s">
        <v>1059</v>
      </c>
      <c r="AB106">
        <v>47.42</v>
      </c>
      <c r="AC106" t="s">
        <v>1380</v>
      </c>
      <c r="AD106" t="s">
        <v>1701</v>
      </c>
      <c r="AE106">
        <v>1116</v>
      </c>
      <c r="AF106">
        <v>190</v>
      </c>
    </row>
    <row r="107" spans="1:34">
      <c r="A107" s="2">
        <f>HYPERLINK("https://finance.naver.com/item/coinfo.nhn?code=024800", "A024800")</f>
        <v>0</v>
      </c>
      <c r="B107">
        <f>HYPERLINK("http://comp.fnguide.com/SVO2/ASP/SVD_Consensus.asp?pGB=1&amp;gicode=A024800&amp;cID=&amp;MenuYn=Y&amp;ReportGB=&amp;NewMenuID=108&amp;stkGb=701", "유성티엔에스")</f>
        <v>0</v>
      </c>
      <c r="C107">
        <v>3</v>
      </c>
      <c r="D107">
        <v>2815</v>
      </c>
      <c r="E107">
        <v>0</v>
      </c>
      <c r="F107">
        <v>3.62</v>
      </c>
      <c r="G107">
        <v>9750</v>
      </c>
      <c r="H107">
        <v>8833</v>
      </c>
      <c r="I107">
        <v>8572</v>
      </c>
      <c r="J107">
        <v>-246.36</v>
      </c>
      <c r="K107">
        <v>-213.78</v>
      </c>
      <c r="L107">
        <v>-204.52</v>
      </c>
      <c r="M107">
        <v>9.41</v>
      </c>
      <c r="N107" t="b">
        <v>1</v>
      </c>
      <c r="O107">
        <v>0</v>
      </c>
      <c r="P107">
        <v>780</v>
      </c>
      <c r="S107" t="s">
        <v>105</v>
      </c>
      <c r="T107" t="s">
        <v>426</v>
      </c>
      <c r="U107">
        <v>0</v>
      </c>
      <c r="V107">
        <v>61.8</v>
      </c>
      <c r="W107" t="s">
        <v>743</v>
      </c>
      <c r="X107">
        <v>36.85179602933748</v>
      </c>
      <c r="Y107">
        <v>766</v>
      </c>
      <c r="Z107">
        <v>261233</v>
      </c>
      <c r="AA107" t="s">
        <v>1060</v>
      </c>
      <c r="AB107">
        <v>48.23</v>
      </c>
      <c r="AC107" t="s">
        <v>1381</v>
      </c>
      <c r="AD107" t="s">
        <v>1702</v>
      </c>
      <c r="AE107">
        <v>3581</v>
      </c>
      <c r="AF107">
        <v>74</v>
      </c>
      <c r="AG107">
        <v>3652884</v>
      </c>
      <c r="AH107">
        <v>0.53</v>
      </c>
    </row>
    <row r="108" spans="1:34">
      <c r="A108" s="2">
        <f>HYPERLINK("https://finance.naver.com/item/coinfo.nhn?code=078020", "A078020")</f>
        <v>0</v>
      </c>
      <c r="B108">
        <f>HYPERLINK("http://comp.fnguide.com/SVO2/ASP/SVD_Consensus.asp?pGB=1&amp;gicode=A078020&amp;cID=&amp;MenuYn=Y&amp;ReportGB=&amp;NewMenuID=108&amp;stkGb=701", "이베스트투자증권")</f>
        <v>0</v>
      </c>
      <c r="C108">
        <v>3</v>
      </c>
      <c r="D108">
        <v>7080</v>
      </c>
      <c r="E108">
        <v>0</v>
      </c>
      <c r="F108">
        <v>5.49</v>
      </c>
      <c r="G108">
        <v>13066</v>
      </c>
      <c r="H108">
        <v>11340</v>
      </c>
      <c r="I108">
        <v>10849</v>
      </c>
      <c r="J108">
        <v>-84.54000000000001</v>
      </c>
      <c r="K108">
        <v>-60.17</v>
      </c>
      <c r="L108">
        <v>-53.24</v>
      </c>
      <c r="M108">
        <v>10.17</v>
      </c>
      <c r="N108" t="b">
        <v>1</v>
      </c>
      <c r="O108">
        <v>0</v>
      </c>
      <c r="P108">
        <v>1020</v>
      </c>
      <c r="S108" t="s">
        <v>106</v>
      </c>
      <c r="T108" t="s">
        <v>427</v>
      </c>
      <c r="U108">
        <v>0</v>
      </c>
      <c r="V108">
        <v>19.4</v>
      </c>
      <c r="W108" t="s">
        <v>744</v>
      </c>
      <c r="X108">
        <v>11.11573099594876</v>
      </c>
      <c r="Y108">
        <v>3928</v>
      </c>
      <c r="Z108">
        <v>339606</v>
      </c>
      <c r="AA108" t="s">
        <v>1061</v>
      </c>
      <c r="AB108">
        <v>62.48</v>
      </c>
      <c r="AC108" t="s">
        <v>1382</v>
      </c>
      <c r="AD108" t="s">
        <v>1703</v>
      </c>
      <c r="AE108">
        <v>1893</v>
      </c>
      <c r="AF108">
        <v>705</v>
      </c>
      <c r="AG108">
        <v>5075498</v>
      </c>
      <c r="AH108">
        <v>6.16</v>
      </c>
    </row>
    <row r="109" spans="1:34">
      <c r="A109" s="2">
        <f>HYPERLINK("https://finance.naver.com/item/coinfo.nhn?code=080010", "A080010")</f>
        <v>0</v>
      </c>
      <c r="B109">
        <f>HYPERLINK("http://comp.fnguide.com/SVO2/ASP/SVD_Consensus.asp?pGB=1&amp;gicode=A080010&amp;cID=&amp;MenuYn=Y&amp;ReportGB=&amp;NewMenuID=108&amp;stkGb=701", "이상네트웍스")</f>
        <v>0</v>
      </c>
      <c r="C109">
        <v>3</v>
      </c>
      <c r="D109">
        <v>7240</v>
      </c>
      <c r="E109">
        <v>0</v>
      </c>
      <c r="F109">
        <v>7.11</v>
      </c>
      <c r="G109">
        <v>12910</v>
      </c>
      <c r="H109">
        <v>11540</v>
      </c>
      <c r="I109">
        <v>11150</v>
      </c>
      <c r="J109">
        <v>-78.31999999999999</v>
      </c>
      <c r="K109">
        <v>-59.39</v>
      </c>
      <c r="L109">
        <v>-54</v>
      </c>
      <c r="M109">
        <v>9.640000000000001</v>
      </c>
      <c r="N109" t="b">
        <v>1</v>
      </c>
      <c r="O109">
        <v>0</v>
      </c>
      <c r="P109">
        <v>1001</v>
      </c>
      <c r="S109" t="s">
        <v>107</v>
      </c>
      <c r="T109" t="s">
        <v>428</v>
      </c>
      <c r="U109">
        <v>0</v>
      </c>
      <c r="V109">
        <v>-14.3</v>
      </c>
      <c r="W109" t="s">
        <v>745</v>
      </c>
      <c r="X109">
        <v>22.66101951099477</v>
      </c>
      <c r="Y109">
        <v>653</v>
      </c>
      <c r="Z109">
        <v>11414</v>
      </c>
      <c r="AA109" t="s">
        <v>1062</v>
      </c>
      <c r="AB109">
        <v>50.05</v>
      </c>
      <c r="AC109" t="s">
        <v>1383</v>
      </c>
      <c r="AD109" t="s">
        <v>1704</v>
      </c>
      <c r="AE109">
        <v>582</v>
      </c>
      <c r="AF109">
        <v>75</v>
      </c>
      <c r="AG109">
        <v>98424</v>
      </c>
      <c r="AH109">
        <v>1.4</v>
      </c>
    </row>
    <row r="110" spans="1:34">
      <c r="A110" s="2">
        <f>HYPERLINK("https://finance.naver.com/item/coinfo.nhn?code=063760", "A063760")</f>
        <v>0</v>
      </c>
      <c r="B110">
        <f>HYPERLINK("http://comp.fnguide.com/SVO2/ASP/SVD_Consensus.asp?pGB=1&amp;gicode=A063760&amp;cID=&amp;MenuYn=Y&amp;ReportGB=&amp;NewMenuID=108&amp;stkGb=701", "이엘피")</f>
        <v>0</v>
      </c>
      <c r="C110">
        <v>3</v>
      </c>
      <c r="D110">
        <v>9650</v>
      </c>
      <c r="E110">
        <v>0</v>
      </c>
      <c r="F110">
        <v>14.4</v>
      </c>
      <c r="G110">
        <v>35812</v>
      </c>
      <c r="H110">
        <v>23792</v>
      </c>
      <c r="I110">
        <v>20376</v>
      </c>
      <c r="J110">
        <v>-271.11</v>
      </c>
      <c r="K110">
        <v>-146.55</v>
      </c>
      <c r="L110">
        <v>-111.15</v>
      </c>
      <c r="M110">
        <v>17.96</v>
      </c>
      <c r="N110" t="b">
        <v>1</v>
      </c>
      <c r="O110">
        <v>0</v>
      </c>
      <c r="P110">
        <v>830</v>
      </c>
      <c r="S110" t="s">
        <v>108</v>
      </c>
      <c r="T110" t="s">
        <v>429</v>
      </c>
      <c r="U110">
        <v>0</v>
      </c>
      <c r="V110">
        <v>137.1</v>
      </c>
      <c r="W110" t="s">
        <v>746</v>
      </c>
      <c r="X110">
        <v>20.65367337843058</v>
      </c>
      <c r="Y110">
        <v>474</v>
      </c>
      <c r="Z110">
        <v>21577</v>
      </c>
      <c r="AA110" t="s">
        <v>1063</v>
      </c>
      <c r="AB110">
        <v>22.33</v>
      </c>
      <c r="AC110" t="s">
        <v>1384</v>
      </c>
      <c r="AD110" t="s">
        <v>1705</v>
      </c>
      <c r="AE110">
        <v>373</v>
      </c>
      <c r="AF110">
        <v>31</v>
      </c>
      <c r="AG110">
        <v>495870</v>
      </c>
      <c r="AH110">
        <v>1</v>
      </c>
    </row>
    <row r="111" spans="1:34">
      <c r="A111" s="2">
        <f>HYPERLINK("https://finance.naver.com/item/coinfo.nhn?code=115310", "A115310")</f>
        <v>0</v>
      </c>
      <c r="B111">
        <f>HYPERLINK("http://comp.fnguide.com/SVO2/ASP/SVD_Consensus.asp?pGB=1&amp;gicode=A115310&amp;cID=&amp;MenuYn=Y&amp;ReportGB=&amp;NewMenuID=108&amp;stkGb=701", "인포바인")</f>
        <v>0</v>
      </c>
      <c r="C111">
        <v>3</v>
      </c>
      <c r="D111">
        <v>18650</v>
      </c>
      <c r="E111">
        <v>0</v>
      </c>
      <c r="F111">
        <v>7.61</v>
      </c>
      <c r="G111">
        <v>60769</v>
      </c>
      <c r="H111">
        <v>48048</v>
      </c>
      <c r="I111">
        <v>44433</v>
      </c>
      <c r="J111">
        <v>-225.84</v>
      </c>
      <c r="K111">
        <v>-157.63</v>
      </c>
      <c r="L111">
        <v>-138.24</v>
      </c>
      <c r="M111">
        <v>12.18</v>
      </c>
      <c r="N111" t="b">
        <v>1</v>
      </c>
      <c r="O111">
        <v>0</v>
      </c>
      <c r="P111">
        <v>2817</v>
      </c>
      <c r="S111" t="s">
        <v>109</v>
      </c>
      <c r="T111" t="s">
        <v>430</v>
      </c>
      <c r="U111">
        <v>0</v>
      </c>
      <c r="V111">
        <v>-20.8</v>
      </c>
      <c r="W111" t="s">
        <v>747</v>
      </c>
      <c r="X111">
        <v>-6.481430546963185</v>
      </c>
      <c r="Y111">
        <v>595</v>
      </c>
      <c r="Z111">
        <v>798</v>
      </c>
      <c r="AA111" t="s">
        <v>1064</v>
      </c>
      <c r="AB111">
        <v>17.43</v>
      </c>
      <c r="AC111" t="s">
        <v>1385</v>
      </c>
      <c r="AD111" t="s">
        <v>1706</v>
      </c>
      <c r="AE111">
        <v>193</v>
      </c>
      <c r="AF111">
        <v>95</v>
      </c>
      <c r="AG111">
        <v>1050332</v>
      </c>
      <c r="AH111">
        <v>4.2</v>
      </c>
    </row>
    <row r="112" spans="1:34">
      <c r="A112" s="2">
        <f>HYPERLINK("https://finance.naver.com/item/coinfo.nhn?code=094820", "A094820")</f>
        <v>0</v>
      </c>
      <c r="B112">
        <f>HYPERLINK("http://comp.fnguide.com/SVO2/ASP/SVD_Consensus.asp?pGB=1&amp;gicode=A094820&amp;cID=&amp;MenuYn=Y&amp;ReportGB=&amp;NewMenuID=108&amp;stkGb=701", "일진파워")</f>
        <v>0</v>
      </c>
      <c r="C112">
        <v>3</v>
      </c>
      <c r="D112">
        <v>5620</v>
      </c>
      <c r="E112">
        <v>0</v>
      </c>
      <c r="F112">
        <v>6.94</v>
      </c>
      <c r="G112">
        <v>13192</v>
      </c>
      <c r="H112">
        <v>9179</v>
      </c>
      <c r="I112">
        <v>8039</v>
      </c>
      <c r="J112">
        <v>-134.72</v>
      </c>
      <c r="K112">
        <v>-63.33</v>
      </c>
      <c r="L112">
        <v>-43.05</v>
      </c>
      <c r="M112">
        <v>16.06</v>
      </c>
      <c r="N112" t="b">
        <v>1</v>
      </c>
      <c r="O112">
        <v>0</v>
      </c>
      <c r="P112">
        <v>781</v>
      </c>
      <c r="S112" t="s">
        <v>110</v>
      </c>
      <c r="T112" t="s">
        <v>431</v>
      </c>
      <c r="U112">
        <v>0</v>
      </c>
      <c r="V112">
        <v>19</v>
      </c>
      <c r="W112" t="s">
        <v>748</v>
      </c>
      <c r="X112">
        <v>36.77105102731577</v>
      </c>
      <c r="Y112">
        <v>847</v>
      </c>
      <c r="Z112">
        <v>110471</v>
      </c>
      <c r="AA112" t="s">
        <v>1065</v>
      </c>
      <c r="AB112">
        <v>38.44</v>
      </c>
      <c r="AC112" t="s">
        <v>1386</v>
      </c>
      <c r="AD112" t="s">
        <v>1707</v>
      </c>
      <c r="AE112">
        <v>1828</v>
      </c>
      <c r="AF112">
        <v>144</v>
      </c>
      <c r="AG112">
        <v>361965</v>
      </c>
      <c r="AH112">
        <v>5.54</v>
      </c>
    </row>
    <row r="113" spans="1:34">
      <c r="A113" s="2">
        <f>HYPERLINK("https://finance.naver.com/item/coinfo.nhn?code=022220", "A022220")</f>
        <v>0</v>
      </c>
      <c r="B113">
        <f>HYPERLINK("http://comp.fnguide.com/SVO2/ASP/SVD_Consensus.asp?pGB=1&amp;gicode=A022220&amp;cID=&amp;MenuYn=Y&amp;ReportGB=&amp;NewMenuID=108&amp;stkGb=701", "정산애강")</f>
        <v>0</v>
      </c>
      <c r="C113">
        <v>3</v>
      </c>
      <c r="D113">
        <v>1855</v>
      </c>
      <c r="E113">
        <v>0</v>
      </c>
      <c r="F113">
        <v>9.460000000000001</v>
      </c>
      <c r="G113">
        <v>2789</v>
      </c>
      <c r="H113">
        <v>2075</v>
      </c>
      <c r="I113">
        <v>1872</v>
      </c>
      <c r="J113">
        <v>-50.33</v>
      </c>
      <c r="K113">
        <v>-11.86</v>
      </c>
      <c r="L113">
        <v>-0.92</v>
      </c>
      <c r="M113">
        <v>13.82</v>
      </c>
      <c r="N113" t="b">
        <v>1</v>
      </c>
      <c r="O113">
        <v>0</v>
      </c>
      <c r="P113">
        <v>222</v>
      </c>
      <c r="S113" t="s">
        <v>111</v>
      </c>
      <c r="T113" t="s">
        <v>432</v>
      </c>
      <c r="U113">
        <v>0</v>
      </c>
      <c r="V113">
        <v>-71</v>
      </c>
      <c r="W113" t="s">
        <v>749</v>
      </c>
      <c r="X113">
        <v>-12.03511073084639</v>
      </c>
      <c r="Y113">
        <v>961</v>
      </c>
      <c r="Z113">
        <v>91487</v>
      </c>
      <c r="AA113" t="s">
        <v>1066</v>
      </c>
      <c r="AB113">
        <v>47.53</v>
      </c>
      <c r="AC113" t="s">
        <v>1387</v>
      </c>
      <c r="AD113" t="s">
        <v>1708</v>
      </c>
      <c r="AE113">
        <v>714</v>
      </c>
      <c r="AF113">
        <v>102</v>
      </c>
    </row>
    <row r="114" spans="1:34">
      <c r="A114" s="2">
        <f>HYPERLINK("https://finance.naver.com/item/coinfo.nhn?code=090470", "A090470")</f>
        <v>0</v>
      </c>
      <c r="B114">
        <f>HYPERLINK("http://comp.fnguide.com/SVO2/ASP/SVD_Consensus.asp?pGB=1&amp;gicode=A090470&amp;cID=&amp;MenuYn=Y&amp;ReportGB=&amp;NewMenuID=108&amp;stkGb=701", "제이스텍")</f>
        <v>0</v>
      </c>
      <c r="C114">
        <v>3</v>
      </c>
      <c r="D114">
        <v>7620</v>
      </c>
      <c r="E114">
        <v>0</v>
      </c>
      <c r="F114">
        <v>129.11</v>
      </c>
      <c r="G114">
        <v>18112</v>
      </c>
      <c r="H114">
        <v>12619</v>
      </c>
      <c r="I114">
        <v>11059</v>
      </c>
      <c r="J114">
        <v>-137.69</v>
      </c>
      <c r="K114">
        <v>-65.61</v>
      </c>
      <c r="L114">
        <v>-45.12</v>
      </c>
      <c r="M114">
        <v>16.01</v>
      </c>
      <c r="N114" t="b">
        <v>0</v>
      </c>
      <c r="O114">
        <v>0</v>
      </c>
      <c r="P114">
        <v>107</v>
      </c>
      <c r="S114" t="s">
        <v>112</v>
      </c>
      <c r="T114" t="s">
        <v>433</v>
      </c>
      <c r="U114">
        <v>0</v>
      </c>
      <c r="V114">
        <v>0</v>
      </c>
      <c r="W114" t="s">
        <v>750</v>
      </c>
      <c r="X114">
        <v>-23.7505459312436</v>
      </c>
      <c r="Y114">
        <v>1112</v>
      </c>
      <c r="Z114">
        <v>16131</v>
      </c>
      <c r="AA114" t="s">
        <v>1067</v>
      </c>
      <c r="AB114">
        <v>44.24</v>
      </c>
      <c r="AC114" t="s">
        <v>1388</v>
      </c>
      <c r="AD114" t="s">
        <v>1709</v>
      </c>
      <c r="AE114">
        <v>1269</v>
      </c>
      <c r="AF114">
        <v>4</v>
      </c>
      <c r="AG114">
        <v>126393</v>
      </c>
      <c r="AH114">
        <v>0.36</v>
      </c>
    </row>
    <row r="115" spans="1:34">
      <c r="A115" s="2">
        <f>HYPERLINK("https://finance.naver.com/item/coinfo.nhn?code=094970", "A094970")</f>
        <v>0</v>
      </c>
      <c r="B115">
        <f>HYPERLINK("http://comp.fnguide.com/SVO2/ASP/SVD_Consensus.asp?pGB=1&amp;gicode=A094970&amp;cID=&amp;MenuYn=Y&amp;ReportGB=&amp;NewMenuID=108&amp;stkGb=701", "제이엠티")</f>
        <v>0</v>
      </c>
      <c r="C115">
        <v>3</v>
      </c>
      <c r="D115">
        <v>2760</v>
      </c>
      <c r="E115">
        <v>0</v>
      </c>
      <c r="F115">
        <v>67.05</v>
      </c>
      <c r="G115">
        <v>4720</v>
      </c>
      <c r="H115">
        <v>3871</v>
      </c>
      <c r="I115">
        <v>3630</v>
      </c>
      <c r="J115">
        <v>-71</v>
      </c>
      <c r="K115">
        <v>-40.25</v>
      </c>
      <c r="L115">
        <v>-31.51</v>
      </c>
      <c r="M115">
        <v>11.33</v>
      </c>
      <c r="N115" t="b">
        <v>0</v>
      </c>
      <c r="O115">
        <v>0</v>
      </c>
      <c r="P115">
        <v>57</v>
      </c>
      <c r="S115" t="s">
        <v>113</v>
      </c>
      <c r="T115" t="s">
        <v>434</v>
      </c>
      <c r="U115">
        <v>0</v>
      </c>
      <c r="V115">
        <v>-30.3</v>
      </c>
      <c r="W115" t="s">
        <v>751</v>
      </c>
      <c r="X115">
        <v>-2.026459434790839</v>
      </c>
      <c r="Y115">
        <v>462</v>
      </c>
      <c r="Z115">
        <v>169299</v>
      </c>
      <c r="AA115" t="s">
        <v>1068</v>
      </c>
      <c r="AB115">
        <v>43.98</v>
      </c>
      <c r="AC115" t="s">
        <v>1389</v>
      </c>
      <c r="AD115" t="s">
        <v>1710</v>
      </c>
      <c r="AE115">
        <v>833</v>
      </c>
      <c r="AF115">
        <v>20</v>
      </c>
      <c r="AG115">
        <v>36106</v>
      </c>
      <c r="AH115">
        <v>1.31</v>
      </c>
    </row>
    <row r="116" spans="1:34">
      <c r="A116" s="2">
        <f>HYPERLINK("https://finance.naver.com/item/coinfo.nhn?code=208350", "A208350")</f>
        <v>0</v>
      </c>
      <c r="B116">
        <f>HYPERLINK("http://comp.fnguide.com/SVO2/ASP/SVD_Consensus.asp?pGB=1&amp;gicode=A208350&amp;cID=&amp;MenuYn=Y&amp;ReportGB=&amp;NewMenuID=108&amp;stkGb=701", "지란지교시큐리티")</f>
        <v>0</v>
      </c>
      <c r="C116">
        <v>3</v>
      </c>
      <c r="D116">
        <v>5650</v>
      </c>
      <c r="E116">
        <v>0</v>
      </c>
      <c r="F116">
        <v>18.58</v>
      </c>
      <c r="G116">
        <v>5813</v>
      </c>
      <c r="H116">
        <v>5729</v>
      </c>
      <c r="I116">
        <v>5705</v>
      </c>
      <c r="J116">
        <v>-2.88</v>
      </c>
      <c r="K116">
        <v>-1.39</v>
      </c>
      <c r="L116">
        <v>-0.97</v>
      </c>
      <c r="M116">
        <v>8.130000000000001</v>
      </c>
      <c r="N116" t="b">
        <v>1</v>
      </c>
      <c r="O116">
        <v>0</v>
      </c>
      <c r="P116">
        <v>318</v>
      </c>
      <c r="S116" t="s">
        <v>114</v>
      </c>
      <c r="T116" t="s">
        <v>435</v>
      </c>
      <c r="U116">
        <v>0</v>
      </c>
      <c r="V116">
        <v>0</v>
      </c>
      <c r="W116" t="s">
        <v>752</v>
      </c>
      <c r="X116">
        <v>-37.47512495014483</v>
      </c>
      <c r="Y116">
        <v>439</v>
      </c>
      <c r="Z116">
        <v>32132</v>
      </c>
      <c r="AA116" t="s">
        <v>1069</v>
      </c>
      <c r="AB116">
        <v>44.13</v>
      </c>
      <c r="AC116" t="s">
        <v>1390</v>
      </c>
      <c r="AD116" t="s">
        <v>1711</v>
      </c>
      <c r="AE116">
        <v>615</v>
      </c>
      <c r="AF116">
        <v>35</v>
      </c>
      <c r="AG116">
        <v>1198</v>
      </c>
    </row>
    <row r="117" spans="1:34">
      <c r="A117" s="2">
        <f>HYPERLINK("https://finance.naver.com/item/coinfo.nhn?code=024720", "A024720")</f>
        <v>0</v>
      </c>
      <c r="B117">
        <f>HYPERLINK("http://comp.fnguide.com/SVO2/ASP/SVD_Consensus.asp?pGB=1&amp;gicode=A024720&amp;cID=&amp;MenuYn=Y&amp;ReportGB=&amp;NewMenuID=108&amp;stkGb=701", "한국콜마홀딩스")</f>
        <v>0</v>
      </c>
      <c r="C117">
        <v>3</v>
      </c>
      <c r="D117">
        <v>25100</v>
      </c>
      <c r="E117">
        <v>0</v>
      </c>
      <c r="F117">
        <v>10.09</v>
      </c>
      <c r="G117">
        <v>40211</v>
      </c>
      <c r="H117">
        <v>30620</v>
      </c>
      <c r="I117">
        <v>27895</v>
      </c>
      <c r="J117">
        <v>-60.2</v>
      </c>
      <c r="K117">
        <v>-21.99</v>
      </c>
      <c r="L117">
        <v>-11.13</v>
      </c>
      <c r="M117">
        <v>13.16</v>
      </c>
      <c r="N117" t="b">
        <v>0</v>
      </c>
      <c r="O117">
        <v>0</v>
      </c>
      <c r="P117">
        <v>2236</v>
      </c>
      <c r="S117" t="s">
        <v>115</v>
      </c>
      <c r="T117" t="s">
        <v>436</v>
      </c>
      <c r="U117">
        <v>0</v>
      </c>
      <c r="V117">
        <v>19</v>
      </c>
      <c r="W117" t="s">
        <v>753</v>
      </c>
      <c r="X117">
        <v>5.015279997605071</v>
      </c>
      <c r="Y117">
        <v>4663</v>
      </c>
      <c r="Z117">
        <v>65258</v>
      </c>
      <c r="AA117" t="s">
        <v>1070</v>
      </c>
      <c r="AB117">
        <v>44.38</v>
      </c>
      <c r="AC117" t="s">
        <v>1391</v>
      </c>
      <c r="AD117" t="s">
        <v>1712</v>
      </c>
      <c r="AE117">
        <v>5934</v>
      </c>
      <c r="AF117">
        <v>930</v>
      </c>
      <c r="AG117">
        <v>97500</v>
      </c>
      <c r="AH117">
        <v>0.86</v>
      </c>
    </row>
    <row r="118" spans="1:34">
      <c r="A118" s="2">
        <f>HYPERLINK("https://finance.naver.com/item/coinfo.nhn?code=010240", "A010240")</f>
        <v>0</v>
      </c>
      <c r="B118">
        <f>HYPERLINK("http://comp.fnguide.com/SVO2/ASP/SVD_Consensus.asp?pGB=1&amp;gicode=A010240&amp;cID=&amp;MenuYn=Y&amp;ReportGB=&amp;NewMenuID=108&amp;stkGb=701", "흥국")</f>
        <v>0</v>
      </c>
      <c r="C118">
        <v>3</v>
      </c>
      <c r="D118">
        <v>5470</v>
      </c>
      <c r="E118">
        <v>0</v>
      </c>
      <c r="F118">
        <v>7.79</v>
      </c>
      <c r="G118">
        <v>9106</v>
      </c>
      <c r="H118">
        <v>7144</v>
      </c>
      <c r="I118">
        <v>6586</v>
      </c>
      <c r="J118">
        <v>-66.47</v>
      </c>
      <c r="K118">
        <v>-30.59</v>
      </c>
      <c r="L118">
        <v>-20.4</v>
      </c>
      <c r="M118">
        <v>12.37</v>
      </c>
      <c r="N118" t="b">
        <v>1</v>
      </c>
      <c r="O118">
        <v>0</v>
      </c>
      <c r="P118">
        <v>568</v>
      </c>
      <c r="S118" t="s">
        <v>116</v>
      </c>
      <c r="T118" t="s">
        <v>437</v>
      </c>
      <c r="U118">
        <v>0</v>
      </c>
      <c r="V118">
        <v>60.8</v>
      </c>
      <c r="W118" t="s">
        <v>754</v>
      </c>
      <c r="X118">
        <v>51.50350019700674</v>
      </c>
      <c r="Y118">
        <v>674</v>
      </c>
      <c r="Z118">
        <v>108013</v>
      </c>
      <c r="AA118" t="s">
        <v>1071</v>
      </c>
      <c r="AB118">
        <v>51.18</v>
      </c>
      <c r="AC118" t="s">
        <v>1392</v>
      </c>
      <c r="AD118" t="s">
        <v>1713</v>
      </c>
      <c r="AE118">
        <v>1045</v>
      </c>
      <c r="AF118">
        <v>89</v>
      </c>
      <c r="AG118">
        <v>772811</v>
      </c>
      <c r="AH118">
        <v>3.39</v>
      </c>
    </row>
    <row r="119" spans="1:34">
      <c r="A119" s="2">
        <f>HYPERLINK("https://finance.naver.com/item/coinfo.nhn?code=071050", "A071050")</f>
        <v>0</v>
      </c>
      <c r="B119">
        <f>HYPERLINK("http://comp.fnguide.com/SVO2/ASP/SVD_Consensus.asp?pGB=1&amp;gicode=A071050&amp;cID=&amp;MenuYn=Y&amp;ReportGB=&amp;NewMenuID=108&amp;stkGb=701", "한국금융지주")</f>
        <v>0</v>
      </c>
      <c r="C119">
        <v>3</v>
      </c>
      <c r="D119">
        <v>77800</v>
      </c>
      <c r="E119">
        <v>0.46</v>
      </c>
      <c r="F119">
        <v>5.28</v>
      </c>
      <c r="G119">
        <v>188102</v>
      </c>
      <c r="H119">
        <v>132011</v>
      </c>
      <c r="I119">
        <v>116072</v>
      </c>
      <c r="J119">
        <v>-141.78</v>
      </c>
      <c r="K119">
        <v>-69.68000000000001</v>
      </c>
      <c r="L119">
        <v>-49.19</v>
      </c>
      <c r="M119">
        <v>15.74</v>
      </c>
      <c r="N119" t="b">
        <v>1</v>
      </c>
      <c r="O119">
        <v>0</v>
      </c>
      <c r="P119">
        <v>13724</v>
      </c>
      <c r="Q119">
        <v>11500</v>
      </c>
      <c r="R119">
        <v>-16.2</v>
      </c>
      <c r="S119" t="s">
        <v>117</v>
      </c>
      <c r="T119" t="s">
        <v>438</v>
      </c>
      <c r="U119">
        <v>11.55561112842589</v>
      </c>
      <c r="V119">
        <v>0</v>
      </c>
      <c r="W119" t="s">
        <v>755</v>
      </c>
      <c r="X119">
        <v>2.305975528003579</v>
      </c>
      <c r="Y119">
        <v>43355</v>
      </c>
      <c r="Z119">
        <v>410050</v>
      </c>
      <c r="AA119" t="s">
        <v>1072</v>
      </c>
      <c r="AB119">
        <v>20.7</v>
      </c>
      <c r="AC119" t="s">
        <v>1393</v>
      </c>
      <c r="AD119" t="s">
        <v>1714</v>
      </c>
      <c r="AE119">
        <v>14001</v>
      </c>
      <c r="AF119">
        <v>9418</v>
      </c>
      <c r="AG119">
        <v>2987479</v>
      </c>
      <c r="AH119">
        <v>4.01</v>
      </c>
    </row>
    <row r="120" spans="1:34">
      <c r="A120" s="2">
        <f>HYPERLINK("https://finance.naver.com/item/coinfo.nhn?code=005880", "A005880")</f>
        <v>0</v>
      </c>
      <c r="B120">
        <f>HYPERLINK("http://comp.fnguide.com/SVO2/ASP/SVD_Consensus.asp?pGB=1&amp;gicode=A005880&amp;cID=&amp;MenuYn=Y&amp;ReportGB=&amp;NewMenuID=108&amp;stkGb=701", "대한해운")</f>
        <v>0</v>
      </c>
      <c r="C120">
        <v>3</v>
      </c>
      <c r="D120">
        <v>3045</v>
      </c>
      <c r="E120">
        <v>-0.14</v>
      </c>
      <c r="F120">
        <v>6.21</v>
      </c>
      <c r="G120">
        <v>5572</v>
      </c>
      <c r="H120">
        <v>4334</v>
      </c>
      <c r="I120">
        <v>3982</v>
      </c>
      <c r="J120">
        <v>-82.98</v>
      </c>
      <c r="K120">
        <v>-42.34</v>
      </c>
      <c r="L120">
        <v>-30.79</v>
      </c>
      <c r="M120">
        <v>12.59</v>
      </c>
      <c r="N120" t="b">
        <v>0</v>
      </c>
      <c r="O120">
        <v>0</v>
      </c>
      <c r="P120">
        <v>371</v>
      </c>
      <c r="Q120">
        <v>83</v>
      </c>
      <c r="R120">
        <v>-77.59999999999999</v>
      </c>
      <c r="S120" t="s">
        <v>118</v>
      </c>
      <c r="T120" t="s">
        <v>439</v>
      </c>
      <c r="U120">
        <v>-44.78989892895723</v>
      </c>
      <c r="V120">
        <v>-96.3</v>
      </c>
      <c r="W120" t="s">
        <v>756</v>
      </c>
      <c r="X120">
        <v>-38.7717525730499</v>
      </c>
      <c r="Y120">
        <v>7438</v>
      </c>
      <c r="Z120">
        <v>19146782</v>
      </c>
      <c r="AA120" t="s">
        <v>1073</v>
      </c>
      <c r="AB120">
        <v>53.53</v>
      </c>
      <c r="AC120" t="s">
        <v>1394</v>
      </c>
      <c r="AD120" t="s">
        <v>1715</v>
      </c>
      <c r="AE120">
        <v>10057</v>
      </c>
      <c r="AF120">
        <v>1288</v>
      </c>
      <c r="AG120">
        <v>8386070</v>
      </c>
    </row>
    <row r="121" spans="1:34">
      <c r="A121" s="2">
        <f>HYPERLINK("https://finance.naver.com/item/coinfo.nhn?code=047040", "A047040")</f>
        <v>0</v>
      </c>
      <c r="B121">
        <f>HYPERLINK("http://comp.fnguide.com/SVO2/ASP/SVD_Consensus.asp?pGB=1&amp;gicode=A047040&amp;cID=&amp;MenuYn=Y&amp;ReportGB=&amp;NewMenuID=108&amp;stkGb=701", "대우건설")</f>
        <v>0</v>
      </c>
      <c r="C121">
        <v>3</v>
      </c>
      <c r="D121">
        <v>3980</v>
      </c>
      <c r="E121">
        <v>-5.19</v>
      </c>
      <c r="F121">
        <v>9.44</v>
      </c>
      <c r="G121">
        <v>8154</v>
      </c>
      <c r="H121">
        <v>6848</v>
      </c>
      <c r="I121">
        <v>6477</v>
      </c>
      <c r="J121">
        <v>-104.88</v>
      </c>
      <c r="K121">
        <v>-72.06999999999999</v>
      </c>
      <c r="L121">
        <v>-62.75</v>
      </c>
      <c r="M121">
        <v>10.82</v>
      </c>
      <c r="N121" t="b">
        <v>0</v>
      </c>
      <c r="O121">
        <v>1</v>
      </c>
      <c r="P121">
        <v>502</v>
      </c>
      <c r="Q121">
        <v>590</v>
      </c>
      <c r="R121">
        <v>17.5</v>
      </c>
      <c r="S121" t="s">
        <v>119</v>
      </c>
      <c r="T121" t="s">
        <v>440</v>
      </c>
      <c r="U121">
        <v>-1.817738183718831</v>
      </c>
      <c r="V121">
        <v>-8.6</v>
      </c>
      <c r="W121" t="s">
        <v>757</v>
      </c>
      <c r="X121">
        <v>-9.703868940002792</v>
      </c>
      <c r="Y121">
        <v>16542</v>
      </c>
      <c r="Z121">
        <v>3734271</v>
      </c>
      <c r="AA121" t="s">
        <v>1074</v>
      </c>
      <c r="AB121">
        <v>50.76</v>
      </c>
      <c r="AC121" t="s">
        <v>1395</v>
      </c>
      <c r="AD121" t="s">
        <v>1716</v>
      </c>
      <c r="AE121">
        <v>86519</v>
      </c>
      <c r="AF121">
        <v>3641</v>
      </c>
      <c r="AG121">
        <v>4736918</v>
      </c>
    </row>
    <row r="122" spans="1:34">
      <c r="A122" s="2">
        <f>HYPERLINK("https://finance.naver.com/item/coinfo.nhn?code=002170", "A002170")</f>
        <v>0</v>
      </c>
      <c r="B122">
        <f>HYPERLINK("http://comp.fnguide.com/SVO2/ASP/SVD_Consensus.asp?pGB=1&amp;gicode=A002170&amp;cID=&amp;MenuYn=Y&amp;ReportGB=&amp;NewMenuID=108&amp;stkGb=701", "삼양통상")</f>
        <v>0</v>
      </c>
      <c r="C122">
        <v>3</v>
      </c>
      <c r="D122">
        <v>61100</v>
      </c>
      <c r="E122">
        <v>0</v>
      </c>
      <c r="F122">
        <v>4.07</v>
      </c>
      <c r="G122">
        <v>169839</v>
      </c>
      <c r="H122">
        <v>137058</v>
      </c>
      <c r="I122">
        <v>127743</v>
      </c>
      <c r="J122">
        <v>-177.97</v>
      </c>
      <c r="K122">
        <v>-124.32</v>
      </c>
      <c r="L122">
        <v>-109.07</v>
      </c>
      <c r="M122">
        <v>11.69</v>
      </c>
      <c r="N122" t="b">
        <v>1</v>
      </c>
      <c r="O122">
        <v>0</v>
      </c>
      <c r="P122">
        <v>14733</v>
      </c>
      <c r="S122" t="s">
        <v>120</v>
      </c>
      <c r="T122" t="s">
        <v>441</v>
      </c>
      <c r="U122">
        <v>0</v>
      </c>
      <c r="V122">
        <v>4.1</v>
      </c>
      <c r="W122" t="s">
        <v>758</v>
      </c>
      <c r="X122">
        <v>34.31943309341783</v>
      </c>
      <c r="Y122">
        <v>1833</v>
      </c>
      <c r="Z122">
        <v>7816</v>
      </c>
      <c r="AA122" t="s">
        <v>1075</v>
      </c>
      <c r="AB122">
        <v>54.39</v>
      </c>
      <c r="AC122" t="s">
        <v>1396</v>
      </c>
      <c r="AD122" t="s">
        <v>1717</v>
      </c>
      <c r="AE122">
        <v>1921</v>
      </c>
      <c r="AF122">
        <v>494</v>
      </c>
      <c r="AG122">
        <v>150575</v>
      </c>
      <c r="AH122">
        <v>1.67</v>
      </c>
    </row>
    <row r="123" spans="1:34">
      <c r="A123" s="2">
        <f>HYPERLINK("https://finance.naver.com/item/coinfo.nhn?code=084690", "A084690")</f>
        <v>0</v>
      </c>
      <c r="B123">
        <f>HYPERLINK("http://comp.fnguide.com/SVO2/ASP/SVD_Consensus.asp?pGB=1&amp;gicode=A084690&amp;cID=&amp;MenuYn=Y&amp;ReportGB=&amp;NewMenuID=108&amp;stkGb=701", "대상홀딩스")</f>
        <v>0</v>
      </c>
      <c r="C123">
        <v>3</v>
      </c>
      <c r="D123">
        <v>9870</v>
      </c>
      <c r="E123">
        <v>0</v>
      </c>
      <c r="F123">
        <v>3.46</v>
      </c>
      <c r="G123">
        <v>18070</v>
      </c>
      <c r="H123">
        <v>16884</v>
      </c>
      <c r="I123">
        <v>16547</v>
      </c>
      <c r="J123">
        <v>-83.08</v>
      </c>
      <c r="K123">
        <v>-71.06999999999999</v>
      </c>
      <c r="L123">
        <v>-67.65000000000001</v>
      </c>
      <c r="M123">
        <v>8.91</v>
      </c>
      <c r="N123" t="b">
        <v>1</v>
      </c>
      <c r="O123">
        <v>0</v>
      </c>
      <c r="P123">
        <v>1946</v>
      </c>
      <c r="S123" t="s">
        <v>121</v>
      </c>
      <c r="T123" t="s">
        <v>442</v>
      </c>
      <c r="U123">
        <v>0</v>
      </c>
      <c r="V123">
        <v>125.2</v>
      </c>
      <c r="W123" t="s">
        <v>759</v>
      </c>
      <c r="X123">
        <v>46.14119594697726</v>
      </c>
      <c r="Y123">
        <v>3574</v>
      </c>
      <c r="Z123">
        <v>55343</v>
      </c>
      <c r="AA123" t="s">
        <v>1076</v>
      </c>
      <c r="AB123">
        <v>67.3</v>
      </c>
      <c r="AC123" t="s">
        <v>1397</v>
      </c>
      <c r="AD123" t="s">
        <v>1718</v>
      </c>
      <c r="AE123">
        <v>35525</v>
      </c>
      <c r="AF123">
        <v>1555</v>
      </c>
      <c r="AH123">
        <v>2.97</v>
      </c>
    </row>
    <row r="124" spans="1:34">
      <c r="A124" s="2">
        <f>HYPERLINK("https://finance.naver.com/item/coinfo.nhn?code=001680", "A001680")</f>
        <v>0</v>
      </c>
      <c r="B124">
        <f>HYPERLINK("http://comp.fnguide.com/SVO2/ASP/SVD_Consensus.asp?pGB=1&amp;gicode=A001680&amp;cID=&amp;MenuYn=Y&amp;ReportGB=&amp;NewMenuID=108&amp;stkGb=701", "대상")</f>
        <v>0</v>
      </c>
      <c r="C124">
        <v>3</v>
      </c>
      <c r="D124">
        <v>25550</v>
      </c>
      <c r="E124">
        <v>0.21</v>
      </c>
      <c r="F124">
        <v>7.79</v>
      </c>
      <c r="G124">
        <v>32981</v>
      </c>
      <c r="H124">
        <v>30586</v>
      </c>
      <c r="I124">
        <v>29905</v>
      </c>
      <c r="J124">
        <v>-29.09</v>
      </c>
      <c r="K124">
        <v>-19.71</v>
      </c>
      <c r="L124">
        <v>-17.05</v>
      </c>
      <c r="M124">
        <v>9.029999999999999</v>
      </c>
      <c r="N124" t="b">
        <v>1</v>
      </c>
      <c r="O124">
        <v>3</v>
      </c>
      <c r="P124">
        <v>2976</v>
      </c>
      <c r="Q124">
        <v>3751</v>
      </c>
      <c r="R124">
        <v>26</v>
      </c>
      <c r="S124" t="s">
        <v>122</v>
      </c>
      <c r="T124" t="s">
        <v>443</v>
      </c>
      <c r="U124">
        <v>36.80287774801927</v>
      </c>
      <c r="V124">
        <v>53</v>
      </c>
      <c r="W124" t="s">
        <v>760</v>
      </c>
      <c r="X124">
        <v>22.98316287847235</v>
      </c>
      <c r="Y124">
        <v>8853</v>
      </c>
      <c r="Z124">
        <v>217600</v>
      </c>
      <c r="AA124" t="s">
        <v>1077</v>
      </c>
      <c r="AB124">
        <v>44.74</v>
      </c>
      <c r="AC124" t="s">
        <v>1398</v>
      </c>
      <c r="AD124" t="s">
        <v>1719</v>
      </c>
      <c r="AE124">
        <v>29640</v>
      </c>
      <c r="AF124">
        <v>1298</v>
      </c>
      <c r="AH124">
        <v>2.59</v>
      </c>
    </row>
    <row r="125" spans="1:34">
      <c r="A125" s="2">
        <f>HYPERLINK("https://finance.naver.com/item/coinfo.nhn?code=272550", "A272550")</f>
        <v>0</v>
      </c>
      <c r="B125">
        <f>HYPERLINK("http://comp.fnguide.com/SVO2/ASP/SVD_Consensus.asp?pGB=1&amp;gicode=A272550&amp;cID=&amp;MenuYn=Y&amp;ReportGB=&amp;NewMenuID=108&amp;stkGb=701", "삼양패키징")</f>
        <v>0</v>
      </c>
      <c r="C125">
        <v>3</v>
      </c>
      <c r="D125">
        <v>20900</v>
      </c>
      <c r="E125">
        <v>0</v>
      </c>
      <c r="F125">
        <v>7.88</v>
      </c>
      <c r="G125">
        <v>25231</v>
      </c>
      <c r="H125">
        <v>22169</v>
      </c>
      <c r="I125">
        <v>21298</v>
      </c>
      <c r="J125">
        <v>-20.72</v>
      </c>
      <c r="K125">
        <v>-6.07</v>
      </c>
      <c r="L125">
        <v>-1.91</v>
      </c>
      <c r="M125">
        <v>9.949999999999999</v>
      </c>
      <c r="N125" t="b">
        <v>1</v>
      </c>
      <c r="O125">
        <v>0</v>
      </c>
      <c r="P125">
        <v>1998</v>
      </c>
      <c r="S125" t="s">
        <v>123</v>
      </c>
      <c r="T125" t="s">
        <v>444</v>
      </c>
      <c r="U125">
        <v>0</v>
      </c>
      <c r="V125">
        <v>54.4</v>
      </c>
      <c r="W125" t="s">
        <v>761</v>
      </c>
      <c r="X125">
        <v>30.72149038833822</v>
      </c>
      <c r="Y125">
        <v>2970</v>
      </c>
      <c r="Z125">
        <v>20163</v>
      </c>
      <c r="AA125" t="s">
        <v>1078</v>
      </c>
      <c r="AB125">
        <v>71.01000000000001</v>
      </c>
      <c r="AC125" t="s">
        <v>1399</v>
      </c>
      <c r="AD125" t="s">
        <v>1720</v>
      </c>
      <c r="AE125">
        <v>3754</v>
      </c>
      <c r="AF125">
        <v>416</v>
      </c>
      <c r="AH125">
        <v>4.76</v>
      </c>
    </row>
    <row r="126" spans="1:34">
      <c r="A126" s="2">
        <f>HYPERLINK("https://finance.naver.com/item/coinfo.nhn?code=000210", "A000210")</f>
        <v>0</v>
      </c>
      <c r="B126">
        <f>HYPERLINK("http://comp.fnguide.com/SVO2/ASP/SVD_Consensus.asp?pGB=1&amp;gicode=A000210&amp;cID=&amp;MenuYn=Y&amp;ReportGB=&amp;NewMenuID=108&amp;stkGb=701", "대림산업")</f>
        <v>0</v>
      </c>
      <c r="C126">
        <v>3</v>
      </c>
      <c r="D126">
        <v>81300</v>
      </c>
      <c r="E126">
        <v>0.28</v>
      </c>
      <c r="F126">
        <v>5.25</v>
      </c>
      <c r="G126">
        <v>251048</v>
      </c>
      <c r="H126">
        <v>202652</v>
      </c>
      <c r="I126">
        <v>188899</v>
      </c>
      <c r="J126">
        <v>-208.79</v>
      </c>
      <c r="K126">
        <v>-149.26</v>
      </c>
      <c r="L126">
        <v>-132.35</v>
      </c>
      <c r="M126">
        <v>11.68</v>
      </c>
      <c r="N126" t="b">
        <v>1</v>
      </c>
      <c r="O126">
        <v>3</v>
      </c>
      <c r="P126">
        <v>17228</v>
      </c>
      <c r="Q126">
        <v>21296</v>
      </c>
      <c r="R126">
        <v>23.6</v>
      </c>
      <c r="S126" t="s">
        <v>124</v>
      </c>
      <c r="T126" t="s">
        <v>445</v>
      </c>
      <c r="U126">
        <v>18.79087608057566</v>
      </c>
      <c r="V126">
        <v>12.4</v>
      </c>
      <c r="W126" t="s">
        <v>762</v>
      </c>
      <c r="X126">
        <v>29.31596135023273</v>
      </c>
      <c r="Y126">
        <v>28292</v>
      </c>
      <c r="Z126">
        <v>618995</v>
      </c>
      <c r="AA126" t="s">
        <v>1079</v>
      </c>
      <c r="AB126">
        <v>23.12</v>
      </c>
      <c r="AC126" t="s">
        <v>1400</v>
      </c>
      <c r="AD126" t="s">
        <v>1721</v>
      </c>
      <c r="AE126">
        <v>97001</v>
      </c>
      <c r="AF126">
        <v>11301</v>
      </c>
      <c r="AH126">
        <v>1.44</v>
      </c>
    </row>
    <row r="127" spans="1:34">
      <c r="A127" s="2">
        <f>HYPERLINK("https://finance.naver.com/item/coinfo.nhn?code=002810", "A002810")</f>
        <v>0</v>
      </c>
      <c r="B127">
        <f>HYPERLINK("http://comp.fnguide.com/SVO2/ASP/SVD_Consensus.asp?pGB=1&amp;gicode=A002810&amp;cID=&amp;MenuYn=Y&amp;ReportGB=&amp;NewMenuID=108&amp;stkGb=701", "삼영무역")</f>
        <v>0</v>
      </c>
      <c r="C127">
        <v>3</v>
      </c>
      <c r="D127">
        <v>13950</v>
      </c>
      <c r="E127">
        <v>0</v>
      </c>
      <c r="F127">
        <v>8.19</v>
      </c>
      <c r="G127">
        <v>25570</v>
      </c>
      <c r="H127">
        <v>22710</v>
      </c>
      <c r="I127">
        <v>21897</v>
      </c>
      <c r="J127">
        <v>-83.3</v>
      </c>
      <c r="K127">
        <v>-62.79</v>
      </c>
      <c r="L127">
        <v>-56.97</v>
      </c>
      <c r="M127">
        <v>9.75</v>
      </c>
      <c r="N127" t="b">
        <v>1</v>
      </c>
      <c r="O127">
        <v>0</v>
      </c>
      <c r="P127">
        <v>1941</v>
      </c>
      <c r="S127" t="s">
        <v>125</v>
      </c>
      <c r="T127" t="s">
        <v>446</v>
      </c>
      <c r="U127">
        <v>0</v>
      </c>
      <c r="V127">
        <v>-13.2</v>
      </c>
      <c r="W127" t="s">
        <v>763</v>
      </c>
      <c r="X127">
        <v>10.39668560034053</v>
      </c>
      <c r="Y127">
        <v>2576</v>
      </c>
      <c r="Z127">
        <v>10027</v>
      </c>
      <c r="AA127" t="s">
        <v>1080</v>
      </c>
      <c r="AB127">
        <v>42.92</v>
      </c>
      <c r="AC127" t="s">
        <v>1401</v>
      </c>
      <c r="AD127" t="s">
        <v>1722</v>
      </c>
      <c r="AE127">
        <v>2742</v>
      </c>
      <c r="AF127">
        <v>92</v>
      </c>
      <c r="AG127">
        <v>1138844</v>
      </c>
      <c r="AH127">
        <v>2.1</v>
      </c>
    </row>
    <row r="128" spans="1:34">
      <c r="A128" s="2">
        <f>HYPERLINK("https://finance.naver.com/item/coinfo.nhn?code=010960", "A010960")</f>
        <v>0</v>
      </c>
      <c r="B128">
        <f>HYPERLINK("http://comp.fnguide.com/SVO2/ASP/SVD_Consensus.asp?pGB=1&amp;gicode=A010960&amp;cID=&amp;MenuYn=Y&amp;ReportGB=&amp;NewMenuID=108&amp;stkGb=701", "삼호개발")</f>
        <v>0</v>
      </c>
      <c r="C128">
        <v>3</v>
      </c>
      <c r="D128">
        <v>4235</v>
      </c>
      <c r="E128">
        <v>0</v>
      </c>
      <c r="F128">
        <v>5.16</v>
      </c>
      <c r="G128">
        <v>12681</v>
      </c>
      <c r="H128">
        <v>10037</v>
      </c>
      <c r="I128">
        <v>9286</v>
      </c>
      <c r="J128">
        <v>-199.43</v>
      </c>
      <c r="K128">
        <v>-137.01</v>
      </c>
      <c r="L128">
        <v>-119.27</v>
      </c>
      <c r="M128">
        <v>12.15</v>
      </c>
      <c r="N128" t="b">
        <v>1</v>
      </c>
      <c r="O128">
        <v>0</v>
      </c>
      <c r="P128">
        <v>863</v>
      </c>
      <c r="S128" t="s">
        <v>126</v>
      </c>
      <c r="T128" t="s">
        <v>447</v>
      </c>
      <c r="U128">
        <v>0</v>
      </c>
      <c r="V128">
        <v>-29.7</v>
      </c>
      <c r="W128" t="s">
        <v>764</v>
      </c>
      <c r="X128">
        <v>12.66504194842557</v>
      </c>
      <c r="Y128">
        <v>1059</v>
      </c>
      <c r="Z128">
        <v>121671</v>
      </c>
      <c r="AA128" t="s">
        <v>1081</v>
      </c>
      <c r="AB128">
        <v>32.44</v>
      </c>
      <c r="AC128" t="s">
        <v>1402</v>
      </c>
      <c r="AD128" t="s">
        <v>1723</v>
      </c>
      <c r="AE128">
        <v>3646</v>
      </c>
      <c r="AF128">
        <v>236</v>
      </c>
      <c r="AG128">
        <v>2000000</v>
      </c>
      <c r="AH128">
        <v>4.27</v>
      </c>
    </row>
    <row r="129" spans="1:34">
      <c r="A129" s="2">
        <f>HYPERLINK("https://finance.naver.com/item/coinfo.nhn?code=008060", "A008060")</f>
        <v>0</v>
      </c>
      <c r="B129">
        <f>HYPERLINK("http://comp.fnguide.com/SVO2/ASP/SVD_Consensus.asp?pGB=1&amp;gicode=A008060&amp;cID=&amp;MenuYn=Y&amp;ReportGB=&amp;NewMenuID=108&amp;stkGb=701", "대덕")</f>
        <v>0</v>
      </c>
      <c r="C129">
        <v>3</v>
      </c>
      <c r="D129">
        <v>6510</v>
      </c>
      <c r="E129">
        <v>0</v>
      </c>
      <c r="F129">
        <v>13.23</v>
      </c>
      <c r="G129">
        <v>62310</v>
      </c>
      <c r="H129">
        <v>43278</v>
      </c>
      <c r="I129">
        <v>37870</v>
      </c>
      <c r="J129">
        <v>-857.14</v>
      </c>
      <c r="K129">
        <v>-564.8</v>
      </c>
      <c r="L129">
        <v>-481.72</v>
      </c>
      <c r="M129">
        <v>16.13</v>
      </c>
      <c r="N129" t="b">
        <v>1</v>
      </c>
      <c r="O129">
        <v>0</v>
      </c>
      <c r="P129">
        <v>794</v>
      </c>
      <c r="S129" t="s">
        <v>127</v>
      </c>
      <c r="T129" t="s">
        <v>448</v>
      </c>
      <c r="U129">
        <v>0</v>
      </c>
      <c r="V129">
        <v>354.2</v>
      </c>
      <c r="W129" t="s">
        <v>765</v>
      </c>
      <c r="X129">
        <v>41.88293883293524</v>
      </c>
      <c r="Y129">
        <v>2206</v>
      </c>
      <c r="Z129">
        <v>209149</v>
      </c>
      <c r="AA129" t="s">
        <v>1082</v>
      </c>
      <c r="AB129">
        <v>43.32</v>
      </c>
      <c r="AC129" t="s">
        <v>1403</v>
      </c>
      <c r="AD129" t="s">
        <v>1724</v>
      </c>
      <c r="AE129">
        <v>10722</v>
      </c>
      <c r="AF129">
        <v>464</v>
      </c>
      <c r="AH129">
        <v>2.86</v>
      </c>
    </row>
    <row r="130" spans="1:34">
      <c r="A130" s="2">
        <f>HYPERLINK("https://finance.naver.com/item/coinfo.nhn?code=023590", "A023590")</f>
        <v>0</v>
      </c>
      <c r="B130">
        <f>HYPERLINK("http://comp.fnguide.com/SVO2/ASP/SVD_Consensus.asp?pGB=1&amp;gicode=A023590&amp;cID=&amp;MenuYn=Y&amp;ReportGB=&amp;NewMenuID=108&amp;stkGb=701", "다우기술")</f>
        <v>0</v>
      </c>
      <c r="C130">
        <v>3</v>
      </c>
      <c r="D130">
        <v>22300</v>
      </c>
      <c r="E130">
        <v>0</v>
      </c>
      <c r="F130">
        <v>4.6</v>
      </c>
      <c r="G130">
        <v>48567</v>
      </c>
      <c r="H130">
        <v>37927</v>
      </c>
      <c r="I130">
        <v>34903</v>
      </c>
      <c r="J130">
        <v>-117.79</v>
      </c>
      <c r="K130">
        <v>-70.08</v>
      </c>
      <c r="L130">
        <v>-56.52</v>
      </c>
      <c r="M130">
        <v>12.49</v>
      </c>
      <c r="N130" t="b">
        <v>1</v>
      </c>
      <c r="O130">
        <v>0</v>
      </c>
      <c r="P130">
        <v>4130</v>
      </c>
      <c r="S130" t="s">
        <v>128</v>
      </c>
      <c r="T130" t="s">
        <v>449</v>
      </c>
      <c r="U130">
        <v>0</v>
      </c>
      <c r="V130">
        <v>71.3</v>
      </c>
      <c r="W130" t="s">
        <v>766</v>
      </c>
      <c r="X130">
        <v>25.21970313563479</v>
      </c>
      <c r="Y130">
        <v>10005</v>
      </c>
      <c r="Z130">
        <v>321678</v>
      </c>
      <c r="AA130" t="s">
        <v>1083</v>
      </c>
      <c r="AB130">
        <v>46.72</v>
      </c>
      <c r="AC130" t="s">
        <v>1404</v>
      </c>
      <c r="AD130" t="s">
        <v>1725</v>
      </c>
      <c r="AE130">
        <v>32455</v>
      </c>
      <c r="AF130">
        <v>5075</v>
      </c>
      <c r="AG130">
        <v>1600000</v>
      </c>
      <c r="AH130">
        <v>2.11</v>
      </c>
    </row>
    <row r="131" spans="1:34">
      <c r="A131" s="2">
        <f>HYPERLINK("https://finance.naver.com/item/coinfo.nhn?code=002350", "A002350")</f>
        <v>0</v>
      </c>
      <c r="B131">
        <f>HYPERLINK("http://comp.fnguide.com/SVO2/ASP/SVD_Consensus.asp?pGB=1&amp;gicode=A002350&amp;cID=&amp;MenuYn=Y&amp;ReportGB=&amp;NewMenuID=108&amp;stkGb=701", "넥센타이어")</f>
        <v>0</v>
      </c>
      <c r="C131">
        <v>3</v>
      </c>
      <c r="D131">
        <v>6050</v>
      </c>
      <c r="E131">
        <v>-0.21</v>
      </c>
      <c r="F131">
        <v>8.039999999999999</v>
      </c>
      <c r="G131">
        <v>16523</v>
      </c>
      <c r="H131">
        <v>16306</v>
      </c>
      <c r="I131">
        <v>16245</v>
      </c>
      <c r="J131">
        <v>-173.1</v>
      </c>
      <c r="K131">
        <v>-169.53</v>
      </c>
      <c r="L131">
        <v>-168.51</v>
      </c>
      <c r="M131">
        <v>8.119999999999999</v>
      </c>
      <c r="N131" t="b">
        <v>1</v>
      </c>
      <c r="O131">
        <v>0</v>
      </c>
      <c r="P131">
        <v>1135</v>
      </c>
      <c r="Q131">
        <v>292</v>
      </c>
      <c r="R131">
        <v>-74.3</v>
      </c>
      <c r="S131" t="s">
        <v>129</v>
      </c>
      <c r="T131" t="s">
        <v>450</v>
      </c>
      <c r="U131">
        <v>-37.72223465124367</v>
      </c>
      <c r="V131">
        <v>0</v>
      </c>
      <c r="W131" t="s">
        <v>767</v>
      </c>
      <c r="X131">
        <v>-1.72560887448977</v>
      </c>
      <c r="Y131">
        <v>5909</v>
      </c>
      <c r="Z131">
        <v>284199</v>
      </c>
      <c r="AA131" t="s">
        <v>1084</v>
      </c>
      <c r="AB131">
        <v>66.55</v>
      </c>
      <c r="AC131" t="s">
        <v>1405</v>
      </c>
      <c r="AD131" t="s">
        <v>1726</v>
      </c>
      <c r="AE131">
        <v>20223</v>
      </c>
      <c r="AF131">
        <v>2074</v>
      </c>
      <c r="AG131">
        <v>1504451</v>
      </c>
      <c r="AH131">
        <v>1.15</v>
      </c>
    </row>
    <row r="132" spans="1:34">
      <c r="A132" s="2">
        <f>HYPERLINK("https://finance.naver.com/item/coinfo.nhn?code=004490", "A004490")</f>
        <v>0</v>
      </c>
      <c r="B132">
        <f>HYPERLINK("http://comp.fnguide.com/SVO2/ASP/SVD_Consensus.asp?pGB=1&amp;gicode=A004490&amp;cID=&amp;MenuYn=Y&amp;ReportGB=&amp;NewMenuID=108&amp;stkGb=701", "세방전지")</f>
        <v>0</v>
      </c>
      <c r="C132">
        <v>3</v>
      </c>
      <c r="D132">
        <v>40850</v>
      </c>
      <c r="E132">
        <v>0</v>
      </c>
      <c r="F132">
        <v>6.66</v>
      </c>
      <c r="G132">
        <v>85143</v>
      </c>
      <c r="H132">
        <v>81303</v>
      </c>
      <c r="I132">
        <v>80212</v>
      </c>
      <c r="J132">
        <v>-108.43</v>
      </c>
      <c r="K132">
        <v>-99.03</v>
      </c>
      <c r="L132">
        <v>-96.36</v>
      </c>
      <c r="M132">
        <v>8.58</v>
      </c>
      <c r="N132" t="b">
        <v>1</v>
      </c>
      <c r="O132">
        <v>0</v>
      </c>
      <c r="P132">
        <v>5597</v>
      </c>
      <c r="S132" t="s">
        <v>130</v>
      </c>
      <c r="T132" t="s">
        <v>451</v>
      </c>
      <c r="U132">
        <v>0</v>
      </c>
      <c r="V132">
        <v>-6.4</v>
      </c>
      <c r="W132" t="s">
        <v>768</v>
      </c>
      <c r="X132">
        <v>-1.429794855576172</v>
      </c>
      <c r="Y132">
        <v>5719</v>
      </c>
      <c r="Z132">
        <v>158211</v>
      </c>
      <c r="AA132" t="s">
        <v>1085</v>
      </c>
      <c r="AB132">
        <v>41.48</v>
      </c>
      <c r="AC132" t="s">
        <v>1406</v>
      </c>
      <c r="AD132" t="s">
        <v>1727</v>
      </c>
      <c r="AE132">
        <v>11390</v>
      </c>
      <c r="AF132">
        <v>1057</v>
      </c>
      <c r="AG132">
        <v>615220</v>
      </c>
      <c r="AH132">
        <v>1.34</v>
      </c>
    </row>
    <row r="133" spans="1:34">
      <c r="A133" s="2">
        <f>HYPERLINK("https://finance.naver.com/item/coinfo.nhn?code=014530", "A014530")</f>
        <v>0</v>
      </c>
      <c r="B133">
        <f>HYPERLINK("http://comp.fnguide.com/SVO2/ASP/SVD_Consensus.asp?pGB=1&amp;gicode=A014530&amp;cID=&amp;MenuYn=Y&amp;ReportGB=&amp;NewMenuID=108&amp;stkGb=701", "극동유화")</f>
        <v>0</v>
      </c>
      <c r="C133">
        <v>3</v>
      </c>
      <c r="D133">
        <v>3505</v>
      </c>
      <c r="E133">
        <v>0</v>
      </c>
      <c r="F133">
        <v>8.369999999999999</v>
      </c>
      <c r="G133">
        <v>6068</v>
      </c>
      <c r="H133">
        <v>5423</v>
      </c>
      <c r="I133">
        <v>5240</v>
      </c>
      <c r="J133">
        <v>-73.13</v>
      </c>
      <c r="K133">
        <v>-54.72</v>
      </c>
      <c r="L133">
        <v>-49.49</v>
      </c>
      <c r="M133">
        <v>9.65</v>
      </c>
      <c r="N133" t="b">
        <v>1</v>
      </c>
      <c r="O133">
        <v>0</v>
      </c>
      <c r="P133">
        <v>412</v>
      </c>
      <c r="S133" t="s">
        <v>131</v>
      </c>
      <c r="T133" t="s">
        <v>452</v>
      </c>
      <c r="U133">
        <v>0</v>
      </c>
      <c r="V133">
        <v>-19.3</v>
      </c>
      <c r="W133" t="s">
        <v>769</v>
      </c>
      <c r="X133">
        <v>-4.376553793836047</v>
      </c>
      <c r="Y133">
        <v>1222</v>
      </c>
      <c r="Z133">
        <v>205729</v>
      </c>
      <c r="AA133" t="s">
        <v>1086</v>
      </c>
      <c r="AB133">
        <v>43.36</v>
      </c>
      <c r="AC133" t="s">
        <v>1407</v>
      </c>
      <c r="AD133" t="s">
        <v>1728</v>
      </c>
      <c r="AE133">
        <v>7956</v>
      </c>
      <c r="AF133">
        <v>167</v>
      </c>
      <c r="AG133">
        <v>1200000</v>
      </c>
      <c r="AH133">
        <v>4.64</v>
      </c>
    </row>
    <row r="134" spans="1:34">
      <c r="A134" s="2">
        <f>HYPERLINK("https://finance.naver.com/item/coinfo.nhn?code=007690", "A007690")</f>
        <v>0</v>
      </c>
      <c r="B134">
        <f>HYPERLINK("http://comp.fnguide.com/SVO2/ASP/SVD_Consensus.asp?pGB=1&amp;gicode=A007690&amp;cID=&amp;MenuYn=Y&amp;ReportGB=&amp;NewMenuID=108&amp;stkGb=701", "국도화학")</f>
        <v>0</v>
      </c>
      <c r="C134">
        <v>3</v>
      </c>
      <c r="D134">
        <v>52600</v>
      </c>
      <c r="E134">
        <v>0</v>
      </c>
      <c r="F134">
        <v>7.9</v>
      </c>
      <c r="G134">
        <v>97262</v>
      </c>
      <c r="H134">
        <v>95813</v>
      </c>
      <c r="I134">
        <v>95401</v>
      </c>
      <c r="J134">
        <v>-84.91</v>
      </c>
      <c r="K134">
        <v>-82.15000000000001</v>
      </c>
      <c r="L134">
        <v>-81.37</v>
      </c>
      <c r="M134">
        <v>8.140000000000001</v>
      </c>
      <c r="N134" t="b">
        <v>1</v>
      </c>
      <c r="O134">
        <v>0</v>
      </c>
      <c r="P134">
        <v>5958</v>
      </c>
      <c r="S134" t="s">
        <v>132</v>
      </c>
      <c r="T134" t="s">
        <v>453</v>
      </c>
      <c r="U134">
        <v>0</v>
      </c>
      <c r="V134">
        <v>-10.1</v>
      </c>
      <c r="W134" t="s">
        <v>770</v>
      </c>
      <c r="X134">
        <v>-11.05131788007191</v>
      </c>
      <c r="Y134">
        <v>3056</v>
      </c>
      <c r="Z134">
        <v>58983</v>
      </c>
      <c r="AA134" t="s">
        <v>1087</v>
      </c>
      <c r="AB134">
        <v>24.58</v>
      </c>
      <c r="AC134" t="s">
        <v>1408</v>
      </c>
      <c r="AD134" t="s">
        <v>1729</v>
      </c>
      <c r="AE134">
        <v>11214</v>
      </c>
      <c r="AF134">
        <v>421</v>
      </c>
      <c r="AG134">
        <v>364289</v>
      </c>
      <c r="AH134">
        <v>3.19</v>
      </c>
    </row>
    <row r="135" spans="1:34">
      <c r="A135" s="2">
        <f>HYPERLINK("https://finance.naver.com/item/coinfo.nhn?code=030610", "A030610")</f>
        <v>0</v>
      </c>
      <c r="B135">
        <f>HYPERLINK("http://comp.fnguide.com/SVO2/ASP/SVD_Consensus.asp?pGB=1&amp;gicode=A030610&amp;cID=&amp;MenuYn=Y&amp;ReportGB=&amp;NewMenuID=108&amp;stkGb=701", "교보증권")</f>
        <v>0</v>
      </c>
      <c r="C135">
        <v>3</v>
      </c>
      <c r="D135">
        <v>7840</v>
      </c>
      <c r="E135">
        <v>0</v>
      </c>
      <c r="F135">
        <v>3.98</v>
      </c>
      <c r="G135">
        <v>17387</v>
      </c>
      <c r="H135">
        <v>16022</v>
      </c>
      <c r="I135">
        <v>15634</v>
      </c>
      <c r="J135">
        <v>-121.77</v>
      </c>
      <c r="K135">
        <v>-104.36</v>
      </c>
      <c r="L135">
        <v>-99.41</v>
      </c>
      <c r="M135">
        <v>9.130000000000001</v>
      </c>
      <c r="N135" t="b">
        <v>1</v>
      </c>
      <c r="O135">
        <v>0</v>
      </c>
      <c r="P135">
        <v>2319</v>
      </c>
      <c r="S135" t="s">
        <v>133</v>
      </c>
      <c r="T135" t="s">
        <v>454</v>
      </c>
      <c r="U135">
        <v>0</v>
      </c>
      <c r="V135">
        <v>9.1</v>
      </c>
      <c r="W135" t="s">
        <v>771</v>
      </c>
      <c r="X135">
        <v>9.079772519246077</v>
      </c>
      <c r="Y135">
        <v>5069</v>
      </c>
      <c r="Z135">
        <v>72505</v>
      </c>
      <c r="AA135" t="s">
        <v>1088</v>
      </c>
      <c r="AB135">
        <v>73.16</v>
      </c>
      <c r="AC135" t="s">
        <v>1409</v>
      </c>
      <c r="AD135" t="s">
        <v>1730</v>
      </c>
      <c r="AE135">
        <v>3064</v>
      </c>
      <c r="AF135">
        <v>1104</v>
      </c>
      <c r="AG135">
        <v>1093598</v>
      </c>
      <c r="AH135">
        <v>4.34</v>
      </c>
    </row>
    <row r="136" spans="1:34">
      <c r="A136" s="2">
        <f>HYPERLINK("https://finance.naver.com/item/coinfo.nhn?code=004430", "A004430")</f>
        <v>0</v>
      </c>
      <c r="B136">
        <f>HYPERLINK("http://comp.fnguide.com/SVO2/ASP/SVD_Consensus.asp?pGB=1&amp;gicode=A004430&amp;cID=&amp;MenuYn=Y&amp;ReportGB=&amp;NewMenuID=108&amp;stkGb=701", "송원산업")</f>
        <v>0</v>
      </c>
      <c r="C136">
        <v>3</v>
      </c>
      <c r="D136">
        <v>15300</v>
      </c>
      <c r="E136">
        <v>-36.2</v>
      </c>
      <c r="F136">
        <v>10.74</v>
      </c>
      <c r="G136">
        <v>20210</v>
      </c>
      <c r="H136">
        <v>18870</v>
      </c>
      <c r="I136">
        <v>18490</v>
      </c>
      <c r="J136">
        <v>-32.09</v>
      </c>
      <c r="K136">
        <v>-23.34</v>
      </c>
      <c r="L136">
        <v>-20.85</v>
      </c>
      <c r="M136">
        <v>8.92</v>
      </c>
      <c r="N136" t="b">
        <v>1</v>
      </c>
      <c r="O136">
        <v>1</v>
      </c>
      <c r="P136">
        <v>1448</v>
      </c>
      <c r="Q136">
        <v>1463</v>
      </c>
      <c r="R136">
        <v>1</v>
      </c>
      <c r="S136" t="s">
        <v>134</v>
      </c>
      <c r="T136" t="s">
        <v>455</v>
      </c>
      <c r="U136">
        <v>-0.2967088238919002</v>
      </c>
      <c r="V136">
        <v>-14.5</v>
      </c>
      <c r="W136" t="s">
        <v>772</v>
      </c>
      <c r="X136">
        <v>-0.02303785426702731</v>
      </c>
      <c r="Y136">
        <v>3672</v>
      </c>
      <c r="Z136">
        <v>1794485</v>
      </c>
      <c r="AA136" t="s">
        <v>1089</v>
      </c>
      <c r="AB136">
        <v>35.64</v>
      </c>
      <c r="AC136" t="s">
        <v>1410</v>
      </c>
      <c r="AD136" t="s">
        <v>1731</v>
      </c>
      <c r="AE136">
        <v>8143</v>
      </c>
      <c r="AF136">
        <v>593</v>
      </c>
      <c r="AH136">
        <v>0.96</v>
      </c>
    </row>
    <row r="137" spans="1:34">
      <c r="A137" s="2">
        <f>HYPERLINK("https://finance.naver.com/item/coinfo.nhn?code=210540", "A210540")</f>
        <v>0</v>
      </c>
      <c r="B137">
        <f>HYPERLINK("http://comp.fnguide.com/SVO2/ASP/SVD_Consensus.asp?pGB=1&amp;gicode=A210540&amp;cID=&amp;MenuYn=Y&amp;ReportGB=&amp;NewMenuID=108&amp;stkGb=701", "디와이파워")</f>
        <v>0</v>
      </c>
      <c r="C137">
        <v>3</v>
      </c>
      <c r="D137">
        <v>11650</v>
      </c>
      <c r="E137">
        <v>0</v>
      </c>
      <c r="F137">
        <v>5.84</v>
      </c>
      <c r="G137">
        <v>31593</v>
      </c>
      <c r="H137">
        <v>21689</v>
      </c>
      <c r="I137">
        <v>18875</v>
      </c>
      <c r="J137">
        <v>-171.18</v>
      </c>
      <c r="K137">
        <v>-86.17</v>
      </c>
      <c r="L137">
        <v>-62.01</v>
      </c>
      <c r="M137">
        <v>16.58</v>
      </c>
      <c r="N137" t="b">
        <v>1</v>
      </c>
      <c r="O137">
        <v>0</v>
      </c>
      <c r="P137">
        <v>1728</v>
      </c>
      <c r="S137" t="s">
        <v>135</v>
      </c>
      <c r="T137" t="s">
        <v>456</v>
      </c>
      <c r="U137">
        <v>0</v>
      </c>
      <c r="V137">
        <v>-7.8</v>
      </c>
      <c r="W137" t="s">
        <v>773</v>
      </c>
      <c r="X137">
        <v>59.8990986968679</v>
      </c>
      <c r="Y137">
        <v>1286</v>
      </c>
      <c r="Z137">
        <v>103972</v>
      </c>
      <c r="AA137" t="s">
        <v>1090</v>
      </c>
      <c r="AB137">
        <v>38.46</v>
      </c>
      <c r="AC137" t="s">
        <v>1411</v>
      </c>
      <c r="AD137" t="s">
        <v>1732</v>
      </c>
      <c r="AE137">
        <v>3435</v>
      </c>
      <c r="AF137">
        <v>259</v>
      </c>
      <c r="AG137">
        <v>5857</v>
      </c>
      <c r="AH137">
        <v>1.98</v>
      </c>
    </row>
    <row r="138" spans="1:34">
      <c r="A138" s="2">
        <f>HYPERLINK("https://finance.naver.com/item/coinfo.nhn?code=016590", "A016590")</f>
        <v>0</v>
      </c>
      <c r="B138">
        <f>HYPERLINK("http://comp.fnguide.com/SVO2/ASP/SVD_Consensus.asp?pGB=1&amp;gicode=A016590&amp;cID=&amp;MenuYn=Y&amp;ReportGB=&amp;NewMenuID=108&amp;stkGb=701", "신대양제지")</f>
        <v>0</v>
      </c>
      <c r="C138">
        <v>3</v>
      </c>
      <c r="D138">
        <v>65600</v>
      </c>
      <c r="E138">
        <v>0</v>
      </c>
      <c r="F138">
        <v>4.3</v>
      </c>
      <c r="G138">
        <v>235675</v>
      </c>
      <c r="H138">
        <v>159634</v>
      </c>
      <c r="I138">
        <v>138024</v>
      </c>
      <c r="J138">
        <v>-259.26</v>
      </c>
      <c r="K138">
        <v>-143.34</v>
      </c>
      <c r="L138">
        <v>-110.4</v>
      </c>
      <c r="M138">
        <v>17.12</v>
      </c>
      <c r="N138" t="b">
        <v>1</v>
      </c>
      <c r="O138">
        <v>0</v>
      </c>
      <c r="P138">
        <v>13849</v>
      </c>
      <c r="S138" t="s">
        <v>136</v>
      </c>
      <c r="T138" t="s">
        <v>457</v>
      </c>
      <c r="U138">
        <v>0</v>
      </c>
      <c r="V138">
        <v>-17</v>
      </c>
      <c r="W138" t="s">
        <v>774</v>
      </c>
      <c r="X138">
        <v>29.98273632658002</v>
      </c>
      <c r="Y138">
        <v>2644</v>
      </c>
      <c r="Z138">
        <v>24686</v>
      </c>
      <c r="AA138" t="s">
        <v>1091</v>
      </c>
      <c r="AB138">
        <v>53.49</v>
      </c>
      <c r="AC138" t="s">
        <v>1412</v>
      </c>
      <c r="AD138" t="s">
        <v>1733</v>
      </c>
      <c r="AE138">
        <v>6468</v>
      </c>
      <c r="AF138">
        <v>947</v>
      </c>
      <c r="AG138">
        <v>201500</v>
      </c>
      <c r="AH138">
        <v>1.05</v>
      </c>
    </row>
    <row r="139" spans="1:34">
      <c r="A139" s="2">
        <f>HYPERLINK("https://finance.naver.com/item/coinfo.nhn?code=004170", "A004170")</f>
        <v>0</v>
      </c>
      <c r="B139">
        <f>HYPERLINK("http://comp.fnguide.com/SVO2/ASP/SVD_Consensus.asp?pGB=1&amp;gicode=A004170&amp;cID=&amp;MenuYn=Y&amp;ReportGB=&amp;NewMenuID=108&amp;stkGb=701", "신세계")</f>
        <v>0</v>
      </c>
      <c r="C139">
        <v>3</v>
      </c>
      <c r="D139">
        <v>233000</v>
      </c>
      <c r="E139">
        <v>0</v>
      </c>
      <c r="F139">
        <v>5.4</v>
      </c>
      <c r="G139">
        <v>520175</v>
      </c>
      <c r="H139">
        <v>447376</v>
      </c>
      <c r="I139">
        <v>426688</v>
      </c>
      <c r="J139">
        <v>-123.25</v>
      </c>
      <c r="K139">
        <v>-92.01000000000001</v>
      </c>
      <c r="L139">
        <v>-83.13</v>
      </c>
      <c r="M139">
        <v>10.35</v>
      </c>
      <c r="N139" t="b">
        <v>1</v>
      </c>
      <c r="O139">
        <v>0</v>
      </c>
      <c r="P139">
        <v>53472</v>
      </c>
      <c r="Q139">
        <v>-4919</v>
      </c>
      <c r="R139">
        <v>-109.2</v>
      </c>
      <c r="S139" t="s">
        <v>137</v>
      </c>
      <c r="T139" t="s">
        <v>458</v>
      </c>
      <c r="U139">
        <v>0</v>
      </c>
      <c r="V139">
        <v>0</v>
      </c>
      <c r="W139" t="s">
        <v>775</v>
      </c>
      <c r="X139">
        <v>6.95719411309057</v>
      </c>
      <c r="Y139">
        <v>22939</v>
      </c>
      <c r="Z139">
        <v>67342</v>
      </c>
      <c r="AA139" t="s">
        <v>1092</v>
      </c>
      <c r="AB139">
        <v>28.57</v>
      </c>
      <c r="AC139" t="s">
        <v>1413</v>
      </c>
      <c r="AD139" t="s">
        <v>1734</v>
      </c>
      <c r="AE139">
        <v>63942</v>
      </c>
      <c r="AF139">
        <v>4678</v>
      </c>
      <c r="AG139">
        <v>8774</v>
      </c>
      <c r="AH139">
        <v>0.6899999999999999</v>
      </c>
    </row>
    <row r="140" spans="1:34">
      <c r="A140" s="2">
        <f>HYPERLINK("https://finance.naver.com/item/coinfo.nhn?code=006650", "A006650")</f>
        <v>0</v>
      </c>
      <c r="B140">
        <f>HYPERLINK("http://comp.fnguide.com/SVO2/ASP/SVD_Consensus.asp?pGB=1&amp;gicode=A006650&amp;cID=&amp;MenuYn=Y&amp;ReportGB=&amp;NewMenuID=108&amp;stkGb=701", "대한유화")</f>
        <v>0</v>
      </c>
      <c r="C140">
        <v>3</v>
      </c>
      <c r="D140">
        <v>231500</v>
      </c>
      <c r="E140">
        <v>-0.49</v>
      </c>
      <c r="F140">
        <v>7.18</v>
      </c>
      <c r="G140">
        <v>400780</v>
      </c>
      <c r="H140">
        <v>332912</v>
      </c>
      <c r="I140">
        <v>313625</v>
      </c>
      <c r="J140">
        <v>-73.12</v>
      </c>
      <c r="K140">
        <v>-43.81</v>
      </c>
      <c r="L140">
        <v>-35.48</v>
      </c>
      <c r="M140">
        <v>11.05</v>
      </c>
      <c r="N140" t="b">
        <v>1</v>
      </c>
      <c r="O140">
        <v>1</v>
      </c>
      <c r="P140">
        <v>16360</v>
      </c>
      <c r="Q140">
        <v>20529</v>
      </c>
      <c r="R140">
        <v>25.5</v>
      </c>
      <c r="S140" t="s">
        <v>138</v>
      </c>
      <c r="T140" t="s">
        <v>459</v>
      </c>
      <c r="U140">
        <v>-14.61552188270608</v>
      </c>
      <c r="V140">
        <v>-18.4</v>
      </c>
      <c r="W140" t="s">
        <v>776</v>
      </c>
      <c r="X140">
        <v>-15.4433906953866</v>
      </c>
      <c r="Y140">
        <v>15048</v>
      </c>
      <c r="Z140">
        <v>85214</v>
      </c>
      <c r="AA140" t="s">
        <v>1093</v>
      </c>
      <c r="AB140">
        <v>39.87</v>
      </c>
      <c r="AC140" t="s">
        <v>1414</v>
      </c>
      <c r="AD140" t="s">
        <v>1735</v>
      </c>
      <c r="AE140">
        <v>20743</v>
      </c>
      <c r="AF140">
        <v>1138</v>
      </c>
      <c r="AG140">
        <v>323900</v>
      </c>
      <c r="AH140">
        <v>2.13</v>
      </c>
    </row>
    <row r="141" spans="1:34">
      <c r="A141" s="2">
        <f>HYPERLINK("https://finance.naver.com/item/coinfo.nhn?code=016090", "A016090")</f>
        <v>0</v>
      </c>
      <c r="B141">
        <f>HYPERLINK("http://comp.fnguide.com/SVO2/ASP/SVD_Consensus.asp?pGB=1&amp;gicode=A016090&amp;cID=&amp;MenuYn=Y&amp;ReportGB=&amp;NewMenuID=108&amp;stkGb=701", "대현")</f>
        <v>0</v>
      </c>
      <c r="C141">
        <v>3</v>
      </c>
      <c r="D141">
        <v>1835</v>
      </c>
      <c r="E141">
        <v>0</v>
      </c>
      <c r="F141">
        <v>6.64</v>
      </c>
      <c r="G141">
        <v>4728</v>
      </c>
      <c r="H141">
        <v>4590</v>
      </c>
      <c r="I141">
        <v>4551</v>
      </c>
      <c r="J141">
        <v>-157.65</v>
      </c>
      <c r="K141">
        <v>-150.13</v>
      </c>
      <c r="L141">
        <v>-147.99</v>
      </c>
      <c r="M141">
        <v>8.35</v>
      </c>
      <c r="N141" t="b">
        <v>1</v>
      </c>
      <c r="O141">
        <v>0</v>
      </c>
      <c r="P141">
        <v>376</v>
      </c>
      <c r="S141" t="s">
        <v>139</v>
      </c>
      <c r="T141" t="s">
        <v>460</v>
      </c>
      <c r="U141">
        <v>0</v>
      </c>
      <c r="V141">
        <v>-40</v>
      </c>
      <c r="W141" t="s">
        <v>777</v>
      </c>
      <c r="X141">
        <v>4.243009218771654</v>
      </c>
      <c r="Y141">
        <v>813</v>
      </c>
      <c r="Z141">
        <v>140048</v>
      </c>
      <c r="AA141" t="s">
        <v>1094</v>
      </c>
      <c r="AB141">
        <v>47.28</v>
      </c>
      <c r="AC141" t="s">
        <v>1415</v>
      </c>
      <c r="AD141" t="s">
        <v>1736</v>
      </c>
      <c r="AE141">
        <v>2996</v>
      </c>
      <c r="AF141">
        <v>202</v>
      </c>
      <c r="AH141">
        <v>4.01</v>
      </c>
    </row>
    <row r="142" spans="1:34">
      <c r="A142" s="2">
        <f>HYPERLINK("https://finance.naver.com/item/coinfo.nhn?code=013580", "A013580")</f>
        <v>0</v>
      </c>
      <c r="B142">
        <f>HYPERLINK("http://comp.fnguide.com/SVO2/ASP/SVD_Consensus.asp?pGB=1&amp;gicode=A013580&amp;cID=&amp;MenuYn=Y&amp;ReportGB=&amp;NewMenuID=108&amp;stkGb=701", "계룡건설")</f>
        <v>0</v>
      </c>
      <c r="C142">
        <v>3</v>
      </c>
      <c r="D142">
        <v>24550</v>
      </c>
      <c r="E142">
        <v>0</v>
      </c>
      <c r="F142">
        <v>2.53</v>
      </c>
      <c r="G142">
        <v>125108</v>
      </c>
      <c r="H142">
        <v>80632</v>
      </c>
      <c r="I142">
        <v>67992</v>
      </c>
      <c r="J142">
        <v>-409.61</v>
      </c>
      <c r="K142">
        <v>-228.44</v>
      </c>
      <c r="L142">
        <v>-176.95</v>
      </c>
      <c r="M142">
        <v>19.41</v>
      </c>
      <c r="N142" t="b">
        <v>1</v>
      </c>
      <c r="O142">
        <v>0</v>
      </c>
      <c r="P142">
        <v>8013</v>
      </c>
      <c r="S142" t="s">
        <v>140</v>
      </c>
      <c r="T142" t="s">
        <v>461</v>
      </c>
      <c r="U142">
        <v>0</v>
      </c>
      <c r="V142">
        <v>34.8</v>
      </c>
      <c r="W142" t="s">
        <v>778</v>
      </c>
      <c r="X142">
        <v>43.82618766055091</v>
      </c>
      <c r="Y142">
        <v>2193</v>
      </c>
      <c r="Z142">
        <v>261206</v>
      </c>
      <c r="AA142" t="s">
        <v>1095</v>
      </c>
      <c r="AB142">
        <v>41.68</v>
      </c>
      <c r="AC142" t="s">
        <v>1416</v>
      </c>
      <c r="AD142" t="s">
        <v>1737</v>
      </c>
      <c r="AE142">
        <v>22757</v>
      </c>
      <c r="AF142">
        <v>1359</v>
      </c>
      <c r="AG142">
        <v>73110</v>
      </c>
      <c r="AH142">
        <v>2.96</v>
      </c>
    </row>
    <row r="143" spans="1:34">
      <c r="A143" s="2">
        <f>HYPERLINK("https://finance.naver.com/item/coinfo.nhn?code=005960", "A005960")</f>
        <v>0</v>
      </c>
      <c r="B143">
        <f>HYPERLINK("http://comp.fnguide.com/SVO2/ASP/SVD_Consensus.asp?pGB=1&amp;gicode=A005960&amp;cID=&amp;MenuYn=Y&amp;ReportGB=&amp;NewMenuID=108&amp;stkGb=701", "동부건설")</f>
        <v>0</v>
      </c>
      <c r="C143">
        <v>3</v>
      </c>
      <c r="D143">
        <v>13450</v>
      </c>
      <c r="E143">
        <v>-0.18</v>
      </c>
      <c r="F143">
        <v>3.05</v>
      </c>
      <c r="G143">
        <v>48528</v>
      </c>
      <c r="H143">
        <v>30471</v>
      </c>
      <c r="I143">
        <v>25340</v>
      </c>
      <c r="J143">
        <v>-260.8</v>
      </c>
      <c r="K143">
        <v>-126.55</v>
      </c>
      <c r="L143">
        <v>-88.40000000000001</v>
      </c>
      <c r="M143">
        <v>20.81</v>
      </c>
      <c r="N143" t="b">
        <v>1</v>
      </c>
      <c r="O143">
        <v>0</v>
      </c>
      <c r="P143">
        <v>2803</v>
      </c>
      <c r="Q143">
        <v>2611</v>
      </c>
      <c r="R143">
        <v>-6.8</v>
      </c>
      <c r="S143" t="s">
        <v>141</v>
      </c>
      <c r="T143" t="s">
        <v>462</v>
      </c>
      <c r="U143">
        <v>-17.03033207823105</v>
      </c>
      <c r="V143">
        <v>21.8</v>
      </c>
      <c r="W143" t="s">
        <v>779</v>
      </c>
      <c r="X143">
        <v>-14.26029213425397</v>
      </c>
      <c r="Y143">
        <v>3053</v>
      </c>
      <c r="Z143">
        <v>233180</v>
      </c>
      <c r="AA143" t="s">
        <v>1096</v>
      </c>
      <c r="AB143">
        <v>62.19</v>
      </c>
      <c r="AC143" t="s">
        <v>1417</v>
      </c>
      <c r="AD143" t="s">
        <v>1738</v>
      </c>
      <c r="AE143">
        <v>11554</v>
      </c>
      <c r="AF143">
        <v>555</v>
      </c>
      <c r="AG143">
        <v>4291</v>
      </c>
      <c r="AH143">
        <v>8.199999999999999</v>
      </c>
    </row>
    <row r="144" spans="1:34">
      <c r="A144" s="2">
        <f>HYPERLINK("https://finance.naver.com/item/coinfo.nhn?code=007340", "A007340")</f>
        <v>0</v>
      </c>
      <c r="B144">
        <f>HYPERLINK("http://comp.fnguide.com/SVO2/ASP/SVD_Consensus.asp?pGB=1&amp;gicode=A007340&amp;cID=&amp;MenuYn=Y&amp;ReportGB=&amp;NewMenuID=108&amp;stkGb=701", "디티알오토모티브")</f>
        <v>0</v>
      </c>
      <c r="C144">
        <v>3</v>
      </c>
      <c r="D144">
        <v>24350</v>
      </c>
      <c r="E144">
        <v>0</v>
      </c>
      <c r="F144">
        <v>4.46</v>
      </c>
      <c r="G144">
        <v>93533</v>
      </c>
      <c r="H144">
        <v>79285</v>
      </c>
      <c r="I144">
        <v>75236</v>
      </c>
      <c r="J144">
        <v>-284.12</v>
      </c>
      <c r="K144">
        <v>-225.61</v>
      </c>
      <c r="L144">
        <v>-208.98</v>
      </c>
      <c r="M144">
        <v>10.63</v>
      </c>
      <c r="N144" t="b">
        <v>1</v>
      </c>
      <c r="O144">
        <v>0</v>
      </c>
      <c r="P144">
        <v>6584</v>
      </c>
      <c r="S144" t="s">
        <v>142</v>
      </c>
      <c r="T144" t="s">
        <v>463</v>
      </c>
      <c r="U144">
        <v>0</v>
      </c>
      <c r="V144">
        <v>-27.4</v>
      </c>
      <c r="W144" t="s">
        <v>780</v>
      </c>
      <c r="X144">
        <v>9.298220911236665</v>
      </c>
      <c r="Y144">
        <v>2434</v>
      </c>
      <c r="Z144">
        <v>31695</v>
      </c>
      <c r="AA144" t="s">
        <v>1097</v>
      </c>
      <c r="AB144">
        <v>51.25</v>
      </c>
      <c r="AC144" t="s">
        <v>1418</v>
      </c>
      <c r="AD144" t="s">
        <v>1739</v>
      </c>
      <c r="AE144">
        <v>9298</v>
      </c>
      <c r="AF144">
        <v>802</v>
      </c>
      <c r="AG144">
        <v>1375880</v>
      </c>
      <c r="AH144">
        <v>5.11</v>
      </c>
    </row>
    <row r="145" spans="1:34">
      <c r="A145" s="2">
        <f>HYPERLINK("https://finance.naver.com/item/coinfo.nhn?code=016740", "A016740")</f>
        <v>0</v>
      </c>
      <c r="B145">
        <f>HYPERLINK("http://comp.fnguide.com/SVO2/ASP/SVD_Consensus.asp?pGB=1&amp;gicode=A016740&amp;cID=&amp;MenuYn=Y&amp;ReportGB=&amp;NewMenuID=108&amp;stkGb=701", "두올")</f>
        <v>0</v>
      </c>
      <c r="C145">
        <v>3</v>
      </c>
      <c r="D145">
        <v>3380</v>
      </c>
      <c r="E145">
        <v>0</v>
      </c>
      <c r="F145">
        <v>8.59</v>
      </c>
      <c r="G145">
        <v>6838</v>
      </c>
      <c r="H145">
        <v>6649</v>
      </c>
      <c r="I145">
        <v>6596</v>
      </c>
      <c r="J145">
        <v>-102.31</v>
      </c>
      <c r="K145">
        <v>-96.73</v>
      </c>
      <c r="L145">
        <v>-95.14</v>
      </c>
      <c r="M145">
        <v>8.32</v>
      </c>
      <c r="N145" t="b">
        <v>1</v>
      </c>
      <c r="O145">
        <v>0</v>
      </c>
      <c r="P145">
        <v>366</v>
      </c>
      <c r="S145" t="s">
        <v>143</v>
      </c>
      <c r="T145" t="s">
        <v>464</v>
      </c>
      <c r="U145">
        <v>0</v>
      </c>
      <c r="V145">
        <v>-58.7</v>
      </c>
      <c r="W145" t="s">
        <v>781</v>
      </c>
      <c r="X145">
        <v>-30.0955350795964</v>
      </c>
      <c r="Y145">
        <v>915</v>
      </c>
      <c r="Z145">
        <v>209748</v>
      </c>
      <c r="AA145" t="s">
        <v>1098</v>
      </c>
      <c r="AB145">
        <v>49.34</v>
      </c>
      <c r="AC145" t="s">
        <v>1419</v>
      </c>
      <c r="AD145" t="s">
        <v>1740</v>
      </c>
      <c r="AE145">
        <v>4659</v>
      </c>
      <c r="AF145">
        <v>276</v>
      </c>
      <c r="AG145">
        <v>596916</v>
      </c>
      <c r="AH145">
        <v>2.55</v>
      </c>
    </row>
    <row r="146" spans="1:34">
      <c r="A146" s="2">
        <f>HYPERLINK("https://finance.naver.com/item/coinfo.nhn?code=004000", "A004000")</f>
        <v>0</v>
      </c>
      <c r="B146">
        <f>HYPERLINK("http://comp.fnguide.com/SVO2/ASP/SVD_Consensus.asp?pGB=1&amp;gicode=A004000&amp;cID=&amp;MenuYn=Y&amp;ReportGB=&amp;NewMenuID=108&amp;stkGb=701", "롯데정밀화학")</f>
        <v>0</v>
      </c>
      <c r="C146">
        <v>3</v>
      </c>
      <c r="D146">
        <v>56000</v>
      </c>
      <c r="E146">
        <v>0.31</v>
      </c>
      <c r="F146">
        <v>6.92</v>
      </c>
      <c r="G146">
        <v>93975</v>
      </c>
      <c r="H146">
        <v>72704</v>
      </c>
      <c r="I146">
        <v>66659</v>
      </c>
      <c r="J146">
        <v>-67.81</v>
      </c>
      <c r="K146">
        <v>-29.83</v>
      </c>
      <c r="L146">
        <v>-19.03</v>
      </c>
      <c r="M146">
        <v>12.73</v>
      </c>
      <c r="N146" t="b">
        <v>1</v>
      </c>
      <c r="O146">
        <v>0</v>
      </c>
      <c r="P146">
        <v>6526</v>
      </c>
      <c r="Q146">
        <v>6381</v>
      </c>
      <c r="R146">
        <v>-2.2</v>
      </c>
      <c r="S146" t="s">
        <v>144</v>
      </c>
      <c r="T146" t="s">
        <v>465</v>
      </c>
      <c r="U146">
        <v>22.62688597946629</v>
      </c>
      <c r="V146">
        <v>2.1</v>
      </c>
      <c r="W146" t="s">
        <v>782</v>
      </c>
      <c r="X146">
        <v>24.41557987253018</v>
      </c>
      <c r="Y146">
        <v>14448</v>
      </c>
      <c r="Z146">
        <v>134296</v>
      </c>
      <c r="AA146" t="s">
        <v>1099</v>
      </c>
      <c r="AB146">
        <v>31.13</v>
      </c>
      <c r="AC146" t="s">
        <v>1420</v>
      </c>
      <c r="AD146" t="s">
        <v>1741</v>
      </c>
      <c r="AE146">
        <v>13113</v>
      </c>
      <c r="AF146">
        <v>1897</v>
      </c>
      <c r="AG146">
        <v>330000</v>
      </c>
      <c r="AH146">
        <v>3.77</v>
      </c>
    </row>
    <row r="147" spans="1:34">
      <c r="A147" s="2">
        <f>HYPERLINK("https://finance.naver.com/item/coinfo.nhn?code=042670", "A042670")</f>
        <v>0</v>
      </c>
      <c r="B147">
        <f>HYPERLINK("http://comp.fnguide.com/SVO2/ASP/SVD_Consensus.asp?pGB=1&amp;gicode=A042670&amp;cID=&amp;MenuYn=Y&amp;ReportGB=&amp;NewMenuID=108&amp;stkGb=701", "두산인프라코어")</f>
        <v>0</v>
      </c>
      <c r="C147">
        <v>3</v>
      </c>
      <c r="D147">
        <v>8000</v>
      </c>
      <c r="E147">
        <v>0.79</v>
      </c>
      <c r="F147">
        <v>4.82</v>
      </c>
      <c r="G147">
        <v>15337</v>
      </c>
      <c r="H147">
        <v>12303</v>
      </c>
      <c r="I147">
        <v>11441</v>
      </c>
      <c r="J147">
        <v>-91.72</v>
      </c>
      <c r="K147">
        <v>-53.79</v>
      </c>
      <c r="L147">
        <v>-43.01</v>
      </c>
      <c r="M147">
        <v>11.83</v>
      </c>
      <c r="N147" t="b">
        <v>1</v>
      </c>
      <c r="O147">
        <v>0</v>
      </c>
      <c r="P147">
        <v>1153</v>
      </c>
      <c r="Q147">
        <v>856</v>
      </c>
      <c r="R147">
        <v>-25.8</v>
      </c>
      <c r="S147" t="s">
        <v>145</v>
      </c>
      <c r="T147" t="s">
        <v>466</v>
      </c>
      <c r="U147">
        <v>6.12868647568694</v>
      </c>
      <c r="V147">
        <v>-35</v>
      </c>
      <c r="W147" t="s">
        <v>783</v>
      </c>
      <c r="X147">
        <v>25.20968411864381</v>
      </c>
      <c r="Y147">
        <v>17273</v>
      </c>
      <c r="Z147">
        <v>2541646</v>
      </c>
      <c r="AA147" t="s">
        <v>1100</v>
      </c>
      <c r="AB147">
        <v>35</v>
      </c>
      <c r="AC147" t="s">
        <v>1421</v>
      </c>
      <c r="AD147" t="s">
        <v>1742</v>
      </c>
      <c r="AE147">
        <v>81858</v>
      </c>
      <c r="AF147">
        <v>8404</v>
      </c>
      <c r="AG147">
        <v>505</v>
      </c>
    </row>
    <row r="148" spans="1:34">
      <c r="A148" s="2">
        <f>HYPERLINK("https://finance.naver.com/item/coinfo.nhn?code=030720", "A030720")</f>
        <v>0</v>
      </c>
      <c r="B148">
        <f>HYPERLINK("http://comp.fnguide.com/SVO2/ASP/SVD_Consensus.asp?pGB=1&amp;gicode=A030720&amp;cID=&amp;MenuYn=Y&amp;ReportGB=&amp;NewMenuID=108&amp;stkGb=701", "동원수산")</f>
        <v>0</v>
      </c>
      <c r="C148">
        <v>3</v>
      </c>
      <c r="D148">
        <v>9110</v>
      </c>
      <c r="E148">
        <v>0</v>
      </c>
      <c r="F148">
        <v>7.78</v>
      </c>
      <c r="G148">
        <v>13993</v>
      </c>
      <c r="H148">
        <v>12154</v>
      </c>
      <c r="I148">
        <v>11632</v>
      </c>
      <c r="J148">
        <v>-53.6</v>
      </c>
      <c r="K148">
        <v>-33.42</v>
      </c>
      <c r="L148">
        <v>-27.68</v>
      </c>
      <c r="M148">
        <v>10.16</v>
      </c>
      <c r="N148" t="b">
        <v>0</v>
      </c>
      <c r="O148">
        <v>0</v>
      </c>
      <c r="P148">
        <v>1305</v>
      </c>
      <c r="S148" t="s">
        <v>146</v>
      </c>
      <c r="T148" t="s">
        <v>467</v>
      </c>
      <c r="U148">
        <v>0</v>
      </c>
      <c r="V148">
        <v>-65.2</v>
      </c>
      <c r="W148" t="s">
        <v>784</v>
      </c>
      <c r="X148">
        <v>20.90549431457722</v>
      </c>
      <c r="Y148">
        <v>424</v>
      </c>
      <c r="Z148">
        <v>105824</v>
      </c>
      <c r="AA148" t="s">
        <v>1101</v>
      </c>
      <c r="AB148">
        <v>18.9</v>
      </c>
      <c r="AC148" t="s">
        <v>1422</v>
      </c>
      <c r="AD148" t="s">
        <v>1743</v>
      </c>
      <c r="AE148">
        <v>1640</v>
      </c>
      <c r="AF148">
        <v>151</v>
      </c>
    </row>
    <row r="149" spans="1:34">
      <c r="A149" s="2">
        <f>HYPERLINK("https://finance.naver.com/item/coinfo.nhn?code=006040", "A006040")</f>
        <v>0</v>
      </c>
      <c r="B149">
        <f>HYPERLINK("http://comp.fnguide.com/SVO2/ASP/SVD_Consensus.asp?pGB=1&amp;gicode=A006040&amp;cID=&amp;MenuYn=Y&amp;ReportGB=&amp;NewMenuID=108&amp;stkGb=701", "동원산업")</f>
        <v>0</v>
      </c>
      <c r="C149">
        <v>3</v>
      </c>
      <c r="D149">
        <v>212000</v>
      </c>
      <c r="E149">
        <v>-7.49</v>
      </c>
      <c r="F149">
        <v>16.74</v>
      </c>
      <c r="G149">
        <v>305216</v>
      </c>
      <c r="H149">
        <v>304985</v>
      </c>
      <c r="I149">
        <v>304919</v>
      </c>
      <c r="J149">
        <v>-43.97</v>
      </c>
      <c r="K149">
        <v>-43.86</v>
      </c>
      <c r="L149">
        <v>-43.83</v>
      </c>
      <c r="M149">
        <v>7.95</v>
      </c>
      <c r="N149" t="b">
        <v>0</v>
      </c>
      <c r="O149">
        <v>1</v>
      </c>
      <c r="P149">
        <v>12632</v>
      </c>
      <c r="Q149">
        <v>46361</v>
      </c>
      <c r="R149">
        <v>267</v>
      </c>
      <c r="S149" t="s">
        <v>147</v>
      </c>
      <c r="T149" t="s">
        <v>468</v>
      </c>
      <c r="U149">
        <v>-2.235652274055044</v>
      </c>
      <c r="V149">
        <v>161.1</v>
      </c>
      <c r="W149" t="s">
        <v>785</v>
      </c>
      <c r="X149">
        <v>57.06371283585647</v>
      </c>
      <c r="Y149">
        <v>7797</v>
      </c>
      <c r="Z149">
        <v>4663</v>
      </c>
      <c r="AA149" t="s">
        <v>1102</v>
      </c>
      <c r="AB149">
        <v>63.3</v>
      </c>
      <c r="AC149" t="s">
        <v>1423</v>
      </c>
      <c r="AD149" t="s">
        <v>1744</v>
      </c>
      <c r="AE149">
        <v>26826</v>
      </c>
      <c r="AF149">
        <v>1936</v>
      </c>
      <c r="AG149">
        <v>266581</v>
      </c>
      <c r="AH149">
        <v>0.95</v>
      </c>
    </row>
    <row r="150" spans="1:34">
      <c r="A150" s="2">
        <f>HYPERLINK("https://finance.naver.com/item/coinfo.nhn?code=011170", "A011170")</f>
        <v>0</v>
      </c>
      <c r="B150">
        <f>HYPERLINK("http://comp.fnguide.com/SVO2/ASP/SVD_Consensus.asp?pGB=1&amp;gicode=A011170&amp;cID=&amp;MenuYn=Y&amp;ReportGB=&amp;NewMenuID=108&amp;stkGb=701", "롯데케미칼")</f>
        <v>0</v>
      </c>
      <c r="C150">
        <v>3</v>
      </c>
      <c r="D150">
        <v>269000</v>
      </c>
      <c r="E150">
        <v>-0.21</v>
      </c>
      <c r="F150">
        <v>10.74</v>
      </c>
      <c r="G150">
        <v>518591</v>
      </c>
      <c r="H150">
        <v>438360</v>
      </c>
      <c r="I150">
        <v>415560</v>
      </c>
      <c r="J150">
        <v>-92.78</v>
      </c>
      <c r="K150">
        <v>-62.96</v>
      </c>
      <c r="L150">
        <v>-54.48</v>
      </c>
      <c r="M150">
        <v>10.69</v>
      </c>
      <c r="N150" t="b">
        <v>1</v>
      </c>
      <c r="O150">
        <v>0</v>
      </c>
      <c r="P150">
        <v>20860</v>
      </c>
      <c r="Q150">
        <v>7334</v>
      </c>
      <c r="R150">
        <v>-64.8</v>
      </c>
      <c r="S150" t="s">
        <v>148</v>
      </c>
      <c r="T150" t="s">
        <v>469</v>
      </c>
      <c r="U150">
        <v>-51.76031000531993</v>
      </c>
      <c r="V150">
        <v>-87.8</v>
      </c>
      <c r="W150" t="s">
        <v>786</v>
      </c>
      <c r="X150">
        <v>-38.5028874169244</v>
      </c>
      <c r="Y150">
        <v>92201</v>
      </c>
      <c r="Z150">
        <v>377712</v>
      </c>
      <c r="AA150" t="s">
        <v>1103</v>
      </c>
      <c r="AB150">
        <v>54.92</v>
      </c>
      <c r="AC150" t="s">
        <v>1424</v>
      </c>
      <c r="AD150" t="s">
        <v>1745</v>
      </c>
      <c r="AE150">
        <v>151235</v>
      </c>
      <c r="AF150">
        <v>11073</v>
      </c>
      <c r="AH150">
        <v>2.99</v>
      </c>
    </row>
    <row r="151" spans="1:34">
      <c r="A151" s="2">
        <f>HYPERLINK("https://finance.naver.com/item/coinfo.nhn?code=049770", "A049770")</f>
        <v>0</v>
      </c>
      <c r="B151">
        <f>HYPERLINK("http://comp.fnguide.com/SVO2/ASP/SVD_Consensus.asp?pGB=1&amp;gicode=A049770&amp;cID=&amp;MenuYn=Y&amp;ReportGB=&amp;NewMenuID=108&amp;stkGb=701", "동원F&amp;B")</f>
        <v>0</v>
      </c>
      <c r="C151">
        <v>3</v>
      </c>
      <c r="D151">
        <v>174000</v>
      </c>
      <c r="E151">
        <v>1.08</v>
      </c>
      <c r="F151">
        <v>13.28</v>
      </c>
      <c r="G151">
        <v>213050</v>
      </c>
      <c r="H151">
        <v>191069</v>
      </c>
      <c r="I151">
        <v>184822</v>
      </c>
      <c r="J151">
        <v>-22.44</v>
      </c>
      <c r="K151">
        <v>-9.81</v>
      </c>
      <c r="L151">
        <v>-6.22</v>
      </c>
      <c r="M151">
        <v>9.58</v>
      </c>
      <c r="N151" t="b">
        <v>1</v>
      </c>
      <c r="O151">
        <v>3</v>
      </c>
      <c r="P151">
        <v>17015</v>
      </c>
      <c r="Q151">
        <v>18842</v>
      </c>
      <c r="R151">
        <v>10.7</v>
      </c>
      <c r="S151" t="s">
        <v>149</v>
      </c>
      <c r="T151" t="s">
        <v>470</v>
      </c>
      <c r="U151">
        <v>12.27293721938174</v>
      </c>
      <c r="V151">
        <v>10.3</v>
      </c>
      <c r="W151" t="s">
        <v>787</v>
      </c>
      <c r="X151">
        <v>4.964981025361559</v>
      </c>
      <c r="Y151">
        <v>6715</v>
      </c>
      <c r="Z151">
        <v>6437</v>
      </c>
      <c r="AA151" t="s">
        <v>1104</v>
      </c>
      <c r="AB151">
        <v>71.27</v>
      </c>
      <c r="AC151" t="s">
        <v>1425</v>
      </c>
      <c r="AD151" t="s">
        <v>1746</v>
      </c>
      <c r="AE151">
        <v>30303</v>
      </c>
      <c r="AF151">
        <v>1014</v>
      </c>
      <c r="AH151">
        <v>1.33</v>
      </c>
    </row>
    <row r="152" spans="1:34">
      <c r="A152" s="2">
        <f>HYPERLINK("https://finance.naver.com/item/coinfo.nhn?code=092780", "A092780")</f>
        <v>0</v>
      </c>
      <c r="B152">
        <f>HYPERLINK("http://comp.fnguide.com/SVO2/ASP/SVD_Consensus.asp?pGB=1&amp;gicode=A092780&amp;cID=&amp;MenuYn=Y&amp;ReportGB=&amp;NewMenuID=108&amp;stkGb=701", "동양피스톤")</f>
        <v>0</v>
      </c>
      <c r="C152">
        <v>3</v>
      </c>
      <c r="D152">
        <v>5390</v>
      </c>
      <c r="E152">
        <v>0</v>
      </c>
      <c r="F152">
        <v>6.53</v>
      </c>
      <c r="G152">
        <v>12024</v>
      </c>
      <c r="H152">
        <v>9888</v>
      </c>
      <c r="I152">
        <v>9281</v>
      </c>
      <c r="J152">
        <v>-123.08</v>
      </c>
      <c r="K152">
        <v>-83.45</v>
      </c>
      <c r="L152">
        <v>-72.18000000000001</v>
      </c>
      <c r="M152">
        <v>11.27</v>
      </c>
      <c r="N152" t="b">
        <v>1</v>
      </c>
      <c r="O152">
        <v>0</v>
      </c>
      <c r="P152">
        <v>738</v>
      </c>
      <c r="S152" t="s">
        <v>150</v>
      </c>
      <c r="T152" t="s">
        <v>471</v>
      </c>
      <c r="U152">
        <v>0</v>
      </c>
      <c r="V152">
        <v>0</v>
      </c>
      <c r="W152" t="s">
        <v>788</v>
      </c>
      <c r="X152">
        <v>2.307316731176723</v>
      </c>
      <c r="Y152">
        <v>710</v>
      </c>
      <c r="Z152">
        <v>69481</v>
      </c>
      <c r="AA152" t="s">
        <v>1105</v>
      </c>
      <c r="AB152">
        <v>55.79</v>
      </c>
      <c r="AC152" t="s">
        <v>1426</v>
      </c>
      <c r="AD152" t="s">
        <v>1747</v>
      </c>
      <c r="AE152">
        <v>3648</v>
      </c>
      <c r="AF152">
        <v>185</v>
      </c>
      <c r="AG152">
        <v>647132</v>
      </c>
      <c r="AH152">
        <v>2.49</v>
      </c>
    </row>
    <row r="153" spans="1:34">
      <c r="A153" s="2">
        <f>HYPERLINK("https://finance.naver.com/item/coinfo.nhn?code=138040", "A138040")</f>
        <v>0</v>
      </c>
      <c r="B153">
        <f>HYPERLINK("http://comp.fnguide.com/SVO2/ASP/SVD_Consensus.asp?pGB=1&amp;gicode=A138040&amp;cID=&amp;MenuYn=Y&amp;ReportGB=&amp;NewMenuID=108&amp;stkGb=701", "메리츠금융지주")</f>
        <v>0</v>
      </c>
      <c r="C153">
        <v>3</v>
      </c>
      <c r="D153">
        <v>9960</v>
      </c>
      <c r="E153">
        <v>0</v>
      </c>
      <c r="F153">
        <v>4.15</v>
      </c>
      <c r="G153">
        <v>40728</v>
      </c>
      <c r="H153">
        <v>28787</v>
      </c>
      <c r="I153">
        <v>25393</v>
      </c>
      <c r="J153">
        <v>-308.92</v>
      </c>
      <c r="K153">
        <v>-189.02</v>
      </c>
      <c r="L153">
        <v>-154.95</v>
      </c>
      <c r="M153">
        <v>15.49</v>
      </c>
      <c r="N153" t="b">
        <v>1</v>
      </c>
      <c r="O153">
        <v>0</v>
      </c>
      <c r="P153">
        <v>2841</v>
      </c>
      <c r="S153" t="s">
        <v>151</v>
      </c>
      <c r="T153" t="s">
        <v>472</v>
      </c>
      <c r="U153">
        <v>0</v>
      </c>
      <c r="V153">
        <v>4.8</v>
      </c>
      <c r="W153" t="s">
        <v>789</v>
      </c>
      <c r="X153">
        <v>4.539413365111278</v>
      </c>
      <c r="Y153">
        <v>13348</v>
      </c>
      <c r="Z153">
        <v>120613</v>
      </c>
      <c r="AA153" t="s">
        <v>1106</v>
      </c>
      <c r="AB153">
        <v>72.25</v>
      </c>
      <c r="AC153" t="s">
        <v>1427</v>
      </c>
      <c r="AD153" t="s">
        <v>1748</v>
      </c>
      <c r="AE153">
        <v>18316</v>
      </c>
      <c r="AF153">
        <v>9623</v>
      </c>
      <c r="AG153">
        <v>2385670</v>
      </c>
      <c r="AH153">
        <v>4.66</v>
      </c>
    </row>
    <row r="154" spans="1:34">
      <c r="A154" s="2">
        <f>HYPERLINK("https://finance.naver.com/item/coinfo.nhn?code=008560", "A008560")</f>
        <v>0</v>
      </c>
      <c r="B154">
        <f>HYPERLINK("http://comp.fnguide.com/SVO2/ASP/SVD_Consensus.asp?pGB=1&amp;gicode=A008560&amp;cID=&amp;MenuYn=Y&amp;ReportGB=&amp;NewMenuID=108&amp;stkGb=701", "메리츠증권")</f>
        <v>0</v>
      </c>
      <c r="C154">
        <v>3</v>
      </c>
      <c r="D154">
        <v>3740</v>
      </c>
      <c r="E154">
        <v>0.5600000000000001</v>
      </c>
      <c r="F154">
        <v>4.8</v>
      </c>
      <c r="G154">
        <v>11047</v>
      </c>
      <c r="H154">
        <v>8127</v>
      </c>
      <c r="I154">
        <v>7297</v>
      </c>
      <c r="J154">
        <v>-195.37</v>
      </c>
      <c r="K154">
        <v>-117.3</v>
      </c>
      <c r="L154">
        <v>-95.11</v>
      </c>
      <c r="M154">
        <v>14.16</v>
      </c>
      <c r="N154" t="b">
        <v>1</v>
      </c>
      <c r="O154">
        <v>0</v>
      </c>
      <c r="P154">
        <v>789</v>
      </c>
      <c r="Q154">
        <v>714</v>
      </c>
      <c r="R154">
        <v>-9.5</v>
      </c>
      <c r="S154" t="s">
        <v>152</v>
      </c>
      <c r="T154" t="s">
        <v>473</v>
      </c>
      <c r="U154">
        <v>8.514804268742203</v>
      </c>
      <c r="V154">
        <v>13.2</v>
      </c>
      <c r="W154" t="s">
        <v>790</v>
      </c>
      <c r="X154">
        <v>13.83757090484359</v>
      </c>
      <c r="Y154">
        <v>25281</v>
      </c>
      <c r="Z154">
        <v>1512322</v>
      </c>
      <c r="AA154" t="s">
        <v>1107</v>
      </c>
      <c r="AB154">
        <v>49.59</v>
      </c>
      <c r="AC154" t="s">
        <v>1428</v>
      </c>
      <c r="AD154" t="s">
        <v>1749</v>
      </c>
      <c r="AE154">
        <v>11587</v>
      </c>
      <c r="AF154">
        <v>6799</v>
      </c>
      <c r="AG154">
        <v>43138182</v>
      </c>
      <c r="AH154">
        <v>5.28</v>
      </c>
    </row>
    <row r="155" spans="1:34">
      <c r="A155" s="2">
        <f>HYPERLINK("https://finance.naver.com/item/coinfo.nhn?code=000060", "A000060")</f>
        <v>0</v>
      </c>
      <c r="B155">
        <f>HYPERLINK("http://comp.fnguide.com/SVO2/ASP/SVD_Consensus.asp?pGB=1&amp;gicode=A000060&amp;cID=&amp;MenuYn=Y&amp;ReportGB=&amp;NewMenuID=108&amp;stkGb=701", "메리츠화재")</f>
        <v>0</v>
      </c>
      <c r="C155">
        <v>3</v>
      </c>
      <c r="D155">
        <v>14750</v>
      </c>
      <c r="E155">
        <v>-6.06</v>
      </c>
      <c r="F155">
        <v>6.75</v>
      </c>
      <c r="G155">
        <v>36304</v>
      </c>
      <c r="H155">
        <v>26861</v>
      </c>
      <c r="I155">
        <v>24177</v>
      </c>
      <c r="J155">
        <v>-146.13</v>
      </c>
      <c r="K155">
        <v>-82.11</v>
      </c>
      <c r="L155">
        <v>-63.92</v>
      </c>
      <c r="M155">
        <v>13.99</v>
      </c>
      <c r="N155" t="b">
        <v>1</v>
      </c>
      <c r="O155">
        <v>2</v>
      </c>
      <c r="P155">
        <v>2643</v>
      </c>
      <c r="Q155">
        <v>3364</v>
      </c>
      <c r="R155">
        <v>27.3</v>
      </c>
      <c r="S155" t="s">
        <v>153</v>
      </c>
      <c r="T155" t="s">
        <v>474</v>
      </c>
      <c r="U155">
        <v>-1.113322198250122</v>
      </c>
      <c r="V155">
        <v>16.5</v>
      </c>
      <c r="W155" t="s">
        <v>791</v>
      </c>
      <c r="X155">
        <v>15.65850051513527</v>
      </c>
      <c r="Y155">
        <v>17792</v>
      </c>
      <c r="Z155">
        <v>178363</v>
      </c>
      <c r="AA155" t="s">
        <v>1108</v>
      </c>
      <c r="AB155">
        <v>56.32</v>
      </c>
      <c r="AC155" t="s">
        <v>1429</v>
      </c>
      <c r="AD155" t="s">
        <v>1750</v>
      </c>
      <c r="AE155">
        <v>80830</v>
      </c>
      <c r="AF155">
        <v>3528</v>
      </c>
      <c r="AG155">
        <v>2600822</v>
      </c>
      <c r="AH155">
        <v>4.76</v>
      </c>
    </row>
    <row r="156" spans="1:34">
      <c r="A156" s="2">
        <f>HYPERLINK("https://finance.naver.com/item/coinfo.nhn?code=007120", "A007120")</f>
        <v>0</v>
      </c>
      <c r="B156">
        <f>HYPERLINK("http://comp.fnguide.com/SVO2/ASP/SVD_Consensus.asp?pGB=1&amp;gicode=A007120&amp;cID=&amp;MenuYn=Y&amp;ReportGB=&amp;NewMenuID=108&amp;stkGb=701", "미래아이앤지")</f>
        <v>0</v>
      </c>
      <c r="C156">
        <v>3</v>
      </c>
      <c r="D156">
        <v>344</v>
      </c>
      <c r="E156">
        <v>0</v>
      </c>
      <c r="F156">
        <v>3</v>
      </c>
      <c r="G156">
        <v>766</v>
      </c>
      <c r="H156">
        <v>630</v>
      </c>
      <c r="I156">
        <v>591</v>
      </c>
      <c r="J156">
        <v>-122.55</v>
      </c>
      <c r="K156">
        <v>-83.11</v>
      </c>
      <c r="L156">
        <v>-71.90000000000001</v>
      </c>
      <c r="M156">
        <v>11.26</v>
      </c>
      <c r="N156" t="b">
        <v>1</v>
      </c>
      <c r="O156">
        <v>0</v>
      </c>
      <c r="P156">
        <v>108</v>
      </c>
      <c r="S156" t="s">
        <v>154</v>
      </c>
      <c r="T156" t="s">
        <v>475</v>
      </c>
      <c r="U156">
        <v>0</v>
      </c>
      <c r="V156">
        <v>836</v>
      </c>
      <c r="W156" t="s">
        <v>792</v>
      </c>
      <c r="X156">
        <v>836</v>
      </c>
      <c r="Y156">
        <v>445</v>
      </c>
      <c r="Z156">
        <v>552596</v>
      </c>
      <c r="AA156" t="s">
        <v>1109</v>
      </c>
      <c r="AB156">
        <v>24.76</v>
      </c>
      <c r="AC156" t="s">
        <v>1430</v>
      </c>
      <c r="AD156" t="s">
        <v>1751</v>
      </c>
      <c r="AE156">
        <v>75</v>
      </c>
      <c r="AF156">
        <v>1</v>
      </c>
      <c r="AG156">
        <v>799813</v>
      </c>
    </row>
    <row r="157" spans="1:34">
      <c r="A157" s="2">
        <f>HYPERLINK("https://finance.naver.com/item/coinfo.nhn?code=084670", "A084670")</f>
        <v>0</v>
      </c>
      <c r="B157">
        <f>HYPERLINK("http://comp.fnguide.com/SVO2/ASP/SVD_Consensus.asp?pGB=1&amp;gicode=A084670&amp;cID=&amp;MenuYn=Y&amp;ReportGB=&amp;NewMenuID=108&amp;stkGb=701", "동양고속")</f>
        <v>0</v>
      </c>
      <c r="C157">
        <v>3</v>
      </c>
      <c r="D157">
        <v>26250</v>
      </c>
      <c r="E157">
        <v>0</v>
      </c>
      <c r="F157">
        <v>2.41</v>
      </c>
      <c r="G157">
        <v>87510</v>
      </c>
      <c r="H157">
        <v>65119</v>
      </c>
      <c r="I157">
        <v>58756</v>
      </c>
      <c r="J157">
        <v>-233.37</v>
      </c>
      <c r="K157">
        <v>-148.07</v>
      </c>
      <c r="L157">
        <v>-123.83</v>
      </c>
      <c r="M157">
        <v>13.82</v>
      </c>
      <c r="N157" t="b">
        <v>0</v>
      </c>
      <c r="O157">
        <v>0</v>
      </c>
      <c r="P157">
        <v>11314</v>
      </c>
      <c r="S157" t="s">
        <v>155</v>
      </c>
      <c r="T157" t="s">
        <v>476</v>
      </c>
      <c r="U157">
        <v>0</v>
      </c>
      <c r="V157">
        <v>0</v>
      </c>
      <c r="W157" t="s">
        <v>793</v>
      </c>
      <c r="X157">
        <v>235.5370024304324</v>
      </c>
      <c r="Y157">
        <v>760</v>
      </c>
      <c r="Z157">
        <v>11820</v>
      </c>
      <c r="AA157" t="s">
        <v>1110</v>
      </c>
      <c r="AB157">
        <v>47.52</v>
      </c>
      <c r="AC157" t="s">
        <v>1431</v>
      </c>
      <c r="AD157" t="s">
        <v>1752</v>
      </c>
      <c r="AE157">
        <v>1405</v>
      </c>
      <c r="AF157">
        <v>100</v>
      </c>
      <c r="AG157">
        <v>275048</v>
      </c>
      <c r="AH157">
        <v>17.25</v>
      </c>
    </row>
    <row r="158" spans="1:34">
      <c r="A158" s="2">
        <f>HYPERLINK("https://finance.naver.com/item/coinfo.nhn?code=001340", "A001340")</f>
        <v>0</v>
      </c>
      <c r="B158">
        <f>HYPERLINK("http://comp.fnguide.com/SVO2/ASP/SVD_Consensus.asp?pGB=1&amp;gicode=A001340&amp;cID=&amp;MenuYn=Y&amp;ReportGB=&amp;NewMenuID=108&amp;stkGb=701", "백광산업")</f>
        <v>0</v>
      </c>
      <c r="C158">
        <v>3</v>
      </c>
      <c r="D158">
        <v>3425</v>
      </c>
      <c r="E158">
        <v>0</v>
      </c>
      <c r="F158">
        <v>6.89</v>
      </c>
      <c r="G158">
        <v>5283</v>
      </c>
      <c r="H158">
        <v>4384</v>
      </c>
      <c r="I158">
        <v>4129</v>
      </c>
      <c r="J158">
        <v>-54.26</v>
      </c>
      <c r="K158">
        <v>-28.01</v>
      </c>
      <c r="L158">
        <v>-20.56</v>
      </c>
      <c r="M158">
        <v>11.07</v>
      </c>
      <c r="N158" t="b">
        <v>1</v>
      </c>
      <c r="O158">
        <v>0</v>
      </c>
      <c r="P158">
        <v>357</v>
      </c>
      <c r="S158" t="s">
        <v>156</v>
      </c>
      <c r="T158" t="s">
        <v>477</v>
      </c>
      <c r="U158">
        <v>0</v>
      </c>
      <c r="V158">
        <v>-46.5</v>
      </c>
      <c r="W158" t="s">
        <v>794</v>
      </c>
      <c r="X158">
        <v>37.94921854664781</v>
      </c>
      <c r="Y158">
        <v>1538</v>
      </c>
      <c r="Z158">
        <v>460838</v>
      </c>
      <c r="AA158" t="s">
        <v>1111</v>
      </c>
      <c r="AB158">
        <v>43.98</v>
      </c>
      <c r="AC158" t="s">
        <v>1432</v>
      </c>
      <c r="AD158" t="s">
        <v>1753</v>
      </c>
      <c r="AE158">
        <v>1684</v>
      </c>
      <c r="AF158">
        <v>212</v>
      </c>
      <c r="AG158">
        <v>769300</v>
      </c>
      <c r="AH158">
        <v>3.05</v>
      </c>
    </row>
    <row r="159" spans="1:34">
      <c r="A159" s="2">
        <f>HYPERLINK("https://finance.naver.com/item/coinfo.nhn?code=028100", "A028100")</f>
        <v>0</v>
      </c>
      <c r="B159">
        <f>HYPERLINK("http://comp.fnguide.com/SVO2/ASP/SVD_Consensus.asp?pGB=1&amp;gicode=A028100&amp;cID=&amp;MenuYn=Y&amp;ReportGB=&amp;NewMenuID=108&amp;stkGb=701", "동아지질")</f>
        <v>0</v>
      </c>
      <c r="C159">
        <v>3</v>
      </c>
      <c r="D159">
        <v>15900</v>
      </c>
      <c r="E159">
        <v>-0.39</v>
      </c>
      <c r="F159">
        <v>11.56</v>
      </c>
      <c r="G159">
        <v>23347</v>
      </c>
      <c r="H159">
        <v>19624</v>
      </c>
      <c r="I159">
        <v>18566</v>
      </c>
      <c r="J159">
        <v>-46.84</v>
      </c>
      <c r="K159">
        <v>-23.42</v>
      </c>
      <c r="L159">
        <v>-16.77</v>
      </c>
      <c r="M159">
        <v>10.8</v>
      </c>
      <c r="N159" t="b">
        <v>0</v>
      </c>
      <c r="O159">
        <v>0</v>
      </c>
      <c r="P159">
        <v>1656</v>
      </c>
      <c r="Q159">
        <v>522</v>
      </c>
      <c r="R159">
        <v>-68.5</v>
      </c>
      <c r="S159" t="s">
        <v>157</v>
      </c>
      <c r="T159" t="s">
        <v>478</v>
      </c>
      <c r="U159">
        <v>-29.47578317987377</v>
      </c>
      <c r="V159">
        <v>-74.09999999999999</v>
      </c>
      <c r="W159" t="s">
        <v>795</v>
      </c>
      <c r="X159">
        <v>1.552411764209838</v>
      </c>
      <c r="Y159">
        <v>1829</v>
      </c>
      <c r="Z159">
        <v>62697</v>
      </c>
      <c r="AA159" t="s">
        <v>1112</v>
      </c>
      <c r="AB159">
        <v>43.35</v>
      </c>
      <c r="AC159" t="s">
        <v>1433</v>
      </c>
      <c r="AD159" t="s">
        <v>1754</v>
      </c>
      <c r="AE159">
        <v>3809</v>
      </c>
      <c r="AF159">
        <v>229</v>
      </c>
      <c r="AG159">
        <v>200000</v>
      </c>
      <c r="AH159">
        <v>1.04</v>
      </c>
    </row>
    <row r="160" spans="1:34">
      <c r="A160" s="2">
        <f>HYPERLINK("https://finance.naver.com/item/coinfo.nhn?code=003960", "A003960")</f>
        <v>0</v>
      </c>
      <c r="B160">
        <f>HYPERLINK("http://comp.fnguide.com/SVO2/ASP/SVD_Consensus.asp?pGB=1&amp;gicode=A003960&amp;cID=&amp;MenuYn=Y&amp;ReportGB=&amp;NewMenuID=108&amp;stkGb=701", "사조대림")</f>
        <v>0</v>
      </c>
      <c r="C160">
        <v>3</v>
      </c>
      <c r="D160">
        <v>15750</v>
      </c>
      <c r="E160">
        <v>0</v>
      </c>
      <c r="F160">
        <v>1.52</v>
      </c>
      <c r="G160">
        <v>104631</v>
      </c>
      <c r="H160">
        <v>67675</v>
      </c>
      <c r="I160">
        <v>57173</v>
      </c>
      <c r="J160">
        <v>-564.3200000000001</v>
      </c>
      <c r="K160">
        <v>-329.68</v>
      </c>
      <c r="L160">
        <v>-263</v>
      </c>
      <c r="M160">
        <v>19.23</v>
      </c>
      <c r="N160" t="b">
        <v>1</v>
      </c>
      <c r="O160">
        <v>0</v>
      </c>
      <c r="P160">
        <v>10553</v>
      </c>
      <c r="S160" t="s">
        <v>158</v>
      </c>
      <c r="T160" t="s">
        <v>479</v>
      </c>
      <c r="U160">
        <v>0</v>
      </c>
      <c r="V160">
        <v>-73.09999999999999</v>
      </c>
      <c r="W160" t="s">
        <v>796</v>
      </c>
      <c r="X160">
        <v>6.675268844958326</v>
      </c>
      <c r="Y160">
        <v>1443</v>
      </c>
      <c r="Z160">
        <v>45899</v>
      </c>
      <c r="AA160" t="s">
        <v>1113</v>
      </c>
      <c r="AB160">
        <v>47.43</v>
      </c>
      <c r="AC160" t="s">
        <v>1434</v>
      </c>
      <c r="AD160" t="s">
        <v>1755</v>
      </c>
      <c r="AE160">
        <v>13297</v>
      </c>
      <c r="AF160">
        <v>496</v>
      </c>
      <c r="AG160">
        <v>1814170</v>
      </c>
      <c r="AH160">
        <v>0.9399999999999999</v>
      </c>
    </row>
    <row r="161" spans="1:34">
      <c r="A161" s="2">
        <f>HYPERLINK("https://finance.naver.com/item/coinfo.nhn?code=006090", "A006090")</f>
        <v>0</v>
      </c>
      <c r="B161">
        <f>HYPERLINK("http://comp.fnguide.com/SVO2/ASP/SVD_Consensus.asp?pGB=1&amp;gicode=A006090&amp;cID=&amp;MenuYn=Y&amp;ReportGB=&amp;NewMenuID=108&amp;stkGb=701", "사조오양")</f>
        <v>0</v>
      </c>
      <c r="C161">
        <v>3</v>
      </c>
      <c r="D161">
        <v>9980</v>
      </c>
      <c r="E161">
        <v>0</v>
      </c>
      <c r="F161">
        <v>5.4</v>
      </c>
      <c r="G161">
        <v>19534</v>
      </c>
      <c r="H161">
        <v>18483</v>
      </c>
      <c r="I161">
        <v>18184</v>
      </c>
      <c r="J161">
        <v>-95.73</v>
      </c>
      <c r="K161">
        <v>-85.2</v>
      </c>
      <c r="L161">
        <v>-82.2</v>
      </c>
      <c r="M161">
        <v>8.720000000000001</v>
      </c>
      <c r="N161" t="b">
        <v>1</v>
      </c>
      <c r="O161">
        <v>0</v>
      </c>
      <c r="P161">
        <v>1402</v>
      </c>
      <c r="S161" t="s">
        <v>159</v>
      </c>
      <c r="T161" t="s">
        <v>480</v>
      </c>
      <c r="U161">
        <v>0</v>
      </c>
      <c r="V161">
        <v>80.59999999999999</v>
      </c>
      <c r="W161" t="s">
        <v>797</v>
      </c>
      <c r="X161">
        <v>13.55978918744829</v>
      </c>
      <c r="Y161">
        <v>940</v>
      </c>
      <c r="Z161">
        <v>222391</v>
      </c>
      <c r="AA161" t="s">
        <v>1114</v>
      </c>
      <c r="AB161">
        <v>60.53</v>
      </c>
      <c r="AC161" t="s">
        <v>1435</v>
      </c>
      <c r="AD161" t="s">
        <v>1756</v>
      </c>
      <c r="AE161">
        <v>3136</v>
      </c>
      <c r="AF161">
        <v>226</v>
      </c>
      <c r="AG161">
        <v>3</v>
      </c>
      <c r="AH161">
        <v>1.32</v>
      </c>
    </row>
    <row r="162" spans="1:34">
      <c r="A162" s="2">
        <f>HYPERLINK("https://finance.naver.com/item/coinfo.nhn?code=005190", "A005190")</f>
        <v>0</v>
      </c>
      <c r="B162">
        <f>HYPERLINK("http://comp.fnguide.com/SVO2/ASP/SVD_Consensus.asp?pGB=1&amp;gicode=A005190&amp;cID=&amp;MenuYn=Y&amp;ReportGB=&amp;NewMenuID=108&amp;stkGb=701", "동성화학")</f>
        <v>0</v>
      </c>
      <c r="C162">
        <v>3</v>
      </c>
      <c r="D162">
        <v>16150</v>
      </c>
      <c r="E162">
        <v>0.15</v>
      </c>
      <c r="F162">
        <v>7.3</v>
      </c>
      <c r="G162">
        <v>24910</v>
      </c>
      <c r="H162">
        <v>23616</v>
      </c>
      <c r="I162">
        <v>23249</v>
      </c>
      <c r="J162">
        <v>-54.24</v>
      </c>
      <c r="K162">
        <v>-46.23</v>
      </c>
      <c r="L162">
        <v>-43.96</v>
      </c>
      <c r="M162">
        <v>8.69</v>
      </c>
      <c r="N162" t="b">
        <v>1</v>
      </c>
      <c r="O162">
        <v>3</v>
      </c>
      <c r="P162">
        <v>2492</v>
      </c>
      <c r="Q162">
        <v>3224</v>
      </c>
      <c r="R162">
        <v>29.4</v>
      </c>
      <c r="S162" t="s">
        <v>160</v>
      </c>
      <c r="T162" t="s">
        <v>481</v>
      </c>
      <c r="U162">
        <v>48.76943822806417</v>
      </c>
      <c r="V162">
        <v>13.6</v>
      </c>
      <c r="W162" t="s">
        <v>798</v>
      </c>
      <c r="X162">
        <v>7.718437755339846</v>
      </c>
      <c r="Y162">
        <v>862</v>
      </c>
      <c r="Z162">
        <v>20789</v>
      </c>
      <c r="AA162" t="s">
        <v>1115</v>
      </c>
      <c r="AB162">
        <v>51.23</v>
      </c>
      <c r="AC162" t="s">
        <v>1436</v>
      </c>
      <c r="AD162" t="s">
        <v>1757</v>
      </c>
      <c r="AE162">
        <v>2010</v>
      </c>
      <c r="AF162">
        <v>253</v>
      </c>
      <c r="AG162">
        <v>186177</v>
      </c>
      <c r="AH162">
        <v>3.3</v>
      </c>
    </row>
    <row r="163" spans="1:34">
      <c r="A163" s="2">
        <f>HYPERLINK("https://finance.naver.com/item/coinfo.nhn?code=010130", "A010130")</f>
        <v>0</v>
      </c>
      <c r="B163">
        <f>HYPERLINK("http://comp.fnguide.com/SVO2/ASP/SVD_Consensus.asp?pGB=1&amp;gicode=A010130&amp;cID=&amp;MenuYn=Y&amp;ReportGB=&amp;NewMenuID=108&amp;stkGb=701", "고려아연")</f>
        <v>0</v>
      </c>
      <c r="C163">
        <v>3</v>
      </c>
      <c r="D163">
        <v>392000</v>
      </c>
      <c r="E163">
        <v>-14.17</v>
      </c>
      <c r="F163">
        <v>12.67</v>
      </c>
      <c r="G163">
        <v>458752</v>
      </c>
      <c r="H163">
        <v>411342</v>
      </c>
      <c r="I163">
        <v>397868</v>
      </c>
      <c r="J163">
        <v>-17.03</v>
      </c>
      <c r="K163">
        <v>-4.93</v>
      </c>
      <c r="L163">
        <v>-1.5</v>
      </c>
      <c r="M163">
        <v>9.59</v>
      </c>
      <c r="N163" t="b">
        <v>1</v>
      </c>
      <c r="O163">
        <v>0</v>
      </c>
      <c r="P163">
        <v>33541</v>
      </c>
      <c r="Q163">
        <v>32471</v>
      </c>
      <c r="R163">
        <v>-3.2</v>
      </c>
      <c r="S163" t="s">
        <v>161</v>
      </c>
      <c r="T163" t="s">
        <v>482</v>
      </c>
      <c r="U163">
        <v>-0.8939408227761403</v>
      </c>
      <c r="V163">
        <v>-14.7</v>
      </c>
      <c r="W163" t="s">
        <v>799</v>
      </c>
      <c r="X163">
        <v>1.161603683807644</v>
      </c>
      <c r="Y163">
        <v>73970</v>
      </c>
      <c r="Z163">
        <v>38051</v>
      </c>
      <c r="AA163" t="s">
        <v>1116</v>
      </c>
      <c r="AB163">
        <v>48.37</v>
      </c>
      <c r="AC163" t="s">
        <v>1437</v>
      </c>
      <c r="AD163" t="s">
        <v>1758</v>
      </c>
      <c r="AE163">
        <v>66948</v>
      </c>
      <c r="AF163">
        <v>8053</v>
      </c>
      <c r="AG163">
        <v>1195760</v>
      </c>
      <c r="AH163">
        <v>3.29</v>
      </c>
    </row>
    <row r="164" spans="1:34">
      <c r="A164" s="2">
        <f>HYPERLINK("https://finance.naver.com/item/coinfo.nhn?code=053210", "A053210")</f>
        <v>0</v>
      </c>
      <c r="B164">
        <f>HYPERLINK("http://comp.fnguide.com/SVO2/ASP/SVD_Consensus.asp?pGB=1&amp;gicode=A053210&amp;cID=&amp;MenuYn=Y&amp;ReportGB=&amp;NewMenuID=108&amp;stkGb=701", "스카이라이프")</f>
        <v>0</v>
      </c>
      <c r="C164">
        <v>3</v>
      </c>
      <c r="D164">
        <v>8860</v>
      </c>
      <c r="E164">
        <v>1.61</v>
      </c>
      <c r="F164">
        <v>7.64</v>
      </c>
      <c r="G164">
        <v>15726</v>
      </c>
      <c r="H164">
        <v>15108</v>
      </c>
      <c r="I164">
        <v>14932</v>
      </c>
      <c r="J164">
        <v>-77.48999999999999</v>
      </c>
      <c r="K164">
        <v>-70.51000000000001</v>
      </c>
      <c r="L164">
        <v>-68.53</v>
      </c>
      <c r="M164">
        <v>8.49</v>
      </c>
      <c r="N164" t="b">
        <v>1</v>
      </c>
      <c r="O164">
        <v>2</v>
      </c>
      <c r="P164">
        <v>1141</v>
      </c>
      <c r="Q164">
        <v>1379</v>
      </c>
      <c r="R164">
        <v>20.9</v>
      </c>
      <c r="S164" t="s">
        <v>162</v>
      </c>
      <c r="T164" t="s">
        <v>483</v>
      </c>
      <c r="U164">
        <v>4.733831883140693</v>
      </c>
      <c r="V164">
        <v>22.8</v>
      </c>
      <c r="W164" t="s">
        <v>800</v>
      </c>
      <c r="X164">
        <v>-1.634622382576045</v>
      </c>
      <c r="Y164">
        <v>4237</v>
      </c>
      <c r="Z164">
        <v>49728</v>
      </c>
      <c r="AA164" t="s">
        <v>1117</v>
      </c>
      <c r="AB164">
        <v>50</v>
      </c>
      <c r="AC164" t="s">
        <v>1438</v>
      </c>
      <c r="AD164" t="s">
        <v>1759</v>
      </c>
      <c r="AE164">
        <v>6946</v>
      </c>
      <c r="AF164">
        <v>694</v>
      </c>
      <c r="AG164">
        <v>258613</v>
      </c>
      <c r="AH164">
        <v>4.01</v>
      </c>
    </row>
    <row r="165" spans="1:34">
      <c r="A165" s="2">
        <f>HYPERLINK("https://finance.naver.com/item/coinfo.nhn?code=035510", "A035510")</f>
        <v>0</v>
      </c>
      <c r="B165">
        <f>HYPERLINK("http://comp.fnguide.com/SVO2/ASP/SVD_Consensus.asp?pGB=1&amp;gicode=A035510&amp;cID=&amp;MenuYn=Y&amp;ReportGB=&amp;NewMenuID=108&amp;stkGb=701", "신세계 I&amp;C")</f>
        <v>0</v>
      </c>
      <c r="C165">
        <v>3</v>
      </c>
      <c r="D165">
        <v>120500</v>
      </c>
      <c r="E165">
        <v>0</v>
      </c>
      <c r="F165">
        <v>17.35</v>
      </c>
      <c r="G165">
        <v>137849</v>
      </c>
      <c r="H165">
        <v>126828</v>
      </c>
      <c r="I165">
        <v>123697</v>
      </c>
      <c r="J165">
        <v>-14.4</v>
      </c>
      <c r="K165">
        <v>-5.25</v>
      </c>
      <c r="L165">
        <v>-2.65</v>
      </c>
      <c r="M165">
        <v>9.16</v>
      </c>
      <c r="N165" t="b">
        <v>1</v>
      </c>
      <c r="O165">
        <v>0</v>
      </c>
      <c r="P165">
        <v>6196</v>
      </c>
      <c r="S165" t="s">
        <v>163</v>
      </c>
      <c r="T165" t="s">
        <v>484</v>
      </c>
      <c r="U165">
        <v>0</v>
      </c>
      <c r="V165">
        <v>953.9</v>
      </c>
      <c r="W165" t="s">
        <v>801</v>
      </c>
      <c r="X165">
        <v>75.15412659789197</v>
      </c>
      <c r="Y165">
        <v>2073</v>
      </c>
      <c r="Z165">
        <v>12025</v>
      </c>
      <c r="AA165" t="s">
        <v>1118</v>
      </c>
      <c r="AB165">
        <v>35.87</v>
      </c>
      <c r="AC165" t="s">
        <v>1439</v>
      </c>
      <c r="AD165" t="s">
        <v>1760</v>
      </c>
      <c r="AE165">
        <v>4560</v>
      </c>
      <c r="AF165">
        <v>185</v>
      </c>
      <c r="AG165">
        <v>53509</v>
      </c>
      <c r="AH165">
        <v>1.86</v>
      </c>
    </row>
    <row r="166" spans="1:34">
      <c r="A166" s="2">
        <f>HYPERLINK("https://finance.naver.com/item/coinfo.nhn?code=006360", "A006360")</f>
        <v>0</v>
      </c>
      <c r="B166">
        <f>HYPERLINK("http://comp.fnguide.com/SVO2/ASP/SVD_Consensus.asp?pGB=1&amp;gicode=A006360&amp;cID=&amp;MenuYn=Y&amp;ReportGB=&amp;NewMenuID=108&amp;stkGb=701", "GS건설")</f>
        <v>0</v>
      </c>
      <c r="C166">
        <v>3</v>
      </c>
      <c r="D166">
        <v>34100</v>
      </c>
      <c r="E166">
        <v>0</v>
      </c>
      <c r="F166">
        <v>5.61</v>
      </c>
      <c r="G166">
        <v>73602</v>
      </c>
      <c r="H166">
        <v>59435</v>
      </c>
      <c r="I166">
        <v>55409</v>
      </c>
      <c r="J166">
        <v>-115.84</v>
      </c>
      <c r="K166">
        <v>-74.3</v>
      </c>
      <c r="L166">
        <v>-62.49</v>
      </c>
      <c r="M166">
        <v>11.67</v>
      </c>
      <c r="N166" t="b">
        <v>1</v>
      </c>
      <c r="O166">
        <v>0</v>
      </c>
      <c r="P166">
        <v>5535</v>
      </c>
      <c r="Q166">
        <v>5287</v>
      </c>
      <c r="R166">
        <v>-4.5</v>
      </c>
      <c r="S166" t="s">
        <v>164</v>
      </c>
      <c r="T166" t="s">
        <v>485</v>
      </c>
      <c r="U166">
        <v>0</v>
      </c>
      <c r="V166">
        <v>-31.2</v>
      </c>
      <c r="W166" t="s">
        <v>802</v>
      </c>
      <c r="X166">
        <v>-27.92781396405407</v>
      </c>
      <c r="Y166">
        <v>27313</v>
      </c>
      <c r="Z166">
        <v>531837</v>
      </c>
      <c r="AA166" t="s">
        <v>1119</v>
      </c>
      <c r="AB166">
        <v>25.69</v>
      </c>
      <c r="AC166" t="s">
        <v>1440</v>
      </c>
      <c r="AD166" t="s">
        <v>1761</v>
      </c>
      <c r="AE166">
        <v>104166</v>
      </c>
      <c r="AF166">
        <v>7673</v>
      </c>
      <c r="AG166">
        <v>692595</v>
      </c>
      <c r="AH166">
        <v>3.22</v>
      </c>
    </row>
    <row r="167" spans="1:34">
      <c r="A167" s="2">
        <f>HYPERLINK("https://finance.naver.com/item/coinfo.nhn?code=030210", "A030210")</f>
        <v>0</v>
      </c>
      <c r="B167">
        <f>HYPERLINK("http://comp.fnguide.com/SVO2/ASP/SVD_Consensus.asp?pGB=1&amp;gicode=A030210&amp;cID=&amp;MenuYn=Y&amp;ReportGB=&amp;NewMenuID=108&amp;stkGb=701", "KTB투자증권")</f>
        <v>0</v>
      </c>
      <c r="C167">
        <v>3</v>
      </c>
      <c r="D167">
        <v>3225</v>
      </c>
      <c r="E167">
        <v>0</v>
      </c>
      <c r="F167">
        <v>3.3</v>
      </c>
      <c r="G167">
        <v>9856</v>
      </c>
      <c r="H167">
        <v>9732</v>
      </c>
      <c r="I167">
        <v>9697</v>
      </c>
      <c r="J167">
        <v>-205.63</v>
      </c>
      <c r="K167">
        <v>-201.77</v>
      </c>
      <c r="L167">
        <v>-200.68</v>
      </c>
      <c r="M167">
        <v>8.109999999999999</v>
      </c>
      <c r="N167" t="b">
        <v>1</v>
      </c>
      <c r="O167">
        <v>0</v>
      </c>
      <c r="P167">
        <v>710</v>
      </c>
      <c r="S167" t="s">
        <v>165</v>
      </c>
      <c r="T167" t="s">
        <v>486</v>
      </c>
      <c r="U167">
        <v>0</v>
      </c>
      <c r="V167">
        <v>8.1</v>
      </c>
      <c r="W167" t="s">
        <v>803</v>
      </c>
      <c r="X167">
        <v>7.996923098167308</v>
      </c>
      <c r="Y167">
        <v>1945</v>
      </c>
      <c r="Z167">
        <v>334296</v>
      </c>
      <c r="AA167" t="s">
        <v>1120</v>
      </c>
      <c r="AB167">
        <v>23.85</v>
      </c>
      <c r="AC167" t="s">
        <v>1441</v>
      </c>
      <c r="AD167" t="s">
        <v>1762</v>
      </c>
      <c r="AE167">
        <v>2336</v>
      </c>
      <c r="AF167">
        <v>375</v>
      </c>
      <c r="AG167">
        <v>1069813</v>
      </c>
      <c r="AH167">
        <v>6.4</v>
      </c>
    </row>
    <row r="168" spans="1:34">
      <c r="A168" s="2">
        <f>HYPERLINK("https://finance.naver.com/item/coinfo.nhn?code=034300", "A034300")</f>
        <v>0</v>
      </c>
      <c r="B168">
        <f>HYPERLINK("http://comp.fnguide.com/SVO2/ASP/SVD_Consensus.asp?pGB=1&amp;gicode=A034300&amp;cID=&amp;MenuYn=Y&amp;ReportGB=&amp;NewMenuID=108&amp;stkGb=701", "신세계건설")</f>
        <v>0</v>
      </c>
      <c r="C168">
        <v>3</v>
      </c>
      <c r="D168">
        <v>23000</v>
      </c>
      <c r="E168">
        <v>0</v>
      </c>
      <c r="F168">
        <v>6.01</v>
      </c>
      <c r="G168">
        <v>98935</v>
      </c>
      <c r="H168">
        <v>69131</v>
      </c>
      <c r="I168">
        <v>60661</v>
      </c>
      <c r="J168">
        <v>-330.15</v>
      </c>
      <c r="K168">
        <v>-200.57</v>
      </c>
      <c r="L168">
        <v>-163.75</v>
      </c>
      <c r="M168">
        <v>15.9</v>
      </c>
      <c r="N168" t="b">
        <v>1</v>
      </c>
      <c r="O168">
        <v>0</v>
      </c>
      <c r="P168">
        <v>4379</v>
      </c>
      <c r="S168" t="s">
        <v>166</v>
      </c>
      <c r="T168" t="s">
        <v>487</v>
      </c>
      <c r="U168">
        <v>0</v>
      </c>
      <c r="V168">
        <v>-58.1</v>
      </c>
      <c r="W168" t="s">
        <v>804</v>
      </c>
      <c r="X168">
        <v>-14.38292981148358</v>
      </c>
      <c r="Y168">
        <v>920</v>
      </c>
      <c r="Z168">
        <v>29036</v>
      </c>
      <c r="AA168" t="s">
        <v>1121</v>
      </c>
      <c r="AB168">
        <v>42.7</v>
      </c>
      <c r="AC168" t="s">
        <v>1442</v>
      </c>
      <c r="AD168" t="s">
        <v>1763</v>
      </c>
      <c r="AE168">
        <v>10162</v>
      </c>
      <c r="AF168">
        <v>242</v>
      </c>
      <c r="AH168">
        <v>3.04</v>
      </c>
    </row>
    <row r="169" spans="1:34">
      <c r="A169" s="2">
        <f>HYPERLINK("https://finance.naver.com/item/coinfo.nhn?code=044450", "A044450")</f>
        <v>0</v>
      </c>
      <c r="B169">
        <f>HYPERLINK("http://comp.fnguide.com/SVO2/ASP/SVD_Consensus.asp?pGB=1&amp;gicode=A044450&amp;cID=&amp;MenuYn=Y&amp;ReportGB=&amp;NewMenuID=108&amp;stkGb=701", "KSS해운")</f>
        <v>0</v>
      </c>
      <c r="C169">
        <v>3</v>
      </c>
      <c r="D169">
        <v>10150</v>
      </c>
      <c r="E169">
        <v>0</v>
      </c>
      <c r="F169">
        <v>7.72</v>
      </c>
      <c r="G169">
        <v>14311</v>
      </c>
      <c r="H169">
        <v>13169</v>
      </c>
      <c r="I169">
        <v>12845</v>
      </c>
      <c r="J169">
        <v>-40.99</v>
      </c>
      <c r="K169">
        <v>-29.75</v>
      </c>
      <c r="L169">
        <v>-26.55</v>
      </c>
      <c r="M169">
        <v>9.15</v>
      </c>
      <c r="N169" t="b">
        <v>0</v>
      </c>
      <c r="O169">
        <v>0</v>
      </c>
      <c r="P169">
        <v>1001</v>
      </c>
      <c r="S169" t="s">
        <v>167</v>
      </c>
      <c r="T169" t="s">
        <v>488</v>
      </c>
      <c r="U169">
        <v>0</v>
      </c>
      <c r="V169">
        <v>34.9</v>
      </c>
      <c r="W169" t="s">
        <v>805</v>
      </c>
      <c r="X169">
        <v>6.22792053384249</v>
      </c>
      <c r="Y169">
        <v>2353</v>
      </c>
      <c r="Z169">
        <v>188515</v>
      </c>
      <c r="AA169" t="s">
        <v>1122</v>
      </c>
      <c r="AB169">
        <v>30.26</v>
      </c>
      <c r="AC169" t="s">
        <v>1443</v>
      </c>
      <c r="AD169" t="s">
        <v>1764</v>
      </c>
      <c r="AE169">
        <v>2312</v>
      </c>
      <c r="AF169">
        <v>529</v>
      </c>
      <c r="AG169">
        <v>726754</v>
      </c>
      <c r="AH169">
        <v>3.49</v>
      </c>
    </row>
    <row r="170" spans="1:34">
      <c r="A170" s="2">
        <f>HYPERLINK("https://finance.naver.com/item/coinfo.nhn?code=120030", "A120030")</f>
        <v>0</v>
      </c>
      <c r="B170">
        <f>HYPERLINK("http://comp.fnguide.com/SVO2/ASP/SVD_Consensus.asp?pGB=1&amp;gicode=A120030&amp;cID=&amp;MenuYn=Y&amp;ReportGB=&amp;NewMenuID=108&amp;stkGb=701", "조선선재")</f>
        <v>0</v>
      </c>
      <c r="C170">
        <v>3</v>
      </c>
      <c r="D170">
        <v>105000</v>
      </c>
      <c r="E170">
        <v>0</v>
      </c>
      <c r="F170">
        <v>8.109999999999999</v>
      </c>
      <c r="G170">
        <v>169173</v>
      </c>
      <c r="H170">
        <v>131073</v>
      </c>
      <c r="I170">
        <v>120246</v>
      </c>
      <c r="J170">
        <v>-61.12</v>
      </c>
      <c r="K170">
        <v>-24.83</v>
      </c>
      <c r="L170">
        <v>-14.52</v>
      </c>
      <c r="M170">
        <v>12.69</v>
      </c>
      <c r="N170" t="b">
        <v>1</v>
      </c>
      <c r="O170">
        <v>0</v>
      </c>
      <c r="P170">
        <v>10187</v>
      </c>
      <c r="S170" t="s">
        <v>168</v>
      </c>
      <c r="T170" t="s">
        <v>489</v>
      </c>
      <c r="U170">
        <v>0</v>
      </c>
      <c r="V170">
        <v>-12.9</v>
      </c>
      <c r="W170" t="s">
        <v>806</v>
      </c>
      <c r="X170">
        <v>-5.176120342330337</v>
      </c>
      <c r="Y170">
        <v>1321</v>
      </c>
      <c r="Z170">
        <v>3401</v>
      </c>
      <c r="AA170" t="s">
        <v>1123</v>
      </c>
      <c r="AB170">
        <v>51.84</v>
      </c>
      <c r="AC170" t="s">
        <v>1444</v>
      </c>
      <c r="AD170" t="s">
        <v>1765</v>
      </c>
      <c r="AE170">
        <v>640</v>
      </c>
      <c r="AF170">
        <v>141</v>
      </c>
      <c r="AG170">
        <v>213717</v>
      </c>
      <c r="AH170">
        <v>1.82</v>
      </c>
    </row>
    <row r="171" spans="1:34">
      <c r="A171" s="2">
        <f>HYPERLINK("https://finance.naver.com/item/coinfo.nhn?code=035000", "A035000")</f>
        <v>0</v>
      </c>
      <c r="B171">
        <f>HYPERLINK("http://comp.fnguide.com/SVO2/ASP/SVD_Consensus.asp?pGB=1&amp;gicode=A035000&amp;cID=&amp;MenuYn=Y&amp;ReportGB=&amp;NewMenuID=108&amp;stkGb=701", "지투알")</f>
        <v>0</v>
      </c>
      <c r="C171">
        <v>3</v>
      </c>
      <c r="D171">
        <v>5710</v>
      </c>
      <c r="E171">
        <v>0</v>
      </c>
      <c r="F171">
        <v>7.11</v>
      </c>
      <c r="G171">
        <v>12296</v>
      </c>
      <c r="H171">
        <v>10203</v>
      </c>
      <c r="I171">
        <v>9608</v>
      </c>
      <c r="J171">
        <v>-115.34</v>
      </c>
      <c r="K171">
        <v>-78.68000000000001</v>
      </c>
      <c r="L171">
        <v>-68.26000000000001</v>
      </c>
      <c r="M171">
        <v>11.07</v>
      </c>
      <c r="N171" t="b">
        <v>1</v>
      </c>
      <c r="O171">
        <v>0</v>
      </c>
      <c r="P171">
        <v>921</v>
      </c>
      <c r="S171" t="s">
        <v>169</v>
      </c>
      <c r="T171" t="s">
        <v>490</v>
      </c>
      <c r="U171">
        <v>0</v>
      </c>
      <c r="V171">
        <v>0</v>
      </c>
      <c r="W171" t="s">
        <v>807</v>
      </c>
      <c r="X171">
        <v>7.094707229278807</v>
      </c>
      <c r="Y171">
        <v>946</v>
      </c>
      <c r="Z171">
        <v>22688</v>
      </c>
      <c r="AA171" t="s">
        <v>1124</v>
      </c>
      <c r="AB171">
        <v>35</v>
      </c>
      <c r="AC171" t="s">
        <v>1445</v>
      </c>
      <c r="AD171" t="s">
        <v>1766</v>
      </c>
      <c r="AE171">
        <v>5421</v>
      </c>
      <c r="AF171">
        <v>219</v>
      </c>
      <c r="AG171">
        <v>359765</v>
      </c>
      <c r="AH171">
        <v>4.58</v>
      </c>
    </row>
    <row r="172" spans="1:34">
      <c r="A172" s="2">
        <f>HYPERLINK("https://finance.naver.com/item/coinfo.nhn?code=001390", "A001390")</f>
        <v>0</v>
      </c>
      <c r="B172">
        <f>HYPERLINK("http://comp.fnguide.com/SVO2/ASP/SVD_Consensus.asp?pGB=1&amp;gicode=A001390&amp;cID=&amp;MenuYn=Y&amp;ReportGB=&amp;NewMenuID=108&amp;stkGb=701", "KG케미칼")</f>
        <v>0</v>
      </c>
      <c r="C172">
        <v>3</v>
      </c>
      <c r="D172">
        <v>20800</v>
      </c>
      <c r="E172">
        <v>0</v>
      </c>
      <c r="F172">
        <v>1.59</v>
      </c>
      <c r="G172">
        <v>57387</v>
      </c>
      <c r="H172">
        <v>38877</v>
      </c>
      <c r="I172">
        <v>33617</v>
      </c>
      <c r="J172">
        <v>-175.9</v>
      </c>
      <c r="K172">
        <v>-86.91</v>
      </c>
      <c r="L172">
        <v>-61.62</v>
      </c>
      <c r="M172">
        <v>17.11</v>
      </c>
      <c r="N172" t="b">
        <v>1</v>
      </c>
      <c r="O172">
        <v>0</v>
      </c>
      <c r="P172">
        <v>7569</v>
      </c>
      <c r="S172" t="s">
        <v>170</v>
      </c>
      <c r="T172" t="s">
        <v>491</v>
      </c>
      <c r="U172">
        <v>0</v>
      </c>
      <c r="V172">
        <v>-75.40000000000001</v>
      </c>
      <c r="W172" t="s">
        <v>808</v>
      </c>
      <c r="X172">
        <v>4.574861474822889</v>
      </c>
      <c r="Y172">
        <v>2707</v>
      </c>
      <c r="Z172">
        <v>198548</v>
      </c>
      <c r="AA172" t="s">
        <v>1125</v>
      </c>
      <c r="AB172">
        <v>46.62</v>
      </c>
      <c r="AC172" t="s">
        <v>1446</v>
      </c>
      <c r="AD172" t="s">
        <v>1767</v>
      </c>
      <c r="AE172">
        <v>20684</v>
      </c>
      <c r="AF172">
        <v>1180</v>
      </c>
      <c r="AG172">
        <v>200910</v>
      </c>
      <c r="AH172">
        <v>2.92</v>
      </c>
    </row>
    <row r="173" spans="1:34">
      <c r="A173" s="2">
        <f>HYPERLINK("https://finance.naver.com/item/coinfo.nhn?code=105560", "A105560")</f>
        <v>0</v>
      </c>
      <c r="B173">
        <f>HYPERLINK("http://comp.fnguide.com/SVO2/ASP/SVD_Consensus.asp?pGB=1&amp;gicode=A105560&amp;cID=&amp;MenuYn=Y&amp;ReportGB=&amp;NewMenuID=108&amp;stkGb=701", "KB금융")</f>
        <v>0</v>
      </c>
      <c r="C173">
        <v>3</v>
      </c>
      <c r="D173">
        <v>45900</v>
      </c>
      <c r="E173">
        <v>4.96</v>
      </c>
      <c r="F173">
        <v>6.01</v>
      </c>
      <c r="G173">
        <v>113139</v>
      </c>
      <c r="H173">
        <v>104570</v>
      </c>
      <c r="I173">
        <v>102135</v>
      </c>
      <c r="J173">
        <v>-146.49</v>
      </c>
      <c r="K173">
        <v>-127.82</v>
      </c>
      <c r="L173">
        <v>-122.52</v>
      </c>
      <c r="M173">
        <v>9.08</v>
      </c>
      <c r="N173" t="b">
        <v>1</v>
      </c>
      <c r="O173">
        <v>2</v>
      </c>
      <c r="P173">
        <v>7923</v>
      </c>
      <c r="Q173">
        <v>8218</v>
      </c>
      <c r="R173">
        <v>3.7</v>
      </c>
      <c r="S173" t="s">
        <v>171</v>
      </c>
      <c r="T173" t="s">
        <v>492</v>
      </c>
      <c r="U173">
        <v>1.210599222092457</v>
      </c>
      <c r="V173">
        <v>2.5</v>
      </c>
      <c r="W173" t="s">
        <v>809</v>
      </c>
      <c r="X173">
        <v>2.539949297176491</v>
      </c>
      <c r="Y173">
        <v>190856</v>
      </c>
      <c r="Z173">
        <v>2687147</v>
      </c>
      <c r="AA173" t="s">
        <v>1126</v>
      </c>
      <c r="AB173">
        <v>9.960000000000001</v>
      </c>
      <c r="AC173" t="s">
        <v>1447</v>
      </c>
      <c r="AD173" t="s">
        <v>1768</v>
      </c>
      <c r="AE173">
        <v>146392</v>
      </c>
      <c r="AF173">
        <v>44906</v>
      </c>
      <c r="AG173">
        <v>26173585</v>
      </c>
      <c r="AH173">
        <v>4.64</v>
      </c>
    </row>
    <row r="174" spans="1:34">
      <c r="A174" s="2">
        <f>HYPERLINK("https://finance.naver.com/item/coinfo.nhn?code=175330", "A175330")</f>
        <v>0</v>
      </c>
      <c r="B174">
        <f>HYPERLINK("http://comp.fnguide.com/SVO2/ASP/SVD_Consensus.asp?pGB=1&amp;gicode=A175330&amp;cID=&amp;MenuYn=Y&amp;ReportGB=&amp;NewMenuID=108&amp;stkGb=701", "JB금융지주")</f>
        <v>0</v>
      </c>
      <c r="C174">
        <v>3</v>
      </c>
      <c r="D174">
        <v>5510</v>
      </c>
      <c r="E174">
        <v>0.23</v>
      </c>
      <c r="F174">
        <v>3.16</v>
      </c>
      <c r="G174">
        <v>21107</v>
      </c>
      <c r="H174">
        <v>19150</v>
      </c>
      <c r="I174">
        <v>18594</v>
      </c>
      <c r="J174">
        <v>-283.08</v>
      </c>
      <c r="K174">
        <v>-247.55</v>
      </c>
      <c r="L174">
        <v>-237.46</v>
      </c>
      <c r="M174">
        <v>9.390000000000001</v>
      </c>
      <c r="N174" t="b">
        <v>1</v>
      </c>
      <c r="O174">
        <v>3</v>
      </c>
      <c r="P174">
        <v>1736</v>
      </c>
      <c r="Q174">
        <v>1763</v>
      </c>
      <c r="R174">
        <v>1.6</v>
      </c>
      <c r="S174" t="s">
        <v>172</v>
      </c>
      <c r="T174" t="s">
        <v>493</v>
      </c>
      <c r="U174">
        <v>13.98387747784382</v>
      </c>
      <c r="V174">
        <v>3.4</v>
      </c>
      <c r="W174" t="s">
        <v>810</v>
      </c>
      <c r="X174">
        <v>3.399961315269606</v>
      </c>
      <c r="Y174">
        <v>10854</v>
      </c>
      <c r="Z174">
        <v>393752</v>
      </c>
      <c r="AA174" t="s">
        <v>1127</v>
      </c>
      <c r="AB174">
        <v>10.57</v>
      </c>
      <c r="AC174" t="s">
        <v>1448</v>
      </c>
      <c r="AD174" t="s">
        <v>1769</v>
      </c>
      <c r="AE174">
        <v>18925</v>
      </c>
      <c r="AF174">
        <v>4849</v>
      </c>
      <c r="AG174">
        <v>2638818</v>
      </c>
      <c r="AH174">
        <v>5.46</v>
      </c>
    </row>
    <row r="175" spans="1:34">
      <c r="A175" s="2">
        <f>HYPERLINK("https://finance.naver.com/item/coinfo.nhn?code=029460", "A029460")</f>
        <v>0</v>
      </c>
      <c r="B175">
        <f>HYPERLINK("http://comp.fnguide.com/SVO2/ASP/SVD_Consensus.asp?pGB=1&amp;gicode=A029460&amp;cID=&amp;MenuYn=Y&amp;ReportGB=&amp;NewMenuID=108&amp;stkGb=701", "케이씨")</f>
        <v>0</v>
      </c>
      <c r="C175">
        <v>3</v>
      </c>
      <c r="D175">
        <v>25750</v>
      </c>
      <c r="E175">
        <v>0.2</v>
      </c>
      <c r="F175">
        <v>5.01</v>
      </c>
      <c r="G175">
        <v>151594</v>
      </c>
      <c r="H175">
        <v>82144</v>
      </c>
      <c r="I175">
        <v>62408</v>
      </c>
      <c r="J175">
        <v>-488.71</v>
      </c>
      <c r="K175">
        <v>-219.01</v>
      </c>
      <c r="L175">
        <v>-142.36</v>
      </c>
      <c r="M175">
        <v>33.28</v>
      </c>
      <c r="N175" t="b">
        <v>1</v>
      </c>
      <c r="O175">
        <v>1</v>
      </c>
      <c r="P175">
        <v>3722</v>
      </c>
      <c r="Q175">
        <v>4722</v>
      </c>
      <c r="R175">
        <v>26.9</v>
      </c>
      <c r="S175" t="s">
        <v>173</v>
      </c>
      <c r="T175" t="s">
        <v>494</v>
      </c>
      <c r="U175">
        <v>24.63085095837256</v>
      </c>
      <c r="V175">
        <v>14.7</v>
      </c>
      <c r="W175" t="s">
        <v>811</v>
      </c>
      <c r="X175">
        <v>27.14754635543952</v>
      </c>
      <c r="Y175">
        <v>3490</v>
      </c>
      <c r="Z175">
        <v>79805</v>
      </c>
      <c r="AA175" t="s">
        <v>1128</v>
      </c>
      <c r="AB175">
        <v>40.67</v>
      </c>
      <c r="AC175" t="s">
        <v>1449</v>
      </c>
      <c r="AD175" t="s">
        <v>1770</v>
      </c>
      <c r="AE175">
        <v>5119</v>
      </c>
      <c r="AF175">
        <v>676</v>
      </c>
      <c r="AG175">
        <v>1116836</v>
      </c>
      <c r="AH175">
        <v>1.34</v>
      </c>
    </row>
    <row r="176" spans="1:34">
      <c r="A176" s="2">
        <f>HYPERLINK("https://finance.naver.com/item/coinfo.nhn?code=152330", "A152330")</f>
        <v>0</v>
      </c>
      <c r="B176">
        <f>HYPERLINK("http://comp.fnguide.com/SVO2/ASP/SVD_Consensus.asp?pGB=1&amp;gicode=A152330&amp;cID=&amp;MenuYn=Y&amp;ReportGB=&amp;NewMenuID=108&amp;stkGb=701", "코리아오토글라스")</f>
        <v>0</v>
      </c>
      <c r="C176">
        <v>3</v>
      </c>
      <c r="D176">
        <v>16550</v>
      </c>
      <c r="E176">
        <v>0</v>
      </c>
      <c r="F176">
        <v>9.779999999999999</v>
      </c>
      <c r="G176">
        <v>26211</v>
      </c>
      <c r="H176">
        <v>21298</v>
      </c>
      <c r="I176">
        <v>19902</v>
      </c>
      <c r="J176">
        <v>-58.38</v>
      </c>
      <c r="K176">
        <v>-28.69</v>
      </c>
      <c r="L176">
        <v>-20.25</v>
      </c>
      <c r="M176">
        <v>11.53</v>
      </c>
      <c r="N176" t="b">
        <v>1</v>
      </c>
      <c r="O176">
        <v>0</v>
      </c>
      <c r="P176">
        <v>1651</v>
      </c>
      <c r="S176" t="s">
        <v>174</v>
      </c>
      <c r="T176" t="s">
        <v>495</v>
      </c>
      <c r="U176">
        <v>0</v>
      </c>
      <c r="V176">
        <v>0.1</v>
      </c>
      <c r="W176" t="s">
        <v>812</v>
      </c>
      <c r="X176">
        <v>-0.1808050075914447</v>
      </c>
      <c r="Y176">
        <v>3310</v>
      </c>
      <c r="Z176">
        <v>0</v>
      </c>
      <c r="AA176" t="s">
        <v>1129</v>
      </c>
      <c r="AB176">
        <v>50.05</v>
      </c>
      <c r="AC176" t="s">
        <v>1450</v>
      </c>
      <c r="AD176" t="s">
        <v>1771</v>
      </c>
      <c r="AE176">
        <v>4560</v>
      </c>
      <c r="AF176">
        <v>575</v>
      </c>
      <c r="AH176">
        <v>5.57</v>
      </c>
    </row>
    <row r="177" spans="1:34">
      <c r="A177" s="2">
        <f>HYPERLINK("https://finance.naver.com/item/coinfo.nhn?code=011330", "A011330")</f>
        <v>0</v>
      </c>
      <c r="B177">
        <f>HYPERLINK("http://comp.fnguide.com/SVO2/ASP/SVD_Consensus.asp?pGB=1&amp;gicode=A011330&amp;cID=&amp;MenuYn=Y&amp;ReportGB=&amp;NewMenuID=108&amp;stkGb=701", "유니켐")</f>
        <v>0</v>
      </c>
      <c r="C177">
        <v>3</v>
      </c>
      <c r="D177">
        <v>1370</v>
      </c>
      <c r="E177">
        <v>0</v>
      </c>
      <c r="F177">
        <v>8.119999999999999</v>
      </c>
      <c r="G177">
        <v>3303</v>
      </c>
      <c r="H177">
        <v>2055</v>
      </c>
      <c r="I177">
        <v>1700</v>
      </c>
      <c r="J177">
        <v>-141.08</v>
      </c>
      <c r="K177">
        <v>-49.98</v>
      </c>
      <c r="L177">
        <v>-24.1</v>
      </c>
      <c r="M177">
        <v>21.34</v>
      </c>
      <c r="N177" t="b">
        <v>1</v>
      </c>
      <c r="O177">
        <v>0</v>
      </c>
      <c r="P177">
        <v>223</v>
      </c>
      <c r="S177" t="s">
        <v>175</v>
      </c>
      <c r="T177" t="s">
        <v>496</v>
      </c>
      <c r="U177">
        <v>0</v>
      </c>
      <c r="V177">
        <v>-38.8</v>
      </c>
      <c r="W177" t="s">
        <v>813</v>
      </c>
      <c r="X177">
        <v>40.23670855421624</v>
      </c>
      <c r="Y177">
        <v>941</v>
      </c>
      <c r="Z177">
        <v>446742</v>
      </c>
      <c r="AA177" t="s">
        <v>1130</v>
      </c>
      <c r="AB177">
        <v>18.61</v>
      </c>
      <c r="AC177" t="s">
        <v>1451</v>
      </c>
      <c r="AD177" t="s">
        <v>1772</v>
      </c>
      <c r="AE177">
        <v>1088</v>
      </c>
      <c r="AF177">
        <v>179</v>
      </c>
      <c r="AG177">
        <v>907818</v>
      </c>
    </row>
    <row r="178" spans="1:34">
      <c r="A178" s="2">
        <f>HYPERLINK("https://finance.naver.com/item/coinfo.nhn?code=192400", "A192400")</f>
        <v>0</v>
      </c>
      <c r="B178">
        <f>HYPERLINK("http://comp.fnguide.com/SVO2/ASP/SVD_Consensus.asp?pGB=1&amp;gicode=A192400&amp;cID=&amp;MenuYn=Y&amp;ReportGB=&amp;NewMenuID=108&amp;stkGb=701", "쿠쿠홀딩스")</f>
        <v>0</v>
      </c>
      <c r="C178">
        <v>3</v>
      </c>
      <c r="D178">
        <v>96300</v>
      </c>
      <c r="E178">
        <v>0</v>
      </c>
      <c r="F178">
        <v>9.4</v>
      </c>
      <c r="G178">
        <v>384679</v>
      </c>
      <c r="H178">
        <v>218442</v>
      </c>
      <c r="I178">
        <v>171201</v>
      </c>
      <c r="J178">
        <v>-299.46</v>
      </c>
      <c r="K178">
        <v>-126.83</v>
      </c>
      <c r="L178">
        <v>-77.78</v>
      </c>
      <c r="M178">
        <v>28.18</v>
      </c>
      <c r="N178" t="b">
        <v>0</v>
      </c>
      <c r="O178">
        <v>0</v>
      </c>
      <c r="P178">
        <v>11168</v>
      </c>
      <c r="S178" t="s">
        <v>176</v>
      </c>
      <c r="T178" t="s">
        <v>497</v>
      </c>
      <c r="U178">
        <v>0</v>
      </c>
      <c r="V178">
        <v>38</v>
      </c>
      <c r="W178" t="s">
        <v>814</v>
      </c>
      <c r="X178">
        <v>15.13255589098257</v>
      </c>
      <c r="Y178">
        <v>6849</v>
      </c>
      <c r="Z178">
        <v>7484</v>
      </c>
      <c r="AA178" t="s">
        <v>1131</v>
      </c>
      <c r="AB178">
        <v>69.06999999999999</v>
      </c>
      <c r="AC178" t="s">
        <v>1452</v>
      </c>
      <c r="AD178" t="s">
        <v>1773</v>
      </c>
      <c r="AE178">
        <v>5283</v>
      </c>
      <c r="AF178">
        <v>745</v>
      </c>
      <c r="AG178">
        <v>896760</v>
      </c>
      <c r="AH178">
        <v>2.86</v>
      </c>
    </row>
    <row r="179" spans="1:34">
      <c r="A179" s="2">
        <f>HYPERLINK("https://finance.naver.com/item/coinfo.nhn?code=264900", "A264900")</f>
        <v>0</v>
      </c>
      <c r="B179">
        <f>HYPERLINK("http://comp.fnguide.com/SVO2/ASP/SVD_Consensus.asp?pGB=1&amp;gicode=A264900&amp;cID=&amp;MenuYn=Y&amp;ReportGB=&amp;NewMenuID=108&amp;stkGb=701", "크라운제과")</f>
        <v>0</v>
      </c>
      <c r="C179">
        <v>3</v>
      </c>
      <c r="D179">
        <v>8790</v>
      </c>
      <c r="E179">
        <v>0</v>
      </c>
      <c r="F179">
        <v>6.1</v>
      </c>
      <c r="G179">
        <v>15886</v>
      </c>
      <c r="H179">
        <v>13438</v>
      </c>
      <c r="I179">
        <v>12742</v>
      </c>
      <c r="J179">
        <v>-80.72</v>
      </c>
      <c r="K179">
        <v>-52.88</v>
      </c>
      <c r="L179">
        <v>-44.96</v>
      </c>
      <c r="M179">
        <v>10.67</v>
      </c>
      <c r="N179" t="b">
        <v>1</v>
      </c>
      <c r="O179">
        <v>0</v>
      </c>
      <c r="P179">
        <v>1424</v>
      </c>
      <c r="S179" t="s">
        <v>177</v>
      </c>
      <c r="T179" t="s">
        <v>498</v>
      </c>
      <c r="U179">
        <v>0</v>
      </c>
      <c r="V179">
        <v>12.5</v>
      </c>
      <c r="W179" t="s">
        <v>815</v>
      </c>
      <c r="X179">
        <v>0</v>
      </c>
      <c r="Y179">
        <v>1101</v>
      </c>
      <c r="Z179">
        <v>15022</v>
      </c>
      <c r="AA179" t="s">
        <v>1132</v>
      </c>
      <c r="AB179">
        <v>61.68</v>
      </c>
      <c r="AC179" t="s">
        <v>1453</v>
      </c>
      <c r="AD179" t="s">
        <v>1774</v>
      </c>
      <c r="AE179">
        <v>3866</v>
      </c>
      <c r="AF179">
        <v>265</v>
      </c>
      <c r="AG179">
        <v>507681</v>
      </c>
      <c r="AH179">
        <v>2.88</v>
      </c>
    </row>
    <row r="180" spans="1:34">
      <c r="A180" s="2">
        <f>HYPERLINK("https://finance.naver.com/item/coinfo.nhn?code=078930", "A078930")</f>
        <v>0</v>
      </c>
      <c r="B180">
        <f>HYPERLINK("http://comp.fnguide.com/SVO2/ASP/SVD_Consensus.asp?pGB=1&amp;gicode=A078930&amp;cID=&amp;MenuYn=Y&amp;ReportGB=&amp;NewMenuID=108&amp;stkGb=701", "GS")</f>
        <v>0</v>
      </c>
      <c r="C180">
        <v>3</v>
      </c>
      <c r="D180">
        <v>37050</v>
      </c>
      <c r="E180">
        <v>0</v>
      </c>
      <c r="F180">
        <v>8.98</v>
      </c>
      <c r="G180">
        <v>109289</v>
      </c>
      <c r="H180">
        <v>101033</v>
      </c>
      <c r="I180">
        <v>98687</v>
      </c>
      <c r="J180">
        <v>-194.98</v>
      </c>
      <c r="K180">
        <v>-172.69</v>
      </c>
      <c r="L180">
        <v>-166.36</v>
      </c>
      <c r="M180">
        <v>9.08</v>
      </c>
      <c r="N180" t="b">
        <v>0</v>
      </c>
      <c r="O180">
        <v>0</v>
      </c>
      <c r="P180">
        <v>5744</v>
      </c>
      <c r="Q180">
        <v>-359</v>
      </c>
      <c r="R180">
        <v>-106.2</v>
      </c>
      <c r="S180" t="s">
        <v>178</v>
      </c>
      <c r="T180" t="s">
        <v>499</v>
      </c>
      <c r="U180">
        <v>0</v>
      </c>
      <c r="V180">
        <v>0</v>
      </c>
      <c r="W180" t="s">
        <v>816</v>
      </c>
      <c r="X180">
        <v>2.525174121884355</v>
      </c>
      <c r="Y180">
        <v>34425</v>
      </c>
      <c r="Z180">
        <v>368648</v>
      </c>
      <c r="AA180" t="s">
        <v>1133</v>
      </c>
      <c r="AB180">
        <v>52.12</v>
      </c>
      <c r="AC180" t="s">
        <v>1454</v>
      </c>
      <c r="AD180" t="s">
        <v>1775</v>
      </c>
      <c r="AE180">
        <v>177861</v>
      </c>
      <c r="AF180">
        <v>20331</v>
      </c>
      <c r="AG180">
        <v>19883</v>
      </c>
      <c r="AH180">
        <v>3.68</v>
      </c>
    </row>
    <row r="181" spans="1:34">
      <c r="A181" s="2">
        <f>HYPERLINK("https://finance.naver.com/item/coinfo.nhn?code=139130", "A139130")</f>
        <v>0</v>
      </c>
      <c r="B181">
        <f>HYPERLINK("http://comp.fnguide.com/SVO2/ASP/SVD_Consensus.asp?pGB=1&amp;gicode=A139130&amp;cID=&amp;MenuYn=Y&amp;ReportGB=&amp;NewMenuID=108&amp;stkGb=701", "DGB금융지주")</f>
        <v>0</v>
      </c>
      <c r="C181">
        <v>3</v>
      </c>
      <c r="D181">
        <v>7270</v>
      </c>
      <c r="E181">
        <v>3.57</v>
      </c>
      <c r="F181">
        <v>3.68</v>
      </c>
      <c r="G181">
        <v>27731</v>
      </c>
      <c r="H181">
        <v>27469</v>
      </c>
      <c r="I181">
        <v>27395</v>
      </c>
      <c r="J181">
        <v>-281.45</v>
      </c>
      <c r="K181">
        <v>-277.85</v>
      </c>
      <c r="L181">
        <v>-276.82</v>
      </c>
      <c r="M181">
        <v>8.07</v>
      </c>
      <c r="N181" t="b">
        <v>1</v>
      </c>
      <c r="O181">
        <v>0</v>
      </c>
      <c r="P181">
        <v>1936</v>
      </c>
      <c r="Q181">
        <v>1843</v>
      </c>
      <c r="R181">
        <v>-4.8</v>
      </c>
      <c r="S181" t="s">
        <v>179</v>
      </c>
      <c r="T181" t="s">
        <v>500</v>
      </c>
      <c r="U181">
        <v>1.029545582882196</v>
      </c>
      <c r="V181">
        <v>2.7</v>
      </c>
      <c r="W181" t="s">
        <v>817</v>
      </c>
      <c r="X181">
        <v>2.919914469385421</v>
      </c>
      <c r="Y181">
        <v>12297</v>
      </c>
      <c r="Z181">
        <v>642437</v>
      </c>
      <c r="AA181" t="s">
        <v>1134</v>
      </c>
      <c r="AB181">
        <v>10.87</v>
      </c>
      <c r="AC181" t="s">
        <v>1455</v>
      </c>
      <c r="AD181" t="s">
        <v>1776</v>
      </c>
      <c r="AE181">
        <v>21943</v>
      </c>
      <c r="AF181">
        <v>4322</v>
      </c>
      <c r="AG181">
        <v>1</v>
      </c>
      <c r="AH181">
        <v>5.76</v>
      </c>
    </row>
    <row r="182" spans="1:34">
      <c r="A182" s="2">
        <f>HYPERLINK("https://finance.naver.com/item/coinfo.nhn?code=009410", "A009410")</f>
        <v>0</v>
      </c>
      <c r="B182">
        <f>HYPERLINK("http://comp.fnguide.com/SVO2/ASP/SVD_Consensus.asp?pGB=1&amp;gicode=A009410&amp;cID=&amp;MenuYn=Y&amp;ReportGB=&amp;NewMenuID=108&amp;stkGb=701", "태영건설")</f>
        <v>0</v>
      </c>
      <c r="C182">
        <v>3</v>
      </c>
      <c r="D182">
        <v>10400</v>
      </c>
      <c r="E182">
        <v>0</v>
      </c>
      <c r="F182">
        <v>5.19</v>
      </c>
      <c r="G182">
        <v>45939</v>
      </c>
      <c r="H182">
        <v>36170</v>
      </c>
      <c r="I182">
        <v>33394</v>
      </c>
      <c r="J182">
        <v>-341.72</v>
      </c>
      <c r="K182">
        <v>-247.79</v>
      </c>
      <c r="L182">
        <v>-221.1</v>
      </c>
      <c r="M182">
        <v>12.28</v>
      </c>
      <c r="N182" t="b">
        <v>1</v>
      </c>
      <c r="O182">
        <v>0</v>
      </c>
      <c r="P182">
        <v>1152</v>
      </c>
      <c r="S182" t="s">
        <v>180</v>
      </c>
      <c r="T182" t="s">
        <v>501</v>
      </c>
      <c r="U182">
        <v>0</v>
      </c>
      <c r="V182">
        <v>412.5</v>
      </c>
      <c r="W182" t="s">
        <v>818</v>
      </c>
      <c r="X182">
        <v>213.8668093656727</v>
      </c>
      <c r="Y182">
        <v>4046</v>
      </c>
      <c r="Z182">
        <v>137529</v>
      </c>
      <c r="AA182" t="s">
        <v>1135</v>
      </c>
      <c r="AB182">
        <v>49.32</v>
      </c>
      <c r="AC182" t="s">
        <v>1456</v>
      </c>
      <c r="AD182" t="s">
        <v>1777</v>
      </c>
      <c r="AE182">
        <v>39244</v>
      </c>
      <c r="AF182">
        <v>3912</v>
      </c>
      <c r="AG182">
        <v>7780</v>
      </c>
      <c r="AH182">
        <v>2.51</v>
      </c>
    </row>
    <row r="183" spans="1:34">
      <c r="A183" s="2">
        <f>HYPERLINK("https://finance.naver.com/item/coinfo.nhn?code=005830", "A005830")</f>
        <v>0</v>
      </c>
      <c r="B183">
        <f>HYPERLINK("http://comp.fnguide.com/SVO2/ASP/SVD_Consensus.asp?pGB=1&amp;gicode=A005830&amp;cID=&amp;MenuYn=Y&amp;ReportGB=&amp;NewMenuID=108&amp;stkGb=701", "DB손해보험")</f>
        <v>0</v>
      </c>
      <c r="C183">
        <v>3</v>
      </c>
      <c r="D183">
        <v>43950</v>
      </c>
      <c r="E183">
        <v>-1.47</v>
      </c>
      <c r="F183">
        <v>9.81</v>
      </c>
      <c r="G183">
        <v>119480</v>
      </c>
      <c r="H183">
        <v>107205</v>
      </c>
      <c r="I183">
        <v>103717</v>
      </c>
      <c r="J183">
        <v>-171.86</v>
      </c>
      <c r="K183">
        <v>-143.92</v>
      </c>
      <c r="L183">
        <v>-135.99</v>
      </c>
      <c r="M183">
        <v>9.58</v>
      </c>
      <c r="N183" t="b">
        <v>1</v>
      </c>
      <c r="O183">
        <v>1</v>
      </c>
      <c r="P183">
        <v>5334</v>
      </c>
      <c r="Q183">
        <v>7592</v>
      </c>
      <c r="R183">
        <v>42.3</v>
      </c>
      <c r="S183" t="s">
        <v>181</v>
      </c>
      <c r="T183" t="s">
        <v>502</v>
      </c>
      <c r="U183">
        <v>-6.661233119616616</v>
      </c>
      <c r="V183">
        <v>10.6</v>
      </c>
      <c r="W183" t="s">
        <v>819</v>
      </c>
      <c r="X183">
        <v>11.26586812232602</v>
      </c>
      <c r="Y183">
        <v>31117</v>
      </c>
      <c r="Z183">
        <v>190123</v>
      </c>
      <c r="AA183" t="s">
        <v>1136</v>
      </c>
      <c r="AB183">
        <v>23.21</v>
      </c>
      <c r="AC183" t="s">
        <v>1457</v>
      </c>
      <c r="AD183" t="s">
        <v>1778</v>
      </c>
      <c r="AE183">
        <v>143984</v>
      </c>
      <c r="AF183">
        <v>5116</v>
      </c>
      <c r="AG183">
        <v>10756531</v>
      </c>
      <c r="AH183">
        <v>2.87</v>
      </c>
    </row>
    <row r="184" spans="1:34">
      <c r="A184" s="2">
        <f>HYPERLINK("https://finance.naver.com/item/coinfo.nhn?code=019180", "A019180")</f>
        <v>0</v>
      </c>
      <c r="B184">
        <f>HYPERLINK("http://comp.fnguide.com/SVO2/ASP/SVD_Consensus.asp?pGB=1&amp;gicode=A019180&amp;cID=&amp;MenuYn=Y&amp;ReportGB=&amp;NewMenuID=108&amp;stkGb=701", "티에이치엔")</f>
        <v>0</v>
      </c>
      <c r="C184">
        <v>3</v>
      </c>
      <c r="D184">
        <v>2410</v>
      </c>
      <c r="E184">
        <v>0</v>
      </c>
      <c r="F184">
        <v>3.82</v>
      </c>
      <c r="G184">
        <v>9909</v>
      </c>
      <c r="H184">
        <v>6053</v>
      </c>
      <c r="I184">
        <v>4957</v>
      </c>
      <c r="J184">
        <v>-311.14</v>
      </c>
      <c r="K184">
        <v>-151.15</v>
      </c>
      <c r="L184">
        <v>-105.68</v>
      </c>
      <c r="M184">
        <v>22.48</v>
      </c>
      <c r="N184" t="b">
        <v>1</v>
      </c>
      <c r="O184">
        <v>0</v>
      </c>
      <c r="P184">
        <v>959</v>
      </c>
      <c r="S184" t="s">
        <v>182</v>
      </c>
      <c r="T184" t="s">
        <v>503</v>
      </c>
      <c r="U184">
        <v>0</v>
      </c>
      <c r="V184">
        <v>0</v>
      </c>
      <c r="W184" t="s">
        <v>820</v>
      </c>
      <c r="X184">
        <v>4.958017259882075</v>
      </c>
      <c r="Y184">
        <v>434</v>
      </c>
      <c r="Z184">
        <v>123320</v>
      </c>
      <c r="AA184" t="s">
        <v>1137</v>
      </c>
      <c r="AB184">
        <v>42.81</v>
      </c>
      <c r="AC184" t="s">
        <v>1458</v>
      </c>
      <c r="AD184" t="s">
        <v>1779</v>
      </c>
      <c r="AE184">
        <v>4022</v>
      </c>
      <c r="AF184">
        <v>215</v>
      </c>
      <c r="AH184">
        <v>1.64</v>
      </c>
    </row>
    <row r="185" spans="1:34">
      <c r="A185" s="2">
        <f>HYPERLINK("https://finance.naver.com/item/coinfo.nhn?code=016800", "A016800")</f>
        <v>0</v>
      </c>
      <c r="B185">
        <f>HYPERLINK("http://comp.fnguide.com/SVO2/ASP/SVD_Consensus.asp?pGB=1&amp;gicode=A016800&amp;cID=&amp;MenuYn=Y&amp;ReportGB=&amp;NewMenuID=108&amp;stkGb=701", "퍼시스")</f>
        <v>0</v>
      </c>
      <c r="C185">
        <v>3</v>
      </c>
      <c r="D185">
        <v>29700</v>
      </c>
      <c r="E185">
        <v>0</v>
      </c>
      <c r="F185">
        <v>9.99</v>
      </c>
      <c r="G185">
        <v>52807</v>
      </c>
      <c r="H185">
        <v>50121</v>
      </c>
      <c r="I185">
        <v>49357</v>
      </c>
      <c r="J185">
        <v>-77.8</v>
      </c>
      <c r="K185">
        <v>-68.76000000000001</v>
      </c>
      <c r="L185">
        <v>-66.19</v>
      </c>
      <c r="M185">
        <v>8.67</v>
      </c>
      <c r="N185" t="b">
        <v>1</v>
      </c>
      <c r="O185">
        <v>0</v>
      </c>
      <c r="P185">
        <v>2953</v>
      </c>
      <c r="S185" t="s">
        <v>183</v>
      </c>
      <c r="T185" t="s">
        <v>504</v>
      </c>
      <c r="U185">
        <v>0</v>
      </c>
      <c r="V185">
        <v>11.3</v>
      </c>
      <c r="W185" t="s">
        <v>821</v>
      </c>
      <c r="X185">
        <v>4.707196756523069</v>
      </c>
      <c r="Y185">
        <v>3416</v>
      </c>
      <c r="Z185">
        <v>908</v>
      </c>
      <c r="AA185" t="s">
        <v>1138</v>
      </c>
      <c r="AB185">
        <v>54.71</v>
      </c>
      <c r="AC185" t="s">
        <v>1459</v>
      </c>
      <c r="AD185" t="s">
        <v>1780</v>
      </c>
      <c r="AE185">
        <v>3047</v>
      </c>
      <c r="AF185">
        <v>251</v>
      </c>
      <c r="AG185">
        <v>2317576</v>
      </c>
      <c r="AH185">
        <v>3.39</v>
      </c>
    </row>
    <row r="186" spans="1:34">
      <c r="A186" s="2">
        <f>HYPERLINK("https://finance.naver.com/item/coinfo.nhn?code=086790", "A086790")</f>
        <v>0</v>
      </c>
      <c r="B186">
        <f>HYPERLINK("http://comp.fnguide.com/SVO2/ASP/SVD_Consensus.asp?pGB=1&amp;gicode=A086790&amp;cID=&amp;MenuYn=Y&amp;ReportGB=&amp;NewMenuID=108&amp;stkGb=701", "하나금융지주")</f>
        <v>0</v>
      </c>
      <c r="C186">
        <v>3</v>
      </c>
      <c r="D186">
        <v>34750</v>
      </c>
      <c r="E186">
        <v>0.72</v>
      </c>
      <c r="F186">
        <v>4.63</v>
      </c>
      <c r="G186">
        <v>107030</v>
      </c>
      <c r="H186">
        <v>100671</v>
      </c>
      <c r="I186">
        <v>98864</v>
      </c>
      <c r="J186">
        <v>-208</v>
      </c>
      <c r="K186">
        <v>-189.7</v>
      </c>
      <c r="L186">
        <v>-184.5</v>
      </c>
      <c r="M186">
        <v>8.81</v>
      </c>
      <c r="N186" t="b">
        <v>1</v>
      </c>
      <c r="O186">
        <v>3</v>
      </c>
      <c r="P186">
        <v>7966</v>
      </c>
      <c r="Q186">
        <v>8291</v>
      </c>
      <c r="R186">
        <v>4.1</v>
      </c>
      <c r="S186" t="s">
        <v>184</v>
      </c>
      <c r="T186" t="s">
        <v>505</v>
      </c>
      <c r="U186">
        <v>6.418488976130332</v>
      </c>
      <c r="V186">
        <v>1.9</v>
      </c>
      <c r="W186" t="s">
        <v>822</v>
      </c>
      <c r="X186">
        <v>2.039949048775269</v>
      </c>
      <c r="Y186">
        <v>104334</v>
      </c>
      <c r="Z186">
        <v>2168363</v>
      </c>
      <c r="AA186" t="s">
        <v>1139</v>
      </c>
      <c r="AB186">
        <v>9.94</v>
      </c>
      <c r="AC186" t="s">
        <v>1460</v>
      </c>
      <c r="AD186" t="s">
        <v>1781</v>
      </c>
      <c r="AE186">
        <v>111182</v>
      </c>
      <c r="AF186">
        <v>32587</v>
      </c>
      <c r="AG186">
        <v>8678586</v>
      </c>
      <c r="AH186">
        <v>5.69</v>
      </c>
    </row>
    <row r="187" spans="1:34">
      <c r="A187" s="2">
        <f>HYPERLINK("https://finance.naver.com/item/coinfo.nhn?code=015020", "A015020")</f>
        <v>0</v>
      </c>
      <c r="B187">
        <f>HYPERLINK("http://comp.fnguide.com/SVO2/ASP/SVD_Consensus.asp?pGB=1&amp;gicode=A015020&amp;cID=&amp;MenuYn=Y&amp;ReportGB=&amp;NewMenuID=108&amp;stkGb=701", "이스타코")</f>
        <v>0</v>
      </c>
      <c r="C187">
        <v>3</v>
      </c>
      <c r="D187">
        <v>610</v>
      </c>
      <c r="E187">
        <v>0</v>
      </c>
      <c r="F187">
        <v>2.77</v>
      </c>
      <c r="G187">
        <v>2021</v>
      </c>
      <c r="H187">
        <v>1561</v>
      </c>
      <c r="I187">
        <v>1431</v>
      </c>
      <c r="J187">
        <v>-231.25</v>
      </c>
      <c r="K187">
        <v>-155.97</v>
      </c>
      <c r="L187">
        <v>-134.57</v>
      </c>
      <c r="M187">
        <v>12.76</v>
      </c>
      <c r="N187" t="b">
        <v>1</v>
      </c>
      <c r="O187">
        <v>0</v>
      </c>
      <c r="P187">
        <v>256</v>
      </c>
      <c r="S187" t="s">
        <v>185</v>
      </c>
      <c r="T187" t="s">
        <v>506</v>
      </c>
      <c r="U187">
        <v>0</v>
      </c>
      <c r="V187">
        <v>-98</v>
      </c>
      <c r="W187" t="s">
        <v>823</v>
      </c>
      <c r="X187">
        <v>-98</v>
      </c>
      <c r="Y187">
        <v>261</v>
      </c>
      <c r="Z187">
        <v>217493</v>
      </c>
      <c r="AA187" t="s">
        <v>1140</v>
      </c>
      <c r="AB187">
        <v>39.42</v>
      </c>
      <c r="AC187" t="s">
        <v>1461</v>
      </c>
      <c r="AD187" t="s">
        <v>1782</v>
      </c>
      <c r="AE187">
        <v>238</v>
      </c>
      <c r="AF187">
        <v>39</v>
      </c>
      <c r="AG187">
        <v>3960641</v>
      </c>
    </row>
    <row r="188" spans="1:34">
      <c r="A188" s="2">
        <f>HYPERLINK("https://finance.naver.com/item/coinfo.nhn?code=024090", "A024090")</f>
        <v>0</v>
      </c>
      <c r="B188">
        <f>HYPERLINK("http://comp.fnguide.com/SVO2/ASP/SVD_Consensus.asp?pGB=1&amp;gicode=A024090&amp;cID=&amp;MenuYn=Y&amp;ReportGB=&amp;NewMenuID=108&amp;stkGb=701", "디씨엠")</f>
        <v>0</v>
      </c>
      <c r="C188">
        <v>3</v>
      </c>
      <c r="D188">
        <v>11700</v>
      </c>
      <c r="E188">
        <v>0</v>
      </c>
      <c r="F188">
        <v>6.06</v>
      </c>
      <c r="G188">
        <v>23822</v>
      </c>
      <c r="H188">
        <v>20923</v>
      </c>
      <c r="I188">
        <v>20099</v>
      </c>
      <c r="J188">
        <v>-103.61</v>
      </c>
      <c r="K188">
        <v>-78.83</v>
      </c>
      <c r="L188">
        <v>-71.79000000000001</v>
      </c>
      <c r="M188">
        <v>9.949999999999999</v>
      </c>
      <c r="N188" t="b">
        <v>1</v>
      </c>
      <c r="O188">
        <v>0</v>
      </c>
      <c r="P188">
        <v>2005</v>
      </c>
      <c r="S188" t="s">
        <v>186</v>
      </c>
      <c r="T188" t="s">
        <v>507</v>
      </c>
      <c r="U188">
        <v>0</v>
      </c>
      <c r="V188">
        <v>-6.4</v>
      </c>
      <c r="W188" t="s">
        <v>824</v>
      </c>
      <c r="X188">
        <v>37.36037003117636</v>
      </c>
      <c r="Y188">
        <v>1369</v>
      </c>
      <c r="Z188">
        <v>8371</v>
      </c>
      <c r="AA188" t="s">
        <v>1141</v>
      </c>
      <c r="AB188">
        <v>44.57</v>
      </c>
      <c r="AC188" t="s">
        <v>1462</v>
      </c>
      <c r="AD188" t="s">
        <v>1783</v>
      </c>
      <c r="AE188">
        <v>1453</v>
      </c>
      <c r="AF188">
        <v>175</v>
      </c>
      <c r="AG188">
        <v>2506909</v>
      </c>
      <c r="AH188">
        <v>4.12</v>
      </c>
    </row>
    <row r="189" spans="1:34">
      <c r="A189" s="2">
        <f>HYPERLINK("https://finance.naver.com/item/coinfo.nhn?code=003550", "A003550")</f>
        <v>0</v>
      </c>
      <c r="B189">
        <f>HYPERLINK("http://comp.fnguide.com/SVO2/ASP/SVD_Consensus.asp?pGB=1&amp;gicode=A003550&amp;cID=&amp;MenuYn=Y&amp;ReportGB=&amp;NewMenuID=108&amp;stkGb=701", "LG")</f>
        <v>0</v>
      </c>
      <c r="C189">
        <v>3</v>
      </c>
      <c r="D189">
        <v>75000</v>
      </c>
      <c r="E189">
        <v>-0.96</v>
      </c>
      <c r="F189">
        <v>12.02</v>
      </c>
      <c r="G189">
        <v>127337</v>
      </c>
      <c r="H189">
        <v>116403</v>
      </c>
      <c r="I189">
        <v>113296</v>
      </c>
      <c r="J189">
        <v>-69.78</v>
      </c>
      <c r="K189">
        <v>-55.2</v>
      </c>
      <c r="L189">
        <v>-51.06</v>
      </c>
      <c r="M189">
        <v>9.26</v>
      </c>
      <c r="N189" t="b">
        <v>0</v>
      </c>
      <c r="O189">
        <v>1</v>
      </c>
      <c r="P189">
        <v>6141</v>
      </c>
      <c r="Q189">
        <v>9130</v>
      </c>
      <c r="R189">
        <v>48.7</v>
      </c>
      <c r="S189" t="s">
        <v>187</v>
      </c>
      <c r="T189" t="s">
        <v>508</v>
      </c>
      <c r="U189">
        <v>-12.50369565540747</v>
      </c>
      <c r="V189">
        <v>12.8</v>
      </c>
      <c r="W189" t="s">
        <v>825</v>
      </c>
      <c r="X189">
        <v>5.206825921315184</v>
      </c>
      <c r="Y189">
        <v>129418</v>
      </c>
      <c r="Z189">
        <v>442942</v>
      </c>
      <c r="AA189" t="s">
        <v>1142</v>
      </c>
      <c r="AB189">
        <v>46.07</v>
      </c>
      <c r="AC189" t="s">
        <v>1463</v>
      </c>
      <c r="AD189" t="s">
        <v>1784</v>
      </c>
      <c r="AE189">
        <v>65753</v>
      </c>
      <c r="AF189">
        <v>10241</v>
      </c>
      <c r="AG189">
        <v>93789</v>
      </c>
      <c r="AH189">
        <v>2.98</v>
      </c>
    </row>
    <row r="190" spans="1:34">
      <c r="A190" s="2">
        <f>HYPERLINK("https://finance.naver.com/item/coinfo.nhn?code=008260", "A008260")</f>
        <v>0</v>
      </c>
      <c r="B190">
        <f>HYPERLINK("http://comp.fnguide.com/SVO2/ASP/SVD_Consensus.asp?pGB=1&amp;gicode=A008260&amp;cID=&amp;MenuYn=Y&amp;ReportGB=&amp;NewMenuID=108&amp;stkGb=701", "NI스틸")</f>
        <v>0</v>
      </c>
      <c r="C190">
        <v>3</v>
      </c>
      <c r="D190">
        <v>2670</v>
      </c>
      <c r="E190">
        <v>0</v>
      </c>
      <c r="F190">
        <v>9.85</v>
      </c>
      <c r="G190">
        <v>4034</v>
      </c>
      <c r="H190">
        <v>3940</v>
      </c>
      <c r="I190">
        <v>3913</v>
      </c>
      <c r="J190">
        <v>-51.08</v>
      </c>
      <c r="K190">
        <v>-47.56</v>
      </c>
      <c r="L190">
        <v>-46.56</v>
      </c>
      <c r="M190">
        <v>8.26</v>
      </c>
      <c r="N190" t="b">
        <v>1</v>
      </c>
      <c r="O190">
        <v>0</v>
      </c>
      <c r="P190">
        <v>224</v>
      </c>
      <c r="S190" t="s">
        <v>188</v>
      </c>
      <c r="T190" t="s">
        <v>509</v>
      </c>
      <c r="U190">
        <v>0</v>
      </c>
      <c r="V190">
        <v>19.2</v>
      </c>
      <c r="W190" t="s">
        <v>826</v>
      </c>
      <c r="X190">
        <v>1.389534495520905</v>
      </c>
      <c r="Y190">
        <v>764</v>
      </c>
      <c r="Z190">
        <v>872295</v>
      </c>
      <c r="AA190" t="s">
        <v>1143</v>
      </c>
      <c r="AB190">
        <v>59.16</v>
      </c>
      <c r="AC190" t="s">
        <v>1464</v>
      </c>
      <c r="AD190" t="s">
        <v>1785</v>
      </c>
      <c r="AE190">
        <v>1482</v>
      </c>
      <c r="AF190">
        <v>121</v>
      </c>
      <c r="AH190">
        <v>2.26</v>
      </c>
    </row>
    <row r="191" spans="1:34">
      <c r="A191" s="2">
        <f>HYPERLINK("https://finance.naver.com/item/coinfo.nhn?code=077970", "A077970")</f>
        <v>0</v>
      </c>
      <c r="B191">
        <f>HYPERLINK("http://comp.fnguide.com/SVO2/ASP/SVD_Consensus.asp?pGB=1&amp;gicode=A077970&amp;cID=&amp;MenuYn=Y&amp;ReportGB=&amp;NewMenuID=108&amp;stkGb=701", "STX엔진")</f>
        <v>0</v>
      </c>
      <c r="C191">
        <v>3</v>
      </c>
      <c r="D191">
        <v>7080</v>
      </c>
      <c r="E191">
        <v>0</v>
      </c>
      <c r="F191">
        <v>9.199999999999999</v>
      </c>
      <c r="G191">
        <v>13328</v>
      </c>
      <c r="H191">
        <v>11522</v>
      </c>
      <c r="I191">
        <v>11009</v>
      </c>
      <c r="J191">
        <v>-88.25</v>
      </c>
      <c r="K191">
        <v>-62.74</v>
      </c>
      <c r="L191">
        <v>-55.49</v>
      </c>
      <c r="M191">
        <v>10.25</v>
      </c>
      <c r="N191" t="b">
        <v>1</v>
      </c>
      <c r="O191">
        <v>0</v>
      </c>
      <c r="P191">
        <v>737</v>
      </c>
      <c r="S191" t="s">
        <v>189</v>
      </c>
      <c r="T191" t="s">
        <v>510</v>
      </c>
      <c r="U191">
        <v>0</v>
      </c>
      <c r="V191">
        <v>0</v>
      </c>
      <c r="W191" t="s">
        <v>827</v>
      </c>
      <c r="X191">
        <v>-27</v>
      </c>
      <c r="Y191">
        <v>1629</v>
      </c>
      <c r="Z191">
        <v>30206</v>
      </c>
      <c r="AA191" t="s">
        <v>1144</v>
      </c>
      <c r="AB191">
        <v>84.42</v>
      </c>
      <c r="AC191" t="s">
        <v>1465</v>
      </c>
      <c r="AD191" t="s">
        <v>1786</v>
      </c>
      <c r="AE191">
        <v>6106</v>
      </c>
      <c r="AF191">
        <v>300</v>
      </c>
      <c r="AG191">
        <v>9297</v>
      </c>
    </row>
    <row r="192" spans="1:34">
      <c r="A192" s="2">
        <f>HYPERLINK("https://finance.naver.com/item/coinfo.nhn?code=055550", "A055550")</f>
        <v>0</v>
      </c>
      <c r="B192">
        <f>HYPERLINK("http://comp.fnguide.com/SVO2/ASP/SVD_Consensus.asp?pGB=1&amp;gicode=A055550&amp;cID=&amp;MenuYn=Y&amp;ReportGB=&amp;NewMenuID=108&amp;stkGb=701", "신한지주")</f>
        <v>0</v>
      </c>
      <c r="C192">
        <v>3</v>
      </c>
      <c r="D192">
        <v>33800</v>
      </c>
      <c r="E192">
        <v>1.82</v>
      </c>
      <c r="F192">
        <v>6.19</v>
      </c>
      <c r="G192">
        <v>87281</v>
      </c>
      <c r="H192">
        <v>80403</v>
      </c>
      <c r="I192">
        <v>78448</v>
      </c>
      <c r="J192">
        <v>-158.23</v>
      </c>
      <c r="K192">
        <v>-137.88</v>
      </c>
      <c r="L192">
        <v>-132.1</v>
      </c>
      <c r="M192">
        <v>9.140000000000001</v>
      </c>
      <c r="N192" t="b">
        <v>1</v>
      </c>
      <c r="O192">
        <v>0</v>
      </c>
      <c r="P192">
        <v>7004</v>
      </c>
      <c r="Q192">
        <v>6798</v>
      </c>
      <c r="R192">
        <v>-2.9</v>
      </c>
      <c r="S192" t="s">
        <v>190</v>
      </c>
      <c r="T192" t="s">
        <v>511</v>
      </c>
      <c r="U192">
        <v>3.392112803732128</v>
      </c>
      <c r="V192">
        <v>2.5</v>
      </c>
      <c r="W192" t="s">
        <v>828</v>
      </c>
      <c r="X192">
        <v>2.599961013634111</v>
      </c>
      <c r="Y192">
        <v>174586</v>
      </c>
      <c r="Z192">
        <v>2532074</v>
      </c>
      <c r="AA192" t="s">
        <v>1145</v>
      </c>
      <c r="AB192">
        <v>9.84</v>
      </c>
      <c r="AC192" t="s">
        <v>1466</v>
      </c>
      <c r="AD192" t="s">
        <v>1787</v>
      </c>
      <c r="AE192">
        <v>157074</v>
      </c>
      <c r="AF192">
        <v>50463</v>
      </c>
      <c r="AG192">
        <v>3926</v>
      </c>
      <c r="AH192">
        <v>4.27</v>
      </c>
    </row>
    <row r="193" spans="1:34">
      <c r="A193" s="2">
        <f>HYPERLINK("https://finance.naver.com/item/coinfo.nhn?code=002310", "A002310")</f>
        <v>0</v>
      </c>
      <c r="B193">
        <f>HYPERLINK("http://comp.fnguide.com/SVO2/ASP/SVD_Consensus.asp?pGB=1&amp;gicode=A002310&amp;cID=&amp;MenuYn=Y&amp;ReportGB=&amp;NewMenuID=108&amp;stkGb=701", "아세아제지")</f>
        <v>0</v>
      </c>
      <c r="C193">
        <v>3</v>
      </c>
      <c r="D193">
        <v>38600</v>
      </c>
      <c r="E193">
        <v>0</v>
      </c>
      <c r="F193">
        <v>4.37</v>
      </c>
      <c r="G193">
        <v>90088</v>
      </c>
      <c r="H193">
        <v>75177</v>
      </c>
      <c r="I193">
        <v>70939</v>
      </c>
      <c r="J193">
        <v>-133.39</v>
      </c>
      <c r="K193">
        <v>-94.76000000000001</v>
      </c>
      <c r="L193">
        <v>-83.78</v>
      </c>
      <c r="M193">
        <v>10.95</v>
      </c>
      <c r="N193" t="b">
        <v>1</v>
      </c>
      <c r="O193">
        <v>0</v>
      </c>
      <c r="P193">
        <v>6860</v>
      </c>
      <c r="S193" t="s">
        <v>191</v>
      </c>
      <c r="T193" t="s">
        <v>512</v>
      </c>
      <c r="U193">
        <v>0</v>
      </c>
      <c r="V193">
        <v>-29.4</v>
      </c>
      <c r="W193" t="s">
        <v>829</v>
      </c>
      <c r="X193">
        <v>20.24422735583917</v>
      </c>
      <c r="Y193">
        <v>3457</v>
      </c>
      <c r="Z193">
        <v>81263</v>
      </c>
      <c r="AA193" t="s">
        <v>1146</v>
      </c>
      <c r="AB193">
        <v>50.07</v>
      </c>
      <c r="AC193" t="s">
        <v>1467</v>
      </c>
      <c r="AD193" t="s">
        <v>1788</v>
      </c>
      <c r="AE193">
        <v>6977</v>
      </c>
      <c r="AF193">
        <v>711</v>
      </c>
      <c r="AH193">
        <v>2</v>
      </c>
    </row>
    <row r="194" spans="1:34">
      <c r="A194" s="2">
        <f>HYPERLINK("https://finance.naver.com/item/coinfo.nhn?code=017670", "A017670")</f>
        <v>0</v>
      </c>
      <c r="B194">
        <f>HYPERLINK("http://comp.fnguide.com/SVO2/ASP/SVD_Consensus.asp?pGB=1&amp;gicode=A017670&amp;cID=&amp;MenuYn=Y&amp;ReportGB=&amp;NewMenuID=108&amp;stkGb=701", "SK텔레콤")</f>
        <v>0</v>
      </c>
      <c r="C194">
        <v>3</v>
      </c>
      <c r="D194">
        <v>240000</v>
      </c>
      <c r="E194">
        <v>-1.14</v>
      </c>
      <c r="F194">
        <v>21.59</v>
      </c>
      <c r="G194">
        <v>392070</v>
      </c>
      <c r="H194">
        <v>349335</v>
      </c>
      <c r="I194">
        <v>337190</v>
      </c>
      <c r="J194">
        <v>-63.36</v>
      </c>
      <c r="K194">
        <v>-45.56</v>
      </c>
      <c r="L194">
        <v>-40.5</v>
      </c>
      <c r="M194">
        <v>9.699999999999999</v>
      </c>
      <c r="N194" t="b">
        <v>0</v>
      </c>
      <c r="O194">
        <v>1</v>
      </c>
      <c r="P194">
        <v>11021</v>
      </c>
      <c r="Q194">
        <v>17148</v>
      </c>
      <c r="R194">
        <v>55.6</v>
      </c>
      <c r="S194" t="s">
        <v>192</v>
      </c>
      <c r="T194" t="s">
        <v>513</v>
      </c>
      <c r="U194">
        <v>-18.8964196631937</v>
      </c>
      <c r="V194">
        <v>22.5</v>
      </c>
      <c r="W194" t="s">
        <v>830</v>
      </c>
      <c r="X194">
        <v>-6.446468634937796</v>
      </c>
      <c r="Y194">
        <v>193790</v>
      </c>
      <c r="Z194">
        <v>229317</v>
      </c>
      <c r="AA194" t="s">
        <v>1147</v>
      </c>
      <c r="AB194">
        <v>26.78</v>
      </c>
      <c r="AC194" t="s">
        <v>1468</v>
      </c>
      <c r="AD194" t="s">
        <v>1789</v>
      </c>
      <c r="AE194">
        <v>177437</v>
      </c>
      <c r="AF194">
        <v>11100</v>
      </c>
      <c r="AG194">
        <v>9238558</v>
      </c>
      <c r="AH194">
        <v>4.2</v>
      </c>
    </row>
    <row r="195" spans="1:34">
      <c r="A195" s="2">
        <f>HYPERLINK("https://finance.naver.com/item/coinfo.nhn?code=006120", "A006120")</f>
        <v>0</v>
      </c>
      <c r="B195">
        <f>HYPERLINK("http://comp.fnguide.com/SVO2/ASP/SVD_Consensus.asp?pGB=1&amp;gicode=A006120&amp;cID=&amp;MenuYn=Y&amp;ReportGB=&amp;NewMenuID=108&amp;stkGb=701", "SK디스커버리")</f>
        <v>0</v>
      </c>
      <c r="C195">
        <v>3</v>
      </c>
      <c r="D195">
        <v>64000</v>
      </c>
      <c r="E195">
        <v>0</v>
      </c>
      <c r="F195">
        <v>2.96</v>
      </c>
      <c r="G195">
        <v>184164</v>
      </c>
      <c r="H195">
        <v>126572</v>
      </c>
      <c r="I195">
        <v>110205</v>
      </c>
      <c r="J195">
        <v>-187.76</v>
      </c>
      <c r="K195">
        <v>-97.77</v>
      </c>
      <c r="L195">
        <v>-72.2</v>
      </c>
      <c r="M195">
        <v>16.53</v>
      </c>
      <c r="N195" t="b">
        <v>1</v>
      </c>
      <c r="O195">
        <v>0</v>
      </c>
      <c r="P195">
        <v>8844</v>
      </c>
      <c r="S195" t="s">
        <v>193</v>
      </c>
      <c r="T195" t="s">
        <v>514</v>
      </c>
      <c r="U195">
        <v>0</v>
      </c>
      <c r="V195">
        <v>115.9</v>
      </c>
      <c r="W195" t="s">
        <v>831</v>
      </c>
      <c r="X195">
        <v>52.80809883747244</v>
      </c>
      <c r="Y195">
        <v>12184</v>
      </c>
      <c r="Z195">
        <v>73703</v>
      </c>
      <c r="AA195" t="s">
        <v>1148</v>
      </c>
      <c r="AB195">
        <v>45.11</v>
      </c>
      <c r="AC195" t="s">
        <v>1469</v>
      </c>
      <c r="AD195" t="s">
        <v>1790</v>
      </c>
      <c r="AE195">
        <v>50211</v>
      </c>
      <c r="AF195">
        <v>1739</v>
      </c>
      <c r="AG195">
        <v>12137</v>
      </c>
      <c r="AH195">
        <v>2.68</v>
      </c>
    </row>
    <row r="196" spans="1:34">
      <c r="A196" s="2">
        <f>HYPERLINK("https://finance.naver.com/item/coinfo.nhn?code=034730", "A034730")</f>
        <v>0</v>
      </c>
      <c r="B196">
        <f>HYPERLINK("http://comp.fnguide.com/SVO2/ASP/SVD_Consensus.asp?pGB=1&amp;gicode=A034730&amp;cID=&amp;MenuYn=Y&amp;ReportGB=&amp;NewMenuID=108&amp;stkGb=701", "SK")</f>
        <v>0</v>
      </c>
      <c r="C196">
        <v>3</v>
      </c>
      <c r="D196">
        <v>243500</v>
      </c>
      <c r="E196">
        <v>-0.39</v>
      </c>
      <c r="F196">
        <v>25.91</v>
      </c>
      <c r="G196">
        <v>369772</v>
      </c>
      <c r="H196">
        <v>339232</v>
      </c>
      <c r="I196">
        <v>330553</v>
      </c>
      <c r="J196">
        <v>-51.86</v>
      </c>
      <c r="K196">
        <v>-39.32</v>
      </c>
      <c r="L196">
        <v>-35.75</v>
      </c>
      <c r="M196">
        <v>9.199999999999999</v>
      </c>
      <c r="N196" t="b">
        <v>0</v>
      </c>
      <c r="O196">
        <v>0</v>
      </c>
      <c r="P196">
        <v>10113</v>
      </c>
      <c r="Q196">
        <v>928</v>
      </c>
      <c r="R196">
        <v>-90.8</v>
      </c>
      <c r="S196" t="s">
        <v>194</v>
      </c>
      <c r="T196" t="s">
        <v>515</v>
      </c>
      <c r="U196">
        <v>-66.00380434723093</v>
      </c>
      <c r="V196">
        <v>-67.90000000000001</v>
      </c>
      <c r="W196" t="s">
        <v>832</v>
      </c>
      <c r="X196">
        <v>-48.98831413502349</v>
      </c>
      <c r="Y196">
        <v>171327</v>
      </c>
      <c r="Z196">
        <v>597781</v>
      </c>
      <c r="AA196" t="s">
        <v>1149</v>
      </c>
      <c r="AB196">
        <v>29.55</v>
      </c>
      <c r="AC196" t="s">
        <v>1470</v>
      </c>
      <c r="AD196" t="s">
        <v>1791</v>
      </c>
      <c r="AE196">
        <v>992646</v>
      </c>
      <c r="AF196">
        <v>39499</v>
      </c>
      <c r="AG196">
        <v>18055950</v>
      </c>
      <c r="AH196">
        <v>1.91</v>
      </c>
    </row>
    <row r="197" spans="1:34">
      <c r="A197" s="2">
        <f>HYPERLINK("https://finance.naver.com/item/coinfo.nhn?code=033660", "A033660")</f>
        <v>0</v>
      </c>
      <c r="B197">
        <f>HYPERLINK("http://comp.fnguide.com/SVO2/ASP/SVD_Consensus.asp?pGB=1&amp;gicode=A033660&amp;cID=&amp;MenuYn=Y&amp;ReportGB=&amp;NewMenuID=108&amp;stkGb=701", "아주캐피탈")</f>
        <v>0</v>
      </c>
      <c r="C197">
        <v>3</v>
      </c>
      <c r="D197">
        <v>12900</v>
      </c>
      <c r="E197">
        <v>0.23</v>
      </c>
      <c r="F197">
        <v>7.05</v>
      </c>
      <c r="G197">
        <v>21910</v>
      </c>
      <c r="H197">
        <v>17555</v>
      </c>
      <c r="I197">
        <v>16318</v>
      </c>
      <c r="J197">
        <v>-69.84</v>
      </c>
      <c r="K197">
        <v>-36.09</v>
      </c>
      <c r="L197">
        <v>-26.49</v>
      </c>
      <c r="M197">
        <v>11.86</v>
      </c>
      <c r="N197" t="b">
        <v>1</v>
      </c>
      <c r="O197">
        <v>3</v>
      </c>
      <c r="P197">
        <v>1765</v>
      </c>
      <c r="Q197">
        <v>1998</v>
      </c>
      <c r="R197">
        <v>13.2</v>
      </c>
      <c r="S197" t="s">
        <v>195</v>
      </c>
      <c r="T197" t="s">
        <v>516</v>
      </c>
      <c r="U197">
        <v>30.24672450725792</v>
      </c>
      <c r="W197" t="s">
        <v>657</v>
      </c>
      <c r="X197">
        <v>5.323044183168046</v>
      </c>
      <c r="Y197">
        <v>7423</v>
      </c>
      <c r="Z197">
        <v>28397</v>
      </c>
      <c r="AA197" t="s">
        <v>1150</v>
      </c>
      <c r="AB197">
        <v>74.05</v>
      </c>
      <c r="AC197" t="s">
        <v>1471</v>
      </c>
      <c r="AD197" t="s">
        <v>1792</v>
      </c>
      <c r="AE197">
        <v>2293</v>
      </c>
      <c r="AF197">
        <v>1338</v>
      </c>
      <c r="AG197">
        <v>2067090</v>
      </c>
      <c r="AH197">
        <v>5.22</v>
      </c>
    </row>
    <row r="198" spans="1:34">
      <c r="A198" s="2">
        <f>HYPERLINK("https://finance.naver.com/item/coinfo.nhn?code=001800", "A001800")</f>
        <v>0</v>
      </c>
      <c r="B198">
        <f>HYPERLINK("http://comp.fnguide.com/SVO2/ASP/SVD_Consensus.asp?pGB=1&amp;gicode=A001800&amp;cID=&amp;MenuYn=Y&amp;ReportGB=&amp;NewMenuID=108&amp;stkGb=701", "오리온홀딩스")</f>
        <v>0</v>
      </c>
      <c r="C198">
        <v>3</v>
      </c>
      <c r="D198">
        <v>13050</v>
      </c>
      <c r="E198">
        <v>0</v>
      </c>
      <c r="F198">
        <v>23.05</v>
      </c>
      <c r="G198">
        <v>66913</v>
      </c>
      <c r="H198">
        <v>45918</v>
      </c>
      <c r="I198">
        <v>39951</v>
      </c>
      <c r="J198">
        <v>-412.74</v>
      </c>
      <c r="K198">
        <v>-251.86</v>
      </c>
      <c r="L198">
        <v>-206.14</v>
      </c>
      <c r="M198">
        <v>16.59</v>
      </c>
      <c r="N198" t="b">
        <v>0</v>
      </c>
      <c r="O198">
        <v>0</v>
      </c>
      <c r="P198">
        <v>772</v>
      </c>
      <c r="S198" t="s">
        <v>196</v>
      </c>
      <c r="T198" t="s">
        <v>517</v>
      </c>
      <c r="U198">
        <v>0</v>
      </c>
      <c r="V198">
        <v>50.8</v>
      </c>
      <c r="W198" t="s">
        <v>833</v>
      </c>
      <c r="X198">
        <v>-15.34160040286397</v>
      </c>
      <c r="Y198">
        <v>8175</v>
      </c>
      <c r="Z198">
        <v>215981</v>
      </c>
      <c r="AA198" t="s">
        <v>1151</v>
      </c>
      <c r="AB198">
        <v>63.85</v>
      </c>
      <c r="AC198" t="s">
        <v>1472</v>
      </c>
      <c r="AD198" t="s">
        <v>1793</v>
      </c>
      <c r="AE198">
        <v>21036</v>
      </c>
      <c r="AF198">
        <v>2667</v>
      </c>
      <c r="AG198">
        <v>2488769</v>
      </c>
      <c r="AH198">
        <v>3.65</v>
      </c>
    </row>
    <row r="199" spans="1:34">
      <c r="A199" s="2">
        <f>HYPERLINK("https://finance.naver.com/item/coinfo.nhn?code=009160", "A009160")</f>
        <v>0</v>
      </c>
      <c r="B199">
        <f>HYPERLINK("http://comp.fnguide.com/SVO2/ASP/SVD_Consensus.asp?pGB=1&amp;gicode=A009160&amp;cID=&amp;MenuYn=Y&amp;ReportGB=&amp;NewMenuID=108&amp;stkGb=701", "SIMPAC")</f>
        <v>0</v>
      </c>
      <c r="C199">
        <v>3</v>
      </c>
      <c r="D199">
        <v>2485</v>
      </c>
      <c r="E199">
        <v>0</v>
      </c>
      <c r="F199">
        <v>20.31</v>
      </c>
      <c r="G199">
        <v>8511</v>
      </c>
      <c r="H199">
        <v>8008</v>
      </c>
      <c r="I199">
        <v>7865</v>
      </c>
      <c r="J199">
        <v>-242.49</v>
      </c>
      <c r="K199">
        <v>-222.25</v>
      </c>
      <c r="L199">
        <v>-216.5</v>
      </c>
      <c r="M199">
        <v>8.800000000000001</v>
      </c>
      <c r="N199" t="b">
        <v>1</v>
      </c>
      <c r="O199">
        <v>0</v>
      </c>
      <c r="P199">
        <v>145</v>
      </c>
      <c r="S199" t="s">
        <v>197</v>
      </c>
      <c r="T199" t="s">
        <v>518</v>
      </c>
      <c r="U199">
        <v>0</v>
      </c>
      <c r="V199">
        <v>-46.8</v>
      </c>
      <c r="W199" t="s">
        <v>834</v>
      </c>
      <c r="X199">
        <v>-32.86256593518265</v>
      </c>
      <c r="Y199">
        <v>1626</v>
      </c>
      <c r="Z199">
        <v>43289</v>
      </c>
      <c r="AA199" t="s">
        <v>1152</v>
      </c>
      <c r="AB199">
        <v>60.01</v>
      </c>
      <c r="AC199" t="s">
        <v>1473</v>
      </c>
      <c r="AD199" t="s">
        <v>1794</v>
      </c>
      <c r="AE199">
        <v>4301</v>
      </c>
      <c r="AF199">
        <v>111</v>
      </c>
      <c r="AG199">
        <v>7943224</v>
      </c>
      <c r="AH199">
        <v>2.04</v>
      </c>
    </row>
    <row r="200" spans="1:34">
      <c r="A200" s="2">
        <f>HYPERLINK("https://finance.naver.com/item/coinfo.nhn?code=005940", "A005940")</f>
        <v>0</v>
      </c>
      <c r="B200">
        <f>HYPERLINK("http://comp.fnguide.com/SVO2/ASP/SVD_Consensus.asp?pGB=1&amp;gicode=A005940&amp;cID=&amp;MenuYn=Y&amp;ReportGB=&amp;NewMenuID=108&amp;stkGb=701", "NH투자증권")</f>
        <v>0</v>
      </c>
      <c r="C200">
        <v>3</v>
      </c>
      <c r="D200">
        <v>11600</v>
      </c>
      <c r="E200">
        <v>0.41</v>
      </c>
      <c r="F200">
        <v>8.02</v>
      </c>
      <c r="G200">
        <v>19879</v>
      </c>
      <c r="H200">
        <v>19460</v>
      </c>
      <c r="I200">
        <v>19341</v>
      </c>
      <c r="J200">
        <v>-71.37</v>
      </c>
      <c r="K200">
        <v>-67.76000000000001</v>
      </c>
      <c r="L200">
        <v>-66.73</v>
      </c>
      <c r="M200">
        <v>8.23</v>
      </c>
      <c r="N200" t="b">
        <v>0</v>
      </c>
      <c r="O200">
        <v>3</v>
      </c>
      <c r="P200">
        <v>1584</v>
      </c>
      <c r="Q200">
        <v>1982</v>
      </c>
      <c r="R200">
        <v>25.1</v>
      </c>
      <c r="S200" t="s">
        <v>198</v>
      </c>
      <c r="T200" t="s">
        <v>519</v>
      </c>
      <c r="U200">
        <v>19.34671283634339</v>
      </c>
      <c r="V200">
        <v>12</v>
      </c>
      <c r="W200" t="s">
        <v>835</v>
      </c>
      <c r="X200">
        <v>8.155821043436728</v>
      </c>
      <c r="Y200">
        <v>32643</v>
      </c>
      <c r="Z200">
        <v>987614</v>
      </c>
      <c r="AA200" t="s">
        <v>1153</v>
      </c>
      <c r="AB200">
        <v>49.12</v>
      </c>
      <c r="AC200" t="s">
        <v>1474</v>
      </c>
      <c r="AD200" t="s">
        <v>1795</v>
      </c>
      <c r="AE200">
        <v>13873</v>
      </c>
      <c r="AF200">
        <v>5754</v>
      </c>
      <c r="AG200">
        <v>683671</v>
      </c>
      <c r="AH200">
        <v>3.94</v>
      </c>
    </row>
    <row r="201" spans="1:34">
      <c r="A201" s="2">
        <f>HYPERLINK("https://finance.naver.com/item/coinfo.nhn?code=161000", "A161000")</f>
        <v>0</v>
      </c>
      <c r="B201">
        <f>HYPERLINK("http://comp.fnguide.com/SVO2/ASP/SVD_Consensus.asp?pGB=1&amp;gicode=A161000&amp;cID=&amp;MenuYn=Y&amp;ReportGB=&amp;NewMenuID=108&amp;stkGb=701", "애경유화")</f>
        <v>0</v>
      </c>
      <c r="C201">
        <v>3</v>
      </c>
      <c r="D201">
        <v>9030</v>
      </c>
      <c r="E201">
        <v>-0.76</v>
      </c>
      <c r="F201">
        <v>8.609999999999999</v>
      </c>
      <c r="G201">
        <v>19758</v>
      </c>
      <c r="H201">
        <v>14793</v>
      </c>
      <c r="I201">
        <v>13383</v>
      </c>
      <c r="J201">
        <v>-118.8</v>
      </c>
      <c r="K201">
        <v>-63.82</v>
      </c>
      <c r="L201">
        <v>-48.2</v>
      </c>
      <c r="M201">
        <v>13.63</v>
      </c>
      <c r="N201" t="b">
        <v>1</v>
      </c>
      <c r="O201">
        <v>1</v>
      </c>
      <c r="P201">
        <v>952</v>
      </c>
      <c r="Q201">
        <v>1414</v>
      </c>
      <c r="R201">
        <v>48.5</v>
      </c>
      <c r="S201" t="s">
        <v>199</v>
      </c>
      <c r="T201" t="s">
        <v>520</v>
      </c>
      <c r="U201">
        <v>-11.38294718695732</v>
      </c>
      <c r="V201">
        <v>-2.5</v>
      </c>
      <c r="W201" t="s">
        <v>836</v>
      </c>
      <c r="X201">
        <v>0.9737088673156036</v>
      </c>
      <c r="Y201">
        <v>2893</v>
      </c>
      <c r="Z201">
        <v>169939</v>
      </c>
      <c r="AA201" t="s">
        <v>1154</v>
      </c>
      <c r="AB201">
        <v>49.47</v>
      </c>
      <c r="AC201" t="s">
        <v>1475</v>
      </c>
      <c r="AD201" t="s">
        <v>1796</v>
      </c>
      <c r="AE201">
        <v>10170</v>
      </c>
      <c r="AF201">
        <v>469</v>
      </c>
      <c r="AG201">
        <v>475850</v>
      </c>
      <c r="AH201">
        <v>4.27</v>
      </c>
    </row>
    <row r="202" spans="1:34">
      <c r="A202" s="2">
        <f>HYPERLINK("https://finance.naver.com/item/coinfo.nhn?code=006740", "A006740")</f>
        <v>0</v>
      </c>
      <c r="B202">
        <f>HYPERLINK("http://comp.fnguide.com/SVO2/ASP/SVD_Consensus.asp?pGB=1&amp;gicode=A006740&amp;cID=&amp;MenuYn=Y&amp;ReportGB=&amp;NewMenuID=108&amp;stkGb=701", "영풍제지")</f>
        <v>0</v>
      </c>
      <c r="C202">
        <v>3</v>
      </c>
      <c r="D202">
        <v>6440</v>
      </c>
      <c r="E202">
        <v>0</v>
      </c>
      <c r="F202">
        <v>7.45</v>
      </c>
      <c r="G202">
        <v>7941</v>
      </c>
      <c r="H202">
        <v>7255</v>
      </c>
      <c r="I202">
        <v>7060</v>
      </c>
      <c r="J202">
        <v>-23.31</v>
      </c>
      <c r="K202">
        <v>-12.65</v>
      </c>
      <c r="L202">
        <v>-9.619999999999999</v>
      </c>
      <c r="M202">
        <v>9.27</v>
      </c>
      <c r="N202" t="b">
        <v>1</v>
      </c>
      <c r="O202">
        <v>0</v>
      </c>
      <c r="P202">
        <v>418</v>
      </c>
      <c r="S202" t="s">
        <v>200</v>
      </c>
      <c r="T202" t="s">
        <v>521</v>
      </c>
      <c r="U202">
        <v>0</v>
      </c>
      <c r="V202">
        <v>-4.8</v>
      </c>
      <c r="W202" t="s">
        <v>837</v>
      </c>
      <c r="X202">
        <v>12.6233358007017</v>
      </c>
      <c r="Y202">
        <v>1430</v>
      </c>
      <c r="Z202">
        <v>583984</v>
      </c>
      <c r="AA202" t="s">
        <v>1155</v>
      </c>
      <c r="AB202">
        <v>54.44</v>
      </c>
      <c r="AC202" t="s">
        <v>1476</v>
      </c>
      <c r="AD202" t="s">
        <v>1797</v>
      </c>
      <c r="AE202">
        <v>997</v>
      </c>
      <c r="AF202">
        <v>109</v>
      </c>
      <c r="AG202">
        <v>4627676</v>
      </c>
      <c r="AH202">
        <v>1.28</v>
      </c>
    </row>
    <row r="203" spans="1:34">
      <c r="A203" s="2">
        <f>HYPERLINK("https://finance.naver.com/item/coinfo.nhn?code=111770", "A111770")</f>
        <v>0</v>
      </c>
      <c r="B203">
        <f>HYPERLINK("http://comp.fnguide.com/SVO2/ASP/SVD_Consensus.asp?pGB=1&amp;gicode=A111770&amp;cID=&amp;MenuYn=Y&amp;ReportGB=&amp;NewMenuID=108&amp;stkGb=701", "영원무역")</f>
        <v>0</v>
      </c>
      <c r="C203">
        <v>3</v>
      </c>
      <c r="D203">
        <v>30850</v>
      </c>
      <c r="E203">
        <v>0.5</v>
      </c>
      <c r="F203">
        <v>9.130000000000001</v>
      </c>
      <c r="G203">
        <v>48112</v>
      </c>
      <c r="H203">
        <v>44450</v>
      </c>
      <c r="I203">
        <v>43409</v>
      </c>
      <c r="J203">
        <v>-55.96</v>
      </c>
      <c r="K203">
        <v>-44.08</v>
      </c>
      <c r="L203">
        <v>-40.71</v>
      </c>
      <c r="M203">
        <v>9.09</v>
      </c>
      <c r="N203" t="b">
        <v>1</v>
      </c>
      <c r="O203">
        <v>3</v>
      </c>
      <c r="P203">
        <v>3753</v>
      </c>
      <c r="Q203">
        <v>4054</v>
      </c>
      <c r="R203">
        <v>8</v>
      </c>
      <c r="S203" t="s">
        <v>201</v>
      </c>
      <c r="T203" t="s">
        <v>522</v>
      </c>
      <c r="U203">
        <v>18.2197189395473</v>
      </c>
      <c r="V203">
        <v>-1.7</v>
      </c>
      <c r="W203" t="s">
        <v>838</v>
      </c>
      <c r="X203">
        <v>4.705134005170453</v>
      </c>
      <c r="Y203">
        <v>13670</v>
      </c>
      <c r="Z203">
        <v>104788</v>
      </c>
      <c r="AA203" t="s">
        <v>1156</v>
      </c>
      <c r="AB203">
        <v>50.74</v>
      </c>
      <c r="AC203" t="s">
        <v>1477</v>
      </c>
      <c r="AD203" t="s">
        <v>1798</v>
      </c>
      <c r="AE203">
        <v>23883</v>
      </c>
      <c r="AF203">
        <v>2376</v>
      </c>
      <c r="AG203">
        <v>445407</v>
      </c>
      <c r="AH203">
        <v>1.17</v>
      </c>
    </row>
    <row r="204" spans="1:34">
      <c r="A204" s="2">
        <f>HYPERLINK("https://finance.naver.com/item/coinfo.nhn?code=009970", "A009970")</f>
        <v>0</v>
      </c>
      <c r="B204">
        <f>HYPERLINK("http://comp.fnguide.com/SVO2/ASP/SVD_Consensus.asp?pGB=1&amp;gicode=A009970&amp;cID=&amp;MenuYn=Y&amp;ReportGB=&amp;NewMenuID=108&amp;stkGb=701", "영원무역홀딩스")</f>
        <v>0</v>
      </c>
      <c r="C204">
        <v>3</v>
      </c>
      <c r="D204">
        <v>38500</v>
      </c>
      <c r="E204">
        <v>0</v>
      </c>
      <c r="F204">
        <v>5.43</v>
      </c>
      <c r="G204">
        <v>134331</v>
      </c>
      <c r="H204">
        <v>124838</v>
      </c>
      <c r="I204">
        <v>122140</v>
      </c>
      <c r="J204">
        <v>-248.91</v>
      </c>
      <c r="K204">
        <v>-224.25</v>
      </c>
      <c r="L204">
        <v>-217.25</v>
      </c>
      <c r="M204">
        <v>9</v>
      </c>
      <c r="N204" t="b">
        <v>1</v>
      </c>
      <c r="O204">
        <v>0</v>
      </c>
      <c r="P204">
        <v>8870</v>
      </c>
      <c r="S204" t="s">
        <v>202</v>
      </c>
      <c r="T204" t="s">
        <v>523</v>
      </c>
      <c r="U204">
        <v>0</v>
      </c>
      <c r="V204">
        <v>-7.8</v>
      </c>
      <c r="W204" t="s">
        <v>839</v>
      </c>
      <c r="X204">
        <v>5.663666761138875</v>
      </c>
      <c r="Y204">
        <v>5250</v>
      </c>
      <c r="Z204">
        <v>11409</v>
      </c>
      <c r="AA204" t="s">
        <v>1157</v>
      </c>
      <c r="AB204">
        <v>46.24</v>
      </c>
      <c r="AC204" t="s">
        <v>1478</v>
      </c>
      <c r="AD204" t="s">
        <v>1799</v>
      </c>
      <c r="AE204">
        <v>27380</v>
      </c>
      <c r="AF204">
        <v>2990</v>
      </c>
      <c r="AG204">
        <v>2030694</v>
      </c>
      <c r="AH204">
        <v>2.07</v>
      </c>
    </row>
    <row r="205" spans="1:34">
      <c r="A205" s="2">
        <f>HYPERLINK("https://finance.naver.com/item/coinfo.nhn?code=001880", "A001880")</f>
        <v>0</v>
      </c>
      <c r="B205">
        <f>HYPERLINK("http://comp.fnguide.com/SVO2/ASP/SVD_Consensus.asp?pGB=1&amp;gicode=A001880&amp;cID=&amp;MenuYn=Y&amp;ReportGB=&amp;NewMenuID=108&amp;stkGb=701", "대림건설")</f>
        <v>0</v>
      </c>
      <c r="C205">
        <v>2</v>
      </c>
      <c r="D205">
        <v>29750</v>
      </c>
      <c r="E205">
        <v>0</v>
      </c>
      <c r="F205">
        <v>3.17</v>
      </c>
      <c r="G205">
        <v>56107</v>
      </c>
      <c r="H205">
        <v>34839</v>
      </c>
      <c r="I205">
        <v>28795</v>
      </c>
      <c r="J205">
        <v>-88.59999999999999</v>
      </c>
      <c r="K205">
        <v>-17.11</v>
      </c>
      <c r="L205">
        <v>3.21</v>
      </c>
      <c r="M205">
        <v>21.46</v>
      </c>
      <c r="N205" t="b">
        <v>1</v>
      </c>
      <c r="O205">
        <v>0</v>
      </c>
      <c r="P205">
        <v>6265</v>
      </c>
      <c r="S205" t="s">
        <v>203</v>
      </c>
      <c r="T205" t="s">
        <v>524</v>
      </c>
      <c r="U205">
        <v>0</v>
      </c>
      <c r="V205">
        <v>22.6</v>
      </c>
      <c r="W205" t="s">
        <v>840</v>
      </c>
      <c r="X205">
        <v>23.81705294524519</v>
      </c>
      <c r="Y205">
        <v>6561</v>
      </c>
      <c r="Z205">
        <v>208878</v>
      </c>
      <c r="AA205" t="s">
        <v>1158</v>
      </c>
      <c r="AB205">
        <v>66.36</v>
      </c>
      <c r="AC205" t="s">
        <v>1479</v>
      </c>
      <c r="AD205" t="s">
        <v>1800</v>
      </c>
      <c r="AE205">
        <v>12799</v>
      </c>
      <c r="AF205">
        <v>1430</v>
      </c>
      <c r="AG205">
        <v>371</v>
      </c>
      <c r="AH205">
        <v>2.02</v>
      </c>
    </row>
    <row r="206" spans="1:34">
      <c r="A206" s="2">
        <f>HYPERLINK("https://finance.naver.com/item/coinfo.nhn?code=297890", "A297890")</f>
        <v>0</v>
      </c>
      <c r="B206">
        <f>HYPERLINK("http://comp.fnguide.com/SVO2/ASP/SVD_Consensus.asp?pGB=1&amp;gicode=A297890&amp;cID=&amp;MenuYn=Y&amp;ReportGB=&amp;NewMenuID=108&amp;stkGb=701", "엘이티")</f>
        <v>0</v>
      </c>
      <c r="C206">
        <v>2</v>
      </c>
      <c r="D206">
        <v>14800</v>
      </c>
      <c r="E206">
        <v>0</v>
      </c>
      <c r="G206">
        <v>33792</v>
      </c>
      <c r="H206">
        <v>16025</v>
      </c>
      <c r="I206">
        <v>10975</v>
      </c>
      <c r="J206">
        <v>-128.33</v>
      </c>
      <c r="K206">
        <v>-8.27</v>
      </c>
      <c r="L206">
        <v>25.84</v>
      </c>
      <c r="M206">
        <v>62.96</v>
      </c>
      <c r="N206" t="b">
        <v>0</v>
      </c>
      <c r="O206">
        <v>0</v>
      </c>
      <c r="P206">
        <v>1138</v>
      </c>
      <c r="S206" t="s">
        <v>204</v>
      </c>
      <c r="T206" t="s">
        <v>525</v>
      </c>
      <c r="U206">
        <v>0</v>
      </c>
      <c r="W206" t="s">
        <v>841</v>
      </c>
      <c r="X206">
        <v>0</v>
      </c>
      <c r="Y206">
        <v>1052</v>
      </c>
      <c r="Z206">
        <v>54705</v>
      </c>
      <c r="AA206" t="s">
        <v>1159</v>
      </c>
      <c r="AB206">
        <v>65.56</v>
      </c>
      <c r="AC206" t="s">
        <v>1480</v>
      </c>
      <c r="AD206" t="s">
        <v>1801</v>
      </c>
      <c r="AE206">
        <v>469</v>
      </c>
      <c r="AF206">
        <v>109</v>
      </c>
    </row>
    <row r="207" spans="1:34">
      <c r="A207" s="2">
        <f>HYPERLINK("https://finance.naver.com/item/coinfo.nhn?code=033780", "A033780")</f>
        <v>0</v>
      </c>
      <c r="B207">
        <f>HYPERLINK("http://comp.fnguide.com/SVO2/ASP/SVD_Consensus.asp?pGB=1&amp;gicode=A033780&amp;cID=&amp;MenuYn=Y&amp;ReportGB=&amp;NewMenuID=108&amp;stkGb=701", "KT&amp;G")</f>
        <v>0</v>
      </c>
      <c r="C207">
        <v>2</v>
      </c>
      <c r="D207">
        <v>84100</v>
      </c>
      <c r="E207">
        <v>-6.02</v>
      </c>
      <c r="F207">
        <v>12.42</v>
      </c>
      <c r="G207">
        <v>110694</v>
      </c>
      <c r="H207">
        <v>86040</v>
      </c>
      <c r="I207">
        <v>79034</v>
      </c>
      <c r="J207">
        <v>-31.62</v>
      </c>
      <c r="K207">
        <v>-2.31</v>
      </c>
      <c r="L207">
        <v>6.02</v>
      </c>
      <c r="M207">
        <v>12.61</v>
      </c>
      <c r="N207" t="b">
        <v>1</v>
      </c>
      <c r="O207">
        <v>2</v>
      </c>
      <c r="P207">
        <v>7549</v>
      </c>
      <c r="Q207">
        <v>7956</v>
      </c>
      <c r="R207">
        <v>5.4</v>
      </c>
      <c r="S207" t="s">
        <v>205</v>
      </c>
      <c r="T207" t="s">
        <v>526</v>
      </c>
      <c r="U207">
        <v>-2.063017745842399</v>
      </c>
      <c r="V207">
        <v>-5.7</v>
      </c>
      <c r="W207" t="s">
        <v>842</v>
      </c>
      <c r="X207">
        <v>-1.155639276967924</v>
      </c>
      <c r="Y207">
        <v>115463</v>
      </c>
      <c r="Z207">
        <v>427939</v>
      </c>
      <c r="AA207" t="s">
        <v>1160</v>
      </c>
      <c r="AB207">
        <v>12.24</v>
      </c>
      <c r="AC207" t="s">
        <v>1481</v>
      </c>
      <c r="AD207" t="s">
        <v>1802</v>
      </c>
      <c r="AE207">
        <v>49632</v>
      </c>
      <c r="AF207">
        <v>13820</v>
      </c>
      <c r="AG207">
        <v>13212574</v>
      </c>
      <c r="AH207">
        <v>4.69</v>
      </c>
    </row>
    <row r="208" spans="1:34">
      <c r="A208" s="2">
        <f>HYPERLINK("https://finance.naver.com/item/coinfo.nhn?code=097950", "A097950")</f>
        <v>0</v>
      </c>
      <c r="B208">
        <f>HYPERLINK("http://comp.fnguide.com/SVO2/ASP/SVD_Consensus.asp?pGB=1&amp;gicode=A097950&amp;cID=&amp;MenuYn=Y&amp;ReportGB=&amp;NewMenuID=108&amp;stkGb=701", "CJ제일제당")</f>
        <v>0</v>
      </c>
      <c r="C208">
        <v>2</v>
      </c>
      <c r="D208">
        <v>362500</v>
      </c>
      <c r="E208">
        <v>1.12</v>
      </c>
      <c r="F208">
        <v>27.12</v>
      </c>
      <c r="G208">
        <v>441342</v>
      </c>
      <c r="H208">
        <v>375617</v>
      </c>
      <c r="I208">
        <v>356939</v>
      </c>
      <c r="J208">
        <v>-21.75</v>
      </c>
      <c r="K208">
        <v>-3.62</v>
      </c>
      <c r="L208">
        <v>1.53</v>
      </c>
      <c r="M208">
        <v>10.55</v>
      </c>
      <c r="N208" t="b">
        <v>0</v>
      </c>
      <c r="O208">
        <v>1</v>
      </c>
      <c r="P208">
        <v>9312</v>
      </c>
      <c r="Q208">
        <v>49008</v>
      </c>
      <c r="R208">
        <v>426.3</v>
      </c>
      <c r="S208" t="s">
        <v>206</v>
      </c>
      <c r="T208" t="s">
        <v>527</v>
      </c>
      <c r="U208">
        <v>24.30895020433434</v>
      </c>
      <c r="V208">
        <v>1077.9</v>
      </c>
      <c r="W208" t="s">
        <v>843</v>
      </c>
      <c r="X208">
        <v>53.05732384717095</v>
      </c>
      <c r="Y208">
        <v>54571</v>
      </c>
      <c r="Z208">
        <v>45165</v>
      </c>
      <c r="AA208" t="s">
        <v>1161</v>
      </c>
      <c r="AB208">
        <v>45.51</v>
      </c>
      <c r="AC208" t="s">
        <v>1482</v>
      </c>
      <c r="AD208" t="s">
        <v>1803</v>
      </c>
      <c r="AE208">
        <v>223525</v>
      </c>
      <c r="AF208">
        <v>8969</v>
      </c>
      <c r="AG208">
        <v>357302</v>
      </c>
      <c r="AH208">
        <v>1.39</v>
      </c>
    </row>
    <row r="209" spans="1:34">
      <c r="A209" s="2">
        <f>HYPERLINK("https://finance.naver.com/item/coinfo.nhn?code=000660", "A000660")</f>
        <v>0</v>
      </c>
      <c r="B209">
        <f>HYPERLINK("http://comp.fnguide.com/SVO2/ASP/SVD_Consensus.asp?pGB=1&amp;gicode=A000660&amp;cID=&amp;MenuYn=Y&amp;ReportGB=&amp;NewMenuID=108&amp;stkGb=701", "SK하이닉스")</f>
        <v>0</v>
      </c>
      <c r="C209">
        <v>2</v>
      </c>
      <c r="D209">
        <v>115000</v>
      </c>
      <c r="E209">
        <v>-1.14</v>
      </c>
      <c r="F209">
        <v>34.03</v>
      </c>
      <c r="G209">
        <v>186222</v>
      </c>
      <c r="H209">
        <v>116337</v>
      </c>
      <c r="I209">
        <v>96477</v>
      </c>
      <c r="J209">
        <v>-61.93</v>
      </c>
      <c r="K209">
        <v>-1.16</v>
      </c>
      <c r="L209">
        <v>16.11</v>
      </c>
      <c r="M209">
        <v>21.1</v>
      </c>
      <c r="N209" t="b">
        <v>0</v>
      </c>
      <c r="O209">
        <v>1</v>
      </c>
      <c r="P209">
        <v>2766</v>
      </c>
      <c r="Q209">
        <v>5041</v>
      </c>
      <c r="R209">
        <v>82.2</v>
      </c>
      <c r="S209" t="s">
        <v>207</v>
      </c>
      <c r="T209" t="s">
        <v>528</v>
      </c>
      <c r="U209">
        <v>-29.8089843019685</v>
      </c>
      <c r="V209">
        <v>40.2</v>
      </c>
      <c r="W209" t="s">
        <v>844</v>
      </c>
      <c r="X209">
        <v>-8.118973713105538</v>
      </c>
      <c r="Y209">
        <v>837203</v>
      </c>
      <c r="Z209">
        <v>4536460</v>
      </c>
      <c r="AA209" t="s">
        <v>1162</v>
      </c>
      <c r="AB209">
        <v>20.07</v>
      </c>
      <c r="AC209" t="s">
        <v>1483</v>
      </c>
      <c r="AD209" t="s">
        <v>1804</v>
      </c>
      <c r="AE209">
        <v>269907</v>
      </c>
      <c r="AF209">
        <v>27127</v>
      </c>
      <c r="AG209">
        <v>44000570</v>
      </c>
      <c r="AH209">
        <v>1.06</v>
      </c>
    </row>
    <row r="210" spans="1:34">
      <c r="A210" s="2">
        <f>HYPERLINK("https://finance.naver.com/item/coinfo.nhn?code=011780", "A011780")</f>
        <v>0</v>
      </c>
      <c r="B210">
        <f>HYPERLINK("http://comp.fnguide.com/SVO2/ASP/SVD_Consensus.asp?pGB=1&amp;gicode=A011780&amp;cID=&amp;MenuYn=Y&amp;ReportGB=&amp;NewMenuID=108&amp;stkGb=701", "금호석유")</f>
        <v>0</v>
      </c>
      <c r="C210">
        <v>2</v>
      </c>
      <c r="D210">
        <v>139500</v>
      </c>
      <c r="E210">
        <v>0.25</v>
      </c>
      <c r="F210">
        <v>8.81</v>
      </c>
      <c r="G210">
        <v>210190</v>
      </c>
      <c r="H210">
        <v>147304</v>
      </c>
      <c r="I210">
        <v>129433</v>
      </c>
      <c r="J210">
        <v>-50.67</v>
      </c>
      <c r="K210">
        <v>-5.59</v>
      </c>
      <c r="L210">
        <v>7.22</v>
      </c>
      <c r="M210">
        <v>15.79</v>
      </c>
      <c r="N210" t="b">
        <v>1</v>
      </c>
      <c r="O210">
        <v>1</v>
      </c>
      <c r="P210">
        <v>8796</v>
      </c>
      <c r="Q210">
        <v>15613</v>
      </c>
      <c r="R210">
        <v>77.5</v>
      </c>
      <c r="S210" t="s">
        <v>208</v>
      </c>
      <c r="T210" t="s">
        <v>529</v>
      </c>
      <c r="U210">
        <v>34.80080361826356</v>
      </c>
      <c r="V210">
        <v>35</v>
      </c>
      <c r="W210" t="s">
        <v>845</v>
      </c>
      <c r="X210">
        <v>27.32574247000183</v>
      </c>
      <c r="Y210">
        <v>42502</v>
      </c>
      <c r="Z210">
        <v>216410</v>
      </c>
      <c r="AA210" t="s">
        <v>1163</v>
      </c>
      <c r="AB210">
        <v>24.87</v>
      </c>
      <c r="AC210" t="s">
        <v>1484</v>
      </c>
      <c r="AD210" t="s">
        <v>1805</v>
      </c>
      <c r="AE210">
        <v>49779</v>
      </c>
      <c r="AF210">
        <v>3678</v>
      </c>
      <c r="AG210">
        <v>5592528</v>
      </c>
      <c r="AH210">
        <v>1.94</v>
      </c>
    </row>
    <row r="211" spans="1:34">
      <c r="A211" s="2">
        <f>HYPERLINK("https://finance.naver.com/item/coinfo.nhn?code=039440", "A039440")</f>
        <v>0</v>
      </c>
      <c r="B211">
        <f>HYPERLINK("http://comp.fnguide.com/SVO2/ASP/SVD_Consensus.asp?pGB=1&amp;gicode=A039440&amp;cID=&amp;MenuYn=Y&amp;ReportGB=&amp;NewMenuID=108&amp;stkGb=701", "에스티아이")</f>
        <v>0</v>
      </c>
      <c r="C211">
        <v>2</v>
      </c>
      <c r="D211">
        <v>15550</v>
      </c>
      <c r="E211">
        <v>0</v>
      </c>
      <c r="F211">
        <v>14.05</v>
      </c>
      <c r="G211">
        <v>25708</v>
      </c>
      <c r="H211">
        <v>16930</v>
      </c>
      <c r="I211">
        <v>14436</v>
      </c>
      <c r="J211">
        <v>-65.31999999999999</v>
      </c>
      <c r="K211">
        <v>-8.880000000000001</v>
      </c>
      <c r="L211">
        <v>7.16</v>
      </c>
      <c r="M211">
        <v>18.36</v>
      </c>
      <c r="N211" t="b">
        <v>1</v>
      </c>
      <c r="O211">
        <v>0</v>
      </c>
      <c r="P211">
        <v>1466</v>
      </c>
      <c r="S211" t="s">
        <v>209</v>
      </c>
      <c r="T211" t="s">
        <v>530</v>
      </c>
      <c r="U211">
        <v>0</v>
      </c>
      <c r="V211">
        <v>-39.9</v>
      </c>
      <c r="W211" t="s">
        <v>846</v>
      </c>
      <c r="X211">
        <v>2.148192850049946</v>
      </c>
      <c r="Y211">
        <v>2462</v>
      </c>
      <c r="Z211">
        <v>89101</v>
      </c>
      <c r="AA211" t="s">
        <v>1164</v>
      </c>
      <c r="AB211">
        <v>27.06</v>
      </c>
      <c r="AC211" t="s">
        <v>1485</v>
      </c>
      <c r="AD211" t="s">
        <v>1806</v>
      </c>
      <c r="AE211">
        <v>3189</v>
      </c>
      <c r="AF211">
        <v>271</v>
      </c>
      <c r="AG211">
        <v>811400</v>
      </c>
      <c r="AH211">
        <v>1.21</v>
      </c>
    </row>
    <row r="212" spans="1:34">
      <c r="A212" s="2">
        <f>HYPERLINK("https://finance.naver.com/item/coinfo.nhn?code=094850", "A094850")</f>
        <v>0</v>
      </c>
      <c r="B212">
        <f>HYPERLINK("http://comp.fnguide.com/SVO2/ASP/SVD_Consensus.asp?pGB=1&amp;gicode=A094850&amp;cID=&amp;MenuYn=Y&amp;ReportGB=&amp;NewMenuID=108&amp;stkGb=701", "참좋은여행")</f>
        <v>0</v>
      </c>
      <c r="C212">
        <v>2</v>
      </c>
      <c r="D212">
        <v>11000</v>
      </c>
      <c r="E212">
        <v>0</v>
      </c>
      <c r="F212">
        <v>4.1</v>
      </c>
      <c r="G212">
        <v>18540</v>
      </c>
      <c r="H212">
        <v>11793</v>
      </c>
      <c r="I212">
        <v>9875</v>
      </c>
      <c r="J212">
        <v>-68.55</v>
      </c>
      <c r="K212">
        <v>-7.21</v>
      </c>
      <c r="L212">
        <v>10.22</v>
      </c>
      <c r="M212">
        <v>20.1</v>
      </c>
      <c r="N212" t="b">
        <v>0</v>
      </c>
      <c r="O212">
        <v>0</v>
      </c>
      <c r="P212">
        <v>1635</v>
      </c>
      <c r="S212" t="s">
        <v>210</v>
      </c>
      <c r="T212" t="s">
        <v>531</v>
      </c>
      <c r="U212">
        <v>0</v>
      </c>
      <c r="V212">
        <v>0</v>
      </c>
      <c r="W212" t="s">
        <v>847</v>
      </c>
      <c r="X212">
        <v>41.14081226336899</v>
      </c>
      <c r="Y212">
        <v>1540</v>
      </c>
      <c r="Z212">
        <v>1449718</v>
      </c>
      <c r="AA212" t="s">
        <v>1165</v>
      </c>
      <c r="AB212">
        <v>42.17</v>
      </c>
      <c r="AC212" t="s">
        <v>1486</v>
      </c>
      <c r="AD212" t="s">
        <v>1807</v>
      </c>
      <c r="AE212">
        <v>621</v>
      </c>
      <c r="AF212">
        <v>71</v>
      </c>
      <c r="AG212">
        <v>800000</v>
      </c>
      <c r="AH212">
        <v>2.54</v>
      </c>
    </row>
    <row r="213" spans="1:34">
      <c r="A213" s="2">
        <f>HYPERLINK("https://finance.naver.com/item/coinfo.nhn?code=013700", "A013700")</f>
        <v>0</v>
      </c>
      <c r="B213">
        <f>HYPERLINK("http://comp.fnguide.com/SVO2/ASP/SVD_Consensus.asp?pGB=1&amp;gicode=A013700&amp;cID=&amp;MenuYn=Y&amp;ReportGB=&amp;NewMenuID=108&amp;stkGb=701", "까뮤이앤씨")</f>
        <v>0</v>
      </c>
      <c r="C213">
        <v>2</v>
      </c>
      <c r="D213">
        <v>2050</v>
      </c>
      <c r="E213">
        <v>0</v>
      </c>
      <c r="F213">
        <v>4.25</v>
      </c>
      <c r="G213">
        <v>2795</v>
      </c>
      <c r="H213">
        <v>2076</v>
      </c>
      <c r="I213">
        <v>1872</v>
      </c>
      <c r="J213">
        <v>-36.32</v>
      </c>
      <c r="K213">
        <v>-1.26</v>
      </c>
      <c r="L213">
        <v>8.699999999999999</v>
      </c>
      <c r="M213">
        <v>13.87</v>
      </c>
      <c r="N213" t="b">
        <v>1</v>
      </c>
      <c r="O213">
        <v>0</v>
      </c>
      <c r="P213">
        <v>299</v>
      </c>
      <c r="S213" t="s">
        <v>211</v>
      </c>
      <c r="T213" t="s">
        <v>532</v>
      </c>
      <c r="U213">
        <v>0</v>
      </c>
      <c r="V213">
        <v>-13.9</v>
      </c>
      <c r="W213" t="s">
        <v>848</v>
      </c>
      <c r="X213">
        <v>17.57614142113262</v>
      </c>
      <c r="Y213">
        <v>926</v>
      </c>
      <c r="Z213">
        <v>2506804</v>
      </c>
      <c r="AA213" t="s">
        <v>1166</v>
      </c>
      <c r="AB213">
        <v>36.68</v>
      </c>
      <c r="AC213" t="s">
        <v>1487</v>
      </c>
      <c r="AD213" t="s">
        <v>1808</v>
      </c>
      <c r="AE213">
        <v>2834</v>
      </c>
      <c r="AF213">
        <v>148</v>
      </c>
      <c r="AG213">
        <v>840000</v>
      </c>
      <c r="AH213">
        <v>2.36</v>
      </c>
    </row>
    <row r="214" spans="1:34">
      <c r="A214" s="2">
        <f>HYPERLINK("https://finance.naver.com/item/coinfo.nhn?code=056190", "A056190")</f>
        <v>0</v>
      </c>
      <c r="B214">
        <f>HYPERLINK("http://comp.fnguide.com/SVO2/ASP/SVD_Consensus.asp?pGB=1&amp;gicode=A056190&amp;cID=&amp;MenuYn=Y&amp;ReportGB=&amp;NewMenuID=108&amp;stkGb=701", "에스에프에이")</f>
        <v>0</v>
      </c>
      <c r="C214">
        <v>2</v>
      </c>
      <c r="D214">
        <v>37200</v>
      </c>
      <c r="E214">
        <v>-0.78</v>
      </c>
      <c r="F214">
        <v>12.58</v>
      </c>
      <c r="G214">
        <v>60076</v>
      </c>
      <c r="H214">
        <v>38598</v>
      </c>
      <c r="I214">
        <v>32494</v>
      </c>
      <c r="J214">
        <v>-61.5</v>
      </c>
      <c r="K214">
        <v>-3.76</v>
      </c>
      <c r="L214">
        <v>12.65</v>
      </c>
      <c r="M214">
        <v>19.57</v>
      </c>
      <c r="N214" t="b">
        <v>1</v>
      </c>
      <c r="O214">
        <v>0</v>
      </c>
      <c r="P214">
        <v>3676</v>
      </c>
      <c r="Q214">
        <v>3241</v>
      </c>
      <c r="R214">
        <v>-11.8</v>
      </c>
      <c r="S214" t="s">
        <v>212</v>
      </c>
      <c r="T214" t="s">
        <v>533</v>
      </c>
      <c r="U214">
        <v>-16.06371498300764</v>
      </c>
      <c r="V214">
        <v>-9</v>
      </c>
      <c r="W214" t="s">
        <v>849</v>
      </c>
      <c r="X214">
        <v>31.257807057462</v>
      </c>
      <c r="Y214">
        <v>13358</v>
      </c>
      <c r="Z214">
        <v>167225</v>
      </c>
      <c r="AA214" t="s">
        <v>1167</v>
      </c>
      <c r="AB214">
        <v>54.02</v>
      </c>
      <c r="AC214" t="s">
        <v>1488</v>
      </c>
      <c r="AD214" t="s">
        <v>1809</v>
      </c>
      <c r="AE214">
        <v>15777</v>
      </c>
      <c r="AF214">
        <v>2142</v>
      </c>
      <c r="AH214">
        <v>2.28</v>
      </c>
    </row>
    <row r="215" spans="1:34">
      <c r="A215" s="2">
        <f>HYPERLINK("https://finance.naver.com/item/coinfo.nhn?code=198080", "A198080")</f>
        <v>0</v>
      </c>
      <c r="B215">
        <f>HYPERLINK("http://comp.fnguide.com/SVO2/ASP/SVD_Consensus.asp?pGB=1&amp;gicode=A198080&amp;cID=&amp;MenuYn=Y&amp;ReportGB=&amp;NewMenuID=108&amp;stkGb=701", "엔피디")</f>
        <v>0</v>
      </c>
      <c r="C215">
        <v>2</v>
      </c>
      <c r="D215">
        <v>4190</v>
      </c>
      <c r="E215">
        <v>0</v>
      </c>
      <c r="G215">
        <v>10608</v>
      </c>
      <c r="H215">
        <v>5572</v>
      </c>
      <c r="I215">
        <v>4141</v>
      </c>
      <c r="J215">
        <v>-153.18</v>
      </c>
      <c r="K215">
        <v>-32.99</v>
      </c>
      <c r="L215">
        <v>1.17</v>
      </c>
      <c r="M215">
        <v>37.63</v>
      </c>
      <c r="N215" t="b">
        <v>0</v>
      </c>
      <c r="O215">
        <v>0</v>
      </c>
      <c r="P215">
        <v>1167</v>
      </c>
      <c r="S215" t="s">
        <v>213</v>
      </c>
      <c r="T215" t="s">
        <v>534</v>
      </c>
      <c r="U215">
        <v>0</v>
      </c>
      <c r="V215">
        <v>-87.5</v>
      </c>
      <c r="W215" t="s">
        <v>850</v>
      </c>
      <c r="X215">
        <v>-20.56309353045354</v>
      </c>
      <c r="Y215">
        <v>902</v>
      </c>
      <c r="Z215">
        <v>85376</v>
      </c>
      <c r="AA215" t="s">
        <v>1168</v>
      </c>
      <c r="AB215">
        <v>64.08</v>
      </c>
      <c r="AC215" t="s">
        <v>1489</v>
      </c>
      <c r="AD215" t="s">
        <v>1801</v>
      </c>
      <c r="AE215">
        <v>3087</v>
      </c>
      <c r="AF215">
        <v>262</v>
      </c>
    </row>
    <row r="216" spans="1:34">
      <c r="A216" s="2">
        <f>HYPERLINK("https://finance.naver.com/item/coinfo.nhn?code=053610", "A053610")</f>
        <v>0</v>
      </c>
      <c r="B216">
        <f>HYPERLINK("http://comp.fnguide.com/SVO2/ASP/SVD_Consensus.asp?pGB=1&amp;gicode=A053610&amp;cID=&amp;MenuYn=Y&amp;ReportGB=&amp;NewMenuID=108&amp;stkGb=701", "프로텍")</f>
        <v>0</v>
      </c>
      <c r="C216">
        <v>2</v>
      </c>
      <c r="D216">
        <v>27900</v>
      </c>
      <c r="E216">
        <v>0</v>
      </c>
      <c r="F216">
        <v>4.6</v>
      </c>
      <c r="G216">
        <v>50190</v>
      </c>
      <c r="H216">
        <v>32730</v>
      </c>
      <c r="I216">
        <v>27769</v>
      </c>
      <c r="J216">
        <v>-79.89</v>
      </c>
      <c r="K216">
        <v>-17.31</v>
      </c>
      <c r="L216">
        <v>0.47</v>
      </c>
      <c r="M216">
        <v>18.82</v>
      </c>
      <c r="N216" t="b">
        <v>1</v>
      </c>
      <c r="O216">
        <v>0</v>
      </c>
      <c r="P216">
        <v>3502</v>
      </c>
      <c r="S216" t="s">
        <v>214</v>
      </c>
      <c r="T216" t="s">
        <v>535</v>
      </c>
      <c r="U216">
        <v>0</v>
      </c>
      <c r="V216">
        <v>-83.2</v>
      </c>
      <c r="W216" t="s">
        <v>851</v>
      </c>
      <c r="X216">
        <v>-12.02662717311853</v>
      </c>
      <c r="Y216">
        <v>3069</v>
      </c>
      <c r="Z216">
        <v>81436</v>
      </c>
      <c r="AA216" t="s">
        <v>1169</v>
      </c>
      <c r="AB216">
        <v>31.25</v>
      </c>
      <c r="AC216" t="s">
        <v>1490</v>
      </c>
      <c r="AD216" t="s">
        <v>1810</v>
      </c>
      <c r="AE216">
        <v>1798</v>
      </c>
      <c r="AF216">
        <v>460</v>
      </c>
      <c r="AG216">
        <v>1232000</v>
      </c>
      <c r="AH216">
        <v>2.48</v>
      </c>
    </row>
    <row r="217" spans="1:34">
      <c r="A217" s="2">
        <f>HYPERLINK("https://finance.naver.com/item/coinfo.nhn?code=122990", "A122990")</f>
        <v>0</v>
      </c>
      <c r="B217">
        <f>HYPERLINK("http://comp.fnguide.com/SVO2/ASP/SVD_Consensus.asp?pGB=1&amp;gicode=A122990&amp;cID=&amp;MenuYn=Y&amp;ReportGB=&amp;NewMenuID=108&amp;stkGb=701", "와이솔")</f>
        <v>0</v>
      </c>
      <c r="C217">
        <v>2</v>
      </c>
      <c r="D217">
        <v>15650</v>
      </c>
      <c r="E217">
        <v>-0.42</v>
      </c>
      <c r="F217">
        <v>12.55</v>
      </c>
      <c r="G217">
        <v>23796</v>
      </c>
      <c r="H217">
        <v>16895</v>
      </c>
      <c r="I217">
        <v>14934</v>
      </c>
      <c r="J217">
        <v>-52.05</v>
      </c>
      <c r="K217">
        <v>-7.95</v>
      </c>
      <c r="L217">
        <v>4.58</v>
      </c>
      <c r="M217">
        <v>15.33</v>
      </c>
      <c r="N217" t="b">
        <v>1</v>
      </c>
      <c r="O217">
        <v>0</v>
      </c>
      <c r="P217">
        <v>1203</v>
      </c>
      <c r="Q217">
        <v>670</v>
      </c>
      <c r="R217">
        <v>-44.3</v>
      </c>
      <c r="S217" t="s">
        <v>215</v>
      </c>
      <c r="T217" t="s">
        <v>536</v>
      </c>
      <c r="U217">
        <v>-29.67807879906543</v>
      </c>
      <c r="V217">
        <v>-76.7</v>
      </c>
      <c r="W217" t="s">
        <v>852</v>
      </c>
      <c r="X217">
        <v>-26.36353843601558</v>
      </c>
      <c r="Y217">
        <v>4409</v>
      </c>
      <c r="Z217">
        <v>366499</v>
      </c>
      <c r="AA217" t="s">
        <v>1170</v>
      </c>
      <c r="AB217">
        <v>36.09</v>
      </c>
      <c r="AC217" t="s">
        <v>1491</v>
      </c>
      <c r="AD217" t="s">
        <v>1811</v>
      </c>
      <c r="AE217">
        <v>3703</v>
      </c>
      <c r="AF217">
        <v>400</v>
      </c>
      <c r="AG217">
        <v>515408</v>
      </c>
      <c r="AH217">
        <v>1.66</v>
      </c>
    </row>
    <row r="218" spans="1:34">
      <c r="A218" s="2">
        <f>HYPERLINK("https://finance.naver.com/item/coinfo.nhn?code=290120", "A290120")</f>
        <v>0</v>
      </c>
      <c r="B218">
        <f>HYPERLINK("http://comp.fnguide.com/SVO2/ASP/SVD_Consensus.asp?pGB=1&amp;gicode=A290120&amp;cID=&amp;MenuYn=Y&amp;ReportGB=&amp;NewMenuID=108&amp;stkGb=701", "대유에이피")</f>
        <v>0</v>
      </c>
      <c r="C218">
        <v>2</v>
      </c>
      <c r="D218">
        <v>7330</v>
      </c>
      <c r="E218">
        <v>0</v>
      </c>
      <c r="F218">
        <v>9.73</v>
      </c>
      <c r="G218">
        <v>12089</v>
      </c>
      <c r="H218">
        <v>7397</v>
      </c>
      <c r="I218">
        <v>6064</v>
      </c>
      <c r="J218">
        <v>-64.93000000000001</v>
      </c>
      <c r="K218">
        <v>-0.91</v>
      </c>
      <c r="L218">
        <v>17.28</v>
      </c>
      <c r="M218">
        <v>22.37</v>
      </c>
      <c r="N218" t="b">
        <v>1</v>
      </c>
      <c r="O218">
        <v>0</v>
      </c>
      <c r="P218">
        <v>733</v>
      </c>
      <c r="S218" t="s">
        <v>216</v>
      </c>
      <c r="T218" t="s">
        <v>537</v>
      </c>
      <c r="U218">
        <v>0</v>
      </c>
      <c r="V218">
        <v>196.1</v>
      </c>
      <c r="W218" t="s">
        <v>853</v>
      </c>
      <c r="X218">
        <v>0</v>
      </c>
      <c r="Y218">
        <v>798</v>
      </c>
      <c r="Z218">
        <v>97018</v>
      </c>
      <c r="AA218" t="s">
        <v>1171</v>
      </c>
      <c r="AB218">
        <v>73.5</v>
      </c>
      <c r="AC218" t="s">
        <v>1492</v>
      </c>
      <c r="AD218" t="s">
        <v>1812</v>
      </c>
      <c r="AE218">
        <v>1575</v>
      </c>
      <c r="AF218">
        <v>101</v>
      </c>
      <c r="AH218">
        <v>2.81</v>
      </c>
    </row>
    <row r="219" spans="1:34">
      <c r="A219" s="2">
        <f>HYPERLINK("https://finance.naver.com/item/coinfo.nhn?code=225190", "A225190")</f>
        <v>0</v>
      </c>
      <c r="B219">
        <f>HYPERLINK("http://comp.fnguide.com/SVO2/ASP/SVD_Consensus.asp?pGB=1&amp;gicode=A225190&amp;cID=&amp;MenuYn=Y&amp;ReportGB=&amp;NewMenuID=108&amp;stkGb=701", "삼양옵틱스")</f>
        <v>0</v>
      </c>
      <c r="C219">
        <v>2</v>
      </c>
      <c r="D219">
        <v>9440</v>
      </c>
      <c r="E219">
        <v>0</v>
      </c>
      <c r="F219">
        <v>9.470000000000001</v>
      </c>
      <c r="G219">
        <v>18736</v>
      </c>
      <c r="H219">
        <v>9813</v>
      </c>
      <c r="I219">
        <v>7277</v>
      </c>
      <c r="J219">
        <v>-98.48</v>
      </c>
      <c r="K219">
        <v>-3.95</v>
      </c>
      <c r="L219">
        <v>22.92</v>
      </c>
      <c r="M219">
        <v>38.1</v>
      </c>
      <c r="N219" t="b">
        <v>1</v>
      </c>
      <c r="O219">
        <v>0</v>
      </c>
      <c r="P219">
        <v>1347</v>
      </c>
      <c r="S219" t="s">
        <v>217</v>
      </c>
      <c r="T219" t="s">
        <v>538</v>
      </c>
      <c r="U219">
        <v>0</v>
      </c>
      <c r="V219">
        <v>-80.2</v>
      </c>
      <c r="W219" t="s">
        <v>854</v>
      </c>
      <c r="X219">
        <v>-27.27551790531576</v>
      </c>
      <c r="Y219">
        <v>953</v>
      </c>
      <c r="Z219">
        <v>23026</v>
      </c>
      <c r="AA219" t="s">
        <v>1172</v>
      </c>
      <c r="AB219">
        <v>68.13</v>
      </c>
      <c r="AC219" t="s">
        <v>1493</v>
      </c>
      <c r="AD219" t="s">
        <v>1813</v>
      </c>
      <c r="AE219">
        <v>636</v>
      </c>
      <c r="AF219">
        <v>157</v>
      </c>
      <c r="AG219">
        <v>28580</v>
      </c>
      <c r="AH219">
        <v>7.84</v>
      </c>
    </row>
    <row r="220" spans="1:34">
      <c r="A220" s="2">
        <f>HYPERLINK("https://finance.naver.com/item/coinfo.nhn?code=131030", "A131030")</f>
        <v>0</v>
      </c>
      <c r="B220">
        <f>HYPERLINK("http://comp.fnguide.com/SVO2/ASP/SVD_Consensus.asp?pGB=1&amp;gicode=A131030&amp;cID=&amp;MenuYn=Y&amp;ReportGB=&amp;NewMenuID=108&amp;stkGb=701", "디에이치피코리아")</f>
        <v>0</v>
      </c>
      <c r="C220">
        <v>2</v>
      </c>
      <c r="D220">
        <v>8020</v>
      </c>
      <c r="E220">
        <v>0</v>
      </c>
      <c r="F220">
        <v>8.77</v>
      </c>
      <c r="G220">
        <v>11445</v>
      </c>
      <c r="H220">
        <v>8598</v>
      </c>
      <c r="I220">
        <v>7790</v>
      </c>
      <c r="J220">
        <v>-42.71</v>
      </c>
      <c r="K220">
        <v>-7.21</v>
      </c>
      <c r="L220">
        <v>2.87</v>
      </c>
      <c r="M220">
        <v>13.54</v>
      </c>
      <c r="N220" t="b">
        <v>1</v>
      </c>
      <c r="O220">
        <v>0</v>
      </c>
      <c r="P220">
        <v>881</v>
      </c>
      <c r="S220" t="s">
        <v>218</v>
      </c>
      <c r="T220" t="s">
        <v>539</v>
      </c>
      <c r="U220">
        <v>0</v>
      </c>
      <c r="V220">
        <v>1.6</v>
      </c>
      <c r="W220" t="s">
        <v>855</v>
      </c>
      <c r="X220">
        <v>7.559914216324382</v>
      </c>
      <c r="Y220">
        <v>1329</v>
      </c>
      <c r="Z220">
        <v>102265</v>
      </c>
      <c r="AA220" t="s">
        <v>1173</v>
      </c>
      <c r="AB220">
        <v>38.38</v>
      </c>
      <c r="AC220" t="s">
        <v>1494</v>
      </c>
      <c r="AD220" t="s">
        <v>1814</v>
      </c>
      <c r="AE220">
        <v>604</v>
      </c>
      <c r="AF220">
        <v>152</v>
      </c>
      <c r="AG220">
        <v>523536</v>
      </c>
      <c r="AH220">
        <v>1.29</v>
      </c>
    </row>
    <row r="221" spans="1:34">
      <c r="A221" s="2">
        <f>HYPERLINK("https://finance.naver.com/item/coinfo.nhn?code=267790", "A267790")</f>
        <v>0</v>
      </c>
      <c r="B221">
        <f>HYPERLINK("http://comp.fnguide.com/SVO2/ASP/SVD_Consensus.asp?pGB=1&amp;gicode=A267790&amp;cID=&amp;MenuYn=Y&amp;ReportGB=&amp;NewMenuID=108&amp;stkGb=701", "배럴")</f>
        <v>0</v>
      </c>
      <c r="C221">
        <v>2</v>
      </c>
      <c r="D221">
        <v>9100</v>
      </c>
      <c r="E221">
        <v>0</v>
      </c>
      <c r="F221">
        <v>13.7</v>
      </c>
      <c r="G221">
        <v>14768</v>
      </c>
      <c r="H221">
        <v>9377</v>
      </c>
      <c r="I221">
        <v>7845</v>
      </c>
      <c r="J221">
        <v>-62.28</v>
      </c>
      <c r="K221">
        <v>-3.04</v>
      </c>
      <c r="L221">
        <v>13.79</v>
      </c>
      <c r="M221">
        <v>20.19</v>
      </c>
      <c r="N221" t="b">
        <v>1</v>
      </c>
      <c r="O221">
        <v>0</v>
      </c>
      <c r="P221">
        <v>883</v>
      </c>
      <c r="S221" t="s">
        <v>219</v>
      </c>
      <c r="T221" t="s">
        <v>540</v>
      </c>
      <c r="U221">
        <v>0</v>
      </c>
      <c r="V221">
        <v>0</v>
      </c>
      <c r="W221" t="s">
        <v>856</v>
      </c>
      <c r="X221">
        <v>5.127953644217675</v>
      </c>
      <c r="Y221">
        <v>718</v>
      </c>
      <c r="Z221">
        <v>43258</v>
      </c>
      <c r="AA221" t="s">
        <v>1174</v>
      </c>
      <c r="AB221">
        <v>47.73</v>
      </c>
      <c r="AC221" t="s">
        <v>1495</v>
      </c>
      <c r="AD221" t="s">
        <v>1815</v>
      </c>
      <c r="AE221">
        <v>599</v>
      </c>
      <c r="AF221">
        <v>85</v>
      </c>
    </row>
    <row r="222" spans="1:34">
      <c r="A222" s="2">
        <f>HYPERLINK("https://finance.naver.com/item/coinfo.nhn?code=043150", "A043150")</f>
        <v>0</v>
      </c>
      <c r="B222">
        <f>HYPERLINK("http://comp.fnguide.com/SVO2/ASP/SVD_Consensus.asp?pGB=1&amp;gicode=A043150&amp;cID=&amp;MenuYn=Y&amp;ReportGB=&amp;NewMenuID=108&amp;stkGb=701", "바텍")</f>
        <v>0</v>
      </c>
      <c r="C222">
        <v>2</v>
      </c>
      <c r="D222">
        <v>23250</v>
      </c>
      <c r="E222">
        <v>-0.34</v>
      </c>
      <c r="F222">
        <v>12.8</v>
      </c>
      <c r="G222">
        <v>40689</v>
      </c>
      <c r="H222">
        <v>26273</v>
      </c>
      <c r="I222">
        <v>22176</v>
      </c>
      <c r="J222">
        <v>-75.01000000000001</v>
      </c>
      <c r="K222">
        <v>-13</v>
      </c>
      <c r="L222">
        <v>4.62</v>
      </c>
      <c r="M222">
        <v>19.31</v>
      </c>
      <c r="N222" t="b">
        <v>1</v>
      </c>
      <c r="O222">
        <v>0</v>
      </c>
      <c r="P222">
        <v>2281</v>
      </c>
      <c r="Q222">
        <v>1270</v>
      </c>
      <c r="R222">
        <v>-44.3</v>
      </c>
      <c r="S222" t="s">
        <v>220</v>
      </c>
      <c r="T222" t="s">
        <v>541</v>
      </c>
      <c r="U222">
        <v>-37.95380697057028</v>
      </c>
      <c r="V222">
        <v>-65</v>
      </c>
      <c r="W222" t="s">
        <v>857</v>
      </c>
      <c r="X222">
        <v>-11.03332079656073</v>
      </c>
      <c r="Y222">
        <v>3454</v>
      </c>
      <c r="Z222">
        <v>94601</v>
      </c>
      <c r="AA222" t="s">
        <v>1175</v>
      </c>
      <c r="AB222">
        <v>53.65</v>
      </c>
      <c r="AC222" t="s">
        <v>1496</v>
      </c>
      <c r="AD222" t="s">
        <v>1816</v>
      </c>
      <c r="AE222">
        <v>2717</v>
      </c>
      <c r="AF222">
        <v>429</v>
      </c>
      <c r="AH222">
        <v>0.34</v>
      </c>
    </row>
    <row r="223" spans="1:34">
      <c r="A223" s="2">
        <f>HYPERLINK("https://finance.naver.com/item/coinfo.nhn?code=121800", "A121800")</f>
        <v>0</v>
      </c>
      <c r="B223">
        <f>HYPERLINK("http://comp.fnguide.com/SVO2/ASP/SVD_Consensus.asp?pGB=1&amp;gicode=A121800&amp;cID=&amp;MenuYn=Y&amp;ReportGB=&amp;NewMenuID=108&amp;stkGb=701", "비덴트")</f>
        <v>0</v>
      </c>
      <c r="C223">
        <v>2</v>
      </c>
      <c r="D223">
        <v>9220</v>
      </c>
      <c r="E223">
        <v>0</v>
      </c>
      <c r="G223">
        <v>15614</v>
      </c>
      <c r="H223">
        <v>9513</v>
      </c>
      <c r="I223">
        <v>7780</v>
      </c>
      <c r="J223">
        <v>-69.34</v>
      </c>
      <c r="K223">
        <v>-3.18</v>
      </c>
      <c r="L223">
        <v>15.62</v>
      </c>
      <c r="M223">
        <v>22.64</v>
      </c>
      <c r="N223" t="b">
        <v>0</v>
      </c>
      <c r="O223">
        <v>0</v>
      </c>
      <c r="P223">
        <v>-258</v>
      </c>
      <c r="S223" t="s">
        <v>221</v>
      </c>
      <c r="T223" t="s">
        <v>542</v>
      </c>
      <c r="U223">
        <v>0</v>
      </c>
      <c r="V223">
        <v>0</v>
      </c>
      <c r="W223" t="s">
        <v>858</v>
      </c>
      <c r="X223">
        <v>-19.70000000000001</v>
      </c>
      <c r="Y223">
        <v>3904</v>
      </c>
      <c r="Z223">
        <v>1681180</v>
      </c>
      <c r="AA223" t="s">
        <v>1176</v>
      </c>
      <c r="AB223">
        <v>23.04</v>
      </c>
      <c r="AC223" t="s">
        <v>1497</v>
      </c>
      <c r="AD223" t="s">
        <v>1817</v>
      </c>
      <c r="AE223">
        <v>187</v>
      </c>
      <c r="AF223">
        <v>-18</v>
      </c>
      <c r="AG223">
        <v>4015</v>
      </c>
    </row>
    <row r="224" spans="1:34">
      <c r="A224" s="2">
        <f>HYPERLINK("https://finance.naver.com/item/coinfo.nhn?code=002870", "A002870")</f>
        <v>0</v>
      </c>
      <c r="B224">
        <f>HYPERLINK("http://comp.fnguide.com/SVO2/ASP/SVD_Consensus.asp?pGB=1&amp;gicode=A002870&amp;cID=&amp;MenuYn=Y&amp;ReportGB=&amp;NewMenuID=108&amp;stkGb=701", "신풍제지")</f>
        <v>0</v>
      </c>
      <c r="C224">
        <v>2</v>
      </c>
      <c r="D224">
        <v>4110</v>
      </c>
      <c r="E224">
        <v>0</v>
      </c>
      <c r="F224">
        <v>2.66</v>
      </c>
      <c r="G224">
        <v>7087</v>
      </c>
      <c r="H224">
        <v>4328</v>
      </c>
      <c r="I224">
        <v>3544</v>
      </c>
      <c r="J224">
        <v>-72.44</v>
      </c>
      <c r="K224">
        <v>-5.3</v>
      </c>
      <c r="L224">
        <v>13.77</v>
      </c>
      <c r="M224">
        <v>22.5</v>
      </c>
      <c r="N224" t="b">
        <v>1</v>
      </c>
      <c r="O224">
        <v>0</v>
      </c>
      <c r="P224">
        <v>562</v>
      </c>
      <c r="S224" t="s">
        <v>222</v>
      </c>
      <c r="T224" t="s">
        <v>543</v>
      </c>
      <c r="U224">
        <v>0</v>
      </c>
      <c r="V224">
        <v>0</v>
      </c>
      <c r="W224" t="s">
        <v>859</v>
      </c>
      <c r="X224">
        <v>144.6868892434411</v>
      </c>
      <c r="Y224">
        <v>1437</v>
      </c>
      <c r="Z224">
        <v>11236130</v>
      </c>
      <c r="AA224" t="s">
        <v>1177</v>
      </c>
      <c r="AB224">
        <v>34.87</v>
      </c>
      <c r="AC224" t="s">
        <v>1498</v>
      </c>
      <c r="AD224" t="s">
        <v>1818</v>
      </c>
      <c r="AE224">
        <v>1569</v>
      </c>
      <c r="AF224">
        <v>114</v>
      </c>
      <c r="AG224">
        <v>7252320</v>
      </c>
      <c r="AH224">
        <v>4.01</v>
      </c>
    </row>
    <row r="225" spans="1:34">
      <c r="A225" s="2">
        <f>HYPERLINK("https://finance.naver.com/item/coinfo.nhn?code=083450", "A083450")</f>
        <v>0</v>
      </c>
      <c r="B225">
        <f>HYPERLINK("http://comp.fnguide.com/SVO2/ASP/SVD_Consensus.asp?pGB=1&amp;gicode=A083450&amp;cID=&amp;MenuYn=Y&amp;ReportGB=&amp;NewMenuID=108&amp;stkGb=701", "GST")</f>
        <v>0</v>
      </c>
      <c r="C225">
        <v>2</v>
      </c>
      <c r="D225">
        <v>16650</v>
      </c>
      <c r="E225">
        <v>0</v>
      </c>
      <c r="F225">
        <v>5.32</v>
      </c>
      <c r="G225">
        <v>25673</v>
      </c>
      <c r="H225">
        <v>17067</v>
      </c>
      <c r="I225">
        <v>14621</v>
      </c>
      <c r="J225">
        <v>-54.19</v>
      </c>
      <c r="K225">
        <v>-2.5</v>
      </c>
      <c r="L225">
        <v>12.19</v>
      </c>
      <c r="M225">
        <v>17.93</v>
      </c>
      <c r="N225" t="b">
        <v>1</v>
      </c>
      <c r="O225">
        <v>0</v>
      </c>
      <c r="P225">
        <v>1918</v>
      </c>
      <c r="S225" t="s">
        <v>223</v>
      </c>
      <c r="T225" t="s">
        <v>544</v>
      </c>
      <c r="U225">
        <v>0</v>
      </c>
      <c r="V225">
        <v>8.800000000000001</v>
      </c>
      <c r="W225" t="s">
        <v>860</v>
      </c>
      <c r="X225">
        <v>29.84787235561015</v>
      </c>
      <c r="Y225">
        <v>1551</v>
      </c>
      <c r="Z225">
        <v>653100</v>
      </c>
      <c r="AA225" t="s">
        <v>1178</v>
      </c>
      <c r="AB225">
        <v>25.95</v>
      </c>
      <c r="AC225" t="s">
        <v>1499</v>
      </c>
      <c r="AD225" t="s">
        <v>1819</v>
      </c>
      <c r="AE225">
        <v>1682</v>
      </c>
      <c r="AF225">
        <v>219</v>
      </c>
      <c r="AG225">
        <v>583500</v>
      </c>
      <c r="AH225">
        <v>1.96</v>
      </c>
    </row>
    <row r="226" spans="1:34">
      <c r="A226" s="2">
        <f>HYPERLINK("https://finance.naver.com/item/coinfo.nhn?code=090460", "A090460")</f>
        <v>0</v>
      </c>
      <c r="B226">
        <f>HYPERLINK("http://comp.fnguide.com/SVO2/ASP/SVD_Consensus.asp?pGB=1&amp;gicode=A090460&amp;cID=&amp;MenuYn=Y&amp;ReportGB=&amp;NewMenuID=108&amp;stkGb=701", "비에이치")</f>
        <v>0</v>
      </c>
      <c r="C226">
        <v>2</v>
      </c>
      <c r="D226">
        <v>21000</v>
      </c>
      <c r="E226">
        <v>1.46</v>
      </c>
      <c r="F226">
        <v>12.67</v>
      </c>
      <c r="G226">
        <v>39328</v>
      </c>
      <c r="H226">
        <v>21110</v>
      </c>
      <c r="I226">
        <v>15933</v>
      </c>
      <c r="J226">
        <v>-87.28</v>
      </c>
      <c r="K226">
        <v>-0.52</v>
      </c>
      <c r="L226">
        <v>24.13</v>
      </c>
      <c r="M226">
        <v>34.51</v>
      </c>
      <c r="N226" t="b">
        <v>1</v>
      </c>
      <c r="O226">
        <v>1</v>
      </c>
      <c r="P226">
        <v>1732</v>
      </c>
      <c r="Q226">
        <v>1904</v>
      </c>
      <c r="R226">
        <v>9.9</v>
      </c>
      <c r="S226" t="s">
        <v>224</v>
      </c>
      <c r="T226" t="s">
        <v>545</v>
      </c>
      <c r="U226">
        <v>8.674185305151095</v>
      </c>
      <c r="V226">
        <v>-45.5</v>
      </c>
      <c r="W226" t="s">
        <v>861</v>
      </c>
      <c r="X226">
        <v>-13.98134193358317</v>
      </c>
      <c r="Y226">
        <v>7029</v>
      </c>
      <c r="Z226">
        <v>529453</v>
      </c>
      <c r="AA226" t="s">
        <v>1179</v>
      </c>
      <c r="AB226">
        <v>22</v>
      </c>
      <c r="AC226" t="s">
        <v>1500</v>
      </c>
      <c r="AD226" t="s">
        <v>1820</v>
      </c>
      <c r="AE226">
        <v>6549</v>
      </c>
      <c r="AF226">
        <v>626</v>
      </c>
      <c r="AG226">
        <v>2586488</v>
      </c>
    </row>
    <row r="227" spans="1:34">
      <c r="A227" s="2">
        <f>HYPERLINK("https://finance.naver.com/item/coinfo.nhn?code=134380", "A134380")</f>
        <v>0</v>
      </c>
      <c r="B227">
        <f>HYPERLINK("http://comp.fnguide.com/SVO2/ASP/SVD_Consensus.asp?pGB=1&amp;gicode=A134380&amp;cID=&amp;MenuYn=Y&amp;ReportGB=&amp;NewMenuID=108&amp;stkGb=701", "미원화학")</f>
        <v>0</v>
      </c>
      <c r="C227">
        <v>2</v>
      </c>
      <c r="D227">
        <v>60900</v>
      </c>
      <c r="E227">
        <v>0</v>
      </c>
      <c r="F227">
        <v>7.23</v>
      </c>
      <c r="G227">
        <v>79253</v>
      </c>
      <c r="H227">
        <v>61838</v>
      </c>
      <c r="I227">
        <v>56888</v>
      </c>
      <c r="J227">
        <v>-30.14</v>
      </c>
      <c r="K227">
        <v>-1.54</v>
      </c>
      <c r="L227">
        <v>6.59</v>
      </c>
      <c r="M227">
        <v>12.51</v>
      </c>
      <c r="N227" t="b">
        <v>1</v>
      </c>
      <c r="O227">
        <v>0</v>
      </c>
      <c r="P227">
        <v>6167</v>
      </c>
      <c r="S227" t="s">
        <v>225</v>
      </c>
      <c r="T227" t="s">
        <v>546</v>
      </c>
      <c r="U227">
        <v>0</v>
      </c>
      <c r="V227">
        <v>14.7</v>
      </c>
      <c r="W227" t="s">
        <v>862</v>
      </c>
      <c r="X227">
        <v>7.136352270952129</v>
      </c>
      <c r="Y227">
        <v>1339</v>
      </c>
      <c r="Z227">
        <v>2253</v>
      </c>
      <c r="AA227" t="s">
        <v>1180</v>
      </c>
      <c r="AB227">
        <v>54.91</v>
      </c>
      <c r="AC227" t="s">
        <v>1501</v>
      </c>
      <c r="AD227" t="s">
        <v>1821</v>
      </c>
      <c r="AE227">
        <v>1547</v>
      </c>
      <c r="AF227">
        <v>155</v>
      </c>
      <c r="AG227">
        <v>169768</v>
      </c>
      <c r="AH227">
        <v>2.24</v>
      </c>
    </row>
    <row r="228" spans="1:34">
      <c r="A228" s="2">
        <f>HYPERLINK("https://finance.naver.com/item/coinfo.nhn?code=317330", "A317330")</f>
        <v>0</v>
      </c>
      <c r="B228">
        <f>HYPERLINK("http://comp.fnguide.com/SVO2/ASP/SVD_Consensus.asp?pGB=1&amp;gicode=A317330&amp;cID=&amp;MenuYn=Y&amp;ReportGB=&amp;NewMenuID=108&amp;stkGb=701", "덕산테코피아")</f>
        <v>0</v>
      </c>
      <c r="C228">
        <v>2</v>
      </c>
      <c r="D228">
        <v>15700</v>
      </c>
      <c r="E228">
        <v>-1.38</v>
      </c>
      <c r="F228">
        <v>28.44</v>
      </c>
      <c r="G228">
        <v>28617</v>
      </c>
      <c r="H228">
        <v>16171</v>
      </c>
      <c r="I228">
        <v>12635</v>
      </c>
      <c r="J228">
        <v>-82.28</v>
      </c>
      <c r="K228">
        <v>-3</v>
      </c>
      <c r="L228">
        <v>19.53</v>
      </c>
      <c r="M228">
        <v>28.65</v>
      </c>
      <c r="N228" t="b">
        <v>1</v>
      </c>
      <c r="O228">
        <v>1</v>
      </c>
      <c r="P228">
        <v>673</v>
      </c>
      <c r="Q228">
        <v>707</v>
      </c>
      <c r="R228">
        <v>5.1</v>
      </c>
      <c r="S228" t="s">
        <v>226</v>
      </c>
      <c r="T228" t="s">
        <v>547</v>
      </c>
      <c r="U228">
        <v>-20.65238721441072</v>
      </c>
      <c r="V228">
        <v>-15.6</v>
      </c>
      <c r="W228" t="s">
        <v>863</v>
      </c>
      <c r="X228">
        <v>28.48301500386188</v>
      </c>
      <c r="Y228">
        <v>2885</v>
      </c>
      <c r="Z228">
        <v>46887</v>
      </c>
      <c r="AA228" t="s">
        <v>1181</v>
      </c>
      <c r="AB228">
        <v>57.85</v>
      </c>
      <c r="AC228" t="s">
        <v>1502</v>
      </c>
      <c r="AD228" t="s">
        <v>1822</v>
      </c>
      <c r="AE228">
        <v>618</v>
      </c>
      <c r="AF228">
        <v>134</v>
      </c>
      <c r="AG228">
        <v>71450</v>
      </c>
    </row>
    <row r="229" spans="1:34">
      <c r="A229" s="2">
        <f>HYPERLINK("https://finance.naver.com/item/coinfo.nhn?code=010640", "A010640")</f>
        <v>0</v>
      </c>
      <c r="B229">
        <f>HYPERLINK("http://comp.fnguide.com/SVO2/ASP/SVD_Consensus.asp?pGB=1&amp;gicode=A010640&amp;cID=&amp;MenuYn=Y&amp;ReportGB=&amp;NewMenuID=108&amp;stkGb=701", "진양폴리")</f>
        <v>0</v>
      </c>
      <c r="C229">
        <v>2</v>
      </c>
      <c r="D229">
        <v>3590</v>
      </c>
      <c r="E229">
        <v>0</v>
      </c>
      <c r="F229">
        <v>5.16</v>
      </c>
      <c r="G229">
        <v>6290</v>
      </c>
      <c r="H229">
        <v>4106</v>
      </c>
      <c r="I229">
        <v>3485</v>
      </c>
      <c r="J229">
        <v>-75.20999999999999</v>
      </c>
      <c r="K229">
        <v>-14.37</v>
      </c>
      <c r="L229">
        <v>2.92</v>
      </c>
      <c r="M229">
        <v>18.77</v>
      </c>
      <c r="N229" t="b">
        <v>1</v>
      </c>
      <c r="O229">
        <v>0</v>
      </c>
      <c r="P229">
        <v>755</v>
      </c>
      <c r="S229" t="s">
        <v>227</v>
      </c>
      <c r="T229" t="s">
        <v>548</v>
      </c>
      <c r="U229">
        <v>0</v>
      </c>
      <c r="V229">
        <v>-78.2</v>
      </c>
      <c r="W229" t="s">
        <v>864</v>
      </c>
      <c r="X229">
        <v>-30.48750885169499</v>
      </c>
      <c r="Y229">
        <v>359</v>
      </c>
      <c r="Z229">
        <v>192045</v>
      </c>
      <c r="AA229" t="s">
        <v>1182</v>
      </c>
      <c r="AB229">
        <v>50.5</v>
      </c>
      <c r="AC229" t="s">
        <v>1503</v>
      </c>
      <c r="AD229" t="s">
        <v>1823</v>
      </c>
      <c r="AE229">
        <v>351</v>
      </c>
      <c r="AF229">
        <v>31</v>
      </c>
      <c r="AH229">
        <v>2.56</v>
      </c>
    </row>
    <row r="230" spans="1:34">
      <c r="A230" s="2">
        <f>HYPERLINK("https://finance.naver.com/item/coinfo.nhn?code=950180", "A950180")</f>
        <v>0</v>
      </c>
      <c r="B230">
        <f>HYPERLINK("http://comp.fnguide.com/SVO2/ASP/SVD_Consensus.asp?pGB=1&amp;gicode=A950180&amp;cID=&amp;MenuYn=Y&amp;ReportGB=&amp;NewMenuID=108&amp;stkGb=701", "SNK")</f>
        <v>0</v>
      </c>
      <c r="C230">
        <v>2</v>
      </c>
      <c r="D230">
        <v>19100</v>
      </c>
      <c r="E230">
        <v>-2.6</v>
      </c>
      <c r="F230">
        <v>12.95</v>
      </c>
      <c r="G230">
        <v>28759</v>
      </c>
      <c r="H230">
        <v>21186</v>
      </c>
      <c r="I230">
        <v>19035</v>
      </c>
      <c r="J230">
        <v>-50.57</v>
      </c>
      <c r="K230">
        <v>-10.92</v>
      </c>
      <c r="L230">
        <v>0.34</v>
      </c>
      <c r="M230">
        <v>14.12</v>
      </c>
      <c r="N230" t="b">
        <v>0</v>
      </c>
      <c r="O230">
        <v>1</v>
      </c>
      <c r="P230">
        <v>1035</v>
      </c>
      <c r="Q230">
        <v>1268</v>
      </c>
      <c r="R230">
        <v>22.5</v>
      </c>
      <c r="S230" t="s">
        <v>228</v>
      </c>
      <c r="T230" t="s">
        <v>549</v>
      </c>
      <c r="U230">
        <v>-4.976567183951042</v>
      </c>
      <c r="V230">
        <v>-39.2</v>
      </c>
      <c r="W230" t="s">
        <v>865</v>
      </c>
      <c r="X230">
        <v>0</v>
      </c>
      <c r="Y230">
        <v>4023</v>
      </c>
      <c r="Z230">
        <v>718606</v>
      </c>
      <c r="AA230" t="s">
        <v>1183</v>
      </c>
      <c r="AB230">
        <v>33.16</v>
      </c>
      <c r="AC230" t="s">
        <v>1504</v>
      </c>
      <c r="AD230" t="s">
        <v>1824</v>
      </c>
      <c r="AE230">
        <v>860</v>
      </c>
      <c r="AF230">
        <v>239</v>
      </c>
      <c r="AG230">
        <v>528203</v>
      </c>
    </row>
    <row r="231" spans="1:34">
      <c r="A231" s="2">
        <f>HYPERLINK("https://finance.naver.com/item/coinfo.nhn?code=248170", "A248170")</f>
        <v>0</v>
      </c>
      <c r="B231">
        <f>HYPERLINK("http://comp.fnguide.com/SVO2/ASP/SVD_Consensus.asp?pGB=1&amp;gicode=A248170&amp;cID=&amp;MenuYn=Y&amp;ReportGB=&amp;NewMenuID=108&amp;stkGb=701", "샘표식품")</f>
        <v>0</v>
      </c>
      <c r="C231">
        <v>2</v>
      </c>
      <c r="D231">
        <v>45050</v>
      </c>
      <c r="E231">
        <v>0</v>
      </c>
      <c r="F231">
        <v>5.79</v>
      </c>
      <c r="G231">
        <v>68832</v>
      </c>
      <c r="H231">
        <v>48103</v>
      </c>
      <c r="I231">
        <v>42213</v>
      </c>
      <c r="J231">
        <v>-52.79</v>
      </c>
      <c r="K231">
        <v>-6.78</v>
      </c>
      <c r="L231">
        <v>6.3</v>
      </c>
      <c r="M231">
        <v>15.9</v>
      </c>
      <c r="N231" t="b">
        <v>1</v>
      </c>
      <c r="O231">
        <v>0</v>
      </c>
      <c r="P231">
        <v>5870</v>
      </c>
      <c r="S231" t="s">
        <v>229</v>
      </c>
      <c r="T231" t="s">
        <v>550</v>
      </c>
      <c r="U231">
        <v>0</v>
      </c>
      <c r="V231">
        <v>48.1</v>
      </c>
      <c r="W231" t="s">
        <v>866</v>
      </c>
      <c r="X231">
        <v>0</v>
      </c>
      <c r="Y231">
        <v>2058</v>
      </c>
      <c r="Z231">
        <v>10395</v>
      </c>
      <c r="AA231" t="s">
        <v>1184</v>
      </c>
      <c r="AB231">
        <v>60.02</v>
      </c>
      <c r="AC231" t="s">
        <v>1505</v>
      </c>
      <c r="AD231" t="s">
        <v>1825</v>
      </c>
      <c r="AE231">
        <v>2808</v>
      </c>
      <c r="AF231">
        <v>310</v>
      </c>
      <c r="AG231">
        <v>1690</v>
      </c>
      <c r="AH231">
        <v>0.59</v>
      </c>
    </row>
    <row r="232" spans="1:34">
      <c r="A232" s="2">
        <f>HYPERLINK("https://finance.naver.com/item/coinfo.nhn?code=039490", "A039490")</f>
        <v>0</v>
      </c>
      <c r="B232">
        <f>HYPERLINK("http://comp.fnguide.com/SVO2/ASP/SVD_Consensus.asp?pGB=1&amp;gicode=A039490&amp;cID=&amp;MenuYn=Y&amp;ReportGB=&amp;NewMenuID=108&amp;stkGb=701", "키움증권")</f>
        <v>0</v>
      </c>
      <c r="C232">
        <v>2</v>
      </c>
      <c r="D232">
        <v>138500</v>
      </c>
      <c r="E232">
        <v>0.21</v>
      </c>
      <c r="F232">
        <v>5.56</v>
      </c>
      <c r="G232">
        <v>193347</v>
      </c>
      <c r="H232">
        <v>138628</v>
      </c>
      <c r="I232">
        <v>123078</v>
      </c>
      <c r="J232">
        <v>-39.6</v>
      </c>
      <c r="K232">
        <v>-0.09</v>
      </c>
      <c r="L232">
        <v>11.14</v>
      </c>
      <c r="M232">
        <v>14.99</v>
      </c>
      <c r="N232" t="b">
        <v>1</v>
      </c>
      <c r="O232">
        <v>2</v>
      </c>
      <c r="P232">
        <v>14287</v>
      </c>
      <c r="Q232">
        <v>22013</v>
      </c>
      <c r="R232">
        <v>54.1</v>
      </c>
      <c r="S232" t="s">
        <v>230</v>
      </c>
      <c r="T232" t="s">
        <v>551</v>
      </c>
      <c r="U232">
        <v>26.51416921175136</v>
      </c>
      <c r="V232">
        <v>27.1</v>
      </c>
      <c r="W232" t="s">
        <v>867</v>
      </c>
      <c r="X232">
        <v>17.40151881375067</v>
      </c>
      <c r="Y232">
        <v>30791</v>
      </c>
      <c r="Z232">
        <v>195305</v>
      </c>
      <c r="AA232" t="s">
        <v>1185</v>
      </c>
      <c r="AB232">
        <v>48.62</v>
      </c>
      <c r="AC232" t="s">
        <v>1506</v>
      </c>
      <c r="AD232" t="s">
        <v>1826</v>
      </c>
      <c r="AE232">
        <v>8651</v>
      </c>
      <c r="AF232">
        <v>4737</v>
      </c>
      <c r="AG232">
        <v>500000</v>
      </c>
      <c r="AH232">
        <v>2.52</v>
      </c>
    </row>
    <row r="233" spans="1:34">
      <c r="A233" s="2">
        <f>HYPERLINK("https://finance.naver.com/item/coinfo.nhn?code=010280", "A010280")</f>
        <v>0</v>
      </c>
      <c r="B233">
        <f>HYPERLINK("http://comp.fnguide.com/SVO2/ASP/SVD_Consensus.asp?pGB=1&amp;gicode=A010280&amp;cID=&amp;MenuYn=Y&amp;ReportGB=&amp;NewMenuID=108&amp;stkGb=701", "쌍용정보통신")</f>
        <v>0</v>
      </c>
      <c r="C233">
        <v>2</v>
      </c>
      <c r="D233">
        <v>1480</v>
      </c>
      <c r="E233">
        <v>0</v>
      </c>
      <c r="F233">
        <v>56.74</v>
      </c>
      <c r="G233">
        <v>2506</v>
      </c>
      <c r="H233">
        <v>1657</v>
      </c>
      <c r="I233">
        <v>1416</v>
      </c>
      <c r="J233">
        <v>-69.34</v>
      </c>
      <c r="K233">
        <v>-11.96</v>
      </c>
      <c r="L233">
        <v>4.35</v>
      </c>
      <c r="M233">
        <v>18.18</v>
      </c>
      <c r="N233" t="b">
        <v>0</v>
      </c>
      <c r="O233">
        <v>0</v>
      </c>
      <c r="P233">
        <v>32</v>
      </c>
      <c r="S233" t="s">
        <v>231</v>
      </c>
      <c r="T233" t="s">
        <v>552</v>
      </c>
      <c r="U233">
        <v>0</v>
      </c>
      <c r="V233">
        <v>0</v>
      </c>
      <c r="W233" t="s">
        <v>868</v>
      </c>
      <c r="X233">
        <v>-92.30000000000001</v>
      </c>
      <c r="Y233">
        <v>599</v>
      </c>
      <c r="Z233">
        <v>438090</v>
      </c>
      <c r="AA233" t="s">
        <v>1186</v>
      </c>
      <c r="AB233">
        <v>40</v>
      </c>
      <c r="AC233" t="s">
        <v>1507</v>
      </c>
      <c r="AD233" t="s">
        <v>1827</v>
      </c>
      <c r="AE233">
        <v>1083</v>
      </c>
      <c r="AF233">
        <v>5</v>
      </c>
    </row>
    <row r="234" spans="1:34">
      <c r="A234" s="2">
        <f>HYPERLINK("https://finance.naver.com/item/coinfo.nhn?code=051600", "A051600")</f>
        <v>0</v>
      </c>
      <c r="B234">
        <f>HYPERLINK("http://comp.fnguide.com/SVO2/ASP/SVD_Consensus.asp?pGB=1&amp;gicode=A051600&amp;cID=&amp;MenuYn=Y&amp;ReportGB=&amp;NewMenuID=108&amp;stkGb=701", "한전KPS")</f>
        <v>0</v>
      </c>
      <c r="C234">
        <v>2</v>
      </c>
      <c r="D234">
        <v>29000</v>
      </c>
      <c r="E234">
        <v>-2.5</v>
      </c>
      <c r="F234">
        <v>11.49</v>
      </c>
      <c r="G234">
        <v>47193</v>
      </c>
      <c r="H234">
        <v>33016</v>
      </c>
      <c r="I234">
        <v>28988</v>
      </c>
      <c r="J234">
        <v>-62.73</v>
      </c>
      <c r="K234">
        <v>-13.85</v>
      </c>
      <c r="L234">
        <v>0.04</v>
      </c>
      <c r="M234">
        <v>15.86</v>
      </c>
      <c r="N234" t="b">
        <v>0</v>
      </c>
      <c r="O234">
        <v>0</v>
      </c>
      <c r="P234">
        <v>3407</v>
      </c>
      <c r="Q234">
        <v>2622</v>
      </c>
      <c r="R234">
        <v>-23</v>
      </c>
      <c r="S234" t="s">
        <v>232</v>
      </c>
      <c r="T234" t="s">
        <v>553</v>
      </c>
      <c r="U234">
        <v>-4.598541014157154</v>
      </c>
      <c r="V234">
        <v>-31.8</v>
      </c>
      <c r="W234" t="s">
        <v>869</v>
      </c>
      <c r="X234">
        <v>-9.274503094994824</v>
      </c>
      <c r="Y234">
        <v>13050</v>
      </c>
      <c r="Z234">
        <v>159214</v>
      </c>
      <c r="AA234" t="s">
        <v>1187</v>
      </c>
      <c r="AB234">
        <v>51</v>
      </c>
      <c r="AC234" t="s">
        <v>1508</v>
      </c>
      <c r="AD234" t="s">
        <v>1828</v>
      </c>
      <c r="AE234">
        <v>12469</v>
      </c>
      <c r="AF234">
        <v>1939</v>
      </c>
      <c r="AH234">
        <v>4.9</v>
      </c>
    </row>
    <row r="235" spans="1:34">
      <c r="A235" s="2">
        <f>HYPERLINK("https://finance.naver.com/item/coinfo.nhn?code=192440", "A192440")</f>
        <v>0</v>
      </c>
      <c r="B235">
        <f>HYPERLINK("http://comp.fnguide.com/SVO2/ASP/SVD_Consensus.asp?pGB=1&amp;gicode=A192440&amp;cID=&amp;MenuYn=Y&amp;ReportGB=&amp;NewMenuID=108&amp;stkGb=701", "슈피겐코리아")</f>
        <v>0</v>
      </c>
      <c r="C235">
        <v>2</v>
      </c>
      <c r="D235">
        <v>63900</v>
      </c>
      <c r="E235">
        <v>0.41</v>
      </c>
      <c r="F235">
        <v>7.86</v>
      </c>
      <c r="G235">
        <v>101033</v>
      </c>
      <c r="H235">
        <v>69630</v>
      </c>
      <c r="I235">
        <v>60706</v>
      </c>
      <c r="J235">
        <v>-58.11</v>
      </c>
      <c r="K235">
        <v>-8.970000000000001</v>
      </c>
      <c r="L235">
        <v>5</v>
      </c>
      <c r="M235">
        <v>16.43</v>
      </c>
      <c r="N235" t="b">
        <v>1</v>
      </c>
      <c r="O235">
        <v>1</v>
      </c>
      <c r="P235">
        <v>6489</v>
      </c>
      <c r="Q235">
        <v>11043</v>
      </c>
      <c r="R235">
        <v>70.2</v>
      </c>
      <c r="S235" t="s">
        <v>233</v>
      </c>
      <c r="T235" t="s">
        <v>554</v>
      </c>
      <c r="U235">
        <v>19.08586651566537</v>
      </c>
      <c r="V235">
        <v>72.8</v>
      </c>
      <c r="W235" t="s">
        <v>870</v>
      </c>
      <c r="X235">
        <v>13.34113799168193</v>
      </c>
      <c r="Y235">
        <v>3972</v>
      </c>
      <c r="Z235">
        <v>36094</v>
      </c>
      <c r="AA235" t="s">
        <v>1188</v>
      </c>
      <c r="AB235">
        <v>40.99</v>
      </c>
      <c r="AC235" t="s">
        <v>1509</v>
      </c>
      <c r="AD235" t="s">
        <v>1829</v>
      </c>
      <c r="AE235">
        <v>3086</v>
      </c>
      <c r="AF235">
        <v>441</v>
      </c>
      <c r="AG235">
        <v>186531</v>
      </c>
      <c r="AH235">
        <v>2.55</v>
      </c>
    </row>
    <row r="236" spans="1:34">
      <c r="A236" s="2">
        <f>HYPERLINK("https://finance.naver.com/item/coinfo.nhn?code=267980", "A267980")</f>
        <v>0</v>
      </c>
      <c r="B236">
        <f>HYPERLINK("http://comp.fnguide.com/SVO2/ASP/SVD_Consensus.asp?pGB=1&amp;gicode=A267980&amp;cID=&amp;MenuYn=Y&amp;ReportGB=&amp;NewMenuID=108&amp;stkGb=701", "매일유업")</f>
        <v>0</v>
      </c>
      <c r="C236">
        <v>2</v>
      </c>
      <c r="D236">
        <v>68700</v>
      </c>
      <c r="E236">
        <v>0.53</v>
      </c>
      <c r="F236">
        <v>10.5</v>
      </c>
      <c r="G236">
        <v>98109</v>
      </c>
      <c r="H236">
        <v>70963</v>
      </c>
      <c r="I236">
        <v>63249</v>
      </c>
      <c r="J236">
        <v>-42.81</v>
      </c>
      <c r="K236">
        <v>-3.29</v>
      </c>
      <c r="L236">
        <v>7.93</v>
      </c>
      <c r="M236">
        <v>14.7</v>
      </c>
      <c r="N236" t="b">
        <v>1</v>
      </c>
      <c r="O236">
        <v>0</v>
      </c>
      <c r="P236">
        <v>8202</v>
      </c>
      <c r="Q236">
        <v>8124</v>
      </c>
      <c r="R236">
        <v>-1</v>
      </c>
      <c r="S236" t="s">
        <v>234</v>
      </c>
      <c r="T236" t="s">
        <v>555</v>
      </c>
      <c r="U236">
        <v>19.90496851166825</v>
      </c>
      <c r="V236">
        <v>-14.5</v>
      </c>
      <c r="W236" t="s">
        <v>871</v>
      </c>
      <c r="X236">
        <v>0</v>
      </c>
      <c r="Y236">
        <v>5389</v>
      </c>
      <c r="Z236">
        <v>23283</v>
      </c>
      <c r="AA236" t="s">
        <v>1189</v>
      </c>
      <c r="AB236">
        <v>56.27</v>
      </c>
      <c r="AC236" t="s">
        <v>1510</v>
      </c>
      <c r="AD236" t="s">
        <v>1830</v>
      </c>
      <c r="AE236">
        <v>13933</v>
      </c>
      <c r="AF236">
        <v>853</v>
      </c>
      <c r="AG236">
        <v>227402</v>
      </c>
      <c r="AH236">
        <v>0.93</v>
      </c>
    </row>
    <row r="237" spans="1:34">
      <c r="A237" s="2">
        <f>HYPERLINK("https://finance.naver.com/item/coinfo.nhn?code=130660", "A130660")</f>
        <v>0</v>
      </c>
      <c r="B237">
        <f>HYPERLINK("http://comp.fnguide.com/SVO2/ASP/SVD_Consensus.asp?pGB=1&amp;gicode=A130660&amp;cID=&amp;MenuYn=Y&amp;ReportGB=&amp;NewMenuID=108&amp;stkGb=701", "한전산업")</f>
        <v>0</v>
      </c>
      <c r="C237">
        <v>2</v>
      </c>
      <c r="D237">
        <v>3970</v>
      </c>
      <c r="E237">
        <v>0</v>
      </c>
      <c r="F237">
        <v>6.6</v>
      </c>
      <c r="G237">
        <v>6508</v>
      </c>
      <c r="H237">
        <v>4176</v>
      </c>
      <c r="I237">
        <v>3513</v>
      </c>
      <c r="J237">
        <v>-63.94</v>
      </c>
      <c r="K237">
        <v>-5.19</v>
      </c>
      <c r="L237">
        <v>11.51</v>
      </c>
      <c r="M237">
        <v>19.64</v>
      </c>
      <c r="N237" t="b">
        <v>1</v>
      </c>
      <c r="O237">
        <v>0</v>
      </c>
      <c r="P237">
        <v>531</v>
      </c>
      <c r="S237" t="s">
        <v>235</v>
      </c>
      <c r="T237" t="s">
        <v>556</v>
      </c>
      <c r="U237">
        <v>0</v>
      </c>
      <c r="V237">
        <v>-15.9</v>
      </c>
      <c r="W237" t="s">
        <v>872</v>
      </c>
      <c r="X237">
        <v>12.21690551950545</v>
      </c>
      <c r="Y237">
        <v>1294</v>
      </c>
      <c r="Z237">
        <v>55253</v>
      </c>
      <c r="AA237" t="s">
        <v>1190</v>
      </c>
      <c r="AB237">
        <v>31</v>
      </c>
      <c r="AC237" t="s">
        <v>1511</v>
      </c>
      <c r="AD237" t="s">
        <v>1831</v>
      </c>
      <c r="AE237">
        <v>3136</v>
      </c>
      <c r="AF237">
        <v>215</v>
      </c>
      <c r="AH237">
        <v>6.49</v>
      </c>
    </row>
    <row r="238" spans="1:34">
      <c r="A238" s="2">
        <f>HYPERLINK("https://finance.naver.com/item/coinfo.nhn?code=272110", "A272110")</f>
        <v>0</v>
      </c>
      <c r="B238">
        <f>HYPERLINK("http://comp.fnguide.com/SVO2/ASP/SVD_Consensus.asp?pGB=1&amp;gicode=A272110&amp;cID=&amp;MenuYn=Y&amp;ReportGB=&amp;NewMenuID=108&amp;stkGb=701", "케이엔제이")</f>
        <v>0</v>
      </c>
      <c r="C238">
        <v>1</v>
      </c>
      <c r="D238">
        <v>11050</v>
      </c>
      <c r="E238">
        <v>0</v>
      </c>
      <c r="F238">
        <v>13.81</v>
      </c>
      <c r="G238">
        <v>16073</v>
      </c>
      <c r="H238">
        <v>8944</v>
      </c>
      <c r="I238">
        <v>6917</v>
      </c>
      <c r="J238">
        <v>-45.46</v>
      </c>
      <c r="K238">
        <v>19.06</v>
      </c>
      <c r="L238">
        <v>37.4</v>
      </c>
      <c r="M238">
        <v>30.22</v>
      </c>
      <c r="N238" t="b">
        <v>1</v>
      </c>
      <c r="O238">
        <v>0</v>
      </c>
      <c r="P238">
        <v>854</v>
      </c>
      <c r="S238" t="s">
        <v>236</v>
      </c>
      <c r="T238" t="s">
        <v>557</v>
      </c>
      <c r="U238">
        <v>0</v>
      </c>
      <c r="V238">
        <v>0</v>
      </c>
      <c r="W238" t="s">
        <v>873</v>
      </c>
      <c r="X238">
        <v>72.48773869466778</v>
      </c>
      <c r="Y238">
        <v>701</v>
      </c>
      <c r="Z238">
        <v>71709</v>
      </c>
      <c r="AA238" t="s">
        <v>1191</v>
      </c>
      <c r="AB238">
        <v>28.77</v>
      </c>
      <c r="AC238" t="s">
        <v>1512</v>
      </c>
      <c r="AD238" t="s">
        <v>1832</v>
      </c>
      <c r="AE238">
        <v>563</v>
      </c>
      <c r="AF238">
        <v>38</v>
      </c>
    </row>
    <row r="239" spans="1:34">
      <c r="A239" s="2">
        <f>HYPERLINK("https://finance.naver.com/item/coinfo.nhn?code=040160", "A040160")</f>
        <v>0</v>
      </c>
      <c r="B239">
        <f>HYPERLINK("http://comp.fnguide.com/SVO2/ASP/SVD_Consensus.asp?pGB=1&amp;gicode=A040160&amp;cID=&amp;MenuYn=Y&amp;ReportGB=&amp;NewMenuID=108&amp;stkGb=701", "누리텔레콤")</f>
        <v>0</v>
      </c>
      <c r="C239">
        <v>1</v>
      </c>
      <c r="D239">
        <v>8360</v>
      </c>
      <c r="E239">
        <v>0</v>
      </c>
      <c r="F239">
        <v>7.46</v>
      </c>
      <c r="G239">
        <v>10643</v>
      </c>
      <c r="H239">
        <v>7877</v>
      </c>
      <c r="I239">
        <v>7091</v>
      </c>
      <c r="J239">
        <v>-27.31</v>
      </c>
      <c r="K239">
        <v>5.78</v>
      </c>
      <c r="L239">
        <v>15.19</v>
      </c>
      <c r="M239">
        <v>13.98</v>
      </c>
      <c r="N239" t="b">
        <v>1</v>
      </c>
      <c r="O239">
        <v>0</v>
      </c>
      <c r="P239">
        <v>736</v>
      </c>
      <c r="Q239">
        <v>382</v>
      </c>
      <c r="R239">
        <v>-48.1</v>
      </c>
      <c r="S239" t="s">
        <v>237</v>
      </c>
      <c r="T239" t="s">
        <v>558</v>
      </c>
      <c r="U239">
        <v>0</v>
      </c>
      <c r="V239">
        <v>187.4</v>
      </c>
      <c r="W239" t="s">
        <v>874</v>
      </c>
      <c r="X239">
        <v>46.93559953807978</v>
      </c>
      <c r="Y239">
        <v>1008</v>
      </c>
      <c r="Z239">
        <v>538055</v>
      </c>
      <c r="AA239" t="s">
        <v>1192</v>
      </c>
      <c r="AB239">
        <v>40.68</v>
      </c>
      <c r="AC239" t="s">
        <v>1513</v>
      </c>
      <c r="AD239" t="s">
        <v>1833</v>
      </c>
      <c r="AE239">
        <v>1479</v>
      </c>
      <c r="AF239">
        <v>116</v>
      </c>
      <c r="AG239">
        <v>757550</v>
      </c>
      <c r="AH239">
        <v>0.91</v>
      </c>
    </row>
    <row r="240" spans="1:34">
      <c r="A240" s="2">
        <f>HYPERLINK("https://finance.naver.com/item/coinfo.nhn?code=124560", "A124560")</f>
        <v>0</v>
      </c>
      <c r="B240">
        <f>HYPERLINK("http://comp.fnguide.com/SVO2/ASP/SVD_Consensus.asp?pGB=1&amp;gicode=A124560&amp;cID=&amp;MenuYn=Y&amp;ReportGB=&amp;NewMenuID=108&amp;stkGb=701", "태웅로직스")</f>
        <v>0</v>
      </c>
      <c r="C240">
        <v>1</v>
      </c>
      <c r="D240">
        <v>5270</v>
      </c>
      <c r="E240">
        <v>0.03</v>
      </c>
      <c r="F240">
        <v>8.1</v>
      </c>
      <c r="G240">
        <v>8144</v>
      </c>
      <c r="H240">
        <v>4605</v>
      </c>
      <c r="I240">
        <v>3599</v>
      </c>
      <c r="J240">
        <v>-54.53</v>
      </c>
      <c r="K240">
        <v>12.62</v>
      </c>
      <c r="L240">
        <v>31.71</v>
      </c>
      <c r="M240">
        <v>28.59</v>
      </c>
      <c r="N240" t="b">
        <v>1</v>
      </c>
      <c r="O240">
        <v>3</v>
      </c>
      <c r="P240">
        <v>631</v>
      </c>
      <c r="Q240">
        <v>676</v>
      </c>
      <c r="R240">
        <v>7.1</v>
      </c>
      <c r="S240" t="s">
        <v>238</v>
      </c>
      <c r="T240" t="s">
        <v>559</v>
      </c>
      <c r="U240">
        <v>283.2940940607695</v>
      </c>
      <c r="V240">
        <v>-3.2</v>
      </c>
      <c r="W240" t="s">
        <v>875</v>
      </c>
      <c r="X240">
        <v>157.6222867500069</v>
      </c>
      <c r="Y240">
        <v>1030</v>
      </c>
      <c r="Z240">
        <v>7171928</v>
      </c>
      <c r="AA240" t="s">
        <v>1193</v>
      </c>
      <c r="AB240">
        <v>38.11</v>
      </c>
      <c r="AC240" t="s">
        <v>1514</v>
      </c>
      <c r="AD240" t="s">
        <v>1834</v>
      </c>
      <c r="AE240">
        <v>2861</v>
      </c>
      <c r="AF240">
        <v>150</v>
      </c>
      <c r="AG240">
        <v>1322223</v>
      </c>
      <c r="AH240">
        <v>0.98</v>
      </c>
    </row>
    <row r="241" spans="1:34">
      <c r="A241" s="2">
        <f>HYPERLINK("https://finance.naver.com/item/coinfo.nhn?code=089600", "A089600")</f>
        <v>0</v>
      </c>
      <c r="B241">
        <f>HYPERLINK("http://comp.fnguide.com/SVO2/ASP/SVD_Consensus.asp?pGB=1&amp;gicode=A089600&amp;cID=&amp;MenuYn=Y&amp;ReportGB=&amp;NewMenuID=108&amp;stkGb=701", "나스미디어")</f>
        <v>0</v>
      </c>
      <c r="C241">
        <v>1</v>
      </c>
      <c r="D241">
        <v>29800</v>
      </c>
      <c r="E241">
        <v>-2.46</v>
      </c>
      <c r="F241">
        <v>14.16</v>
      </c>
      <c r="G241">
        <v>34176</v>
      </c>
      <c r="H241">
        <v>23627</v>
      </c>
      <c r="I241">
        <v>20629</v>
      </c>
      <c r="J241">
        <v>-14.69</v>
      </c>
      <c r="K241">
        <v>20.72</v>
      </c>
      <c r="L241">
        <v>30.78</v>
      </c>
      <c r="M241">
        <v>16.3</v>
      </c>
      <c r="N241" t="b">
        <v>0</v>
      </c>
      <c r="O241">
        <v>0</v>
      </c>
      <c r="P241">
        <v>2355</v>
      </c>
      <c r="Q241">
        <v>2347</v>
      </c>
      <c r="R241">
        <v>-0.3</v>
      </c>
      <c r="S241" t="s">
        <v>239</v>
      </c>
      <c r="T241" t="s">
        <v>560</v>
      </c>
      <c r="U241">
        <v>-5.766759236537822</v>
      </c>
      <c r="V241">
        <v>6.9</v>
      </c>
      <c r="W241" t="s">
        <v>876</v>
      </c>
      <c r="X241">
        <v>15.91473887604671</v>
      </c>
      <c r="Y241">
        <v>2609</v>
      </c>
      <c r="Z241">
        <v>20818</v>
      </c>
      <c r="AA241" t="s">
        <v>1194</v>
      </c>
      <c r="AB241">
        <v>59.59</v>
      </c>
      <c r="AC241" t="s">
        <v>1515</v>
      </c>
      <c r="AD241" t="s">
        <v>1835</v>
      </c>
      <c r="AE241">
        <v>1170</v>
      </c>
      <c r="AF241">
        <v>306</v>
      </c>
      <c r="AG241">
        <v>252500</v>
      </c>
      <c r="AH241">
        <v>1.98</v>
      </c>
    </row>
    <row r="242" spans="1:34">
      <c r="A242" s="2">
        <f>HYPERLINK("https://finance.naver.com/item/coinfo.nhn?code=267320", "A267320")</f>
        <v>0</v>
      </c>
      <c r="B242">
        <f>HYPERLINK("http://comp.fnguide.com/SVO2/ASP/SVD_Consensus.asp?pGB=1&amp;gicode=A267320&amp;cID=&amp;MenuYn=Y&amp;ReportGB=&amp;NewMenuID=108&amp;stkGb=701", "나인테크")</f>
        <v>0</v>
      </c>
      <c r="C242">
        <v>1</v>
      </c>
      <c r="D242">
        <v>4065</v>
      </c>
      <c r="E242">
        <v>0</v>
      </c>
      <c r="G242">
        <v>5771</v>
      </c>
      <c r="H242">
        <v>2451</v>
      </c>
      <c r="I242">
        <v>1508</v>
      </c>
      <c r="J242">
        <v>-41.98</v>
      </c>
      <c r="K242">
        <v>39.7</v>
      </c>
      <c r="L242">
        <v>62.91</v>
      </c>
      <c r="M242">
        <v>181.15</v>
      </c>
      <c r="N242" t="b">
        <v>0</v>
      </c>
      <c r="O242">
        <v>0</v>
      </c>
      <c r="P242">
        <v>114</v>
      </c>
      <c r="S242" t="s">
        <v>240</v>
      </c>
      <c r="T242" t="s">
        <v>561</v>
      </c>
      <c r="U242">
        <v>0</v>
      </c>
      <c r="V242">
        <v>0</v>
      </c>
      <c r="W242" t="s">
        <v>877</v>
      </c>
      <c r="X242">
        <v>106.5</v>
      </c>
      <c r="Y242">
        <v>1601</v>
      </c>
      <c r="Z242">
        <v>1284359</v>
      </c>
      <c r="AA242" t="s">
        <v>1195</v>
      </c>
      <c r="AB242">
        <v>33.2</v>
      </c>
      <c r="AC242" t="s">
        <v>1516</v>
      </c>
      <c r="AD242" t="s">
        <v>1801</v>
      </c>
      <c r="AE242">
        <v>752</v>
      </c>
      <c r="AF242">
        <v>65</v>
      </c>
      <c r="AG242">
        <v>261560</v>
      </c>
    </row>
    <row r="243" spans="1:34">
      <c r="A243" s="2">
        <f>HYPERLINK("https://finance.naver.com/item/coinfo.nhn?code=092730", "A092730")</f>
        <v>0</v>
      </c>
      <c r="B243">
        <f>HYPERLINK("http://comp.fnguide.com/SVO2/ASP/SVD_Consensus.asp?pGB=1&amp;gicode=A092730&amp;cID=&amp;MenuYn=Y&amp;ReportGB=&amp;NewMenuID=108&amp;stkGb=701", "네오팜")</f>
        <v>0</v>
      </c>
      <c r="C243">
        <v>1</v>
      </c>
      <c r="D243">
        <v>28000</v>
      </c>
      <c r="E243">
        <v>1.8</v>
      </c>
      <c r="F243">
        <v>19.83</v>
      </c>
      <c r="G243">
        <v>43786</v>
      </c>
      <c r="H243">
        <v>25573</v>
      </c>
      <c r="I243">
        <v>20397</v>
      </c>
      <c r="J243">
        <v>-56.38</v>
      </c>
      <c r="K243">
        <v>8.67</v>
      </c>
      <c r="L243">
        <v>27.15</v>
      </c>
      <c r="M243">
        <v>25.72</v>
      </c>
      <c r="N243" t="b">
        <v>1</v>
      </c>
      <c r="O243">
        <v>0</v>
      </c>
      <c r="P243">
        <v>2438</v>
      </c>
      <c r="Q243">
        <v>2118</v>
      </c>
      <c r="R243">
        <v>-13.1</v>
      </c>
      <c r="S243" t="s">
        <v>241</v>
      </c>
      <c r="T243" t="s">
        <v>562</v>
      </c>
      <c r="U243">
        <v>10.99039253480125</v>
      </c>
      <c r="V243">
        <v>-8.800000000000001</v>
      </c>
      <c r="W243" t="s">
        <v>878</v>
      </c>
      <c r="X243">
        <v>37.25660839511444</v>
      </c>
      <c r="Y243">
        <v>2298</v>
      </c>
      <c r="Z243">
        <v>48018</v>
      </c>
      <c r="AA243" t="s">
        <v>1196</v>
      </c>
      <c r="AB243">
        <v>38.94</v>
      </c>
      <c r="AC243" t="s">
        <v>1517</v>
      </c>
      <c r="AD243" t="s">
        <v>1836</v>
      </c>
      <c r="AE243">
        <v>832</v>
      </c>
      <c r="AF243">
        <v>230</v>
      </c>
      <c r="AG243">
        <v>386733</v>
      </c>
      <c r="AH243">
        <v>1.55</v>
      </c>
    </row>
    <row r="244" spans="1:34">
      <c r="A244" s="2">
        <f>HYPERLINK("https://finance.naver.com/item/coinfo.nhn?code=104460", "A104460")</f>
        <v>0</v>
      </c>
      <c r="B244">
        <f>HYPERLINK("http://comp.fnguide.com/SVO2/ASP/SVD_Consensus.asp?pGB=1&amp;gicode=A104460&amp;cID=&amp;MenuYn=Y&amp;ReportGB=&amp;NewMenuID=108&amp;stkGb=701", "디와이피엔에프")</f>
        <v>0</v>
      </c>
      <c r="C244">
        <v>1</v>
      </c>
      <c r="D244">
        <v>18200</v>
      </c>
      <c r="E244">
        <v>0</v>
      </c>
      <c r="F244">
        <v>5.98</v>
      </c>
      <c r="G244">
        <v>22373</v>
      </c>
      <c r="H244">
        <v>13230</v>
      </c>
      <c r="I244">
        <v>10631</v>
      </c>
      <c r="J244">
        <v>-22.93</v>
      </c>
      <c r="K244">
        <v>27.31</v>
      </c>
      <c r="L244">
        <v>41.59</v>
      </c>
      <c r="M244">
        <v>24.75</v>
      </c>
      <c r="N244" t="b">
        <v>1</v>
      </c>
      <c r="O244">
        <v>3</v>
      </c>
      <c r="P244">
        <v>1974</v>
      </c>
      <c r="Q244">
        <v>2483</v>
      </c>
      <c r="R244">
        <v>25.8</v>
      </c>
      <c r="S244" t="s">
        <v>242</v>
      </c>
      <c r="T244" t="s">
        <v>563</v>
      </c>
      <c r="U244">
        <v>0</v>
      </c>
      <c r="V244">
        <v>3.2</v>
      </c>
      <c r="W244" t="s">
        <v>879</v>
      </c>
      <c r="X244">
        <v>-30.73502933280975</v>
      </c>
      <c r="Y244">
        <v>1950</v>
      </c>
      <c r="Z244">
        <v>69526</v>
      </c>
      <c r="AA244" t="s">
        <v>1197</v>
      </c>
      <c r="AB244">
        <v>49.34</v>
      </c>
      <c r="AC244" t="s">
        <v>1518</v>
      </c>
      <c r="AD244" t="s">
        <v>1837</v>
      </c>
      <c r="AE244">
        <v>1656</v>
      </c>
      <c r="AF244">
        <v>283</v>
      </c>
      <c r="AG244">
        <v>1154603</v>
      </c>
      <c r="AH244">
        <v>2.97</v>
      </c>
    </row>
    <row r="245" spans="1:34">
      <c r="A245" s="2">
        <f>HYPERLINK("https://finance.naver.com/item/coinfo.nhn?code=010780", "A010780")</f>
        <v>0</v>
      </c>
      <c r="B245">
        <f>HYPERLINK("http://comp.fnguide.com/SVO2/ASP/SVD_Consensus.asp?pGB=1&amp;gicode=A010780&amp;cID=&amp;MenuYn=Y&amp;ReportGB=&amp;NewMenuID=108&amp;stkGb=701", "아이에스동서")</f>
        <v>0</v>
      </c>
      <c r="C245">
        <v>1</v>
      </c>
      <c r="D245">
        <v>47900</v>
      </c>
      <c r="E245">
        <v>-1.16</v>
      </c>
      <c r="F245">
        <v>15.41</v>
      </c>
      <c r="G245">
        <v>63753</v>
      </c>
      <c r="H245">
        <v>47100</v>
      </c>
      <c r="I245">
        <v>42368</v>
      </c>
      <c r="J245">
        <v>-33.1</v>
      </c>
      <c r="K245">
        <v>1.67</v>
      </c>
      <c r="L245">
        <v>11.55</v>
      </c>
      <c r="M245">
        <v>14.03</v>
      </c>
      <c r="N245" t="b">
        <v>1</v>
      </c>
      <c r="O245">
        <v>1</v>
      </c>
      <c r="P245">
        <v>2138</v>
      </c>
      <c r="Q245">
        <v>4136</v>
      </c>
      <c r="R245">
        <v>93.5</v>
      </c>
      <c r="S245" t="s">
        <v>243</v>
      </c>
      <c r="T245" t="s">
        <v>564</v>
      </c>
      <c r="U245">
        <v>-13.23211894862652</v>
      </c>
      <c r="V245">
        <v>126.3</v>
      </c>
      <c r="W245" t="s">
        <v>880</v>
      </c>
      <c r="X245">
        <v>5.323044183168046</v>
      </c>
      <c r="Y245">
        <v>14798</v>
      </c>
      <c r="Z245">
        <v>197931</v>
      </c>
      <c r="AA245" t="s">
        <v>1198</v>
      </c>
      <c r="AB245">
        <v>54.69</v>
      </c>
      <c r="AC245" t="s">
        <v>1519</v>
      </c>
      <c r="AD245" t="s">
        <v>1838</v>
      </c>
      <c r="AE245">
        <v>9641</v>
      </c>
      <c r="AF245">
        <v>662</v>
      </c>
      <c r="AG245">
        <v>447941</v>
      </c>
      <c r="AH245">
        <v>2.12</v>
      </c>
    </row>
    <row r="246" spans="1:34">
      <c r="A246" s="2">
        <f>HYPERLINK("https://finance.naver.com/item/coinfo.nhn?code=109740", "A109740")</f>
        <v>0</v>
      </c>
      <c r="B246">
        <f>HYPERLINK("http://comp.fnguide.com/SVO2/ASP/SVD_Consensus.asp?pGB=1&amp;gicode=A109740&amp;cID=&amp;MenuYn=Y&amp;ReportGB=&amp;NewMenuID=108&amp;stkGb=701", "디에스케이")</f>
        <v>0</v>
      </c>
      <c r="C246">
        <v>1</v>
      </c>
      <c r="D246">
        <v>6640</v>
      </c>
      <c r="E246">
        <v>0</v>
      </c>
      <c r="F246">
        <v>29.75</v>
      </c>
      <c r="G246">
        <v>7045</v>
      </c>
      <c r="H246">
        <v>6192</v>
      </c>
      <c r="I246">
        <v>5950</v>
      </c>
      <c r="J246">
        <v>-6.1</v>
      </c>
      <c r="K246">
        <v>6.74</v>
      </c>
      <c r="L246">
        <v>10.39</v>
      </c>
      <c r="M246">
        <v>9.94</v>
      </c>
      <c r="N246" t="b">
        <v>1</v>
      </c>
      <c r="O246">
        <v>0</v>
      </c>
      <c r="P246">
        <v>306</v>
      </c>
      <c r="S246" t="s">
        <v>244</v>
      </c>
      <c r="T246" t="s">
        <v>565</v>
      </c>
      <c r="U246">
        <v>0</v>
      </c>
      <c r="V246">
        <v>0</v>
      </c>
      <c r="W246" t="s">
        <v>881</v>
      </c>
      <c r="X246">
        <v>-60.21105681222483</v>
      </c>
      <c r="Y246">
        <v>1352</v>
      </c>
      <c r="Z246">
        <v>55624</v>
      </c>
      <c r="AA246" t="s">
        <v>1199</v>
      </c>
      <c r="AB246">
        <v>23.63</v>
      </c>
      <c r="AC246" t="s">
        <v>1520</v>
      </c>
      <c r="AD246" t="s">
        <v>1839</v>
      </c>
      <c r="AE246">
        <v>765</v>
      </c>
      <c r="AF246">
        <v>55</v>
      </c>
      <c r="AG246">
        <v>346805</v>
      </c>
    </row>
    <row r="247" spans="1:34">
      <c r="A247" s="2">
        <f>HYPERLINK("https://finance.naver.com/item/coinfo.nhn?code=298540", "A298540")</f>
        <v>0</v>
      </c>
      <c r="B247">
        <f>HYPERLINK("http://comp.fnguide.com/SVO2/ASP/SVD_Consensus.asp?pGB=1&amp;gicode=A298540&amp;cID=&amp;MenuYn=Y&amp;ReportGB=&amp;NewMenuID=108&amp;stkGb=701", "더네이쳐홀딩스")</f>
        <v>0</v>
      </c>
      <c r="C247">
        <v>1</v>
      </c>
      <c r="D247">
        <v>42400</v>
      </c>
      <c r="E247">
        <v>0</v>
      </c>
      <c r="G247">
        <v>62961</v>
      </c>
      <c r="H247">
        <v>31317</v>
      </c>
      <c r="I247">
        <v>22325</v>
      </c>
      <c r="J247">
        <v>-48.49</v>
      </c>
      <c r="K247">
        <v>26.14</v>
      </c>
      <c r="L247">
        <v>47.35</v>
      </c>
      <c r="M247">
        <v>48.22</v>
      </c>
      <c r="N247" t="b">
        <v>0</v>
      </c>
      <c r="O247">
        <v>3</v>
      </c>
      <c r="P247">
        <v>2850</v>
      </c>
      <c r="Q247">
        <v>5864</v>
      </c>
      <c r="R247">
        <v>105.8</v>
      </c>
      <c r="S247" t="s">
        <v>245</v>
      </c>
      <c r="T247" t="s">
        <v>566</v>
      </c>
      <c r="U247">
        <v>0</v>
      </c>
      <c r="V247">
        <v>0</v>
      </c>
      <c r="W247" t="s">
        <v>882</v>
      </c>
      <c r="X247">
        <v>0</v>
      </c>
      <c r="Y247">
        <v>3083</v>
      </c>
      <c r="Z247">
        <v>46353</v>
      </c>
      <c r="AA247" t="s">
        <v>1200</v>
      </c>
      <c r="AB247">
        <v>37.49</v>
      </c>
      <c r="AC247" t="s">
        <v>1521</v>
      </c>
      <c r="AD247" t="s">
        <v>1840</v>
      </c>
      <c r="AE247">
        <v>2353</v>
      </c>
      <c r="AF247">
        <v>398</v>
      </c>
    </row>
    <row r="248" spans="1:34">
      <c r="A248" s="2">
        <f>HYPERLINK("https://finance.naver.com/item/coinfo.nhn?code=033290", "A033290")</f>
        <v>0</v>
      </c>
      <c r="B248">
        <f>HYPERLINK("http://comp.fnguide.com/SVO2/ASP/SVD_Consensus.asp?pGB=1&amp;gicode=A033290&amp;cID=&amp;MenuYn=Y&amp;ReportGB=&amp;NewMenuID=108&amp;stkGb=701", "코웰패션")</f>
        <v>0</v>
      </c>
      <c r="C248">
        <v>1</v>
      </c>
      <c r="D248">
        <v>5700</v>
      </c>
      <c r="E248">
        <v>0.98</v>
      </c>
      <c r="F248">
        <v>9.93</v>
      </c>
      <c r="G248">
        <v>9306</v>
      </c>
      <c r="H248">
        <v>5468</v>
      </c>
      <c r="I248">
        <v>4377</v>
      </c>
      <c r="J248">
        <v>-63.27</v>
      </c>
      <c r="K248">
        <v>4.07</v>
      </c>
      <c r="L248">
        <v>23.21</v>
      </c>
      <c r="M248">
        <v>25.25</v>
      </c>
      <c r="N248" t="b">
        <v>1</v>
      </c>
      <c r="O248">
        <v>3</v>
      </c>
      <c r="P248">
        <v>568</v>
      </c>
      <c r="Q248">
        <v>645</v>
      </c>
      <c r="R248">
        <v>13.6</v>
      </c>
      <c r="S248" t="s">
        <v>246</v>
      </c>
      <c r="T248" t="s">
        <v>567</v>
      </c>
      <c r="U248">
        <v>10.11791960604058</v>
      </c>
      <c r="V248">
        <v>22.4</v>
      </c>
      <c r="W248" t="s">
        <v>883</v>
      </c>
      <c r="X248">
        <v>41.20509158442094</v>
      </c>
      <c r="Y248">
        <v>5045</v>
      </c>
      <c r="Z248">
        <v>325249</v>
      </c>
      <c r="AA248" t="s">
        <v>1201</v>
      </c>
      <c r="AB248">
        <v>70.83</v>
      </c>
      <c r="AC248" t="s">
        <v>1522</v>
      </c>
      <c r="AD248" t="s">
        <v>1841</v>
      </c>
      <c r="AE248">
        <v>3947</v>
      </c>
      <c r="AF248">
        <v>761</v>
      </c>
      <c r="AG248">
        <v>5171107</v>
      </c>
      <c r="AH248">
        <v>1.77</v>
      </c>
    </row>
    <row r="249" spans="1:34">
      <c r="A249" s="2">
        <f>HYPERLINK("https://finance.naver.com/item/coinfo.nhn?code=089890", "A089890")</f>
        <v>0</v>
      </c>
      <c r="B249">
        <f>HYPERLINK("http://comp.fnguide.com/SVO2/ASP/SVD_Consensus.asp?pGB=1&amp;gicode=A089890&amp;cID=&amp;MenuYn=Y&amp;ReportGB=&amp;NewMenuID=108&amp;stkGb=701", "코세스")</f>
        <v>0</v>
      </c>
      <c r="C249">
        <v>1</v>
      </c>
      <c r="D249">
        <v>7760</v>
      </c>
      <c r="E249">
        <v>0</v>
      </c>
      <c r="F249">
        <v>23.56</v>
      </c>
      <c r="G249">
        <v>10865</v>
      </c>
      <c r="H249">
        <v>5388</v>
      </c>
      <c r="I249">
        <v>3831</v>
      </c>
      <c r="J249">
        <v>-40.01</v>
      </c>
      <c r="K249">
        <v>30.57</v>
      </c>
      <c r="L249">
        <v>50.63</v>
      </c>
      <c r="M249">
        <v>48.97</v>
      </c>
      <c r="N249" t="b">
        <v>1</v>
      </c>
      <c r="O249">
        <v>0</v>
      </c>
      <c r="P249">
        <v>371</v>
      </c>
      <c r="S249" t="s">
        <v>247</v>
      </c>
      <c r="T249" t="s">
        <v>568</v>
      </c>
      <c r="U249">
        <v>0</v>
      </c>
      <c r="V249">
        <v>21.3</v>
      </c>
      <c r="W249" t="s">
        <v>884</v>
      </c>
      <c r="X249">
        <v>-10.45219045738443</v>
      </c>
      <c r="Y249">
        <v>1287</v>
      </c>
      <c r="Z249">
        <v>204100</v>
      </c>
      <c r="AA249" t="s">
        <v>1202</v>
      </c>
      <c r="AB249">
        <v>51.31</v>
      </c>
      <c r="AC249" t="s">
        <v>1523</v>
      </c>
      <c r="AD249" t="s">
        <v>1842</v>
      </c>
      <c r="AE249">
        <v>656</v>
      </c>
      <c r="AF249">
        <v>77</v>
      </c>
      <c r="AG249">
        <v>1202816</v>
      </c>
    </row>
    <row r="250" spans="1:34">
      <c r="A250" s="2">
        <f>HYPERLINK("https://finance.naver.com/item/coinfo.nhn?code=066700", "A066700")</f>
        <v>0</v>
      </c>
      <c r="B250">
        <f>HYPERLINK("http://comp.fnguide.com/SVO2/ASP/SVD_Consensus.asp?pGB=1&amp;gicode=A066700&amp;cID=&amp;MenuYn=Y&amp;ReportGB=&amp;NewMenuID=108&amp;stkGb=701", "테라젠이텍스")</f>
        <v>0</v>
      </c>
      <c r="C250">
        <v>1</v>
      </c>
      <c r="D250">
        <v>9820</v>
      </c>
      <c r="E250">
        <v>0</v>
      </c>
      <c r="F250">
        <v>5.95</v>
      </c>
      <c r="G250">
        <v>10931</v>
      </c>
      <c r="H250">
        <v>6914</v>
      </c>
      <c r="I250">
        <v>5772</v>
      </c>
      <c r="J250">
        <v>-11.31</v>
      </c>
      <c r="K250">
        <v>29.6</v>
      </c>
      <c r="L250">
        <v>41.22</v>
      </c>
      <c r="M250">
        <v>20.4</v>
      </c>
      <c r="N250" t="b">
        <v>1</v>
      </c>
      <c r="O250">
        <v>0</v>
      </c>
      <c r="P250">
        <v>1408</v>
      </c>
      <c r="S250" t="s">
        <v>248</v>
      </c>
      <c r="T250" t="s">
        <v>569</v>
      </c>
      <c r="U250">
        <v>0</v>
      </c>
      <c r="V250">
        <v>0</v>
      </c>
      <c r="W250" t="s">
        <v>885</v>
      </c>
      <c r="X250">
        <v>-47.4</v>
      </c>
      <c r="Y250">
        <v>3183</v>
      </c>
      <c r="Z250">
        <v>351741</v>
      </c>
      <c r="AA250" t="s">
        <v>1203</v>
      </c>
      <c r="AB250">
        <v>16.89</v>
      </c>
      <c r="AC250" t="s">
        <v>1524</v>
      </c>
      <c r="AD250" t="s">
        <v>1843</v>
      </c>
      <c r="AE250">
        <v>1381</v>
      </c>
      <c r="AF250">
        <v>37</v>
      </c>
      <c r="AG250">
        <v>469056</v>
      </c>
    </row>
    <row r="251" spans="1:34">
      <c r="A251" s="2">
        <f>HYPERLINK("https://finance.naver.com/item/coinfo.nhn?code=307930", "A307930")</f>
        <v>0</v>
      </c>
      <c r="B251">
        <f>HYPERLINK("http://comp.fnguide.com/SVO2/ASP/SVD_Consensus.asp?pGB=1&amp;gicode=A307930&amp;cID=&amp;MenuYn=Y&amp;ReportGB=&amp;NewMenuID=108&amp;stkGb=701", "컴퍼니케이")</f>
        <v>0</v>
      </c>
      <c r="C251">
        <v>1</v>
      </c>
      <c r="D251">
        <v>6860</v>
      </c>
      <c r="E251">
        <v>0</v>
      </c>
      <c r="F251">
        <v>12.85</v>
      </c>
      <c r="G251">
        <v>8241</v>
      </c>
      <c r="H251">
        <v>5256</v>
      </c>
      <c r="I251">
        <v>4408</v>
      </c>
      <c r="J251">
        <v>-20.13</v>
      </c>
      <c r="K251">
        <v>23.38</v>
      </c>
      <c r="L251">
        <v>35.75</v>
      </c>
      <c r="M251">
        <v>19.95</v>
      </c>
      <c r="N251" t="b">
        <v>1</v>
      </c>
      <c r="O251">
        <v>0</v>
      </c>
      <c r="P251">
        <v>605</v>
      </c>
      <c r="S251" t="s">
        <v>249</v>
      </c>
      <c r="T251" t="s">
        <v>570</v>
      </c>
      <c r="U251">
        <v>0</v>
      </c>
      <c r="W251" t="s">
        <v>657</v>
      </c>
      <c r="X251">
        <v>-8.343042120225707</v>
      </c>
      <c r="Y251">
        <v>1071</v>
      </c>
      <c r="Z251">
        <v>115434</v>
      </c>
      <c r="AA251" t="s">
        <v>1204</v>
      </c>
      <c r="AB251">
        <v>73.61</v>
      </c>
      <c r="AC251" t="s">
        <v>1525</v>
      </c>
      <c r="AD251" t="s">
        <v>1844</v>
      </c>
      <c r="AE251">
        <v>169</v>
      </c>
      <c r="AF251">
        <v>108</v>
      </c>
      <c r="AH251">
        <v>2.06</v>
      </c>
    </row>
    <row r="252" spans="1:34">
      <c r="A252" s="2">
        <f>HYPERLINK("https://finance.naver.com/item/coinfo.nhn?code=101240", "A101240")</f>
        <v>0</v>
      </c>
      <c r="B252">
        <f>HYPERLINK("http://comp.fnguide.com/SVO2/ASP/SVD_Consensus.asp?pGB=1&amp;gicode=A101240&amp;cID=&amp;MenuYn=Y&amp;ReportGB=&amp;NewMenuID=108&amp;stkGb=701", "씨큐브")</f>
        <v>0</v>
      </c>
      <c r="C252">
        <v>1</v>
      </c>
      <c r="D252">
        <v>7190</v>
      </c>
      <c r="E252">
        <v>0</v>
      </c>
      <c r="F252">
        <v>14.26</v>
      </c>
      <c r="G252">
        <v>7750</v>
      </c>
      <c r="H252">
        <v>6719</v>
      </c>
      <c r="I252">
        <v>6426</v>
      </c>
      <c r="J252">
        <v>-7.8</v>
      </c>
      <c r="K252">
        <v>6.55</v>
      </c>
      <c r="L252">
        <v>10.63</v>
      </c>
      <c r="M252">
        <v>10.2</v>
      </c>
      <c r="N252" t="b">
        <v>1</v>
      </c>
      <c r="O252">
        <v>0</v>
      </c>
      <c r="P252">
        <v>586</v>
      </c>
      <c r="S252" t="s">
        <v>250</v>
      </c>
      <c r="T252" t="s">
        <v>571</v>
      </c>
      <c r="U252">
        <v>0</v>
      </c>
      <c r="V252">
        <v>-44.5</v>
      </c>
      <c r="W252" t="s">
        <v>886</v>
      </c>
      <c r="X252">
        <v>0.2321839953501659</v>
      </c>
      <c r="Y252">
        <v>729</v>
      </c>
      <c r="Z252">
        <v>24255</v>
      </c>
      <c r="AA252" t="s">
        <v>1205</v>
      </c>
      <c r="AB252">
        <v>31.52</v>
      </c>
      <c r="AC252" t="s">
        <v>1526</v>
      </c>
      <c r="AD252" t="s">
        <v>1845</v>
      </c>
      <c r="AE252">
        <v>447</v>
      </c>
      <c r="AF252">
        <v>77</v>
      </c>
      <c r="AG252">
        <v>1175576</v>
      </c>
      <c r="AH252">
        <v>2.03</v>
      </c>
    </row>
    <row r="253" spans="1:34">
      <c r="A253" s="2">
        <f>HYPERLINK("https://finance.naver.com/item/coinfo.nhn?code=010050", "A010050")</f>
        <v>0</v>
      </c>
      <c r="B253">
        <f>HYPERLINK("http://comp.fnguide.com/SVO2/ASP/SVD_Consensus.asp?pGB=1&amp;gicode=A010050&amp;cID=&amp;MenuYn=Y&amp;ReportGB=&amp;NewMenuID=108&amp;stkGb=701", "우리종금")</f>
        <v>0</v>
      </c>
      <c r="C253">
        <v>1</v>
      </c>
      <c r="D253">
        <v>536</v>
      </c>
      <c r="E253">
        <v>0</v>
      </c>
      <c r="F253">
        <v>8.01</v>
      </c>
      <c r="G253">
        <v>684</v>
      </c>
      <c r="H253">
        <v>525</v>
      </c>
      <c r="I253">
        <v>480</v>
      </c>
      <c r="J253">
        <v>-27.53</v>
      </c>
      <c r="K253">
        <v>2.03</v>
      </c>
      <c r="L253">
        <v>10.44</v>
      </c>
      <c r="M253">
        <v>12.92</v>
      </c>
      <c r="N253" t="b">
        <v>1</v>
      </c>
      <c r="O253">
        <v>0</v>
      </c>
      <c r="P253">
        <v>78</v>
      </c>
      <c r="S253" t="s">
        <v>251</v>
      </c>
      <c r="T253" t="s">
        <v>572</v>
      </c>
      <c r="U253">
        <v>0</v>
      </c>
      <c r="W253" t="s">
        <v>657</v>
      </c>
      <c r="X253">
        <v>-15.34160040286397</v>
      </c>
      <c r="Y253">
        <v>4686</v>
      </c>
      <c r="Z253">
        <v>1431829</v>
      </c>
      <c r="AA253" t="s">
        <v>1206</v>
      </c>
      <c r="AB253">
        <v>58.75</v>
      </c>
      <c r="AC253" t="s">
        <v>1527</v>
      </c>
      <c r="AD253" t="s">
        <v>1846</v>
      </c>
      <c r="AE253">
        <v>2051</v>
      </c>
      <c r="AF253">
        <v>539</v>
      </c>
      <c r="AG253">
        <v>69076</v>
      </c>
    </row>
    <row r="254" spans="1:34">
      <c r="A254" s="2">
        <f>HYPERLINK("https://finance.naver.com/item/coinfo.nhn?code=018250", "A018250")</f>
        <v>0</v>
      </c>
      <c r="B254">
        <f>HYPERLINK("http://comp.fnguide.com/SVO2/ASP/SVD_Consensus.asp?pGB=1&amp;gicode=A018250&amp;cID=&amp;MenuYn=Y&amp;ReportGB=&amp;NewMenuID=108&amp;stkGb=701", "애경산업")</f>
        <v>0</v>
      </c>
      <c r="C254">
        <v>1</v>
      </c>
      <c r="D254">
        <v>24250</v>
      </c>
      <c r="E254">
        <v>-0.59</v>
      </c>
      <c r="F254">
        <v>17.97</v>
      </c>
      <c r="G254">
        <v>35988</v>
      </c>
      <c r="H254">
        <v>22106</v>
      </c>
      <c r="I254">
        <v>18160</v>
      </c>
      <c r="J254">
        <v>-48.4</v>
      </c>
      <c r="K254">
        <v>8.84</v>
      </c>
      <c r="L254">
        <v>25.11</v>
      </c>
      <c r="M254">
        <v>22.12</v>
      </c>
      <c r="N254" t="b">
        <v>1</v>
      </c>
      <c r="O254">
        <v>0</v>
      </c>
      <c r="P254">
        <v>1581</v>
      </c>
      <c r="Q254">
        <v>598</v>
      </c>
      <c r="R254">
        <v>-62.2</v>
      </c>
      <c r="S254" t="s">
        <v>252</v>
      </c>
      <c r="T254" t="s">
        <v>573</v>
      </c>
      <c r="U254">
        <v>-30.54817492399309</v>
      </c>
      <c r="V254">
        <v>-70.09999999999999</v>
      </c>
      <c r="W254" t="s">
        <v>887</v>
      </c>
      <c r="X254">
        <v>-10.75607852195181</v>
      </c>
      <c r="Y254">
        <v>6404</v>
      </c>
      <c r="Z254">
        <v>75869</v>
      </c>
      <c r="AA254" t="s">
        <v>1207</v>
      </c>
      <c r="AB254">
        <v>63.43</v>
      </c>
      <c r="AC254" t="s">
        <v>1528</v>
      </c>
      <c r="AD254" t="s">
        <v>1847</v>
      </c>
      <c r="AE254">
        <v>7013</v>
      </c>
      <c r="AF254">
        <v>606</v>
      </c>
      <c r="AG254">
        <v>200010</v>
      </c>
      <c r="AH254">
        <v>1.58</v>
      </c>
    </row>
    <row r="255" spans="1:34">
      <c r="A255" s="2">
        <f>HYPERLINK("https://finance.naver.com/item/coinfo.nhn?code=037030", "A037030")</f>
        <v>0</v>
      </c>
      <c r="B255">
        <f>HYPERLINK("http://comp.fnguide.com/SVO2/ASP/SVD_Consensus.asp?pGB=1&amp;gicode=A037030&amp;cID=&amp;MenuYn=Y&amp;ReportGB=&amp;NewMenuID=108&amp;stkGb=701", "파워넷")</f>
        <v>0</v>
      </c>
      <c r="C255">
        <v>1</v>
      </c>
      <c r="D255">
        <v>5290</v>
      </c>
      <c r="E255">
        <v>0</v>
      </c>
      <c r="F255">
        <v>9.33</v>
      </c>
      <c r="G255">
        <v>5556</v>
      </c>
      <c r="H255">
        <v>4226</v>
      </c>
      <c r="I255">
        <v>3848</v>
      </c>
      <c r="J255">
        <v>-5.03</v>
      </c>
      <c r="K255">
        <v>20.12</v>
      </c>
      <c r="L255">
        <v>27.26</v>
      </c>
      <c r="M255">
        <v>13.19</v>
      </c>
      <c r="N255" t="b">
        <v>1</v>
      </c>
      <c r="O255">
        <v>0</v>
      </c>
      <c r="P255">
        <v>451</v>
      </c>
      <c r="S255" t="s">
        <v>253</v>
      </c>
      <c r="T255" t="s">
        <v>574</v>
      </c>
      <c r="U255">
        <v>0</v>
      </c>
      <c r="V255">
        <v>-58.9</v>
      </c>
      <c r="W255" t="s">
        <v>888</v>
      </c>
      <c r="X255">
        <v>-16.76596450030813</v>
      </c>
      <c r="Y255">
        <v>826</v>
      </c>
      <c r="Z255">
        <v>460789</v>
      </c>
      <c r="AA255" t="s">
        <v>1208</v>
      </c>
      <c r="AB255">
        <v>25.52</v>
      </c>
      <c r="AC255" t="s">
        <v>1529</v>
      </c>
      <c r="AD255" t="s">
        <v>1848</v>
      </c>
      <c r="AE255">
        <v>1286</v>
      </c>
      <c r="AF255">
        <v>52</v>
      </c>
      <c r="AG255">
        <v>5633</v>
      </c>
    </row>
    <row r="256" spans="1:34">
      <c r="A256" s="2">
        <f>HYPERLINK("https://finance.naver.com/item/coinfo.nhn?code=243070", "A243070")</f>
        <v>0</v>
      </c>
      <c r="B256">
        <f>HYPERLINK("http://comp.fnguide.com/SVO2/ASP/SVD_Consensus.asp?pGB=1&amp;gicode=A243070&amp;cID=&amp;MenuYn=Y&amp;ReportGB=&amp;NewMenuID=108&amp;stkGb=701", "휴온스")</f>
        <v>0</v>
      </c>
      <c r="C256">
        <v>1</v>
      </c>
      <c r="D256">
        <v>63800</v>
      </c>
      <c r="E256">
        <v>1.58</v>
      </c>
      <c r="F256">
        <v>13.97</v>
      </c>
      <c r="G256">
        <v>66605</v>
      </c>
      <c r="H256">
        <v>38481</v>
      </c>
      <c r="I256">
        <v>30489</v>
      </c>
      <c r="J256">
        <v>-4.4</v>
      </c>
      <c r="K256">
        <v>39.68</v>
      </c>
      <c r="L256">
        <v>52.21</v>
      </c>
      <c r="M256">
        <v>26.62</v>
      </c>
      <c r="N256" t="b">
        <v>1</v>
      </c>
      <c r="O256">
        <v>1</v>
      </c>
      <c r="P256">
        <v>3867</v>
      </c>
      <c r="Q256">
        <v>4569</v>
      </c>
      <c r="R256">
        <v>18.2</v>
      </c>
      <c r="S256" t="s">
        <v>254</v>
      </c>
      <c r="T256" t="s">
        <v>575</v>
      </c>
      <c r="U256">
        <v>8.814799272734897</v>
      </c>
      <c r="V256">
        <v>16.8</v>
      </c>
      <c r="W256" t="s">
        <v>889</v>
      </c>
      <c r="X256">
        <v>0</v>
      </c>
      <c r="Y256">
        <v>6304</v>
      </c>
      <c r="Z256">
        <v>141329</v>
      </c>
      <c r="AA256" t="s">
        <v>1209</v>
      </c>
      <c r="AB256">
        <v>45.05</v>
      </c>
      <c r="AC256" t="s">
        <v>1530</v>
      </c>
      <c r="AD256" t="s">
        <v>1849</v>
      </c>
      <c r="AE256">
        <v>3650</v>
      </c>
      <c r="AF256">
        <v>484</v>
      </c>
      <c r="AG256">
        <v>88459</v>
      </c>
      <c r="AH256">
        <v>1.18</v>
      </c>
    </row>
    <row r="257" spans="1:34">
      <c r="A257" s="2">
        <f>HYPERLINK("https://finance.naver.com/item/coinfo.nhn?code=000990", "A000990")</f>
        <v>0</v>
      </c>
      <c r="B257">
        <f>HYPERLINK("http://comp.fnguide.com/SVO2/ASP/SVD_Consensus.asp?pGB=1&amp;gicode=A000990&amp;cID=&amp;MenuYn=Y&amp;ReportGB=&amp;NewMenuID=108&amp;stkGb=701", "DB하이텍")</f>
        <v>0</v>
      </c>
      <c r="C257">
        <v>1</v>
      </c>
      <c r="D257">
        <v>35000</v>
      </c>
      <c r="E257">
        <v>0.58</v>
      </c>
      <c r="F257">
        <v>11.74</v>
      </c>
      <c r="G257">
        <v>35621</v>
      </c>
      <c r="H257">
        <v>23140</v>
      </c>
      <c r="I257">
        <v>19594</v>
      </c>
      <c r="J257">
        <v>-1.77</v>
      </c>
      <c r="K257">
        <v>33.88</v>
      </c>
      <c r="L257">
        <v>44.02</v>
      </c>
      <c r="M257">
        <v>19.01</v>
      </c>
      <c r="N257" t="b">
        <v>1</v>
      </c>
      <c r="O257">
        <v>2</v>
      </c>
      <c r="P257">
        <v>2351</v>
      </c>
      <c r="Q257">
        <v>4312</v>
      </c>
      <c r="R257">
        <v>83.40000000000001</v>
      </c>
      <c r="S257" t="s">
        <v>255</v>
      </c>
      <c r="T257" t="s">
        <v>576</v>
      </c>
      <c r="U257">
        <v>20.31068474553594</v>
      </c>
      <c r="V257">
        <v>65.5</v>
      </c>
      <c r="W257" t="s">
        <v>890</v>
      </c>
      <c r="X257">
        <v>6.434420231846882</v>
      </c>
      <c r="Y257">
        <v>15540</v>
      </c>
      <c r="Z257">
        <v>505213</v>
      </c>
      <c r="AA257" t="s">
        <v>1210</v>
      </c>
      <c r="AB257">
        <v>17.44</v>
      </c>
      <c r="AC257" t="s">
        <v>1531</v>
      </c>
      <c r="AD257" t="s">
        <v>1850</v>
      </c>
      <c r="AE257">
        <v>8074</v>
      </c>
      <c r="AF257">
        <v>1813</v>
      </c>
      <c r="AG257">
        <v>1065964</v>
      </c>
      <c r="AH257">
        <v>1.27</v>
      </c>
    </row>
    <row r="258" spans="1:34">
      <c r="A258" s="2">
        <f>HYPERLINK("https://finance.naver.com/item/coinfo.nhn?code=086280", "A086280")</f>
        <v>0</v>
      </c>
      <c r="B258">
        <f>HYPERLINK("http://comp.fnguide.com/SVO2/ASP/SVD_Consensus.asp?pGB=1&amp;gicode=A086280&amp;cID=&amp;MenuYn=Y&amp;ReportGB=&amp;NewMenuID=108&amp;stkGb=701", "현대글로비스")</f>
        <v>0</v>
      </c>
      <c r="C258">
        <v>1</v>
      </c>
      <c r="D258">
        <v>185500</v>
      </c>
      <c r="E258">
        <v>-1.68</v>
      </c>
      <c r="F258">
        <v>10.68</v>
      </c>
      <c r="G258">
        <v>191308</v>
      </c>
      <c r="H258">
        <v>151137</v>
      </c>
      <c r="I258">
        <v>139720</v>
      </c>
      <c r="J258">
        <v>-3.13</v>
      </c>
      <c r="K258">
        <v>18.52</v>
      </c>
      <c r="L258">
        <v>24.68</v>
      </c>
      <c r="M258">
        <v>12.2</v>
      </c>
      <c r="N258" t="b">
        <v>0</v>
      </c>
      <c r="O258">
        <v>2</v>
      </c>
      <c r="P258">
        <v>13395</v>
      </c>
      <c r="Q258">
        <v>14885</v>
      </c>
      <c r="R258">
        <v>11.1</v>
      </c>
      <c r="S258" t="s">
        <v>256</v>
      </c>
      <c r="T258" t="s">
        <v>577</v>
      </c>
      <c r="U258">
        <v>-6.370000690007071</v>
      </c>
      <c r="V258">
        <v>60.4</v>
      </c>
      <c r="W258" t="s">
        <v>891</v>
      </c>
      <c r="X258">
        <v>16.42381886707241</v>
      </c>
      <c r="Y258">
        <v>69563</v>
      </c>
      <c r="Z258">
        <v>358624</v>
      </c>
      <c r="AA258" t="s">
        <v>1211</v>
      </c>
      <c r="AB258">
        <v>51.39</v>
      </c>
      <c r="AC258" t="s">
        <v>1532</v>
      </c>
      <c r="AD258" t="s">
        <v>1851</v>
      </c>
      <c r="AE258">
        <v>182701</v>
      </c>
      <c r="AF258">
        <v>8765</v>
      </c>
      <c r="AH258">
        <v>2.45</v>
      </c>
    </row>
    <row r="259" spans="1:34">
      <c r="A259" s="2">
        <f>HYPERLINK("https://finance.naver.com/item/coinfo.nhn?code=007700", "A007700")</f>
        <v>0</v>
      </c>
      <c r="B259">
        <f>HYPERLINK("http://comp.fnguide.com/SVO2/ASP/SVD_Consensus.asp?pGB=1&amp;gicode=A007700&amp;cID=&amp;MenuYn=Y&amp;ReportGB=&amp;NewMenuID=108&amp;stkGb=701", "F&amp;F")</f>
        <v>0</v>
      </c>
      <c r="C259">
        <v>1</v>
      </c>
      <c r="D259">
        <v>83500</v>
      </c>
      <c r="E259">
        <v>5.54</v>
      </c>
      <c r="F259">
        <v>15.65</v>
      </c>
      <c r="G259">
        <v>110736</v>
      </c>
      <c r="H259">
        <v>63078</v>
      </c>
      <c r="I259">
        <v>49535</v>
      </c>
      <c r="J259">
        <v>-32.62</v>
      </c>
      <c r="K259">
        <v>24.46</v>
      </c>
      <c r="L259">
        <v>40.68</v>
      </c>
      <c r="M259">
        <v>27.89</v>
      </c>
      <c r="N259" t="b">
        <v>1</v>
      </c>
      <c r="O259">
        <v>0</v>
      </c>
      <c r="P259">
        <v>7156</v>
      </c>
      <c r="Q259">
        <v>5285</v>
      </c>
      <c r="R259">
        <v>-26.1</v>
      </c>
      <c r="S259" t="s">
        <v>257</v>
      </c>
      <c r="T259" t="s">
        <v>578</v>
      </c>
      <c r="U259">
        <v>2.824761190545155</v>
      </c>
      <c r="V259">
        <v>-38.7</v>
      </c>
      <c r="W259" t="s">
        <v>892</v>
      </c>
      <c r="X259">
        <v>40.25820900816466</v>
      </c>
      <c r="Y259">
        <v>12859</v>
      </c>
      <c r="Z259">
        <v>82332</v>
      </c>
      <c r="AA259" t="s">
        <v>1212</v>
      </c>
      <c r="AB259">
        <v>58.82</v>
      </c>
      <c r="AC259" t="s">
        <v>1533</v>
      </c>
      <c r="AD259" t="s">
        <v>1852</v>
      </c>
      <c r="AE259">
        <v>9103</v>
      </c>
      <c r="AF259">
        <v>1507</v>
      </c>
      <c r="AG259">
        <v>79896</v>
      </c>
      <c r="AH259">
        <v>0.89</v>
      </c>
    </row>
    <row r="260" spans="1:34">
      <c r="A260" s="2">
        <f>HYPERLINK("https://finance.naver.com/item/coinfo.nhn?code=256150", "A256150")</f>
        <v>0</v>
      </c>
      <c r="B260">
        <f>HYPERLINK("http://comp.fnguide.com/SVO2/ASP/SVD_Consensus.asp?pGB=1&amp;gicode=A256150&amp;cID=&amp;MenuYn=Y&amp;ReportGB=&amp;NewMenuID=108&amp;stkGb=701", "한독크린텍")</f>
        <v>0</v>
      </c>
      <c r="C260">
        <v>1</v>
      </c>
      <c r="D260">
        <v>26200</v>
      </c>
      <c r="E260">
        <v>0</v>
      </c>
      <c r="F260">
        <v>11.47</v>
      </c>
      <c r="G260">
        <v>26637</v>
      </c>
      <c r="H260">
        <v>15902</v>
      </c>
      <c r="I260">
        <v>12852</v>
      </c>
      <c r="J260">
        <v>-1.67</v>
      </c>
      <c r="K260">
        <v>39.3</v>
      </c>
      <c r="L260">
        <v>50.95</v>
      </c>
      <c r="M260">
        <v>24.04</v>
      </c>
      <c r="N260" t="b">
        <v>1</v>
      </c>
      <c r="O260">
        <v>0</v>
      </c>
      <c r="P260">
        <v>1356</v>
      </c>
      <c r="S260" t="s">
        <v>258</v>
      </c>
      <c r="T260" t="s">
        <v>579</v>
      </c>
      <c r="U260">
        <v>0</v>
      </c>
      <c r="V260">
        <v>44.7</v>
      </c>
      <c r="W260" t="s">
        <v>893</v>
      </c>
      <c r="X260">
        <v>25.72704483681174</v>
      </c>
      <c r="Y260">
        <v>1072</v>
      </c>
      <c r="Z260">
        <v>13402</v>
      </c>
      <c r="AA260" t="s">
        <v>1213</v>
      </c>
      <c r="AB260">
        <v>41.11</v>
      </c>
      <c r="AC260" t="s">
        <v>1534</v>
      </c>
      <c r="AD260" t="s">
        <v>1853</v>
      </c>
      <c r="AE260">
        <v>484</v>
      </c>
      <c r="AF260">
        <v>61</v>
      </c>
      <c r="AG260">
        <v>543850</v>
      </c>
      <c r="AH260">
        <v>1.29</v>
      </c>
    </row>
    <row r="261" spans="1:34">
      <c r="A261" s="2">
        <f>HYPERLINK("https://finance.naver.com/item/coinfo.nhn?code=025770", "A025770")</f>
        <v>0</v>
      </c>
      <c r="B261">
        <f>HYPERLINK("http://comp.fnguide.com/SVO2/ASP/SVD_Consensus.asp?pGB=1&amp;gicode=A025770&amp;cID=&amp;MenuYn=Y&amp;ReportGB=&amp;NewMenuID=108&amp;stkGb=701", "한국정보통신")</f>
        <v>0</v>
      </c>
      <c r="C261">
        <v>1</v>
      </c>
      <c r="D261">
        <v>9390</v>
      </c>
      <c r="E261">
        <v>0</v>
      </c>
      <c r="F261">
        <v>10.84</v>
      </c>
      <c r="G261">
        <v>9572</v>
      </c>
      <c r="H261">
        <v>7143</v>
      </c>
      <c r="I261">
        <v>6453</v>
      </c>
      <c r="J261">
        <v>-1.93</v>
      </c>
      <c r="K261">
        <v>23.92</v>
      </c>
      <c r="L261">
        <v>31.27</v>
      </c>
      <c r="M261">
        <v>13.73</v>
      </c>
      <c r="N261" t="b">
        <v>1</v>
      </c>
      <c r="O261">
        <v>0</v>
      </c>
      <c r="P261">
        <v>634</v>
      </c>
      <c r="S261" t="s">
        <v>259</v>
      </c>
      <c r="T261" t="s">
        <v>580</v>
      </c>
      <c r="U261">
        <v>0</v>
      </c>
      <c r="V261">
        <v>-31.7</v>
      </c>
      <c r="W261" t="s">
        <v>894</v>
      </c>
      <c r="X261">
        <v>-5.316520177583229</v>
      </c>
      <c r="Y261">
        <v>3516</v>
      </c>
      <c r="Z261">
        <v>106478</v>
      </c>
      <c r="AA261" t="s">
        <v>1214</v>
      </c>
      <c r="AB261">
        <v>85.73999999999999</v>
      </c>
      <c r="AC261" t="s">
        <v>1535</v>
      </c>
      <c r="AD261" t="s">
        <v>1854</v>
      </c>
      <c r="AE261">
        <v>4988</v>
      </c>
      <c r="AF261">
        <v>342</v>
      </c>
      <c r="AG261">
        <v>919159</v>
      </c>
    </row>
    <row r="262" spans="1:34">
      <c r="A262" s="2">
        <f>HYPERLINK("https://finance.naver.com/item/coinfo.nhn?code=081660", "A081660")</f>
        <v>0</v>
      </c>
      <c r="B262">
        <f>HYPERLINK("http://comp.fnguide.com/SVO2/ASP/SVD_Consensus.asp?pGB=1&amp;gicode=A081660&amp;cID=&amp;MenuYn=Y&amp;ReportGB=&amp;NewMenuID=108&amp;stkGb=701", "휠라홀딩스")</f>
        <v>0</v>
      </c>
      <c r="C262">
        <v>1</v>
      </c>
      <c r="D262">
        <v>41350</v>
      </c>
      <c r="E262">
        <v>0.26</v>
      </c>
      <c r="F262">
        <v>12.14</v>
      </c>
      <c r="G262">
        <v>48462</v>
      </c>
      <c r="H262">
        <v>31816</v>
      </c>
      <c r="I262">
        <v>27085</v>
      </c>
      <c r="J262">
        <v>-17.2</v>
      </c>
      <c r="K262">
        <v>23.06</v>
      </c>
      <c r="L262">
        <v>34.5</v>
      </c>
      <c r="M262">
        <v>18.5</v>
      </c>
      <c r="N262" t="b">
        <v>1</v>
      </c>
      <c r="O262">
        <v>0</v>
      </c>
      <c r="P262">
        <v>4365</v>
      </c>
      <c r="Q262">
        <v>3197</v>
      </c>
      <c r="R262">
        <v>-26.8</v>
      </c>
      <c r="S262" t="s">
        <v>260</v>
      </c>
      <c r="T262" t="s">
        <v>581</v>
      </c>
      <c r="U262">
        <v>45.84583301302203</v>
      </c>
      <c r="V262">
        <v>-39</v>
      </c>
      <c r="W262" t="s">
        <v>895</v>
      </c>
      <c r="X262">
        <v>-17.29044929373262</v>
      </c>
      <c r="Y262">
        <v>25121</v>
      </c>
      <c r="Z262">
        <v>312090</v>
      </c>
      <c r="AA262" t="s">
        <v>1215</v>
      </c>
      <c r="AB262">
        <v>21.64</v>
      </c>
      <c r="AC262" t="s">
        <v>1536</v>
      </c>
      <c r="AD262" t="s">
        <v>1855</v>
      </c>
      <c r="AE262">
        <v>34504</v>
      </c>
      <c r="AF262">
        <v>4707</v>
      </c>
      <c r="AG262">
        <v>657840</v>
      </c>
      <c r="AH262">
        <v>0.41</v>
      </c>
    </row>
    <row r="263" spans="1:34">
      <c r="A263" s="2">
        <f>HYPERLINK("https://finance.naver.com/item/coinfo.nhn?code=069260", "A069260")</f>
        <v>0</v>
      </c>
      <c r="B263">
        <f>HYPERLINK("http://comp.fnguide.com/SVO2/ASP/SVD_Consensus.asp?pGB=1&amp;gicode=A069260&amp;cID=&amp;MenuYn=Y&amp;ReportGB=&amp;NewMenuID=108&amp;stkGb=701", "휴켐스")</f>
        <v>0</v>
      </c>
      <c r="C263">
        <v>1</v>
      </c>
      <c r="D263">
        <v>22900</v>
      </c>
      <c r="E263">
        <v>-0.93</v>
      </c>
      <c r="F263">
        <v>12.29</v>
      </c>
      <c r="G263">
        <v>31355</v>
      </c>
      <c r="H263">
        <v>22726</v>
      </c>
      <c r="I263">
        <v>20273</v>
      </c>
      <c r="J263">
        <v>-36.92</v>
      </c>
      <c r="K263">
        <v>0.76</v>
      </c>
      <c r="L263">
        <v>11.47</v>
      </c>
      <c r="M263">
        <v>14.63</v>
      </c>
      <c r="N263" t="b">
        <v>1</v>
      </c>
      <c r="O263">
        <v>1</v>
      </c>
      <c r="P263">
        <v>1721</v>
      </c>
      <c r="Q263">
        <v>1832</v>
      </c>
      <c r="R263">
        <v>6.4</v>
      </c>
      <c r="S263" t="s">
        <v>261</v>
      </c>
      <c r="T263" t="s">
        <v>582</v>
      </c>
      <c r="U263">
        <v>-13.17709835754124</v>
      </c>
      <c r="V263">
        <v>-32.1</v>
      </c>
      <c r="W263" t="s">
        <v>896</v>
      </c>
      <c r="X263">
        <v>5.432344921736831</v>
      </c>
      <c r="Y263">
        <v>9361</v>
      </c>
      <c r="Z263">
        <v>176028</v>
      </c>
      <c r="AA263" t="s">
        <v>1216</v>
      </c>
      <c r="AB263">
        <v>43.42</v>
      </c>
      <c r="AC263" t="s">
        <v>1537</v>
      </c>
      <c r="AD263" t="s">
        <v>1856</v>
      </c>
      <c r="AE263">
        <v>6598</v>
      </c>
      <c r="AF263">
        <v>1064</v>
      </c>
      <c r="AG263">
        <v>2507711</v>
      </c>
      <c r="AH263">
        <v>4.73</v>
      </c>
    </row>
    <row r="264" spans="1:34">
      <c r="A264" s="2">
        <f>HYPERLINK("https://finance.naver.com/item/coinfo.nhn?code=126700", "A126700")</f>
        <v>0</v>
      </c>
      <c r="B264">
        <f>HYPERLINK("http://comp.fnguide.com/SVO2/ASP/SVD_Consensus.asp?pGB=1&amp;gicode=A126700&amp;cID=&amp;MenuYn=Y&amp;ReportGB=&amp;NewMenuID=108&amp;stkGb=701", "하이비젼시스템")</f>
        <v>0</v>
      </c>
      <c r="C264">
        <v>1</v>
      </c>
      <c r="D264">
        <v>12550</v>
      </c>
      <c r="E264">
        <v>-1.79</v>
      </c>
      <c r="F264">
        <v>22.26</v>
      </c>
      <c r="G264">
        <v>16240</v>
      </c>
      <c r="H264">
        <v>11883</v>
      </c>
      <c r="I264">
        <v>10645</v>
      </c>
      <c r="J264">
        <v>-29.4</v>
      </c>
      <c r="K264">
        <v>5.31</v>
      </c>
      <c r="L264">
        <v>15.18</v>
      </c>
      <c r="M264">
        <v>14.33</v>
      </c>
      <c r="N264" t="b">
        <v>1</v>
      </c>
      <c r="O264">
        <v>1</v>
      </c>
      <c r="P264">
        <v>562</v>
      </c>
      <c r="Q264">
        <v>924</v>
      </c>
      <c r="R264">
        <v>64.40000000000001</v>
      </c>
      <c r="S264" t="s">
        <v>262</v>
      </c>
      <c r="T264" t="s">
        <v>583</v>
      </c>
      <c r="U264">
        <v>-12.41026892124906</v>
      </c>
      <c r="V264">
        <v>-0.3</v>
      </c>
      <c r="W264" t="s">
        <v>897</v>
      </c>
      <c r="X264">
        <v>-2.462662460295362</v>
      </c>
      <c r="Y264">
        <v>1875</v>
      </c>
      <c r="Z264">
        <v>199859</v>
      </c>
      <c r="AA264" t="s">
        <v>1217</v>
      </c>
      <c r="AB264">
        <v>18.3</v>
      </c>
      <c r="AC264" t="s">
        <v>1538</v>
      </c>
      <c r="AD264" t="s">
        <v>1857</v>
      </c>
      <c r="AE264">
        <v>1342</v>
      </c>
      <c r="AF264">
        <v>36</v>
      </c>
      <c r="AG264">
        <v>1163331</v>
      </c>
      <c r="AH264">
        <v>0.4</v>
      </c>
    </row>
    <row r="265" spans="1:34">
      <c r="A265" s="2">
        <f>HYPERLINK("https://finance.naver.com/item/coinfo.nhn?code=166090", "A166090")</f>
        <v>0</v>
      </c>
      <c r="B265">
        <f>HYPERLINK("http://comp.fnguide.com/SVO2/ASP/SVD_Consensus.asp?pGB=1&amp;gicode=A166090&amp;cID=&amp;MenuYn=Y&amp;ReportGB=&amp;NewMenuID=108&amp;stkGb=701", "하나머티리얼즈")</f>
        <v>0</v>
      </c>
      <c r="C265">
        <v>1</v>
      </c>
      <c r="D265">
        <v>24600</v>
      </c>
      <c r="E265">
        <v>0</v>
      </c>
      <c r="F265">
        <v>13.45</v>
      </c>
      <c r="G265">
        <v>25760</v>
      </c>
      <c r="H265">
        <v>14769</v>
      </c>
      <c r="I265">
        <v>11645</v>
      </c>
      <c r="J265">
        <v>-4.72</v>
      </c>
      <c r="K265">
        <v>39.96</v>
      </c>
      <c r="L265">
        <v>52.66</v>
      </c>
      <c r="M265">
        <v>27.3</v>
      </c>
      <c r="N265" t="b">
        <v>1</v>
      </c>
      <c r="O265">
        <v>0</v>
      </c>
      <c r="P265">
        <v>1409</v>
      </c>
      <c r="S265" t="s">
        <v>263</v>
      </c>
      <c r="T265" t="s">
        <v>584</v>
      </c>
      <c r="U265">
        <v>0</v>
      </c>
      <c r="V265">
        <v>16</v>
      </c>
      <c r="W265" t="s">
        <v>898</v>
      </c>
      <c r="X265">
        <v>25.24103736148917</v>
      </c>
      <c r="Y265">
        <v>4828</v>
      </c>
      <c r="Z265">
        <v>192450</v>
      </c>
      <c r="AA265" t="s">
        <v>1218</v>
      </c>
      <c r="AB265">
        <v>44.94</v>
      </c>
      <c r="AC265" t="s">
        <v>1539</v>
      </c>
      <c r="AD265" t="s">
        <v>1858</v>
      </c>
      <c r="AE265">
        <v>1548</v>
      </c>
      <c r="AF265">
        <v>409</v>
      </c>
      <c r="AG265">
        <v>220834</v>
      </c>
      <c r="AH265">
        <v>1.06</v>
      </c>
    </row>
    <row r="266" spans="1:34">
      <c r="A266" s="2">
        <f>HYPERLINK("https://finance.naver.com/item/coinfo.nhn?code=023770", "A023770")</f>
        <v>0</v>
      </c>
      <c r="B266">
        <f>HYPERLINK("http://comp.fnguide.com/SVO2/ASP/SVD_Consensus.asp?pGB=1&amp;gicode=A023770&amp;cID=&amp;MenuYn=Y&amp;ReportGB=&amp;NewMenuID=108&amp;stkGb=701", "플레이위드")</f>
        <v>0</v>
      </c>
      <c r="C266">
        <v>1</v>
      </c>
      <c r="D266">
        <v>8600</v>
      </c>
      <c r="E266">
        <v>0</v>
      </c>
      <c r="F266">
        <v>8.08</v>
      </c>
      <c r="G266">
        <v>10664</v>
      </c>
      <c r="H266">
        <v>5499</v>
      </c>
      <c r="I266">
        <v>4031</v>
      </c>
      <c r="J266">
        <v>-24</v>
      </c>
      <c r="K266">
        <v>36.06</v>
      </c>
      <c r="L266">
        <v>53.13</v>
      </c>
      <c r="M266">
        <v>40.72</v>
      </c>
      <c r="N266" t="b">
        <v>1</v>
      </c>
      <c r="O266">
        <v>0</v>
      </c>
      <c r="P266">
        <v>1086</v>
      </c>
      <c r="S266" t="s">
        <v>264</v>
      </c>
      <c r="T266" t="s">
        <v>585</v>
      </c>
      <c r="U266">
        <v>0</v>
      </c>
      <c r="V266">
        <v>502.3</v>
      </c>
      <c r="W266" t="s">
        <v>899</v>
      </c>
      <c r="X266">
        <v>254.9664209471088</v>
      </c>
      <c r="Y266">
        <v>749</v>
      </c>
      <c r="Z266">
        <v>46425</v>
      </c>
      <c r="AA266" t="s">
        <v>1219</v>
      </c>
      <c r="AB266">
        <v>22.62</v>
      </c>
      <c r="AC266" t="s">
        <v>1540</v>
      </c>
      <c r="AD266" t="s">
        <v>1859</v>
      </c>
      <c r="AE266">
        <v>560</v>
      </c>
      <c r="AF266">
        <v>136</v>
      </c>
    </row>
    <row r="267" spans="1:34">
      <c r="A267" s="2">
        <f>HYPERLINK("https://finance.naver.com/item/coinfo.nhn?code=003780", "A003780")</f>
        <v>0</v>
      </c>
      <c r="B267">
        <f>HYPERLINK("http://comp.fnguide.com/SVO2/ASP/SVD_Consensus.asp?pGB=1&amp;gicode=A003780&amp;cID=&amp;MenuYn=Y&amp;ReportGB=&amp;NewMenuID=108&amp;stkGb=701", "진양산업")</f>
        <v>0</v>
      </c>
      <c r="C267">
        <v>1</v>
      </c>
      <c r="D267">
        <v>4760</v>
      </c>
      <c r="E267">
        <v>0</v>
      </c>
      <c r="F267">
        <v>7.6</v>
      </c>
      <c r="G267">
        <v>4789</v>
      </c>
      <c r="H267">
        <v>3810</v>
      </c>
      <c r="I267">
        <v>3531</v>
      </c>
      <c r="J267">
        <v>-0.6</v>
      </c>
      <c r="K267">
        <v>19.96</v>
      </c>
      <c r="L267">
        <v>25.81</v>
      </c>
      <c r="M267">
        <v>12.03</v>
      </c>
      <c r="N267" t="b">
        <v>1</v>
      </c>
      <c r="O267">
        <v>0</v>
      </c>
      <c r="P267">
        <v>525</v>
      </c>
      <c r="S267" t="s">
        <v>265</v>
      </c>
      <c r="T267" t="s">
        <v>586</v>
      </c>
      <c r="U267">
        <v>0</v>
      </c>
      <c r="V267">
        <v>15.8</v>
      </c>
      <c r="W267" t="s">
        <v>900</v>
      </c>
      <c r="X267">
        <v>8.290515156466816</v>
      </c>
      <c r="Y267">
        <v>619</v>
      </c>
      <c r="Z267">
        <v>418033</v>
      </c>
      <c r="AA267" t="s">
        <v>1220</v>
      </c>
      <c r="AB267">
        <v>45.18</v>
      </c>
      <c r="AC267" t="s">
        <v>1541</v>
      </c>
      <c r="AD267" t="s">
        <v>1860</v>
      </c>
      <c r="AE267">
        <v>618</v>
      </c>
      <c r="AF267">
        <v>91</v>
      </c>
      <c r="AH267">
        <v>5.01</v>
      </c>
    </row>
    <row r="268" spans="1:34">
      <c r="A268" s="2">
        <f>HYPERLINK("https://finance.naver.com/item/coinfo.nhn?code=036670", "A036670")</f>
        <v>0</v>
      </c>
      <c r="B268">
        <f>HYPERLINK("http://comp.fnguide.com/SVO2/ASP/SVD_Consensus.asp?pGB=1&amp;gicode=A036670&amp;cID=&amp;MenuYn=Y&amp;ReportGB=&amp;NewMenuID=108&amp;stkGb=701", "KCI")</f>
        <v>0</v>
      </c>
      <c r="C268">
        <v>1</v>
      </c>
      <c r="D268">
        <v>10050</v>
      </c>
      <c r="E268">
        <v>0</v>
      </c>
      <c r="F268">
        <v>10.71</v>
      </c>
      <c r="G268">
        <v>12602</v>
      </c>
      <c r="H268">
        <v>8660</v>
      </c>
      <c r="I268">
        <v>7540</v>
      </c>
      <c r="J268">
        <v>-25.39</v>
      </c>
      <c r="K268">
        <v>13.83</v>
      </c>
      <c r="L268">
        <v>24.98</v>
      </c>
      <c r="M268">
        <v>16.54</v>
      </c>
      <c r="N268" t="b">
        <v>1</v>
      </c>
      <c r="O268">
        <v>0</v>
      </c>
      <c r="P268">
        <v>1013</v>
      </c>
      <c r="S268" t="s">
        <v>266</v>
      </c>
      <c r="T268" t="s">
        <v>587</v>
      </c>
      <c r="U268">
        <v>0</v>
      </c>
      <c r="V268">
        <v>8.800000000000001</v>
      </c>
      <c r="W268" t="s">
        <v>901</v>
      </c>
      <c r="X268">
        <v>17.88612050714651</v>
      </c>
      <c r="Y268">
        <v>1133</v>
      </c>
      <c r="Z268">
        <v>42371</v>
      </c>
      <c r="AA268" t="s">
        <v>1221</v>
      </c>
      <c r="AB268">
        <v>50.02</v>
      </c>
      <c r="AC268" t="s">
        <v>1542</v>
      </c>
      <c r="AD268" t="s">
        <v>1861</v>
      </c>
      <c r="AE268">
        <v>696</v>
      </c>
      <c r="AF268">
        <v>145</v>
      </c>
      <c r="AG268">
        <v>509800</v>
      </c>
      <c r="AH268">
        <v>1.84</v>
      </c>
    </row>
    <row r="269" spans="1:34">
      <c r="A269" s="2">
        <f>HYPERLINK("https://finance.naver.com/item/coinfo.nhn?code=290720", "A290720")</f>
        <v>0</v>
      </c>
      <c r="B269">
        <f>HYPERLINK("http://comp.fnguide.com/SVO2/ASP/SVD_Consensus.asp?pGB=1&amp;gicode=A290720&amp;cID=&amp;MenuYn=Y&amp;ReportGB=&amp;NewMenuID=108&amp;stkGb=701", "푸드나무")</f>
        <v>0</v>
      </c>
      <c r="C269">
        <v>1</v>
      </c>
      <c r="D269">
        <v>22100</v>
      </c>
      <c r="E269">
        <v>2.34</v>
      </c>
      <c r="F269">
        <v>25.19</v>
      </c>
      <c r="G269">
        <v>22866</v>
      </c>
      <c r="H269">
        <v>13641</v>
      </c>
      <c r="I269">
        <v>11019</v>
      </c>
      <c r="J269">
        <v>-3.46</v>
      </c>
      <c r="K269">
        <v>38.28</v>
      </c>
      <c r="L269">
        <v>50.14</v>
      </c>
      <c r="M269">
        <v>24.1</v>
      </c>
      <c r="N269" t="b">
        <v>1</v>
      </c>
      <c r="O269">
        <v>1</v>
      </c>
      <c r="P269">
        <v>655</v>
      </c>
      <c r="Q269">
        <v>1014</v>
      </c>
      <c r="R269">
        <v>54.8</v>
      </c>
      <c r="S269" t="s">
        <v>267</v>
      </c>
      <c r="T269" t="s">
        <v>588</v>
      </c>
      <c r="U269">
        <v>10.74774858649659</v>
      </c>
      <c r="V269">
        <v>34</v>
      </c>
      <c r="W269" t="s">
        <v>902</v>
      </c>
      <c r="X269">
        <v>0</v>
      </c>
      <c r="Y269">
        <v>1504</v>
      </c>
      <c r="Z269">
        <v>16573</v>
      </c>
      <c r="AA269" t="s">
        <v>1222</v>
      </c>
      <c r="AB269">
        <v>74.3</v>
      </c>
      <c r="AC269" t="s">
        <v>1543</v>
      </c>
      <c r="AD269" t="s">
        <v>1862</v>
      </c>
      <c r="AE269">
        <v>648</v>
      </c>
      <c r="AF269">
        <v>55</v>
      </c>
      <c r="AG269">
        <v>76384</v>
      </c>
      <c r="AH269">
        <v>0.42</v>
      </c>
    </row>
    <row r="270" spans="1:34">
      <c r="A270" s="2">
        <f>HYPERLINK("https://finance.naver.com/item/coinfo.nhn?code=317400", "A317400")</f>
        <v>0</v>
      </c>
      <c r="B270">
        <f>HYPERLINK("http://comp.fnguide.com/SVO2/ASP/SVD_Consensus.asp?pGB=1&amp;gicode=A317400&amp;cID=&amp;MenuYn=Y&amp;ReportGB=&amp;NewMenuID=108&amp;stkGb=701", "자이에스앤디")</f>
        <v>0</v>
      </c>
      <c r="C270">
        <v>1</v>
      </c>
      <c r="D270">
        <v>9900</v>
      </c>
      <c r="E270">
        <v>0</v>
      </c>
      <c r="F270">
        <v>8.449999999999999</v>
      </c>
      <c r="G270">
        <v>11970</v>
      </c>
      <c r="H270">
        <v>8028</v>
      </c>
      <c r="I270">
        <v>6907</v>
      </c>
      <c r="J270">
        <v>-20.91</v>
      </c>
      <c r="K270">
        <v>18.91</v>
      </c>
      <c r="L270">
        <v>30.23</v>
      </c>
      <c r="M270">
        <v>17.54</v>
      </c>
      <c r="N270" t="b">
        <v>1</v>
      </c>
      <c r="O270">
        <v>0</v>
      </c>
      <c r="P270">
        <v>676</v>
      </c>
      <c r="S270" t="s">
        <v>268</v>
      </c>
      <c r="T270" t="s">
        <v>589</v>
      </c>
      <c r="U270">
        <v>0</v>
      </c>
      <c r="V270">
        <v>-3.3</v>
      </c>
      <c r="W270" t="s">
        <v>903</v>
      </c>
      <c r="X270">
        <v>-3.226821046745387</v>
      </c>
      <c r="Y270">
        <v>2651</v>
      </c>
      <c r="Z270">
        <v>181034</v>
      </c>
      <c r="AA270" t="s">
        <v>1223</v>
      </c>
      <c r="AB270">
        <v>61.17</v>
      </c>
      <c r="AC270" t="s">
        <v>1544</v>
      </c>
      <c r="AD270" t="s">
        <v>1863</v>
      </c>
      <c r="AE270">
        <v>2779</v>
      </c>
      <c r="AF270">
        <v>165</v>
      </c>
      <c r="AH270">
        <v>1.75</v>
      </c>
    </row>
    <row r="271" spans="1:34">
      <c r="A271" s="2">
        <f>HYPERLINK("https://finance.naver.com/item/coinfo.nhn?code=035600", "A035600")</f>
        <v>0</v>
      </c>
      <c r="B271">
        <f>HYPERLINK("http://comp.fnguide.com/SVO2/ASP/SVD_Consensus.asp?pGB=1&amp;gicode=A035600&amp;cID=&amp;MenuYn=Y&amp;ReportGB=&amp;NewMenuID=108&amp;stkGb=701", "KG이니시스")</f>
        <v>0</v>
      </c>
      <c r="C271">
        <v>1</v>
      </c>
      <c r="D271">
        <v>19650</v>
      </c>
      <c r="E271">
        <v>0</v>
      </c>
      <c r="F271">
        <v>9.49</v>
      </c>
      <c r="G271">
        <v>19677</v>
      </c>
      <c r="H271">
        <v>13475</v>
      </c>
      <c r="I271">
        <v>11713</v>
      </c>
      <c r="J271">
        <v>-0.14</v>
      </c>
      <c r="K271">
        <v>31.42</v>
      </c>
      <c r="L271">
        <v>40.39</v>
      </c>
      <c r="M271">
        <v>16.68</v>
      </c>
      <c r="N271" t="b">
        <v>1</v>
      </c>
      <c r="O271">
        <v>0</v>
      </c>
      <c r="P271">
        <v>1792</v>
      </c>
      <c r="S271" t="s">
        <v>269</v>
      </c>
      <c r="T271" t="s">
        <v>590</v>
      </c>
      <c r="U271">
        <v>0</v>
      </c>
      <c r="V271">
        <v>-20.2</v>
      </c>
      <c r="W271" t="s">
        <v>904</v>
      </c>
      <c r="X271">
        <v>6.374997062279641</v>
      </c>
      <c r="Y271">
        <v>5483</v>
      </c>
      <c r="Z271">
        <v>108301</v>
      </c>
      <c r="AA271" t="s">
        <v>1224</v>
      </c>
      <c r="AB271">
        <v>41.03</v>
      </c>
      <c r="AC271" t="s">
        <v>1545</v>
      </c>
      <c r="AD271" t="s">
        <v>1864</v>
      </c>
      <c r="AE271">
        <v>9561</v>
      </c>
      <c r="AF271">
        <v>861</v>
      </c>
      <c r="AG271">
        <v>1285946</v>
      </c>
      <c r="AH271">
        <v>1.94</v>
      </c>
    </row>
    <row r="272" spans="1:34">
      <c r="A272" s="2">
        <f>HYPERLINK("https://finance.naver.com/item/coinfo.nhn?code=027970", "A027970")</f>
        <v>0</v>
      </c>
      <c r="B272">
        <f>HYPERLINK("http://comp.fnguide.com/SVO2/ASP/SVD_Consensus.asp?pGB=1&amp;gicode=A027970&amp;cID=&amp;MenuYn=Y&amp;ReportGB=&amp;NewMenuID=108&amp;stkGb=701", "세하")</f>
        <v>0</v>
      </c>
      <c r="C272">
        <v>1</v>
      </c>
      <c r="D272">
        <v>1845</v>
      </c>
      <c r="E272">
        <v>0</v>
      </c>
      <c r="F272">
        <v>5.57</v>
      </c>
      <c r="G272">
        <v>2084</v>
      </c>
      <c r="H272">
        <v>1226</v>
      </c>
      <c r="I272">
        <v>983</v>
      </c>
      <c r="J272">
        <v>-12.96</v>
      </c>
      <c r="K272">
        <v>33.53</v>
      </c>
      <c r="L272">
        <v>46.74</v>
      </c>
      <c r="M272">
        <v>25.13</v>
      </c>
      <c r="N272" t="b">
        <v>1</v>
      </c>
      <c r="O272">
        <v>0</v>
      </c>
      <c r="P272">
        <v>380</v>
      </c>
      <c r="S272" t="s">
        <v>270</v>
      </c>
      <c r="T272" t="s">
        <v>591</v>
      </c>
      <c r="U272">
        <v>0</v>
      </c>
      <c r="V272">
        <v>54.3</v>
      </c>
      <c r="W272" t="s">
        <v>905</v>
      </c>
      <c r="X272">
        <v>80.43641539334571</v>
      </c>
      <c r="Y272">
        <v>1062</v>
      </c>
      <c r="Z272">
        <v>1735337</v>
      </c>
      <c r="AA272" t="s">
        <v>1225</v>
      </c>
      <c r="AB272">
        <v>50.73</v>
      </c>
      <c r="AC272" t="s">
        <v>1546</v>
      </c>
      <c r="AD272" t="s">
        <v>1865</v>
      </c>
      <c r="AE272">
        <v>1777</v>
      </c>
      <c r="AF272">
        <v>141</v>
      </c>
      <c r="AG272">
        <v>1305</v>
      </c>
    </row>
    <row r="273" spans="1:34">
      <c r="A273" s="2">
        <f>HYPERLINK("https://finance.naver.com/item/coinfo.nhn?code=318010", "A318010")</f>
        <v>0</v>
      </c>
      <c r="B273">
        <f>HYPERLINK("http://comp.fnguide.com/SVO2/ASP/SVD_Consensus.asp?pGB=1&amp;gicode=A318010&amp;cID=&amp;MenuYn=Y&amp;ReportGB=&amp;NewMenuID=108&amp;stkGb=701", "팜스빌")</f>
        <v>0</v>
      </c>
      <c r="C273">
        <v>1</v>
      </c>
      <c r="D273">
        <v>11350</v>
      </c>
      <c r="E273">
        <v>0</v>
      </c>
      <c r="F273">
        <v>10.71</v>
      </c>
      <c r="G273">
        <v>14078</v>
      </c>
      <c r="H273">
        <v>9856</v>
      </c>
      <c r="I273">
        <v>8656</v>
      </c>
      <c r="J273">
        <v>-24.04</v>
      </c>
      <c r="K273">
        <v>13.16</v>
      </c>
      <c r="L273">
        <v>23.74</v>
      </c>
      <c r="M273">
        <v>15.83</v>
      </c>
      <c r="N273" t="b">
        <v>1</v>
      </c>
      <c r="O273">
        <v>0</v>
      </c>
      <c r="P273">
        <v>1092</v>
      </c>
      <c r="S273" t="s">
        <v>271</v>
      </c>
      <c r="T273" t="s">
        <v>592</v>
      </c>
      <c r="U273">
        <v>0</v>
      </c>
      <c r="V273">
        <v>-46.9</v>
      </c>
      <c r="W273" t="s">
        <v>906</v>
      </c>
      <c r="X273">
        <v>-4.373925992095085</v>
      </c>
      <c r="Y273">
        <v>900</v>
      </c>
      <c r="Z273">
        <v>25541</v>
      </c>
      <c r="AA273" t="s">
        <v>1226</v>
      </c>
      <c r="AB273">
        <v>70.37</v>
      </c>
      <c r="AC273" t="s">
        <v>1547</v>
      </c>
      <c r="AD273" t="s">
        <v>1866</v>
      </c>
      <c r="AE273">
        <v>300</v>
      </c>
      <c r="AF273">
        <v>71</v>
      </c>
      <c r="AG273">
        <v>82908</v>
      </c>
      <c r="AH273">
        <v>1.71</v>
      </c>
    </row>
    <row r="274" spans="1:34">
      <c r="A274" s="2">
        <f>HYPERLINK("https://finance.naver.com/item/coinfo.nhn?code=010120", "A010120")</f>
        <v>0</v>
      </c>
      <c r="B274">
        <f>HYPERLINK("http://comp.fnguide.com/SVO2/ASP/SVD_Consensus.asp?pGB=1&amp;gicode=A010120&amp;cID=&amp;MenuYn=Y&amp;ReportGB=&amp;NewMenuID=108&amp;stkGb=701", "LS ELECTRIC")</f>
        <v>0</v>
      </c>
      <c r="C274">
        <v>1</v>
      </c>
      <c r="D274">
        <v>52600</v>
      </c>
      <c r="E274">
        <v>-5.53</v>
      </c>
      <c r="F274">
        <v>15.77</v>
      </c>
      <c r="G274">
        <v>53107</v>
      </c>
      <c r="H274">
        <v>49070</v>
      </c>
      <c r="I274">
        <v>47923</v>
      </c>
      <c r="J274">
        <v>-0.96</v>
      </c>
      <c r="K274">
        <v>6.71</v>
      </c>
      <c r="L274">
        <v>8.890000000000001</v>
      </c>
      <c r="M274">
        <v>9.09</v>
      </c>
      <c r="N274" t="b">
        <v>1</v>
      </c>
      <c r="O274">
        <v>0</v>
      </c>
      <c r="P274">
        <v>3462</v>
      </c>
      <c r="Q274">
        <v>3209</v>
      </c>
      <c r="R274">
        <v>-7.3</v>
      </c>
      <c r="S274" t="s">
        <v>272</v>
      </c>
      <c r="T274" t="s">
        <v>593</v>
      </c>
      <c r="U274">
        <v>-2.851287027081462</v>
      </c>
      <c r="V274">
        <v>-28.7</v>
      </c>
      <c r="W274" t="s">
        <v>907</v>
      </c>
      <c r="X274">
        <v>1.033348500858011</v>
      </c>
      <c r="Y274">
        <v>15780</v>
      </c>
      <c r="Z274">
        <v>162583</v>
      </c>
      <c r="AA274" t="s">
        <v>1227</v>
      </c>
      <c r="AB274">
        <v>46</v>
      </c>
      <c r="AC274" t="s">
        <v>1548</v>
      </c>
      <c r="AD274" t="s">
        <v>1867</v>
      </c>
      <c r="AE274">
        <v>23468</v>
      </c>
      <c r="AF274">
        <v>1685</v>
      </c>
      <c r="AG274">
        <v>674974</v>
      </c>
      <c r="AH274">
        <v>2.2</v>
      </c>
    </row>
    <row r="275" spans="1:34">
      <c r="A275" s="2">
        <f>HYPERLINK("https://finance.naver.com/item/coinfo.nhn?code=290550", "A290550")</f>
        <v>0</v>
      </c>
      <c r="B275">
        <f>HYPERLINK("http://comp.fnguide.com/SVO2/ASP/SVD_Consensus.asp?pGB=1&amp;gicode=A290550&amp;cID=&amp;MenuYn=Y&amp;ReportGB=&amp;NewMenuID=108&amp;stkGb=701", "디케이티")</f>
        <v>0</v>
      </c>
      <c r="C275">
        <v>1</v>
      </c>
      <c r="D275">
        <v>19850</v>
      </c>
      <c r="E275">
        <v>-0.82</v>
      </c>
      <c r="F275">
        <v>14.3</v>
      </c>
      <c r="G275">
        <v>25224</v>
      </c>
      <c r="H275">
        <v>14309</v>
      </c>
      <c r="I275">
        <v>11207</v>
      </c>
      <c r="J275">
        <v>-27.07</v>
      </c>
      <c r="K275">
        <v>27.92</v>
      </c>
      <c r="L275">
        <v>43.54</v>
      </c>
      <c r="M275">
        <v>28.28</v>
      </c>
      <c r="N275" t="b">
        <v>1</v>
      </c>
      <c r="O275">
        <v>2</v>
      </c>
      <c r="P275">
        <v>965</v>
      </c>
      <c r="Q275">
        <v>1251</v>
      </c>
      <c r="R275">
        <v>29.6</v>
      </c>
      <c r="S275" t="s">
        <v>273</v>
      </c>
      <c r="T275" t="s">
        <v>594</v>
      </c>
      <c r="U275">
        <v>-17.35858963249694</v>
      </c>
      <c r="V275">
        <v>52.1</v>
      </c>
      <c r="W275" t="s">
        <v>908</v>
      </c>
      <c r="X275">
        <v>190.255387546898</v>
      </c>
      <c r="Y275">
        <v>1634</v>
      </c>
      <c r="Z275">
        <v>203090</v>
      </c>
      <c r="AA275" t="s">
        <v>1228</v>
      </c>
      <c r="AB275">
        <v>58.31</v>
      </c>
      <c r="AC275" t="s">
        <v>1549</v>
      </c>
      <c r="AD275" t="s">
        <v>1868</v>
      </c>
      <c r="AE275">
        <v>3377</v>
      </c>
      <c r="AF275">
        <v>129</v>
      </c>
    </row>
    <row r="276" spans="1:34">
      <c r="A276" s="2">
        <f>HYPERLINK("https://finance.naver.com/item/coinfo.nhn?code=204270", "A204270")</f>
        <v>0</v>
      </c>
      <c r="B276">
        <f>HYPERLINK("http://comp.fnguide.com/SVO2/ASP/SVD_Consensus.asp?pGB=1&amp;gicode=A204270&amp;cID=&amp;MenuYn=Y&amp;ReportGB=&amp;NewMenuID=108&amp;stkGb=701", "제이앤티씨")</f>
        <v>0</v>
      </c>
      <c r="C276">
        <v>1</v>
      </c>
      <c r="D276">
        <v>11350</v>
      </c>
      <c r="G276">
        <v>14874</v>
      </c>
      <c r="H276">
        <v>9007</v>
      </c>
      <c r="I276">
        <v>7339</v>
      </c>
      <c r="J276">
        <v>-31.05</v>
      </c>
      <c r="K276">
        <v>20.65</v>
      </c>
      <c r="L276">
        <v>35.34</v>
      </c>
      <c r="M276">
        <v>23.06</v>
      </c>
      <c r="N276" t="b">
        <v>0</v>
      </c>
      <c r="O276">
        <v>0</v>
      </c>
      <c r="P276">
        <v>1691</v>
      </c>
      <c r="Q276">
        <v>1521</v>
      </c>
      <c r="R276">
        <v>-10.1</v>
      </c>
      <c r="S276" t="s">
        <v>274</v>
      </c>
      <c r="T276" t="s">
        <v>595</v>
      </c>
      <c r="U276">
        <v>149.405474103255</v>
      </c>
      <c r="V276">
        <v>87.09999999999999</v>
      </c>
      <c r="W276" t="s">
        <v>909</v>
      </c>
      <c r="X276">
        <v>59.08990565349621</v>
      </c>
      <c r="Y276">
        <v>6566</v>
      </c>
      <c r="Z276">
        <v>169768</v>
      </c>
      <c r="AA276" t="s">
        <v>1229</v>
      </c>
      <c r="AB276">
        <v>71.38</v>
      </c>
      <c r="AC276" t="s">
        <v>1550</v>
      </c>
      <c r="AD276" t="s">
        <v>1869</v>
      </c>
      <c r="AE276">
        <v>3862</v>
      </c>
      <c r="AF276">
        <v>955</v>
      </c>
      <c r="AG276">
        <v>779845</v>
      </c>
    </row>
    <row r="277" spans="1:34">
      <c r="A277" s="2">
        <f>HYPERLINK("https://finance.naver.com/item/coinfo.nhn?code=036890", "A036890")</f>
        <v>0</v>
      </c>
      <c r="B277">
        <f>HYPERLINK("http://comp.fnguide.com/SVO2/ASP/SVD_Consensus.asp?pGB=1&amp;gicode=A036890&amp;cID=&amp;MenuYn=Y&amp;ReportGB=&amp;NewMenuID=108&amp;stkGb=701", "진성티이씨")</f>
        <v>0</v>
      </c>
      <c r="C277">
        <v>1</v>
      </c>
      <c r="D277">
        <v>10050</v>
      </c>
      <c r="E277">
        <v>0.47</v>
      </c>
      <c r="F277">
        <v>7.09</v>
      </c>
      <c r="G277">
        <v>14605</v>
      </c>
      <c r="H277">
        <v>10028</v>
      </c>
      <c r="I277">
        <v>8727</v>
      </c>
      <c r="J277">
        <v>-45.32</v>
      </c>
      <c r="K277">
        <v>0.22</v>
      </c>
      <c r="L277">
        <v>13.17</v>
      </c>
      <c r="M277">
        <v>16.57</v>
      </c>
      <c r="N277" t="b">
        <v>1</v>
      </c>
      <c r="O277">
        <v>0</v>
      </c>
      <c r="P277">
        <v>979</v>
      </c>
      <c r="Q277">
        <v>678</v>
      </c>
      <c r="R277">
        <v>-30.7</v>
      </c>
      <c r="S277" t="s">
        <v>275</v>
      </c>
      <c r="T277" t="s">
        <v>596</v>
      </c>
      <c r="U277">
        <v>15.03204601563541</v>
      </c>
      <c r="V277">
        <v>-43.2</v>
      </c>
      <c r="W277" t="s">
        <v>910</v>
      </c>
      <c r="X277">
        <v>-1.621044821287165</v>
      </c>
      <c r="Y277">
        <v>2259</v>
      </c>
      <c r="Z277">
        <v>301513</v>
      </c>
      <c r="AA277" t="s">
        <v>1230</v>
      </c>
      <c r="AB277">
        <v>36.15</v>
      </c>
      <c r="AC277" t="s">
        <v>1551</v>
      </c>
      <c r="AD277" t="s">
        <v>1870</v>
      </c>
      <c r="AE277">
        <v>3556</v>
      </c>
      <c r="AF277">
        <v>299</v>
      </c>
      <c r="AG277">
        <v>2517977</v>
      </c>
      <c r="AH277">
        <v>2.88</v>
      </c>
    </row>
    <row r="278" spans="1:34">
      <c r="A278" s="2">
        <f>HYPERLINK("https://finance.naver.com/item/coinfo.nhn?code=065710", "A065710")</f>
        <v>0</v>
      </c>
      <c r="B278">
        <f>HYPERLINK("http://comp.fnguide.com/SVO2/ASP/SVD_Consensus.asp?pGB=1&amp;gicode=A065710&amp;cID=&amp;MenuYn=Y&amp;ReportGB=&amp;NewMenuID=108&amp;stkGb=701", "서호전기")</f>
        <v>0</v>
      </c>
      <c r="C278">
        <v>1</v>
      </c>
      <c r="D278">
        <v>21150</v>
      </c>
      <c r="E278">
        <v>0</v>
      </c>
      <c r="F278">
        <v>7.87</v>
      </c>
      <c r="G278">
        <v>29082</v>
      </c>
      <c r="H278">
        <v>20338</v>
      </c>
      <c r="I278">
        <v>17854</v>
      </c>
      <c r="J278">
        <v>-37.5</v>
      </c>
      <c r="K278">
        <v>3.84</v>
      </c>
      <c r="L278">
        <v>15.59</v>
      </c>
      <c r="M278">
        <v>15.87</v>
      </c>
      <c r="N278" t="b">
        <v>1</v>
      </c>
      <c r="O278">
        <v>0</v>
      </c>
      <c r="P278">
        <v>2973</v>
      </c>
      <c r="S278" t="s">
        <v>276</v>
      </c>
      <c r="T278" t="s">
        <v>597</v>
      </c>
      <c r="U278">
        <v>0</v>
      </c>
      <c r="V278">
        <v>-53.1</v>
      </c>
      <c r="W278" t="s">
        <v>911</v>
      </c>
      <c r="X278">
        <v>19.81747236522424</v>
      </c>
      <c r="Y278">
        <v>1089</v>
      </c>
      <c r="Z278">
        <v>11743</v>
      </c>
      <c r="AA278" t="s">
        <v>1231</v>
      </c>
      <c r="AB278">
        <v>58.01</v>
      </c>
      <c r="AC278" t="s">
        <v>1552</v>
      </c>
      <c r="AD278" t="s">
        <v>1871</v>
      </c>
      <c r="AE278">
        <v>649</v>
      </c>
      <c r="AF278">
        <v>122</v>
      </c>
      <c r="AG278">
        <v>9078</v>
      </c>
      <c r="AH278">
        <v>5.13</v>
      </c>
    </row>
    <row r="279" spans="1:34">
      <c r="A279" s="2">
        <f>HYPERLINK("https://finance.naver.com/item/coinfo.nhn?code=007530", "A007530")</f>
        <v>0</v>
      </c>
      <c r="B279">
        <f>HYPERLINK("http://comp.fnguide.com/SVO2/ASP/SVD_Consensus.asp?pGB=1&amp;gicode=A007530&amp;cID=&amp;MenuYn=Y&amp;ReportGB=&amp;NewMenuID=108&amp;stkGb=701", "영신금속")</f>
        <v>0</v>
      </c>
      <c r="C279">
        <v>1</v>
      </c>
      <c r="D279">
        <v>3760</v>
      </c>
      <c r="E279">
        <v>0</v>
      </c>
      <c r="F279">
        <v>3.64</v>
      </c>
      <c r="G279">
        <v>4293</v>
      </c>
      <c r="H279">
        <v>3698</v>
      </c>
      <c r="I279">
        <v>3529</v>
      </c>
      <c r="J279">
        <v>-14.18</v>
      </c>
      <c r="K279">
        <v>1.65</v>
      </c>
      <c r="L279">
        <v>6.15</v>
      </c>
      <c r="M279">
        <v>10.32</v>
      </c>
      <c r="N279" t="b">
        <v>1</v>
      </c>
      <c r="O279">
        <v>0</v>
      </c>
      <c r="P279">
        <v>450</v>
      </c>
      <c r="S279" t="s">
        <v>277</v>
      </c>
      <c r="T279" t="s">
        <v>598</v>
      </c>
      <c r="U279">
        <v>0</v>
      </c>
      <c r="V279">
        <v>0</v>
      </c>
      <c r="W279" t="s">
        <v>912</v>
      </c>
      <c r="X279">
        <v>1.946799851687353</v>
      </c>
      <c r="Y279">
        <v>483</v>
      </c>
      <c r="Z279">
        <v>332992</v>
      </c>
      <c r="AA279" t="s">
        <v>1232</v>
      </c>
      <c r="AB279">
        <v>29.19</v>
      </c>
      <c r="AC279" t="s">
        <v>1553</v>
      </c>
      <c r="AD279" t="s">
        <v>1872</v>
      </c>
      <c r="AE279">
        <v>1198</v>
      </c>
      <c r="AF279">
        <v>64</v>
      </c>
      <c r="AG279">
        <v>150000</v>
      </c>
    </row>
    <row r="280" spans="1:34">
      <c r="A280" s="2">
        <f>HYPERLINK("https://finance.naver.com/item/coinfo.nhn?code=005930", "A005930")</f>
        <v>0</v>
      </c>
      <c r="B280">
        <f>HYPERLINK("http://comp.fnguide.com/SVO2/ASP/SVD_Consensus.asp?pGB=1&amp;gicode=A005930&amp;cID=&amp;MenuYn=Y&amp;ReportGB=&amp;NewMenuID=108&amp;stkGb=701", "삼성전자")</f>
        <v>0</v>
      </c>
      <c r="C280">
        <v>1</v>
      </c>
      <c r="D280">
        <v>71700</v>
      </c>
      <c r="E280">
        <v>-1.93</v>
      </c>
      <c r="F280">
        <v>17.63</v>
      </c>
      <c r="G280">
        <v>77389</v>
      </c>
      <c r="H280">
        <v>56518</v>
      </c>
      <c r="I280">
        <v>50587</v>
      </c>
      <c r="J280">
        <v>-7.93</v>
      </c>
      <c r="K280">
        <v>21.17</v>
      </c>
      <c r="L280">
        <v>29.45</v>
      </c>
      <c r="M280">
        <v>14.39</v>
      </c>
      <c r="N280" t="b">
        <v>1</v>
      </c>
      <c r="O280">
        <v>1</v>
      </c>
      <c r="P280">
        <v>3166</v>
      </c>
      <c r="Q280">
        <v>4066</v>
      </c>
      <c r="R280">
        <v>28.4</v>
      </c>
      <c r="S280" t="s">
        <v>278</v>
      </c>
      <c r="T280" t="s">
        <v>599</v>
      </c>
      <c r="U280">
        <v>-9.129773838726518</v>
      </c>
      <c r="V280">
        <v>20.7</v>
      </c>
      <c r="W280" t="s">
        <v>913</v>
      </c>
      <c r="X280">
        <v>11.6787969242317</v>
      </c>
      <c r="Y280">
        <v>4280334</v>
      </c>
      <c r="Z280">
        <v>25000338</v>
      </c>
      <c r="AA280" t="s">
        <v>1233</v>
      </c>
      <c r="AB280">
        <v>21.19</v>
      </c>
      <c r="AC280" t="s">
        <v>1554</v>
      </c>
      <c r="AD280" t="s">
        <v>1873</v>
      </c>
      <c r="AE280">
        <v>2304009</v>
      </c>
      <c r="AF280">
        <v>277685</v>
      </c>
      <c r="AH280">
        <v>2.54</v>
      </c>
    </row>
    <row r="281" spans="1:34">
      <c r="A281" s="2">
        <f>HYPERLINK("https://finance.naver.com/item/coinfo.nhn?code=097520", "A097520")</f>
        <v>0</v>
      </c>
      <c r="B281">
        <f>HYPERLINK("http://comp.fnguide.com/SVO2/ASP/SVD_Consensus.asp?pGB=1&amp;gicode=A097520&amp;cID=&amp;MenuYn=Y&amp;ReportGB=&amp;NewMenuID=108&amp;stkGb=701", "엠씨넥스")</f>
        <v>0</v>
      </c>
      <c r="C281">
        <v>1</v>
      </c>
      <c r="D281">
        <v>36700</v>
      </c>
      <c r="E281">
        <v>0</v>
      </c>
      <c r="F281">
        <v>7.98</v>
      </c>
      <c r="G281">
        <v>52272</v>
      </c>
      <c r="H281">
        <v>28485</v>
      </c>
      <c r="I281">
        <v>21725</v>
      </c>
      <c r="J281">
        <v>-42.43</v>
      </c>
      <c r="K281">
        <v>22.38</v>
      </c>
      <c r="L281">
        <v>40.8</v>
      </c>
      <c r="M281">
        <v>32.59</v>
      </c>
      <c r="N281" t="b">
        <v>1</v>
      </c>
      <c r="O281">
        <v>0</v>
      </c>
      <c r="P281">
        <v>4731</v>
      </c>
      <c r="Q281">
        <v>3028</v>
      </c>
      <c r="R281">
        <v>-36</v>
      </c>
      <c r="S281" t="s">
        <v>279</v>
      </c>
      <c r="T281" t="s">
        <v>600</v>
      </c>
      <c r="U281">
        <v>0</v>
      </c>
      <c r="V281">
        <v>-43.1</v>
      </c>
      <c r="W281" t="s">
        <v>914</v>
      </c>
      <c r="X281">
        <v>24.70272651389784</v>
      </c>
      <c r="Y281">
        <v>6556</v>
      </c>
      <c r="Z281">
        <v>331831</v>
      </c>
      <c r="AA281" t="s">
        <v>1234</v>
      </c>
      <c r="AB281">
        <v>27.99</v>
      </c>
      <c r="AC281" t="s">
        <v>1555</v>
      </c>
      <c r="AD281" t="s">
        <v>1874</v>
      </c>
      <c r="AE281">
        <v>12677</v>
      </c>
      <c r="AF281">
        <v>1131</v>
      </c>
      <c r="AG281">
        <v>230000</v>
      </c>
      <c r="AH281">
        <v>1.32</v>
      </c>
    </row>
    <row r="282" spans="1:34">
      <c r="A282" s="2">
        <f>HYPERLINK("https://finance.naver.com/item/coinfo.nhn?code=019590", "A019590")</f>
        <v>0</v>
      </c>
      <c r="B282">
        <f>HYPERLINK("http://comp.fnguide.com/SVO2/ASP/SVD_Consensus.asp?pGB=1&amp;gicode=A019590&amp;cID=&amp;MenuYn=Y&amp;ReportGB=&amp;NewMenuID=108&amp;stkGb=701", "엠벤처투자")</f>
        <v>0</v>
      </c>
      <c r="C282">
        <v>1</v>
      </c>
      <c r="D282">
        <v>1085</v>
      </c>
      <c r="E282">
        <v>0</v>
      </c>
      <c r="F282">
        <v>10.46</v>
      </c>
      <c r="G282">
        <v>1156</v>
      </c>
      <c r="H282">
        <v>829</v>
      </c>
      <c r="I282">
        <v>737</v>
      </c>
      <c r="J282">
        <v>-6.5</v>
      </c>
      <c r="K282">
        <v>23.56</v>
      </c>
      <c r="L282">
        <v>32.1</v>
      </c>
      <c r="M282">
        <v>14.96</v>
      </c>
      <c r="N282" t="b">
        <v>1</v>
      </c>
      <c r="O282">
        <v>0</v>
      </c>
      <c r="P282">
        <v>133</v>
      </c>
      <c r="S282" t="s">
        <v>280</v>
      </c>
      <c r="T282" t="s">
        <v>601</v>
      </c>
      <c r="U282">
        <v>0</v>
      </c>
      <c r="W282" t="s">
        <v>657</v>
      </c>
      <c r="X282">
        <v>53.82754597456567</v>
      </c>
      <c r="Y282">
        <v>667</v>
      </c>
      <c r="Z282">
        <v>816646</v>
      </c>
      <c r="AA282" t="s">
        <v>1235</v>
      </c>
      <c r="AB282">
        <v>16.94</v>
      </c>
      <c r="AC282" t="s">
        <v>1556</v>
      </c>
      <c r="AD282" t="s">
        <v>1875</v>
      </c>
      <c r="AE282">
        <v>152</v>
      </c>
      <c r="AF282">
        <v>94</v>
      </c>
      <c r="AG282">
        <v>3012</v>
      </c>
    </row>
    <row r="283" spans="1:34">
      <c r="A283" s="2">
        <f>HYPERLINK("https://finance.naver.com/item/coinfo.nhn?code=002410", "A002410")</f>
        <v>0</v>
      </c>
      <c r="B283">
        <f>HYPERLINK("http://comp.fnguide.com/SVO2/ASP/SVD_Consensus.asp?pGB=1&amp;gicode=A002410&amp;cID=&amp;MenuYn=Y&amp;ReportGB=&amp;NewMenuID=108&amp;stkGb=701", "범양건영")</f>
        <v>0</v>
      </c>
      <c r="C283">
        <v>1</v>
      </c>
      <c r="D283">
        <v>5200</v>
      </c>
      <c r="E283">
        <v>0</v>
      </c>
      <c r="F283">
        <v>4.12</v>
      </c>
      <c r="G283">
        <v>7354</v>
      </c>
      <c r="H283">
        <v>4625</v>
      </c>
      <c r="I283">
        <v>3850</v>
      </c>
      <c r="J283">
        <v>-41.42</v>
      </c>
      <c r="K283">
        <v>11.05</v>
      </c>
      <c r="L283">
        <v>25.96</v>
      </c>
      <c r="M283">
        <v>20.71</v>
      </c>
      <c r="N283" t="b">
        <v>1</v>
      </c>
      <c r="O283">
        <v>0</v>
      </c>
      <c r="P283">
        <v>794</v>
      </c>
      <c r="S283" t="s">
        <v>281</v>
      </c>
      <c r="T283" t="s">
        <v>602</v>
      </c>
      <c r="U283">
        <v>0</v>
      </c>
      <c r="V283">
        <v>-43.8</v>
      </c>
      <c r="W283" t="s">
        <v>915</v>
      </c>
      <c r="X283">
        <v>112.6799412753776</v>
      </c>
      <c r="Y283">
        <v>1291</v>
      </c>
      <c r="Z283">
        <v>938773</v>
      </c>
      <c r="AA283" t="s">
        <v>1236</v>
      </c>
      <c r="AB283">
        <v>33.22</v>
      </c>
      <c r="AC283" t="s">
        <v>1557</v>
      </c>
      <c r="AD283" t="s">
        <v>1876</v>
      </c>
      <c r="AE283">
        <v>2761</v>
      </c>
      <c r="AF283">
        <v>115</v>
      </c>
      <c r="AG283">
        <v>2030</v>
      </c>
    </row>
    <row r="284" spans="1:34">
      <c r="A284" s="2">
        <f>HYPERLINK("https://finance.naver.com/item/coinfo.nhn?code=239610", "A239610")</f>
        <v>0</v>
      </c>
      <c r="B284">
        <f>HYPERLINK("http://comp.fnguide.com/SVO2/ASP/SVD_Consensus.asp?pGB=1&amp;gicode=A239610&amp;cID=&amp;MenuYn=Y&amp;ReportGB=&amp;NewMenuID=108&amp;stkGb=701", "에이치엘사이언스")</f>
        <v>0</v>
      </c>
      <c r="C284">
        <v>1</v>
      </c>
      <c r="D284">
        <v>43450</v>
      </c>
      <c r="E284">
        <v>0</v>
      </c>
      <c r="F284">
        <v>14.25</v>
      </c>
      <c r="G284">
        <v>44021</v>
      </c>
      <c r="H284">
        <v>27307</v>
      </c>
      <c r="I284">
        <v>22558</v>
      </c>
      <c r="J284">
        <v>-1.32</v>
      </c>
      <c r="K284">
        <v>37.15</v>
      </c>
      <c r="L284">
        <v>48.08</v>
      </c>
      <c r="M284">
        <v>21.52</v>
      </c>
      <c r="N284" t="b">
        <v>1</v>
      </c>
      <c r="O284">
        <v>0</v>
      </c>
      <c r="P284">
        <v>3839</v>
      </c>
      <c r="S284" t="s">
        <v>282</v>
      </c>
      <c r="T284" t="s">
        <v>603</v>
      </c>
      <c r="U284">
        <v>0</v>
      </c>
      <c r="V284">
        <v>-4.4</v>
      </c>
      <c r="W284" t="s">
        <v>916</v>
      </c>
      <c r="X284">
        <v>17.65699495895263</v>
      </c>
      <c r="Y284">
        <v>2234</v>
      </c>
      <c r="Z284">
        <v>16624</v>
      </c>
      <c r="AA284" t="s">
        <v>1237</v>
      </c>
      <c r="AB284">
        <v>63.19</v>
      </c>
      <c r="AC284" t="s">
        <v>1558</v>
      </c>
      <c r="AD284" t="s">
        <v>1877</v>
      </c>
      <c r="AE284">
        <v>1283</v>
      </c>
      <c r="AF284">
        <v>237</v>
      </c>
      <c r="AG284">
        <v>142792</v>
      </c>
      <c r="AH284">
        <v>0.73</v>
      </c>
    </row>
    <row r="285" spans="1:34">
      <c r="A285" s="2">
        <f>HYPERLINK("https://finance.naver.com/item/coinfo.nhn?code=312610", "A312610")</f>
        <v>0</v>
      </c>
      <c r="B285">
        <f>HYPERLINK("http://comp.fnguide.com/SVO2/ASP/SVD_Consensus.asp?pGB=1&amp;gicode=A312610&amp;cID=&amp;MenuYn=Y&amp;ReportGB=&amp;NewMenuID=108&amp;stkGb=701", "에이에프더블류")</f>
        <v>0</v>
      </c>
      <c r="C285">
        <v>1</v>
      </c>
      <c r="D285">
        <v>13350</v>
      </c>
      <c r="E285">
        <v>0</v>
      </c>
      <c r="F285">
        <v>21.02</v>
      </c>
      <c r="G285">
        <v>20655</v>
      </c>
      <c r="H285">
        <v>12546</v>
      </c>
      <c r="I285">
        <v>10242</v>
      </c>
      <c r="J285">
        <v>-54.72</v>
      </c>
      <c r="K285">
        <v>6.02</v>
      </c>
      <c r="L285">
        <v>23.28</v>
      </c>
      <c r="M285">
        <v>22.85</v>
      </c>
      <c r="N285" t="b">
        <v>1</v>
      </c>
      <c r="O285">
        <v>0</v>
      </c>
      <c r="P285">
        <v>602</v>
      </c>
      <c r="S285" t="s">
        <v>283</v>
      </c>
      <c r="T285" t="s">
        <v>604</v>
      </c>
      <c r="U285">
        <v>0</v>
      </c>
      <c r="V285">
        <v>-74</v>
      </c>
      <c r="W285" t="s">
        <v>917</v>
      </c>
      <c r="X285">
        <v>0</v>
      </c>
      <c r="Y285">
        <v>1352</v>
      </c>
      <c r="Z285">
        <v>73465</v>
      </c>
      <c r="AA285" t="s">
        <v>1238</v>
      </c>
      <c r="AB285">
        <v>52.75</v>
      </c>
      <c r="AC285" t="s">
        <v>1559</v>
      </c>
      <c r="AD285" t="s">
        <v>1878</v>
      </c>
      <c r="AE285">
        <v>260</v>
      </c>
      <c r="AF285">
        <v>72</v>
      </c>
      <c r="AH285">
        <v>0.79</v>
      </c>
    </row>
    <row r="286" spans="1:34">
      <c r="A286" s="2">
        <f>HYPERLINK("https://finance.naver.com/item/coinfo.nhn?code=107590", "A107590")</f>
        <v>0</v>
      </c>
      <c r="B286">
        <f>HYPERLINK("http://comp.fnguide.com/SVO2/ASP/SVD_Consensus.asp?pGB=1&amp;gicode=A107590&amp;cID=&amp;MenuYn=Y&amp;ReportGB=&amp;NewMenuID=108&amp;stkGb=701", "미원홀딩스")</f>
        <v>0</v>
      </c>
      <c r="C286">
        <v>1</v>
      </c>
      <c r="D286">
        <v>70900</v>
      </c>
      <c r="E286">
        <v>0</v>
      </c>
      <c r="F286">
        <v>6.24</v>
      </c>
      <c r="G286">
        <v>74154</v>
      </c>
      <c r="H286">
        <v>67609</v>
      </c>
      <c r="I286">
        <v>65749</v>
      </c>
      <c r="J286">
        <v>-4.59</v>
      </c>
      <c r="K286">
        <v>4.64</v>
      </c>
      <c r="L286">
        <v>7.27</v>
      </c>
      <c r="M286">
        <v>9.300000000000001</v>
      </c>
      <c r="N286" t="b">
        <v>1</v>
      </c>
      <c r="O286">
        <v>0</v>
      </c>
      <c r="P286">
        <v>6591</v>
      </c>
      <c r="S286" t="s">
        <v>284</v>
      </c>
      <c r="T286" t="s">
        <v>605</v>
      </c>
      <c r="U286">
        <v>0</v>
      </c>
      <c r="V286">
        <v>19</v>
      </c>
      <c r="W286" t="s">
        <v>918</v>
      </c>
      <c r="X286">
        <v>13.17556714261634</v>
      </c>
      <c r="Y286">
        <v>1645</v>
      </c>
      <c r="Z286">
        <v>2689</v>
      </c>
      <c r="AA286" t="s">
        <v>1239</v>
      </c>
      <c r="AB286">
        <v>70.95999999999999</v>
      </c>
      <c r="AC286" t="s">
        <v>1560</v>
      </c>
      <c r="AD286" t="s">
        <v>1879</v>
      </c>
      <c r="AE286">
        <v>1884</v>
      </c>
      <c r="AF286">
        <v>78</v>
      </c>
      <c r="AH286">
        <v>0.97</v>
      </c>
    </row>
    <row r="287" spans="1:34">
      <c r="A287" s="2">
        <f>HYPERLINK("https://finance.naver.com/item/coinfo.nhn?code=306040", "A306040")</f>
        <v>0</v>
      </c>
      <c r="B287">
        <f>HYPERLINK("http://comp.fnguide.com/SVO2/ASP/SVD_Consensus.asp?pGB=1&amp;gicode=A306040&amp;cID=&amp;MenuYn=Y&amp;ReportGB=&amp;NewMenuID=108&amp;stkGb=701", "에스제이그룹")</f>
        <v>0</v>
      </c>
      <c r="C287">
        <v>1</v>
      </c>
      <c r="D287">
        <v>15750</v>
      </c>
      <c r="E287">
        <v>0.06</v>
      </c>
      <c r="F287">
        <v>11.28</v>
      </c>
      <c r="G287">
        <v>27497</v>
      </c>
      <c r="H287">
        <v>15219</v>
      </c>
      <c r="I287">
        <v>11730</v>
      </c>
      <c r="J287">
        <v>-74.59</v>
      </c>
      <c r="K287">
        <v>3.37</v>
      </c>
      <c r="L287">
        <v>25.52</v>
      </c>
      <c r="M287">
        <v>30.79</v>
      </c>
      <c r="N287" t="b">
        <v>1</v>
      </c>
      <c r="O287">
        <v>0</v>
      </c>
      <c r="P287">
        <v>1785</v>
      </c>
      <c r="Q287">
        <v>1622</v>
      </c>
      <c r="R287">
        <v>-9.1</v>
      </c>
      <c r="S287" t="s">
        <v>285</v>
      </c>
      <c r="T287" t="s">
        <v>606</v>
      </c>
      <c r="U287">
        <v>183.7764722661201</v>
      </c>
      <c r="V287">
        <v>-14.7</v>
      </c>
      <c r="W287" t="s">
        <v>919</v>
      </c>
      <c r="X287">
        <v>0</v>
      </c>
      <c r="Y287">
        <v>1554</v>
      </c>
      <c r="Z287">
        <v>64259</v>
      </c>
      <c r="AA287" t="s">
        <v>1240</v>
      </c>
      <c r="AB287">
        <v>51.79</v>
      </c>
      <c r="AC287" t="s">
        <v>1561</v>
      </c>
      <c r="AD287" t="s">
        <v>1880</v>
      </c>
      <c r="AE287">
        <v>1095</v>
      </c>
      <c r="AF287">
        <v>164</v>
      </c>
      <c r="AG287">
        <v>78094</v>
      </c>
      <c r="AH287">
        <v>0.66</v>
      </c>
    </row>
    <row r="288" spans="1:34">
      <c r="A288" s="2">
        <f>HYPERLINK("https://finance.naver.com/item/coinfo.nhn?code=148150", "A148150")</f>
        <v>0</v>
      </c>
      <c r="B288">
        <f>HYPERLINK("http://comp.fnguide.com/SVO2/ASP/SVD_Consensus.asp?pGB=1&amp;gicode=A148150&amp;cID=&amp;MenuYn=Y&amp;ReportGB=&amp;NewMenuID=108&amp;stkGb=701", "세경하이테크")</f>
        <v>0</v>
      </c>
      <c r="C288">
        <v>1</v>
      </c>
      <c r="D288">
        <v>22000</v>
      </c>
      <c r="E288">
        <v>0</v>
      </c>
      <c r="F288">
        <v>17.74</v>
      </c>
      <c r="G288">
        <v>36948</v>
      </c>
      <c r="H288">
        <v>21860</v>
      </c>
      <c r="I288">
        <v>17572</v>
      </c>
      <c r="J288">
        <v>-67.95</v>
      </c>
      <c r="K288">
        <v>0.64</v>
      </c>
      <c r="L288">
        <v>20.13</v>
      </c>
      <c r="M288">
        <v>24.71</v>
      </c>
      <c r="N288" t="b">
        <v>1</v>
      </c>
      <c r="O288">
        <v>0</v>
      </c>
      <c r="P288">
        <v>2013</v>
      </c>
      <c r="Q288">
        <v>241</v>
      </c>
      <c r="R288">
        <v>-88</v>
      </c>
      <c r="S288" t="s">
        <v>286</v>
      </c>
      <c r="T288" t="s">
        <v>607</v>
      </c>
      <c r="U288">
        <v>0</v>
      </c>
      <c r="V288">
        <v>0</v>
      </c>
      <c r="W288" t="s">
        <v>920</v>
      </c>
      <c r="X288">
        <v>-44.29183183769187</v>
      </c>
      <c r="Y288">
        <v>2561</v>
      </c>
      <c r="Z288">
        <v>113276</v>
      </c>
      <c r="AA288" t="s">
        <v>1241</v>
      </c>
      <c r="AB288">
        <v>35.6</v>
      </c>
      <c r="AC288" t="s">
        <v>1562</v>
      </c>
      <c r="AD288" t="s">
        <v>1881</v>
      </c>
      <c r="AE288">
        <v>2813</v>
      </c>
      <c r="AF288">
        <v>234</v>
      </c>
      <c r="AH288">
        <v>0.7</v>
      </c>
    </row>
    <row r="289" spans="1:34">
      <c r="A289" s="2">
        <f>HYPERLINK("https://finance.naver.com/item/coinfo.nhn?code=036930", "A036930")</f>
        <v>0</v>
      </c>
      <c r="B289">
        <f>HYPERLINK("http://comp.fnguide.com/SVO2/ASP/SVD_Consensus.asp?pGB=1&amp;gicode=A036930&amp;cID=&amp;MenuYn=Y&amp;ReportGB=&amp;NewMenuID=108&amp;stkGb=701", "주성엔지니어링")</f>
        <v>0</v>
      </c>
      <c r="C289">
        <v>1</v>
      </c>
      <c r="D289">
        <v>8860</v>
      </c>
      <c r="E289">
        <v>0</v>
      </c>
      <c r="F289">
        <v>15.17</v>
      </c>
      <c r="G289">
        <v>10977</v>
      </c>
      <c r="H289">
        <v>7400</v>
      </c>
      <c r="I289">
        <v>6384</v>
      </c>
      <c r="J289">
        <v>-23.89</v>
      </c>
      <c r="K289">
        <v>16.48</v>
      </c>
      <c r="L289">
        <v>27.95</v>
      </c>
      <c r="M289">
        <v>17.32</v>
      </c>
      <c r="N289" t="b">
        <v>1</v>
      </c>
      <c r="O289">
        <v>0</v>
      </c>
      <c r="P289">
        <v>534</v>
      </c>
      <c r="Q289">
        <v>-456</v>
      </c>
      <c r="R289">
        <v>-185.4</v>
      </c>
      <c r="S289" t="s">
        <v>287</v>
      </c>
      <c r="T289" t="s">
        <v>608</v>
      </c>
      <c r="U289">
        <v>0</v>
      </c>
      <c r="V289">
        <v>0</v>
      </c>
      <c r="W289" t="s">
        <v>921</v>
      </c>
      <c r="X289">
        <v>35.24451440952851</v>
      </c>
      <c r="Y289">
        <v>4275</v>
      </c>
      <c r="Z289">
        <v>3098940</v>
      </c>
      <c r="AA289" t="s">
        <v>1242</v>
      </c>
      <c r="AB289">
        <v>28.28</v>
      </c>
      <c r="AC289" t="s">
        <v>1563</v>
      </c>
      <c r="AD289" t="s">
        <v>1882</v>
      </c>
      <c r="AE289">
        <v>2591</v>
      </c>
      <c r="AF289">
        <v>309</v>
      </c>
      <c r="AH289">
        <v>0.86</v>
      </c>
    </row>
    <row r="290" spans="1:34">
      <c r="A290" s="2">
        <f>HYPERLINK("https://finance.naver.com/item/coinfo.nhn?code=234340", "A234340")</f>
        <v>0</v>
      </c>
      <c r="B290">
        <f>HYPERLINK("http://comp.fnguide.com/SVO2/ASP/SVD_Consensus.asp?pGB=1&amp;gicode=A234340&amp;cID=&amp;MenuYn=Y&amp;ReportGB=&amp;NewMenuID=108&amp;stkGb=701", "세틀뱅크")</f>
        <v>0</v>
      </c>
      <c r="C290">
        <v>1</v>
      </c>
      <c r="D290">
        <v>31700</v>
      </c>
      <c r="E290">
        <v>0</v>
      </c>
      <c r="F290">
        <v>19.71</v>
      </c>
      <c r="G290">
        <v>32564</v>
      </c>
      <c r="H290">
        <v>20524</v>
      </c>
      <c r="I290">
        <v>17103</v>
      </c>
      <c r="J290">
        <v>-2.73</v>
      </c>
      <c r="K290">
        <v>35.25</v>
      </c>
      <c r="L290">
        <v>46.05</v>
      </c>
      <c r="M290">
        <v>20.6</v>
      </c>
      <c r="N290" t="b">
        <v>1</v>
      </c>
      <c r="O290">
        <v>0</v>
      </c>
      <c r="P290">
        <v>1466</v>
      </c>
      <c r="S290" t="s">
        <v>288</v>
      </c>
      <c r="T290" t="s">
        <v>609</v>
      </c>
      <c r="U290">
        <v>0</v>
      </c>
      <c r="V290">
        <v>-18</v>
      </c>
      <c r="W290" t="s">
        <v>922</v>
      </c>
      <c r="X290">
        <v>13.70383991116362</v>
      </c>
      <c r="Y290">
        <v>2938</v>
      </c>
      <c r="Z290">
        <v>74127</v>
      </c>
      <c r="AA290" t="s">
        <v>1243</v>
      </c>
      <c r="AB290">
        <v>40.81</v>
      </c>
      <c r="AC290" t="s">
        <v>1564</v>
      </c>
      <c r="AD290" t="s">
        <v>1883</v>
      </c>
      <c r="AE290">
        <v>656</v>
      </c>
      <c r="AF290">
        <v>134</v>
      </c>
      <c r="AG290">
        <v>456646</v>
      </c>
      <c r="AH290">
        <v>1.31</v>
      </c>
    </row>
    <row r="291" spans="1:34">
      <c r="A291" s="2">
        <f>HYPERLINK("https://finance.naver.com/item/coinfo.nhn?code=275630", "A275630")</f>
        <v>0</v>
      </c>
      <c r="B291">
        <f>HYPERLINK("http://comp.fnguide.com/SVO2/ASP/SVD_Consensus.asp?pGB=1&amp;gicode=A275630&amp;cID=&amp;MenuYn=Y&amp;ReportGB=&amp;NewMenuID=108&amp;stkGb=701", "에스에스알")</f>
        <v>0</v>
      </c>
      <c r="C291">
        <v>1</v>
      </c>
      <c r="D291">
        <v>5610</v>
      </c>
      <c r="E291">
        <v>0</v>
      </c>
      <c r="F291">
        <v>31.45</v>
      </c>
      <c r="G291">
        <v>6247</v>
      </c>
      <c r="H291">
        <v>4994</v>
      </c>
      <c r="I291">
        <v>4639</v>
      </c>
      <c r="J291">
        <v>-11.35</v>
      </c>
      <c r="K291">
        <v>10.97</v>
      </c>
      <c r="L291">
        <v>17.32</v>
      </c>
      <c r="M291">
        <v>11.91</v>
      </c>
      <c r="N291" t="b">
        <v>1</v>
      </c>
      <c r="O291">
        <v>0</v>
      </c>
      <c r="P291">
        <v>194</v>
      </c>
      <c r="S291" t="s">
        <v>289</v>
      </c>
      <c r="T291" t="s">
        <v>610</v>
      </c>
      <c r="U291">
        <v>0</v>
      </c>
      <c r="V291">
        <v>0</v>
      </c>
      <c r="W291" t="s">
        <v>923</v>
      </c>
      <c r="X291">
        <v>0</v>
      </c>
      <c r="Y291">
        <v>333</v>
      </c>
      <c r="Z291">
        <v>18618</v>
      </c>
      <c r="AA291" t="s">
        <v>1244</v>
      </c>
      <c r="AB291">
        <v>34.83</v>
      </c>
      <c r="AC291" t="s">
        <v>1565</v>
      </c>
      <c r="AD291" t="s">
        <v>1884</v>
      </c>
      <c r="AE291">
        <v>136</v>
      </c>
      <c r="AF291">
        <v>6</v>
      </c>
    </row>
    <row r="292" spans="1:34">
      <c r="A292" s="2">
        <f>HYPERLINK("https://finance.naver.com/item/coinfo.nhn?code=236200", "A236200")</f>
        <v>0</v>
      </c>
      <c r="B292">
        <f>HYPERLINK("http://comp.fnguide.com/SVO2/ASP/SVD_Consensus.asp?pGB=1&amp;gicode=A236200&amp;cID=&amp;MenuYn=Y&amp;ReportGB=&amp;NewMenuID=108&amp;stkGb=701", "슈프리마")</f>
        <v>0</v>
      </c>
      <c r="C292">
        <v>1</v>
      </c>
      <c r="D292">
        <v>29250</v>
      </c>
      <c r="E292">
        <v>0</v>
      </c>
      <c r="F292">
        <v>9.289999999999999</v>
      </c>
      <c r="G292">
        <v>38202</v>
      </c>
      <c r="H292">
        <v>26688</v>
      </c>
      <c r="I292">
        <v>23416</v>
      </c>
      <c r="J292">
        <v>-30.61</v>
      </c>
      <c r="K292">
        <v>8.76</v>
      </c>
      <c r="L292">
        <v>19.95</v>
      </c>
      <c r="M292">
        <v>15.91</v>
      </c>
      <c r="N292" t="b">
        <v>1</v>
      </c>
      <c r="O292">
        <v>0</v>
      </c>
      <c r="P292">
        <v>3643</v>
      </c>
      <c r="S292" t="s">
        <v>290</v>
      </c>
      <c r="T292" t="s">
        <v>611</v>
      </c>
      <c r="U292">
        <v>0</v>
      </c>
      <c r="V292">
        <v>-50.8</v>
      </c>
      <c r="W292" t="s">
        <v>924</v>
      </c>
      <c r="X292">
        <v>0</v>
      </c>
      <c r="Y292">
        <v>2104</v>
      </c>
      <c r="Z292">
        <v>45181</v>
      </c>
      <c r="AA292" t="s">
        <v>1245</v>
      </c>
      <c r="AB292">
        <v>30.38</v>
      </c>
      <c r="AC292" t="s">
        <v>1566</v>
      </c>
      <c r="AD292" t="s">
        <v>1885</v>
      </c>
      <c r="AE292">
        <v>721</v>
      </c>
      <c r="AF292">
        <v>246</v>
      </c>
      <c r="AG292">
        <v>38881</v>
      </c>
    </row>
    <row r="293" spans="1:34">
      <c r="A293" s="2">
        <f>HYPERLINK("https://finance.naver.com/item/coinfo.nhn?code=317770", "A317770")</f>
        <v>0</v>
      </c>
      <c r="B293">
        <f>HYPERLINK("http://comp.fnguide.com/SVO2/ASP/SVD_Consensus.asp?pGB=1&amp;gicode=A317770&amp;cID=&amp;MenuYn=Y&amp;ReportGB=&amp;NewMenuID=108&amp;stkGb=701", "슈프리마아이디")</f>
        <v>0</v>
      </c>
      <c r="C293">
        <v>1</v>
      </c>
      <c r="D293">
        <v>13900</v>
      </c>
      <c r="E293">
        <v>0</v>
      </c>
      <c r="F293">
        <v>49.47</v>
      </c>
      <c r="G293">
        <v>14985</v>
      </c>
      <c r="H293">
        <v>13648</v>
      </c>
      <c r="I293">
        <v>13269</v>
      </c>
      <c r="J293">
        <v>-7.8</v>
      </c>
      <c r="K293">
        <v>1.81</v>
      </c>
      <c r="L293">
        <v>4.54</v>
      </c>
      <c r="M293">
        <v>9.32</v>
      </c>
      <c r="N293" t="b">
        <v>1</v>
      </c>
      <c r="O293">
        <v>0</v>
      </c>
      <c r="P293">
        <v>397</v>
      </c>
      <c r="S293" t="s">
        <v>291</v>
      </c>
      <c r="T293" t="s">
        <v>612</v>
      </c>
      <c r="U293">
        <v>0</v>
      </c>
      <c r="V293">
        <v>-72.7</v>
      </c>
      <c r="W293" t="s">
        <v>925</v>
      </c>
      <c r="X293">
        <v>0</v>
      </c>
      <c r="Y293">
        <v>421</v>
      </c>
      <c r="Z293">
        <v>4247</v>
      </c>
      <c r="AA293" t="s">
        <v>1246</v>
      </c>
      <c r="AB293">
        <v>61.49</v>
      </c>
      <c r="AC293" t="s">
        <v>1567</v>
      </c>
      <c r="AD293" t="s">
        <v>1886</v>
      </c>
      <c r="AE293">
        <v>121</v>
      </c>
      <c r="AF293">
        <v>5</v>
      </c>
    </row>
    <row r="294" spans="1:34">
      <c r="A294" s="2">
        <f>HYPERLINK("https://finance.naver.com/item/coinfo.nhn?code=290520", "A290520")</f>
        <v>0</v>
      </c>
      <c r="B294">
        <f>HYPERLINK("http://comp.fnguide.com/SVO2/ASP/SVD_Consensus.asp?pGB=1&amp;gicode=A290520&amp;cID=&amp;MenuYn=Y&amp;ReportGB=&amp;NewMenuID=108&amp;stkGb=701", "신도기연")</f>
        <v>0</v>
      </c>
      <c r="C294">
        <v>1</v>
      </c>
      <c r="D294">
        <v>18800</v>
      </c>
      <c r="E294">
        <v>0</v>
      </c>
      <c r="G294">
        <v>28726</v>
      </c>
      <c r="H294">
        <v>14980</v>
      </c>
      <c r="I294">
        <v>11074</v>
      </c>
      <c r="J294">
        <v>-52.8</v>
      </c>
      <c r="K294">
        <v>20.32</v>
      </c>
      <c r="L294">
        <v>41.1</v>
      </c>
      <c r="M294">
        <v>38.79</v>
      </c>
      <c r="N294" t="b">
        <v>0</v>
      </c>
      <c r="O294">
        <v>0</v>
      </c>
      <c r="P294">
        <v>2179</v>
      </c>
      <c r="S294" t="s">
        <v>292</v>
      </c>
      <c r="T294" t="s">
        <v>613</v>
      </c>
      <c r="U294">
        <v>0</v>
      </c>
      <c r="V294">
        <v>-94</v>
      </c>
      <c r="W294" t="s">
        <v>926</v>
      </c>
      <c r="X294">
        <v>0</v>
      </c>
      <c r="Y294">
        <v>1516</v>
      </c>
      <c r="Z294">
        <v>64353</v>
      </c>
      <c r="AA294" t="s">
        <v>1247</v>
      </c>
      <c r="AB294">
        <v>59.79</v>
      </c>
      <c r="AC294" t="s">
        <v>1568</v>
      </c>
      <c r="AD294" t="s">
        <v>1801</v>
      </c>
      <c r="AE294">
        <v>848</v>
      </c>
      <c r="AF294">
        <v>169</v>
      </c>
    </row>
    <row r="295" spans="1:34">
      <c r="A295" s="2">
        <f>HYPERLINK("https://finance.naver.com/item/coinfo.nhn?code=052860", "A052860")</f>
        <v>0</v>
      </c>
      <c r="B295">
        <f>HYPERLINK("http://comp.fnguide.com/SVO2/ASP/SVD_Consensus.asp?pGB=1&amp;gicode=A052860&amp;cID=&amp;MenuYn=Y&amp;ReportGB=&amp;NewMenuID=108&amp;stkGb=701", "아이앤씨")</f>
        <v>0</v>
      </c>
      <c r="C295">
        <v>1</v>
      </c>
      <c r="D295">
        <v>3815</v>
      </c>
      <c r="E295">
        <v>0</v>
      </c>
      <c r="F295">
        <v>16.08</v>
      </c>
      <c r="G295">
        <v>3942</v>
      </c>
      <c r="H295">
        <v>3506</v>
      </c>
      <c r="I295">
        <v>3382</v>
      </c>
      <c r="J295">
        <v>-3.32</v>
      </c>
      <c r="K295">
        <v>8.09</v>
      </c>
      <c r="L295">
        <v>11.34</v>
      </c>
      <c r="M295">
        <v>9.73</v>
      </c>
      <c r="N295" t="b">
        <v>1</v>
      </c>
      <c r="O295">
        <v>0</v>
      </c>
      <c r="P295">
        <v>328</v>
      </c>
      <c r="S295" t="s">
        <v>293</v>
      </c>
      <c r="T295" t="s">
        <v>614</v>
      </c>
      <c r="U295">
        <v>0</v>
      </c>
      <c r="V295">
        <v>0</v>
      </c>
      <c r="W295" t="s">
        <v>927</v>
      </c>
      <c r="X295">
        <v>39.67518992521104</v>
      </c>
      <c r="Y295">
        <v>672</v>
      </c>
      <c r="Z295">
        <v>98895</v>
      </c>
      <c r="AA295" t="s">
        <v>1248</v>
      </c>
      <c r="AB295">
        <v>30.35</v>
      </c>
      <c r="AC295" t="s">
        <v>1569</v>
      </c>
      <c r="AD295" t="s">
        <v>1887</v>
      </c>
      <c r="AE295">
        <v>456</v>
      </c>
      <c r="AF295">
        <v>43</v>
      </c>
      <c r="AG295">
        <v>552775</v>
      </c>
      <c r="AH295">
        <v>1.9</v>
      </c>
    </row>
    <row r="296" spans="1:34">
      <c r="A296" s="2">
        <f>HYPERLINK("https://finance.naver.com/item/coinfo.nhn?code=040910", "A040910")</f>
        <v>0</v>
      </c>
      <c r="B296">
        <f>HYPERLINK("http://comp.fnguide.com/SVO2/ASP/SVD_Consensus.asp?pGB=1&amp;gicode=A040910&amp;cID=&amp;MenuYn=Y&amp;ReportGB=&amp;NewMenuID=108&amp;stkGb=701", "아이씨디")</f>
        <v>0</v>
      </c>
      <c r="C296">
        <v>1</v>
      </c>
      <c r="D296">
        <v>15500</v>
      </c>
      <c r="E296">
        <v>1.45</v>
      </c>
      <c r="F296">
        <v>30.76</v>
      </c>
      <c r="G296">
        <v>16280</v>
      </c>
      <c r="H296">
        <v>11739</v>
      </c>
      <c r="I296">
        <v>10449</v>
      </c>
      <c r="J296">
        <v>-5.03</v>
      </c>
      <c r="K296">
        <v>24.26</v>
      </c>
      <c r="L296">
        <v>32.59</v>
      </c>
      <c r="M296">
        <v>14.8</v>
      </c>
      <c r="N296" t="b">
        <v>1</v>
      </c>
      <c r="O296">
        <v>1</v>
      </c>
      <c r="P296">
        <v>639</v>
      </c>
      <c r="Q296">
        <v>2621</v>
      </c>
      <c r="R296">
        <v>310.2</v>
      </c>
      <c r="S296" t="s">
        <v>294</v>
      </c>
      <c r="T296" t="s">
        <v>615</v>
      </c>
      <c r="U296">
        <v>21.17509904081743</v>
      </c>
      <c r="V296">
        <v>626.3</v>
      </c>
      <c r="W296" t="s">
        <v>928</v>
      </c>
      <c r="X296">
        <v>64.79233758041798</v>
      </c>
      <c r="Y296">
        <v>2782</v>
      </c>
      <c r="Z296">
        <v>278677</v>
      </c>
      <c r="AA296" t="s">
        <v>1249</v>
      </c>
      <c r="AB296">
        <v>24.08</v>
      </c>
      <c r="AC296" t="s">
        <v>1570</v>
      </c>
      <c r="AD296" t="s">
        <v>1888</v>
      </c>
      <c r="AE296">
        <v>1216</v>
      </c>
      <c r="AF296">
        <v>143</v>
      </c>
      <c r="AG296">
        <v>1104471</v>
      </c>
      <c r="AH296">
        <v>0.76</v>
      </c>
    </row>
    <row r="297" spans="1:34">
      <c r="A297" s="2">
        <f>HYPERLINK("https://finance.naver.com/item/coinfo.nhn?code=289010", "A289010")</f>
        <v>0</v>
      </c>
      <c r="B297">
        <f>HYPERLINK("http://comp.fnguide.com/SVO2/ASP/SVD_Consensus.asp?pGB=1&amp;gicode=A289010&amp;cID=&amp;MenuYn=Y&amp;ReportGB=&amp;NewMenuID=108&amp;stkGb=701", "아이스크림에듀")</f>
        <v>0</v>
      </c>
      <c r="C297">
        <v>1</v>
      </c>
      <c r="D297">
        <v>9040</v>
      </c>
      <c r="E297">
        <v>0</v>
      </c>
      <c r="F297">
        <v>19.32</v>
      </c>
      <c r="G297">
        <v>12297</v>
      </c>
      <c r="H297">
        <v>8475</v>
      </c>
      <c r="I297">
        <v>7388</v>
      </c>
      <c r="J297">
        <v>-36.03</v>
      </c>
      <c r="K297">
        <v>6.25</v>
      </c>
      <c r="L297">
        <v>18.27</v>
      </c>
      <c r="M297">
        <v>16.43</v>
      </c>
      <c r="N297" t="b">
        <v>1</v>
      </c>
      <c r="O297">
        <v>0</v>
      </c>
      <c r="P297">
        <v>415</v>
      </c>
      <c r="S297" t="s">
        <v>295</v>
      </c>
      <c r="T297" t="s">
        <v>616</v>
      </c>
      <c r="U297">
        <v>0</v>
      </c>
      <c r="V297">
        <v>-16.6</v>
      </c>
      <c r="W297" t="s">
        <v>929</v>
      </c>
      <c r="X297">
        <v>0.8848072553186759</v>
      </c>
      <c r="Y297">
        <v>1163</v>
      </c>
      <c r="Z297">
        <v>583970</v>
      </c>
      <c r="AA297" t="s">
        <v>1250</v>
      </c>
      <c r="AB297">
        <v>45.06</v>
      </c>
      <c r="AC297" t="s">
        <v>1571</v>
      </c>
      <c r="AD297" t="s">
        <v>1889</v>
      </c>
      <c r="AE297">
        <v>1064</v>
      </c>
      <c r="AF297">
        <v>54</v>
      </c>
      <c r="AG297">
        <v>330577</v>
      </c>
      <c r="AH297">
        <v>1.25</v>
      </c>
    </row>
    <row r="298" spans="1:34">
      <c r="A298" s="2">
        <f>HYPERLINK("https://finance.naver.com/item/coinfo.nhn?code=293480", "A293480")</f>
        <v>0</v>
      </c>
      <c r="B298">
        <f>HYPERLINK("http://comp.fnguide.com/SVO2/ASP/SVD_Consensus.asp?pGB=1&amp;gicode=A293480&amp;cID=&amp;MenuYn=Y&amp;ReportGB=&amp;NewMenuID=108&amp;stkGb=701", "하나제약")</f>
        <v>0</v>
      </c>
      <c r="C298">
        <v>1</v>
      </c>
      <c r="D298">
        <v>24850</v>
      </c>
      <c r="E298">
        <v>0</v>
      </c>
      <c r="F298">
        <v>12.91</v>
      </c>
      <c r="G298">
        <v>32953</v>
      </c>
      <c r="H298">
        <v>21553</v>
      </c>
      <c r="I298">
        <v>18313</v>
      </c>
      <c r="J298">
        <v>-32.61</v>
      </c>
      <c r="K298">
        <v>13.27</v>
      </c>
      <c r="L298">
        <v>26.31</v>
      </c>
      <c r="M298">
        <v>18.68</v>
      </c>
      <c r="N298" t="b">
        <v>1</v>
      </c>
      <c r="O298">
        <v>0</v>
      </c>
      <c r="P298">
        <v>1747</v>
      </c>
      <c r="S298" t="s">
        <v>296</v>
      </c>
      <c r="T298" t="s">
        <v>617</v>
      </c>
      <c r="U298">
        <v>0</v>
      </c>
      <c r="V298">
        <v>-11</v>
      </c>
      <c r="W298" t="s">
        <v>930</v>
      </c>
      <c r="X298">
        <v>-8.824579080226002</v>
      </c>
      <c r="Y298">
        <v>4026</v>
      </c>
      <c r="Z298">
        <v>101574</v>
      </c>
      <c r="AA298" t="s">
        <v>1251</v>
      </c>
      <c r="AB298">
        <v>58.69</v>
      </c>
      <c r="AC298" t="s">
        <v>1572</v>
      </c>
      <c r="AD298" t="s">
        <v>1890</v>
      </c>
      <c r="AE298">
        <v>1663</v>
      </c>
      <c r="AF298">
        <v>336</v>
      </c>
      <c r="AG298">
        <v>470540</v>
      </c>
      <c r="AH298">
        <v>2.04</v>
      </c>
    </row>
    <row r="299" spans="1:34">
      <c r="A299" s="2">
        <f>HYPERLINK("https://finance.naver.com/item/coinfo.nhn?code=145720", "A145720")</f>
        <v>0</v>
      </c>
      <c r="B299">
        <f>HYPERLINK("http://comp.fnguide.com/SVO2/ASP/SVD_Consensus.asp?pGB=1&amp;gicode=A145720&amp;cID=&amp;MenuYn=Y&amp;ReportGB=&amp;NewMenuID=108&amp;stkGb=701", "덴티움")</f>
        <v>0</v>
      </c>
      <c r="C299">
        <v>1</v>
      </c>
      <c r="D299">
        <v>41900</v>
      </c>
      <c r="E299">
        <v>-3.99</v>
      </c>
      <c r="F299">
        <v>40.28</v>
      </c>
      <c r="G299">
        <v>43642</v>
      </c>
      <c r="H299">
        <v>31819</v>
      </c>
      <c r="I299">
        <v>28459</v>
      </c>
      <c r="J299">
        <v>-4.16</v>
      </c>
      <c r="K299">
        <v>24.06</v>
      </c>
      <c r="L299">
        <v>32.08</v>
      </c>
      <c r="M299">
        <v>14.44</v>
      </c>
      <c r="N299" t="b">
        <v>0</v>
      </c>
      <c r="O299">
        <v>1</v>
      </c>
      <c r="P299">
        <v>1336</v>
      </c>
      <c r="Q299">
        <v>1971</v>
      </c>
      <c r="R299">
        <v>47.5</v>
      </c>
      <c r="S299" t="s">
        <v>297</v>
      </c>
      <c r="T299" t="s">
        <v>618</v>
      </c>
      <c r="U299">
        <v>-10.10679333673125</v>
      </c>
      <c r="V299">
        <v>-62</v>
      </c>
      <c r="W299" t="s">
        <v>931</v>
      </c>
      <c r="X299">
        <v>-17.23943037131282</v>
      </c>
      <c r="Y299">
        <v>4638</v>
      </c>
      <c r="Z299">
        <v>28129</v>
      </c>
      <c r="AA299" t="s">
        <v>1252</v>
      </c>
      <c r="AB299">
        <v>19.02</v>
      </c>
      <c r="AC299" t="s">
        <v>1573</v>
      </c>
      <c r="AD299" t="s">
        <v>1891</v>
      </c>
      <c r="AE299">
        <v>2526</v>
      </c>
      <c r="AF299">
        <v>447</v>
      </c>
      <c r="AG299">
        <v>2444939</v>
      </c>
    </row>
    <row r="300" spans="1:34">
      <c r="A300" s="2">
        <f>HYPERLINK("https://finance.naver.com/item/coinfo.nhn?code=192080", "A192080")</f>
        <v>0</v>
      </c>
      <c r="B300">
        <f>HYPERLINK("http://comp.fnguide.com/SVO2/ASP/SVD_Consensus.asp?pGB=1&amp;gicode=A192080&amp;cID=&amp;MenuYn=Y&amp;ReportGB=&amp;NewMenuID=108&amp;stkGb=701", "더블유게임즈")</f>
        <v>0</v>
      </c>
      <c r="C300">
        <v>1</v>
      </c>
      <c r="D300">
        <v>58500</v>
      </c>
      <c r="E300">
        <v>0.16</v>
      </c>
      <c r="F300">
        <v>8.25</v>
      </c>
      <c r="G300">
        <v>83125</v>
      </c>
      <c r="H300">
        <v>56050</v>
      </c>
      <c r="I300">
        <v>48356</v>
      </c>
      <c r="J300">
        <v>-42.09</v>
      </c>
      <c r="K300">
        <v>4.19</v>
      </c>
      <c r="L300">
        <v>17.34</v>
      </c>
      <c r="M300">
        <v>17.31</v>
      </c>
      <c r="N300" t="b">
        <v>1</v>
      </c>
      <c r="O300">
        <v>3</v>
      </c>
      <c r="P300">
        <v>6040</v>
      </c>
      <c r="Q300">
        <v>7020</v>
      </c>
      <c r="R300">
        <v>16.2</v>
      </c>
      <c r="S300" t="s">
        <v>298</v>
      </c>
      <c r="T300" t="s">
        <v>619</v>
      </c>
      <c r="U300">
        <v>51.30396329949416</v>
      </c>
      <c r="V300">
        <v>-4.4</v>
      </c>
      <c r="W300" t="s">
        <v>932</v>
      </c>
      <c r="X300">
        <v>17.98894483945883</v>
      </c>
      <c r="Y300">
        <v>10749</v>
      </c>
      <c r="Z300">
        <v>96673</v>
      </c>
      <c r="AA300" t="s">
        <v>1253</v>
      </c>
      <c r="AB300">
        <v>43.73</v>
      </c>
      <c r="AC300" t="s">
        <v>1574</v>
      </c>
      <c r="AD300" t="s">
        <v>1892</v>
      </c>
      <c r="AE300">
        <v>5138</v>
      </c>
      <c r="AF300">
        <v>1546</v>
      </c>
      <c r="AG300">
        <v>1398976</v>
      </c>
      <c r="AH300">
        <v>0.7</v>
      </c>
    </row>
    <row r="301" spans="1:34">
      <c r="A301" s="2">
        <f>HYPERLINK("https://finance.naver.com/item/coinfo.nhn?code=241790", "A241790")</f>
        <v>0</v>
      </c>
      <c r="B301">
        <f>HYPERLINK("http://comp.fnguide.com/SVO2/ASP/SVD_Consensus.asp?pGB=1&amp;gicode=A241790&amp;cID=&amp;MenuYn=Y&amp;ReportGB=&amp;NewMenuID=108&amp;stkGb=701", "오션브릿지")</f>
        <v>0</v>
      </c>
      <c r="C301">
        <v>1</v>
      </c>
      <c r="D301">
        <v>17700</v>
      </c>
      <c r="E301">
        <v>0</v>
      </c>
      <c r="F301">
        <v>10.06</v>
      </c>
      <c r="G301">
        <v>18796</v>
      </c>
      <c r="H301">
        <v>11421</v>
      </c>
      <c r="I301">
        <v>9325</v>
      </c>
      <c r="J301">
        <v>-6.19</v>
      </c>
      <c r="K301">
        <v>35.47</v>
      </c>
      <c r="L301">
        <v>47.31</v>
      </c>
      <c r="M301">
        <v>22.82</v>
      </c>
      <c r="N301" t="b">
        <v>1</v>
      </c>
      <c r="O301">
        <v>0</v>
      </c>
      <c r="P301">
        <v>1024</v>
      </c>
      <c r="S301" t="s">
        <v>299</v>
      </c>
      <c r="T301" t="s">
        <v>620</v>
      </c>
      <c r="U301">
        <v>0</v>
      </c>
      <c r="V301">
        <v>8.5</v>
      </c>
      <c r="W301" t="s">
        <v>933</v>
      </c>
      <c r="X301">
        <v>12.92148855533264</v>
      </c>
      <c r="Y301">
        <v>1770</v>
      </c>
      <c r="Z301">
        <v>342717</v>
      </c>
      <c r="AA301" t="s">
        <v>1254</v>
      </c>
      <c r="AB301">
        <v>24.2</v>
      </c>
      <c r="AC301" t="s">
        <v>1575</v>
      </c>
      <c r="AD301" t="s">
        <v>1893</v>
      </c>
      <c r="AE301">
        <v>758</v>
      </c>
      <c r="AF301">
        <v>128</v>
      </c>
      <c r="AG301">
        <v>123197</v>
      </c>
      <c r="AH301">
        <v>2.62</v>
      </c>
    </row>
    <row r="302" spans="1:34">
      <c r="A302" s="2">
        <f>HYPERLINK("https://finance.naver.com/item/coinfo.nhn?code=251630", "A251630")</f>
        <v>0</v>
      </c>
      <c r="B302">
        <f>HYPERLINK("http://comp.fnguide.com/SVO2/ASP/SVD_Consensus.asp?pGB=1&amp;gicode=A251630&amp;cID=&amp;MenuYn=Y&amp;ReportGB=&amp;NewMenuID=108&amp;stkGb=701", "브이원텍")</f>
        <v>0</v>
      </c>
      <c r="C302">
        <v>1</v>
      </c>
      <c r="D302">
        <v>9690</v>
      </c>
      <c r="E302">
        <v>0</v>
      </c>
      <c r="F302">
        <v>20.91</v>
      </c>
      <c r="G302">
        <v>11335</v>
      </c>
      <c r="H302">
        <v>7936</v>
      </c>
      <c r="I302">
        <v>6970</v>
      </c>
      <c r="J302">
        <v>-16.97</v>
      </c>
      <c r="K302">
        <v>18.1</v>
      </c>
      <c r="L302">
        <v>28.07</v>
      </c>
      <c r="M302">
        <v>15.83</v>
      </c>
      <c r="N302" t="b">
        <v>1</v>
      </c>
      <c r="O302">
        <v>0</v>
      </c>
      <c r="P302">
        <v>442</v>
      </c>
      <c r="S302" t="s">
        <v>300</v>
      </c>
      <c r="T302" t="s">
        <v>621</v>
      </c>
      <c r="U302">
        <v>0</v>
      </c>
      <c r="V302">
        <v>-6.9</v>
      </c>
      <c r="W302" t="s">
        <v>934</v>
      </c>
      <c r="X302">
        <v>14.49186008396843</v>
      </c>
      <c r="Y302">
        <v>1458</v>
      </c>
      <c r="Z302">
        <v>129076</v>
      </c>
      <c r="AA302" t="s">
        <v>1255</v>
      </c>
      <c r="AB302">
        <v>52.04</v>
      </c>
      <c r="AC302" t="s">
        <v>1576</v>
      </c>
      <c r="AD302" t="s">
        <v>1894</v>
      </c>
      <c r="AE302">
        <v>268</v>
      </c>
      <c r="AF302">
        <v>48</v>
      </c>
      <c r="AG302">
        <v>680241</v>
      </c>
      <c r="AH302">
        <v>1.08</v>
      </c>
    </row>
    <row r="303" spans="1:34">
      <c r="A303" s="2">
        <f>HYPERLINK("https://finance.naver.com/item/coinfo.nhn?code=001820", "A001820")</f>
        <v>0</v>
      </c>
      <c r="B303">
        <f>HYPERLINK("http://comp.fnguide.com/SVO2/ASP/SVD_Consensus.asp?pGB=1&amp;gicode=A001820&amp;cID=&amp;MenuYn=Y&amp;ReportGB=&amp;NewMenuID=108&amp;stkGb=701", "삼화콘덴서")</f>
        <v>0</v>
      </c>
      <c r="C303">
        <v>1</v>
      </c>
      <c r="D303">
        <v>57100</v>
      </c>
      <c r="E303">
        <v>1.12</v>
      </c>
      <c r="F303">
        <v>18.34</v>
      </c>
      <c r="G303">
        <v>67664</v>
      </c>
      <c r="H303">
        <v>35912</v>
      </c>
      <c r="I303">
        <v>26889</v>
      </c>
      <c r="J303">
        <v>-18.5</v>
      </c>
      <c r="K303">
        <v>37.11</v>
      </c>
      <c r="L303">
        <v>52.91</v>
      </c>
      <c r="M303">
        <v>36.08</v>
      </c>
      <c r="N303" t="b">
        <v>1</v>
      </c>
      <c r="O303">
        <v>0</v>
      </c>
      <c r="P303">
        <v>2852</v>
      </c>
      <c r="Q303">
        <v>2357</v>
      </c>
      <c r="R303">
        <v>-17.4</v>
      </c>
      <c r="S303" t="s">
        <v>301</v>
      </c>
      <c r="T303" t="s">
        <v>622</v>
      </c>
      <c r="U303">
        <v>16.44142548399812</v>
      </c>
      <c r="V303">
        <v>-28.4</v>
      </c>
      <c r="W303" t="s">
        <v>935</v>
      </c>
      <c r="X303">
        <v>51.4301093568525</v>
      </c>
      <c r="Y303">
        <v>5936</v>
      </c>
      <c r="Z303">
        <v>89307</v>
      </c>
      <c r="AA303" t="s">
        <v>1256</v>
      </c>
      <c r="AB303">
        <v>28.15</v>
      </c>
      <c r="AC303" t="s">
        <v>1577</v>
      </c>
      <c r="AD303" t="s">
        <v>1895</v>
      </c>
      <c r="AE303">
        <v>2545</v>
      </c>
      <c r="AF303">
        <v>373</v>
      </c>
      <c r="AG303">
        <v>134000</v>
      </c>
      <c r="AH303">
        <v>0.48</v>
      </c>
    </row>
    <row r="304" spans="1:34">
      <c r="A304" s="2">
        <f>HYPERLINK("https://finance.naver.com/item/coinfo.nhn?code=079370", "A079370")</f>
        <v>0</v>
      </c>
      <c r="B304">
        <f>HYPERLINK("http://comp.fnguide.com/SVO2/ASP/SVD_Consensus.asp?pGB=1&amp;gicode=A079370&amp;cID=&amp;MenuYn=Y&amp;ReportGB=&amp;NewMenuID=108&amp;stkGb=701", "제우스")</f>
        <v>0</v>
      </c>
      <c r="C304">
        <v>1</v>
      </c>
      <c r="D304">
        <v>25500</v>
      </c>
      <c r="E304">
        <v>0</v>
      </c>
      <c r="F304">
        <v>10.13</v>
      </c>
      <c r="G304">
        <v>28532</v>
      </c>
      <c r="H304">
        <v>24685</v>
      </c>
      <c r="I304">
        <v>23591</v>
      </c>
      <c r="J304">
        <v>-11.89</v>
      </c>
      <c r="K304">
        <v>3.2</v>
      </c>
      <c r="L304">
        <v>7.48</v>
      </c>
      <c r="M304">
        <v>10.23</v>
      </c>
      <c r="N304" t="b">
        <v>1</v>
      </c>
      <c r="O304">
        <v>0</v>
      </c>
      <c r="P304">
        <v>1343</v>
      </c>
      <c r="S304" t="s">
        <v>302</v>
      </c>
      <c r="T304" t="s">
        <v>623</v>
      </c>
      <c r="U304">
        <v>0</v>
      </c>
      <c r="V304">
        <v>-4.2</v>
      </c>
      <c r="W304" t="s">
        <v>936</v>
      </c>
      <c r="X304">
        <v>-7.917417335891564</v>
      </c>
      <c r="Y304">
        <v>2648</v>
      </c>
      <c r="Z304">
        <v>208644</v>
      </c>
      <c r="AA304" t="s">
        <v>1257</v>
      </c>
      <c r="AB304">
        <v>39.56</v>
      </c>
      <c r="AC304" t="s">
        <v>1578</v>
      </c>
      <c r="AD304" t="s">
        <v>1896</v>
      </c>
      <c r="AE304">
        <v>3235</v>
      </c>
      <c r="AF304">
        <v>182</v>
      </c>
      <c r="AG304">
        <v>270028</v>
      </c>
      <c r="AH304">
        <v>1.47</v>
      </c>
    </row>
    <row r="305" spans="1:34">
      <c r="A305" s="2">
        <f>HYPERLINK("https://finance.naver.com/item/coinfo.nhn?code=122310", "A122310")</f>
        <v>0</v>
      </c>
      <c r="B305">
        <f>HYPERLINK("http://comp.fnguide.com/SVO2/ASP/SVD_Consensus.asp?pGB=1&amp;gicode=A122310&amp;cID=&amp;MenuYn=Y&amp;ReportGB=&amp;NewMenuID=108&amp;stkGb=701", "제노레이")</f>
        <v>0</v>
      </c>
      <c r="C305">
        <v>1</v>
      </c>
      <c r="D305">
        <v>9750</v>
      </c>
      <c r="E305">
        <v>0.27</v>
      </c>
      <c r="F305">
        <v>7.88</v>
      </c>
      <c r="G305">
        <v>13753</v>
      </c>
      <c r="H305">
        <v>7987</v>
      </c>
      <c r="I305">
        <v>6348</v>
      </c>
      <c r="J305">
        <v>-41.06</v>
      </c>
      <c r="K305">
        <v>18.08</v>
      </c>
      <c r="L305">
        <v>34.89</v>
      </c>
      <c r="M305">
        <v>26.19</v>
      </c>
      <c r="N305" t="b">
        <v>1</v>
      </c>
      <c r="O305">
        <v>3</v>
      </c>
      <c r="P305">
        <v>950</v>
      </c>
      <c r="Q305">
        <v>1031</v>
      </c>
      <c r="R305">
        <v>8.5</v>
      </c>
      <c r="S305" t="s">
        <v>303</v>
      </c>
      <c r="T305" t="s">
        <v>624</v>
      </c>
      <c r="U305">
        <v>29.46560427780675</v>
      </c>
      <c r="V305">
        <v>-8.300000000000001</v>
      </c>
      <c r="W305" t="s">
        <v>937</v>
      </c>
      <c r="X305">
        <v>33.0186583552752</v>
      </c>
      <c r="Y305">
        <v>1419</v>
      </c>
      <c r="Z305">
        <v>135636</v>
      </c>
      <c r="AA305" t="s">
        <v>1258</v>
      </c>
      <c r="AB305">
        <v>28.5</v>
      </c>
      <c r="AC305" t="s">
        <v>1579</v>
      </c>
      <c r="AD305" t="s">
        <v>1897</v>
      </c>
      <c r="AE305">
        <v>651</v>
      </c>
      <c r="AF305">
        <v>147</v>
      </c>
      <c r="AG305">
        <v>260000</v>
      </c>
      <c r="AH305">
        <v>1.8</v>
      </c>
    </row>
    <row r="306" spans="1:34">
      <c r="A306" s="2">
        <f>HYPERLINK("https://finance.naver.com/item/coinfo.nhn?code=067280", "A067280")</f>
        <v>0</v>
      </c>
      <c r="B306">
        <f>HYPERLINK("http://comp.fnguide.com/SVO2/ASP/SVD_Consensus.asp?pGB=1&amp;gicode=A067280&amp;cID=&amp;MenuYn=Y&amp;ReportGB=&amp;NewMenuID=108&amp;stkGb=701", "멀티캠퍼스")</f>
        <v>0</v>
      </c>
      <c r="C306">
        <v>1</v>
      </c>
      <c r="D306">
        <v>32800</v>
      </c>
      <c r="E306">
        <v>0</v>
      </c>
      <c r="F306">
        <v>11.03</v>
      </c>
      <c r="G306">
        <v>42186</v>
      </c>
      <c r="H306">
        <v>27940</v>
      </c>
      <c r="I306">
        <v>23892</v>
      </c>
      <c r="J306">
        <v>-28.62</v>
      </c>
      <c r="K306">
        <v>14.82</v>
      </c>
      <c r="L306">
        <v>27.16</v>
      </c>
      <c r="M306">
        <v>18.1</v>
      </c>
      <c r="N306" t="b">
        <v>1</v>
      </c>
      <c r="O306">
        <v>0</v>
      </c>
      <c r="P306">
        <v>3143</v>
      </c>
      <c r="S306" t="s">
        <v>304</v>
      </c>
      <c r="T306" t="s">
        <v>625</v>
      </c>
      <c r="U306">
        <v>0</v>
      </c>
      <c r="V306">
        <v>-62</v>
      </c>
      <c r="W306" t="s">
        <v>938</v>
      </c>
      <c r="X306">
        <v>-7.409942503135259</v>
      </c>
      <c r="Y306">
        <v>1944</v>
      </c>
      <c r="Z306">
        <v>9272</v>
      </c>
      <c r="AA306" t="s">
        <v>1259</v>
      </c>
      <c r="AB306">
        <v>62.44</v>
      </c>
      <c r="AC306" t="s">
        <v>1580</v>
      </c>
      <c r="AD306" t="s">
        <v>1898</v>
      </c>
      <c r="AE306">
        <v>2880</v>
      </c>
      <c r="AF306">
        <v>242</v>
      </c>
      <c r="AH306">
        <v>1.73</v>
      </c>
    </row>
    <row r="307" spans="1:34">
      <c r="A307" s="2">
        <f>HYPERLINK("https://finance.naver.com/item/coinfo.nhn?code=215200", "A215200")</f>
        <v>0</v>
      </c>
      <c r="B307">
        <f>HYPERLINK("http://comp.fnguide.com/SVO2/ASP/SVD_Consensus.asp?pGB=1&amp;gicode=A215200&amp;cID=&amp;MenuYn=Y&amp;ReportGB=&amp;NewMenuID=108&amp;stkGb=701", "메가스터디교육")</f>
        <v>0</v>
      </c>
      <c r="C307">
        <v>1</v>
      </c>
      <c r="D307">
        <v>37550</v>
      </c>
      <c r="E307">
        <v>0.27</v>
      </c>
      <c r="F307">
        <v>10.42</v>
      </c>
      <c r="G307">
        <v>47831</v>
      </c>
      <c r="H307">
        <v>31678</v>
      </c>
      <c r="I307">
        <v>27087</v>
      </c>
      <c r="J307">
        <v>-27.38</v>
      </c>
      <c r="K307">
        <v>15.64</v>
      </c>
      <c r="L307">
        <v>27.86</v>
      </c>
      <c r="M307">
        <v>18.1</v>
      </c>
      <c r="N307" t="b">
        <v>0</v>
      </c>
      <c r="O307">
        <v>0</v>
      </c>
      <c r="P307">
        <v>3985</v>
      </c>
      <c r="Q307">
        <v>2206</v>
      </c>
      <c r="R307">
        <v>-44.6</v>
      </c>
      <c r="S307" t="s">
        <v>305</v>
      </c>
      <c r="T307" t="s">
        <v>626</v>
      </c>
      <c r="U307">
        <v>38.49970637723552</v>
      </c>
      <c r="V307">
        <v>-49.7</v>
      </c>
      <c r="W307" t="s">
        <v>939</v>
      </c>
      <c r="X307">
        <v>23.81139671213723</v>
      </c>
      <c r="Y307">
        <v>4447</v>
      </c>
      <c r="Z307">
        <v>55766</v>
      </c>
      <c r="AA307" t="s">
        <v>1260</v>
      </c>
      <c r="AB307">
        <v>34.81</v>
      </c>
      <c r="AC307" t="s">
        <v>1581</v>
      </c>
      <c r="AD307" t="s">
        <v>1899</v>
      </c>
      <c r="AE307">
        <v>4373</v>
      </c>
      <c r="AF307">
        <v>596</v>
      </c>
      <c r="AG307">
        <v>80557</v>
      </c>
      <c r="AH307">
        <v>2.65</v>
      </c>
    </row>
    <row r="308" spans="1:34">
      <c r="A308" s="2">
        <f>HYPERLINK("https://finance.naver.com/item/coinfo.nhn?code=257370", "A257370")</f>
        <v>0</v>
      </c>
      <c r="B308">
        <f>HYPERLINK("http://comp.fnguide.com/SVO2/ASP/SVD_Consensus.asp?pGB=1&amp;gicode=A257370&amp;cID=&amp;MenuYn=Y&amp;ReportGB=&amp;NewMenuID=108&amp;stkGb=701", "명성티엔에스")</f>
        <v>0</v>
      </c>
      <c r="C308">
        <v>1</v>
      </c>
      <c r="D308">
        <v>9340</v>
      </c>
      <c r="E308">
        <v>0</v>
      </c>
      <c r="F308">
        <v>214.72</v>
      </c>
      <c r="G308">
        <v>9975</v>
      </c>
      <c r="H308">
        <v>7678</v>
      </c>
      <c r="I308">
        <v>7025</v>
      </c>
      <c r="J308">
        <v>-6.8</v>
      </c>
      <c r="K308">
        <v>17.8</v>
      </c>
      <c r="L308">
        <v>24.79</v>
      </c>
      <c r="M308">
        <v>12.87</v>
      </c>
      <c r="N308" t="b">
        <v>0</v>
      </c>
      <c r="O308">
        <v>0</v>
      </c>
      <c r="P308">
        <v>79</v>
      </c>
      <c r="S308" t="s">
        <v>306</v>
      </c>
      <c r="T308" t="s">
        <v>627</v>
      </c>
      <c r="U308">
        <v>0</v>
      </c>
      <c r="V308">
        <v>0</v>
      </c>
      <c r="W308" t="s">
        <v>940</v>
      </c>
      <c r="X308">
        <v>-56.3508567615407</v>
      </c>
      <c r="Y308">
        <v>602</v>
      </c>
      <c r="Z308">
        <v>85018</v>
      </c>
      <c r="AA308" t="s">
        <v>1261</v>
      </c>
      <c r="AB308">
        <v>11.49</v>
      </c>
      <c r="AC308" t="s">
        <v>1582</v>
      </c>
      <c r="AD308" t="s">
        <v>1900</v>
      </c>
      <c r="AE308">
        <v>350</v>
      </c>
      <c r="AF308">
        <v>9</v>
      </c>
      <c r="AG308">
        <v>219712</v>
      </c>
    </row>
    <row r="309" spans="1:34">
      <c r="A309" s="2">
        <f>HYPERLINK("https://finance.naver.com/item/coinfo.nhn?code=041830", "A041830")</f>
        <v>0</v>
      </c>
      <c r="B309">
        <f>HYPERLINK("http://comp.fnguide.com/SVO2/ASP/SVD_Consensus.asp?pGB=1&amp;gicode=A041830&amp;cID=&amp;MenuYn=Y&amp;ReportGB=&amp;NewMenuID=108&amp;stkGb=701", "인바디")</f>
        <v>0</v>
      </c>
      <c r="C309">
        <v>1</v>
      </c>
      <c r="D309">
        <v>17900</v>
      </c>
      <c r="E309">
        <v>-1.95</v>
      </c>
      <c r="F309">
        <v>15.84</v>
      </c>
      <c r="G309">
        <v>22495</v>
      </c>
      <c r="H309">
        <v>15413</v>
      </c>
      <c r="I309">
        <v>13400</v>
      </c>
      <c r="J309">
        <v>-25.67</v>
      </c>
      <c r="K309">
        <v>13.9</v>
      </c>
      <c r="L309">
        <v>25.14</v>
      </c>
      <c r="M309">
        <v>16.66</v>
      </c>
      <c r="N309" t="b">
        <v>1</v>
      </c>
      <c r="O309">
        <v>0</v>
      </c>
      <c r="P309">
        <v>1493</v>
      </c>
      <c r="Q309">
        <v>1096</v>
      </c>
      <c r="R309">
        <v>-26.6</v>
      </c>
      <c r="S309" t="s">
        <v>307</v>
      </c>
      <c r="T309" t="s">
        <v>628</v>
      </c>
      <c r="U309">
        <v>-8.121535087406039</v>
      </c>
      <c r="V309">
        <v>-34.6</v>
      </c>
      <c r="W309" t="s">
        <v>941</v>
      </c>
      <c r="X309">
        <v>-5.037865323802815</v>
      </c>
      <c r="Y309">
        <v>2449</v>
      </c>
      <c r="Z309">
        <v>92042</v>
      </c>
      <c r="AA309" t="s">
        <v>1262</v>
      </c>
      <c r="AB309">
        <v>28.94</v>
      </c>
      <c r="AC309" t="s">
        <v>1583</v>
      </c>
      <c r="AD309" t="s">
        <v>1901</v>
      </c>
      <c r="AE309">
        <v>1171</v>
      </c>
      <c r="AF309">
        <v>276</v>
      </c>
      <c r="AG309">
        <v>656935</v>
      </c>
      <c r="AH309">
        <v>0.59</v>
      </c>
    </row>
    <row r="310" spans="1:34">
      <c r="A310" s="2">
        <f>HYPERLINK("https://finance.naver.com/item/coinfo.nhn?code=950190", "A950190")</f>
        <v>0</v>
      </c>
      <c r="B310">
        <f>HYPERLINK("http://comp.fnguide.com/SVO2/ASP/SVD_Consensus.asp?pGB=1&amp;gicode=A950190&amp;cID=&amp;MenuYn=Y&amp;ReportGB=&amp;NewMenuID=108&amp;stkGb=701", "미투젠")</f>
        <v>0</v>
      </c>
      <c r="C310">
        <v>1</v>
      </c>
      <c r="D310">
        <v>26500</v>
      </c>
      <c r="E310">
        <v>0</v>
      </c>
      <c r="G310">
        <v>44365</v>
      </c>
      <c r="H310">
        <v>19644</v>
      </c>
      <c r="I310">
        <v>12619</v>
      </c>
      <c r="J310">
        <v>-67.42</v>
      </c>
      <c r="K310">
        <v>25.87</v>
      </c>
      <c r="L310">
        <v>52.38</v>
      </c>
      <c r="M310">
        <v>107.45</v>
      </c>
      <c r="N310" t="b">
        <v>0</v>
      </c>
      <c r="O310">
        <v>0</v>
      </c>
      <c r="P310">
        <v>3163</v>
      </c>
      <c r="S310" t="s">
        <v>308</v>
      </c>
      <c r="T310" t="s">
        <v>629</v>
      </c>
      <c r="U310">
        <v>0</v>
      </c>
      <c r="V310">
        <v>13.6</v>
      </c>
      <c r="W310" t="s">
        <v>942</v>
      </c>
      <c r="X310">
        <v>0</v>
      </c>
      <c r="Y310">
        <v>3416</v>
      </c>
      <c r="Z310">
        <v>32110</v>
      </c>
      <c r="AA310" t="s">
        <v>1263</v>
      </c>
      <c r="AB310">
        <v>43.98</v>
      </c>
      <c r="AC310" t="s">
        <v>1584</v>
      </c>
      <c r="AD310" t="s">
        <v>1801</v>
      </c>
      <c r="AE310">
        <v>969</v>
      </c>
      <c r="AF310">
        <v>434</v>
      </c>
    </row>
    <row r="311" spans="1:34">
      <c r="A311" s="2">
        <f>HYPERLINK("https://finance.naver.com/item/coinfo.nhn?code=214180", "A214180")</f>
        <v>0</v>
      </c>
      <c r="B311">
        <f>HYPERLINK("http://comp.fnguide.com/SVO2/ASP/SVD_Consensus.asp?pGB=1&amp;gicode=A214180&amp;cID=&amp;MenuYn=Y&amp;ReportGB=&amp;NewMenuID=108&amp;stkGb=701", "민앤지")</f>
        <v>0</v>
      </c>
      <c r="C311">
        <v>1</v>
      </c>
      <c r="D311">
        <v>16850</v>
      </c>
      <c r="E311">
        <v>0</v>
      </c>
      <c r="F311">
        <v>11.25</v>
      </c>
      <c r="G311">
        <v>21904</v>
      </c>
      <c r="H311">
        <v>15423</v>
      </c>
      <c r="I311">
        <v>13581</v>
      </c>
      <c r="J311">
        <v>-29.99</v>
      </c>
      <c r="K311">
        <v>8.470000000000001</v>
      </c>
      <c r="L311">
        <v>19.4</v>
      </c>
      <c r="M311">
        <v>15.62</v>
      </c>
      <c r="N311" t="b">
        <v>1</v>
      </c>
      <c r="O311">
        <v>0</v>
      </c>
      <c r="P311">
        <v>1329</v>
      </c>
      <c r="S311" t="s">
        <v>309</v>
      </c>
      <c r="T311" t="s">
        <v>630</v>
      </c>
      <c r="U311">
        <v>0</v>
      </c>
      <c r="V311">
        <v>-8.1</v>
      </c>
      <c r="W311" t="s">
        <v>943</v>
      </c>
      <c r="X311">
        <v>7.895096535151236</v>
      </c>
      <c r="Y311">
        <v>2083</v>
      </c>
      <c r="Z311">
        <v>109008</v>
      </c>
      <c r="AA311" t="s">
        <v>1264</v>
      </c>
      <c r="AB311">
        <v>25.94</v>
      </c>
      <c r="AC311" t="s">
        <v>1585</v>
      </c>
      <c r="AD311" t="s">
        <v>1902</v>
      </c>
      <c r="AE311">
        <v>1237</v>
      </c>
      <c r="AF311">
        <v>270</v>
      </c>
      <c r="AG311">
        <v>998795</v>
      </c>
      <c r="AH311">
        <v>1.54</v>
      </c>
    </row>
    <row r="312" spans="1:34">
      <c r="A312" s="2">
        <f>HYPERLINK("https://finance.naver.com/item/coinfo.nhn?code=009190", "A009190")</f>
        <v>0</v>
      </c>
      <c r="B312">
        <f>HYPERLINK("http://comp.fnguide.com/SVO2/ASP/SVD_Consensus.asp?pGB=1&amp;gicode=A009190&amp;cID=&amp;MenuYn=Y&amp;ReportGB=&amp;NewMenuID=108&amp;stkGb=701", "대양금속")</f>
        <v>0</v>
      </c>
      <c r="C312">
        <v>1</v>
      </c>
      <c r="D312">
        <v>3475</v>
      </c>
      <c r="E312">
        <v>0</v>
      </c>
      <c r="F312">
        <v>113.98</v>
      </c>
      <c r="G312">
        <v>5032</v>
      </c>
      <c r="H312">
        <v>3362</v>
      </c>
      <c r="I312">
        <v>2887</v>
      </c>
      <c r="J312">
        <v>-44.8</v>
      </c>
      <c r="K312">
        <v>3.26</v>
      </c>
      <c r="L312">
        <v>16.91</v>
      </c>
      <c r="M312">
        <v>17.71</v>
      </c>
      <c r="N312" t="b">
        <v>0</v>
      </c>
      <c r="O312">
        <v>0</v>
      </c>
      <c r="P312">
        <v>132</v>
      </c>
      <c r="S312" t="s">
        <v>310</v>
      </c>
      <c r="T312" t="s">
        <v>631</v>
      </c>
      <c r="U312">
        <v>0</v>
      </c>
      <c r="V312">
        <v>-71.7</v>
      </c>
      <c r="W312" t="s">
        <v>944</v>
      </c>
      <c r="X312">
        <v>-32.15243606085663</v>
      </c>
      <c r="Y312">
        <v>1027</v>
      </c>
      <c r="Z312">
        <v>369218</v>
      </c>
      <c r="AA312" t="s">
        <v>1265</v>
      </c>
      <c r="AB312">
        <v>24.78</v>
      </c>
      <c r="AC312" t="s">
        <v>1586</v>
      </c>
      <c r="AD312" t="s">
        <v>1903</v>
      </c>
      <c r="AE312">
        <v>1516</v>
      </c>
      <c r="AF312">
        <v>32</v>
      </c>
      <c r="AG312">
        <v>4663</v>
      </c>
    </row>
    <row r="313" spans="1:34">
      <c r="A313" s="2">
        <f>HYPERLINK("https://finance.naver.com/item/coinfo.nhn?code=272290", "A272290")</f>
        <v>0</v>
      </c>
      <c r="B313">
        <f>HYPERLINK("http://comp.fnguide.com/SVO2/ASP/SVD_Consensus.asp?pGB=1&amp;gicode=A272290&amp;cID=&amp;MenuYn=Y&amp;ReportGB=&amp;NewMenuID=108&amp;stkGb=701", "이녹스첨단소재")</f>
        <v>0</v>
      </c>
      <c r="C313">
        <v>1</v>
      </c>
      <c r="D313">
        <v>44900</v>
      </c>
      <c r="E313">
        <v>0.78</v>
      </c>
      <c r="F313">
        <v>14.72</v>
      </c>
      <c r="G313">
        <v>44950</v>
      </c>
      <c r="H313">
        <v>29824</v>
      </c>
      <c r="I313">
        <v>25525</v>
      </c>
      <c r="J313">
        <v>-0.11</v>
      </c>
      <c r="K313">
        <v>33.58</v>
      </c>
      <c r="L313">
        <v>43.15</v>
      </c>
      <c r="M313">
        <v>18.02</v>
      </c>
      <c r="N313" t="b">
        <v>1</v>
      </c>
      <c r="O313">
        <v>0</v>
      </c>
      <c r="P313">
        <v>3635</v>
      </c>
      <c r="Q313">
        <v>3094</v>
      </c>
      <c r="R313">
        <v>-14.9</v>
      </c>
      <c r="S313" t="s">
        <v>311</v>
      </c>
      <c r="T313" t="s">
        <v>632</v>
      </c>
      <c r="U313">
        <v>18.91463764939108</v>
      </c>
      <c r="V313">
        <v>-26.5</v>
      </c>
      <c r="W313" t="s">
        <v>945</v>
      </c>
      <c r="X313">
        <v>0</v>
      </c>
      <c r="Y313">
        <v>4267</v>
      </c>
      <c r="Z313">
        <v>73188</v>
      </c>
      <c r="AA313" t="s">
        <v>1266</v>
      </c>
      <c r="AB313">
        <v>33.43</v>
      </c>
      <c r="AC313" t="s">
        <v>1587</v>
      </c>
      <c r="AD313" t="s">
        <v>1904</v>
      </c>
      <c r="AE313">
        <v>3493</v>
      </c>
      <c r="AF313">
        <v>465</v>
      </c>
      <c r="AG313">
        <v>385691</v>
      </c>
      <c r="AH313">
        <v>0</v>
      </c>
    </row>
    <row r="314" spans="1:34">
      <c r="A314" s="2">
        <f>HYPERLINK("https://finance.naver.com/item/coinfo.nhn?code=038460", "A038460")</f>
        <v>0</v>
      </c>
      <c r="B314">
        <f>HYPERLINK("http://comp.fnguide.com/SVO2/ASP/SVD_Consensus.asp?pGB=1&amp;gicode=A038460&amp;cID=&amp;MenuYn=Y&amp;ReportGB=&amp;NewMenuID=108&amp;stkGb=701", "바이오스마트")</f>
        <v>0</v>
      </c>
      <c r="C314">
        <v>1</v>
      </c>
      <c r="D314">
        <v>7670</v>
      </c>
      <c r="E314">
        <v>0</v>
      </c>
      <c r="F314">
        <v>3.92</v>
      </c>
      <c r="G314">
        <v>10773</v>
      </c>
      <c r="H314">
        <v>7598</v>
      </c>
      <c r="I314">
        <v>6695</v>
      </c>
      <c r="J314">
        <v>-40.45</v>
      </c>
      <c r="K314">
        <v>0.95</v>
      </c>
      <c r="L314">
        <v>12.71</v>
      </c>
      <c r="M314">
        <v>15.57</v>
      </c>
      <c r="N314" t="b">
        <v>1</v>
      </c>
      <c r="O314">
        <v>0</v>
      </c>
      <c r="P314">
        <v>1107</v>
      </c>
      <c r="S314" t="s">
        <v>312</v>
      </c>
      <c r="T314" t="s">
        <v>633</v>
      </c>
      <c r="U314">
        <v>0</v>
      </c>
      <c r="V314">
        <v>-95.3</v>
      </c>
      <c r="W314" t="s">
        <v>946</v>
      </c>
      <c r="X314">
        <v>-23.47888896454662</v>
      </c>
      <c r="Y314">
        <v>1541</v>
      </c>
      <c r="Z314">
        <v>685569</v>
      </c>
      <c r="AA314" t="s">
        <v>1267</v>
      </c>
      <c r="AB314">
        <v>23.2</v>
      </c>
      <c r="AC314" t="s">
        <v>1588</v>
      </c>
      <c r="AD314" t="s">
        <v>1905</v>
      </c>
      <c r="AE314">
        <v>1590</v>
      </c>
      <c r="AF314">
        <v>31</v>
      </c>
      <c r="AG314">
        <v>889896</v>
      </c>
      <c r="AH314">
        <v>1.45</v>
      </c>
    </row>
    <row r="315" spans="1:34">
      <c r="A315" s="2">
        <f>HYPERLINK("https://finance.naver.com/item/coinfo.nhn?code=086390", "A086390")</f>
        <v>0</v>
      </c>
      <c r="B315">
        <f>HYPERLINK("http://comp.fnguide.com/SVO2/ASP/SVD_Consensus.asp?pGB=1&amp;gicode=A086390&amp;cID=&amp;MenuYn=Y&amp;ReportGB=&amp;NewMenuID=108&amp;stkGb=701", "유니테스트")</f>
        <v>0</v>
      </c>
      <c r="C315">
        <v>1</v>
      </c>
      <c r="D315">
        <v>22850</v>
      </c>
      <c r="E315">
        <v>-0.48</v>
      </c>
      <c r="F315">
        <v>11.88</v>
      </c>
      <c r="G315">
        <v>28082</v>
      </c>
      <c r="H315">
        <v>15912</v>
      </c>
      <c r="I315">
        <v>12453</v>
      </c>
      <c r="J315">
        <v>-22.9</v>
      </c>
      <c r="K315">
        <v>30.36</v>
      </c>
      <c r="L315">
        <v>45.5</v>
      </c>
      <c r="M315">
        <v>28.39</v>
      </c>
      <c r="N315" t="b">
        <v>1</v>
      </c>
      <c r="O315">
        <v>0</v>
      </c>
      <c r="P315">
        <v>1208</v>
      </c>
      <c r="Q315">
        <v>483</v>
      </c>
      <c r="R315">
        <v>-60</v>
      </c>
      <c r="S315" t="s">
        <v>313</v>
      </c>
      <c r="T315" t="s">
        <v>634</v>
      </c>
      <c r="U315">
        <v>-24.97325990527228</v>
      </c>
      <c r="V315">
        <v>0</v>
      </c>
      <c r="W315" t="s">
        <v>947</v>
      </c>
      <c r="X315">
        <v>-3.553688276023181</v>
      </c>
      <c r="Y315">
        <v>4829</v>
      </c>
      <c r="Z315">
        <v>541994</v>
      </c>
      <c r="AA315" t="s">
        <v>1268</v>
      </c>
      <c r="AB315">
        <v>21.07</v>
      </c>
      <c r="AC315" t="s">
        <v>1589</v>
      </c>
      <c r="AD315" t="s">
        <v>1906</v>
      </c>
      <c r="AE315">
        <v>1983</v>
      </c>
      <c r="AF315">
        <v>300</v>
      </c>
      <c r="AG315">
        <v>839709</v>
      </c>
      <c r="AH315">
        <v>1.74</v>
      </c>
    </row>
    <row r="316" spans="1:34">
      <c r="A316" s="2">
        <f>HYPERLINK("https://finance.naver.com/item/coinfo.nhn?code=036200", "A036200")</f>
        <v>0</v>
      </c>
      <c r="B316">
        <f>HYPERLINK("http://comp.fnguide.com/SVO2/ASP/SVD_Consensus.asp?pGB=1&amp;gicode=A036200&amp;cID=&amp;MenuYn=Y&amp;ReportGB=&amp;NewMenuID=108&amp;stkGb=701", "유니셈")</f>
        <v>0</v>
      </c>
      <c r="C316">
        <v>1</v>
      </c>
      <c r="D316">
        <v>7610</v>
      </c>
      <c r="E316">
        <v>3.03</v>
      </c>
      <c r="F316">
        <v>7.56</v>
      </c>
      <c r="G316">
        <v>12027</v>
      </c>
      <c r="H316">
        <v>7423</v>
      </c>
      <c r="I316">
        <v>6115</v>
      </c>
      <c r="J316">
        <v>-58.04</v>
      </c>
      <c r="K316">
        <v>2.46</v>
      </c>
      <c r="L316">
        <v>19.65</v>
      </c>
      <c r="M316">
        <v>21.83</v>
      </c>
      <c r="N316" t="b">
        <v>1</v>
      </c>
      <c r="O316">
        <v>1</v>
      </c>
      <c r="P316">
        <v>718</v>
      </c>
      <c r="Q316">
        <v>828</v>
      </c>
      <c r="R316">
        <v>15.3</v>
      </c>
      <c r="S316" t="s">
        <v>314</v>
      </c>
      <c r="T316" t="s">
        <v>635</v>
      </c>
      <c r="U316">
        <v>2.497141653387391</v>
      </c>
      <c r="V316">
        <v>61</v>
      </c>
      <c r="W316" t="s">
        <v>948</v>
      </c>
      <c r="X316">
        <v>61.21370846371499</v>
      </c>
      <c r="Y316">
        <v>2334</v>
      </c>
      <c r="Z316">
        <v>1029006</v>
      </c>
      <c r="AA316" t="s">
        <v>1269</v>
      </c>
      <c r="AB316">
        <v>29.03</v>
      </c>
      <c r="AC316" t="s">
        <v>1590</v>
      </c>
      <c r="AD316" t="s">
        <v>1907</v>
      </c>
      <c r="AE316">
        <v>1790</v>
      </c>
      <c r="AF316">
        <v>240</v>
      </c>
      <c r="AG316">
        <v>1248170</v>
      </c>
      <c r="AH316">
        <v>0.92</v>
      </c>
    </row>
    <row r="317" spans="1:34">
      <c r="A317" s="2">
        <f>HYPERLINK("https://finance.naver.com/item/coinfo.nhn?code=097800", "A097800")</f>
        <v>0</v>
      </c>
      <c r="B317">
        <f>HYPERLINK("http://comp.fnguide.com/SVO2/ASP/SVD_Consensus.asp?pGB=1&amp;gicode=A097800&amp;cID=&amp;MenuYn=Y&amp;ReportGB=&amp;NewMenuID=108&amp;stkGb=701", "윈팩")</f>
        <v>0</v>
      </c>
      <c r="C317">
        <v>1</v>
      </c>
      <c r="D317">
        <v>1845</v>
      </c>
      <c r="E317">
        <v>0</v>
      </c>
      <c r="F317">
        <v>7.97</v>
      </c>
      <c r="G317">
        <v>1922</v>
      </c>
      <c r="H317">
        <v>1504</v>
      </c>
      <c r="I317">
        <v>1385</v>
      </c>
      <c r="J317">
        <v>-4.16</v>
      </c>
      <c r="K317">
        <v>18.48</v>
      </c>
      <c r="L317">
        <v>24.92</v>
      </c>
      <c r="M317">
        <v>12.43</v>
      </c>
      <c r="N317" t="b">
        <v>1</v>
      </c>
      <c r="O317">
        <v>0</v>
      </c>
      <c r="P317">
        <v>253</v>
      </c>
      <c r="S317" t="s">
        <v>315</v>
      </c>
      <c r="T317" t="s">
        <v>636</v>
      </c>
      <c r="U317">
        <v>0</v>
      </c>
      <c r="V317">
        <v>7.8</v>
      </c>
      <c r="W317" t="s">
        <v>949</v>
      </c>
      <c r="X317">
        <v>158.3180210515712</v>
      </c>
      <c r="Y317">
        <v>707</v>
      </c>
      <c r="Z317">
        <v>675500</v>
      </c>
      <c r="AA317" t="s">
        <v>1270</v>
      </c>
      <c r="AB317">
        <v>19.21</v>
      </c>
      <c r="AC317" t="s">
        <v>1591</v>
      </c>
      <c r="AD317" t="s">
        <v>1908</v>
      </c>
      <c r="AE317">
        <v>979</v>
      </c>
      <c r="AF317">
        <v>78</v>
      </c>
    </row>
    <row r="318" spans="1:34">
      <c r="A318" s="2">
        <f>HYPERLINK("https://finance.naver.com/item/coinfo.nhn?code=044340", "A044340")</f>
        <v>0</v>
      </c>
      <c r="B318">
        <f>HYPERLINK("http://comp.fnguide.com/SVO2/ASP/SVD_Consensus.asp?pGB=1&amp;gicode=A044340&amp;cID=&amp;MenuYn=Y&amp;ReportGB=&amp;NewMenuID=108&amp;stkGb=701", "위닉스")</f>
        <v>0</v>
      </c>
      <c r="C318">
        <v>1</v>
      </c>
      <c r="D318">
        <v>20400</v>
      </c>
      <c r="E318">
        <v>0</v>
      </c>
      <c r="F318">
        <v>11.5</v>
      </c>
      <c r="G318">
        <v>26760</v>
      </c>
      <c r="H318">
        <v>16281</v>
      </c>
      <c r="I318">
        <v>13303</v>
      </c>
      <c r="J318">
        <v>-31.18</v>
      </c>
      <c r="K318">
        <v>20.19</v>
      </c>
      <c r="L318">
        <v>34.79</v>
      </c>
      <c r="M318">
        <v>22.74</v>
      </c>
      <c r="N318" t="b">
        <v>1</v>
      </c>
      <c r="O318">
        <v>0</v>
      </c>
      <c r="P318">
        <v>2266</v>
      </c>
      <c r="S318" t="s">
        <v>316</v>
      </c>
      <c r="T318" t="s">
        <v>637</v>
      </c>
      <c r="U318">
        <v>0</v>
      </c>
      <c r="V318">
        <v>-3</v>
      </c>
      <c r="W318" t="s">
        <v>950</v>
      </c>
      <c r="X318">
        <v>47.00044919417861</v>
      </c>
      <c r="Y318">
        <v>3646</v>
      </c>
      <c r="Z318">
        <v>169918</v>
      </c>
      <c r="AA318" t="s">
        <v>1271</v>
      </c>
      <c r="AB318">
        <v>47.92</v>
      </c>
      <c r="AC318" t="s">
        <v>1592</v>
      </c>
      <c r="AD318" t="s">
        <v>1909</v>
      </c>
      <c r="AE318">
        <v>3862</v>
      </c>
      <c r="AF318">
        <v>514</v>
      </c>
      <c r="AG318">
        <v>1530786</v>
      </c>
      <c r="AH318">
        <v>1.92</v>
      </c>
    </row>
    <row r="319" spans="1:34">
      <c r="A319" s="2">
        <f>HYPERLINK("https://finance.naver.com/item/coinfo.nhn?code=101160", "A101160")</f>
        <v>0</v>
      </c>
      <c r="B319">
        <f>HYPERLINK("http://comp.fnguide.com/SVO2/ASP/SVD_Consensus.asp?pGB=1&amp;gicode=A101160&amp;cID=&amp;MenuYn=Y&amp;ReportGB=&amp;NewMenuID=108&amp;stkGb=701", "월덱스")</f>
        <v>0</v>
      </c>
      <c r="C319">
        <v>1</v>
      </c>
      <c r="D319">
        <v>15750</v>
      </c>
      <c r="E319">
        <v>0.12</v>
      </c>
      <c r="F319">
        <v>7.02</v>
      </c>
      <c r="G319">
        <v>16314</v>
      </c>
      <c r="H319">
        <v>9767</v>
      </c>
      <c r="I319">
        <v>7907</v>
      </c>
      <c r="J319">
        <v>-3.58</v>
      </c>
      <c r="K319">
        <v>37.99</v>
      </c>
      <c r="L319">
        <v>49.8</v>
      </c>
      <c r="M319">
        <v>23.84</v>
      </c>
      <c r="N319" t="b">
        <v>1</v>
      </c>
      <c r="O319">
        <v>3</v>
      </c>
      <c r="P319">
        <v>1180</v>
      </c>
      <c r="Q319">
        <v>1647</v>
      </c>
      <c r="R319">
        <v>39.6</v>
      </c>
      <c r="S319" t="s">
        <v>317</v>
      </c>
      <c r="T319" t="s">
        <v>638</v>
      </c>
      <c r="U319">
        <v>57.57019366188884</v>
      </c>
      <c r="V319">
        <v>39.7</v>
      </c>
      <c r="W319" t="s">
        <v>951</v>
      </c>
      <c r="X319">
        <v>164.7022803522813</v>
      </c>
      <c r="Y319">
        <v>2600</v>
      </c>
      <c r="Z319">
        <v>269080</v>
      </c>
      <c r="AA319" t="s">
        <v>1272</v>
      </c>
      <c r="AB319">
        <v>35.07</v>
      </c>
      <c r="AC319" t="s">
        <v>1593</v>
      </c>
      <c r="AD319" t="s">
        <v>1910</v>
      </c>
      <c r="AE319">
        <v>1174</v>
      </c>
      <c r="AF319">
        <v>234</v>
      </c>
      <c r="AH319">
        <v>0.6</v>
      </c>
    </row>
    <row r="320" spans="1:34">
      <c r="A320" s="2">
        <f>HYPERLINK("https://finance.naver.com/item/coinfo.nhn?code=104830", "A104830")</f>
        <v>0</v>
      </c>
      <c r="B320">
        <f>HYPERLINK("http://comp.fnguide.com/SVO2/ASP/SVD_Consensus.asp?pGB=1&amp;gicode=A104830&amp;cID=&amp;MenuYn=Y&amp;ReportGB=&amp;NewMenuID=108&amp;stkGb=701", "원익머트리얼즈")</f>
        <v>0</v>
      </c>
      <c r="C320">
        <v>1</v>
      </c>
      <c r="D320">
        <v>31700</v>
      </c>
      <c r="E320">
        <v>1.09</v>
      </c>
      <c r="F320">
        <v>13.61</v>
      </c>
      <c r="G320">
        <v>35964</v>
      </c>
      <c r="H320">
        <v>29000</v>
      </c>
      <c r="I320">
        <v>27021</v>
      </c>
      <c r="J320">
        <v>-13.45</v>
      </c>
      <c r="K320">
        <v>8.52</v>
      </c>
      <c r="L320">
        <v>14.76</v>
      </c>
      <c r="M320">
        <v>11.71</v>
      </c>
      <c r="N320" t="b">
        <v>1</v>
      </c>
      <c r="O320">
        <v>1</v>
      </c>
      <c r="P320">
        <v>2229</v>
      </c>
      <c r="Q320">
        <v>2316</v>
      </c>
      <c r="R320">
        <v>3.9</v>
      </c>
      <c r="S320" t="s">
        <v>318</v>
      </c>
      <c r="T320" t="s">
        <v>639</v>
      </c>
      <c r="U320">
        <v>12.47308920111916</v>
      </c>
      <c r="V320">
        <v>6.9</v>
      </c>
      <c r="W320" t="s">
        <v>952</v>
      </c>
      <c r="X320">
        <v>6.220596220917485</v>
      </c>
      <c r="Y320">
        <v>3997</v>
      </c>
      <c r="Z320">
        <v>59878</v>
      </c>
      <c r="AA320" t="s">
        <v>1273</v>
      </c>
      <c r="AB320">
        <v>45.69</v>
      </c>
      <c r="AC320" t="s">
        <v>1594</v>
      </c>
      <c r="AD320" t="s">
        <v>1911</v>
      </c>
      <c r="AE320">
        <v>2208</v>
      </c>
      <c r="AF320">
        <v>360</v>
      </c>
      <c r="AH320">
        <v>0.49</v>
      </c>
    </row>
    <row r="321" spans="1:34">
      <c r="A321" s="2">
        <f>HYPERLINK("https://finance.naver.com/item/coinfo.nhn?code=100120", "A100120")</f>
        <v>0</v>
      </c>
      <c r="B321">
        <f>HYPERLINK("http://comp.fnguide.com/SVO2/ASP/SVD_Consensus.asp?pGB=1&amp;gicode=A100120&amp;cID=&amp;MenuYn=Y&amp;ReportGB=&amp;NewMenuID=108&amp;stkGb=701", "뷰웍스")</f>
        <v>0</v>
      </c>
      <c r="C321">
        <v>1</v>
      </c>
      <c r="D321">
        <v>29350</v>
      </c>
      <c r="E321">
        <v>1.11</v>
      </c>
      <c r="F321">
        <v>13.01</v>
      </c>
      <c r="G321">
        <v>34354</v>
      </c>
      <c r="H321">
        <v>23962</v>
      </c>
      <c r="I321">
        <v>21008</v>
      </c>
      <c r="J321">
        <v>-17.05</v>
      </c>
      <c r="K321">
        <v>18.36</v>
      </c>
      <c r="L321">
        <v>28.42</v>
      </c>
      <c r="M321">
        <v>15.97</v>
      </c>
      <c r="N321" t="b">
        <v>1</v>
      </c>
      <c r="O321">
        <v>3</v>
      </c>
      <c r="P321">
        <v>2421</v>
      </c>
      <c r="Q321">
        <v>2739</v>
      </c>
      <c r="R321">
        <v>13.1</v>
      </c>
      <c r="S321" t="s">
        <v>319</v>
      </c>
      <c r="T321" t="s">
        <v>640</v>
      </c>
      <c r="U321">
        <v>11.74178578222485</v>
      </c>
      <c r="V321">
        <v>3.2</v>
      </c>
      <c r="W321" t="s">
        <v>953</v>
      </c>
      <c r="X321">
        <v>9.480161000716269</v>
      </c>
      <c r="Y321">
        <v>2936</v>
      </c>
      <c r="Z321">
        <v>46918</v>
      </c>
      <c r="AA321" t="s">
        <v>1274</v>
      </c>
      <c r="AB321">
        <v>28.46</v>
      </c>
      <c r="AC321" t="s">
        <v>1595</v>
      </c>
      <c r="AD321" t="s">
        <v>1912</v>
      </c>
      <c r="AE321">
        <v>1360</v>
      </c>
      <c r="AF321">
        <v>264</v>
      </c>
      <c r="AG321">
        <v>553176</v>
      </c>
      <c r="AH321">
        <v>1.27</v>
      </c>
    </row>
    <row r="322" spans="1:34">
      <c r="A322" s="2">
        <f>HYPERLINK("https://finance.naver.com/item/coinfo.nhn?code=339950", "A339950")</f>
        <v>0</v>
      </c>
      <c r="B322">
        <f>HYPERLINK("http://comp.fnguide.com/SVO2/ASP/SVD_Consensus.asp?pGB=1&amp;gicode=A339950&amp;cID=&amp;MenuYn=Y&amp;ReportGB=&amp;NewMenuID=108&amp;stkGb=701", "아이비김영")</f>
        <v>0</v>
      </c>
      <c r="C322">
        <v>1</v>
      </c>
      <c r="D322">
        <v>1625</v>
      </c>
      <c r="E322">
        <v>0</v>
      </c>
      <c r="G322">
        <v>3453</v>
      </c>
      <c r="H322">
        <v>1611</v>
      </c>
      <c r="I322">
        <v>1087</v>
      </c>
      <c r="J322">
        <v>-112.48</v>
      </c>
      <c r="K322">
        <v>0.88</v>
      </c>
      <c r="L322">
        <v>33.1</v>
      </c>
      <c r="M322">
        <v>70.09999999999999</v>
      </c>
      <c r="N322" t="b">
        <v>0</v>
      </c>
      <c r="O322">
        <v>0</v>
      </c>
      <c r="P322">
        <v>157</v>
      </c>
      <c r="S322" t="s">
        <v>320</v>
      </c>
      <c r="T322" t="s">
        <v>641</v>
      </c>
      <c r="U322">
        <v>0</v>
      </c>
      <c r="V322">
        <v>0</v>
      </c>
      <c r="W322" t="s">
        <v>954</v>
      </c>
      <c r="X322">
        <v>254.0653740224299</v>
      </c>
      <c r="Y322">
        <v>690</v>
      </c>
      <c r="Z322">
        <v>59918</v>
      </c>
      <c r="AA322" t="s">
        <v>1275</v>
      </c>
      <c r="AB322">
        <v>68.16</v>
      </c>
      <c r="AC322" t="s">
        <v>1596</v>
      </c>
      <c r="AD322" t="s">
        <v>1801</v>
      </c>
      <c r="AE322">
        <v>547</v>
      </c>
      <c r="AF322">
        <v>73</v>
      </c>
      <c r="AG322">
        <v>1832829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92"/>
  <sheetViews>
    <sheetView workbookViewId="0"/>
  </sheetViews>
  <sheetFormatPr defaultRowHeight="15"/>
  <sheetData>
    <row r="1" spans="1:34">
      <c r="A1" s="2" t="s">
        <v>1946</v>
      </c>
      <c r="B1" s="1" t="s">
        <v>1913</v>
      </c>
      <c r="C1" s="1" t="s">
        <v>1914</v>
      </c>
      <c r="D1" s="1" t="s">
        <v>1915</v>
      </c>
      <c r="E1" s="1" t="s">
        <v>1916</v>
      </c>
      <c r="F1" s="1" t="s">
        <v>1917</v>
      </c>
      <c r="G1" s="1" t="s">
        <v>1918</v>
      </c>
      <c r="H1" s="1" t="s">
        <v>1919</v>
      </c>
      <c r="I1" s="1" t="s">
        <v>1920</v>
      </c>
      <c r="J1" s="1" t="s">
        <v>1921</v>
      </c>
      <c r="K1" s="1" t="s">
        <v>1922</v>
      </c>
      <c r="L1" s="1" t="s">
        <v>1923</v>
      </c>
      <c r="M1" s="1" t="s">
        <v>1924</v>
      </c>
      <c r="N1" s="1" t="s">
        <v>1925</v>
      </c>
      <c r="O1" s="1" t="s">
        <v>1926</v>
      </c>
      <c r="P1" s="1" t="s">
        <v>1927</v>
      </c>
      <c r="Q1" s="1" t="s">
        <v>1928</v>
      </c>
      <c r="R1" s="1" t="s">
        <v>1929</v>
      </c>
      <c r="S1" s="1" t="s">
        <v>1930</v>
      </c>
      <c r="T1" s="1" t="s">
        <v>1931</v>
      </c>
      <c r="U1" s="1" t="s">
        <v>1932</v>
      </c>
      <c r="V1" s="1" t="s">
        <v>1933</v>
      </c>
      <c r="W1" s="1" t="s">
        <v>1934</v>
      </c>
      <c r="X1" s="1" t="s">
        <v>1935</v>
      </c>
      <c r="Y1" s="1" t="s">
        <v>1947</v>
      </c>
      <c r="Z1" s="1" t="s">
        <v>1937</v>
      </c>
      <c r="AA1" s="1" t="s">
        <v>1938</v>
      </c>
      <c r="AB1" s="1" t="s">
        <v>1939</v>
      </c>
      <c r="AC1" s="1" t="s">
        <v>1940</v>
      </c>
      <c r="AD1" s="1" t="s">
        <v>1941</v>
      </c>
      <c r="AE1" s="1" t="s">
        <v>1942</v>
      </c>
      <c r="AF1" s="1" t="s">
        <v>1943</v>
      </c>
      <c r="AG1" s="1" t="s">
        <v>1944</v>
      </c>
      <c r="AH1" s="1" t="s">
        <v>1945</v>
      </c>
    </row>
    <row r="2" spans="1:34">
      <c r="A2" s="2">
        <f>HYPERLINK("https://finance.naver.com/item/coinfo.nhn?code=005960", "A005960")</f>
        <v>0</v>
      </c>
      <c r="B2">
        <f>HYPERLINK("http://comp.fnguide.com/SVO2/ASP/SVD_Consensus.asp?pGB=1&amp;gicode=A005960&amp;cID=&amp;MenuYn=Y&amp;ReportGB=&amp;NewMenuID=108&amp;stkGb=701", "동부건설")</f>
        <v>0</v>
      </c>
      <c r="C2">
        <v>3</v>
      </c>
      <c r="D2">
        <v>13450</v>
      </c>
      <c r="E2">
        <v>-0.18</v>
      </c>
      <c r="F2">
        <v>3.05</v>
      </c>
      <c r="G2">
        <v>48528</v>
      </c>
      <c r="H2">
        <v>30471</v>
      </c>
      <c r="I2">
        <v>25340</v>
      </c>
      <c r="J2">
        <v>-260.8</v>
      </c>
      <c r="K2">
        <v>-126.55</v>
      </c>
      <c r="L2">
        <v>-88.40000000000001</v>
      </c>
      <c r="M2">
        <v>20.81</v>
      </c>
      <c r="N2" t="b">
        <v>1</v>
      </c>
      <c r="O2">
        <v>0</v>
      </c>
      <c r="P2">
        <v>2803</v>
      </c>
      <c r="Q2">
        <v>2611</v>
      </c>
      <c r="R2">
        <v>-6.8</v>
      </c>
      <c r="S2" t="s">
        <v>141</v>
      </c>
      <c r="T2" t="s">
        <v>462</v>
      </c>
      <c r="U2">
        <v>-17.03033207823105</v>
      </c>
      <c r="V2">
        <v>21.8</v>
      </c>
      <c r="W2" t="s">
        <v>779</v>
      </c>
      <c r="X2">
        <v>-14.26029213425397</v>
      </c>
      <c r="Y2">
        <v>3053</v>
      </c>
      <c r="Z2">
        <v>233180</v>
      </c>
      <c r="AA2" t="s">
        <v>1096</v>
      </c>
      <c r="AB2">
        <v>62.19</v>
      </c>
      <c r="AC2" t="s">
        <v>1417</v>
      </c>
      <c r="AD2" t="s">
        <v>1738</v>
      </c>
      <c r="AE2">
        <v>11554</v>
      </c>
      <c r="AF2">
        <v>555</v>
      </c>
      <c r="AG2">
        <v>4291</v>
      </c>
      <c r="AH2">
        <v>8.199999999999999</v>
      </c>
    </row>
    <row r="3" spans="1:34">
      <c r="A3" s="2">
        <f>HYPERLINK("https://finance.naver.com/item/coinfo.nhn?code=225190", "A225190")</f>
        <v>0</v>
      </c>
      <c r="B3">
        <f>HYPERLINK("http://comp.fnguide.com/SVO2/ASP/SVD_Consensus.asp?pGB=1&amp;gicode=A225190&amp;cID=&amp;MenuYn=Y&amp;ReportGB=&amp;NewMenuID=108&amp;stkGb=701", "삼양옵틱스")</f>
        <v>0</v>
      </c>
      <c r="C3">
        <v>2</v>
      </c>
      <c r="D3">
        <v>9440</v>
      </c>
      <c r="E3">
        <v>0</v>
      </c>
      <c r="F3">
        <v>9.470000000000001</v>
      </c>
      <c r="G3">
        <v>18736</v>
      </c>
      <c r="H3">
        <v>9813</v>
      </c>
      <c r="I3">
        <v>7277</v>
      </c>
      <c r="J3">
        <v>-98.48</v>
      </c>
      <c r="K3">
        <v>-3.95</v>
      </c>
      <c r="L3">
        <v>22.92</v>
      </c>
      <c r="M3">
        <v>38.1</v>
      </c>
      <c r="N3" t="b">
        <v>1</v>
      </c>
      <c r="O3">
        <v>0</v>
      </c>
      <c r="P3">
        <v>1347</v>
      </c>
      <c r="S3" t="s">
        <v>217</v>
      </c>
      <c r="T3" t="s">
        <v>538</v>
      </c>
      <c r="U3">
        <v>0</v>
      </c>
      <c r="V3">
        <v>-80.2</v>
      </c>
      <c r="W3" t="s">
        <v>854</v>
      </c>
      <c r="X3">
        <v>-27.27551790531576</v>
      </c>
      <c r="Y3">
        <v>953</v>
      </c>
      <c r="Z3">
        <v>23026</v>
      </c>
      <c r="AA3" t="s">
        <v>1172</v>
      </c>
      <c r="AB3">
        <v>68.13</v>
      </c>
      <c r="AC3" t="s">
        <v>1493</v>
      </c>
      <c r="AD3" t="s">
        <v>1813</v>
      </c>
      <c r="AE3">
        <v>636</v>
      </c>
      <c r="AF3">
        <v>157</v>
      </c>
      <c r="AG3">
        <v>28580</v>
      </c>
      <c r="AH3">
        <v>7.84</v>
      </c>
    </row>
    <row r="4" spans="1:34">
      <c r="A4" s="2">
        <f>HYPERLINK("https://finance.naver.com/item/coinfo.nhn?code=007330", "A007330")</f>
        <v>0</v>
      </c>
      <c r="B4">
        <f>HYPERLINK("http://comp.fnguide.com/SVO2/ASP/SVD_Consensus.asp?pGB=1&amp;gicode=A007330&amp;cID=&amp;MenuYn=Y&amp;ReportGB=&amp;NewMenuID=108&amp;stkGb=701", "푸른저축은행")</f>
        <v>0</v>
      </c>
      <c r="C4">
        <v>3</v>
      </c>
      <c r="D4">
        <v>8750</v>
      </c>
      <c r="E4">
        <v>0</v>
      </c>
      <c r="F4">
        <v>4.8</v>
      </c>
      <c r="G4">
        <v>27517</v>
      </c>
      <c r="H4">
        <v>24448</v>
      </c>
      <c r="I4">
        <v>23576</v>
      </c>
      <c r="J4">
        <v>-214.48</v>
      </c>
      <c r="K4">
        <v>-179.41</v>
      </c>
      <c r="L4">
        <v>-169.44</v>
      </c>
      <c r="M4">
        <v>9.75</v>
      </c>
      <c r="N4" t="b">
        <v>1</v>
      </c>
      <c r="O4">
        <v>0</v>
      </c>
      <c r="P4">
        <v>1631</v>
      </c>
      <c r="S4" t="s">
        <v>76</v>
      </c>
      <c r="T4" t="s">
        <v>397</v>
      </c>
      <c r="U4">
        <v>0</v>
      </c>
      <c r="W4" t="s">
        <v>657</v>
      </c>
      <c r="X4">
        <v>35.9504940035307</v>
      </c>
      <c r="Y4">
        <v>1320</v>
      </c>
      <c r="Z4">
        <v>18736</v>
      </c>
      <c r="AA4" t="s">
        <v>1031</v>
      </c>
      <c r="AB4">
        <v>62.3</v>
      </c>
      <c r="AC4" t="s">
        <v>1352</v>
      </c>
      <c r="AD4" t="s">
        <v>1673</v>
      </c>
      <c r="AE4">
        <v>559</v>
      </c>
      <c r="AF4">
        <v>321</v>
      </c>
      <c r="AG4">
        <v>3243332</v>
      </c>
      <c r="AH4">
        <v>7.02</v>
      </c>
    </row>
    <row r="5" spans="1:34">
      <c r="A5" s="2">
        <f>HYPERLINK("https://finance.naver.com/item/coinfo.nhn?code=031330", "A031330")</f>
        <v>0</v>
      </c>
      <c r="B5">
        <f>HYPERLINK("http://comp.fnguide.com/SVO2/ASP/SVD_Consensus.asp?pGB=1&amp;gicode=A031330&amp;cID=&amp;MenuYn=Y&amp;ReportGB=&amp;NewMenuID=108&amp;stkGb=701", "에스에이엠티")</f>
        <v>0</v>
      </c>
      <c r="C5">
        <v>3</v>
      </c>
      <c r="D5">
        <v>2355</v>
      </c>
      <c r="E5">
        <v>0</v>
      </c>
      <c r="F5">
        <v>5.84</v>
      </c>
      <c r="G5">
        <v>4975</v>
      </c>
      <c r="H5">
        <v>3445</v>
      </c>
      <c r="I5">
        <v>3010</v>
      </c>
      <c r="J5">
        <v>-111.27</v>
      </c>
      <c r="K5">
        <v>-46.28</v>
      </c>
      <c r="L5">
        <v>-27.81</v>
      </c>
      <c r="M5">
        <v>16.25</v>
      </c>
      <c r="N5" t="b">
        <v>1</v>
      </c>
      <c r="O5">
        <v>0</v>
      </c>
      <c r="P5">
        <v>376</v>
      </c>
      <c r="S5" t="s">
        <v>94</v>
      </c>
      <c r="T5" t="s">
        <v>415</v>
      </c>
      <c r="U5">
        <v>0</v>
      </c>
      <c r="V5">
        <v>-1</v>
      </c>
      <c r="W5" t="s">
        <v>732</v>
      </c>
      <c r="X5">
        <v>-1.492149739999793</v>
      </c>
      <c r="Y5">
        <v>2355</v>
      </c>
      <c r="Z5">
        <v>626881</v>
      </c>
      <c r="AA5" t="s">
        <v>1049</v>
      </c>
      <c r="AB5">
        <v>50.02</v>
      </c>
      <c r="AC5" t="s">
        <v>1370</v>
      </c>
      <c r="AD5" t="s">
        <v>1691</v>
      </c>
      <c r="AE5">
        <v>12138</v>
      </c>
      <c r="AF5">
        <v>337</v>
      </c>
      <c r="AG5">
        <v>2000000</v>
      </c>
      <c r="AH5">
        <v>6.38</v>
      </c>
    </row>
    <row r="6" spans="1:34">
      <c r="A6" s="2">
        <f>HYPERLINK("https://finance.naver.com/item/coinfo.nhn?code=078020", "A078020")</f>
        <v>0</v>
      </c>
      <c r="B6">
        <f>HYPERLINK("http://comp.fnguide.com/SVO2/ASP/SVD_Consensus.asp?pGB=1&amp;gicode=A078020&amp;cID=&amp;MenuYn=Y&amp;ReportGB=&amp;NewMenuID=108&amp;stkGb=701", "이베스트투자증권")</f>
        <v>0</v>
      </c>
      <c r="C6">
        <v>3</v>
      </c>
      <c r="D6">
        <v>7080</v>
      </c>
      <c r="E6">
        <v>0</v>
      </c>
      <c r="F6">
        <v>5.49</v>
      </c>
      <c r="G6">
        <v>13066</v>
      </c>
      <c r="H6">
        <v>11340</v>
      </c>
      <c r="I6">
        <v>10849</v>
      </c>
      <c r="J6">
        <v>-84.54000000000001</v>
      </c>
      <c r="K6">
        <v>-60.17</v>
      </c>
      <c r="L6">
        <v>-53.24</v>
      </c>
      <c r="M6">
        <v>10.17</v>
      </c>
      <c r="N6" t="b">
        <v>1</v>
      </c>
      <c r="O6">
        <v>0</v>
      </c>
      <c r="P6">
        <v>1020</v>
      </c>
      <c r="S6" t="s">
        <v>106</v>
      </c>
      <c r="T6" t="s">
        <v>427</v>
      </c>
      <c r="U6">
        <v>0</v>
      </c>
      <c r="V6">
        <v>19.4</v>
      </c>
      <c r="W6" t="s">
        <v>744</v>
      </c>
      <c r="X6">
        <v>11.11573099594876</v>
      </c>
      <c r="Y6">
        <v>3928</v>
      </c>
      <c r="Z6">
        <v>339606</v>
      </c>
      <c r="AA6" t="s">
        <v>1061</v>
      </c>
      <c r="AB6">
        <v>62.48</v>
      </c>
      <c r="AC6" t="s">
        <v>1382</v>
      </c>
      <c r="AD6" t="s">
        <v>1703</v>
      </c>
      <c r="AE6">
        <v>1893</v>
      </c>
      <c r="AF6">
        <v>705</v>
      </c>
      <c r="AG6">
        <v>5075498</v>
      </c>
      <c r="AH6">
        <v>6.16</v>
      </c>
    </row>
    <row r="7" spans="1:34">
      <c r="A7" s="2">
        <f>HYPERLINK("https://finance.naver.com/item/coinfo.nhn?code=095570", "A095570")</f>
        <v>0</v>
      </c>
      <c r="B7">
        <f>HYPERLINK("http://comp.fnguide.com/SVO2/ASP/SVD_Consensus.asp?pGB=1&amp;gicode=A095570&amp;cID=&amp;MenuYn=Y&amp;ReportGB=&amp;NewMenuID=108&amp;stkGb=701", "AJ네트웍스")</f>
        <v>0</v>
      </c>
      <c r="C7">
        <v>3</v>
      </c>
      <c r="D7">
        <v>4480</v>
      </c>
      <c r="E7">
        <v>0</v>
      </c>
      <c r="F7">
        <v>5.06</v>
      </c>
      <c r="G7">
        <v>7574</v>
      </c>
      <c r="H7">
        <v>7225</v>
      </c>
      <c r="I7">
        <v>7126</v>
      </c>
      <c r="J7">
        <v>-69.06999999999999</v>
      </c>
      <c r="K7">
        <v>-61.28</v>
      </c>
      <c r="L7">
        <v>-59.06</v>
      </c>
      <c r="M7">
        <v>8.6</v>
      </c>
      <c r="N7" t="b">
        <v>1</v>
      </c>
      <c r="O7">
        <v>0</v>
      </c>
      <c r="P7">
        <v>982</v>
      </c>
      <c r="S7" t="s">
        <v>0</v>
      </c>
      <c r="T7" t="s">
        <v>321</v>
      </c>
      <c r="U7">
        <v>0</v>
      </c>
      <c r="V7">
        <v>0</v>
      </c>
      <c r="W7" t="s">
        <v>642</v>
      </c>
      <c r="X7">
        <v>19.87917837256776</v>
      </c>
      <c r="Y7">
        <v>2098</v>
      </c>
      <c r="Z7">
        <v>113067</v>
      </c>
      <c r="AA7" t="s">
        <v>955</v>
      </c>
      <c r="AB7">
        <v>72.18000000000001</v>
      </c>
      <c r="AC7" t="s">
        <v>1276</v>
      </c>
      <c r="AD7" t="s">
        <v>1597</v>
      </c>
      <c r="AE7">
        <v>12028</v>
      </c>
      <c r="AF7">
        <v>178</v>
      </c>
      <c r="AG7">
        <v>1284859</v>
      </c>
      <c r="AH7">
        <v>6.04</v>
      </c>
    </row>
    <row r="8" spans="1:34">
      <c r="A8" s="2">
        <f>HYPERLINK("https://finance.naver.com/item/coinfo.nhn?code=152330", "A152330")</f>
        <v>0</v>
      </c>
      <c r="B8">
        <f>HYPERLINK("http://comp.fnguide.com/SVO2/ASP/SVD_Consensus.asp?pGB=1&amp;gicode=A152330&amp;cID=&amp;MenuYn=Y&amp;ReportGB=&amp;NewMenuID=108&amp;stkGb=701", "코리아오토글라스")</f>
        <v>0</v>
      </c>
      <c r="C8">
        <v>3</v>
      </c>
      <c r="D8">
        <v>16550</v>
      </c>
      <c r="E8">
        <v>0</v>
      </c>
      <c r="F8">
        <v>9.779999999999999</v>
      </c>
      <c r="G8">
        <v>26211</v>
      </c>
      <c r="H8">
        <v>21298</v>
      </c>
      <c r="I8">
        <v>19902</v>
      </c>
      <c r="J8">
        <v>-58.38</v>
      </c>
      <c r="K8">
        <v>-28.69</v>
      </c>
      <c r="L8">
        <v>-20.25</v>
      </c>
      <c r="M8">
        <v>11.53</v>
      </c>
      <c r="N8" t="b">
        <v>1</v>
      </c>
      <c r="O8">
        <v>0</v>
      </c>
      <c r="P8">
        <v>1651</v>
      </c>
      <c r="S8" t="s">
        <v>174</v>
      </c>
      <c r="T8" t="s">
        <v>495</v>
      </c>
      <c r="U8">
        <v>0</v>
      </c>
      <c r="V8">
        <v>0.1</v>
      </c>
      <c r="W8" t="s">
        <v>812</v>
      </c>
      <c r="X8">
        <v>-0.1808050075914447</v>
      </c>
      <c r="Y8">
        <v>3310</v>
      </c>
      <c r="Z8">
        <v>0</v>
      </c>
      <c r="AA8" t="s">
        <v>1129</v>
      </c>
      <c r="AB8">
        <v>50.05</v>
      </c>
      <c r="AC8" t="s">
        <v>1450</v>
      </c>
      <c r="AD8" t="s">
        <v>1771</v>
      </c>
      <c r="AE8">
        <v>4560</v>
      </c>
      <c r="AF8">
        <v>575</v>
      </c>
      <c r="AH8">
        <v>5.57</v>
      </c>
    </row>
    <row r="9" spans="1:34">
      <c r="A9" s="2">
        <f>HYPERLINK("https://finance.naver.com/item/coinfo.nhn?code=190650", "A190650")</f>
        <v>0</v>
      </c>
      <c r="B9">
        <f>HYPERLINK("http://comp.fnguide.com/SVO2/ASP/SVD_Consensus.asp?pGB=1&amp;gicode=A190650&amp;cID=&amp;MenuYn=Y&amp;ReportGB=&amp;NewMenuID=108&amp;stkGb=701", "코리아에셋투자증권")</f>
        <v>0</v>
      </c>
      <c r="C9">
        <v>3</v>
      </c>
      <c r="D9">
        <v>7550</v>
      </c>
      <c r="E9">
        <v>0</v>
      </c>
      <c r="F9">
        <v>4.5</v>
      </c>
      <c r="G9">
        <v>15641</v>
      </c>
      <c r="H9">
        <v>12786</v>
      </c>
      <c r="I9">
        <v>11974</v>
      </c>
      <c r="J9">
        <v>-107.17</v>
      </c>
      <c r="K9">
        <v>-69.34999999999999</v>
      </c>
      <c r="L9">
        <v>-58.6</v>
      </c>
      <c r="M9">
        <v>11.4</v>
      </c>
      <c r="N9" t="b">
        <v>1</v>
      </c>
      <c r="O9">
        <v>0</v>
      </c>
      <c r="P9">
        <v>1207</v>
      </c>
      <c r="S9" t="s">
        <v>86</v>
      </c>
      <c r="T9" t="s">
        <v>407</v>
      </c>
      <c r="U9">
        <v>0</v>
      </c>
      <c r="V9">
        <v>17.4</v>
      </c>
      <c r="W9" t="s">
        <v>724</v>
      </c>
      <c r="X9">
        <v>13.29630875068155</v>
      </c>
      <c r="Y9">
        <v>482</v>
      </c>
      <c r="Z9">
        <v>20524</v>
      </c>
      <c r="AA9" t="s">
        <v>1041</v>
      </c>
      <c r="AB9">
        <v>51.42</v>
      </c>
      <c r="AC9" t="s">
        <v>1362</v>
      </c>
      <c r="AD9" t="s">
        <v>1683</v>
      </c>
      <c r="AE9">
        <v>560</v>
      </c>
      <c r="AF9">
        <v>94</v>
      </c>
      <c r="AH9">
        <v>5.52</v>
      </c>
    </row>
    <row r="10" spans="1:34">
      <c r="A10" s="2">
        <f>HYPERLINK("https://finance.naver.com/item/coinfo.nhn?code=123890", "A123890")</f>
        <v>0</v>
      </c>
      <c r="B10">
        <f>HYPERLINK("http://comp.fnguide.com/SVO2/ASP/SVD_Consensus.asp?pGB=1&amp;gicode=A123890&amp;cID=&amp;MenuYn=Y&amp;ReportGB=&amp;NewMenuID=108&amp;stkGb=701", "한국자산신탁")</f>
        <v>0</v>
      </c>
      <c r="C10">
        <v>3</v>
      </c>
      <c r="D10">
        <v>4005</v>
      </c>
      <c r="E10">
        <v>-6.65</v>
      </c>
      <c r="F10">
        <v>4.66</v>
      </c>
      <c r="G10">
        <v>12151</v>
      </c>
      <c r="H10">
        <v>8095</v>
      </c>
      <c r="I10">
        <v>6942</v>
      </c>
      <c r="J10">
        <v>-203.39</v>
      </c>
      <c r="K10">
        <v>-102.12</v>
      </c>
      <c r="L10">
        <v>-73.34</v>
      </c>
      <c r="M10">
        <v>17.83</v>
      </c>
      <c r="N10" t="b">
        <v>1</v>
      </c>
      <c r="O10">
        <v>1</v>
      </c>
      <c r="P10">
        <v>723</v>
      </c>
      <c r="Q10">
        <v>993</v>
      </c>
      <c r="R10">
        <v>37.3</v>
      </c>
      <c r="S10" t="s">
        <v>15</v>
      </c>
      <c r="T10" t="s">
        <v>336</v>
      </c>
      <c r="U10">
        <v>-0.7008800181567243</v>
      </c>
      <c r="W10" t="s">
        <v>657</v>
      </c>
      <c r="X10">
        <v>2.305975528003579</v>
      </c>
      <c r="Y10">
        <v>4965</v>
      </c>
      <c r="Z10">
        <v>264469</v>
      </c>
      <c r="AA10" t="s">
        <v>970</v>
      </c>
      <c r="AB10">
        <v>53.62</v>
      </c>
      <c r="AC10" t="s">
        <v>1291</v>
      </c>
      <c r="AD10" t="s">
        <v>1612</v>
      </c>
      <c r="AE10">
        <v>2233</v>
      </c>
      <c r="AF10">
        <v>1141</v>
      </c>
      <c r="AG10">
        <v>1610697</v>
      </c>
      <c r="AH10">
        <v>5.4</v>
      </c>
    </row>
    <row r="11" spans="1:34">
      <c r="A11" s="2">
        <f>HYPERLINK("https://finance.naver.com/item/coinfo.nhn?code=033660", "A033660")</f>
        <v>0</v>
      </c>
      <c r="B11">
        <f>HYPERLINK("http://comp.fnguide.com/SVO2/ASP/SVD_Consensus.asp?pGB=1&amp;gicode=A033660&amp;cID=&amp;MenuYn=Y&amp;ReportGB=&amp;NewMenuID=108&amp;stkGb=701", "아주캐피탈")</f>
        <v>0</v>
      </c>
      <c r="C11">
        <v>3</v>
      </c>
      <c r="D11">
        <v>12900</v>
      </c>
      <c r="E11">
        <v>0.23</v>
      </c>
      <c r="F11">
        <v>7.05</v>
      </c>
      <c r="G11">
        <v>21910</v>
      </c>
      <c r="H11">
        <v>17555</v>
      </c>
      <c r="I11">
        <v>16318</v>
      </c>
      <c r="J11">
        <v>-69.84</v>
      </c>
      <c r="K11">
        <v>-36.09</v>
      </c>
      <c r="L11">
        <v>-26.49</v>
      </c>
      <c r="M11">
        <v>11.86</v>
      </c>
      <c r="N11" t="b">
        <v>1</v>
      </c>
      <c r="O11">
        <v>3</v>
      </c>
      <c r="P11">
        <v>1765</v>
      </c>
      <c r="Q11">
        <v>1998</v>
      </c>
      <c r="R11">
        <v>13.2</v>
      </c>
      <c r="S11" t="s">
        <v>195</v>
      </c>
      <c r="T11" t="s">
        <v>516</v>
      </c>
      <c r="U11">
        <v>30.24672450725792</v>
      </c>
      <c r="W11" t="s">
        <v>657</v>
      </c>
      <c r="X11">
        <v>5.323044183168046</v>
      </c>
      <c r="Y11">
        <v>7423</v>
      </c>
      <c r="Z11">
        <v>28397</v>
      </c>
      <c r="AA11" t="s">
        <v>1150</v>
      </c>
      <c r="AB11">
        <v>74.05</v>
      </c>
      <c r="AC11" t="s">
        <v>1471</v>
      </c>
      <c r="AD11" t="s">
        <v>1792</v>
      </c>
      <c r="AE11">
        <v>2293</v>
      </c>
      <c r="AF11">
        <v>1338</v>
      </c>
      <c r="AG11">
        <v>2067090</v>
      </c>
      <c r="AH11">
        <v>5.22</v>
      </c>
    </row>
    <row r="12" spans="1:34">
      <c r="A12" s="2">
        <f>HYPERLINK("https://finance.naver.com/item/coinfo.nhn?code=046110", "A046110")</f>
        <v>0</v>
      </c>
      <c r="B12">
        <f>HYPERLINK("http://comp.fnguide.com/SVO2/ASP/SVD_Consensus.asp?pGB=1&amp;gicode=A046110&amp;cID=&amp;MenuYn=Y&amp;ReportGB=&amp;NewMenuID=108&amp;stkGb=701", "한일네트웍스")</f>
        <v>0</v>
      </c>
      <c r="C12">
        <v>3</v>
      </c>
      <c r="D12">
        <v>4920</v>
      </c>
      <c r="E12">
        <v>0</v>
      </c>
      <c r="F12">
        <v>7.53</v>
      </c>
      <c r="G12">
        <v>9712</v>
      </c>
      <c r="H12">
        <v>7261</v>
      </c>
      <c r="I12">
        <v>6564</v>
      </c>
      <c r="J12">
        <v>-97.39</v>
      </c>
      <c r="K12">
        <v>-47.58</v>
      </c>
      <c r="L12">
        <v>-33.42</v>
      </c>
      <c r="M12">
        <v>13.68</v>
      </c>
      <c r="N12" t="b">
        <v>1</v>
      </c>
      <c r="O12">
        <v>0</v>
      </c>
      <c r="P12">
        <v>589</v>
      </c>
      <c r="S12" t="s">
        <v>81</v>
      </c>
      <c r="T12" t="s">
        <v>402</v>
      </c>
      <c r="U12">
        <v>0</v>
      </c>
      <c r="V12">
        <v>13.6</v>
      </c>
      <c r="W12" t="s">
        <v>719</v>
      </c>
      <c r="X12">
        <v>28.70544131727133</v>
      </c>
      <c r="Y12">
        <v>588</v>
      </c>
      <c r="Z12">
        <v>93935</v>
      </c>
      <c r="AA12" t="s">
        <v>1036</v>
      </c>
      <c r="AB12">
        <v>50.1</v>
      </c>
      <c r="AC12" t="s">
        <v>1357</v>
      </c>
      <c r="AD12" t="s">
        <v>1678</v>
      </c>
      <c r="AE12">
        <v>1216</v>
      </c>
      <c r="AF12">
        <v>87</v>
      </c>
      <c r="AH12">
        <v>5.19</v>
      </c>
    </row>
    <row r="13" spans="1:34">
      <c r="A13" s="2">
        <f>HYPERLINK("https://finance.naver.com/item/coinfo.nhn?code=065710", "A065710")</f>
        <v>0</v>
      </c>
      <c r="B13">
        <f>HYPERLINK("http://comp.fnguide.com/SVO2/ASP/SVD_Consensus.asp?pGB=1&amp;gicode=A065710&amp;cID=&amp;MenuYn=Y&amp;ReportGB=&amp;NewMenuID=108&amp;stkGb=701", "서호전기")</f>
        <v>0</v>
      </c>
      <c r="C13">
        <v>1</v>
      </c>
      <c r="D13">
        <v>21150</v>
      </c>
      <c r="E13">
        <v>0</v>
      </c>
      <c r="F13">
        <v>7.87</v>
      </c>
      <c r="G13">
        <v>29082</v>
      </c>
      <c r="H13">
        <v>20338</v>
      </c>
      <c r="I13">
        <v>17854</v>
      </c>
      <c r="J13">
        <v>-37.5</v>
      </c>
      <c r="K13">
        <v>3.84</v>
      </c>
      <c r="L13">
        <v>15.59</v>
      </c>
      <c r="M13">
        <v>15.87</v>
      </c>
      <c r="N13" t="b">
        <v>1</v>
      </c>
      <c r="O13">
        <v>0</v>
      </c>
      <c r="P13">
        <v>2973</v>
      </c>
      <c r="S13" t="s">
        <v>276</v>
      </c>
      <c r="T13" t="s">
        <v>597</v>
      </c>
      <c r="U13">
        <v>0</v>
      </c>
      <c r="V13">
        <v>-53.1</v>
      </c>
      <c r="W13" t="s">
        <v>911</v>
      </c>
      <c r="X13">
        <v>19.81747236522424</v>
      </c>
      <c r="Y13">
        <v>1089</v>
      </c>
      <c r="Z13">
        <v>11743</v>
      </c>
      <c r="AA13" t="s">
        <v>1231</v>
      </c>
      <c r="AB13">
        <v>58.01</v>
      </c>
      <c r="AC13" t="s">
        <v>1552</v>
      </c>
      <c r="AD13" t="s">
        <v>1871</v>
      </c>
      <c r="AE13">
        <v>649</v>
      </c>
      <c r="AF13">
        <v>122</v>
      </c>
      <c r="AG13">
        <v>9078</v>
      </c>
      <c r="AH13">
        <v>5.13</v>
      </c>
    </row>
    <row r="14" spans="1:34">
      <c r="A14" s="2">
        <f>HYPERLINK("https://finance.naver.com/item/coinfo.nhn?code=038390", "A038390")</f>
        <v>0</v>
      </c>
      <c r="B14">
        <f>HYPERLINK("http://comp.fnguide.com/SVO2/ASP/SVD_Consensus.asp?pGB=1&amp;gicode=A038390&amp;cID=&amp;MenuYn=Y&amp;ReportGB=&amp;NewMenuID=108&amp;stkGb=701", "레드캡투어")</f>
        <v>0</v>
      </c>
      <c r="C14">
        <v>3</v>
      </c>
      <c r="D14">
        <v>19700</v>
      </c>
      <c r="E14">
        <v>0</v>
      </c>
      <c r="F14">
        <v>6.05</v>
      </c>
      <c r="G14">
        <v>29276</v>
      </c>
      <c r="H14">
        <v>23931</v>
      </c>
      <c r="I14">
        <v>22413</v>
      </c>
      <c r="J14">
        <v>-48.61</v>
      </c>
      <c r="K14">
        <v>-21.48</v>
      </c>
      <c r="L14">
        <v>-13.77</v>
      </c>
      <c r="M14">
        <v>11.4</v>
      </c>
      <c r="N14" t="b">
        <v>0</v>
      </c>
      <c r="O14">
        <v>0</v>
      </c>
      <c r="P14">
        <v>2589</v>
      </c>
      <c r="S14" t="s">
        <v>8</v>
      </c>
      <c r="T14" t="s">
        <v>329</v>
      </c>
      <c r="U14">
        <v>0</v>
      </c>
      <c r="V14">
        <v>-33</v>
      </c>
      <c r="W14" t="s">
        <v>650</v>
      </c>
      <c r="X14">
        <v>1.466402340512385</v>
      </c>
      <c r="Y14">
        <v>1692</v>
      </c>
      <c r="Z14">
        <v>28296</v>
      </c>
      <c r="AA14" t="s">
        <v>963</v>
      </c>
      <c r="AB14">
        <v>74.58</v>
      </c>
      <c r="AC14" t="s">
        <v>1284</v>
      </c>
      <c r="AD14" t="s">
        <v>1605</v>
      </c>
      <c r="AE14">
        <v>2588</v>
      </c>
      <c r="AF14">
        <v>350</v>
      </c>
      <c r="AG14">
        <v>552500</v>
      </c>
      <c r="AH14">
        <v>5.11</v>
      </c>
    </row>
    <row r="15" spans="1:34">
      <c r="A15" s="2">
        <f>HYPERLINK("https://finance.naver.com/item/coinfo.nhn?code=007340", "A007340")</f>
        <v>0</v>
      </c>
      <c r="B15">
        <f>HYPERLINK("http://comp.fnguide.com/SVO2/ASP/SVD_Consensus.asp?pGB=1&amp;gicode=A007340&amp;cID=&amp;MenuYn=Y&amp;ReportGB=&amp;NewMenuID=108&amp;stkGb=701", "디티알오토모티브")</f>
        <v>0</v>
      </c>
      <c r="C15">
        <v>3</v>
      </c>
      <c r="D15">
        <v>24350</v>
      </c>
      <c r="E15">
        <v>0</v>
      </c>
      <c r="F15">
        <v>4.46</v>
      </c>
      <c r="G15">
        <v>93533</v>
      </c>
      <c r="H15">
        <v>79285</v>
      </c>
      <c r="I15">
        <v>75236</v>
      </c>
      <c r="J15">
        <v>-284.12</v>
      </c>
      <c r="K15">
        <v>-225.61</v>
      </c>
      <c r="L15">
        <v>-208.98</v>
      </c>
      <c r="M15">
        <v>10.63</v>
      </c>
      <c r="N15" t="b">
        <v>1</v>
      </c>
      <c r="O15">
        <v>0</v>
      </c>
      <c r="P15">
        <v>6584</v>
      </c>
      <c r="S15" t="s">
        <v>142</v>
      </c>
      <c r="T15" t="s">
        <v>463</v>
      </c>
      <c r="U15">
        <v>0</v>
      </c>
      <c r="V15">
        <v>-27.4</v>
      </c>
      <c r="W15" t="s">
        <v>780</v>
      </c>
      <c r="X15">
        <v>9.298220911236665</v>
      </c>
      <c r="Y15">
        <v>2434</v>
      </c>
      <c r="Z15">
        <v>31695</v>
      </c>
      <c r="AA15" t="s">
        <v>1097</v>
      </c>
      <c r="AB15">
        <v>51.25</v>
      </c>
      <c r="AC15" t="s">
        <v>1418</v>
      </c>
      <c r="AD15" t="s">
        <v>1739</v>
      </c>
      <c r="AE15">
        <v>9298</v>
      </c>
      <c r="AF15">
        <v>802</v>
      </c>
      <c r="AG15">
        <v>1375880</v>
      </c>
      <c r="AH15">
        <v>5.11</v>
      </c>
    </row>
    <row r="16" spans="1:34">
      <c r="A16" s="2">
        <f>HYPERLINK("https://finance.naver.com/item/coinfo.nhn?code=051600", "A051600")</f>
        <v>0</v>
      </c>
      <c r="B16">
        <f>HYPERLINK("http://comp.fnguide.com/SVO2/ASP/SVD_Consensus.asp?pGB=1&amp;gicode=A051600&amp;cID=&amp;MenuYn=Y&amp;ReportGB=&amp;NewMenuID=108&amp;stkGb=701", "한전KPS")</f>
        <v>0</v>
      </c>
      <c r="C16">
        <v>2</v>
      </c>
      <c r="D16">
        <v>29000</v>
      </c>
      <c r="E16">
        <v>-2.5</v>
      </c>
      <c r="F16">
        <v>11.49</v>
      </c>
      <c r="G16">
        <v>47193</v>
      </c>
      <c r="H16">
        <v>33016</v>
      </c>
      <c r="I16">
        <v>28988</v>
      </c>
      <c r="J16">
        <v>-62.73</v>
      </c>
      <c r="K16">
        <v>-13.85</v>
      </c>
      <c r="L16">
        <v>0.04</v>
      </c>
      <c r="M16">
        <v>15.86</v>
      </c>
      <c r="N16" t="b">
        <v>0</v>
      </c>
      <c r="O16">
        <v>0</v>
      </c>
      <c r="P16">
        <v>3407</v>
      </c>
      <c r="Q16">
        <v>2622</v>
      </c>
      <c r="R16">
        <v>-23</v>
      </c>
      <c r="S16" t="s">
        <v>232</v>
      </c>
      <c r="T16" t="s">
        <v>553</v>
      </c>
      <c r="U16">
        <v>-4.598541014157154</v>
      </c>
      <c r="V16">
        <v>-31.8</v>
      </c>
      <c r="W16" t="s">
        <v>869</v>
      </c>
      <c r="X16">
        <v>-9.274503094994824</v>
      </c>
      <c r="Y16">
        <v>13050</v>
      </c>
      <c r="Z16">
        <v>159214</v>
      </c>
      <c r="AA16" t="s">
        <v>1187</v>
      </c>
      <c r="AB16">
        <v>51</v>
      </c>
      <c r="AC16" t="s">
        <v>1508</v>
      </c>
      <c r="AD16" t="s">
        <v>1828</v>
      </c>
      <c r="AE16">
        <v>12469</v>
      </c>
      <c r="AF16">
        <v>1939</v>
      </c>
      <c r="AH16">
        <v>4.9</v>
      </c>
    </row>
    <row r="17" spans="1:34">
      <c r="A17" s="2">
        <f>HYPERLINK("https://finance.naver.com/item/coinfo.nhn?code=272550", "A272550")</f>
        <v>0</v>
      </c>
      <c r="B17">
        <f>HYPERLINK("http://comp.fnguide.com/SVO2/ASP/SVD_Consensus.asp?pGB=1&amp;gicode=A272550&amp;cID=&amp;MenuYn=Y&amp;ReportGB=&amp;NewMenuID=108&amp;stkGb=701", "삼양패키징")</f>
        <v>0</v>
      </c>
      <c r="C17">
        <v>3</v>
      </c>
      <c r="D17">
        <v>20900</v>
      </c>
      <c r="E17">
        <v>0</v>
      </c>
      <c r="F17">
        <v>7.88</v>
      </c>
      <c r="G17">
        <v>25231</v>
      </c>
      <c r="H17">
        <v>22169</v>
      </c>
      <c r="I17">
        <v>21298</v>
      </c>
      <c r="J17">
        <v>-20.72</v>
      </c>
      <c r="K17">
        <v>-6.07</v>
      </c>
      <c r="L17">
        <v>-1.91</v>
      </c>
      <c r="M17">
        <v>9.949999999999999</v>
      </c>
      <c r="N17" t="b">
        <v>1</v>
      </c>
      <c r="O17">
        <v>0</v>
      </c>
      <c r="P17">
        <v>1998</v>
      </c>
      <c r="S17" t="s">
        <v>123</v>
      </c>
      <c r="T17" t="s">
        <v>444</v>
      </c>
      <c r="U17">
        <v>0</v>
      </c>
      <c r="V17">
        <v>54.4</v>
      </c>
      <c r="W17" t="s">
        <v>761</v>
      </c>
      <c r="X17">
        <v>30.72149038833822</v>
      </c>
      <c r="Y17">
        <v>2970</v>
      </c>
      <c r="Z17">
        <v>20163</v>
      </c>
      <c r="AA17" t="s">
        <v>1078</v>
      </c>
      <c r="AB17">
        <v>71.01000000000001</v>
      </c>
      <c r="AC17" t="s">
        <v>1399</v>
      </c>
      <c r="AD17" t="s">
        <v>1720</v>
      </c>
      <c r="AE17">
        <v>3754</v>
      </c>
      <c r="AF17">
        <v>416</v>
      </c>
      <c r="AH17">
        <v>4.76</v>
      </c>
    </row>
    <row r="18" spans="1:34">
      <c r="A18" s="2">
        <f>HYPERLINK("https://finance.naver.com/item/coinfo.nhn?code=000060", "A000060")</f>
        <v>0</v>
      </c>
      <c r="B18">
        <f>HYPERLINK("http://comp.fnguide.com/SVO2/ASP/SVD_Consensus.asp?pGB=1&amp;gicode=A000060&amp;cID=&amp;MenuYn=Y&amp;ReportGB=&amp;NewMenuID=108&amp;stkGb=701", "메리츠화재")</f>
        <v>0</v>
      </c>
      <c r="C18">
        <v>3</v>
      </c>
      <c r="D18">
        <v>14750</v>
      </c>
      <c r="E18">
        <v>-6.06</v>
      </c>
      <c r="F18">
        <v>6.75</v>
      </c>
      <c r="G18">
        <v>36304</v>
      </c>
      <c r="H18">
        <v>26861</v>
      </c>
      <c r="I18">
        <v>24177</v>
      </c>
      <c r="J18">
        <v>-146.13</v>
      </c>
      <c r="K18">
        <v>-82.11</v>
      </c>
      <c r="L18">
        <v>-63.92</v>
      </c>
      <c r="M18">
        <v>13.99</v>
      </c>
      <c r="N18" t="b">
        <v>1</v>
      </c>
      <c r="O18">
        <v>2</v>
      </c>
      <c r="P18">
        <v>2643</v>
      </c>
      <c r="Q18">
        <v>3364</v>
      </c>
      <c r="R18">
        <v>27.3</v>
      </c>
      <c r="S18" t="s">
        <v>153</v>
      </c>
      <c r="T18" t="s">
        <v>474</v>
      </c>
      <c r="U18">
        <v>-1.113322198250122</v>
      </c>
      <c r="V18">
        <v>16.5</v>
      </c>
      <c r="W18" t="s">
        <v>791</v>
      </c>
      <c r="X18">
        <v>15.65850051513527</v>
      </c>
      <c r="Y18">
        <v>17792</v>
      </c>
      <c r="Z18">
        <v>178363</v>
      </c>
      <c r="AA18" t="s">
        <v>1108</v>
      </c>
      <c r="AB18">
        <v>56.32</v>
      </c>
      <c r="AC18" t="s">
        <v>1429</v>
      </c>
      <c r="AD18" t="s">
        <v>1750</v>
      </c>
      <c r="AE18">
        <v>80830</v>
      </c>
      <c r="AF18">
        <v>3528</v>
      </c>
      <c r="AG18">
        <v>2600822</v>
      </c>
      <c r="AH18">
        <v>4.76</v>
      </c>
    </row>
    <row r="19" spans="1:34">
      <c r="A19" s="2">
        <f>HYPERLINK("https://finance.naver.com/item/coinfo.nhn?code=138040", "A138040")</f>
        <v>0</v>
      </c>
      <c r="B19">
        <f>HYPERLINK("http://comp.fnguide.com/SVO2/ASP/SVD_Consensus.asp?pGB=1&amp;gicode=A138040&amp;cID=&amp;MenuYn=Y&amp;ReportGB=&amp;NewMenuID=108&amp;stkGb=701", "메리츠금융지주")</f>
        <v>0</v>
      </c>
      <c r="C19">
        <v>3</v>
      </c>
      <c r="D19">
        <v>9960</v>
      </c>
      <c r="E19">
        <v>0</v>
      </c>
      <c r="F19">
        <v>4.15</v>
      </c>
      <c r="G19">
        <v>40728</v>
      </c>
      <c r="H19">
        <v>28787</v>
      </c>
      <c r="I19">
        <v>25393</v>
      </c>
      <c r="J19">
        <v>-308.92</v>
      </c>
      <c r="K19">
        <v>-189.02</v>
      </c>
      <c r="L19">
        <v>-154.95</v>
      </c>
      <c r="M19">
        <v>15.49</v>
      </c>
      <c r="N19" t="b">
        <v>1</v>
      </c>
      <c r="O19">
        <v>0</v>
      </c>
      <c r="P19">
        <v>2841</v>
      </c>
      <c r="S19" t="s">
        <v>151</v>
      </c>
      <c r="T19" t="s">
        <v>472</v>
      </c>
      <c r="U19">
        <v>0</v>
      </c>
      <c r="V19">
        <v>4.8</v>
      </c>
      <c r="W19" t="s">
        <v>789</v>
      </c>
      <c r="X19">
        <v>4.539413365111278</v>
      </c>
      <c r="Y19">
        <v>13348</v>
      </c>
      <c r="Z19">
        <v>120613</v>
      </c>
      <c r="AA19" t="s">
        <v>1106</v>
      </c>
      <c r="AB19">
        <v>72.25</v>
      </c>
      <c r="AC19" t="s">
        <v>1427</v>
      </c>
      <c r="AD19" t="s">
        <v>1748</v>
      </c>
      <c r="AE19">
        <v>18316</v>
      </c>
      <c r="AF19">
        <v>9623</v>
      </c>
      <c r="AG19">
        <v>2385670</v>
      </c>
      <c r="AH19">
        <v>4.66</v>
      </c>
    </row>
    <row r="20" spans="1:34">
      <c r="A20" s="2">
        <f>HYPERLINK("https://finance.naver.com/item/coinfo.nhn?code=010470", "A010470")</f>
        <v>0</v>
      </c>
      <c r="B20">
        <f>HYPERLINK("http://comp.fnguide.com/SVO2/ASP/SVD_Consensus.asp?pGB=1&amp;gicode=A010470&amp;cID=&amp;MenuYn=Y&amp;ReportGB=&amp;NewMenuID=108&amp;stkGb=701", "오리콤")</f>
        <v>0</v>
      </c>
      <c r="C20">
        <v>3</v>
      </c>
      <c r="D20">
        <v>6130</v>
      </c>
      <c r="E20">
        <v>0</v>
      </c>
      <c r="F20">
        <v>9.69</v>
      </c>
      <c r="G20">
        <v>7807</v>
      </c>
      <c r="H20">
        <v>7457</v>
      </c>
      <c r="I20">
        <v>7357</v>
      </c>
      <c r="J20">
        <v>-27.36</v>
      </c>
      <c r="K20">
        <v>-21.64</v>
      </c>
      <c r="L20">
        <v>-20.02</v>
      </c>
      <c r="M20">
        <v>8.58</v>
      </c>
      <c r="N20" t="b">
        <v>0</v>
      </c>
      <c r="O20">
        <v>0</v>
      </c>
      <c r="P20">
        <v>515</v>
      </c>
      <c r="S20" t="s">
        <v>101</v>
      </c>
      <c r="T20" t="s">
        <v>422</v>
      </c>
      <c r="U20">
        <v>0</v>
      </c>
      <c r="V20">
        <v>0</v>
      </c>
      <c r="W20" t="s">
        <v>739</v>
      </c>
      <c r="X20">
        <v>19.27306272420797</v>
      </c>
      <c r="Y20">
        <v>717</v>
      </c>
      <c r="Z20">
        <v>306074</v>
      </c>
      <c r="AA20" t="s">
        <v>1056</v>
      </c>
      <c r="AB20">
        <v>62.87</v>
      </c>
      <c r="AC20" t="s">
        <v>1377</v>
      </c>
      <c r="AD20" t="s">
        <v>1698</v>
      </c>
      <c r="AE20">
        <v>1985</v>
      </c>
      <c r="AF20">
        <v>80</v>
      </c>
      <c r="AG20">
        <v>370315</v>
      </c>
      <c r="AH20">
        <v>4.41</v>
      </c>
    </row>
    <row r="21" spans="1:34">
      <c r="A21" s="2">
        <f>HYPERLINK("https://finance.naver.com/item/coinfo.nhn?code=030610", "A030610")</f>
        <v>0</v>
      </c>
      <c r="B21">
        <f>HYPERLINK("http://comp.fnguide.com/SVO2/ASP/SVD_Consensus.asp?pGB=1&amp;gicode=A030610&amp;cID=&amp;MenuYn=Y&amp;ReportGB=&amp;NewMenuID=108&amp;stkGb=701", "교보증권")</f>
        <v>0</v>
      </c>
      <c r="C21">
        <v>3</v>
      </c>
      <c r="D21">
        <v>7840</v>
      </c>
      <c r="E21">
        <v>0</v>
      </c>
      <c r="F21">
        <v>3.98</v>
      </c>
      <c r="G21">
        <v>17387</v>
      </c>
      <c r="H21">
        <v>16022</v>
      </c>
      <c r="I21">
        <v>15634</v>
      </c>
      <c r="J21">
        <v>-121.77</v>
      </c>
      <c r="K21">
        <v>-104.36</v>
      </c>
      <c r="L21">
        <v>-99.41</v>
      </c>
      <c r="M21">
        <v>9.130000000000001</v>
      </c>
      <c r="N21" t="b">
        <v>1</v>
      </c>
      <c r="O21">
        <v>0</v>
      </c>
      <c r="P21">
        <v>2319</v>
      </c>
      <c r="S21" t="s">
        <v>133</v>
      </c>
      <c r="T21" t="s">
        <v>454</v>
      </c>
      <c r="U21">
        <v>0</v>
      </c>
      <c r="V21">
        <v>9.1</v>
      </c>
      <c r="W21" t="s">
        <v>771</v>
      </c>
      <c r="X21">
        <v>9.079772519246077</v>
      </c>
      <c r="Y21">
        <v>5069</v>
      </c>
      <c r="Z21">
        <v>72505</v>
      </c>
      <c r="AA21" t="s">
        <v>1088</v>
      </c>
      <c r="AB21">
        <v>73.16</v>
      </c>
      <c r="AC21" t="s">
        <v>1409</v>
      </c>
      <c r="AD21" t="s">
        <v>1730</v>
      </c>
      <c r="AE21">
        <v>3064</v>
      </c>
      <c r="AF21">
        <v>1104</v>
      </c>
      <c r="AG21">
        <v>1093598</v>
      </c>
      <c r="AH21">
        <v>4.34</v>
      </c>
    </row>
    <row r="22" spans="1:34">
      <c r="A22" s="2">
        <f>HYPERLINK("https://finance.naver.com/item/coinfo.nhn?code=013120", "A013120")</f>
        <v>0</v>
      </c>
      <c r="B22">
        <f>HYPERLINK("http://comp.fnguide.com/SVO2/ASP/SVD_Consensus.asp?pGB=1&amp;gicode=A013120&amp;cID=&amp;MenuYn=Y&amp;ReportGB=&amp;NewMenuID=108&amp;stkGb=701", "동원개발")</f>
        <v>0</v>
      </c>
      <c r="C22">
        <v>3</v>
      </c>
      <c r="D22">
        <v>4445</v>
      </c>
      <c r="E22">
        <v>0</v>
      </c>
      <c r="F22">
        <v>4.38</v>
      </c>
      <c r="G22">
        <v>16106</v>
      </c>
      <c r="H22">
        <v>11525</v>
      </c>
      <c r="I22">
        <v>10223</v>
      </c>
      <c r="J22">
        <v>-262.34</v>
      </c>
      <c r="K22">
        <v>-159.27</v>
      </c>
      <c r="L22">
        <v>-129.98</v>
      </c>
      <c r="M22">
        <v>15.06</v>
      </c>
      <c r="N22" t="b">
        <v>1</v>
      </c>
      <c r="O22">
        <v>0</v>
      </c>
      <c r="P22">
        <v>933</v>
      </c>
      <c r="S22" t="s">
        <v>6</v>
      </c>
      <c r="T22" t="s">
        <v>327</v>
      </c>
      <c r="U22">
        <v>0</v>
      </c>
      <c r="V22">
        <v>43.1</v>
      </c>
      <c r="W22" t="s">
        <v>648</v>
      </c>
      <c r="X22">
        <v>6.117108852669451</v>
      </c>
      <c r="Y22">
        <v>4036</v>
      </c>
      <c r="Z22">
        <v>232379</v>
      </c>
      <c r="AA22" t="s">
        <v>961</v>
      </c>
      <c r="AB22">
        <v>61.17</v>
      </c>
      <c r="AC22" t="s">
        <v>1282</v>
      </c>
      <c r="AD22" t="s">
        <v>1603</v>
      </c>
      <c r="AE22">
        <v>6426</v>
      </c>
      <c r="AF22">
        <v>1061</v>
      </c>
      <c r="AH22">
        <v>4.16</v>
      </c>
    </row>
    <row r="23" spans="1:34">
      <c r="A23" s="2">
        <f>HYPERLINK("https://finance.naver.com/item/coinfo.nhn?code=221980", "A221980")</f>
        <v>0</v>
      </c>
      <c r="B23">
        <f>HYPERLINK("http://comp.fnguide.com/SVO2/ASP/SVD_Consensus.asp?pGB=1&amp;gicode=A221980&amp;cID=&amp;MenuYn=Y&amp;ReportGB=&amp;NewMenuID=108&amp;stkGb=701", "케이디켐")</f>
        <v>0</v>
      </c>
      <c r="C23">
        <v>3</v>
      </c>
      <c r="D23">
        <v>12950</v>
      </c>
      <c r="E23">
        <v>0</v>
      </c>
      <c r="F23">
        <v>6.62</v>
      </c>
      <c r="G23">
        <v>25349</v>
      </c>
      <c r="H23">
        <v>22268</v>
      </c>
      <c r="I23">
        <v>21393</v>
      </c>
      <c r="J23">
        <v>-95.75</v>
      </c>
      <c r="K23">
        <v>-71.95</v>
      </c>
      <c r="L23">
        <v>-65.19</v>
      </c>
      <c r="M23">
        <v>9.949999999999999</v>
      </c>
      <c r="N23" t="b">
        <v>1</v>
      </c>
      <c r="O23">
        <v>0</v>
      </c>
      <c r="P23">
        <v>1857</v>
      </c>
      <c r="S23" t="s">
        <v>60</v>
      </c>
      <c r="T23" t="s">
        <v>381</v>
      </c>
      <c r="U23">
        <v>0</v>
      </c>
      <c r="V23">
        <v>5.4</v>
      </c>
      <c r="W23" t="s">
        <v>700</v>
      </c>
      <c r="X23">
        <v>-8.63822140513677</v>
      </c>
      <c r="Y23">
        <v>523</v>
      </c>
      <c r="Z23">
        <v>3823</v>
      </c>
      <c r="AA23" t="s">
        <v>1015</v>
      </c>
      <c r="AB23">
        <v>71.06999999999999</v>
      </c>
      <c r="AC23" t="s">
        <v>1336</v>
      </c>
      <c r="AD23" t="s">
        <v>1657</v>
      </c>
      <c r="AE23">
        <v>488</v>
      </c>
      <c r="AF23">
        <v>64</v>
      </c>
      <c r="AG23">
        <v>213443</v>
      </c>
      <c r="AH23">
        <v>4.07</v>
      </c>
    </row>
    <row r="24" spans="1:34">
      <c r="A24" s="2">
        <f>HYPERLINK("https://finance.naver.com/item/coinfo.nhn?code=024120", "A024120")</f>
        <v>0</v>
      </c>
      <c r="B24">
        <f>HYPERLINK("http://comp.fnguide.com/SVO2/ASP/SVD_Consensus.asp?pGB=1&amp;gicode=A024120&amp;cID=&amp;MenuYn=Y&amp;ReportGB=&amp;NewMenuID=108&amp;stkGb=701", "KB오토시스")</f>
        <v>0</v>
      </c>
      <c r="C24">
        <v>3</v>
      </c>
      <c r="D24">
        <v>6070</v>
      </c>
      <c r="E24">
        <v>0</v>
      </c>
      <c r="F24">
        <v>6.65</v>
      </c>
      <c r="G24">
        <v>14230</v>
      </c>
      <c r="H24">
        <v>11031</v>
      </c>
      <c r="I24">
        <v>10122</v>
      </c>
      <c r="J24">
        <v>-134.43</v>
      </c>
      <c r="K24">
        <v>-81.73</v>
      </c>
      <c r="L24">
        <v>-66.75</v>
      </c>
      <c r="M24">
        <v>12.68</v>
      </c>
      <c r="N24" t="b">
        <v>1</v>
      </c>
      <c r="O24">
        <v>0</v>
      </c>
      <c r="P24">
        <v>930</v>
      </c>
      <c r="S24" t="s">
        <v>45</v>
      </c>
      <c r="T24" t="s">
        <v>366</v>
      </c>
      <c r="U24">
        <v>0</v>
      </c>
      <c r="V24">
        <v>-77.2</v>
      </c>
      <c r="W24" t="s">
        <v>685</v>
      </c>
      <c r="X24">
        <v>-14.70006033450598</v>
      </c>
      <c r="Y24">
        <v>698</v>
      </c>
      <c r="Z24">
        <v>20435</v>
      </c>
      <c r="AA24" t="s">
        <v>1000</v>
      </c>
      <c r="AB24">
        <v>72.06999999999999</v>
      </c>
      <c r="AC24" t="s">
        <v>1321</v>
      </c>
      <c r="AD24" t="s">
        <v>1642</v>
      </c>
      <c r="AE24">
        <v>1478</v>
      </c>
      <c r="AF24">
        <v>127</v>
      </c>
      <c r="AH24">
        <v>3.72</v>
      </c>
    </row>
    <row r="25" spans="1:34">
      <c r="A25" s="2">
        <f>HYPERLINK("https://finance.naver.com/item/coinfo.nhn?code=078930", "A078930")</f>
        <v>0</v>
      </c>
      <c r="B25">
        <f>HYPERLINK("http://comp.fnguide.com/SVO2/ASP/SVD_Consensus.asp?pGB=1&amp;gicode=A078930&amp;cID=&amp;MenuYn=Y&amp;ReportGB=&amp;NewMenuID=108&amp;stkGb=701", "GS")</f>
        <v>0</v>
      </c>
      <c r="C25">
        <v>3</v>
      </c>
      <c r="D25">
        <v>37050</v>
      </c>
      <c r="E25">
        <v>0</v>
      </c>
      <c r="F25">
        <v>8.98</v>
      </c>
      <c r="G25">
        <v>109289</v>
      </c>
      <c r="H25">
        <v>101033</v>
      </c>
      <c r="I25">
        <v>98687</v>
      </c>
      <c r="J25">
        <v>-194.98</v>
      </c>
      <c r="K25">
        <v>-172.69</v>
      </c>
      <c r="L25">
        <v>-166.36</v>
      </c>
      <c r="M25">
        <v>9.08</v>
      </c>
      <c r="N25" t="b">
        <v>0</v>
      </c>
      <c r="O25">
        <v>0</v>
      </c>
      <c r="P25">
        <v>5744</v>
      </c>
      <c r="Q25">
        <v>-359</v>
      </c>
      <c r="R25">
        <v>-106.2</v>
      </c>
      <c r="S25" t="s">
        <v>178</v>
      </c>
      <c r="T25" t="s">
        <v>499</v>
      </c>
      <c r="U25">
        <v>0</v>
      </c>
      <c r="V25">
        <v>0</v>
      </c>
      <c r="W25" t="s">
        <v>816</v>
      </c>
      <c r="X25">
        <v>2.525174121884355</v>
      </c>
      <c r="Y25">
        <v>34425</v>
      </c>
      <c r="Z25">
        <v>368648</v>
      </c>
      <c r="AA25" t="s">
        <v>1133</v>
      </c>
      <c r="AB25">
        <v>52.12</v>
      </c>
      <c r="AC25" t="s">
        <v>1454</v>
      </c>
      <c r="AD25" t="s">
        <v>1775</v>
      </c>
      <c r="AE25">
        <v>177861</v>
      </c>
      <c r="AF25">
        <v>20331</v>
      </c>
      <c r="AG25">
        <v>19883</v>
      </c>
      <c r="AH25">
        <v>3.68</v>
      </c>
    </row>
    <row r="26" spans="1:34">
      <c r="A26" s="2">
        <f>HYPERLINK("https://finance.naver.com/item/coinfo.nhn?code=001800", "A001800")</f>
        <v>0</v>
      </c>
      <c r="B26">
        <f>HYPERLINK("http://comp.fnguide.com/SVO2/ASP/SVD_Consensus.asp?pGB=1&amp;gicode=A001800&amp;cID=&amp;MenuYn=Y&amp;ReportGB=&amp;NewMenuID=108&amp;stkGb=701", "오리온홀딩스")</f>
        <v>0</v>
      </c>
      <c r="C26">
        <v>3</v>
      </c>
      <c r="D26">
        <v>13050</v>
      </c>
      <c r="E26">
        <v>0</v>
      </c>
      <c r="F26">
        <v>23.05</v>
      </c>
      <c r="G26">
        <v>66913</v>
      </c>
      <c r="H26">
        <v>45918</v>
      </c>
      <c r="I26">
        <v>39951</v>
      </c>
      <c r="J26">
        <v>-412.74</v>
      </c>
      <c r="K26">
        <v>-251.86</v>
      </c>
      <c r="L26">
        <v>-206.14</v>
      </c>
      <c r="M26">
        <v>16.59</v>
      </c>
      <c r="N26" t="b">
        <v>0</v>
      </c>
      <c r="O26">
        <v>0</v>
      </c>
      <c r="P26">
        <v>772</v>
      </c>
      <c r="S26" t="s">
        <v>196</v>
      </c>
      <c r="T26" t="s">
        <v>517</v>
      </c>
      <c r="U26">
        <v>0</v>
      </c>
      <c r="V26">
        <v>50.8</v>
      </c>
      <c r="W26" t="s">
        <v>833</v>
      </c>
      <c r="X26">
        <v>-15.34160040286397</v>
      </c>
      <c r="Y26">
        <v>8175</v>
      </c>
      <c r="Z26">
        <v>215981</v>
      </c>
      <c r="AA26" t="s">
        <v>1151</v>
      </c>
      <c r="AB26">
        <v>63.85</v>
      </c>
      <c r="AC26" t="s">
        <v>1472</v>
      </c>
      <c r="AD26" t="s">
        <v>1793</v>
      </c>
      <c r="AE26">
        <v>21036</v>
      </c>
      <c r="AF26">
        <v>2667</v>
      </c>
      <c r="AG26">
        <v>2488769</v>
      </c>
      <c r="AH26">
        <v>3.65</v>
      </c>
    </row>
    <row r="27" spans="1:34">
      <c r="A27" s="2">
        <f>HYPERLINK("https://finance.naver.com/item/coinfo.nhn?code=016800", "A016800")</f>
        <v>0</v>
      </c>
      <c r="B27">
        <f>HYPERLINK("http://comp.fnguide.com/SVO2/ASP/SVD_Consensus.asp?pGB=1&amp;gicode=A016800&amp;cID=&amp;MenuYn=Y&amp;ReportGB=&amp;NewMenuID=108&amp;stkGb=701", "퍼시스")</f>
        <v>0</v>
      </c>
      <c r="C27">
        <v>3</v>
      </c>
      <c r="D27">
        <v>29700</v>
      </c>
      <c r="E27">
        <v>0</v>
      </c>
      <c r="F27">
        <v>9.99</v>
      </c>
      <c r="G27">
        <v>52807</v>
      </c>
      <c r="H27">
        <v>50121</v>
      </c>
      <c r="I27">
        <v>49357</v>
      </c>
      <c r="J27">
        <v>-77.8</v>
      </c>
      <c r="K27">
        <v>-68.76000000000001</v>
      </c>
      <c r="L27">
        <v>-66.19</v>
      </c>
      <c r="M27">
        <v>8.67</v>
      </c>
      <c r="N27" t="b">
        <v>1</v>
      </c>
      <c r="O27">
        <v>0</v>
      </c>
      <c r="P27">
        <v>2953</v>
      </c>
      <c r="S27" t="s">
        <v>183</v>
      </c>
      <c r="T27" t="s">
        <v>504</v>
      </c>
      <c r="U27">
        <v>0</v>
      </c>
      <c r="V27">
        <v>11.3</v>
      </c>
      <c r="W27" t="s">
        <v>821</v>
      </c>
      <c r="X27">
        <v>4.707196756523069</v>
      </c>
      <c r="Y27">
        <v>3416</v>
      </c>
      <c r="Z27">
        <v>908</v>
      </c>
      <c r="AA27" t="s">
        <v>1138</v>
      </c>
      <c r="AB27">
        <v>54.71</v>
      </c>
      <c r="AC27" t="s">
        <v>1459</v>
      </c>
      <c r="AD27" t="s">
        <v>1780</v>
      </c>
      <c r="AE27">
        <v>3047</v>
      </c>
      <c r="AF27">
        <v>251</v>
      </c>
      <c r="AG27">
        <v>2317576</v>
      </c>
      <c r="AH27">
        <v>3.39</v>
      </c>
    </row>
    <row r="28" spans="1:34">
      <c r="A28" s="2">
        <f>HYPERLINK("https://finance.naver.com/item/coinfo.nhn?code=010240", "A010240")</f>
        <v>0</v>
      </c>
      <c r="B28">
        <f>HYPERLINK("http://comp.fnguide.com/SVO2/ASP/SVD_Consensus.asp?pGB=1&amp;gicode=A010240&amp;cID=&amp;MenuYn=Y&amp;ReportGB=&amp;NewMenuID=108&amp;stkGb=701", "흥국")</f>
        <v>0</v>
      </c>
      <c r="C28">
        <v>3</v>
      </c>
      <c r="D28">
        <v>5470</v>
      </c>
      <c r="E28">
        <v>0</v>
      </c>
      <c r="F28">
        <v>7.79</v>
      </c>
      <c r="G28">
        <v>9106</v>
      </c>
      <c r="H28">
        <v>7144</v>
      </c>
      <c r="I28">
        <v>6586</v>
      </c>
      <c r="J28">
        <v>-66.47</v>
      </c>
      <c r="K28">
        <v>-30.59</v>
      </c>
      <c r="L28">
        <v>-20.4</v>
      </c>
      <c r="M28">
        <v>12.37</v>
      </c>
      <c r="N28" t="b">
        <v>1</v>
      </c>
      <c r="O28">
        <v>0</v>
      </c>
      <c r="P28">
        <v>568</v>
      </c>
      <c r="S28" t="s">
        <v>116</v>
      </c>
      <c r="T28" t="s">
        <v>437</v>
      </c>
      <c r="U28">
        <v>0</v>
      </c>
      <c r="V28">
        <v>60.8</v>
      </c>
      <c r="W28" t="s">
        <v>754</v>
      </c>
      <c r="X28">
        <v>51.50350019700674</v>
      </c>
      <c r="Y28">
        <v>674</v>
      </c>
      <c r="Z28">
        <v>108013</v>
      </c>
      <c r="AA28" t="s">
        <v>1071</v>
      </c>
      <c r="AB28">
        <v>51.18</v>
      </c>
      <c r="AC28" t="s">
        <v>1392</v>
      </c>
      <c r="AD28" t="s">
        <v>1713</v>
      </c>
      <c r="AE28">
        <v>1045</v>
      </c>
      <c r="AF28">
        <v>89</v>
      </c>
      <c r="AG28">
        <v>772811</v>
      </c>
      <c r="AH28">
        <v>3.39</v>
      </c>
    </row>
    <row r="29" spans="1:34">
      <c r="A29" s="2">
        <f>HYPERLINK("https://finance.naver.com/item/coinfo.nhn?code=005190", "A005190")</f>
        <v>0</v>
      </c>
      <c r="B29">
        <f>HYPERLINK("http://comp.fnguide.com/SVO2/ASP/SVD_Consensus.asp?pGB=1&amp;gicode=A005190&amp;cID=&amp;MenuYn=Y&amp;ReportGB=&amp;NewMenuID=108&amp;stkGb=701", "동성화학")</f>
        <v>0</v>
      </c>
      <c r="C29">
        <v>3</v>
      </c>
      <c r="D29">
        <v>16150</v>
      </c>
      <c r="E29">
        <v>0.15</v>
      </c>
      <c r="F29">
        <v>7.3</v>
      </c>
      <c r="G29">
        <v>24910</v>
      </c>
      <c r="H29">
        <v>23616</v>
      </c>
      <c r="I29">
        <v>23249</v>
      </c>
      <c r="J29">
        <v>-54.24</v>
      </c>
      <c r="K29">
        <v>-46.23</v>
      </c>
      <c r="L29">
        <v>-43.96</v>
      </c>
      <c r="M29">
        <v>8.69</v>
      </c>
      <c r="N29" t="b">
        <v>1</v>
      </c>
      <c r="O29">
        <v>3</v>
      </c>
      <c r="P29">
        <v>2492</v>
      </c>
      <c r="Q29">
        <v>3224</v>
      </c>
      <c r="R29">
        <v>29.4</v>
      </c>
      <c r="S29" t="s">
        <v>160</v>
      </c>
      <c r="T29" t="s">
        <v>481</v>
      </c>
      <c r="U29">
        <v>48.76943822806417</v>
      </c>
      <c r="V29">
        <v>13.6</v>
      </c>
      <c r="W29" t="s">
        <v>798</v>
      </c>
      <c r="X29">
        <v>7.718437755339846</v>
      </c>
      <c r="Y29">
        <v>862</v>
      </c>
      <c r="Z29">
        <v>20789</v>
      </c>
      <c r="AA29" t="s">
        <v>1115</v>
      </c>
      <c r="AB29">
        <v>51.23</v>
      </c>
      <c r="AC29" t="s">
        <v>1436</v>
      </c>
      <c r="AD29" t="s">
        <v>1757</v>
      </c>
      <c r="AE29">
        <v>2010</v>
      </c>
      <c r="AF29">
        <v>253</v>
      </c>
      <c r="AG29">
        <v>186177</v>
      </c>
      <c r="AH29">
        <v>3.3</v>
      </c>
    </row>
    <row r="30" spans="1:34">
      <c r="A30" s="2">
        <f>HYPERLINK("https://finance.naver.com/item/coinfo.nhn?code=003800", "A003800")</f>
        <v>0</v>
      </c>
      <c r="B30">
        <f>HYPERLINK("http://comp.fnguide.com/SVO2/ASP/SVD_Consensus.asp?pGB=1&amp;gicode=A003800&amp;cID=&amp;MenuYn=Y&amp;ReportGB=&amp;NewMenuID=108&amp;stkGb=701", "에이스침대")</f>
        <v>0</v>
      </c>
      <c r="C30">
        <v>3</v>
      </c>
      <c r="D30">
        <v>39150</v>
      </c>
      <c r="E30">
        <v>0.48</v>
      </c>
      <c r="F30">
        <v>8.77</v>
      </c>
      <c r="G30">
        <v>49037</v>
      </c>
      <c r="H30">
        <v>47028</v>
      </c>
      <c r="I30">
        <v>46458</v>
      </c>
      <c r="J30">
        <v>-25.25</v>
      </c>
      <c r="K30">
        <v>-20.12</v>
      </c>
      <c r="L30">
        <v>-18.67</v>
      </c>
      <c r="M30">
        <v>8.52</v>
      </c>
      <c r="N30" t="b">
        <v>1</v>
      </c>
      <c r="O30">
        <v>0</v>
      </c>
      <c r="P30">
        <v>3987</v>
      </c>
      <c r="Q30">
        <v>3968</v>
      </c>
      <c r="R30">
        <v>-0.5</v>
      </c>
      <c r="S30" t="s">
        <v>97</v>
      </c>
      <c r="T30" t="s">
        <v>418</v>
      </c>
      <c r="U30">
        <v>18.45715186654524</v>
      </c>
      <c r="V30">
        <v>-7.7</v>
      </c>
      <c r="W30" t="s">
        <v>735</v>
      </c>
      <c r="X30">
        <v>6.02103981867359</v>
      </c>
      <c r="Y30">
        <v>4342</v>
      </c>
      <c r="Z30">
        <v>1754</v>
      </c>
      <c r="AA30" t="s">
        <v>1052</v>
      </c>
      <c r="AB30">
        <v>79.56</v>
      </c>
      <c r="AC30" t="s">
        <v>1373</v>
      </c>
      <c r="AD30" t="s">
        <v>1694</v>
      </c>
      <c r="AE30">
        <v>2774</v>
      </c>
      <c r="AF30">
        <v>499</v>
      </c>
      <c r="AG30">
        <v>838055</v>
      </c>
      <c r="AH30">
        <v>3.15</v>
      </c>
    </row>
    <row r="31" spans="1:34">
      <c r="A31" s="2">
        <f>HYPERLINK("https://finance.naver.com/item/coinfo.nhn?code=011170", "A011170")</f>
        <v>0</v>
      </c>
      <c r="B31">
        <f>HYPERLINK("http://comp.fnguide.com/SVO2/ASP/SVD_Consensus.asp?pGB=1&amp;gicode=A011170&amp;cID=&amp;MenuYn=Y&amp;ReportGB=&amp;NewMenuID=108&amp;stkGb=701", "롯데케미칼")</f>
        <v>0</v>
      </c>
      <c r="C31">
        <v>3</v>
      </c>
      <c r="D31">
        <v>269000</v>
      </c>
      <c r="E31">
        <v>-0.21</v>
      </c>
      <c r="F31">
        <v>10.74</v>
      </c>
      <c r="G31">
        <v>518591</v>
      </c>
      <c r="H31">
        <v>438360</v>
      </c>
      <c r="I31">
        <v>415560</v>
      </c>
      <c r="J31">
        <v>-92.78</v>
      </c>
      <c r="K31">
        <v>-62.96</v>
      </c>
      <c r="L31">
        <v>-54.48</v>
      </c>
      <c r="M31">
        <v>10.69</v>
      </c>
      <c r="N31" t="b">
        <v>1</v>
      </c>
      <c r="O31">
        <v>0</v>
      </c>
      <c r="P31">
        <v>20860</v>
      </c>
      <c r="Q31">
        <v>7334</v>
      </c>
      <c r="R31">
        <v>-64.8</v>
      </c>
      <c r="S31" t="s">
        <v>148</v>
      </c>
      <c r="T31" t="s">
        <v>469</v>
      </c>
      <c r="U31">
        <v>-51.76031000531993</v>
      </c>
      <c r="V31">
        <v>-87.8</v>
      </c>
      <c r="W31" t="s">
        <v>786</v>
      </c>
      <c r="X31">
        <v>-38.5028874169244</v>
      </c>
      <c r="Y31">
        <v>92201</v>
      </c>
      <c r="Z31">
        <v>377712</v>
      </c>
      <c r="AA31" t="s">
        <v>1103</v>
      </c>
      <c r="AB31">
        <v>54.92</v>
      </c>
      <c r="AC31" t="s">
        <v>1424</v>
      </c>
      <c r="AD31" t="s">
        <v>1745</v>
      </c>
      <c r="AE31">
        <v>151235</v>
      </c>
      <c r="AF31">
        <v>11073</v>
      </c>
      <c r="AH31">
        <v>2.99</v>
      </c>
    </row>
    <row r="32" spans="1:34">
      <c r="A32" s="2">
        <f>HYPERLINK("https://finance.naver.com/item/coinfo.nhn?code=084690", "A084690")</f>
        <v>0</v>
      </c>
      <c r="B32">
        <f>HYPERLINK("http://comp.fnguide.com/SVO2/ASP/SVD_Consensus.asp?pGB=1&amp;gicode=A084690&amp;cID=&amp;MenuYn=Y&amp;ReportGB=&amp;NewMenuID=108&amp;stkGb=701", "대상홀딩스")</f>
        <v>0</v>
      </c>
      <c r="C32">
        <v>3</v>
      </c>
      <c r="D32">
        <v>9870</v>
      </c>
      <c r="E32">
        <v>0</v>
      </c>
      <c r="F32">
        <v>3.46</v>
      </c>
      <c r="G32">
        <v>18070</v>
      </c>
      <c r="H32">
        <v>16884</v>
      </c>
      <c r="I32">
        <v>16547</v>
      </c>
      <c r="J32">
        <v>-83.08</v>
      </c>
      <c r="K32">
        <v>-71.06999999999999</v>
      </c>
      <c r="L32">
        <v>-67.65000000000001</v>
      </c>
      <c r="M32">
        <v>8.91</v>
      </c>
      <c r="N32" t="b">
        <v>1</v>
      </c>
      <c r="O32">
        <v>0</v>
      </c>
      <c r="P32">
        <v>1946</v>
      </c>
      <c r="S32" t="s">
        <v>121</v>
      </c>
      <c r="T32" t="s">
        <v>442</v>
      </c>
      <c r="U32">
        <v>0</v>
      </c>
      <c r="V32">
        <v>125.2</v>
      </c>
      <c r="W32" t="s">
        <v>759</v>
      </c>
      <c r="X32">
        <v>46.14119594697726</v>
      </c>
      <c r="Y32">
        <v>3574</v>
      </c>
      <c r="Z32">
        <v>55343</v>
      </c>
      <c r="AA32" t="s">
        <v>1076</v>
      </c>
      <c r="AB32">
        <v>67.3</v>
      </c>
      <c r="AC32" t="s">
        <v>1397</v>
      </c>
      <c r="AD32" t="s">
        <v>1718</v>
      </c>
      <c r="AE32">
        <v>35525</v>
      </c>
      <c r="AF32">
        <v>1555</v>
      </c>
      <c r="AH32">
        <v>2.97</v>
      </c>
    </row>
    <row r="33" spans="1:34">
      <c r="A33" s="2">
        <f>HYPERLINK("https://finance.naver.com/item/coinfo.nhn?code=264900", "A264900")</f>
        <v>0</v>
      </c>
      <c r="B33">
        <f>HYPERLINK("http://comp.fnguide.com/SVO2/ASP/SVD_Consensus.asp?pGB=1&amp;gicode=A264900&amp;cID=&amp;MenuYn=Y&amp;ReportGB=&amp;NewMenuID=108&amp;stkGb=701", "크라운제과")</f>
        <v>0</v>
      </c>
      <c r="C33">
        <v>3</v>
      </c>
      <c r="D33">
        <v>8790</v>
      </c>
      <c r="E33">
        <v>0</v>
      </c>
      <c r="F33">
        <v>6.1</v>
      </c>
      <c r="G33">
        <v>15886</v>
      </c>
      <c r="H33">
        <v>13438</v>
      </c>
      <c r="I33">
        <v>12742</v>
      </c>
      <c r="J33">
        <v>-80.72</v>
      </c>
      <c r="K33">
        <v>-52.88</v>
      </c>
      <c r="L33">
        <v>-44.96</v>
      </c>
      <c r="M33">
        <v>10.67</v>
      </c>
      <c r="N33" t="b">
        <v>1</v>
      </c>
      <c r="O33">
        <v>0</v>
      </c>
      <c r="P33">
        <v>1424</v>
      </c>
      <c r="S33" t="s">
        <v>177</v>
      </c>
      <c r="T33" t="s">
        <v>498</v>
      </c>
      <c r="U33">
        <v>0</v>
      </c>
      <c r="V33">
        <v>12.5</v>
      </c>
      <c r="W33" t="s">
        <v>815</v>
      </c>
      <c r="X33">
        <v>0</v>
      </c>
      <c r="Y33">
        <v>1101</v>
      </c>
      <c r="Z33">
        <v>15022</v>
      </c>
      <c r="AA33" t="s">
        <v>1132</v>
      </c>
      <c r="AB33">
        <v>61.68</v>
      </c>
      <c r="AC33" t="s">
        <v>1453</v>
      </c>
      <c r="AD33" t="s">
        <v>1774</v>
      </c>
      <c r="AE33">
        <v>3866</v>
      </c>
      <c r="AF33">
        <v>265</v>
      </c>
      <c r="AG33">
        <v>507681</v>
      </c>
      <c r="AH33">
        <v>2.88</v>
      </c>
    </row>
    <row r="34" spans="1:34">
      <c r="A34" s="2">
        <f>HYPERLINK("https://finance.naver.com/item/coinfo.nhn?code=192400", "A192400")</f>
        <v>0</v>
      </c>
      <c r="B34">
        <f>HYPERLINK("http://comp.fnguide.com/SVO2/ASP/SVD_Consensus.asp?pGB=1&amp;gicode=A192400&amp;cID=&amp;MenuYn=Y&amp;ReportGB=&amp;NewMenuID=108&amp;stkGb=701", "쿠쿠홀딩스")</f>
        <v>0</v>
      </c>
      <c r="C34">
        <v>3</v>
      </c>
      <c r="D34">
        <v>96300</v>
      </c>
      <c r="E34">
        <v>0</v>
      </c>
      <c r="F34">
        <v>9.4</v>
      </c>
      <c r="G34">
        <v>384679</v>
      </c>
      <c r="H34">
        <v>218442</v>
      </c>
      <c r="I34">
        <v>171201</v>
      </c>
      <c r="J34">
        <v>-299.46</v>
      </c>
      <c r="K34">
        <v>-126.83</v>
      </c>
      <c r="L34">
        <v>-77.78</v>
      </c>
      <c r="M34">
        <v>28.18</v>
      </c>
      <c r="N34" t="b">
        <v>0</v>
      </c>
      <c r="O34">
        <v>0</v>
      </c>
      <c r="P34">
        <v>11168</v>
      </c>
      <c r="S34" t="s">
        <v>176</v>
      </c>
      <c r="T34" t="s">
        <v>497</v>
      </c>
      <c r="U34">
        <v>0</v>
      </c>
      <c r="V34">
        <v>38</v>
      </c>
      <c r="W34" t="s">
        <v>814</v>
      </c>
      <c r="X34">
        <v>15.13255589098257</v>
      </c>
      <c r="Y34">
        <v>6849</v>
      </c>
      <c r="Z34">
        <v>7484</v>
      </c>
      <c r="AA34" t="s">
        <v>1131</v>
      </c>
      <c r="AB34">
        <v>69.06999999999999</v>
      </c>
      <c r="AC34" t="s">
        <v>1452</v>
      </c>
      <c r="AD34" t="s">
        <v>1773</v>
      </c>
      <c r="AE34">
        <v>5283</v>
      </c>
      <c r="AF34">
        <v>745</v>
      </c>
      <c r="AG34">
        <v>896760</v>
      </c>
      <c r="AH34">
        <v>2.86</v>
      </c>
    </row>
    <row r="35" spans="1:34">
      <c r="A35" s="2">
        <f>HYPERLINK("https://finance.naver.com/item/coinfo.nhn?code=290120", "A290120")</f>
        <v>0</v>
      </c>
      <c r="B35">
        <f>HYPERLINK("http://comp.fnguide.com/SVO2/ASP/SVD_Consensus.asp?pGB=1&amp;gicode=A290120&amp;cID=&amp;MenuYn=Y&amp;ReportGB=&amp;NewMenuID=108&amp;stkGb=701", "대유에이피")</f>
        <v>0</v>
      </c>
      <c r="C35">
        <v>2</v>
      </c>
      <c r="D35">
        <v>7330</v>
      </c>
      <c r="E35">
        <v>0</v>
      </c>
      <c r="F35">
        <v>9.73</v>
      </c>
      <c r="G35">
        <v>12089</v>
      </c>
      <c r="H35">
        <v>7397</v>
      </c>
      <c r="I35">
        <v>6064</v>
      </c>
      <c r="J35">
        <v>-64.93000000000001</v>
      </c>
      <c r="K35">
        <v>-0.91</v>
      </c>
      <c r="L35">
        <v>17.28</v>
      </c>
      <c r="M35">
        <v>22.37</v>
      </c>
      <c r="N35" t="b">
        <v>1</v>
      </c>
      <c r="O35">
        <v>0</v>
      </c>
      <c r="P35">
        <v>733</v>
      </c>
      <c r="S35" t="s">
        <v>216</v>
      </c>
      <c r="T35" t="s">
        <v>537</v>
      </c>
      <c r="U35">
        <v>0</v>
      </c>
      <c r="V35">
        <v>196.1</v>
      </c>
      <c r="W35" t="s">
        <v>853</v>
      </c>
      <c r="X35">
        <v>0</v>
      </c>
      <c r="Y35">
        <v>798</v>
      </c>
      <c r="Z35">
        <v>97018</v>
      </c>
      <c r="AA35" t="s">
        <v>1171</v>
      </c>
      <c r="AB35">
        <v>73.5</v>
      </c>
      <c r="AC35" t="s">
        <v>1492</v>
      </c>
      <c r="AD35" t="s">
        <v>1812</v>
      </c>
      <c r="AE35">
        <v>1575</v>
      </c>
      <c r="AF35">
        <v>101</v>
      </c>
      <c r="AH35">
        <v>2.81</v>
      </c>
    </row>
    <row r="36" spans="1:34">
      <c r="A36" s="2">
        <f>HYPERLINK("https://finance.naver.com/item/coinfo.nhn?code=035890", "A035890")</f>
        <v>0</v>
      </c>
      <c r="B36">
        <f>HYPERLINK("http://comp.fnguide.com/SVO2/ASP/SVD_Consensus.asp?pGB=1&amp;gicode=A035890&amp;cID=&amp;MenuYn=Y&amp;ReportGB=&amp;NewMenuID=108&amp;stkGb=701", "서희건설")</f>
        <v>0</v>
      </c>
      <c r="C36">
        <v>3</v>
      </c>
      <c r="D36">
        <v>1350</v>
      </c>
      <c r="E36">
        <v>0.09</v>
      </c>
      <c r="F36">
        <v>3.81</v>
      </c>
      <c r="G36">
        <v>3448</v>
      </c>
      <c r="H36">
        <v>2407</v>
      </c>
      <c r="I36">
        <v>2111</v>
      </c>
      <c r="J36">
        <v>-155.43</v>
      </c>
      <c r="K36">
        <v>-78.28</v>
      </c>
      <c r="L36">
        <v>-56.36</v>
      </c>
      <c r="M36">
        <v>15.94</v>
      </c>
      <c r="N36" t="b">
        <v>1</v>
      </c>
      <c r="O36">
        <v>3</v>
      </c>
      <c r="P36">
        <v>294</v>
      </c>
      <c r="Q36">
        <v>522</v>
      </c>
      <c r="R36">
        <v>77.59999999999999</v>
      </c>
      <c r="S36" t="s">
        <v>25</v>
      </c>
      <c r="T36" t="s">
        <v>346</v>
      </c>
      <c r="U36">
        <v>42.59345891298947</v>
      </c>
      <c r="V36">
        <v>188</v>
      </c>
      <c r="W36" t="s">
        <v>667</v>
      </c>
      <c r="X36">
        <v>62.87711233297934</v>
      </c>
      <c r="Y36">
        <v>2796</v>
      </c>
      <c r="Z36">
        <v>1126059</v>
      </c>
      <c r="AA36" t="s">
        <v>980</v>
      </c>
      <c r="AB36">
        <v>50.19</v>
      </c>
      <c r="AC36" t="s">
        <v>1301</v>
      </c>
      <c r="AD36" t="s">
        <v>1622</v>
      </c>
      <c r="AE36">
        <v>12430</v>
      </c>
      <c r="AF36">
        <v>1182</v>
      </c>
      <c r="AG36">
        <v>9575559</v>
      </c>
      <c r="AH36">
        <v>2.68</v>
      </c>
    </row>
    <row r="37" spans="1:34">
      <c r="A37" s="2">
        <f>HYPERLINK("https://finance.naver.com/item/coinfo.nhn?code=010640", "A010640")</f>
        <v>0</v>
      </c>
      <c r="B37">
        <f>HYPERLINK("http://comp.fnguide.com/SVO2/ASP/SVD_Consensus.asp?pGB=1&amp;gicode=A010640&amp;cID=&amp;MenuYn=Y&amp;ReportGB=&amp;NewMenuID=108&amp;stkGb=701", "진양폴리")</f>
        <v>0</v>
      </c>
      <c r="C37">
        <v>2</v>
      </c>
      <c r="D37">
        <v>3590</v>
      </c>
      <c r="E37">
        <v>0</v>
      </c>
      <c r="F37">
        <v>5.16</v>
      </c>
      <c r="G37">
        <v>6290</v>
      </c>
      <c r="H37">
        <v>4106</v>
      </c>
      <c r="I37">
        <v>3485</v>
      </c>
      <c r="J37">
        <v>-75.20999999999999</v>
      </c>
      <c r="K37">
        <v>-14.37</v>
      </c>
      <c r="L37">
        <v>2.92</v>
      </c>
      <c r="M37">
        <v>18.77</v>
      </c>
      <c r="N37" t="b">
        <v>1</v>
      </c>
      <c r="O37">
        <v>0</v>
      </c>
      <c r="P37">
        <v>755</v>
      </c>
      <c r="S37" t="s">
        <v>227</v>
      </c>
      <c r="T37" t="s">
        <v>548</v>
      </c>
      <c r="U37">
        <v>0</v>
      </c>
      <c r="V37">
        <v>-78.2</v>
      </c>
      <c r="W37" t="s">
        <v>864</v>
      </c>
      <c r="X37">
        <v>-30.48750885169499</v>
      </c>
      <c r="Y37">
        <v>359</v>
      </c>
      <c r="Z37">
        <v>192045</v>
      </c>
      <c r="AA37" t="s">
        <v>1182</v>
      </c>
      <c r="AB37">
        <v>50.5</v>
      </c>
      <c r="AC37" t="s">
        <v>1503</v>
      </c>
      <c r="AD37" t="s">
        <v>1823</v>
      </c>
      <c r="AE37">
        <v>351</v>
      </c>
      <c r="AF37">
        <v>31</v>
      </c>
      <c r="AH37">
        <v>2.56</v>
      </c>
    </row>
    <row r="38" spans="1:34">
      <c r="A38" s="2">
        <f>HYPERLINK("https://finance.naver.com/item/coinfo.nhn?code=092780", "A092780")</f>
        <v>0</v>
      </c>
      <c r="B38">
        <f>HYPERLINK("http://comp.fnguide.com/SVO2/ASP/SVD_Consensus.asp?pGB=1&amp;gicode=A092780&amp;cID=&amp;MenuYn=Y&amp;ReportGB=&amp;NewMenuID=108&amp;stkGb=701", "동양피스톤")</f>
        <v>0</v>
      </c>
      <c r="C38">
        <v>3</v>
      </c>
      <c r="D38">
        <v>5390</v>
      </c>
      <c r="E38">
        <v>0</v>
      </c>
      <c r="F38">
        <v>6.53</v>
      </c>
      <c r="G38">
        <v>12024</v>
      </c>
      <c r="H38">
        <v>9888</v>
      </c>
      <c r="I38">
        <v>9281</v>
      </c>
      <c r="J38">
        <v>-123.08</v>
      </c>
      <c r="K38">
        <v>-83.45</v>
      </c>
      <c r="L38">
        <v>-72.18000000000001</v>
      </c>
      <c r="M38">
        <v>11.27</v>
      </c>
      <c r="N38" t="b">
        <v>1</v>
      </c>
      <c r="O38">
        <v>0</v>
      </c>
      <c r="P38">
        <v>738</v>
      </c>
      <c r="S38" t="s">
        <v>150</v>
      </c>
      <c r="T38" t="s">
        <v>471</v>
      </c>
      <c r="U38">
        <v>0</v>
      </c>
      <c r="V38">
        <v>0</v>
      </c>
      <c r="W38" t="s">
        <v>788</v>
      </c>
      <c r="X38">
        <v>2.307316731176723</v>
      </c>
      <c r="Y38">
        <v>710</v>
      </c>
      <c r="Z38">
        <v>69481</v>
      </c>
      <c r="AA38" t="s">
        <v>1105</v>
      </c>
      <c r="AB38">
        <v>55.79</v>
      </c>
      <c r="AC38" t="s">
        <v>1426</v>
      </c>
      <c r="AD38" t="s">
        <v>1747</v>
      </c>
      <c r="AE38">
        <v>3648</v>
      </c>
      <c r="AF38">
        <v>185</v>
      </c>
      <c r="AG38">
        <v>647132</v>
      </c>
      <c r="AH38">
        <v>2.49</v>
      </c>
    </row>
    <row r="39" spans="1:34">
      <c r="A39" s="2">
        <f>HYPERLINK("https://finance.naver.com/item/coinfo.nhn?code=086280", "A086280")</f>
        <v>0</v>
      </c>
      <c r="B39">
        <f>HYPERLINK("http://comp.fnguide.com/SVO2/ASP/SVD_Consensus.asp?pGB=1&amp;gicode=A086280&amp;cID=&amp;MenuYn=Y&amp;ReportGB=&amp;NewMenuID=108&amp;stkGb=701", "현대글로비스")</f>
        <v>0</v>
      </c>
      <c r="C39">
        <v>1</v>
      </c>
      <c r="D39">
        <v>185500</v>
      </c>
      <c r="E39">
        <v>-1.68</v>
      </c>
      <c r="F39">
        <v>10.68</v>
      </c>
      <c r="G39">
        <v>191308</v>
      </c>
      <c r="H39">
        <v>151137</v>
      </c>
      <c r="I39">
        <v>139720</v>
      </c>
      <c r="J39">
        <v>-3.13</v>
      </c>
      <c r="K39">
        <v>18.52</v>
      </c>
      <c r="L39">
        <v>24.68</v>
      </c>
      <c r="M39">
        <v>12.2</v>
      </c>
      <c r="N39" t="b">
        <v>0</v>
      </c>
      <c r="O39">
        <v>2</v>
      </c>
      <c r="P39">
        <v>13395</v>
      </c>
      <c r="Q39">
        <v>14885</v>
      </c>
      <c r="R39">
        <v>11.1</v>
      </c>
      <c r="S39" t="s">
        <v>256</v>
      </c>
      <c r="T39" t="s">
        <v>577</v>
      </c>
      <c r="U39">
        <v>-6.370000690007071</v>
      </c>
      <c r="V39">
        <v>60.4</v>
      </c>
      <c r="W39" t="s">
        <v>891</v>
      </c>
      <c r="X39">
        <v>16.42381886707241</v>
      </c>
      <c r="Y39">
        <v>69563</v>
      </c>
      <c r="Z39">
        <v>358624</v>
      </c>
      <c r="AA39" t="s">
        <v>1211</v>
      </c>
      <c r="AB39">
        <v>51.39</v>
      </c>
      <c r="AC39" t="s">
        <v>1532</v>
      </c>
      <c r="AD39" t="s">
        <v>1851</v>
      </c>
      <c r="AE39">
        <v>182701</v>
      </c>
      <c r="AF39">
        <v>8765</v>
      </c>
      <c r="AH39">
        <v>2.45</v>
      </c>
    </row>
    <row r="40" spans="1:34">
      <c r="A40" s="2">
        <f>HYPERLINK("https://finance.naver.com/item/coinfo.nhn?code=015710", "A015710")</f>
        <v>0</v>
      </c>
      <c r="B40">
        <f>HYPERLINK("http://comp.fnguide.com/SVO2/ASP/SVD_Consensus.asp?pGB=1&amp;gicode=A015710&amp;cID=&amp;MenuYn=Y&amp;ReportGB=&amp;NewMenuID=108&amp;stkGb=701", "코콤")</f>
        <v>0</v>
      </c>
      <c r="C40">
        <v>3</v>
      </c>
      <c r="D40">
        <v>6780</v>
      </c>
      <c r="E40">
        <v>0</v>
      </c>
      <c r="F40">
        <v>13.97</v>
      </c>
      <c r="G40">
        <v>8654</v>
      </c>
      <c r="H40">
        <v>7721</v>
      </c>
      <c r="I40">
        <v>7456</v>
      </c>
      <c r="J40">
        <v>-27.64</v>
      </c>
      <c r="K40">
        <v>-13.88</v>
      </c>
      <c r="L40">
        <v>-9.970000000000001</v>
      </c>
      <c r="M40">
        <v>9.67</v>
      </c>
      <c r="N40" t="b">
        <v>1</v>
      </c>
      <c r="O40">
        <v>0</v>
      </c>
      <c r="P40">
        <v>469</v>
      </c>
      <c r="S40" t="s">
        <v>64</v>
      </c>
      <c r="T40" t="s">
        <v>385</v>
      </c>
      <c r="U40">
        <v>0</v>
      </c>
      <c r="V40">
        <v>-22.1</v>
      </c>
      <c r="W40" t="s">
        <v>704</v>
      </c>
      <c r="X40">
        <v>-2.56416534226479</v>
      </c>
      <c r="Y40">
        <v>1189</v>
      </c>
      <c r="Z40">
        <v>123902</v>
      </c>
      <c r="AA40" t="s">
        <v>1019</v>
      </c>
      <c r="AB40">
        <v>59.2</v>
      </c>
      <c r="AC40" t="s">
        <v>1340</v>
      </c>
      <c r="AD40" t="s">
        <v>1661</v>
      </c>
      <c r="AE40">
        <v>1339</v>
      </c>
      <c r="AF40">
        <v>133</v>
      </c>
      <c r="AG40">
        <v>932563</v>
      </c>
      <c r="AH40">
        <v>2.44</v>
      </c>
    </row>
    <row r="41" spans="1:34">
      <c r="A41" s="2">
        <f>HYPERLINK("https://finance.naver.com/item/coinfo.nhn?code=056190", "A056190")</f>
        <v>0</v>
      </c>
      <c r="B41">
        <f>HYPERLINK("http://comp.fnguide.com/SVO2/ASP/SVD_Consensus.asp?pGB=1&amp;gicode=A056190&amp;cID=&amp;MenuYn=Y&amp;ReportGB=&amp;NewMenuID=108&amp;stkGb=701", "에스에프에이")</f>
        <v>0</v>
      </c>
      <c r="C41">
        <v>2</v>
      </c>
      <c r="D41">
        <v>37200</v>
      </c>
      <c r="E41">
        <v>-0.78</v>
      </c>
      <c r="F41">
        <v>12.58</v>
      </c>
      <c r="G41">
        <v>60076</v>
      </c>
      <c r="H41">
        <v>38598</v>
      </c>
      <c r="I41">
        <v>32494</v>
      </c>
      <c r="J41">
        <v>-61.5</v>
      </c>
      <c r="K41">
        <v>-3.76</v>
      </c>
      <c r="L41">
        <v>12.65</v>
      </c>
      <c r="M41">
        <v>19.57</v>
      </c>
      <c r="N41" t="b">
        <v>1</v>
      </c>
      <c r="O41">
        <v>0</v>
      </c>
      <c r="P41">
        <v>3676</v>
      </c>
      <c r="Q41">
        <v>3241</v>
      </c>
      <c r="R41">
        <v>-11.8</v>
      </c>
      <c r="S41" t="s">
        <v>212</v>
      </c>
      <c r="T41" t="s">
        <v>533</v>
      </c>
      <c r="U41">
        <v>-16.06371498300764</v>
      </c>
      <c r="V41">
        <v>-9</v>
      </c>
      <c r="W41" t="s">
        <v>849</v>
      </c>
      <c r="X41">
        <v>31.257807057462</v>
      </c>
      <c r="Y41">
        <v>13358</v>
      </c>
      <c r="Z41">
        <v>167225</v>
      </c>
      <c r="AA41" t="s">
        <v>1167</v>
      </c>
      <c r="AB41">
        <v>54.02</v>
      </c>
      <c r="AC41" t="s">
        <v>1488</v>
      </c>
      <c r="AD41" t="s">
        <v>1809</v>
      </c>
      <c r="AE41">
        <v>15777</v>
      </c>
      <c r="AF41">
        <v>2142</v>
      </c>
      <c r="AH41">
        <v>2.28</v>
      </c>
    </row>
    <row r="42" spans="1:34">
      <c r="A42" s="2">
        <f>HYPERLINK("https://finance.naver.com/item/coinfo.nhn?code=228850", "A228850")</f>
        <v>0</v>
      </c>
      <c r="B42">
        <f>HYPERLINK("http://comp.fnguide.com/SVO2/ASP/SVD_Consensus.asp?pGB=1&amp;gicode=A228850&amp;cID=&amp;MenuYn=Y&amp;ReportGB=&amp;NewMenuID=108&amp;stkGb=701", "레이언스")</f>
        <v>0</v>
      </c>
      <c r="C42">
        <v>3</v>
      </c>
      <c r="D42">
        <v>11100</v>
      </c>
      <c r="E42">
        <v>-0.83</v>
      </c>
      <c r="F42">
        <v>14.97</v>
      </c>
      <c r="G42">
        <v>12834</v>
      </c>
      <c r="H42">
        <v>12541</v>
      </c>
      <c r="I42">
        <v>12458</v>
      </c>
      <c r="J42">
        <v>-15.63</v>
      </c>
      <c r="K42">
        <v>-12.98</v>
      </c>
      <c r="L42">
        <v>-12.23</v>
      </c>
      <c r="M42">
        <v>8.25</v>
      </c>
      <c r="N42" t="b">
        <v>1</v>
      </c>
      <c r="O42">
        <v>0</v>
      </c>
      <c r="P42">
        <v>885</v>
      </c>
      <c r="Q42">
        <v>485</v>
      </c>
      <c r="R42">
        <v>-45.2</v>
      </c>
      <c r="S42" t="s">
        <v>9</v>
      </c>
      <c r="T42" t="s">
        <v>330</v>
      </c>
      <c r="U42">
        <v>-18.0315790843345</v>
      </c>
      <c r="V42">
        <v>-68.40000000000001</v>
      </c>
      <c r="W42" t="s">
        <v>651</v>
      </c>
      <c r="X42">
        <v>-24.62084267691696</v>
      </c>
      <c r="Y42">
        <v>1842</v>
      </c>
      <c r="Z42">
        <v>37715</v>
      </c>
      <c r="AA42" t="s">
        <v>964</v>
      </c>
      <c r="AB42">
        <v>64.86</v>
      </c>
      <c r="AC42" t="s">
        <v>1285</v>
      </c>
      <c r="AD42" t="s">
        <v>1606</v>
      </c>
      <c r="AE42">
        <v>1262</v>
      </c>
      <c r="AF42">
        <v>228</v>
      </c>
      <c r="AG42">
        <v>854574</v>
      </c>
      <c r="AH42">
        <v>2.26</v>
      </c>
    </row>
    <row r="43" spans="1:34">
      <c r="A43" s="2">
        <f>HYPERLINK("https://finance.naver.com/item/coinfo.nhn?code=008260", "A008260")</f>
        <v>0</v>
      </c>
      <c r="B43">
        <f>HYPERLINK("http://comp.fnguide.com/SVO2/ASP/SVD_Consensus.asp?pGB=1&amp;gicode=A008260&amp;cID=&amp;MenuYn=Y&amp;ReportGB=&amp;NewMenuID=108&amp;stkGb=701", "NI스틸")</f>
        <v>0</v>
      </c>
      <c r="C43">
        <v>3</v>
      </c>
      <c r="D43">
        <v>2670</v>
      </c>
      <c r="E43">
        <v>0</v>
      </c>
      <c r="F43">
        <v>9.85</v>
      </c>
      <c r="G43">
        <v>4034</v>
      </c>
      <c r="H43">
        <v>3940</v>
      </c>
      <c r="I43">
        <v>3913</v>
      </c>
      <c r="J43">
        <v>-51.08</v>
      </c>
      <c r="K43">
        <v>-47.56</v>
      </c>
      <c r="L43">
        <v>-46.56</v>
      </c>
      <c r="M43">
        <v>8.26</v>
      </c>
      <c r="N43" t="b">
        <v>1</v>
      </c>
      <c r="O43">
        <v>0</v>
      </c>
      <c r="P43">
        <v>224</v>
      </c>
      <c r="S43" t="s">
        <v>188</v>
      </c>
      <c r="T43" t="s">
        <v>509</v>
      </c>
      <c r="U43">
        <v>0</v>
      </c>
      <c r="V43">
        <v>19.2</v>
      </c>
      <c r="W43" t="s">
        <v>826</v>
      </c>
      <c r="X43">
        <v>1.389534495520905</v>
      </c>
      <c r="Y43">
        <v>764</v>
      </c>
      <c r="Z43">
        <v>872295</v>
      </c>
      <c r="AA43" t="s">
        <v>1143</v>
      </c>
      <c r="AB43">
        <v>59.16</v>
      </c>
      <c r="AC43" t="s">
        <v>1464</v>
      </c>
      <c r="AD43" t="s">
        <v>1785</v>
      </c>
      <c r="AE43">
        <v>1482</v>
      </c>
      <c r="AF43">
        <v>121</v>
      </c>
      <c r="AH43">
        <v>2.26</v>
      </c>
    </row>
    <row r="44" spans="1:34">
      <c r="A44" s="2">
        <f>HYPERLINK("https://finance.naver.com/item/coinfo.nhn?code=109860", "A109860")</f>
        <v>0</v>
      </c>
      <c r="B44">
        <f>HYPERLINK("http://comp.fnguide.com/SVO2/ASP/SVD_Consensus.asp?pGB=1&amp;gicode=A109860&amp;cID=&amp;MenuYn=Y&amp;ReportGB=&amp;NewMenuID=108&amp;stkGb=701", "동일금속")</f>
        <v>0</v>
      </c>
      <c r="C44">
        <v>3</v>
      </c>
      <c r="D44">
        <v>10850</v>
      </c>
      <c r="E44">
        <v>0</v>
      </c>
      <c r="F44">
        <v>5.62</v>
      </c>
      <c r="G44">
        <v>24904</v>
      </c>
      <c r="H44">
        <v>21529</v>
      </c>
      <c r="I44">
        <v>20570</v>
      </c>
      <c r="J44">
        <v>-129.53</v>
      </c>
      <c r="K44">
        <v>-98.42</v>
      </c>
      <c r="L44">
        <v>-89.58</v>
      </c>
      <c r="M44">
        <v>10.25</v>
      </c>
      <c r="N44" t="b">
        <v>1</v>
      </c>
      <c r="O44">
        <v>0</v>
      </c>
      <c r="P44">
        <v>2226</v>
      </c>
      <c r="S44" t="s">
        <v>7</v>
      </c>
      <c r="T44" t="s">
        <v>328</v>
      </c>
      <c r="U44">
        <v>0</v>
      </c>
      <c r="V44">
        <v>-57.9</v>
      </c>
      <c r="W44" t="s">
        <v>649</v>
      </c>
      <c r="X44">
        <v>-3.573424730193897</v>
      </c>
      <c r="Y44">
        <v>760</v>
      </c>
      <c r="Z44">
        <v>5639</v>
      </c>
      <c r="AA44" t="s">
        <v>962</v>
      </c>
      <c r="AB44">
        <v>57.72</v>
      </c>
      <c r="AC44" t="s">
        <v>1283</v>
      </c>
      <c r="AD44" t="s">
        <v>1604</v>
      </c>
      <c r="AE44">
        <v>866</v>
      </c>
      <c r="AF44">
        <v>126</v>
      </c>
      <c r="AG44">
        <v>563000</v>
      </c>
      <c r="AH44">
        <v>2.24</v>
      </c>
    </row>
    <row r="45" spans="1:34">
      <c r="A45" s="2">
        <f>HYPERLINK("https://finance.naver.com/item/coinfo.nhn?code=134380", "A134380")</f>
        <v>0</v>
      </c>
      <c r="B45">
        <f>HYPERLINK("http://comp.fnguide.com/SVO2/ASP/SVD_Consensus.asp?pGB=1&amp;gicode=A134380&amp;cID=&amp;MenuYn=Y&amp;ReportGB=&amp;NewMenuID=108&amp;stkGb=701", "미원화학")</f>
        <v>0</v>
      </c>
      <c r="C45">
        <v>2</v>
      </c>
      <c r="D45">
        <v>60900</v>
      </c>
      <c r="E45">
        <v>0</v>
      </c>
      <c r="F45">
        <v>7.23</v>
      </c>
      <c r="G45">
        <v>79253</v>
      </c>
      <c r="H45">
        <v>61838</v>
      </c>
      <c r="I45">
        <v>56888</v>
      </c>
      <c r="J45">
        <v>-30.14</v>
      </c>
      <c r="K45">
        <v>-1.54</v>
      </c>
      <c r="L45">
        <v>6.59</v>
      </c>
      <c r="M45">
        <v>12.51</v>
      </c>
      <c r="N45" t="b">
        <v>1</v>
      </c>
      <c r="O45">
        <v>0</v>
      </c>
      <c r="P45">
        <v>6167</v>
      </c>
      <c r="S45" t="s">
        <v>225</v>
      </c>
      <c r="T45" t="s">
        <v>546</v>
      </c>
      <c r="U45">
        <v>0</v>
      </c>
      <c r="V45">
        <v>14.7</v>
      </c>
      <c r="W45" t="s">
        <v>862</v>
      </c>
      <c r="X45">
        <v>7.136352270952129</v>
      </c>
      <c r="Y45">
        <v>1339</v>
      </c>
      <c r="Z45">
        <v>2253</v>
      </c>
      <c r="AA45" t="s">
        <v>1180</v>
      </c>
      <c r="AB45">
        <v>54.91</v>
      </c>
      <c r="AC45" t="s">
        <v>1501</v>
      </c>
      <c r="AD45" t="s">
        <v>1821</v>
      </c>
      <c r="AE45">
        <v>1547</v>
      </c>
      <c r="AF45">
        <v>155</v>
      </c>
      <c r="AG45">
        <v>169768</v>
      </c>
      <c r="AH45">
        <v>2.24</v>
      </c>
    </row>
    <row r="46" spans="1:34">
      <c r="A46" s="2">
        <f>HYPERLINK("https://finance.naver.com/item/coinfo.nhn?code=032190", "A032190")</f>
        <v>0</v>
      </c>
      <c r="B46">
        <f>HYPERLINK("http://comp.fnguide.com/SVO2/ASP/SVD_Consensus.asp?pGB=1&amp;gicode=A032190&amp;cID=&amp;MenuYn=Y&amp;ReportGB=&amp;NewMenuID=108&amp;stkGb=701", "다우데이타")</f>
        <v>0</v>
      </c>
      <c r="C46">
        <v>3</v>
      </c>
      <c r="D46">
        <v>12750</v>
      </c>
      <c r="E46">
        <v>0</v>
      </c>
      <c r="F46">
        <v>4.66</v>
      </c>
      <c r="G46">
        <v>20573</v>
      </c>
      <c r="H46">
        <v>17753</v>
      </c>
      <c r="I46">
        <v>16951</v>
      </c>
      <c r="J46">
        <v>-61.36</v>
      </c>
      <c r="K46">
        <v>-39.24</v>
      </c>
      <c r="L46">
        <v>-32.95</v>
      </c>
      <c r="M46">
        <v>10.28</v>
      </c>
      <c r="N46" t="b">
        <v>1</v>
      </c>
      <c r="O46">
        <v>0</v>
      </c>
      <c r="P46">
        <v>1782</v>
      </c>
      <c r="S46" t="s">
        <v>31</v>
      </c>
      <c r="T46" t="s">
        <v>352</v>
      </c>
      <c r="U46">
        <v>0</v>
      </c>
      <c r="V46">
        <v>79.2</v>
      </c>
      <c r="W46" t="s">
        <v>673</v>
      </c>
      <c r="X46">
        <v>5.600826566742323</v>
      </c>
      <c r="Y46">
        <v>4883</v>
      </c>
      <c r="Z46">
        <v>164774</v>
      </c>
      <c r="AA46" t="s">
        <v>986</v>
      </c>
      <c r="AB46">
        <v>67.34999999999999</v>
      </c>
      <c r="AC46" t="s">
        <v>1307</v>
      </c>
      <c r="AD46" t="s">
        <v>1628</v>
      </c>
      <c r="AE46">
        <v>36056</v>
      </c>
      <c r="AF46">
        <v>5590</v>
      </c>
      <c r="AH46">
        <v>2.17</v>
      </c>
    </row>
    <row r="47" spans="1:34">
      <c r="A47" s="2">
        <f>HYPERLINK("https://finance.naver.com/item/coinfo.nhn?code=010780", "A010780")</f>
        <v>0</v>
      </c>
      <c r="B47">
        <f>HYPERLINK("http://comp.fnguide.com/SVO2/ASP/SVD_Consensus.asp?pGB=1&amp;gicode=A010780&amp;cID=&amp;MenuYn=Y&amp;ReportGB=&amp;NewMenuID=108&amp;stkGb=701", "아이에스동서")</f>
        <v>0</v>
      </c>
      <c r="C47">
        <v>1</v>
      </c>
      <c r="D47">
        <v>47900</v>
      </c>
      <c r="E47">
        <v>-1.16</v>
      </c>
      <c r="F47">
        <v>15.41</v>
      </c>
      <c r="G47">
        <v>63753</v>
      </c>
      <c r="H47">
        <v>47100</v>
      </c>
      <c r="I47">
        <v>42368</v>
      </c>
      <c r="J47">
        <v>-33.1</v>
      </c>
      <c r="K47">
        <v>1.67</v>
      </c>
      <c r="L47">
        <v>11.55</v>
      </c>
      <c r="M47">
        <v>14.03</v>
      </c>
      <c r="N47" t="b">
        <v>1</v>
      </c>
      <c r="O47">
        <v>1</v>
      </c>
      <c r="P47">
        <v>2138</v>
      </c>
      <c r="Q47">
        <v>4136</v>
      </c>
      <c r="R47">
        <v>93.5</v>
      </c>
      <c r="S47" t="s">
        <v>243</v>
      </c>
      <c r="T47" t="s">
        <v>564</v>
      </c>
      <c r="U47">
        <v>-13.23211894862652</v>
      </c>
      <c r="V47">
        <v>126.3</v>
      </c>
      <c r="W47" t="s">
        <v>880</v>
      </c>
      <c r="X47">
        <v>5.323044183168046</v>
      </c>
      <c r="Y47">
        <v>14798</v>
      </c>
      <c r="Z47">
        <v>197931</v>
      </c>
      <c r="AA47" t="s">
        <v>1198</v>
      </c>
      <c r="AB47">
        <v>54.69</v>
      </c>
      <c r="AC47" t="s">
        <v>1519</v>
      </c>
      <c r="AD47" t="s">
        <v>1838</v>
      </c>
      <c r="AE47">
        <v>9641</v>
      </c>
      <c r="AF47">
        <v>662</v>
      </c>
      <c r="AG47">
        <v>447941</v>
      </c>
      <c r="AH47">
        <v>2.12</v>
      </c>
    </row>
    <row r="48" spans="1:34">
      <c r="A48" s="2">
        <f>HYPERLINK("https://finance.naver.com/item/coinfo.nhn?code=005710", "A005710")</f>
        <v>0</v>
      </c>
      <c r="B48">
        <f>HYPERLINK("http://comp.fnguide.com/SVO2/ASP/SVD_Consensus.asp?pGB=1&amp;gicode=A005710&amp;cID=&amp;MenuYn=Y&amp;ReportGB=&amp;NewMenuID=108&amp;stkGb=701", "대원산업")</f>
        <v>0</v>
      </c>
      <c r="C48">
        <v>3</v>
      </c>
      <c r="D48">
        <v>5580</v>
      </c>
      <c r="E48">
        <v>0</v>
      </c>
      <c r="F48">
        <v>3.04</v>
      </c>
      <c r="G48">
        <v>24665</v>
      </c>
      <c r="H48">
        <v>19175</v>
      </c>
      <c r="I48">
        <v>17615</v>
      </c>
      <c r="J48">
        <v>-342.02</v>
      </c>
      <c r="K48">
        <v>-243.64</v>
      </c>
      <c r="L48">
        <v>-215.68</v>
      </c>
      <c r="M48">
        <v>12.6</v>
      </c>
      <c r="N48" t="b">
        <v>1</v>
      </c>
      <c r="O48">
        <v>0</v>
      </c>
      <c r="P48">
        <v>1950</v>
      </c>
      <c r="S48" t="s">
        <v>28</v>
      </c>
      <c r="T48" t="s">
        <v>349</v>
      </c>
      <c r="U48">
        <v>0</v>
      </c>
      <c r="V48">
        <v>0</v>
      </c>
      <c r="W48" t="s">
        <v>670</v>
      </c>
      <c r="X48">
        <v>57.31239633791885</v>
      </c>
      <c r="Y48">
        <v>1118</v>
      </c>
      <c r="Z48">
        <v>5839</v>
      </c>
      <c r="AA48" t="s">
        <v>983</v>
      </c>
      <c r="AB48">
        <v>61.55</v>
      </c>
      <c r="AC48" t="s">
        <v>1304</v>
      </c>
      <c r="AD48" t="s">
        <v>1625</v>
      </c>
      <c r="AE48">
        <v>6610</v>
      </c>
      <c r="AF48">
        <v>263</v>
      </c>
      <c r="AH48">
        <v>2.11</v>
      </c>
    </row>
    <row r="49" spans="1:34">
      <c r="A49" s="2">
        <f>HYPERLINK("https://finance.naver.com/item/coinfo.nhn?code=043370", "A043370")</f>
        <v>0</v>
      </c>
      <c r="B49">
        <f>HYPERLINK("http://comp.fnguide.com/SVO2/ASP/SVD_Consensus.asp?pGB=1&amp;gicode=A043370&amp;cID=&amp;MenuYn=Y&amp;ReportGB=&amp;NewMenuID=108&amp;stkGb=701", "평화정공")</f>
        <v>0</v>
      </c>
      <c r="C49">
        <v>3</v>
      </c>
      <c r="D49">
        <v>8150</v>
      </c>
      <c r="E49">
        <v>-0.12</v>
      </c>
      <c r="F49">
        <v>5.73</v>
      </c>
      <c r="G49">
        <v>28926</v>
      </c>
      <c r="H49">
        <v>28412</v>
      </c>
      <c r="I49">
        <v>28266</v>
      </c>
      <c r="J49">
        <v>-254.92</v>
      </c>
      <c r="K49">
        <v>-248.62</v>
      </c>
      <c r="L49">
        <v>-246.82</v>
      </c>
      <c r="M49">
        <v>8.18</v>
      </c>
      <c r="N49" t="b">
        <v>1</v>
      </c>
      <c r="O49">
        <v>0</v>
      </c>
      <c r="P49">
        <v>1506</v>
      </c>
      <c r="Q49">
        <v>486</v>
      </c>
      <c r="R49">
        <v>-67.7</v>
      </c>
      <c r="S49" t="s">
        <v>74</v>
      </c>
      <c r="T49" t="s">
        <v>395</v>
      </c>
      <c r="U49">
        <v>-48.43804483954954</v>
      </c>
      <c r="V49">
        <v>-87.90000000000001</v>
      </c>
      <c r="W49" t="s">
        <v>713</v>
      </c>
      <c r="X49">
        <v>-12.27419855721225</v>
      </c>
      <c r="Y49">
        <v>1712</v>
      </c>
      <c r="Z49">
        <v>99171</v>
      </c>
      <c r="AA49" t="s">
        <v>1029</v>
      </c>
      <c r="AB49">
        <v>54.63</v>
      </c>
      <c r="AC49" t="s">
        <v>1350</v>
      </c>
      <c r="AD49" t="s">
        <v>1671</v>
      </c>
      <c r="AE49">
        <v>10884</v>
      </c>
      <c r="AF49">
        <v>156</v>
      </c>
      <c r="AG49">
        <v>463438</v>
      </c>
      <c r="AH49">
        <v>2.09</v>
      </c>
    </row>
    <row r="50" spans="1:34">
      <c r="A50" s="2">
        <f>HYPERLINK("https://finance.naver.com/item/coinfo.nhn?code=307930", "A307930")</f>
        <v>0</v>
      </c>
      <c r="B50">
        <f>HYPERLINK("http://comp.fnguide.com/SVO2/ASP/SVD_Consensus.asp?pGB=1&amp;gicode=A307930&amp;cID=&amp;MenuYn=Y&amp;ReportGB=&amp;NewMenuID=108&amp;stkGb=701", "컴퍼니케이")</f>
        <v>0</v>
      </c>
      <c r="C50">
        <v>1</v>
      </c>
      <c r="D50">
        <v>6860</v>
      </c>
      <c r="E50">
        <v>0</v>
      </c>
      <c r="F50">
        <v>12.85</v>
      </c>
      <c r="G50">
        <v>8241</v>
      </c>
      <c r="H50">
        <v>5256</v>
      </c>
      <c r="I50">
        <v>4408</v>
      </c>
      <c r="J50">
        <v>-20.13</v>
      </c>
      <c r="K50">
        <v>23.38</v>
      </c>
      <c r="L50">
        <v>35.75</v>
      </c>
      <c r="M50">
        <v>19.95</v>
      </c>
      <c r="N50" t="b">
        <v>1</v>
      </c>
      <c r="O50">
        <v>0</v>
      </c>
      <c r="P50">
        <v>605</v>
      </c>
      <c r="S50" t="s">
        <v>249</v>
      </c>
      <c r="T50" t="s">
        <v>570</v>
      </c>
      <c r="U50">
        <v>0</v>
      </c>
      <c r="W50" t="s">
        <v>657</v>
      </c>
      <c r="X50">
        <v>-8.343042120225707</v>
      </c>
      <c r="Y50">
        <v>1071</v>
      </c>
      <c r="Z50">
        <v>115434</v>
      </c>
      <c r="AA50" t="s">
        <v>1204</v>
      </c>
      <c r="AB50">
        <v>73.61</v>
      </c>
      <c r="AC50" t="s">
        <v>1525</v>
      </c>
      <c r="AD50" t="s">
        <v>1844</v>
      </c>
      <c r="AE50">
        <v>169</v>
      </c>
      <c r="AF50">
        <v>108</v>
      </c>
      <c r="AH50">
        <v>2.06</v>
      </c>
    </row>
    <row r="51" spans="1:34">
      <c r="A51" s="2">
        <f>HYPERLINK("https://finance.naver.com/item/coinfo.nhn?code=293480", "A293480")</f>
        <v>0</v>
      </c>
      <c r="B51">
        <f>HYPERLINK("http://comp.fnguide.com/SVO2/ASP/SVD_Consensus.asp?pGB=1&amp;gicode=A293480&amp;cID=&amp;MenuYn=Y&amp;ReportGB=&amp;NewMenuID=108&amp;stkGb=701", "하나제약")</f>
        <v>0</v>
      </c>
      <c r="C51">
        <v>1</v>
      </c>
      <c r="D51">
        <v>24850</v>
      </c>
      <c r="E51">
        <v>0</v>
      </c>
      <c r="F51">
        <v>12.91</v>
      </c>
      <c r="G51">
        <v>32953</v>
      </c>
      <c r="H51">
        <v>21553</v>
      </c>
      <c r="I51">
        <v>18313</v>
      </c>
      <c r="J51">
        <v>-32.61</v>
      </c>
      <c r="K51">
        <v>13.27</v>
      </c>
      <c r="L51">
        <v>26.31</v>
      </c>
      <c r="M51">
        <v>18.68</v>
      </c>
      <c r="N51" t="b">
        <v>1</v>
      </c>
      <c r="O51">
        <v>0</v>
      </c>
      <c r="P51">
        <v>1747</v>
      </c>
      <c r="S51" t="s">
        <v>296</v>
      </c>
      <c r="T51" t="s">
        <v>617</v>
      </c>
      <c r="U51">
        <v>0</v>
      </c>
      <c r="V51">
        <v>-11</v>
      </c>
      <c r="W51" t="s">
        <v>930</v>
      </c>
      <c r="X51">
        <v>-8.824579080226002</v>
      </c>
      <c r="Y51">
        <v>4026</v>
      </c>
      <c r="Z51">
        <v>101574</v>
      </c>
      <c r="AA51" t="s">
        <v>1251</v>
      </c>
      <c r="AB51">
        <v>58.69</v>
      </c>
      <c r="AC51" t="s">
        <v>1572</v>
      </c>
      <c r="AD51" t="s">
        <v>1890</v>
      </c>
      <c r="AE51">
        <v>1663</v>
      </c>
      <c r="AF51">
        <v>336</v>
      </c>
      <c r="AG51">
        <v>470540</v>
      </c>
      <c r="AH51">
        <v>2.04</v>
      </c>
    </row>
    <row r="52" spans="1:34">
      <c r="A52" s="2">
        <f>HYPERLINK("https://finance.naver.com/item/coinfo.nhn?code=009160", "A009160")</f>
        <v>0</v>
      </c>
      <c r="B52">
        <f>HYPERLINK("http://comp.fnguide.com/SVO2/ASP/SVD_Consensus.asp?pGB=1&amp;gicode=A009160&amp;cID=&amp;MenuYn=Y&amp;ReportGB=&amp;NewMenuID=108&amp;stkGb=701", "SIMPAC")</f>
        <v>0</v>
      </c>
      <c r="C52">
        <v>3</v>
      </c>
      <c r="D52">
        <v>2485</v>
      </c>
      <c r="E52">
        <v>0</v>
      </c>
      <c r="F52">
        <v>20.31</v>
      </c>
      <c r="G52">
        <v>8511</v>
      </c>
      <c r="H52">
        <v>8008</v>
      </c>
      <c r="I52">
        <v>7865</v>
      </c>
      <c r="J52">
        <v>-242.49</v>
      </c>
      <c r="K52">
        <v>-222.25</v>
      </c>
      <c r="L52">
        <v>-216.5</v>
      </c>
      <c r="M52">
        <v>8.800000000000001</v>
      </c>
      <c r="N52" t="b">
        <v>1</v>
      </c>
      <c r="O52">
        <v>0</v>
      </c>
      <c r="P52">
        <v>145</v>
      </c>
      <c r="S52" t="s">
        <v>197</v>
      </c>
      <c r="T52" t="s">
        <v>518</v>
      </c>
      <c r="U52">
        <v>0</v>
      </c>
      <c r="V52">
        <v>-46.8</v>
      </c>
      <c r="W52" t="s">
        <v>834</v>
      </c>
      <c r="X52">
        <v>-32.86256593518265</v>
      </c>
      <c r="Y52">
        <v>1626</v>
      </c>
      <c r="Z52">
        <v>43289</v>
      </c>
      <c r="AA52" t="s">
        <v>1152</v>
      </c>
      <c r="AB52">
        <v>60.01</v>
      </c>
      <c r="AC52" t="s">
        <v>1473</v>
      </c>
      <c r="AD52" t="s">
        <v>1794</v>
      </c>
      <c r="AE52">
        <v>4301</v>
      </c>
      <c r="AF52">
        <v>111</v>
      </c>
      <c r="AG52">
        <v>7943224</v>
      </c>
      <c r="AH52">
        <v>2.04</v>
      </c>
    </row>
    <row r="53" spans="1:34">
      <c r="A53" s="2">
        <f>HYPERLINK("https://finance.naver.com/item/coinfo.nhn?code=001880", "A001880")</f>
        <v>0</v>
      </c>
      <c r="B53">
        <f>HYPERLINK("http://comp.fnguide.com/SVO2/ASP/SVD_Consensus.asp?pGB=1&amp;gicode=A001880&amp;cID=&amp;MenuYn=Y&amp;ReportGB=&amp;NewMenuID=108&amp;stkGb=701", "대림건설")</f>
        <v>0</v>
      </c>
      <c r="C53">
        <v>2</v>
      </c>
      <c r="D53">
        <v>29750</v>
      </c>
      <c r="E53">
        <v>0</v>
      </c>
      <c r="F53">
        <v>3.17</v>
      </c>
      <c r="G53">
        <v>56107</v>
      </c>
      <c r="H53">
        <v>34839</v>
      </c>
      <c r="I53">
        <v>28795</v>
      </c>
      <c r="J53">
        <v>-88.59999999999999</v>
      </c>
      <c r="K53">
        <v>-17.11</v>
      </c>
      <c r="L53">
        <v>3.21</v>
      </c>
      <c r="M53">
        <v>21.46</v>
      </c>
      <c r="N53" t="b">
        <v>1</v>
      </c>
      <c r="O53">
        <v>0</v>
      </c>
      <c r="P53">
        <v>6265</v>
      </c>
      <c r="S53" t="s">
        <v>203</v>
      </c>
      <c r="T53" t="s">
        <v>524</v>
      </c>
      <c r="U53">
        <v>0</v>
      </c>
      <c r="V53">
        <v>22.6</v>
      </c>
      <c r="W53" t="s">
        <v>840</v>
      </c>
      <c r="X53">
        <v>23.81705294524519</v>
      </c>
      <c r="Y53">
        <v>6561</v>
      </c>
      <c r="Z53">
        <v>208878</v>
      </c>
      <c r="AA53" t="s">
        <v>1158</v>
      </c>
      <c r="AB53">
        <v>66.36</v>
      </c>
      <c r="AC53" t="s">
        <v>1479</v>
      </c>
      <c r="AD53" t="s">
        <v>1800</v>
      </c>
      <c r="AE53">
        <v>12799</v>
      </c>
      <c r="AF53">
        <v>1430</v>
      </c>
      <c r="AG53">
        <v>371</v>
      </c>
      <c r="AH53">
        <v>2.02</v>
      </c>
    </row>
    <row r="54" spans="1:34">
      <c r="A54" s="2">
        <f>HYPERLINK("https://finance.naver.com/item/coinfo.nhn?code=002310", "A002310")</f>
        <v>0</v>
      </c>
      <c r="B54">
        <f>HYPERLINK("http://comp.fnguide.com/SVO2/ASP/SVD_Consensus.asp?pGB=1&amp;gicode=A002310&amp;cID=&amp;MenuYn=Y&amp;ReportGB=&amp;NewMenuID=108&amp;stkGb=701", "아세아제지")</f>
        <v>0</v>
      </c>
      <c r="C54">
        <v>3</v>
      </c>
      <c r="D54">
        <v>38600</v>
      </c>
      <c r="E54">
        <v>0</v>
      </c>
      <c r="F54">
        <v>4.37</v>
      </c>
      <c r="G54">
        <v>90088</v>
      </c>
      <c r="H54">
        <v>75177</v>
      </c>
      <c r="I54">
        <v>70939</v>
      </c>
      <c r="J54">
        <v>-133.39</v>
      </c>
      <c r="K54">
        <v>-94.76000000000001</v>
      </c>
      <c r="L54">
        <v>-83.78</v>
      </c>
      <c r="M54">
        <v>10.95</v>
      </c>
      <c r="N54" t="b">
        <v>1</v>
      </c>
      <c r="O54">
        <v>0</v>
      </c>
      <c r="P54">
        <v>6860</v>
      </c>
      <c r="S54" t="s">
        <v>191</v>
      </c>
      <c r="T54" t="s">
        <v>512</v>
      </c>
      <c r="U54">
        <v>0</v>
      </c>
      <c r="V54">
        <v>-29.4</v>
      </c>
      <c r="W54" t="s">
        <v>829</v>
      </c>
      <c r="X54">
        <v>20.24422735583917</v>
      </c>
      <c r="Y54">
        <v>3457</v>
      </c>
      <c r="Z54">
        <v>81263</v>
      </c>
      <c r="AA54" t="s">
        <v>1146</v>
      </c>
      <c r="AB54">
        <v>50.07</v>
      </c>
      <c r="AC54" t="s">
        <v>1467</v>
      </c>
      <c r="AD54" t="s">
        <v>1788</v>
      </c>
      <c r="AE54">
        <v>6977</v>
      </c>
      <c r="AF54">
        <v>711</v>
      </c>
      <c r="AH54">
        <v>2</v>
      </c>
    </row>
    <row r="55" spans="1:34">
      <c r="A55" s="2">
        <f>HYPERLINK("https://finance.naver.com/item/coinfo.nhn?code=089600", "A089600")</f>
        <v>0</v>
      </c>
      <c r="B55">
        <f>HYPERLINK("http://comp.fnguide.com/SVO2/ASP/SVD_Consensus.asp?pGB=1&amp;gicode=A089600&amp;cID=&amp;MenuYn=Y&amp;ReportGB=&amp;NewMenuID=108&amp;stkGb=701", "나스미디어")</f>
        <v>0</v>
      </c>
      <c r="C55">
        <v>1</v>
      </c>
      <c r="D55">
        <v>29800</v>
      </c>
      <c r="E55">
        <v>-2.46</v>
      </c>
      <c r="F55">
        <v>14.16</v>
      </c>
      <c r="G55">
        <v>34176</v>
      </c>
      <c r="H55">
        <v>23627</v>
      </c>
      <c r="I55">
        <v>20629</v>
      </c>
      <c r="J55">
        <v>-14.69</v>
      </c>
      <c r="K55">
        <v>20.72</v>
      </c>
      <c r="L55">
        <v>30.78</v>
      </c>
      <c r="M55">
        <v>16.3</v>
      </c>
      <c r="N55" t="b">
        <v>0</v>
      </c>
      <c r="O55">
        <v>0</v>
      </c>
      <c r="P55">
        <v>2355</v>
      </c>
      <c r="Q55">
        <v>2347</v>
      </c>
      <c r="R55">
        <v>-0.3</v>
      </c>
      <c r="S55" t="s">
        <v>239</v>
      </c>
      <c r="T55" t="s">
        <v>560</v>
      </c>
      <c r="U55">
        <v>-5.766759236537822</v>
      </c>
      <c r="V55">
        <v>6.9</v>
      </c>
      <c r="W55" t="s">
        <v>876</v>
      </c>
      <c r="X55">
        <v>15.91473887604671</v>
      </c>
      <c r="Y55">
        <v>2609</v>
      </c>
      <c r="Z55">
        <v>20818</v>
      </c>
      <c r="AA55" t="s">
        <v>1194</v>
      </c>
      <c r="AB55">
        <v>59.59</v>
      </c>
      <c r="AC55" t="s">
        <v>1515</v>
      </c>
      <c r="AD55" t="s">
        <v>1835</v>
      </c>
      <c r="AE55">
        <v>1170</v>
      </c>
      <c r="AF55">
        <v>306</v>
      </c>
      <c r="AG55">
        <v>252500</v>
      </c>
      <c r="AH55">
        <v>1.98</v>
      </c>
    </row>
    <row r="56" spans="1:34">
      <c r="A56" s="2">
        <f>HYPERLINK("https://finance.naver.com/item/coinfo.nhn?code=027410", "A027410")</f>
        <v>0</v>
      </c>
      <c r="B56">
        <f>HYPERLINK("http://comp.fnguide.com/SVO2/ASP/SVD_Consensus.asp?pGB=1&amp;gicode=A027410&amp;cID=&amp;MenuYn=Y&amp;ReportGB=&amp;NewMenuID=108&amp;stkGb=701", "BGF")</f>
        <v>0</v>
      </c>
      <c r="C56">
        <v>3</v>
      </c>
      <c r="D56">
        <v>4320</v>
      </c>
      <c r="E56">
        <v>-0.24</v>
      </c>
      <c r="F56">
        <v>19.91</v>
      </c>
      <c r="G56">
        <v>145885</v>
      </c>
      <c r="H56">
        <v>67556</v>
      </c>
      <c r="I56">
        <v>45297</v>
      </c>
      <c r="J56">
        <v>-3276.96</v>
      </c>
      <c r="K56">
        <v>-1463.8</v>
      </c>
      <c r="L56">
        <v>-948.53</v>
      </c>
      <c r="M56">
        <v>73.78</v>
      </c>
      <c r="N56" t="b">
        <v>0</v>
      </c>
      <c r="O56">
        <v>0</v>
      </c>
      <c r="P56">
        <v>281</v>
      </c>
      <c r="Q56">
        <v>272</v>
      </c>
      <c r="R56">
        <v>-3.2</v>
      </c>
      <c r="S56" t="s">
        <v>2</v>
      </c>
      <c r="T56" t="s">
        <v>323</v>
      </c>
      <c r="U56">
        <v>-84.42379256981964</v>
      </c>
      <c r="V56">
        <v>-5.5</v>
      </c>
      <c r="W56" t="s">
        <v>644</v>
      </c>
      <c r="X56">
        <v>-38.21260482142083</v>
      </c>
      <c r="Y56">
        <v>4135</v>
      </c>
      <c r="Z56">
        <v>202976</v>
      </c>
      <c r="AA56" t="s">
        <v>957</v>
      </c>
      <c r="AB56">
        <v>69.70999999999999</v>
      </c>
      <c r="AC56" t="s">
        <v>1278</v>
      </c>
      <c r="AD56" t="s">
        <v>1599</v>
      </c>
      <c r="AE56">
        <v>2403</v>
      </c>
      <c r="AF56">
        <v>294</v>
      </c>
      <c r="AG56">
        <v>8024</v>
      </c>
      <c r="AH56">
        <v>1.96</v>
      </c>
    </row>
    <row r="57" spans="1:34">
      <c r="A57" s="2">
        <f>HYPERLINK("https://finance.naver.com/item/coinfo.nhn?code=036670", "A036670")</f>
        <v>0</v>
      </c>
      <c r="B57">
        <f>HYPERLINK("http://comp.fnguide.com/SVO2/ASP/SVD_Consensus.asp?pGB=1&amp;gicode=A036670&amp;cID=&amp;MenuYn=Y&amp;ReportGB=&amp;NewMenuID=108&amp;stkGb=701", "KCI")</f>
        <v>0</v>
      </c>
      <c r="C57">
        <v>1</v>
      </c>
      <c r="D57">
        <v>10050</v>
      </c>
      <c r="E57">
        <v>0</v>
      </c>
      <c r="F57">
        <v>10.71</v>
      </c>
      <c r="G57">
        <v>12602</v>
      </c>
      <c r="H57">
        <v>8660</v>
      </c>
      <c r="I57">
        <v>7540</v>
      </c>
      <c r="J57">
        <v>-25.39</v>
      </c>
      <c r="K57">
        <v>13.83</v>
      </c>
      <c r="L57">
        <v>24.98</v>
      </c>
      <c r="M57">
        <v>16.54</v>
      </c>
      <c r="N57" t="b">
        <v>1</v>
      </c>
      <c r="O57">
        <v>0</v>
      </c>
      <c r="P57">
        <v>1013</v>
      </c>
      <c r="S57" t="s">
        <v>266</v>
      </c>
      <c r="T57" t="s">
        <v>587</v>
      </c>
      <c r="U57">
        <v>0</v>
      </c>
      <c r="V57">
        <v>8.800000000000001</v>
      </c>
      <c r="W57" t="s">
        <v>901</v>
      </c>
      <c r="X57">
        <v>17.88612050714651</v>
      </c>
      <c r="Y57">
        <v>1133</v>
      </c>
      <c r="Z57">
        <v>42371</v>
      </c>
      <c r="AA57" t="s">
        <v>1221</v>
      </c>
      <c r="AB57">
        <v>50.02</v>
      </c>
      <c r="AC57" t="s">
        <v>1542</v>
      </c>
      <c r="AD57" t="s">
        <v>1861</v>
      </c>
      <c r="AE57">
        <v>696</v>
      </c>
      <c r="AF57">
        <v>145</v>
      </c>
      <c r="AG57">
        <v>509800</v>
      </c>
      <c r="AH57">
        <v>1.84</v>
      </c>
    </row>
    <row r="58" spans="1:34">
      <c r="A58" s="2">
        <f>HYPERLINK("https://finance.naver.com/item/coinfo.nhn?code=120030", "A120030")</f>
        <v>0</v>
      </c>
      <c r="B58">
        <f>HYPERLINK("http://comp.fnguide.com/SVO2/ASP/SVD_Consensus.asp?pGB=1&amp;gicode=A120030&amp;cID=&amp;MenuYn=Y&amp;ReportGB=&amp;NewMenuID=108&amp;stkGb=701", "조선선재")</f>
        <v>0</v>
      </c>
      <c r="C58">
        <v>3</v>
      </c>
      <c r="D58">
        <v>105000</v>
      </c>
      <c r="E58">
        <v>0</v>
      </c>
      <c r="F58">
        <v>8.109999999999999</v>
      </c>
      <c r="G58">
        <v>169173</v>
      </c>
      <c r="H58">
        <v>131073</v>
      </c>
      <c r="I58">
        <v>120246</v>
      </c>
      <c r="J58">
        <v>-61.12</v>
      </c>
      <c r="K58">
        <v>-24.83</v>
      </c>
      <c r="L58">
        <v>-14.52</v>
      </c>
      <c r="M58">
        <v>12.69</v>
      </c>
      <c r="N58" t="b">
        <v>1</v>
      </c>
      <c r="O58">
        <v>0</v>
      </c>
      <c r="P58">
        <v>10187</v>
      </c>
      <c r="S58" t="s">
        <v>168</v>
      </c>
      <c r="T58" t="s">
        <v>489</v>
      </c>
      <c r="U58">
        <v>0</v>
      </c>
      <c r="V58">
        <v>-12.9</v>
      </c>
      <c r="W58" t="s">
        <v>806</v>
      </c>
      <c r="X58">
        <v>-5.176120342330337</v>
      </c>
      <c r="Y58">
        <v>1321</v>
      </c>
      <c r="Z58">
        <v>3401</v>
      </c>
      <c r="AA58" t="s">
        <v>1123</v>
      </c>
      <c r="AB58">
        <v>51.84</v>
      </c>
      <c r="AC58" t="s">
        <v>1444</v>
      </c>
      <c r="AD58" t="s">
        <v>1765</v>
      </c>
      <c r="AE58">
        <v>640</v>
      </c>
      <c r="AF58">
        <v>141</v>
      </c>
      <c r="AG58">
        <v>213717</v>
      </c>
      <c r="AH58">
        <v>1.82</v>
      </c>
    </row>
    <row r="59" spans="1:34">
      <c r="A59" s="2">
        <f>HYPERLINK("https://finance.naver.com/item/coinfo.nhn?code=251970", "A251970")</f>
        <v>0</v>
      </c>
      <c r="B59">
        <f>HYPERLINK("http://comp.fnguide.com/SVO2/ASP/SVD_Consensus.asp?pGB=1&amp;gicode=A251970&amp;cID=&amp;MenuYn=Y&amp;ReportGB=&amp;NewMenuID=108&amp;stkGb=701", "펌텍코리아")</f>
        <v>0</v>
      </c>
      <c r="C59">
        <v>3</v>
      </c>
      <c r="D59">
        <v>14700</v>
      </c>
      <c r="E59">
        <v>0</v>
      </c>
      <c r="F59">
        <v>11.08</v>
      </c>
      <c r="G59">
        <v>35579</v>
      </c>
      <c r="H59">
        <v>21345</v>
      </c>
      <c r="I59">
        <v>17300</v>
      </c>
      <c r="J59">
        <v>-142.04</v>
      </c>
      <c r="K59">
        <v>-45.2</v>
      </c>
      <c r="L59">
        <v>-17.69</v>
      </c>
      <c r="M59">
        <v>23.7</v>
      </c>
      <c r="N59" t="b">
        <v>1</v>
      </c>
      <c r="O59">
        <v>0</v>
      </c>
      <c r="P59">
        <v>1661</v>
      </c>
      <c r="S59" t="s">
        <v>73</v>
      </c>
      <c r="T59" t="s">
        <v>394</v>
      </c>
      <c r="U59">
        <v>0</v>
      </c>
      <c r="V59">
        <v>-3.2</v>
      </c>
      <c r="W59" t="s">
        <v>712</v>
      </c>
      <c r="X59">
        <v>-4.763855776294202</v>
      </c>
      <c r="Y59">
        <v>1823</v>
      </c>
      <c r="Z59">
        <v>47109</v>
      </c>
      <c r="AA59" t="s">
        <v>1028</v>
      </c>
      <c r="AB59">
        <v>61.4</v>
      </c>
      <c r="AC59" t="s">
        <v>1349</v>
      </c>
      <c r="AD59" t="s">
        <v>1670</v>
      </c>
      <c r="AE59">
        <v>1754</v>
      </c>
      <c r="AF59">
        <v>269</v>
      </c>
      <c r="AG59">
        <v>287382</v>
      </c>
      <c r="AH59">
        <v>1.79</v>
      </c>
    </row>
    <row r="60" spans="1:34">
      <c r="A60" s="2">
        <f>HYPERLINK("https://finance.naver.com/item/coinfo.nhn?code=033290", "A033290")</f>
        <v>0</v>
      </c>
      <c r="B60">
        <f>HYPERLINK("http://comp.fnguide.com/SVO2/ASP/SVD_Consensus.asp?pGB=1&amp;gicode=A033290&amp;cID=&amp;MenuYn=Y&amp;ReportGB=&amp;NewMenuID=108&amp;stkGb=701", "코웰패션")</f>
        <v>0</v>
      </c>
      <c r="C60">
        <v>1</v>
      </c>
      <c r="D60">
        <v>5700</v>
      </c>
      <c r="E60">
        <v>0.98</v>
      </c>
      <c r="F60">
        <v>9.93</v>
      </c>
      <c r="G60">
        <v>9306</v>
      </c>
      <c r="H60">
        <v>5468</v>
      </c>
      <c r="I60">
        <v>4377</v>
      </c>
      <c r="J60">
        <v>-63.27</v>
      </c>
      <c r="K60">
        <v>4.07</v>
      </c>
      <c r="L60">
        <v>23.21</v>
      </c>
      <c r="M60">
        <v>25.25</v>
      </c>
      <c r="N60" t="b">
        <v>1</v>
      </c>
      <c r="O60">
        <v>3</v>
      </c>
      <c r="P60">
        <v>568</v>
      </c>
      <c r="Q60">
        <v>645</v>
      </c>
      <c r="R60">
        <v>13.6</v>
      </c>
      <c r="S60" t="s">
        <v>246</v>
      </c>
      <c r="T60" t="s">
        <v>567</v>
      </c>
      <c r="U60">
        <v>10.11791960604058</v>
      </c>
      <c r="V60">
        <v>22.4</v>
      </c>
      <c r="W60" t="s">
        <v>883</v>
      </c>
      <c r="X60">
        <v>41.20509158442094</v>
      </c>
      <c r="Y60">
        <v>5045</v>
      </c>
      <c r="Z60">
        <v>325249</v>
      </c>
      <c r="AA60" t="s">
        <v>1201</v>
      </c>
      <c r="AB60">
        <v>70.83</v>
      </c>
      <c r="AC60" t="s">
        <v>1522</v>
      </c>
      <c r="AD60" t="s">
        <v>1841</v>
      </c>
      <c r="AE60">
        <v>3947</v>
      </c>
      <c r="AF60">
        <v>761</v>
      </c>
      <c r="AG60">
        <v>5171107</v>
      </c>
      <c r="AH60">
        <v>1.77</v>
      </c>
    </row>
    <row r="61" spans="1:34">
      <c r="A61" s="2">
        <f>HYPERLINK("https://finance.naver.com/item/coinfo.nhn?code=066620", "A066620")</f>
        <v>0</v>
      </c>
      <c r="B61">
        <f>HYPERLINK("http://comp.fnguide.com/SVO2/ASP/SVD_Consensus.asp?pGB=1&amp;gicode=A066620&amp;cID=&amp;MenuYn=Y&amp;ReportGB=&amp;NewMenuID=108&amp;stkGb=701", "국보디자인")</f>
        <v>0</v>
      </c>
      <c r="C61">
        <v>3</v>
      </c>
      <c r="D61">
        <v>17700</v>
      </c>
      <c r="E61">
        <v>0</v>
      </c>
      <c r="F61">
        <v>8.02</v>
      </c>
      <c r="G61">
        <v>31011</v>
      </c>
      <c r="H61">
        <v>23156</v>
      </c>
      <c r="I61">
        <v>20923</v>
      </c>
      <c r="J61">
        <v>-75.2</v>
      </c>
      <c r="K61">
        <v>-30.82</v>
      </c>
      <c r="L61">
        <v>-18.21</v>
      </c>
      <c r="M61">
        <v>13.71</v>
      </c>
      <c r="N61" t="b">
        <v>1</v>
      </c>
      <c r="O61">
        <v>0</v>
      </c>
      <c r="P61">
        <v>2126</v>
      </c>
      <c r="S61" t="s">
        <v>53</v>
      </c>
      <c r="T61" t="s">
        <v>374</v>
      </c>
      <c r="U61">
        <v>0</v>
      </c>
      <c r="V61">
        <v>21.4</v>
      </c>
      <c r="W61" t="s">
        <v>693</v>
      </c>
      <c r="X61">
        <v>12.42884827928215</v>
      </c>
      <c r="Y61">
        <v>1328</v>
      </c>
      <c r="Z61">
        <v>46352</v>
      </c>
      <c r="AA61" t="s">
        <v>1008</v>
      </c>
      <c r="AB61">
        <v>53.09</v>
      </c>
      <c r="AC61" t="s">
        <v>1329</v>
      </c>
      <c r="AD61" t="s">
        <v>1650</v>
      </c>
      <c r="AE61">
        <v>2690</v>
      </c>
      <c r="AF61">
        <v>116</v>
      </c>
      <c r="AG61">
        <v>627314</v>
      </c>
      <c r="AH61">
        <v>1.76</v>
      </c>
    </row>
    <row r="62" spans="1:34">
      <c r="A62" s="2">
        <f>HYPERLINK("https://finance.naver.com/item/coinfo.nhn?code=317400", "A317400")</f>
        <v>0</v>
      </c>
      <c r="B62">
        <f>HYPERLINK("http://comp.fnguide.com/SVO2/ASP/SVD_Consensus.asp?pGB=1&amp;gicode=A317400&amp;cID=&amp;MenuYn=Y&amp;ReportGB=&amp;NewMenuID=108&amp;stkGb=701", "자이에스앤디")</f>
        <v>0</v>
      </c>
      <c r="C62">
        <v>1</v>
      </c>
      <c r="D62">
        <v>9900</v>
      </c>
      <c r="E62">
        <v>0</v>
      </c>
      <c r="F62">
        <v>8.449999999999999</v>
      </c>
      <c r="G62">
        <v>11970</v>
      </c>
      <c r="H62">
        <v>8028</v>
      </c>
      <c r="I62">
        <v>6907</v>
      </c>
      <c r="J62">
        <v>-20.91</v>
      </c>
      <c r="K62">
        <v>18.91</v>
      </c>
      <c r="L62">
        <v>30.23</v>
      </c>
      <c r="M62">
        <v>17.54</v>
      </c>
      <c r="N62" t="b">
        <v>1</v>
      </c>
      <c r="O62">
        <v>0</v>
      </c>
      <c r="P62">
        <v>676</v>
      </c>
      <c r="S62" t="s">
        <v>268</v>
      </c>
      <c r="T62" t="s">
        <v>589</v>
      </c>
      <c r="U62">
        <v>0</v>
      </c>
      <c r="V62">
        <v>-3.3</v>
      </c>
      <c r="W62" t="s">
        <v>903</v>
      </c>
      <c r="X62">
        <v>-3.226821046745387</v>
      </c>
      <c r="Y62">
        <v>2651</v>
      </c>
      <c r="Z62">
        <v>181034</v>
      </c>
      <c r="AA62" t="s">
        <v>1223</v>
      </c>
      <c r="AB62">
        <v>61.17</v>
      </c>
      <c r="AC62" t="s">
        <v>1544</v>
      </c>
      <c r="AD62" t="s">
        <v>1863</v>
      </c>
      <c r="AE62">
        <v>2779</v>
      </c>
      <c r="AF62">
        <v>165</v>
      </c>
      <c r="AH62">
        <v>1.75</v>
      </c>
    </row>
    <row r="63" spans="1:34">
      <c r="A63" s="2">
        <f>HYPERLINK("https://finance.naver.com/item/coinfo.nhn?code=067280", "A067280")</f>
        <v>0</v>
      </c>
      <c r="B63">
        <f>HYPERLINK("http://comp.fnguide.com/SVO2/ASP/SVD_Consensus.asp?pGB=1&amp;gicode=A067280&amp;cID=&amp;MenuYn=Y&amp;ReportGB=&amp;NewMenuID=108&amp;stkGb=701", "멀티캠퍼스")</f>
        <v>0</v>
      </c>
      <c r="C63">
        <v>1</v>
      </c>
      <c r="D63">
        <v>32800</v>
      </c>
      <c r="E63">
        <v>0</v>
      </c>
      <c r="F63">
        <v>11.03</v>
      </c>
      <c r="G63">
        <v>42186</v>
      </c>
      <c r="H63">
        <v>27940</v>
      </c>
      <c r="I63">
        <v>23892</v>
      </c>
      <c r="J63">
        <v>-28.62</v>
      </c>
      <c r="K63">
        <v>14.82</v>
      </c>
      <c r="L63">
        <v>27.16</v>
      </c>
      <c r="M63">
        <v>18.1</v>
      </c>
      <c r="N63" t="b">
        <v>1</v>
      </c>
      <c r="O63">
        <v>0</v>
      </c>
      <c r="P63">
        <v>3143</v>
      </c>
      <c r="S63" t="s">
        <v>304</v>
      </c>
      <c r="T63" t="s">
        <v>625</v>
      </c>
      <c r="U63">
        <v>0</v>
      </c>
      <c r="V63">
        <v>-62</v>
      </c>
      <c r="W63" t="s">
        <v>938</v>
      </c>
      <c r="X63">
        <v>-7.409942503135259</v>
      </c>
      <c r="Y63">
        <v>1944</v>
      </c>
      <c r="Z63">
        <v>9272</v>
      </c>
      <c r="AA63" t="s">
        <v>1259</v>
      </c>
      <c r="AB63">
        <v>62.44</v>
      </c>
      <c r="AC63" t="s">
        <v>1580</v>
      </c>
      <c r="AD63" t="s">
        <v>1898</v>
      </c>
      <c r="AE63">
        <v>2880</v>
      </c>
      <c r="AF63">
        <v>242</v>
      </c>
      <c r="AH63">
        <v>1.73</v>
      </c>
    </row>
    <row r="64" spans="1:34">
      <c r="A64" s="2">
        <f>HYPERLINK("https://finance.naver.com/item/coinfo.nhn?code=318010", "A318010")</f>
        <v>0</v>
      </c>
      <c r="B64">
        <f>HYPERLINK("http://comp.fnguide.com/SVO2/ASP/SVD_Consensus.asp?pGB=1&amp;gicode=A318010&amp;cID=&amp;MenuYn=Y&amp;ReportGB=&amp;NewMenuID=108&amp;stkGb=701", "팜스빌")</f>
        <v>0</v>
      </c>
      <c r="C64">
        <v>1</v>
      </c>
      <c r="D64">
        <v>11350</v>
      </c>
      <c r="E64">
        <v>0</v>
      </c>
      <c r="F64">
        <v>10.71</v>
      </c>
      <c r="G64">
        <v>14078</v>
      </c>
      <c r="H64">
        <v>9856</v>
      </c>
      <c r="I64">
        <v>8656</v>
      </c>
      <c r="J64">
        <v>-24.04</v>
      </c>
      <c r="K64">
        <v>13.16</v>
      </c>
      <c r="L64">
        <v>23.74</v>
      </c>
      <c r="M64">
        <v>15.83</v>
      </c>
      <c r="N64" t="b">
        <v>1</v>
      </c>
      <c r="O64">
        <v>0</v>
      </c>
      <c r="P64">
        <v>1092</v>
      </c>
      <c r="S64" t="s">
        <v>271</v>
      </c>
      <c r="T64" t="s">
        <v>592</v>
      </c>
      <c r="U64">
        <v>0</v>
      </c>
      <c r="V64">
        <v>-46.9</v>
      </c>
      <c r="W64" t="s">
        <v>906</v>
      </c>
      <c r="X64">
        <v>-4.373925992095085</v>
      </c>
      <c r="Y64">
        <v>900</v>
      </c>
      <c r="Z64">
        <v>25541</v>
      </c>
      <c r="AA64" t="s">
        <v>1226</v>
      </c>
      <c r="AB64">
        <v>70.37</v>
      </c>
      <c r="AC64" t="s">
        <v>1547</v>
      </c>
      <c r="AD64" t="s">
        <v>1866</v>
      </c>
      <c r="AE64">
        <v>300</v>
      </c>
      <c r="AF64">
        <v>71</v>
      </c>
      <c r="AG64">
        <v>82908</v>
      </c>
      <c r="AH64">
        <v>1.71</v>
      </c>
    </row>
    <row r="65" spans="1:34">
      <c r="A65" s="2">
        <f>HYPERLINK("https://finance.naver.com/item/coinfo.nhn?code=002170", "A002170")</f>
        <v>0</v>
      </c>
      <c r="B65">
        <f>HYPERLINK("http://comp.fnguide.com/SVO2/ASP/SVD_Consensus.asp?pGB=1&amp;gicode=A002170&amp;cID=&amp;MenuYn=Y&amp;ReportGB=&amp;NewMenuID=108&amp;stkGb=701", "삼양통상")</f>
        <v>0</v>
      </c>
      <c r="C65">
        <v>3</v>
      </c>
      <c r="D65">
        <v>61100</v>
      </c>
      <c r="E65">
        <v>0</v>
      </c>
      <c r="F65">
        <v>4.07</v>
      </c>
      <c r="G65">
        <v>169839</v>
      </c>
      <c r="H65">
        <v>137058</v>
      </c>
      <c r="I65">
        <v>127743</v>
      </c>
      <c r="J65">
        <v>-177.97</v>
      </c>
      <c r="K65">
        <v>-124.32</v>
      </c>
      <c r="L65">
        <v>-109.07</v>
      </c>
      <c r="M65">
        <v>11.69</v>
      </c>
      <c r="N65" t="b">
        <v>1</v>
      </c>
      <c r="O65">
        <v>0</v>
      </c>
      <c r="P65">
        <v>14733</v>
      </c>
      <c r="S65" t="s">
        <v>120</v>
      </c>
      <c r="T65" t="s">
        <v>441</v>
      </c>
      <c r="U65">
        <v>0</v>
      </c>
      <c r="V65">
        <v>4.1</v>
      </c>
      <c r="W65" t="s">
        <v>758</v>
      </c>
      <c r="X65">
        <v>34.31943309341783</v>
      </c>
      <c r="Y65">
        <v>1833</v>
      </c>
      <c r="Z65">
        <v>7816</v>
      </c>
      <c r="AA65" t="s">
        <v>1075</v>
      </c>
      <c r="AB65">
        <v>54.39</v>
      </c>
      <c r="AC65" t="s">
        <v>1396</v>
      </c>
      <c r="AD65" t="s">
        <v>1717</v>
      </c>
      <c r="AE65">
        <v>1921</v>
      </c>
      <c r="AF65">
        <v>494</v>
      </c>
      <c r="AG65">
        <v>150575</v>
      </c>
      <c r="AH65">
        <v>1.67</v>
      </c>
    </row>
    <row r="66" spans="1:34">
      <c r="A66" s="2">
        <f>HYPERLINK("https://finance.naver.com/item/coinfo.nhn?code=018250", "A018250")</f>
        <v>0</v>
      </c>
      <c r="B66">
        <f>HYPERLINK("http://comp.fnguide.com/SVO2/ASP/SVD_Consensus.asp?pGB=1&amp;gicode=A018250&amp;cID=&amp;MenuYn=Y&amp;ReportGB=&amp;NewMenuID=108&amp;stkGb=701", "애경산업")</f>
        <v>0</v>
      </c>
      <c r="C66">
        <v>1</v>
      </c>
      <c r="D66">
        <v>24250</v>
      </c>
      <c r="E66">
        <v>-0.59</v>
      </c>
      <c r="F66">
        <v>17.97</v>
      </c>
      <c r="G66">
        <v>35988</v>
      </c>
      <c r="H66">
        <v>22106</v>
      </c>
      <c r="I66">
        <v>18160</v>
      </c>
      <c r="J66">
        <v>-48.4</v>
      </c>
      <c r="K66">
        <v>8.84</v>
      </c>
      <c r="L66">
        <v>25.11</v>
      </c>
      <c r="M66">
        <v>22.12</v>
      </c>
      <c r="N66" t="b">
        <v>1</v>
      </c>
      <c r="O66">
        <v>0</v>
      </c>
      <c r="P66">
        <v>1581</v>
      </c>
      <c r="Q66">
        <v>598</v>
      </c>
      <c r="R66">
        <v>-62.2</v>
      </c>
      <c r="S66" t="s">
        <v>252</v>
      </c>
      <c r="T66" t="s">
        <v>573</v>
      </c>
      <c r="U66">
        <v>-30.54817492399309</v>
      </c>
      <c r="V66">
        <v>-70.09999999999999</v>
      </c>
      <c r="W66" t="s">
        <v>887</v>
      </c>
      <c r="X66">
        <v>-10.75607852195181</v>
      </c>
      <c r="Y66">
        <v>6404</v>
      </c>
      <c r="Z66">
        <v>75869</v>
      </c>
      <c r="AA66" t="s">
        <v>1207</v>
      </c>
      <c r="AB66">
        <v>63.43</v>
      </c>
      <c r="AC66" t="s">
        <v>1528</v>
      </c>
      <c r="AD66" t="s">
        <v>1847</v>
      </c>
      <c r="AE66">
        <v>7013</v>
      </c>
      <c r="AF66">
        <v>606</v>
      </c>
      <c r="AG66">
        <v>200010</v>
      </c>
      <c r="AH66">
        <v>1.58</v>
      </c>
    </row>
    <row r="67" spans="1:34">
      <c r="A67" s="2">
        <f>HYPERLINK("https://finance.naver.com/item/coinfo.nhn?code=023460", "A023460")</f>
        <v>0</v>
      </c>
      <c r="B67">
        <f>HYPERLINK("http://comp.fnguide.com/SVO2/ASP/SVD_Consensus.asp?pGB=1&amp;gicode=A023460&amp;cID=&amp;MenuYn=Y&amp;ReportGB=&amp;NewMenuID=108&amp;stkGb=701", "CNH")</f>
        <v>0</v>
      </c>
      <c r="C67">
        <v>3</v>
      </c>
      <c r="D67">
        <v>2295</v>
      </c>
      <c r="E67">
        <v>0</v>
      </c>
      <c r="F67">
        <v>4.62</v>
      </c>
      <c r="G67">
        <v>3168</v>
      </c>
      <c r="H67">
        <v>3071</v>
      </c>
      <c r="I67">
        <v>3044</v>
      </c>
      <c r="J67">
        <v>-38.05</v>
      </c>
      <c r="K67">
        <v>-33.83</v>
      </c>
      <c r="L67">
        <v>-32.63</v>
      </c>
      <c r="M67">
        <v>8.369999999999999</v>
      </c>
      <c r="N67" t="b">
        <v>1</v>
      </c>
      <c r="O67">
        <v>0</v>
      </c>
      <c r="P67">
        <v>414</v>
      </c>
      <c r="S67" t="s">
        <v>42</v>
      </c>
      <c r="T67" t="s">
        <v>363</v>
      </c>
      <c r="U67">
        <v>0</v>
      </c>
      <c r="W67" t="s">
        <v>657</v>
      </c>
      <c r="X67">
        <v>0</v>
      </c>
      <c r="Y67">
        <v>854</v>
      </c>
      <c r="Z67">
        <v>621087</v>
      </c>
      <c r="AA67" t="s">
        <v>997</v>
      </c>
      <c r="AB67">
        <v>62.38</v>
      </c>
      <c r="AC67" t="s">
        <v>1318</v>
      </c>
      <c r="AD67" t="s">
        <v>1639</v>
      </c>
      <c r="AE67">
        <v>405</v>
      </c>
      <c r="AF67">
        <v>211</v>
      </c>
      <c r="AG67">
        <v>2418619</v>
      </c>
      <c r="AH67">
        <v>1.57</v>
      </c>
    </row>
    <row r="68" spans="1:34">
      <c r="A68" s="2">
        <f>HYPERLINK("https://finance.naver.com/item/coinfo.nhn?code=023600", "A023600")</f>
        <v>0</v>
      </c>
      <c r="B68">
        <f>HYPERLINK("http://comp.fnguide.com/SVO2/ASP/SVD_Consensus.asp?pGB=1&amp;gicode=A023600&amp;cID=&amp;MenuYn=Y&amp;ReportGB=&amp;NewMenuID=108&amp;stkGb=701", "삼보판지")</f>
        <v>0</v>
      </c>
      <c r="C68">
        <v>3</v>
      </c>
      <c r="D68">
        <v>9900</v>
      </c>
      <c r="E68">
        <v>0</v>
      </c>
      <c r="F68">
        <v>4.62</v>
      </c>
      <c r="G68">
        <v>31135</v>
      </c>
      <c r="H68">
        <v>25790</v>
      </c>
      <c r="I68">
        <v>24271</v>
      </c>
      <c r="J68">
        <v>-214.49</v>
      </c>
      <c r="K68">
        <v>-160.5</v>
      </c>
      <c r="L68">
        <v>-145.16</v>
      </c>
      <c r="M68">
        <v>11.11</v>
      </c>
      <c r="N68" t="b">
        <v>1</v>
      </c>
      <c r="O68">
        <v>0</v>
      </c>
      <c r="P68">
        <v>1779</v>
      </c>
      <c r="S68" t="s">
        <v>19</v>
      </c>
      <c r="T68" t="s">
        <v>340</v>
      </c>
      <c r="U68">
        <v>0</v>
      </c>
      <c r="V68">
        <v>-5.3</v>
      </c>
      <c r="W68" t="s">
        <v>661</v>
      </c>
      <c r="X68">
        <v>-3.163553070742187</v>
      </c>
      <c r="Y68">
        <v>1601</v>
      </c>
      <c r="Z68">
        <v>311969</v>
      </c>
      <c r="AA68" t="s">
        <v>974</v>
      </c>
      <c r="AB68">
        <v>63.54</v>
      </c>
      <c r="AC68" t="s">
        <v>1295</v>
      </c>
      <c r="AD68" t="s">
        <v>1616</v>
      </c>
      <c r="AE68">
        <v>3670</v>
      </c>
      <c r="AF68">
        <v>457</v>
      </c>
      <c r="AG68">
        <v>202211</v>
      </c>
      <c r="AH68">
        <v>1.52</v>
      </c>
    </row>
    <row r="69" spans="1:34">
      <c r="A69" s="2">
        <f>HYPERLINK("https://finance.naver.com/item/coinfo.nhn?code=032560", "A032560")</f>
        <v>0</v>
      </c>
      <c r="B69">
        <f>HYPERLINK("http://comp.fnguide.com/SVO2/ASP/SVD_Consensus.asp?pGB=1&amp;gicode=A032560&amp;cID=&amp;MenuYn=Y&amp;ReportGB=&amp;NewMenuID=108&amp;stkGb=701", "황금에스티")</f>
        <v>0</v>
      </c>
      <c r="C69">
        <v>3</v>
      </c>
      <c r="D69">
        <v>7980</v>
      </c>
      <c r="E69">
        <v>0</v>
      </c>
      <c r="F69">
        <v>3.9</v>
      </c>
      <c r="G69">
        <v>20793</v>
      </c>
      <c r="H69">
        <v>19462</v>
      </c>
      <c r="I69">
        <v>19084</v>
      </c>
      <c r="J69">
        <v>-160.56</v>
      </c>
      <c r="K69">
        <v>-143.88</v>
      </c>
      <c r="L69">
        <v>-139.15</v>
      </c>
      <c r="M69">
        <v>8.880000000000001</v>
      </c>
      <c r="N69" t="b">
        <v>1</v>
      </c>
      <c r="O69">
        <v>0</v>
      </c>
      <c r="P69">
        <v>1794</v>
      </c>
      <c r="S69" t="s">
        <v>40</v>
      </c>
      <c r="T69" t="s">
        <v>361</v>
      </c>
      <c r="U69">
        <v>0</v>
      </c>
      <c r="V69">
        <v>-59.8</v>
      </c>
      <c r="W69" t="s">
        <v>681</v>
      </c>
      <c r="X69">
        <v>18.46961471874909</v>
      </c>
      <c r="Y69">
        <v>1117</v>
      </c>
      <c r="Z69">
        <v>299344</v>
      </c>
      <c r="AA69" t="s">
        <v>995</v>
      </c>
      <c r="AB69">
        <v>54.12</v>
      </c>
      <c r="AC69" t="s">
        <v>1316</v>
      </c>
      <c r="AD69" t="s">
        <v>1637</v>
      </c>
      <c r="AE69">
        <v>2436</v>
      </c>
      <c r="AF69">
        <v>188</v>
      </c>
      <c r="AG69">
        <v>1861</v>
      </c>
      <c r="AH69">
        <v>1.43</v>
      </c>
    </row>
    <row r="70" spans="1:34">
      <c r="A70" s="2">
        <f>HYPERLINK("https://finance.naver.com/item/coinfo.nhn?code=080010", "A080010")</f>
        <v>0</v>
      </c>
      <c r="B70">
        <f>HYPERLINK("http://comp.fnguide.com/SVO2/ASP/SVD_Consensus.asp?pGB=1&amp;gicode=A080010&amp;cID=&amp;MenuYn=Y&amp;ReportGB=&amp;NewMenuID=108&amp;stkGb=701", "이상네트웍스")</f>
        <v>0</v>
      </c>
      <c r="C70">
        <v>3</v>
      </c>
      <c r="D70">
        <v>7240</v>
      </c>
      <c r="E70">
        <v>0</v>
      </c>
      <c r="F70">
        <v>7.11</v>
      </c>
      <c r="G70">
        <v>12910</v>
      </c>
      <c r="H70">
        <v>11540</v>
      </c>
      <c r="I70">
        <v>11150</v>
      </c>
      <c r="J70">
        <v>-78.31999999999999</v>
      </c>
      <c r="K70">
        <v>-59.39</v>
      </c>
      <c r="L70">
        <v>-54</v>
      </c>
      <c r="M70">
        <v>9.640000000000001</v>
      </c>
      <c r="N70" t="b">
        <v>1</v>
      </c>
      <c r="O70">
        <v>0</v>
      </c>
      <c r="P70">
        <v>1001</v>
      </c>
      <c r="S70" t="s">
        <v>107</v>
      </c>
      <c r="T70" t="s">
        <v>428</v>
      </c>
      <c r="U70">
        <v>0</v>
      </c>
      <c r="V70">
        <v>-14.3</v>
      </c>
      <c r="W70" t="s">
        <v>745</v>
      </c>
      <c r="X70">
        <v>22.66101951099477</v>
      </c>
      <c r="Y70">
        <v>653</v>
      </c>
      <c r="Z70">
        <v>11414</v>
      </c>
      <c r="AA70" t="s">
        <v>1062</v>
      </c>
      <c r="AB70">
        <v>50.05</v>
      </c>
      <c r="AC70" t="s">
        <v>1383</v>
      </c>
      <c r="AD70" t="s">
        <v>1704</v>
      </c>
      <c r="AE70">
        <v>582</v>
      </c>
      <c r="AF70">
        <v>75</v>
      </c>
      <c r="AG70">
        <v>98424</v>
      </c>
      <c r="AH70">
        <v>1.4</v>
      </c>
    </row>
    <row r="71" spans="1:34">
      <c r="A71" s="2">
        <f>HYPERLINK("https://finance.naver.com/item/coinfo.nhn?code=049770", "A049770")</f>
        <v>0</v>
      </c>
      <c r="B71">
        <f>HYPERLINK("http://comp.fnguide.com/SVO2/ASP/SVD_Consensus.asp?pGB=1&amp;gicode=A049770&amp;cID=&amp;MenuYn=Y&amp;ReportGB=&amp;NewMenuID=108&amp;stkGb=701", "동원F&amp;B")</f>
        <v>0</v>
      </c>
      <c r="C71">
        <v>3</v>
      </c>
      <c r="D71">
        <v>174000</v>
      </c>
      <c r="E71">
        <v>1.08</v>
      </c>
      <c r="F71">
        <v>13.28</v>
      </c>
      <c r="G71">
        <v>213050</v>
      </c>
      <c r="H71">
        <v>191069</v>
      </c>
      <c r="I71">
        <v>184822</v>
      </c>
      <c r="J71">
        <v>-22.44</v>
      </c>
      <c r="K71">
        <v>-9.81</v>
      </c>
      <c r="L71">
        <v>-6.22</v>
      </c>
      <c r="M71">
        <v>9.58</v>
      </c>
      <c r="N71" t="b">
        <v>1</v>
      </c>
      <c r="O71">
        <v>3</v>
      </c>
      <c r="P71">
        <v>17015</v>
      </c>
      <c r="Q71">
        <v>18842</v>
      </c>
      <c r="R71">
        <v>10.7</v>
      </c>
      <c r="S71" t="s">
        <v>149</v>
      </c>
      <c r="T71" t="s">
        <v>470</v>
      </c>
      <c r="U71">
        <v>12.27293721938174</v>
      </c>
      <c r="V71">
        <v>10.3</v>
      </c>
      <c r="W71" t="s">
        <v>787</v>
      </c>
      <c r="X71">
        <v>4.964981025361559</v>
      </c>
      <c r="Y71">
        <v>6715</v>
      </c>
      <c r="Z71">
        <v>6437</v>
      </c>
      <c r="AA71" t="s">
        <v>1104</v>
      </c>
      <c r="AB71">
        <v>71.27</v>
      </c>
      <c r="AC71" t="s">
        <v>1425</v>
      </c>
      <c r="AD71" t="s">
        <v>1746</v>
      </c>
      <c r="AE71">
        <v>30303</v>
      </c>
      <c r="AF71">
        <v>1014</v>
      </c>
      <c r="AH71">
        <v>1.33</v>
      </c>
    </row>
    <row r="72" spans="1:34">
      <c r="A72" s="2">
        <f>HYPERLINK("https://finance.naver.com/item/coinfo.nhn?code=006090", "A006090")</f>
        <v>0</v>
      </c>
      <c r="B72">
        <f>HYPERLINK("http://comp.fnguide.com/SVO2/ASP/SVD_Consensus.asp?pGB=1&amp;gicode=A006090&amp;cID=&amp;MenuYn=Y&amp;ReportGB=&amp;NewMenuID=108&amp;stkGb=701", "사조오양")</f>
        <v>0</v>
      </c>
      <c r="C72">
        <v>3</v>
      </c>
      <c r="D72">
        <v>9980</v>
      </c>
      <c r="E72">
        <v>0</v>
      </c>
      <c r="F72">
        <v>5.4</v>
      </c>
      <c r="G72">
        <v>19534</v>
      </c>
      <c r="H72">
        <v>18483</v>
      </c>
      <c r="I72">
        <v>18184</v>
      </c>
      <c r="J72">
        <v>-95.73</v>
      </c>
      <c r="K72">
        <v>-85.2</v>
      </c>
      <c r="L72">
        <v>-82.2</v>
      </c>
      <c r="M72">
        <v>8.720000000000001</v>
      </c>
      <c r="N72" t="b">
        <v>1</v>
      </c>
      <c r="O72">
        <v>0</v>
      </c>
      <c r="P72">
        <v>1402</v>
      </c>
      <c r="S72" t="s">
        <v>159</v>
      </c>
      <c r="T72" t="s">
        <v>480</v>
      </c>
      <c r="U72">
        <v>0</v>
      </c>
      <c r="V72">
        <v>80.59999999999999</v>
      </c>
      <c r="W72" t="s">
        <v>797</v>
      </c>
      <c r="X72">
        <v>13.55978918744829</v>
      </c>
      <c r="Y72">
        <v>940</v>
      </c>
      <c r="Z72">
        <v>222391</v>
      </c>
      <c r="AA72" t="s">
        <v>1114</v>
      </c>
      <c r="AB72">
        <v>60.53</v>
      </c>
      <c r="AC72" t="s">
        <v>1435</v>
      </c>
      <c r="AD72" t="s">
        <v>1756</v>
      </c>
      <c r="AE72">
        <v>3136</v>
      </c>
      <c r="AF72">
        <v>226</v>
      </c>
      <c r="AG72">
        <v>3</v>
      </c>
      <c r="AH72">
        <v>1.32</v>
      </c>
    </row>
    <row r="73" spans="1:34">
      <c r="A73" s="2">
        <f>HYPERLINK("https://finance.naver.com/item/coinfo.nhn?code=006740", "A006740")</f>
        <v>0</v>
      </c>
      <c r="B73">
        <f>HYPERLINK("http://comp.fnguide.com/SVO2/ASP/SVD_Consensus.asp?pGB=1&amp;gicode=A006740&amp;cID=&amp;MenuYn=Y&amp;ReportGB=&amp;NewMenuID=108&amp;stkGb=701", "영풍제지")</f>
        <v>0</v>
      </c>
      <c r="C73">
        <v>3</v>
      </c>
      <c r="D73">
        <v>6440</v>
      </c>
      <c r="E73">
        <v>0</v>
      </c>
      <c r="F73">
        <v>7.45</v>
      </c>
      <c r="G73">
        <v>7941</v>
      </c>
      <c r="H73">
        <v>7255</v>
      </c>
      <c r="I73">
        <v>7060</v>
      </c>
      <c r="J73">
        <v>-23.31</v>
      </c>
      <c r="K73">
        <v>-12.65</v>
      </c>
      <c r="L73">
        <v>-9.619999999999999</v>
      </c>
      <c r="M73">
        <v>9.27</v>
      </c>
      <c r="N73" t="b">
        <v>1</v>
      </c>
      <c r="O73">
        <v>0</v>
      </c>
      <c r="P73">
        <v>418</v>
      </c>
      <c r="S73" t="s">
        <v>200</v>
      </c>
      <c r="T73" t="s">
        <v>521</v>
      </c>
      <c r="U73">
        <v>0</v>
      </c>
      <c r="V73">
        <v>-4.8</v>
      </c>
      <c r="W73" t="s">
        <v>837</v>
      </c>
      <c r="X73">
        <v>12.6233358007017</v>
      </c>
      <c r="Y73">
        <v>1430</v>
      </c>
      <c r="Z73">
        <v>583984</v>
      </c>
      <c r="AA73" t="s">
        <v>1155</v>
      </c>
      <c r="AB73">
        <v>54.44</v>
      </c>
      <c r="AC73" t="s">
        <v>1476</v>
      </c>
      <c r="AD73" t="s">
        <v>1797</v>
      </c>
      <c r="AE73">
        <v>997</v>
      </c>
      <c r="AF73">
        <v>109</v>
      </c>
      <c r="AG73">
        <v>4627676</v>
      </c>
      <c r="AH73">
        <v>1.28</v>
      </c>
    </row>
    <row r="74" spans="1:34">
      <c r="A74" s="2">
        <f>HYPERLINK("https://finance.naver.com/item/coinfo.nhn?code=009780", "A009780")</f>
        <v>0</v>
      </c>
      <c r="B74">
        <f>HYPERLINK("http://comp.fnguide.com/SVO2/ASP/SVD_Consensus.asp?pGB=1&amp;gicode=A009780&amp;cID=&amp;MenuYn=Y&amp;ReportGB=&amp;NewMenuID=108&amp;stkGb=701", "엠에스씨")</f>
        <v>0</v>
      </c>
      <c r="C74">
        <v>3</v>
      </c>
      <c r="D74">
        <v>4900</v>
      </c>
      <c r="E74">
        <v>0</v>
      </c>
      <c r="F74">
        <v>7.09</v>
      </c>
      <c r="G74">
        <v>9343</v>
      </c>
      <c r="H74">
        <v>6808</v>
      </c>
      <c r="I74">
        <v>6088</v>
      </c>
      <c r="J74">
        <v>-90.67</v>
      </c>
      <c r="K74">
        <v>-38.95</v>
      </c>
      <c r="L74">
        <v>-24.25</v>
      </c>
      <c r="M74">
        <v>14.46</v>
      </c>
      <c r="N74" t="b">
        <v>1</v>
      </c>
      <c r="O74">
        <v>0</v>
      </c>
      <c r="P74">
        <v>668</v>
      </c>
      <c r="S74" t="s">
        <v>98</v>
      </c>
      <c r="T74" t="s">
        <v>419</v>
      </c>
      <c r="U74">
        <v>0</v>
      </c>
      <c r="V74">
        <v>-3.9</v>
      </c>
      <c r="W74" t="s">
        <v>736</v>
      </c>
      <c r="X74">
        <v>17.00481504585123</v>
      </c>
      <c r="Y74">
        <v>862</v>
      </c>
      <c r="Z74">
        <v>168007</v>
      </c>
      <c r="AA74" t="s">
        <v>1053</v>
      </c>
      <c r="AB74">
        <v>73.22</v>
      </c>
      <c r="AC74" t="s">
        <v>1374</v>
      </c>
      <c r="AD74" t="s">
        <v>1695</v>
      </c>
      <c r="AE74">
        <v>1492</v>
      </c>
      <c r="AF74">
        <v>147</v>
      </c>
      <c r="AH74">
        <v>1.27</v>
      </c>
    </row>
    <row r="75" spans="1:34">
      <c r="A75" s="2">
        <f>HYPERLINK("https://finance.naver.com/item/coinfo.nhn?code=006580", "A006580")</f>
        <v>0</v>
      </c>
      <c r="B75">
        <f>HYPERLINK("http://comp.fnguide.com/SVO2/ASP/SVD_Consensus.asp?pGB=1&amp;gicode=A006580&amp;cID=&amp;MenuYn=Y&amp;ReportGB=&amp;NewMenuID=108&amp;stkGb=701", "대양제지")</f>
        <v>0</v>
      </c>
      <c r="C75">
        <v>3</v>
      </c>
      <c r="D75">
        <v>3200</v>
      </c>
      <c r="E75">
        <v>0</v>
      </c>
      <c r="F75">
        <v>3.71</v>
      </c>
      <c r="G75">
        <v>16204</v>
      </c>
      <c r="H75">
        <v>10372</v>
      </c>
      <c r="I75">
        <v>8715</v>
      </c>
      <c r="J75">
        <v>-406.38</v>
      </c>
      <c r="K75">
        <v>-224.13</v>
      </c>
      <c r="L75">
        <v>-172.34</v>
      </c>
      <c r="M75">
        <v>19.76</v>
      </c>
      <c r="N75" t="b">
        <v>1</v>
      </c>
      <c r="O75">
        <v>0</v>
      </c>
      <c r="P75">
        <v>876</v>
      </c>
      <c r="S75" t="s">
        <v>29</v>
      </c>
      <c r="T75" t="s">
        <v>350</v>
      </c>
      <c r="U75">
        <v>0</v>
      </c>
      <c r="V75">
        <v>-26.9</v>
      </c>
      <c r="W75" t="s">
        <v>671</v>
      </c>
      <c r="X75">
        <v>-24.73214497542792</v>
      </c>
      <c r="Y75">
        <v>859</v>
      </c>
      <c r="Z75">
        <v>819646</v>
      </c>
      <c r="AA75" t="s">
        <v>984</v>
      </c>
      <c r="AB75">
        <v>53.58</v>
      </c>
      <c r="AC75" t="s">
        <v>1305</v>
      </c>
      <c r="AD75" t="s">
        <v>1626</v>
      </c>
      <c r="AE75">
        <v>2594</v>
      </c>
      <c r="AF75">
        <v>327</v>
      </c>
      <c r="AG75">
        <v>6193269</v>
      </c>
      <c r="AH75">
        <v>1.23</v>
      </c>
    </row>
    <row r="76" spans="1:34">
      <c r="A76" s="2">
        <f>HYPERLINK("https://finance.naver.com/item/coinfo.nhn?code=018310", "A018310")</f>
        <v>0</v>
      </c>
      <c r="B76">
        <f>HYPERLINK("http://comp.fnguide.com/SVO2/ASP/SVD_Consensus.asp?pGB=1&amp;gicode=A018310&amp;cID=&amp;MenuYn=Y&amp;ReportGB=&amp;NewMenuID=108&amp;stkGb=701", "삼목에스폼")</f>
        <v>0</v>
      </c>
      <c r="C76">
        <v>3</v>
      </c>
      <c r="D76">
        <v>7620</v>
      </c>
      <c r="E76">
        <v>0</v>
      </c>
      <c r="F76">
        <v>8.970000000000001</v>
      </c>
      <c r="G76">
        <v>28907</v>
      </c>
      <c r="H76">
        <v>28798</v>
      </c>
      <c r="I76">
        <v>28767</v>
      </c>
      <c r="J76">
        <v>-279.35</v>
      </c>
      <c r="K76">
        <v>-277.93</v>
      </c>
      <c r="L76">
        <v>-277.52</v>
      </c>
      <c r="M76">
        <v>7.99</v>
      </c>
      <c r="N76" t="b">
        <v>1</v>
      </c>
      <c r="O76">
        <v>0</v>
      </c>
      <c r="P76">
        <v>932</v>
      </c>
      <c r="S76" t="s">
        <v>18</v>
      </c>
      <c r="T76" t="s">
        <v>339</v>
      </c>
      <c r="U76">
        <v>0</v>
      </c>
      <c r="V76">
        <v>0</v>
      </c>
      <c r="W76" t="s">
        <v>660</v>
      </c>
      <c r="X76">
        <v>-26.11158320682037</v>
      </c>
      <c r="Y76">
        <v>1120</v>
      </c>
      <c r="Z76">
        <v>18560</v>
      </c>
      <c r="AA76" t="s">
        <v>973</v>
      </c>
      <c r="AB76">
        <v>50.66</v>
      </c>
      <c r="AC76" t="s">
        <v>1294</v>
      </c>
      <c r="AD76" t="s">
        <v>1615</v>
      </c>
      <c r="AE76">
        <v>1442</v>
      </c>
      <c r="AF76">
        <v>114</v>
      </c>
      <c r="AG76">
        <v>2783927</v>
      </c>
      <c r="AH76">
        <v>1.2</v>
      </c>
    </row>
    <row r="77" spans="1:34">
      <c r="A77" s="2">
        <f>HYPERLINK("https://finance.naver.com/item/coinfo.nhn?code=111770", "A111770")</f>
        <v>0</v>
      </c>
      <c r="B77">
        <f>HYPERLINK("http://comp.fnguide.com/SVO2/ASP/SVD_Consensus.asp?pGB=1&amp;gicode=A111770&amp;cID=&amp;MenuYn=Y&amp;ReportGB=&amp;NewMenuID=108&amp;stkGb=701", "영원무역")</f>
        <v>0</v>
      </c>
      <c r="C77">
        <v>3</v>
      </c>
      <c r="D77">
        <v>30850</v>
      </c>
      <c r="E77">
        <v>0.5</v>
      </c>
      <c r="F77">
        <v>9.130000000000001</v>
      </c>
      <c r="G77">
        <v>48112</v>
      </c>
      <c r="H77">
        <v>44450</v>
      </c>
      <c r="I77">
        <v>43409</v>
      </c>
      <c r="J77">
        <v>-55.96</v>
      </c>
      <c r="K77">
        <v>-44.08</v>
      </c>
      <c r="L77">
        <v>-40.71</v>
      </c>
      <c r="M77">
        <v>9.09</v>
      </c>
      <c r="N77" t="b">
        <v>1</v>
      </c>
      <c r="O77">
        <v>3</v>
      </c>
      <c r="P77">
        <v>3753</v>
      </c>
      <c r="Q77">
        <v>4054</v>
      </c>
      <c r="R77">
        <v>8</v>
      </c>
      <c r="S77" t="s">
        <v>201</v>
      </c>
      <c r="T77" t="s">
        <v>522</v>
      </c>
      <c r="U77">
        <v>18.2197189395473</v>
      </c>
      <c r="V77">
        <v>-1.7</v>
      </c>
      <c r="W77" t="s">
        <v>838</v>
      </c>
      <c r="X77">
        <v>4.705134005170453</v>
      </c>
      <c r="Y77">
        <v>13670</v>
      </c>
      <c r="Z77">
        <v>104788</v>
      </c>
      <c r="AA77" t="s">
        <v>1156</v>
      </c>
      <c r="AB77">
        <v>50.74</v>
      </c>
      <c r="AC77" t="s">
        <v>1477</v>
      </c>
      <c r="AD77" t="s">
        <v>1798</v>
      </c>
      <c r="AE77">
        <v>23883</v>
      </c>
      <c r="AF77">
        <v>2376</v>
      </c>
      <c r="AG77">
        <v>445407</v>
      </c>
      <c r="AH77">
        <v>1.17</v>
      </c>
    </row>
    <row r="78" spans="1:34">
      <c r="A78" s="2">
        <f>HYPERLINK("https://finance.naver.com/item/coinfo.nhn?code=002350", "A002350")</f>
        <v>0</v>
      </c>
      <c r="B78">
        <f>HYPERLINK("http://comp.fnguide.com/SVO2/ASP/SVD_Consensus.asp?pGB=1&amp;gicode=A002350&amp;cID=&amp;MenuYn=Y&amp;ReportGB=&amp;NewMenuID=108&amp;stkGb=701", "넥센타이어")</f>
        <v>0</v>
      </c>
      <c r="C78">
        <v>3</v>
      </c>
      <c r="D78">
        <v>6050</v>
      </c>
      <c r="E78">
        <v>-0.21</v>
      </c>
      <c r="F78">
        <v>8.039999999999999</v>
      </c>
      <c r="G78">
        <v>16523</v>
      </c>
      <c r="H78">
        <v>16306</v>
      </c>
      <c r="I78">
        <v>16245</v>
      </c>
      <c r="J78">
        <v>-173.1</v>
      </c>
      <c r="K78">
        <v>-169.53</v>
      </c>
      <c r="L78">
        <v>-168.51</v>
      </c>
      <c r="M78">
        <v>8.119999999999999</v>
      </c>
      <c r="N78" t="b">
        <v>1</v>
      </c>
      <c r="O78">
        <v>0</v>
      </c>
      <c r="P78">
        <v>1135</v>
      </c>
      <c r="Q78">
        <v>292</v>
      </c>
      <c r="R78">
        <v>-74.3</v>
      </c>
      <c r="S78" t="s">
        <v>129</v>
      </c>
      <c r="T78" t="s">
        <v>450</v>
      </c>
      <c r="U78">
        <v>-37.72223465124367</v>
      </c>
      <c r="V78">
        <v>0</v>
      </c>
      <c r="W78" t="s">
        <v>767</v>
      </c>
      <c r="X78">
        <v>-1.72560887448977</v>
      </c>
      <c r="Y78">
        <v>5909</v>
      </c>
      <c r="Z78">
        <v>284199</v>
      </c>
      <c r="AA78" t="s">
        <v>1084</v>
      </c>
      <c r="AB78">
        <v>66.55</v>
      </c>
      <c r="AC78" t="s">
        <v>1405</v>
      </c>
      <c r="AD78" t="s">
        <v>1726</v>
      </c>
      <c r="AE78">
        <v>20223</v>
      </c>
      <c r="AF78">
        <v>2074</v>
      </c>
      <c r="AG78">
        <v>1504451</v>
      </c>
      <c r="AH78">
        <v>1.15</v>
      </c>
    </row>
    <row r="79" spans="1:34">
      <c r="A79" s="2">
        <f>HYPERLINK("https://finance.naver.com/item/coinfo.nhn?code=251630", "A251630")</f>
        <v>0</v>
      </c>
      <c r="B79">
        <f>HYPERLINK("http://comp.fnguide.com/SVO2/ASP/SVD_Consensus.asp?pGB=1&amp;gicode=A251630&amp;cID=&amp;MenuYn=Y&amp;ReportGB=&amp;NewMenuID=108&amp;stkGb=701", "브이원텍")</f>
        <v>0</v>
      </c>
      <c r="C79">
        <v>1</v>
      </c>
      <c r="D79">
        <v>9690</v>
      </c>
      <c r="E79">
        <v>0</v>
      </c>
      <c r="F79">
        <v>20.91</v>
      </c>
      <c r="G79">
        <v>11335</v>
      </c>
      <c r="H79">
        <v>7936</v>
      </c>
      <c r="I79">
        <v>6970</v>
      </c>
      <c r="J79">
        <v>-16.97</v>
      </c>
      <c r="K79">
        <v>18.1</v>
      </c>
      <c r="L79">
        <v>28.07</v>
      </c>
      <c r="M79">
        <v>15.83</v>
      </c>
      <c r="N79" t="b">
        <v>1</v>
      </c>
      <c r="O79">
        <v>0</v>
      </c>
      <c r="P79">
        <v>442</v>
      </c>
      <c r="S79" t="s">
        <v>300</v>
      </c>
      <c r="T79" t="s">
        <v>621</v>
      </c>
      <c r="U79">
        <v>0</v>
      </c>
      <c r="V79">
        <v>-6.9</v>
      </c>
      <c r="W79" t="s">
        <v>934</v>
      </c>
      <c r="X79">
        <v>14.49186008396843</v>
      </c>
      <c r="Y79">
        <v>1458</v>
      </c>
      <c r="Z79">
        <v>129076</v>
      </c>
      <c r="AA79" t="s">
        <v>1255</v>
      </c>
      <c r="AB79">
        <v>52.04</v>
      </c>
      <c r="AC79" t="s">
        <v>1576</v>
      </c>
      <c r="AD79" t="s">
        <v>1894</v>
      </c>
      <c r="AE79">
        <v>268</v>
      </c>
      <c r="AF79">
        <v>48</v>
      </c>
      <c r="AG79">
        <v>680241</v>
      </c>
      <c r="AH79">
        <v>1.08</v>
      </c>
    </row>
    <row r="80" spans="1:34">
      <c r="A80" s="2">
        <f>HYPERLINK("https://finance.naver.com/item/coinfo.nhn?code=016590", "A016590")</f>
        <v>0</v>
      </c>
      <c r="B80">
        <f>HYPERLINK("http://comp.fnguide.com/SVO2/ASP/SVD_Consensus.asp?pGB=1&amp;gicode=A016590&amp;cID=&amp;MenuYn=Y&amp;ReportGB=&amp;NewMenuID=108&amp;stkGb=701", "신대양제지")</f>
        <v>0</v>
      </c>
      <c r="C80">
        <v>3</v>
      </c>
      <c r="D80">
        <v>65600</v>
      </c>
      <c r="E80">
        <v>0</v>
      </c>
      <c r="F80">
        <v>4.3</v>
      </c>
      <c r="G80">
        <v>235675</v>
      </c>
      <c r="H80">
        <v>159634</v>
      </c>
      <c r="I80">
        <v>138024</v>
      </c>
      <c r="J80">
        <v>-259.26</v>
      </c>
      <c r="K80">
        <v>-143.34</v>
      </c>
      <c r="L80">
        <v>-110.4</v>
      </c>
      <c r="M80">
        <v>17.12</v>
      </c>
      <c r="N80" t="b">
        <v>1</v>
      </c>
      <c r="O80">
        <v>0</v>
      </c>
      <c r="P80">
        <v>13849</v>
      </c>
      <c r="S80" t="s">
        <v>136</v>
      </c>
      <c r="T80" t="s">
        <v>457</v>
      </c>
      <c r="U80">
        <v>0</v>
      </c>
      <c r="V80">
        <v>-17</v>
      </c>
      <c r="W80" t="s">
        <v>774</v>
      </c>
      <c r="X80">
        <v>29.98273632658002</v>
      </c>
      <c r="Y80">
        <v>2644</v>
      </c>
      <c r="Z80">
        <v>24686</v>
      </c>
      <c r="AA80" t="s">
        <v>1091</v>
      </c>
      <c r="AB80">
        <v>53.49</v>
      </c>
      <c r="AC80" t="s">
        <v>1412</v>
      </c>
      <c r="AD80" t="s">
        <v>1733</v>
      </c>
      <c r="AE80">
        <v>6468</v>
      </c>
      <c r="AF80">
        <v>947</v>
      </c>
      <c r="AG80">
        <v>201500</v>
      </c>
      <c r="AH80">
        <v>1.05</v>
      </c>
    </row>
    <row r="81" spans="1:34">
      <c r="A81" s="2">
        <f>HYPERLINK("https://finance.naver.com/item/coinfo.nhn?code=241770", "A241770")</f>
        <v>0</v>
      </c>
      <c r="B81">
        <f>HYPERLINK("http://comp.fnguide.com/SVO2/ASP/SVD_Consensus.asp?pGB=1&amp;gicode=A241770&amp;cID=&amp;MenuYn=Y&amp;ReportGB=&amp;NewMenuID=108&amp;stkGb=701", "메카로")</f>
        <v>0</v>
      </c>
      <c r="C81">
        <v>3</v>
      </c>
      <c r="D81">
        <v>13350</v>
      </c>
      <c r="E81">
        <v>0</v>
      </c>
      <c r="F81">
        <v>18.81</v>
      </c>
      <c r="G81">
        <v>31981</v>
      </c>
      <c r="H81">
        <v>21483</v>
      </c>
      <c r="I81">
        <v>18500</v>
      </c>
      <c r="J81">
        <v>-139.56</v>
      </c>
      <c r="K81">
        <v>-60.92</v>
      </c>
      <c r="L81">
        <v>-38.58</v>
      </c>
      <c r="M81">
        <v>17.47</v>
      </c>
      <c r="N81" t="b">
        <v>1</v>
      </c>
      <c r="O81">
        <v>0</v>
      </c>
      <c r="P81">
        <v>819</v>
      </c>
      <c r="S81" t="s">
        <v>13</v>
      </c>
      <c r="T81" t="s">
        <v>334</v>
      </c>
      <c r="U81">
        <v>0</v>
      </c>
      <c r="V81">
        <v>-98.40000000000001</v>
      </c>
      <c r="W81" t="s">
        <v>655</v>
      </c>
      <c r="X81">
        <v>-53.38808199501476</v>
      </c>
      <c r="Y81">
        <v>1349</v>
      </c>
      <c r="Z81">
        <v>51760</v>
      </c>
      <c r="AA81" t="s">
        <v>968</v>
      </c>
      <c r="AB81">
        <v>60.36</v>
      </c>
      <c r="AC81" t="s">
        <v>1289</v>
      </c>
      <c r="AD81" t="s">
        <v>1610</v>
      </c>
      <c r="AE81">
        <v>725</v>
      </c>
      <c r="AF81">
        <v>86</v>
      </c>
      <c r="AG81">
        <v>380000</v>
      </c>
      <c r="AH81">
        <v>1.04</v>
      </c>
    </row>
    <row r="82" spans="1:34">
      <c r="A82" s="2">
        <f>HYPERLINK("https://finance.naver.com/item/coinfo.nhn?code=107590", "A107590")</f>
        <v>0</v>
      </c>
      <c r="B82">
        <f>HYPERLINK("http://comp.fnguide.com/SVO2/ASP/SVD_Consensus.asp?pGB=1&amp;gicode=A107590&amp;cID=&amp;MenuYn=Y&amp;ReportGB=&amp;NewMenuID=108&amp;stkGb=701", "미원홀딩스")</f>
        <v>0</v>
      </c>
      <c r="C82">
        <v>1</v>
      </c>
      <c r="D82">
        <v>70900</v>
      </c>
      <c r="E82">
        <v>0</v>
      </c>
      <c r="F82">
        <v>6.24</v>
      </c>
      <c r="G82">
        <v>74154</v>
      </c>
      <c r="H82">
        <v>67609</v>
      </c>
      <c r="I82">
        <v>65749</v>
      </c>
      <c r="J82">
        <v>-4.59</v>
      </c>
      <c r="K82">
        <v>4.64</v>
      </c>
      <c r="L82">
        <v>7.27</v>
      </c>
      <c r="M82">
        <v>9.300000000000001</v>
      </c>
      <c r="N82" t="b">
        <v>1</v>
      </c>
      <c r="O82">
        <v>0</v>
      </c>
      <c r="P82">
        <v>6591</v>
      </c>
      <c r="S82" t="s">
        <v>284</v>
      </c>
      <c r="T82" t="s">
        <v>605</v>
      </c>
      <c r="U82">
        <v>0</v>
      </c>
      <c r="V82">
        <v>19</v>
      </c>
      <c r="W82" t="s">
        <v>918</v>
      </c>
      <c r="X82">
        <v>13.17556714261634</v>
      </c>
      <c r="Y82">
        <v>1645</v>
      </c>
      <c r="Z82">
        <v>2689</v>
      </c>
      <c r="AA82" t="s">
        <v>1239</v>
      </c>
      <c r="AB82">
        <v>70.95999999999999</v>
      </c>
      <c r="AC82" t="s">
        <v>1560</v>
      </c>
      <c r="AD82" t="s">
        <v>1879</v>
      </c>
      <c r="AE82">
        <v>1884</v>
      </c>
      <c r="AF82">
        <v>78</v>
      </c>
      <c r="AH82">
        <v>0.97</v>
      </c>
    </row>
    <row r="83" spans="1:34">
      <c r="A83" s="2">
        <f>HYPERLINK("https://finance.naver.com/item/coinfo.nhn?code=006040", "A006040")</f>
        <v>0</v>
      </c>
      <c r="B83">
        <f>HYPERLINK("http://comp.fnguide.com/SVO2/ASP/SVD_Consensus.asp?pGB=1&amp;gicode=A006040&amp;cID=&amp;MenuYn=Y&amp;ReportGB=&amp;NewMenuID=108&amp;stkGb=701", "동원산업")</f>
        <v>0</v>
      </c>
      <c r="C83">
        <v>3</v>
      </c>
      <c r="D83">
        <v>212000</v>
      </c>
      <c r="E83">
        <v>-7.49</v>
      </c>
      <c r="F83">
        <v>16.74</v>
      </c>
      <c r="G83">
        <v>305216</v>
      </c>
      <c r="H83">
        <v>304985</v>
      </c>
      <c r="I83">
        <v>304919</v>
      </c>
      <c r="J83">
        <v>-43.97</v>
      </c>
      <c r="K83">
        <v>-43.86</v>
      </c>
      <c r="L83">
        <v>-43.83</v>
      </c>
      <c r="M83">
        <v>7.95</v>
      </c>
      <c r="N83" t="b">
        <v>0</v>
      </c>
      <c r="O83">
        <v>1</v>
      </c>
      <c r="P83">
        <v>12632</v>
      </c>
      <c r="Q83">
        <v>46361</v>
      </c>
      <c r="R83">
        <v>267</v>
      </c>
      <c r="S83" t="s">
        <v>147</v>
      </c>
      <c r="T83" t="s">
        <v>468</v>
      </c>
      <c r="U83">
        <v>-2.235652274055044</v>
      </c>
      <c r="V83">
        <v>161.1</v>
      </c>
      <c r="W83" t="s">
        <v>785</v>
      </c>
      <c r="X83">
        <v>57.06371283585647</v>
      </c>
      <c r="Y83">
        <v>7797</v>
      </c>
      <c r="Z83">
        <v>4663</v>
      </c>
      <c r="AA83" t="s">
        <v>1102</v>
      </c>
      <c r="AB83">
        <v>63.3</v>
      </c>
      <c r="AC83" t="s">
        <v>1423</v>
      </c>
      <c r="AD83" t="s">
        <v>1744</v>
      </c>
      <c r="AE83">
        <v>26826</v>
      </c>
      <c r="AF83">
        <v>1936</v>
      </c>
      <c r="AG83">
        <v>266581</v>
      </c>
      <c r="AH83">
        <v>0.95</v>
      </c>
    </row>
    <row r="84" spans="1:34">
      <c r="A84" s="2">
        <f>HYPERLINK("https://finance.naver.com/item/coinfo.nhn?code=267980", "A267980")</f>
        <v>0</v>
      </c>
      <c r="B84">
        <f>HYPERLINK("http://comp.fnguide.com/SVO2/ASP/SVD_Consensus.asp?pGB=1&amp;gicode=A267980&amp;cID=&amp;MenuYn=Y&amp;ReportGB=&amp;NewMenuID=108&amp;stkGb=701", "매일유업")</f>
        <v>0</v>
      </c>
      <c r="C84">
        <v>2</v>
      </c>
      <c r="D84">
        <v>68700</v>
      </c>
      <c r="E84">
        <v>0.53</v>
      </c>
      <c r="F84">
        <v>10.5</v>
      </c>
      <c r="G84">
        <v>98109</v>
      </c>
      <c r="H84">
        <v>70963</v>
      </c>
      <c r="I84">
        <v>63249</v>
      </c>
      <c r="J84">
        <v>-42.81</v>
      </c>
      <c r="K84">
        <v>-3.29</v>
      </c>
      <c r="L84">
        <v>7.93</v>
      </c>
      <c r="M84">
        <v>14.7</v>
      </c>
      <c r="N84" t="b">
        <v>1</v>
      </c>
      <c r="O84">
        <v>0</v>
      </c>
      <c r="P84">
        <v>8202</v>
      </c>
      <c r="Q84">
        <v>8124</v>
      </c>
      <c r="R84">
        <v>-1</v>
      </c>
      <c r="S84" t="s">
        <v>234</v>
      </c>
      <c r="T84" t="s">
        <v>555</v>
      </c>
      <c r="U84">
        <v>19.90496851166825</v>
      </c>
      <c r="V84">
        <v>-14.5</v>
      </c>
      <c r="W84" t="s">
        <v>871</v>
      </c>
      <c r="X84">
        <v>0</v>
      </c>
      <c r="Y84">
        <v>5389</v>
      </c>
      <c r="Z84">
        <v>23283</v>
      </c>
      <c r="AA84" t="s">
        <v>1189</v>
      </c>
      <c r="AB84">
        <v>56.27</v>
      </c>
      <c r="AC84" t="s">
        <v>1510</v>
      </c>
      <c r="AD84" t="s">
        <v>1830</v>
      </c>
      <c r="AE84">
        <v>13933</v>
      </c>
      <c r="AF84">
        <v>853</v>
      </c>
      <c r="AG84">
        <v>227402</v>
      </c>
      <c r="AH84">
        <v>0.93</v>
      </c>
    </row>
    <row r="85" spans="1:34">
      <c r="A85" s="2">
        <f>HYPERLINK("https://finance.naver.com/item/coinfo.nhn?code=007700", "A007700")</f>
        <v>0</v>
      </c>
      <c r="B85">
        <f>HYPERLINK("http://comp.fnguide.com/SVO2/ASP/SVD_Consensus.asp?pGB=1&amp;gicode=A007700&amp;cID=&amp;MenuYn=Y&amp;ReportGB=&amp;NewMenuID=108&amp;stkGb=701", "F&amp;F")</f>
        <v>0</v>
      </c>
      <c r="C85">
        <v>1</v>
      </c>
      <c r="D85">
        <v>83500</v>
      </c>
      <c r="E85">
        <v>5.54</v>
      </c>
      <c r="F85">
        <v>15.65</v>
      </c>
      <c r="G85">
        <v>110736</v>
      </c>
      <c r="H85">
        <v>63078</v>
      </c>
      <c r="I85">
        <v>49535</v>
      </c>
      <c r="J85">
        <v>-32.62</v>
      </c>
      <c r="K85">
        <v>24.46</v>
      </c>
      <c r="L85">
        <v>40.68</v>
      </c>
      <c r="M85">
        <v>27.89</v>
      </c>
      <c r="N85" t="b">
        <v>1</v>
      </c>
      <c r="O85">
        <v>0</v>
      </c>
      <c r="P85">
        <v>7156</v>
      </c>
      <c r="Q85">
        <v>5285</v>
      </c>
      <c r="R85">
        <v>-26.1</v>
      </c>
      <c r="S85" t="s">
        <v>257</v>
      </c>
      <c r="T85" t="s">
        <v>578</v>
      </c>
      <c r="U85">
        <v>2.824761190545155</v>
      </c>
      <c r="V85">
        <v>-38.7</v>
      </c>
      <c r="W85" t="s">
        <v>892</v>
      </c>
      <c r="X85">
        <v>40.25820900816466</v>
      </c>
      <c r="Y85">
        <v>12859</v>
      </c>
      <c r="Z85">
        <v>82332</v>
      </c>
      <c r="AA85" t="s">
        <v>1212</v>
      </c>
      <c r="AB85">
        <v>58.82</v>
      </c>
      <c r="AC85" t="s">
        <v>1533</v>
      </c>
      <c r="AD85" t="s">
        <v>1852</v>
      </c>
      <c r="AE85">
        <v>9103</v>
      </c>
      <c r="AF85">
        <v>1507</v>
      </c>
      <c r="AG85">
        <v>79896</v>
      </c>
      <c r="AH85">
        <v>0.89</v>
      </c>
    </row>
    <row r="86" spans="1:34">
      <c r="A86" s="2">
        <f>HYPERLINK("https://finance.naver.com/item/coinfo.nhn?code=312610", "A312610")</f>
        <v>0</v>
      </c>
      <c r="B86">
        <f>HYPERLINK("http://comp.fnguide.com/SVO2/ASP/SVD_Consensus.asp?pGB=1&amp;gicode=A312610&amp;cID=&amp;MenuYn=Y&amp;ReportGB=&amp;NewMenuID=108&amp;stkGb=701", "에이에프더블류")</f>
        <v>0</v>
      </c>
      <c r="C86">
        <v>1</v>
      </c>
      <c r="D86">
        <v>13350</v>
      </c>
      <c r="E86">
        <v>0</v>
      </c>
      <c r="F86">
        <v>21.02</v>
      </c>
      <c r="G86">
        <v>20655</v>
      </c>
      <c r="H86">
        <v>12546</v>
      </c>
      <c r="I86">
        <v>10242</v>
      </c>
      <c r="J86">
        <v>-54.72</v>
      </c>
      <c r="K86">
        <v>6.02</v>
      </c>
      <c r="L86">
        <v>23.28</v>
      </c>
      <c r="M86">
        <v>22.85</v>
      </c>
      <c r="N86" t="b">
        <v>1</v>
      </c>
      <c r="O86">
        <v>0</v>
      </c>
      <c r="P86">
        <v>602</v>
      </c>
      <c r="S86" t="s">
        <v>283</v>
      </c>
      <c r="T86" t="s">
        <v>604</v>
      </c>
      <c r="U86">
        <v>0</v>
      </c>
      <c r="V86">
        <v>-74</v>
      </c>
      <c r="W86" t="s">
        <v>917</v>
      </c>
      <c r="X86">
        <v>0</v>
      </c>
      <c r="Y86">
        <v>1352</v>
      </c>
      <c r="Z86">
        <v>73465</v>
      </c>
      <c r="AA86" t="s">
        <v>1238</v>
      </c>
      <c r="AB86">
        <v>52.75</v>
      </c>
      <c r="AC86" t="s">
        <v>1559</v>
      </c>
      <c r="AD86" t="s">
        <v>1878</v>
      </c>
      <c r="AE86">
        <v>260</v>
      </c>
      <c r="AF86">
        <v>72</v>
      </c>
      <c r="AH86">
        <v>0.79</v>
      </c>
    </row>
    <row r="87" spans="1:34">
      <c r="A87" s="2">
        <f>HYPERLINK("https://finance.naver.com/item/coinfo.nhn?code=239610", "A239610")</f>
        <v>0</v>
      </c>
      <c r="B87">
        <f>HYPERLINK("http://comp.fnguide.com/SVO2/ASP/SVD_Consensus.asp?pGB=1&amp;gicode=A239610&amp;cID=&amp;MenuYn=Y&amp;ReportGB=&amp;NewMenuID=108&amp;stkGb=701", "에이치엘사이언스")</f>
        <v>0</v>
      </c>
      <c r="C87">
        <v>1</v>
      </c>
      <c r="D87">
        <v>43450</v>
      </c>
      <c r="E87">
        <v>0</v>
      </c>
      <c r="F87">
        <v>14.25</v>
      </c>
      <c r="G87">
        <v>44021</v>
      </c>
      <c r="H87">
        <v>27307</v>
      </c>
      <c r="I87">
        <v>22558</v>
      </c>
      <c r="J87">
        <v>-1.32</v>
      </c>
      <c r="K87">
        <v>37.15</v>
      </c>
      <c r="L87">
        <v>48.08</v>
      </c>
      <c r="M87">
        <v>21.52</v>
      </c>
      <c r="N87" t="b">
        <v>1</v>
      </c>
      <c r="O87">
        <v>0</v>
      </c>
      <c r="P87">
        <v>3839</v>
      </c>
      <c r="S87" t="s">
        <v>282</v>
      </c>
      <c r="T87" t="s">
        <v>603</v>
      </c>
      <c r="U87">
        <v>0</v>
      </c>
      <c r="V87">
        <v>-4.4</v>
      </c>
      <c r="W87" t="s">
        <v>916</v>
      </c>
      <c r="X87">
        <v>17.65699495895263</v>
      </c>
      <c r="Y87">
        <v>2234</v>
      </c>
      <c r="Z87">
        <v>16624</v>
      </c>
      <c r="AA87" t="s">
        <v>1237</v>
      </c>
      <c r="AB87">
        <v>63.19</v>
      </c>
      <c r="AC87" t="s">
        <v>1558</v>
      </c>
      <c r="AD87" t="s">
        <v>1877</v>
      </c>
      <c r="AE87">
        <v>1283</v>
      </c>
      <c r="AF87">
        <v>237</v>
      </c>
      <c r="AG87">
        <v>142792</v>
      </c>
      <c r="AH87">
        <v>0.73</v>
      </c>
    </row>
    <row r="88" spans="1:34">
      <c r="A88" s="2">
        <f>HYPERLINK("https://finance.naver.com/item/coinfo.nhn?code=306040", "A306040")</f>
        <v>0</v>
      </c>
      <c r="B88">
        <f>HYPERLINK("http://comp.fnguide.com/SVO2/ASP/SVD_Consensus.asp?pGB=1&amp;gicode=A306040&amp;cID=&amp;MenuYn=Y&amp;ReportGB=&amp;NewMenuID=108&amp;stkGb=701", "에스제이그룹")</f>
        <v>0</v>
      </c>
      <c r="C88">
        <v>1</v>
      </c>
      <c r="D88">
        <v>15750</v>
      </c>
      <c r="E88">
        <v>0.06</v>
      </c>
      <c r="F88">
        <v>11.28</v>
      </c>
      <c r="G88">
        <v>27497</v>
      </c>
      <c r="H88">
        <v>15219</v>
      </c>
      <c r="I88">
        <v>11730</v>
      </c>
      <c r="J88">
        <v>-74.59</v>
      </c>
      <c r="K88">
        <v>3.37</v>
      </c>
      <c r="L88">
        <v>25.52</v>
      </c>
      <c r="M88">
        <v>30.79</v>
      </c>
      <c r="N88" t="b">
        <v>1</v>
      </c>
      <c r="O88">
        <v>0</v>
      </c>
      <c r="P88">
        <v>1785</v>
      </c>
      <c r="Q88">
        <v>1622</v>
      </c>
      <c r="R88">
        <v>-9.1</v>
      </c>
      <c r="S88" t="s">
        <v>285</v>
      </c>
      <c r="T88" t="s">
        <v>606</v>
      </c>
      <c r="U88">
        <v>183.7764722661201</v>
      </c>
      <c r="V88">
        <v>-14.7</v>
      </c>
      <c r="W88" t="s">
        <v>919</v>
      </c>
      <c r="X88">
        <v>0</v>
      </c>
      <c r="Y88">
        <v>1554</v>
      </c>
      <c r="Z88">
        <v>64259</v>
      </c>
      <c r="AA88" t="s">
        <v>1240</v>
      </c>
      <c r="AB88">
        <v>51.79</v>
      </c>
      <c r="AC88" t="s">
        <v>1561</v>
      </c>
      <c r="AD88" t="s">
        <v>1880</v>
      </c>
      <c r="AE88">
        <v>1095</v>
      </c>
      <c r="AF88">
        <v>164</v>
      </c>
      <c r="AG88">
        <v>78094</v>
      </c>
      <c r="AH88">
        <v>0.66</v>
      </c>
    </row>
    <row r="89" spans="1:34">
      <c r="A89" s="2">
        <f>HYPERLINK("https://finance.naver.com/item/coinfo.nhn?code=248170", "A248170")</f>
        <v>0</v>
      </c>
      <c r="B89">
        <f>HYPERLINK("http://comp.fnguide.com/SVO2/ASP/SVD_Consensus.asp?pGB=1&amp;gicode=A248170&amp;cID=&amp;MenuYn=Y&amp;ReportGB=&amp;NewMenuID=108&amp;stkGb=701", "샘표식품")</f>
        <v>0</v>
      </c>
      <c r="C89">
        <v>2</v>
      </c>
      <c r="D89">
        <v>45050</v>
      </c>
      <c r="E89">
        <v>0</v>
      </c>
      <c r="F89">
        <v>5.79</v>
      </c>
      <c r="G89">
        <v>68832</v>
      </c>
      <c r="H89">
        <v>48103</v>
      </c>
      <c r="I89">
        <v>42213</v>
      </c>
      <c r="J89">
        <v>-52.79</v>
      </c>
      <c r="K89">
        <v>-6.78</v>
      </c>
      <c r="L89">
        <v>6.3</v>
      </c>
      <c r="M89">
        <v>15.9</v>
      </c>
      <c r="N89" t="b">
        <v>1</v>
      </c>
      <c r="O89">
        <v>0</v>
      </c>
      <c r="P89">
        <v>5870</v>
      </c>
      <c r="S89" t="s">
        <v>229</v>
      </c>
      <c r="T89" t="s">
        <v>550</v>
      </c>
      <c r="U89">
        <v>0</v>
      </c>
      <c r="V89">
        <v>48.1</v>
      </c>
      <c r="W89" t="s">
        <v>866</v>
      </c>
      <c r="X89">
        <v>0</v>
      </c>
      <c r="Y89">
        <v>2058</v>
      </c>
      <c r="Z89">
        <v>10395</v>
      </c>
      <c r="AA89" t="s">
        <v>1184</v>
      </c>
      <c r="AB89">
        <v>60.02</v>
      </c>
      <c r="AC89" t="s">
        <v>1505</v>
      </c>
      <c r="AD89" t="s">
        <v>1825</v>
      </c>
      <c r="AE89">
        <v>2808</v>
      </c>
      <c r="AF89">
        <v>310</v>
      </c>
      <c r="AG89">
        <v>1690</v>
      </c>
      <c r="AH89">
        <v>0.59</v>
      </c>
    </row>
    <row r="90" spans="1:34">
      <c r="A90" s="2">
        <f>HYPERLINK("https://finance.naver.com/item/coinfo.nhn?code=030960", "A030960")</f>
        <v>0</v>
      </c>
      <c r="B90">
        <f>HYPERLINK("http://comp.fnguide.com/SVO2/ASP/SVD_Consensus.asp?pGB=1&amp;gicode=A030960&amp;cID=&amp;MenuYn=Y&amp;ReportGB=&amp;NewMenuID=108&amp;stkGb=701", "양지사")</f>
        <v>0</v>
      </c>
      <c r="C90">
        <v>3</v>
      </c>
      <c r="D90">
        <v>10150</v>
      </c>
      <c r="E90">
        <v>0</v>
      </c>
      <c r="F90">
        <v>1.28</v>
      </c>
      <c r="G90">
        <v>84479</v>
      </c>
      <c r="H90">
        <v>41924</v>
      </c>
      <c r="I90">
        <v>29831</v>
      </c>
      <c r="J90">
        <v>-732.3</v>
      </c>
      <c r="K90">
        <v>-313.05</v>
      </c>
      <c r="L90">
        <v>-193.9</v>
      </c>
      <c r="M90">
        <v>48.77</v>
      </c>
      <c r="N90" t="b">
        <v>1</v>
      </c>
      <c r="O90">
        <v>0</v>
      </c>
      <c r="P90">
        <v>7553</v>
      </c>
      <c r="S90" t="s">
        <v>93</v>
      </c>
      <c r="T90" t="s">
        <v>414</v>
      </c>
      <c r="U90">
        <v>0</v>
      </c>
      <c r="V90">
        <v>-25.1</v>
      </c>
      <c r="W90" t="s">
        <v>731</v>
      </c>
      <c r="X90">
        <v>99.76584356862139</v>
      </c>
      <c r="Y90">
        <v>1622</v>
      </c>
      <c r="Z90">
        <v>62034</v>
      </c>
      <c r="AA90" t="s">
        <v>1048</v>
      </c>
      <c r="AB90">
        <v>75.53</v>
      </c>
      <c r="AC90" t="s">
        <v>1369</v>
      </c>
      <c r="AD90" t="s">
        <v>1690</v>
      </c>
      <c r="AE90">
        <v>489</v>
      </c>
      <c r="AF90">
        <v>17</v>
      </c>
      <c r="AG90">
        <v>2243930</v>
      </c>
      <c r="AH90">
        <v>0.52</v>
      </c>
    </row>
    <row r="91" spans="1:34">
      <c r="A91" s="2">
        <f>HYPERLINK("https://finance.naver.com/item/coinfo.nhn?code=290720", "A290720")</f>
        <v>0</v>
      </c>
      <c r="B91">
        <f>HYPERLINK("http://comp.fnguide.com/SVO2/ASP/SVD_Consensus.asp?pGB=1&amp;gicode=A290720&amp;cID=&amp;MenuYn=Y&amp;ReportGB=&amp;NewMenuID=108&amp;stkGb=701", "푸드나무")</f>
        <v>0</v>
      </c>
      <c r="C91">
        <v>1</v>
      </c>
      <c r="D91">
        <v>22100</v>
      </c>
      <c r="E91">
        <v>2.34</v>
      </c>
      <c r="F91">
        <v>25.19</v>
      </c>
      <c r="G91">
        <v>22866</v>
      </c>
      <c r="H91">
        <v>13641</v>
      </c>
      <c r="I91">
        <v>11019</v>
      </c>
      <c r="J91">
        <v>-3.46</v>
      </c>
      <c r="K91">
        <v>38.28</v>
      </c>
      <c r="L91">
        <v>50.14</v>
      </c>
      <c r="M91">
        <v>24.1</v>
      </c>
      <c r="N91" t="b">
        <v>1</v>
      </c>
      <c r="O91">
        <v>1</v>
      </c>
      <c r="P91">
        <v>655</v>
      </c>
      <c r="Q91">
        <v>1014</v>
      </c>
      <c r="R91">
        <v>54.8</v>
      </c>
      <c r="S91" t="s">
        <v>267</v>
      </c>
      <c r="T91" t="s">
        <v>588</v>
      </c>
      <c r="U91">
        <v>10.74774858649659</v>
      </c>
      <c r="V91">
        <v>34</v>
      </c>
      <c r="W91" t="s">
        <v>902</v>
      </c>
      <c r="X91">
        <v>0</v>
      </c>
      <c r="Y91">
        <v>1504</v>
      </c>
      <c r="Z91">
        <v>16573</v>
      </c>
      <c r="AA91" t="s">
        <v>1222</v>
      </c>
      <c r="AB91">
        <v>74.3</v>
      </c>
      <c r="AC91" t="s">
        <v>1543</v>
      </c>
      <c r="AD91" t="s">
        <v>1862</v>
      </c>
      <c r="AE91">
        <v>648</v>
      </c>
      <c r="AF91">
        <v>55</v>
      </c>
      <c r="AG91">
        <v>76384</v>
      </c>
      <c r="AH91">
        <v>0.42</v>
      </c>
    </row>
    <row r="92" spans="1:34">
      <c r="A92" s="2">
        <f>HYPERLINK("https://finance.naver.com/item/coinfo.nhn?code=043150", "A043150")</f>
        <v>0</v>
      </c>
      <c r="B92">
        <f>HYPERLINK("http://comp.fnguide.com/SVO2/ASP/SVD_Consensus.asp?pGB=1&amp;gicode=A043150&amp;cID=&amp;MenuYn=Y&amp;ReportGB=&amp;NewMenuID=108&amp;stkGb=701", "바텍")</f>
        <v>0</v>
      </c>
      <c r="C92">
        <v>2</v>
      </c>
      <c r="D92">
        <v>23250</v>
      </c>
      <c r="E92">
        <v>-0.34</v>
      </c>
      <c r="F92">
        <v>12.8</v>
      </c>
      <c r="G92">
        <v>40689</v>
      </c>
      <c r="H92">
        <v>26273</v>
      </c>
      <c r="I92">
        <v>22176</v>
      </c>
      <c r="J92">
        <v>-75.01000000000001</v>
      </c>
      <c r="K92">
        <v>-13</v>
      </c>
      <c r="L92">
        <v>4.62</v>
      </c>
      <c r="M92">
        <v>19.31</v>
      </c>
      <c r="N92" t="b">
        <v>1</v>
      </c>
      <c r="O92">
        <v>0</v>
      </c>
      <c r="P92">
        <v>2281</v>
      </c>
      <c r="Q92">
        <v>1270</v>
      </c>
      <c r="R92">
        <v>-44.3</v>
      </c>
      <c r="S92" t="s">
        <v>220</v>
      </c>
      <c r="T92" t="s">
        <v>541</v>
      </c>
      <c r="U92">
        <v>-37.95380697057028</v>
      </c>
      <c r="V92">
        <v>-65</v>
      </c>
      <c r="W92" t="s">
        <v>857</v>
      </c>
      <c r="X92">
        <v>-11.03332079656073</v>
      </c>
      <c r="Y92">
        <v>3454</v>
      </c>
      <c r="Z92">
        <v>94601</v>
      </c>
      <c r="AA92" t="s">
        <v>1175</v>
      </c>
      <c r="AB92">
        <v>53.65</v>
      </c>
      <c r="AC92" t="s">
        <v>1496</v>
      </c>
      <c r="AD92" t="s">
        <v>1816</v>
      </c>
      <c r="AE92">
        <v>2717</v>
      </c>
      <c r="AF92">
        <v>429</v>
      </c>
      <c r="AH92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2020-12-09T22:32:04Z</dcterms:created>
  <dcterms:modified xsi:type="dcterms:W3CDTF">2020-12-09T22:32:04Z</dcterms:modified>
</cp:coreProperties>
</file>