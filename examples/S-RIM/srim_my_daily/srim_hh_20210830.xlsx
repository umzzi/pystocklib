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<sst xmlns="http://schemas.openxmlformats.org/spreadsheetml/2006/main" count="190" uniqueCount="68">
  <si>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</si>
  <si>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</si>
  <si>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</si>
  <si>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</si>
  <si>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</si>
  <si>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</si>
  <si>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</si>
  <si>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</si>
  <si>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</si>
  <si>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</si>
  <si>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</si>
  <si>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</si>
  <si>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</si>
  <si>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</si>
  <si>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</si>
  <si>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</si>
  <si>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</si>
  <si>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</si>
  <si>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</si>
  <si>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</si>
  <si>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</si>
  <si>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</si>
  <si>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</si>
  <si>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</si>
  <si>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</si>
  <si>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</si>
  <si>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</si>
  <si>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</si>
  <si>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</si>
  <si>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</si>
  <si>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</si>
  <si>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</si>
  <si>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</si>
  <si>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</si>
  <si>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</si>
  <si>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</si>
  <si>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A111770</t>
  </si>
  <si>
    <t>A243070</t>
  </si>
  <si>
    <t>A010780</t>
  </si>
  <si>
    <t>A067900</t>
  </si>
  <si>
    <t>영원무역</t>
  </si>
  <si>
    <t>휴온스</t>
  </si>
  <si>
    <t>아이에스동서</t>
  </si>
  <si>
    <t>와이엔텍</t>
  </si>
  <si>
    <t>[2551.0, 3753.0, 3332.0, 4582.0]</t>
  </si>
  <si>
    <t>[4165.0, 3518.0, 5118.0, 3748.0]</t>
  </si>
  <si>
    <t>[7947.0, 2138.0, 4022.0, 4663.0]</t>
  </si>
  <si>
    <t>[496.0, 1012.0, 1203.0, nan]</t>
  </si>
  <si>
    <t>[47.1, -11.2, 37.5]</t>
  </si>
  <si>
    <t>[-15.5, 45.5, -26.8]</t>
  </si>
  <si>
    <t>[-73.1, 88.1, 15.9]</t>
  </si>
  <si>
    <t>[104.0, 18.9, nan]</t>
  </si>
  <si>
    <t>[-1.2, 4.0, 47.1, -11.2, 55.5]</t>
  </si>
  <si>
    <t>[128.7, 29.0, -15.5, 45.5, -12.5]</t>
  </si>
  <si>
    <t>[-8.4, 25.5, -73.1, 88.1, -57.6]</t>
  </si>
  <si>
    <t>[75.3, -21.5, 104.0, 18.8, -1.4]</t>
  </si>
  <si>
    <t>[15446.0, 18435.0, 18348.0, 19967.0]</t>
  </si>
  <si>
    <t>[1633.0, 1945.0, 2388.0, 2597.0]</t>
  </si>
  <si>
    <t>[10667.0, 10983.0, 11774.0, 12490.0]</t>
  </si>
  <si>
    <t>[1166.0, 1348.0, 1572.0, nan]</t>
  </si>
  <si>
    <t>[8.15, 9.82, 8.03, 10.6]</t>
  </si>
  <si>
    <t>[31.64, 21.36, 25.66, 16.33]</t>
  </si>
  <si>
    <t>[23.01, 6.1, 10.92, 11.87]</t>
  </si>
  <si>
    <t>[8.06, 14.66, 15.0, nan]</t>
  </si>
  <si>
    <t>[15.03, 9.13, 9.51, 9.16]</t>
  </si>
  <si>
    <t>[14.23, 13.97, 12.07, 15.18]</t>
  </si>
  <si>
    <t>[3.86, 15.41, 13.28, 10.36]</t>
  </si>
  <si>
    <t>[9.03, 10.32, 11.43,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</si>
</sst>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40</v>
      </c>
      <c r="C2">
        <f>HYPERLINK("https://finance.naver.com/item/coinfo.nhn?code=111770", "A111770")</f>
        <v>0</v>
      </c>
      <c r="D2">
        <f>HYPERLINK("http://comp.fnguide.com/SVO2/ASP/SVD_Consensus.asp?pGB=1&amp;gicode=A111770&amp;cID=&amp;MenuYn=Y&amp;ReportGB=&amp;NewMenuID=108&amp;stkGb=701", "영원무역")</f>
        <v>0</v>
      </c>
      <c r="E2">
        <v>3</v>
      </c>
      <c r="F2">
        <v>41950</v>
      </c>
      <c r="G2">
        <v>0.44</v>
      </c>
      <c r="H2">
        <v>9.51</v>
      </c>
      <c r="I2">
        <v>44268</v>
      </c>
      <c r="J2">
        <v>42815</v>
      </c>
      <c r="K2">
        <v>42394</v>
      </c>
      <c r="L2">
        <v>-5.52</v>
      </c>
      <c r="M2">
        <v>-2.06</v>
      </c>
      <c r="N2">
        <v>-1.06</v>
      </c>
      <c r="O2">
        <v>8.65</v>
      </c>
      <c r="P2" t="b">
        <v>1</v>
      </c>
      <c r="Q2">
        <v>1</v>
      </c>
      <c r="R2">
        <v>3332</v>
      </c>
      <c r="S2">
        <v>4582</v>
      </c>
      <c r="T2">
        <v>37.5</v>
      </c>
      <c r="U2" t="s">
        <v>44</v>
      </c>
      <c r="V2" t="s">
        <v>48</v>
      </c>
      <c r="W2">
        <v>21.5559193222433</v>
      </c>
      <c r="X2">
        <v>55.5</v>
      </c>
      <c r="Y2" t="s">
        <v>52</v>
      </c>
      <c r="Z2">
        <v>15.85352788844439</v>
      </c>
      <c r="AA2">
        <v>18589</v>
      </c>
      <c r="AB2">
        <v>147854</v>
      </c>
      <c r="AC2" t="s">
        <v>56</v>
      </c>
      <c r="AD2">
        <v>50.74</v>
      </c>
      <c r="AE2" t="s">
        <v>60</v>
      </c>
      <c r="AF2" t="s">
        <v>64</v>
      </c>
      <c r="AG2">
        <v>24664</v>
      </c>
      <c r="AH2">
        <v>2597</v>
      </c>
      <c r="AI2">
        <v>445407</v>
      </c>
      <c r="AJ2">
        <v>1.58</v>
      </c>
    </row>
    <row r="3" spans="1:36">
      <c r="A3" s="1" t="s">
        <v>37</v>
      </c>
      <c r="B3" t="s">
        <v>41</v>
      </c>
      <c r="C3">
        <f>HYPERLINK("https://finance.naver.com/item/coinfo.nhn?code=243070", "A243070")</f>
        <v>0</v>
      </c>
      <c r="D3">
        <f>HYPERLINK("http://comp.fnguide.com/SVO2/ASP/SVD_Consensus.asp?pGB=1&amp;gicode=A243070&amp;cID=&amp;MenuYn=Y&amp;ReportGB=&amp;NewMenuID=108&amp;stkGb=701", "휴온스")</f>
        <v>0</v>
      </c>
      <c r="E3">
        <v>1</v>
      </c>
      <c r="F3">
        <v>56900</v>
      </c>
      <c r="G3">
        <v>-3.5</v>
      </c>
      <c r="H3">
        <v>12.07</v>
      </c>
      <c r="I3">
        <v>68501</v>
      </c>
      <c r="J3">
        <v>40930</v>
      </c>
      <c r="K3">
        <v>32933</v>
      </c>
      <c r="L3">
        <v>-20.39</v>
      </c>
      <c r="M3">
        <v>28.07</v>
      </c>
      <c r="N3">
        <v>42.12</v>
      </c>
      <c r="O3">
        <v>25.22</v>
      </c>
      <c r="P3" t="b">
        <v>1</v>
      </c>
      <c r="Q3">
        <v>0</v>
      </c>
      <c r="R3">
        <v>5118</v>
      </c>
      <c r="S3">
        <v>3748</v>
      </c>
      <c r="T3">
        <v>-26.8</v>
      </c>
      <c r="U3" t="s">
        <v>45</v>
      </c>
      <c r="V3" t="s">
        <v>49</v>
      </c>
      <c r="W3">
        <v>-3.451930487703747</v>
      </c>
      <c r="X3">
        <v>-12.5</v>
      </c>
      <c r="Y3" t="s">
        <v>53</v>
      </c>
      <c r="Z3">
        <v>25.98438666872125</v>
      </c>
      <c r="AA3">
        <v>6179</v>
      </c>
      <c r="AB3">
        <v>11900</v>
      </c>
      <c r="AC3" t="s">
        <v>57</v>
      </c>
      <c r="AD3">
        <v>45.02</v>
      </c>
      <c r="AE3" t="s">
        <v>61</v>
      </c>
      <c r="AF3" t="s">
        <v>65</v>
      </c>
      <c r="AG3">
        <v>4067</v>
      </c>
      <c r="AH3">
        <v>541</v>
      </c>
      <c r="AI3">
        <v>96996</v>
      </c>
      <c r="AJ3">
        <v>0.88</v>
      </c>
    </row>
    <row r="4" spans="1:36">
      <c r="A4" s="1" t="s">
        <v>38</v>
      </c>
      <c r="B4" t="s">
        <v>42</v>
      </c>
      <c r="C4">
        <f>HYPERLINK("https://finance.naver.com/item/coinfo.nhn?code=010780", "A010780")</f>
        <v>0</v>
      </c>
      <c r="D4">
        <f>HYPERLINK("http://comp.fnguide.com/SVO2/ASP/SVD_Consensus.asp?pGB=1&amp;gicode=A010780&amp;cID=&amp;MenuYn=Y&amp;ReportGB=&amp;NewMenuID=108&amp;stkGb=701", "아이에스동서")</f>
        <v>0</v>
      </c>
      <c r="E4">
        <v>1</v>
      </c>
      <c r="F4">
        <v>48300</v>
      </c>
      <c r="G4">
        <v>-0.8100000000000001</v>
      </c>
      <c r="H4">
        <v>13.28</v>
      </c>
      <c r="I4">
        <v>53624</v>
      </c>
      <c r="J4">
        <v>44723</v>
      </c>
      <c r="K4">
        <v>42142</v>
      </c>
      <c r="L4">
        <v>-11.02</v>
      </c>
      <c r="M4">
        <v>7.4</v>
      </c>
      <c r="N4">
        <v>12.75</v>
      </c>
      <c r="O4">
        <v>11.33</v>
      </c>
      <c r="P4" t="b">
        <v>1</v>
      </c>
      <c r="Q4">
        <v>2</v>
      </c>
      <c r="R4">
        <v>4022</v>
      </c>
      <c r="S4">
        <v>4663</v>
      </c>
      <c r="T4">
        <v>15.9</v>
      </c>
      <c r="U4" t="s">
        <v>46</v>
      </c>
      <c r="V4" t="s">
        <v>50</v>
      </c>
      <c r="W4">
        <v>-16.29690748527085</v>
      </c>
      <c r="X4">
        <v>-57.6</v>
      </c>
      <c r="Y4" t="s">
        <v>54</v>
      </c>
      <c r="Z4">
        <v>-24.41959298854306</v>
      </c>
      <c r="AA4">
        <v>14921</v>
      </c>
      <c r="AB4">
        <v>71386</v>
      </c>
      <c r="AC4" t="s">
        <v>58</v>
      </c>
      <c r="AD4">
        <v>54.73</v>
      </c>
      <c r="AE4" t="s">
        <v>62</v>
      </c>
      <c r="AF4" t="s">
        <v>66</v>
      </c>
      <c r="AG4">
        <v>12004</v>
      </c>
      <c r="AH4">
        <v>2090</v>
      </c>
      <c r="AI4">
        <v>447941</v>
      </c>
      <c r="AJ4">
        <v>1.87</v>
      </c>
    </row>
    <row r="5" spans="1:36">
      <c r="A5" s="1" t="s">
        <v>39</v>
      </c>
      <c r="B5" t="s">
        <v>43</v>
      </c>
      <c r="C5">
        <f>HYPERLINK("https://finance.naver.com/item/coinfo.nhn?code=067900", "A067900")</f>
        <v>0</v>
      </c>
      <c r="D5">
        <f>HYPERLINK("http://comp.fnguide.com/SVO2/ASP/SVD_Consensus.asp?pGB=1&amp;gicode=A067900&amp;cID=&amp;MenuYn=Y&amp;ReportGB=&amp;NewMenuID=108&amp;stkGb=701", "와이엔텍")</f>
        <v>0</v>
      </c>
      <c r="E5">
        <v>1</v>
      </c>
      <c r="F5">
        <v>13800</v>
      </c>
      <c r="G5">
        <v>0</v>
      </c>
      <c r="H5">
        <v>11.43</v>
      </c>
      <c r="I5">
        <v>14596</v>
      </c>
      <c r="J5">
        <v>11077</v>
      </c>
      <c r="K5">
        <v>10057</v>
      </c>
      <c r="L5">
        <v>-5.77</v>
      </c>
      <c r="M5">
        <v>19.73</v>
      </c>
      <c r="N5">
        <v>27.13</v>
      </c>
      <c r="O5">
        <v>13.73</v>
      </c>
      <c r="P5" t="b">
        <v>1</v>
      </c>
      <c r="Q5">
        <v>0</v>
      </c>
      <c r="R5">
        <v>1203</v>
      </c>
      <c r="U5" t="s">
        <v>47</v>
      </c>
      <c r="V5" t="s">
        <v>51</v>
      </c>
      <c r="W5">
        <v>0</v>
      </c>
      <c r="X5">
        <v>-1.4</v>
      </c>
      <c r="Y5" t="s">
        <v>55</v>
      </c>
      <c r="Z5">
        <v>26.88054024766924</v>
      </c>
      <c r="AA5">
        <v>2512</v>
      </c>
      <c r="AB5">
        <v>165685</v>
      </c>
      <c r="AC5" t="s">
        <v>59</v>
      </c>
      <c r="AD5">
        <v>45.73</v>
      </c>
      <c r="AE5" t="s">
        <v>63</v>
      </c>
      <c r="AF5" t="s">
        <v>67</v>
      </c>
      <c r="AG5">
        <v>1060</v>
      </c>
      <c r="AH5">
        <v>317</v>
      </c>
      <c r="AI5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38</v>
      </c>
      <c r="B2" t="s">
        <v>42</v>
      </c>
      <c r="C2">
        <f>HYPERLINK("https://finance.naver.com/item/coinfo.nhn?code=010780", "A010780")</f>
        <v>0</v>
      </c>
      <c r="D2">
        <f>HYPERLINK("http://comp.fnguide.com/SVO2/ASP/SVD_Consensus.asp?pGB=1&amp;gicode=A010780&amp;cID=&amp;MenuYn=Y&amp;ReportGB=&amp;NewMenuID=108&amp;stkGb=701", "아이에스동서")</f>
        <v>0</v>
      </c>
      <c r="E2">
        <v>1</v>
      </c>
      <c r="F2">
        <v>48300</v>
      </c>
      <c r="G2">
        <v>-0.8100000000000001</v>
      </c>
      <c r="H2">
        <v>13.28</v>
      </c>
      <c r="I2">
        <v>53624</v>
      </c>
      <c r="J2">
        <v>44723</v>
      </c>
      <c r="K2">
        <v>42142</v>
      </c>
      <c r="L2">
        <v>-11.02</v>
      </c>
      <c r="M2">
        <v>7.4</v>
      </c>
      <c r="N2">
        <v>12.75</v>
      </c>
      <c r="O2">
        <v>11.33</v>
      </c>
      <c r="P2" t="b">
        <v>1</v>
      </c>
      <c r="Q2">
        <v>2</v>
      </c>
      <c r="R2">
        <v>4022</v>
      </c>
      <c r="S2">
        <v>4663</v>
      </c>
      <c r="T2">
        <v>15.9</v>
      </c>
      <c r="U2" t="s">
        <v>46</v>
      </c>
      <c r="V2" t="s">
        <v>50</v>
      </c>
      <c r="W2">
        <v>-16.29690748527085</v>
      </c>
      <c r="X2">
        <v>-57.6</v>
      </c>
      <c r="Y2" t="s">
        <v>54</v>
      </c>
      <c r="Z2">
        <v>-24.41959298854306</v>
      </c>
      <c r="AA2">
        <v>14921</v>
      </c>
      <c r="AB2">
        <v>71386</v>
      </c>
      <c r="AC2" t="s">
        <v>58</v>
      </c>
      <c r="AD2">
        <v>54.73</v>
      </c>
      <c r="AE2" t="s">
        <v>62</v>
      </c>
      <c r="AF2" t="s">
        <v>66</v>
      </c>
      <c r="AG2">
        <v>12004</v>
      </c>
      <c r="AH2">
        <v>2090</v>
      </c>
      <c r="AI2">
        <v>447941</v>
      </c>
      <c r="AJ2">
        <v>1.87</v>
      </c>
    </row>
    <row r="3" spans="1:36">
      <c r="A3" s="1" t="s">
        <v>36</v>
      </c>
      <c r="B3" t="s">
        <v>40</v>
      </c>
      <c r="C3">
        <f>HYPERLINK("https://finance.naver.com/item/coinfo.nhn?code=111770", "A111770")</f>
        <v>0</v>
      </c>
      <c r="D3">
        <f>HYPERLINK("http://comp.fnguide.com/SVO2/ASP/SVD_Consensus.asp?pGB=1&amp;gicode=A111770&amp;cID=&amp;MenuYn=Y&amp;ReportGB=&amp;NewMenuID=108&amp;stkGb=701", "영원무역")</f>
        <v>0</v>
      </c>
      <c r="E3">
        <v>3</v>
      </c>
      <c r="F3">
        <v>41950</v>
      </c>
      <c r="G3">
        <v>0.44</v>
      </c>
      <c r="H3">
        <v>9.51</v>
      </c>
      <c r="I3">
        <v>44268</v>
      </c>
      <c r="J3">
        <v>42815</v>
      </c>
      <c r="K3">
        <v>42394</v>
      </c>
      <c r="L3">
        <v>-5.52</v>
      </c>
      <c r="M3">
        <v>-2.06</v>
      </c>
      <c r="N3">
        <v>-1.06</v>
      </c>
      <c r="O3">
        <v>8.65</v>
      </c>
      <c r="P3" t="b">
        <v>1</v>
      </c>
      <c r="Q3">
        <v>1</v>
      </c>
      <c r="R3">
        <v>3332</v>
      </c>
      <c r="S3">
        <v>4582</v>
      </c>
      <c r="T3">
        <v>37.5</v>
      </c>
      <c r="U3" t="s">
        <v>44</v>
      </c>
      <c r="V3" t="s">
        <v>48</v>
      </c>
      <c r="W3">
        <v>21.5559193222433</v>
      </c>
      <c r="X3">
        <v>55.5</v>
      </c>
      <c r="Y3" t="s">
        <v>52</v>
      </c>
      <c r="Z3">
        <v>15.85352788844439</v>
      </c>
      <c r="AA3">
        <v>18589</v>
      </c>
      <c r="AB3">
        <v>147854</v>
      </c>
      <c r="AC3" t="s">
        <v>56</v>
      </c>
      <c r="AD3">
        <v>50.74</v>
      </c>
      <c r="AE3" t="s">
        <v>60</v>
      </c>
      <c r="AF3" t="s">
        <v>64</v>
      </c>
      <c r="AG3">
        <v>24664</v>
      </c>
      <c r="AH3">
        <v>2597</v>
      </c>
      <c r="AI3">
        <v>445407</v>
      </c>
      <c r="AJ3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2021-08-30T14:55:28Z</dcterms:created>
  <dcterms:modified xsi:type="dcterms:W3CDTF">2021-08-30T14:55:28Z</dcterms:modified>
</cp:coreProperties>
</file>