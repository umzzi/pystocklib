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<sst xmlns="http://schemas.openxmlformats.org/spreadsheetml/2006/main" count="7190" uniqueCount="5378">
  <si>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</si>
  <si>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</si>
  <si>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</si>
  <si>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</si>
  <si>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</si>
  <si>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</si>
  <si>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</si>
  <si>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</si>
  <si>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</si>
  <si>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</si>
  <si>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</si>
  <si>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</si>
  <si>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</si>
  <si>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</si>
  <si>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</si>
  <si>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</si>
  <si>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</si>
  <si>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</si>
  <si>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</si>
  <si>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</si>
  <si>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</si>
  <si>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</si>
  <si>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</si>
  <si>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</si>
  <si>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</si>
  <si>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</si>
  <si>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</si>
  <si>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</si>
  <si>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</si>
  <si>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</si>
  <si>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</si>
  <si>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</si>
  <si>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</si>
  <si>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</si>
  <si>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</si>
  <si>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</si>
  <si>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A006840</t>
  </si>
  <si>
    <t>A036190</t>
  </si>
  <si>
    <t>A042420</t>
  </si>
  <si>
    <t>A137940</t>
  </si>
  <si>
    <t>A054050</t>
  </si>
  <si>
    <t>A900100</t>
  </si>
  <si>
    <t>A032190</t>
  </si>
  <si>
    <t>A008830</t>
  </si>
  <si>
    <t>A004780</t>
  </si>
  <si>
    <t>A017650</t>
  </si>
  <si>
    <t>A007720</t>
  </si>
  <si>
    <t>A108380</t>
  </si>
  <si>
    <t>A006580</t>
  </si>
  <si>
    <t>A007680</t>
  </si>
  <si>
    <t>A005710</t>
  </si>
  <si>
    <t>A067990</t>
  </si>
  <si>
    <t>A005160</t>
  </si>
  <si>
    <t>A212560</t>
  </si>
  <si>
    <t>A900070</t>
  </si>
  <si>
    <t>A079960</t>
  </si>
  <si>
    <t>A043650</t>
  </si>
  <si>
    <t>A028150</t>
  </si>
  <si>
    <t>A045890</t>
  </si>
  <si>
    <t>A950170</t>
  </si>
  <si>
    <t>A024840</t>
  </si>
  <si>
    <t>A021320</t>
  </si>
  <si>
    <t>A151860</t>
  </si>
  <si>
    <t>A091340</t>
  </si>
  <si>
    <t>A040610</t>
  </si>
  <si>
    <t>A016250</t>
  </si>
  <si>
    <t>A032540</t>
  </si>
  <si>
    <t>A038340</t>
  </si>
  <si>
    <t>A051390</t>
  </si>
  <si>
    <t>A900280</t>
  </si>
  <si>
    <t>A121440</t>
  </si>
  <si>
    <t>A066620</t>
  </si>
  <si>
    <t>A088130</t>
  </si>
  <si>
    <t>A088910</t>
  </si>
  <si>
    <t>A016800</t>
  </si>
  <si>
    <t>A213090</t>
  </si>
  <si>
    <t>A035620</t>
  </si>
  <si>
    <t>A019010</t>
  </si>
  <si>
    <t>A008470</t>
  </si>
  <si>
    <t>A141000</t>
  </si>
  <si>
    <t>A093190</t>
  </si>
  <si>
    <t>A072950</t>
  </si>
  <si>
    <t>A018310</t>
  </si>
  <si>
    <t>A053700</t>
  </si>
  <si>
    <t>A023600</t>
  </si>
  <si>
    <t>A009300</t>
  </si>
  <si>
    <t>A054540</t>
  </si>
  <si>
    <t>A037460</t>
  </si>
  <si>
    <t>A032750</t>
  </si>
  <si>
    <t>A017480</t>
  </si>
  <si>
    <t>A038540</t>
  </si>
  <si>
    <t>A950190</t>
  </si>
  <si>
    <t>A095500</t>
  </si>
  <si>
    <t>A013120</t>
  </si>
  <si>
    <t>A001810</t>
  </si>
  <si>
    <t>A109860</t>
  </si>
  <si>
    <t>A066670</t>
  </si>
  <si>
    <t>A066900</t>
  </si>
  <si>
    <t>A043360</t>
  </si>
  <si>
    <t>A033600</t>
  </si>
  <si>
    <t>A900260</t>
  </si>
  <si>
    <t>A038060</t>
  </si>
  <si>
    <t>A016100</t>
  </si>
  <si>
    <t>A012700</t>
  </si>
  <si>
    <t>A038290</t>
  </si>
  <si>
    <t>A005990</t>
  </si>
  <si>
    <t>A072870</t>
  </si>
  <si>
    <t>A014100</t>
  </si>
  <si>
    <t>A241770</t>
  </si>
  <si>
    <t>A101330</t>
  </si>
  <si>
    <t>A900290</t>
  </si>
  <si>
    <t>A068790</t>
  </si>
  <si>
    <t>A023460</t>
  </si>
  <si>
    <t>A024720</t>
  </si>
  <si>
    <t>A034830</t>
  </si>
  <si>
    <t>A010100</t>
  </si>
  <si>
    <t>A014790</t>
  </si>
  <si>
    <t>A060980</t>
  </si>
  <si>
    <t>A053690</t>
  </si>
  <si>
    <t>A020000</t>
  </si>
  <si>
    <t>A069640</t>
  </si>
  <si>
    <t>A016450</t>
  </si>
  <si>
    <t>A213500</t>
  </si>
  <si>
    <t>A004150</t>
  </si>
  <si>
    <t>A004960</t>
  </si>
  <si>
    <t>A001750</t>
  </si>
  <si>
    <t>A300720</t>
  </si>
  <si>
    <t>A002220</t>
  </si>
  <si>
    <t>A003300</t>
  </si>
  <si>
    <t>A161390</t>
  </si>
  <si>
    <t>A104700</t>
  </si>
  <si>
    <t>A035760</t>
  </si>
  <si>
    <t>A000970</t>
  </si>
  <si>
    <t>A047050</t>
  </si>
  <si>
    <t>A103140</t>
  </si>
  <si>
    <t>A005810</t>
  </si>
  <si>
    <t>A086790</t>
  </si>
  <si>
    <t>A071090</t>
  </si>
  <si>
    <t>A000140</t>
  </si>
  <si>
    <t>A036460</t>
  </si>
  <si>
    <t>A005430</t>
  </si>
  <si>
    <t>A071050</t>
  </si>
  <si>
    <t>A002200</t>
  </si>
  <si>
    <t>A000240</t>
  </si>
  <si>
    <t>A123890</t>
  </si>
  <si>
    <t>A015760</t>
  </si>
  <si>
    <t>A006200</t>
  </si>
  <si>
    <t>A023350</t>
  </si>
  <si>
    <t>A027410</t>
  </si>
  <si>
    <t>A003480</t>
  </si>
  <si>
    <t>A000880</t>
  </si>
  <si>
    <t>A088350</t>
  </si>
  <si>
    <t>A001450</t>
  </si>
  <si>
    <t>A057050</t>
  </si>
  <si>
    <t>A003010</t>
  </si>
  <si>
    <t>A002460</t>
  </si>
  <si>
    <t>A013520</t>
  </si>
  <si>
    <t>A010690</t>
  </si>
  <si>
    <t>A010660</t>
  </si>
  <si>
    <t>A000850</t>
  </si>
  <si>
    <t>A032560</t>
  </si>
  <si>
    <t>A004800</t>
  </si>
  <si>
    <t>A298040</t>
  </si>
  <si>
    <t>A005870</t>
  </si>
  <si>
    <t>A079980</t>
  </si>
  <si>
    <t>A005010</t>
  </si>
  <si>
    <t>A000540</t>
  </si>
  <si>
    <t>A126560</t>
  </si>
  <si>
    <t>A227840</t>
  </si>
  <si>
    <t>A011760</t>
  </si>
  <si>
    <t>A079430</t>
  </si>
  <si>
    <t>A000370</t>
  </si>
  <si>
    <t>A012450</t>
  </si>
  <si>
    <t>A003530</t>
  </si>
  <si>
    <t>A143210</t>
  </si>
  <si>
    <t>A000720</t>
  </si>
  <si>
    <t>A005440</t>
  </si>
  <si>
    <t>A012330</t>
  </si>
  <si>
    <t>A001500</t>
  </si>
  <si>
    <t>A069960</t>
  </si>
  <si>
    <t>A004560</t>
  </si>
  <si>
    <t>A011210</t>
  </si>
  <si>
    <t>A004020</t>
  </si>
  <si>
    <t>A267250</t>
  </si>
  <si>
    <t>A005380</t>
  </si>
  <si>
    <t>A006730</t>
  </si>
  <si>
    <t>A027040</t>
  </si>
  <si>
    <t>A093920</t>
  </si>
  <si>
    <t>A071850</t>
  </si>
  <si>
    <t>A221980</t>
  </si>
  <si>
    <t>A083550</t>
  </si>
  <si>
    <t>A024880</t>
  </si>
  <si>
    <t>A190650</t>
  </si>
  <si>
    <t>A123410</t>
  </si>
  <si>
    <t>A049430</t>
  </si>
  <si>
    <t>A069110</t>
  </si>
  <si>
    <t>A056360</t>
  </si>
  <si>
    <t>A052330</t>
  </si>
  <si>
    <t>A126600</t>
  </si>
  <si>
    <t>A114120</t>
  </si>
  <si>
    <t>A900250</t>
  </si>
  <si>
    <t>A065130</t>
  </si>
  <si>
    <t>A023160</t>
  </si>
  <si>
    <t>A053620</t>
  </si>
  <si>
    <t>A900310</t>
  </si>
  <si>
    <t>A052300</t>
  </si>
  <si>
    <t>A035810</t>
  </si>
  <si>
    <t>A004650</t>
  </si>
  <si>
    <t>A024810</t>
  </si>
  <si>
    <t>A037330</t>
  </si>
  <si>
    <t>A017250</t>
  </si>
  <si>
    <t>A115310</t>
  </si>
  <si>
    <t>A101930</t>
  </si>
  <si>
    <t>A019540</t>
  </si>
  <si>
    <t>A094820</t>
  </si>
  <si>
    <t>A221610</t>
  </si>
  <si>
    <t>A219550</t>
  </si>
  <si>
    <t>A174880</t>
  </si>
  <si>
    <t>A064800</t>
  </si>
  <si>
    <t>A033340</t>
  </si>
  <si>
    <t>A000440</t>
  </si>
  <si>
    <t>A114570</t>
  </si>
  <si>
    <t>A053050</t>
  </si>
  <si>
    <t>A044490</t>
  </si>
  <si>
    <t>A066700</t>
  </si>
  <si>
    <t>A051360</t>
  </si>
  <si>
    <t>A130740</t>
  </si>
  <si>
    <t>A023760</t>
  </si>
  <si>
    <t>A054040</t>
  </si>
  <si>
    <t>A045100</t>
  </si>
  <si>
    <t>A046110</t>
  </si>
  <si>
    <t>A024740</t>
  </si>
  <si>
    <t>A123840</t>
  </si>
  <si>
    <t>A007770</t>
  </si>
  <si>
    <t>A034810</t>
  </si>
  <si>
    <t>A900270</t>
  </si>
  <si>
    <t>A041440</t>
  </si>
  <si>
    <t>A039010</t>
  </si>
  <si>
    <t>A126640</t>
  </si>
  <si>
    <t>A090710</t>
  </si>
  <si>
    <t>A115160</t>
  </si>
  <si>
    <t>A028080</t>
  </si>
  <si>
    <t>A101680</t>
  </si>
  <si>
    <t>A017890</t>
  </si>
  <si>
    <t>A039340</t>
  </si>
  <si>
    <t>A075130</t>
  </si>
  <si>
    <t>A038950</t>
  </si>
  <si>
    <t>A065690</t>
  </si>
  <si>
    <t>A141020</t>
  </si>
  <si>
    <t>A005670</t>
  </si>
  <si>
    <t>A007330</t>
  </si>
  <si>
    <t>A093380</t>
  </si>
  <si>
    <t>A237750</t>
  </si>
  <si>
    <t>A004590</t>
  </si>
  <si>
    <t>A031980</t>
  </si>
  <si>
    <t>A002230</t>
  </si>
  <si>
    <t>A043370</t>
  </si>
  <si>
    <t>A087600</t>
  </si>
  <si>
    <t>A003380</t>
  </si>
  <si>
    <t>A013030</t>
  </si>
  <si>
    <t>A160600</t>
  </si>
  <si>
    <t>A063760</t>
  </si>
  <si>
    <t>A122690</t>
  </si>
  <si>
    <t>A033790</t>
  </si>
  <si>
    <t>A017000</t>
  </si>
  <si>
    <t>A187270</t>
  </si>
  <si>
    <t>A036710</t>
  </si>
  <si>
    <t>A037760</t>
  </si>
  <si>
    <t>A900120</t>
  </si>
  <si>
    <t>A083930</t>
  </si>
  <si>
    <t>A050860</t>
  </si>
  <si>
    <t>A054800</t>
  </si>
  <si>
    <t>A031310</t>
  </si>
  <si>
    <t>A032080</t>
  </si>
  <si>
    <t>A013310</t>
  </si>
  <si>
    <t>A052790</t>
  </si>
  <si>
    <t>A030960</t>
  </si>
  <si>
    <t>A042110</t>
  </si>
  <si>
    <t>A103230</t>
  </si>
  <si>
    <t>A115570</t>
  </si>
  <si>
    <t>A099440</t>
  </si>
  <si>
    <t>A900110</t>
  </si>
  <si>
    <t>A192440</t>
  </si>
  <si>
    <t>A011370</t>
  </si>
  <si>
    <t>A035890</t>
  </si>
  <si>
    <t>A003100</t>
  </si>
  <si>
    <t>A014620</t>
  </si>
  <si>
    <t>A037350</t>
  </si>
  <si>
    <t>A081580</t>
  </si>
  <si>
    <t>A045300</t>
  </si>
  <si>
    <t>A015750</t>
  </si>
  <si>
    <t>A011560</t>
  </si>
  <si>
    <t>A024830</t>
  </si>
  <si>
    <t>A039310</t>
  </si>
  <si>
    <t>A043100</t>
  </si>
  <si>
    <t>A036830</t>
  </si>
  <si>
    <t>A058530</t>
  </si>
  <si>
    <t>A094840</t>
  </si>
  <si>
    <t>A900080</t>
  </si>
  <si>
    <t>A095910</t>
  </si>
  <si>
    <t>A031330</t>
  </si>
  <si>
    <t>A060540</t>
  </si>
  <si>
    <t>A073560</t>
  </si>
  <si>
    <t>A032940</t>
  </si>
  <si>
    <t>A030530</t>
  </si>
  <si>
    <t>A012620</t>
  </si>
  <si>
    <t>A192390</t>
  </si>
  <si>
    <t>A900340</t>
  </si>
  <si>
    <t>A089850</t>
  </si>
  <si>
    <t>A024800</t>
  </si>
  <si>
    <t>A054930</t>
  </si>
  <si>
    <t>A049520</t>
  </si>
  <si>
    <t>A023410</t>
  </si>
  <si>
    <t>A039020</t>
  </si>
  <si>
    <t>A041520</t>
  </si>
  <si>
    <t>A078020</t>
  </si>
  <si>
    <t>A080010</t>
  </si>
  <si>
    <t>A057540</t>
  </si>
  <si>
    <t>A010470</t>
  </si>
  <si>
    <t>A080520</t>
  </si>
  <si>
    <t>A038110</t>
  </si>
  <si>
    <t>A080440</t>
  </si>
  <si>
    <t>A069510</t>
  </si>
  <si>
    <t>A003800</t>
  </si>
  <si>
    <t>A039230</t>
  </si>
  <si>
    <t>A044780</t>
  </si>
  <si>
    <t>A109960</t>
  </si>
  <si>
    <t>A198080</t>
  </si>
  <si>
    <t>A045060</t>
  </si>
  <si>
    <t>A073110</t>
  </si>
  <si>
    <t>A009780</t>
  </si>
  <si>
    <t>A033160</t>
  </si>
  <si>
    <t>A036560</t>
  </si>
  <si>
    <t>A036000</t>
  </si>
  <si>
    <t>A900300</t>
  </si>
  <si>
    <t>A010770</t>
  </si>
  <si>
    <t>A002320</t>
  </si>
  <si>
    <t>A019180</t>
  </si>
  <si>
    <t>A005960</t>
  </si>
  <si>
    <t>A006650</t>
  </si>
  <si>
    <t>A084010</t>
  </si>
  <si>
    <t>A001790</t>
  </si>
  <si>
    <t>A001130</t>
  </si>
  <si>
    <t>A003830</t>
  </si>
  <si>
    <t>A016090</t>
  </si>
  <si>
    <t>A007590</t>
  </si>
  <si>
    <t>A000640</t>
  </si>
  <si>
    <t>A000430</t>
  </si>
  <si>
    <t>A282690</t>
  </si>
  <si>
    <t>A001520</t>
  </si>
  <si>
    <t>A084670</t>
  </si>
  <si>
    <t>A082640</t>
  </si>
  <si>
    <t>A092780</t>
  </si>
  <si>
    <t>A018500</t>
  </si>
  <si>
    <t>A006040</t>
  </si>
  <si>
    <t>A015230</t>
  </si>
  <si>
    <t>A003540</t>
  </si>
  <si>
    <t>A163560</t>
  </si>
  <si>
    <t>A019680</t>
  </si>
  <si>
    <t>A002350</t>
  </si>
  <si>
    <t>A090350</t>
  </si>
  <si>
    <t>A000320</t>
  </si>
  <si>
    <t>A004370</t>
  </si>
  <si>
    <t>A072710</t>
  </si>
  <si>
    <t>A058730</t>
  </si>
  <si>
    <t>A023590</t>
  </si>
  <si>
    <t>A006370</t>
  </si>
  <si>
    <t>A117580</t>
  </si>
  <si>
    <t>A008060</t>
  </si>
  <si>
    <t>A000490</t>
  </si>
  <si>
    <t>A008110</t>
  </si>
  <si>
    <t>A005750</t>
  </si>
  <si>
    <t>A001680</t>
  </si>
  <si>
    <t>A084690</t>
  </si>
  <si>
    <t>A128820</t>
  </si>
  <si>
    <t>A030720</t>
  </si>
  <si>
    <t>A004890</t>
  </si>
  <si>
    <t>A006660</t>
  </si>
  <si>
    <t>A003610</t>
  </si>
  <si>
    <t>A009580</t>
  </si>
  <si>
    <t>A009200</t>
  </si>
  <si>
    <t>A033920</t>
  </si>
  <si>
    <t>A007120</t>
  </si>
  <si>
    <t>A085620</t>
  </si>
  <si>
    <t>A006800</t>
  </si>
  <si>
    <t>A003650</t>
  </si>
  <si>
    <t>A002410</t>
  </si>
  <si>
    <t>A000060</t>
  </si>
  <si>
    <t>A001270</t>
  </si>
  <si>
    <t>A015350</t>
  </si>
  <si>
    <t>A100220</t>
  </si>
  <si>
    <t>A005180</t>
  </si>
  <si>
    <t>A003960</t>
  </si>
  <si>
    <t>A007160</t>
  </si>
  <si>
    <t>A014710</t>
  </si>
  <si>
    <t>A009680</t>
  </si>
  <si>
    <t>A008560</t>
  </si>
  <si>
    <t>A002690</t>
  </si>
  <si>
    <t>A000400</t>
  </si>
  <si>
    <t>A000150</t>
  </si>
  <si>
    <t>A042670</t>
  </si>
  <si>
    <t>A016740</t>
  </si>
  <si>
    <t>A024090</t>
  </si>
  <si>
    <t>A013570</t>
  </si>
  <si>
    <t>A210540</t>
  </si>
  <si>
    <t>A007340</t>
  </si>
  <si>
    <t>A023530</t>
  </si>
  <si>
    <t>A138040</t>
  </si>
  <si>
    <t>A004000</t>
  </si>
  <si>
    <t>A280360</t>
  </si>
  <si>
    <t>A004990</t>
  </si>
  <si>
    <t>A011170</t>
  </si>
  <si>
    <t>A002270</t>
  </si>
  <si>
    <t>A078000</t>
  </si>
  <si>
    <t>A001080</t>
  </si>
  <si>
    <t>A005720</t>
  </si>
  <si>
    <t>A003920</t>
  </si>
  <si>
    <t>A024110</t>
  </si>
  <si>
    <t>A092230</t>
  </si>
  <si>
    <t>A175330</t>
  </si>
  <si>
    <t>A105560</t>
  </si>
  <si>
    <t>A002380</t>
  </si>
  <si>
    <t>A009440</t>
  </si>
  <si>
    <t>A001390</t>
  </si>
  <si>
    <t>A001940</t>
  </si>
  <si>
    <t>A025000</t>
  </si>
  <si>
    <t>A030200</t>
  </si>
  <si>
    <t>A089470</t>
  </si>
  <si>
    <t>A030210</t>
  </si>
  <si>
    <t>A058850</t>
  </si>
  <si>
    <t>A058860</t>
  </si>
  <si>
    <t>A093050</t>
  </si>
  <si>
    <t>A034220</t>
  </si>
  <si>
    <t>A001120</t>
  </si>
  <si>
    <t>A032640</t>
  </si>
  <si>
    <t>A294870</t>
  </si>
  <si>
    <t>A012630</t>
  </si>
  <si>
    <t>A092440</t>
  </si>
  <si>
    <t>A139130</t>
  </si>
  <si>
    <t>A138930</t>
  </si>
  <si>
    <t>A001460</t>
  </si>
  <si>
    <t>A001040</t>
  </si>
  <si>
    <t>A000590</t>
  </si>
  <si>
    <t>A012030</t>
  </si>
  <si>
    <t>A016610</t>
  </si>
  <si>
    <t>A005830</t>
  </si>
  <si>
    <t>A001530</t>
  </si>
  <si>
    <t>A006360</t>
  </si>
  <si>
    <t>A000210</t>
  </si>
  <si>
    <t>A001880</t>
  </si>
  <si>
    <t>A004840</t>
  </si>
  <si>
    <t>A155660</t>
  </si>
  <si>
    <t>A069730</t>
  </si>
  <si>
    <t>A017940</t>
  </si>
  <si>
    <t>A078930</t>
  </si>
  <si>
    <t>A037560</t>
  </si>
  <si>
    <t>A006260</t>
  </si>
  <si>
    <t>A000680</t>
  </si>
  <si>
    <t>A012200</t>
  </si>
  <si>
    <t>A000500</t>
  </si>
  <si>
    <t>A000860</t>
  </si>
  <si>
    <t>A267290</t>
  </si>
  <si>
    <t>A012320</t>
  </si>
  <si>
    <t>A000050</t>
  </si>
  <si>
    <t>A009140</t>
  </si>
  <si>
    <t>A013580</t>
  </si>
  <si>
    <t>A002240</t>
  </si>
  <si>
    <t>A005940</t>
  </si>
  <si>
    <t>A009290</t>
  </si>
  <si>
    <t>A017900</t>
  </si>
  <si>
    <t>A037710</t>
  </si>
  <si>
    <t>A030610</t>
  </si>
  <si>
    <t>A007690</t>
  </si>
  <si>
    <t>A014280</t>
  </si>
  <si>
    <t>A008870</t>
  </si>
  <si>
    <t>A024070</t>
  </si>
  <si>
    <t>A084870</t>
  </si>
  <si>
    <t>A002820</t>
  </si>
  <si>
    <t>A036530</t>
  </si>
  <si>
    <t>A004250</t>
  </si>
  <si>
    <t>A005490</t>
  </si>
  <si>
    <t>A101060</t>
  </si>
  <si>
    <t>A004060</t>
  </si>
  <si>
    <t>A009160</t>
  </si>
  <si>
    <t>A123700</t>
  </si>
  <si>
    <t>A025530</t>
  </si>
  <si>
    <t>A034730</t>
  </si>
  <si>
    <t>A018670</t>
  </si>
  <si>
    <t>A001740</t>
  </si>
  <si>
    <t>A006120</t>
  </si>
  <si>
    <t>A001510</t>
  </si>
  <si>
    <t>A017670</t>
  </si>
  <si>
    <t>A100840</t>
  </si>
  <si>
    <t>A003570</t>
  </si>
  <si>
    <t>A006090</t>
  </si>
  <si>
    <t>A071840</t>
  </si>
  <si>
    <t>A028260</t>
  </si>
  <si>
    <t>A000950</t>
  </si>
  <si>
    <t>A004970</t>
  </si>
  <si>
    <t>A006220</t>
  </si>
  <si>
    <t>A004170</t>
  </si>
  <si>
    <t>A035510</t>
  </si>
  <si>
    <t>A034300</t>
  </si>
  <si>
    <t>A001560</t>
  </si>
  <si>
    <t>A006880</t>
  </si>
  <si>
    <t>A071320</t>
  </si>
  <si>
    <t>A005800</t>
  </si>
  <si>
    <t>A001720</t>
  </si>
  <si>
    <t>A015860</t>
  </si>
  <si>
    <t>A009270</t>
  </si>
  <si>
    <t>A103590</t>
  </si>
  <si>
    <t>A008500</t>
  </si>
  <si>
    <t>A029530</t>
  </si>
  <si>
    <t>A016590</t>
  </si>
  <si>
    <t>A004910</t>
  </si>
  <si>
    <t>A053210</t>
  </si>
  <si>
    <t>A027970</t>
  </si>
  <si>
    <t>A004700</t>
  </si>
  <si>
    <t>A000480</t>
  </si>
  <si>
    <t>A002600</t>
  </si>
  <si>
    <t>A001630</t>
  </si>
  <si>
    <t>A033530</t>
  </si>
  <si>
    <t>A067830</t>
  </si>
  <si>
    <t>A003470</t>
  </si>
  <si>
    <t>A013870</t>
  </si>
  <si>
    <t>A021820</t>
  </si>
  <si>
    <t>A091090</t>
  </si>
  <si>
    <t>A058650</t>
  </si>
  <si>
    <t>A019440</t>
  </si>
  <si>
    <t>A002870</t>
  </si>
  <si>
    <t>A003200</t>
  </si>
  <si>
    <t>A055550</t>
  </si>
  <si>
    <t>A001800</t>
  </si>
  <si>
    <t>A000700</t>
  </si>
  <si>
    <t>A002920</t>
  </si>
  <si>
    <t>A003460</t>
  </si>
  <si>
    <t>A011330</t>
  </si>
  <si>
    <t>A014830</t>
  </si>
  <si>
    <t>A005820</t>
  </si>
  <si>
    <t>A010400</t>
  </si>
  <si>
    <t>A105840</t>
  </si>
  <si>
    <t>A006980</t>
  </si>
  <si>
    <t>A139480</t>
  </si>
  <si>
    <t>A000760</t>
  </si>
  <si>
    <t>A033660</t>
  </si>
  <si>
    <t>A316140</t>
  </si>
  <si>
    <t>A070960</t>
  </si>
  <si>
    <t>A015360</t>
  </si>
  <si>
    <t>A102280</t>
  </si>
  <si>
    <t>A012160</t>
  </si>
  <si>
    <t>A006740</t>
  </si>
  <si>
    <t>A000670</t>
  </si>
  <si>
    <t>A009970</t>
  </si>
  <si>
    <t>A014440</t>
  </si>
  <si>
    <t>A009810</t>
  </si>
  <si>
    <t>A034590</t>
  </si>
  <si>
    <t>A129260</t>
  </si>
  <si>
    <t>A005850</t>
  </si>
  <si>
    <t>A161000</t>
  </si>
  <si>
    <t>A003120</t>
  </si>
  <si>
    <t>A002310</t>
  </si>
  <si>
    <t>A183190</t>
  </si>
  <si>
    <t>A002030</t>
  </si>
  <si>
    <t>A003030</t>
  </si>
  <si>
    <t>A001200</t>
  </si>
  <si>
    <t>A035000</t>
  </si>
  <si>
    <t>A005740</t>
  </si>
  <si>
    <t>A002020</t>
  </si>
  <si>
    <t>A041650</t>
  </si>
  <si>
    <t>A001290</t>
  </si>
  <si>
    <t>A088790</t>
  </si>
  <si>
    <t>A010960</t>
  </si>
  <si>
    <t>A004690</t>
  </si>
  <si>
    <t>A009770</t>
  </si>
  <si>
    <t>A004440</t>
  </si>
  <si>
    <t>A120110</t>
  </si>
  <si>
    <t>A002450</t>
  </si>
  <si>
    <t>A192400</t>
  </si>
  <si>
    <t>A023000</t>
  </si>
  <si>
    <t>A005680</t>
  </si>
  <si>
    <t>A002810</t>
  </si>
  <si>
    <t>A007540</t>
  </si>
  <si>
    <t>A000070</t>
  </si>
  <si>
    <t>A002170</t>
  </si>
  <si>
    <t>A039490</t>
  </si>
  <si>
    <t>A015890</t>
  </si>
  <si>
    <t>A145990</t>
  </si>
  <si>
    <t>A003240</t>
  </si>
  <si>
    <t>A000810</t>
  </si>
  <si>
    <t>A004100</t>
  </si>
  <si>
    <t>A009410</t>
  </si>
  <si>
    <t>A029780</t>
  </si>
  <si>
    <t>A007980</t>
  </si>
  <si>
    <t>A016360</t>
  </si>
  <si>
    <t>A032830</t>
  </si>
  <si>
    <t>A075180</t>
  </si>
  <si>
    <t>A004450</t>
  </si>
  <si>
    <t>A044820</t>
  </si>
  <si>
    <t>A001430</t>
  </si>
  <si>
    <t>A100250</t>
  </si>
  <si>
    <t>A306200</t>
  </si>
  <si>
    <t>A003080</t>
  </si>
  <si>
    <t>A136490</t>
  </si>
  <si>
    <t>A007610</t>
  </si>
  <si>
    <t>A003690</t>
  </si>
  <si>
    <t>A017390</t>
  </si>
  <si>
    <t>A029460</t>
  </si>
  <si>
    <t>A000180</t>
  </si>
  <si>
    <t>A001620</t>
  </si>
  <si>
    <t>A004360</t>
  </si>
  <si>
    <t>A200880</t>
  </si>
  <si>
    <t>A004980</t>
  </si>
  <si>
    <t>A248170</t>
  </si>
  <si>
    <t>A229000</t>
  </si>
  <si>
    <t>A318410</t>
  </si>
  <si>
    <t>A264900</t>
  </si>
  <si>
    <t>A033780</t>
  </si>
  <si>
    <t>A204270</t>
  </si>
  <si>
    <t>A131030</t>
  </si>
  <si>
    <t>A093520</t>
  </si>
  <si>
    <t>A225220</t>
  </si>
  <si>
    <t>A210980</t>
  </si>
  <si>
    <t>A044180</t>
  </si>
  <si>
    <t>A290740</t>
  </si>
  <si>
    <t>A036670</t>
  </si>
  <si>
    <t>A298540</t>
  </si>
  <si>
    <t>A023910</t>
  </si>
  <si>
    <t>A023770</t>
  </si>
  <si>
    <t>A046940</t>
  </si>
  <si>
    <t>A040910</t>
  </si>
  <si>
    <t>A010640</t>
  </si>
  <si>
    <t>A243070</t>
  </si>
  <si>
    <t>A010240</t>
  </si>
  <si>
    <t>A033290</t>
  </si>
  <si>
    <t>A281820</t>
  </si>
  <si>
    <t>A097950</t>
  </si>
  <si>
    <t>A347770</t>
  </si>
  <si>
    <t>A161890</t>
  </si>
  <si>
    <t>A282880</t>
  </si>
  <si>
    <t>A251970</t>
  </si>
  <si>
    <t>A007700</t>
  </si>
  <si>
    <t>A021240</t>
  </si>
  <si>
    <t>A170790</t>
  </si>
  <si>
    <t>A003070</t>
  </si>
  <si>
    <t>A110790</t>
  </si>
  <si>
    <t>A047310</t>
  </si>
  <si>
    <t>A045520</t>
  </si>
  <si>
    <t>A130660</t>
  </si>
  <si>
    <t>A021650</t>
  </si>
  <si>
    <t>A124560</t>
  </si>
  <si>
    <t>A053610</t>
  </si>
  <si>
    <t>A241520</t>
  </si>
  <si>
    <t>A086280</t>
  </si>
  <si>
    <t>A223250</t>
  </si>
  <si>
    <t>A129890</t>
  </si>
  <si>
    <t>A095660</t>
  </si>
  <si>
    <t>A092730</t>
  </si>
  <si>
    <t>A040160</t>
  </si>
  <si>
    <t>A144960</t>
  </si>
  <si>
    <t>A096530</t>
  </si>
  <si>
    <t>A352700</t>
  </si>
  <si>
    <t>A264660</t>
  </si>
  <si>
    <t>A049770</t>
  </si>
  <si>
    <t>A119860</t>
  </si>
  <si>
    <t>A236200</t>
  </si>
  <si>
    <t>A290120</t>
  </si>
  <si>
    <t>A043260</t>
  </si>
  <si>
    <t>A065710</t>
  </si>
  <si>
    <t>A192080</t>
  </si>
  <si>
    <t>A187870</t>
  </si>
  <si>
    <t>A263690</t>
  </si>
  <si>
    <t>A104460</t>
  </si>
  <si>
    <t>A084650</t>
  </si>
  <si>
    <t>A134380</t>
  </si>
  <si>
    <t>A003230</t>
  </si>
  <si>
    <t>A042500</t>
  </si>
  <si>
    <t>A090460</t>
  </si>
  <si>
    <t>A267980</t>
  </si>
  <si>
    <t>A337930</t>
  </si>
  <si>
    <t>A064550</t>
  </si>
  <si>
    <t>A068290</t>
  </si>
  <si>
    <t>A214180</t>
  </si>
  <si>
    <t>A255440</t>
  </si>
  <si>
    <t>A267320</t>
  </si>
  <si>
    <t>A077500</t>
  </si>
  <si>
    <t>A104830</t>
  </si>
  <si>
    <t>A010050</t>
  </si>
  <si>
    <t>A094970</t>
  </si>
  <si>
    <t>A122310</t>
  </si>
  <si>
    <t>A006060</t>
  </si>
  <si>
    <t>A244920</t>
  </si>
  <si>
    <t>A102710</t>
  </si>
  <si>
    <t>A339770</t>
  </si>
  <si>
    <t>A011780</t>
  </si>
  <si>
    <t>A013700</t>
  </si>
  <si>
    <t>A004540</t>
  </si>
  <si>
    <t>A136540</t>
  </si>
  <si>
    <t>A044340</t>
  </si>
  <si>
    <t>A058110</t>
  </si>
  <si>
    <t>A053080</t>
  </si>
  <si>
    <t>A056190</t>
  </si>
  <si>
    <t>A241790</t>
  </si>
  <si>
    <t>A053980</t>
  </si>
  <si>
    <t>A035600</t>
  </si>
  <si>
    <t>A060850</t>
  </si>
  <si>
    <t>A097520</t>
  </si>
  <si>
    <t>A950180</t>
  </si>
  <si>
    <t>A134790</t>
  </si>
  <si>
    <t>A239610</t>
  </si>
  <si>
    <t>A049720</t>
  </si>
  <si>
    <t>A047040</t>
  </si>
  <si>
    <t>A050760</t>
  </si>
  <si>
    <t>A041910</t>
  </si>
  <si>
    <t>A306040</t>
  </si>
  <si>
    <t>A238490</t>
  </si>
  <si>
    <t>AK홀딩스</t>
  </si>
  <si>
    <t>금화피에스시</t>
  </si>
  <si>
    <t>네오위즈홀딩스</t>
  </si>
  <si>
    <t>넥스트아이</t>
  </si>
  <si>
    <t>농우바이오</t>
  </si>
  <si>
    <t>뉴프라이드</t>
  </si>
  <si>
    <t>다우데이타</t>
  </si>
  <si>
    <t>대동기어</t>
  </si>
  <si>
    <t>대륙제관</t>
  </si>
  <si>
    <t>대림제지</t>
  </si>
  <si>
    <t>대명소노시즌</t>
  </si>
  <si>
    <t>대양전기공업</t>
  </si>
  <si>
    <t>대양제지</t>
  </si>
  <si>
    <t>대원</t>
  </si>
  <si>
    <t>대원산업</t>
  </si>
  <si>
    <t>도이치모터스</t>
  </si>
  <si>
    <t>동국산업</t>
  </si>
  <si>
    <t>네오오토</t>
  </si>
  <si>
    <t>글로벌에스엠</t>
  </si>
  <si>
    <t>동양이엔피</t>
  </si>
  <si>
    <t>국순당</t>
  </si>
  <si>
    <t>GS홈쇼핑</t>
  </si>
  <si>
    <t>GV</t>
  </si>
  <si>
    <t>JTC</t>
  </si>
  <si>
    <t>KBI메탈</t>
  </si>
  <si>
    <t>KCC건설</t>
  </si>
  <si>
    <t>KG ETS</t>
  </si>
  <si>
    <t>S&amp;K폴리텍</t>
  </si>
  <si>
    <t>SG&amp;G</t>
  </si>
  <si>
    <t>SGC이테크건설</t>
  </si>
  <si>
    <t>TJ미디어</t>
  </si>
  <si>
    <t>UCI</t>
  </si>
  <si>
    <t>YW</t>
  </si>
  <si>
    <t>골든센츄리</t>
  </si>
  <si>
    <t>골프존뉴딘홀딩스</t>
  </si>
  <si>
    <t>국보디자인</t>
  </si>
  <si>
    <t>동아엘텍</t>
  </si>
  <si>
    <t>동우팜투테이블</t>
  </si>
  <si>
    <t>퍼시스</t>
  </si>
  <si>
    <t>미래테크놀로지</t>
  </si>
  <si>
    <t>바른손이앤에이</t>
  </si>
  <si>
    <t>베뉴지</t>
  </si>
  <si>
    <t>부스타</t>
  </si>
  <si>
    <t>비아트론</t>
  </si>
  <si>
    <t>빅솔론</t>
  </si>
  <si>
    <t>빛샘전자</t>
  </si>
  <si>
    <t>삼목에스폼</t>
  </si>
  <si>
    <t>삼보모터스</t>
  </si>
  <si>
    <t>삼보판지</t>
  </si>
  <si>
    <t>삼아제약</t>
  </si>
  <si>
    <t>삼영엠텍</t>
  </si>
  <si>
    <t>삼지전자</t>
  </si>
  <si>
    <t>삼진</t>
  </si>
  <si>
    <t>삼현철강</t>
  </si>
  <si>
    <t>상상인</t>
  </si>
  <si>
    <t>미투젠</t>
  </si>
  <si>
    <t>미래나노텍</t>
  </si>
  <si>
    <t>동원개발</t>
  </si>
  <si>
    <t>무림SP</t>
  </si>
  <si>
    <t>동일금속</t>
  </si>
  <si>
    <t>디스플레이텍</t>
  </si>
  <si>
    <t>디에이피</t>
  </si>
  <si>
    <t>디지아이</t>
  </si>
  <si>
    <t>럭슬</t>
  </si>
  <si>
    <t>로스웰</t>
  </si>
  <si>
    <t>루멘스</t>
  </si>
  <si>
    <t>리더스코스메틱</t>
  </si>
  <si>
    <t>리드코프</t>
  </si>
  <si>
    <t>마크로젠</t>
  </si>
  <si>
    <t>매일홀딩스</t>
  </si>
  <si>
    <t>메가스터디</t>
  </si>
  <si>
    <t>메디앙스</t>
  </si>
  <si>
    <t>메카로</t>
  </si>
  <si>
    <t>모베이스</t>
  </si>
  <si>
    <t>GRT</t>
  </si>
  <si>
    <t>DMS</t>
  </si>
  <si>
    <t>CNH</t>
  </si>
  <si>
    <t>한국콜마홀딩스</t>
  </si>
  <si>
    <t>한국토지신탁</t>
  </si>
  <si>
    <t>한국프랜지</t>
  </si>
  <si>
    <t>한라</t>
  </si>
  <si>
    <t>한라홀딩스</t>
  </si>
  <si>
    <t>한미글로벌</t>
  </si>
  <si>
    <t>한섬</t>
  </si>
  <si>
    <t>한세엠케이</t>
  </si>
  <si>
    <t>한세예스24홀딩스</t>
  </si>
  <si>
    <t>한솔제지</t>
  </si>
  <si>
    <t>한솔홀딩스</t>
  </si>
  <si>
    <t>한신공영</t>
  </si>
  <si>
    <t>한양증권</t>
  </si>
  <si>
    <t>한일시멘트</t>
  </si>
  <si>
    <t>한일철강</t>
  </si>
  <si>
    <t>한일홀딩스</t>
  </si>
  <si>
    <t>한국타이어앤테크놀로지</t>
  </si>
  <si>
    <t>한국철강</t>
  </si>
  <si>
    <t>CJ ENM</t>
  </si>
  <si>
    <t>한국주철관</t>
  </si>
  <si>
    <t>포스코인터내셔널</t>
  </si>
  <si>
    <t>풍산</t>
  </si>
  <si>
    <t>풍산홀딩스</t>
  </si>
  <si>
    <t>하나금융지주</t>
  </si>
  <si>
    <t>하이스틸</t>
  </si>
  <si>
    <t>하이트진로홀딩스</t>
  </si>
  <si>
    <t>한국가스공사</t>
  </si>
  <si>
    <t>한국공항</t>
  </si>
  <si>
    <t>한국금융지주</t>
  </si>
  <si>
    <t>한국수출포장</t>
  </si>
  <si>
    <t>한국앤컴퍼니</t>
  </si>
  <si>
    <t>한국자산신탁</t>
  </si>
  <si>
    <t>한국전력</t>
  </si>
  <si>
    <t>한국전자홀딩스</t>
  </si>
  <si>
    <t>한국종합기술</t>
  </si>
  <si>
    <t>BGF</t>
  </si>
  <si>
    <t>한진중공업홀딩스</t>
  </si>
  <si>
    <t>한화</t>
  </si>
  <si>
    <t>한화생명</t>
  </si>
  <si>
    <t>현대해상</t>
  </si>
  <si>
    <t>현대홈쇼핑</t>
  </si>
  <si>
    <t>혜인</t>
  </si>
  <si>
    <t>화성산업</t>
  </si>
  <si>
    <t>화승코퍼레이션</t>
  </si>
  <si>
    <t>화신</t>
  </si>
  <si>
    <t>화천기계</t>
  </si>
  <si>
    <t>화천기공</t>
  </si>
  <si>
    <t>황금에스티</t>
  </si>
  <si>
    <t>효성</t>
  </si>
  <si>
    <t>효성중공업</t>
  </si>
  <si>
    <t>휴니드</t>
  </si>
  <si>
    <t>휴비스</t>
  </si>
  <si>
    <t>휴스틸</t>
  </si>
  <si>
    <t>흥국화재</t>
  </si>
  <si>
    <t>현대퓨처넷</t>
  </si>
  <si>
    <t>현대코퍼레이션홀딩스</t>
  </si>
  <si>
    <t>현대코퍼레이션</t>
  </si>
  <si>
    <t>현대리바트</t>
  </si>
  <si>
    <t>한화손해보험</t>
  </si>
  <si>
    <t>한화에어로스페이스</t>
  </si>
  <si>
    <t>한화투자증권</t>
  </si>
  <si>
    <t>핸즈코퍼레이션</t>
  </si>
  <si>
    <t>현대건설</t>
  </si>
  <si>
    <t>현대그린푸드</t>
  </si>
  <si>
    <t>현대모비스</t>
  </si>
  <si>
    <t>현대차증권</t>
  </si>
  <si>
    <t>현대백화점</t>
  </si>
  <si>
    <t>현대비앤지스틸</t>
  </si>
  <si>
    <t>현대위아</t>
  </si>
  <si>
    <t>현대제철</t>
  </si>
  <si>
    <t>현대중공업지주</t>
  </si>
  <si>
    <t>현대차</t>
  </si>
  <si>
    <t>서부T&amp;D</t>
  </si>
  <si>
    <t>서울전자통신</t>
  </si>
  <si>
    <t>서원인텍</t>
  </si>
  <si>
    <t>캐스텍코리아</t>
  </si>
  <si>
    <t>케이디켐</t>
  </si>
  <si>
    <t>케이엠</t>
  </si>
  <si>
    <t>케이피에프</t>
  </si>
  <si>
    <t>코리아에셋투자증권</t>
  </si>
  <si>
    <t>코리아에프티</t>
  </si>
  <si>
    <t>코메론</t>
  </si>
  <si>
    <t>코스온</t>
  </si>
  <si>
    <t>코위버</t>
  </si>
  <si>
    <t>코텍</t>
  </si>
  <si>
    <t>코프라</t>
  </si>
  <si>
    <t>크루셜텍</t>
  </si>
  <si>
    <t>크리스탈신소재</t>
  </si>
  <si>
    <t>탑엔지니어링</t>
  </si>
  <si>
    <t>태광</t>
  </si>
  <si>
    <t>태양</t>
  </si>
  <si>
    <t>컬러레이</t>
  </si>
  <si>
    <t>초록뱀컴퍼니</t>
  </si>
  <si>
    <t>이지홀딩스</t>
  </si>
  <si>
    <t>창해에탄올</t>
  </si>
  <si>
    <t>이화전기</t>
  </si>
  <si>
    <t>인지디스플레</t>
  </si>
  <si>
    <t>인터엠</t>
  </si>
  <si>
    <t>인포바인</t>
  </si>
  <si>
    <t>인화정공</t>
  </si>
  <si>
    <t>일지테크</t>
  </si>
  <si>
    <t>일진파워</t>
  </si>
  <si>
    <t>자안바이오</t>
  </si>
  <si>
    <t>자안코스메틱</t>
  </si>
  <si>
    <t>장원테크</t>
  </si>
  <si>
    <t>젬백스링크</t>
  </si>
  <si>
    <t>좋은사람들</t>
  </si>
  <si>
    <t>중앙에너비스</t>
  </si>
  <si>
    <t>지스마트글로벌</t>
  </si>
  <si>
    <t>지에스이</t>
  </si>
  <si>
    <t>태웅</t>
  </si>
  <si>
    <t>테라젠이텍스</t>
  </si>
  <si>
    <t>토비스</t>
  </si>
  <si>
    <t>티피씨글로벌</t>
  </si>
  <si>
    <t>한국캐피탈</t>
  </si>
  <si>
    <t>한국컴퓨터</t>
  </si>
  <si>
    <t>한양이엔지</t>
  </si>
  <si>
    <t>한일네트웍스</t>
  </si>
  <si>
    <t>한일단조</t>
  </si>
  <si>
    <t>한일진공</t>
  </si>
  <si>
    <t>한일화학</t>
  </si>
  <si>
    <t>해성산업</t>
  </si>
  <si>
    <t>헝셩그룹</t>
  </si>
  <si>
    <t>현대에버다임</t>
  </si>
  <si>
    <t>현대에이치티</t>
  </si>
  <si>
    <t>화신정공</t>
  </si>
  <si>
    <t>휴림로봇</t>
  </si>
  <si>
    <t>휴맥스</t>
  </si>
  <si>
    <t>휴맥스홀딩스</t>
  </si>
  <si>
    <t>한국정밀기계</t>
  </si>
  <si>
    <t>한국알콜</t>
  </si>
  <si>
    <t>한국경제TV</t>
  </si>
  <si>
    <t>플랜티넷</t>
  </si>
  <si>
    <t>파인디지털</t>
  </si>
  <si>
    <t>파커스</t>
  </si>
  <si>
    <t>포티스</t>
  </si>
  <si>
    <t>푸드웰</t>
  </si>
  <si>
    <t>푸른저축은행</t>
  </si>
  <si>
    <t>풍강</t>
  </si>
  <si>
    <t>피앤씨테크</t>
  </si>
  <si>
    <t>한국가구</t>
  </si>
  <si>
    <t>피에스케이홀딩스</t>
  </si>
  <si>
    <t>피에스텍</t>
  </si>
  <si>
    <t>피에이치에이</t>
  </si>
  <si>
    <t>픽셀플러스</t>
  </si>
  <si>
    <t>하림지주</t>
  </si>
  <si>
    <t>하이록코리아</t>
  </si>
  <si>
    <t>이큐셀</t>
  </si>
  <si>
    <t>이엘피</t>
  </si>
  <si>
    <t>서진오토모티브</t>
  </si>
  <si>
    <t>스카이문스테크놀로지</t>
  </si>
  <si>
    <t>신원종합개발</t>
  </si>
  <si>
    <t>신화콘텍</t>
  </si>
  <si>
    <t>심텍홀딩스</t>
  </si>
  <si>
    <t>쎄니트</t>
  </si>
  <si>
    <t>씨케이에이치</t>
  </si>
  <si>
    <t>아바코</t>
  </si>
  <si>
    <t>아세아텍</t>
  </si>
  <si>
    <t>아이디스홀딩스</t>
  </si>
  <si>
    <t>아이즈비전</t>
  </si>
  <si>
    <t>아즈텍WB</t>
  </si>
  <si>
    <t>아진산업</t>
  </si>
  <si>
    <t>액토즈소프트</t>
  </si>
  <si>
    <t>양지사</t>
  </si>
  <si>
    <t>에스씨디</t>
  </si>
  <si>
    <t>에스앤더블류</t>
  </si>
  <si>
    <t>스타플렉스</t>
  </si>
  <si>
    <t>스맥</t>
  </si>
  <si>
    <t>이스트아시아홀딩스</t>
  </si>
  <si>
    <t>슈피겐코리아</t>
  </si>
  <si>
    <t>서한</t>
  </si>
  <si>
    <t>서희건설</t>
  </si>
  <si>
    <t>선광</t>
  </si>
  <si>
    <t>성광벤드</t>
  </si>
  <si>
    <t>성도이엔지</t>
  </si>
  <si>
    <t>성우전자</t>
  </si>
  <si>
    <t>성우테크론</t>
  </si>
  <si>
    <t>성우하이텍</t>
  </si>
  <si>
    <t>세보엠이씨</t>
  </si>
  <si>
    <t>세원물산</t>
  </si>
  <si>
    <t>세중</t>
  </si>
  <si>
    <t>솔고바이오</t>
  </si>
  <si>
    <t>솔브레인홀딩스</t>
  </si>
  <si>
    <t>슈펙스비앤피</t>
  </si>
  <si>
    <t>슈프리마에이치큐</t>
  </si>
  <si>
    <t>에스앤씨엔진그룹</t>
  </si>
  <si>
    <t>에스에너지</t>
  </si>
  <si>
    <t>에스에이엠티</t>
  </si>
  <si>
    <t>에스에이티</t>
  </si>
  <si>
    <t>우리손에프앤지</t>
  </si>
  <si>
    <t>원익</t>
  </si>
  <si>
    <t>원익홀딩스</t>
  </si>
  <si>
    <t>원일특강</t>
  </si>
  <si>
    <t>윈하이텍</t>
  </si>
  <si>
    <t>윙입푸드</t>
  </si>
  <si>
    <t>유비벨록스</t>
  </si>
  <si>
    <t>유성티엔에스</t>
  </si>
  <si>
    <t>유신</t>
  </si>
  <si>
    <t>유아이엘</t>
  </si>
  <si>
    <t>유진기업</t>
  </si>
  <si>
    <t>이건홀딩스</t>
  </si>
  <si>
    <t>이라이콤</t>
  </si>
  <si>
    <t>이베스트투자증권</t>
  </si>
  <si>
    <t>이상네트웍스</t>
  </si>
  <si>
    <t>옴니시스템</t>
  </si>
  <si>
    <t>오리콤</t>
  </si>
  <si>
    <t>오디텍</t>
  </si>
  <si>
    <t>에코플라스틱</t>
  </si>
  <si>
    <t>에스제이케이</t>
  </si>
  <si>
    <t>에스텍</t>
  </si>
  <si>
    <t>에이스침대</t>
  </si>
  <si>
    <t>에이아이비트</t>
  </si>
  <si>
    <t>에이치케이</t>
  </si>
  <si>
    <t>에이프로젠 H&amp;G</t>
  </si>
  <si>
    <t>엔피디</t>
  </si>
  <si>
    <t>오공</t>
  </si>
  <si>
    <t>엘엠에스</t>
  </si>
  <si>
    <t>엠에스씨</t>
  </si>
  <si>
    <t>엠케이전자</t>
  </si>
  <si>
    <t>영풍정밀</t>
  </si>
  <si>
    <t>예림당</t>
  </si>
  <si>
    <t>오가닉티코스메틱</t>
  </si>
  <si>
    <t>평화홀딩스</t>
  </si>
  <si>
    <t>한진</t>
  </si>
  <si>
    <t>티에이치엔</t>
  </si>
  <si>
    <t>동부건설</t>
  </si>
  <si>
    <t>대한유화</t>
  </si>
  <si>
    <t>대한제강</t>
  </si>
  <si>
    <t>대한제당</t>
  </si>
  <si>
    <t>대한제분</t>
  </si>
  <si>
    <t>대한화섬</t>
  </si>
  <si>
    <t>대현</t>
  </si>
  <si>
    <t>동방아그로</t>
  </si>
  <si>
    <t>동아쏘시오홀딩스</t>
  </si>
  <si>
    <t>대원강업</t>
  </si>
  <si>
    <t>동아타이어</t>
  </si>
  <si>
    <t>동양</t>
  </si>
  <si>
    <t>동양고속</t>
  </si>
  <si>
    <t>동양생명</t>
  </si>
  <si>
    <t>동양피스톤</t>
  </si>
  <si>
    <t>동원금속</t>
  </si>
  <si>
    <t>동원산업</t>
  </si>
  <si>
    <t>대창단조</t>
  </si>
  <si>
    <t>대신증권</t>
  </si>
  <si>
    <t>동일고무벨트</t>
  </si>
  <si>
    <t>대교</t>
  </si>
  <si>
    <t>넥센타이어</t>
  </si>
  <si>
    <t>노루페인트</t>
  </si>
  <si>
    <t>노루홀딩스</t>
  </si>
  <si>
    <t>농심</t>
  </si>
  <si>
    <t>농심홀딩스</t>
  </si>
  <si>
    <t>다스코</t>
  </si>
  <si>
    <t>다우기술</t>
  </si>
  <si>
    <t>대구백화점</t>
  </si>
  <si>
    <t>대성에너지</t>
  </si>
  <si>
    <t>대덕</t>
  </si>
  <si>
    <t>대동</t>
  </si>
  <si>
    <t>대동전자</t>
  </si>
  <si>
    <t>대림B&amp;Co</t>
  </si>
  <si>
    <t>대상</t>
  </si>
  <si>
    <t>대상홀딩스</t>
  </si>
  <si>
    <t>대성산업</t>
  </si>
  <si>
    <t>동원수산</t>
  </si>
  <si>
    <t>동일산업</t>
  </si>
  <si>
    <t>삼성공조</t>
  </si>
  <si>
    <t>방림</t>
  </si>
  <si>
    <t>무림P&amp;P</t>
  </si>
  <si>
    <t>무림페이퍼</t>
  </si>
  <si>
    <t>무학</t>
  </si>
  <si>
    <t>미래아이앤지</t>
  </si>
  <si>
    <t>미래에셋생명</t>
  </si>
  <si>
    <t>미래에셋증권</t>
  </si>
  <si>
    <t>미창석유</t>
  </si>
  <si>
    <t>범양건영</t>
  </si>
  <si>
    <t>메리츠화재</t>
  </si>
  <si>
    <t>부국증권</t>
  </si>
  <si>
    <t>부산가스</t>
  </si>
  <si>
    <t>비상교육</t>
  </si>
  <si>
    <t>빙그레</t>
  </si>
  <si>
    <t>사조대림</t>
  </si>
  <si>
    <t>사조산업</t>
  </si>
  <si>
    <t>사조씨푸드</t>
  </si>
  <si>
    <t>모토닉</t>
  </si>
  <si>
    <t>메리츠증권</t>
  </si>
  <si>
    <t>동일제강</t>
  </si>
  <si>
    <t>롯데손해보험</t>
  </si>
  <si>
    <t>두산</t>
  </si>
  <si>
    <t>두산인프라코어</t>
  </si>
  <si>
    <t>두올</t>
  </si>
  <si>
    <t>디씨엠</t>
  </si>
  <si>
    <t>디와이</t>
  </si>
  <si>
    <t>디와이파워</t>
  </si>
  <si>
    <t>디티알오토모티브</t>
  </si>
  <si>
    <t>롯데쇼핑</t>
  </si>
  <si>
    <t>메리츠금융지주</t>
  </si>
  <si>
    <t>롯데정밀화학</t>
  </si>
  <si>
    <t>롯데제과</t>
  </si>
  <si>
    <t>롯데지주</t>
  </si>
  <si>
    <t>롯데케미칼</t>
  </si>
  <si>
    <t>롯데푸드</t>
  </si>
  <si>
    <t>텔코웨어</t>
  </si>
  <si>
    <t>만호제강</t>
  </si>
  <si>
    <t>넥센</t>
  </si>
  <si>
    <t>남양유업</t>
  </si>
  <si>
    <t>기업은행</t>
  </si>
  <si>
    <t>KPX홀딩스</t>
  </si>
  <si>
    <t>JB금융지주</t>
  </si>
  <si>
    <t>KB금융</t>
  </si>
  <si>
    <t>KCC</t>
  </si>
  <si>
    <t>KC그린홀딩스</t>
  </si>
  <si>
    <t>KG케미칼</t>
  </si>
  <si>
    <t>KISCO홀딩스</t>
  </si>
  <si>
    <t>KPX케미칼</t>
  </si>
  <si>
    <t>KT</t>
  </si>
  <si>
    <t>HDC현대EP</t>
  </si>
  <si>
    <t>KTB투자증권</t>
  </si>
  <si>
    <t>KTcs</t>
  </si>
  <si>
    <t>KTis</t>
  </si>
  <si>
    <t>LF</t>
  </si>
  <si>
    <t>LG디스플레이</t>
  </si>
  <si>
    <t>LG상사</t>
  </si>
  <si>
    <t>LG유플러스</t>
  </si>
  <si>
    <t>HDC현대산업개발</t>
  </si>
  <si>
    <t>HDC</t>
  </si>
  <si>
    <t>기신정기</t>
  </si>
  <si>
    <t>DGB금융지주</t>
  </si>
  <si>
    <t>BNK금융지주</t>
  </si>
  <si>
    <t>BYC</t>
  </si>
  <si>
    <t>CJ</t>
  </si>
  <si>
    <t>CS홀딩스</t>
  </si>
  <si>
    <t>DB</t>
  </si>
  <si>
    <t>DB금융투자</t>
  </si>
  <si>
    <t>DB손해보험</t>
  </si>
  <si>
    <t>DI동일</t>
  </si>
  <si>
    <t>GS건설</t>
  </si>
  <si>
    <t>DL</t>
  </si>
  <si>
    <t>DL건설</t>
  </si>
  <si>
    <t>DRB동일</t>
  </si>
  <si>
    <t>DSR</t>
  </si>
  <si>
    <t>DSR제강</t>
  </si>
  <si>
    <t>E1</t>
  </si>
  <si>
    <t>GS</t>
  </si>
  <si>
    <t>LG헬로비전</t>
  </si>
  <si>
    <t>LS</t>
  </si>
  <si>
    <t>LS네트웍스</t>
  </si>
  <si>
    <t>계양전기</t>
  </si>
  <si>
    <t>가온전선</t>
  </si>
  <si>
    <t>강남제비스코</t>
  </si>
  <si>
    <t>경동도시가스</t>
  </si>
  <si>
    <t>경동인베스트</t>
  </si>
  <si>
    <t>경방</t>
  </si>
  <si>
    <t>경인전자</t>
  </si>
  <si>
    <t>계룡건설</t>
  </si>
  <si>
    <t>고려제강</t>
  </si>
  <si>
    <t>NH투자증권</t>
  </si>
  <si>
    <t>광동제약</t>
  </si>
  <si>
    <t>광전자</t>
  </si>
  <si>
    <t>광주신세계</t>
  </si>
  <si>
    <t>교보증권</t>
  </si>
  <si>
    <t>국도화학</t>
  </si>
  <si>
    <t>금강공업</t>
  </si>
  <si>
    <t>금비</t>
  </si>
  <si>
    <t>WISCOM</t>
  </si>
  <si>
    <t>TBH글로벌</t>
  </si>
  <si>
    <t>SUN&amp;L</t>
  </si>
  <si>
    <t>SNT홀딩스</t>
  </si>
  <si>
    <t>NPC</t>
  </si>
  <si>
    <t>POSCO</t>
  </si>
  <si>
    <t>SBS미디어홀딩스</t>
  </si>
  <si>
    <t>SG세계물산</t>
  </si>
  <si>
    <t>SIMPAC</t>
  </si>
  <si>
    <t>SJM</t>
  </si>
  <si>
    <t>SJM홀딩스</t>
  </si>
  <si>
    <t>SK</t>
  </si>
  <si>
    <t>SK가스</t>
  </si>
  <si>
    <t>SK네트웍스</t>
  </si>
  <si>
    <t>SK디스커버리</t>
  </si>
  <si>
    <t>SK증권</t>
  </si>
  <si>
    <t>SK텔레콤</t>
  </si>
  <si>
    <t>SNT에너지</t>
  </si>
  <si>
    <t>SNT중공업</t>
  </si>
  <si>
    <t>사조오양</t>
  </si>
  <si>
    <t>롯데하이마트</t>
  </si>
  <si>
    <t>삼성물산</t>
  </si>
  <si>
    <t>전방</t>
  </si>
  <si>
    <t>신라교역</t>
  </si>
  <si>
    <t>제주은행</t>
  </si>
  <si>
    <t>신세계</t>
  </si>
  <si>
    <t>신세계 I&amp;C</t>
  </si>
  <si>
    <t>신세계건설</t>
  </si>
  <si>
    <t>제일연마</t>
  </si>
  <si>
    <t>신송홀딩스</t>
  </si>
  <si>
    <t>지역난방공사</t>
  </si>
  <si>
    <t>신영와코루</t>
  </si>
  <si>
    <t>신영증권</t>
  </si>
  <si>
    <t>일진홀딩스</t>
  </si>
  <si>
    <t>신원</t>
  </si>
  <si>
    <t>일진전기</t>
  </si>
  <si>
    <t>일정실업</t>
  </si>
  <si>
    <t>신도리코</t>
  </si>
  <si>
    <t>신대양제지</t>
  </si>
  <si>
    <t>조광페인트</t>
  </si>
  <si>
    <t>스카이라이프</t>
  </si>
  <si>
    <t>세하</t>
  </si>
  <si>
    <t>조광피혁</t>
  </si>
  <si>
    <t>조선내화</t>
  </si>
  <si>
    <t>조흥</t>
  </si>
  <si>
    <t>종근당홀딩스</t>
  </si>
  <si>
    <t>세종공업</t>
  </si>
  <si>
    <t>세이브존I&amp;C</t>
  </si>
  <si>
    <t>유안타증권</t>
  </si>
  <si>
    <t>지엠비코리아</t>
  </si>
  <si>
    <t>세원정공</t>
  </si>
  <si>
    <t>세원이앤씨</t>
  </si>
  <si>
    <t>세아홀딩스</t>
  </si>
  <si>
    <t>세아특수강</t>
  </si>
  <si>
    <t>신풍제지</t>
  </si>
  <si>
    <t>일신방직</t>
  </si>
  <si>
    <t>신한지주</t>
  </si>
  <si>
    <t>오리온홀딩스</t>
  </si>
  <si>
    <t>유수홀딩스</t>
  </si>
  <si>
    <t>유성기업</t>
  </si>
  <si>
    <t>유화증권</t>
  </si>
  <si>
    <t>유니켐</t>
  </si>
  <si>
    <t>유니드</t>
  </si>
  <si>
    <t>원림</t>
  </si>
  <si>
    <t>우진아이엔에스</t>
  </si>
  <si>
    <t>우진</t>
  </si>
  <si>
    <t>우성사료</t>
  </si>
  <si>
    <t>이마트</t>
  </si>
  <si>
    <t>이화산업</t>
  </si>
  <si>
    <t>우리금융캐피탈</t>
  </si>
  <si>
    <t>우리금융지주</t>
  </si>
  <si>
    <t>용평리조트</t>
  </si>
  <si>
    <t>예스코홀딩스</t>
  </si>
  <si>
    <t>쌍방울</t>
  </si>
  <si>
    <t>영흥</t>
  </si>
  <si>
    <t>영풍제지</t>
  </si>
  <si>
    <t>영풍</t>
  </si>
  <si>
    <t>영원무역홀딩스</t>
  </si>
  <si>
    <t>영보화학</t>
  </si>
  <si>
    <t>엔케이물산</t>
  </si>
  <si>
    <t>인천도시가스</t>
  </si>
  <si>
    <t>인터지스</t>
  </si>
  <si>
    <t>에스엘</t>
  </si>
  <si>
    <t>애경유화</t>
  </si>
  <si>
    <t>일성신약</t>
  </si>
  <si>
    <t>아세아제지</t>
  </si>
  <si>
    <t>아세아시멘트</t>
  </si>
  <si>
    <t>아세아</t>
  </si>
  <si>
    <t>세아제강지주</t>
  </si>
  <si>
    <t>유진투자증권</t>
  </si>
  <si>
    <t>지투알</t>
  </si>
  <si>
    <t>크라운해태홀딩스</t>
  </si>
  <si>
    <t>코오롱</t>
  </si>
  <si>
    <t>상신브레이크</t>
  </si>
  <si>
    <t>상상인증권</t>
  </si>
  <si>
    <t>진도</t>
  </si>
  <si>
    <t>삼호개발</t>
  </si>
  <si>
    <t>삼천리</t>
  </si>
  <si>
    <t>삼정펄프</t>
  </si>
  <si>
    <t>삼일씨엔에스</t>
  </si>
  <si>
    <t>코오롱인더</t>
  </si>
  <si>
    <t>삼익악기</t>
  </si>
  <si>
    <t>쿠쿠홀딩스</t>
  </si>
  <si>
    <t>삼원강재</t>
  </si>
  <si>
    <t>삼영전자</t>
  </si>
  <si>
    <t>삼영무역</t>
  </si>
  <si>
    <t>샘표</t>
  </si>
  <si>
    <t>삼양홀딩스</t>
  </si>
  <si>
    <t>삼양통상</t>
  </si>
  <si>
    <t>키움증권</t>
  </si>
  <si>
    <t>태경산업</t>
  </si>
  <si>
    <t>삼양사</t>
  </si>
  <si>
    <t>태광산업</t>
  </si>
  <si>
    <t>삼성화재</t>
  </si>
  <si>
    <t>태양금속</t>
  </si>
  <si>
    <t>태영건설</t>
  </si>
  <si>
    <t>삼성카드</t>
  </si>
  <si>
    <t>태평양물산</t>
  </si>
  <si>
    <t>삼성증권</t>
  </si>
  <si>
    <t>삼성생명</t>
  </si>
  <si>
    <t>새론오토모티브</t>
  </si>
  <si>
    <t>삼화왕관</t>
  </si>
  <si>
    <t>코스맥스비티아이</t>
  </si>
  <si>
    <t>세아베스틸</t>
  </si>
  <si>
    <t>진양홀딩스</t>
  </si>
  <si>
    <t>세아제강</t>
  </si>
  <si>
    <t>성보화학</t>
  </si>
  <si>
    <t>선진</t>
  </si>
  <si>
    <t>선도전기</t>
  </si>
  <si>
    <t>코리안리</t>
  </si>
  <si>
    <t>서울가스</t>
  </si>
  <si>
    <t>케이씨</t>
  </si>
  <si>
    <t>성창기업지주</t>
  </si>
  <si>
    <t>케이비아이동국실업</t>
  </si>
  <si>
    <t>세방</t>
  </si>
  <si>
    <t>서연이화</t>
  </si>
  <si>
    <t>성신양회</t>
  </si>
  <si>
    <t>샘표식품</t>
  </si>
  <si>
    <t>젠큐릭스</t>
  </si>
  <si>
    <t>비비씨</t>
  </si>
  <si>
    <t>크라운제과</t>
  </si>
  <si>
    <t>KT&amp;G</t>
  </si>
  <si>
    <t>제이앤티씨</t>
  </si>
  <si>
    <t>디에이치피코리아</t>
  </si>
  <si>
    <t>매커스</t>
  </si>
  <si>
    <t>제놀루션</t>
  </si>
  <si>
    <t>SK디앤디</t>
  </si>
  <si>
    <t>KD</t>
  </si>
  <si>
    <t>액트로</t>
  </si>
  <si>
    <t>KCI</t>
  </si>
  <si>
    <t>더네이쳐홀딩스</t>
  </si>
  <si>
    <t>대한약품</t>
  </si>
  <si>
    <t>플레이위드</t>
  </si>
  <si>
    <t>우원개발</t>
  </si>
  <si>
    <t>아이씨디</t>
  </si>
  <si>
    <t>진양폴리</t>
  </si>
  <si>
    <t>휴온스</t>
  </si>
  <si>
    <t>흥국</t>
  </si>
  <si>
    <t>코웰패션</t>
  </si>
  <si>
    <t>케이씨텍</t>
  </si>
  <si>
    <t>CJ제일제당</t>
  </si>
  <si>
    <t>핌스</t>
  </si>
  <si>
    <t>한국콜마</t>
  </si>
  <si>
    <t>코윈테크</t>
  </si>
  <si>
    <t>펌텍코리아</t>
  </si>
  <si>
    <t>F&amp;F</t>
  </si>
  <si>
    <t>코웨이</t>
  </si>
  <si>
    <t>파이오링크</t>
  </si>
  <si>
    <t>코오롱글로벌</t>
  </si>
  <si>
    <t>크리스에프앤씨</t>
  </si>
  <si>
    <t>파워로직스</t>
  </si>
  <si>
    <t>크린앤사이언스</t>
  </si>
  <si>
    <t>한전산업</t>
  </si>
  <si>
    <t>한국큐빅</t>
  </si>
  <si>
    <t>태웅로직스</t>
  </si>
  <si>
    <t>프로텍</t>
  </si>
  <si>
    <t>DSC인베스트먼트</t>
  </si>
  <si>
    <t>현대글로비스</t>
  </si>
  <si>
    <t>드림씨아이에스</t>
  </si>
  <si>
    <t>앱코</t>
  </si>
  <si>
    <t>네오위즈</t>
  </si>
  <si>
    <t>네오팜</t>
  </si>
  <si>
    <t>누리플렉스</t>
  </si>
  <si>
    <t>뉴파워프라즈마</t>
  </si>
  <si>
    <t>씨젠</t>
  </si>
  <si>
    <t>씨앤투스성진</t>
  </si>
  <si>
    <t>씨앤지하이테크</t>
  </si>
  <si>
    <t>동원F&amp;B</t>
  </si>
  <si>
    <t>다나와</t>
  </si>
  <si>
    <t>슈프리마</t>
  </si>
  <si>
    <t>대유에이피</t>
  </si>
  <si>
    <t>성호전자</t>
  </si>
  <si>
    <t>서호전기</t>
  </si>
  <si>
    <t>더블유게임즈</t>
  </si>
  <si>
    <t>디바이스이엔지</t>
  </si>
  <si>
    <t>디알젬</t>
  </si>
  <si>
    <t>디와이피엔에프</t>
  </si>
  <si>
    <t>랩지노믹스</t>
  </si>
  <si>
    <t>미원화학</t>
  </si>
  <si>
    <t>삼양식품</t>
  </si>
  <si>
    <t>링네트</t>
  </si>
  <si>
    <t>비에이치</t>
  </si>
  <si>
    <t>매일유업</t>
  </si>
  <si>
    <t>브랜드엑스코퍼레이션</t>
  </si>
  <si>
    <t>바이오니아</t>
  </si>
  <si>
    <t>삼성출판사</t>
  </si>
  <si>
    <t>민앤지</t>
  </si>
  <si>
    <t>야스</t>
  </si>
  <si>
    <t>나인테크</t>
  </si>
  <si>
    <t>유니퀘스트</t>
  </si>
  <si>
    <t>원익머트리얼즈</t>
  </si>
  <si>
    <t>우리종금</t>
  </si>
  <si>
    <t>제이엠티</t>
  </si>
  <si>
    <t>제노레이</t>
  </si>
  <si>
    <t>화승인더</t>
  </si>
  <si>
    <t>에이플러스에셋</t>
  </si>
  <si>
    <t>이엔에프테크놀로지</t>
  </si>
  <si>
    <t>교촌에프앤비</t>
  </si>
  <si>
    <t>금호석유</t>
  </si>
  <si>
    <t>까뮤이앤씨</t>
  </si>
  <si>
    <t>깨끗한나라</t>
  </si>
  <si>
    <t>윈스</t>
  </si>
  <si>
    <t>위닉스</t>
  </si>
  <si>
    <t>멕아이씨에스</t>
  </si>
  <si>
    <t>원방테크</t>
  </si>
  <si>
    <t>에스에프에이</t>
  </si>
  <si>
    <t>오션브릿지</t>
  </si>
  <si>
    <t>오상자이엘</t>
  </si>
  <si>
    <t>KG이니시스</t>
  </si>
  <si>
    <t>영림원소프트랩</t>
  </si>
  <si>
    <t>엠씨넥스</t>
  </si>
  <si>
    <t>SNK</t>
  </si>
  <si>
    <t>시디즈</t>
  </si>
  <si>
    <t>에이치엘사이언스</t>
  </si>
  <si>
    <t>고려신용정보</t>
  </si>
  <si>
    <t>대우건설</t>
  </si>
  <si>
    <t>에스폴리텍</t>
  </si>
  <si>
    <t>에스텍파마</t>
  </si>
  <si>
    <t>에스제이그룹</t>
  </si>
  <si>
    <t>힘스</t>
  </si>
  <si>
    <t>[8070.0, 2135.0, -11615.0, nan]</t>
  </si>
  <si>
    <t>[6615.0, 4614.0, 4993.0, 4233.0]</t>
  </si>
  <si>
    <t>[2230.0, 2345.0, 5841.0, nan]</t>
  </si>
  <si>
    <t>[-111.0, -77.0, 557.0, nan]</t>
  </si>
  <si>
    <t>[1851.0, 436.0, 586.0, nan]</t>
  </si>
  <si>
    <t>[-333.0, -185.0, -322.0, nan]</t>
  </si>
  <si>
    <t>[863.0, 1782.0, 2510.0, nan]</t>
  </si>
  <si>
    <t>[23.0, -62.0, 260.0, nan]</t>
  </si>
  <si>
    <t>[228.0, 337.0, 757.0, nan]</t>
  </si>
  <si>
    <t>[1430.0, 279.0, 1453.0, nan]</t>
  </si>
  <si>
    <t>[-42.0, 633.0, -41.0, nan]</t>
  </si>
  <si>
    <t>[1326.0, 1306.0, 1446.0, nan]</t>
  </si>
  <si>
    <t>[1131.0, 876.0, 123.0, nan]</t>
  </si>
  <si>
    <t>[2723.0, 842.0, -850.0, nan]</t>
  </si>
  <si>
    <t>[1404.0, 1950.0, 902.0, nan]</t>
  </si>
  <si>
    <t>[1254.0, 1960.0, 492.0, 1073.0]</t>
  </si>
  <si>
    <t>[194.0, 250.0, 121.0, nan]</t>
  </si>
  <si>
    <t>[736.0, 317.0, 450.0, nan]</t>
  </si>
  <si>
    <t>[-8.0, 31.0, 27.0, nan]</t>
  </si>
  <si>
    <t>[622.0, 3043.0, 2939.0, nan]</t>
  </si>
  <si>
    <t>[-152.0, -7.0, 1047.0, nan]</t>
  </si>
  <si>
    <t>[20419.0, 16696.0, 19071.0, 21333.0]</t>
  </si>
  <si>
    <t>[-250.0, -1099.0, -267.0, nan]</t>
  </si>
  <si>
    <t>[979.0, 303.0, -301.0, -3080.0]</t>
  </si>
  <si>
    <t>[136.0, 195.0, 56.0, nan]</t>
  </si>
  <si>
    <t>[1127.0, 1319.0, 1759.0, nan]</t>
  </si>
  <si>
    <t>[313.0, 2716.0, 741.0, nan]</t>
  </si>
  <si>
    <t>[722.0, 1311.0, -532.0, nan]</t>
  </si>
  <si>
    <t>[-96.0, 40.0, 779.0, nan]</t>
  </si>
  <si>
    <t>[9970.0, 5409.0, 52512.0, 16796.0]</t>
  </si>
  <si>
    <t>[-114.0, 64.0, -176.0, nan]</t>
  </si>
  <si>
    <t>[-70.0, -609.0, -431.0, nan]</t>
  </si>
  <si>
    <t>[190.0, 174.0, 288.0, nan]</t>
  </si>
  <si>
    <t>[318.0, 232.0, 214.0, nan]</t>
  </si>
  <si>
    <t>[-166.0, -733.0, 658.0, nan]</t>
  </si>
  <si>
    <t>[1850.0, 2126.0, 2452.0, nan]</t>
  </si>
  <si>
    <t>[1542.0, 1086.0, 888.0, nan]</t>
  </si>
  <si>
    <t>[702.0, 102.0, -92.0, nan]</t>
  </si>
  <si>
    <t>[3956.0, 2953.0, 2961.0, nan]</t>
  </si>
  <si>
    <t>[-22.0, 528.0, 429.0, nan]</t>
  </si>
  <si>
    <t>[1223.0, -267.0, -110.0, nan]</t>
  </si>
  <si>
    <t>[49.0, 74.0, 180.0, nan]</t>
  </si>
  <si>
    <t>[355.0, 416.0, 649.0, nan]</t>
  </si>
  <si>
    <t>[2021.0, 396.0, 1212.0, 1684.0]</t>
  </si>
  <si>
    <t>[758.0, 499.0, 291.0, nan]</t>
  </si>
  <si>
    <t>[284.0, 319.0, 186.0, nan]</t>
  </si>
  <si>
    <t>[2690.0, 932.0, 48.0, nan]</t>
  </si>
  <si>
    <t>[271.0, -909.0, -358.0, nan]</t>
  </si>
  <si>
    <t>[3650.0, 1779.0, 2241.0, nan]</t>
  </si>
  <si>
    <t>[1382.0, 1601.0, 19.0, nan]</t>
  </si>
  <si>
    <t>[108.0, 269.0, 540.0, nan]</t>
  </si>
  <si>
    <t>[822.0, 849.0, 1649.0, nan]</t>
  </si>
  <si>
    <t>[266.0, 2019.0, 1102.0, nan]</t>
  </si>
  <si>
    <t>[461.0, 417.0, 492.0, nan]</t>
  </si>
  <si>
    <t>[2377.0, 2254.0, 1121.0, nan]</t>
  </si>
  <si>
    <t>[2461.0, 3166.0, 3271.0, nan]</t>
  </si>
  <si>
    <t>[261.0, 36.0, 833.0, nan]</t>
  </si>
  <si>
    <t>[1343.0, 933.0, 1590.0, nan]</t>
  </si>
  <si>
    <t>[505.0, 61.0, 79.0, nan]</t>
  </si>
  <si>
    <t>[1348.0, 2226.0, 949.0, nan]</t>
  </si>
  <si>
    <t>[160.0, 289.0, 205.0, nan]</t>
  </si>
  <si>
    <t>[330.0, 44.0, 220.0, nan]</t>
  </si>
  <si>
    <t>[-66.0, -374.0, 76.0, nan]</t>
  </si>
  <si>
    <t>[-1058.0, -886.0, -773.0, nan]</t>
  </si>
  <si>
    <t>[129.0, 24.0, -534.0, nan]</t>
  </si>
  <si>
    <t>[-672.0, -1310.0, -365.0, nan]</t>
  </si>
  <si>
    <t>[-470.0, -3046.0, 1247.0, nan]</t>
  </si>
  <si>
    <t>[1196.0, 1531.0, 1735.0, nan]</t>
  </si>
  <si>
    <t>[250.0, -330.0, 8324.0, nan]</t>
  </si>
  <si>
    <t>[1852.0, 1646.0, 144.0, nan]</t>
  </si>
  <si>
    <t>[1905.0, 1064.0, 1777.0, nan]</t>
  </si>
  <si>
    <t>[270.0, 2765.0, 357.0, nan]</t>
  </si>
  <si>
    <t>[2883.0, 819.0, -162.0, nan]</t>
  </si>
  <si>
    <t>[879.0, 1924.0, -533.0, nan]</t>
  </si>
  <si>
    <t>[784.0, 964.0, 766.0, nan]</t>
  </si>
  <si>
    <t>[661.0, 749.0, 1653.0, nan]</t>
  </si>
  <si>
    <t>[20.0, 383.0, 785.0, nan]</t>
  </si>
  <si>
    <t>[3362.0, 2178.0, 5776.0, nan]</t>
  </si>
  <si>
    <t>[662.0, 428.0, 336.0, 415.0]</t>
  </si>
  <si>
    <t>[49.0, 373.0, 379.0, nan]</t>
  </si>
  <si>
    <t>[-248.0, 51.0, 2241.0, 1233.0]</t>
  </si>
  <si>
    <t>[1214.0, 3918.0, 4206.0, 7522.0]</t>
  </si>
  <si>
    <t>[638.0, 2038.0, 849.0, nan]</t>
  </si>
  <si>
    <t>[2940.0, 3462.0, 3455.0, 4237.0]</t>
  </si>
  <si>
    <t>[310.0, -3391.0, -1782.0, nan]</t>
  </si>
  <si>
    <t>[-398.0, 504.0, 1359.0, nan]</t>
  </si>
  <si>
    <t>[1715.0, 1681.0, 2490.0, 2857.0]</t>
  </si>
  <si>
    <t>[-826.0, 536.0, 1627.0, 619.0]</t>
  </si>
  <si>
    <t>[14008.0, 6210.0, 9152.0, 6998.0]</t>
  </si>
  <si>
    <t>[351.0, 1672.0, 3465.0, nan]</t>
  </si>
  <si>
    <t>[12962.0, 9772.0, 17953.0, 17037.0]</t>
  </si>
  <si>
    <t>[-334.0, -478.0, -195.0, nan]</t>
  </si>
  <si>
    <t>[17398.0, 461.0, 1652.0, nan]</t>
  </si>
  <si>
    <t>[4216.0, 3387.0, 3006.0, 4711.0]</t>
  </si>
  <si>
    <t>[264.0, 414.0, -184.0, nan]</t>
  </si>
  <si>
    <t>[11549.0, 4754.0, 2596.0, 8639.0]</t>
  </si>
  <si>
    <t>[288.0, 552.0, nan, nan]</t>
  </si>
  <si>
    <t>[1258.0, 1697.0, 1934.0, 2461.0]</t>
  </si>
  <si>
    <t>[2212.0, 629.0, 2565.0, 5430.0]</t>
  </si>
  <si>
    <t>[3075.0, 2108.0, 1205.0, nan]</t>
  </si>
  <si>
    <t>[7458.0, 7966.0, 8784.0, 9976.0]</t>
  </si>
  <si>
    <t>[-358.0, 2.0, -63.0, nan]</t>
  </si>
  <si>
    <t>[-115.0, -903.0, 2722.0, nan]</t>
  </si>
  <si>
    <t>[5518.0, 420.0, -1864.0, 3851.0]</t>
  </si>
  <si>
    <t>[5949.0, 5136.0, -14989.0, nan]</t>
  </si>
  <si>
    <t>[8599.0, 13724.0, 14021.0, 17621.0]</t>
  </si>
  <si>
    <t>[4323.0, 4505.0, 2088.0, nan]</t>
  </si>
  <si>
    <t>[2226.0, 1627.0, 1822.0, 2033.0]</t>
  </si>
  <si>
    <t>[826.0, 716.0, 1049.0, 960.0]</t>
  </si>
  <si>
    <t>[-2048.0, -3654.0, 3102.0, 311.0]</t>
  </si>
  <si>
    <t>[-5.0, -266.0, -120.0, nan]</t>
  </si>
  <si>
    <t>[-606.0, -116.0, 591.0, nan]</t>
  </si>
  <si>
    <t>[576.0, 281.0, 285.0, 439.0]</t>
  </si>
  <si>
    <t>[306.0, 1025.0, -129.0, nan]</t>
  </si>
  <si>
    <t>[4784.0, 919.0, 2184.0, 4024.0]</t>
  </si>
  <si>
    <t>[478.0, 116.0, 271.0, 575.0]</t>
  </si>
  <si>
    <t>[4178.0, 3011.0, 3712.0, 3921.0]</t>
  </si>
  <si>
    <t>[13881.0, 7162.0, 9393.0, 11779.0]</t>
  </si>
  <si>
    <t>[-23.0, 365.0, 413.0, nan]</t>
  </si>
  <si>
    <t>[3954.0, 616.0, 2667.0, nan]</t>
  </si>
  <si>
    <t>[-521.0, 357.0, -628.0, nan]</t>
  </si>
  <si>
    <t>[-1635.0, 190.0, -1553.0, nan]</t>
  </si>
  <si>
    <t>[-31.0, -279.0, -207.0, nan]</t>
  </si>
  <si>
    <t>[5753.0, 3388.0, 2053.0, nan]</t>
  </si>
  <si>
    <t>[908.0, 1505.0, 1047.0, nan]</t>
  </si>
  <si>
    <t>[145922.0, 4921.0, -2504.0, 12790.0]</t>
  </si>
  <si>
    <t>[204.0, 1409.0, -2382.0, 10754.0]</t>
  </si>
  <si>
    <t>[1876.0, 564.0, 405.0, nan]</t>
  </si>
  <si>
    <t>[536.0, -8.0, 2382.0, nan]</t>
  </si>
  <si>
    <t>[2281.0, -1646.0, 1134.0, nan]</t>
  </si>
  <si>
    <t>[774.0, 590.0, 349.0, nan]</t>
  </si>
  <si>
    <t>[354.0, 335.0, -261.0, nan]</t>
  </si>
  <si>
    <t>[490.0, 1129.0, 1947.0, nan]</t>
  </si>
  <si>
    <t>[-666.0, 1236.0, 3727.0, 2415.0]</t>
  </si>
  <si>
    <t>[1893.0, 948.0, 1295.0, 1510.0]</t>
  </si>
  <si>
    <t>[700.0, -567.0, 525.0, nan]</t>
  </si>
  <si>
    <t>[619.0, 2555.0, 2388.0, 3456.0]</t>
  </si>
  <si>
    <t>[409.0, 505.0, 306.0, nan]</t>
  </si>
  <si>
    <t>[192.0, 314.0, -360.0, nan]</t>
  </si>
  <si>
    <t>[3424.0, 3656.0, 1098.0, 4231.0]</t>
  </si>
  <si>
    <t>[1056.0, 561.0, 728.0, 951.0]</t>
  </si>
  <si>
    <t>[19403.0, 23867.0, 16083.0, 28470.0]</t>
  </si>
  <si>
    <t>[1724.0, 2324.0, 2175.0, nan]</t>
  </si>
  <si>
    <t>[10211.0, 8296.0, 3005.0, 8042.0]</t>
  </si>
  <si>
    <t>[1280.0, 1434.0, 1554.0, nan]</t>
  </si>
  <si>
    <t>[-2043.0, 2030.0, 2242.0, 4516.0]</t>
  </si>
  <si>
    <t>[2988.0, 128.0, -3222.0, 5979.0]</t>
  </si>
  <si>
    <t>[3299.0, 2127.0, -7631.0, 4965.0]</t>
  </si>
  <si>
    <t>[5352.0, 10761.0, 5144.0, 19942.0]</t>
  </si>
  <si>
    <t>[-175.0, 1.0, -585.0, nan]</t>
  </si>
  <si>
    <t>[-65.0, 58.0, -48.0, nan]</t>
  </si>
  <si>
    <t>[260.0, 672.0, 901.0, nan]</t>
  </si>
  <si>
    <t>[73.0, -346.0, -1107.0, nan]</t>
  </si>
  <si>
    <t>[1685.0, 1857.0, 1743.0, nan]</t>
  </si>
  <si>
    <t>[420.0, 610.0, 3042.0, nan]</t>
  </si>
  <si>
    <t>[594.0, 410.0, -331.0, nan]</t>
  </si>
  <si>
    <t>[1183.0, 1195.0, 1207.0, nan]</t>
  </si>
  <si>
    <t>[144.0, 206.0, 132.0, nan]</t>
  </si>
  <si>
    <t>[1353.0, 1581.0, 1338.0, 1558.0]</t>
  </si>
  <si>
    <t>[-105.0, -239.0, -1419.0, nan]</t>
  </si>
  <si>
    <t>[633.0, 2107.0, 572.0, nan]</t>
  </si>
  <si>
    <t>[2250.0, 1975.0, -547.0, nan]</t>
  </si>
  <si>
    <t>[229.0, 424.0, 603.0, 651.0]</t>
  </si>
  <si>
    <t>[-5064.0, -3053.0, -966.0, nan]</t>
  </si>
  <si>
    <t>[371.0, 334.0, 330.0, nan]</t>
  </si>
  <si>
    <t>[1049.0, 2259.0, -253.0, nan]</t>
  </si>
  <si>
    <t>[380.0, 281.0, -189.0, 166.0]</t>
  </si>
  <si>
    <t>[214.0, 857.0, 815.0, nan]</t>
  </si>
  <si>
    <t>[490.0, 448.0, 408.0, nan]</t>
  </si>
  <si>
    <t>[-155.0, -471.0, 284.0, nan]</t>
  </si>
  <si>
    <t>[547.0, 100.0, 1633.0, 381.0]</t>
  </si>
  <si>
    <t>[404.0, 2185.0, 1414.0, nan]</t>
  </si>
  <si>
    <t>[-39.0, -17.0, -277.0, nan]</t>
  </si>
  <si>
    <t>[266.0, 111.0, 370.0, nan]</t>
  </si>
  <si>
    <t>[-271.0, -352.0, -880.0, nan]</t>
  </si>
  <si>
    <t>[3022.0, 2817.0, 2072.0, nan]</t>
  </si>
  <si>
    <t>[-189.0, -903.0, 3394.0, nan]</t>
  </si>
  <si>
    <t>[-255.0, -317.0, -933.0, nan]</t>
  </si>
  <si>
    <t>[1050.0, 781.0, 707.0, nan]</t>
  </si>
  <si>
    <t>[-4632.0, 283.0, -4291.0, nan]</t>
  </si>
  <si>
    <t>[704.0, -513.0, -1651.0, nan]</t>
  </si>
  <si>
    <t>[1520.0, -262.0, -4730.0, nan]</t>
  </si>
  <si>
    <t>[-379.0, 47.0, 127.0, nan]</t>
  </si>
  <si>
    <t>[115.0, -283.0, -537.0, nan]</t>
  </si>
  <si>
    <t>[143.0, 99.0, 3083.0, nan]</t>
  </si>
  <si>
    <t>[1714.0, -1571.0, -8212.0, nan]</t>
  </si>
  <si>
    <t>[194.0, 143.0, 145.0, nan]</t>
  </si>
  <si>
    <t>[-1633.0, -2012.0, -4681.0, nan]</t>
  </si>
  <si>
    <t>[-332.0, 1408.0, -277.0, nan]</t>
  </si>
  <si>
    <t>[1175.0, 1319.0, -383.0, nan]</t>
  </si>
  <si>
    <t>[280.0, -212.0, 210.0, nan]</t>
  </si>
  <si>
    <t>[96.0, 109.0, 102.0, nan]</t>
  </si>
  <si>
    <t>[-376.0, 472.0, 544.0, nan]</t>
  </si>
  <si>
    <t>[4228.0, 1641.0, 2674.0, nan]</t>
  </si>
  <si>
    <t>[427.0, 589.0, 636.0, nan]</t>
  </si>
  <si>
    <t>[-39.0, 106.0, -113.0, nan]</t>
  </si>
  <si>
    <t>[-251.0, -523.0, 173.0, nan]</t>
  </si>
  <si>
    <t>[810.0, 475.0, -374.0, nan]</t>
  </si>
  <si>
    <t>[77.0, 238.0, 24709.0, nan]</t>
  </si>
  <si>
    <t>[310.0, 407.0, 64.0, nan]</t>
  </si>
  <si>
    <t>[566.0, 65.0, -397.0, nan]</t>
  </si>
  <si>
    <t>[1977.0, 1236.0, 1059.0, nan]</t>
  </si>
  <si>
    <t>[29.0, 95.0, 133.0, nan]</t>
  </si>
  <si>
    <t>[-274.0, -117.0, 473.0, nan]</t>
  </si>
  <si>
    <t>[-1969.0, 820.0, -3037.0, nan]</t>
  </si>
  <si>
    <t>[-1092.0, 464.0, -1740.0, nan]</t>
  </si>
  <si>
    <t>[-2204.0, -146.0, -1543.0, nan]</t>
  </si>
  <si>
    <t>[1327.0, 1472.0, 2360.0, nan]</t>
  </si>
  <si>
    <t>[627.0, 653.0, 827.0, nan]</t>
  </si>
  <si>
    <t>[148.0, 264.0, 112.0, nan]</t>
  </si>
  <si>
    <t>[183.0, -12.0, 600.0, nan]</t>
  </si>
  <si>
    <t>[325.0, -255.0, -592.0, nan]</t>
  </si>
  <si>
    <t>[-271.0, -332.0, -18.0, nan]</t>
  </si>
  <si>
    <t>[450.0, 3109.0, 411.0, nan]</t>
  </si>
  <si>
    <t>[1616.0, 1631.0, 1452.0, nan]</t>
  </si>
  <si>
    <t>[82.0, 111.0, 16.0, nan]</t>
  </si>
  <si>
    <t>[359.0, 428.0, 335.0, nan]</t>
  </si>
  <si>
    <t>[493.0, 405.0, 617.0, nan]</t>
  </si>
  <si>
    <t>[2632.0, 1370.0, 2942.0, nan]</t>
  </si>
  <si>
    <t>[-16.0, 129.0, 22.0, nan]</t>
  </si>
  <si>
    <t>[2135.0, 1506.0, 377.0, 1714.0]</t>
  </si>
  <si>
    <t>[-1164.0, -752.0, 488.0, nan]</t>
  </si>
  <si>
    <t>[1173.0, 594.0, 590.0, 996.0]</t>
  </si>
  <si>
    <t>[848.0, 947.0, 388.0, 705.0]</t>
  </si>
  <si>
    <t>[2229.0, -14151.0, -3121.0, nan]</t>
  </si>
  <si>
    <t>[1592.0, 437.0, 267.0, nan]</t>
  </si>
  <si>
    <t>[-833.0, -768.0, -694.0, nan]</t>
  </si>
  <si>
    <t>[-431.0, -720.0, -49.0, nan]</t>
  </si>
  <si>
    <t>[1170.0, 1338.0, -1422.0, nan]</t>
  </si>
  <si>
    <t>[-75.0, -196.0, 111.0, nan]</t>
  </si>
  <si>
    <t>[18.0, -378.0, 582.0, nan]</t>
  </si>
  <si>
    <t>[89.0, 62.0, 260.0, nan]</t>
  </si>
  <si>
    <t>[-670.0, -640.0, -892.0, nan]</t>
  </si>
  <si>
    <t>[1592.0, 1225.0, 921.0, nan]</t>
  </si>
  <si>
    <t>[167.0, 28.0, 56.0, nan]</t>
  </si>
  <si>
    <t>[2178.0, -1078.0, 328.0, nan]</t>
  </si>
  <si>
    <t>[694.0, -63.0, 770.0, nan]</t>
  </si>
  <si>
    <t>[188.0, 208.0, 169.0, nan]</t>
  </si>
  <si>
    <t>[-412.0, 378.0, -35.0, nan]</t>
  </si>
  <si>
    <t>[-1314.0, 1833.0, 1376.0, nan]</t>
  </si>
  <si>
    <t>[163.0, 145.0, 7553.0, nan]</t>
  </si>
  <si>
    <t>[162.0, -21.0, 78.0, nan]</t>
  </si>
  <si>
    <t>[-1419.0, -383.0, 87.0, nan]</t>
  </si>
  <si>
    <t>[832.0, -973.0, -890.0, nan]</t>
  </si>
  <si>
    <t>[-62.0, -603.0, -972.0, nan]</t>
  </si>
  <si>
    <t>[32.0, 29.0, -7.0, nan]</t>
  </si>
  <si>
    <t>[6870.0, 6489.0, 8603.0, 9008.0]</t>
  </si>
  <si>
    <t>[417.0, 98.0, 180.0, nan]</t>
  </si>
  <si>
    <t>[202.0, 294.0, 539.0, 635.0]</t>
  </si>
  <si>
    <t>[1569.0, 394.0, 1028.0, nan]</t>
  </si>
  <si>
    <t>[-291.0, 216.0, -49.0, 106.0]</t>
  </si>
  <si>
    <t>[1127.0, -4159.0, 5770.0, nan]</t>
  </si>
  <si>
    <t>[548.0, -383.0, -230.0, nan]</t>
  </si>
  <si>
    <t>[560.0, 472.0, 399.0, nan]</t>
  </si>
  <si>
    <t>[344.0, 491.0, -651.0, nan]</t>
  </si>
  <si>
    <t>[2065.0, -770.0, 658.0, nan]</t>
  </si>
  <si>
    <t>[696.0, 1572.0, 2199.0, nan]</t>
  </si>
  <si>
    <t>[-69.0, 120.0, 28.0, nan]</t>
  </si>
  <si>
    <t>[-308.0, -325.0, 29.0, nan]</t>
  </si>
  <si>
    <t>[5722.0, 6737.0, 103627.0, nan]</t>
  </si>
  <si>
    <t>[-2299.0, -2665.0, -526.0, nan]</t>
  </si>
  <si>
    <t>[668.0, 763.0, 638.0, nan]</t>
  </si>
  <si>
    <t>[180.0, 154.0, 45.0, nan]</t>
  </si>
  <si>
    <t>[-958.0, -628.0, -1356.0, nan]</t>
  </si>
  <si>
    <t>[319.0, 376.0, 434.0, nan]</t>
  </si>
  <si>
    <t>[245.0, 355.0, 147.0, nan]</t>
  </si>
  <si>
    <t>[391.0, 61.0, 315.0, nan]</t>
  </si>
  <si>
    <t>[-5063.0, 1928.0, 4367.0, nan]</t>
  </si>
  <si>
    <t>[984.0, 429.0, 1018.0, nan]</t>
  </si>
  <si>
    <t>[1526.0, 2259.0, 330.0, nan]</t>
  </si>
  <si>
    <t>[649.0, -622.0, 79.0, nan]</t>
  </si>
  <si>
    <t>[646.0, 236.0, 272.0, nan]</t>
  </si>
  <si>
    <t>[503.0, 805.0, 1001.0, nan]</t>
  </si>
  <si>
    <t>[433.0, 780.0, 1793.0, nan]</t>
  </si>
  <si>
    <t>[-2471.0, -2050.0, 1009.0, nan]</t>
  </si>
  <si>
    <t>[431.0, 380.0, -488.0, nan]</t>
  </si>
  <si>
    <t>[303.0, 257.0, 640.0, nan]</t>
  </si>
  <si>
    <t>[865.0, 179.0, -8.0, nan]</t>
  </si>
  <si>
    <t>[675.0, -48.0, 680.0, nan]</t>
  </si>
  <si>
    <t>[841.0, 1020.0, 1921.0, 2037.0]</t>
  </si>
  <si>
    <t>[758.0, 1001.0, 690.0, nan]</t>
  </si>
  <si>
    <t>[78.0, 463.0, -99.0, nan]</t>
  </si>
  <si>
    <t>[777.0, 515.0, 65.0, nan]</t>
  </si>
  <si>
    <t>[295.0, 182.0, 468.0, nan]</t>
  </si>
  <si>
    <t>[-501.0, -32.0, -244.0, nan]</t>
  </si>
  <si>
    <t>[-1200.0, -1512.0, -857.0, nan]</t>
  </si>
  <si>
    <t>[1829.0, 1576.0, 1117.0, 1146.0]</t>
  </si>
  <si>
    <t>[2733.0, 3987.0, 4448.0, nan]</t>
  </si>
  <si>
    <t>[-504.0, -328.0, -213.0, nan]</t>
  </si>
  <si>
    <t>[77.0, 45.0, 66.0, nan]</t>
  </si>
  <si>
    <t>[60.0, -38.0, 62.0, nan]</t>
  </si>
  <si>
    <t>[621.0, 1167.0, -247.0, nan]</t>
  </si>
  <si>
    <t>[452.0, 442.0, 455.0, nan]</t>
  </si>
  <si>
    <t>[747.0, 1249.0, -2076.0, nan]</t>
  </si>
  <si>
    <t>[608.0, 659.0, 508.0, nan]</t>
  </si>
  <si>
    <t>[1162.0, 324.0, 1269.0, nan]</t>
  </si>
  <si>
    <t>[719.0, 799.0, 847.0, nan]</t>
  </si>
  <si>
    <t>[735.0, -708.0, -1747.0, nan]</t>
  </si>
  <si>
    <t>[760.0, 774.0, 559.0, nan]</t>
  </si>
  <si>
    <t>[-2706.0, -942.0, -212.0, nan]</t>
  </si>
  <si>
    <t>[3619.0, -247.0, 572.0, 12510.0]</t>
  </si>
  <si>
    <t>[280.0, 959.0, -901.0, nan]</t>
  </si>
  <si>
    <t>[3507.0, 2803.0, 1973.0, nan]</t>
  </si>
  <si>
    <t>[39602.0, 16360.0, 19576.0, 42292.0]</t>
  </si>
  <si>
    <t>[-695.0, 1223.0, 1977.0, 3325.0]</t>
  </si>
  <si>
    <t>[101.0, 153.0, 235.0, nan]</t>
  </si>
  <si>
    <t>[30457.0, 10055.0, 12322.0, nan]</t>
  </si>
  <si>
    <t>[33318.0, 16958.0, 12201.0, nan]</t>
  </si>
  <si>
    <t>[331.0, 376.0, 204.0, nan]</t>
  </si>
  <si>
    <t>[450.0, 473.0, 493.0, nan]</t>
  </si>
  <si>
    <t>[-26714.0, 3220.0, 26439.0, 6174.0]</t>
  </si>
  <si>
    <t>[281.0, 258.0, -104.0, nan]</t>
  </si>
  <si>
    <t>[1178.0, 1799.0, 971.0, nan]</t>
  </si>
  <si>
    <t>[14.0, -2.0, -98.0, nan]</t>
  </si>
  <si>
    <t>[446.0, 11314.0, -5659.0, nan]</t>
  </si>
  <si>
    <t>[312.0, 714.0, 797.0, 1134.0]</t>
  </si>
  <si>
    <t>[873.0, 738.0, -552.0, nan]</t>
  </si>
  <si>
    <t>[-311.0, -487.0, 350.0, nan]</t>
  </si>
  <si>
    <t>[20549.0, 12632.0, 65430.0, 39427.0]</t>
  </si>
  <si>
    <t>[840.0, 1011.0, 930.0, nan]</t>
  </si>
  <si>
    <t>[1623.0, 1092.0, 1707.0, 1913.0]</t>
  </si>
  <si>
    <t>[740.0, 595.0, 524.0, nan]</t>
  </si>
  <si>
    <t>[181.0, 162.0, -169.0, 61.0]</t>
  </si>
  <si>
    <t>[994.0, 1135.0, -161.0, 737.0]</t>
  </si>
  <si>
    <t>[623.0, 924.0, 879.0, nan]</t>
  </si>
  <si>
    <t>[-607.0, 339.0, 1038.0, 1039.0]</t>
  </si>
  <si>
    <t>[13858.0, 11672.0, 24416.0, 18974.0]</t>
  </si>
  <si>
    <t>[10077.0, 7887.0, 14746.0, nan]</t>
  </si>
  <si>
    <t>[1179.0, 123.0, -513.0, nan]</t>
  </si>
  <si>
    <t>[2460.0, 4130.0, 6143.0, nan]</t>
  </si>
  <si>
    <t>[-2758.0, -1837.0, -1645.0, nan]</t>
  </si>
  <si>
    <t>[469.0, 474.0, 514.0, nan]</t>
  </si>
  <si>
    <t>[5152.0, 794.0, 2992.0, nan]</t>
  </si>
  <si>
    <t>[52.0, 117.0, 861.0, nan]</t>
  </si>
  <si>
    <t>[51.0, 310.0, 419.0, nan]</t>
  </si>
  <si>
    <t>[252.0, 132.0, -101.0, nan]</t>
  </si>
  <si>
    <t>[1801.0, 2976.0, 3473.0, 3747.0]</t>
  </si>
  <si>
    <t>[632.0, 1946.0, 2360.0, nan]</t>
  </si>
  <si>
    <t>[-198.0, -1390.0, 1072.0, nan]</t>
  </si>
  <si>
    <t>[369.0, 1305.0, -694.0, nan]</t>
  </si>
  <si>
    <t>[6455.0, 1547.0, 3305.0, nan]</t>
  </si>
  <si>
    <t>[771.0, 585.0, 664.0, nan]</t>
  </si>
  <si>
    <t>[71.0, 133.0, 118.0, nan]</t>
  </si>
  <si>
    <t>[1119.0, 162.0, -139.0, 465.0]</t>
  </si>
  <si>
    <t>[833.0, -231.0, -925.0, nan]</t>
  </si>
  <si>
    <t>[-711.0, 832.0, 465.0, nan]</t>
  </si>
  <si>
    <t>[-84.0, 108.0, 152.0, nan]</t>
  </si>
  <si>
    <t>[553.0, 553.0, 403.0, nan]</t>
  </si>
  <si>
    <t>[576.0, 811.0, 1021.0, 1145.0]</t>
  </si>
  <si>
    <t>[6163.0, 10189.0, 11312.0, nan]</t>
  </si>
  <si>
    <t>[219.0, 794.0, 442.0, nan]</t>
  </si>
  <si>
    <t>[2088.0, 2643.0, 3762.0, 3631.0]</t>
  </si>
  <si>
    <t>[2170.0, 2055.0, 4529.0, nan]</t>
  </si>
  <si>
    <t>[4476.0, 4448.0, 16307.0, nan]</t>
  </si>
  <si>
    <t>[188.0, 868.0, -1142.0, nan]</t>
  </si>
  <si>
    <t>[3472.0, 4168.0, 3540.0, 4365.0]</t>
  </si>
  <si>
    <t>[1663.0, 10553.0, 3691.0, nan]</t>
  </si>
  <si>
    <t>[7123.0, -2557.0, 1480.0, nan]</t>
  </si>
  <si>
    <t>[733.0, -328.0, 455.0, nan]</t>
  </si>
  <si>
    <t>[263.0, 344.0, 450.0, nan]</t>
  </si>
  <si>
    <t>[602.0, 789.0, 773.0, 811.0]</t>
  </si>
  <si>
    <t>[9.0, 74.0, 20.0, nan]</t>
  </si>
  <si>
    <t>[680.0, -301.0, -78.0, nan]</t>
  </si>
  <si>
    <t>[-4779.0, 18218.0, -25839.0, 12913.0]</t>
  </si>
  <si>
    <t>[1184.0, 1153.0, 707.0, 1458.0]</t>
  </si>
  <si>
    <t>[426.0, 366.0, 159.0, nan]</t>
  </si>
  <si>
    <t>[570.0, 2005.0, 1706.0, nan]</t>
  </si>
  <si>
    <t>[227.0, 623.0, -445.0, nan]</t>
  </si>
  <si>
    <t>[2310.0, 1728.0, 2301.0, 2341.0]</t>
  </si>
  <si>
    <t>[5581.0, 6584.0, 4596.0, nan]</t>
  </si>
  <si>
    <t>[-19327.0, -31685.0, -27783.0, 3547.0]</t>
  </si>
  <si>
    <t>[2230.0, 2841.0, 3587.0, nan]</t>
  </si>
  <si>
    <t>[8330.0, 6526.0, 7705.0, 8285.0]</t>
  </si>
  <si>
    <t>[2190.0, 5932.0, 6387.0, 12353.0]</t>
  </si>
  <si>
    <t>[1746.0, -3395.0, -1874.0, 7186.0]</t>
  </si>
  <si>
    <t>[46074.0, 20860.0, 4623.0, 47858.0]</t>
  </si>
  <si>
    <t>[37584.0, 33151.0, 62047.0, 34780.0]</t>
  </si>
  <si>
    <t>[654.0, 441.0, 192.0, 392.0]</t>
  </si>
  <si>
    <t>[644.0, 257.0, 306.0, nan]</t>
  </si>
  <si>
    <t>[1088.0, 1037.0, 190.0, nan]</t>
  </si>
  <si>
    <t>[2273.0, 32968.0, -60339.0, nan]</t>
  </si>
  <si>
    <t>[2666.0, 2393.0, 2006.0, 2191.0]</t>
  </si>
  <si>
    <t>[871.0, 8130.0, 33268.0, nan]</t>
  </si>
  <si>
    <t>[1464.0, 1736.0, 1845.0, 2135.0]</t>
  </si>
  <si>
    <t>[7321.0, 7923.0, 8309.0, 9904.0]</t>
  </si>
  <si>
    <t>[-2233.0, -21079.0, 67079.0, 33905.0]</t>
  </si>
  <si>
    <t>[571.0, 364.0, -1649.0, nan]</t>
  </si>
  <si>
    <t>[270.0, 7569.0, 3319.0, nan]</t>
  </si>
  <si>
    <t>[1372.0, 2409.0, 1869.0, nan]</t>
  </si>
  <si>
    <t>[2284.0, 8606.0, 13074.0, nan]</t>
  </si>
  <si>
    <t>[2637.0, 2358.0, 2520.0, 3229.0]</t>
  </si>
  <si>
    <t>[266.0, 413.0, 432.0, nan]</t>
  </si>
  <si>
    <t>[478.0, 710.0, 1103.0, nan]</t>
  </si>
  <si>
    <t>[265.0, 174.0, 251.0, nan]</t>
  </si>
  <si>
    <t>[227.0, 264.0, 212.0, nan]</t>
  </si>
  <si>
    <t>[2846.0, 2313.0, 592.0, 1970.0]</t>
  </si>
  <si>
    <t>[-579.0, -7908.0, -250.0, 3232.0]</t>
  </si>
  <si>
    <t>[-1815.0, 737.0, 7678.0, 4240.0]</t>
  </si>
  <si>
    <t>[1103.0, 1005.0, 1069.0, 1543.0]</t>
  </si>
  <si>
    <t>[5231.0, 9415.0, 3579.0, 5514.0]</t>
  </si>
  <si>
    <t>[17009.0, 4295.0, 1734.0, nan]</t>
  </si>
  <si>
    <t>[299.0, 516.0, 298.0, nan]</t>
  </si>
  <si>
    <t>[2253.0, 1817.0, 1965.0, 2278.0]</t>
  </si>
  <si>
    <t>[1540.0, 1725.0, 1593.0, 1900.0]</t>
  </si>
  <si>
    <t>[10833.0, 33063.0, 21775.0, nan]</t>
  </si>
  <si>
    <t>[8726.0, 8445.0, 2430.0, 6174.0]</t>
  </si>
  <si>
    <t>[5435.0, 9196.0, 6616.0, nan]</t>
  </si>
  <si>
    <t>[-20.0, 22.0, 31.0, nan]</t>
  </si>
  <si>
    <t>[1280.0, 1144.0, 2271.0, nan]</t>
  </si>
  <si>
    <t>[7522.0, 5311.0, 7893.0, 8573.0]</t>
  </si>
  <si>
    <t>[10.0, 4303.0, 7795.0, nan]</t>
  </si>
  <si>
    <t>[7328.0, 5535.0, 3862.0, 7054.0]</t>
  </si>
  <si>
    <t>[16746.0, 17228.0, 13082.0, nan]</t>
  </si>
  <si>
    <t>[4251.0, 6265.0, 7759.0, nan]</t>
  </si>
  <si>
    <t>[313.0, 445.0, 117.0, nan]</t>
  </si>
  <si>
    <t>[494.0, 546.0, 558.0, nan]</t>
  </si>
  <si>
    <t>[513.0, 469.0, 367.0, nan]</t>
  </si>
  <si>
    <t>[11384.0, -6293.0, 8788.0, nan]</t>
  </si>
  <si>
    <t>[9537.0, 5744.0, -2563.0, 8658.0]</t>
  </si>
  <si>
    <t>[505.0, -1217.0, -4039.0, 365.0]</t>
  </si>
  <si>
    <t>[12551.0, 787.0, 3939.0, 5494.0]</t>
  </si>
  <si>
    <t>[207.0, -878.0, -313.0, nan]</t>
  </si>
  <si>
    <t>[281.0, 4.0, 294.0, nan]</t>
  </si>
  <si>
    <t>[23.0, 1314.0, 2285.0, nan]</t>
  </si>
  <si>
    <t>[5942.0, 2250.0, 3583.0, nan]</t>
  </si>
  <si>
    <t>[5785.0, 4163.0, 3221.0, nan]</t>
  </si>
  <si>
    <t>[11862.0, 3850.0, 6446.0, nan]</t>
  </si>
  <si>
    <t>[737.0, 1591.0, 475.0, nan]</t>
  </si>
  <si>
    <t>[-433.0, 155.0, 860.0, nan]</t>
  </si>
  <si>
    <t>[9987.0, 8013.0, 10532.0, 10749.0]</t>
  </si>
  <si>
    <t>[147.0, -25.0, 366.0, nan]</t>
  </si>
  <si>
    <t>[1202.0, 1584.0, 1921.0, 2501.0]</t>
  </si>
  <si>
    <t>[426.0, 440.0, 865.0, nan]</t>
  </si>
  <si>
    <t>[113.0, 60.0, -274.0, nan]</t>
  </si>
  <si>
    <t>[28183.0, 29793.0, 26975.0, nan]</t>
  </si>
  <si>
    <t>[2148.0, 2319.0, 2046.0, nan]</t>
  </si>
  <si>
    <t>[7743.0, 6032.0, 5065.0, nan]</t>
  </si>
  <si>
    <t>[580.0, -359.0, -55.0, 356.0]</t>
  </si>
  <si>
    <t>[6869.0, 6547.0, -3454.0, nan]</t>
  </si>
  <si>
    <t>[69.0, 68.0, -65.0, nan]</t>
  </si>
  <si>
    <t>[-2764.0, -3711.0, -1476.0, nan]</t>
  </si>
  <si>
    <t>[-623.0, -2973.0, -730.0, nan]</t>
  </si>
  <si>
    <t>[1683.0, 3835.0, 2294.0, nan]</t>
  </si>
  <si>
    <t>[282.0, 343.0, 449.0, nan]</t>
  </si>
  <si>
    <t>[19391.0, 21048.0, 18376.0, 43869.0]</t>
  </si>
  <si>
    <t>[81.0, -753.0, -464.0, nan]</t>
  </si>
  <si>
    <t>[33.0, 48.0, -51.0, nan]</t>
  </si>
  <si>
    <t>[1463.0, 145.0, 522.0, nan]</t>
  </si>
  <si>
    <t>[267.0, 438.0, 172.0, nan]</t>
  </si>
  <si>
    <t>[206.0, 329.0, 201.0, nan]</t>
  </si>
  <si>
    <t>[31767.0, 10108.0, 2670.0, 13470.0]</t>
  </si>
  <si>
    <t>[6474.0, 17212.0, 28748.0, 16013.0]</t>
  </si>
  <si>
    <t>[29.0, -530.0, 139.0, 434.0]</t>
  </si>
  <si>
    <t>[3941.0, 8844.0, 13091.0, nan]</t>
  </si>
  <si>
    <t>[40.0, 66.0, 24.0, nan]</t>
  </si>
  <si>
    <t>[38738.0, 11006.0, 18631.0, 30068.0]</t>
  </si>
  <si>
    <t>[243.0, 2058.0, 1304.0, nan]</t>
  </si>
  <si>
    <t>[596.0, 501.0, 251.0, nan]</t>
  </si>
  <si>
    <t>[845.0, 1402.0, 1959.0, nan]</t>
  </si>
  <si>
    <t>[3620.0, -4232.0, 1217.0, nan]</t>
  </si>
  <si>
    <t>[8953.0, 5489.0, 5468.0, 8281.0]</t>
  </si>
  <si>
    <t>[-13840.0, -23962.0, 3514.0, nan]</t>
  </si>
  <si>
    <t>[2525.0, 645.0, 479.0, nan]</t>
  </si>
  <si>
    <t>[1171.0, 869.0, 545.0, nan]</t>
  </si>
  <si>
    <t>[24274.0, 53472.0, -10512.0, 24553.0]</t>
  </si>
  <si>
    <t>[17009.0, 6196.0, 40451.0, nan]</t>
  </si>
  <si>
    <t>[10769.0, 4379.0, 3058.0, nan]</t>
  </si>
  <si>
    <t>[522.0, 640.0, 326.0, nan]</t>
  </si>
  <si>
    <t>[-1176.0, -2905.0, 231.0, nan]</t>
  </si>
  <si>
    <t>[-19564.0, -2209.0, 2413.0, 5644.0]</t>
  </si>
  <si>
    <t>[4721.0, 3192.0, 3245.0, nan]</t>
  </si>
  <si>
    <t>[4498.0, 4510.0, 1255.0, 11860.0]</t>
  </si>
  <si>
    <t>[-29.0, 255.0, 205.0, 203.0]</t>
  </si>
  <si>
    <t>[-76.0, 17.0, -90.0, nan]</t>
  </si>
  <si>
    <t>[-390.0, 97.0, 130.0, nan]</t>
  </si>
  <si>
    <t>[-5725.0, -11334.0, -3518.0, nan]</t>
  </si>
  <si>
    <t>[3476.0, 1437.0, -1331.0, nan]</t>
  </si>
  <si>
    <t>[19674.0, 13849.0, 10529.0, nan]</t>
  </si>
  <si>
    <t>[-305.0, -181.0, 349.0, nan]</t>
  </si>
  <si>
    <t>[1079.0, 1141.0, 1196.0, 1358.0]</t>
  </si>
  <si>
    <t>[165.0, 347.0, 310.0, nan]</t>
  </si>
  <si>
    <t>[2053.0, 2181.0, 2956.0, nan]</t>
  </si>
  <si>
    <t>[13184.0, 6088.0, 8391.0, nan]</t>
  </si>
  <si>
    <t>[13393.0, 13076.0, 12528.0, nan]</t>
  </si>
  <si>
    <t>[5481.0, 8988.0, 15704.0, 25989.0]</t>
  </si>
  <si>
    <t>[-937.0, 247.0, -642.0, nan]</t>
  </si>
  <si>
    <t>[619.0, 542.0, 241.0, nan]</t>
  </si>
  <si>
    <t>[493.0, 381.0, 494.0, nan]</t>
  </si>
  <si>
    <t>[7.0, 143.0, -432.0, nan]</t>
  </si>
  <si>
    <t>[-650.0, -837.0, 760.0, nan]</t>
  </si>
  <si>
    <t>[-277.0, -93.0, -384.0, nan]</t>
  </si>
  <si>
    <t>[8191.0, 7705.0, -40506.0, nan]</t>
  </si>
  <si>
    <t>[1302.0, 1280.0, -515.0, nan]</t>
  </si>
  <si>
    <t>[250.0, 562.0, 943.0, nan]</t>
  </si>
  <si>
    <t>[8865.0, 2940.0, 4181.0, nan]</t>
  </si>
  <si>
    <t>[6657.0, 7004.0, 6743.0, 7512.0]</t>
  </si>
  <si>
    <t>[899.0, 772.0, 1237.0, nan]</t>
  </si>
  <si>
    <t>[346.0, 156.0, 3071.0, nan]</t>
  </si>
  <si>
    <t>[142.0, 606.0, -182.0, nan]</t>
  </si>
  <si>
    <t>[81.0, 84.0, 70.0, nan]</t>
  </si>
  <si>
    <t>[180.0, 223.0, 158.0, nan]</t>
  </si>
  <si>
    <t>[4062.0, 7600.0, 8656.0, 12250.0]</t>
  </si>
  <si>
    <t>[-388.0, 1291.0, 6961.0, nan]</t>
  </si>
  <si>
    <t>[2172.0, 279.0, 231.0, nan]</t>
  </si>
  <si>
    <t>[-416.0, -587.0, 1690.0, nan]</t>
  </si>
  <si>
    <t>[-1337.0, 3858.0, 1865.0, nan]</t>
  </si>
  <si>
    <t>[16150.0, 8391.0, 12979.0, 12637.0]</t>
  </si>
  <si>
    <t>[-384.0, -1615.0, -951.0, nan]</t>
  </si>
  <si>
    <t>[1581.0, 1765.0, 1025.0, nan]</t>
  </si>
  <si>
    <t>[nan, 2701.0, 1810.0, 2674.0]</t>
  </si>
  <si>
    <t>[212.0, -287.0, -365.0, nan]</t>
  </si>
  <si>
    <t>[-6546.0, 3278.0, -11271.0, nan]</t>
  </si>
  <si>
    <t>[-647.0, -247.0, -86.0, nan]</t>
  </si>
  <si>
    <t>[-61.0, 12.0, -217.0, nan]</t>
  </si>
  <si>
    <t>[645.0, 418.0, 384.0, nan]</t>
  </si>
  <si>
    <t>[60108.0, 126504.0, 72005.0, 138976.0]</t>
  </si>
  <si>
    <t>[6325.0, 8870.0, 7690.0, nan]</t>
  </si>
  <si>
    <t>[287.0, 256.0, 142.0, nan]</t>
  </si>
  <si>
    <t>[-320.0, -72.0, 79.0, nan]</t>
  </si>
  <si>
    <t>[3686.0, 2448.0, 2603.0, nan]</t>
  </si>
  <si>
    <t>[-454.0, -902.0, 171.0, nan]</t>
  </si>
  <si>
    <t>[743.0, 1921.0, 1362.0, 2962.0]</t>
  </si>
  <si>
    <t>[1657.0, 952.0, 1386.0, nan]</t>
  </si>
  <si>
    <t>[1107.0, 2526.0, 1211.0, nan]</t>
  </si>
  <si>
    <t>[8785.0, 6860.0, 6057.0, 9825.0]</t>
  </si>
  <si>
    <t>[4002.0, 7108.0, 6093.0, 9754.0]</t>
  </si>
  <si>
    <t>[22849.0, 21956.0, 19180.0, nan]</t>
  </si>
  <si>
    <t>[62348.0, -742.0, 4124.0, nan]</t>
  </si>
  <si>
    <t>[480.0, 427.0, 778.0, nan]</t>
  </si>
  <si>
    <t>[922.0, 921.0, 546.0, nan]</t>
  </si>
  <si>
    <t>[304.0, -1342.0, 1485.0, nan]</t>
  </si>
  <si>
    <t>[-353.0, -1940.0, 10892.0, nan]</t>
  </si>
  <si>
    <t>[382.0, 189.0, -124.0, nan]</t>
  </si>
  <si>
    <t>[-195.0, -93.0, 26.0, nan]</t>
  </si>
  <si>
    <t>[449.0, -219.0, -145.0, nan]</t>
  </si>
  <si>
    <t>[832.0, 863.0, 744.0, nan]</t>
  </si>
  <si>
    <t>[7905.0, 9327.0, 7883.0, 11270.0]</t>
  </si>
  <si>
    <t>[-70.0, 1868.0, 10743.0, nan]</t>
  </si>
  <si>
    <t>[-578.0, 211.0, -81.0, nan]</t>
  </si>
  <si>
    <t>[2250.0, 1092.0, 6839.0, 5352.0]</t>
  </si>
  <si>
    <t>[153.0, 151.0, 111.0, nan]</t>
  </si>
  <si>
    <t>[13106.0, 11168.0, 15003.0, nan]</t>
  </si>
  <si>
    <t>[298.0, 261.0, 203.0, nan]</t>
  </si>
  <si>
    <t>[757.0, 428.0, 571.0, 730.0]</t>
  </si>
  <si>
    <t>[1564.0, 1809.0, 1526.0, nan]</t>
  </si>
  <si>
    <t>[4470.0, 4195.0, 6217.0, nan]</t>
  </si>
  <si>
    <t>[7890.0, 3481.0, 11537.0, nan]</t>
  </si>
  <si>
    <t>[8432.0, 14733.0, 16637.0, nan]</t>
  </si>
  <si>
    <t>[7753.0, 14287.0, 27556.0, 28968.0]</t>
  </si>
  <si>
    <t>[412.0, 706.0, 128.0, nan]</t>
  </si>
  <si>
    <t>[4219.0, 3173.0, 5396.0, nan]</t>
  </si>
  <si>
    <t>[192300.0, 122200.0, 95038.0, nan]</t>
  </si>
  <si>
    <t>[21119.0, 12716.0, 14931.0, 20221.0]</t>
  </si>
  <si>
    <t>[-134.0, -579.0, -237.0, nan]</t>
  </si>
  <si>
    <t>[2398.0, 1152.0, 8432.0, nan]</t>
  </si>
  <si>
    <t>[2980.0, 2970.0, 3442.0, 3913.0]</t>
  </si>
  <si>
    <t>[202.0, 225.0, -251.0, 317.0]</t>
  </si>
  <si>
    <t>[3741.0, 4388.0, 5686.0, 8555.0]</t>
  </si>
  <si>
    <t>[8322.0, 4887.0, 6329.0, 7973.0]</t>
  </si>
  <si>
    <t>[385.0, -433.0, 321.0, nan]</t>
  </si>
  <si>
    <t>[4567.0, 3876.0, 694.0, nan]</t>
  </si>
  <si>
    <t>[990.0, 42.0, -670.0, nan]</t>
  </si>
  <si>
    <t>[585.0, 480.0, -6857.0, 3286.0]</t>
  </si>
  <si>
    <t>[19.0, 271.0, 466.0, nan]</t>
  </si>
  <si>
    <t>[2479.0, 8762.0, 11656.0, nan]</t>
  </si>
  <si>
    <t>[306.0, -143.0, -299.0, nan]</t>
  </si>
  <si>
    <t>[754.0, 899.0, 3516.0, nan]</t>
  </si>
  <si>
    <t>[-45.0, -119.0, 139.0, nan]</t>
  </si>
  <si>
    <t>[855.0, 1568.0, 1180.0, nan]</t>
  </si>
  <si>
    <t>[8276.0, 5836.0, 26203.0, nan]</t>
  </si>
  <si>
    <t>[14496.0, 3591.0, 3534.0, nan]</t>
  </si>
  <si>
    <t>[-113.0, -156.0, 73.0, 196.0]</t>
  </si>
  <si>
    <t>[-180.0, -32.0, -177.0, nan]</t>
  </si>
  <si>
    <t>[1888.0, 294.0, 1415.0, nan]</t>
  </si>
  <si>
    <t>[-245.0, -1721.0, -1527.0, nan]</t>
  </si>
  <si>
    <t>[660.0, 690.0, 404.0, 713.0]</t>
  </si>
  <si>
    <t>[3938.0, 5870.0, 7892.0, nan]</t>
  </si>
  <si>
    <t>[-1136.0, -1699.0, 5607.0, nan]</t>
  </si>
  <si>
    <t>[-1394.0, 1183.0, 1829.0, nan]</t>
  </si>
  <si>
    <t>[1029.0, 1424.0, 1219.0, nan]</t>
  </si>
  <si>
    <t>[6602.0, 7539.0, 8535.0, 8484.0]</t>
  </si>
  <si>
    <t>[542.0, 1691.0, 1043.0, 1122.0]</t>
  </si>
  <si>
    <t>[604.0, 881.0, 870.0, nan]</t>
  </si>
  <si>
    <t>[576.0, 296.0, 493.0, nan]</t>
  </si>
  <si>
    <t>[194.0, -41.0, 3927.0, nan]</t>
  </si>
  <si>
    <t>[3237.0, 2365.0, 2974.0, 2594.0]</t>
  </si>
  <si>
    <t>[-1081.0, 606.0, -338.0, nan]</t>
  </si>
  <si>
    <t>[1649.0, 1461.0, 205.0, nan]</t>
  </si>
  <si>
    <t>[793.0, 1013.0, 942.0, nan]</t>
  </si>
  <si>
    <t>[1695.0, 2850.0, 6069.0, 7315.0]</t>
  </si>
  <si>
    <t>[4753.0, 4694.0, 2897.0, nan]</t>
  </si>
  <si>
    <t>[-1052.0, 1086.0, 1539.0, nan]</t>
  </si>
  <si>
    <t>[-88.0, 793.0, 931.0, nan]</t>
  </si>
  <si>
    <t>[1789.0, 639.0, 1866.0, 1851.0]</t>
  </si>
  <si>
    <t>[96.0, 755.0, 161.0, nan]</t>
  </si>
  <si>
    <t>[4165.0, 3518.0, 5118.0, 4540.0]</t>
  </si>
  <si>
    <t>[675.0, 568.0, 954.0, nan]</t>
  </si>
  <si>
    <t>[555.0, 568.0, 684.0, 724.0]</t>
  </si>
  <si>
    <t>[2741.0, 1858.0, 2133.0, 2732.0]</t>
  </si>
  <si>
    <t>[54191.0, 9312.0, 41851.0, 37635.0]</t>
  </si>
  <si>
    <t>[1084.0, 3129.0, 816.0, 1152.0]</t>
  </si>
  <si>
    <t>[1954.0, 1285.0, 7004.0, 3061.0]</t>
  </si>
  <si>
    <t>[1421.0, 2070.0, 269.0, 1815.0]</t>
  </si>
  <si>
    <t>[1705.0, 1661.0, 1577.0, 1839.0]</t>
  </si>
  <si>
    <t>[7089.0, 7156.0, 5571.0, 14675.0]</t>
  </si>
  <si>
    <t>[4735.0, 4511.0, 5486.0, 6251.0]</t>
  </si>
  <si>
    <t>[53.0, 820.0, 1557.0, nan]</t>
  </si>
  <si>
    <t>[639.0, 1411.0, 3238.0, 5079.0]</t>
  </si>
  <si>
    <t>[3234.0, 2119.0, 3301.0, nan]</t>
  </si>
  <si>
    <t>[696.0, 1611.0, -720.0, nan]</t>
  </si>
  <si>
    <t>[1054.0, 1249.0, 2059.0, nan]</t>
  </si>
  <si>
    <t>[372.0, 517.0, 419.0, nan]</t>
  </si>
  <si>
    <t>[50.0, 205.0, 643.0, nan]</t>
  </si>
  <si>
    <t>[491.0, 631.0, 402.0, 962.0]</t>
  </si>
  <si>
    <t>[2572.0, 3502.0, 1040.0, nan]</t>
  </si>
  <si>
    <t>[203.0, 312.0, 870.0, nan]</t>
  </si>
  <si>
    <t>[11663.0, 13395.0, 16165.0, 16582.0]</t>
  </si>
  <si>
    <t>[849.0, 1032.0, 976.0, 1019.0]</t>
  </si>
  <si>
    <t>[357.0, 455.0, 2319.0, 2797.0]</t>
  </si>
  <si>
    <t>[1462.0, 1104.0, 2747.0, 2709.0]</t>
  </si>
  <si>
    <t>[2060.0, 2438.0, 2209.0, 2564.0]</t>
  </si>
  <si>
    <t>[974.0, 736.0, 237.0, nan]</t>
  </si>
  <si>
    <t>[322.0, 133.0, 750.0, nan]</t>
  </si>
  <si>
    <t>[205.0, 511.0, 9617.0, 10261.0]</t>
  </si>
  <si>
    <t>[-1237.0, -69.0, 4082.0, 5319.0]</t>
  </si>
  <si>
    <t>[1201.0, 1404.0, 1160.0, nan]</t>
  </si>
  <si>
    <t>[14699.0, 17015.0, 20194.0, 22406.0]</t>
  </si>
  <si>
    <t>[1255.0, 1804.0, 2366.0, 2654.0]</t>
  </si>
  <si>
    <t>[1608.0, 3643.0, 1310.0, nan]</t>
  </si>
  <si>
    <t>[976.0, 733.0, 530.0, nan]</t>
  </si>
  <si>
    <t>[-55.0, -144.0, 283.0, nan]</t>
  </si>
  <si>
    <t>[1054.0, 2973.0, 1317.0, nan]</t>
  </si>
  <si>
    <t>[4869.0, 6040.0, 6127.0, 7244.0]</t>
  </si>
  <si>
    <t>[1980.0, 661.0, 4320.0, nan]</t>
  </si>
  <si>
    <t>[466.0, 483.0, 1765.0, nan]</t>
  </si>
  <si>
    <t>[969.0, 1974.0, 2423.0, nan]</t>
  </si>
  <si>
    <t>[-414.0, 94.0, 3738.0, nan]</t>
  </si>
  <si>
    <t>[3373.0, 6167.0, 6264.0, nan]</t>
  </si>
  <si>
    <t>[4623.0, 7906.0, 8922.0, 8297.0]</t>
  </si>
  <si>
    <t>[234.0, 466.0, 498.0, nan]</t>
  </si>
  <si>
    <t>[2677.0, 1732.0, 774.0, 1556.0]</t>
  </si>
  <si>
    <t>[7530.0, 8202.0, 7350.0, 9218.0]</t>
  </si>
  <si>
    <t>[252.0, 413.0, 396.0, 929.0]</t>
  </si>
  <si>
    <t>[-408.0, -349.0, 2301.0, 3966.0]</t>
  </si>
  <si>
    <t>[33.0, 487.0, 5322.0, nan]</t>
  </si>
  <si>
    <t>[1072.0, 1329.0, 1532.0, 1953.0]</t>
  </si>
  <si>
    <t>[2775.0, 1250.0, 894.0, nan]</t>
  </si>
  <si>
    <t>[55.0, 114.0, -31.0, nan]</t>
  </si>
  <si>
    <t>[442.0, 935.0, 878.0, nan]</t>
  </si>
  <si>
    <t>[3336.0, 2229.0, 2628.0, 3175.0]</t>
  </si>
  <si>
    <t>[49.0, 78.0, 89.0, nan]</t>
  </si>
  <si>
    <t>[640.0, 57.0, 317.0, nan]</t>
  </si>
  <si>
    <t>[776.0, 950.0, 699.0, nan]</t>
  </si>
  <si>
    <t>[367.0, 1066.0, 675.0, nan]</t>
  </si>
  <si>
    <t>[682.0, 610.0, 977.0, 725.0]</t>
  </si>
  <si>
    <t>[2026.0, 3239.0, 3245.0, 3080.0]</t>
  </si>
  <si>
    <t>[2641.0, 1411.0, 1107.0, nan]</t>
  </si>
  <si>
    <t>[14667.0, 8796.0, 17405.0, 51468.0]</t>
  </si>
  <si>
    <t>[39.0, 299.0, 204.0, nan]</t>
  </si>
  <si>
    <t>[-899.0, -322.0, 1013.0, nan]</t>
  </si>
  <si>
    <t>[976.0, 1207.0, 1499.0, 1548.0]</t>
  </si>
  <si>
    <t>[1056.0, 2266.0, 2373.0, nan]</t>
  </si>
  <si>
    <t>[-253.0, -134.0, 1751.0, nan]</t>
  </si>
  <si>
    <t>[3219.0, 3545.0, 3361.0, nan]</t>
  </si>
  <si>
    <t>[4399.0, 3676.0, 3015.0, 3868.0]</t>
  </si>
  <si>
    <t>[1471.0, 1024.0, 1422.0, nan]</t>
  </si>
  <si>
    <t>[-72.0, -833.0, 1299.0, nan]</t>
  </si>
  <si>
    <t>[1263.0, 1792.0, 1521.0, 2107.0]</t>
  </si>
  <si>
    <t>[-611.0, 714.0, 686.0, 701.0]</t>
  </si>
  <si>
    <t>[1731.0, 4731.0, 2152.0, 4522.0]</t>
  </si>
  <si>
    <t>[1477.0, 1701.0, 1035.0, nan]</t>
  </si>
  <si>
    <t>[2009.0, 3907.0, 8672.0, nan]</t>
  </si>
  <si>
    <t>[2015.0, 3661.0, 3643.0, nan]</t>
  </si>
  <si>
    <t>[327.0, 463.0, 720.0, nan]</t>
  </si>
  <si>
    <t>[719.0, 502.0, 683.0, 1210.0]</t>
  </si>
  <si>
    <t>[93.0, 658.0, 473.0, nan]</t>
  </si>
  <si>
    <t>[554.0, 1280.0, 921.0, nan]</t>
  </si>
  <si>
    <t>[595.0, 1785.0, 1587.0, 2243.0]</t>
  </si>
  <si>
    <t>[-91.0, 746.0, 1521.0, nan]</t>
  </si>
  <si>
    <t>[-73.5, -644.0, nan]</t>
  </si>
  <si>
    <t>[-30.2, 8.2, -15.2]</t>
  </si>
  <si>
    <t>[5.2, 149.1, nan]</t>
  </si>
  <si>
    <t>[-30.6, -823.4, nan]</t>
  </si>
  <si>
    <t>[-76.4, 34.4, nan]</t>
  </si>
  <si>
    <t>[-44.4, 74.1, nan]</t>
  </si>
  <si>
    <t>[106.5, 40.9, nan]</t>
  </si>
  <si>
    <t>[-369.6, -519.4, nan]</t>
  </si>
  <si>
    <t>[47.8, 124.6, nan]</t>
  </si>
  <si>
    <t>[-80.5, 420.8, nan]</t>
  </si>
  <si>
    <t>[-1607.1, -106.5, nan]</t>
  </si>
  <si>
    <t>[-1.5, 10.7, nan]</t>
  </si>
  <si>
    <t>[-22.5, -86.0, nan]</t>
  </si>
  <si>
    <t>[-69.1, -201.0, nan]</t>
  </si>
  <si>
    <t>[38.9, -53.7, nan]</t>
  </si>
  <si>
    <t>[56.3, -74.9, 118.1]</t>
  </si>
  <si>
    <t>[28.9, -51.6, nan]</t>
  </si>
  <si>
    <t>[-56.9, 42.0, nan]</t>
  </si>
  <si>
    <t>[-487.5, -12.9, nan]</t>
  </si>
  <si>
    <t>[389.2, -3.4, nan]</t>
  </si>
  <si>
    <t>[-95.4, -15057.1, nan]</t>
  </si>
  <si>
    <t>[-18.2, 14.2, 11.9]</t>
  </si>
  <si>
    <t>[339.6, -75.7, nan]</t>
  </si>
  <si>
    <t>[-69.1, -199.3, 923.3]</t>
  </si>
  <si>
    <t>[43.4, -71.3, nan]</t>
  </si>
  <si>
    <t>[17.0, 33.4, nan]</t>
  </si>
  <si>
    <t>[767.7, -72.7, nan]</t>
  </si>
  <si>
    <t>[81.6, -140.6, nan]</t>
  </si>
  <si>
    <t>[-141.7, 1847.5, nan]</t>
  </si>
  <si>
    <t>[-45.7, 870.8, -68.0]</t>
  </si>
  <si>
    <t>[-156.1, -375.0, nan]</t>
  </si>
  <si>
    <t>[770.0, -29.2, nan]</t>
  </si>
  <si>
    <t>[-8.4, 65.5, nan]</t>
  </si>
  <si>
    <t>[-27.0, -7.8, nan]</t>
  </si>
  <si>
    <t>[341.6, -189.8, nan]</t>
  </si>
  <si>
    <t>[14.9, 15.3, nan]</t>
  </si>
  <si>
    <t>[-29.6, -18.2, nan]</t>
  </si>
  <si>
    <t>[-85.5, -190.2, nan]</t>
  </si>
  <si>
    <t>[-25.4, 0.3, nan]</t>
  </si>
  <si>
    <t>[-2500.0, -18.8, nan]</t>
  </si>
  <si>
    <t>[-121.8, -58.8, nan]</t>
  </si>
  <si>
    <t>[51.0, 143.2, nan]</t>
  </si>
  <si>
    <t>[17.2, 56.0, nan]</t>
  </si>
  <si>
    <t>[-80.4, 206.1, 38.9]</t>
  </si>
  <si>
    <t>[-34.2, -41.7, nan]</t>
  </si>
  <si>
    <t>[12.3, -41.7, nan]</t>
  </si>
  <si>
    <t>[-65.4, -94.8, nan]</t>
  </si>
  <si>
    <t>[-435.4, -60.6, nan]</t>
  </si>
  <si>
    <t>[-51.3, 26.0, nan]</t>
  </si>
  <si>
    <t>[15.8, -98.8, nan]</t>
  </si>
  <si>
    <t>[149.1, 100.7, nan]</t>
  </si>
  <si>
    <t>[3.3, 94.2, nan]</t>
  </si>
  <si>
    <t>[659.0, -45.4, nan]</t>
  </si>
  <si>
    <t>[-9.5, 18.0, nan]</t>
  </si>
  <si>
    <t>[-5.2, -50.3, nan]</t>
  </si>
  <si>
    <t>[28.6, 3.3, nan]</t>
  </si>
  <si>
    <t>[-86.2, 2213.9, nan]</t>
  </si>
  <si>
    <t>[-30.5, 70.4, nan]</t>
  </si>
  <si>
    <t>[-87.9, 29.5, nan]</t>
  </si>
  <si>
    <t>[65.1, -57.4, nan]</t>
  </si>
  <si>
    <t>[80.6, -29.1, nan]</t>
  </si>
  <si>
    <t>[-86.7, 400.0, nan]</t>
  </si>
  <si>
    <t>[466.7, -120.3, nan]</t>
  </si>
  <si>
    <t>[-16.3, -12.8, nan]</t>
  </si>
  <si>
    <t>[-81.4, -2325.0, nan]</t>
  </si>
  <si>
    <t>[94.9, -72.1, nan]</t>
  </si>
  <si>
    <t>[548.1, -140.9, nan]</t>
  </si>
  <si>
    <t>[28.0, 13.3, nan]</t>
  </si>
  <si>
    <t>[-232.0, -2622.4, nan]</t>
  </si>
  <si>
    <t>[-11.1, -91.3, nan]</t>
  </si>
  <si>
    <t>[-44.1, 67.0, nan]</t>
  </si>
  <si>
    <t>[924.1, -87.1, nan]</t>
  </si>
  <si>
    <t>[-71.6, -119.8, nan]</t>
  </si>
  <si>
    <t>[118.9, -127.7, nan]</t>
  </si>
  <si>
    <t>[23.0, -20.5, nan]</t>
  </si>
  <si>
    <t>[13.3, 120.7, nan]</t>
  </si>
  <si>
    <t>[1815.0, 105.0, nan]</t>
  </si>
  <si>
    <t>[-35.2, 165.2, nan]</t>
  </si>
  <si>
    <t>[-35.3, -21.5, 23.5]</t>
  </si>
  <si>
    <t>[661.2, 1.6, nan]</t>
  </si>
  <si>
    <t>[-120.6, 4294.1, -45.0]</t>
  </si>
  <si>
    <t>[222.7, 7.4, 78.8]</t>
  </si>
  <si>
    <t>[219.4, -58.3, nan]</t>
  </si>
  <si>
    <t>[17.8, -0.2, 22.6]</t>
  </si>
  <si>
    <t>[-1193.9, -47.4, nan]</t>
  </si>
  <si>
    <t>[-226.6, 169.6, nan]</t>
  </si>
  <si>
    <t>[-2.0, 48.1, 14.7]</t>
  </si>
  <si>
    <t>[-164.9, 203.5, -62.0]</t>
  </si>
  <si>
    <t>[-55.7, 47.4, -23.5]</t>
  </si>
  <si>
    <t>[376.4, 107.2, nan]</t>
  </si>
  <si>
    <t>[-24.6, 83.7, -5.1]</t>
  </si>
  <si>
    <t>[43.1, -59.2, nan]</t>
  </si>
  <si>
    <t>[-97.4, 258.4, nan]</t>
  </si>
  <si>
    <t>[-19.7, -11.2, 56.7]</t>
  </si>
  <si>
    <t>[56.8, -144.4, nan]</t>
  </si>
  <si>
    <t>[-58.8, -45.4, 232.8]</t>
  </si>
  <si>
    <t>[91.7, nan, nan]</t>
  </si>
  <si>
    <t>[34.9, 14.0, 27.2]</t>
  </si>
  <si>
    <t>[-71.6, 307.8, 111.7]</t>
  </si>
  <si>
    <t>[-31.4, -42.8, nan]</t>
  </si>
  <si>
    <t>[6.8, 10.3, 13.6]</t>
  </si>
  <si>
    <t>[-100.6, -3250.0, nan]</t>
  </si>
  <si>
    <t>[685.2, -401.4, nan]</t>
  </si>
  <si>
    <t>[-92.4, -543.8, -306.6]</t>
  </si>
  <si>
    <t>[-13.7, -391.8, nan]</t>
  </si>
  <si>
    <t>[59.6, 2.2, 25.7]</t>
  </si>
  <si>
    <t>[4.2, -53.7, nan]</t>
  </si>
  <si>
    <t>[-26.9, 12.0, 11.6]</t>
  </si>
  <si>
    <t>[-13.3, 46.5, -8.5]</t>
  </si>
  <si>
    <t>[78.4, -184.9, -90.0]</t>
  </si>
  <si>
    <t>[5220.0, -54.9, nan]</t>
  </si>
  <si>
    <t>[-80.9, -609.5, nan]</t>
  </si>
  <si>
    <t>[-51.2, 1.4, 54.0]</t>
  </si>
  <si>
    <t>[235.0, -112.6, nan]</t>
  </si>
  <si>
    <t>[-80.8, 137.6, 84.2]</t>
  </si>
  <si>
    <t>[-75.7, 133.6, 112.2]</t>
  </si>
  <si>
    <t>[-27.9, 23.3, 5.6]</t>
  </si>
  <si>
    <t>[-48.4, 31.2, 25.4]</t>
  </si>
  <si>
    <t>[-1687.0, 13.2, nan]</t>
  </si>
  <si>
    <t>[-84.4, 333.0, nan]</t>
  </si>
  <si>
    <t>[-168.5, -275.9, nan]</t>
  </si>
  <si>
    <t>[-111.6, -917.4, nan]</t>
  </si>
  <si>
    <t>[800.0, -25.8, nan]</t>
  </si>
  <si>
    <t>[-41.1, -39.4, nan]</t>
  </si>
  <si>
    <t>[65.7, -30.4, nan]</t>
  </si>
  <si>
    <t>[-96.6, -150.9, -610.8]</t>
  </si>
  <si>
    <t>[590.7, -269.1, -551.5]</t>
  </si>
  <si>
    <t>[-69.9, -28.2, nan]</t>
  </si>
  <si>
    <t>[-101.5, -29875.0, nan]</t>
  </si>
  <si>
    <t>[-172.2, -168.9, nan]</t>
  </si>
  <si>
    <t>[-23.8, -40.8, nan]</t>
  </si>
  <si>
    <t>[-5.4, -177.9, nan]</t>
  </si>
  <si>
    <t>[130.4, 72.5, nan]</t>
  </si>
  <si>
    <t>[-285.6, 201.5, -35.2]</t>
  </si>
  <si>
    <t>[-49.9, 36.6, 16.6]</t>
  </si>
  <si>
    <t>[-181.0, -192.6, nan]</t>
  </si>
  <si>
    <t>[312.8, -6.5, 44.7]</t>
  </si>
  <si>
    <t>[23.5, -39.4, nan]</t>
  </si>
  <si>
    <t>[63.5, -214.6, nan]</t>
  </si>
  <si>
    <t>[6.8, -70.0, 285.3]</t>
  </si>
  <si>
    <t>[-46.9, 29.8, 30.6]</t>
  </si>
  <si>
    <t>[23.0, -32.6, 77.0]</t>
  </si>
  <si>
    <t>[34.8, -6.4, nan]</t>
  </si>
  <si>
    <t>[-18.8, -63.8, 167.6]</t>
  </si>
  <si>
    <t>[12.0, 8.4, nan]</t>
  </si>
  <si>
    <t>[-199.4, 10.4, 101.4]</t>
  </si>
  <si>
    <t>[-95.7, -2617.2, -285.6]</t>
  </si>
  <si>
    <t>[-35.5, -458.8, -165.1]</t>
  </si>
  <si>
    <t>[101.1, -52.2, 287.7]</t>
  </si>
  <si>
    <t>[-100.6, -58600.0, nan]</t>
  </si>
  <si>
    <t>[-189.2, -182.8, nan]</t>
  </si>
  <si>
    <t>[158.5, 34.1, nan]</t>
  </si>
  <si>
    <t>[-574.0, 219.9, nan]</t>
  </si>
  <si>
    <t>[10.2, -6.1, nan]</t>
  </si>
  <si>
    <t>[45.2, 398.7, nan]</t>
  </si>
  <si>
    <t>[-31.0, -180.7, nan]</t>
  </si>
  <si>
    <t>[1.0, 1.0, nan]</t>
  </si>
  <si>
    <t>[43.1, -35.9, nan]</t>
  </si>
  <si>
    <t>[16.9, -15.4, 16.4]</t>
  </si>
  <si>
    <t>[127.6, 493.7, nan]</t>
  </si>
  <si>
    <t>[232.9, -72.9, nan]</t>
  </si>
  <si>
    <t>[-12.2, -127.7, nan]</t>
  </si>
  <si>
    <t>[85.2, 42.2, 8.0]</t>
  </si>
  <si>
    <t>[-39.7, -68.4, nan]</t>
  </si>
  <si>
    <t>[-10.0, -1.2, nan]</t>
  </si>
  <si>
    <t>[115.3, -111.2, nan]</t>
  </si>
  <si>
    <t>[-26.1, -167.3, -187.8]</t>
  </si>
  <si>
    <t>[300.5, -4.9, nan]</t>
  </si>
  <si>
    <t>[-8.6, -8.9, nan]</t>
  </si>
  <si>
    <t>[203.9, -160.3, nan]</t>
  </si>
  <si>
    <t>[-81.7, 1533.0, -76.7]</t>
  </si>
  <si>
    <t>[440.8, -35.3, nan]</t>
  </si>
  <si>
    <t>[-56.4, 1529.4, nan]</t>
  </si>
  <si>
    <t>[-58.3, 233.3, nan]</t>
  </si>
  <si>
    <t>[29.9, 150.0, nan]</t>
  </si>
  <si>
    <t>[-6.8, -26.4, nan]</t>
  </si>
  <si>
    <t>[377.8, -475.9, nan]</t>
  </si>
  <si>
    <t>[24.3, 194.3, nan]</t>
  </si>
  <si>
    <t>[-25.6, -9.5, nan]</t>
  </si>
  <si>
    <t>[-106.1, -1616.3, nan]</t>
  </si>
  <si>
    <t>[-172.9, 221.8, nan]</t>
  </si>
  <si>
    <t>[-117.2, 1705.3, nan]</t>
  </si>
  <si>
    <t>[-112.4, 170.2, nan]</t>
  </si>
  <si>
    <t>[-346.1, 89.8, nan]</t>
  </si>
  <si>
    <t>[-30.8, 3014.1, nan]</t>
  </si>
  <si>
    <t>[-191.7, 422.7, nan]</t>
  </si>
  <si>
    <t>[-26.3, 1.4, nan]</t>
  </si>
  <si>
    <t>[23.2, 132.7, nan]</t>
  </si>
  <si>
    <t>[-524.1, -119.7, nan]</t>
  </si>
  <si>
    <t>[12.3, -129.0, nan]</t>
  </si>
  <si>
    <t>[-175.7, -199.1, nan]</t>
  </si>
  <si>
    <t>[13.5, -6.4, nan]</t>
  </si>
  <si>
    <t>[-225.5, 15.3, nan]</t>
  </si>
  <si>
    <t>[-61.2, 62.9, nan]</t>
  </si>
  <si>
    <t>[37.9, 8.0, nan]</t>
  </si>
  <si>
    <t>[-371.8, -206.6, nan]</t>
  </si>
  <si>
    <t>[108.4, -133.1, nan]</t>
  </si>
  <si>
    <t>[-41.4, -178.7, nan]</t>
  </si>
  <si>
    <t>[209.1, 10281.9, nan]</t>
  </si>
  <si>
    <t>[31.3, -84.3, nan]</t>
  </si>
  <si>
    <t>[-88.5, -710.8, nan]</t>
  </si>
  <si>
    <t>[-37.5, -14.3, nan]</t>
  </si>
  <si>
    <t>[227.6, 40.0, nan]</t>
  </si>
  <si>
    <t>[-57.3, -504.3, nan]</t>
  </si>
  <si>
    <t>[-141.6, -470.4, nan]</t>
  </si>
  <si>
    <t>[-142.5, -475.0, nan]</t>
  </si>
  <si>
    <t>[-93.4, 956.8, nan]</t>
  </si>
  <si>
    <t>[10.9, 60.3, nan]</t>
  </si>
  <si>
    <t>[4.1, 26.6, nan]</t>
  </si>
  <si>
    <t>[78.4, -57.6, nan]</t>
  </si>
  <si>
    <t>[-106.6, -5100.0, nan]</t>
  </si>
  <si>
    <t>[-178.5, 132.2, nan]</t>
  </si>
  <si>
    <t>[22.5, -94.6, nan]</t>
  </si>
  <si>
    <t>[590.9, -86.8, nan]</t>
  </si>
  <si>
    <t>[0.9, -11.0, nan]</t>
  </si>
  <si>
    <t>[35.4, -85.6, nan]</t>
  </si>
  <si>
    <t>[19.2, -21.7, nan]</t>
  </si>
  <si>
    <t>[-17.8, 52.3, nan]</t>
  </si>
  <si>
    <t>[-47.9, 114.7, nan]</t>
  </si>
  <si>
    <t>[-906.2, -82.9, nan]</t>
  </si>
  <si>
    <t>[-29.5, -75.0, 354.6]</t>
  </si>
  <si>
    <t>[-35.4, -164.9, nan]</t>
  </si>
  <si>
    <t>[-49.4, -0.7, 68.8]</t>
  </si>
  <si>
    <t>[11.7, -59.0, 81.7]</t>
  </si>
  <si>
    <t>[-734.9, -77.9, nan]</t>
  </si>
  <si>
    <t>[-72.6, -38.9, nan]</t>
  </si>
  <si>
    <t>[-7.8, -9.6, nan]</t>
  </si>
  <si>
    <t>[67.1, -93.2, nan]</t>
  </si>
  <si>
    <t>[14.4, -206.3, nan]</t>
  </si>
  <si>
    <t>[161.3, -156.6, nan]</t>
  </si>
  <si>
    <t>[-2200.0, -254.0, nan]</t>
  </si>
  <si>
    <t>[-30.3, 319.4, nan]</t>
  </si>
  <si>
    <t>[-4.5, 39.4, nan]</t>
  </si>
  <si>
    <t>[-23.1, -24.8, nan]</t>
  </si>
  <si>
    <t>[-83.2, 100.0, nan]</t>
  </si>
  <si>
    <t>[-149.5, -130.4, nan]</t>
  </si>
  <si>
    <t>[-109.1, -1322.2, nan]</t>
  </si>
  <si>
    <t>[10.6, -18.8, nan]</t>
  </si>
  <si>
    <t>[-191.7, -109.3, nan]</t>
  </si>
  <si>
    <t>[-239.5, -24.9, nan]</t>
  </si>
  <si>
    <t>[-11.0, 5109.0, nan]</t>
  </si>
  <si>
    <t>[-113.0, -471.4, nan]</t>
  </si>
  <si>
    <t>[-73.0, -122.7, nan]</t>
  </si>
  <si>
    <t>[-216.9, -8.5, nan]</t>
  </si>
  <si>
    <t>[872.6, 61.2, nan]</t>
  </si>
  <si>
    <t>[-9.4, -124.1, nan]</t>
  </si>
  <si>
    <t>[-5.5, 32.6, 4.7]</t>
  </si>
  <si>
    <t>[-76.5, 83.7, nan]</t>
  </si>
  <si>
    <t>[45.5, 83.3, 17.8]</t>
  </si>
  <si>
    <t>[-74.9, 160.9, nan]</t>
  </si>
  <si>
    <t>[-174.2, -122.7, -316.3]</t>
  </si>
  <si>
    <t>[-469.0, -238.7, nan]</t>
  </si>
  <si>
    <t>[-169.9, -39.9, nan]</t>
  </si>
  <si>
    <t>[-15.7, -15.5, nan]</t>
  </si>
  <si>
    <t>[42.7, -232.6, nan]</t>
  </si>
  <si>
    <t>[-137.3, -185.5, nan]</t>
  </si>
  <si>
    <t>[125.9, 39.9, nan]</t>
  </si>
  <si>
    <t>[-273.9, -76.7, nan]</t>
  </si>
  <si>
    <t>[5.5, -108.9, nan]</t>
  </si>
  <si>
    <t>[17.7, 1438.2, nan]</t>
  </si>
  <si>
    <t>[15.9, -80.3, nan]</t>
  </si>
  <si>
    <t>[14.2, -16.4, nan]</t>
  </si>
  <si>
    <t>[-14.4, -70.8, nan]</t>
  </si>
  <si>
    <t>[-34.4, 115.9, nan]</t>
  </si>
  <si>
    <t>[17.9, 15.4, nan]</t>
  </si>
  <si>
    <t>[44.9, -58.6, nan]</t>
  </si>
  <si>
    <t>[-84.4, 416.4, nan]</t>
  </si>
  <si>
    <t>[-138.1, 126.5, nan]</t>
  </si>
  <si>
    <t>[-56.4, 137.3, nan]</t>
  </si>
  <si>
    <t>[48.0, -85.4, nan]</t>
  </si>
  <si>
    <t>[-195.8, -112.7, nan]</t>
  </si>
  <si>
    <t>[-63.5, 15.3, nan]</t>
  </si>
  <si>
    <t>[60.0, 24.3, nan]</t>
  </si>
  <si>
    <t>[80.1, 129.9, nan]</t>
  </si>
  <si>
    <t>[-17.0, -149.2, nan]</t>
  </si>
  <si>
    <t>[-11.8, -228.4, nan]</t>
  </si>
  <si>
    <t>[-15.2, 149.0, nan]</t>
  </si>
  <si>
    <t>[-79.3, -104.5, nan]</t>
  </si>
  <si>
    <t>[-107.1, -1516.7, nan]</t>
  </si>
  <si>
    <t>[21.3, 88.3, 6.0]</t>
  </si>
  <si>
    <t>[32.1, -31.1, nan]</t>
  </si>
  <si>
    <t>[493.6, -121.4, nan]</t>
  </si>
  <si>
    <t>[-33.7, -87.4, nan]</t>
  </si>
  <si>
    <t>[-38.3, 157.1, nan]</t>
  </si>
  <si>
    <t>[-93.6, 662.5, nan]</t>
  </si>
  <si>
    <t>[26.0, -43.3, nan]</t>
  </si>
  <si>
    <t>[-13.8, -29.1, 2.6]</t>
  </si>
  <si>
    <t>[45.9, 11.6, nan]</t>
  </si>
  <si>
    <t>[-34.9, -35.1, nan]</t>
  </si>
  <si>
    <t>[-41.6, 46.7, nan]</t>
  </si>
  <si>
    <t>[-163.3, -263.2, nan]</t>
  </si>
  <si>
    <t>[87.9, -121.2, nan]</t>
  </si>
  <si>
    <t>[-2.2, 2.9, nan]</t>
  </si>
  <si>
    <t>[67.2, -266.2, nan]</t>
  </si>
  <si>
    <t>[8.4, -22.9, nan]</t>
  </si>
  <si>
    <t>[-72.1, 291.7, nan]</t>
  </si>
  <si>
    <t>[11.1, 6.0, nan]</t>
  </si>
  <si>
    <t>[-196.3, 146.8, nan]</t>
  </si>
  <si>
    <t>[1.8, -27.8, nan]</t>
  </si>
  <si>
    <t>[-65.2, -77.5, nan]</t>
  </si>
  <si>
    <t>[-106.8, -331.6, 2087.1]</t>
  </si>
  <si>
    <t>[242.5, -194.0, nan]</t>
  </si>
  <si>
    <t>[-20.1, -29.6, nan]</t>
  </si>
  <si>
    <t>[-58.7, 19.7, 116.0]</t>
  </si>
  <si>
    <t>[-276.0, 61.7, 68.2]</t>
  </si>
  <si>
    <t>[51.5, 53.6, nan]</t>
  </si>
  <si>
    <t>[-67.0, 22.5, nan]</t>
  </si>
  <si>
    <t>[-49.1, -28.1, nan]</t>
  </si>
  <si>
    <t>[13.6, -45.7, nan]</t>
  </si>
  <si>
    <t>[5.1, 4.2, nan]</t>
  </si>
  <si>
    <t>[-112.1, 721.1, -76.6]</t>
  </si>
  <si>
    <t>[-8.2, -140.3, nan]</t>
  </si>
  <si>
    <t>[52.7, -46.0, nan]</t>
  </si>
  <si>
    <t>[-114.3, 4800.0, nan]</t>
  </si>
  <si>
    <t>[2436.8, -150.0, nan]</t>
  </si>
  <si>
    <t>[128.8, 11.6, 42.3]</t>
  </si>
  <si>
    <t>[-15.5, -174.8, nan]</t>
  </si>
  <si>
    <t>[56.6, -171.9, nan]</t>
  </si>
  <si>
    <t>[-38.5, 418.0, -39.7]</t>
  </si>
  <si>
    <t>[20.4, -8.0, nan]</t>
  </si>
  <si>
    <t>[-32.7, 56.3, 12.1]</t>
  </si>
  <si>
    <t>[-19.6, -11.9, nan]</t>
  </si>
  <si>
    <t>[-10.5, -204.3, -136.1]</t>
  </si>
  <si>
    <t>[14.2, -114.2, -557.8]</t>
  </si>
  <si>
    <t>[48.3, -4.9, nan]</t>
  </si>
  <si>
    <t>[-155.8, 206.2, 0.1]</t>
  </si>
  <si>
    <t>[-15.8, 109.2, -22.3]</t>
  </si>
  <si>
    <t>[-21.7, 87.0, nan]</t>
  </si>
  <si>
    <t>[-89.6, -517.1, nan]</t>
  </si>
  <si>
    <t>[67.9, 48.7, nan]</t>
  </si>
  <si>
    <t>[-33.4, -10.5, nan]</t>
  </si>
  <si>
    <t>[1.1, 8.4, nan]</t>
  </si>
  <si>
    <t>[-84.6, 276.8, nan]</t>
  </si>
  <si>
    <t>[125.0, 635.9, nan]</t>
  </si>
  <si>
    <t>[507.8, 35.2, nan]</t>
  </si>
  <si>
    <t>[-47.6, -176.5, nan]</t>
  </si>
  <si>
    <t>[65.2, 16.7, 7.9]</t>
  </si>
  <si>
    <t>[207.9, 21.3, nan]</t>
  </si>
  <si>
    <t>[602.0, -177.1, nan]</t>
  </si>
  <si>
    <t>[253.7, -153.2, nan]</t>
  </si>
  <si>
    <t>[-76.0, 113.6, nan]</t>
  </si>
  <si>
    <t>[-24.1, 13.5, nan]</t>
  </si>
  <si>
    <t>[87.3, -11.3, nan]</t>
  </si>
  <si>
    <t>[-85.5, -185.8, -434.5]</t>
  </si>
  <si>
    <t>[-127.7, 300.4, nan]</t>
  </si>
  <si>
    <t>[-217.0, -44.1, nan]</t>
  </si>
  <si>
    <t>[-228.6, 40.7, nan]</t>
  </si>
  <si>
    <t>[0.0, -27.1, nan]</t>
  </si>
  <si>
    <t>[40.8, 25.9, 12.1]</t>
  </si>
  <si>
    <t>[65.3, 11.0, nan]</t>
  </si>
  <si>
    <t>[262.6, -44.3, nan]</t>
  </si>
  <si>
    <t>[26.6, 42.3, -3.5]</t>
  </si>
  <si>
    <t>[-5.3, 120.4, nan]</t>
  </si>
  <si>
    <t>[-0.6, 266.6, nan]</t>
  </si>
  <si>
    <t>[361.7, -231.6, nan]</t>
  </si>
  <si>
    <t>[20.0, -15.1, 23.3]</t>
  </si>
  <si>
    <t>[534.6, -65.0, nan]</t>
  </si>
  <si>
    <t>[-135.9, -157.9, nan]</t>
  </si>
  <si>
    <t>[-144.7, -238.7, nan]</t>
  </si>
  <si>
    <t>[30.8, 30.8, nan]</t>
  </si>
  <si>
    <t>[31.1, -2.0, 4.9]</t>
  </si>
  <si>
    <t>[722.2, -73.0, nan]</t>
  </si>
  <si>
    <t>[-144.3, -74.1, nan]</t>
  </si>
  <si>
    <t>[-481.2, -241.8, -150.0]</t>
  </si>
  <si>
    <t>[-2.6, -38.7, 106.2]</t>
  </si>
  <si>
    <t>[-14.1, -56.6, nan]</t>
  </si>
  <si>
    <t>[251.8, -14.9, nan]</t>
  </si>
  <si>
    <t>[174.4, -171.4, nan]</t>
  </si>
  <si>
    <t>[-25.2, 33.2, 1.7]</t>
  </si>
  <si>
    <t>[18.0, -30.2, nan]</t>
  </si>
  <si>
    <t>[63.9, -12.3, -112.8]</t>
  </si>
  <si>
    <t>[27.4, 26.3, nan]</t>
  </si>
  <si>
    <t>[-21.7, 18.1, 7.5]</t>
  </si>
  <si>
    <t>[170.9, 7.7, 93.4]</t>
  </si>
  <si>
    <t>[-294.4, -44.8, -483.5]</t>
  </si>
  <si>
    <t>[-54.7, -77.8, 935.2]</t>
  </si>
  <si>
    <t>[-11.8, 87.2, -43.9]</t>
  </si>
  <si>
    <t>[-32.6, -56.5, 104.2]</t>
  </si>
  <si>
    <t>[-60.1, 19.1, nan]</t>
  </si>
  <si>
    <t>[-4.7, -81.7, nan]</t>
  </si>
  <si>
    <t>[1350.4, -283.0, nan]</t>
  </si>
  <si>
    <t>[-10.2, -16.2, 9.2]</t>
  </si>
  <si>
    <t>[833.4, 309.2, nan]</t>
  </si>
  <si>
    <t>[18.6, 6.3, 15.7]</t>
  </si>
  <si>
    <t>[8.2, 4.9, 19.2]</t>
  </si>
  <si>
    <t>[844.0, -418.2, -49.5]</t>
  </si>
  <si>
    <t>[-36.3, -553.0, nan]</t>
  </si>
  <si>
    <t>[2703.3, -56.2, nan]</t>
  </si>
  <si>
    <t>[75.6, -22.4, nan]</t>
  </si>
  <si>
    <t>[276.8, 51.9, nan]</t>
  </si>
  <si>
    <t>[-10.6, 6.9, 28.1]</t>
  </si>
  <si>
    <t>[55.3, 4.6, nan]</t>
  </si>
  <si>
    <t>[48.5, 55.4, nan]</t>
  </si>
  <si>
    <t>[-34.3, 44.3, nan]</t>
  </si>
  <si>
    <t>[16.3, -19.7, nan]</t>
  </si>
  <si>
    <t>[-18.7, -74.4, 232.8]</t>
  </si>
  <si>
    <t>[1265.8, -96.8, -1392.8]</t>
  </si>
  <si>
    <t>[-140.6, 941.8, -44.8]</t>
  </si>
  <si>
    <t>[-8.9, 6.4, 44.3]</t>
  </si>
  <si>
    <t>[80.0, -62.0, 54.1]</t>
  </si>
  <si>
    <t>[-74.7, -59.6, nan]</t>
  </si>
  <si>
    <t>[72.6, -42.2, nan]</t>
  </si>
  <si>
    <t>[-19.4, 8.1, 15.9]</t>
  </si>
  <si>
    <t>[12.0, -7.7, 19.3]</t>
  </si>
  <si>
    <t>[205.2, -34.1, nan]</t>
  </si>
  <si>
    <t>[-3.2, -71.2, 154.1]</t>
  </si>
  <si>
    <t>[69.2, -28.1, nan]</t>
  </si>
  <si>
    <t>[-210.0, 40.9, nan]</t>
  </si>
  <si>
    <t>[-10.6, 98.5, nan]</t>
  </si>
  <si>
    <t>[-29.4, 48.6, 8.6]</t>
  </si>
  <si>
    <t>[42930.0, 81.2, nan]</t>
  </si>
  <si>
    <t>[-24.5, -30.2, 82.7]</t>
  </si>
  <si>
    <t>[2.9, -24.1, nan]</t>
  </si>
  <si>
    <t>[47.4, 23.8, nan]</t>
  </si>
  <si>
    <t>[42.2, -73.7, nan]</t>
  </si>
  <si>
    <t>[10.5, 2.2, nan]</t>
  </si>
  <si>
    <t>[-8.6, -21.7, nan]</t>
  </si>
  <si>
    <t>[-155.3, -239.6, nan]</t>
  </si>
  <si>
    <t>[-39.8, -144.6, -437.8]</t>
  </si>
  <si>
    <t>[-341.0, 231.9, -109.0]</t>
  </si>
  <si>
    <t>[-93.7, 400.5, 39.5]</t>
  </si>
  <si>
    <t>[-524.2, -64.4, nan]</t>
  </si>
  <si>
    <t>[-98.6, 7250.0, nan]</t>
  </si>
  <si>
    <t>[5613.0, 73.9, nan]</t>
  </si>
  <si>
    <t>[-62.1, 59.2, nan]</t>
  </si>
  <si>
    <t>[-28.0, -22.6, nan]</t>
  </si>
  <si>
    <t>[-67.5, 67.4, nan]</t>
  </si>
  <si>
    <t>[115.9, -70.1, nan]</t>
  </si>
  <si>
    <t>[-135.8, 454.8, nan]</t>
  </si>
  <si>
    <t>[-19.8, 31.4, 2.1]</t>
  </si>
  <si>
    <t>[-117.0, -1564.0, nan]</t>
  </si>
  <si>
    <t>[31.8, 21.3, 30.2]</t>
  </si>
  <si>
    <t>[3.3, 96.6, nan]</t>
  </si>
  <si>
    <t>[-46.9, -556.7, nan]</t>
  </si>
  <si>
    <t>[5.7, -9.5, nan]</t>
  </si>
  <si>
    <t>[8.0, -11.8, nan]</t>
  </si>
  <si>
    <t>[-22.1, -16.0, nan]</t>
  </si>
  <si>
    <t>[-161.9, -84.7, -747.3]</t>
  </si>
  <si>
    <t>[-4.7, -152.8, nan]</t>
  </si>
  <si>
    <t>[-1.4, -195.6, nan]</t>
  </si>
  <si>
    <t>[34.3, -60.2, nan]</t>
  </si>
  <si>
    <t>[377.2, -75.4, nan]</t>
  </si>
  <si>
    <t>[127.9, -40.2, nan]</t>
  </si>
  <si>
    <t>[21.6, 30.9, nan]</t>
  </si>
  <si>
    <t>[8.5, -12.7, 138.7]</t>
  </si>
  <si>
    <t>[-1029.6, -38.4, nan]</t>
  </si>
  <si>
    <t>[45.5, -206.2, nan]</t>
  </si>
  <si>
    <t>[-90.1, 260.0, nan]</t>
  </si>
  <si>
    <t>[64.0, -60.7, nan]</t>
  </si>
  <si>
    <t>[59.7, -38.9, nan]</t>
  </si>
  <si>
    <t>[-68.2, -73.6, 404.5]</t>
  </si>
  <si>
    <t>[165.9, 67.0, -44.3]</t>
  </si>
  <si>
    <t>[-1927.6, -126.2, 212.2]</t>
  </si>
  <si>
    <t>[124.4, 48.0, nan]</t>
  </si>
  <si>
    <t>[65.0, -63.6, nan]</t>
  </si>
  <si>
    <t>[-71.6, 69.3, 61.4]</t>
  </si>
  <si>
    <t>[746.9, -36.6, nan]</t>
  </si>
  <si>
    <t>[-15.9, -49.9, nan]</t>
  </si>
  <si>
    <t>[65.9, 39.7, nan]</t>
  </si>
  <si>
    <t>[-216.9, -128.8, nan]</t>
  </si>
  <si>
    <t>[-38.7, -0.4, 51.4]</t>
  </si>
  <si>
    <t>[73.1, -114.7, nan]</t>
  </si>
  <si>
    <t>[-74.5, -25.7, nan]</t>
  </si>
  <si>
    <t>[-25.8, -37.3, nan]</t>
  </si>
  <si>
    <t>[120.3, -119.7, -333.6]</t>
  </si>
  <si>
    <t>[-63.6, 552.9, nan]</t>
  </si>
  <si>
    <t>[-59.3, -30.2, nan]</t>
  </si>
  <si>
    <t>[22.6, -49.1, nan]</t>
  </si>
  <si>
    <t>[147.0, -108.0, nan]</t>
  </si>
  <si>
    <t>[-88.7, -209.2, 133.9]</t>
  </si>
  <si>
    <t>[-32.4, 1.7, nan]</t>
  </si>
  <si>
    <t>[0.3, -72.2, 845.0]</t>
  </si>
  <si>
    <t>[-979.3, -19.6, -1.0]</t>
  </si>
  <si>
    <t>[-122.4, -629.4, nan]</t>
  </si>
  <si>
    <t>[-124.9, 34.0, nan]</t>
  </si>
  <si>
    <t>[98.0, -69.0, nan]</t>
  </si>
  <si>
    <t>[-58.7, -192.6, nan]</t>
  </si>
  <si>
    <t>[-29.6, -24.0, nan]</t>
  </si>
  <si>
    <t>[-40.7, -292.8, nan]</t>
  </si>
  <si>
    <t>[5.7, 4.8, 13.5]</t>
  </si>
  <si>
    <t>[110.3, -10.7, nan]</t>
  </si>
  <si>
    <t>[6.2, 35.5, nan]</t>
  </si>
  <si>
    <t>[-53.8, 37.8, nan]</t>
  </si>
  <si>
    <t>[-2.4, -4.2, nan]</t>
  </si>
  <si>
    <t>[64.0, 74.7, 65.5]</t>
  </si>
  <si>
    <t>[-126.4, -359.9, nan]</t>
  </si>
  <si>
    <t>[-12.4, -55.5, nan]</t>
  </si>
  <si>
    <t>[-22.7, 29.7, nan]</t>
  </si>
  <si>
    <t>[1942.9, -402.1, nan]</t>
  </si>
  <si>
    <t>[28.8, -190.8, nan]</t>
  </si>
  <si>
    <t>[-66.4, 312.9, nan]</t>
  </si>
  <si>
    <t>[-5.9, -625.7, nan]</t>
  </si>
  <si>
    <t>[-1.7, -140.2, nan]</t>
  </si>
  <si>
    <t>[124.8, 67.8, nan]</t>
  </si>
  <si>
    <t>[-66.8, 42.2, nan]</t>
  </si>
  <si>
    <t>[5.2, -3.7, 11.4]</t>
  </si>
  <si>
    <t>[-14.1, 60.2, nan]</t>
  </si>
  <si>
    <t>[-54.9, 1868.6, nan]</t>
  </si>
  <si>
    <t>[326.8, -130.0, nan]</t>
  </si>
  <si>
    <t>[3.7, -16.7, nan]</t>
  </si>
  <si>
    <t>[23.9, -29.1, nan]</t>
  </si>
  <si>
    <t>[87.1, 13.9, 41.5]</t>
  </si>
  <si>
    <t>[-432.7, 439.2, nan]</t>
  </si>
  <si>
    <t>[-87.2, -17.2, nan]</t>
  </si>
  <si>
    <t>[41.1, -387.9, nan]</t>
  </si>
  <si>
    <t>[-388.6, -51.7, nan]</t>
  </si>
  <si>
    <t>[-48.0, 54.7, -2.6]</t>
  </si>
  <si>
    <t>[320.6, -41.1, nan]</t>
  </si>
  <si>
    <t>[11.6, -41.9, nan]</t>
  </si>
  <si>
    <t>[nan, -33.0, 47.7]</t>
  </si>
  <si>
    <t>[-235.4, 27.2, nan]</t>
  </si>
  <si>
    <t>[-150.1, -443.8, nan]</t>
  </si>
  <si>
    <t>[-61.8, -65.2, nan]</t>
  </si>
  <si>
    <t>[-119.7, -1908.3, nan]</t>
  </si>
  <si>
    <t>[-35.2, -8.1, nan]</t>
  </si>
  <si>
    <t>[110.5, -43.1, 93.0]</t>
  </si>
  <si>
    <t>[40.2, -13.3, nan]</t>
  </si>
  <si>
    <t>[-10.8, -44.5, nan]</t>
  </si>
  <si>
    <t>[-77.5, -209.7, nan]</t>
  </si>
  <si>
    <t>[-33.6, 6.3, nan]</t>
  </si>
  <si>
    <t>[98.7, -119.0, nan]</t>
  </si>
  <si>
    <t>[158.5, -29.1, 117.5]</t>
  </si>
  <si>
    <t>[-42.5, 45.6, nan]</t>
  </si>
  <si>
    <t>[128.2, -52.1, nan]</t>
  </si>
  <si>
    <t>[-21.9, -11.7, 62.2]</t>
  </si>
  <si>
    <t>[77.6, -14.3, 60.1]</t>
  </si>
  <si>
    <t>[-3.9, -12.6, nan]</t>
  </si>
  <si>
    <t>[-101.2, -655.8, nan]</t>
  </si>
  <si>
    <t>[-11.0, 82.2, nan]</t>
  </si>
  <si>
    <t>[-0.1, -40.7, nan]</t>
  </si>
  <si>
    <t>[-541.4, -210.7, nan]</t>
  </si>
  <si>
    <t>[449.6, -661.4, nan]</t>
  </si>
  <si>
    <t>[-50.5, -165.6, nan]</t>
  </si>
  <si>
    <t>[-52.3, -128.0, nan]</t>
  </si>
  <si>
    <t>[-148.8, -33.8, nan]</t>
  </si>
  <si>
    <t>[3.7, -13.8, nan]</t>
  </si>
  <si>
    <t>[18.0, -15.5, 43.0]</t>
  </si>
  <si>
    <t>[-2768.6, 475.1, nan]</t>
  </si>
  <si>
    <t>[-136.5, -138.4, nan]</t>
  </si>
  <si>
    <t>[-51.5, 526.3, -21.7]</t>
  </si>
  <si>
    <t>[-1.3, -26.5, nan]</t>
  </si>
  <si>
    <t>[-14.8, 34.3, nan]</t>
  </si>
  <si>
    <t>[-12.4, -22.2, nan]</t>
  </si>
  <si>
    <t>[-43.5, 33.4, 27.8]</t>
  </si>
  <si>
    <t>[15.7, -15.6, nan]</t>
  </si>
  <si>
    <t>[-6.2, 48.2, nan]</t>
  </si>
  <si>
    <t>[-55.9, 231.4, nan]</t>
  </si>
  <si>
    <t>[74.7, 12.9, nan]</t>
  </si>
  <si>
    <t>[84.3, 92.9, 5.1]</t>
  </si>
  <si>
    <t>[71.4, -81.9, nan]</t>
  </si>
  <si>
    <t>[-24.8, 70.1, nan]</t>
  </si>
  <si>
    <t>[-36.5, -22.2, nan]</t>
  </si>
  <si>
    <t>[-39.8, 17.4, 35.4]</t>
  </si>
  <si>
    <t>[332.1, -59.1, nan]</t>
  </si>
  <si>
    <t>[-52.0, 631.9, nan]</t>
  </si>
  <si>
    <t>[-0.3, 15.9, 13.7]</t>
  </si>
  <si>
    <t>[11.4, -211.6, -226.3]</t>
  </si>
  <si>
    <t>[17.3, 29.6, 50.5]</t>
  </si>
  <si>
    <t>[-41.3, 29.5, 26.0]</t>
  </si>
  <si>
    <t>[-212.5, -174.1, nan]</t>
  </si>
  <si>
    <t>[-15.1, -82.1, nan]</t>
  </si>
  <si>
    <t>[-95.8, -1695.2, nan]</t>
  </si>
  <si>
    <t>[-17.9, -1528.5, -147.9]</t>
  </si>
  <si>
    <t>[1326.3, 72.0, nan]</t>
  </si>
  <si>
    <t>[253.4, 33.0, nan]</t>
  </si>
  <si>
    <t>[-146.7, 109.1, nan]</t>
  </si>
  <si>
    <t>[19.2, 291.1, nan]</t>
  </si>
  <si>
    <t>[164.4, -216.8, nan]</t>
  </si>
  <si>
    <t>[83.4, -24.7, nan]</t>
  </si>
  <si>
    <t>[-29.5, 349.0, nan]</t>
  </si>
  <si>
    <t>[-75.2, -1.6, nan]</t>
  </si>
  <si>
    <t>[38.1, -146.8, 168.5]</t>
  </si>
  <si>
    <t>[-82.2, 453.1, nan]</t>
  </si>
  <si>
    <t>[-84.4, 381.3, nan]</t>
  </si>
  <si>
    <t>[602.4, -11.3, nan]</t>
  </si>
  <si>
    <t>[4.5, -41.4, 76.5]</t>
  </si>
  <si>
    <t>[49.1, 34.4, nan]</t>
  </si>
  <si>
    <t>[49.6, -430.0, nan]</t>
  </si>
  <si>
    <t>[-184.9, 54.6, nan]</t>
  </si>
  <si>
    <t>[38.4, -14.4, nan]</t>
  </si>
  <si>
    <t>[14.2, 13.2, -0.6]</t>
  </si>
  <si>
    <t>[212.0, -38.3, 7.6]</t>
  </si>
  <si>
    <t>[45.9, -1.2, nan]</t>
  </si>
  <si>
    <t>[-48.6, 66.6, nan]</t>
  </si>
  <si>
    <t>[-121.1, -9678.0, nan]</t>
  </si>
  <si>
    <t>[-26.9, 25.8, -12.8]</t>
  </si>
  <si>
    <t>[-156.1, -155.8, nan]</t>
  </si>
  <si>
    <t>[-11.4, -86.0, nan]</t>
  </si>
  <si>
    <t>[27.7, -7.0, nan]</t>
  </si>
  <si>
    <t>[68.1, 112.9, 20.5]</t>
  </si>
  <si>
    <t>[-1.2, -38.3, nan]</t>
  </si>
  <si>
    <t>[-203.2, 41.7, nan]</t>
  </si>
  <si>
    <t>[-1001.1, 17.4, nan]</t>
  </si>
  <si>
    <t>[-64.3, 192.0, -0.8]</t>
  </si>
  <si>
    <t>[686.5, -78.7, nan]</t>
  </si>
  <si>
    <t>[-15.5, 45.5, -11.3]</t>
  </si>
  <si>
    <t>[-15.9, 68.0, nan]</t>
  </si>
  <si>
    <t>[2.3, 20.4, 5.8]</t>
  </si>
  <si>
    <t>[-32.2, 14.8, 28.1]</t>
  </si>
  <si>
    <t>[-82.8, 349.4, -10.1]</t>
  </si>
  <si>
    <t>[188.7, -73.9, 41.2]</t>
  </si>
  <si>
    <t>[-34.2, 445.1, -56.3]</t>
  </si>
  <si>
    <t>[45.7, -87.0, 574.7]</t>
  </si>
  <si>
    <t>[-2.6, -5.1, 16.6]</t>
  </si>
  <si>
    <t>[0.9, -22.1, 163.4]</t>
  </si>
  <si>
    <t>[-4.7, 21.6, 13.9]</t>
  </si>
  <si>
    <t>[1447.2, 89.9, nan]</t>
  </si>
  <si>
    <t>[120.8, 129.5, 56.9]</t>
  </si>
  <si>
    <t>[-34.5, 55.8, nan]</t>
  </si>
  <si>
    <t>[131.5, -144.7, nan]</t>
  </si>
  <si>
    <t>[18.5, 64.9, nan]</t>
  </si>
  <si>
    <t>[39.0, -19.0, nan]</t>
  </si>
  <si>
    <t>[310.0, 213.7, nan]</t>
  </si>
  <si>
    <t>[28.5, -36.3, 139.3]</t>
  </si>
  <si>
    <t>[36.2, -70.3, nan]</t>
  </si>
  <si>
    <t>[53.7, 178.8, nan]</t>
  </si>
  <si>
    <t>[14.9, 20.7, 2.6]</t>
  </si>
  <si>
    <t>[21.6, -5.4, 4.4]</t>
  </si>
  <si>
    <t>[27.5, 409.7, 20.6]</t>
  </si>
  <si>
    <t>[-24.5, 148.8, -1.4]</t>
  </si>
  <si>
    <t>[18.3, -9.4, 16.1]</t>
  </si>
  <si>
    <t>[-24.4, -67.8, nan]</t>
  </si>
  <si>
    <t>[-58.7, 463.9, nan]</t>
  </si>
  <si>
    <t>[149.3, 1782.0, 6.7]</t>
  </si>
  <si>
    <t>[-94.4, -6015.9, 30.3]</t>
  </si>
  <si>
    <t>[16.9, -17.4, nan]</t>
  </si>
  <si>
    <t>[15.8, 18.7, 11.0]</t>
  </si>
  <si>
    <t>[43.7, 31.2, 12.2]</t>
  </si>
  <si>
    <t>[126.6, -64.0, nan]</t>
  </si>
  <si>
    <t>[-24.9, -27.7, nan]</t>
  </si>
  <si>
    <t>[161.8, -296.5, nan]</t>
  </si>
  <si>
    <t>[182.1, -55.7, nan]</t>
  </si>
  <si>
    <t>[24.1, 1.4, 18.2]</t>
  </si>
  <si>
    <t>[-66.6, 553.6, nan]</t>
  </si>
  <si>
    <t>[3.6, 265.4, nan]</t>
  </si>
  <si>
    <t>[103.7, 22.7, nan]</t>
  </si>
  <si>
    <t>[-122.7, 3876.6, nan]</t>
  </si>
  <si>
    <t>[82.8, 1.6, nan]</t>
  </si>
  <si>
    <t>[71.0, 12.9, -7.0]</t>
  </si>
  <si>
    <t>[99.1, 6.9, nan]</t>
  </si>
  <si>
    <t>[-35.3, -55.3, 101.0]</t>
  </si>
  <si>
    <t>[8.9, -10.4, 25.4]</t>
  </si>
  <si>
    <t>[63.9, -4.1, 134.6]</t>
  </si>
  <si>
    <t>[-14.5, -759.3, 72.4]</t>
  </si>
  <si>
    <t>[1375.8, 992.8, nan]</t>
  </si>
  <si>
    <t>[24.0, 15.3, 27.5]</t>
  </si>
  <si>
    <t>[-55.0, -28.5, nan]</t>
  </si>
  <si>
    <t>[107.3, -127.2, nan]</t>
  </si>
  <si>
    <t>[111.5, -6.1, nan]</t>
  </si>
  <si>
    <t>[-33.2, 17.9, 20.8]</t>
  </si>
  <si>
    <t>[59.2, 14.1, nan]</t>
  </si>
  <si>
    <t>[-91.1, 456.1, nan]</t>
  </si>
  <si>
    <t>[22.4, -26.4, nan]</t>
  </si>
  <si>
    <t>[190.5, -36.7, nan]</t>
  </si>
  <si>
    <t>[-10.6, 60.2, -25.8]</t>
  </si>
  <si>
    <t>[59.9, 0.2, -5.1]</t>
  </si>
  <si>
    <t>[-46.6, -21.5, nan]</t>
  </si>
  <si>
    <t>[-40.0, 97.9, 195.7]</t>
  </si>
  <si>
    <t>[666.7, -31.8, nan]</t>
  </si>
  <si>
    <t>[-64.2, -414.6, nan]</t>
  </si>
  <si>
    <t>[23.7, 24.2, 3.3]</t>
  </si>
  <si>
    <t>[114.6, 4.7, nan]</t>
  </si>
  <si>
    <t>[-47.0, -1406.7, nan]</t>
  </si>
  <si>
    <t>[10.1, -5.2, nan]</t>
  </si>
  <si>
    <t>[-16.4, -18.0, 28.3]</t>
  </si>
  <si>
    <t>[-30.4, 38.9, nan]</t>
  </si>
  <si>
    <t>[1056.9, -255.9, nan]</t>
  </si>
  <si>
    <t>[41.9, -15.1, 38.5]</t>
  </si>
  <si>
    <t>[-216.9, -3.9, 2.2]</t>
  </si>
  <si>
    <t>[173.3, -54.5, 110.1]</t>
  </si>
  <si>
    <t>[15.2, -39.2, nan]</t>
  </si>
  <si>
    <t>[94.5, 122.0, nan]</t>
  </si>
  <si>
    <t>[81.7, -0.5, nan]</t>
  </si>
  <si>
    <t>[41.6, 55.5, nan]</t>
  </si>
  <si>
    <t>[-30.2, 36.1, 77.2]</t>
  </si>
  <si>
    <t>[607.5, -28.1, nan]</t>
  </si>
  <si>
    <t>[131.0, -28.0, nan]</t>
  </si>
  <si>
    <t>[200.0, -11.1, 41.3]</t>
  </si>
  <si>
    <t>[-919.8, 103.9, nan]</t>
  </si>
  <si>
    <t>[0, 38.4, 7.3, -73.6, 0]</t>
  </si>
  <si>
    <t>[5.6, -13.7, 92.3, -30.3, 8.2]</t>
  </si>
  <si>
    <t>[0, 0, 0, 5.2, 149.1]</t>
  </si>
  <si>
    <t>[-36.2, 0, 0, 0, 0]</t>
  </si>
  <si>
    <t>[0, 0, 184.4, -76.5, 34.6]</t>
  </si>
  <si>
    <t>[0, 0, 0, 0, nan]</t>
  </si>
  <si>
    <t>[-75.7, 58.3, -7.7, 106.4, 40.8]</t>
  </si>
  <si>
    <t>[0, 0, 194.2, 0, 0]</t>
  </si>
  <si>
    <t>[12.7, -33.7, -62.3, 47.8, 124.6]</t>
  </si>
  <si>
    <t>[0, 0, 0, -80.5, 420.9]</t>
  </si>
  <si>
    <t>[0, 0, 0, 0, 0]</t>
  </si>
  <si>
    <t>[-4.3, -27.8, 7.2, -1.5, 10.7]</t>
  </si>
  <si>
    <t>[0, 0, 0, -22.5, -86.0]</t>
  </si>
  <si>
    <t>[159.3, -40.6, 21.1, -69.1, 0]</t>
  </si>
  <si>
    <t>[571.5, -20.7, -17.2, 38.9, -53.8]</t>
  </si>
  <si>
    <t>[0, 0, 810.0, 56.4, -74.9]</t>
  </si>
  <si>
    <t>[11.4, -13.2, -46.6, 28.9, -51.8]</t>
  </si>
  <si>
    <t>[-13.4, -47.5, 40.2, -56.9, 41.9]</t>
  </si>
  <si>
    <t>[1577.7, 0, 0, 0, -13.5]</t>
  </si>
  <si>
    <t>[-12.3, -66.2, -6.7, 389.6, -3.4]</t>
  </si>
  <si>
    <t>[-2.7, 30.2, -18.2, 14.2, 36.6]</t>
  </si>
  <si>
    <t>[-15.3, 0, 0, 0, 0]</t>
  </si>
  <si>
    <t>[-75.2, 64.6, -69.1, 0, 0]</t>
  </si>
  <si>
    <t>[0, 42.6, -32.1, 43.4, -71.4]</t>
  </si>
  <si>
    <t>[0, 35.0, 7.4, 16.9, 33.3]</t>
  </si>
  <si>
    <t>[-75.6, 137.7, -3.9, 767.9, -72.7]</t>
  </si>
  <si>
    <t>[47.5, 14.0, 93.0, 81.6, 0]</t>
  </si>
  <si>
    <t>[146.0, 0, 0, 0, 1852.3]</t>
  </si>
  <si>
    <t>[51.0, -19.6, 23.4, -45.8, 870.9]</t>
  </si>
  <si>
    <t>[-57.8, 93.8, 0, 0, 0]</t>
  </si>
  <si>
    <t>[0, 10.9, -24.4, -8.4, 65.2]</t>
  </si>
  <si>
    <t>[-37.0, -18.2, -27.1, -7.6, nan]</t>
  </si>
  <si>
    <t>[-99.6, 0, 0, 0, 0]</t>
  </si>
  <si>
    <t>[-0.3, 24.2, 4.0, 14.9, 15.3]</t>
  </si>
  <si>
    <t>[141.3, -53.0, 48.8, -29.5, -18.3]</t>
  </si>
  <si>
    <t>[55.6, 28.5, -3.5, -85.5, 0]</t>
  </si>
  <si>
    <t>[-22.7, -4.9, 106.2, -25.4, 0.3]</t>
  </si>
  <si>
    <t>[-29.4, 20.7, 0, 0, -18.7]</t>
  </si>
  <si>
    <t>[-64.4, 0, 0, 53.1, 142.1]</t>
  </si>
  <si>
    <t>[24.2, -26.1, -35.6, 16.9, 56.2]</t>
  </si>
  <si>
    <t>[73.4, -9.8, 101.2, -80.4, 206.0]</t>
  </si>
  <si>
    <t>[-26.6, 46.4, -30.1, -34.2, -41.7]</t>
  </si>
  <si>
    <t>[4.5, 21.3, -51.4, 12.1, -41.7]</t>
  </si>
  <si>
    <t>[-0.9, -22.8, 12.6, -65.4, -94.9]</t>
  </si>
  <si>
    <t>[-7.9, -64.6, -39.2, 0, 0]</t>
  </si>
  <si>
    <t>[0, -76.9, 725.4, -51.3, 26.0]</t>
  </si>
  <si>
    <t>[37.8, -41.2, 51.7, 15.9, -98.8]</t>
  </si>
  <si>
    <t>[184.5, -35.6, -19.4, 148.9, 101.0]</t>
  </si>
  <si>
    <t>[32.3, 19.7, -50.5, 3.3, 94.2]</t>
  </si>
  <si>
    <t>[13.1, -52.3, -42.3, 659.6, -45.4]</t>
  </si>
  <si>
    <t>[0, -35.1, 15.2, -9.5, 18.0]</t>
  </si>
  <si>
    <t>[114.2, 44.5, 36.4, -5.2, -50.3]</t>
  </si>
  <si>
    <t>[nan, nan, 339.8, 28.6, 3.3]</t>
  </si>
  <si>
    <t>[66.0, 860.7, -38.8, -86.2, 2209.4]</t>
  </si>
  <si>
    <t>[8.7, 2.7, 21.2, -30.5, 70.5]</t>
  </si>
  <si>
    <t>[54.3, 304.4, 7.0, -87.9, 29.9]</t>
  </si>
  <si>
    <t>[-54.2, 4.0, 151.8, 65.1, -57.3]</t>
  </si>
  <si>
    <t>[-73.5, 18.6, -36.4, 80.0, -28.8]</t>
  </si>
  <si>
    <t>[-68.0, 116.0, 42.3, -86.7, 403.4]</t>
  </si>
  <si>
    <t>[0, 0, 0, nan, nan]</t>
  </si>
  <si>
    <t>[-22.5, -19.2, -57.8, -81.8, 0]</t>
  </si>
  <si>
    <t>[-69.2, 0, 0, 0, 0]</t>
  </si>
  <si>
    <t>[-19.2, 9.8, -11.7, 28.0, 13.3]</t>
  </si>
  <si>
    <t>[-58.0, 111.1, -75.5, 0, 0]</t>
  </si>
  <si>
    <t>[48.1, -98.1, 3100.5, -11.2, -91.3]</t>
  </si>
  <si>
    <t>[0, 0, 0, -44.2, 67.0]</t>
  </si>
  <si>
    <t>[-51.8, 122.4, -46.9, 925.9, -87.1]</t>
  </si>
  <si>
    <t>[-37.3, 896.5, -22.5, -71.6, 0]</t>
  </si>
  <si>
    <t>[7.4, -49.6, 32.8, 119.0, 0]</t>
  </si>
  <si>
    <t>[-46.5, 1.2, 22.9, -20.5, -31.1]</t>
  </si>
  <si>
    <t>[206.7, -89.4, 287.5, 13.3, 120.6]</t>
  </si>
  <si>
    <t>[]</t>
  </si>
  <si>
    <t>[0, -23.5, 100.9, -35.2, 165.3]</t>
  </si>
  <si>
    <t>[7.3, 0, 0, 656.1, 1.8]</t>
  </si>
  <si>
    <t>[0, 329.8, 0, 0, 4295.7]</t>
  </si>
  <si>
    <t>[0.2, -42.9, -69.5, 222.8, 7.4]</t>
  </si>
  <si>
    <t>[-3.8, -22.7, 219.8, -58.4, 89.5]</t>
  </si>
  <si>
    <t>[-24.1, -4.6, 34.5, 17.7, -0.2]</t>
  </si>
  <si>
    <t>[34.6, 49.2, -46.4, 0, 0]</t>
  </si>
  <si>
    <t>[-70.7, 104.2, 0, 0, 169.8]</t>
  </si>
  <si>
    <t>[64.5, -22.5, -5.4, -2.0, 48.1]</t>
  </si>
  <si>
    <t>[0, 0, 0, 0, 203.6]</t>
  </si>
  <si>
    <t>[25.6, 153.2, 112.2, -55.7, 47.4]</t>
  </si>
  <si>
    <t>[2.6, 1.8, 1.7, 7.9, 14.2]</t>
  </si>
  <si>
    <t>[nan, nan, nan, -24.6, 83.7]</t>
  </si>
  <si>
    <t>[0, 89.6, 0, 0, 0]</t>
  </si>
  <si>
    <t>[40.4, -29.3, 1048.6, -97.4, 258.7]</t>
  </si>
  <si>
    <t>[33.2, -31.4, -12.8, -19.7, -11.3]</t>
  </si>
  <si>
    <t>[-13.2, 0, 0, 56.8, 0]</t>
  </si>
  <si>
    <t>[-72.4, 458.6, -45.2, -58.8, -45.4]</t>
  </si>
  <si>
    <t>[96.9, -51.4, -44.7, 91.7, nan]</t>
  </si>
  <si>
    <t>[-13.7, 47.8, -12.9, 35.0, 13.9]</t>
  </si>
  <si>
    <t>[166.8, 9.4, -58.8, -71.6, 308.1]</t>
  </si>
  <si>
    <t>[71.0, 10.1, -47.8, -31.5, -42.8]</t>
  </si>
  <si>
    <t>[2.0, 2.1, 2.2, 2.0, 1.9]</t>
  </si>
  <si>
    <t>[0, 114.7, 0, 0, 0]</t>
  </si>
  <si>
    <t>[52.1, 0, 0, 0, 0]</t>
  </si>
  <si>
    <t>[0, 0, 0, -92.4, 0]</t>
  </si>
  <si>
    <t>[97.5, 28.3, -15.8, -13.7, 0]</t>
  </si>
  <si>
    <t>[6.1, 4.5, -0.5, -0.7, -0.8]</t>
  </si>
  <si>
    <t>[0, 0, 0, 4.2, -53.6]</t>
  </si>
  <si>
    <t>[51.4, -10.9, -11.2, -26.9, 12.0]</t>
  </si>
  <si>
    <t>[-47.0, -81.6, 0, 0, 0]</t>
  </si>
  <si>
    <t>[159.4, 0, 0, 0, 0]</t>
  </si>
  <si>
    <t>[20.6, 1924.0, -99.2, -51.2, 1.2]</t>
  </si>
  <si>
    <t>[0, 0, 0, 234.8, 0]</t>
  </si>
  <si>
    <t>[0, -32.0, 15.6, -80.8, 137.7]</t>
  </si>
  <si>
    <t>[9.3, 6.5, 4.2, 0.9, 1.9]</t>
  </si>
  <si>
    <t>[15.3, 15.6, 10.3, 6.2, 7.1]</t>
  </si>
  <si>
    <t>[16.5, -5.4, 36.0, -48.4, 31.1]</t>
  </si>
  <si>
    <t>[0, 112.0, 0, 0, 13.3]</t>
  </si>
  <si>
    <t>[38.6, 32.6, 10.3, -84.4, 332.8]</t>
  </si>
  <si>
    <t>[-24.3, 0, 0, 0, 0]</t>
  </si>
  <si>
    <t>[-55.3, 21.9, 45.2, -41.1, -39.4]</t>
  </si>
  <si>
    <t>[378.3, -3.1, -27.6, 65.8, -30.4]</t>
  </si>
  <si>
    <t>[-7.5, -28.5, 1474.0, -96.6, 0]</t>
  </si>
  <si>
    <t>[nan, nan, nan, 592.1, 0]</t>
  </si>
  <si>
    <t>[1235.4, -7.6, 50.3, -69.9, -28.3]</t>
  </si>
  <si>
    <t>[-58.0, 154.8, -17.5, 0, 0]</t>
  </si>
  <si>
    <t>[0, 0, 328.2, 0, 0]</t>
  </si>
  <si>
    <t>[6.5, 14.4, 7.7, 5.5, 3.2]</t>
  </si>
  <si>
    <t>[20.2, -6.4, -8.3, -5.3, 0]</t>
  </si>
  <si>
    <t>[-64.7, 88.6, -63.2, 130.4, 72.4]</t>
  </si>
  <si>
    <t>[-91.8, 213.9, 0, 0, 201.4]</t>
  </si>
  <si>
    <t>[15.0, 9.9, -10.3, -49.9, 36.6]</t>
  </si>
  <si>
    <t>[12.8, 14.3, 6.3, -4.7, 4.0]</t>
  </si>
  <si>
    <t>[5917.1, 0, 0, 313.1, -6.5]</t>
  </si>
  <si>
    <t>[-20.2, 6.6, 8.0, 9.4, 5.6]</t>
  </si>
  <si>
    <t>[53.6, -49.3, -82.0, 63.2, 0]</t>
  </si>
  <si>
    <t>[35.9, -64.8, 89.2, 6.8, -70.0]</t>
  </si>
  <si>
    <t>[4.5, 19.5, -9.0, -46.9, 29.8]</t>
  </si>
  <si>
    <t>[-0.6, -48.4, 20.5, 23.0, -32.6]</t>
  </si>
  <si>
    <t>[5.2, 6.0, 6.1, 7.9, 8.2]</t>
  </si>
  <si>
    <t>[14.5, -8.0, -5.8, -18.8, -63.8]</t>
  </si>
  <si>
    <t>[-9.7, -1.6, 12.0, 8.4, 497.4]</t>
  </si>
  <si>
    <t>[-60.0, 0, 0, 0, 10.4]</t>
  </si>
  <si>
    <t>[8.6, -15.8, -44.3, -95.7, 0]</t>
  </si>
  <si>
    <t>[nan, nan, -75.6, -35.5, 0]</t>
  </si>
  <si>
    <t>[-15.8, -25.4, -62.1, 101.1, -52.2]</t>
  </si>
  <si>
    <t>[-22.5, -84.0, 58.0, 158.9, 34.0]</t>
  </si>
  <si>
    <t>[-24.5, -61.1, -68.8, 0, 0]</t>
  </si>
  <si>
    <t>[-33.7, -19.2, 2.3, 10.2, -6.1]</t>
  </si>
  <si>
    <t>[-45.1, 20.2, 3.8, 45.1, 399.0]</t>
  </si>
  <si>
    <t>[-59.8, 189.4, -31.1, -31.0, 0]</t>
  </si>
  <si>
    <t>[14.3, 12.3, 11.7, 10.9, 15.0]</t>
  </si>
  <si>
    <t>[-20.3, -82.1, 98.7, 43.1, -35.7]</t>
  </si>
  <si>
    <t>[4.4, -25.5, 28.8, 16.8, -15.3]</t>
  </si>
  <si>
    <t>[42.1, -84.2, 0, 0, 0]</t>
  </si>
  <si>
    <t>[-28.7, -1.6, -4.8, 233.0, -72.9]</t>
  </si>
  <si>
    <t>[43.0, -42.5, 61.4, -12.2, 0]</t>
  </si>
  <si>
    <t>[11.3, -56.6, -16.3, 85.1, 42.2]</t>
  </si>
  <si>
    <t>[-97.2, 0, 0, 0, 0]</t>
  </si>
  <si>
    <t>[-15.3, 6.9, -11.4, -10.0, -1.2]</t>
  </si>
  <si>
    <t>[-7.7, 30.8, 22.8, 115.3, 0]</t>
  </si>
  <si>
    <t>[-50.1, 0, 0, -26.1, 0]</t>
  </si>
  <si>
    <t>[288.1, -46.0, -73.5, 299.8, -4.9]</t>
  </si>
  <si>
    <t>[-99.9, -53.6, -5.4, -8.5, -8.9]</t>
  </si>
  <si>
    <t>[74.0, -72.6, 0, 0, 0]</t>
  </si>
  <si>
    <t>[-0.6, 21.3, 3.4, -81.8, 1534.7]</t>
  </si>
  <si>
    <t>[-86.5, 172.6, -26.6, 440.3, -35.3]</t>
  </si>
  <si>
    <t>[109.3, -63.0, 369.0, -58.4, 234.5]</t>
  </si>
  <si>
    <t>[584.8, 0, 0, 0, 0]</t>
  </si>
  <si>
    <t>[11.8, -2.5, -11.1, -6.8, -26.4]</t>
  </si>
  <si>
    <t>[120.7, -56.9, 0, 0, 0]</t>
  </si>
  <si>
    <t>[127.7, 119.1, 8.5, -25.7, -9.4]</t>
  </si>
  <si>
    <t>[32.0, -18.9, -40.0, 0, 0]</t>
  </si>
  <si>
    <t>[-86.2, 0, 0, 0, 0]</t>
  </si>
  <si>
    <t>[-80.2, 0, 0, 0, 171.4]</t>
  </si>
  <si>
    <t>[22.0, 51.1, -44.3, -30.9, 3020.4]</t>
  </si>
  <si>
    <t>[14.6, 1.0, 0, 0, nan]</t>
  </si>
  <si>
    <t>[8.3, -17.9, 15.5, -26.0, 1.1]</t>
  </si>
  <si>
    <t>[78.1, 0, 0, 0, 0]</t>
  </si>
  <si>
    <t>[0, -47.4, 0, 0, 0]</t>
  </si>
  <si>
    <t>[-33.4, -20.6, 51.9, 12.3, 0]</t>
  </si>
  <si>
    <t>[19.3, -68.1, 74.8, 0, 0]</t>
  </si>
  <si>
    <t>[-14.6, 0, 0, 0, 15.4]</t>
  </si>
  <si>
    <t>[21.2, -34.1, 120.7, -61.2, 63.0]</t>
  </si>
  <si>
    <t>[95.4, 263.7, -68.3, 38.0, 8.0]</t>
  </si>
  <si>
    <t>[15.7, 0, 0, 0, 0]</t>
  </si>
  <si>
    <t>[132.3, 44.8, 0, 0, 0]</t>
  </si>
  <si>
    <t>[99.8, 5.1, -14.9, -41.3, 0]</t>
  </si>
  <si>
    <t>[66.7, -45.9, -77.7, 207.2, 10295.0]</t>
  </si>
  <si>
    <t>[-6.7, -8.3, -22.6, 31.2, -84.3]</t>
  </si>
  <si>
    <t>[16.4, 24.5, -42.4, -88.6, 0]</t>
  </si>
  <si>
    <t>[19.9, 45.3, 11.5, -37.5, -14.3]</t>
  </si>
  <si>
    <t>[-12.4, -18.7, -65.7, 225.2, 39.6]</t>
  </si>
  <si>
    <t>[-18.7, 45.6, 0, 0, 0]</t>
  </si>
  <si>
    <t>[-79.7, 0, 0, 0, 0]</t>
  </si>
  <si>
    <t>[65.4, -33.1, 42.4, 10.9, 60.4]</t>
  </si>
  <si>
    <t>[32.4, 1.7, 17.7, 4.2, 26.7]</t>
  </si>
  <si>
    <t>[62.3, 0, 0, 78.2, -57.5]</t>
  </si>
  <si>
    <t>[-32.2, 0, 0, 0, 0]</t>
  </si>
  <si>
    <t>[147.0, 69.0, 73.2, 590.7, -86.8]</t>
  </si>
  <si>
    <t>[43.2, -69.4, 35.0, -85.6, 379.7]</t>
  </si>
  <si>
    <t>[-23.2, -39.3, -38.7, 19.3, -21.6]</t>
  </si>
  <si>
    <t>[-4.6, -4.5, 35.0, -18.0, 52.5]</t>
  </si>
  <si>
    <t>[44.2, 100.9, 35.7, -47.9, 114.7]</t>
  </si>
  <si>
    <t>[-54.9, 153.2, 0, 0, -82.9]</t>
  </si>
  <si>
    <t>[623.7, 39.8, -39.8, -29.5, -74.9]</t>
  </si>
  <si>
    <t>[176.6, -27.1, -53.7, -49.4, -0.7]</t>
  </si>
  <si>
    <t>[-29.6, -22.2, -50.9, 11.7, -59.0]</t>
  </si>
  <si>
    <t>[-92.6, 43.3, 661.1, 0, 0]</t>
  </si>
  <si>
    <t>[230.5, 22.8, -12.2, -72.6, -38.9]</t>
  </si>
  <si>
    <t>[-45.4, 0, 0, 0, 0]</t>
  </si>
  <si>
    <t>[0, 520.2, -14.4, 5.3, 0]</t>
  </si>
  <si>
    <t>[0, 1377.3, 0, 0, 0]</t>
  </si>
  <si>
    <t>[-95.8, -77.7, -58.6, 0, 0]</t>
  </si>
  <si>
    <t>[-16.0, -12.7, -50.4, -30.4, 318.8]</t>
  </si>
  <si>
    <t>[-98.6, 0, 0, 0, 0]</t>
  </si>
  <si>
    <t>[40.8, 0, 0, -23.1, -24.8]</t>
  </si>
  <si>
    <t>[6.9, -29.2, -83.1, 97.6, 0]</t>
  </si>
  <si>
    <t>[-89.2, 596.9, 92.9, 0, 0]</t>
  </si>
  <si>
    <t>[154.5, 40.3, 93.9, 0, 0]</t>
  </si>
  <si>
    <t>[-3.3, 0, 0, 10.9, -18.6]</t>
  </si>
  <si>
    <t>[-38.6, -37.2, 0, 0, 0]</t>
  </si>
  <si>
    <t>[0, 0, 0, 0, -24.9]</t>
  </si>
  <si>
    <t>[26.0, -27.3, -11.0, 5109.9, -95.9]</t>
  </si>
  <si>
    <t>[-39.5, -50.6, 125.9, 0, 0]</t>
  </si>
  <si>
    <t>[-42.1, -85.2, 0, 0, 0]</t>
  </si>
  <si>
    <t>[0, 0, 10.9, -9.4, 0]</t>
  </si>
  <si>
    <t>[3.4, 5.5, 5.0, -5.5, 32.6]</t>
  </si>
  <si>
    <t>[100.4, 19.8, -45.6, -76.6, 84.5]</t>
  </si>
  <si>
    <t>[126.2, 8.0, 11.9, 45.6, 83.5]</t>
  </si>
  <si>
    <t>[278.6, -71.2, 75.0, -74.9, 161.0]</t>
  </si>
  <si>
    <t>[-76.6, 0, 0, 0, 0]</t>
  </si>
  <si>
    <t>[185.9, -4.8, -21.2, 0, 0]</t>
  </si>
  <si>
    <t>[11.8, -43.7, 17.4, 0, 0]</t>
  </si>
  <si>
    <t>[19876.6, 68.5, -7.5, -15.7, -15.5]</t>
  </si>
  <si>
    <t>[41.6, -22.2, -35.0, 42.8, 0]</t>
  </si>
  <si>
    <t>[6.6, 66.6, -8.0, 0, 0]</t>
  </si>
  <si>
    <t>[-56.9, 71.8, -10.3, 125.9, 39.9]</t>
  </si>
  <si>
    <t>[29.7, 0, 0, 0, -76.4]</t>
  </si>
  <si>
    <t>[-7.5, -45.4, 131.9, 17.8, 1438.1]</t>
  </si>
  <si>
    <t>[-52.6, 8.7, 48.9, 14.2, -16.4]</t>
  </si>
  <si>
    <t>[-10.7, -33.4, -14.5, -71.1, nan]</t>
  </si>
  <si>
    <t>[-14.2, 0, 0, 0, 0]</t>
  </si>
  <si>
    <t>[6.3, -30.9, 8.1, 18.0, 15.4]</t>
  </si>
  <si>
    <t>[-40.6, 65.1, -8.3, 45.0, -58.7]</t>
  </si>
  <si>
    <t>[-47.8, 88.3, 2.4, -84.5, 418.9]</t>
  </si>
  <si>
    <t>[0, -83.1, 0, 0, 126.5]</t>
  </si>
  <si>
    <t>[292.3, -69.1, 5.7, -56.4, 137.1]</t>
  </si>
  <si>
    <t>[12.2, 38.2, -6.7, 48.0, -85.4]</t>
  </si>
  <si>
    <t>[-75.3, 139.5, 65.5, 0, 0]</t>
  </si>
  <si>
    <t>[nan, -99.0, 15.6, -63.4, 15.2]</t>
  </si>
  <si>
    <t>[0, 0, 0, 60.1, 24.3]</t>
  </si>
  <si>
    <t>[11.6, 68.3, -12.2, 79.9, 130.1]</t>
  </si>
  <si>
    <t>[65.8, -9.5, 0, 0, 0]</t>
  </si>
  <si>
    <t>[23.4, -5.9, -37.1, -11.9, 0]</t>
  </si>
  <si>
    <t>[390.6, 37.7, -73.0, -15.2, 148.9]</t>
  </si>
  <si>
    <t>[0, -26.0, 332.9, -79.3, 0]</t>
  </si>
  <si>
    <t>[-92.6, 0, 0, 0, 0]</t>
  </si>
  <si>
    <t>[6.6, 10.2, 8.6, 11.2, 20.1]</t>
  </si>
  <si>
    <t>[108.0, 37.7, -14.3, 32.0, -31.1]</t>
  </si>
  <si>
    <t>[-66.9, 149.4, -49.3, 490.6, 0]</t>
  </si>
  <si>
    <t>[37.9, 1.4, 118.3, -33.7, -87.3]</t>
  </si>
  <si>
    <t>[10.2, -60.7, -12.7, -38.2, 157.3]</t>
  </si>
  <si>
    <t>[-7.8, 0, 0, 0, 0]</t>
  </si>
  <si>
    <t>[4.0, -32.8, 101.4, -13.8, -29.1]</t>
  </si>
  <si>
    <t>[-0.6, -12.6, 14.5, 45.9, 11.6]</t>
  </si>
  <si>
    <t>[1184.0, -78.6, 328.0, -42.1, 48.4]</t>
  </si>
  <si>
    <t>[175.9, -48.7, -4.8, 87.8, 0]</t>
  </si>
  <si>
    <t>[134.6, 12.7, -2.4, -2.1, 2.9]</t>
  </si>
  <si>
    <t>[0, 0, -29.9, 67.1, 0]</t>
  </si>
  <si>
    <t>[92.5, 13.3, -4.8, 8.5, -23.0]</t>
  </si>
  <si>
    <t>[-77.6, 36.6, -43.3, -72.1, 291.2]</t>
  </si>
  <si>
    <t>[-22.7, 30.1, 23.7, 11.1, 6.0]</t>
  </si>
  <si>
    <t>[132.7, 263.5, -13.7, 0, 0]</t>
  </si>
  <si>
    <t>[-8.9, 1.3, 1.9, -27.8, nan]</t>
  </si>
  <si>
    <t>[1028.4, 0, 0, 0, 0]</t>
  </si>
  <si>
    <t>[-60.5, 0, 0, 0, 0]</t>
  </si>
  <si>
    <t>[0, -78.8, 59.1, 242.8, 0]</t>
  </si>
  <si>
    <t>[0, -27.6, -23.3, -20.1, -29.6]</t>
  </si>
  <si>
    <t>[35.7, -21.3, 20.1, -58.7, 19.7]</t>
  </si>
  <si>
    <t>[11.3, -22.9, 0, 0, 61.7]</t>
  </si>
  <si>
    <t>[0, -53.0, -8.3, 51.5, 53.4]</t>
  </si>
  <si>
    <t>[-20.2, 87.3, 0.8, -67.0, 22.5]</t>
  </si>
  <si>
    <t>[0, 33.1, 116.8, -49.1, -28.1]</t>
  </si>
  <si>
    <t>[465.8, -73.4, 20.1, 13.5, -45.8]</t>
  </si>
  <si>
    <t>[3.0, 0.8, 3.6, 5.0, 4.3]</t>
  </si>
  <si>
    <t>[183.8, -81.3, 0, 0, 721.1]</t>
  </si>
  <si>
    <t>[103.2, -43.3, -20.0, -8.0, 0]</t>
  </si>
  <si>
    <t>[nan, nan, 7960.5, 52.7, -46.0]</t>
  </si>
  <si>
    <t>[-96.1, -33.1, -79.6, 0, 0]</t>
  </si>
  <si>
    <t>[-55.6, 0, 0, 2435.7, 0]</t>
  </si>
  <si>
    <t>[0.3, 8.8, 2.0, 4.7, 4.5]</t>
  </si>
  <si>
    <t>[37.8, -2.3, -3.7, -15.5, 0]</t>
  </si>
  <si>
    <t>[546.2, 122.5, -58.6, -38.5, 418.0]</t>
  </si>
  <si>
    <t>[-11.3, -12.0, -2.2, 20.3, -8.0]</t>
  </si>
  <si>
    <t>[4.2, 6.4, 7.3, 4.8, 7.4]</t>
  </si>
  <si>
    <t>[-7.0, -93.9, 837.3, -19.6, -12.1]</t>
  </si>
  <si>
    <t>[-5.0, -1.9, -54.8, -10.5, 0]</t>
  </si>
  <si>
    <t>[38.8, -28.5, -17.7, 14.2, 0]</t>
  </si>
  <si>
    <t>[-71.0, 209.9, -56.7, 48.3, -4.9]</t>
  </si>
  <si>
    <t>[-83.1, 290.8, 0, 0, 205.9]</t>
  </si>
  <si>
    <t>[69.8, -54.5, -7.0, -15.8, 109.2]</t>
  </si>
  <si>
    <t>[66.7, -48.8, 15.0, -21.7, 87.0]</t>
  </si>
  <si>
    <t>[32.0, 44.2, -2.7, -89.6, 0]</t>
  </si>
  <si>
    <t>[-5.4, 17.5, -3.7, 67.9, 48.7]</t>
  </si>
  <si>
    <t>[1.9, 6.2, -13.2, 1.1, 8.4]</t>
  </si>
  <si>
    <t>[-23.6, 52.4, 606.0, -84.6, 276.9]</t>
  </si>
  <si>
    <t>[0, 0, -87.2, 125.3, 636.8]</t>
  </si>
  <si>
    <t>[0, -70.1, 505.9, 35.3, -65.8]</t>
  </si>
  <si>
    <t>[-5.8, -15.4, -40.4, -47.5, 0]</t>
  </si>
  <si>
    <t>[10.9, -18.4, 23.0, 65.2, 16.7]</t>
  </si>
  <si>
    <t>[17.6, -9.6, -9.6, 208.0, 21.3]</t>
  </si>
  <si>
    <t>[0, 501.4, -71.1, 253.3, 0]</t>
  </si>
  <si>
    <t>[219.7, 73.8, -32.9, -76.0, 113.7]</t>
  </si>
  <si>
    <t>[-10.7, 45.5, -44.1, -24.1, 13.5]</t>
  </si>
  <si>
    <t>[39.3, -57.3, 88.7, -11.6, 0]</t>
  </si>
  <si>
    <t>[0, 0, 91.3, -85.5, 0]</t>
  </si>
  <si>
    <t>[0, 11632.6, 30.0, 0, 0]</t>
  </si>
  <si>
    <t>[113.4, -16.2, 0, 0, -44.1]</t>
  </si>
  <si>
    <t>[0, 0, 0, 0, 40.3]</t>
  </si>
  <si>
    <t>[4.2, 11.3, 5.2, 5.0, 3.5]</t>
  </si>
  <si>
    <t>[0.8, 7.2, 5.8, 7.6, 8.9]</t>
  </si>
  <si>
    <t>[22.4, -59.4, -14.1, 65.3, 11.0]</t>
  </si>
  <si>
    <t>[0, 0, 371.3, 263.2, -44.4]</t>
  </si>
  <si>
    <t>[15.2, 22.5, 11.6, 12.8, 16.9]</t>
  </si>
  <si>
    <t>[6.3, 8.0, 6.2, 5.8, 11.6]</t>
  </si>
  <si>
    <t>[19.6, -9.4, 9.4, -0.6, 266.6]</t>
  </si>
  <si>
    <t>[52.2, -29.4, -86.5, 362.0, 0]</t>
  </si>
  <si>
    <t>[16.1, 3.1, 15.5, 20.1, -15.1]</t>
  </si>
  <si>
    <t>[-44.1, 319.6, -65.5, 534.6, -65.0]</t>
  </si>
  <si>
    <t>[38.3, 65.6, -18.6, 0, 0]</t>
  </si>
  <si>
    <t>[25.1, 156.2, -34.8, 0, 0]</t>
  </si>
  <si>
    <t>[135.9, -41.6, -31.6, 30.8, 30.9]</t>
  </si>
  <si>
    <t>[14.1, 13.8, 13.0, 15.1, 13.1]</t>
  </si>
  <si>
    <t>[-45.2, -71.1, -90.1, 724.7, -72.8]</t>
  </si>
  <si>
    <t>[6.2, 14.2, 16.4, -6.7, -2.5]</t>
  </si>
  <si>
    <t>[0, -78.4, 0, 0, 0]</t>
  </si>
  <si>
    <t>[0, 135.1, 65.3, -2.7, -38.6]</t>
  </si>
  <si>
    <t>[-44.7, -8.6, -6.8, -14.2, -56.4]</t>
  </si>
  <si>
    <t>[266.2, -24.9, -41.8, 226.4, -14.9]</t>
  </si>
  <si>
    <t>[-30.6, 39.7, -71.3, 175.1, 0]</t>
  </si>
  <si>
    <t>[470.8, 218.0, -16.5, -25.2, 33.2]</t>
  </si>
  <si>
    <t>[10.0, -31.8, 142.7, 18.0, -30.2]</t>
  </si>
  <si>
    <t>[4.6, 4.9, 3.9, 4.5, 4.7]</t>
  </si>
  <si>
    <t>[0, 0, 140.9, -21.7, 18.1]</t>
  </si>
  <si>
    <t>[nan, nan, 354.7, 170.9, 7.7]</t>
  </si>
  <si>
    <t>[-7.2, 439.7, -83.5, 0, 0]</t>
  </si>
  <si>
    <t>[85.0, 22.2, -29.6, -54.7, -77.8]</t>
  </si>
  <si>
    <t>[15.7, 70.0, -48.0, -11.8, 87.2]</t>
  </si>
  <si>
    <t>[-42.2, 17.7, 19.7, -32.5, -56.4]</t>
  </si>
  <si>
    <t>[4.1, -36.0, -60.1, 19.2, 0]</t>
  </si>
  <si>
    <t>[27.8, -18.3, -27.0, -4.8, -81.6]</t>
  </si>
  <si>
    <t>[39.5, -86.5, -59.9, 1350.5, 0]</t>
  </si>
  <si>
    <t>[2.9, 2.9, 3.1, 2.9, 2.5]</t>
  </si>
  <si>
    <t>[-13.0, 36.4, -90.9, 833.0, 309.2]</t>
  </si>
  <si>
    <t>[3.3, 3.3, 3.5, 3.5, 3.4]</t>
  </si>
  <si>
    <t>[2.4, 2.7, 2.6, 2.5, 2.5]</t>
  </si>
  <si>
    <t>[-17.3, -72.6, 0, 0, 0]</t>
  </si>
  <si>
    <t>[-65.7, 9.9, 149.6, -36.2, 0]</t>
  </si>
  <si>
    <t>[-24.9, -67.6, -25.6, 2708.3, -56.2]</t>
  </si>
  <si>
    <t>[5.0, -71.9, 97.0, 75.5, -22.4]</t>
  </si>
  <si>
    <t>[-2.7, -19.3, -58.3, 276.7, 51.9]</t>
  </si>
  <si>
    <t>[28.6, -33.0, 44.4, -10.6, 6.9]</t>
  </si>
  <si>
    <t>[14.0, -39.3, -72.6, 55.0, 4.7]</t>
  </si>
  <si>
    <t>[8.3, 7.7, 6.7, 9.2, 13.0]</t>
  </si>
  <si>
    <t>[-38.7, -6.8, 59.2, -34.4, 43.9]</t>
  </si>
  <si>
    <t>[-33.6, -16.6, -5.2, 16.5, -19.7]</t>
  </si>
  <si>
    <t>[1.5, 42.6, 13.0, -18.7, -74.4]</t>
  </si>
  <si>
    <t>[-6.2, 98.8, 0, 0, 0]</t>
  </si>
  <si>
    <t>[0, 3.6, 0, 0, 941.4]</t>
  </si>
  <si>
    <t>[40.2, 11.1, -12.0, -8.9, 6.4]</t>
  </si>
  <si>
    <t>[nan, nan, nan, 80.0, -62.0]</t>
  </si>
  <si>
    <t>[41.5, 27.0, 229.1, -74.8, -59.6]</t>
  </si>
  <si>
    <t>[-96.0, 2878.6, 72.5, -42.3, 0.4]</t>
  </si>
  <si>
    <t>[2.9, 3.0, 3.1, 2.9, 2.7]</t>
  </si>
  <si>
    <t>[2.8, 2.9, 3.2, 2.9, 2.7]</t>
  </si>
  <si>
    <t>[33.0, -64.7, 46.8, 205.2, -34.1]</t>
  </si>
  <si>
    <t>[8.2, 107.8, -40.5, -3.2, -71.2]</t>
  </si>
  <si>
    <t>[-57.3, -36.1, 6.4, 69.2, -28.1]</t>
  </si>
  <si>
    <t>[0, 0, 0, 0, 42.4]</t>
  </si>
  <si>
    <t>[0.0, 0.7, 8.6, 7.2, 12.9]</t>
  </si>
  <si>
    <t>[13.1, 15.0, 11.0, 6.8, 9.0]</t>
  </si>
  <si>
    <t>[0, 0, 0, 44916.9, 81.1]</t>
  </si>
  <si>
    <t>[0, 0, 0, -24.5, -30.2]</t>
  </si>
  <si>
    <t>[28.3, 84.9, 31.8, 2.9, -24.1]</t>
  </si>
  <si>
    <t>[87.0, -13.8, -0.1, 47.4, 23.9]</t>
  </si>
  <si>
    <t>[-4.5, -54.4, -65.3, 42.2, -73.8]</t>
  </si>
  <si>
    <t>[8.1, 3.0, -28.6, 10.5, 2.2]</t>
  </si>
  <si>
    <t>[-12.0, -42.3, 47.3, -8.5, -21.9]</t>
  </si>
  <si>
    <t>[0, 0, -7.5, 0, 0]</t>
  </si>
  <si>
    <t>[63.7, 22.4, -8.4, -39.8, 0]</t>
  </si>
  <si>
    <t>[-64.0, 34.3, 35.4, 0, 0]</t>
  </si>
  <si>
    <t>[0, 76.5, 36.1, -93.7, 400.8]</t>
  </si>
  <si>
    <t>[0, 0, -20.9, 0, 0]</t>
  </si>
  <si>
    <t>[77.2, -48.9, 10.0, -98.7, 7634.0]</t>
  </si>
  <si>
    <t>[35.5, -48.8, -93.2, 5678.9, 73.9]</t>
  </si>
  <si>
    <t>[-13.9, -33.1, 66.6, -62.1, 59.3]</t>
  </si>
  <si>
    <t>[nan, nan, 91.8, -28.0, -22.6]</t>
  </si>
  <si>
    <t>[0, 282.7, -39.9, -67.5, 67.4]</t>
  </si>
  <si>
    <t>[76.6, -14.1, -20.2, 116.0, -70.1]</t>
  </si>
  <si>
    <t>[121.1, 0, 0, 0, 455.7]</t>
  </si>
  <si>
    <t>[6.3, 214.1, 70.5, -19.8, 31.4]</t>
  </si>
  <si>
    <t>[106.4, -40.8, -85.7, 0, 0]</t>
  </si>
  <si>
    <t>[5.1, 7.4, 7.3, 9.1, 10.3]</t>
  </si>
  <si>
    <t>[-19.9, -17.3, -3.7, 3.2, 96.8]</t>
  </si>
  <si>
    <t>[0, 45.9, 126.8, -47.4, 0]</t>
  </si>
  <si>
    <t>[-0.8, 5.0, -5.8, 5.7, -9.5]</t>
  </si>
  <si>
    <t>[8.7, 9.4, 9.1, 9.1, 9.4]</t>
  </si>
  <si>
    <t>[-53.3, 57.5, 9.5, -22.1, -16.0]</t>
  </si>
  <si>
    <t>[470.7, -22.1, -39.6, 0, 0]</t>
  </si>
  <si>
    <t>[-63.0, 95.3, -4.7, 0, 1351.1]</t>
  </si>
  <si>
    <t>[-32.2, -96.6, 1515.0, -0.3, 0]</t>
  </si>
  <si>
    <t>[103.2, 0, 0, 0, 0]</t>
  </si>
  <si>
    <t>[146.9, 303.7, 127.9, -40.2, 138.8]</t>
  </si>
  <si>
    <t>[63.5, -71.0, 0.7, 21.5, 31.0]</t>
  </si>
  <si>
    <t>[654.7, 104.7, -39.4, 8.6, -12.7]</t>
  </si>
  <si>
    <t>[-44.0, -61.9, 136.1, 0, 0]</t>
  </si>
  <si>
    <t>[0, 0, 0, 44.7, 0]</t>
  </si>
  <si>
    <t>[-1.5, -20.3, 229.9, -90.1, 259.8]</t>
  </si>
  <si>
    <t>[-31.4, -62.3, -26.4, 64.0, -60.8]</t>
  </si>
  <si>
    <t>[-49.2, 170.1, -79.9, 60.1, -39.1]</t>
  </si>
  <si>
    <t>[-88.5, 119.1, 34.3, -68.2, -73.6]</t>
  </si>
  <si>
    <t>[146.2, -40.1, -41.5, 165.8, 67.0]</t>
  </si>
  <si>
    <t>[0, 0, -78.3, 0, 0]</t>
  </si>
  <si>
    <t>[33.1, 843.1, -86.3, 124.4, 48.0]</t>
  </si>
  <si>
    <t>[2.8, 4.4, 2.9, 5.6, 2.0]</t>
  </si>
  <si>
    <t>[10.4, 55.1, 20.3, -71.6, 69.3]</t>
  </si>
  <si>
    <t>[176.1, -60.2, 746.5, -36.7, -13.9]</t>
  </si>
  <si>
    <t>[0, 0, -16.0, -49.9, 1521.7]</t>
  </si>
  <si>
    <t>[-10.3, 111.4, -66.8, 66.1, 39.7]</t>
  </si>
  <si>
    <t>[13.9, 22.2, -42.4, 0, 0]</t>
  </si>
  <si>
    <t>[-96.9, 496.0, 167.7, -38.7, -0.4]</t>
  </si>
  <si>
    <t>[65.6, -4.4, 52.4, -74.5, -25.7]</t>
  </si>
  <si>
    <t>[2.4, 2.5, 2.5, 2.3, 2.1]</t>
  </si>
  <si>
    <t>[-43.5, -19.8, 31.1, 120.3, 0]</t>
  </si>
  <si>
    <t>[-62.6, 289.5, 195.0, -63.6, 552.8]</t>
  </si>
  <si>
    <t>[136.7, -23.2, 48.4, -59.3, -30.2]</t>
  </si>
  <si>
    <t>[76.5, -14.1, 30.4, 22.6, -49.0]</t>
  </si>
  <si>
    <t>[9.4, -44.9, 0, 0, 0]</t>
  </si>
  <si>
    <t>[52.7, -47.3, -53.5, -32.4, 1.7]</t>
  </si>
  <si>
    <t>[5.9, 6.7, 6.5, 1.8, 16.9]</t>
  </si>
  <si>
    <t>[0, 0, 0, 0, -19.7]</t>
  </si>
  <si>
    <t>[-83.0, 0, 0, 0, 33.7]</t>
  </si>
  <si>
    <t>[-55.5, 0, 0, 0, 0]</t>
  </si>
  <si>
    <t>[239.8, -0.4, 10.6, -58.7, 0]</t>
  </si>
  <si>
    <t>[0, 74.6, 179.8, -29.6, -24.0]</t>
  </si>
  <si>
    <t>[-5.7, -76.4, 0, 0, 0]</t>
  </si>
  <si>
    <t>[-5.6, -16.4, -10.1, 5.7, 4.9]</t>
  </si>
  <si>
    <t>[0, 0, 0, 111.0, -10.8]</t>
  </si>
  <si>
    <t>[201.8, 0.4, -38.0, 6.3, 35.6]</t>
  </si>
  <si>
    <t>[-13.2, 1.3, 284.2, -53.8, 37.8]</t>
  </si>
  <si>
    <t>[22.3, 39.1, -28.9, -2.4, -4.2]</t>
  </si>
  <si>
    <t>[70.8, 53.9, -42.8, 64.0, 74.7]</t>
  </si>
  <si>
    <t>[-36.0, 0, 0, 0, 0]</t>
  </si>
  <si>
    <t>[6.8, -3.4, -6.4, -11.7, -55.5]</t>
  </si>
  <si>
    <t>[3.1, 6.6, 9.2, 6.6, 7.9]</t>
  </si>
  <si>
    <t>[58.9, -38.8, -98.9, 2002.5, 0]</t>
  </si>
  <si>
    <t>[-93.1, 0, 0, 0, 144.4]</t>
  </si>
  <si>
    <t>[-22.3, 49.3, -75.6, -5.9, 0]</t>
  </si>
  <si>
    <t>[21.9, 0.4, -52.9, -1.7, 0]</t>
  </si>
  <si>
    <t>[-30.9, 843.1, 124.8, 67.9, 0]</t>
  </si>
  <si>
    <t>[3.0, -19.5, 33.2, -66.8, 42.2]</t>
  </si>
  <si>
    <t>[2.5, 2.6, 2.7, 2.7, 2.5]</t>
  </si>
  <si>
    <t>[45.5, 787.4, -97.4, -14.1, 60.2]</t>
  </si>
  <si>
    <t>[0, 0, 0, -54.8, 1863.9]</t>
  </si>
  <si>
    <t>[-26.9, -28.8, -41.0, 327.4, 0]</t>
  </si>
  <si>
    <t>[1.7, 1.7, 1.3, 1.4, 1.1]</t>
  </si>
  <si>
    <t>[0, 226.7, 56.0, 24.0, -28.9]</t>
  </si>
  <si>
    <t>[-34.3, -20.6, -8.8, 87.1, 13.9]</t>
  </si>
  <si>
    <t>[146.0, -47.4, 0, 0, 439.3]</t>
  </si>
  <si>
    <t>[0, 63.0, -21.3, -87.2, -17.0]</t>
  </si>
  <si>
    <t>[0, 29.7, 0, 0, -51.7]</t>
  </si>
  <si>
    <t>[-17.3, 63.8, -26.9, -48.1, 54.7]</t>
  </si>
  <si>
    <t>[nan, nan, nan, nan, 2.1]</t>
  </si>
  <si>
    <t>[5.9, 8.8, -39.9, 0, 0]</t>
  </si>
  <si>
    <t>[121.8, -35.4, 0, 0, 0]</t>
  </si>
  <si>
    <t>[-93.5, 0, 0, 0, 0]</t>
  </si>
  <si>
    <t>[0, -29.4, 269.4, -35.2, -8.1]</t>
  </si>
  <si>
    <t>[25.9, 50.7, -54.7, 110.5, -43.1]</t>
  </si>
  <si>
    <t>[-18.3, 3.5, 20.5, 40.2, -13.3]</t>
  </si>
  <si>
    <t>[19.5, 168.5, -80.4, -10.7, -44.5]</t>
  </si>
  <si>
    <t>[20.0, 59.8, 17.5, -33.6, 6.3]</t>
  </si>
  <si>
    <t>[-38.3, -23.9, 0, 0, 0]</t>
  </si>
  <si>
    <t>[67.7, -17.8, -74.1, 158.7, -29.1]</t>
  </si>
  <si>
    <t>[89.7, 21.1, -18.5, -42.5, 45.6]</t>
  </si>
  <si>
    <t>[-97.0, -12.9, 12.1, 128.1, -52.1]</t>
  </si>
  <si>
    <t>[0, -75.8, 1466.7, -21.9, -11.7]</t>
  </si>
  <si>
    <t>[-5.6, 33.5, -76.1, 77.6, -14.3]</t>
  </si>
  <si>
    <t>[449.2, 25.7, 14.4, -3.9, -12.6]</t>
  </si>
  <si>
    <t>[42.5, -60.9, 1367.6, 0, 0]</t>
  </si>
  <si>
    <t>[7.2, 8.2, 6.4, 5.4, 9.1]</t>
  </si>
  <si>
    <t>[28.8, -21.9, 30.9, -0.1, -40.8]</t>
  </si>
  <si>
    <t>[-13.0, 500.3, -97.8, 0, 0]</t>
  </si>
  <si>
    <t>[0, 321.4, 0, 0, 0]</t>
  </si>
  <si>
    <t>[-25.8, 18.4, -64.4, -50.5, 0]</t>
  </si>
  <si>
    <t>[-3.0, -3.3, -8.3, -6.4, 1.5]</t>
  </si>
  <si>
    <t>[122.7, 14.3, -41.1, 0, 0]</t>
  </si>
  <si>
    <t>[92.4, 33.7, -3.2, 3.7, -13.8]</t>
  </si>
  <si>
    <t>[-6.9, -61.7, 142.5, 18.0, -15.5]</t>
  </si>
  <si>
    <t>[143.7, -46.0, 0, 0, 475.0]</t>
  </si>
  <si>
    <t>[-9.2, -88.7, 0, 0, 0]</t>
  </si>
  <si>
    <t>[0, -20.9, -53.4, -51.5, 526.2]</t>
  </si>
  <si>
    <t>[-23.7, 0, 0, -1.3, -26.5]</t>
  </si>
  <si>
    <t>[8.7, 473.5, -72.4, -14.8, 34.3]</t>
  </si>
  <si>
    <t>[-10.3, -22.6, 8.5, -12.6, -22.2]</t>
  </si>
  <si>
    <t>[-4.5, -19.9, 43.0, -43.5, 33.6]</t>
  </si>
  <si>
    <t>[29.1, 16.4, 1.3, 15.7, -15.7]</t>
  </si>
  <si>
    <t>[-87.7, 620.5, 60.2, -6.1, 48.2]</t>
  </si>
  <si>
    <t>[-51.4, 66.6, 85.7, -55.9, 231.4]</t>
  </si>
  <si>
    <t>[117.1, 9.1, 1.5, 74.7, 12.9]</t>
  </si>
  <si>
    <t>[15.3, 17.4, 10.8, 17.0, 27.6]</t>
  </si>
  <si>
    <t>[0, 235.0, 45.4, 71.6, -81.9]</t>
  </si>
  <si>
    <t>[12.1, -60.6, 26.7, -24.8, 70.1]</t>
  </si>
  <si>
    <t>[-81.0, 870.8, 54.3, -36.5, -22.2]</t>
  </si>
  <si>
    <t>[8.2, 9.2, 8.8, 4.8, 4.9]</t>
  </si>
  <si>
    <t>[146.8, 0, 0, 0, 0]</t>
  </si>
  <si>
    <t>[-90.1, 59514.4, 109.8, -52.0, 632.2]</t>
  </si>
  <si>
    <t>[0, 0, 1.4, 11.1, 0]</t>
  </si>
  <si>
    <t>[4.7, 6.6, 7.4, 8.2, 9.9]</t>
  </si>
  <si>
    <t>[8.2, 4.2, 5.7, 3.0, 3.3]</t>
  </si>
  <si>
    <t>[-9.0, -41.2, -44.3, 0, 0]</t>
  </si>
  <si>
    <t>[2.1, -15.5, 17.4, -15.1, -82.1]</t>
  </si>
  <si>
    <t>[91.9, -75.0, 147.2, -95.8, 0]</t>
  </si>
  <si>
    <t>[-41.2, 42.9, -83.4, -18.0, 0]</t>
  </si>
  <si>
    <t>[93.3, -39.4, -89.1, 1292.1, 72.1]</t>
  </si>
  <si>
    <t>[nan, nan, nan, 253.5, 33.0]</t>
  </si>
  <si>
    <t>[2198.1, -87.6, -33.8, 0, 0]</t>
  </si>
  <si>
    <t>[64.1, 61.6, -74.6, 19.3, 291.2]</t>
  </si>
  <si>
    <t>[-48.8, -23.2, 0, 0, 0]</t>
  </si>
  <si>
    <t>[7.8, 6.2, 4.7, 8.0, 5.8]</t>
  </si>
  <si>
    <t>[-47.9, 56.6, 13.9, -29.5, 349.0]</t>
  </si>
  <si>
    <t>[11.8, 69.9, 494.3, -75.2, -1.6]</t>
  </si>
  <si>
    <t>[737.9, -80.4, 0, 0, 0]</t>
  </si>
  <si>
    <t>[229.5, 0, 0, 0, 0]</t>
  </si>
  <si>
    <t>[-2.1, -25.5, 38.7, -84.4, 381.0]</t>
  </si>
  <si>
    <t>[14.8, -62.6, 0, 0, 0]</t>
  </si>
  <si>
    <t>[0, -3.8, 36.5, 4.6, -41.6]</t>
  </si>
  <si>
    <t>[nan, 99.9, 56.5, 49.1, 34.4]</t>
  </si>
  <si>
    <t>[162.8, 58.2, 0, 0, 54.6]</t>
  </si>
  <si>
    <t>[nan, nan, -0.9, 38.4, -14.4]</t>
  </si>
  <si>
    <t>[15.5, 0.1, -25.2, 14.2, 13.2]</t>
  </si>
  <si>
    <t>[111.1, -85.1, 455.2, 211.9, -38.3]</t>
  </si>
  <si>
    <t>[11.6, 12.0, -22.3, 45.9, -1.3]</t>
  </si>
  <si>
    <t>[-64.9, 446.1, 1.7, -48.6, 66.5]</t>
  </si>
  <si>
    <t>[532.3, 0, 0, 0, 0]</t>
  </si>
  <si>
    <t>[17.5, 99.4, -3.7, -26.9, 25.8]</t>
  </si>
  <si>
    <t>[-54.9, 0, 0, 0, 0]</t>
  </si>
  <si>
    <t>[-75.2, 723.9, 43.2, -11.4, -86.0]</t>
  </si>
  <si>
    <t>[23.3, -40.9, 124.7, 27.8, -7.0]</t>
  </si>
  <si>
    <t>[nan, 0, 0, 68.1, 113.0]</t>
  </si>
  <si>
    <t>[28.2, 40.6, 14.8, -1.2, -38.3]</t>
  </si>
  <si>
    <t>[109.2, 0, 0, 0, 41.7]</t>
  </si>
  <si>
    <t>[-24.1, 0, 0, 0, 17.4]</t>
  </si>
  <si>
    <t>[133.9, 21.6, -64.3, 192.1, -70.7]</t>
  </si>
  <si>
    <t>[0, -92.4, 78.7, 688.6, -78.7]</t>
  </si>
  <si>
    <t>[128.7, 29.0, -15.5, 45.5, -6.8]</t>
  </si>
  <si>
    <t>[156.6, 92.1, 19.6, -15.8, 67.9]</t>
  </si>
  <si>
    <t>[73.8, 124.7, 14.8, 2.3, 20.5]</t>
  </si>
  <si>
    <t>[nan, nan, 386.8, -32.2, 14.8]</t>
  </si>
  <si>
    <t>[45.7, 34.1, 112.2, -82.8, 349.4]</t>
  </si>
  <si>
    <t>[nan, nan, nan, 188.6, -73.9]</t>
  </si>
  <si>
    <t>[16.7, -11.0, -12.8, -34.3, 445.3]</t>
  </si>
  <si>
    <t>[0, 320.7, 45.6, -87.0, 42.2]</t>
  </si>
  <si>
    <t>[0, -32.1, 28.5, -2.6, -5.0]</t>
  </si>
  <si>
    <t>[143.0, 147.7, 45.8, 0.9, -22.2]</t>
  </si>
  <si>
    <t>[-28.8, 36.6, 9.4, -4.7, 21.6]</t>
  </si>
  <si>
    <t>[0, 0, 1449.2, 89.9, 28.3]</t>
  </si>
  <si>
    <t>[0, 127.5, -3.0, 120.7, 129.5]</t>
  </si>
  <si>
    <t>[0, 18.5, -4.1, -34.5, 55.8]</t>
  </si>
  <si>
    <t>[32.0, 48.9, 124.3, 131.5, 0]</t>
  </si>
  <si>
    <t>[0.5, 31.2, 45.4, 18.5, 64.9]</t>
  </si>
  <si>
    <t>[61.5, 5.7, -13.2, 39.1, -19.0]</t>
  </si>
  <si>
    <t>[-8.3, -67.5, -15.7, 312.2, 213.9]</t>
  </si>
  <si>
    <t>[-14.5, 0, 4041.8, 28.5, -36.3]</t>
  </si>
  <si>
    <t>[20.2, 94.9, -1.7, 36.2, -70.3]</t>
  </si>
  <si>
    <t>[34.1, 34.6, -35.7, 14.9, 20.7]</t>
  </si>
  <si>
    <t>[0, 0, 0, 21.5, -5.4]</t>
  </si>
  <si>
    <t>[nan, 47.5, 0, 27.5, 410.0]</t>
  </si>
  <si>
    <t>[0, 0, 0, -24.5, 148.9]</t>
  </si>
  <si>
    <t>[127.2, 49.3, 33.0, 18.4, -9.4]</t>
  </si>
  <si>
    <t>[46.2, 0, 0, -24.5, -67.8]</t>
  </si>
  <si>
    <t>[27.4, 31.6, -29.7, -58.7, 464.1]</t>
  </si>
  <si>
    <t>[5.1, -54.3, 229.4, 148.6, 1783.2]</t>
  </si>
  <si>
    <t>[41.9, 0, 0, 0, 0]</t>
  </si>
  <si>
    <t>[44.4, -17.1, 16.9, -17.4, 91.5]</t>
  </si>
  <si>
    <t>[-11.5, 2.1, 10.4, 15.8, 18.7]</t>
  </si>
  <si>
    <t>[47.3, 51.2, 21.4, 43.7, 31.2]</t>
  </si>
  <si>
    <t>[nan, -18.3, 25.3, 126.6, -64.0]</t>
  </si>
  <si>
    <t>[nan, 347.6, 20.0, -24.9, -27.8]</t>
  </si>
  <si>
    <t>[0, -30.2, 0, 0, 0]</t>
  </si>
  <si>
    <t>[203.8, -30.5, -11.6, 182.1, -55.7]</t>
  </si>
  <si>
    <t>[12.7, -28.8, 140.2, 24.1, 1.4]</t>
  </si>
  <si>
    <t>[253.7, 65.7, 50.1, -66.6, 553.7]</t>
  </si>
  <si>
    <t>[-80.0, 733.2, 13.0, 3.6, 265.4]</t>
  </si>
  <si>
    <t>[-84.2, 0, 0, 103.8, 22.8]</t>
  </si>
  <si>
    <t>[-55.8, 0, 0, 0, 3885.4]</t>
  </si>
  <si>
    <t>[3.5, -45.6, 82.9, 1.6, -30.0]</t>
  </si>
  <si>
    <t>[0, 56.6, 21.4, 71.0, 12.9]</t>
  </si>
  <si>
    <t>[-11.0, 37.4, -26.3, 99.6, 6.8]</t>
  </si>
  <si>
    <t>[0, 0, 80.5, -35.3, -55.3]</t>
  </si>
  <si>
    <t>[nan, nan, 59.9, 8.9, -10.4]</t>
  </si>
  <si>
    <t>[nan, nan, nan, 64.1, -4.0]</t>
  </si>
  <si>
    <t>[51.4, -39.7, -90.3, 1385.6, 992.7]</t>
  </si>
  <si>
    <t>[6.1, 21.3, -0.3, 24.0, 15.2]</t>
  </si>
  <si>
    <t>[1119.3, 16.1, 99.6, -55.0, -28.4]</t>
  </si>
  <si>
    <t>[0, 0, 0, 106.5, 0]</t>
  </si>
  <si>
    <t>[-99.1, 34666.1, 22.3, 111.7, -6.1]</t>
  </si>
  <si>
    <t>[-29.0, 30.1, 105.0, -33.2, 17.9]</t>
  </si>
  <si>
    <t>[0, 981.0, 37.4, -91.1, 454.8]</t>
  </si>
  <si>
    <t>[61.5, 40.4, 63.5, 22.5, -26.5]</t>
  </si>
  <si>
    <t>[106.4, -18.0, -44.3, 190.2, -36.7]</t>
  </si>
  <si>
    <t>[31.4, 108.1, 43.8, -10.5, 60.0]</t>
  </si>
  <si>
    <t>[-17.9, 12.5, 3.5, 59.9, 0.2]</t>
  </si>
  <si>
    <t>[0, -84.1, -46.6, -21.5, -2.0]</t>
  </si>
  <si>
    <t>[-38.4, 191.6, 130.0, -40.0, 97.9]</t>
  </si>
  <si>
    <t>[-37.0, 159.1, -79.4, 676.1, -31.8]</t>
  </si>
  <si>
    <t>[-14.1, -9.8, 39.0, 23.8, 24.2]</t>
  </si>
  <si>
    <t>[0, 0, 52.6, 114.6, 4.7]</t>
  </si>
  <si>
    <t>[-6.8, 0, 19.3, 10.1, -5.2]</t>
  </si>
  <si>
    <t>[153.7, 151.7, -19.8, -16.4, -18.0]</t>
  </si>
  <si>
    <t>[51.6, 6.0, 51.3, -30.4, 38.9]</t>
  </si>
  <si>
    <t>[0, 0, 0, 41.8, -15.1]</t>
  </si>
  <si>
    <t>[-4.2, 0, 0, -3.9, 0]</t>
  </si>
  <si>
    <t>[0, 0, 0, 173.3, -54.5]</t>
  </si>
  <si>
    <t>[nan, -16.7, 15.1, -39.2, 0]</t>
  </si>
  <si>
    <t>[0, 130.0, 1203.4, 94.5, 122.0]</t>
  </si>
  <si>
    <t>[-11.9, -33.0, 119.9, 81.7, -0.5]</t>
  </si>
  <si>
    <t>[-7.1, -3.7, 30.5, 41.7, 55.5]</t>
  </si>
  <si>
    <t>[0, 0, 15.4, -30.2, 36.1]</t>
  </si>
  <si>
    <t>[0, 0, 0, 609.9, -28.1]</t>
  </si>
  <si>
    <t>[0, -36.2, 138.3, 131.0, -28.1]</t>
  </si>
  <si>
    <t>[0, 736.0, 200.1, -11.1, 72.4]</t>
  </si>
  <si>
    <t>[0, 118.5, 0, 0, 103.8]</t>
  </si>
  <si>
    <t>[8452.0, 8273.0, 6686.0, nan]</t>
  </si>
  <si>
    <t>[2204.0, 2394.0, 2569.0, 2731.0]</t>
  </si>
  <si>
    <t>[3087.0, 3238.0, 3657.0, nan]</t>
  </si>
  <si>
    <t>[828.0, 793.0, 1178.0, nan]</t>
  </si>
  <si>
    <t>[2277.0, 2308.0, 2361.0, nan]</t>
  </si>
  <si>
    <t>[510.0, 598.0, 342.0, nan]</t>
  </si>
  <si>
    <t>[4354.0, 6084.0, 7494.0, nan]</t>
  </si>
  <si>
    <t>[589.0, 574.0, 648.0, nan]</t>
  </si>
  <si>
    <t>[1036.0, 1069.0, 1163.0, nan]</t>
  </si>
  <si>
    <t>[1522.0, 1534.0, 1851.0, nan]</t>
  </si>
  <si>
    <t>[1030.0, 1656.0, 1608.0, nan]</t>
  </si>
  <si>
    <t>[1955.0, 2080.0, 2190.0, nan]</t>
  </si>
  <si>
    <t>[1129.0, 1345.0, 1337.0, nan]</t>
  </si>
  <si>
    <t>[2727.0, 2798.0, 2689.0, nan]</t>
  </si>
  <si>
    <t>[2752.0, 3114.0, 3323.0, nan]</t>
  </si>
  <si>
    <t>[1796.0, 2480.0, 2839.0, 3136.0]</t>
  </si>
  <si>
    <t>[3759.0, 3826.0, 3840.0, nan]</t>
  </si>
  <si>
    <t>[775.0, 794.0, 827.0, nan]</t>
  </si>
  <si>
    <t>[801.0, 825.0, 842.0, nan]</t>
  </si>
  <si>
    <t>[1929.0, 2163.0, 2394.0, nan]</t>
  </si>
  <si>
    <t>[2120.0, 2051.0, 2206.0, nan]</t>
  </si>
  <si>
    <t>[10884.0, 11462.0, 12429.0, 13240.0]</t>
  </si>
  <si>
    <t>[498.0, 310.0, 504.0, nan]</t>
  </si>
  <si>
    <t>[1440.0, 2346.0, 2397.0, nan]</t>
  </si>
  <si>
    <t>[799.0, 901.0, 925.0, nan]</t>
  </si>
  <si>
    <t>[3537.0, 3775.0, 4005.0, nan]</t>
  </si>
  <si>
    <t>[1501.0, 2424.0, 2681.0, nan]</t>
  </si>
  <si>
    <t>[727.0, 888.0, 912.0, nan]</t>
  </si>
  <si>
    <t>[2470.0, 2392.0, 2764.0, nan]</t>
  </si>
  <si>
    <t>[2838.0, 2970.0, 1414.0, nan]</t>
  </si>
  <si>
    <t>[779.0, 786.0, 767.0, nan]</t>
  </si>
  <si>
    <t>[95.0, 310.0, 263.0, nan]</t>
  </si>
  <si>
    <t>[707.0, 712.0, 726.0, nan]</t>
  </si>
  <si>
    <t>[1125.0, 1706.0, 2163.0, nan]</t>
  </si>
  <si>
    <t>[4846.0, 4448.0, 4690.0, nan]</t>
  </si>
  <si>
    <t>[1086.0, 1234.0, 1660.0, nan]</t>
  </si>
  <si>
    <t>[1554.0, 1648.0, 1699.0, nan]</t>
  </si>
  <si>
    <t>[1886.0, 1900.0, 1876.0, nan]</t>
  </si>
  <si>
    <t>[4206.0, 4439.0, 4609.0, nan]</t>
  </si>
  <si>
    <t>[556.0, 569.0, 626.0, nan]</t>
  </si>
  <si>
    <t>[925.0, 762.0, 771.0, nan]</t>
  </si>
  <si>
    <t>[2517.0, 2556.0, 2629.0, nan]</t>
  </si>
  <si>
    <t>[710.0, 737.0, 770.0, nan]</t>
  </si>
  <si>
    <t>[1293.0, 1327.0, 1453.0, nan]</t>
  </si>
  <si>
    <t>[1457.0, 1465.0, 1480.0, nan]</t>
  </si>
  <si>
    <t>[546.0, 559.0, 607.0, nan]</t>
  </si>
  <si>
    <t>[3303.0, 3423.0, 3396.0, nan]</t>
  </si>
  <si>
    <t>[1976.0, 1939.0, 1979.0, nan]</t>
  </si>
  <si>
    <t>[3365.0, 3598.0, 3918.0, nan]</t>
  </si>
  <si>
    <t>[1609.0, 1681.0, 1663.0, nan]</t>
  </si>
  <si>
    <t>[754.0, 775.0, 761.0, nan]</t>
  </si>
  <si>
    <t>[1876.0, 2017.0, 2197.0, nan]</t>
  </si>
  <si>
    <t>[647.0, 766.0, 815.0, nan]</t>
  </si>
  <si>
    <t>[1449.0, 1491.0, 1544.0, nan]</t>
  </si>
  <si>
    <t>[4261.0, 5257.0, 5854.0, nan]</t>
  </si>
  <si>
    <t>[295.0, 441.0, 1083.0, nan]</t>
  </si>
  <si>
    <t>[1445.0, 1540.0, 1825.0, nan]</t>
  </si>
  <si>
    <t>[7033.0, 7711.0, 9008.0, nan]</t>
  </si>
  <si>
    <t>[2039.0, 2037.0, 2047.0, nan]</t>
  </si>
  <si>
    <t>[1098.0, 1242.0, 1285.0, nan]</t>
  </si>
  <si>
    <t>[1491.0, 1496.0, 1515.0, nan]</t>
  </si>
  <si>
    <t>[1029.0, 1006.0, 1047.0, nan]</t>
  </si>
  <si>
    <t>[474.0, 456.0, 463.0, nan]</t>
  </si>
  <si>
    <t>[212.0, 168.0, 143.0, nan]</t>
  </si>
  <si>
    <t>[2088.0, 2569.0, 1815.0, nan]</t>
  </si>
  <si>
    <t>[1791.0, 1173.0, 951.0, nan]</t>
  </si>
  <si>
    <t>[764.0, 289.0, 677.0, nan]</t>
  </si>
  <si>
    <t>[3334.0, 3683.0, 4103.0, nan]</t>
  </si>
  <si>
    <t>[1180.0, 1133.0, 1981.0, nan]</t>
  </si>
  <si>
    <t>[2727.0, 2913.0, 2870.0, nan]</t>
  </si>
  <si>
    <t>[2587.0, 2666.0, 2830.0, nan]</t>
  </si>
  <si>
    <t>[499.0, 829.0, 873.0, nan]</t>
  </si>
  <si>
    <t>[1382.0, 1413.0, 1379.0, nan]</t>
  </si>
  <si>
    <t>[2246.0, 2689.0, 2546.0, nan]</t>
  </si>
  <si>
    <t>[3425.0, 4721.0, 5281.0, nan]</t>
  </si>
  <si>
    <t>[1515.0, 1660.0, 2275.0, nan]</t>
  </si>
  <si>
    <t>[971.0, 1026.0, 1282.0, nan]</t>
  </si>
  <si>
    <t>[3814.0, 4454.0, 5852.0, nan]</t>
  </si>
  <si>
    <t>[8210.0, 8777.0, 9193.0, 10056.0]</t>
  </si>
  <si>
    <t>[2081.0, 2160.0, 2252.0, nan]</t>
  </si>
  <si>
    <t>[2554.0, 2611.0, 3673.0, 4013.0]</t>
  </si>
  <si>
    <t>[8652.0, 8861.0, 8868.0, 9560.0]</t>
  </si>
  <si>
    <t>[983.0, 1181.0, 1193.0, nan]</t>
  </si>
  <si>
    <t>[9907.0, 10456.0, 11221.0, 12153.0]</t>
  </si>
  <si>
    <t>[1485.0, 1006.0, 778.0, nan]</t>
  </si>
  <si>
    <t>[2604.0, 2715.0, 3683.0, nan]</t>
  </si>
  <si>
    <t>[5663.0, 5906.0, 6348.0, 6980.0]</t>
  </si>
  <si>
    <t>[4090.0, 4339.0, 5029.0, 5240.0]</t>
  </si>
  <si>
    <t>[4393.0, 5057.0, 6119.0, 6880.0]</t>
  </si>
  <si>
    <t>[2699.0, 2947.0, 3511.0, nan]</t>
  </si>
  <si>
    <t>[8682.0, 8871.0, 13006.0, 13850.0]</t>
  </si>
  <si>
    <t>[1588.0, 1470.0, 1467.0, nan]</t>
  </si>
  <si>
    <t>[10002.0, 10010.0, 13319.0, nan]</t>
  </si>
  <si>
    <t>[67655.0, 71568.0, 73775.0, 78662.0]</t>
  </si>
  <si>
    <t>[7173.0, 7249.0, 6968.0, nan]</t>
  </si>
  <si>
    <t>[27632.0, 29465.0, 34373.0, 35639.0]</t>
  </si>
  <si>
    <t>[2618.0, 2695.0, 2766.0, nan]</t>
  </si>
  <si>
    <t>[28873.0, 30477.0, 31581.0, 33675.0]</t>
  </si>
  <si>
    <t>[13772.0, 13818.0, 14444.0, 15723.0]</t>
  </si>
  <si>
    <t>[7033.0, 7125.0, 7187.0, nan]</t>
  </si>
  <si>
    <t>[264292.0, 281245.0, 307137.0, 329056.0]</t>
  </si>
  <si>
    <t>[1284.0, 1277.0, 1260.0, nan]</t>
  </si>
  <si>
    <t>[4842.0, 4356.0, 4929.0, nan]</t>
  </si>
  <si>
    <t>[81928.0, 78533.0, 74810.0, 78785.0]</t>
  </si>
  <si>
    <t>[3191.0, 3230.0, 2725.0, nan]</t>
  </si>
  <si>
    <t>[43166.0, 50037.0, 56118.0, 63374.0]</t>
  </si>
  <si>
    <t>[2320.0, 2478.0, 2526.0, nan]</t>
  </si>
  <si>
    <t>[31493.0, 32807.0, 33893.0, 34760.0]</t>
  </si>
  <si>
    <t>[5931.0, 6611.0, 7689.0, 8644.0]</t>
  </si>
  <si>
    <t>[697439.0, 674963.0, 692967.0, 687312.0]</t>
  </si>
  <si>
    <t>[1182.0, 1072.0, 1015.0, nan]</t>
  </si>
  <si>
    <t>[1016.0, 1153.0, 1375.0, nan]</t>
  </si>
  <si>
    <t>[14826.0, 15026.0, 15105.0, 15420.0]</t>
  </si>
  <si>
    <t>[3403.0, 3336.0, 3295.0, nan]</t>
  </si>
  <si>
    <t>[41854.0, 44253.0, 45097.0, 47510.0]</t>
  </si>
  <si>
    <t>[103069.0, 126859.0, 126664.0, 125235.0]</t>
  </si>
  <si>
    <t>[41314.0, 45104.0, 48047.0, 44900.0]</t>
  </si>
  <si>
    <t>[16845.0, 17318.0, 17976.0, 19225.0]</t>
  </si>
  <si>
    <t>[999.0, 1041.0, 1072.0, nan]</t>
  </si>
  <si>
    <t>[3748.0, 3710.0, 3940.0, nan]</t>
  </si>
  <si>
    <t>[2175.0, 2612.0, 2207.0, nan]</t>
  </si>
  <si>
    <t>[2932.0, 2997.0, 2557.0, nan]</t>
  </si>
  <si>
    <t>[1243.0, 1246.0, 1202.0, nan]</t>
  </si>
  <si>
    <t>[2881.0, 2967.0, 2962.0, nan]</t>
  </si>
  <si>
    <t>[2313.0, 2558.0, 2731.0, nan]</t>
  </si>
  <si>
    <t>[24426.0, 24404.0, 22333.0, 23850.0]</t>
  </si>
  <si>
    <t>[9045.0, 9082.0, 8836.0, 9473.0]</t>
  </si>
  <si>
    <t>[1086.0, 1158.0, 1193.0, nan]</t>
  </si>
  <si>
    <t>[4052.0, 3935.0, 4712.0, nan]</t>
  </si>
  <si>
    <t>[4060.0, 3966.0, 4145.0, nan]</t>
  </si>
  <si>
    <t>[6820.0, 7120.0, 7238.0, nan]</t>
  </si>
  <si>
    <t>[7140.0, 7415.0, 6910.0, nan]</t>
  </si>
  <si>
    <t>[1676.0, 1793.0, 1758.0, nan]</t>
  </si>
  <si>
    <t>[3048.0, 3403.0, 3131.0, 3469.0]</t>
  </si>
  <si>
    <t>[4474.0, 4580.0, 4810.0, nan]</t>
  </si>
  <si>
    <t>[14156.0, 14188.0, 16799.0, nan]</t>
  </si>
  <si>
    <t>[23696.0, 24861.0, 25977.0, 27488.0]</t>
  </si>
  <si>
    <t>[9485.0, 11549.0, 12517.0, nan]</t>
  </si>
  <si>
    <t>[3203.0, 3237.0, 3144.0, nan]</t>
  </si>
  <si>
    <t>[62741.0, 66626.0, 66318.0, 70722.0]</t>
  </si>
  <si>
    <t>[17082.0, 17172.0, 17812.0, 18482.0]</t>
  </si>
  <si>
    <t>[306305.0, 323300.0, 332527.0, 355116.0]</t>
  </si>
  <si>
    <t>[8224.0, 9892.0, 10658.0, nan]</t>
  </si>
  <si>
    <t>[41325.0, 42420.0, 42666.0, 44378.0]</t>
  </si>
  <si>
    <t>[3820.0, 4030.0, 4285.0, nan]</t>
  </si>
  <si>
    <t>[30369.0, 30918.0, 31181.0, 31667.0]</t>
  </si>
  <si>
    <t>[166960.0, 168984.0, 163454.0, 170744.0]</t>
  </si>
  <si>
    <t>[77275.0, 79920.0, 70149.0, 71378.0]</t>
  </si>
  <si>
    <t>[679740.0, 700658.0, 694806.0, 736276.0]</t>
  </si>
  <si>
    <t>[6484.0, 6724.0, 6259.0, nan]</t>
  </si>
  <si>
    <t>[341.0, 935.0, 1105.0, nan]</t>
  </si>
  <si>
    <t>[1531.0, 1606.0, 1718.0, nan]</t>
  </si>
  <si>
    <t>[1259.0, 1217.0, 1014.0, nan]</t>
  </si>
  <si>
    <t>[723.0, 773.0, 823.0, nan]</t>
  </si>
  <si>
    <t>[771.0, 837.0, 1151.0, nan]</t>
  </si>
  <si>
    <t>[1484.0, 1584.0, 1478.0, nan]</t>
  </si>
  <si>
    <t>[478.0, 492.0, 696.0, nan]</t>
  </si>
  <si>
    <t>[1149.0, 1195.0, 1222.0, nan]</t>
  </si>
  <si>
    <t>[1284.0, 1405.0, 1489.0, 1617.0]</t>
  </si>
  <si>
    <t>[1089.0, 1058.0, 890.0, nan]</t>
  </si>
  <si>
    <t>[996.0, 1186.0, 1219.0, nan]</t>
  </si>
  <si>
    <t>[2898.0, 3179.0, 2999.0, nan]</t>
  </si>
  <si>
    <t>[1017.0, 1091.0, 1187.0, nan]</t>
  </si>
  <si>
    <t>[855.0, 437.0, 408.0, nan]</t>
  </si>
  <si>
    <t>[2382.0, 2648.0, 2886.0, nan]</t>
  </si>
  <si>
    <t>[1724.0, 2123.0, 2079.0, nan]</t>
  </si>
  <si>
    <t>[4240.0, 4281.0, 4215.0, 4290.0]</t>
  </si>
  <si>
    <t>[1518.0, 1585.0, 1641.0, nan]</t>
  </si>
  <si>
    <t>[1321.0, 1583.0, 1810.0, nan]</t>
  </si>
  <si>
    <t>[898.0, 870.0, 1211.0, nan]</t>
  </si>
  <si>
    <t>[3790.0, 4180.0, 4523.0, 5063.0]</t>
  </si>
  <si>
    <t>[1059.0, 1244.0, 1309.0, nan]</t>
  </si>
  <si>
    <t>[1894.0, 2096.0, 1906.0, nan]</t>
  </si>
  <si>
    <t>[1471.0, 1677.0, 1795.0, nan]</t>
  </si>
  <si>
    <t>[739.0, 670.0, 464.0, nan]</t>
  </si>
  <si>
    <t>[786.0, 849.0, 892.0, nan]</t>
  </si>
  <si>
    <t>[1421.0, 1328.0, 1644.0, nan]</t>
  </si>
  <si>
    <t>[1228.0, 1190.0, 1071.0, nan]</t>
  </si>
  <si>
    <t>[894.0, 960.0, 1004.0, nan]</t>
  </si>
  <si>
    <t>[248.0, 254.0, 638.0, nan]</t>
  </si>
  <si>
    <t>[293.0, 305.0, 171.0, nan]</t>
  </si>
  <si>
    <t>[660.0, 702.0, 795.0, nan]</t>
  </si>
  <si>
    <t>[1112.0, 1326.0, 1490.0, nan]</t>
  </si>
  <si>
    <t>[870.0, 778.0, 866.0, nan]</t>
  </si>
  <si>
    <t>[453.0, 451.0, 616.0, nan]</t>
  </si>
  <si>
    <t>[1112.0, 1104.0, 474.0, nan]</t>
  </si>
  <si>
    <t>[664.0, 691.0, 722.0, nan]</t>
  </si>
  <si>
    <t>[6030.0, 5614.0, 4670.0, nan]</t>
  </si>
  <si>
    <t>[809.0, 1359.0, 3741.0, nan]</t>
  </si>
  <si>
    <t>[1773.0, 1940.0, 1841.0, nan]</t>
  </si>
  <si>
    <t>[592.0, 586.0, 610.0, nan]</t>
  </si>
  <si>
    <t>[2557.0, 2831.0, 3067.0, nan]</t>
  </si>
  <si>
    <t>[865.0, 940.0, 1018.0, nan]</t>
  </si>
  <si>
    <t>[3054.0, 3274.0, 3676.0, nan]</t>
  </si>
  <si>
    <t>[624.0, 674.0, 766.0, nan]</t>
  </si>
  <si>
    <t>[1049.0, 1105.0, 1060.0, nan]</t>
  </si>
  <si>
    <t>[1304.0, 1013.0, 1374.0, nan]</t>
  </si>
  <si>
    <t>[922.0, 934.0, 915.0, nan]</t>
  </si>
  <si>
    <t>[1424.0, 1395.0, 6034.0, nan]</t>
  </si>
  <si>
    <t>[2408.0, 2779.0, 2832.0, nan]</t>
  </si>
  <si>
    <t>[1919.0, 1899.0, 1837.0, nan]</t>
  </si>
  <si>
    <t>[752.0, 815.0, 862.0, nan]</t>
  </si>
  <si>
    <t>[767.0, 806.0, 857.0, nan]</t>
  </si>
  <si>
    <t>[254.0, 284.0, 737.0, nan]</t>
  </si>
  <si>
    <t>[3799.0, 3984.0, 3205.0, nan]</t>
  </si>
  <si>
    <t>[1497.0, 1531.0, 1297.0, nan]</t>
  </si>
  <si>
    <t>[575.0, 568.0, 433.0, nan]</t>
  </si>
  <si>
    <t>[2941.0, 3279.0, 3730.0, nan]</t>
  </si>
  <si>
    <t>[1089.0, 1219.0, 1382.0, nan]</t>
  </si>
  <si>
    <t>[672.0, 669.0, 650.0, nan]</t>
  </si>
  <si>
    <t>[854.0, 861.0, 899.0, nan]</t>
  </si>
  <si>
    <t>[932.0, 826.0, 738.0, nan]</t>
  </si>
  <si>
    <t>[339.0, 367.0, 713.0, nan]</t>
  </si>
  <si>
    <t>[471.0, 768.0, 801.0, nan]</t>
  </si>
  <si>
    <t>[2476.0, 2654.0, 2777.0, nan]</t>
  </si>
  <si>
    <t>[600.0, 609.0, 608.0, nan]</t>
  </si>
  <si>
    <t>[576.0, 596.0, 620.0, nan]</t>
  </si>
  <si>
    <t>[994.0, 1038.0, 1168.0, nan]</t>
  </si>
  <si>
    <t>[2716.0, 1140.0, 1975.0, nan]</t>
  </si>
  <si>
    <t>[1432.0, 1432.0, 1361.0, nan]</t>
  </si>
  <si>
    <t>[5431.0, 5765.0, 5858.0, 6366.0]</t>
  </si>
  <si>
    <t>[852.0, 778.0, 804.0, nan]</t>
  </si>
  <si>
    <t>[16839.0, 17437.0, 16938.0, 17820.0]</t>
  </si>
  <si>
    <t>[3354.0, 3415.0, 3298.0, 3329.0]</t>
  </si>
  <si>
    <t>[366.0, 54.0, 37.0, nan]</t>
  </si>
  <si>
    <t>[665.0, 699.0, 686.0, nan]</t>
  </si>
  <si>
    <t>[1017.0, 876.0, 730.0, nan]</t>
  </si>
  <si>
    <t>[319.0, 200.0, 193.0, nan]</t>
  </si>
  <si>
    <t>[757.0, 871.0, 749.0, nan]</t>
  </si>
  <si>
    <t>[513.0, 489.0, 474.0, nan]</t>
  </si>
  <si>
    <t>[1293.0, 1158.0, 1371.0, nan]</t>
  </si>
  <si>
    <t>[701.0, 725.0, 761.0, nan]</t>
  </si>
  <si>
    <t>[5234.0, 4475.0, 3534.0, nan]</t>
  </si>
  <si>
    <t>[1192.0, 1304.0, 1403.0, nan]</t>
  </si>
  <si>
    <t>[996.0, 984.0, 986.0, nan]</t>
  </si>
  <si>
    <t>[2209.0, 2099.0, 2128.0, nan]</t>
  </si>
  <si>
    <t>[904.0, 891.0, 1069.0, nan]</t>
  </si>
  <si>
    <t>[907.0, 950.0, 986.0, nan]</t>
  </si>
  <si>
    <t>[1688.0, 2013.0, 2013.0, nan]</t>
  </si>
  <si>
    <t>[922.0, 1181.0, 1513.0, nan]</t>
  </si>
  <si>
    <t>[668.0, 681.0, 1889.0, nan]</t>
  </si>
  <si>
    <t>[1025.0, 1007.0, 1034.0, nan]</t>
  </si>
  <si>
    <t>[422.0, 390.0, 398.0, nan]</t>
  </si>
  <si>
    <t>[712.0, 645.0, 644.0, nan]</t>
  </si>
  <si>
    <t>[964.0, 966.0, 746.0, nan]</t>
  </si>
  <si>
    <t>[1918.0, 1984.0, 2079.0, nan]</t>
  </si>
  <si>
    <t>[2613.0, 2945.0, 3360.0, 3860.0]</t>
  </si>
  <si>
    <t>[2984.0, 3021.0, 3178.0, nan]</t>
  </si>
  <si>
    <t>[2804.0, 3782.0, 5193.0, nan]</t>
  </si>
  <si>
    <t>[3029.0, 3028.0, 3035.0, nan]</t>
  </si>
  <si>
    <t>[4360.0, 4393.0, 4372.0, 4375.0]</t>
  </si>
  <si>
    <t>[2001.0, 1390.0, 2289.0, nan]</t>
  </si>
  <si>
    <t>[1100.0, 1023.0, 974.0, nan]</t>
  </si>
  <si>
    <t>[462.0, 503.0, 536.0, nan]</t>
  </si>
  <si>
    <t>[10443.0, 10843.0, 10276.0, nan]</t>
  </si>
  <si>
    <t>[1610.0, 1501.0, 1548.0, nan]</t>
  </si>
  <si>
    <t>[1757.0, 1891.0, 2069.0, nan]</t>
  </si>
  <si>
    <t>[785.0, 809.0, 817.0, nan]</t>
  </si>
  <si>
    <t>[514.0, 327.0, 343.0, nan]</t>
  </si>
  <si>
    <t>[7255.0, 8313.0, 10356.0, nan]</t>
  </si>
  <si>
    <t>[541.0, 515.0, 588.0, nan]</t>
  </si>
  <si>
    <t>[1301.0, 1459.0, 1521.0, nan]</t>
  </si>
  <si>
    <t>[4075.0, 4256.0, 4398.0, nan]</t>
  </si>
  <si>
    <t>[1052.0, 990.0, 955.0, nan]</t>
  </si>
  <si>
    <t>[2141.0, 2383.0, 2546.0, nan]</t>
  </si>
  <si>
    <t>[768.0, 844.0, 863.0, nan]</t>
  </si>
  <si>
    <t>[1801.0, 1831.0, 2043.0, nan]</t>
  </si>
  <si>
    <t>[670.0, 1058.0, 1872.0, nan]</t>
  </si>
  <si>
    <t>[7338.0, 7684.0, 8570.0, nan]</t>
  </si>
  <si>
    <t>[1086.0, 1180.0, 1185.0, nan]</t>
  </si>
  <si>
    <t>[572.0, 523.0, 527.0, nan]</t>
  </si>
  <si>
    <t>[840.0, 1001.0, 1230.0, nan]</t>
  </si>
  <si>
    <t>[678.0, 736.0, 821.0, nan]</t>
  </si>
  <si>
    <t>[1717.0, 1938.0, 2461.0, nan]</t>
  </si>
  <si>
    <t>[872.0, 814.0, 828.0, nan]</t>
  </si>
  <si>
    <t>[1679.0, 1691.0, 1504.0, nan]</t>
  </si>
  <si>
    <t>[7566.0, 7676.0, 8007.0, nan]</t>
  </si>
  <si>
    <t>[1382.0, 1498.0, 1466.0, nan]</t>
  </si>
  <si>
    <t>[2102.0, 2050.0, 2124.0, nan]</t>
  </si>
  <si>
    <t>[4037.0, 5140.0, 7407.0, nan]</t>
  </si>
  <si>
    <t>[849.0, 948.0, 1000.0, nan]</t>
  </si>
  <si>
    <t>[755.0, 946.0, 983.0, nan]</t>
  </si>
  <si>
    <t>[783.0, 829.0, 821.0, nan]</t>
  </si>
  <si>
    <t>[1179.0, 1175.0, 1212.0, nan]</t>
  </si>
  <si>
    <t>[1106.0, 1097.0, 1024.0, nan]</t>
  </si>
  <si>
    <t>[133.0, 131.0, 133.0, nan]</t>
  </si>
  <si>
    <t>[1390.0, 1540.0, 1570.0, 1755.0]</t>
  </si>
  <si>
    <t>[4316.0, 4685.0, 5069.0, nan]</t>
  </si>
  <si>
    <t>[286.0, 505.0, 453.0, nan]</t>
  </si>
  <si>
    <t>[479.0, 489.0, 499.0, nan]</t>
  </si>
  <si>
    <t>[2175.0, 2105.0, 2318.0, nan]</t>
  </si>
  <si>
    <t>[307.0, 482.0, 829.0, nan]</t>
  </si>
  <si>
    <t>[735.0, 796.0, 863.0, nan]</t>
  </si>
  <si>
    <t>[1180.0, 1244.0, 1002.0, nan]</t>
  </si>
  <si>
    <t>[806.0, 913.0, 1007.0, nan]</t>
  </si>
  <si>
    <t>[2987.0, 3051.0, 3522.0, nan]</t>
  </si>
  <si>
    <t>[2847.0, 2844.0, 2814.0, nan]</t>
  </si>
  <si>
    <t>[1835.0, 1682.0, 1282.0, nan]</t>
  </si>
  <si>
    <t>[2083.0, 2452.0, 2766.0, nan]</t>
  </si>
  <si>
    <t>[1317.0, 1166.0, 1148.0, nan]</t>
  </si>
  <si>
    <t>[9165.0, 9097.0, 10914.0, 12220.0]</t>
  </si>
  <si>
    <t>[401.0, 630.0, 673.0, nan]</t>
  </si>
  <si>
    <t>[3619.0, 4203.0, 4595.0, nan]</t>
  </si>
  <si>
    <t>[17011.0, 17786.0, 18941.0, 21289.0]</t>
  </si>
  <si>
    <t>[4351.0, 4600.0, 4946.0, 5701.0]</t>
  </si>
  <si>
    <t>[4515.0, 4642.0, 4783.0, nan]</t>
  </si>
  <si>
    <t>[7490.0, 7598.0, 7802.0, nan]</t>
  </si>
  <si>
    <t>[4985.0, 5334.0, 6072.0, nan]</t>
  </si>
  <si>
    <t>[1856.0, 1992.0, 2035.0, nan]</t>
  </si>
  <si>
    <t>[1325.0, 1366.0, 1413.0, nan]</t>
  </si>
  <si>
    <t>[7342.0, 7451.0, 8887.0, 9160.0]</t>
  </si>
  <si>
    <t>[4655.0, 4801.0, 4642.0, nan]</t>
  </si>
  <si>
    <t>[3401.0, 3569.0, 3669.0, nan]</t>
  </si>
  <si>
    <t>[8349.0, 8218.0, 7875.0, nan]</t>
  </si>
  <si>
    <t>[1123.0, 1318.0, 1067.0, nan]</t>
  </si>
  <si>
    <t>[22666.0, 26012.0, 30925.0, 29900.0]</t>
  </si>
  <si>
    <t>[937.0, 1061.0, 933.0, nan]</t>
  </si>
  <si>
    <t>[654.0, 395.0, 637.0, nan]</t>
  </si>
  <si>
    <t>[9750.0, 10398.0, 12508.0, 13900.0]</t>
  </si>
  <si>
    <t>[1740.0, 1818.0, 1874.0, nan]</t>
  </si>
  <si>
    <t>[19692.0, 19845.0, 20483.0, 21260.0]</t>
  </si>
  <si>
    <t>[1871.0, 1935.0, 1999.0, nan]</t>
  </si>
  <si>
    <t>[6127.0, 6090.0, 5553.0, 5431.0]</t>
  </si>
  <si>
    <t>[14248.0, 15543.0, 15431.0, 16045.0]</t>
  </si>
  <si>
    <t>[3078.0, 3224.0, 3339.0, nan]</t>
  </si>
  <si>
    <t>[3653.0, 3653.0, 3712.0, 3810.0]</t>
  </si>
  <si>
    <t>[18851.0, 19279.0, 20339.0, 21228.0]</t>
  </si>
  <si>
    <t>[8946.0, 9207.0, 9720.0, nan]</t>
  </si>
  <si>
    <t>[1267.0, 1233.0, 1180.0, nan]</t>
  </si>
  <si>
    <t>[11999.0, 13362.0, 15877.0, nan]</t>
  </si>
  <si>
    <t>[2990.0, 2747.0, 2623.0, nan]</t>
  </si>
  <si>
    <t>[3020.0, 3065.0, 3144.0, nan]</t>
  </si>
  <si>
    <t>[9839.0, 10397.0, 6073.0, nan]</t>
  </si>
  <si>
    <t>[2119.0, 2120.0, 3156.0, nan]</t>
  </si>
  <si>
    <t>[1220.0, 1303.0, 1391.0, nan]</t>
  </si>
  <si>
    <t>[1608.0, 1602.0, 1587.0, nan]</t>
  </si>
  <si>
    <t>[9151.0, 9973.0, 10835.0, 12045.0]</t>
  </si>
  <si>
    <t>[5227.0, 5801.0, 6530.0, nan]</t>
  </si>
  <si>
    <t>[4762.0, 4125.0, 5044.0, nan]</t>
  </si>
  <si>
    <t>[446.0, 509.0, 480.0, nan]</t>
  </si>
  <si>
    <t>[3549.0, 3538.0, 3605.0, nan]</t>
  </si>
  <si>
    <t>[2125.0, 2171.0, 2210.0, nan]</t>
  </si>
  <si>
    <t>[1857.0, 1894.0, 1912.0, nan]</t>
  </si>
  <si>
    <t>[6168.0, 6138.0, 5938.0, 6150.0]</t>
  </si>
  <si>
    <t>[4491.0, 4381.0, 3983.0, nan]</t>
  </si>
  <si>
    <t>[5064.0, 5149.0, 5248.0, nan]</t>
  </si>
  <si>
    <t>[551.0, 695.0, 895.0, nan]</t>
  </si>
  <si>
    <t>[20650.0, 23365.0, 22851.0, nan]</t>
  </si>
  <si>
    <t>[83136.0, 91278.0, 92689.0, 101160.0]</t>
  </si>
  <si>
    <t>[2501.0, 2579.0, 2771.0, nan]</t>
  </si>
  <si>
    <t>[501.0, 700.0, 812.0, nan]</t>
  </si>
  <si>
    <t>[22765.0, 24324.0, 26748.0, 31300.0]</t>
  </si>
  <si>
    <t>[4617.0, 4853.0, 5609.0, nan]</t>
  </si>
  <si>
    <t>[6236.0, 6697.0, 8666.0, nan]</t>
  </si>
  <si>
    <t>[2070.0, 2144.0, 1959.0, nan]</t>
  </si>
  <si>
    <t>[5451.0, 5711.0, 5895.0, 6177.0]</t>
  </si>
  <si>
    <t>[2226.0, 3176.0, 3576.0, nan]</t>
  </si>
  <si>
    <t>[4176.0, 3996.0, 3987.0, nan]</t>
  </si>
  <si>
    <t>[2197.0, 2043.0, 2108.0, nan]</t>
  </si>
  <si>
    <t>[4030.0, 4079.0, 4146.0, nan]</t>
  </si>
  <si>
    <t>[33734.0, 39195.0, 46144.0, 51130.0]</t>
  </si>
  <si>
    <t>[1309.0, 1305.0, 1298.0, nan]</t>
  </si>
  <si>
    <t>[5633.0, 9658.0, 9465.0, nan]</t>
  </si>
  <si>
    <t>[20115.0, 15625.0, 16597.0, 20155.0]</t>
  </si>
  <si>
    <t>[19169.0, 22226.0, 23777.0, 28067.0]</t>
  </si>
  <si>
    <t>[1596.0, 1727.0, 1792.0, nan]</t>
  </si>
  <si>
    <t>[1562.0, 1747.0, 1890.0, nan]</t>
  </si>
  <si>
    <t>[3397.0, 3540.0, 3359.0, nan]</t>
  </si>
  <si>
    <t>[1502.0, 1670.0, 1891.0, 2138.0]</t>
  </si>
  <si>
    <t>[5425.0, 6020.0, 6263.0, nan]</t>
  </si>
  <si>
    <t>[117054.0, 106136.0, 98016.0, 95673.0]</t>
  </si>
  <si>
    <t>[24734.0, 27485.0, 33492.0, nan]</t>
  </si>
  <si>
    <t>[13779.0, 14931.0, 16497.0, 18200.0]</t>
  </si>
  <si>
    <t>[11748.0, 12096.0, 11874.0, 12500.0]</t>
  </si>
  <si>
    <t>[71130.0, 66998.0, 64172.0, nan]</t>
  </si>
  <si>
    <t>[127347.0, 132044.0, 128465.0, 141945.0]</t>
  </si>
  <si>
    <t>[6825.0, 7075.0, 7612.0, 7880.0]</t>
  </si>
  <si>
    <t>[1107.0, 1111.0, 1100.0, 1111.0]</t>
  </si>
  <si>
    <t>[2301.0, 2304.0, 2323.0, nan]</t>
  </si>
  <si>
    <t>[9592.0, 10302.0, 10515.0, nan]</t>
  </si>
  <si>
    <t>[8888.0, 9122.0, 8607.0, nan]</t>
  </si>
  <si>
    <t>[209829.0, 226618.0, 250183.0, 261521.0]</t>
  </si>
  <si>
    <t>[6058.0, 6315.0, 7742.0, nan]</t>
  </si>
  <si>
    <t>[31317.0, 34699.0, 37563.0, 40580.0]</t>
  </si>
  <si>
    <t>[357039.0, 385339.0, 425037.0, 453982.0]</t>
  </si>
  <si>
    <t>[57300.0, 44519.0, 48708.0, 50095.0]</t>
  </si>
  <si>
    <t>[1748.0, 1794.0, 1424.0, nan]</t>
  </si>
  <si>
    <t>[2472.0, 3411.0, 3822.0, nan]</t>
  </si>
  <si>
    <t>[7789.0, 8175.0, 8434.0, nan]</t>
  </si>
  <si>
    <t>[4350.0, 4727.0, 5235.0, nan]</t>
  </si>
  <si>
    <t>[132027.0, 136634.0, 140114.0, 144318.0]</t>
  </si>
  <si>
    <t>[2823.0, 2835.0, 2927.0, nan]</t>
  </si>
  <si>
    <t>[5196.0, 5717.0, 5797.0, nan]</t>
  </si>
  <si>
    <t>[1563.0, 1586.0, 1635.0, nan]</t>
  </si>
  <si>
    <t>[1602.0, 1683.0, 1674.0, nan]</t>
  </si>
  <si>
    <t>[11733.0, 12213.0, 12335.0, 12759.0]</t>
  </si>
  <si>
    <t>[139792.0, 113405.0, 114010.0, 126119.0]</t>
  </si>
  <si>
    <t>[11285.0, 11715.0, 13382.0, 15030.0]</t>
  </si>
  <si>
    <t>[68532.0, 70809.0, 73749.0, 78299.0]</t>
  </si>
  <si>
    <t>[18444.0, 22317.0, 27430.0, 30376.0]</t>
  </si>
  <si>
    <t>[19144.0, 21512.0, 22391.0, nan]</t>
  </si>
  <si>
    <t>[2243.0, 2336.0, 2372.0, nan]</t>
  </si>
  <si>
    <t>[43369.0, 45963.0, 49886.0, 53391.0]</t>
  </si>
  <si>
    <t>[76270.0, 82837.0, 87288.0, 94041.0]</t>
  </si>
  <si>
    <t>[4074.0, 4343.0, 4527.0, nan]</t>
  </si>
  <si>
    <t>[40587.0, 45096.0, 46435.0, 49745.0]</t>
  </si>
  <si>
    <t>[2187.0, 2350.0, 2425.0, nan]</t>
  </si>
  <si>
    <t>[1376.0, 2110.0, 3137.0, nan]</t>
  </si>
  <si>
    <t>[6577.0, 6997.0, 8003.0, nan]</t>
  </si>
  <si>
    <t>[50978.0, 59459.0, 64142.0, 63350.0]</t>
  </si>
  <si>
    <t>[4806.0, 4806.0, 4980.0, nan]</t>
  </si>
  <si>
    <t>[35485.0, 39747.0, 41412.0, 46678.0]</t>
  </si>
  <si>
    <t>[53900.0, 59373.0, 25931.0, nan]</t>
  </si>
  <si>
    <t>[3676.0, 4578.0, 8019.0, nan]</t>
  </si>
  <si>
    <t>[3444.0, 3542.0, 3528.0, nan]</t>
  </si>
  <si>
    <t>[1460.0, 1538.0, 1614.0, nan]</t>
  </si>
  <si>
    <t>[1361.0, 1419.0, 1463.0, nan]</t>
  </si>
  <si>
    <t>[12381.0, 11407.0, 11847.0, nan]</t>
  </si>
  <si>
    <t>[84904.0, 88885.0, 83538.0, 90047.0]</t>
  </si>
  <si>
    <t>[10527.0, 9513.0, 6311.0, 6527.0]</t>
  </si>
  <si>
    <t>[31636.0, 31662.0, 32673.0, 34027.0]</t>
  </si>
  <si>
    <t>[6381.0, 5193.0, 4932.0, nan]</t>
  </si>
  <si>
    <t>[1874.0, 1845.0, 1926.0, nan]</t>
  </si>
  <si>
    <t>[2592.0, 2567.0, 2636.0, nan]</t>
  </si>
  <si>
    <t>[5174.0, 5266.0, 5462.0, nan]</t>
  </si>
  <si>
    <t>[3201.0, 3392.0, 3564.0, nan]</t>
  </si>
  <si>
    <t>[3994.0, 4067.0, 4219.0, nan]</t>
  </si>
  <si>
    <t>[7088.0, 7416.0, 7420.0, nan]</t>
  </si>
  <si>
    <t>[546.0, 545.0, 541.0, nan]</t>
  </si>
  <si>
    <t>[3914.0, 4534.0, 5531.0, 6440.0]</t>
  </si>
  <si>
    <t>[13640.0, 13564.0, 13570.0, nan]</t>
  </si>
  <si>
    <t>[50476.0, 53851.0, 57977.0, 63119.0]</t>
  </si>
  <si>
    <t>[4053.0, 4230.0, 4777.0, nan]</t>
  </si>
  <si>
    <t>[2225.0, 2205.0, 1998.0, nan]</t>
  </si>
  <si>
    <t>[6207.0, 6612.0, 6983.0, nan]</t>
  </si>
  <si>
    <t>[8814.0, 9609.0, 12633.0, nan]</t>
  </si>
  <si>
    <t>[4886.0, 5230.0, 5393.0, nan]</t>
  </si>
  <si>
    <t>[2848.0, 2717.0, 2753.0, 2848.0]</t>
  </si>
  <si>
    <t>[985.0, 1035.0, 996.0, nan]</t>
  </si>
  <si>
    <t>[1172.0, 1185.0, 1167.0, nan]</t>
  </si>
  <si>
    <t>[1834.0, 1077.0, 781.0, nan]</t>
  </si>
  <si>
    <t>[2544.0, 2188.0, 2066.0, nan]</t>
  </si>
  <si>
    <t>[6586.0, 7662.0, 8533.0, nan]</t>
  </si>
  <si>
    <t>[2610.0, 2833.0, 2945.0, nan]</t>
  </si>
  <si>
    <t>[433713.0, 444719.0, 443314.0, 472306.0]</t>
  </si>
  <si>
    <t>[7065.0, 5823.0, 5060.0, nan]</t>
  </si>
  <si>
    <t>[1969.0, 2049.0, 1962.0, nan]</t>
  </si>
  <si>
    <t>[4350.0, 4412.0, 4640.0, nan]</t>
  </si>
  <si>
    <t>[1577.0, 1657.0, 1633.0, nan]</t>
  </si>
  <si>
    <t>[1463.0, 1503.0, 1471.0, nan]</t>
  </si>
  <si>
    <t>[166275.0, 166838.0, 174350.0, 174089.0]</t>
  </si>
  <si>
    <t>[15662.0, 16608.0, 18987.0, 20107.0]</t>
  </si>
  <si>
    <t>[23366.0, 21634.0, 20582.0, 21460.0]</t>
  </si>
  <si>
    <t>[14495.0, 16827.0, 19470.0, nan]</t>
  </si>
  <si>
    <t>[5415.0, 5701.0, 5751.0, nan]</t>
  </si>
  <si>
    <t>[224708.0, 229502.0, 237439.0, 252110.0]</t>
  </si>
  <si>
    <t>[2313.0, 2450.0, 2358.0, nan]</t>
  </si>
  <si>
    <t>[6075.0, 6171.0, 5974.0, nan]</t>
  </si>
  <si>
    <t>[1557.0, 1676.0, 1848.0, nan]</t>
  </si>
  <si>
    <t>[20619.0, 19219.0, 19260.0, nan]</t>
  </si>
  <si>
    <t>[199466.0, 240961.0, 301980.0, 319960.0]</t>
  </si>
  <si>
    <t>[1250.0, 1313.0, 1403.0, nan]</t>
  </si>
  <si>
    <t>[5098.0, 5180.0, 5179.0, nan]</t>
  </si>
  <si>
    <t>[4730.0, 4977.0, 5094.0, nan]</t>
  </si>
  <si>
    <t>[34691.0, 39265.0, 34424.0, 36957.0]</t>
  </si>
  <si>
    <t>[1923.0, 1992.0, 2113.0, nan]</t>
  </si>
  <si>
    <t>[1956.0, 1976.0, 2024.0, nan]</t>
  </si>
  <si>
    <t>[793.0, 840.0, 859.0, nan]</t>
  </si>
  <si>
    <t>[1244.0, 900.0, 899.0, nan]</t>
  </si>
  <si>
    <t>[15602.0, 15294.0, 18037.0, 18561.0]</t>
  </si>
  <si>
    <t>[3132.0, 3144.0, 3172.0, nan]</t>
  </si>
  <si>
    <t>[11189.0, 11524.0, 11390.0, nan]</t>
  </si>
  <si>
    <t>[2710.0, 2869.0, 2897.0, 2950.0]</t>
  </si>
  <si>
    <t>[1836.0, 2020.0, 1876.0, nan]</t>
  </si>
  <si>
    <t>[3003.0, 3037.0, 3089.0, nan]</t>
  </si>
  <si>
    <t>[429.0, 295.0, 255.0, nan]</t>
  </si>
  <si>
    <t>[8716.0, 8706.0, 8485.0, nan]</t>
  </si>
  <si>
    <t>[3644.0, 4184.0, 4547.0, nan]</t>
  </si>
  <si>
    <t>[1740.0, 1727.0, 2024.0, nan]</t>
  </si>
  <si>
    <t>[6613.0, 6991.0, 7372.0, 7842.0]</t>
  </si>
  <si>
    <t>[268.0, 379.0, 878.0, nan]</t>
  </si>
  <si>
    <t>[2373.0, 2750.0, 3149.0, nan]</t>
  </si>
  <si>
    <t>[5873.0, 5918.0, 6172.0, nan]</t>
  </si>
  <si>
    <t>[1255.0, 1295.0, 1332.0, nan]</t>
  </si>
  <si>
    <t>[4293.0, 4689.0, 5402.0, 5989.0]</t>
  </si>
  <si>
    <t>[3584.0, 3734.0, 3874.0, nan]</t>
  </si>
  <si>
    <t>[4346.0, 4479.0, 4521.0, nan]</t>
  </si>
  <si>
    <t>[11895.0, 12638.0, 13870.0, nan]</t>
  </si>
  <si>
    <t>[2227.0, 2262.0, 2203.0, nan]</t>
  </si>
  <si>
    <t>[4228.0, 4073.0, 4154.0, nan]</t>
  </si>
  <si>
    <t>[1678.0, 1766.0, 1701.0, nan]</t>
  </si>
  <si>
    <t>[19386.0, 19656.0, 18578.0, nan]</t>
  </si>
  <si>
    <t>[3154.0, 3172.0, 3046.0, nan]</t>
  </si>
  <si>
    <t>[525.0, 693.0, 1008.0, nan]</t>
  </si>
  <si>
    <t>[7045.0, 7037.0, 7098.0, nan]</t>
  </si>
  <si>
    <t>[357256.0, 391779.0, 440696.0, 470727.0]</t>
  </si>
  <si>
    <t>[18761.0, 19261.0, 19664.0, nan]</t>
  </si>
  <si>
    <t>[2187.0, 2266.0, 3058.0, nan]</t>
  </si>
  <si>
    <t>[2614.0, 2760.0, 2646.0, nan]</t>
  </si>
  <si>
    <t>[4560.0, 4585.0, 4716.0, nan]</t>
  </si>
  <si>
    <t>[586.0, 833.0, 978.0, nan]</t>
  </si>
  <si>
    <t>[6576.0, 7110.0, 7843.0, nan]</t>
  </si>
  <si>
    <t>[877.0, 905.0, 1057.0, nan]</t>
  </si>
  <si>
    <t>[1091.0, 1070.0, 1014.0, nan]</t>
  </si>
  <si>
    <t>[1110.0, 1152.0, 1491.0, nan]</t>
  </si>
  <si>
    <t>[1594.0, 1734.0, 1774.0, nan]</t>
  </si>
  <si>
    <t>[81723.0, 88087.0, 90737.0, 94129.0]</t>
  </si>
  <si>
    <t>[1063.0, 1017.0, 993.0, nan]</t>
  </si>
  <si>
    <t>[7524.0, 8140.0, 8263.0, nan]</t>
  </si>
  <si>
    <t>[nan, 215104.0, 230536.0, 243404.0]</t>
  </si>
  <si>
    <t>[4142.0, 3958.0, 3778.0, nan]</t>
  </si>
  <si>
    <t>[5394.0, 5509.0, 4757.0, nan]</t>
  </si>
  <si>
    <t>[2040.0, 1659.0, 2154.0, nan]</t>
  </si>
  <si>
    <t>[1663.0, 1662.0, 1467.0, nan]</t>
  </si>
  <si>
    <t>[1111.0, 1195.0, 1264.0, nan]</t>
  </si>
  <si>
    <t>[30412.0, 32565.0, 33212.0, 36150.0]</t>
  </si>
  <si>
    <t>[11452.0, 13758.0, 13707.0, nan]</t>
  </si>
  <si>
    <t>[1419.0, 1455.0, 1475.0, nan]</t>
  </si>
  <si>
    <t>[427.0, 414.0, 622.0, nan]</t>
  </si>
  <si>
    <t>[1801.0, 1850.0, 1917.0, nan]</t>
  </si>
  <si>
    <t>[2024.0, 1755.0, 1858.0, nan]</t>
  </si>
  <si>
    <t>[10056.0, 13605.0, 14095.0, 15163.0]</t>
  </si>
  <si>
    <t>[3450.0, 3632.0, 3945.0, nan]</t>
  </si>
  <si>
    <t>[3243.0, 3455.0, 3475.0, nan]</t>
  </si>
  <si>
    <t>[5335.0, 5849.0, 6335.0, 7140.0]</t>
  </si>
  <si>
    <t>[7792.0, 7980.0, 8144.0, 8480.0]</t>
  </si>
  <si>
    <t>[7364.0, 7770.0, 8090.0, nan]</t>
  </si>
  <si>
    <t>[9413.0, 9649.0, 9759.0, nan]</t>
  </si>
  <si>
    <t>[7517.0, 7896.0, 8652.0, nan]</t>
  </si>
  <si>
    <t>[1304.0, 1429.0, 1453.0, nan]</t>
  </si>
  <si>
    <t>[2895.0, 2640.0, 2821.0, nan]</t>
  </si>
  <si>
    <t>[7078.0, 5912.0, 7209.0, nan]</t>
  </si>
  <si>
    <t>[1678.0, 1701.0, 1636.0, nan]</t>
  </si>
  <si>
    <t>[986.0, 1525.0, 1729.0, nan]</t>
  </si>
  <si>
    <t>[1047.0, 1001.0, 971.0, nan]</t>
  </si>
  <si>
    <t>[1797.0, 1906.0, 2111.0, nan]</t>
  </si>
  <si>
    <t>[12577.0, 12843.0, 12870.0, 13259.0]</t>
  </si>
  <si>
    <t>[1803.0, 1846.0, 2110.0, nan]</t>
  </si>
  <si>
    <t>[2765.0, 2788.0, 2774.0, nan]</t>
  </si>
  <si>
    <t>[20965.0, 20158.0, 21792.0, 22868.0]</t>
  </si>
  <si>
    <t>[2112.0, 2243.0, 2231.0, nan]</t>
  </si>
  <si>
    <t>[6095.0, 6737.0, 7609.0, nan]</t>
  </si>
  <si>
    <t>[2047.0, 2099.0, 2128.0, nan]</t>
  </si>
  <si>
    <t>[4805.0, 4844.0, 4909.0, 5005.0]</t>
  </si>
  <si>
    <t>[3338.0, 3634.0, 3793.0, nan]</t>
  </si>
  <si>
    <t>[1500.0, 1615.0, 1792.0, nan]</t>
  </si>
  <si>
    <t>[14116.0, 14196.0, 15197.0, nan]</t>
  </si>
  <si>
    <t>[2928.0, 3287.0, 3756.0, nan]</t>
  </si>
  <si>
    <t>[20415.0, 22340.0, 28567.0, 35505.0]</t>
  </si>
  <si>
    <t>[2271.0, 2364.0, 2329.0, nan]</t>
  </si>
  <si>
    <t>[10947.0, 11094.0, 11680.0, nan]</t>
  </si>
  <si>
    <t>[30863.0, 31790.0, 33061.0, nan]</t>
  </si>
  <si>
    <t>[123465.0, 142999.0, 162610.0, 158850.0]</t>
  </si>
  <si>
    <t>[971.0, 673.0, 987.0, nan]</t>
  </si>
  <si>
    <t>[10144.0, 11552.0, 6422.0, nan]</t>
  </si>
  <si>
    <t>[67713.0, 68964.0, 71195.0, 57433.0]</t>
  </si>
  <si>
    <t>[1483.0, 1726.0, 1679.0, 1879.0]</t>
  </si>
  <si>
    <t>[46621.0, 49493.0, 53171.0, 58624.0]</t>
  </si>
  <si>
    <t>[289021.0, 356670.0, 418948.0, 425813.0]</t>
  </si>
  <si>
    <t>[2224.0, 2130.0, 2179.0, nan]</t>
  </si>
  <si>
    <t>[1389.0, 1451.0, 1442.0, nan]</t>
  </si>
  <si>
    <t>[2990.0, 3079.0, 2911.0, nan]</t>
  </si>
  <si>
    <t>[18596.0, 18473.0, 16210.0, 17248.0]</t>
  </si>
  <si>
    <t>[2999.0, 3078.0, 3250.0, nan]</t>
  </si>
  <si>
    <t>[5535.0, 5712.0, 5953.0, nan]</t>
  </si>
  <si>
    <t>[1537.0, 1466.0, 1367.0, nan]</t>
  </si>
  <si>
    <t>[3165.0, 3196.0, 3700.0, nan]</t>
  </si>
  <si>
    <t>[837.0, 863.0, 925.0, nan]</t>
  </si>
  <si>
    <t>[22376.0, 24560.0, 24559.0, nan]</t>
  </si>
  <si>
    <t>[9436.0, 9640.0, 10305.0, nan]</t>
  </si>
  <si>
    <t>[3667.0, 4498.0, 5925.0, nan]</t>
  </si>
  <si>
    <t>[4892.0, 5252.0, 5327.0, nan]</t>
  </si>
  <si>
    <t>[1741.0, 1760.0, 1659.0, nan]</t>
  </si>
  <si>
    <t>[8136.0, 8241.0, 8505.0, nan]</t>
  </si>
  <si>
    <t>[6545.0, 6111.0, 6029.0, nan]</t>
  </si>
  <si>
    <t>[3868.0, 4003.0, 4069.0, 4210.0]</t>
  </si>
  <si>
    <t>[1317.0, 1570.0, 1922.0, nan]</t>
  </si>
  <si>
    <t>[91.0, 2.0, 534.0, nan]</t>
  </si>
  <si>
    <t>[13.0, 280.0, 665.0, nan]</t>
  </si>
  <si>
    <t>[1282.0, 1420.0, 1527.0, nan]</t>
  </si>
  <si>
    <t>[81144.0, 86842.0, 90369.0, 95897.0]</t>
  </si>
  <si>
    <t>[2049.0, 2923.0, 3887.0, 4706.0]</t>
  </si>
  <si>
    <t>[949.0, 1077.0, 1189.0, nan]</t>
  </si>
  <si>
    <t>[522.0, 528.0, 565.0, nan]</t>
  </si>
  <si>
    <t>[29.0, 26.0, 613.0, nan]</t>
  </si>
  <si>
    <t>[3478.0, 3614.0, 5244.0, 5747.0]</t>
  </si>
  <si>
    <t>[220.0, 321.0, 288.0, nan]</t>
  </si>
  <si>
    <t>[630.0, 760.0, 747.0, nan]</t>
  </si>
  <si>
    <t>[556.0, 661.0, 746.0, nan]</t>
  </si>
  <si>
    <t>[161.0, 754.0, 1647.0, 1930.0]</t>
  </si>
  <si>
    <t>[1404.0, 1668.0, 1819.0, nan]</t>
  </si>
  <si>
    <t>[42.0, 181.0, 331.0, nan]</t>
  </si>
  <si>
    <t>[619.0, 832.0, 1010.0, nan]</t>
  </si>
  <si>
    <t>[1314.0, 1471.0, 1795.0, 2120.0]</t>
  </si>
  <si>
    <t>[190.0, 266.0, 269.0, nan]</t>
  </si>
  <si>
    <t>[1633.0, 1945.0, 2388.0, 2836.0]</t>
  </si>
  <si>
    <t>[617.0, 675.0, 740.0, nan]</t>
  </si>
  <si>
    <t>[2085.0, 2439.0, 2862.0, 3424.0]</t>
  </si>
  <si>
    <t>[2570.0, 2885.0, 3478.0, nan]</t>
  </si>
  <si>
    <t>[47828.0, 48809.0, 52744.0, 58140.0]</t>
  </si>
  <si>
    <t>[38.0, 149.0, 478.0, 284.0]</t>
  </si>
  <si>
    <t>[4384.0, 4714.0, 6237.0, 7141.0]</t>
  </si>
  <si>
    <t>[211.0, 1034.0, 994.0, 1127.0]</t>
  </si>
  <si>
    <t>[821.0, 1444.0, 1776.0, 2020.0]</t>
  </si>
  <si>
    <t>[3941.0, 4830.0, 5513.0, 6829.0]</t>
  </si>
  <si>
    <t>[10881.0, 10783.0, 14913.0, 18023.0]</t>
  </si>
  <si>
    <t>[335.0, 387.0, 520.0, nan]</t>
  </si>
  <si>
    <t>[4426.0, 4533.0, 4737.0, 6044.0]</t>
  </si>
  <si>
    <t>[2049.0, 2170.0, 2403.0, nan]</t>
  </si>
  <si>
    <t>[1830.0, 2403.0, 2094.0, nan]</t>
  </si>
  <si>
    <t>[367.0, 422.0, 533.0, nan]</t>
  </si>
  <si>
    <t>[754.0, 854.0, 832.0, nan]</t>
  </si>
  <si>
    <t>[546.0, 572.0, 673.0, nan]</t>
  </si>
  <si>
    <t>[214.0, 412.0, 591.0, 766.0]</t>
  </si>
  <si>
    <t>[1655.0, 2068.0, 2062.0, nan]</t>
  </si>
  <si>
    <t>[300.0, 350.0, 593.0, nan]</t>
  </si>
  <si>
    <t>[42602.0, 46703.0, 50654.0, 55592.0]</t>
  </si>
  <si>
    <t>[65.0, 107.0, 365.0, nan]</t>
  </si>
  <si>
    <t>[56.0, 102.0, 797.0, 1068.0]</t>
  </si>
  <si>
    <t>[2985.0, 3230.0, 3875.0, 4472.0]</t>
  </si>
  <si>
    <t>[593.0, 1057.0, 1177.0, 1336.0]</t>
  </si>
  <si>
    <t>[609.0, 683.0, 696.0, nan]</t>
  </si>
  <si>
    <t>[1293.0, 1349.0, 1718.0, nan]</t>
  </si>
  <si>
    <t>[1280.0, 1525.0, 6453.0, 11544.0]</t>
  </si>
  <si>
    <t>[120.0, 114.0, 734.0, 1516.0]</t>
  </si>
  <si>
    <t>[565.0, 674.0, 728.0, nan]</t>
  </si>
  <si>
    <t>[6325.0, 6812.0, 7469.0, 8199.0]</t>
  </si>
  <si>
    <t>[899.0, 1097.0, 1368.0, 1637.0]</t>
  </si>
  <si>
    <t>[1086.0, 1364.0, 1459.0, nan]</t>
  </si>
  <si>
    <t>[413.0, 467.0, 500.0, nan]</t>
  </si>
  <si>
    <t>[423.0, 412.0, 730.0, nan]</t>
  </si>
  <si>
    <t>[623.0, 748.0, 735.0, nan]</t>
  </si>
  <si>
    <t>[5183.0, 6472.0, 6784.0, 8062.0]</t>
  </si>
  <si>
    <t>[608.0, 635.0, 988.0, nan]</t>
  </si>
  <si>
    <t>[287.0, 325.0, 525.0, nan]</t>
  </si>
  <si>
    <t>[489.0, 686.0, 912.0, nan]</t>
  </si>
  <si>
    <t>[301.0, 304.0, 815.0, nan]</t>
  </si>
  <si>
    <t>[898.0, 1021.0, 1129.0, nan]</t>
  </si>
  <si>
    <t>[2309.0, 2837.0, 3425.0, 3990.0]</t>
  </si>
  <si>
    <t>[523.0, 580.0, 687.0, nan]</t>
  </si>
  <si>
    <t>[1879.0, 2795.0, 3170.0, 3640.0]</t>
  </si>
  <si>
    <t>[3470.0, 4036.0, 4401.0, 5138.0]</t>
  </si>
  <si>
    <t>[39.0, 142.0, 629.0, 785.0]</t>
  </si>
  <si>
    <t>[390.0, 306.0, 1456.0, 1840.0]</t>
  </si>
  <si>
    <t>[869.0, 907.0, 1429.0, nan]</t>
  </si>
  <si>
    <t>[1017.0, 1265.0, 1293.0, 1518.0]</t>
  </si>
  <si>
    <t>[1403.0, 1506.0, 1604.0, nan]</t>
  </si>
  <si>
    <t>[20.0, 99.0, 284.0, nan]</t>
  </si>
  <si>
    <t>[1881.0, 2133.0, 2301.0, nan]</t>
  </si>
  <si>
    <t>[2810.0, 3075.0, 3386.0, 3761.0]</t>
  </si>
  <si>
    <t>[3152.0, 3673.0, 5289.0, nan]</t>
  </si>
  <si>
    <t>[550.0, 553.0, 578.0, nan]</t>
  </si>
  <si>
    <t>[450.0, 596.0, 665.0, nan]</t>
  </si>
  <si>
    <t>[2694.0, 3304.0, 3526.0, nan]</t>
  </si>
  <si>
    <t>[705.0, 519.0, 941.0, 1026.0]</t>
  </si>
  <si>
    <t>[2217.0, 2659.0, 3095.0, 3510.0]</t>
  </si>
  <si>
    <t>[549.0, 802.0, 1535.0, nan]</t>
  </si>
  <si>
    <t>[23473.0, 26286.0, 31482.0, 46309.0]</t>
  </si>
  <si>
    <t>[596.0, 709.0, 828.0, nan]</t>
  </si>
  <si>
    <t>[1727.0, 1602.0, 2168.0, nan]</t>
  </si>
  <si>
    <t>[1020.0, 1129.0, 1271.0, 1400.0]</t>
  </si>
  <si>
    <t>[1187.0, 1527.0, 1878.0, nan]</t>
  </si>
  <si>
    <t>[51.0, 40.0, 386.0, nan]</t>
  </si>
  <si>
    <t>[1153.0, 991.0, 1346.0, nan]</t>
  </si>
  <si>
    <t>[7849.0, 8754.0, 10355.0, 10710.0]</t>
  </si>
  <si>
    <t>[512.0, 646.0, 761.0, nan]</t>
  </si>
  <si>
    <t>[495.0, 378.0, 621.0, nan]</t>
  </si>
  <si>
    <t>[2133.0, 2494.0, 3078.0, 3573.0]</t>
  </si>
  <si>
    <t>[41.0, 101.0, 337.0, nan]</t>
  </si>
  <si>
    <t>[1297.0, 2246.0, 2529.0, 3400.0]</t>
  </si>
  <si>
    <t>[876.0, 3034.0, 3321.0, nan]</t>
  </si>
  <si>
    <t>[251.0, 320.0, 488.0, nan]</t>
  </si>
  <si>
    <t>[630.0, 812.0, 958.0, nan]</t>
  </si>
  <si>
    <t>[192.0, 225.0, 292.0, nan]</t>
  </si>
  <si>
    <t>[22819.0, 24587.0, 26744.0, 31565.0]</t>
  </si>
  <si>
    <t>[460.0, 560.0, 620.0, nan]</t>
  </si>
  <si>
    <t>[893.0, 1027.0, 1114.0, nan]</t>
  </si>
  <si>
    <t>[106.0, 694.0, 825.0, 1035.0]</t>
  </si>
  <si>
    <t>[526.0, 608.0, 777.0, nan]</t>
  </si>
  <si>
    <t>[13.82, 3.38, -20.57, nan]</t>
  </si>
  <si>
    <t>[19.69, 12.04, 12.07, 9.58]</t>
  </si>
  <si>
    <t>[6.6, 6.57, 15.01, nan]</t>
  </si>
  <si>
    <t>[-10.14, -7.29, 43.56, nan]</t>
  </si>
  <si>
    <t>[14.28, 3.05, 4.03, nan]</t>
  </si>
  <si>
    <t>[-59.19, -29.12, -69.05, nan]</t>
  </si>
  <si>
    <t>[7.28, 13.08, 14.16, nan]</t>
  </si>
  <si>
    <t>[0.35, -0.96, 3.83, nan]</t>
  </si>
  <si>
    <t>[3.56, 5.1, 10.79, nan]</t>
  </si>
  <si>
    <t>[9.12, 1.64, 7.73, nan]</t>
  </si>
  <si>
    <t>[-4.07, 47.51, -2.56, nan]</t>
  </si>
  <si>
    <t>[6.69, 6.19, 6.48, nan]</t>
  </si>
  <si>
    <t>[30.75, 19.02, 2.46, nan]</t>
  </si>
  <si>
    <t>[11.72, 3.38, -3.71, nan]</t>
  </si>
  <si>
    <t>[10.66, 13.32, 5.61, nan]</t>
  </si>
  <si>
    <t>[20.58, 26.2, 5.48, 10.64]</t>
  </si>
  <si>
    <t>[2.82, 3.58, 1.71, nan]</t>
  </si>
  <si>
    <t>[7.73, 3.18, 4.37, nan]</t>
  </si>
  <si>
    <t>[-0.55, 2.07, 1.75, nan]</t>
  </si>
  <si>
    <t>[2.54, 11.69, 10.14, nan]</t>
  </si>
  <si>
    <t>[-1.26, -0.06, 8.79, nan]</t>
  </si>
  <si>
    <t>[12.46, 9.81, 10.48, 10.91]</t>
  </si>
  <si>
    <t>[-14.04, -91.08, -43.72, nan]</t>
  </si>
  <si>
    <t>[18.52, 5.47, -4.44, nan]</t>
  </si>
  <si>
    <t>[5.43, 7.57, 2.02, nan]</t>
  </si>
  <si>
    <t>[6.97, 7.72, 9.68, nan]</t>
  </si>
  <si>
    <t>[7.58, 49.82, 10.45, nan]</t>
  </si>
  <si>
    <t>[11.94, 19.0, -6.92, nan]</t>
  </si>
  <si>
    <t>[-1.31, 0.56, 10.3, nan]</t>
  </si>
  <si>
    <t>[13.14, 6.68, 79.74, 24.05]</t>
  </si>
  <si>
    <t>[-2.0, 1.15, -3.17, nan]</t>
  </si>
  <si>
    <t>[-13.64, -71.38, -55.57, nan]</t>
  </si>
  <si>
    <t>[3.07, 2.79, 4.55, nan]</t>
  </si>
  <si>
    <t>[17.97, 14.99, 11.22, nan]</t>
  </si>
  <si>
    <t>[-1.45, -6.76, 6.17, nan]</t>
  </si>
  <si>
    <t>[13.35, 13.75, 12.71, nan]</t>
  </si>
  <si>
    <t>[11.19, 7.4, 5.66, nan]</t>
  </si>
  <si>
    <t>[10.07, 1.39, -1.25, nan]</t>
  </si>
  <si>
    <t>[11.3, 7.86, 7.53, nan]</t>
  </si>
  <si>
    <t>[-0.24, 5.74, 4.39, nan]</t>
  </si>
  <si>
    <t>[153.19, -22.31, -10.52, nan]</t>
  </si>
  <si>
    <t>[1.02, 1.41, 3.35, nan]</t>
  </si>
  <si>
    <t>[4.26, 4.83, 7.24, nan]</t>
  </si>
  <si>
    <t>[20.6, 3.66, 10.57, 14.04]</t>
  </si>
  <si>
    <t>[10.29, 6.57, 3.8, nan]</t>
  </si>
  <si>
    <t>[3.16, 3.46, 1.91, nan]</t>
  </si>
  <si>
    <t>[12.12, 4.07, 0.21, nan]</t>
  </si>
  <si>
    <t>[2.08, -7.4, -3.12, nan]</t>
  </si>
  <si>
    <t>[19.31, 8.26, 9.64, nan]</t>
  </si>
  <si>
    <t>[5.55, 6.2, 0.07, nan]</t>
  </si>
  <si>
    <t>[1.87, 4.57, 9.14, nan]</t>
  </si>
  <si>
    <t>[7.62, 7.12, 12.77, nan]</t>
  </si>
  <si>
    <t>[2.49, 17.15, 8.36, nan]</t>
  </si>
  <si>
    <t>[5.07, 4.45, 5.09, nan]</t>
  </si>
  <si>
    <t>[37.93, 26.51, 11.17, nan]</t>
  </si>
  <si>
    <t>[178.68, 95.87, 50.84, nan]</t>
  </si>
  <si>
    <t>[4.19, 0.56, 12.7, nan]</t>
  </si>
  <si>
    <t>[18.79, 11.49, 17.28, nan]</t>
  </si>
  <si>
    <t>[5.63, 0.66, 0.86, nan]</t>
  </si>
  <si>
    <t>[8.93, 13.31, 5.26, nan]</t>
  </si>
  <si>
    <t>[2.01, 3.61, 2.55, nan]</t>
  </si>
  <si>
    <t>[7.58, 0.98, 4.88, nan]</t>
  </si>
  <si>
    <t>[-1.23, -7.24, 1.49, nan]</t>
  </si>
  <si>
    <t>[-51.29, -53.67, -62.7, nan]</t>
  </si>
  <si>
    <t>[6.23, 1.19, -34.55, nan]</t>
  </si>
  <si>
    <t>[-16.34, -41.78, -16.41, nan]</t>
  </si>
  <si>
    <t>[-10.86, -105.2, 46.92, nan]</t>
  </si>
  <si>
    <t>[9.83, 11.57, 11.78, nan]</t>
  </si>
  <si>
    <t>[2.49, -3.03, 56.72, nan]</t>
  </si>
  <si>
    <t>[9.68, 8.01, 0.68, nan]</t>
  </si>
  <si>
    <t>[9.12, 4.83, 7.71, nan]</t>
  </si>
  <si>
    <t>[6.55, 49.13, 4.95, nan]</t>
  </si>
  <si>
    <t>[22.5, 5.89, -1.18, nan]</t>
  </si>
  <si>
    <t>[9.79, 18.68, -4.88, nan]</t>
  </si>
  <si>
    <t>[16.67, 15.94, 10.32, nan]</t>
  </si>
  <si>
    <t>[10.61, 10.87, 20.64, nan]</t>
  </si>
  <si>
    <t>[0.74, 14.28, 25.3, nan]</t>
  </si>
  <si>
    <t>[18.57, 10.27, 21.96, nan]</t>
  </si>
  <si>
    <t>[21.75, 12.72, 9.44, 10.89]</t>
  </si>
  <si>
    <t>[0.72, 5.35, 5.24, nan]</t>
  </si>
  <si>
    <t>[-3.82, 0.97, 34.98, 15.74]</t>
  </si>
  <si>
    <t>[1.46, 4.69, 4.97, 8.55]</t>
  </si>
  <si>
    <t>[7.06, 20.64, 7.84, nan]</t>
  </si>
  <si>
    <t>[7.56, 8.37, 7.85, 8.93]</t>
  </si>
  <si>
    <t>[2.61, -35.15, -25.79, nan]</t>
  </si>
  <si>
    <t>[-5.83, 7.58, 16.99, nan]</t>
  </si>
  <si>
    <t>[7.49, 6.92, 9.67, 10.2]</t>
  </si>
  <si>
    <t>[-8.9, 6.0, 15.2, 5.06]</t>
  </si>
  <si>
    <t>[41.29, 15.21, 18.96, 12.46]</t>
  </si>
  <si>
    <t>[1.73, 7.85, 14.22, nan]</t>
  </si>
  <si>
    <t>[nan, 4.62, 8.69, 8.79]</t>
  </si>
  <si>
    <t>[-4.66, -6.98, -3.3, nan]</t>
  </si>
  <si>
    <t>[40.39, 1.38, 4.21, nan]</t>
  </si>
  <si>
    <t>[7.96, 6.03, 5.12, 7.66]</t>
  </si>
  <si>
    <t>[1.7, 2.65, -1.19, nan]</t>
  </si>
  <si>
    <t>[8.58, 3.65, 1.78, 5.41]</t>
  </si>
  <si>
    <t>[2.54, 4.73, 4.05, nan]</t>
  </si>
  <si>
    <t>[5.45, 7.06, 7.69, 9.31]</t>
  </si>
  <si>
    <t>[4.62, 1.28, 5.09, 10.09]</t>
  </si>
  <si>
    <t>[5.09, 3.39, 1.92, nan]</t>
  </si>
  <si>
    <t>[8.88, 8.77, 8.96, 9.42]</t>
  </si>
  <si>
    <t>[-5.41, 0.02, -0.99, nan]</t>
  </si>
  <si>
    <t>[-0.55, -4.65, 13.89, nan]</t>
  </si>
  <si>
    <t>[6.36, 0.48, -2.24, 4.63]</t>
  </si>
  <si>
    <t>[5.93, 5.07, -15.94, nan]</t>
  </si>
  <si>
    <t>[12.96, 18.14, 16.27, 18.16]</t>
  </si>
  <si>
    <t>[7.7, 7.51, 3.34, nan]</t>
  </si>
  <si>
    <t>[6.75, 4.71, 5.08, 5.59]</t>
  </si>
  <si>
    <t>[18.52, 14.15, 18.18, 14.57]</t>
  </si>
  <si>
    <t>[-1.86, -3.42, 2.91, 0.29]</t>
  </si>
  <si>
    <t>[-0.2, -11.06, -5.36, nan]</t>
  </si>
  <si>
    <t>[-6.14, -1.17, 5.12, nan]</t>
  </si>
  <si>
    <t>[4.41, 1.8, 1.81, 2.75]</t>
  </si>
  <si>
    <t>[2.69, 8.98, -1.15, nan]</t>
  </si>
  <si>
    <t>[10.73, 2.09, 4.79, 8.51]</t>
  </si>
  <si>
    <t>[4.22, 0.87, 1.85, 3.96]</t>
  </si>
  <si>
    <t>[10.33, 6.23, 7.13, 7.54]</t>
  </si>
  <si>
    <t>[10.32, 5.03, 6.39, 7.6]</t>
  </si>
  <si>
    <t>[-0.3, 4.55, 4.97, nan]</t>
  </si>
  <si>
    <t>[13.61, 2.06, 8.68, nan]</t>
  </si>
  <si>
    <t>[-13.82, 9.62, -17.15, nan]</t>
  </si>
  <si>
    <t>[-17.68, 2.24, -19.53, nan]</t>
  </si>
  <si>
    <t>[-0.55, -4.93, -3.72, nan]</t>
  </si>
  <si>
    <t>[4.48, 2.55, 1.52, nan]</t>
  </si>
  <si>
    <t>[6.48, 9.89, 6.34, nan]</t>
  </si>
  <si>
    <t>[110.16, 4.25, -2.26, 11.67]</t>
  </si>
  <si>
    <t>[nan, 1.45, -2.48, 10.95]</t>
  </si>
  <si>
    <t>[24.28, 7.1, 4.86, nan]</t>
  </si>
  <si>
    <t>[4.58, -0.07, 19.01, nan]</t>
  </si>
  <si>
    <t>[4.39, -3.13, 2.13, nan]</t>
  </si>
  <si>
    <t>[7.69, 5.51, 3.16, nan]</t>
  </si>
  <si>
    <t>[5.77, 5.19, -4.11, nan]</t>
  </si>
  <si>
    <t>[2.58, 5.93, 9.98, nan]</t>
  </si>
  <si>
    <t>[-2.64, 5.07, 15.09, 9.68]</t>
  </si>
  <si>
    <t>[9.03, 4.3, 5.66, 6.44]</t>
  </si>
  <si>
    <t>[6.29, -4.67, 3.95, nan]</t>
  </si>
  <si>
    <t>[1.42, 5.45, 4.78, 6.55]</t>
  </si>
  <si>
    <t>[7.95, 9.36, 5.58, nan]</t>
  </si>
  <si>
    <t>[1.31, 2.13, -2.52, nan]</t>
  </si>
  <si>
    <t>[5.99, 6.3, 1.84, 6.88]</t>
  </si>
  <si>
    <t>[6.1, 3.2, 4.07, 5.12]</t>
  </si>
  <si>
    <t>[6.3, 7.28, 4.66, 7.85]</t>
  </si>
  <si>
    <t>[6.06, 7.93, 8.2, nan]</t>
  </si>
  <si>
    <t>[5.91, 4.64, 1.65, 4.32]</t>
  </si>
  <si>
    <t>[5.2, 5.55, 5.68, nan]</t>
  </si>
  <si>
    <t>[-1.8, 1.8, 1.96, 3.91]</t>
  </si>
  <si>
    <t>[2.39, 0.1, -2.59, 4.78]</t>
  </si>
  <si>
    <t>[3.53, 2.2, -8.12, 5.54]</t>
  </si>
  <si>
    <t>[2.2, 4.32, 2.04, 7.72]</t>
  </si>
  <si>
    <t>[-1.58, 0.01, -5.34, nan]</t>
  </si>
  <si>
    <t>[-11.67, 6.35, -3.31, nan]</t>
  </si>
  <si>
    <t>[3.15, 7.97, 10.08, nan]</t>
  </si>
  <si>
    <t>[0.92, -4.63, -16.44, nan]</t>
  </si>
  <si>
    <t>[9.75, 10.02, 8.81, nan]</t>
  </si>
  <si>
    <t>[6.07, 8.15, 32.92, nan]</t>
  </si>
  <si>
    <t>[6.51, 4.66, -3.83, nan]</t>
  </si>
  <si>
    <t>[12.36, 11.68, 10.89, nan]</t>
  </si>
  <si>
    <t>[3.47, 4.89, 3.05, nan]</t>
  </si>
  <si>
    <t>[9.88, 10.64, 8.37, 9.08]</t>
  </si>
  <si>
    <t>[-2.32, -4.95, -36.24, nan]</t>
  </si>
  <si>
    <t>[6.39, 18.91, 4.66, nan]</t>
  </si>
  <si>
    <t>[12.72, 10.12, -2.76, nan]</t>
  </si>
  <si>
    <t>[4.85, 8.5, 11.19, 11.59]</t>
  </si>
  <si>
    <t>[-62.85, -69.85, -38.19, nan]</t>
  </si>
  <si>
    <t>[11.08, 9.0, 8.09, nan]</t>
  </si>
  <si>
    <t>[10.15, 18.76, -1.92, nan]</t>
  </si>
  <si>
    <t>[2.39, 1.75, -1.18, 1.03]</t>
  </si>
  <si>
    <t>[1.22, 4.75, 4.35, nan]</t>
  </si>
  <si>
    <t>[21.94, 16.67, 13.0, nan]</t>
  </si>
  <si>
    <t>[-5.13, -20.04, 15.25, nan]</t>
  </si>
  <si>
    <t>[8.75, 1.45, 21.17, 4.42]</t>
  </si>
  <si>
    <t>[3.46, 17.45, 10.19, nan]</t>
  </si>
  <si>
    <t>[-1.34, -0.54, -9.95, nan]</t>
  </si>
  <si>
    <t>[6.61, 2.7, 9.36, nan]</t>
  </si>
  <si>
    <t>[-7.32, -10.51, -32.68, nan]</t>
  </si>
  <si>
    <t>[12.72, 11.0, 7.6, nan]</t>
  </si>
  <si>
    <t>[-1.24, -6.16, 21.41, nan]</t>
  </si>
  <si>
    <t>[-2.75, -3.54, -11.16, nan]</t>
  </si>
  <si>
    <t>[18.93, 12.7, 10.85, nan]</t>
  </si>
  <si>
    <t>[-36.26, 2.67, -29.87, nan]</t>
  </si>
  <si>
    <t>[11.8, -9.74, -44.66, nan]</t>
  </si>
  <si>
    <t>[14.99, -2.37, -88.16, nan]</t>
  </si>
  <si>
    <t>[-33.13, 2.76, 6.89, nan]</t>
  </si>
  <si>
    <t>[4.58, -11.92, -30.15, nan]</t>
  </si>
  <si>
    <t>[1.97, 1.36, 35.98, nan]</t>
  </si>
  <si>
    <t>[14.07, -12.36, -102.75, nan]</t>
  </si>
  <si>
    <t>[8.99, 6.34, 6.14, nan]</t>
  </si>
  <si>
    <t>[-5.31, -6.91, -18.21, nan]</t>
  </si>
  <si>
    <t>[-12.18, 40.27, -3.52, nan]</t>
  </si>
  <si>
    <t>[11.45, 11.88, -3.39, nan]</t>
  </si>
  <si>
    <t>[4.63, -3.72, 3.82, nan]</t>
  </si>
  <si>
    <t>[7.37, 7.81, 10.87, nan]</t>
  </si>
  <si>
    <t>[-6.67, 8.4, 8.93, nan]</t>
  </si>
  <si>
    <t>[28.01, 9.33, 13.85, nan]</t>
  </si>
  <si>
    <t>[8.53, 10.85, 10.56, nan]</t>
  </si>
  <si>
    <t>[-1.15, 2.94, -3.12, nan]</t>
  </si>
  <si>
    <t>[-11.33, -25.39, 9.07, nan]</t>
  </si>
  <si>
    <t>[3.11, 1.8, -1.42, nan]</t>
  </si>
  <si>
    <t>[0.53, 1.65, 92.94, nan]</t>
  </si>
  <si>
    <t>[10.82, 12.56, 1.83, nan]</t>
  </si>
  <si>
    <t>[5.4, 0.61, -3.81, nan]</t>
  </si>
  <si>
    <t>[25.22, 13.6, 10.89, nan]</t>
  </si>
  <si>
    <t>[1.35, 4.39, 5.8, nan]</t>
  </si>
  <si>
    <t>[-76.03, -34.7, 76.89, nan]</t>
  </si>
  <si>
    <t>[-11.59, 5.04, -24.36, nan]</t>
  </si>
  <si>
    <t>[-8.73, 3.85, -15.48, nan]</t>
  </si>
  <si>
    <t>[-27.39, -2.15, -25.9, nan]</t>
  </si>
  <si>
    <t>[10.48, 10.23, 14.55, nan]</t>
  </si>
  <si>
    <t>[14.16, 13.01, 14.63, nan]</t>
  </si>
  <si>
    <t>[1.96, 3.53, 1.52, nan]</t>
  </si>
  <si>
    <t>[2.16, -0.14, 6.95, nan]</t>
  </si>
  <si>
    <t>[4.99, -4.06, -10.56, nan]</t>
  </si>
  <si>
    <t>[-39.0, -92.82, -5.8, nan]</t>
  </si>
  <si>
    <t>[9.89, 50.19, 5.23, nan]</t>
  </si>
  <si>
    <t>[10.18, 9.59, 8.07, nan]</t>
  </si>
  <si>
    <t>[1.35, 1.81, 0.26, nan]</t>
  </si>
  <si>
    <t>[4.13, 4.74, 3.58, nan]</t>
  </si>
  <si>
    <t>[7.69, 5.97, 8.39, nan]</t>
  </si>
  <si>
    <t>[21.41, 6.54, 38.01, nan]</t>
  </si>
  <si>
    <t>[-0.22, 1.77, 0.31, nan]</t>
  </si>
  <si>
    <t>[8.54, 5.65, 1.36, 5.89]</t>
  </si>
  <si>
    <t>[-10.46, -7.54, 5.03, nan]</t>
  </si>
  <si>
    <t>[6.36, 3.24, 3.18, 5.29]</t>
  </si>
  <si>
    <t>[3.48, 3.81, 1.57, 2.9]</t>
  </si>
  <si>
    <t>[14.11, -181.03, -205.56, nan]</t>
  </si>
  <si>
    <t>[24.7, 5.98, 3.59, nan]</t>
  </si>
  <si>
    <t>[-15.79, -16.33, -17.41, nan]</t>
  </si>
  <si>
    <t>[-20.71, -47.47, -4.23, nan]</t>
  </si>
  <si>
    <t>[16.89, 16.55, -17.68, nan]</t>
  </si>
  <si>
    <t>[-1.46, -3.96, 2.34, nan]</t>
  </si>
  <si>
    <t>[0.53, -12.11, 18.52, nan]</t>
  </si>
  <si>
    <t>[4.37, 2.95, 11.85, nan]</t>
  </si>
  <si>
    <t>[-13.29, -14.55, -24.58, nan]</t>
  </si>
  <si>
    <t>[22.73, 15.7, 10.73, nan]</t>
  </si>
  <si>
    <t>[3.05, 0.5, 1.0, nan]</t>
  </si>
  <si>
    <t>[10.72, -5.18, 1.61, nan]</t>
  </si>
  <si>
    <t>[13.22, -1.11, 12.4, nan]</t>
  </si>
  <si>
    <t>[4.4, 4.73, 3.76, nan]</t>
  </si>
  <si>
    <t>[-7.17, 7.47, -0.66, nan]</t>
  </si>
  <si>
    <t>[-14.94, 19.76, 11.58, nan]</t>
  </si>
  <si>
    <t>[3.95, 3.44, 93.94, nan]</t>
  </si>
  <si>
    <t>[7.83, -0.98, 3.68, nan]</t>
  </si>
  <si>
    <t>[-21.59, -6.79, 1.58, nan]</t>
  </si>
  <si>
    <t>[7.84, -9.26, -10.63, nan]</t>
  </si>
  <si>
    <t>[-1.74, -17.61, -34.92, nan]</t>
  </si>
  <si>
    <t>[1.81, 1.61, -0.46, nan]</t>
  </si>
  <si>
    <t>[17.7, 14.52, 16.96, 15.51]</t>
  </si>
  <si>
    <t>[14.41, 3.28, 5.86, nan]</t>
  </si>
  <si>
    <t>[13.22, 18.62, 27.81, 28.31]</t>
  </si>
  <si>
    <t>[3.42, 0.86, 2.24, nan]</t>
  </si>
  <si>
    <t>[-1.88, 1.41, -0.32, 0.69]</t>
  </si>
  <si>
    <t>[9.04, -37.95, 48.53, nan]</t>
  </si>
  <si>
    <t>[7.97, -5.59, -3.58, nan]</t>
  </si>
  <si>
    <t>[12.14, 9.37, 7.35, nan]</t>
  </si>
  <si>
    <t>[2.42, 3.69, -4.93, nan]</t>
  </si>
  <si>
    <t>[14.53, -5.21, 4.55, nan]</t>
  </si>
  <si>
    <t>[3.21, 7.2, 9.27, nan]</t>
  </si>
  <si>
    <t>[-1.58, 2.73, 0.63, nan]</t>
  </si>
  <si>
    <t>[-31.36, -44.62, 4.91, nan]</t>
  </si>
  <si>
    <t>[14.53, 15.06, 154.56, nan]</t>
  </si>
  <si>
    <t>[-26.68, -52.05, -12.47, nan]</t>
  </si>
  <si>
    <t>[5.57, 5.79, 4.49, nan]</t>
  </si>
  <si>
    <t>[4.96, 4.27, 1.28, nan]</t>
  </si>
  <si>
    <t>[-12.43, -8.21, -20.55, nan]</t>
  </si>
  <si>
    <t>[15.67, 16.62, 17.6, nan]</t>
  </si>
  <si>
    <t>[8.53, 11.5, 4.49, nan]</t>
  </si>
  <si>
    <t>[15.93, 2.32, 11.27, nan]</t>
  </si>
  <si>
    <t>[-81.71, 40.06, 54.24, nan]</t>
  </si>
  <si>
    <t>[10.83, 4.42, 9.68, nan]</t>
  </si>
  <si>
    <t>[6.34, 8.77, 1.23, nan]</t>
  </si>
  <si>
    <t>[11.74, -12.11, 1.6, nan]</t>
  </si>
  <si>
    <t>[31.07, 11.11, 11.7, nan]</t>
  </si>
  <si>
    <t>[5.27, 8.11, 9.15, nan]</t>
  </si>
  <si>
    <t>[7.08, 11.61, 22.19, nan]</t>
  </si>
  <si>
    <t>[-8.33, -7.3, 3.69, nan]</t>
  </si>
  <si>
    <t>[5.49, 4.92, -6.65, nan]</t>
  </si>
  <si>
    <t>[3.15, 2.61, 6.31, nan]</t>
  </si>
  <si>
    <t>[12.51, 2.8, -0.12, nan]</t>
  </si>
  <si>
    <t>[3.97, -0.28, 3.97, nan]</t>
  </si>
  <si>
    <t>[8.58, 11.23, 20.09, 19.81]</t>
  </si>
  <si>
    <t>[8.45, 10.04, 6.38, nan]</t>
  </si>
  <si>
    <t>[4.31, 22.13, -4.76, nan]</t>
  </si>
  <si>
    <t>[11.83, 7.36, 0.93, nan]</t>
  </si>
  <si>
    <t>[2.98, 1.82, 4.61, nan]</t>
  </si>
  <si>
    <t>[-10.52, -0.75, -5.9, nan]</t>
  </si>
  <si>
    <t>[-52.88, -82.41, -82.93, nan]</t>
  </si>
  <si>
    <t>[15.15, 11.74, 7.84, 7.52]</t>
  </si>
  <si>
    <t>[7.36, 9.82, 10.11, nan]</t>
  </si>
  <si>
    <t>[-40.21, -28.25, -16.41, nan]</t>
  </si>
  <si>
    <t>[3.03, 1.71, 2.49, nan]</t>
  </si>
  <si>
    <t>[5.26, -3.16, 5.01, nan]</t>
  </si>
  <si>
    <t>[31.2, 40.8, -7.59, nan]</t>
  </si>
  <si>
    <t>[9.59, 9.79, 9.29, nan]</t>
  </si>
  <si>
    <t>[5.74, 9.17, -16.44, nan]</t>
  </si>
  <si>
    <t>[14.13, 13.5, 9.31, nan]</t>
  </si>
  <si>
    <t>[8.47, 2.34, 8.42, nan]</t>
  </si>
  <si>
    <t>[3.8, 4.42, 4.71, nan]</t>
  </si>
  <si>
    <t>[11.59, -9.28, -27.15, nan]</t>
  </si>
  <si>
    <t>[22.32, 19.43, 12.19, nan]</t>
  </si>
  <si>
    <t>[-26.68, -11.1, -2.68, nan]</t>
  </si>
  <si>
    <t>[5.6, -0.34, 0.74, 16.17]</t>
  </si>
  <si>
    <t>[12.93, 33.47, -24.87, nan]</t>
  </si>
  <si>
    <t>[22.21, 15.29, 10.1, nan]</t>
  </si>
  <si>
    <t>[16.22, 6.11, 6.93, 13.67]</t>
  </si>
  <si>
    <t>[-3.83, 6.73, 10.21, 15.39]</t>
  </si>
  <si>
    <t>[2.16, 3.22, 4.8, nan]</t>
  </si>
  <si>
    <t>[7.05, 2.25, 2.7, nan]</t>
  </si>
  <si>
    <t>[9.15, 4.36, 2.84, nan]</t>
  </si>
  <si>
    <t>[8.34, 8.65, 4.48, nan]</t>
  </si>
  <si>
    <t>[4.69, 4.79, 4.84, nan]</t>
  </si>
  <si>
    <t>[-19.91, 2.67, 19.87, 4.21]</t>
  </si>
  <si>
    <t>[3.77, 3.39, -1.36, nan]</t>
  </si>
  <si>
    <t>[4.88, 7.09, 3.68, nan]</t>
  </si>
  <si>
    <t>[0.39, -0.05, -2.92, nan]</t>
  </si>
  <si>
    <t>[1.17, 26.85, -13.74, nan]</t>
  </si>
  <si>
    <t>[2.15, 4.73, 4.52, 6.02]</t>
  </si>
  <si>
    <t>[12.88, 9.72, -7.29, nan]</t>
  </si>
  <si>
    <t>[-19.25, -43.38, 31.69, nan]</t>
  </si>
  <si>
    <t>[7.35, 4.45, 21.01, 10.98]</t>
  </si>
  <si>
    <t>[7.11, 8.12, 7.2, nan]</t>
  </si>
  <si>
    <t>[7.34, 4.79, 7.35, 7.95]</t>
  </si>
  <si>
    <t>[5.65, 4.35, 3.7, nan]</t>
  </si>
  <si>
    <t>[2.94, 2.76, -3.02, 1.15]</t>
  </si>
  <si>
    <t>[7.5, 7.94, -1.09, 4.88]</t>
  </si>
  <si>
    <t>[4.2, 6.0, 5.48, nan]</t>
  </si>
  <si>
    <t>[-2.19, 1.25, 3.8, 3.72]</t>
  </si>
  <si>
    <t>[4.54, 3.72, 7.5, 5.55]</t>
  </si>
  <si>
    <t>[5.32, 4.03, 7.23, nan]</t>
  </si>
  <si>
    <t>[14.67, 1.51, -6.54, nan]</t>
  </si>
  <si>
    <t>[9.78, 14.61, 18.85, nan]</t>
  </si>
  <si>
    <t>[-9.36, -6.93, -6.63, nan]</t>
  </si>
  <si>
    <t>[4.28, 4.28, 4.55, nan]</t>
  </si>
  <si>
    <t>[35.2, 6.38, 17.88, nan]</t>
  </si>
  <si>
    <t>[0.58, 1.31, 7.74, nan]</t>
  </si>
  <si>
    <t>[0.44, 2.58, 3.26, nan]</t>
  </si>
  <si>
    <t>[2.62, 1.37, -1.05, nan]</t>
  </si>
  <si>
    <t>[7.27, 11.21, 12.02, 11.8]</t>
  </si>
  <si>
    <t>[4.55, 13.1, 14.21, nan]</t>
  </si>
  <si>
    <t>[-1.98, -14.15, 10.57, nan]</t>
  </si>
  <si>
    <t>[4.08, 12.71, -6.53, nan]</t>
  </si>
  <si>
    <t>[4.48, 1.06, 2.24, nan]</t>
  </si>
  <si>
    <t>[2.99, 2.21, 2.46, nan]</t>
  </si>
  <si>
    <t>[1.61, 3.01, 2.62, nan]</t>
  </si>
  <si>
    <t>[11.83, 1.64, -1.43, 4.8]</t>
  </si>
  <si>
    <t>[8.06, -2.17, -9.21, nan]</t>
  </si>
  <si>
    <t>[-3.89, 4.64, 2.55, nan]</t>
  </si>
  <si>
    <t>[-17.96, 22.51, 24.75, nan]</t>
  </si>
  <si>
    <t>[5.18, 4.98, 3.45, nan]</t>
  </si>
  <si>
    <t>[5.83, 7.56, 8.93, 9.34]</t>
  </si>
  <si>
    <t>[4.31, 6.98, 7.36, nan]</t>
  </si>
  <si>
    <t>[11.62, 32.82, 14.51, nan]</t>
  </si>
  <si>
    <t>[11.55, 12.76, 16.88, 15.09]</t>
  </si>
  <si>
    <t>[6.18, 5.8, 11.58, nan]</t>
  </si>
  <si>
    <t>[8.17, 7.57, 23.35, nan]</t>
  </si>
  <si>
    <t>[1.17, 5.36, -7.24, nan]</t>
  </si>
  <si>
    <t>[6.37, 7.36, 6.01, 7.12]</t>
  </si>
  <si>
    <t>[4.56, 30.57, 10.02, nan]</t>
  </si>
  <si>
    <t>[8.9, -3.13, 1.85, nan]</t>
  </si>
  <si>
    <t>[5.88, -2.66, 3.78, nan]</t>
  </si>
  <si>
    <t>[2.17, 2.8, 3.61, nan]</t>
  </si>
  <si>
    <t>[13.0, 15.06, 13.08, 12.45]</t>
  </si>
  <si>
    <t>[0.1, 0.85, 0.23, nan]</t>
  </si>
  <si>
    <t>[16.44, -6.69, -2.53, nan]</t>
  </si>
  <si>
    <t>[-5.21, 23.52, -34.34, 15.05]</t>
  </si>
  <si>
    <t>[14.04, 11.59, 6.47, 12.45]</t>
  </si>
  <si>
    <t>[9.1, 7.28, 3.0, nan]</t>
  </si>
  <si>
    <t>[4.29, 14.18, 10.98, nan]</t>
  </si>
  <si>
    <t>[1.75, 4.73, -3.39, nan]</t>
  </si>
  <si>
    <t>[18.33, 12.03, 14.27, 12.83]</t>
  </si>
  <si>
    <t>[10.76, 11.5, 7.48, nan]</t>
  </si>
  <si>
    <t>[-4.47, -8.03, -7.7, 1.04]</t>
  </si>
  <si>
    <t>[13.87, 15.26, 16.06, nan]</t>
  </si>
  <si>
    <t>[16.72, 11.73, 12.65, 12.32]</t>
  </si>
  <si>
    <t>[0.94, 3.19, 3.42, 6.5]</t>
  </si>
  <si>
    <t>[2.8, -5.21, -3.03, 11.86]</t>
  </si>
  <si>
    <t>[13.04, 5.51, 1.22, 12.13]</t>
  </si>
  <si>
    <t>[6.31, 5.4, 9.56, 5.08]</t>
  </si>
  <si>
    <t>[5.8, 3.86, 1.69, 3.44]</t>
  </si>
  <si>
    <t>[1.17, 0.46, 0.55, nan]</t>
  </si>
  <si>
    <t>[6.63, 5.96, 1.05, nan]</t>
  </si>
  <si>
    <t>[0.23, 3.25, -6.04, nan]</t>
  </si>
  <si>
    <t>[8.62, 7.36, 6.44, 6.81]</t>
  </si>
  <si>
    <t>[0.6, 5.55, 20.0, nan]</t>
  </si>
  <si>
    <t>[8.69, 10.36, 10.06, 10.76]</t>
  </si>
  <si>
    <t>[8.78, 8.92, 8.53, 9.37]</t>
  </si>
  <si>
    <t>[-0.41, -4.37, 12.79, 6.1]</t>
  </si>
  <si>
    <t>[7.6, 4.61, -22.99, nan]</t>
  </si>
  <si>
    <t>[1.37, 32.69, 11.94, nan]</t>
  </si>
  <si>
    <t>[3.29, 5.58, 4.16, nan]</t>
  </si>
  <si>
    <t>[2.54, 9.18, 12.7, nan]</t>
  </si>
  <si>
    <t>[5.5, 4.58, 4.76, 5.93]</t>
  </si>
  <si>
    <t>[3.02, 4.66, 4.79, nan]</t>
  </si>
  <si>
    <t>[6.73, 9.18, 13.04, nan]</t>
  </si>
  <si>
    <t>[7.3, 4.72, 6.64, nan]</t>
  </si>
  <si>
    <t>[4.92, 5.6, 4.4, nan]</t>
  </si>
  <si>
    <t>[7.35, 5.65, 1.41, 4.59]</t>
  </si>
  <si>
    <t>[-1.46, -22.35, -0.79, 9.63]</t>
  </si>
  <si>
    <t>[-6.06, 2.48, 23.72, 11.57]</t>
  </si>
  <si>
    <t>[7.97, 6.3, 6.46, 8.86]</t>
  </si>
  <si>
    <t>[nan, 20.3, 8.85, 12.57]</t>
  </si>
  <si>
    <t>[38.88, 12.62, 4.72, nan]</t>
  </si>
  <si>
    <t>[3.94, 6.58, 3.69, nan]</t>
  </si>
  <si>
    <t>[9.25, 6.88, 6.93, 7.46]</t>
  </si>
  <si>
    <t>[6.84, 7.07, 6.11, 6.83]</t>
  </si>
  <si>
    <t>[2.26, 6.6, 4.12, nan]</t>
  </si>
  <si>
    <t>[6.91, 6.24, 1.89, 4.58]</t>
  </si>
  <si>
    <t>[2.89, 4.68, 3.2, nan]</t>
  </si>
  <si>
    <t>[-2.87, 2.53, 2.39, nan]</t>
  </si>
  <si>
    <t>[8.58, 7.15, 12.86, nan]</t>
  </si>
  <si>
    <t>[10.95, 6.81, 9.04, 9.52]</t>
  </si>
  <si>
    <t>[0.0, 2.25, 4.0, nan]</t>
  </si>
  <si>
    <t>[17.34, 11.79, 7.68, 13.69]</t>
  </si>
  <si>
    <t>[12.37, 11.74, 11.84, nan]</t>
  </si>
  <si>
    <t>[18.7, 23.04, 23.71, nan]</t>
  </si>
  <si>
    <t>[1.83, 2.54, 0.66, nan]</t>
  </si>
  <si>
    <t>[5.54, 5.83, 5.67, nan]</t>
  </si>
  <si>
    <t>[5.55, 4.86, 3.66, nan]</t>
  </si>
  <si>
    <t>[6.47, -3.63, 5.19, nan]</t>
  </si>
  <si>
    <t>[11.14, 6.26, -2.82, 9.45]</t>
  </si>
  <si>
    <t>[3.83, -9.4, -39.53, 4.41]</t>
  </si>
  <si>
    <t>[13.73, 0.8, 3.94, 5.3]</t>
  </si>
  <si>
    <t>[2.59, -11.96, -4.87, nan]</t>
  </si>
  <si>
    <t>[5.16, 0.07, 5.3, nan]</t>
  </si>
  <si>
    <t>[0.04, 2.12, 3.65, nan]</t>
  </si>
  <si>
    <t>[7.71, 2.8, 4.34, nan]</t>
  </si>
  <si>
    <t>[11.11, 7.45, 5.46, nan]</t>
  </si>
  <si>
    <t>[7.46, 2.26, 3.68, nan]</t>
  </si>
  <si>
    <t>[2.87, 6.01, 1.76, nan]</t>
  </si>
  <si>
    <t>[-1.23, 0.45, 2.49, nan]</t>
  </si>
  <si>
    <t>[24.46, 16.94, 18.69, 16.04]</t>
  </si>
  <si>
    <t>[0.25, -0.04, 0.62, nan]</t>
  </si>
  <si>
    <t>[7.31, 9.12, 10.32, 12.4]</t>
  </si>
  <si>
    <t>[5.61, 5.57, 10.08, nan]</t>
  </si>
  <si>
    <t>[3.07, 1.56, -7.56, nan]</t>
  </si>
  <si>
    <t>[7.52, 7.44, 6.35, nan]</t>
  </si>
  <si>
    <t>[9.11, 9.06, 9.35, nan]</t>
  </si>
  <si>
    <t>[9.5, 6.93, 5.54, nan]</t>
  </si>
  <si>
    <t>[5.18, -3.23, -0.55, 3.79]</t>
  </si>
  <si>
    <t>[7.15, 6.48, -3.4, nan]</t>
  </si>
  <si>
    <t>[0.9, 0.89, -0.85, nan]</t>
  </si>
  <si>
    <t>[-34.82, -53.17, -33.15, nan]</t>
  </si>
  <si>
    <t>[-3.04, -15.84, -4.33, nan]</t>
  </si>
  <si>
    <t>[4.36, 8.78, 4.62, nan]</t>
  </si>
  <si>
    <t>[4.63, 5.29, 6.53, nan]</t>
  </si>
  <si>
    <t>[3.88, 4.18, 3.61, 8.35]</t>
  </si>
  <si>
    <t>[1.62, -16.34, -11.93, nan]</t>
  </si>
  <si>
    <t>[3.43, 4.81, -5.16, nan]</t>
  </si>
  <si>
    <t>[20.48, 2.17, 7.54, nan]</t>
  </si>
  <si>
    <t>[2.62, 4.23, 1.63, nan]</t>
  </si>
  <si>
    <t>[2.11, 3.32, 2.02, nan]</t>
  </si>
  <si>
    <t>[14.88, 4.3, 1.11, 5.48]</t>
  </si>
  <si>
    <t>[3.9, 9.85, 14.91, 7.56]</t>
  </si>
  <si>
    <t>[0.31, -5.85, 1.63, 5.12]</t>
  </si>
  <si>
    <t>[5.56, 11.52, 14.71, nan]</t>
  </si>
  <si>
    <t>[2.85, 5.62, 1.99, nan]</t>
  </si>
  <si>
    <t>[15.52, 3.91, 6.44, 9.22]</t>
  </si>
  <si>
    <t>[0.78, 6.49, 4.07, nan]</t>
  </si>
  <si>
    <t>[3.27, 2.72, 1.37, nan]</t>
  </si>
  <si>
    <t>[5.23, 8.18, 10.48, nan]</t>
  </si>
  <si>
    <t>[4.18, -5.02, 1.49, nan]</t>
  </si>
  <si>
    <t>[8.06, 4.77, 3.81, 5.02]</t>
  </si>
  <si>
    <t>[-16.98, -31.41, 4.35, nan]</t>
  </si>
  <si>
    <t>[8.17, 2.01, 1.48, nan]</t>
  </si>
  <si>
    <t>[6.25, 5.76, 3.48, nan]</t>
  </si>
  <si>
    <t>[6.94, 14.24, -2.81, 6.77]</t>
  </si>
  <si>
    <t>[16.32, 5.44, 33.89, nan]</t>
  </si>
  <si>
    <t>[24.25, 8.91, 6.12, nan]</t>
  </si>
  <si>
    <t>[6.87, 7.84, 3.84, nan]</t>
  </si>
  <si>
    <t>[-10.55, -32.05, 3.04, nan]</t>
  </si>
  <si>
    <t>[-13.36, -1.66, 1.68, 3.57]</t>
  </si>
  <si>
    <t>[1.37, 0.92, 0.92, nan]</t>
  </si>
  <si>
    <t>[6.73, 6.53, 1.8, nan]</t>
  </si>
  <si>
    <t>[-0.53, 4.52, 3.51, 3.42]</t>
  </si>
  <si>
    <t>[-3.31, 0.74, -3.92, nan]</t>
  </si>
  <si>
    <t>[-4.67, 1.19, 1.57, nan]</t>
  </si>
  <si>
    <t>[-14.65, -37.57, -15.33, nan]</t>
  </si>
  <si>
    <t>[4.06, 1.66, -1.56, nan]</t>
  </si>
  <si>
    <t>[24.79, 14.26, 9.72, nan]</t>
  </si>
  <si>
    <t>[-2.19, -1.33, 2.38, nan]</t>
  </si>
  <si>
    <t>[8.33, 8.02, 7.97, 8.54]</t>
  </si>
  <si>
    <t>[23.41, 34.66, 21.14, nan]</t>
  </si>
  <si>
    <t>[5.9, 5.66, 6.66, nan]</t>
  </si>
  <si>
    <t>[9.22, 4.13, 5.55, nan]</t>
  </si>
  <si>
    <t>[6.54, 6.15, 5.72, nan]</t>
  </si>
  <si>
    <t>[6.55, 10.03, 15.59, 22.86]</t>
  </si>
  <si>
    <t>[-5.2, 1.52, -4.69, nan]</t>
  </si>
  <si>
    <t>[6.17, 5.04, 2.2, nan]</t>
  </si>
  <si>
    <t>[9.15, 6.6, 7.92, nan]</t>
  </si>
  <si>
    <t>[0.06, 1.22, -3.69, nan]</t>
  </si>
  <si>
    <t>[-1.53, -2.02, 1.85, nan]</t>
  </si>
  <si>
    <t>[-9.43, -3.3, -15.32, nan]</t>
  </si>
  <si>
    <t>[1.72, 1.58, -8.48, nan]</t>
  </si>
  <si>
    <t>[3.56, 3.47, -1.42, nan]</t>
  </si>
  <si>
    <t>[18.04, 32.25, 38.76, nan]</t>
  </si>
  <si>
    <t>[3.06, 1.0, 1.42, nan]</t>
  </si>
  <si>
    <t>[9.21, 9.09, 8.2, 8.8]</t>
  </si>
  <si>
    <t>[3.03, 2.54, 3.98, nan]</t>
  </si>
  <si>
    <t>[4.37, 1.83, 30.04, nan]</t>
  </si>
  <si>
    <t>[1.4, 5.85, -1.75, nan]</t>
  </si>
  <si>
    <t>[1.31, 1.36, 1.12, nan]</t>
  </si>
  <si>
    <t>[23.1, 21.11, 12.01, nan]</t>
  </si>
  <si>
    <t>[5.52, 9.87, 10.29, 13.88]</t>
  </si>
  <si>
    <t>[-1.01, 3.33, 16.31, nan]</t>
  </si>
  <si>
    <t>[15.52, 1.97, 1.69, nan]</t>
  </si>
  <si>
    <t>[-6.44, -10.49, 25.83, nan]</t>
  </si>
  <si>
    <t>[-2.54, 7.16, 3.29, nan]</t>
  </si>
  <si>
    <t>[5.49, 2.75, 4.05, 3.81]</t>
  </si>
  <si>
    <t>[-1.0, -4.35, -2.65, nan]</t>
  </si>
  <si>
    <t>[12.5, 12.97, 7.19, nan]</t>
  </si>
  <si>
    <t>[nan, nan, 5.87, 8.15]</t>
  </si>
  <si>
    <t>[2.48, -3.41, -4.54, nan]</t>
  </si>
  <si>
    <t>[-6.66, 3.61, -13.17, nan]</t>
  </si>
  <si>
    <t>[-37.66, -19.68, -8.46, nan]</t>
  </si>
  <si>
    <t>[-3.13, 0.64, -12.89, nan]</t>
  </si>
  <si>
    <t>[13.72, 8.05, 6.94, nan]</t>
  </si>
  <si>
    <t>[3.69, 7.4, 4.03, 7.38]</t>
  </si>
  <si>
    <t>[8.49, 9.6, 7.64, nan]</t>
  </si>
  <si>
    <t>[4.07, 3.56, 1.94, nan]</t>
  </si>
  <si>
    <t>[-31.09, -7.77, 7.04, nan]</t>
  </si>
  <si>
    <t>[9.19, 5.87, 6.05, nan]</t>
  </si>
  <si>
    <t>[-6.38, -14.2, 2.81, nan]</t>
  </si>
  <si>
    <t>[2.5, 7.25, 4.74, 9.76]</t>
  </si>
  <si>
    <t>[16.36, 8.62, 11.72, nan]</t>
  </si>
  <si>
    <t>[0.91, 2.01, 0.93, nan]</t>
  </si>
  <si>
    <t>[15.83, 10.99, 8.9, 13.06]</t>
  </si>
  <si>
    <t>[2.08, 3.51, 2.94, 4.57]</t>
  </si>
  <si>
    <t>[7.07, 6.36, 5.3, nan]</t>
  </si>
  <si>
    <t>[29.05, -0.32, 1.76, nan]</t>
  </si>
  <si>
    <t>[6.37, 5.36, 9.11, nan]</t>
  </si>
  <si>
    <t>[12.11, 11.17, 6.27, nan]</t>
  </si>
  <si>
    <t>[1.63, -7.49, 8.4, nan]</t>
  </si>
  <si>
    <t>[-0.64, -4.09, 22.75, nan]</t>
  </si>
  <si>
    <t>[4.91, 2.4, -1.6, nan]</t>
  </si>
  <si>
    <t>[-8.32, -6.42, 1.54, nan]</t>
  </si>
  <si>
    <t>[5.4, -2.67, -1.84, nan]</t>
  </si>
  <si>
    <t>[12.09, 11.65, 9.26, nan]</t>
  </si>
  <si>
    <t>[2.57, 2.98, 2.49, 3.5]</t>
  </si>
  <si>
    <t>[-0.1, 2.56, 13.58, nan]</t>
  </si>
  <si>
    <t>[-2.62, 0.97, -0.37, nan]</t>
  </si>
  <si>
    <t>[3.04, 1.58, 9.7, 7.13]</t>
  </si>
  <si>
    <t>[6.49, 6.27, 4.49, nan]</t>
  </si>
  <si>
    <t>[17.49, 12.38, 14.88, nan]</t>
  </si>
  <si>
    <t>[5.97, 5.03, 3.84, nan]</t>
  </si>
  <si>
    <t>[3.18, 1.77, 2.34, 2.95]</t>
  </si>
  <si>
    <t>[8.99, 9.58, 7.59, nan]</t>
  </si>
  <si>
    <t>[8.82, 7.75, 10.5, nan]</t>
  </si>
  <si>
    <t>[5.02, 2.18, 6.96, nan]</t>
  </si>
  <si>
    <t>[8.96, 14.22, 14.17, nan]</t>
  </si>
  <si>
    <t>[10.84, 16.97, 27.63, 23.59]</t>
  </si>
  <si>
    <t>[5.82, 8.91, 1.59, nan]</t>
  </si>
  <si>
    <t>[4.13, 3.07, 5.06, nan]</t>
  </si>
  <si>
    <t>[7.39, 4.34, 3.26, nan]</t>
  </si>
  <si>
    <t>[8.78, 4.83, 4.94, 6.36]</t>
  </si>
  <si>
    <t>[-5.35, -28.17, -11.4, nan]</t>
  </si>
  <si>
    <t>[19.21, 8.38, 61.96, nan]</t>
  </si>
  <si>
    <t>[5.04, 5.04, 5.69, 7.05]</t>
  </si>
  <si>
    <t>[7.14, 6.99, -7.14, 8.57]</t>
  </si>
  <si>
    <t>[7.37, 8.15, 9.89, 13.67]</t>
  </si>
  <si>
    <t>[5.71, 3.03, 3.26, 3.78]</t>
  </si>
  <si>
    <t>[3.35, -3.82, 2.86, nan]</t>
  </si>
  <si>
    <t>[7.21, 5.88, 1.03, nan]</t>
  </si>
  <si>
    <t>[3.23, 0.13, -2.15, nan]</t>
  </si>
  <si>
    <t>[1.14, 0.93, -14.18, 7.04]</t>
  </si>
  <si>
    <t>[0.36, 4.98, 8.23, nan]</t>
  </si>
  <si>
    <t>[nan, 4.42, 5.67, nan]</t>
  </si>
  <si>
    <t>[3.89, -1.91, -4.23, nan]</t>
  </si>
  <si>
    <t>[5.61, 6.72, 24.25, nan]</t>
  </si>
  <si>
    <t>[-0.93, -2.52, 2.8, nan]</t>
  </si>
  <si>
    <t>[4.68, 8.04, 5.78, nan]</t>
  </si>
  <si>
    <t>[4.46, 3.06, 13.14, nan]</t>
  </si>
  <si>
    <t>[67.82, 11.92, 9.19, nan]</t>
  </si>
  <si>
    <t>[-1.6, -2.14, 0.96, 2.57]</t>
  </si>
  <si>
    <t>[-5.48, -1.19, -6.83, nan]</t>
  </si>
  <si>
    <t>[5.47, 0.83, 3.89, nan]</t>
  </si>
  <si>
    <t>[-1.0, -7.35, -6.8, nan]</t>
  </si>
  <si>
    <t>[4.38, 4.43, 2.53, 4.35]</t>
  </si>
  <si>
    <t>[14.58, 18.57, 20.65, nan]</t>
  </si>
  <si>
    <t>[-73.72, -197.47, 123.7, nan]</t>
  </si>
  <si>
    <t>[0, 34.14, 18.04, nan, nan]</t>
  </si>
  <si>
    <t>[10.99, 14.02, 11.0, nan]</t>
  </si>
  <si>
    <t>[11.39, 12.32, 13.22, 12.51]</t>
  </si>
  <si>
    <t>[14.63, 35.27, 17.43, 15.1]</t>
  </si>
  <si>
    <t>[11.03, 14.41, 12.71, nan]</t>
  </si>
  <si>
    <t>[18.7, 9.11, 14.57, nan]</t>
  </si>
  <si>
    <t>[0, -10.29, 100.25, nan, nan]</t>
  </si>
  <si>
    <t>[17.29, 12.66, 14.88, 11.42]</t>
  </si>
  <si>
    <t>[-53.58, 35.12, -17.43, nan]</t>
  </si>
  <si>
    <t>[30.38, 21.0, 2.74, nan]</t>
  </si>
  <si>
    <t>[17.09, 18.76, 15.09, nan]</t>
  </si>
  <si>
    <t>[91.73, 35.28, 33.66, 29.75]</t>
  </si>
  <si>
    <t>[22.26, 18.34, 9.97, nan]</t>
  </si>
  <si>
    <t>[-117.02, 81.43, 52.24, nan]</t>
  </si>
  <si>
    <t>[-2.39, 19.5, 18.28, nan]</t>
  </si>
  <si>
    <t>[22.47, 8.01, 20.49, 17.06]</t>
  </si>
  <si>
    <t>[5.15, 33.12, 6.03, nan]</t>
  </si>
  <si>
    <t>[31.64, 21.36, 25.66, 18.87]</t>
  </si>
  <si>
    <t>[14.23, 10.84, 16.61, nan]</t>
  </si>
  <si>
    <t>[26.8, 22.72, 22.98, 20.4]</t>
  </si>
  <si>
    <t>[23.54, 13.52, 13.39, 16.39]</t>
  </si>
  <si>
    <t>[21.46, 3.16, 13.5, 11.12]</t>
  </si>
  <si>
    <t>[nan, 59.19, 15.65, 22.59]</t>
  </si>
  <si>
    <t>[11.38, 6.39, 29.27, 10.47]</t>
  </si>
  <si>
    <t>[64.43, 27.52, 2.51, 16.22]</t>
  </si>
  <si>
    <t>[28.89, 18.07, 12.15, 12.01]</t>
  </si>
  <si>
    <t>[31.64, 25.13, 16.59, 24.44]</t>
  </si>
  <si>
    <t>[33.84, 30.74, 31.51, 28.01]</t>
  </si>
  <si>
    <t>[1.09, 15.59, 23.54, nan]</t>
  </si>
  <si>
    <t>[3.59, 8.04, 17.83, 24.05]</t>
  </si>
  <si>
    <t>[20.69, 11.77, 16.91, nan]</t>
  </si>
  <si>
    <t>[13.95, 26.19, -11.02, nan]</t>
  </si>
  <si>
    <t>[20.01, 20.57, 28.02, nan]</t>
  </si>
  <si>
    <t>[16.51, 20.97, 16.2, nan]</t>
  </si>
  <si>
    <t>[1.56, 5.99, 16.88, nan]</t>
  </si>
  <si>
    <t>[39.83, 30.62, 15.65, 27.72]</t>
  </si>
  <si>
    <t>[16.67, 19.94, 5.54, nan]</t>
  </si>
  <si>
    <t>[19.53, 25.86, 51.02, nan]</t>
  </si>
  <si>
    <t>[10.6, 11.25, 12.45, 11.71]</t>
  </si>
  <si>
    <t>[73.29, 48.11, 20.56, 15.63]</t>
  </si>
  <si>
    <t>[0, 43.92, 40.43, 29.06, nan]</t>
  </si>
  <si>
    <t>[11.42, 7.78, 16.95, 14.3]</t>
  </si>
  <si>
    <t>[28.76, 23.33, 16.23, 16.74]</t>
  </si>
  <si>
    <t>[21.34, 13.73, 4.15, nan]</t>
  </si>
  <si>
    <t>[10.65, 4.15, 20.37, nan]</t>
  </si>
  <si>
    <t>[8.76, 19.01, 125.91, 59.55]</t>
  </si>
  <si>
    <t>[-69.64, -3.68, 75.7, 46.77]</t>
  </si>
  <si>
    <t>[24.08, 19.05, 13.91, nan]</t>
  </si>
  <si>
    <t>[9.26, 10.0, 10.91, 11.04]</t>
  </si>
  <si>
    <t>[19.68, 23.63, 25.11, 23.1]</t>
  </si>
  <si>
    <t>[11.06, 21.18, 6.68, nan]</t>
  </si>
  <si>
    <t>[24.53, 18.13, 11.93, nan]</t>
  </si>
  <si>
    <t>[-4.01, -12.14, 23.89, nan]</t>
  </si>
  <si>
    <t>[8.88, 22.33, 9.15, nan]</t>
  </si>
  <si>
    <t>[19.02, 18.93, 16.94, 17.93]</t>
  </si>
  <si>
    <t>[25.39, 7.48, 37.44, nan]</t>
  </si>
  <si>
    <t>[20.99, 17.88, 47.0, nan]</t>
  </si>
  <si>
    <t>[20.26, 36.0, 32.49, nan]</t>
  </si>
  <si>
    <t>[-15.15, 3.18, 76.4, nan]</t>
  </si>
  <si>
    <t>[8.51, 14.07, 12.81, nan]</t>
  </si>
  <si>
    <t>[16.16, 23.15, 21.46, 16.86]</t>
  </si>
  <si>
    <t>[6.51, 12.73, 11.95, nan]</t>
  </si>
  <si>
    <t>[49.27, 24.22, 8.69, 15.38]</t>
  </si>
  <si>
    <t>[18.39, 17.14, 13.67, 15.16]</t>
  </si>
  <si>
    <t>[nan, 84.04, 18.14, 25.04]</t>
  </si>
  <si>
    <t>[-26.67, -22.49, 65.71, 60.68]</t>
  </si>
  <si>
    <t>[0.38, 5.49, 45.58, nan]</t>
  </si>
  <si>
    <t>[14.79, 15.71, 15.9, 18.29]</t>
  </si>
  <si>
    <t>[29.17, 11.22, 7.51, nan]</t>
  </si>
  <si>
    <t>[436.59, 71.24, -6.43, nan]</t>
  </si>
  <si>
    <t>[6.55, 12.68, 10.8, nan]</t>
  </si>
  <si>
    <t>[16.27, 9.55, 10.26, 11.2]</t>
  </si>
  <si>
    <t>[11.12, 15.63, 14.05, nan]</t>
  </si>
  <si>
    <t>[21.73, 1.74, 9.39, nan]</t>
  </si>
  <si>
    <t>[27.35, 25.33, 16.13, nan]</t>
  </si>
  <si>
    <t>[7.94, 19.66, 10.94, nan]</t>
  </si>
  <si>
    <t>[24.68, 22.86, 29.7, 16.67]</t>
  </si>
  <si>
    <t>[14.05, 18.9, 16.06, 13.32]</t>
  </si>
  <si>
    <t>[27.17, 43.7, 20.4, nan]</t>
  </si>
  <si>
    <t>[23.45, 11.84, 20.18, 44.32]</t>
  </si>
  <si>
    <t>[2.93, 20.68, 11.98, nan]</t>
  </si>
  <si>
    <t>[-18.84, -7.29, 20.21, nan]</t>
  </si>
  <si>
    <t>[12.04, 13.61, 15.2, 14.15]</t>
  </si>
  <si>
    <t>[17.46, 29.85, 24.92, nan]</t>
  </si>
  <si>
    <t>[-41.83, -31.4, 113.22, nan]</t>
  </si>
  <si>
    <t>[14.85, 13.0, 11.52, nan]</t>
  </si>
  <si>
    <t>[20.22, 15.9, 11.33, 13.19]</t>
  </si>
  <si>
    <t>[29.43, 17.69, 20.23, nan]</t>
  </si>
  <si>
    <t>[-2.58, -33.88, 46.13, nan]</t>
  </si>
  <si>
    <t>[17.61, 21.61, 15.23, 17.68]</t>
  </si>
  <si>
    <t>[0, 61.06, 22.2, 16.9, nan]</t>
  </si>
  <si>
    <t>[26.19, 47.71, 16.1, 27.25]</t>
  </si>
  <si>
    <t>[32.95, 15.59, 6.86, nan]</t>
  </si>
  <si>
    <t>[17.13, 27.34, 42.92, nan]</t>
  </si>
  <si>
    <t>[18.71, 27.38, 22.19, nan]</t>
  </si>
  <si>
    <t>[25.63, 31.75, 39.79, nan]</t>
  </si>
  <si>
    <t>[13.2, 8.8, 11.06, 17.25]</t>
  </si>
  <si>
    <t>[3.33, 21.06, 13.09, nan]</t>
  </si>
  <si>
    <t>[7.68, 15.86, 10.23, nan]</t>
  </si>
  <si>
    <t>[42.83, 33.03, 20.6, 23.8]</t>
  </si>
  <si>
    <t>[-1.95, 14.9, 24.84, nan]</t>
  </si>
  <si>
    <t>[6.69, 16.21, nan, nan]</t>
  </si>
  <si>
    <t>[4.48, 6.39, 5.83, 7.74]</t>
  </si>
  <si>
    <t>[5.09, 6.01, 2.81, nan]</t>
  </si>
  <si>
    <t>[nan, nan, 2.98, nan]</t>
  </si>
  <si>
    <t>[6.0, 27.2, 17.82, nan]</t>
  </si>
  <si>
    <t>[nan, nan, nan, nan]</t>
  </si>
  <si>
    <t>[10.95, 4.66, 5.1, nan]</t>
  </si>
  <si>
    <t>[118.51, nan, 13.45, nan]</t>
  </si>
  <si>
    <t>[21.58, 12.48, 6.23, nan]</t>
  </si>
  <si>
    <t>[5.05, 22.49, 6.5, nan]</t>
  </si>
  <si>
    <t>[nan, 2.37, nan, nan]</t>
  </si>
  <si>
    <t>[9.09, 10.64, 10.69, nan]</t>
  </si>
  <si>
    <t>[2.76, 3.71, 25.68, nan]</t>
  </si>
  <si>
    <t>[4.22, 13.3, nan, nan]</t>
  </si>
  <si>
    <t>[3.82, 3.04, 6.13, nan]</t>
  </si>
  <si>
    <t>[4.03, 3.85, 15.06, 7.2]</t>
  </si>
  <si>
    <t>[12.6, 10.38, 28.15, nan]</t>
  </si>
  <si>
    <t>[5.75, 14.3, 11.18, nan]</t>
  </si>
  <si>
    <t>[nan, 21.7, 20.59, nan]</t>
  </si>
  <si>
    <t>[14.88, 5.34, 6.28, nan]</t>
  </si>
  <si>
    <t>[nan, nan, 5.37, nan]</t>
  </si>
  <si>
    <t>[8.8, 8.9, 7.29, 6.88]</t>
  </si>
  <si>
    <t>[nan, 28.77, nan, nan]</t>
  </si>
  <si>
    <t>[15.41, 8.62, 32.41, nan]</t>
  </si>
  <si>
    <t>[6.27, 4.93, 4.92, nan]</t>
  </si>
  <si>
    <t>[10.26, 1.22, 9.08, nan]</t>
  </si>
  <si>
    <t>[5.03, 6.46, nan, nan]</t>
  </si>
  <si>
    <t>[nan, 46.47, 2.01, nan]</t>
  </si>
  <si>
    <t>[3.5, 5.86, 1.16, 3.49]</t>
  </si>
  <si>
    <t>[nan, 51.51, nan, nan]</t>
  </si>
  <si>
    <t>[20.82, 21.63, 13.82, nan]</t>
  </si>
  <si>
    <t>[4.49, 2.82, 1.46, nan]</t>
  </si>
  <si>
    <t>[nan, nan, 8.42, nan]</t>
  </si>
  <si>
    <t>[7.24, 8.02, 7.18, nan]</t>
  </si>
  <si>
    <t>[5.44, 7.47, 9.18, nan]</t>
  </si>
  <si>
    <t>[5.34, 35.03, nan, nan]</t>
  </si>
  <si>
    <t>[7.76, 9.99, 10.01, nan]</t>
  </si>
  <si>
    <t>[nan, 15.54, 19.19, nan]</t>
  </si>
  <si>
    <t>[1.0, nan, nan, nan]</t>
  </si>
  <si>
    <t>[36.46, 22.67, 10.39, nan]</t>
  </si>
  <si>
    <t>[15.59, 13.11, 8.26, nan]</t>
  </si>
  <si>
    <t>[4.95, 27.38, 8.99, 6.95]</t>
  </si>
  <si>
    <t>[8.27, 11.2, 15.86, nan]</t>
  </si>
  <si>
    <t>[20.57, 17.1, 32.85, nan]</t>
  </si>
  <si>
    <t>[4.28, 8.97, 179.61, nan]</t>
  </si>
  <si>
    <t>[26.94, nan, nan, nan]</t>
  </si>
  <si>
    <t>[2.22, 4.62, 5.36, nan]</t>
  </si>
  <si>
    <t>[11.44, 9.96, 851.21, nan]</t>
  </si>
  <si>
    <t>[31.34, 13.73, 10.18, nan]</t>
  </si>
  <si>
    <t>[12.02, 11.59, 7.49, nan]</t>
  </si>
  <si>
    <t>[27.16, 5.67, 10.16, nan]</t>
  </si>
  <si>
    <t>[10.01, 9.5, 8.44, nan]</t>
  </si>
  <si>
    <t>[6.24, 3.85, 5.73, nan]</t>
  </si>
  <si>
    <t>[nan, nan, 8.1, nan]</t>
  </si>
  <si>
    <t>[12.35, 109.57, 3.78, nan]</t>
  </si>
  <si>
    <t>[2.98, 4.38, 3.18, nan]</t>
  </si>
  <si>
    <t>[5.35, 37.01, 39.63, nan]</t>
  </si>
  <si>
    <t>[7.79, 5.62, 12.17, nan]</t>
  </si>
  <si>
    <t>[24.27, 12.96, 18.29, nan]</t>
  </si>
  <si>
    <t>[8.04, 81.74, 18.35, nan]</t>
  </si>
  <si>
    <t>[nan, nan, 32.64, nan]</t>
  </si>
  <si>
    <t>[6.95, 19.75, nan, nan]</t>
  </si>
  <si>
    <t>[nan, nan, 2.92, nan]</t>
  </si>
  <si>
    <t>[4.41, 4.64, 4.03, nan]</t>
  </si>
  <si>
    <t>[117.43, nan, 3.26, nan]</t>
  </si>
  <si>
    <t>[5.64, 6.44, 58.79, nan]</t>
  </si>
  <si>
    <t>[5.18, 11.14, 6.5, nan]</t>
  </si>
  <si>
    <t>[69.74, 6.26, 23.48, nan]</t>
  </si>
  <si>
    <t>[4.89, 18.81, nan, nan]</t>
  </si>
  <si>
    <t>[3.93, 2.2, nan, nan]</t>
  </si>
  <si>
    <t>[3.0, 2.15, 1.86, nan]</t>
  </si>
  <si>
    <t>[6.94, 7.31, 5.25, nan]</t>
  </si>
  <si>
    <t>[70.47, 4.98, 2.72, nan]</t>
  </si>
  <si>
    <t>[8.79, 10.36, 4.49, nan]</t>
  </si>
  <si>
    <t>[4.08, 4.91, 6.01, 5.66]</t>
  </si>
  <si>
    <t>[27.58, 5.9, 9.67, nan]</t>
  </si>
  <si>
    <t>[nan, 58.86, 2.19, 4.67]</t>
  </si>
  <si>
    <t>[36.05, 11.72, 8.89, 5.85]</t>
  </si>
  <si>
    <t>[14.93, 4.71, 12.31, nan]</t>
  </si>
  <si>
    <t>[12.33, 9.11, 8.76, 11.36]</t>
  </si>
  <si>
    <t>[24.83, nan, nan, nan]</t>
  </si>
  <si>
    <t>[nan, 14.65, 5.64, nan]</t>
  </si>
  <si>
    <t>[9.68, 8.59, 5.56, 5.9]</t>
  </si>
  <si>
    <t>[nan, 7.81, 2.27, 7.23]</t>
  </si>
  <si>
    <t>[1.2, 2.38, 1.83, 3.8]</t>
  </si>
  <si>
    <t>[19.45, 4.69, 2.66, nan]</t>
  </si>
  <si>
    <t>[9.07, 9.56, 5.85, 9.48]</t>
  </si>
  <si>
    <t>[0.6, 19.06, 6.6, nan]</t>
  </si>
  <si>
    <t>[9.52, 9.91, 13.11, 10.19]</t>
  </si>
  <si>
    <t>[20.88, 11.41, nan, nan]</t>
  </si>
  <si>
    <t>[17.48, 33.57, 53.74, 17.28]</t>
  </si>
  <si>
    <t>[34.17, 12.67, nan, nan]</t>
  </si>
  <si>
    <t>[14.47, 10.99, 7.52, 8.94]</t>
  </si>
  <si>
    <t>[12.36, 37.86, 10.89, 8.02]</t>
  </si>
  <si>
    <t>[8.22, 11.09, 16.28, nan]</t>
  </si>
  <si>
    <t>[4.86, 4.63, 3.93, 4.6]</t>
  </si>
  <si>
    <t>[nan, 1214.37, nan, nan]</t>
  </si>
  <si>
    <t>[nan, nan, 5.53, nan]</t>
  </si>
  <si>
    <t>[8.74, 90.14, nan, 8.35]</t>
  </si>
  <si>
    <t>[7.18, 8.8, nan, nan]</t>
  </si>
  <si>
    <t>[6.92, 5.28, 5.63, 6.02]</t>
  </si>
  <si>
    <t>[4.5, 4.39, 10.58, nan]</t>
  </si>
  <si>
    <t>[7.46, 8.85, 8.04, 9.25]</t>
  </si>
  <si>
    <t>[4.85, 4.71, 3.76, 5.18]</t>
  </si>
  <si>
    <t>[nan, nan, 8.83, 76.9]</t>
  </si>
  <si>
    <t>[nan, nan, 8.33, nan]</t>
  </si>
  <si>
    <t>[14.01, 19.91, 17.2, 15.79]</t>
  </si>
  <si>
    <t>[9.57, 2.53, nan, nan]</t>
  </si>
  <si>
    <t>[6.55, 27.21, 12.96, 7.9]</t>
  </si>
  <si>
    <t>[8.83, 19.98, 9.01, 6.88]</t>
  </si>
  <si>
    <t>[9.83, 8.95, 6.13, 6.33]</t>
  </si>
  <si>
    <t>[7.13, 11.24, 8.68, 7.95]</t>
  </si>
  <si>
    <t>[nan, 11.83, 12.56, nan]</t>
  </si>
  <si>
    <t>[3.67, 18.9, 4.67, nan]</t>
  </si>
  <si>
    <t>[nan, 3.63, nan, nan]</t>
  </si>
  <si>
    <t>[nan, 17.19, nan, nan]</t>
  </si>
  <si>
    <t>[7.14, 11.81, 15.78, nan]</t>
  </si>
  <si>
    <t>[7.56, 4.06, 6.75, nan]</t>
  </si>
  <si>
    <t>[0.34, 16.08, nan, 8.01]</t>
  </si>
  <si>
    <t>[203.06, 18.91, nan, 6.02]</t>
  </si>
  <si>
    <t>[4.26, 12.89, 14.08, nan]</t>
  </si>
  <si>
    <t>[14.02, nan, 3.46, nan]</t>
  </si>
  <si>
    <t>[5.06, nan, 6.43, nan]</t>
  </si>
  <si>
    <t>[6.08, 5.2, 8.12, nan]</t>
  </si>
  <si>
    <t>[11.48, 10.18, nan, nan]</t>
  </si>
  <si>
    <t>[32.64, 10.58, 5.78, nan]</t>
  </si>
  <si>
    <t>[nan, 14.48, 4.28, 8.74]</t>
  </si>
  <si>
    <t>[10.59, 14.08, 12.32, 12.12]</t>
  </si>
  <si>
    <t>[8.44, nan, 7.31, nan]</t>
  </si>
  <si>
    <t>[52.55, 13.72, 11.93, 12.51]</t>
  </si>
  <si>
    <t>[4.98, 4.09, 7.17, nan]</t>
  </si>
  <si>
    <t>[32.33, 21.78, nan, nan]</t>
  </si>
  <si>
    <t>[15.95, 11.57, 34.12, 12.27]</t>
  </si>
  <si>
    <t>[13.55, 21.13, 12.03, 11.88]</t>
  </si>
  <si>
    <t>[9.79, 10.73, 15.89, 9.66]</t>
  </si>
  <si>
    <t>[5.01, 4.32, 5.79, nan]</t>
  </si>
  <si>
    <t>[8.85, 10.02, 23.76, 11.33]</t>
  </si>
  <si>
    <t>[6.95, 6.28, 6.35, nan]</t>
  </si>
  <si>
    <t>[nan, 24.73, 23.86, 17.94]</t>
  </si>
  <si>
    <t>[15.15, 245.36, nan, 9.35]</t>
  </si>
  <si>
    <t>[20.98, 31.78, nan, 14.78]</t>
  </si>
  <si>
    <t>[22.14, 11.2, 37.33, 11.48]</t>
  </si>
  <si>
    <t>[nan, 10753.62, nan, nan]</t>
  </si>
  <si>
    <t>[nan, 17.35, nan, nan]</t>
  </si>
  <si>
    <t>[18.14, 10.92, 8.55, nan]</t>
  </si>
  <si>
    <t>[45.52, nan, nan, nan]</t>
  </si>
  <si>
    <t>[7.3, 6.62, 7.6, nan]</t>
  </si>
  <si>
    <t>[15.09, 11.79, 4.26, nan]</t>
  </si>
  <si>
    <t>[7.03, 11.42, nan, nan]</t>
  </si>
  <si>
    <t>[nan, nan, 4.5, nan]</t>
  </si>
  <si>
    <t>[19.33, 14.29, 22.01, nan]</t>
  </si>
  <si>
    <t>[5.62, 5.41, 6.66, 8.37]</t>
  </si>
  <si>
    <t>[11.41, 4.2, 17.58, nan]</t>
  </si>
  <si>
    <t>[6.18, 6.51, nan, nan]</t>
  </si>
  <si>
    <t>[12.49, 8.78, 6.9, 9.09]</t>
  </si>
  <si>
    <t>[2.79, 5.25, 5.18, nan]</t>
  </si>
  <si>
    <t>[6.74, 4.45, nan, nan]</t>
  </si>
  <si>
    <t>[30.83, 36.35, nan, 68.66]</t>
  </si>
  <si>
    <t>[47.14, 9.22, 10.39, nan]</t>
  </si>
  <si>
    <t>[3.45, 4.15, 4.92, nan]</t>
  </si>
  <si>
    <t>[nan, nan, 1.11, nan]</t>
  </si>
  <si>
    <t>[11.04, 49.77, 2.51, 13.12]</t>
  </si>
  <si>
    <t>[33.01, 5.74, 9.54, nan]</t>
  </si>
  <si>
    <t>[6.22, 18.88, 9.28, nan]</t>
  </si>
  <si>
    <t>[7.58, 7.61, 9.12, nan]</t>
  </si>
  <si>
    <t>[nan, nan, 2.06, nan]</t>
  </si>
  <si>
    <t>[5.48, 6.94, 7.84, nan]</t>
  </si>
  <si>
    <t>[nan, 1.05, nan, nan]</t>
  </si>
  <si>
    <t>[2.13, nan, nan, nan]</t>
  </si>
  <si>
    <t>[9.51, nan, nan, nan]</t>
  </si>
  <si>
    <t>[nan, 32.56, 11.13, nan]</t>
  </si>
  <si>
    <t>[32.72, nan, nan, nan]</t>
  </si>
  <si>
    <t>[46.88, 81.87, 3.0, nan]</t>
  </si>
  <si>
    <t>[18.49, nan, nan, nan]</t>
  </si>
  <si>
    <t>[7.91, 10.16, 11.26, nan]</t>
  </si>
  <si>
    <t>[nan, 5.95, nan, nan]</t>
  </si>
  <si>
    <t>[5.7, 7.14, nan, nan]</t>
  </si>
  <si>
    <t>[9.91, nan, 13.88, nan]</t>
  </si>
  <si>
    <t>[5.61, 4.98, 5.7, nan]</t>
  </si>
  <si>
    <t>[nan, 6.49, 5.33, nan]</t>
  </si>
  <si>
    <t>[2.94, 7.5, 6.38, nan]</t>
  </si>
  <si>
    <t>[12.07, 7.53, 7.82, nan]</t>
  </si>
  <si>
    <t>[nan, 15.68, nan, nan]</t>
  </si>
  <si>
    <t>[nan, nan, 6.8, nan]</t>
  </si>
  <si>
    <t>[12.9, 24.19, nan, nan]</t>
  </si>
  <si>
    <t>[135.07, 42.91, 0.49, nan]</t>
  </si>
  <si>
    <t>[3.67, 2.62, 9.78, nan]</t>
  </si>
  <si>
    <t>[10.13, 68.41, nan, nan]</t>
  </si>
  <si>
    <t>[5.46, 6.49, 7.67, nan]</t>
  </si>
  <si>
    <t>[39.89, 13.48, 13.2, nan]</t>
  </si>
  <si>
    <t>[nan, nan, 3.67, nan]</t>
  </si>
  <si>
    <t>[nan, 5.85, nan, nan]</t>
  </si>
  <si>
    <t>[nan, 6.77, nan, nan]</t>
  </si>
  <si>
    <t>[5.4, 5.11, 5.53, nan]</t>
  </si>
  <si>
    <t>[6.2, 7.22, 6.87, nan]</t>
  </si>
  <si>
    <t>[29.66, 17.25, 54.52, nan]</t>
  </si>
  <si>
    <t>[20.55, nan, 11.94, nan]</t>
  </si>
  <si>
    <t>[9.83, nan, nan, nan]</t>
  </si>
  <si>
    <t>[10.58, 1.96, 18.15, nan]</t>
  </si>
  <si>
    <t>[4.83, 4.8, 5.7, nan]</t>
  </si>
  <si>
    <t>[40.5, 27.89, 173.62, nan]</t>
  </si>
  <si>
    <t>[23.43, 12.95, 17.57, nan]</t>
  </si>
  <si>
    <t>[8.27, 10.33, 7.25, nan]</t>
  </si>
  <si>
    <t>[3.96, 6.23, 2.82, nan]</t>
  </si>
  <si>
    <t>[nan, 31.29, 212.95, nan]</t>
  </si>
  <si>
    <t>[3.12, 5.73, 24.3, 6.15]</t>
  </si>
  <si>
    <t>[nan, nan, 15.26, nan]</t>
  </si>
  <si>
    <t>[9.81, 14.43, 15.27, 11.69]</t>
  </si>
  <si>
    <t>[19.4, 20.28, 34.67, 27.37]</t>
  </si>
  <si>
    <t>[1.3, nan, nan, nan]</t>
  </si>
  <si>
    <t>[4.22, 14.41, 20.74, nan]</t>
  </si>
  <si>
    <t>[3.51, 3.14, nan, nan]</t>
  </si>
  <si>
    <t>[nan, nan, 27.84, nan]</t>
  </si>
  <si>
    <t>[101.72, nan, 4.19, nan]</t>
  </si>
  <si>
    <t>[22.63, 30.42, 6.67, nan]</t>
  </si>
  <si>
    <t>[3.67, 5.07, 11.56, nan]</t>
  </si>
  <si>
    <t>[20.52, 152.31, 51.4, nan]</t>
  </si>
  <si>
    <t>[6.24, nan, 39.12, nan]</t>
  </si>
  <si>
    <t>[6.68, nan, 4.95, nan]</t>
  </si>
  <si>
    <t>[9.38, 8.92, 10.8, nan]</t>
  </si>
  <si>
    <t>[nan, 6.87, nan, nan]</t>
  </si>
  <si>
    <t>[nan, 6.82, 6.87, nan]</t>
  </si>
  <si>
    <t>[64.15, 71.39, 1.28, nan]</t>
  </si>
  <si>
    <t>[6.92, nan, 21.63, nan]</t>
  </si>
  <si>
    <t>[nan, nan, 35.79, nan]</t>
  </si>
  <si>
    <t>[5.99, nan, nan, nan]</t>
  </si>
  <si>
    <t>[9.6, 10.43, nan, nan]</t>
  </si>
  <si>
    <t>[7.61, 7.86, 7.57, 6.67]</t>
  </si>
  <si>
    <t>[4.46, 12.19, 8.33, nan]</t>
  </si>
  <si>
    <t>[5.9, 3.81, 2.84, 3.25]</t>
  </si>
  <si>
    <t>[10.84, 42.12, 26.21, nan]</t>
  </si>
  <si>
    <t>[nan, 48.0, nan, 94.76]</t>
  </si>
  <si>
    <t>[4.38, nan, 0.79, nan]</t>
  </si>
  <si>
    <t>[5.21, nan, nan, nan]</t>
  </si>
  <si>
    <t>[6.97, 8.79, 11.89, nan]</t>
  </si>
  <si>
    <t>[10.58, 7.63, nan, nan]</t>
  </si>
  <si>
    <t>[4.45, nan, 9.17, nan]</t>
  </si>
  <si>
    <t>[7.41, 4.0, 2.86, nan]</t>
  </si>
  <si>
    <t>[nan, 25.58, 97.43, nan]</t>
  </si>
  <si>
    <t>[nan, nan, 13.75, nan]</t>
  </si>
  <si>
    <t>[3.99, 6.0, 0.44, nan]</t>
  </si>
  <si>
    <t>[9.43, 7.63, 11.81, nan]</t>
  </si>
  <si>
    <t>[5.41, 3.66, 9.56, nan]</t>
  </si>
  <si>
    <t>[5.18, 5.84, 5.58, nan]</t>
  </si>
  <si>
    <t>[7.17, 6.27, 17.39, nan]</t>
  </si>
  <si>
    <t>[4.03, 33.25, 6.31, nan]</t>
  </si>
  <si>
    <t>[nan, 2.19, 1.09, nan]</t>
  </si>
  <si>
    <t>[3.57, 12.71, 6.23, nan]</t>
  </si>
  <si>
    <t>[6.0, 3.97, 26.64, nan]</t>
  </si>
  <si>
    <t>[6.4, nan, 40.51, nan]</t>
  </si>
  <si>
    <t>[2.16, 9.08, 5.26, nan]</t>
  </si>
  <si>
    <t>[9.82, 8.11, 9.52, nan]</t>
  </si>
  <si>
    <t>[5.88, 3.62, 1.65, nan]</t>
  </si>
  <si>
    <t>[nan, nan, 14.67, nan]</t>
  </si>
  <si>
    <t>[10.34, 13.65, nan, nan]</t>
  </si>
  <si>
    <t>[20.61, 19.56, 7.37, nan]</t>
  </si>
  <si>
    <t>[3.26, 14.74, nan, nan]</t>
  </si>
  <si>
    <t>[7.96, nan, 24.28, nan]</t>
  </si>
  <si>
    <t>[10.53, 5.49, 3.53, 4.24]</t>
  </si>
  <si>
    <t>[9.82, 7.11, 10.22, nan]</t>
  </si>
  <si>
    <t>[22.53, 4.24, nan, nan]</t>
  </si>
  <si>
    <t>[6.58, 9.69, 83.0, nan]</t>
  </si>
  <si>
    <t>[19.97, 26.75, 11.23, nan]</t>
  </si>
  <si>
    <t>[5.38, 7.39, 10.11, 10.21]</t>
  </si>
  <si>
    <t>[8.56, 8.77, 8.57, nan]</t>
  </si>
  <si>
    <t>[17.28, 32.18, 27.1, nan]</t>
  </si>
  <si>
    <t>[12.17, nan, 11.96, nan]</t>
  </si>
  <si>
    <t>[7.04, 7.63, 11.09, nan]</t>
  </si>
  <si>
    <t>[8.64, 14.01, nan, nan]</t>
  </si>
  <si>
    <t>[12.34, 7.18, 9.86, nan]</t>
  </si>
  <si>
    <t>[7.24, 23.77, 8.31, nan]</t>
  </si>
  <si>
    <t>[10.86, 10.64, 9.56, nan]</t>
  </si>
  <si>
    <t>[7.35, nan, nan, nan]</t>
  </si>
  <si>
    <t>[3.99, 3.42, 2.6, nan]</t>
  </si>
  <si>
    <t>[14.16, nan, 83.55, 3.16]</t>
  </si>
  <si>
    <t>[8.52, 3.82, nan, nan]</t>
  </si>
  <si>
    <t>[2.06, 3.05, 6.87, nan]</t>
  </si>
  <si>
    <t>[3.88, 7.18, 11.75, 6.43]</t>
  </si>
  <si>
    <t>[nan, 4.93, 5.26, 6.09]</t>
  </si>
  <si>
    <t>[18.78, 13.02, 9.76, nan]</t>
  </si>
  <si>
    <t>[5.78, 14.67, 13.47, nan]</t>
  </si>
  <si>
    <t>[3.17, 5.28, 8.36, nan]</t>
  </si>
  <si>
    <t>[6.96, 6.64, 9.3, nan]</t>
  </si>
  <si>
    <t>[14.66, 14.53, 12.97, nan]</t>
  </si>
  <si>
    <t>[nan, 33.39, 4.63, 20.17]</t>
  </si>
  <si>
    <t>[13.8, 13.13, nan, nan]</t>
  </si>
  <si>
    <t>[10.78, 6.86, 10.17, nan]</t>
  </si>
  <si>
    <t>[149.52, nan, nan, nan]</t>
  </si>
  <si>
    <t>[64.55, 2.41, nan, nan]</t>
  </si>
  <si>
    <t>[15.27, 5.6, 4.42, 5.04]</t>
  </si>
  <si>
    <t>[5.6, 6.53, nan, nan]</t>
  </si>
  <si>
    <t>[nan, nan, 1.42, nan]</t>
  </si>
  <si>
    <t>[9.88, 16.74, 3.4, 7.46]</t>
  </si>
  <si>
    <t>[7.12, 5.71, 7.46, nan]</t>
  </si>
  <si>
    <t>[6.99, 10.95, 7.61, 9.8]</t>
  </si>
  <si>
    <t>[8.22, 9.09, 18.83, nan]</t>
  </si>
  <si>
    <t>[37.01, 37.64, nan, 73.88]</t>
  </si>
  <si>
    <t>[9.22, 8.04, nan, 11.66]</t>
  </si>
  <si>
    <t>[13.22, 8.82, 11.28, nan]</t>
  </si>
  <si>
    <t>[nan, 36.82, 10.54, 14.49]</t>
  </si>
  <si>
    <t>[18.37, 20.61, 12.29, 15.86]</t>
  </si>
  <si>
    <t>[6.94, 9.95, 5.25, nan]</t>
  </si>
  <si>
    <t>[6.95, 56.65, nan, nan]</t>
  </si>
  <si>
    <t>[7.66, 4.6, 3.57, nan]</t>
  </si>
  <si>
    <t>[11.52, 11.06, 10.37, nan]</t>
  </si>
  <si>
    <t>[1.77, 13.23, 2.33, nan]</t>
  </si>
  <si>
    <t>[99.9, 48.63, 7.92, nan]</t>
  </si>
  <si>
    <t>[79.31, 11.17, 7.36, nan]</t>
  </si>
  <si>
    <t>[18.15, 31.62, nan, nan]</t>
  </si>
  <si>
    <t>[13.91, 7.79, 7.5, 7.97]</t>
  </si>
  <si>
    <t>[12.44, 3.46, 4.32, nan]</t>
  </si>
  <si>
    <t>[nan, nan, 2.91, nan]</t>
  </si>
  <si>
    <t>[24.38, 7.78, nan, nan]</t>
  </si>
  <si>
    <t>[9.0, 37.44, 22.97, nan]</t>
  </si>
  <si>
    <t>[11.81, 13.65, 10.87, nan]</t>
  </si>
  <si>
    <t>[37.07, 14.96, 16.33, nan]</t>
  </si>
  <si>
    <t>[5.42, 26.08, nan, 12.41]</t>
  </si>
  <si>
    <t>[3.39, nan, nan, nan]</t>
  </si>
  <si>
    <t>[nan, 10.21, 15.44, nan]</t>
  </si>
  <si>
    <t>[nan, 3.0, 2.59, nan]</t>
  </si>
  <si>
    <t>[8.34, 7.48, 9.56, nan]</t>
  </si>
  <si>
    <t>[11.33, 9.31, 9.25, 8.82]</t>
  </si>
  <si>
    <t>[12.41, 7.79, 5.68, nan]</t>
  </si>
  <si>
    <t>[7.04, 4.12, 10.99, nan]</t>
  </si>
  <si>
    <t>[10.46, 6.75, 3.88, 5.82]</t>
  </si>
  <si>
    <t>[10.34, 10.14, 4.7, nan]</t>
  </si>
  <si>
    <t>[8.33, 8.03, 3.13, nan]</t>
  </si>
  <si>
    <t>[33.05, 8.95, nan, nan]</t>
  </si>
  <si>
    <t>[20.88, 13.44, 16.13, 14.41]</t>
  </si>
  <si>
    <t>[14.55, 1.52, 4.42, nan]</t>
  </si>
  <si>
    <t>[7.0, nan, 21.09, nan]</t>
  </si>
  <si>
    <t>[8.65, nan, 13.22, nan]</t>
  </si>
  <si>
    <t>[37.98, 25.72, 26.21, nan]</t>
  </si>
  <si>
    <t>[7.11, 4.8, 4.74, 6.02]</t>
  </si>
  <si>
    <t>[353.9, 33.37, 120.5, nan]</t>
  </si>
  <si>
    <t>[3.88, nan, nan, nan]</t>
  </si>
  <si>
    <t>[nan, 3.86, nan, 5.3]</t>
  </si>
  <si>
    <t>[6.41, 4.82, 11.2, 7.13]</t>
  </si>
  <si>
    <t>[6.71, 8.59, 21.18, nan]</t>
  </si>
  <si>
    <t>[19.12, 6.06, 7.18, nan]</t>
  </si>
  <si>
    <t>[24.13, 9.03, nan, nan]</t>
  </si>
  <si>
    <t>[6.15, 5.84, 5.17, 8.14]</t>
  </si>
  <si>
    <t>[5.73, 4.46, 5.6, nan]</t>
  </si>
  <si>
    <t>[nan, nan, nan, 32.28]</t>
  </si>
  <si>
    <t>[5.18, 4.15, 2.74, nan]</t>
  </si>
  <si>
    <t>[4.93, 6.92, 7.16, 7.41]</t>
  </si>
  <si>
    <t>[68.96, 25.2, 15.97, 12.47]</t>
  </si>
  <si>
    <t>[30.18, nan, nan, 5.21]</t>
  </si>
  <si>
    <t>[6.01, 10.74, 59.7, 5.9]</t>
  </si>
  <si>
    <t>[18.86, 12.46, 5.34, 12.32]</t>
  </si>
  <si>
    <t>[19.5, 30.13, 62.88, 31.41]</t>
  </si>
  <si>
    <t>[30.5, 75.47, 44.4, nan]</t>
  </si>
  <si>
    <t>[5.05, 5.84, 24.31, nan]</t>
  </si>
  <si>
    <t>[274.54, 13.33, nan, nan]</t>
  </si>
  <si>
    <t>[5.27, 4.93, 4.41, 4.88]</t>
  </si>
  <si>
    <t>[70.23, 6.69, 1.82, nan]</t>
  </si>
  <si>
    <t>[3.89, 3.16, 3.06, 3.7]</t>
  </si>
  <si>
    <t>[6.35, 6.01, 5.22, 5.82]</t>
  </si>
  <si>
    <t>[nan, nan, 2.94, 10.04]</t>
  </si>
  <si>
    <t>[6.52, 13.23, nan, nan]</t>
  </si>
  <si>
    <t>[64.56, 1.59, 7.19, nan]</t>
  </si>
  <si>
    <t>[10.02, 5.31, 7.6, nan]</t>
  </si>
  <si>
    <t>[22.94, 6.46, 4.2, nan]</t>
  </si>
  <si>
    <t>[11.3, 11.45, 9.52, 9.6]</t>
  </si>
  <si>
    <t>[16.13, 12.13, 15.31, nan]</t>
  </si>
  <si>
    <t>[6.19, 3.3, 2.89, nan]</t>
  </si>
  <si>
    <t>[9.36, 12.98, 8.84, nan]</t>
  </si>
  <si>
    <t>[10.77, 8.7, 12.13, nan]</t>
  </si>
  <si>
    <t>[8.73, 8.0, 24.83, 9.8]</t>
  </si>
  <si>
    <t>[nan, nan, nan, 6.81]</t>
  </si>
  <si>
    <t>[nan, 20.41, 3.22, 8.2]</t>
  </si>
  <si>
    <t>[16.0, 14.13, 10.99, 9.59]</t>
  </si>
  <si>
    <t>[8.54, 2.53, 7.29, 5.21]</t>
  </si>
  <si>
    <t>[1.01, 2.57, 6.37, nan]</t>
  </si>
  <si>
    <t>[15.34, 7.38, 9.66, nan]</t>
  </si>
  <si>
    <t>[3.69, 3.92, 3.46, 4.1]</t>
  </si>
  <si>
    <t>[4.76, 4.44, 3.56, 4.26]</t>
  </si>
  <si>
    <t>[22.71, 7.15, 13.16, nan]</t>
  </si>
  <si>
    <t>[13.92, 11.44, 37.91, 17.41]</t>
  </si>
  <si>
    <t>[11.76, 6.36, 8.92, nan]</t>
  </si>
  <si>
    <t>[nan, 40.19, 25.54, nan]</t>
  </si>
  <si>
    <t>[3.47, 3.7, 2.05, nan]</t>
  </si>
  <si>
    <t>[9.36, 9.85, 5.54, 6.03]</t>
  </si>
  <si>
    <t>[6007.54, 16.91, 18.73, nan]</t>
  </si>
  <si>
    <t>[5.97, 5.61, 9.79, 6.16]</t>
  </si>
  <si>
    <t>[5.53, 4.75, 5.73, nan]</t>
  </si>
  <si>
    <t>[3.39, 3.17, 3.94, nan]</t>
  </si>
  <si>
    <t>[20.95, 11.81, 58.97, nan]</t>
  </si>
  <si>
    <t>[8.07, 8.4, 11.2, nan]</t>
  </si>
  <si>
    <t>[8.38, 9.7, 13.32, nan]</t>
  </si>
  <si>
    <t>[4.9, nan, 5.08, nan]</t>
  </si>
  <si>
    <t>[5.41, 8.98, nan, 5.57]</t>
  </si>
  <si>
    <t>[18.14, nan, nan, 14.18]</t>
  </si>
  <si>
    <t>[3.91, 60.76, 18.12, 12.98]</t>
  </si>
  <si>
    <t>[11.99, nan, nan, nan]</t>
  </si>
  <si>
    <t>[11.94, 754.05, 14.7, nan]</t>
  </si>
  <si>
    <t>[747.91, 17.74, 9.54, nan]</t>
  </si>
  <si>
    <t>[4.21, 9.05, 6.14, nan]</t>
  </si>
  <si>
    <t>[4.6, 5.1, 5.77, nan]</t>
  </si>
  <si>
    <t>[3.14, 9.52, 4.84, nan]</t>
  </si>
  <si>
    <t>[14.66, 5.83, 26.09, nan]</t>
  </si>
  <si>
    <t>[nan, 133.14, 29.14, nan]</t>
  </si>
  <si>
    <t>[2.18, 2.53, 2.66, 3.2]</t>
  </si>
  <si>
    <t>[137.57, nan, 40.15, nan]</t>
  </si>
  <si>
    <t>[10.86, 8.02, 5.88, 5.32]</t>
  </si>
  <si>
    <t>[16.07, 15.12, 11.84, nan]</t>
  </si>
  <si>
    <t>[17.85, 36.08, nan, nan]</t>
  </si>
  <si>
    <t>[6.39, 5.5, 5.67, nan]</t>
  </si>
  <si>
    <t>[4.25, 3.98, 3.73, nan]</t>
  </si>
  <si>
    <t>[5.9, 7.8, 10.66, nan]</t>
  </si>
  <si>
    <t>[7.1, nan, nan, 19.04]</t>
  </si>
  <si>
    <t>[9.72, 9.81, nan, nan]</t>
  </si>
  <si>
    <t>[40.12, 38.92, nan, nan]</t>
  </si>
  <si>
    <t>[7.72, 4.03, 6.5, nan]</t>
  </si>
  <si>
    <t>[13.35, 10.92, 7.3, nan]</t>
  </si>
  <si>
    <t>[12.53, 11.24, 14.8, 8.66]</t>
  </si>
  <si>
    <t>[25.13, nan, nan, nan]</t>
  </si>
  <si>
    <t>[22.3, 18.93, nan, nan]</t>
  </si>
  <si>
    <t>[1.67, 20.31, 4.73, nan]</t>
  </si>
  <si>
    <t>[11.31, 8.77, 19.19, nan]</t>
  </si>
  <si>
    <t>[16.64, 9.82, 15.19, nan]</t>
  </si>
  <si>
    <t>[8.18, 25.92, 90.08, 20.05]</t>
  </si>
  <si>
    <t>[10.82, 4.92, 3.64, 6.56]</t>
  </si>
  <si>
    <t>[178.04, nan, 34.95, 12.98]</t>
  </si>
  <si>
    <t>[6.62, 2.96, 5.02, nan]</t>
  </si>
  <si>
    <t>[16.38, 9.26, 33.58, nan]</t>
  </si>
  <si>
    <t>[6.96, 21.62, 12.77, 10.54]</t>
  </si>
  <si>
    <t>[45.44, 9.62, 12.0, nan]</t>
  </si>
  <si>
    <t>[12.08, 13.2, 23.48, nan]</t>
  </si>
  <si>
    <t>[11.52, 5.4, 5.02, nan]</t>
  </si>
  <si>
    <t>[12.89, nan, 25.6, nan]</t>
  </si>
  <si>
    <t>[11.78, 19.77, 25.24, 16.91]</t>
  </si>
  <si>
    <t>[nan, nan, 8.5, nan]</t>
  </si>
  <si>
    <t>[5.11, 18.46, 19.08, nan]</t>
  </si>
  <si>
    <t>[3.98, 4.66, 6.07, nan]</t>
  </si>
  <si>
    <t>[10.55, 5.4, nan, 12.54]</t>
  </si>
  <si>
    <t>[6.64, 17.35, 3.1, nan]</t>
  </si>
  <si>
    <t>[2.22, 6.01, 8.78, nan]</t>
  </si>
  <si>
    <t>[11.9, 12.16, 22.12, nan]</t>
  </si>
  <si>
    <t>[nan, nan, 17.68, nan]</t>
  </si>
  <si>
    <t>[nan, nan, 16.72, 7.58]</t>
  </si>
  <si>
    <t>[27.75, 31.33, 32.2, nan]</t>
  </si>
  <si>
    <t>[12.72, 12.75, 36.69, nan]</t>
  </si>
  <si>
    <t>[nan, 19.86, 27.13, 26.3]</t>
  </si>
  <si>
    <t>[nan, 110.01, nan, nan]</t>
  </si>
  <si>
    <t>[nan, 31.12, 24.39, nan]</t>
  </si>
  <si>
    <t>[13.21, 25.67, nan, nan]</t>
  </si>
  <si>
    <t>[3.01, 4.3, 6.06, nan]</t>
  </si>
  <si>
    <t>[nan, nan, 19.44, nan]</t>
  </si>
  <si>
    <t>[10.65, 7.64, 7.36, 7.2]</t>
  </si>
  <si>
    <t>[7.13, 6.09, 5.81, nan]</t>
  </si>
  <si>
    <t>[16.78, 17.88, 20.06, nan]</t>
  </si>
  <si>
    <t>[6.33, 14.59, 9.61, nan]</t>
  </si>
  <si>
    <t>[13.63, 11.43, 13.97, nan]</t>
  </si>
  <si>
    <t>[11.4, 11.24, 8.12, 4.29]</t>
  </si>
  <si>
    <t>[nan, 18.79, nan, nan]</t>
  </si>
  <si>
    <t>[5.55, 6.01, 12.2, nan]</t>
  </si>
  <si>
    <t>[6.37, 7.52, 6.18, nan]</t>
  </si>
  <si>
    <t>[1213.79, 34.27, nan, nan]</t>
  </si>
  <si>
    <t>[nan, nan, 10.65, nan]</t>
  </si>
  <si>
    <t>[11.88, 10.2, nan, nan]</t>
  </si>
  <si>
    <t>[11.44, 10.51, nan, nan]</t>
  </si>
  <si>
    <t>[5.22, 2.66, 3.71, nan]</t>
  </si>
  <si>
    <t>[10.83, 24.35, 19.16, nan]</t>
  </si>
  <si>
    <t>[5.95, 6.19, 4.75, 5.48]</t>
  </si>
  <si>
    <t>[19.02, 23.05, 10.67, nan]</t>
  </si>
  <si>
    <t>[18.63, 42.59, 1.87, nan]</t>
  </si>
  <si>
    <t>[20.53, 4.39, nan, nan]</t>
  </si>
  <si>
    <t>[33.11, 29.45, 32.79, nan]</t>
  </si>
  <si>
    <t>[8.32, 8.12, 8.94, nan]</t>
  </si>
  <si>
    <t>[10.34, 6.15, 5.58, 6.45]</t>
  </si>
  <si>
    <t>[nan, 13.47, 2.83, nan]</t>
  </si>
  <si>
    <t>[4.58, 30.13, 34.87, nan]</t>
  </si>
  <si>
    <t>[nan, nan, 2.6, nan]</t>
  </si>
  <si>
    <t>[nan, 7.62, 16.09, nan]</t>
  </si>
  <si>
    <t>[11.3, 15.2, 11.67, 12.19]</t>
  </si>
  <si>
    <t>[5.4, 7.05, 11.9, nan]</t>
  </si>
  <si>
    <t>[nan, 4.29, 5.38, 4.15]</t>
  </si>
  <si>
    <t>[28.77, nan, nan, nan]</t>
  </si>
  <si>
    <t>[nan, 11.41, nan, nan]</t>
  </si>
  <si>
    <t>[nan, 92.09, nan, nan]</t>
  </si>
  <si>
    <t>[5.27, 7.45, 16.59, nan]</t>
  </si>
  <si>
    <t>[12.39, 5.1, 7.47, 5.04]</t>
  </si>
  <si>
    <t>[9.88, 5.43, 4.91, nan]</t>
  </si>
  <si>
    <t>[13.01, 13.61, 26.07, nan]</t>
  </si>
  <si>
    <t>[nan, nan, 7.04, nan]</t>
  </si>
  <si>
    <t>[8.0, 11.73, 9.61, nan]</t>
  </si>
  <si>
    <t>[nan, nan, 19.33, nan]</t>
  </si>
  <si>
    <t>[21.42, 7.53, 11.93, 9.1]</t>
  </si>
  <si>
    <t>[4.77, 8.61, 6.45, nan]</t>
  </si>
  <si>
    <t>[86.33, 32.5, 68.31, nan]</t>
  </si>
  <si>
    <t>[3.57, 4.37, 6.15, 5.64]</t>
  </si>
  <si>
    <t>[25.86, 10.69, 11.9, 14.15]</t>
  </si>
  <si>
    <t>[4.95, 4.71, 4.72, nan]</t>
  </si>
  <si>
    <t>[0.79, nan, 10.8, nan]</t>
  </si>
  <si>
    <t>[4.95, 5.37, 5.07, nan]</t>
  </si>
  <si>
    <t>[8.16, 7.11, 10.45, nan]</t>
  </si>
  <si>
    <t>[37.13, nan, 5.93, nan]</t>
  </si>
  <si>
    <t>[nan, nan, 2.0, nan]</t>
  </si>
  <si>
    <t>[11.06, 18.58, nan, nan]</t>
  </si>
  <si>
    <t>[nan, nan, 40.66, nan]</t>
  </si>
  <si>
    <t>[10.86, nan, nan, nan]</t>
  </si>
  <si>
    <t>[6.06, 5.16, 5.75, nan]</t>
  </si>
  <si>
    <t>[11.51, 9.06, 10.33, 7.71]</t>
  </si>
  <si>
    <t>[nan, 17.58, 2.78, nan]</t>
  </si>
  <si>
    <t>[nan, 36.16, nan, nan]</t>
  </si>
  <si>
    <t>[25.47, 45.55, 6.0, 11.28]</t>
  </si>
  <si>
    <t>[11.76, 12.3, 13.17, nan]</t>
  </si>
  <si>
    <t>[9.04, 9.4, 6.66, nan]</t>
  </si>
  <si>
    <t>[9.52, 11.58, 12.98, nan]</t>
  </si>
  <si>
    <t>[15.66, 21.09, 17.86, 17.05]</t>
  </si>
  <si>
    <t>[8.58, 8.79, 9.18, nan]</t>
  </si>
  <si>
    <t>[7.48, 9.71, 7.88, nan]</t>
  </si>
  <si>
    <t>[9.95, 19.25, 6.46, nan]</t>
  </si>
  <si>
    <t>[5.06, 4.07, 3.77, nan]</t>
  </si>
  <si>
    <t>[10.09, 5.56, 4.59, 4.37]</t>
  </si>
  <si>
    <t>[13.56, 8.08, 46.07, nan]</t>
  </si>
  <si>
    <t>[13.04, 15.95, 11.19, nan]</t>
  </si>
  <si>
    <t>[6.86, 8.67, 8.43, nan]</t>
  </si>
  <si>
    <t>[12.74, 19.15, 12.56, 10.51]</t>
  </si>
  <si>
    <t>[2.37, 5.19, 1.4, nan]</t>
  </si>
  <si>
    <t>[11.59, 13.0, 9.44, 8.59]</t>
  </si>
  <si>
    <t>[12.68, 11.77, nan, 8.92]</t>
  </si>
  <si>
    <t>[8.42, 8.8, 7.11, 5.19]</t>
  </si>
  <si>
    <t>[9.81, 15.24, 12.5, 10.65]</t>
  </si>
  <si>
    <t>[15.3, nan, 19.28, nan]</t>
  </si>
  <si>
    <t>[10.26, 11.75, 56.76, nan]</t>
  </si>
  <si>
    <t>[19.76, 323.72, nan, nan]</t>
  </si>
  <si>
    <t>[30.24, 31.78, nan, 9.47]</t>
  </si>
  <si>
    <t>[138.65, 9.65, 6.04, nan]</t>
  </si>
  <si>
    <t>[23.0, 6.95, 7.76, nan]</t>
  </si>
  <si>
    <t>[18.67, nan, nan, nan]</t>
  </si>
  <si>
    <t>[15.06, 10.45, 3.21, nan]</t>
  </si>
  <si>
    <t>[nan, nan, 21.66, nan]</t>
  </si>
  <si>
    <t>[10.13, 5.81, 6.69, nan]</t>
  </si>
  <si>
    <t>[10.32, 12.1, 3.45, nan]</t>
  </si>
  <si>
    <t>[0.81, 5.19, 7.82, nan]</t>
  </si>
  <si>
    <t>[nan, nan, 30.73, 16.65]</t>
  </si>
  <si>
    <t>[6.35, 39.1, 8.24, nan]</t>
  </si>
  <si>
    <t>[18.03, 10.11, 18.14, 14.94]</t>
  </si>
  <si>
    <t>[7.07, 5.79, 6.67, nan]</t>
  </si>
  <si>
    <t>[nan, nan, 2.94, nan]</t>
  </si>
  <si>
    <t>[nan, nan, 10.06, nan]</t>
  </si>
  <si>
    <t>[9.04, 6.1, 7.29, nan]</t>
  </si>
  <si>
    <t>[15.38, 12.44, 9.74, 9.7]</t>
  </si>
  <si>
    <t>[nan, nan, 11.02, 8.84]</t>
  </si>
  <si>
    <t>[14.34, 8.77, 9.61, nan]</t>
  </si>
  <si>
    <t>[7.13, 12.7, 10.17, nan]</t>
  </si>
  <si>
    <t>[14.21, nan, 3.49, nan]</t>
  </si>
  <si>
    <t>[8.27, 12.31, 14.51, 13.9]</t>
  </si>
  <si>
    <t>[nan, 3.49, nan, nan]</t>
  </si>
  <si>
    <t>[4.05, 9.99, 58.75, nan]</t>
  </si>
  <si>
    <t>[9.81, 10.71, 10.62, nan]</t>
  </si>
  <si>
    <t>[nan, nan, 6.52, 8.09]</t>
  </si>
  <si>
    <t>[8.07, 6.74, 11.37, nan]</t>
  </si>
  <si>
    <t>[nan, 8.08, 5.98, nan]</t>
  </si>
  <si>
    <t>[nan, 8.75, 6.75, nan]</t>
  </si>
  <si>
    <t>[3.76, 30.76, 9.81, 8.08]</t>
  </si>
  <si>
    <t>[23.44, 5.16, 24.0, nan]</t>
  </si>
  <si>
    <t>[14.23, 13.97, 12.07, 13.66]</t>
  </si>
  <si>
    <t>[9.48, 7.79, 6.09, nan]</t>
  </si>
  <si>
    <t>[8.57, 9.93, 8.29, 9.33]</t>
  </si>
  <si>
    <t>[3.46, 12.57, 14.41, 10.72]</t>
  </si>
  <si>
    <t>[6.1, 27.12, 9.1, 12.06]</t>
  </si>
  <si>
    <t>[nan, nan, 19.37, 17.05]</t>
  </si>
  <si>
    <t>[36.08, 36.78, 7.27, 18.62]</t>
  </si>
  <si>
    <t>[nan, 11.87, 87.65, 12.78]</t>
  </si>
  <si>
    <t>[nan, 11.08, 9.98, 12.02]</t>
  </si>
  <si>
    <t>[5.65, 15.65, 15.15, 12.27]</t>
  </si>
  <si>
    <t>[15.65, 20.64, 13.25, 12.48]</t>
  </si>
  <si>
    <t>[82.85, 9.99, 8.77, nan]</t>
  </si>
  <si>
    <t>[11.15, 6.87, 5.96, 5.22]</t>
  </si>
  <si>
    <t>[7.78, 8.94, 7.86, nan]</t>
  </si>
  <si>
    <t>[9.1, 6.33, nan, nan]</t>
  </si>
  <si>
    <t>[12.14, 22.1, 14.5, nan]</t>
  </si>
  <si>
    <t>[9.57, 6.77, 11.37, nan]</t>
  </si>
  <si>
    <t>[46.91, 13.31, 6.15, nan]</t>
  </si>
  <si>
    <t>[nan, 8.1, 12.87, 9.72]</t>
  </si>
  <si>
    <t>[4.68, 4.6, 26.36, nan]</t>
  </si>
  <si>
    <t>[13.4, 7.1, 4.57, nan]</t>
  </si>
  <si>
    <t>[11.06, 10.68, 11.38, 11.22]</t>
  </si>
  <si>
    <t>[nan, nan, 19.93, 16.54]</t>
  </si>
  <si>
    <t>[nan, nan, 11.99, 9.08]</t>
  </si>
  <si>
    <t>[8.38, 15.36, 8.17, 9.3]</t>
  </si>
  <si>
    <t>[21.85, 19.83, 12.92, 13.11]</t>
  </si>
  <si>
    <t>[5.77, 7.46, 34.2, nan]</t>
  </si>
  <si>
    <t>[7.43, 31.85, 8.79, nan]</t>
  </si>
  <si>
    <t>[39.15, 30.16, 10.09, 7.99]</t>
  </si>
  <si>
    <t>[nan, nan, nan, 4.11]</t>
  </si>
  <si>
    <t>[4.87, 6.3, 11.98, nan]</t>
  </si>
  <si>
    <t>[19.56, 13.28, 8.86, 10.44]</t>
  </si>
  <si>
    <t>[12.19, 13.22, 13.0, 11.17]</t>
  </si>
  <si>
    <t>[16.17, 9.29, 22.67, nan]</t>
  </si>
  <si>
    <t>[5.87, 9.73, 14.1, nan]</t>
  </si>
  <si>
    <t>[nan, nan, 5.39, nan]</t>
  </si>
  <si>
    <t>[11.15, 7.87, 16.48, nan]</t>
  </si>
  <si>
    <t>[12.28, 8.25, 9.82, 8.9]</t>
  </si>
  <si>
    <t>[3.91, 18.61, 11.97, nan]</t>
  </si>
  <si>
    <t>[14.68, 17.27, 9.63, nan]</t>
  </si>
  <si>
    <t>[5.08, 5.98, 8.13, nan]</t>
  </si>
  <si>
    <t>[nan, 55.01, 5.06, nan]</t>
  </si>
  <si>
    <t>[12.81, 7.23, 9.88, nan]</t>
  </si>
  <si>
    <t>[11.25, 11.37, 11.32, 11.51]</t>
  </si>
  <si>
    <t>[14.59, 8.96, 14.62, nan]</t>
  </si>
  <si>
    <t>[6.28, 12.67, 28.36, 10.6]</t>
  </si>
  <si>
    <t>[10.46, 10.5, 9.51, 8.59]</t>
  </si>
  <si>
    <t>[nan, nan, 27.0, 13.19]</t>
  </si>
  <si>
    <t>[nan, nan, 7.72, 4.41]</t>
  </si>
  <si>
    <t>[338.55, 52.05, 4.5, nan]</t>
  </si>
  <si>
    <t>[16.33, 11.25, 11.62, 9.01]</t>
  </si>
  <si>
    <t>[5.62, 15.72, 14.93, nan]</t>
  </si>
  <si>
    <t>[14.45, 7.14, 16.75, nan]</t>
  </si>
  <si>
    <t>[6.52, 13.61, 13.34, 11.09]</t>
  </si>
  <si>
    <t>[15.15, 8.01, 6.06, nan]</t>
  </si>
  <si>
    <t>[4.37, 67.05, 9.15, nan]</t>
  </si>
  <si>
    <t>[8.46, 7.88, 13.95, nan]</t>
  </si>
  <si>
    <t>[18.63, 11.17, 10.56, nan]</t>
  </si>
  <si>
    <t>[nan, nan, 5.68, 11.95]</t>
  </si>
  <si>
    <t>[6.2, 8.83, 14.68, 12.22]</t>
  </si>
  <si>
    <t>[nan, nan, 17.57, nan]</t>
  </si>
  <si>
    <t>[5.95, 8.81, 8.33, 4.74]</t>
  </si>
  <si>
    <t>[34.54, 4.25, 14.69, nan]</t>
  </si>
  <si>
    <t>[nan, nan, 4.25, nan]</t>
  </si>
  <si>
    <t>[11.33, 11.01, 12.54, 10.88]</t>
  </si>
  <si>
    <t>[13.78, 11.5, 9.99, nan]</t>
  </si>
  <si>
    <t>[nan, nan, 10.51, nan]</t>
  </si>
  <si>
    <t>[nan, nan, 14.61, nan]</t>
  </si>
  <si>
    <t>[7.87, 12.58, 12.8, 10.83]</t>
  </si>
  <si>
    <t>[5.12, 10.06, 12.73, nan]</t>
  </si>
  <si>
    <t>[nan, nan, 7.51, nan]</t>
  </si>
  <si>
    <t>[12.19, 9.49, 13.25, 9.4]</t>
  </si>
  <si>
    <t>[nan, nan, 20.62, 18.33]</t>
  </si>
  <si>
    <t>[7.48, 7.98, 18.77, 10.26]</t>
  </si>
  <si>
    <t>[nan, 11.05, 12.95, nan]</t>
  </si>
  <si>
    <t>[17.97, 11.32, 6.4, nan]</t>
  </si>
  <si>
    <t>[20.4, 14.25, 12.34, nan]</t>
  </si>
  <si>
    <t>[11.6, 10.67, 8.29, nan]</t>
  </si>
  <si>
    <t>[7.5, 9.44, 7.3, 6.12]</t>
  </si>
  <si>
    <t>[19.91, 8.35, 12.16, nan]</t>
  </si>
  <si>
    <t>[14.87, 8.17, 13.74, nan]</t>
  </si>
  <si>
    <t>[nan, 11.28, 9.9, 12.95]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</si>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</sst>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8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715</v>
      </c>
      <c r="C2">
        <f>HYPERLINK("https://finance.naver.com/item/coinfo.nhn?code=006840", "A006840")</f>
        <v>0</v>
      </c>
      <c r="D2">
        <f>HYPERLINK("http://comp.fnguide.com/SVO2/ASP/SVD_Consensus.asp?pGB=1&amp;gicode=A006840&amp;cID=&amp;MenuYn=Y&amp;ReportGB=&amp;NewMenuID=108&amp;stkGb=701", "AK홀딩스")</f>
        <v>0</v>
      </c>
      <c r="E2">
        <v>3</v>
      </c>
      <c r="F2">
        <v>33500</v>
      </c>
      <c r="G2">
        <v>0</v>
      </c>
      <c r="I2">
        <v>21386</v>
      </c>
      <c r="J2">
        <v>39125</v>
      </c>
      <c r="K2">
        <v>44292</v>
      </c>
      <c r="L2">
        <v>36.16</v>
      </c>
      <c r="M2">
        <v>-16.79</v>
      </c>
      <c r="N2">
        <v>-32.21</v>
      </c>
      <c r="O2">
        <v>3.43</v>
      </c>
      <c r="P2" t="b">
        <v>0</v>
      </c>
      <c r="Q2">
        <v>0</v>
      </c>
      <c r="R2">
        <v>-11615</v>
      </c>
      <c r="U2" t="s">
        <v>1394</v>
      </c>
      <c r="V2" t="s">
        <v>2073</v>
      </c>
      <c r="W2">
        <v>0</v>
      </c>
      <c r="X2">
        <v>0</v>
      </c>
      <c r="Y2" t="s">
        <v>2752</v>
      </c>
      <c r="Z2">
        <v>-26.8108708549855</v>
      </c>
      <c r="AA2">
        <v>4438</v>
      </c>
      <c r="AB2">
        <v>92685</v>
      </c>
      <c r="AC2" t="s">
        <v>3378</v>
      </c>
      <c r="AD2">
        <v>64.91</v>
      </c>
      <c r="AE2" t="s">
        <v>4057</v>
      </c>
      <c r="AF2" t="s">
        <v>4736</v>
      </c>
      <c r="AG2">
        <v>26200</v>
      </c>
      <c r="AH2">
        <v>-2216</v>
      </c>
      <c r="AI2">
        <v>202066</v>
      </c>
      <c r="AJ2">
        <v>1.59</v>
      </c>
    </row>
    <row r="3" spans="1:36">
      <c r="A3" s="1" t="s">
        <v>37</v>
      </c>
      <c r="B3" t="s">
        <v>716</v>
      </c>
      <c r="C3">
        <f>HYPERLINK("https://finance.naver.com/item/coinfo.nhn?code=036190", "A036190")</f>
        <v>0</v>
      </c>
      <c r="D3">
        <f>HYPERLINK("http://comp.fnguide.com/SVO2/ASP/SVD_Consensus.asp?pGB=1&amp;gicode=A036190&amp;cID=&amp;MenuYn=Y&amp;ReportGB=&amp;NewMenuID=108&amp;stkGb=701", "금화피에스시")</f>
        <v>0</v>
      </c>
      <c r="E3">
        <v>3</v>
      </c>
      <c r="F3">
        <v>32750</v>
      </c>
      <c r="G3">
        <v>-0.42</v>
      </c>
      <c r="H3">
        <v>5.83</v>
      </c>
      <c r="I3">
        <v>70541</v>
      </c>
      <c r="J3">
        <v>54480</v>
      </c>
      <c r="K3">
        <v>49801</v>
      </c>
      <c r="L3">
        <v>-115.39</v>
      </c>
      <c r="M3">
        <v>-66.34999999999999</v>
      </c>
      <c r="N3">
        <v>-52.06</v>
      </c>
      <c r="O3">
        <v>13.33</v>
      </c>
      <c r="P3" t="b">
        <v>1</v>
      </c>
      <c r="Q3">
        <v>0</v>
      </c>
      <c r="R3">
        <v>4993</v>
      </c>
      <c r="S3">
        <v>4233</v>
      </c>
      <c r="T3">
        <v>-15.2</v>
      </c>
      <c r="U3" t="s">
        <v>1395</v>
      </c>
      <c r="V3" t="s">
        <v>2074</v>
      </c>
      <c r="W3">
        <v>-13.80286219562009</v>
      </c>
      <c r="X3">
        <v>8.199999999999999</v>
      </c>
      <c r="Y3" t="s">
        <v>2753</v>
      </c>
      <c r="Z3">
        <v>5.735983058082983</v>
      </c>
      <c r="AA3">
        <v>1965</v>
      </c>
      <c r="AB3">
        <v>6215</v>
      </c>
      <c r="AC3" t="s">
        <v>3379</v>
      </c>
      <c r="AD3">
        <v>36.68</v>
      </c>
      <c r="AE3" t="s">
        <v>4058</v>
      </c>
      <c r="AF3" t="s">
        <v>4737</v>
      </c>
      <c r="AG3">
        <v>2353</v>
      </c>
      <c r="AH3">
        <v>270</v>
      </c>
      <c r="AI3">
        <v>94210</v>
      </c>
      <c r="AJ3">
        <v>4.47</v>
      </c>
    </row>
    <row r="4" spans="1:36">
      <c r="A4" s="1" t="s">
        <v>38</v>
      </c>
      <c r="B4" t="s">
        <v>717</v>
      </c>
      <c r="C4">
        <f>HYPERLINK("https://finance.naver.com/item/coinfo.nhn?code=042420", "A042420")</f>
        <v>0</v>
      </c>
      <c r="D4">
        <f>HYPERLINK("http://comp.fnguide.com/SVO2/ASP/SVD_Consensus.asp?pGB=1&amp;gicode=A042420&amp;cID=&amp;MenuYn=Y&amp;ReportGB=&amp;NewMenuID=108&amp;stkGb=701", "네오위즈홀딩스")</f>
        <v>0</v>
      </c>
      <c r="E4">
        <v>3</v>
      </c>
      <c r="F4">
        <v>35000</v>
      </c>
      <c r="G4">
        <v>0</v>
      </c>
      <c r="H4">
        <v>2.81</v>
      </c>
      <c r="I4">
        <v>64942</v>
      </c>
      <c r="J4">
        <v>55741</v>
      </c>
      <c r="K4">
        <v>53061</v>
      </c>
      <c r="L4">
        <v>-85.55</v>
      </c>
      <c r="M4">
        <v>-59.26</v>
      </c>
      <c r="N4">
        <v>-51.6</v>
      </c>
      <c r="O4">
        <v>10.8</v>
      </c>
      <c r="P4" t="b">
        <v>1</v>
      </c>
      <c r="Q4">
        <v>0</v>
      </c>
      <c r="R4">
        <v>5841</v>
      </c>
      <c r="U4" t="s">
        <v>1396</v>
      </c>
      <c r="V4" t="s">
        <v>2075</v>
      </c>
      <c r="W4">
        <v>0</v>
      </c>
      <c r="X4">
        <v>149.1</v>
      </c>
      <c r="Y4" t="s">
        <v>2754</v>
      </c>
      <c r="Z4">
        <v>61.88057326313123</v>
      </c>
      <c r="AA4">
        <v>3100</v>
      </c>
      <c r="AB4">
        <v>88544</v>
      </c>
      <c r="AC4" t="s">
        <v>3380</v>
      </c>
      <c r="AD4">
        <v>42.57</v>
      </c>
      <c r="AE4" t="s">
        <v>4059</v>
      </c>
      <c r="AF4" t="s">
        <v>4738</v>
      </c>
      <c r="AG4">
        <v>2892</v>
      </c>
      <c r="AH4">
        <v>578</v>
      </c>
      <c r="AI4">
        <v>1461659</v>
      </c>
    </row>
    <row r="5" spans="1:36">
      <c r="A5" s="1" t="s">
        <v>39</v>
      </c>
      <c r="B5" t="s">
        <v>718</v>
      </c>
      <c r="C5">
        <f>HYPERLINK("https://finance.naver.com/item/coinfo.nhn?code=137940", "A137940")</f>
        <v>0</v>
      </c>
      <c r="D5">
        <f>HYPERLINK("http://comp.fnguide.com/SVO2/ASP/SVD_Consensus.asp?pGB=1&amp;gicode=A137940&amp;cID=&amp;MenuYn=Y&amp;ReportGB=&amp;NewMenuID=108&amp;stkGb=701", "넥스트아이")</f>
        <v>0</v>
      </c>
      <c r="E5">
        <v>3</v>
      </c>
      <c r="F5">
        <v>1435</v>
      </c>
      <c r="G5">
        <v>0</v>
      </c>
      <c r="H5">
        <v>2.98</v>
      </c>
      <c r="I5">
        <v>4142</v>
      </c>
      <c r="J5">
        <v>2610</v>
      </c>
      <c r="K5">
        <v>2164</v>
      </c>
      <c r="L5">
        <v>-188.64</v>
      </c>
      <c r="M5">
        <v>-81.90000000000001</v>
      </c>
      <c r="N5">
        <v>-50.81</v>
      </c>
      <c r="O5">
        <v>21.78</v>
      </c>
      <c r="P5" t="b">
        <v>1</v>
      </c>
      <c r="Q5">
        <v>0</v>
      </c>
      <c r="R5">
        <v>557</v>
      </c>
      <c r="U5" t="s">
        <v>1397</v>
      </c>
      <c r="V5" t="s">
        <v>2076</v>
      </c>
      <c r="W5">
        <v>0</v>
      </c>
      <c r="X5">
        <v>0</v>
      </c>
      <c r="Y5" t="s">
        <v>2755</v>
      </c>
      <c r="Z5">
        <v>-36.20000000000001</v>
      </c>
      <c r="AA5">
        <v>1107</v>
      </c>
      <c r="AB5">
        <v>265596</v>
      </c>
      <c r="AC5" t="s">
        <v>3381</v>
      </c>
      <c r="AD5">
        <v>29.42</v>
      </c>
      <c r="AE5" t="s">
        <v>4060</v>
      </c>
      <c r="AF5" t="s">
        <v>4739</v>
      </c>
      <c r="AG5">
        <v>348</v>
      </c>
      <c r="AH5">
        <v>-104</v>
      </c>
      <c r="AI5">
        <v>1759210</v>
      </c>
      <c r="AJ5">
        <v>1.02</v>
      </c>
    </row>
    <row r="6" spans="1:36">
      <c r="A6" s="1" t="s">
        <v>40</v>
      </c>
      <c r="B6" t="s">
        <v>719</v>
      </c>
      <c r="C6">
        <f>HYPERLINK("https://finance.naver.com/item/coinfo.nhn?code=054050", "A054050")</f>
        <v>0</v>
      </c>
      <c r="D6">
        <f>HYPERLINK("http://comp.fnguide.com/SVO2/ASP/SVD_Consensus.asp?pGB=1&amp;gicode=A054050&amp;cID=&amp;MenuYn=Y&amp;ReportGB=&amp;NewMenuID=108&amp;stkGb=701", "농우바이오")</f>
        <v>0</v>
      </c>
      <c r="E6">
        <v>3</v>
      </c>
      <c r="F6">
        <v>13200</v>
      </c>
      <c r="G6">
        <v>0</v>
      </c>
      <c r="H6">
        <v>17.82</v>
      </c>
      <c r="I6">
        <v>9696</v>
      </c>
      <c r="J6">
        <v>12685</v>
      </c>
      <c r="K6">
        <v>13556</v>
      </c>
      <c r="L6">
        <v>26.54</v>
      </c>
      <c r="M6">
        <v>3.9</v>
      </c>
      <c r="N6">
        <v>-2.69</v>
      </c>
      <c r="O6">
        <v>5.41</v>
      </c>
      <c r="P6" t="b">
        <v>0</v>
      </c>
      <c r="Q6">
        <v>0</v>
      </c>
      <c r="R6">
        <v>586</v>
      </c>
      <c r="U6" t="s">
        <v>1398</v>
      </c>
      <c r="V6" t="s">
        <v>2077</v>
      </c>
      <c r="W6">
        <v>0</v>
      </c>
      <c r="X6">
        <v>34.6</v>
      </c>
      <c r="Y6" t="s">
        <v>2756</v>
      </c>
      <c r="Z6">
        <v>-3.465880857696879</v>
      </c>
      <c r="AA6">
        <v>2116</v>
      </c>
      <c r="AB6">
        <v>236842</v>
      </c>
      <c r="AC6" t="s">
        <v>3382</v>
      </c>
      <c r="AD6">
        <v>57.91</v>
      </c>
      <c r="AE6" t="s">
        <v>4061</v>
      </c>
      <c r="AF6" t="s">
        <v>4740</v>
      </c>
      <c r="AG6">
        <v>1300</v>
      </c>
      <c r="AH6">
        <v>42</v>
      </c>
      <c r="AJ6">
        <v>1.91</v>
      </c>
    </row>
    <row r="7" spans="1:36">
      <c r="A7" s="1" t="s">
        <v>41</v>
      </c>
      <c r="B7" t="s">
        <v>720</v>
      </c>
      <c r="C7">
        <f>HYPERLINK("https://finance.naver.com/item/coinfo.nhn?code=900100", "A900100")</f>
        <v>0</v>
      </c>
      <c r="D7">
        <f>HYPERLINK("http://comp.fnguide.com/SVO2/ASP/SVD_Consensus.asp?pGB=1&amp;gicode=A900100&amp;cID=&amp;MenuYn=Y&amp;ReportGB=&amp;NewMenuID=108&amp;stkGb=701", "뉴프라이드")</f>
        <v>0</v>
      </c>
      <c r="E7">
        <v>3</v>
      </c>
      <c r="F7">
        <v>717</v>
      </c>
      <c r="G7">
        <v>0</v>
      </c>
      <c r="I7">
        <v>0</v>
      </c>
      <c r="J7">
        <v>811</v>
      </c>
      <c r="K7">
        <v>1047</v>
      </c>
      <c r="L7">
        <v>100</v>
      </c>
      <c r="M7">
        <v>-13.12</v>
      </c>
      <c r="N7">
        <v>-46.07</v>
      </c>
      <c r="O7">
        <v>0</v>
      </c>
      <c r="P7" t="b">
        <v>0</v>
      </c>
      <c r="Q7">
        <v>0</v>
      </c>
      <c r="R7">
        <v>-322</v>
      </c>
      <c r="U7" t="s">
        <v>1399</v>
      </c>
      <c r="V7" t="s">
        <v>2078</v>
      </c>
      <c r="W7">
        <v>0</v>
      </c>
      <c r="Y7" t="s">
        <v>2757</v>
      </c>
      <c r="Z7">
        <v>0</v>
      </c>
      <c r="AA7">
        <v>898</v>
      </c>
      <c r="AB7">
        <v>0</v>
      </c>
      <c r="AC7" t="s">
        <v>3383</v>
      </c>
      <c r="AD7">
        <v>2.8</v>
      </c>
      <c r="AE7" t="s">
        <v>4062</v>
      </c>
      <c r="AF7" t="s">
        <v>4741</v>
      </c>
      <c r="AG7">
        <v>398</v>
      </c>
      <c r="AH7">
        <v>-35</v>
      </c>
      <c r="AI7">
        <v>142</v>
      </c>
    </row>
    <row r="8" spans="1:36">
      <c r="A8" s="1" t="s">
        <v>42</v>
      </c>
      <c r="B8" t="s">
        <v>721</v>
      </c>
      <c r="C8">
        <f>HYPERLINK("https://finance.naver.com/item/coinfo.nhn?code=032190", "A032190")</f>
        <v>0</v>
      </c>
      <c r="D8">
        <f>HYPERLINK("http://comp.fnguide.com/SVO2/ASP/SVD_Consensus.asp?pGB=1&amp;gicode=A032190&amp;cID=&amp;MenuYn=Y&amp;ReportGB=&amp;NewMenuID=108&amp;stkGb=701", "다우데이타")</f>
        <v>0</v>
      </c>
      <c r="E8">
        <v>3</v>
      </c>
      <c r="F8">
        <v>14200</v>
      </c>
      <c r="G8">
        <v>0</v>
      </c>
      <c r="H8">
        <v>5.1</v>
      </c>
      <c r="I8">
        <v>30120</v>
      </c>
      <c r="J8">
        <v>23851</v>
      </c>
      <c r="K8">
        <v>22026</v>
      </c>
      <c r="L8">
        <v>-112.11</v>
      </c>
      <c r="M8">
        <v>-67.97</v>
      </c>
      <c r="N8">
        <v>-55.11</v>
      </c>
      <c r="O8">
        <v>12.65</v>
      </c>
      <c r="P8" t="b">
        <v>1</v>
      </c>
      <c r="Q8">
        <v>0</v>
      </c>
      <c r="R8">
        <v>2510</v>
      </c>
      <c r="U8" t="s">
        <v>1400</v>
      </c>
      <c r="V8" t="s">
        <v>2079</v>
      </c>
      <c r="W8">
        <v>0</v>
      </c>
      <c r="X8">
        <v>40.8</v>
      </c>
      <c r="Y8" t="s">
        <v>2758</v>
      </c>
      <c r="Z8">
        <v>0.6283258597342467</v>
      </c>
      <c r="AA8">
        <v>5439</v>
      </c>
      <c r="AB8">
        <v>211302</v>
      </c>
      <c r="AC8" t="s">
        <v>3384</v>
      </c>
      <c r="AD8">
        <v>67.67</v>
      </c>
      <c r="AE8" t="s">
        <v>4063</v>
      </c>
      <c r="AF8" t="s">
        <v>4742</v>
      </c>
      <c r="AG8">
        <v>50939</v>
      </c>
      <c r="AH8">
        <v>10553</v>
      </c>
      <c r="AJ8">
        <v>1.95</v>
      </c>
    </row>
    <row r="9" spans="1:36">
      <c r="A9" s="1" t="s">
        <v>43</v>
      </c>
      <c r="B9" t="s">
        <v>722</v>
      </c>
      <c r="C9">
        <f>HYPERLINK("https://finance.naver.com/item/coinfo.nhn?code=008830", "A008830")</f>
        <v>0</v>
      </c>
      <c r="D9">
        <f>HYPERLINK("http://comp.fnguide.com/SVO2/ASP/SVD_Consensus.asp?pGB=1&amp;gicode=A008830&amp;cID=&amp;MenuYn=Y&amp;ReportGB=&amp;NewMenuID=108&amp;stkGb=701", "대동기어")</f>
        <v>0</v>
      </c>
      <c r="E9">
        <v>3</v>
      </c>
      <c r="F9">
        <v>4870</v>
      </c>
      <c r="G9">
        <v>0</v>
      </c>
      <c r="H9">
        <v>13.45</v>
      </c>
      <c r="I9">
        <v>1731</v>
      </c>
      <c r="J9">
        <v>4985</v>
      </c>
      <c r="K9">
        <v>5933</v>
      </c>
      <c r="L9">
        <v>64.45999999999999</v>
      </c>
      <c r="M9">
        <v>-2.37</v>
      </c>
      <c r="N9">
        <v>-21.83</v>
      </c>
      <c r="O9">
        <v>1.97</v>
      </c>
      <c r="P9" t="b">
        <v>1</v>
      </c>
      <c r="Q9">
        <v>0</v>
      </c>
      <c r="R9">
        <v>260</v>
      </c>
      <c r="U9" t="s">
        <v>1401</v>
      </c>
      <c r="V9" t="s">
        <v>2080</v>
      </c>
      <c r="W9">
        <v>0</v>
      </c>
      <c r="X9">
        <v>0</v>
      </c>
      <c r="Y9" t="s">
        <v>2759</v>
      </c>
      <c r="Z9">
        <v>194.2</v>
      </c>
      <c r="AA9">
        <v>438</v>
      </c>
      <c r="AB9">
        <v>40987</v>
      </c>
      <c r="AC9" t="s">
        <v>3385</v>
      </c>
      <c r="AD9">
        <v>60.23</v>
      </c>
      <c r="AE9" t="s">
        <v>4064</v>
      </c>
      <c r="AF9" t="s">
        <v>4743</v>
      </c>
      <c r="AG9">
        <v>1564</v>
      </c>
      <c r="AH9">
        <v>50</v>
      </c>
      <c r="AJ9">
        <v>1.14</v>
      </c>
    </row>
    <row r="10" spans="1:36">
      <c r="A10" s="1" t="s">
        <v>44</v>
      </c>
      <c r="B10" t="s">
        <v>723</v>
      </c>
      <c r="C10">
        <f>HYPERLINK("https://finance.naver.com/item/coinfo.nhn?code=004780", "A004780")</f>
        <v>0</v>
      </c>
      <c r="D10">
        <f>HYPERLINK("http://comp.fnguide.com/SVO2/ASP/SVD_Consensus.asp?pGB=1&amp;gicode=A004780&amp;cID=&amp;MenuYn=Y&amp;ReportGB=&amp;NewMenuID=108&amp;stkGb=701", "대륙제관")</f>
        <v>0</v>
      </c>
      <c r="E10">
        <v>3</v>
      </c>
      <c r="F10">
        <v>6170</v>
      </c>
      <c r="G10">
        <v>0</v>
      </c>
      <c r="H10">
        <v>6.23</v>
      </c>
      <c r="I10">
        <v>6840</v>
      </c>
      <c r="J10">
        <v>7121</v>
      </c>
      <c r="K10">
        <v>7203</v>
      </c>
      <c r="L10">
        <v>-10.86</v>
      </c>
      <c r="M10">
        <v>-15.41</v>
      </c>
      <c r="N10">
        <v>-16.74</v>
      </c>
      <c r="O10">
        <v>7.69</v>
      </c>
      <c r="P10" t="b">
        <v>1</v>
      </c>
      <c r="Q10">
        <v>0</v>
      </c>
      <c r="R10">
        <v>757</v>
      </c>
      <c r="U10" t="s">
        <v>1402</v>
      </c>
      <c r="V10" t="s">
        <v>2081</v>
      </c>
      <c r="W10">
        <v>0</v>
      </c>
      <c r="X10">
        <v>124.6</v>
      </c>
      <c r="Y10" t="s">
        <v>2760</v>
      </c>
      <c r="Z10">
        <v>-1.332847196926379</v>
      </c>
      <c r="AA10">
        <v>981</v>
      </c>
      <c r="AB10">
        <v>96797</v>
      </c>
      <c r="AC10" t="s">
        <v>3386</v>
      </c>
      <c r="AD10">
        <v>55.72</v>
      </c>
      <c r="AE10" t="s">
        <v>4065</v>
      </c>
      <c r="AF10" t="s">
        <v>4744</v>
      </c>
      <c r="AG10">
        <v>2122</v>
      </c>
      <c r="AH10">
        <v>157</v>
      </c>
      <c r="AJ10">
        <v>3.18</v>
      </c>
    </row>
    <row r="11" spans="1:36">
      <c r="A11" s="1" t="s">
        <v>45</v>
      </c>
      <c r="B11" t="s">
        <v>724</v>
      </c>
      <c r="C11">
        <f>HYPERLINK("https://finance.naver.com/item/coinfo.nhn?code=017650", "A017650")</f>
        <v>0</v>
      </c>
      <c r="D11">
        <f>HYPERLINK("http://comp.fnguide.com/SVO2/ASP/SVD_Consensus.asp?pGB=1&amp;gicode=A017650&amp;cID=&amp;MenuYn=Y&amp;ReportGB=&amp;NewMenuID=108&amp;stkGb=701", "대림제지")</f>
        <v>0</v>
      </c>
      <c r="E11">
        <v>3</v>
      </c>
      <c r="F11">
        <v>15350</v>
      </c>
      <c r="G11">
        <v>0</v>
      </c>
      <c r="H11">
        <v>6.5</v>
      </c>
      <c r="I11">
        <v>14839</v>
      </c>
      <c r="J11">
        <v>18239</v>
      </c>
      <c r="K11">
        <v>19229</v>
      </c>
      <c r="L11">
        <v>3.33</v>
      </c>
      <c r="M11">
        <v>-18.82</v>
      </c>
      <c r="N11">
        <v>-25.27</v>
      </c>
      <c r="O11">
        <v>5.93</v>
      </c>
      <c r="P11" t="b">
        <v>1</v>
      </c>
      <c r="Q11">
        <v>0</v>
      </c>
      <c r="R11">
        <v>1453</v>
      </c>
      <c r="U11" t="s">
        <v>1403</v>
      </c>
      <c r="V11" t="s">
        <v>2082</v>
      </c>
      <c r="W11">
        <v>0</v>
      </c>
      <c r="X11">
        <v>420.9</v>
      </c>
      <c r="Y11" t="s">
        <v>2761</v>
      </c>
      <c r="Z11">
        <v>0.7846714535499011</v>
      </c>
      <c r="AA11">
        <v>1382</v>
      </c>
      <c r="AB11">
        <v>61368</v>
      </c>
      <c r="AC11" t="s">
        <v>3387</v>
      </c>
      <c r="AD11">
        <v>61.89</v>
      </c>
      <c r="AE11" t="s">
        <v>4066</v>
      </c>
      <c r="AF11" t="s">
        <v>4745</v>
      </c>
      <c r="AG11">
        <v>1287</v>
      </c>
      <c r="AH11">
        <v>164</v>
      </c>
      <c r="AI11">
        <v>-1441</v>
      </c>
      <c r="AJ11">
        <v>0.79</v>
      </c>
    </row>
    <row r="12" spans="1:36">
      <c r="A12" s="1" t="s">
        <v>46</v>
      </c>
      <c r="B12" t="s">
        <v>725</v>
      </c>
      <c r="C12">
        <f>HYPERLINK("https://finance.naver.com/item/coinfo.nhn?code=007720", "A007720")</f>
        <v>0</v>
      </c>
      <c r="D12">
        <f>HYPERLINK("http://comp.fnguide.com/SVO2/ASP/SVD_Consensus.asp?pGB=1&amp;gicode=A007720&amp;cID=&amp;MenuYn=Y&amp;ReportGB=&amp;NewMenuID=108&amp;stkGb=701", "대명소노시즌")</f>
        <v>0</v>
      </c>
      <c r="E12">
        <v>3</v>
      </c>
      <c r="F12">
        <v>1470</v>
      </c>
      <c r="G12">
        <v>0</v>
      </c>
      <c r="I12">
        <v>3073</v>
      </c>
      <c r="J12">
        <v>2195</v>
      </c>
      <c r="K12">
        <v>1940</v>
      </c>
      <c r="L12">
        <v>-109.07</v>
      </c>
      <c r="M12">
        <v>-49.35</v>
      </c>
      <c r="N12">
        <v>-31.95</v>
      </c>
      <c r="O12">
        <v>15.84</v>
      </c>
      <c r="P12" t="b">
        <v>0</v>
      </c>
      <c r="Q12">
        <v>0</v>
      </c>
      <c r="R12">
        <v>-41</v>
      </c>
      <c r="U12" t="s">
        <v>1404</v>
      </c>
      <c r="V12" t="s">
        <v>2083</v>
      </c>
      <c r="W12">
        <v>0</v>
      </c>
      <c r="X12">
        <v>0</v>
      </c>
      <c r="Y12" t="s">
        <v>2762</v>
      </c>
      <c r="Z12">
        <v>0</v>
      </c>
      <c r="AA12">
        <v>1482</v>
      </c>
      <c r="AB12">
        <v>896649</v>
      </c>
      <c r="AC12" t="s">
        <v>3388</v>
      </c>
      <c r="AD12">
        <v>44.44</v>
      </c>
      <c r="AE12" t="s">
        <v>4067</v>
      </c>
      <c r="AF12" t="s">
        <v>4746</v>
      </c>
      <c r="AG12">
        <v>1294</v>
      </c>
      <c r="AH12">
        <v>-59</v>
      </c>
    </row>
    <row r="13" spans="1:36">
      <c r="A13" s="1" t="s">
        <v>47</v>
      </c>
      <c r="B13" t="s">
        <v>726</v>
      </c>
      <c r="C13">
        <f>HYPERLINK("https://finance.naver.com/item/coinfo.nhn?code=108380", "A108380")</f>
        <v>0</v>
      </c>
      <c r="D13">
        <f>HYPERLINK("http://comp.fnguide.com/SVO2/ASP/SVD_Consensus.asp?pGB=1&amp;gicode=A108380&amp;cID=&amp;MenuYn=Y&amp;ReportGB=&amp;NewMenuID=108&amp;stkGb=701", "대양전기공업")</f>
        <v>0</v>
      </c>
      <c r="E13">
        <v>3</v>
      </c>
      <c r="F13">
        <v>20250</v>
      </c>
      <c r="G13">
        <v>0</v>
      </c>
      <c r="H13">
        <v>10.69</v>
      </c>
      <c r="I13">
        <v>18411</v>
      </c>
      <c r="J13">
        <v>21481</v>
      </c>
      <c r="K13">
        <v>22375</v>
      </c>
      <c r="L13">
        <v>9.08</v>
      </c>
      <c r="M13">
        <v>-6.08</v>
      </c>
      <c r="N13">
        <v>-10.49</v>
      </c>
      <c r="O13">
        <v>6.42</v>
      </c>
      <c r="P13" t="b">
        <v>1</v>
      </c>
      <c r="Q13">
        <v>0</v>
      </c>
      <c r="R13">
        <v>1446</v>
      </c>
      <c r="U13" t="s">
        <v>1405</v>
      </c>
      <c r="V13" t="s">
        <v>2084</v>
      </c>
      <c r="W13">
        <v>0</v>
      </c>
      <c r="X13">
        <v>10.7</v>
      </c>
      <c r="Y13" t="s">
        <v>2763</v>
      </c>
      <c r="Z13">
        <v>-4.182341359690856</v>
      </c>
      <c r="AA13">
        <v>1937</v>
      </c>
      <c r="AB13">
        <v>111697</v>
      </c>
      <c r="AC13" t="s">
        <v>3389</v>
      </c>
      <c r="AD13">
        <v>59.85</v>
      </c>
      <c r="AE13" t="s">
        <v>4068</v>
      </c>
      <c r="AF13" t="s">
        <v>4747</v>
      </c>
      <c r="AG13">
        <v>1892</v>
      </c>
      <c r="AH13">
        <v>163</v>
      </c>
      <c r="AI13">
        <v>279488</v>
      </c>
      <c r="AJ13">
        <v>1.29</v>
      </c>
    </row>
    <row r="14" spans="1:36">
      <c r="A14" s="1" t="s">
        <v>48</v>
      </c>
      <c r="B14" t="s">
        <v>727</v>
      </c>
      <c r="C14">
        <f>HYPERLINK("https://finance.naver.com/item/coinfo.nhn?code=006580", "A006580")</f>
        <v>0</v>
      </c>
      <c r="D14">
        <f>HYPERLINK("http://comp.fnguide.com/SVO2/ASP/SVD_Consensus.asp?pGB=1&amp;gicode=A006580&amp;cID=&amp;MenuYn=Y&amp;ReportGB=&amp;NewMenuID=108&amp;stkGb=701", "대양제지")</f>
        <v>0</v>
      </c>
      <c r="E14">
        <v>3</v>
      </c>
      <c r="F14">
        <v>3260</v>
      </c>
      <c r="G14">
        <v>0</v>
      </c>
      <c r="H14">
        <v>25.68</v>
      </c>
      <c r="I14">
        <v>9996</v>
      </c>
      <c r="J14">
        <v>7903</v>
      </c>
      <c r="K14">
        <v>7294</v>
      </c>
      <c r="L14">
        <v>-206.63</v>
      </c>
      <c r="M14">
        <v>-142.43</v>
      </c>
      <c r="N14">
        <v>-123.73</v>
      </c>
      <c r="O14">
        <v>12.69</v>
      </c>
      <c r="P14" t="b">
        <v>1</v>
      </c>
      <c r="Q14">
        <v>0</v>
      </c>
      <c r="R14">
        <v>123</v>
      </c>
      <c r="U14" t="s">
        <v>1406</v>
      </c>
      <c r="V14" t="s">
        <v>2085</v>
      </c>
      <c r="W14">
        <v>0</v>
      </c>
      <c r="X14">
        <v>-86</v>
      </c>
      <c r="Y14" t="s">
        <v>2764</v>
      </c>
      <c r="Z14">
        <v>-67.06066181599878</v>
      </c>
      <c r="AA14">
        <v>875</v>
      </c>
      <c r="AB14">
        <v>0</v>
      </c>
      <c r="AC14" t="s">
        <v>3390</v>
      </c>
      <c r="AD14">
        <v>66.31999999999999</v>
      </c>
      <c r="AE14" t="s">
        <v>4069</v>
      </c>
      <c r="AF14" t="s">
        <v>4748</v>
      </c>
      <c r="AG14">
        <v>2140</v>
      </c>
      <c r="AH14">
        <v>101</v>
      </c>
      <c r="AI14">
        <v>6193269</v>
      </c>
      <c r="AJ14">
        <v>1.27</v>
      </c>
    </row>
    <row r="15" spans="1:36">
      <c r="A15" s="1" t="s">
        <v>49</v>
      </c>
      <c r="B15" t="s">
        <v>728</v>
      </c>
      <c r="C15">
        <f>HYPERLINK("https://finance.naver.com/item/coinfo.nhn?code=007680", "A007680")</f>
        <v>0</v>
      </c>
      <c r="D15">
        <f>HYPERLINK("http://comp.fnguide.com/SVO2/ASP/SVD_Consensus.asp?pGB=1&amp;gicode=A007680&amp;cID=&amp;MenuYn=Y&amp;ReportGB=&amp;NewMenuID=108&amp;stkGb=701", "대원")</f>
        <v>0</v>
      </c>
      <c r="E15">
        <v>3</v>
      </c>
      <c r="F15">
        <v>10200</v>
      </c>
      <c r="G15">
        <v>0</v>
      </c>
      <c r="I15">
        <v>8291</v>
      </c>
      <c r="J15">
        <v>16510</v>
      </c>
      <c r="K15">
        <v>18904</v>
      </c>
      <c r="L15">
        <v>18.71</v>
      </c>
      <c r="M15">
        <v>-61.86</v>
      </c>
      <c r="N15">
        <v>-85.33</v>
      </c>
      <c r="O15">
        <v>3.08</v>
      </c>
      <c r="P15" t="b">
        <v>0</v>
      </c>
      <c r="Q15">
        <v>0</v>
      </c>
      <c r="R15">
        <v>-850</v>
      </c>
      <c r="U15" t="s">
        <v>1407</v>
      </c>
      <c r="V15" t="s">
        <v>2086</v>
      </c>
      <c r="W15">
        <v>0</v>
      </c>
      <c r="X15">
        <v>0</v>
      </c>
      <c r="Y15" t="s">
        <v>2765</v>
      </c>
      <c r="Z15">
        <v>-12.86896034985508</v>
      </c>
      <c r="AA15">
        <v>1256</v>
      </c>
      <c r="AB15">
        <v>47747</v>
      </c>
      <c r="AC15" t="s">
        <v>3391</v>
      </c>
      <c r="AD15">
        <v>74.81999999999999</v>
      </c>
      <c r="AE15" t="s">
        <v>4070</v>
      </c>
      <c r="AF15" t="s">
        <v>4749</v>
      </c>
      <c r="AG15">
        <v>2101</v>
      </c>
      <c r="AH15">
        <v>34</v>
      </c>
      <c r="AI15">
        <v>160000</v>
      </c>
      <c r="AJ15">
        <v>2.62</v>
      </c>
    </row>
    <row r="16" spans="1:36">
      <c r="A16" s="1" t="s">
        <v>50</v>
      </c>
      <c r="B16" t="s">
        <v>729</v>
      </c>
      <c r="C16">
        <f>HYPERLINK("https://finance.naver.com/item/coinfo.nhn?code=005710", "A005710")</f>
        <v>0</v>
      </c>
      <c r="D16">
        <f>HYPERLINK("http://comp.fnguide.com/SVO2/ASP/SVD_Consensus.asp?pGB=1&amp;gicode=A005710&amp;cID=&amp;MenuYn=Y&amp;ReportGB=&amp;NewMenuID=108&amp;stkGb=701", "대원산업")</f>
        <v>0</v>
      </c>
      <c r="E16">
        <v>3</v>
      </c>
      <c r="F16">
        <v>8270</v>
      </c>
      <c r="G16">
        <v>0</v>
      </c>
      <c r="H16">
        <v>6.13</v>
      </c>
      <c r="I16">
        <v>18201</v>
      </c>
      <c r="J16">
        <v>17241</v>
      </c>
      <c r="K16">
        <v>16961</v>
      </c>
      <c r="L16">
        <v>-120.09</v>
      </c>
      <c r="M16">
        <v>-108.47</v>
      </c>
      <c r="N16">
        <v>-105.09</v>
      </c>
      <c r="O16">
        <v>9.02</v>
      </c>
      <c r="P16" t="b">
        <v>1</v>
      </c>
      <c r="Q16">
        <v>0</v>
      </c>
      <c r="R16">
        <v>902</v>
      </c>
      <c r="U16" t="s">
        <v>1408</v>
      </c>
      <c r="V16" t="s">
        <v>2087</v>
      </c>
      <c r="W16">
        <v>0</v>
      </c>
      <c r="X16">
        <v>-53.8</v>
      </c>
      <c r="Y16" t="s">
        <v>2766</v>
      </c>
      <c r="Z16">
        <v>23.12287626922349</v>
      </c>
      <c r="AA16">
        <v>1657</v>
      </c>
      <c r="AB16">
        <v>57683</v>
      </c>
      <c r="AC16" t="s">
        <v>3392</v>
      </c>
      <c r="AD16">
        <v>61.55</v>
      </c>
      <c r="AE16" t="s">
        <v>4071</v>
      </c>
      <c r="AF16" t="s">
        <v>4750</v>
      </c>
      <c r="AG16">
        <v>6426</v>
      </c>
      <c r="AH16">
        <v>281</v>
      </c>
      <c r="AJ16">
        <v>2.26</v>
      </c>
    </row>
    <row r="17" spans="1:36">
      <c r="A17" s="1" t="s">
        <v>51</v>
      </c>
      <c r="B17" t="s">
        <v>730</v>
      </c>
      <c r="C17">
        <f>HYPERLINK("https://finance.naver.com/item/coinfo.nhn?code=067990", "A067990")</f>
        <v>0</v>
      </c>
      <c r="D17">
        <f>HYPERLINK("http://comp.fnguide.com/SVO2/ASP/SVD_Consensus.asp?pGB=1&amp;gicode=A067990&amp;cID=&amp;MenuYn=Y&amp;ReportGB=&amp;NewMenuID=108&amp;stkGb=701", "도이치모터스")</f>
        <v>0</v>
      </c>
      <c r="E17">
        <v>3</v>
      </c>
      <c r="F17">
        <v>7730</v>
      </c>
      <c r="G17">
        <v>-2.97</v>
      </c>
      <c r="H17">
        <v>15.06</v>
      </c>
      <c r="I17">
        <v>17376</v>
      </c>
      <c r="J17">
        <v>12747</v>
      </c>
      <c r="K17">
        <v>11399</v>
      </c>
      <c r="L17">
        <v>-124.78</v>
      </c>
      <c r="M17">
        <v>-64.91</v>
      </c>
      <c r="N17">
        <v>-47.47</v>
      </c>
      <c r="O17">
        <v>14.9</v>
      </c>
      <c r="P17" t="b">
        <v>1</v>
      </c>
      <c r="Q17">
        <v>1</v>
      </c>
      <c r="R17">
        <v>492</v>
      </c>
      <c r="S17">
        <v>1073</v>
      </c>
      <c r="T17">
        <v>118.1</v>
      </c>
      <c r="U17" t="s">
        <v>1409</v>
      </c>
      <c r="V17" t="s">
        <v>2088</v>
      </c>
      <c r="W17">
        <v>-5.064322285520007</v>
      </c>
      <c r="X17">
        <v>-74.90000000000001</v>
      </c>
      <c r="Y17" t="s">
        <v>2767</v>
      </c>
      <c r="Z17">
        <v>52.86824774892978</v>
      </c>
      <c r="AA17">
        <v>2290</v>
      </c>
      <c r="AB17">
        <v>224610</v>
      </c>
      <c r="AC17" t="s">
        <v>3393</v>
      </c>
      <c r="AD17">
        <v>31.97</v>
      </c>
      <c r="AE17" t="s">
        <v>4072</v>
      </c>
      <c r="AF17" t="s">
        <v>4751</v>
      </c>
      <c r="AG17">
        <v>14511</v>
      </c>
      <c r="AH17">
        <v>449</v>
      </c>
      <c r="AJ17">
        <v>3.31</v>
      </c>
    </row>
    <row r="18" spans="1:36">
      <c r="A18" s="1" t="s">
        <v>52</v>
      </c>
      <c r="B18" t="s">
        <v>731</v>
      </c>
      <c r="C18">
        <f>HYPERLINK("https://finance.naver.com/item/coinfo.nhn?code=005160", "A005160")</f>
        <v>0</v>
      </c>
      <c r="D18">
        <f>HYPERLINK("http://comp.fnguide.com/SVO2/ASP/SVD_Consensus.asp?pGB=1&amp;gicode=A005160&amp;cID=&amp;MenuYn=Y&amp;ReportGB=&amp;NewMenuID=108&amp;stkGb=701", "동국산업")</f>
        <v>0</v>
      </c>
      <c r="E18">
        <v>3</v>
      </c>
      <c r="F18">
        <v>4015</v>
      </c>
      <c r="G18">
        <v>0</v>
      </c>
      <c r="H18">
        <v>28.15</v>
      </c>
      <c r="I18">
        <v>2283</v>
      </c>
      <c r="J18">
        <v>5354</v>
      </c>
      <c r="K18">
        <v>6248</v>
      </c>
      <c r="L18">
        <v>43.13</v>
      </c>
      <c r="M18">
        <v>-33.34</v>
      </c>
      <c r="N18">
        <v>-55.62</v>
      </c>
      <c r="O18">
        <v>2.52</v>
      </c>
      <c r="P18" t="b">
        <v>1</v>
      </c>
      <c r="Q18">
        <v>0</v>
      </c>
      <c r="R18">
        <v>121</v>
      </c>
      <c r="U18" t="s">
        <v>1410</v>
      </c>
      <c r="V18" t="s">
        <v>2089</v>
      </c>
      <c r="W18">
        <v>0</v>
      </c>
      <c r="X18">
        <v>-51.8</v>
      </c>
      <c r="Y18" t="s">
        <v>2768</v>
      </c>
      <c r="Z18">
        <v>-20.3383631715667</v>
      </c>
      <c r="AA18">
        <v>2178</v>
      </c>
      <c r="AB18">
        <v>201498</v>
      </c>
      <c r="AC18" t="s">
        <v>3394</v>
      </c>
      <c r="AD18">
        <v>49.84</v>
      </c>
      <c r="AE18" t="s">
        <v>4073</v>
      </c>
      <c r="AF18" t="s">
        <v>4752</v>
      </c>
      <c r="AG18">
        <v>5782</v>
      </c>
      <c r="AH18">
        <v>185</v>
      </c>
      <c r="AI18">
        <v>2720071</v>
      </c>
      <c r="AJ18">
        <v>3.83</v>
      </c>
    </row>
    <row r="19" spans="1:36">
      <c r="A19" s="1" t="s">
        <v>53</v>
      </c>
      <c r="B19" t="s">
        <v>732</v>
      </c>
      <c r="C19">
        <f>HYPERLINK("https://finance.naver.com/item/coinfo.nhn?code=212560", "A212560")</f>
        <v>0</v>
      </c>
      <c r="D19">
        <f>HYPERLINK("http://comp.fnguide.com/SVO2/ASP/SVD_Consensus.asp?pGB=1&amp;gicode=A212560&amp;cID=&amp;MenuYn=Y&amp;ReportGB=&amp;NewMenuID=108&amp;stkGb=701", "네오오토")</f>
        <v>0</v>
      </c>
      <c r="E19">
        <v>3</v>
      </c>
      <c r="F19">
        <v>8200</v>
      </c>
      <c r="G19">
        <v>0</v>
      </c>
      <c r="H19">
        <v>11.18</v>
      </c>
      <c r="I19">
        <v>5792</v>
      </c>
      <c r="J19">
        <v>8590</v>
      </c>
      <c r="K19">
        <v>9405</v>
      </c>
      <c r="L19">
        <v>29.37</v>
      </c>
      <c r="M19">
        <v>-4.75</v>
      </c>
      <c r="N19">
        <v>-14.69</v>
      </c>
      <c r="O19">
        <v>4.53</v>
      </c>
      <c r="P19" t="b">
        <v>1</v>
      </c>
      <c r="Q19">
        <v>0</v>
      </c>
      <c r="R19">
        <v>450</v>
      </c>
      <c r="U19" t="s">
        <v>1411</v>
      </c>
      <c r="V19" t="s">
        <v>2090</v>
      </c>
      <c r="W19">
        <v>0</v>
      </c>
      <c r="X19">
        <v>41.9</v>
      </c>
      <c r="Y19" t="s">
        <v>2769</v>
      </c>
      <c r="Z19">
        <v>-17.1720381231807</v>
      </c>
      <c r="AA19">
        <v>646</v>
      </c>
      <c r="AB19">
        <v>63549</v>
      </c>
      <c r="AC19" t="s">
        <v>3395</v>
      </c>
      <c r="AD19">
        <v>51.43</v>
      </c>
      <c r="AE19" t="s">
        <v>4074</v>
      </c>
      <c r="AF19" t="s">
        <v>4753</v>
      </c>
      <c r="AG19">
        <v>1175</v>
      </c>
      <c r="AH19">
        <v>30</v>
      </c>
      <c r="AI19">
        <v>406</v>
      </c>
      <c r="AJ19">
        <v>0.99</v>
      </c>
    </row>
    <row r="20" spans="1:36">
      <c r="A20" s="1" t="s">
        <v>54</v>
      </c>
      <c r="B20" t="s">
        <v>733</v>
      </c>
      <c r="C20">
        <f>HYPERLINK("https://finance.naver.com/item/coinfo.nhn?code=900070", "A900070")</f>
        <v>0</v>
      </c>
      <c r="D20">
        <f>HYPERLINK("http://comp.fnguide.com/SVO2/ASP/SVD_Consensus.asp?pGB=1&amp;gicode=A900070&amp;cID=&amp;MenuYn=Y&amp;ReportGB=&amp;NewMenuID=108&amp;stkGb=701", "글로벌에스엠")</f>
        <v>0</v>
      </c>
      <c r="E20">
        <v>3</v>
      </c>
      <c r="F20">
        <v>1200</v>
      </c>
      <c r="G20">
        <v>0</v>
      </c>
      <c r="H20">
        <v>20.59</v>
      </c>
      <c r="I20">
        <v>298</v>
      </c>
      <c r="J20">
        <v>1052</v>
      </c>
      <c r="K20">
        <v>1271</v>
      </c>
      <c r="L20">
        <v>75.14</v>
      </c>
      <c r="M20">
        <v>12.36</v>
      </c>
      <c r="N20">
        <v>-5.93</v>
      </c>
      <c r="O20">
        <v>1.57</v>
      </c>
      <c r="P20" t="b">
        <v>0</v>
      </c>
      <c r="Q20">
        <v>0</v>
      </c>
      <c r="R20">
        <v>27</v>
      </c>
      <c r="U20" t="s">
        <v>1412</v>
      </c>
      <c r="V20" t="s">
        <v>2091</v>
      </c>
      <c r="W20">
        <v>0</v>
      </c>
      <c r="X20">
        <v>-13.5</v>
      </c>
      <c r="Y20" t="s">
        <v>2770</v>
      </c>
      <c r="Z20">
        <v>280.9475685707943</v>
      </c>
      <c r="AA20">
        <v>645</v>
      </c>
      <c r="AB20">
        <v>282047</v>
      </c>
      <c r="AC20" t="s">
        <v>3396</v>
      </c>
      <c r="AD20">
        <v>48.67</v>
      </c>
      <c r="AE20" t="s">
        <v>4075</v>
      </c>
      <c r="AF20" t="s">
        <v>4754</v>
      </c>
      <c r="AG20">
        <v>992</v>
      </c>
      <c r="AH20">
        <v>48</v>
      </c>
    </row>
    <row r="21" spans="1:36">
      <c r="A21" s="1" t="s">
        <v>55</v>
      </c>
      <c r="B21" t="s">
        <v>734</v>
      </c>
      <c r="C21">
        <f>HYPERLINK("https://finance.naver.com/item/coinfo.nhn?code=079960", "A079960")</f>
        <v>0</v>
      </c>
      <c r="D21">
        <f>HYPERLINK("http://comp.fnguide.com/SVO2/ASP/SVD_Consensus.asp?pGB=1&amp;gicode=A079960&amp;cID=&amp;MenuYn=Y&amp;ReportGB=&amp;NewMenuID=108&amp;stkGb=701", "동양이엔피")</f>
        <v>0</v>
      </c>
      <c r="E21">
        <v>3</v>
      </c>
      <c r="F21">
        <v>18300</v>
      </c>
      <c r="G21">
        <v>0</v>
      </c>
      <c r="H21">
        <v>6.28</v>
      </c>
      <c r="I21">
        <v>34793</v>
      </c>
      <c r="J21">
        <v>32218</v>
      </c>
      <c r="K21">
        <v>31468</v>
      </c>
      <c r="L21">
        <v>-90.13</v>
      </c>
      <c r="M21">
        <v>-76.06</v>
      </c>
      <c r="N21">
        <v>-71.95999999999999</v>
      </c>
      <c r="O21">
        <v>9.390000000000001</v>
      </c>
      <c r="P21" t="b">
        <v>1</v>
      </c>
      <c r="Q21">
        <v>0</v>
      </c>
      <c r="R21">
        <v>2939</v>
      </c>
      <c r="U21" t="s">
        <v>1413</v>
      </c>
      <c r="V21" t="s">
        <v>2092</v>
      </c>
      <c r="W21">
        <v>0</v>
      </c>
      <c r="X21">
        <v>-3.4</v>
      </c>
      <c r="Y21" t="s">
        <v>2771</v>
      </c>
      <c r="Z21">
        <v>5.517208823811504</v>
      </c>
      <c r="AA21">
        <v>1438</v>
      </c>
      <c r="AB21">
        <v>52840</v>
      </c>
      <c r="AC21" t="s">
        <v>3397</v>
      </c>
      <c r="AD21">
        <v>40.04</v>
      </c>
      <c r="AE21" t="s">
        <v>4076</v>
      </c>
      <c r="AF21" t="s">
        <v>4755</v>
      </c>
      <c r="AG21">
        <v>4614</v>
      </c>
      <c r="AH21">
        <v>410</v>
      </c>
      <c r="AJ21">
        <v>2.17</v>
      </c>
    </row>
    <row r="22" spans="1:36">
      <c r="A22" s="1" t="s">
        <v>56</v>
      </c>
      <c r="B22" t="s">
        <v>735</v>
      </c>
      <c r="C22">
        <f>HYPERLINK("https://finance.naver.com/item/coinfo.nhn?code=043650", "A043650")</f>
        <v>0</v>
      </c>
      <c r="D22">
        <f>HYPERLINK("http://comp.fnguide.com/SVO2/ASP/SVD_Consensus.asp?pGB=1&amp;gicode=A043650&amp;cID=&amp;MenuYn=Y&amp;ReportGB=&amp;NewMenuID=108&amp;stkGb=701", "국순당")</f>
        <v>0</v>
      </c>
      <c r="E22">
        <v>3</v>
      </c>
      <c r="F22">
        <v>8330</v>
      </c>
      <c r="G22">
        <v>0</v>
      </c>
      <c r="H22">
        <v>5.37</v>
      </c>
      <c r="I22">
        <v>7493</v>
      </c>
      <c r="J22">
        <v>11367</v>
      </c>
      <c r="K22">
        <v>12495</v>
      </c>
      <c r="L22">
        <v>10.04</v>
      </c>
      <c r="M22">
        <v>-36.46</v>
      </c>
      <c r="N22">
        <v>-50</v>
      </c>
      <c r="O22">
        <v>4.39</v>
      </c>
      <c r="P22" t="b">
        <v>1</v>
      </c>
      <c r="Q22">
        <v>0</v>
      </c>
      <c r="R22">
        <v>1047</v>
      </c>
      <c r="U22" t="s">
        <v>1414</v>
      </c>
      <c r="V22" t="s">
        <v>2093</v>
      </c>
      <c r="W22">
        <v>0</v>
      </c>
      <c r="X22">
        <v>0</v>
      </c>
      <c r="Y22" t="s">
        <v>2762</v>
      </c>
      <c r="Z22">
        <v>0</v>
      </c>
      <c r="AA22">
        <v>1488</v>
      </c>
      <c r="AB22">
        <v>53362</v>
      </c>
      <c r="AC22" t="s">
        <v>3398</v>
      </c>
      <c r="AD22">
        <v>42.83</v>
      </c>
      <c r="AE22" t="s">
        <v>4077</v>
      </c>
      <c r="AF22" t="s">
        <v>4756</v>
      </c>
      <c r="AG22">
        <v>529</v>
      </c>
      <c r="AH22">
        <v>46</v>
      </c>
      <c r="AI22">
        <v>2117838</v>
      </c>
      <c r="AJ22">
        <v>2.85</v>
      </c>
    </row>
    <row r="23" spans="1:36">
      <c r="A23" s="1" t="s">
        <v>57</v>
      </c>
      <c r="B23" t="s">
        <v>736</v>
      </c>
      <c r="C23">
        <f>HYPERLINK("https://finance.naver.com/item/coinfo.nhn?code=028150", "A028150")</f>
        <v>0</v>
      </c>
      <c r="D23">
        <f>HYPERLINK("http://comp.fnguide.com/SVO2/ASP/SVD_Consensus.asp?pGB=1&amp;gicode=A028150&amp;cID=&amp;MenuYn=Y&amp;ReportGB=&amp;NewMenuID=108&amp;stkGb=701", "GS홈쇼핑")</f>
        <v>0</v>
      </c>
      <c r="E23">
        <v>3</v>
      </c>
      <c r="F23">
        <v>146700</v>
      </c>
      <c r="G23">
        <v>4.9</v>
      </c>
      <c r="H23">
        <v>7.29</v>
      </c>
      <c r="I23">
        <v>268470</v>
      </c>
      <c r="J23">
        <v>232822</v>
      </c>
      <c r="K23">
        <v>222438</v>
      </c>
      <c r="L23">
        <v>-83.01000000000001</v>
      </c>
      <c r="M23">
        <v>-58.71</v>
      </c>
      <c r="N23">
        <v>-51.63</v>
      </c>
      <c r="O23">
        <v>10.59</v>
      </c>
      <c r="P23" t="b">
        <v>1</v>
      </c>
      <c r="Q23">
        <v>2</v>
      </c>
      <c r="R23">
        <v>19071</v>
      </c>
      <c r="S23">
        <v>21333</v>
      </c>
      <c r="T23">
        <v>11.9</v>
      </c>
      <c r="U23" t="s">
        <v>1415</v>
      </c>
      <c r="V23" t="s">
        <v>2094</v>
      </c>
      <c r="W23">
        <v>1.488421564228815</v>
      </c>
      <c r="X23">
        <v>36.6</v>
      </c>
      <c r="Y23" t="s">
        <v>2772</v>
      </c>
      <c r="Z23">
        <v>10.08262733291792</v>
      </c>
      <c r="AA23">
        <v>9627</v>
      </c>
      <c r="AB23">
        <v>28758</v>
      </c>
      <c r="AC23" t="s">
        <v>3399</v>
      </c>
      <c r="AD23">
        <v>36.1</v>
      </c>
      <c r="AE23" t="s">
        <v>4078</v>
      </c>
      <c r="AF23" t="s">
        <v>4757</v>
      </c>
      <c r="AG23">
        <v>12457</v>
      </c>
      <c r="AH23">
        <v>1569</v>
      </c>
      <c r="AI23">
        <v>600000</v>
      </c>
      <c r="AJ23">
        <v>6.12</v>
      </c>
    </row>
    <row r="24" spans="1:36">
      <c r="A24" s="1" t="s">
        <v>58</v>
      </c>
      <c r="B24" t="s">
        <v>737</v>
      </c>
      <c r="C24">
        <f>HYPERLINK("https://finance.naver.com/item/coinfo.nhn?code=045890", "A045890")</f>
        <v>0</v>
      </c>
      <c r="D24">
        <f>HYPERLINK("http://comp.fnguide.com/SVO2/ASP/SVD_Consensus.asp?pGB=1&amp;gicode=A045890&amp;cID=&amp;MenuYn=Y&amp;ReportGB=&amp;NewMenuID=108&amp;stkGb=701", "GV")</f>
        <v>0</v>
      </c>
      <c r="E24">
        <v>3</v>
      </c>
      <c r="F24">
        <v>240</v>
      </c>
      <c r="G24">
        <v>0</v>
      </c>
      <c r="I24">
        <v>0</v>
      </c>
      <c r="J24">
        <v>347</v>
      </c>
      <c r="K24">
        <v>448</v>
      </c>
      <c r="L24">
        <v>100</v>
      </c>
      <c r="M24">
        <v>-44.67</v>
      </c>
      <c r="N24">
        <v>-86.81</v>
      </c>
      <c r="O24">
        <v>0</v>
      </c>
      <c r="P24" t="b">
        <v>0</v>
      </c>
      <c r="Q24">
        <v>0</v>
      </c>
      <c r="R24">
        <v>-267</v>
      </c>
      <c r="U24" t="s">
        <v>1416</v>
      </c>
      <c r="V24" t="s">
        <v>2095</v>
      </c>
      <c r="W24">
        <v>0</v>
      </c>
      <c r="X24">
        <v>0</v>
      </c>
      <c r="Y24" t="s">
        <v>2773</v>
      </c>
      <c r="Z24">
        <v>-15.3</v>
      </c>
      <c r="AA24">
        <v>208</v>
      </c>
      <c r="AB24">
        <v>0</v>
      </c>
      <c r="AC24" t="s">
        <v>3400</v>
      </c>
      <c r="AD24">
        <v>11.49</v>
      </c>
      <c r="AE24" t="s">
        <v>4079</v>
      </c>
      <c r="AF24" t="s">
        <v>4741</v>
      </c>
      <c r="AG24">
        <v>409</v>
      </c>
      <c r="AH24">
        <v>-189</v>
      </c>
      <c r="AI24">
        <v>549700</v>
      </c>
    </row>
    <row r="25" spans="1:36">
      <c r="A25" s="1" t="s">
        <v>59</v>
      </c>
      <c r="B25" t="s">
        <v>738</v>
      </c>
      <c r="C25">
        <f>HYPERLINK("https://finance.naver.com/item/coinfo.nhn?code=950170", "A950170")</f>
        <v>0</v>
      </c>
      <c r="D25">
        <f>HYPERLINK("http://comp.fnguide.com/SVO2/ASP/SVD_Consensus.asp?pGB=1&amp;gicode=A950170&amp;cID=&amp;MenuYn=Y&amp;ReportGB=&amp;NewMenuID=108&amp;stkGb=701", "JTC")</f>
        <v>0</v>
      </c>
      <c r="E25">
        <v>3</v>
      </c>
      <c r="F25">
        <v>5000</v>
      </c>
      <c r="G25">
        <v>0</v>
      </c>
      <c r="I25">
        <v>4090</v>
      </c>
      <c r="J25">
        <v>5728</v>
      </c>
      <c r="K25">
        <v>6205</v>
      </c>
      <c r="L25">
        <v>18.2</v>
      </c>
      <c r="M25">
        <v>-14.56</v>
      </c>
      <c r="N25">
        <v>-24.1</v>
      </c>
      <c r="O25">
        <v>4.91</v>
      </c>
      <c r="P25" t="b">
        <v>0</v>
      </c>
      <c r="Q25">
        <v>0</v>
      </c>
      <c r="R25">
        <v>-301</v>
      </c>
      <c r="S25">
        <v>-3080</v>
      </c>
      <c r="T25">
        <v>923.3</v>
      </c>
      <c r="U25" t="s">
        <v>1417</v>
      </c>
      <c r="V25" t="s">
        <v>2096</v>
      </c>
      <c r="W25">
        <v>0</v>
      </c>
      <c r="X25">
        <v>0</v>
      </c>
      <c r="Y25" t="s">
        <v>2774</v>
      </c>
      <c r="Z25">
        <v>-49.84895382508717</v>
      </c>
      <c r="AA25">
        <v>1750</v>
      </c>
      <c r="AB25">
        <v>63802</v>
      </c>
      <c r="AC25" t="s">
        <v>3401</v>
      </c>
      <c r="AD25">
        <v>64.17</v>
      </c>
      <c r="AE25" t="s">
        <v>4080</v>
      </c>
      <c r="AF25" t="s">
        <v>4758</v>
      </c>
      <c r="AG25">
        <v>5592</v>
      </c>
      <c r="AH25">
        <v>245</v>
      </c>
    </row>
    <row r="26" spans="1:36">
      <c r="A26" s="1" t="s">
        <v>60</v>
      </c>
      <c r="B26" t="s">
        <v>739</v>
      </c>
      <c r="C26">
        <f>HYPERLINK("https://finance.naver.com/item/coinfo.nhn?code=024840", "A024840")</f>
        <v>0</v>
      </c>
      <c r="D26">
        <f>HYPERLINK("http://comp.fnguide.com/SVO2/ASP/SVD_Consensus.asp?pGB=1&amp;gicode=A024840&amp;cID=&amp;MenuYn=Y&amp;ReportGB=&amp;NewMenuID=108&amp;stkGb=701", "KBI메탈")</f>
        <v>0</v>
      </c>
      <c r="E26">
        <v>3</v>
      </c>
      <c r="F26">
        <v>2400</v>
      </c>
      <c r="G26">
        <v>0</v>
      </c>
      <c r="H26">
        <v>32.41</v>
      </c>
      <c r="I26">
        <v>1519</v>
      </c>
      <c r="J26">
        <v>2288</v>
      </c>
      <c r="K26">
        <v>2512</v>
      </c>
      <c r="L26">
        <v>36.71</v>
      </c>
      <c r="M26">
        <v>4.68</v>
      </c>
      <c r="N26">
        <v>-4.65</v>
      </c>
      <c r="O26">
        <v>4.44</v>
      </c>
      <c r="P26" t="b">
        <v>1</v>
      </c>
      <c r="Q26">
        <v>0</v>
      </c>
      <c r="R26">
        <v>56</v>
      </c>
      <c r="U26" t="s">
        <v>1418</v>
      </c>
      <c r="V26" t="s">
        <v>2097</v>
      </c>
      <c r="W26">
        <v>0</v>
      </c>
      <c r="X26">
        <v>-71.40000000000001</v>
      </c>
      <c r="Y26" t="s">
        <v>2775</v>
      </c>
      <c r="Z26">
        <v>-20.61725342201792</v>
      </c>
      <c r="AA26">
        <v>791</v>
      </c>
      <c r="AB26">
        <v>564792</v>
      </c>
      <c r="AC26" t="s">
        <v>3402</v>
      </c>
      <c r="AD26">
        <v>34.25</v>
      </c>
      <c r="AE26" t="s">
        <v>4081</v>
      </c>
      <c r="AF26" t="s">
        <v>4759</v>
      </c>
      <c r="AG26">
        <v>4922</v>
      </c>
      <c r="AH26">
        <v>108</v>
      </c>
      <c r="AI26">
        <v>71118</v>
      </c>
    </row>
    <row r="27" spans="1:36">
      <c r="A27" s="1" t="s">
        <v>61</v>
      </c>
      <c r="B27" t="s">
        <v>740</v>
      </c>
      <c r="C27">
        <f>HYPERLINK("https://finance.naver.com/item/coinfo.nhn?code=021320", "A021320")</f>
        <v>0</v>
      </c>
      <c r="D27">
        <f>HYPERLINK("http://comp.fnguide.com/SVO2/ASP/SVD_Consensus.asp?pGB=1&amp;gicode=A021320&amp;cID=&amp;MenuYn=Y&amp;ReportGB=&amp;NewMenuID=108&amp;stkGb=701", "KCC건설")</f>
        <v>0</v>
      </c>
      <c r="E27">
        <v>3</v>
      </c>
      <c r="F27">
        <v>10800</v>
      </c>
      <c r="G27">
        <v>0</v>
      </c>
      <c r="H27">
        <v>4.92</v>
      </c>
      <c r="I27">
        <v>20947</v>
      </c>
      <c r="J27">
        <v>20432</v>
      </c>
      <c r="K27">
        <v>20282</v>
      </c>
      <c r="L27">
        <v>-93.95</v>
      </c>
      <c r="M27">
        <v>-89.18000000000001</v>
      </c>
      <c r="N27">
        <v>-87.8</v>
      </c>
      <c r="O27">
        <v>8.58</v>
      </c>
      <c r="P27" t="b">
        <v>1</v>
      </c>
      <c r="Q27">
        <v>0</v>
      </c>
      <c r="R27">
        <v>1759</v>
      </c>
      <c r="U27" t="s">
        <v>1419</v>
      </c>
      <c r="V27" t="s">
        <v>2098</v>
      </c>
      <c r="W27">
        <v>0</v>
      </c>
      <c r="X27">
        <v>33.3</v>
      </c>
      <c r="Y27" t="s">
        <v>2776</v>
      </c>
      <c r="Z27">
        <v>22.60147004924522</v>
      </c>
      <c r="AA27">
        <v>2311</v>
      </c>
      <c r="AB27">
        <v>36378</v>
      </c>
      <c r="AC27" t="s">
        <v>3403</v>
      </c>
      <c r="AD27">
        <v>66.26000000000001</v>
      </c>
      <c r="AE27" t="s">
        <v>4082</v>
      </c>
      <c r="AF27" t="s">
        <v>4760</v>
      </c>
      <c r="AG27">
        <v>11016</v>
      </c>
      <c r="AH27">
        <v>543</v>
      </c>
      <c r="AI27">
        <v>1454564</v>
      </c>
      <c r="AJ27">
        <v>2.08</v>
      </c>
    </row>
    <row r="28" spans="1:36">
      <c r="A28" s="1" t="s">
        <v>62</v>
      </c>
      <c r="B28" t="s">
        <v>741</v>
      </c>
      <c r="C28">
        <f>HYPERLINK("https://finance.naver.com/item/coinfo.nhn?code=151860", "A151860")</f>
        <v>0</v>
      </c>
      <c r="D28">
        <f>HYPERLINK("http://comp.fnguide.com/SVO2/ASP/SVD_Consensus.asp?pGB=1&amp;gicode=A151860&amp;cID=&amp;MenuYn=Y&amp;ReportGB=&amp;NewMenuID=108&amp;stkGb=701", "KG ETS")</f>
        <v>0</v>
      </c>
      <c r="E28">
        <v>3</v>
      </c>
      <c r="F28">
        <v>7030</v>
      </c>
      <c r="G28">
        <v>0</v>
      </c>
      <c r="H28">
        <v>9.08</v>
      </c>
      <c r="I28">
        <v>22132</v>
      </c>
      <c r="J28">
        <v>13665</v>
      </c>
      <c r="K28">
        <v>11199</v>
      </c>
      <c r="L28">
        <v>-214.82</v>
      </c>
      <c r="M28">
        <v>-94.38</v>
      </c>
      <c r="N28">
        <v>-59.3</v>
      </c>
      <c r="O28">
        <v>23.09</v>
      </c>
      <c r="P28" t="b">
        <v>1</v>
      </c>
      <c r="Q28">
        <v>0</v>
      </c>
      <c r="R28">
        <v>741</v>
      </c>
      <c r="U28" t="s">
        <v>1420</v>
      </c>
      <c r="V28" t="s">
        <v>2099</v>
      </c>
      <c r="W28">
        <v>0</v>
      </c>
      <c r="X28">
        <v>-72.7</v>
      </c>
      <c r="Y28" t="s">
        <v>2777</v>
      </c>
      <c r="Z28">
        <v>5.719462453272794</v>
      </c>
      <c r="AA28">
        <v>2531</v>
      </c>
      <c r="AB28">
        <v>1016469</v>
      </c>
      <c r="AC28" t="s">
        <v>3404</v>
      </c>
      <c r="AD28">
        <v>46.5</v>
      </c>
      <c r="AE28" t="s">
        <v>4083</v>
      </c>
      <c r="AF28" t="s">
        <v>4761</v>
      </c>
      <c r="AG28">
        <v>1539</v>
      </c>
      <c r="AH28">
        <v>191</v>
      </c>
      <c r="AI28">
        <v>1965408</v>
      </c>
      <c r="AJ28">
        <v>1.63</v>
      </c>
    </row>
    <row r="29" spans="1:36">
      <c r="A29" s="1" t="s">
        <v>63</v>
      </c>
      <c r="B29" t="s">
        <v>742</v>
      </c>
      <c r="C29">
        <f>HYPERLINK("https://finance.naver.com/item/coinfo.nhn?code=091340", "A091340")</f>
        <v>0</v>
      </c>
      <c r="D29">
        <f>HYPERLINK("http://comp.fnguide.com/SVO2/ASP/SVD_Consensus.asp?pGB=1&amp;gicode=A091340&amp;cID=&amp;MenuYn=Y&amp;ReportGB=&amp;NewMenuID=108&amp;stkGb=701", "S&amp;K폴리텍")</f>
        <v>0</v>
      </c>
      <c r="E29">
        <v>3</v>
      </c>
      <c r="F29">
        <v>5600</v>
      </c>
      <c r="G29">
        <v>0</v>
      </c>
      <c r="I29">
        <v>8238</v>
      </c>
      <c r="J29">
        <v>8178</v>
      </c>
      <c r="K29">
        <v>8160</v>
      </c>
      <c r="L29">
        <v>-47.11</v>
      </c>
      <c r="M29">
        <v>-46.03</v>
      </c>
      <c r="N29">
        <v>-45.71</v>
      </c>
      <c r="O29">
        <v>8.32</v>
      </c>
      <c r="P29" t="b">
        <v>0</v>
      </c>
      <c r="Q29">
        <v>0</v>
      </c>
      <c r="R29">
        <v>-532</v>
      </c>
      <c r="U29" t="s">
        <v>1421</v>
      </c>
      <c r="V29" t="s">
        <v>2100</v>
      </c>
      <c r="W29">
        <v>0</v>
      </c>
      <c r="X29">
        <v>0</v>
      </c>
      <c r="Y29" t="s">
        <v>2778</v>
      </c>
      <c r="Z29">
        <v>55.80898779645362</v>
      </c>
      <c r="AA29">
        <v>655</v>
      </c>
      <c r="AB29">
        <v>61204</v>
      </c>
      <c r="AC29" t="s">
        <v>3405</v>
      </c>
      <c r="AD29">
        <v>42.34</v>
      </c>
      <c r="AE29" t="s">
        <v>4084</v>
      </c>
      <c r="AF29" t="s">
        <v>4762</v>
      </c>
      <c r="AG29">
        <v>2550</v>
      </c>
      <c r="AH29">
        <v>35</v>
      </c>
      <c r="AI29">
        <v>494438</v>
      </c>
      <c r="AJ29">
        <v>4.78</v>
      </c>
    </row>
    <row r="30" spans="1:36">
      <c r="A30" s="1" t="s">
        <v>64</v>
      </c>
      <c r="B30" t="s">
        <v>743</v>
      </c>
      <c r="C30">
        <f>HYPERLINK("https://finance.naver.com/item/coinfo.nhn?code=040610", "A040610")</f>
        <v>0</v>
      </c>
      <c r="D30">
        <f>HYPERLINK("http://comp.fnguide.com/SVO2/ASP/SVD_Consensus.asp?pGB=1&amp;gicode=A040610&amp;cID=&amp;MenuYn=Y&amp;ReportGB=&amp;NewMenuID=108&amp;stkGb=701", "SG&amp;G")</f>
        <v>0</v>
      </c>
      <c r="E30">
        <v>3</v>
      </c>
      <c r="F30">
        <v>2740</v>
      </c>
      <c r="G30">
        <v>0</v>
      </c>
      <c r="H30">
        <v>2.01</v>
      </c>
      <c r="I30">
        <v>5318</v>
      </c>
      <c r="J30">
        <v>7024</v>
      </c>
      <c r="K30">
        <v>7521</v>
      </c>
      <c r="L30">
        <v>-94.06999999999999</v>
      </c>
      <c r="M30">
        <v>-156.35</v>
      </c>
      <c r="N30">
        <v>-174.49</v>
      </c>
      <c r="O30">
        <v>5.34</v>
      </c>
      <c r="P30" t="b">
        <v>1</v>
      </c>
      <c r="Q30">
        <v>0</v>
      </c>
      <c r="R30">
        <v>779</v>
      </c>
      <c r="U30" t="s">
        <v>1422</v>
      </c>
      <c r="V30" t="s">
        <v>2101</v>
      </c>
      <c r="W30">
        <v>0</v>
      </c>
      <c r="X30">
        <v>1852.3</v>
      </c>
      <c r="Y30" t="s">
        <v>2779</v>
      </c>
      <c r="Z30">
        <v>593.0121211061174</v>
      </c>
      <c r="AA30">
        <v>934</v>
      </c>
      <c r="AB30">
        <v>336988</v>
      </c>
      <c r="AC30" t="s">
        <v>3406</v>
      </c>
      <c r="AD30">
        <v>48.87</v>
      </c>
      <c r="AE30" t="s">
        <v>4085</v>
      </c>
      <c r="AF30" t="s">
        <v>4763</v>
      </c>
      <c r="AG30">
        <v>404</v>
      </c>
      <c r="AH30">
        <v>9</v>
      </c>
      <c r="AI30">
        <v>341110</v>
      </c>
    </row>
    <row r="31" spans="1:36">
      <c r="A31" s="1" t="s">
        <v>65</v>
      </c>
      <c r="B31" t="s">
        <v>744</v>
      </c>
      <c r="C31">
        <f>HYPERLINK("https://finance.naver.com/item/coinfo.nhn?code=016250", "A016250")</f>
        <v>0</v>
      </c>
      <c r="D31">
        <f>HYPERLINK("http://comp.fnguide.com/SVO2/ASP/SVD_Consensus.asp?pGB=1&amp;gicode=A016250&amp;cID=&amp;MenuYn=Y&amp;ReportGB=&amp;NewMenuID=108&amp;stkGb=701", "SGC이테크건설")</f>
        <v>0</v>
      </c>
      <c r="E31">
        <v>3</v>
      </c>
      <c r="F31">
        <v>58700</v>
      </c>
      <c r="G31">
        <v>0.06</v>
      </c>
      <c r="H31">
        <v>1.16</v>
      </c>
      <c r="I31">
        <v>396970</v>
      </c>
      <c r="J31">
        <v>204949</v>
      </c>
      <c r="K31">
        <v>149016</v>
      </c>
      <c r="L31">
        <v>-576.27</v>
      </c>
      <c r="M31">
        <v>-249.15</v>
      </c>
      <c r="N31">
        <v>-153.86</v>
      </c>
      <c r="O31">
        <v>44.29</v>
      </c>
      <c r="P31" t="b">
        <v>1</v>
      </c>
      <c r="Q31">
        <v>0</v>
      </c>
      <c r="R31">
        <v>52512</v>
      </c>
      <c r="S31">
        <v>16796</v>
      </c>
      <c r="T31">
        <v>-68</v>
      </c>
      <c r="U31" t="s">
        <v>1423</v>
      </c>
      <c r="V31" t="s">
        <v>2102</v>
      </c>
      <c r="W31">
        <v>19.04007500862426</v>
      </c>
      <c r="X31">
        <v>870.9</v>
      </c>
      <c r="Y31" t="s">
        <v>2780</v>
      </c>
      <c r="Z31">
        <v>51.1278098817024</v>
      </c>
      <c r="AA31">
        <v>1188</v>
      </c>
      <c r="AB31">
        <v>12722</v>
      </c>
      <c r="AC31" t="s">
        <v>3407</v>
      </c>
      <c r="AD31">
        <v>42.28</v>
      </c>
      <c r="AE31" t="s">
        <v>4086</v>
      </c>
      <c r="AF31" t="s">
        <v>4764</v>
      </c>
      <c r="AG31">
        <v>11358</v>
      </c>
      <c r="AH31">
        <v>-364</v>
      </c>
      <c r="AI31">
        <v>105168</v>
      </c>
      <c r="AJ31">
        <v>1.92</v>
      </c>
    </row>
    <row r="32" spans="1:36">
      <c r="A32" s="1" t="s">
        <v>66</v>
      </c>
      <c r="B32" t="s">
        <v>745</v>
      </c>
      <c r="C32">
        <f>HYPERLINK("https://finance.naver.com/item/coinfo.nhn?code=032540", "A032540")</f>
        <v>0</v>
      </c>
      <c r="D32">
        <f>HYPERLINK("http://comp.fnguide.com/SVO2/ASP/SVD_Consensus.asp?pGB=1&amp;gicode=A032540&amp;cID=&amp;MenuYn=Y&amp;ReportGB=&amp;NewMenuID=108&amp;stkGb=701", "TJ미디어")</f>
        <v>0</v>
      </c>
      <c r="E32">
        <v>3</v>
      </c>
      <c r="F32">
        <v>3870</v>
      </c>
      <c r="G32">
        <v>0</v>
      </c>
      <c r="I32">
        <v>257</v>
      </c>
      <c r="J32">
        <v>3374</v>
      </c>
      <c r="K32">
        <v>4282</v>
      </c>
      <c r="L32">
        <v>93.37</v>
      </c>
      <c r="M32">
        <v>12.81</v>
      </c>
      <c r="N32">
        <v>-10.66</v>
      </c>
      <c r="O32">
        <v>0.38</v>
      </c>
      <c r="P32" t="b">
        <v>0</v>
      </c>
      <c r="Q32">
        <v>0</v>
      </c>
      <c r="R32">
        <v>-176</v>
      </c>
      <c r="U32" t="s">
        <v>1424</v>
      </c>
      <c r="V32" t="s">
        <v>2103</v>
      </c>
      <c r="W32">
        <v>0</v>
      </c>
      <c r="X32">
        <v>0</v>
      </c>
      <c r="Y32" t="s">
        <v>2781</v>
      </c>
      <c r="Z32">
        <v>-9.56571446624903</v>
      </c>
      <c r="AA32">
        <v>539</v>
      </c>
      <c r="AB32">
        <v>17701</v>
      </c>
      <c r="AC32" t="s">
        <v>3408</v>
      </c>
      <c r="AD32">
        <v>54.81</v>
      </c>
      <c r="AE32" t="s">
        <v>4087</v>
      </c>
      <c r="AF32" t="s">
        <v>4765</v>
      </c>
      <c r="AG32">
        <v>556</v>
      </c>
      <c r="AH32">
        <v>-27</v>
      </c>
    </row>
    <row r="33" spans="1:36">
      <c r="A33" s="1" t="s">
        <v>67</v>
      </c>
      <c r="B33" t="s">
        <v>746</v>
      </c>
      <c r="C33">
        <f>HYPERLINK("https://finance.naver.com/item/coinfo.nhn?code=038340", "A038340")</f>
        <v>0</v>
      </c>
      <c r="D33">
        <f>HYPERLINK("http://comp.fnguide.com/SVO2/ASP/SVD_Consensus.asp?pGB=1&amp;gicode=A038340&amp;cID=&amp;MenuYn=Y&amp;ReportGB=&amp;NewMenuID=108&amp;stkGb=701", "UCI")</f>
        <v>0</v>
      </c>
      <c r="E33">
        <v>3</v>
      </c>
      <c r="F33">
        <v>445</v>
      </c>
      <c r="G33">
        <v>0</v>
      </c>
      <c r="I33">
        <v>0</v>
      </c>
      <c r="J33">
        <v>418</v>
      </c>
      <c r="K33">
        <v>539</v>
      </c>
      <c r="L33">
        <v>100</v>
      </c>
      <c r="M33">
        <v>6.13</v>
      </c>
      <c r="N33">
        <v>-21.22</v>
      </c>
      <c r="O33">
        <v>0</v>
      </c>
      <c r="P33" t="b">
        <v>0</v>
      </c>
      <c r="Q33">
        <v>0</v>
      </c>
      <c r="R33">
        <v>-431</v>
      </c>
      <c r="U33" t="s">
        <v>1425</v>
      </c>
      <c r="V33" t="s">
        <v>2104</v>
      </c>
      <c r="W33">
        <v>0</v>
      </c>
      <c r="X33">
        <v>0</v>
      </c>
      <c r="Y33" t="s">
        <v>2762</v>
      </c>
      <c r="Z33">
        <v>0</v>
      </c>
      <c r="AA33">
        <v>166</v>
      </c>
      <c r="AB33">
        <v>0</v>
      </c>
      <c r="AC33" t="s">
        <v>3409</v>
      </c>
      <c r="AD33">
        <v>6.83</v>
      </c>
      <c r="AE33" t="s">
        <v>4088</v>
      </c>
      <c r="AF33" t="s">
        <v>4741</v>
      </c>
      <c r="AG33">
        <v>110</v>
      </c>
      <c r="AH33">
        <v>-132</v>
      </c>
      <c r="AI33">
        <v>2056</v>
      </c>
    </row>
    <row r="34" spans="1:36">
      <c r="A34" s="1" t="s">
        <v>68</v>
      </c>
      <c r="B34" t="s">
        <v>747</v>
      </c>
      <c r="C34">
        <f>HYPERLINK("https://finance.naver.com/item/coinfo.nhn?code=051390", "A051390")</f>
        <v>0</v>
      </c>
      <c r="D34">
        <f>HYPERLINK("http://comp.fnguide.com/SVO2/ASP/SVD_Consensus.asp?pGB=1&amp;gicode=A051390&amp;cID=&amp;MenuYn=Y&amp;ReportGB=&amp;NewMenuID=108&amp;stkGb=701", "YW")</f>
        <v>0</v>
      </c>
      <c r="E34">
        <v>3</v>
      </c>
      <c r="F34">
        <v>4545</v>
      </c>
      <c r="G34">
        <v>0</v>
      </c>
      <c r="H34">
        <v>13.82</v>
      </c>
      <c r="I34">
        <v>3812</v>
      </c>
      <c r="J34">
        <v>6555</v>
      </c>
      <c r="K34">
        <v>7354</v>
      </c>
      <c r="L34">
        <v>16.14</v>
      </c>
      <c r="M34">
        <v>-44.22</v>
      </c>
      <c r="N34">
        <v>-61.8</v>
      </c>
      <c r="O34">
        <v>3.72</v>
      </c>
      <c r="P34" t="b">
        <v>1</v>
      </c>
      <c r="Q34">
        <v>0</v>
      </c>
      <c r="R34">
        <v>288</v>
      </c>
      <c r="U34" t="s">
        <v>1426</v>
      </c>
      <c r="V34" t="s">
        <v>2105</v>
      </c>
      <c r="W34">
        <v>0</v>
      </c>
      <c r="X34">
        <v>65.2</v>
      </c>
      <c r="Y34" t="s">
        <v>2782</v>
      </c>
      <c r="Z34">
        <v>6.130378863917607</v>
      </c>
      <c r="AA34">
        <v>516</v>
      </c>
      <c r="AB34">
        <v>45998</v>
      </c>
      <c r="AC34" t="s">
        <v>3410</v>
      </c>
      <c r="AD34">
        <v>23.3</v>
      </c>
      <c r="AE34" t="s">
        <v>4089</v>
      </c>
      <c r="AF34" t="s">
        <v>4766</v>
      </c>
      <c r="AG34">
        <v>167</v>
      </c>
      <c r="AH34">
        <v>36</v>
      </c>
      <c r="AI34">
        <v>2743300</v>
      </c>
      <c r="AJ34">
        <v>2.51</v>
      </c>
    </row>
    <row r="35" spans="1:36">
      <c r="A35" s="1" t="s">
        <v>69</v>
      </c>
      <c r="B35" t="s">
        <v>748</v>
      </c>
      <c r="C35">
        <f>HYPERLINK("https://finance.naver.com/item/coinfo.nhn?code=900280", "A900280")</f>
        <v>0</v>
      </c>
      <c r="D35">
        <f>HYPERLINK("http://comp.fnguide.com/SVO2/ASP/SVD_Consensus.asp?pGB=1&amp;gicode=A900280&amp;cID=&amp;MenuYn=Y&amp;ReportGB=&amp;NewMenuID=108&amp;stkGb=701", "골든센츄리")</f>
        <v>0</v>
      </c>
      <c r="E35">
        <v>3</v>
      </c>
      <c r="F35">
        <v>439</v>
      </c>
      <c r="G35">
        <v>0</v>
      </c>
      <c r="H35">
        <v>1.46</v>
      </c>
      <c r="I35">
        <v>2254</v>
      </c>
      <c r="J35">
        <v>1724</v>
      </c>
      <c r="K35">
        <v>1570</v>
      </c>
      <c r="L35">
        <v>-413.47</v>
      </c>
      <c r="M35">
        <v>-292.8</v>
      </c>
      <c r="N35">
        <v>-257.65</v>
      </c>
      <c r="O35">
        <v>13.6</v>
      </c>
      <c r="P35" t="b">
        <v>0</v>
      </c>
      <c r="Q35">
        <v>0</v>
      </c>
      <c r="R35">
        <v>214</v>
      </c>
      <c r="U35" t="s">
        <v>1427</v>
      </c>
      <c r="V35" t="s">
        <v>2106</v>
      </c>
      <c r="W35">
        <v>0</v>
      </c>
      <c r="Y35" t="s">
        <v>2783</v>
      </c>
      <c r="Z35">
        <v>0</v>
      </c>
      <c r="AA35">
        <v>697</v>
      </c>
      <c r="AB35">
        <v>1972240</v>
      </c>
      <c r="AC35" t="s">
        <v>3411</v>
      </c>
      <c r="AD35">
        <v>27.91</v>
      </c>
      <c r="AE35" t="s">
        <v>4090</v>
      </c>
      <c r="AF35" t="s">
        <v>4767</v>
      </c>
      <c r="AG35">
        <v>1131</v>
      </c>
      <c r="AH35">
        <v>294</v>
      </c>
    </row>
    <row r="36" spans="1:36">
      <c r="A36" s="1" t="s">
        <v>70</v>
      </c>
      <c r="B36" t="s">
        <v>749</v>
      </c>
      <c r="C36">
        <f>HYPERLINK("https://finance.naver.com/item/coinfo.nhn?code=121440", "A121440")</f>
        <v>0</v>
      </c>
      <c r="D36">
        <f>HYPERLINK("http://comp.fnguide.com/SVO2/ASP/SVD_Consensus.asp?pGB=1&amp;gicode=A121440&amp;cID=&amp;MenuYn=Y&amp;ReportGB=&amp;NewMenuID=108&amp;stkGb=701", "골프존뉴딘홀딩스")</f>
        <v>0</v>
      </c>
      <c r="E36">
        <v>3</v>
      </c>
      <c r="F36">
        <v>9040</v>
      </c>
      <c r="G36">
        <v>0</v>
      </c>
      <c r="H36">
        <v>8.42</v>
      </c>
      <c r="I36">
        <v>4116</v>
      </c>
      <c r="J36">
        <v>8186</v>
      </c>
      <c r="K36">
        <v>9372</v>
      </c>
      <c r="L36">
        <v>54.46</v>
      </c>
      <c r="M36">
        <v>9.44</v>
      </c>
      <c r="N36">
        <v>-3.67</v>
      </c>
      <c r="O36">
        <v>3.08</v>
      </c>
      <c r="P36" t="b">
        <v>1</v>
      </c>
      <c r="Q36">
        <v>0</v>
      </c>
      <c r="R36">
        <v>658</v>
      </c>
      <c r="U36" t="s">
        <v>1428</v>
      </c>
      <c r="V36" t="s">
        <v>2107</v>
      </c>
      <c r="W36">
        <v>0</v>
      </c>
      <c r="X36">
        <v>0</v>
      </c>
      <c r="Y36" t="s">
        <v>2784</v>
      </c>
      <c r="Z36">
        <v>-99.59999999999999</v>
      </c>
      <c r="AA36">
        <v>3872</v>
      </c>
      <c r="AB36">
        <v>1020138</v>
      </c>
      <c r="AC36" t="s">
        <v>3412</v>
      </c>
      <c r="AD36">
        <v>56.89</v>
      </c>
      <c r="AE36" t="s">
        <v>4091</v>
      </c>
      <c r="AF36" t="s">
        <v>4768</v>
      </c>
      <c r="AG36">
        <v>2920</v>
      </c>
      <c r="AH36">
        <v>300</v>
      </c>
      <c r="AI36">
        <v>77616</v>
      </c>
      <c r="AJ36">
        <v>2.11</v>
      </c>
    </row>
    <row r="37" spans="1:36">
      <c r="A37" s="1" t="s">
        <v>71</v>
      </c>
      <c r="B37" t="s">
        <v>750</v>
      </c>
      <c r="C37">
        <f>HYPERLINK("https://finance.naver.com/item/coinfo.nhn?code=066620", "A066620")</f>
        <v>0</v>
      </c>
      <c r="D37">
        <f>HYPERLINK("http://comp.fnguide.com/SVO2/ASP/SVD_Consensus.asp?pGB=1&amp;gicode=A066620&amp;cID=&amp;MenuYn=Y&amp;ReportGB=&amp;NewMenuID=108&amp;stkGb=701", "국보디자인")</f>
        <v>0</v>
      </c>
      <c r="E37">
        <v>3</v>
      </c>
      <c r="F37">
        <v>23950</v>
      </c>
      <c r="G37">
        <v>0</v>
      </c>
      <c r="H37">
        <v>7.18</v>
      </c>
      <c r="I37">
        <v>38679</v>
      </c>
      <c r="J37">
        <v>30051</v>
      </c>
      <c r="K37">
        <v>27538</v>
      </c>
      <c r="L37">
        <v>-61.5</v>
      </c>
      <c r="M37">
        <v>-25.48</v>
      </c>
      <c r="N37">
        <v>-14.98</v>
      </c>
      <c r="O37">
        <v>13.16</v>
      </c>
      <c r="P37" t="b">
        <v>0</v>
      </c>
      <c r="Q37">
        <v>0</v>
      </c>
      <c r="R37">
        <v>2452</v>
      </c>
      <c r="U37" t="s">
        <v>1429</v>
      </c>
      <c r="V37" t="s">
        <v>2108</v>
      </c>
      <c r="W37">
        <v>0</v>
      </c>
      <c r="X37">
        <v>15.3</v>
      </c>
      <c r="Y37" t="s">
        <v>2785</v>
      </c>
      <c r="Z37">
        <v>11.27558493479162</v>
      </c>
      <c r="AA37">
        <v>1796</v>
      </c>
      <c r="AB37">
        <v>21845</v>
      </c>
      <c r="AC37" t="s">
        <v>3413</v>
      </c>
      <c r="AD37">
        <v>53.09</v>
      </c>
      <c r="AE37" t="s">
        <v>4092</v>
      </c>
      <c r="AF37" t="s">
        <v>4769</v>
      </c>
      <c r="AG37">
        <v>2881</v>
      </c>
      <c r="AH37">
        <v>257</v>
      </c>
      <c r="AI37">
        <v>627314</v>
      </c>
      <c r="AJ37">
        <v>1.82</v>
      </c>
    </row>
    <row r="38" spans="1:36">
      <c r="A38" s="1" t="s">
        <v>72</v>
      </c>
      <c r="B38" t="s">
        <v>751</v>
      </c>
      <c r="C38">
        <f>HYPERLINK("https://finance.naver.com/item/coinfo.nhn?code=088130", "A088130")</f>
        <v>0</v>
      </c>
      <c r="D38">
        <f>HYPERLINK("http://comp.fnguide.com/SVO2/ASP/SVD_Consensus.asp?pGB=1&amp;gicode=A088130&amp;cID=&amp;MenuYn=Y&amp;ReportGB=&amp;NewMenuID=108&amp;stkGb=701", "동아엘텍")</f>
        <v>0</v>
      </c>
      <c r="E38">
        <v>3</v>
      </c>
      <c r="F38">
        <v>9760</v>
      </c>
      <c r="G38">
        <v>0</v>
      </c>
      <c r="H38">
        <v>9.18</v>
      </c>
      <c r="I38">
        <v>15019</v>
      </c>
      <c r="J38">
        <v>16337</v>
      </c>
      <c r="K38">
        <v>16721</v>
      </c>
      <c r="L38">
        <v>-53.88</v>
      </c>
      <c r="M38">
        <v>-67.39</v>
      </c>
      <c r="N38">
        <v>-71.31999999999999</v>
      </c>
      <c r="O38">
        <v>7.16</v>
      </c>
      <c r="P38" t="b">
        <v>1</v>
      </c>
      <c r="Q38">
        <v>0</v>
      </c>
      <c r="R38">
        <v>888</v>
      </c>
      <c r="U38" t="s">
        <v>1430</v>
      </c>
      <c r="V38" t="s">
        <v>2109</v>
      </c>
      <c r="W38">
        <v>0</v>
      </c>
      <c r="X38">
        <v>-18.3</v>
      </c>
      <c r="Y38" t="s">
        <v>2786</v>
      </c>
      <c r="Z38">
        <v>-0.5662412072030332</v>
      </c>
      <c r="AA38">
        <v>1041</v>
      </c>
      <c r="AB38">
        <v>128955</v>
      </c>
      <c r="AC38" t="s">
        <v>3414</v>
      </c>
      <c r="AD38">
        <v>31.01</v>
      </c>
      <c r="AE38" t="s">
        <v>4093</v>
      </c>
      <c r="AF38" t="s">
        <v>4770</v>
      </c>
      <c r="AG38">
        <v>1620</v>
      </c>
      <c r="AH38">
        <v>138</v>
      </c>
      <c r="AI38">
        <v>807091</v>
      </c>
      <c r="AJ38">
        <v>1.84</v>
      </c>
    </row>
    <row r="39" spans="1:36">
      <c r="A39" s="1" t="s">
        <v>73</v>
      </c>
      <c r="B39" t="s">
        <v>752</v>
      </c>
      <c r="C39">
        <f>HYPERLINK("https://finance.naver.com/item/coinfo.nhn?code=088910", "A088910")</f>
        <v>0</v>
      </c>
      <c r="D39">
        <f>HYPERLINK("http://comp.fnguide.com/SVO2/ASP/SVD_Consensus.asp?pGB=1&amp;gicode=A088910&amp;cID=&amp;MenuYn=Y&amp;ReportGB=&amp;NewMenuID=108&amp;stkGb=701", "동우팜투테이블")</f>
        <v>0</v>
      </c>
      <c r="E39">
        <v>3</v>
      </c>
      <c r="F39">
        <v>3695</v>
      </c>
      <c r="G39">
        <v>0</v>
      </c>
      <c r="I39">
        <v>1900</v>
      </c>
      <c r="J39">
        <v>5104</v>
      </c>
      <c r="K39">
        <v>6037</v>
      </c>
      <c r="L39">
        <v>48.57</v>
      </c>
      <c r="M39">
        <v>-38.12</v>
      </c>
      <c r="N39">
        <v>-63.37</v>
      </c>
      <c r="O39">
        <v>2.14</v>
      </c>
      <c r="P39" t="b">
        <v>0</v>
      </c>
      <c r="Q39">
        <v>0</v>
      </c>
      <c r="R39">
        <v>-92</v>
      </c>
      <c r="U39" t="s">
        <v>1431</v>
      </c>
      <c r="V39" t="s">
        <v>2110</v>
      </c>
      <c r="W39">
        <v>0</v>
      </c>
      <c r="X39">
        <v>0</v>
      </c>
      <c r="Y39" t="s">
        <v>2787</v>
      </c>
      <c r="Z39">
        <v>-27.27193900713165</v>
      </c>
      <c r="AA39">
        <v>954</v>
      </c>
      <c r="AB39">
        <v>137394</v>
      </c>
      <c r="AC39" t="s">
        <v>3415</v>
      </c>
      <c r="AD39">
        <v>52.88</v>
      </c>
      <c r="AE39" t="s">
        <v>4094</v>
      </c>
      <c r="AF39" t="s">
        <v>4771</v>
      </c>
      <c r="AG39">
        <v>2762</v>
      </c>
      <c r="AH39">
        <v>-34</v>
      </c>
      <c r="AI39">
        <v>110000</v>
      </c>
    </row>
    <row r="40" spans="1:36">
      <c r="A40" s="1" t="s">
        <v>74</v>
      </c>
      <c r="B40" t="s">
        <v>753</v>
      </c>
      <c r="C40">
        <f>HYPERLINK("https://finance.naver.com/item/coinfo.nhn?code=016800", "A016800")</f>
        <v>0</v>
      </c>
      <c r="D40">
        <f>HYPERLINK("http://comp.fnguide.com/SVO2/ASP/SVD_Consensus.asp?pGB=1&amp;gicode=A016800&amp;cID=&amp;MenuYn=Y&amp;ReportGB=&amp;NewMenuID=108&amp;stkGb=701", "퍼시스")</f>
        <v>0</v>
      </c>
      <c r="E40">
        <v>3</v>
      </c>
      <c r="F40">
        <v>45750</v>
      </c>
      <c r="G40">
        <v>0</v>
      </c>
      <c r="H40">
        <v>10.01</v>
      </c>
      <c r="I40">
        <v>50552</v>
      </c>
      <c r="J40">
        <v>50377</v>
      </c>
      <c r="K40">
        <v>50326</v>
      </c>
      <c r="L40">
        <v>-10.5</v>
      </c>
      <c r="M40">
        <v>-10.11</v>
      </c>
      <c r="N40">
        <v>-10</v>
      </c>
      <c r="O40">
        <v>8.27</v>
      </c>
      <c r="P40" t="b">
        <v>1</v>
      </c>
      <c r="Q40">
        <v>0</v>
      </c>
      <c r="R40">
        <v>2961</v>
      </c>
      <c r="U40" t="s">
        <v>1432</v>
      </c>
      <c r="V40" t="s">
        <v>2111</v>
      </c>
      <c r="W40">
        <v>0</v>
      </c>
      <c r="X40">
        <v>0.3</v>
      </c>
      <c r="Y40" t="s">
        <v>2788</v>
      </c>
      <c r="Z40">
        <v>2.550477398295703</v>
      </c>
      <c r="AA40">
        <v>5261</v>
      </c>
      <c r="AB40">
        <v>25721</v>
      </c>
      <c r="AC40" t="s">
        <v>3416</v>
      </c>
      <c r="AD40">
        <v>54.71</v>
      </c>
      <c r="AE40" t="s">
        <v>4095</v>
      </c>
      <c r="AF40" t="s">
        <v>4772</v>
      </c>
      <c r="AG40">
        <v>2869</v>
      </c>
      <c r="AH40">
        <v>257</v>
      </c>
      <c r="AI40">
        <v>2329101</v>
      </c>
      <c r="AJ40">
        <v>3.37</v>
      </c>
    </row>
    <row r="41" spans="1:36">
      <c r="A41" s="1" t="s">
        <v>75</v>
      </c>
      <c r="B41" t="s">
        <v>754</v>
      </c>
      <c r="C41">
        <f>HYPERLINK("https://finance.naver.com/item/coinfo.nhn?code=213090", "A213090")</f>
        <v>0</v>
      </c>
      <c r="D41">
        <f>HYPERLINK("http://comp.fnguide.com/SVO2/ASP/SVD_Consensus.asp?pGB=1&amp;gicode=A213090&amp;cID=&amp;MenuYn=Y&amp;ReportGB=&amp;NewMenuID=108&amp;stkGb=701", "미래테크놀로지")</f>
        <v>0</v>
      </c>
      <c r="E41">
        <v>3</v>
      </c>
      <c r="F41">
        <v>8820</v>
      </c>
      <c r="G41">
        <v>0</v>
      </c>
      <c r="H41">
        <v>19.19</v>
      </c>
      <c r="I41">
        <v>5408</v>
      </c>
      <c r="J41">
        <v>8622</v>
      </c>
      <c r="K41">
        <v>9559</v>
      </c>
      <c r="L41">
        <v>38.69</v>
      </c>
      <c r="M41">
        <v>2.24</v>
      </c>
      <c r="N41">
        <v>-8.380000000000001</v>
      </c>
      <c r="O41">
        <v>4.11</v>
      </c>
      <c r="P41" t="b">
        <v>1</v>
      </c>
      <c r="Q41">
        <v>0</v>
      </c>
      <c r="R41">
        <v>429</v>
      </c>
      <c r="U41" t="s">
        <v>1433</v>
      </c>
      <c r="V41" t="s">
        <v>2112</v>
      </c>
      <c r="W41">
        <v>0</v>
      </c>
      <c r="X41">
        <v>-18.7</v>
      </c>
      <c r="Y41" t="s">
        <v>2789</v>
      </c>
      <c r="Z41">
        <v>-11.51543797645344</v>
      </c>
      <c r="AA41">
        <v>540</v>
      </c>
      <c r="AB41">
        <v>13414</v>
      </c>
      <c r="AC41" t="s">
        <v>3417</v>
      </c>
      <c r="AD41">
        <v>66.15000000000001</v>
      </c>
      <c r="AE41" t="s">
        <v>4096</v>
      </c>
      <c r="AF41" t="s">
        <v>4773</v>
      </c>
      <c r="AG41">
        <v>306</v>
      </c>
      <c r="AH41">
        <v>10</v>
      </c>
      <c r="AI41">
        <v>335171</v>
      </c>
      <c r="AJ41">
        <v>1.22</v>
      </c>
    </row>
    <row r="42" spans="1:36">
      <c r="A42" s="1" t="s">
        <v>76</v>
      </c>
      <c r="B42" t="s">
        <v>755</v>
      </c>
      <c r="C42">
        <f>HYPERLINK("https://finance.naver.com/item/coinfo.nhn?code=035620", "A035620")</f>
        <v>0</v>
      </c>
      <c r="D42">
        <f>HYPERLINK("http://comp.fnguide.com/SVO2/ASP/SVD_Consensus.asp?pGB=1&amp;gicode=A035620&amp;cID=&amp;MenuYn=Y&amp;ReportGB=&amp;NewMenuID=108&amp;stkGb=701", "바른손이앤에이")</f>
        <v>0</v>
      </c>
      <c r="E42">
        <v>3</v>
      </c>
      <c r="F42">
        <v>1450</v>
      </c>
      <c r="G42">
        <v>0</v>
      </c>
      <c r="I42">
        <v>3280</v>
      </c>
      <c r="J42">
        <v>1959</v>
      </c>
      <c r="K42">
        <v>1574</v>
      </c>
      <c r="L42">
        <v>-126.21</v>
      </c>
      <c r="M42">
        <v>-35.11</v>
      </c>
      <c r="N42">
        <v>-8.57</v>
      </c>
      <c r="O42">
        <v>25.53</v>
      </c>
      <c r="P42" t="b">
        <v>0</v>
      </c>
      <c r="Q42">
        <v>0</v>
      </c>
      <c r="R42">
        <v>-110</v>
      </c>
      <c r="U42" t="s">
        <v>1434</v>
      </c>
      <c r="V42" t="s">
        <v>2113</v>
      </c>
      <c r="W42">
        <v>0</v>
      </c>
      <c r="X42">
        <v>0</v>
      </c>
      <c r="Y42" t="s">
        <v>2762</v>
      </c>
      <c r="Z42">
        <v>0</v>
      </c>
      <c r="AA42">
        <v>1066</v>
      </c>
      <c r="AB42">
        <v>450766</v>
      </c>
      <c r="AC42" t="s">
        <v>3418</v>
      </c>
      <c r="AD42">
        <v>28.13</v>
      </c>
      <c r="AE42" t="s">
        <v>4097</v>
      </c>
      <c r="AF42" t="s">
        <v>4774</v>
      </c>
      <c r="AG42">
        <v>152</v>
      </c>
      <c r="AH42">
        <v>-24</v>
      </c>
      <c r="AI42">
        <v>477554</v>
      </c>
    </row>
    <row r="43" spans="1:36">
      <c r="A43" s="1" t="s">
        <v>77</v>
      </c>
      <c r="B43" t="s">
        <v>756</v>
      </c>
      <c r="C43">
        <f>HYPERLINK("https://finance.naver.com/item/coinfo.nhn?code=019010", "A019010")</f>
        <v>0</v>
      </c>
      <c r="D43">
        <f>HYPERLINK("http://comp.fnguide.com/SVO2/ASP/SVD_Consensus.asp?pGB=1&amp;gicode=A019010&amp;cID=&amp;MenuYn=Y&amp;ReportGB=&amp;NewMenuID=108&amp;stkGb=701", "베뉴지")</f>
        <v>0</v>
      </c>
      <c r="E43">
        <v>3</v>
      </c>
      <c r="F43">
        <v>2520</v>
      </c>
      <c r="G43">
        <v>0</v>
      </c>
      <c r="H43">
        <v>10.39</v>
      </c>
      <c r="I43">
        <v>1842</v>
      </c>
      <c r="J43">
        <v>4632</v>
      </c>
      <c r="K43">
        <v>5445</v>
      </c>
      <c r="L43">
        <v>26.91</v>
      </c>
      <c r="M43">
        <v>-83.81999999999999</v>
      </c>
      <c r="N43">
        <v>-116.07</v>
      </c>
      <c r="O43">
        <v>2.31</v>
      </c>
      <c r="P43" t="b">
        <v>1</v>
      </c>
      <c r="Q43">
        <v>0</v>
      </c>
      <c r="R43">
        <v>180</v>
      </c>
      <c r="U43" t="s">
        <v>1435</v>
      </c>
      <c r="V43" t="s">
        <v>2114</v>
      </c>
      <c r="W43">
        <v>0</v>
      </c>
      <c r="X43">
        <v>142.1</v>
      </c>
      <c r="Y43" t="s">
        <v>2790</v>
      </c>
      <c r="Z43">
        <v>9.683169750400445</v>
      </c>
      <c r="AA43">
        <v>1215</v>
      </c>
      <c r="AB43">
        <v>4477846</v>
      </c>
      <c r="AC43" t="s">
        <v>3419</v>
      </c>
      <c r="AD43">
        <v>39.64</v>
      </c>
      <c r="AE43" t="s">
        <v>4098</v>
      </c>
      <c r="AF43" t="s">
        <v>4775</v>
      </c>
      <c r="AG43">
        <v>491</v>
      </c>
      <c r="AH43">
        <v>38</v>
      </c>
      <c r="AI43">
        <v>8000000</v>
      </c>
      <c r="AJ43">
        <v>1.6</v>
      </c>
    </row>
    <row r="44" spans="1:36">
      <c r="A44" s="1" t="s">
        <v>78</v>
      </c>
      <c r="B44" t="s">
        <v>757</v>
      </c>
      <c r="C44">
        <f>HYPERLINK("https://finance.naver.com/item/coinfo.nhn?code=008470", "A008470")</f>
        <v>0</v>
      </c>
      <c r="D44">
        <f>HYPERLINK("http://comp.fnguide.com/SVO2/ASP/SVD_Consensus.asp?pGB=1&amp;gicode=A008470&amp;cID=&amp;MenuYn=Y&amp;ReportGB=&amp;NewMenuID=108&amp;stkGb=701", "부스타")</f>
        <v>0</v>
      </c>
      <c r="E44">
        <v>3</v>
      </c>
      <c r="F44">
        <v>7340</v>
      </c>
      <c r="G44">
        <v>0</v>
      </c>
      <c r="H44">
        <v>8.26</v>
      </c>
      <c r="I44">
        <v>6885</v>
      </c>
      <c r="J44">
        <v>8455</v>
      </c>
      <c r="K44">
        <v>8912</v>
      </c>
      <c r="L44">
        <v>6.2</v>
      </c>
      <c r="M44">
        <v>-15.18</v>
      </c>
      <c r="N44">
        <v>-21.41</v>
      </c>
      <c r="O44">
        <v>5.94</v>
      </c>
      <c r="P44" t="b">
        <v>1</v>
      </c>
      <c r="Q44">
        <v>0</v>
      </c>
      <c r="R44">
        <v>649</v>
      </c>
      <c r="U44" t="s">
        <v>1436</v>
      </c>
      <c r="V44" t="s">
        <v>2115</v>
      </c>
      <c r="W44">
        <v>0</v>
      </c>
      <c r="X44">
        <v>56.2</v>
      </c>
      <c r="Y44" t="s">
        <v>2791</v>
      </c>
      <c r="Z44">
        <v>1.538206593028191</v>
      </c>
      <c r="AA44">
        <v>617</v>
      </c>
      <c r="AB44">
        <v>76998</v>
      </c>
      <c r="AC44" t="s">
        <v>3420</v>
      </c>
      <c r="AD44">
        <v>25.14</v>
      </c>
      <c r="AE44" t="s">
        <v>4099</v>
      </c>
      <c r="AF44" t="s">
        <v>4776</v>
      </c>
      <c r="AG44">
        <v>1006</v>
      </c>
      <c r="AH44">
        <v>59</v>
      </c>
      <c r="AI44">
        <v>322989</v>
      </c>
      <c r="AJ44">
        <v>2.24</v>
      </c>
    </row>
    <row r="45" spans="1:36">
      <c r="A45" s="1" t="s">
        <v>79</v>
      </c>
      <c r="B45" t="s">
        <v>758</v>
      </c>
      <c r="C45">
        <f>HYPERLINK("https://finance.naver.com/item/coinfo.nhn?code=141000", "A141000")</f>
        <v>0</v>
      </c>
      <c r="D45">
        <f>HYPERLINK("http://comp.fnguide.com/SVO2/ASP/SVD_Consensus.asp?pGB=1&amp;gicode=A141000&amp;cID=&amp;MenuYn=Y&amp;ReportGB=&amp;NewMenuID=108&amp;stkGb=701", "비아트론")</f>
        <v>0</v>
      </c>
      <c r="E45">
        <v>3</v>
      </c>
      <c r="F45">
        <v>11700</v>
      </c>
      <c r="G45">
        <v>-1.52</v>
      </c>
      <c r="H45">
        <v>8.99</v>
      </c>
      <c r="I45">
        <v>14501</v>
      </c>
      <c r="J45">
        <v>13012</v>
      </c>
      <c r="K45">
        <v>12578</v>
      </c>
      <c r="L45">
        <v>-23.94</v>
      </c>
      <c r="M45">
        <v>-11.21</v>
      </c>
      <c r="N45">
        <v>-7.5</v>
      </c>
      <c r="O45">
        <v>9.94</v>
      </c>
      <c r="P45" t="b">
        <v>1</v>
      </c>
      <c r="Q45">
        <v>2</v>
      </c>
      <c r="R45">
        <v>1212</v>
      </c>
      <c r="S45">
        <v>1684</v>
      </c>
      <c r="T45">
        <v>38.9</v>
      </c>
      <c r="U45" t="s">
        <v>1437</v>
      </c>
      <c r="V45" t="s">
        <v>2116</v>
      </c>
      <c r="W45">
        <v>-5.896188177268346</v>
      </c>
      <c r="X45">
        <v>206</v>
      </c>
      <c r="Y45" t="s">
        <v>2792</v>
      </c>
      <c r="Z45">
        <v>13.54609973966183</v>
      </c>
      <c r="AA45">
        <v>1417</v>
      </c>
      <c r="AB45">
        <v>95579</v>
      </c>
      <c r="AC45" t="s">
        <v>3421</v>
      </c>
      <c r="AD45">
        <v>19.07</v>
      </c>
      <c r="AE45" t="s">
        <v>4100</v>
      </c>
      <c r="AF45" t="s">
        <v>4777</v>
      </c>
      <c r="AG45">
        <v>926</v>
      </c>
      <c r="AH45">
        <v>167</v>
      </c>
      <c r="AJ45">
        <v>0.92</v>
      </c>
    </row>
    <row r="46" spans="1:36">
      <c r="A46" s="1" t="s">
        <v>80</v>
      </c>
      <c r="B46" t="s">
        <v>759</v>
      </c>
      <c r="C46">
        <f>HYPERLINK("https://finance.naver.com/item/coinfo.nhn?code=093190", "A093190")</f>
        <v>0</v>
      </c>
      <c r="D46">
        <f>HYPERLINK("http://comp.fnguide.com/SVO2/ASP/SVD_Consensus.asp?pGB=1&amp;gicode=A093190&amp;cID=&amp;MenuYn=Y&amp;ReportGB=&amp;NewMenuID=108&amp;stkGb=701", "빅솔론")</f>
        <v>0</v>
      </c>
      <c r="E46">
        <v>3</v>
      </c>
      <c r="F46">
        <v>5420</v>
      </c>
      <c r="G46">
        <v>0</v>
      </c>
      <c r="H46">
        <v>15.86</v>
      </c>
      <c r="I46">
        <v>6431</v>
      </c>
      <c r="J46">
        <v>8021</v>
      </c>
      <c r="K46">
        <v>8484</v>
      </c>
      <c r="L46">
        <v>-18.66</v>
      </c>
      <c r="M46">
        <v>-47.98</v>
      </c>
      <c r="N46">
        <v>-56.52</v>
      </c>
      <c r="O46">
        <v>5.8</v>
      </c>
      <c r="P46" t="b">
        <v>1</v>
      </c>
      <c r="Q46">
        <v>0</v>
      </c>
      <c r="R46">
        <v>291</v>
      </c>
      <c r="U46" t="s">
        <v>1438</v>
      </c>
      <c r="V46" t="s">
        <v>2117</v>
      </c>
      <c r="W46">
        <v>0</v>
      </c>
      <c r="X46">
        <v>-41.7</v>
      </c>
      <c r="Y46" t="s">
        <v>2793</v>
      </c>
      <c r="Z46">
        <v>-22.03103806278368</v>
      </c>
      <c r="AA46">
        <v>1043</v>
      </c>
      <c r="AB46">
        <v>35090</v>
      </c>
      <c r="AC46" t="s">
        <v>3422</v>
      </c>
      <c r="AD46">
        <v>40.88</v>
      </c>
      <c r="AE46" t="s">
        <v>4101</v>
      </c>
      <c r="AF46" t="s">
        <v>4778</v>
      </c>
      <c r="AG46">
        <v>745</v>
      </c>
      <c r="AH46">
        <v>41</v>
      </c>
      <c r="AI46">
        <v>2987903</v>
      </c>
      <c r="AJ46">
        <v>3.25</v>
      </c>
    </row>
    <row r="47" spans="1:36">
      <c r="A47" s="1" t="s">
        <v>81</v>
      </c>
      <c r="B47" t="s">
        <v>760</v>
      </c>
      <c r="C47">
        <f>HYPERLINK("https://finance.naver.com/item/coinfo.nhn?code=072950", "A072950")</f>
        <v>0</v>
      </c>
      <c r="D47">
        <f>HYPERLINK("http://comp.fnguide.com/SVO2/ASP/SVD_Consensus.asp?pGB=1&amp;gicode=A072950&amp;cID=&amp;MenuYn=Y&amp;ReportGB=&amp;NewMenuID=108&amp;stkGb=701", "빛샘전자")</f>
        <v>0</v>
      </c>
      <c r="E47">
        <v>3</v>
      </c>
      <c r="F47">
        <v>7140</v>
      </c>
      <c r="G47">
        <v>0</v>
      </c>
      <c r="H47">
        <v>32.85</v>
      </c>
      <c r="I47">
        <v>3135</v>
      </c>
      <c r="J47">
        <v>7081</v>
      </c>
      <c r="K47">
        <v>8231</v>
      </c>
      <c r="L47">
        <v>56.1</v>
      </c>
      <c r="M47">
        <v>0.82</v>
      </c>
      <c r="N47">
        <v>-15.28</v>
      </c>
      <c r="O47">
        <v>2.63</v>
      </c>
      <c r="P47" t="b">
        <v>1</v>
      </c>
      <c r="Q47">
        <v>0</v>
      </c>
      <c r="R47">
        <v>186</v>
      </c>
      <c r="U47" t="s">
        <v>1439</v>
      </c>
      <c r="V47" t="s">
        <v>2118</v>
      </c>
      <c r="W47">
        <v>0</v>
      </c>
      <c r="X47">
        <v>-41.7</v>
      </c>
      <c r="Y47" t="s">
        <v>2794</v>
      </c>
      <c r="Z47">
        <v>-16.63619950311553</v>
      </c>
      <c r="AA47">
        <v>445</v>
      </c>
      <c r="AB47">
        <v>41879</v>
      </c>
      <c r="AC47" t="s">
        <v>3423</v>
      </c>
      <c r="AD47">
        <v>36.38</v>
      </c>
      <c r="AE47" t="s">
        <v>4102</v>
      </c>
      <c r="AF47" t="s">
        <v>4779</v>
      </c>
      <c r="AG47">
        <v>475</v>
      </c>
      <c r="AH47">
        <v>11</v>
      </c>
      <c r="AI47">
        <v>23729</v>
      </c>
      <c r="AJ47">
        <v>0.82</v>
      </c>
    </row>
    <row r="48" spans="1:36">
      <c r="A48" s="1" t="s">
        <v>82</v>
      </c>
      <c r="B48" t="s">
        <v>761</v>
      </c>
      <c r="C48">
        <f>HYPERLINK("https://finance.naver.com/item/coinfo.nhn?code=018310", "A018310")</f>
        <v>0</v>
      </c>
      <c r="D48">
        <f>HYPERLINK("http://comp.fnguide.com/SVO2/ASP/SVD_Consensus.asp?pGB=1&amp;gicode=A018310&amp;cID=&amp;MenuYn=Y&amp;ReportGB=&amp;NewMenuID=108&amp;stkGb=701", "삼목에스폼")</f>
        <v>0</v>
      </c>
      <c r="E48">
        <v>3</v>
      </c>
      <c r="F48">
        <v>15500</v>
      </c>
      <c r="G48">
        <v>0</v>
      </c>
      <c r="H48">
        <v>179.61</v>
      </c>
      <c r="I48">
        <v>12071</v>
      </c>
      <c r="J48">
        <v>21829</v>
      </c>
      <c r="K48">
        <v>24671</v>
      </c>
      <c r="L48">
        <v>22.12</v>
      </c>
      <c r="M48">
        <v>-40.83</v>
      </c>
      <c r="N48">
        <v>-59.17</v>
      </c>
      <c r="O48">
        <v>3.48</v>
      </c>
      <c r="P48" t="b">
        <v>0</v>
      </c>
      <c r="Q48">
        <v>0</v>
      </c>
      <c r="R48">
        <v>48</v>
      </c>
      <c r="U48" t="s">
        <v>1440</v>
      </c>
      <c r="V48" t="s">
        <v>2119</v>
      </c>
      <c r="W48">
        <v>0</v>
      </c>
      <c r="X48">
        <v>-94.90000000000001</v>
      </c>
      <c r="Y48" t="s">
        <v>2795</v>
      </c>
      <c r="Z48">
        <v>-56.71124215758764</v>
      </c>
      <c r="AA48">
        <v>2279</v>
      </c>
      <c r="AB48">
        <v>72535</v>
      </c>
      <c r="AC48" t="s">
        <v>3424</v>
      </c>
      <c r="AD48">
        <v>50.66</v>
      </c>
      <c r="AE48" t="s">
        <v>4103</v>
      </c>
      <c r="AF48" t="s">
        <v>4780</v>
      </c>
      <c r="AG48">
        <v>1165</v>
      </c>
      <c r="AH48">
        <v>-127</v>
      </c>
      <c r="AI48">
        <v>2783927</v>
      </c>
    </row>
    <row r="49" spans="1:36">
      <c r="A49" s="1" t="s">
        <v>83</v>
      </c>
      <c r="B49" t="s">
        <v>762</v>
      </c>
      <c r="C49">
        <f>HYPERLINK("https://finance.naver.com/item/coinfo.nhn?code=053700", "A053700")</f>
        <v>0</v>
      </c>
      <c r="D49">
        <f>HYPERLINK("http://comp.fnguide.com/SVO2/ASP/SVD_Consensus.asp?pGB=1&amp;gicode=A053700&amp;cID=&amp;MenuYn=Y&amp;ReportGB=&amp;NewMenuID=108&amp;stkGb=701", "삼보모터스")</f>
        <v>0</v>
      </c>
      <c r="E49">
        <v>3</v>
      </c>
      <c r="F49">
        <v>6750</v>
      </c>
      <c r="G49">
        <v>0</v>
      </c>
      <c r="I49">
        <v>481</v>
      </c>
      <c r="J49">
        <v>6964</v>
      </c>
      <c r="K49">
        <v>8852</v>
      </c>
      <c r="L49">
        <v>92.88</v>
      </c>
      <c r="M49">
        <v>-3.17</v>
      </c>
      <c r="N49">
        <v>-31.15</v>
      </c>
      <c r="O49">
        <v>0.35</v>
      </c>
      <c r="P49" t="b">
        <v>0</v>
      </c>
      <c r="Q49">
        <v>0</v>
      </c>
      <c r="R49">
        <v>-358</v>
      </c>
      <c r="U49" t="s">
        <v>1441</v>
      </c>
      <c r="V49" t="s">
        <v>2120</v>
      </c>
      <c r="W49">
        <v>0</v>
      </c>
      <c r="X49">
        <v>0</v>
      </c>
      <c r="Y49" t="s">
        <v>2796</v>
      </c>
      <c r="Z49">
        <v>-41.69280393082165</v>
      </c>
      <c r="AA49">
        <v>1216</v>
      </c>
      <c r="AB49">
        <v>68955</v>
      </c>
      <c r="AC49" t="s">
        <v>3425</v>
      </c>
      <c r="AD49">
        <v>40.34</v>
      </c>
      <c r="AE49" t="s">
        <v>4104</v>
      </c>
      <c r="AF49" t="s">
        <v>4781</v>
      </c>
      <c r="AG49">
        <v>9416</v>
      </c>
      <c r="AH49">
        <v>162</v>
      </c>
      <c r="AI49">
        <v>648234</v>
      </c>
    </row>
    <row r="50" spans="1:36">
      <c r="A50" s="1" t="s">
        <v>84</v>
      </c>
      <c r="B50" t="s">
        <v>763</v>
      </c>
      <c r="C50">
        <f>HYPERLINK("https://finance.naver.com/item/coinfo.nhn?code=023600", "A023600")</f>
        <v>0</v>
      </c>
      <c r="D50">
        <f>HYPERLINK("http://comp.fnguide.com/SVO2/ASP/SVD_Consensus.asp?pGB=1&amp;gicode=A023600&amp;cID=&amp;MenuYn=Y&amp;ReportGB=&amp;NewMenuID=108&amp;stkGb=701", "삼보판지")</f>
        <v>0</v>
      </c>
      <c r="E50">
        <v>3</v>
      </c>
      <c r="F50">
        <v>16800</v>
      </c>
      <c r="G50">
        <v>0</v>
      </c>
      <c r="H50">
        <v>5.36</v>
      </c>
      <c r="I50">
        <v>32213</v>
      </c>
      <c r="J50">
        <v>27654</v>
      </c>
      <c r="K50">
        <v>26326</v>
      </c>
      <c r="L50">
        <v>-91.75</v>
      </c>
      <c r="M50">
        <v>-64.61</v>
      </c>
      <c r="N50">
        <v>-56.7</v>
      </c>
      <c r="O50">
        <v>10.79</v>
      </c>
      <c r="P50" t="b">
        <v>1</v>
      </c>
      <c r="Q50">
        <v>0</v>
      </c>
      <c r="R50">
        <v>2241</v>
      </c>
      <c r="U50" t="s">
        <v>1442</v>
      </c>
      <c r="V50" t="s">
        <v>2121</v>
      </c>
      <c r="W50">
        <v>0</v>
      </c>
      <c r="X50">
        <v>26</v>
      </c>
      <c r="Y50" t="s">
        <v>2797</v>
      </c>
      <c r="Z50">
        <v>4.002549989601012</v>
      </c>
      <c r="AA50">
        <v>2717</v>
      </c>
      <c r="AB50">
        <v>91781</v>
      </c>
      <c r="AC50" t="s">
        <v>3426</v>
      </c>
      <c r="AD50">
        <v>63.47</v>
      </c>
      <c r="AE50" t="s">
        <v>4105</v>
      </c>
      <c r="AF50" t="s">
        <v>4782</v>
      </c>
      <c r="AG50">
        <v>4034</v>
      </c>
      <c r="AH50">
        <v>469</v>
      </c>
      <c r="AI50">
        <v>202211</v>
      </c>
      <c r="AJ50">
        <v>1.04</v>
      </c>
    </row>
    <row r="51" spans="1:36">
      <c r="A51" s="1" t="s">
        <v>85</v>
      </c>
      <c r="B51" t="s">
        <v>764</v>
      </c>
      <c r="C51">
        <f>HYPERLINK("https://finance.naver.com/item/coinfo.nhn?code=009300", "A009300")</f>
        <v>0</v>
      </c>
      <c r="D51">
        <f>HYPERLINK("http://comp.fnguide.com/SVO2/ASP/SVD_Consensus.asp?pGB=1&amp;gicode=A009300&amp;cID=&amp;MenuYn=Y&amp;ReportGB=&amp;NewMenuID=108&amp;stkGb=701", "삼아제약")</f>
        <v>0</v>
      </c>
      <c r="E51">
        <v>3</v>
      </c>
      <c r="F51">
        <v>15650</v>
      </c>
      <c r="G51">
        <v>0</v>
      </c>
      <c r="H51">
        <v>851.21</v>
      </c>
      <c r="I51">
        <v>10033</v>
      </c>
      <c r="J51">
        <v>20258</v>
      </c>
      <c r="K51">
        <v>23236</v>
      </c>
      <c r="L51">
        <v>35.89</v>
      </c>
      <c r="M51">
        <v>-29.44</v>
      </c>
      <c r="N51">
        <v>-48.47</v>
      </c>
      <c r="O51">
        <v>3.03</v>
      </c>
      <c r="P51" t="b">
        <v>0</v>
      </c>
      <c r="Q51">
        <v>0</v>
      </c>
      <c r="R51">
        <v>19</v>
      </c>
      <c r="U51" t="s">
        <v>1443</v>
      </c>
      <c r="V51" t="s">
        <v>2122</v>
      </c>
      <c r="W51">
        <v>0</v>
      </c>
      <c r="X51">
        <v>-98.8</v>
      </c>
      <c r="Y51" t="s">
        <v>2798</v>
      </c>
      <c r="Z51">
        <v>-55.68248898754948</v>
      </c>
      <c r="AA51">
        <v>997</v>
      </c>
      <c r="AB51">
        <v>5521</v>
      </c>
      <c r="AC51" t="s">
        <v>3427</v>
      </c>
      <c r="AD51">
        <v>65.58</v>
      </c>
      <c r="AE51" t="s">
        <v>4106</v>
      </c>
      <c r="AF51" t="s">
        <v>4783</v>
      </c>
      <c r="AG51">
        <v>537</v>
      </c>
      <c r="AH51">
        <v>39</v>
      </c>
      <c r="AI51">
        <v>266658</v>
      </c>
      <c r="AJ51">
        <v>1.81</v>
      </c>
    </row>
    <row r="52" spans="1:36">
      <c r="A52" s="1" t="s">
        <v>86</v>
      </c>
      <c r="B52" t="s">
        <v>765</v>
      </c>
      <c r="C52">
        <f>HYPERLINK("https://finance.naver.com/item/coinfo.nhn?code=054540", "A054540")</f>
        <v>0</v>
      </c>
      <c r="D52">
        <f>HYPERLINK("http://comp.fnguide.com/SVO2/ASP/SVD_Consensus.asp?pGB=1&amp;gicode=A054540&amp;cID=&amp;MenuYn=Y&amp;ReportGB=&amp;NewMenuID=108&amp;stkGb=701", "삼영엠텍")</f>
        <v>0</v>
      </c>
      <c r="E52">
        <v>3</v>
      </c>
      <c r="F52">
        <v>5510</v>
      </c>
      <c r="G52">
        <v>0</v>
      </c>
      <c r="H52">
        <v>10.18</v>
      </c>
      <c r="I52">
        <v>5016</v>
      </c>
      <c r="J52">
        <v>5860</v>
      </c>
      <c r="K52">
        <v>6106</v>
      </c>
      <c r="L52">
        <v>8.970000000000001</v>
      </c>
      <c r="M52">
        <v>-6.35</v>
      </c>
      <c r="N52">
        <v>-10.81</v>
      </c>
      <c r="O52">
        <v>6.41</v>
      </c>
      <c r="P52" t="b">
        <v>1</v>
      </c>
      <c r="Q52">
        <v>0</v>
      </c>
      <c r="R52">
        <v>540</v>
      </c>
      <c r="U52" t="s">
        <v>1444</v>
      </c>
      <c r="V52" t="s">
        <v>2123</v>
      </c>
      <c r="W52">
        <v>0</v>
      </c>
      <c r="X52">
        <v>101</v>
      </c>
      <c r="Y52" t="s">
        <v>2799</v>
      </c>
      <c r="Z52">
        <v>49.17801594863629</v>
      </c>
      <c r="AA52">
        <v>716</v>
      </c>
      <c r="AB52">
        <v>241559</v>
      </c>
      <c r="AC52" t="s">
        <v>3428</v>
      </c>
      <c r="AD52">
        <v>17.74</v>
      </c>
      <c r="AE52" t="s">
        <v>4107</v>
      </c>
      <c r="AF52" t="s">
        <v>4784</v>
      </c>
      <c r="AG52">
        <v>680</v>
      </c>
      <c r="AH52">
        <v>9</v>
      </c>
      <c r="AI52">
        <v>1800000</v>
      </c>
      <c r="AJ52">
        <v>2.73</v>
      </c>
    </row>
    <row r="53" spans="1:36">
      <c r="A53" s="1" t="s">
        <v>87</v>
      </c>
      <c r="B53" t="s">
        <v>766</v>
      </c>
      <c r="C53">
        <f>HYPERLINK("https://finance.naver.com/item/coinfo.nhn?code=037460", "A037460")</f>
        <v>0</v>
      </c>
      <c r="D53">
        <f>HYPERLINK("http://comp.fnguide.com/SVO2/ASP/SVD_Consensus.asp?pGB=1&amp;gicode=A037460&amp;cID=&amp;MenuYn=Y&amp;ReportGB=&amp;NewMenuID=108&amp;stkGb=701", "삼지전자")</f>
        <v>0</v>
      </c>
      <c r="E53">
        <v>3</v>
      </c>
      <c r="F53">
        <v>13700</v>
      </c>
      <c r="G53">
        <v>0</v>
      </c>
      <c r="H53">
        <v>7.49</v>
      </c>
      <c r="I53">
        <v>17478</v>
      </c>
      <c r="J53">
        <v>15606</v>
      </c>
      <c r="K53">
        <v>15061</v>
      </c>
      <c r="L53">
        <v>-27.58</v>
      </c>
      <c r="M53">
        <v>-13.91</v>
      </c>
      <c r="N53">
        <v>-9.93</v>
      </c>
      <c r="O53">
        <v>10.03</v>
      </c>
      <c r="P53" t="b">
        <v>1</v>
      </c>
      <c r="Q53">
        <v>0</v>
      </c>
      <c r="R53">
        <v>1649</v>
      </c>
      <c r="U53" t="s">
        <v>1445</v>
      </c>
      <c r="V53" t="s">
        <v>2124</v>
      </c>
      <c r="W53">
        <v>0</v>
      </c>
      <c r="X53">
        <v>94.2</v>
      </c>
      <c r="Y53" t="s">
        <v>2800</v>
      </c>
      <c r="Z53">
        <v>9.476712679817091</v>
      </c>
      <c r="AA53">
        <v>2236</v>
      </c>
      <c r="AB53">
        <v>67835</v>
      </c>
      <c r="AC53" t="s">
        <v>3429</v>
      </c>
      <c r="AD53">
        <v>46.69</v>
      </c>
      <c r="AE53" t="s">
        <v>4108</v>
      </c>
      <c r="AF53" t="s">
        <v>4785</v>
      </c>
      <c r="AG53">
        <v>15895</v>
      </c>
      <c r="AH53">
        <v>481</v>
      </c>
      <c r="AI53">
        <v>983010</v>
      </c>
      <c r="AJ53">
        <v>2.43</v>
      </c>
    </row>
    <row r="54" spans="1:36">
      <c r="A54" s="1" t="s">
        <v>88</v>
      </c>
      <c r="B54" t="s">
        <v>767</v>
      </c>
      <c r="C54">
        <f>HYPERLINK("https://finance.naver.com/item/coinfo.nhn?code=032750", "A032750")</f>
        <v>0</v>
      </c>
      <c r="D54">
        <f>HYPERLINK("http://comp.fnguide.com/SVO2/ASP/SVD_Consensus.asp?pGB=1&amp;gicode=A032750&amp;cID=&amp;MenuYn=Y&amp;ReportGB=&amp;NewMenuID=108&amp;stkGb=701", "삼진")</f>
        <v>0</v>
      </c>
      <c r="E54">
        <v>3</v>
      </c>
      <c r="F54">
        <v>12950</v>
      </c>
      <c r="G54">
        <v>0</v>
      </c>
      <c r="H54">
        <v>10.16</v>
      </c>
      <c r="I54">
        <v>17040</v>
      </c>
      <c r="J54">
        <v>14987</v>
      </c>
      <c r="K54">
        <v>14389</v>
      </c>
      <c r="L54">
        <v>-31.58</v>
      </c>
      <c r="M54">
        <v>-15.73</v>
      </c>
      <c r="N54">
        <v>-11.11</v>
      </c>
      <c r="O54">
        <v>10.31</v>
      </c>
      <c r="P54" t="b">
        <v>1</v>
      </c>
      <c r="Q54">
        <v>0</v>
      </c>
      <c r="R54">
        <v>1102</v>
      </c>
      <c r="U54" t="s">
        <v>1446</v>
      </c>
      <c r="V54" t="s">
        <v>2125</v>
      </c>
      <c r="W54">
        <v>0</v>
      </c>
      <c r="X54">
        <v>-45.4</v>
      </c>
      <c r="Y54" t="s">
        <v>2801</v>
      </c>
      <c r="Z54">
        <v>5.241463590412376</v>
      </c>
      <c r="AA54">
        <v>777</v>
      </c>
      <c r="AB54">
        <v>81537</v>
      </c>
      <c r="AC54" t="s">
        <v>3430</v>
      </c>
      <c r="AD54">
        <v>44.13</v>
      </c>
      <c r="AE54" t="s">
        <v>4109</v>
      </c>
      <c r="AF54" t="s">
        <v>4786</v>
      </c>
      <c r="AG54">
        <v>1290</v>
      </c>
      <c r="AH54">
        <v>115</v>
      </c>
      <c r="AJ54">
        <v>1.79</v>
      </c>
    </row>
    <row r="55" spans="1:36">
      <c r="A55" s="1" t="s">
        <v>89</v>
      </c>
      <c r="B55" t="s">
        <v>768</v>
      </c>
      <c r="C55">
        <f>HYPERLINK("https://finance.naver.com/item/coinfo.nhn?code=017480", "A017480")</f>
        <v>0</v>
      </c>
      <c r="D55">
        <f>HYPERLINK("http://comp.fnguide.com/SVO2/ASP/SVD_Consensus.asp?pGB=1&amp;gicode=A017480&amp;cID=&amp;MenuYn=Y&amp;ReportGB=&amp;NewMenuID=108&amp;stkGb=701", "삼현철강")</f>
        <v>0</v>
      </c>
      <c r="E55">
        <v>3</v>
      </c>
      <c r="F55">
        <v>7750</v>
      </c>
      <c r="G55">
        <v>0</v>
      </c>
      <c r="H55">
        <v>8.44</v>
      </c>
      <c r="I55">
        <v>5928</v>
      </c>
      <c r="J55">
        <v>8345</v>
      </c>
      <c r="K55">
        <v>9050</v>
      </c>
      <c r="L55">
        <v>23.52</v>
      </c>
      <c r="M55">
        <v>-7.68</v>
      </c>
      <c r="N55">
        <v>-16.77</v>
      </c>
      <c r="O55">
        <v>4.87</v>
      </c>
      <c r="P55" t="b">
        <v>1</v>
      </c>
      <c r="Q55">
        <v>0</v>
      </c>
      <c r="R55">
        <v>492</v>
      </c>
      <c r="U55" t="s">
        <v>1447</v>
      </c>
      <c r="V55" t="s">
        <v>2126</v>
      </c>
      <c r="W55">
        <v>0</v>
      </c>
      <c r="X55">
        <v>18</v>
      </c>
      <c r="Y55" t="s">
        <v>2802</v>
      </c>
      <c r="Z55">
        <v>-5.472768048513266</v>
      </c>
      <c r="AA55">
        <v>1217</v>
      </c>
      <c r="AB55">
        <v>486199</v>
      </c>
      <c r="AC55" t="s">
        <v>3431</v>
      </c>
      <c r="AD55">
        <v>58.27</v>
      </c>
      <c r="AE55" t="s">
        <v>4110</v>
      </c>
      <c r="AF55" t="s">
        <v>4787</v>
      </c>
      <c r="AG55">
        <v>2249</v>
      </c>
      <c r="AH55">
        <v>86</v>
      </c>
      <c r="AI55">
        <v>260000</v>
      </c>
      <c r="AJ55">
        <v>3.61</v>
      </c>
    </row>
    <row r="56" spans="1:36">
      <c r="A56" s="1" t="s">
        <v>90</v>
      </c>
      <c r="B56" t="s">
        <v>769</v>
      </c>
      <c r="C56">
        <f>HYPERLINK("https://finance.naver.com/item/coinfo.nhn?code=038540", "A038540")</f>
        <v>0</v>
      </c>
      <c r="D56">
        <f>HYPERLINK("http://comp.fnguide.com/SVO2/ASP/SVD_Consensus.asp?pGB=1&amp;gicode=A038540&amp;cID=&amp;MenuYn=Y&amp;ReportGB=&amp;NewMenuID=108&amp;stkGb=701", "상상인")</f>
        <v>0</v>
      </c>
      <c r="E56">
        <v>3</v>
      </c>
      <c r="F56">
        <v>7670</v>
      </c>
      <c r="G56">
        <v>0</v>
      </c>
      <c r="H56">
        <v>5.73</v>
      </c>
      <c r="I56">
        <v>26995</v>
      </c>
      <c r="J56">
        <v>17315</v>
      </c>
      <c r="K56">
        <v>14495</v>
      </c>
      <c r="L56">
        <v>-251.95</v>
      </c>
      <c r="M56">
        <v>-125.75</v>
      </c>
      <c r="N56">
        <v>-88.98</v>
      </c>
      <c r="O56">
        <v>20.74</v>
      </c>
      <c r="P56" t="b">
        <v>1</v>
      </c>
      <c r="Q56">
        <v>0</v>
      </c>
      <c r="R56">
        <v>1121</v>
      </c>
      <c r="U56" t="s">
        <v>1448</v>
      </c>
      <c r="V56" t="s">
        <v>2127</v>
      </c>
      <c r="W56">
        <v>0</v>
      </c>
      <c r="X56">
        <v>-50.3</v>
      </c>
      <c r="Y56" t="s">
        <v>2803</v>
      </c>
      <c r="Z56">
        <v>14.74487098782107</v>
      </c>
      <c r="AA56">
        <v>4244</v>
      </c>
      <c r="AB56">
        <v>271522</v>
      </c>
      <c r="AC56" t="s">
        <v>3432</v>
      </c>
      <c r="AD56">
        <v>31.93</v>
      </c>
      <c r="AE56" t="s">
        <v>4111</v>
      </c>
      <c r="AF56" t="s">
        <v>4788</v>
      </c>
      <c r="AG56">
        <v>4542</v>
      </c>
      <c r="AH56">
        <v>941</v>
      </c>
      <c r="AI56">
        <v>604037</v>
      </c>
    </row>
    <row r="57" spans="1:36">
      <c r="A57" s="1" t="s">
        <v>91</v>
      </c>
      <c r="B57" t="s">
        <v>770</v>
      </c>
      <c r="C57">
        <f>HYPERLINK("https://finance.naver.com/item/coinfo.nhn?code=950190", "A950190")</f>
        <v>0</v>
      </c>
      <c r="D57">
        <f>HYPERLINK("http://comp.fnguide.com/SVO2/ASP/SVD_Consensus.asp?pGB=1&amp;gicode=A950190&amp;cID=&amp;MenuYn=Y&amp;ReportGB=&amp;NewMenuID=108&amp;stkGb=701", "미투젠")</f>
        <v>0</v>
      </c>
      <c r="E57">
        <v>3</v>
      </c>
      <c r="F57">
        <v>21350</v>
      </c>
      <c r="G57">
        <v>0</v>
      </c>
      <c r="H57">
        <v>8.1</v>
      </c>
      <c r="I57">
        <v>84559</v>
      </c>
      <c r="J57">
        <v>39071</v>
      </c>
      <c r="K57">
        <v>25821</v>
      </c>
      <c r="L57">
        <v>-296.06</v>
      </c>
      <c r="M57">
        <v>-83</v>
      </c>
      <c r="N57">
        <v>-20.94</v>
      </c>
      <c r="O57">
        <v>87.16</v>
      </c>
      <c r="P57" t="b">
        <v>0</v>
      </c>
      <c r="Q57">
        <v>0</v>
      </c>
      <c r="R57">
        <v>3271</v>
      </c>
      <c r="U57" t="s">
        <v>1449</v>
      </c>
      <c r="V57" t="s">
        <v>2128</v>
      </c>
      <c r="W57">
        <v>0</v>
      </c>
      <c r="X57">
        <v>3.3</v>
      </c>
      <c r="Y57" t="s">
        <v>2804</v>
      </c>
      <c r="Z57">
        <v>0</v>
      </c>
      <c r="AA57">
        <v>2872</v>
      </c>
      <c r="AB57">
        <v>25569</v>
      </c>
      <c r="AC57" t="s">
        <v>3433</v>
      </c>
      <c r="AD57">
        <v>44.05</v>
      </c>
      <c r="AE57" t="s">
        <v>4112</v>
      </c>
      <c r="AF57" t="s">
        <v>4789</v>
      </c>
      <c r="AG57">
        <v>1130</v>
      </c>
      <c r="AH57">
        <v>474</v>
      </c>
    </row>
    <row r="58" spans="1:36">
      <c r="A58" s="1" t="s">
        <v>92</v>
      </c>
      <c r="B58" t="s">
        <v>771</v>
      </c>
      <c r="C58">
        <f>HYPERLINK("https://finance.naver.com/item/coinfo.nhn?code=095500", "A095500")</f>
        <v>0</v>
      </c>
      <c r="D58">
        <f>HYPERLINK("http://comp.fnguide.com/SVO2/ASP/SVD_Consensus.asp?pGB=1&amp;gicode=A095500&amp;cID=&amp;MenuYn=Y&amp;ReportGB=&amp;NewMenuID=108&amp;stkGb=701", "미래나노텍")</f>
        <v>0</v>
      </c>
      <c r="E58">
        <v>3</v>
      </c>
      <c r="F58">
        <v>5040</v>
      </c>
      <c r="G58">
        <v>0</v>
      </c>
      <c r="H58">
        <v>3.78</v>
      </c>
      <c r="I58">
        <v>6605</v>
      </c>
      <c r="J58">
        <v>7139</v>
      </c>
      <c r="K58">
        <v>7295</v>
      </c>
      <c r="L58">
        <v>-31.06</v>
      </c>
      <c r="M58">
        <v>-41.66</v>
      </c>
      <c r="N58">
        <v>-44.74</v>
      </c>
      <c r="O58">
        <v>7.23</v>
      </c>
      <c r="P58" t="b">
        <v>1</v>
      </c>
      <c r="Q58">
        <v>0</v>
      </c>
      <c r="R58">
        <v>833</v>
      </c>
      <c r="U58" t="s">
        <v>1450</v>
      </c>
      <c r="V58" t="s">
        <v>2129</v>
      </c>
      <c r="W58">
        <v>0</v>
      </c>
      <c r="X58">
        <v>2209.4</v>
      </c>
      <c r="Y58" t="s">
        <v>2805</v>
      </c>
      <c r="Z58">
        <v>98.86809325807377</v>
      </c>
      <c r="AA58">
        <v>1356</v>
      </c>
      <c r="AB58">
        <v>11846358</v>
      </c>
      <c r="AC58" t="s">
        <v>3434</v>
      </c>
      <c r="AD58">
        <v>20.01</v>
      </c>
      <c r="AE58" t="s">
        <v>4113</v>
      </c>
      <c r="AF58" t="s">
        <v>4790</v>
      </c>
      <c r="AG58">
        <v>4036</v>
      </c>
      <c r="AH58">
        <v>320</v>
      </c>
      <c r="AI58">
        <v>4498183</v>
      </c>
    </row>
    <row r="59" spans="1:36">
      <c r="A59" s="1" t="s">
        <v>93</v>
      </c>
      <c r="B59" t="s">
        <v>772</v>
      </c>
      <c r="C59">
        <f>HYPERLINK("https://finance.naver.com/item/coinfo.nhn?code=013120", "A013120")</f>
        <v>0</v>
      </c>
      <c r="D59">
        <f>HYPERLINK("http://comp.fnguide.com/SVO2/ASP/SVD_Consensus.asp?pGB=1&amp;gicode=A013120&amp;cID=&amp;MenuYn=Y&amp;ReportGB=&amp;NewMenuID=108&amp;stkGb=701", "동원개발")</f>
        <v>0</v>
      </c>
      <c r="E59">
        <v>3</v>
      </c>
      <c r="F59">
        <v>6370</v>
      </c>
      <c r="G59">
        <v>0</v>
      </c>
      <c r="H59">
        <v>3.18</v>
      </c>
      <c r="I59">
        <v>18828</v>
      </c>
      <c r="J59">
        <v>13537</v>
      </c>
      <c r="K59">
        <v>11996</v>
      </c>
      <c r="L59">
        <v>-195.57</v>
      </c>
      <c r="M59">
        <v>-112.51</v>
      </c>
      <c r="N59">
        <v>-88.31</v>
      </c>
      <c r="O59">
        <v>15.6</v>
      </c>
      <c r="P59" t="b">
        <v>1</v>
      </c>
      <c r="Q59">
        <v>0</v>
      </c>
      <c r="R59">
        <v>1590</v>
      </c>
      <c r="U59" t="s">
        <v>1451</v>
      </c>
      <c r="V59" t="s">
        <v>2130</v>
      </c>
      <c r="W59">
        <v>0</v>
      </c>
      <c r="X59">
        <v>70.5</v>
      </c>
      <c r="Y59" t="s">
        <v>2806</v>
      </c>
      <c r="Z59">
        <v>9.901180924559117</v>
      </c>
      <c r="AA59">
        <v>5784</v>
      </c>
      <c r="AB59">
        <v>135905</v>
      </c>
      <c r="AC59" t="s">
        <v>3435</v>
      </c>
      <c r="AD59">
        <v>60.94</v>
      </c>
      <c r="AE59" t="s">
        <v>4114</v>
      </c>
      <c r="AF59" t="s">
        <v>4791</v>
      </c>
      <c r="AG59">
        <v>6306</v>
      </c>
      <c r="AH59">
        <v>1876</v>
      </c>
      <c r="AJ59">
        <v>3.66</v>
      </c>
    </row>
    <row r="60" spans="1:36">
      <c r="A60" s="1" t="s">
        <v>94</v>
      </c>
      <c r="B60" t="s">
        <v>773</v>
      </c>
      <c r="C60">
        <f>HYPERLINK("https://finance.naver.com/item/coinfo.nhn?code=001810", "A001810")</f>
        <v>0</v>
      </c>
      <c r="D60">
        <f>HYPERLINK("http://comp.fnguide.com/SVO2/ASP/SVD_Consensus.asp?pGB=1&amp;gicode=A001810&amp;cID=&amp;MenuYn=Y&amp;ReportGB=&amp;NewMenuID=108&amp;stkGb=701", "무림SP")</f>
        <v>0</v>
      </c>
      <c r="E60">
        <v>3</v>
      </c>
      <c r="F60">
        <v>3570</v>
      </c>
      <c r="G60">
        <v>0</v>
      </c>
      <c r="H60">
        <v>39.63</v>
      </c>
      <c r="I60">
        <v>1787</v>
      </c>
      <c r="J60">
        <v>6218</v>
      </c>
      <c r="K60">
        <v>7508</v>
      </c>
      <c r="L60">
        <v>49.95</v>
      </c>
      <c r="M60">
        <v>-74.17</v>
      </c>
      <c r="N60">
        <v>-110.32</v>
      </c>
      <c r="O60">
        <v>1.59</v>
      </c>
      <c r="P60" t="b">
        <v>1</v>
      </c>
      <c r="Q60">
        <v>0</v>
      </c>
      <c r="R60">
        <v>79</v>
      </c>
      <c r="U60" t="s">
        <v>1452</v>
      </c>
      <c r="V60" t="s">
        <v>2131</v>
      </c>
      <c r="W60">
        <v>0</v>
      </c>
      <c r="X60">
        <v>29.9</v>
      </c>
      <c r="Y60" t="s">
        <v>2807</v>
      </c>
      <c r="Z60">
        <v>0.969701980930604</v>
      </c>
      <c r="AA60">
        <v>790</v>
      </c>
      <c r="AB60">
        <v>138493</v>
      </c>
      <c r="AC60" t="s">
        <v>3436</v>
      </c>
      <c r="AD60">
        <v>61.41</v>
      </c>
      <c r="AE60" t="s">
        <v>4115</v>
      </c>
      <c r="AF60" t="s">
        <v>4792</v>
      </c>
      <c r="AG60">
        <v>1254</v>
      </c>
      <c r="AH60">
        <v>66</v>
      </c>
      <c r="AJ60">
        <v>0.79</v>
      </c>
    </row>
    <row r="61" spans="1:36">
      <c r="A61" s="1" t="s">
        <v>95</v>
      </c>
      <c r="B61" t="s">
        <v>774</v>
      </c>
      <c r="C61">
        <f>HYPERLINK("https://finance.naver.com/item/coinfo.nhn?code=109860", "A109860")</f>
        <v>0</v>
      </c>
      <c r="D61">
        <f>HYPERLINK("http://comp.fnguide.com/SVO2/ASP/SVD_Consensus.asp?pGB=1&amp;gicode=A109860&amp;cID=&amp;MenuYn=Y&amp;ReportGB=&amp;NewMenuID=108&amp;stkGb=701", "동일금속")</f>
        <v>0</v>
      </c>
      <c r="E61">
        <v>3</v>
      </c>
      <c r="F61">
        <v>14100</v>
      </c>
      <c r="G61">
        <v>0</v>
      </c>
      <c r="H61">
        <v>12.17</v>
      </c>
      <c r="I61">
        <v>21014</v>
      </c>
      <c r="J61">
        <v>20525</v>
      </c>
      <c r="K61">
        <v>20383</v>
      </c>
      <c r="L61">
        <v>-49.04</v>
      </c>
      <c r="M61">
        <v>-45.57</v>
      </c>
      <c r="N61">
        <v>-44.56</v>
      </c>
      <c r="O61">
        <v>8.550000000000001</v>
      </c>
      <c r="P61" t="b">
        <v>1</v>
      </c>
      <c r="Q61">
        <v>0</v>
      </c>
      <c r="R61">
        <v>949</v>
      </c>
      <c r="U61" t="s">
        <v>1453</v>
      </c>
      <c r="V61" t="s">
        <v>2132</v>
      </c>
      <c r="W61">
        <v>0</v>
      </c>
      <c r="X61">
        <v>-57.3</v>
      </c>
      <c r="Y61" t="s">
        <v>2808</v>
      </c>
      <c r="Z61">
        <v>-3.300128209877351</v>
      </c>
      <c r="AA61">
        <v>987</v>
      </c>
      <c r="AB61">
        <v>11502</v>
      </c>
      <c r="AC61" t="s">
        <v>3437</v>
      </c>
      <c r="AD61">
        <v>57.72</v>
      </c>
      <c r="AE61" t="s">
        <v>4116</v>
      </c>
      <c r="AF61" t="s">
        <v>4793</v>
      </c>
      <c r="AG61">
        <v>586</v>
      </c>
      <c r="AH61">
        <v>33</v>
      </c>
      <c r="AI61">
        <v>635894</v>
      </c>
      <c r="AJ61">
        <v>2.6</v>
      </c>
    </row>
    <row r="62" spans="1:36">
      <c r="A62" s="1" t="s">
        <v>96</v>
      </c>
      <c r="B62" t="s">
        <v>775</v>
      </c>
      <c r="C62">
        <f>HYPERLINK("https://finance.naver.com/item/coinfo.nhn?code=066670", "A066670")</f>
        <v>0</v>
      </c>
      <c r="D62">
        <f>HYPERLINK("http://comp.fnguide.com/SVO2/ASP/SVD_Consensus.asp?pGB=1&amp;gicode=A066670&amp;cID=&amp;MenuYn=Y&amp;ReportGB=&amp;NewMenuID=108&amp;stkGb=701", "디스플레이텍")</f>
        <v>0</v>
      </c>
      <c r="E62">
        <v>3</v>
      </c>
      <c r="F62">
        <v>4815</v>
      </c>
      <c r="G62">
        <v>0</v>
      </c>
      <c r="H62">
        <v>18.29</v>
      </c>
      <c r="I62">
        <v>3303</v>
      </c>
      <c r="J62">
        <v>7074</v>
      </c>
      <c r="K62">
        <v>8172</v>
      </c>
      <c r="L62">
        <v>31.4</v>
      </c>
      <c r="M62">
        <v>-46.91</v>
      </c>
      <c r="N62">
        <v>-69.72</v>
      </c>
      <c r="O62">
        <v>2.81</v>
      </c>
      <c r="P62" t="b">
        <v>1</v>
      </c>
      <c r="Q62">
        <v>0</v>
      </c>
      <c r="R62">
        <v>205</v>
      </c>
      <c r="U62" t="s">
        <v>1454</v>
      </c>
      <c r="V62" t="s">
        <v>2133</v>
      </c>
      <c r="W62">
        <v>0</v>
      </c>
      <c r="X62">
        <v>-28.8</v>
      </c>
      <c r="Y62" t="s">
        <v>2809</v>
      </c>
      <c r="Z62">
        <v>-23.84331430758905</v>
      </c>
      <c r="AA62">
        <v>900</v>
      </c>
      <c r="AB62">
        <v>40830</v>
      </c>
      <c r="AC62" t="s">
        <v>3438</v>
      </c>
      <c r="AD62">
        <v>33.83</v>
      </c>
      <c r="AE62" t="s">
        <v>4117</v>
      </c>
      <c r="AF62" t="s">
        <v>4794</v>
      </c>
      <c r="AG62">
        <v>417</v>
      </c>
      <c r="AH62">
        <v>39</v>
      </c>
      <c r="AI62">
        <v>2994284</v>
      </c>
      <c r="AJ62">
        <v>2.13</v>
      </c>
    </row>
    <row r="63" spans="1:36">
      <c r="A63" s="1" t="s">
        <v>97</v>
      </c>
      <c r="B63" t="s">
        <v>776</v>
      </c>
      <c r="C63">
        <f>HYPERLINK("https://finance.naver.com/item/coinfo.nhn?code=066900", "A066900")</f>
        <v>0</v>
      </c>
      <c r="D63">
        <f>HYPERLINK("http://comp.fnguide.com/SVO2/ASP/SVD_Consensus.asp?pGB=1&amp;gicode=A066900&amp;cID=&amp;MenuYn=Y&amp;ReportGB=&amp;NewMenuID=108&amp;stkGb=701", "디에이피")</f>
        <v>0</v>
      </c>
      <c r="E63">
        <v>3</v>
      </c>
      <c r="F63">
        <v>4500</v>
      </c>
      <c r="G63">
        <v>0</v>
      </c>
      <c r="H63">
        <v>18.35</v>
      </c>
      <c r="I63">
        <v>2916</v>
      </c>
      <c r="J63">
        <v>4717</v>
      </c>
      <c r="K63">
        <v>5242</v>
      </c>
      <c r="L63">
        <v>35.19</v>
      </c>
      <c r="M63">
        <v>-4.83</v>
      </c>
      <c r="N63">
        <v>-16.49</v>
      </c>
      <c r="O63">
        <v>4.03</v>
      </c>
      <c r="P63" t="b">
        <v>1</v>
      </c>
      <c r="Q63">
        <v>0</v>
      </c>
      <c r="R63">
        <v>220</v>
      </c>
      <c r="U63" t="s">
        <v>1455</v>
      </c>
      <c r="V63" t="s">
        <v>2134</v>
      </c>
      <c r="W63">
        <v>0</v>
      </c>
      <c r="X63">
        <v>403.4</v>
      </c>
      <c r="Y63" t="s">
        <v>2810</v>
      </c>
      <c r="Z63">
        <v>-8.015490607682063</v>
      </c>
      <c r="AA63">
        <v>1024</v>
      </c>
      <c r="AB63">
        <v>39221</v>
      </c>
      <c r="AC63" t="s">
        <v>3439</v>
      </c>
      <c r="AD63">
        <v>47.96</v>
      </c>
      <c r="AE63" t="s">
        <v>4118</v>
      </c>
      <c r="AF63" t="s">
        <v>4795</v>
      </c>
      <c r="AG63">
        <v>3013</v>
      </c>
      <c r="AH63">
        <v>82</v>
      </c>
      <c r="AI63">
        <v>5144010</v>
      </c>
    </row>
    <row r="64" spans="1:36">
      <c r="A64" s="1" t="s">
        <v>98</v>
      </c>
      <c r="B64" t="s">
        <v>777</v>
      </c>
      <c r="C64">
        <f>HYPERLINK("https://finance.naver.com/item/coinfo.nhn?code=043360", "A043360")</f>
        <v>0</v>
      </c>
      <c r="D64">
        <f>HYPERLINK("http://comp.fnguide.com/SVO2/ASP/SVD_Consensus.asp?pGB=1&amp;gicode=A043360&amp;cID=&amp;MenuYn=Y&amp;ReportGB=&amp;NewMenuID=108&amp;stkGb=701", "디지아이")</f>
        <v>0</v>
      </c>
      <c r="E64">
        <v>3</v>
      </c>
      <c r="F64">
        <v>3230</v>
      </c>
      <c r="G64">
        <v>0</v>
      </c>
      <c r="H64">
        <v>32.64</v>
      </c>
      <c r="I64">
        <v>471</v>
      </c>
      <c r="J64">
        <v>3278</v>
      </c>
      <c r="K64">
        <v>4096</v>
      </c>
      <c r="L64">
        <v>85.42</v>
      </c>
      <c r="M64">
        <v>-1.49</v>
      </c>
      <c r="N64">
        <v>-26.8</v>
      </c>
      <c r="O64">
        <v>0.74</v>
      </c>
      <c r="P64" t="b">
        <v>1</v>
      </c>
      <c r="Q64">
        <v>0</v>
      </c>
      <c r="R64">
        <v>76</v>
      </c>
      <c r="U64" t="s">
        <v>1456</v>
      </c>
      <c r="V64" t="s">
        <v>2135</v>
      </c>
      <c r="W64">
        <v>0</v>
      </c>
      <c r="X64">
        <v>0</v>
      </c>
      <c r="Y64" t="s">
        <v>2762</v>
      </c>
      <c r="Z64">
        <v>0</v>
      </c>
      <c r="AA64">
        <v>291</v>
      </c>
      <c r="AB64">
        <v>148585</v>
      </c>
      <c r="AC64" t="s">
        <v>3440</v>
      </c>
      <c r="AD64">
        <v>45.2</v>
      </c>
      <c r="AE64" t="s">
        <v>4119</v>
      </c>
      <c r="AF64" t="s">
        <v>4796</v>
      </c>
      <c r="AG64">
        <v>155</v>
      </c>
      <c r="AH64">
        <v>4</v>
      </c>
      <c r="AI64">
        <v>91031</v>
      </c>
    </row>
    <row r="65" spans="1:36">
      <c r="A65" s="1" t="s">
        <v>99</v>
      </c>
      <c r="B65" t="s">
        <v>778</v>
      </c>
      <c r="C65">
        <f>HYPERLINK("https://finance.naver.com/item/coinfo.nhn?code=033600", "A033600")</f>
        <v>0</v>
      </c>
      <c r="D65">
        <f>HYPERLINK("http://comp.fnguide.com/SVO2/ASP/SVD_Consensus.asp?pGB=1&amp;gicode=A033600&amp;cID=&amp;MenuYn=Y&amp;ReportGB=&amp;NewMenuID=108&amp;stkGb=701", "럭슬")</f>
        <v>0</v>
      </c>
      <c r="E65">
        <v>3</v>
      </c>
      <c r="F65">
        <v>179</v>
      </c>
      <c r="G65">
        <v>0</v>
      </c>
      <c r="I65">
        <v>0</v>
      </c>
      <c r="J65">
        <v>160</v>
      </c>
      <c r="K65">
        <v>206</v>
      </c>
      <c r="L65">
        <v>100</v>
      </c>
      <c r="M65">
        <v>10.68</v>
      </c>
      <c r="N65">
        <v>-15.33</v>
      </c>
      <c r="O65">
        <v>0</v>
      </c>
      <c r="P65" t="b">
        <v>0</v>
      </c>
      <c r="Q65">
        <v>0</v>
      </c>
      <c r="R65">
        <v>-773</v>
      </c>
      <c r="U65" t="s">
        <v>1457</v>
      </c>
      <c r="V65" t="s">
        <v>2136</v>
      </c>
      <c r="W65">
        <v>0</v>
      </c>
      <c r="Y65" t="s">
        <v>2811</v>
      </c>
      <c r="Z65">
        <v>0</v>
      </c>
      <c r="AA65">
        <v>95</v>
      </c>
      <c r="AB65">
        <v>0</v>
      </c>
      <c r="AC65" t="s">
        <v>3441</v>
      </c>
      <c r="AD65">
        <v>22.72</v>
      </c>
      <c r="AE65" t="s">
        <v>4120</v>
      </c>
      <c r="AF65" t="s">
        <v>4741</v>
      </c>
      <c r="AG65">
        <v>199</v>
      </c>
      <c r="AH65">
        <v>-55</v>
      </c>
    </row>
    <row r="66" spans="1:36">
      <c r="A66" s="1" t="s">
        <v>100</v>
      </c>
      <c r="B66" t="s">
        <v>779</v>
      </c>
      <c r="C66">
        <f>HYPERLINK("https://finance.naver.com/item/coinfo.nhn?code=900260", "A900260")</f>
        <v>0</v>
      </c>
      <c r="D66">
        <f>HYPERLINK("http://comp.fnguide.com/SVO2/ASP/SVD_Consensus.asp?pGB=1&amp;gicode=A900260&amp;cID=&amp;MenuYn=Y&amp;ReportGB=&amp;NewMenuID=108&amp;stkGb=701", "로스웰")</f>
        <v>0</v>
      </c>
      <c r="E66">
        <v>3</v>
      </c>
      <c r="F66">
        <v>324</v>
      </c>
      <c r="G66">
        <v>0</v>
      </c>
      <c r="I66">
        <v>225</v>
      </c>
      <c r="J66">
        <v>857</v>
      </c>
      <c r="K66">
        <v>1042</v>
      </c>
      <c r="L66">
        <v>30.51</v>
      </c>
      <c r="M66">
        <v>-164.64</v>
      </c>
      <c r="N66">
        <v>-221.48</v>
      </c>
      <c r="O66">
        <v>1.43</v>
      </c>
      <c r="P66" t="b">
        <v>0</v>
      </c>
      <c r="Q66">
        <v>0</v>
      </c>
      <c r="R66">
        <v>-534</v>
      </c>
      <c r="U66" t="s">
        <v>1458</v>
      </c>
      <c r="V66" t="s">
        <v>2137</v>
      </c>
      <c r="W66">
        <v>0</v>
      </c>
      <c r="X66">
        <v>0</v>
      </c>
      <c r="Y66" t="s">
        <v>2812</v>
      </c>
      <c r="Z66">
        <v>-53.1699926918353</v>
      </c>
      <c r="AA66">
        <v>459</v>
      </c>
      <c r="AB66">
        <v>638630</v>
      </c>
      <c r="AC66" t="s">
        <v>3442</v>
      </c>
      <c r="AD66">
        <v>41.91</v>
      </c>
      <c r="AE66" t="s">
        <v>4121</v>
      </c>
      <c r="AF66" t="s">
        <v>4797</v>
      </c>
      <c r="AG66">
        <v>579</v>
      </c>
      <c r="AH66">
        <v>-35</v>
      </c>
      <c r="AI66">
        <v>1048007</v>
      </c>
    </row>
    <row r="67" spans="1:36">
      <c r="A67" s="1" t="s">
        <v>101</v>
      </c>
      <c r="B67" t="s">
        <v>780</v>
      </c>
      <c r="C67">
        <f>HYPERLINK("https://finance.naver.com/item/coinfo.nhn?code=038060", "A038060")</f>
        <v>0</v>
      </c>
      <c r="D67">
        <f>HYPERLINK("http://comp.fnguide.com/SVO2/ASP/SVD_Consensus.asp?pGB=1&amp;gicode=A038060&amp;cID=&amp;MenuYn=Y&amp;ReportGB=&amp;NewMenuID=108&amp;stkGb=701", "루멘스")</f>
        <v>0</v>
      </c>
      <c r="E67">
        <v>3</v>
      </c>
      <c r="F67">
        <v>1395</v>
      </c>
      <c r="G67">
        <v>0</v>
      </c>
      <c r="I67">
        <v>0</v>
      </c>
      <c r="J67">
        <v>1201</v>
      </c>
      <c r="K67">
        <v>1551</v>
      </c>
      <c r="L67">
        <v>100</v>
      </c>
      <c r="M67">
        <v>13.88</v>
      </c>
      <c r="N67">
        <v>-11.2</v>
      </c>
      <c r="O67">
        <v>0</v>
      </c>
      <c r="P67" t="b">
        <v>0</v>
      </c>
      <c r="Q67">
        <v>0</v>
      </c>
      <c r="R67">
        <v>-365</v>
      </c>
      <c r="U67" t="s">
        <v>1459</v>
      </c>
      <c r="V67" t="s">
        <v>2138</v>
      </c>
      <c r="W67">
        <v>0</v>
      </c>
      <c r="X67">
        <v>0</v>
      </c>
      <c r="Y67" t="s">
        <v>2762</v>
      </c>
      <c r="Z67">
        <v>0</v>
      </c>
      <c r="AA67">
        <v>671</v>
      </c>
      <c r="AB67">
        <v>299992</v>
      </c>
      <c r="AC67" t="s">
        <v>3443</v>
      </c>
      <c r="AD67">
        <v>16.02</v>
      </c>
      <c r="AE67" t="s">
        <v>4122</v>
      </c>
      <c r="AF67" t="s">
        <v>4741</v>
      </c>
      <c r="AG67">
        <v>3316</v>
      </c>
      <c r="AH67">
        <v>-137</v>
      </c>
      <c r="AI67">
        <v>1083122</v>
      </c>
    </row>
    <row r="68" spans="1:36">
      <c r="A68" s="1" t="s">
        <v>102</v>
      </c>
      <c r="B68" t="s">
        <v>781</v>
      </c>
      <c r="C68">
        <f>HYPERLINK("https://finance.naver.com/item/coinfo.nhn?code=016100", "A016100")</f>
        <v>0</v>
      </c>
      <c r="D68">
        <f>HYPERLINK("http://comp.fnguide.com/SVO2/ASP/SVD_Consensus.asp?pGB=1&amp;gicode=A016100&amp;cID=&amp;MenuYn=Y&amp;ReportGB=&amp;NewMenuID=108&amp;stkGb=701", "리더스코스메틱")</f>
        <v>0</v>
      </c>
      <c r="E68">
        <v>3</v>
      </c>
      <c r="F68">
        <v>4795</v>
      </c>
      <c r="G68">
        <v>0</v>
      </c>
      <c r="H68">
        <v>2.92</v>
      </c>
      <c r="I68">
        <v>10972</v>
      </c>
      <c r="J68">
        <v>6739</v>
      </c>
      <c r="K68">
        <v>5505</v>
      </c>
      <c r="L68">
        <v>-128.82</v>
      </c>
      <c r="M68">
        <v>-40.53</v>
      </c>
      <c r="N68">
        <v>-14.82</v>
      </c>
      <c r="O68">
        <v>23.46</v>
      </c>
      <c r="P68" t="b">
        <v>1</v>
      </c>
      <c r="Q68">
        <v>0</v>
      </c>
      <c r="R68">
        <v>1247</v>
      </c>
      <c r="U68" t="s">
        <v>1460</v>
      </c>
      <c r="V68" t="s">
        <v>2139</v>
      </c>
      <c r="W68">
        <v>0</v>
      </c>
      <c r="X68">
        <v>0</v>
      </c>
      <c r="Y68" t="s">
        <v>2813</v>
      </c>
      <c r="Z68">
        <v>-69.2</v>
      </c>
      <c r="AA68">
        <v>881</v>
      </c>
      <c r="AB68">
        <v>288843</v>
      </c>
      <c r="AC68" t="s">
        <v>3444</v>
      </c>
      <c r="AD68">
        <v>30.61</v>
      </c>
      <c r="AE68" t="s">
        <v>4123</v>
      </c>
      <c r="AF68" t="s">
        <v>4798</v>
      </c>
      <c r="AG68">
        <v>937</v>
      </c>
      <c r="AH68">
        <v>-117</v>
      </c>
      <c r="AI68">
        <v>765067</v>
      </c>
    </row>
    <row r="69" spans="1:36">
      <c r="A69" s="1" t="s">
        <v>103</v>
      </c>
      <c r="B69" t="s">
        <v>782</v>
      </c>
      <c r="C69">
        <f>HYPERLINK("https://finance.naver.com/item/coinfo.nhn?code=012700", "A012700")</f>
        <v>0</v>
      </c>
      <c r="D69">
        <f>HYPERLINK("http://comp.fnguide.com/SVO2/ASP/SVD_Consensus.asp?pGB=1&amp;gicode=A012700&amp;cID=&amp;MenuYn=Y&amp;ReportGB=&amp;NewMenuID=108&amp;stkGb=701", "리드코프")</f>
        <v>0</v>
      </c>
      <c r="E69">
        <v>3</v>
      </c>
      <c r="F69">
        <v>9600</v>
      </c>
      <c r="G69">
        <v>0</v>
      </c>
      <c r="H69">
        <v>4.03</v>
      </c>
      <c r="I69">
        <v>22203</v>
      </c>
      <c r="J69">
        <v>18537</v>
      </c>
      <c r="K69">
        <v>17469</v>
      </c>
      <c r="L69">
        <v>-131.28</v>
      </c>
      <c r="M69">
        <v>-93.09</v>
      </c>
      <c r="N69">
        <v>-81.97</v>
      </c>
      <c r="O69">
        <v>11.38</v>
      </c>
      <c r="P69" t="b">
        <v>1</v>
      </c>
      <c r="Q69">
        <v>0</v>
      </c>
      <c r="R69">
        <v>1735</v>
      </c>
      <c r="U69" t="s">
        <v>1461</v>
      </c>
      <c r="V69" t="s">
        <v>2140</v>
      </c>
      <c r="W69">
        <v>0</v>
      </c>
      <c r="X69">
        <v>13.3</v>
      </c>
      <c r="Y69" t="s">
        <v>2814</v>
      </c>
      <c r="Z69">
        <v>2.5847623739226</v>
      </c>
      <c r="AA69">
        <v>2539</v>
      </c>
      <c r="AB69">
        <v>849411</v>
      </c>
      <c r="AC69" t="s">
        <v>3445</v>
      </c>
      <c r="AD69">
        <v>40.16</v>
      </c>
      <c r="AE69" t="s">
        <v>4124</v>
      </c>
      <c r="AF69" t="s">
        <v>4799</v>
      </c>
      <c r="AG69">
        <v>3732</v>
      </c>
      <c r="AH69">
        <v>601</v>
      </c>
      <c r="AI69">
        <v>851283</v>
      </c>
      <c r="AJ69">
        <v>11.44</v>
      </c>
    </row>
    <row r="70" spans="1:36">
      <c r="A70" s="1" t="s">
        <v>104</v>
      </c>
      <c r="B70" t="s">
        <v>783</v>
      </c>
      <c r="C70">
        <f>HYPERLINK("https://finance.naver.com/item/coinfo.nhn?code=038290", "A038290")</f>
        <v>0</v>
      </c>
      <c r="D70">
        <f>HYPERLINK("http://comp.fnguide.com/SVO2/ASP/SVD_Consensus.asp?pGB=1&amp;gicode=A038290&amp;cID=&amp;MenuYn=Y&amp;ReportGB=&amp;NewMenuID=108&amp;stkGb=701", "마크로젠")</f>
        <v>0</v>
      </c>
      <c r="E70">
        <v>3</v>
      </c>
      <c r="F70">
        <v>31100</v>
      </c>
      <c r="G70">
        <v>0</v>
      </c>
      <c r="H70">
        <v>3.26</v>
      </c>
      <c r="I70">
        <v>71375</v>
      </c>
      <c r="J70">
        <v>41092</v>
      </c>
      <c r="K70">
        <v>32271</v>
      </c>
      <c r="L70">
        <v>-129.5</v>
      </c>
      <c r="M70">
        <v>-32.13</v>
      </c>
      <c r="N70">
        <v>-3.76</v>
      </c>
      <c r="O70">
        <v>28.78</v>
      </c>
      <c r="P70" t="b">
        <v>1</v>
      </c>
      <c r="Q70">
        <v>0</v>
      </c>
      <c r="R70">
        <v>8324</v>
      </c>
      <c r="U70" t="s">
        <v>1462</v>
      </c>
      <c r="V70" t="s">
        <v>2141</v>
      </c>
      <c r="W70">
        <v>0</v>
      </c>
      <c r="X70">
        <v>0</v>
      </c>
      <c r="Y70" t="s">
        <v>2815</v>
      </c>
      <c r="Z70">
        <v>-39.88707378329148</v>
      </c>
      <c r="AA70">
        <v>3319</v>
      </c>
      <c r="AB70">
        <v>69481</v>
      </c>
      <c r="AC70" t="s">
        <v>3446</v>
      </c>
      <c r="AD70">
        <v>10.26</v>
      </c>
      <c r="AE70" t="s">
        <v>4125</v>
      </c>
      <c r="AF70" t="s">
        <v>4800</v>
      </c>
      <c r="AG70">
        <v>1126</v>
      </c>
      <c r="AH70">
        <v>72</v>
      </c>
      <c r="AI70">
        <v>957784</v>
      </c>
      <c r="AJ70">
        <v>1.11</v>
      </c>
    </row>
    <row r="71" spans="1:36">
      <c r="A71" s="1" t="s">
        <v>105</v>
      </c>
      <c r="B71" t="s">
        <v>784</v>
      </c>
      <c r="C71">
        <f>HYPERLINK("https://finance.naver.com/item/coinfo.nhn?code=005990", "A005990")</f>
        <v>0</v>
      </c>
      <c r="D71">
        <f>HYPERLINK("http://comp.fnguide.com/SVO2/ASP/SVD_Consensus.asp?pGB=1&amp;gicode=A005990&amp;cID=&amp;MenuYn=Y&amp;ReportGB=&amp;NewMenuID=108&amp;stkGb=701", "매일홀딩스")</f>
        <v>0</v>
      </c>
      <c r="E71">
        <v>3</v>
      </c>
      <c r="F71">
        <v>11050</v>
      </c>
      <c r="G71">
        <v>0</v>
      </c>
      <c r="H71">
        <v>58.79</v>
      </c>
      <c r="I71">
        <v>12709</v>
      </c>
      <c r="J71">
        <v>18582</v>
      </c>
      <c r="K71">
        <v>20292</v>
      </c>
      <c r="L71">
        <v>-15.02</v>
      </c>
      <c r="M71">
        <v>-68.16</v>
      </c>
      <c r="N71">
        <v>-83.64</v>
      </c>
      <c r="O71">
        <v>4.62</v>
      </c>
      <c r="P71" t="b">
        <v>1</v>
      </c>
      <c r="Q71">
        <v>0</v>
      </c>
      <c r="R71">
        <v>144</v>
      </c>
      <c r="U71" t="s">
        <v>1463</v>
      </c>
      <c r="V71" t="s">
        <v>2142</v>
      </c>
      <c r="W71">
        <v>0</v>
      </c>
      <c r="X71">
        <v>-91.3</v>
      </c>
      <c r="Y71" t="s">
        <v>2816</v>
      </c>
      <c r="Z71">
        <v>-41.31977885446234</v>
      </c>
      <c r="AA71">
        <v>1516</v>
      </c>
      <c r="AB71">
        <v>528753</v>
      </c>
      <c r="AC71" t="s">
        <v>3447</v>
      </c>
      <c r="AD71">
        <v>65.98999999999999</v>
      </c>
      <c r="AE71" t="s">
        <v>4126</v>
      </c>
      <c r="AF71" t="s">
        <v>4801</v>
      </c>
      <c r="AG71">
        <v>16617</v>
      </c>
      <c r="AH71">
        <v>834</v>
      </c>
      <c r="AI71">
        <v>1017013</v>
      </c>
      <c r="AJ71">
        <v>1.66</v>
      </c>
    </row>
    <row r="72" spans="1:36">
      <c r="A72" s="1" t="s">
        <v>106</v>
      </c>
      <c r="B72" t="s">
        <v>785</v>
      </c>
      <c r="C72">
        <f>HYPERLINK("https://finance.naver.com/item/coinfo.nhn?code=072870", "A072870")</f>
        <v>0</v>
      </c>
      <c r="D72">
        <f>HYPERLINK("http://comp.fnguide.com/SVO2/ASP/SVD_Consensus.asp?pGB=1&amp;gicode=A072870&amp;cID=&amp;MenuYn=Y&amp;ReportGB=&amp;NewMenuID=108&amp;stkGb=701", "메가스터디")</f>
        <v>0</v>
      </c>
      <c r="E72">
        <v>3</v>
      </c>
      <c r="F72">
        <v>14050</v>
      </c>
      <c r="G72">
        <v>0</v>
      </c>
      <c r="H72">
        <v>6.5</v>
      </c>
      <c r="I72">
        <v>20282</v>
      </c>
      <c r="J72">
        <v>22412</v>
      </c>
      <c r="K72">
        <v>23032</v>
      </c>
      <c r="L72">
        <v>-44.35</v>
      </c>
      <c r="M72">
        <v>-59.51</v>
      </c>
      <c r="N72">
        <v>-63.93</v>
      </c>
      <c r="O72">
        <v>6.98</v>
      </c>
      <c r="P72" t="b">
        <v>1</v>
      </c>
      <c r="Q72">
        <v>0</v>
      </c>
      <c r="R72">
        <v>1777</v>
      </c>
      <c r="U72" t="s">
        <v>1464</v>
      </c>
      <c r="V72" t="s">
        <v>2143</v>
      </c>
      <c r="W72">
        <v>0</v>
      </c>
      <c r="X72">
        <v>67</v>
      </c>
      <c r="Y72" t="s">
        <v>2817</v>
      </c>
      <c r="Z72">
        <v>-3.467104052556269</v>
      </c>
      <c r="AA72">
        <v>1675</v>
      </c>
      <c r="AB72">
        <v>109625</v>
      </c>
      <c r="AC72" t="s">
        <v>3448</v>
      </c>
      <c r="AD72">
        <v>35.41</v>
      </c>
      <c r="AE72" t="s">
        <v>4127</v>
      </c>
      <c r="AF72" t="s">
        <v>4802</v>
      </c>
      <c r="AG72">
        <v>1330</v>
      </c>
      <c r="AH72">
        <v>109</v>
      </c>
      <c r="AI72">
        <v>63957</v>
      </c>
      <c r="AJ72">
        <v>5.19</v>
      </c>
    </row>
    <row r="73" spans="1:36">
      <c r="A73" s="1" t="s">
        <v>107</v>
      </c>
      <c r="B73" t="s">
        <v>786</v>
      </c>
      <c r="C73">
        <f>HYPERLINK("https://finance.naver.com/item/coinfo.nhn?code=014100", "A014100")</f>
        <v>0</v>
      </c>
      <c r="D73">
        <f>HYPERLINK("http://comp.fnguide.com/SVO2/ASP/SVD_Consensus.asp?pGB=1&amp;gicode=A014100&amp;cID=&amp;MenuYn=Y&amp;ReportGB=&amp;NewMenuID=108&amp;stkGb=701", "메디앙스")</f>
        <v>0</v>
      </c>
      <c r="E73">
        <v>3</v>
      </c>
      <c r="F73">
        <v>6200</v>
      </c>
      <c r="G73">
        <v>0</v>
      </c>
      <c r="H73">
        <v>23.48</v>
      </c>
      <c r="I73">
        <v>18317</v>
      </c>
      <c r="J73">
        <v>11922</v>
      </c>
      <c r="K73">
        <v>10059</v>
      </c>
      <c r="L73">
        <v>-195.44</v>
      </c>
      <c r="M73">
        <v>-92.29000000000001</v>
      </c>
      <c r="N73">
        <v>-62.24</v>
      </c>
      <c r="O73">
        <v>19.94</v>
      </c>
      <c r="P73" t="b">
        <v>1</v>
      </c>
      <c r="Q73">
        <v>0</v>
      </c>
      <c r="R73">
        <v>357</v>
      </c>
      <c r="U73" t="s">
        <v>1465</v>
      </c>
      <c r="V73" t="s">
        <v>2144</v>
      </c>
      <c r="W73">
        <v>0</v>
      </c>
      <c r="X73">
        <v>-87.09999999999999</v>
      </c>
      <c r="Y73" t="s">
        <v>2818</v>
      </c>
      <c r="Z73">
        <v>-5.50817945932689</v>
      </c>
      <c r="AA73">
        <v>732</v>
      </c>
      <c r="AB73">
        <v>0</v>
      </c>
      <c r="AC73" t="s">
        <v>3449</v>
      </c>
      <c r="AD73">
        <v>31.55</v>
      </c>
      <c r="AE73" t="s">
        <v>4128</v>
      </c>
      <c r="AF73" t="s">
        <v>4803</v>
      </c>
      <c r="AG73">
        <v>716</v>
      </c>
      <c r="AH73">
        <v>13</v>
      </c>
      <c r="AI73">
        <v>236868</v>
      </c>
    </row>
    <row r="74" spans="1:36">
      <c r="A74" s="1" t="s">
        <v>108</v>
      </c>
      <c r="B74" t="s">
        <v>787</v>
      </c>
      <c r="C74">
        <f>HYPERLINK("https://finance.naver.com/item/coinfo.nhn?code=241770", "A241770")</f>
        <v>0</v>
      </c>
      <c r="D74">
        <f>HYPERLINK("http://comp.fnguide.com/SVO2/ASP/SVD_Consensus.asp?pGB=1&amp;gicode=A241770&amp;cID=&amp;MenuYn=Y&amp;ReportGB=&amp;NewMenuID=108&amp;stkGb=701", "메카로")</f>
        <v>0</v>
      </c>
      <c r="E74">
        <v>3</v>
      </c>
      <c r="F74">
        <v>11600</v>
      </c>
      <c r="G74">
        <v>0</v>
      </c>
      <c r="I74">
        <v>9814</v>
      </c>
      <c r="J74">
        <v>12371</v>
      </c>
      <c r="K74">
        <v>13116</v>
      </c>
      <c r="L74">
        <v>15.4</v>
      </c>
      <c r="M74">
        <v>-6.65</v>
      </c>
      <c r="N74">
        <v>-13.07</v>
      </c>
      <c r="O74">
        <v>5.71</v>
      </c>
      <c r="P74" t="b">
        <v>0</v>
      </c>
      <c r="Q74">
        <v>0</v>
      </c>
      <c r="R74">
        <v>-162</v>
      </c>
      <c r="U74" t="s">
        <v>1466</v>
      </c>
      <c r="V74" t="s">
        <v>2145</v>
      </c>
      <c r="W74">
        <v>0</v>
      </c>
      <c r="X74">
        <v>0</v>
      </c>
      <c r="Y74" t="s">
        <v>2819</v>
      </c>
      <c r="Z74">
        <v>8.290715102334655</v>
      </c>
      <c r="AA74">
        <v>1177</v>
      </c>
      <c r="AB74">
        <v>14539</v>
      </c>
      <c r="AC74" t="s">
        <v>3450</v>
      </c>
      <c r="AD74">
        <v>60.15</v>
      </c>
      <c r="AE74" t="s">
        <v>4129</v>
      </c>
      <c r="AF74" t="s">
        <v>4804</v>
      </c>
      <c r="AG74">
        <v>727</v>
      </c>
      <c r="AH74">
        <v>1</v>
      </c>
      <c r="AI74">
        <v>380000</v>
      </c>
    </row>
    <row r="75" spans="1:36">
      <c r="A75" s="1" t="s">
        <v>109</v>
      </c>
      <c r="B75" t="s">
        <v>788</v>
      </c>
      <c r="C75">
        <f>HYPERLINK("https://finance.naver.com/item/coinfo.nhn?code=101330", "A101330")</f>
        <v>0</v>
      </c>
      <c r="D75">
        <f>HYPERLINK("http://comp.fnguide.com/SVO2/ASP/SVD_Consensus.asp?pGB=1&amp;gicode=A101330&amp;cID=&amp;MenuYn=Y&amp;ReportGB=&amp;NewMenuID=108&amp;stkGb=701", "모베이스")</f>
        <v>0</v>
      </c>
      <c r="E75">
        <v>3</v>
      </c>
      <c r="F75">
        <v>5660</v>
      </c>
      <c r="G75">
        <v>0</v>
      </c>
      <c r="I75">
        <v>10257</v>
      </c>
      <c r="J75">
        <v>10537</v>
      </c>
      <c r="K75">
        <v>10619</v>
      </c>
      <c r="L75">
        <v>-81.20999999999999</v>
      </c>
      <c r="M75">
        <v>-86.17</v>
      </c>
      <c r="N75">
        <v>-87.61</v>
      </c>
      <c r="O75">
        <v>7.86</v>
      </c>
      <c r="P75" t="b">
        <v>0</v>
      </c>
      <c r="Q75">
        <v>0</v>
      </c>
      <c r="R75">
        <v>-533</v>
      </c>
      <c r="U75" t="s">
        <v>1467</v>
      </c>
      <c r="V75" t="s">
        <v>2146</v>
      </c>
      <c r="W75">
        <v>0</v>
      </c>
      <c r="X75">
        <v>0</v>
      </c>
      <c r="Y75" t="s">
        <v>2820</v>
      </c>
      <c r="Z75">
        <v>12.01321226649743</v>
      </c>
      <c r="AA75">
        <v>1356</v>
      </c>
      <c r="AB75">
        <v>1627202</v>
      </c>
      <c r="AC75" t="s">
        <v>3451</v>
      </c>
      <c r="AD75">
        <v>42.68</v>
      </c>
      <c r="AE75" t="s">
        <v>4130</v>
      </c>
      <c r="AF75" t="s">
        <v>4805</v>
      </c>
      <c r="AG75">
        <v>11370</v>
      </c>
      <c r="AH75">
        <v>71</v>
      </c>
      <c r="AI75">
        <v>227362</v>
      </c>
    </row>
    <row r="76" spans="1:36">
      <c r="A76" s="1" t="s">
        <v>110</v>
      </c>
      <c r="B76" t="s">
        <v>789</v>
      </c>
      <c r="C76">
        <f>HYPERLINK("https://finance.naver.com/item/coinfo.nhn?code=900290", "A900290")</f>
        <v>0</v>
      </c>
      <c r="D76">
        <f>HYPERLINK("http://comp.fnguide.com/SVO2/ASP/SVD_Consensus.asp?pGB=1&amp;gicode=A900290&amp;cID=&amp;MenuYn=Y&amp;ReportGB=&amp;NewMenuID=108&amp;stkGb=701", "GRT")</f>
        <v>0</v>
      </c>
      <c r="E76">
        <v>3</v>
      </c>
      <c r="F76">
        <v>951</v>
      </c>
      <c r="G76">
        <v>0</v>
      </c>
      <c r="H76">
        <v>1.86</v>
      </c>
      <c r="I76">
        <v>12636</v>
      </c>
      <c r="J76">
        <v>9786</v>
      </c>
      <c r="K76">
        <v>8956</v>
      </c>
      <c r="L76">
        <v>-1228.73</v>
      </c>
      <c r="M76">
        <v>-929.0599999999999</v>
      </c>
      <c r="N76">
        <v>-841.77</v>
      </c>
      <c r="O76">
        <v>13.25</v>
      </c>
      <c r="P76" t="b">
        <v>0</v>
      </c>
      <c r="Q76">
        <v>0</v>
      </c>
      <c r="R76">
        <v>766</v>
      </c>
      <c r="U76" t="s">
        <v>1468</v>
      </c>
      <c r="V76" t="s">
        <v>2147</v>
      </c>
      <c r="W76">
        <v>0</v>
      </c>
      <c r="X76">
        <v>-31.1</v>
      </c>
      <c r="Y76" t="s">
        <v>2821</v>
      </c>
      <c r="Z76">
        <v>-18.27884320827336</v>
      </c>
      <c r="AA76">
        <v>641</v>
      </c>
      <c r="AB76">
        <v>0</v>
      </c>
      <c r="AC76" t="s">
        <v>3452</v>
      </c>
      <c r="AD76">
        <v>38.78</v>
      </c>
      <c r="AE76" t="s">
        <v>4131</v>
      </c>
      <c r="AF76" t="s">
        <v>4806</v>
      </c>
      <c r="AG76">
        <v>3434</v>
      </c>
      <c r="AH76">
        <v>679</v>
      </c>
    </row>
    <row r="77" spans="1:36">
      <c r="A77" s="1" t="s">
        <v>111</v>
      </c>
      <c r="B77" t="s">
        <v>790</v>
      </c>
      <c r="C77">
        <f>HYPERLINK("https://finance.naver.com/item/coinfo.nhn?code=068790", "A068790")</f>
        <v>0</v>
      </c>
      <c r="D77">
        <f>HYPERLINK("http://comp.fnguide.com/SVO2/ASP/SVD_Consensus.asp?pGB=1&amp;gicode=A068790&amp;cID=&amp;MenuYn=Y&amp;ReportGB=&amp;NewMenuID=108&amp;stkGb=701", "DMS")</f>
        <v>0</v>
      </c>
      <c r="E77">
        <v>3</v>
      </c>
      <c r="F77">
        <v>7770</v>
      </c>
      <c r="G77">
        <v>0</v>
      </c>
      <c r="H77">
        <v>5.25</v>
      </c>
      <c r="I77">
        <v>17793</v>
      </c>
      <c r="J77">
        <v>12754</v>
      </c>
      <c r="K77">
        <v>11286</v>
      </c>
      <c r="L77">
        <v>-128.99</v>
      </c>
      <c r="M77">
        <v>-64.14</v>
      </c>
      <c r="N77">
        <v>-45.25</v>
      </c>
      <c r="O77">
        <v>15.71</v>
      </c>
      <c r="P77" t="b">
        <v>1</v>
      </c>
      <c r="Q77">
        <v>0</v>
      </c>
      <c r="R77">
        <v>1653</v>
      </c>
      <c r="U77" t="s">
        <v>1469</v>
      </c>
      <c r="V77" t="s">
        <v>2148</v>
      </c>
      <c r="W77">
        <v>0</v>
      </c>
      <c r="X77">
        <v>120.6</v>
      </c>
      <c r="Y77" t="s">
        <v>2822</v>
      </c>
      <c r="Z77">
        <v>25.78398603911176</v>
      </c>
      <c r="AA77">
        <v>1909</v>
      </c>
      <c r="AB77">
        <v>678024</v>
      </c>
      <c r="AC77" t="s">
        <v>3453</v>
      </c>
      <c r="AD77">
        <v>20.92</v>
      </c>
      <c r="AE77" t="s">
        <v>4132</v>
      </c>
      <c r="AF77" t="s">
        <v>4807</v>
      </c>
      <c r="AG77">
        <v>2269</v>
      </c>
      <c r="AH77">
        <v>338</v>
      </c>
      <c r="AI77">
        <v>133797</v>
      </c>
      <c r="AJ77">
        <v>1.15</v>
      </c>
    </row>
    <row r="78" spans="1:36">
      <c r="A78" s="1" t="s">
        <v>112</v>
      </c>
      <c r="B78" t="s">
        <v>791</v>
      </c>
      <c r="C78">
        <f>HYPERLINK("https://finance.naver.com/item/coinfo.nhn?code=023460", "A023460")</f>
        <v>0</v>
      </c>
      <c r="D78">
        <f>HYPERLINK("http://comp.fnguide.com/SVO2/ASP/SVD_Consensus.asp?pGB=1&amp;gicode=A023460&amp;cID=&amp;MenuYn=Y&amp;ReportGB=&amp;NewMenuID=108&amp;stkGb=701", "CNH")</f>
        <v>0</v>
      </c>
      <c r="E78">
        <v>3</v>
      </c>
      <c r="F78">
        <v>3670</v>
      </c>
      <c r="G78">
        <v>0</v>
      </c>
      <c r="H78">
        <v>2.72</v>
      </c>
      <c r="I78">
        <v>7862</v>
      </c>
      <c r="J78">
        <v>5382</v>
      </c>
      <c r="K78">
        <v>4659</v>
      </c>
      <c r="L78">
        <v>-114.22</v>
      </c>
      <c r="M78">
        <v>-46.64</v>
      </c>
      <c r="N78">
        <v>-26.95</v>
      </c>
      <c r="O78">
        <v>17.53</v>
      </c>
      <c r="P78" t="b">
        <v>1</v>
      </c>
      <c r="Q78">
        <v>0</v>
      </c>
      <c r="R78">
        <v>785</v>
      </c>
      <c r="U78" t="s">
        <v>1470</v>
      </c>
      <c r="V78" t="s">
        <v>2149</v>
      </c>
      <c r="W78">
        <v>0</v>
      </c>
      <c r="Y78" t="s">
        <v>2823</v>
      </c>
      <c r="Z78">
        <v>-34.40012823114699</v>
      </c>
      <c r="AA78">
        <v>1365</v>
      </c>
      <c r="AB78">
        <v>91411</v>
      </c>
      <c r="AC78" t="s">
        <v>3454</v>
      </c>
      <c r="AD78">
        <v>65.61</v>
      </c>
      <c r="AE78" t="s">
        <v>4133</v>
      </c>
      <c r="AF78" t="s">
        <v>4808</v>
      </c>
      <c r="AG78">
        <v>885</v>
      </c>
      <c r="AH78">
        <v>556</v>
      </c>
      <c r="AI78">
        <v>2418619</v>
      </c>
      <c r="AJ78">
        <v>2.34</v>
      </c>
    </row>
    <row r="79" spans="1:36">
      <c r="A79" s="1" t="s">
        <v>113</v>
      </c>
      <c r="B79" t="s">
        <v>792</v>
      </c>
      <c r="C79">
        <f>HYPERLINK("https://finance.naver.com/item/coinfo.nhn?code=024720", "A024720")</f>
        <v>0</v>
      </c>
      <c r="D79">
        <f>HYPERLINK("http://comp.fnguide.com/SVO2/ASP/SVD_Consensus.asp?pGB=1&amp;gicode=A024720&amp;cID=&amp;MenuYn=Y&amp;ReportGB=&amp;NewMenuID=108&amp;stkGb=701", "한국콜마홀딩스")</f>
        <v>0</v>
      </c>
      <c r="E79">
        <v>3</v>
      </c>
      <c r="F79">
        <v>31300</v>
      </c>
      <c r="G79">
        <v>0</v>
      </c>
      <c r="H79">
        <v>4.49</v>
      </c>
      <c r="I79">
        <v>67413</v>
      </c>
      <c r="J79">
        <v>46182</v>
      </c>
      <c r="K79">
        <v>39998</v>
      </c>
      <c r="L79">
        <v>-115.38</v>
      </c>
      <c r="M79">
        <v>-47.55</v>
      </c>
      <c r="N79">
        <v>-27.79</v>
      </c>
      <c r="O79">
        <v>17.5</v>
      </c>
      <c r="P79" t="b">
        <v>1</v>
      </c>
      <c r="Q79">
        <v>0</v>
      </c>
      <c r="R79">
        <v>5776</v>
      </c>
      <c r="U79" t="s">
        <v>1471</v>
      </c>
      <c r="V79" t="s">
        <v>2150</v>
      </c>
      <c r="W79">
        <v>0</v>
      </c>
      <c r="X79">
        <v>165.3</v>
      </c>
      <c r="Y79" t="s">
        <v>2824</v>
      </c>
      <c r="Z79">
        <v>27.49360663331897</v>
      </c>
      <c r="AA79">
        <v>5815</v>
      </c>
      <c r="AB79">
        <v>62852</v>
      </c>
      <c r="AC79" t="s">
        <v>3455</v>
      </c>
      <c r="AD79">
        <v>44.37</v>
      </c>
      <c r="AE79" t="s">
        <v>4134</v>
      </c>
      <c r="AF79" t="s">
        <v>4809</v>
      </c>
      <c r="AG79">
        <v>6755</v>
      </c>
      <c r="AH79">
        <v>1057</v>
      </c>
      <c r="AI79">
        <v>97500</v>
      </c>
      <c r="AJ79">
        <v>0.79</v>
      </c>
    </row>
    <row r="80" spans="1:36">
      <c r="A80" s="1" t="s">
        <v>114</v>
      </c>
      <c r="B80" t="s">
        <v>793</v>
      </c>
      <c r="C80">
        <f>HYPERLINK("https://finance.naver.com/item/coinfo.nhn?code=034830", "A034830")</f>
        <v>0</v>
      </c>
      <c r="D80">
        <f>HYPERLINK("http://comp.fnguide.com/SVO2/ASP/SVD_Consensus.asp?pGB=1&amp;gicode=A034830&amp;cID=&amp;MenuYn=Y&amp;ReportGB=&amp;NewMenuID=108&amp;stkGb=701", "한국토지신탁")</f>
        <v>0</v>
      </c>
      <c r="E80">
        <v>3</v>
      </c>
      <c r="F80">
        <v>2350</v>
      </c>
      <c r="G80">
        <v>-0.42</v>
      </c>
      <c r="H80">
        <v>6.01</v>
      </c>
      <c r="I80">
        <v>6172</v>
      </c>
      <c r="J80">
        <v>4900</v>
      </c>
      <c r="K80">
        <v>4530</v>
      </c>
      <c r="L80">
        <v>-162.64</v>
      </c>
      <c r="M80">
        <v>-108.53</v>
      </c>
      <c r="N80">
        <v>-92.77</v>
      </c>
      <c r="O80">
        <v>12.58</v>
      </c>
      <c r="P80" t="b">
        <v>1</v>
      </c>
      <c r="Q80">
        <v>1</v>
      </c>
      <c r="R80">
        <v>336</v>
      </c>
      <c r="S80">
        <v>415</v>
      </c>
      <c r="T80">
        <v>23.5</v>
      </c>
      <c r="U80" t="s">
        <v>1472</v>
      </c>
      <c r="V80" t="s">
        <v>2151</v>
      </c>
      <c r="W80">
        <v>-14.39871219765774</v>
      </c>
      <c r="Y80" t="s">
        <v>2823</v>
      </c>
      <c r="Z80">
        <v>-10.71123868701098</v>
      </c>
      <c r="AA80">
        <v>5934</v>
      </c>
      <c r="AB80">
        <v>842248</v>
      </c>
      <c r="AC80" t="s">
        <v>3456</v>
      </c>
      <c r="AD80">
        <v>35.46</v>
      </c>
      <c r="AE80" t="s">
        <v>4135</v>
      </c>
      <c r="AF80" t="s">
        <v>4810</v>
      </c>
      <c r="AG80">
        <v>2374</v>
      </c>
      <c r="AH80">
        <v>938</v>
      </c>
      <c r="AI80">
        <v>24446793</v>
      </c>
      <c r="AJ80">
        <v>4.46</v>
      </c>
    </row>
    <row r="81" spans="1:36">
      <c r="A81" s="1" t="s">
        <v>115</v>
      </c>
      <c r="B81" t="s">
        <v>794</v>
      </c>
      <c r="C81">
        <f>HYPERLINK("https://finance.naver.com/item/coinfo.nhn?code=010100", "A010100")</f>
        <v>0</v>
      </c>
      <c r="D81">
        <f>HYPERLINK("http://comp.fnguide.com/SVO2/ASP/SVD_Consensus.asp?pGB=1&amp;gicode=A010100&amp;cID=&amp;MenuYn=Y&amp;ReportGB=&amp;NewMenuID=108&amp;stkGb=701", "한국프랜지")</f>
        <v>0</v>
      </c>
      <c r="E81">
        <v>3</v>
      </c>
      <c r="F81">
        <v>3150</v>
      </c>
      <c r="G81">
        <v>0</v>
      </c>
      <c r="H81">
        <v>9.67</v>
      </c>
      <c r="I81">
        <v>4070</v>
      </c>
      <c r="J81">
        <v>6045</v>
      </c>
      <c r="K81">
        <v>6621</v>
      </c>
      <c r="L81">
        <v>-29.2</v>
      </c>
      <c r="M81">
        <v>-91.91</v>
      </c>
      <c r="N81">
        <v>-110.18</v>
      </c>
      <c r="O81">
        <v>4.52</v>
      </c>
      <c r="P81" t="b">
        <v>1</v>
      </c>
      <c r="Q81">
        <v>0</v>
      </c>
      <c r="R81">
        <v>379</v>
      </c>
      <c r="U81" t="s">
        <v>1473</v>
      </c>
      <c r="V81" t="s">
        <v>2152</v>
      </c>
      <c r="W81">
        <v>0</v>
      </c>
      <c r="X81">
        <v>1.8</v>
      </c>
      <c r="Y81" t="s">
        <v>2825</v>
      </c>
      <c r="Z81">
        <v>102.1353384612833</v>
      </c>
      <c r="AA81">
        <v>959</v>
      </c>
      <c r="AB81">
        <v>156900</v>
      </c>
      <c r="AC81" t="s">
        <v>3457</v>
      </c>
      <c r="AD81">
        <v>42.09</v>
      </c>
      <c r="AE81" t="s">
        <v>4136</v>
      </c>
      <c r="AF81" t="s">
        <v>4811</v>
      </c>
      <c r="AG81">
        <v>8816</v>
      </c>
      <c r="AH81">
        <v>138</v>
      </c>
      <c r="AJ81">
        <v>1.36</v>
      </c>
    </row>
    <row r="82" spans="1:36">
      <c r="A82" s="1" t="s">
        <v>116</v>
      </c>
      <c r="B82" t="s">
        <v>795</v>
      </c>
      <c r="C82">
        <f>HYPERLINK("https://finance.naver.com/item/coinfo.nhn?code=014790", "A014790")</f>
        <v>0</v>
      </c>
      <c r="D82">
        <f>HYPERLINK("http://comp.fnguide.com/SVO2/ASP/SVD_Consensus.asp?pGB=1&amp;gicode=A014790&amp;cID=&amp;MenuYn=Y&amp;ReportGB=&amp;NewMenuID=108&amp;stkGb=701", "한라")</f>
        <v>0</v>
      </c>
      <c r="E82">
        <v>3</v>
      </c>
      <c r="F82">
        <v>5760</v>
      </c>
      <c r="G82">
        <v>0</v>
      </c>
      <c r="H82">
        <v>2.19</v>
      </c>
      <c r="I82">
        <v>21025</v>
      </c>
      <c r="J82">
        <v>14299</v>
      </c>
      <c r="K82">
        <v>12340</v>
      </c>
      <c r="L82">
        <v>-265.01</v>
      </c>
      <c r="M82">
        <v>-148.25</v>
      </c>
      <c r="N82">
        <v>-114.24</v>
      </c>
      <c r="O82">
        <v>17.81</v>
      </c>
      <c r="P82" t="b">
        <v>1</v>
      </c>
      <c r="Q82">
        <v>0</v>
      </c>
      <c r="R82">
        <v>2241</v>
      </c>
      <c r="S82">
        <v>1233</v>
      </c>
      <c r="T82">
        <v>-45</v>
      </c>
      <c r="U82" t="s">
        <v>1474</v>
      </c>
      <c r="V82" t="s">
        <v>2153</v>
      </c>
      <c r="W82">
        <v>0</v>
      </c>
      <c r="X82">
        <v>4295.7</v>
      </c>
      <c r="Y82" t="s">
        <v>2826</v>
      </c>
      <c r="Z82">
        <v>1274.507861017899</v>
      </c>
      <c r="AA82">
        <v>2239</v>
      </c>
      <c r="AB82">
        <v>234902</v>
      </c>
      <c r="AC82" t="s">
        <v>3458</v>
      </c>
      <c r="AD82">
        <v>45.41</v>
      </c>
      <c r="AE82" t="s">
        <v>4137</v>
      </c>
      <c r="AF82" t="s">
        <v>4812</v>
      </c>
      <c r="AG82">
        <v>15653</v>
      </c>
      <c r="AH82">
        <v>967</v>
      </c>
      <c r="AI82">
        <v>1016341</v>
      </c>
      <c r="AJ82">
        <v>2.04</v>
      </c>
    </row>
    <row r="83" spans="1:36">
      <c r="A83" s="1" t="s">
        <v>117</v>
      </c>
      <c r="B83" t="s">
        <v>796</v>
      </c>
      <c r="C83">
        <f>HYPERLINK("https://finance.naver.com/item/coinfo.nhn?code=060980", "A060980")</f>
        <v>0</v>
      </c>
      <c r="D83">
        <f>HYPERLINK("http://comp.fnguide.com/SVO2/ASP/SVD_Consensus.asp?pGB=1&amp;gicode=A060980&amp;cID=&amp;MenuYn=Y&amp;ReportGB=&amp;NewMenuID=108&amp;stkGb=701", "한라홀딩스")</f>
        <v>0</v>
      </c>
      <c r="E83">
        <v>3</v>
      </c>
      <c r="F83">
        <v>44000</v>
      </c>
      <c r="G83">
        <v>0.11</v>
      </c>
      <c r="H83">
        <v>8.890000000000001</v>
      </c>
      <c r="I83">
        <v>45750</v>
      </c>
      <c r="J83">
        <v>70624</v>
      </c>
      <c r="K83">
        <v>77869</v>
      </c>
      <c r="L83">
        <v>-3.98</v>
      </c>
      <c r="M83">
        <v>-60.51</v>
      </c>
      <c r="N83">
        <v>-76.97</v>
      </c>
      <c r="O83">
        <v>4.29</v>
      </c>
      <c r="P83" t="b">
        <v>0</v>
      </c>
      <c r="Q83">
        <v>3</v>
      </c>
      <c r="R83">
        <v>4206</v>
      </c>
      <c r="S83">
        <v>7522</v>
      </c>
      <c r="T83">
        <v>78.8</v>
      </c>
      <c r="U83" t="s">
        <v>1475</v>
      </c>
      <c r="V83" t="s">
        <v>2154</v>
      </c>
      <c r="W83">
        <v>83.67790633413532</v>
      </c>
      <c r="X83">
        <v>7.4</v>
      </c>
      <c r="Y83" t="s">
        <v>2827</v>
      </c>
      <c r="Z83">
        <v>-9.562552717122285</v>
      </c>
      <c r="AA83">
        <v>4608</v>
      </c>
      <c r="AB83">
        <v>68370</v>
      </c>
      <c r="AC83" t="s">
        <v>3459</v>
      </c>
      <c r="AD83">
        <v>28.48</v>
      </c>
      <c r="AE83" t="s">
        <v>4138</v>
      </c>
      <c r="AF83" t="s">
        <v>4813</v>
      </c>
      <c r="AG83">
        <v>7358</v>
      </c>
      <c r="AH83">
        <v>907</v>
      </c>
      <c r="AI83">
        <v>351915</v>
      </c>
      <c r="AJ83">
        <v>5.35</v>
      </c>
    </row>
    <row r="84" spans="1:36">
      <c r="A84" s="1" t="s">
        <v>118</v>
      </c>
      <c r="B84" t="s">
        <v>797</v>
      </c>
      <c r="C84">
        <f>HYPERLINK("https://finance.naver.com/item/coinfo.nhn?code=053690", "A053690")</f>
        <v>0</v>
      </c>
      <c r="D84">
        <f>HYPERLINK("http://comp.fnguide.com/SVO2/ASP/SVD_Consensus.asp?pGB=1&amp;gicode=A053690&amp;cID=&amp;MenuYn=Y&amp;ReportGB=&amp;NewMenuID=108&amp;stkGb=701", "한미글로벌")</f>
        <v>0</v>
      </c>
      <c r="E84">
        <v>3</v>
      </c>
      <c r="F84">
        <v>11950</v>
      </c>
      <c r="G84">
        <v>0</v>
      </c>
      <c r="H84">
        <v>12.31</v>
      </c>
      <c r="I84">
        <v>18449</v>
      </c>
      <c r="J84">
        <v>15012</v>
      </c>
      <c r="K84">
        <v>14011</v>
      </c>
      <c r="L84">
        <v>-54.39</v>
      </c>
      <c r="M84">
        <v>-25.62</v>
      </c>
      <c r="N84">
        <v>-17.25</v>
      </c>
      <c r="O84">
        <v>11.98</v>
      </c>
      <c r="P84" t="b">
        <v>1</v>
      </c>
      <c r="Q84">
        <v>0</v>
      </c>
      <c r="R84">
        <v>849</v>
      </c>
      <c r="U84" t="s">
        <v>1476</v>
      </c>
      <c r="V84" t="s">
        <v>2155</v>
      </c>
      <c r="W84">
        <v>0</v>
      </c>
      <c r="X84">
        <v>89.5</v>
      </c>
      <c r="Y84" t="s">
        <v>2828</v>
      </c>
      <c r="Z84">
        <v>13.3932267972944</v>
      </c>
      <c r="AA84">
        <v>1309</v>
      </c>
      <c r="AB84">
        <v>145952</v>
      </c>
      <c r="AC84" t="s">
        <v>3460</v>
      </c>
      <c r="AD84">
        <v>24.2</v>
      </c>
      <c r="AE84" t="s">
        <v>4139</v>
      </c>
      <c r="AF84" t="s">
        <v>4814</v>
      </c>
      <c r="AG84">
        <v>2326</v>
      </c>
      <c r="AH84">
        <v>165</v>
      </c>
      <c r="AI84">
        <v>1536000</v>
      </c>
      <c r="AJ84">
        <v>2.87</v>
      </c>
    </row>
    <row r="85" spans="1:36">
      <c r="A85" s="1" t="s">
        <v>119</v>
      </c>
      <c r="B85" t="s">
        <v>798</v>
      </c>
      <c r="C85">
        <f>HYPERLINK("https://finance.naver.com/item/coinfo.nhn?code=020000", "A020000")</f>
        <v>0</v>
      </c>
      <c r="D85">
        <f>HYPERLINK("http://comp.fnguide.com/SVO2/ASP/SVD_Consensus.asp?pGB=1&amp;gicode=A020000&amp;cID=&amp;MenuYn=Y&amp;ReportGB=&amp;NewMenuID=108&amp;stkGb=701", "한섬")</f>
        <v>0</v>
      </c>
      <c r="E85">
        <v>3</v>
      </c>
      <c r="F85">
        <v>48150</v>
      </c>
      <c r="G85">
        <v>0.68</v>
      </c>
      <c r="H85">
        <v>8.76</v>
      </c>
      <c r="I85">
        <v>49553</v>
      </c>
      <c r="J85">
        <v>50457</v>
      </c>
      <c r="K85">
        <v>50720</v>
      </c>
      <c r="L85">
        <v>-2.91</v>
      </c>
      <c r="M85">
        <v>-4.79</v>
      </c>
      <c r="N85">
        <v>-5.34</v>
      </c>
      <c r="O85">
        <v>7.97</v>
      </c>
      <c r="P85" t="b">
        <v>1</v>
      </c>
      <c r="Q85">
        <v>1</v>
      </c>
      <c r="R85">
        <v>3455</v>
      </c>
      <c r="S85">
        <v>4237</v>
      </c>
      <c r="T85">
        <v>22.6</v>
      </c>
      <c r="U85" t="s">
        <v>1477</v>
      </c>
      <c r="V85" t="s">
        <v>2156</v>
      </c>
      <c r="W85">
        <v>12.95932814612426</v>
      </c>
      <c r="X85">
        <v>-0.2</v>
      </c>
      <c r="Y85" t="s">
        <v>2829</v>
      </c>
      <c r="Z85">
        <v>2.726830280655679</v>
      </c>
      <c r="AA85">
        <v>11859</v>
      </c>
      <c r="AB85">
        <v>153215</v>
      </c>
      <c r="AC85" t="s">
        <v>3461</v>
      </c>
      <c r="AD85">
        <v>34.64</v>
      </c>
      <c r="AE85" t="s">
        <v>4140</v>
      </c>
      <c r="AF85" t="s">
        <v>4815</v>
      </c>
      <c r="AG85">
        <v>11959</v>
      </c>
      <c r="AH85">
        <v>1021</v>
      </c>
      <c r="AI85">
        <v>2660406</v>
      </c>
      <c r="AJ85">
        <v>1.49</v>
      </c>
    </row>
    <row r="86" spans="1:36">
      <c r="A86" s="1" t="s">
        <v>120</v>
      </c>
      <c r="B86" t="s">
        <v>799</v>
      </c>
      <c r="C86">
        <f>HYPERLINK("https://finance.naver.com/item/coinfo.nhn?code=069640", "A069640")</f>
        <v>0</v>
      </c>
      <c r="D86">
        <f>HYPERLINK("http://comp.fnguide.com/SVO2/ASP/SVD_Consensus.asp?pGB=1&amp;gicode=A069640&amp;cID=&amp;MenuYn=Y&amp;ReportGB=&amp;NewMenuID=108&amp;stkGb=701", "한세엠케이")</f>
        <v>0</v>
      </c>
      <c r="E86">
        <v>3</v>
      </c>
      <c r="F86">
        <v>4690</v>
      </c>
      <c r="G86">
        <v>0</v>
      </c>
      <c r="I86">
        <v>377</v>
      </c>
      <c r="J86">
        <v>4382</v>
      </c>
      <c r="K86">
        <v>5548</v>
      </c>
      <c r="L86">
        <v>91.97</v>
      </c>
      <c r="M86">
        <v>6.57</v>
      </c>
      <c r="N86">
        <v>-18.3</v>
      </c>
      <c r="O86">
        <v>0.43</v>
      </c>
      <c r="P86" t="b">
        <v>0</v>
      </c>
      <c r="Q86">
        <v>0</v>
      </c>
      <c r="R86">
        <v>-1782</v>
      </c>
      <c r="U86" t="s">
        <v>1478</v>
      </c>
      <c r="V86" t="s">
        <v>2157</v>
      </c>
      <c r="W86">
        <v>0</v>
      </c>
      <c r="X86">
        <v>0</v>
      </c>
      <c r="Y86" t="s">
        <v>2830</v>
      </c>
      <c r="Z86">
        <v>2.484823515474077</v>
      </c>
      <c r="AA86">
        <v>605</v>
      </c>
      <c r="AB86">
        <v>74287</v>
      </c>
      <c r="AC86" t="s">
        <v>3462</v>
      </c>
      <c r="AD86">
        <v>51.84</v>
      </c>
      <c r="AE86" t="s">
        <v>4141</v>
      </c>
      <c r="AF86" t="s">
        <v>4816</v>
      </c>
      <c r="AG86">
        <v>2202</v>
      </c>
      <c r="AH86">
        <v>-189</v>
      </c>
      <c r="AI86">
        <v>1981657</v>
      </c>
    </row>
    <row r="87" spans="1:36">
      <c r="A87" s="1" t="s">
        <v>121</v>
      </c>
      <c r="B87" t="s">
        <v>800</v>
      </c>
      <c r="C87">
        <f>HYPERLINK("https://finance.naver.com/item/coinfo.nhn?code=016450", "A016450")</f>
        <v>0</v>
      </c>
      <c r="D87">
        <f>HYPERLINK("http://comp.fnguide.com/SVO2/ASP/SVD_Consensus.asp?pGB=1&amp;gicode=A016450&amp;cID=&amp;MenuYn=Y&amp;ReportGB=&amp;NewMenuID=108&amp;stkGb=701", "한세예스24홀딩스")</f>
        <v>0</v>
      </c>
      <c r="E87">
        <v>3</v>
      </c>
      <c r="F87">
        <v>9220</v>
      </c>
      <c r="G87">
        <v>0</v>
      </c>
      <c r="H87">
        <v>5.64</v>
      </c>
      <c r="I87">
        <v>12578</v>
      </c>
      <c r="J87">
        <v>10679</v>
      </c>
      <c r="K87">
        <v>10126</v>
      </c>
      <c r="L87">
        <v>-36.42</v>
      </c>
      <c r="M87">
        <v>-15.82</v>
      </c>
      <c r="N87">
        <v>-9.82</v>
      </c>
      <c r="O87">
        <v>11.02</v>
      </c>
      <c r="P87" t="b">
        <v>1</v>
      </c>
      <c r="Q87">
        <v>0</v>
      </c>
      <c r="R87">
        <v>1359</v>
      </c>
      <c r="U87" t="s">
        <v>1479</v>
      </c>
      <c r="V87" t="s">
        <v>2158</v>
      </c>
      <c r="W87">
        <v>0</v>
      </c>
      <c r="X87">
        <v>169.8</v>
      </c>
      <c r="Y87" t="s">
        <v>2831</v>
      </c>
      <c r="Z87">
        <v>17.30641642875024</v>
      </c>
      <c r="AA87">
        <v>3688</v>
      </c>
      <c r="AB87">
        <v>87496</v>
      </c>
      <c r="AC87" t="s">
        <v>3463</v>
      </c>
      <c r="AD87">
        <v>79.87</v>
      </c>
      <c r="AE87" t="s">
        <v>4142</v>
      </c>
      <c r="AF87" t="s">
        <v>4817</v>
      </c>
      <c r="AG87">
        <v>27979</v>
      </c>
      <c r="AH87">
        <v>817</v>
      </c>
      <c r="AI87">
        <v>738213</v>
      </c>
      <c r="AJ87">
        <v>3.26</v>
      </c>
    </row>
    <row r="88" spans="1:36">
      <c r="A88" s="1" t="s">
        <v>122</v>
      </c>
      <c r="B88" t="s">
        <v>801</v>
      </c>
      <c r="C88">
        <f>HYPERLINK("https://finance.naver.com/item/coinfo.nhn?code=213500", "A213500")</f>
        <v>0</v>
      </c>
      <c r="D88">
        <f>HYPERLINK("http://comp.fnguide.com/SVO2/ASP/SVD_Consensus.asp?pGB=1&amp;gicode=A213500&amp;cID=&amp;MenuYn=Y&amp;ReportGB=&amp;NewMenuID=108&amp;stkGb=701", "한솔제지")</f>
        <v>0</v>
      </c>
      <c r="E88">
        <v>3</v>
      </c>
      <c r="F88">
        <v>16850</v>
      </c>
      <c r="G88">
        <v>0.3</v>
      </c>
      <c r="H88">
        <v>5.56</v>
      </c>
      <c r="I88">
        <v>27250</v>
      </c>
      <c r="J88">
        <v>26922</v>
      </c>
      <c r="K88">
        <v>26827</v>
      </c>
      <c r="L88">
        <v>-61.72</v>
      </c>
      <c r="M88">
        <v>-59.78</v>
      </c>
      <c r="N88">
        <v>-59.21</v>
      </c>
      <c r="O88">
        <v>8.390000000000001</v>
      </c>
      <c r="P88" t="b">
        <v>1</v>
      </c>
      <c r="Q88">
        <v>2</v>
      </c>
      <c r="R88">
        <v>2490</v>
      </c>
      <c r="S88">
        <v>2857</v>
      </c>
      <c r="T88">
        <v>14.7</v>
      </c>
      <c r="U88" t="s">
        <v>1480</v>
      </c>
      <c r="V88" t="s">
        <v>2159</v>
      </c>
      <c r="W88">
        <v>18.51723677647887</v>
      </c>
      <c r="X88">
        <v>48.1</v>
      </c>
      <c r="Y88" t="s">
        <v>2832</v>
      </c>
      <c r="Z88">
        <v>11.84793622740394</v>
      </c>
      <c r="AA88">
        <v>4010</v>
      </c>
      <c r="AB88">
        <v>162418</v>
      </c>
      <c r="AC88" t="s">
        <v>3464</v>
      </c>
      <c r="AD88">
        <v>30.57</v>
      </c>
      <c r="AE88" t="s">
        <v>4143</v>
      </c>
      <c r="AF88" t="s">
        <v>4818</v>
      </c>
      <c r="AG88">
        <v>15099</v>
      </c>
      <c r="AH88">
        <v>946</v>
      </c>
      <c r="AI88">
        <v>23708</v>
      </c>
      <c r="AJ88">
        <v>5.05</v>
      </c>
    </row>
    <row r="89" spans="1:36">
      <c r="A89" s="1" t="s">
        <v>123</v>
      </c>
      <c r="B89" t="s">
        <v>802</v>
      </c>
      <c r="C89">
        <f>HYPERLINK("https://finance.naver.com/item/coinfo.nhn?code=004150", "A004150")</f>
        <v>0</v>
      </c>
      <c r="D89">
        <f>HYPERLINK("http://comp.fnguide.com/SVO2/ASP/SVD_Consensus.asp?pGB=1&amp;gicode=A004150&amp;cID=&amp;MenuYn=Y&amp;ReportGB=&amp;NewMenuID=108&amp;stkGb=701", "한솔홀딩스")</f>
        <v>0</v>
      </c>
      <c r="E89">
        <v>3</v>
      </c>
      <c r="F89">
        <v>4475</v>
      </c>
      <c r="G89">
        <v>0</v>
      </c>
      <c r="H89">
        <v>2.27</v>
      </c>
      <c r="I89">
        <v>13981</v>
      </c>
      <c r="J89">
        <v>12787</v>
      </c>
      <c r="K89">
        <v>12440</v>
      </c>
      <c r="L89">
        <v>-212.43</v>
      </c>
      <c r="M89">
        <v>-185.75</v>
      </c>
      <c r="N89">
        <v>-177.98</v>
      </c>
      <c r="O89">
        <v>9.6</v>
      </c>
      <c r="P89" t="b">
        <v>1</v>
      </c>
      <c r="Q89">
        <v>0</v>
      </c>
      <c r="R89">
        <v>1627</v>
      </c>
      <c r="S89">
        <v>619</v>
      </c>
      <c r="T89">
        <v>-62</v>
      </c>
      <c r="U89" t="s">
        <v>1481</v>
      </c>
      <c r="V89" t="s">
        <v>2160</v>
      </c>
      <c r="W89">
        <v>0</v>
      </c>
      <c r="X89">
        <v>203.6</v>
      </c>
      <c r="Y89" t="s">
        <v>2833</v>
      </c>
      <c r="Z89">
        <v>203.6</v>
      </c>
      <c r="AA89">
        <v>1880</v>
      </c>
      <c r="AB89">
        <v>157510</v>
      </c>
      <c r="AC89" t="s">
        <v>3465</v>
      </c>
      <c r="AD89">
        <v>30.28</v>
      </c>
      <c r="AE89" t="s">
        <v>4144</v>
      </c>
      <c r="AF89" t="s">
        <v>4819</v>
      </c>
      <c r="AG89">
        <v>3595</v>
      </c>
      <c r="AH89">
        <v>125</v>
      </c>
      <c r="AJ89">
        <v>3.26</v>
      </c>
    </row>
    <row r="90" spans="1:36">
      <c r="A90" s="1" t="s">
        <v>124</v>
      </c>
      <c r="B90" t="s">
        <v>803</v>
      </c>
      <c r="C90">
        <f>HYPERLINK("https://finance.naver.com/item/coinfo.nhn?code=004960", "A004960")</f>
        <v>0</v>
      </c>
      <c r="D90">
        <f>HYPERLINK("http://comp.fnguide.com/SVO2/ASP/SVD_Consensus.asp?pGB=1&amp;gicode=A004960&amp;cID=&amp;MenuYn=Y&amp;ReportGB=&amp;NewMenuID=108&amp;stkGb=701", "한신공영")</f>
        <v>0</v>
      </c>
      <c r="E90">
        <v>3</v>
      </c>
      <c r="F90">
        <v>26600</v>
      </c>
      <c r="G90">
        <v>-0.09</v>
      </c>
      <c r="H90">
        <v>1.83</v>
      </c>
      <c r="I90">
        <v>137881</v>
      </c>
      <c r="J90">
        <v>87396</v>
      </c>
      <c r="K90">
        <v>72690</v>
      </c>
      <c r="L90">
        <v>-418.35</v>
      </c>
      <c r="M90">
        <v>-228.56</v>
      </c>
      <c r="N90">
        <v>-173.27</v>
      </c>
      <c r="O90">
        <v>21.43</v>
      </c>
      <c r="P90" t="b">
        <v>1</v>
      </c>
      <c r="Q90">
        <v>0</v>
      </c>
      <c r="R90">
        <v>9152</v>
      </c>
      <c r="S90">
        <v>6998</v>
      </c>
      <c r="T90">
        <v>-23.5</v>
      </c>
      <c r="U90" t="s">
        <v>1482</v>
      </c>
      <c r="V90" t="s">
        <v>2161</v>
      </c>
      <c r="W90">
        <v>-20.65475935697754</v>
      </c>
      <c r="X90">
        <v>47.4</v>
      </c>
      <c r="Y90" t="s">
        <v>2834</v>
      </c>
      <c r="Z90">
        <v>34.53026138674535</v>
      </c>
      <c r="AA90">
        <v>3078</v>
      </c>
      <c r="AB90">
        <v>80308</v>
      </c>
      <c r="AC90" t="s">
        <v>3466</v>
      </c>
      <c r="AD90">
        <v>36.76</v>
      </c>
      <c r="AE90" t="s">
        <v>4145</v>
      </c>
      <c r="AF90" t="s">
        <v>4820</v>
      </c>
      <c r="AG90">
        <v>15569</v>
      </c>
      <c r="AH90">
        <v>1199</v>
      </c>
      <c r="AJ90">
        <v>2.39</v>
      </c>
    </row>
    <row r="91" spans="1:36">
      <c r="A91" s="1" t="s">
        <v>125</v>
      </c>
      <c r="B91" t="s">
        <v>804</v>
      </c>
      <c r="C91">
        <f>HYPERLINK("https://finance.naver.com/item/coinfo.nhn?code=001750", "A001750")</f>
        <v>0</v>
      </c>
      <c r="D91">
        <f>HYPERLINK("http://comp.fnguide.com/SVO2/ASP/SVD_Consensus.asp?pGB=1&amp;gicode=A001750&amp;cID=&amp;MenuYn=Y&amp;ReportGB=&amp;NewMenuID=108&amp;stkGb=701", "한양증권")</f>
        <v>0</v>
      </c>
      <c r="E91">
        <v>3</v>
      </c>
      <c r="F91">
        <v>14550</v>
      </c>
      <c r="G91">
        <v>0</v>
      </c>
      <c r="H91">
        <v>2.66</v>
      </c>
      <c r="I91">
        <v>33607</v>
      </c>
      <c r="J91">
        <v>30029</v>
      </c>
      <c r="K91">
        <v>28987</v>
      </c>
      <c r="L91">
        <v>-130.98</v>
      </c>
      <c r="M91">
        <v>-106.39</v>
      </c>
      <c r="N91">
        <v>-99.23</v>
      </c>
      <c r="O91">
        <v>10.02</v>
      </c>
      <c r="P91" t="b">
        <v>1</v>
      </c>
      <c r="Q91">
        <v>0</v>
      </c>
      <c r="R91">
        <v>3465</v>
      </c>
      <c r="U91" t="s">
        <v>1483</v>
      </c>
      <c r="V91" t="s">
        <v>2162</v>
      </c>
      <c r="W91">
        <v>0</v>
      </c>
      <c r="X91">
        <v>14.2</v>
      </c>
      <c r="Y91" t="s">
        <v>2835</v>
      </c>
      <c r="Z91">
        <v>5.53116391744306</v>
      </c>
      <c r="AA91">
        <v>1852</v>
      </c>
      <c r="AB91">
        <v>110323</v>
      </c>
      <c r="AC91" t="s">
        <v>3467</v>
      </c>
      <c r="AD91">
        <v>41.07</v>
      </c>
      <c r="AE91" t="s">
        <v>4146</v>
      </c>
      <c r="AF91" t="s">
        <v>4821</v>
      </c>
      <c r="AG91">
        <v>1907</v>
      </c>
      <c r="AH91">
        <v>643</v>
      </c>
      <c r="AJ91">
        <v>8.130000000000001</v>
      </c>
    </row>
    <row r="92" spans="1:36">
      <c r="A92" s="1" t="s">
        <v>126</v>
      </c>
      <c r="B92" t="s">
        <v>805</v>
      </c>
      <c r="C92">
        <f>HYPERLINK("https://finance.naver.com/item/coinfo.nhn?code=300720", "A300720")</f>
        <v>0</v>
      </c>
      <c r="D92">
        <f>HYPERLINK("http://comp.fnguide.com/SVO2/ASP/SVD_Consensus.asp?pGB=1&amp;gicode=A300720&amp;cID=&amp;MenuYn=Y&amp;ReportGB=&amp;NewMenuID=108&amp;stkGb=701", "한일시멘트")</f>
        <v>0</v>
      </c>
      <c r="E92">
        <v>3</v>
      </c>
      <c r="F92">
        <v>161500</v>
      </c>
      <c r="G92">
        <v>0.61</v>
      </c>
      <c r="H92">
        <v>5.85</v>
      </c>
      <c r="I92">
        <v>139637</v>
      </c>
      <c r="J92">
        <v>172545</v>
      </c>
      <c r="K92">
        <v>182130</v>
      </c>
      <c r="L92">
        <v>13.54</v>
      </c>
      <c r="M92">
        <v>-6.84</v>
      </c>
      <c r="N92">
        <v>-12.77</v>
      </c>
      <c r="O92">
        <v>5.89</v>
      </c>
      <c r="P92" t="b">
        <v>1</v>
      </c>
      <c r="Q92">
        <v>0</v>
      </c>
      <c r="R92">
        <v>17953</v>
      </c>
      <c r="S92">
        <v>17037</v>
      </c>
      <c r="T92">
        <v>-5.1</v>
      </c>
      <c r="U92" t="s">
        <v>1484</v>
      </c>
      <c r="V92" t="s">
        <v>2163</v>
      </c>
      <c r="W92">
        <v>9.542396570968116</v>
      </c>
      <c r="X92">
        <v>83.7</v>
      </c>
      <c r="Y92" t="s">
        <v>2836</v>
      </c>
      <c r="Z92">
        <v>0</v>
      </c>
      <c r="AA92">
        <v>11186</v>
      </c>
      <c r="AB92">
        <v>15664</v>
      </c>
      <c r="AC92" t="s">
        <v>3468</v>
      </c>
      <c r="AD92">
        <v>73.31999999999999</v>
      </c>
      <c r="AE92" t="s">
        <v>4147</v>
      </c>
      <c r="AF92" t="s">
        <v>4822</v>
      </c>
      <c r="AG92">
        <v>9743</v>
      </c>
      <c r="AH92">
        <v>1328</v>
      </c>
      <c r="AI92">
        <v>257810</v>
      </c>
      <c r="AJ92">
        <v>4.86</v>
      </c>
    </row>
    <row r="93" spans="1:36">
      <c r="A93" s="1" t="s">
        <v>127</v>
      </c>
      <c r="B93" t="s">
        <v>806</v>
      </c>
      <c r="C93">
        <f>HYPERLINK("https://finance.naver.com/item/coinfo.nhn?code=002220", "A002220")</f>
        <v>0</v>
      </c>
      <c r="D93">
        <f>HYPERLINK("http://comp.fnguide.com/SVO2/ASP/SVD_Consensus.asp?pGB=1&amp;gicode=A002220&amp;cID=&amp;MenuYn=Y&amp;ReportGB=&amp;NewMenuID=108&amp;stkGb=701", "한일철강")</f>
        <v>0</v>
      </c>
      <c r="E93">
        <v>3</v>
      </c>
      <c r="F93">
        <v>3290</v>
      </c>
      <c r="G93">
        <v>0</v>
      </c>
      <c r="I93">
        <v>0</v>
      </c>
      <c r="J93">
        <v>3578</v>
      </c>
      <c r="K93">
        <v>4620</v>
      </c>
      <c r="L93">
        <v>100</v>
      </c>
      <c r="M93">
        <v>-8.75</v>
      </c>
      <c r="N93">
        <v>-40.43</v>
      </c>
      <c r="O93">
        <v>0</v>
      </c>
      <c r="P93" t="b">
        <v>0</v>
      </c>
      <c r="Q93">
        <v>0</v>
      </c>
      <c r="R93">
        <v>-195</v>
      </c>
      <c r="U93" t="s">
        <v>1485</v>
      </c>
      <c r="V93" t="s">
        <v>2164</v>
      </c>
      <c r="W93">
        <v>0</v>
      </c>
      <c r="X93">
        <v>0</v>
      </c>
      <c r="Y93" t="s">
        <v>2837</v>
      </c>
      <c r="Z93">
        <v>89.59999999999999</v>
      </c>
      <c r="AA93">
        <v>868</v>
      </c>
      <c r="AB93">
        <v>408079</v>
      </c>
      <c r="AC93" t="s">
        <v>3469</v>
      </c>
      <c r="AD93">
        <v>51.32</v>
      </c>
      <c r="AE93" t="s">
        <v>4148</v>
      </c>
      <c r="AF93" t="s">
        <v>4741</v>
      </c>
      <c r="AG93">
        <v>1571</v>
      </c>
      <c r="AH93">
        <v>-42</v>
      </c>
      <c r="AI93">
        <v>2343720</v>
      </c>
    </row>
    <row r="94" spans="1:36">
      <c r="A94" s="1" t="s">
        <v>128</v>
      </c>
      <c r="B94" t="s">
        <v>807</v>
      </c>
      <c r="C94">
        <f>HYPERLINK("https://finance.naver.com/item/coinfo.nhn?code=003300", "A003300")</f>
        <v>0</v>
      </c>
      <c r="D94">
        <f>HYPERLINK("http://comp.fnguide.com/SVO2/ASP/SVD_Consensus.asp?pGB=1&amp;gicode=A003300&amp;cID=&amp;MenuYn=Y&amp;ReportGB=&amp;NewMenuID=108&amp;stkGb=701", "한일홀딩스")</f>
        <v>0</v>
      </c>
      <c r="E94">
        <v>3</v>
      </c>
      <c r="F94">
        <v>14800</v>
      </c>
      <c r="G94">
        <v>0</v>
      </c>
      <c r="H94">
        <v>6.6</v>
      </c>
      <c r="I94">
        <v>52275</v>
      </c>
      <c r="J94">
        <v>48679</v>
      </c>
      <c r="K94">
        <v>47632</v>
      </c>
      <c r="L94">
        <v>-253.21</v>
      </c>
      <c r="M94">
        <v>-228.91</v>
      </c>
      <c r="N94">
        <v>-221.84</v>
      </c>
      <c r="O94">
        <v>9.300000000000001</v>
      </c>
      <c r="P94" t="b">
        <v>1</v>
      </c>
      <c r="Q94">
        <v>0</v>
      </c>
      <c r="R94">
        <v>1652</v>
      </c>
      <c r="U94" t="s">
        <v>1486</v>
      </c>
      <c r="V94" t="s">
        <v>2165</v>
      </c>
      <c r="W94">
        <v>0</v>
      </c>
      <c r="X94">
        <v>258.7</v>
      </c>
      <c r="Y94" t="s">
        <v>2838</v>
      </c>
      <c r="Z94">
        <v>1.23530873022355</v>
      </c>
      <c r="AA94">
        <v>4265</v>
      </c>
      <c r="AB94">
        <v>13534</v>
      </c>
      <c r="AC94" t="s">
        <v>3470</v>
      </c>
      <c r="AD94">
        <v>68.73999999999999</v>
      </c>
      <c r="AE94" t="s">
        <v>4149</v>
      </c>
      <c r="AF94" t="s">
        <v>4823</v>
      </c>
      <c r="AG94">
        <v>15334</v>
      </c>
      <c r="AH94">
        <v>1571</v>
      </c>
      <c r="AI94">
        <v>0</v>
      </c>
      <c r="AJ94">
        <v>4.68</v>
      </c>
    </row>
    <row r="95" spans="1:36">
      <c r="A95" s="1" t="s">
        <v>129</v>
      </c>
      <c r="B95" t="s">
        <v>808</v>
      </c>
      <c r="C95">
        <f>HYPERLINK("https://finance.naver.com/item/coinfo.nhn?code=161390", "A161390")</f>
        <v>0</v>
      </c>
      <c r="D95">
        <f>HYPERLINK("http://comp.fnguide.com/SVO2/ASP/SVD_Consensus.asp?pGB=1&amp;gicode=A161390&amp;cID=&amp;MenuYn=Y&amp;ReportGB=&amp;NewMenuID=108&amp;stkGb=701", "한국타이어앤테크놀로지")</f>
        <v>0</v>
      </c>
      <c r="E95">
        <v>3</v>
      </c>
      <c r="F95">
        <v>48000</v>
      </c>
      <c r="G95">
        <v>3.48</v>
      </c>
      <c r="H95">
        <v>13.11</v>
      </c>
      <c r="I95">
        <v>43383</v>
      </c>
      <c r="J95">
        <v>53536</v>
      </c>
      <c r="K95">
        <v>56494</v>
      </c>
      <c r="L95">
        <v>9.619999999999999</v>
      </c>
      <c r="M95">
        <v>-11.53</v>
      </c>
      <c r="N95">
        <v>-17.7</v>
      </c>
      <c r="O95">
        <v>5.9</v>
      </c>
      <c r="P95" t="b">
        <v>1</v>
      </c>
      <c r="Q95">
        <v>1</v>
      </c>
      <c r="R95">
        <v>3006</v>
      </c>
      <c r="S95">
        <v>4711</v>
      </c>
      <c r="T95">
        <v>56.7</v>
      </c>
      <c r="U95" t="s">
        <v>1487</v>
      </c>
      <c r="V95" t="s">
        <v>2166</v>
      </c>
      <c r="W95">
        <v>3.76857093994496</v>
      </c>
      <c r="X95">
        <v>-11.3</v>
      </c>
      <c r="Y95" t="s">
        <v>2839</v>
      </c>
      <c r="Z95">
        <v>-10.71123868701098</v>
      </c>
      <c r="AA95">
        <v>59460</v>
      </c>
      <c r="AB95">
        <v>189111</v>
      </c>
      <c r="AC95" t="s">
        <v>3471</v>
      </c>
      <c r="AD95">
        <v>43.24</v>
      </c>
      <c r="AE95" t="s">
        <v>4150</v>
      </c>
      <c r="AF95" t="s">
        <v>4824</v>
      </c>
      <c r="AG95">
        <v>64531</v>
      </c>
      <c r="AH95">
        <v>6283</v>
      </c>
      <c r="AI95">
        <v>1886316</v>
      </c>
      <c r="AJ95">
        <v>1.65</v>
      </c>
    </row>
    <row r="96" spans="1:36">
      <c r="A96" s="1" t="s">
        <v>130</v>
      </c>
      <c r="B96" t="s">
        <v>809</v>
      </c>
      <c r="C96">
        <f>HYPERLINK("https://finance.naver.com/item/coinfo.nhn?code=104700", "A104700")</f>
        <v>0</v>
      </c>
      <c r="D96">
        <f>HYPERLINK("http://comp.fnguide.com/SVO2/ASP/SVD_Consensus.asp?pGB=1&amp;gicode=A104700&amp;cID=&amp;MenuYn=Y&amp;ReportGB=&amp;NewMenuID=108&amp;stkGb=701", "한국철강")</f>
        <v>0</v>
      </c>
      <c r="E96">
        <v>3</v>
      </c>
      <c r="F96">
        <v>11150</v>
      </c>
      <c r="G96">
        <v>0</v>
      </c>
      <c r="I96">
        <v>2532</v>
      </c>
      <c r="J96">
        <v>11626</v>
      </c>
      <c r="K96">
        <v>14275</v>
      </c>
      <c r="L96">
        <v>77.29000000000001</v>
      </c>
      <c r="M96">
        <v>-4.27</v>
      </c>
      <c r="N96">
        <v>-28.03</v>
      </c>
      <c r="O96">
        <v>1.17</v>
      </c>
      <c r="P96" t="b">
        <v>0</v>
      </c>
      <c r="Q96">
        <v>0</v>
      </c>
      <c r="R96">
        <v>-184</v>
      </c>
      <c r="U96" t="s">
        <v>1488</v>
      </c>
      <c r="V96" t="s">
        <v>2167</v>
      </c>
      <c r="W96">
        <v>0</v>
      </c>
      <c r="X96">
        <v>0</v>
      </c>
      <c r="Y96" t="s">
        <v>2840</v>
      </c>
      <c r="Z96">
        <v>16.66293327359809</v>
      </c>
      <c r="AA96">
        <v>5135</v>
      </c>
      <c r="AB96">
        <v>279242</v>
      </c>
      <c r="AC96" t="s">
        <v>3472</v>
      </c>
      <c r="AD96">
        <v>52.66</v>
      </c>
      <c r="AE96" t="s">
        <v>4151</v>
      </c>
      <c r="AF96" t="s">
        <v>4825</v>
      </c>
      <c r="AG96">
        <v>6334</v>
      </c>
      <c r="AH96">
        <v>351</v>
      </c>
      <c r="AI96">
        <v>6997892</v>
      </c>
      <c r="AJ96">
        <v>3.06</v>
      </c>
    </row>
    <row r="97" spans="1:36">
      <c r="A97" s="1" t="s">
        <v>131</v>
      </c>
      <c r="B97" t="s">
        <v>810</v>
      </c>
      <c r="C97">
        <f>HYPERLINK("https://finance.naver.com/item/coinfo.nhn?code=035760", "A035760")</f>
        <v>0</v>
      </c>
      <c r="D97">
        <f>HYPERLINK("http://comp.fnguide.com/SVO2/ASP/SVD_Consensus.asp?pGB=1&amp;gicode=A035760&amp;cID=&amp;MenuYn=Y&amp;ReportGB=&amp;NewMenuID=108&amp;stkGb=701", "CJ ENM")</f>
        <v>0</v>
      </c>
      <c r="E97">
        <v>3</v>
      </c>
      <c r="F97">
        <v>149300</v>
      </c>
      <c r="G97">
        <v>-5.84</v>
      </c>
      <c r="H97">
        <v>53.74</v>
      </c>
      <c r="I97">
        <v>75324</v>
      </c>
      <c r="J97">
        <v>134569</v>
      </c>
      <c r="K97">
        <v>151826</v>
      </c>
      <c r="L97">
        <v>49.55</v>
      </c>
      <c r="M97">
        <v>9.869999999999999</v>
      </c>
      <c r="N97">
        <v>-1.69</v>
      </c>
      <c r="O97">
        <v>3.54</v>
      </c>
      <c r="P97" t="b">
        <v>0</v>
      </c>
      <c r="Q97">
        <v>1</v>
      </c>
      <c r="R97">
        <v>2596</v>
      </c>
      <c r="S97">
        <v>8639</v>
      </c>
      <c r="T97">
        <v>232.8</v>
      </c>
      <c r="U97" t="s">
        <v>1489</v>
      </c>
      <c r="V97" t="s">
        <v>2168</v>
      </c>
      <c r="W97">
        <v>-9.198910658854253</v>
      </c>
      <c r="X97">
        <v>-45.4</v>
      </c>
      <c r="Y97" t="s">
        <v>2841</v>
      </c>
      <c r="Z97">
        <v>-28.25756942522</v>
      </c>
      <c r="AA97">
        <v>32740</v>
      </c>
      <c r="AB97">
        <v>100054</v>
      </c>
      <c r="AC97" t="s">
        <v>3473</v>
      </c>
      <c r="AD97">
        <v>42.7</v>
      </c>
      <c r="AE97" t="s">
        <v>4152</v>
      </c>
      <c r="AF97" t="s">
        <v>4826</v>
      </c>
      <c r="AG97">
        <v>33912</v>
      </c>
      <c r="AH97">
        <v>2721</v>
      </c>
      <c r="AI97">
        <v>2295225</v>
      </c>
      <c r="AJ97">
        <v>1.15</v>
      </c>
    </row>
    <row r="98" spans="1:36">
      <c r="A98" s="1" t="s">
        <v>132</v>
      </c>
      <c r="B98" t="s">
        <v>811</v>
      </c>
      <c r="C98">
        <f>HYPERLINK("https://finance.naver.com/item/coinfo.nhn?code=000970", "A000970")</f>
        <v>0</v>
      </c>
      <c r="D98">
        <f>HYPERLINK("http://comp.fnguide.com/SVO2/ASP/SVD_Consensus.asp?pGB=1&amp;gicode=A000970&amp;cID=&amp;MenuYn=Y&amp;ReportGB=&amp;NewMenuID=108&amp;stkGb=701", "한국주철관")</f>
        <v>0</v>
      </c>
      <c r="E98">
        <v>3</v>
      </c>
      <c r="F98">
        <v>10250</v>
      </c>
      <c r="G98">
        <v>0</v>
      </c>
      <c r="H98">
        <v>12.67</v>
      </c>
      <c r="I98">
        <v>6296</v>
      </c>
      <c r="J98">
        <v>10194</v>
      </c>
      <c r="K98">
        <v>11329</v>
      </c>
      <c r="L98">
        <v>38.57</v>
      </c>
      <c r="M98">
        <v>0.55</v>
      </c>
      <c r="N98">
        <v>-10.53</v>
      </c>
      <c r="O98">
        <v>4.02</v>
      </c>
      <c r="P98" t="b">
        <v>1</v>
      </c>
      <c r="Q98">
        <v>0</v>
      </c>
      <c r="R98">
        <v>552</v>
      </c>
      <c r="U98" t="s">
        <v>1490</v>
      </c>
      <c r="V98" t="s">
        <v>2169</v>
      </c>
      <c r="W98">
        <v>0</v>
      </c>
      <c r="Y98" t="s">
        <v>2842</v>
      </c>
      <c r="Z98">
        <v>0</v>
      </c>
      <c r="AA98">
        <v>2337</v>
      </c>
      <c r="AB98">
        <v>272562</v>
      </c>
      <c r="AC98" t="s">
        <v>3474</v>
      </c>
      <c r="AD98">
        <v>47.93</v>
      </c>
      <c r="AE98" t="s">
        <v>4153</v>
      </c>
      <c r="AF98" t="s">
        <v>4827</v>
      </c>
      <c r="AG98">
        <v>4372</v>
      </c>
      <c r="AH98">
        <v>156</v>
      </c>
      <c r="AI98">
        <v>1289530</v>
      </c>
      <c r="AJ98">
        <v>2.86</v>
      </c>
    </row>
    <row r="99" spans="1:36">
      <c r="A99" s="1" t="s">
        <v>133</v>
      </c>
      <c r="B99" t="s">
        <v>812</v>
      </c>
      <c r="C99">
        <f>HYPERLINK("https://finance.naver.com/item/coinfo.nhn?code=047050", "A047050")</f>
        <v>0</v>
      </c>
      <c r="D99">
        <f>HYPERLINK("http://comp.fnguide.com/SVO2/ASP/SVD_Consensus.asp?pGB=1&amp;gicode=A047050&amp;cID=&amp;MenuYn=Y&amp;ReportGB=&amp;NewMenuID=108&amp;stkGb=701", "포스코인터내셔널")</f>
        <v>0</v>
      </c>
      <c r="E99">
        <v>3</v>
      </c>
      <c r="F99">
        <v>22000</v>
      </c>
      <c r="G99">
        <v>0.3</v>
      </c>
      <c r="H99">
        <v>7.52</v>
      </c>
      <c r="I99">
        <v>22131</v>
      </c>
      <c r="J99">
        <v>24190</v>
      </c>
      <c r="K99">
        <v>24790</v>
      </c>
      <c r="L99">
        <v>-0.59</v>
      </c>
      <c r="M99">
        <v>-9.949999999999999</v>
      </c>
      <c r="N99">
        <v>-12.68</v>
      </c>
      <c r="O99">
        <v>7.11</v>
      </c>
      <c r="P99" t="b">
        <v>1</v>
      </c>
      <c r="Q99">
        <v>3</v>
      </c>
      <c r="R99">
        <v>1934</v>
      </c>
      <c r="S99">
        <v>2461</v>
      </c>
      <c r="T99">
        <v>27.2</v>
      </c>
      <c r="U99" t="s">
        <v>1491</v>
      </c>
      <c r="V99" t="s">
        <v>2170</v>
      </c>
      <c r="W99">
        <v>25.06466883110203</v>
      </c>
      <c r="X99">
        <v>13.9</v>
      </c>
      <c r="Y99" t="s">
        <v>2843</v>
      </c>
      <c r="Z99">
        <v>11.3043596606607</v>
      </c>
      <c r="AA99">
        <v>27143</v>
      </c>
      <c r="AB99">
        <v>643011</v>
      </c>
      <c r="AC99" t="s">
        <v>3475</v>
      </c>
      <c r="AD99">
        <v>63.36</v>
      </c>
      <c r="AE99" t="s">
        <v>4154</v>
      </c>
      <c r="AF99" t="s">
        <v>4828</v>
      </c>
      <c r="AG99">
        <v>214724</v>
      </c>
      <c r="AH99">
        <v>4745</v>
      </c>
      <c r="AI99">
        <v>258</v>
      </c>
      <c r="AJ99">
        <v>4.81</v>
      </c>
    </row>
    <row r="100" spans="1:36">
      <c r="A100" s="1" t="s">
        <v>134</v>
      </c>
      <c r="B100" t="s">
        <v>813</v>
      </c>
      <c r="C100">
        <f>HYPERLINK("https://finance.naver.com/item/coinfo.nhn?code=103140", "A103140")</f>
        <v>0</v>
      </c>
      <c r="D100">
        <f>HYPERLINK("http://comp.fnguide.com/SVO2/ASP/SVD_Consensus.asp?pGB=1&amp;gicode=A103140&amp;cID=&amp;MenuYn=Y&amp;ReportGB=&amp;NewMenuID=108&amp;stkGb=701", "풍산")</f>
        <v>0</v>
      </c>
      <c r="E100">
        <v>3</v>
      </c>
      <c r="F100">
        <v>43550</v>
      </c>
      <c r="G100">
        <v>0.31</v>
      </c>
      <c r="H100">
        <v>10.89</v>
      </c>
      <c r="I100">
        <v>23471</v>
      </c>
      <c r="J100">
        <v>40156</v>
      </c>
      <c r="K100">
        <v>45016</v>
      </c>
      <c r="L100">
        <v>46.11</v>
      </c>
      <c r="M100">
        <v>7.79</v>
      </c>
      <c r="N100">
        <v>-3.37</v>
      </c>
      <c r="O100">
        <v>3.74</v>
      </c>
      <c r="P100" t="b">
        <v>1</v>
      </c>
      <c r="Q100">
        <v>2</v>
      </c>
      <c r="R100">
        <v>2565</v>
      </c>
      <c r="S100">
        <v>5430</v>
      </c>
      <c r="T100">
        <v>111.7</v>
      </c>
      <c r="U100" t="s">
        <v>1492</v>
      </c>
      <c r="V100" t="s">
        <v>2171</v>
      </c>
      <c r="W100">
        <v>34.84312429476027</v>
      </c>
      <c r="X100">
        <v>308.1</v>
      </c>
      <c r="Y100" t="s">
        <v>2844</v>
      </c>
      <c r="Z100">
        <v>6.86538620706505</v>
      </c>
      <c r="AA100">
        <v>12205</v>
      </c>
      <c r="AB100">
        <v>1039452</v>
      </c>
      <c r="AC100" t="s">
        <v>3476</v>
      </c>
      <c r="AD100">
        <v>38.01</v>
      </c>
      <c r="AE100" t="s">
        <v>4155</v>
      </c>
      <c r="AF100" t="s">
        <v>4829</v>
      </c>
      <c r="AG100">
        <v>25936</v>
      </c>
      <c r="AH100">
        <v>1212</v>
      </c>
      <c r="AI100">
        <v>11707</v>
      </c>
      <c r="AJ100">
        <v>2.15</v>
      </c>
    </row>
    <row r="101" spans="1:36">
      <c r="A101" s="1" t="s">
        <v>135</v>
      </c>
      <c r="B101" t="s">
        <v>814</v>
      </c>
      <c r="C101">
        <f>HYPERLINK("https://finance.naver.com/item/coinfo.nhn?code=005810", "A005810")</f>
        <v>0</v>
      </c>
      <c r="D101">
        <f>HYPERLINK("http://comp.fnguide.com/SVO2/ASP/SVD_Consensus.asp?pGB=1&amp;gicode=A005810&amp;cID=&amp;MenuYn=Y&amp;ReportGB=&amp;NewMenuID=108&amp;stkGb=701", "풍산홀딩스")</f>
        <v>0</v>
      </c>
      <c r="E101">
        <v>3</v>
      </c>
      <c r="F101">
        <v>29100</v>
      </c>
      <c r="G101">
        <v>0</v>
      </c>
      <c r="H101">
        <v>16.28</v>
      </c>
      <c r="I101">
        <v>28337</v>
      </c>
      <c r="J101">
        <v>58590</v>
      </c>
      <c r="K101">
        <v>67402</v>
      </c>
      <c r="L101">
        <v>2.62</v>
      </c>
      <c r="M101">
        <v>-101.34</v>
      </c>
      <c r="N101">
        <v>-131.62</v>
      </c>
      <c r="O101">
        <v>2.94</v>
      </c>
      <c r="P101" t="b">
        <v>0</v>
      </c>
      <c r="Q101">
        <v>0</v>
      </c>
      <c r="R101">
        <v>1205</v>
      </c>
      <c r="U101" t="s">
        <v>1493</v>
      </c>
      <c r="V101" t="s">
        <v>2172</v>
      </c>
      <c r="W101">
        <v>0</v>
      </c>
      <c r="X101">
        <v>-42.8</v>
      </c>
      <c r="Y101" t="s">
        <v>2845</v>
      </c>
      <c r="Z101">
        <v>-17.37564037573019</v>
      </c>
      <c r="AA101">
        <v>3029</v>
      </c>
      <c r="AB101">
        <v>84221</v>
      </c>
      <c r="AC101" t="s">
        <v>3477</v>
      </c>
      <c r="AD101">
        <v>44.97</v>
      </c>
      <c r="AE101" t="s">
        <v>4156</v>
      </c>
      <c r="AF101" t="s">
        <v>4830</v>
      </c>
      <c r="AG101">
        <v>2659</v>
      </c>
      <c r="AH101">
        <v>94</v>
      </c>
      <c r="AI101">
        <v>1343222</v>
      </c>
      <c r="AJ101">
        <v>4.22</v>
      </c>
    </row>
    <row r="102" spans="1:36">
      <c r="A102" s="1" t="s">
        <v>136</v>
      </c>
      <c r="B102" t="s">
        <v>815</v>
      </c>
      <c r="C102">
        <f>HYPERLINK("https://finance.naver.com/item/coinfo.nhn?code=086790", "A086790")</f>
        <v>0</v>
      </c>
      <c r="D102">
        <f>HYPERLINK("http://comp.fnguide.com/SVO2/ASP/SVD_Consensus.asp?pGB=1&amp;gicode=A086790&amp;cID=&amp;MenuYn=Y&amp;ReportGB=&amp;NewMenuID=108&amp;stkGb=701", "하나금융지주")</f>
        <v>0</v>
      </c>
      <c r="E102">
        <v>3</v>
      </c>
      <c r="F102">
        <v>45900</v>
      </c>
      <c r="G102">
        <v>0.39</v>
      </c>
      <c r="H102">
        <v>3.93</v>
      </c>
      <c r="I102">
        <v>113842</v>
      </c>
      <c r="J102">
        <v>108793</v>
      </c>
      <c r="K102">
        <v>107322</v>
      </c>
      <c r="L102">
        <v>-148.02</v>
      </c>
      <c r="M102">
        <v>-137.02</v>
      </c>
      <c r="N102">
        <v>-133.82</v>
      </c>
      <c r="O102">
        <v>8.880000000000001</v>
      </c>
      <c r="P102" t="b">
        <v>1</v>
      </c>
      <c r="Q102">
        <v>3</v>
      </c>
      <c r="R102">
        <v>8784</v>
      </c>
      <c r="S102">
        <v>9976</v>
      </c>
      <c r="T102">
        <v>13.6</v>
      </c>
      <c r="U102" t="s">
        <v>1494</v>
      </c>
      <c r="V102" t="s">
        <v>2173</v>
      </c>
      <c r="W102">
        <v>10.19833485076749</v>
      </c>
      <c r="X102">
        <v>1.9</v>
      </c>
      <c r="Y102" t="s">
        <v>2846</v>
      </c>
      <c r="Z102">
        <v>2.039949048775269</v>
      </c>
      <c r="AA102">
        <v>137811</v>
      </c>
      <c r="AB102">
        <v>995440</v>
      </c>
      <c r="AC102" t="s">
        <v>3478</v>
      </c>
      <c r="AD102">
        <v>9.880000000000001</v>
      </c>
      <c r="AE102" t="s">
        <v>4157</v>
      </c>
      <c r="AF102" t="s">
        <v>4831</v>
      </c>
      <c r="AG102">
        <v>100796</v>
      </c>
      <c r="AH102">
        <v>38364</v>
      </c>
      <c r="AI102">
        <v>8678586</v>
      </c>
      <c r="AJ102">
        <v>5.36</v>
      </c>
    </row>
    <row r="103" spans="1:36">
      <c r="A103" s="1" t="s">
        <v>137</v>
      </c>
      <c r="B103" t="s">
        <v>816</v>
      </c>
      <c r="C103">
        <f>HYPERLINK("https://finance.naver.com/item/coinfo.nhn?code=071090", "A071090")</f>
        <v>0</v>
      </c>
      <c r="D103">
        <f>HYPERLINK("http://comp.fnguide.com/SVO2/ASP/SVD_Consensus.asp?pGB=1&amp;gicode=A071090&amp;cID=&amp;MenuYn=Y&amp;ReportGB=&amp;NewMenuID=108&amp;stkGb=701", "하이스틸")</f>
        <v>0</v>
      </c>
      <c r="E103">
        <v>3</v>
      </c>
      <c r="F103">
        <v>3790</v>
      </c>
      <c r="G103">
        <v>0</v>
      </c>
      <c r="I103">
        <v>5</v>
      </c>
      <c r="J103">
        <v>3746</v>
      </c>
      <c r="K103">
        <v>4835</v>
      </c>
      <c r="L103">
        <v>99.87</v>
      </c>
      <c r="M103">
        <v>1.17</v>
      </c>
      <c r="N103">
        <v>-27.58</v>
      </c>
      <c r="O103">
        <v>0.01</v>
      </c>
      <c r="P103" t="b">
        <v>0</v>
      </c>
      <c r="Q103">
        <v>0</v>
      </c>
      <c r="R103">
        <v>-63</v>
      </c>
      <c r="U103" t="s">
        <v>1495</v>
      </c>
      <c r="V103" t="s">
        <v>2174</v>
      </c>
      <c r="W103">
        <v>0</v>
      </c>
      <c r="X103">
        <v>0</v>
      </c>
      <c r="Y103" t="s">
        <v>2847</v>
      </c>
      <c r="Z103">
        <v>114.7</v>
      </c>
      <c r="AA103">
        <v>758</v>
      </c>
      <c r="AB103">
        <v>1320468</v>
      </c>
      <c r="AC103" t="s">
        <v>3479</v>
      </c>
      <c r="AD103">
        <v>53.05</v>
      </c>
      <c r="AE103" t="s">
        <v>4158</v>
      </c>
      <c r="AF103" t="s">
        <v>4832</v>
      </c>
      <c r="AG103">
        <v>1617</v>
      </c>
      <c r="AH103">
        <v>3</v>
      </c>
      <c r="AI103">
        <v>7920</v>
      </c>
      <c r="AJ103">
        <v>0.52</v>
      </c>
    </row>
    <row r="104" spans="1:36">
      <c r="A104" s="1" t="s">
        <v>138</v>
      </c>
      <c r="B104" t="s">
        <v>817</v>
      </c>
      <c r="C104">
        <f>HYPERLINK("https://finance.naver.com/item/coinfo.nhn?code=000140", "A000140")</f>
        <v>0</v>
      </c>
      <c r="D104">
        <f>HYPERLINK("http://comp.fnguide.com/SVO2/ASP/SVD_Consensus.asp?pGB=1&amp;gicode=A000140&amp;cID=&amp;MenuYn=Y&amp;ReportGB=&amp;NewMenuID=108&amp;stkGb=701", "하이트진로홀딩스")</f>
        <v>0</v>
      </c>
      <c r="E104">
        <v>3</v>
      </c>
      <c r="F104">
        <v>17500</v>
      </c>
      <c r="G104">
        <v>0</v>
      </c>
      <c r="H104">
        <v>5.53</v>
      </c>
      <c r="I104">
        <v>19492</v>
      </c>
      <c r="J104">
        <v>21618</v>
      </c>
      <c r="K104">
        <v>22237</v>
      </c>
      <c r="L104">
        <v>-11.38</v>
      </c>
      <c r="M104">
        <v>-23.53</v>
      </c>
      <c r="N104">
        <v>-27.07</v>
      </c>
      <c r="O104">
        <v>6.95</v>
      </c>
      <c r="P104" t="b">
        <v>1</v>
      </c>
      <c r="Q104">
        <v>0</v>
      </c>
      <c r="R104">
        <v>2722</v>
      </c>
      <c r="U104" t="s">
        <v>1496</v>
      </c>
      <c r="V104" t="s">
        <v>2175</v>
      </c>
      <c r="W104">
        <v>0</v>
      </c>
      <c r="X104">
        <v>0</v>
      </c>
      <c r="Y104" t="s">
        <v>2848</v>
      </c>
      <c r="Z104">
        <v>52.09999999999999</v>
      </c>
      <c r="AA104">
        <v>4061</v>
      </c>
      <c r="AB104">
        <v>90300</v>
      </c>
      <c r="AC104" t="s">
        <v>3480</v>
      </c>
      <c r="AD104">
        <v>65.91</v>
      </c>
      <c r="AE104" t="s">
        <v>4159</v>
      </c>
      <c r="AF104" t="s">
        <v>4833</v>
      </c>
      <c r="AG104">
        <v>22470</v>
      </c>
      <c r="AH104">
        <v>2105</v>
      </c>
      <c r="AI104">
        <v>1841887</v>
      </c>
      <c r="AJ104">
        <v>2.66</v>
      </c>
    </row>
    <row r="105" spans="1:36">
      <c r="A105" s="1" t="s">
        <v>139</v>
      </c>
      <c r="B105" t="s">
        <v>818</v>
      </c>
      <c r="C105">
        <f>HYPERLINK("https://finance.naver.com/item/coinfo.nhn?code=036460", "A036460")</f>
        <v>0</v>
      </c>
      <c r="D105">
        <f>HYPERLINK("http://comp.fnguide.com/SVO2/ASP/SVD_Consensus.asp?pGB=1&amp;gicode=A036460&amp;cID=&amp;MenuYn=Y&amp;ReportGB=&amp;NewMenuID=108&amp;stkGb=701", "한국가스공사")</f>
        <v>0</v>
      </c>
      <c r="E105">
        <v>3</v>
      </c>
      <c r="F105">
        <v>32150</v>
      </c>
      <c r="I105">
        <v>12937</v>
      </c>
      <c r="J105">
        <v>57025</v>
      </c>
      <c r="K105">
        <v>69867</v>
      </c>
      <c r="L105">
        <v>59.76</v>
      </c>
      <c r="M105">
        <v>-77.37</v>
      </c>
      <c r="N105">
        <v>-117.32</v>
      </c>
      <c r="O105">
        <v>1.22</v>
      </c>
      <c r="P105" t="b">
        <v>0</v>
      </c>
      <c r="Q105">
        <v>1</v>
      </c>
      <c r="R105">
        <v>-1864</v>
      </c>
      <c r="S105">
        <v>3851</v>
      </c>
      <c r="T105">
        <v>-306.6</v>
      </c>
      <c r="U105" t="s">
        <v>1497</v>
      </c>
      <c r="V105" t="s">
        <v>2176</v>
      </c>
      <c r="W105">
        <v>-11.34353667953868</v>
      </c>
      <c r="X105">
        <v>0</v>
      </c>
      <c r="Y105" t="s">
        <v>2849</v>
      </c>
      <c r="Z105">
        <v>-92.40000000000001</v>
      </c>
      <c r="AA105">
        <v>29679</v>
      </c>
      <c r="AB105">
        <v>383722</v>
      </c>
      <c r="AC105" t="s">
        <v>3481</v>
      </c>
      <c r="AD105">
        <v>46.63</v>
      </c>
      <c r="AE105" t="s">
        <v>4160</v>
      </c>
      <c r="AF105" t="s">
        <v>4834</v>
      </c>
      <c r="AG105">
        <v>208337</v>
      </c>
      <c r="AH105">
        <v>8989</v>
      </c>
      <c r="AI105">
        <v>6486050</v>
      </c>
    </row>
    <row r="106" spans="1:36">
      <c r="A106" s="1" t="s">
        <v>140</v>
      </c>
      <c r="B106" t="s">
        <v>819</v>
      </c>
      <c r="C106">
        <f>HYPERLINK("https://finance.naver.com/item/coinfo.nhn?code=005430", "A005430")</f>
        <v>0</v>
      </c>
      <c r="D106">
        <f>HYPERLINK("http://comp.fnguide.com/SVO2/ASP/SVD_Consensus.asp?pGB=1&amp;gicode=A005430&amp;cID=&amp;MenuYn=Y&amp;ReportGB=&amp;NewMenuID=108&amp;stkGb=701", "한국공항")</f>
        <v>0</v>
      </c>
      <c r="E106">
        <v>3</v>
      </c>
      <c r="F106">
        <v>43350</v>
      </c>
      <c r="G106">
        <v>0</v>
      </c>
      <c r="I106">
        <v>29033</v>
      </c>
      <c r="J106">
        <v>64712</v>
      </c>
      <c r="K106">
        <v>75105</v>
      </c>
      <c r="L106">
        <v>33.03</v>
      </c>
      <c r="M106">
        <v>-49.28</v>
      </c>
      <c r="N106">
        <v>-73.25</v>
      </c>
      <c r="O106">
        <v>2.68</v>
      </c>
      <c r="P106" t="b">
        <v>0</v>
      </c>
      <c r="Q106">
        <v>0</v>
      </c>
      <c r="R106">
        <v>-14989</v>
      </c>
      <c r="U106" t="s">
        <v>1498</v>
      </c>
      <c r="V106" t="s">
        <v>2177</v>
      </c>
      <c r="W106">
        <v>0</v>
      </c>
      <c r="X106">
        <v>0</v>
      </c>
      <c r="Y106" t="s">
        <v>2850</v>
      </c>
      <c r="Z106">
        <v>16.48745605082775</v>
      </c>
      <c r="AA106">
        <v>1373</v>
      </c>
      <c r="AB106">
        <v>24782</v>
      </c>
      <c r="AC106" t="s">
        <v>3482</v>
      </c>
      <c r="AD106">
        <v>59.54</v>
      </c>
      <c r="AE106" t="s">
        <v>4161</v>
      </c>
      <c r="AF106" t="s">
        <v>4835</v>
      </c>
      <c r="AG106">
        <v>2989</v>
      </c>
      <c r="AH106">
        <v>-490</v>
      </c>
      <c r="AI106">
        <v>108105</v>
      </c>
    </row>
    <row r="107" spans="1:36">
      <c r="A107" s="1" t="s">
        <v>141</v>
      </c>
      <c r="B107" t="s">
        <v>820</v>
      </c>
      <c r="C107">
        <f>HYPERLINK("https://finance.naver.com/item/coinfo.nhn?code=071050", "A071050")</f>
        <v>0</v>
      </c>
      <c r="D107">
        <f>HYPERLINK("http://comp.fnguide.com/SVO2/ASP/SVD_Consensus.asp?pGB=1&amp;gicode=A071050&amp;cID=&amp;MenuYn=Y&amp;ReportGB=&amp;NewMenuID=108&amp;stkGb=701", "한국금융지주")</f>
        <v>0</v>
      </c>
      <c r="E107">
        <v>3</v>
      </c>
      <c r="F107">
        <v>106000</v>
      </c>
      <c r="G107">
        <v>0.21</v>
      </c>
      <c r="H107">
        <v>5.63</v>
      </c>
      <c r="I107">
        <v>211543</v>
      </c>
      <c r="J107">
        <v>149097</v>
      </c>
      <c r="K107">
        <v>130907</v>
      </c>
      <c r="L107">
        <v>-99.56999999999999</v>
      </c>
      <c r="M107">
        <v>-40.66</v>
      </c>
      <c r="N107">
        <v>-23.5</v>
      </c>
      <c r="O107">
        <v>16.34</v>
      </c>
      <c r="P107" t="b">
        <v>1</v>
      </c>
      <c r="Q107">
        <v>3</v>
      </c>
      <c r="R107">
        <v>14021</v>
      </c>
      <c r="S107">
        <v>17621</v>
      </c>
      <c r="T107">
        <v>25.7</v>
      </c>
      <c r="U107" t="s">
        <v>1499</v>
      </c>
      <c r="V107" t="s">
        <v>2178</v>
      </c>
      <c r="W107">
        <v>27.03976649582631</v>
      </c>
      <c r="X107">
        <v>-0.8</v>
      </c>
      <c r="Y107" t="s">
        <v>2851</v>
      </c>
      <c r="Z107">
        <v>1.677096307241732</v>
      </c>
      <c r="AA107">
        <v>59070</v>
      </c>
      <c r="AB107">
        <v>357950</v>
      </c>
      <c r="AC107" t="s">
        <v>3483</v>
      </c>
      <c r="AD107">
        <v>20.7</v>
      </c>
      <c r="AE107" t="s">
        <v>4162</v>
      </c>
      <c r="AF107" t="s">
        <v>4836</v>
      </c>
      <c r="AG107">
        <v>15708</v>
      </c>
      <c r="AH107">
        <v>8564</v>
      </c>
      <c r="AI107">
        <v>2987479</v>
      </c>
      <c r="AJ107">
        <v>3.8</v>
      </c>
    </row>
    <row r="108" spans="1:36">
      <c r="A108" s="1" t="s">
        <v>142</v>
      </c>
      <c r="B108" t="s">
        <v>821</v>
      </c>
      <c r="C108">
        <f>HYPERLINK("https://finance.naver.com/item/coinfo.nhn?code=002200", "A002200")</f>
        <v>0</v>
      </c>
      <c r="D108">
        <f>HYPERLINK("http://comp.fnguide.com/SVO2/ASP/SVD_Consensus.asp?pGB=1&amp;gicode=A002200&amp;cID=&amp;MenuYn=Y&amp;ReportGB=&amp;NewMenuID=108&amp;stkGb=701", "한국수출포장")</f>
        <v>0</v>
      </c>
      <c r="E108">
        <v>3</v>
      </c>
      <c r="F108">
        <v>26200</v>
      </c>
      <c r="G108">
        <v>0</v>
      </c>
      <c r="H108">
        <v>10.58</v>
      </c>
      <c r="I108">
        <v>43811</v>
      </c>
      <c r="J108">
        <v>56989</v>
      </c>
      <c r="K108">
        <v>60828</v>
      </c>
      <c r="L108">
        <v>-67.22</v>
      </c>
      <c r="M108">
        <v>-117.52</v>
      </c>
      <c r="N108">
        <v>-132.17</v>
      </c>
      <c r="O108">
        <v>5.46</v>
      </c>
      <c r="P108" t="b">
        <v>1</v>
      </c>
      <c r="Q108">
        <v>0</v>
      </c>
      <c r="R108">
        <v>2088</v>
      </c>
      <c r="U108" t="s">
        <v>1500</v>
      </c>
      <c r="V108" t="s">
        <v>2179</v>
      </c>
      <c r="W108">
        <v>0</v>
      </c>
      <c r="X108">
        <v>-53.6</v>
      </c>
      <c r="Y108" t="s">
        <v>2852</v>
      </c>
      <c r="Z108">
        <v>-30.46669862576638</v>
      </c>
      <c r="AA108">
        <v>1048</v>
      </c>
      <c r="AB108">
        <v>17554</v>
      </c>
      <c r="AC108" t="s">
        <v>3484</v>
      </c>
      <c r="AD108">
        <v>45.56</v>
      </c>
      <c r="AE108" t="s">
        <v>4163</v>
      </c>
      <c r="AF108" t="s">
        <v>4837</v>
      </c>
      <c r="AG108">
        <v>2648</v>
      </c>
      <c r="AH108">
        <v>109</v>
      </c>
      <c r="AI108">
        <v>172600</v>
      </c>
      <c r="AJ108">
        <v>2.71</v>
      </c>
    </row>
    <row r="109" spans="1:36">
      <c r="A109" s="1" t="s">
        <v>143</v>
      </c>
      <c r="B109" t="s">
        <v>822</v>
      </c>
      <c r="C109">
        <f>HYPERLINK("https://finance.naver.com/item/coinfo.nhn?code=000240", "A000240")</f>
        <v>0</v>
      </c>
      <c r="D109">
        <f>HYPERLINK("http://comp.fnguide.com/SVO2/ASP/SVD_Consensus.asp?pGB=1&amp;gicode=A000240&amp;cID=&amp;MenuYn=Y&amp;ReportGB=&amp;NewMenuID=108&amp;stkGb=701", "한국앤컴퍼니")</f>
        <v>0</v>
      </c>
      <c r="E109">
        <v>3</v>
      </c>
      <c r="F109">
        <v>18800</v>
      </c>
      <c r="G109">
        <v>-2.71</v>
      </c>
      <c r="H109">
        <v>8.039999999999999</v>
      </c>
      <c r="I109">
        <v>22737</v>
      </c>
      <c r="J109">
        <v>30437</v>
      </c>
      <c r="K109">
        <v>32681</v>
      </c>
      <c r="L109">
        <v>-20.94</v>
      </c>
      <c r="M109">
        <v>-61.9</v>
      </c>
      <c r="N109">
        <v>-73.83</v>
      </c>
      <c r="O109">
        <v>5.24</v>
      </c>
      <c r="P109" t="b">
        <v>0</v>
      </c>
      <c r="Q109">
        <v>2</v>
      </c>
      <c r="R109">
        <v>1822</v>
      </c>
      <c r="S109">
        <v>2033</v>
      </c>
      <c r="T109">
        <v>11.6</v>
      </c>
      <c r="U109" t="s">
        <v>1501</v>
      </c>
      <c r="V109" t="s">
        <v>2180</v>
      </c>
      <c r="W109">
        <v>-2.963930231556045</v>
      </c>
      <c r="X109">
        <v>12</v>
      </c>
      <c r="Y109" t="s">
        <v>2853</v>
      </c>
      <c r="Z109">
        <v>-0.3882915195786651</v>
      </c>
      <c r="AA109">
        <v>17848</v>
      </c>
      <c r="AB109">
        <v>235950</v>
      </c>
      <c r="AC109" t="s">
        <v>3485</v>
      </c>
      <c r="AD109">
        <v>72.43000000000001</v>
      </c>
      <c r="AE109" t="s">
        <v>4164</v>
      </c>
      <c r="AF109" t="s">
        <v>4838</v>
      </c>
      <c r="AG109">
        <v>8209</v>
      </c>
      <c r="AH109">
        <v>1565</v>
      </c>
      <c r="AI109">
        <v>1190</v>
      </c>
      <c r="AJ109">
        <v>3.41</v>
      </c>
    </row>
    <row r="110" spans="1:36">
      <c r="A110" s="1" t="s">
        <v>144</v>
      </c>
      <c r="B110" t="s">
        <v>823</v>
      </c>
      <c r="C110">
        <f>HYPERLINK("https://finance.naver.com/item/coinfo.nhn?code=123890", "A123890")</f>
        <v>0</v>
      </c>
      <c r="D110">
        <f>HYPERLINK("http://comp.fnguide.com/SVO2/ASP/SVD_Consensus.asp?pGB=1&amp;gicode=A123890&amp;cID=&amp;MenuYn=Y&amp;ReportGB=&amp;NewMenuID=108&amp;stkGb=701", "한국자산신탁")</f>
        <v>0</v>
      </c>
      <c r="E110">
        <v>3</v>
      </c>
      <c r="F110">
        <v>4975</v>
      </c>
      <c r="G110">
        <v>0.73</v>
      </c>
      <c r="H110">
        <v>3.76</v>
      </c>
      <c r="I110">
        <v>12914</v>
      </c>
      <c r="J110">
        <v>8976</v>
      </c>
      <c r="K110">
        <v>7829</v>
      </c>
      <c r="L110">
        <v>-159.57</v>
      </c>
      <c r="M110">
        <v>-80.41</v>
      </c>
      <c r="N110">
        <v>-57.36</v>
      </c>
      <c r="O110">
        <v>16.89</v>
      </c>
      <c r="P110" t="b">
        <v>1</v>
      </c>
      <c r="Q110">
        <v>0</v>
      </c>
      <c r="R110">
        <v>1049</v>
      </c>
      <c r="S110">
        <v>960</v>
      </c>
      <c r="T110">
        <v>-8.5</v>
      </c>
      <c r="U110" t="s">
        <v>1502</v>
      </c>
      <c r="V110" t="s">
        <v>2181</v>
      </c>
      <c r="W110">
        <v>5.137893658647141</v>
      </c>
      <c r="Y110" t="s">
        <v>2823</v>
      </c>
      <c r="Z110">
        <v>-0.3882915195786651</v>
      </c>
      <c r="AA110">
        <v>6168</v>
      </c>
      <c r="AB110">
        <v>690364</v>
      </c>
      <c r="AC110" t="s">
        <v>3486</v>
      </c>
      <c r="AD110">
        <v>53.62</v>
      </c>
      <c r="AE110" t="s">
        <v>4165</v>
      </c>
      <c r="AF110" t="s">
        <v>4839</v>
      </c>
      <c r="AG110">
        <v>2401</v>
      </c>
      <c r="AH110">
        <v>1787</v>
      </c>
      <c r="AI110">
        <v>1610697</v>
      </c>
      <c r="AJ110">
        <v>5.58</v>
      </c>
    </row>
    <row r="111" spans="1:36">
      <c r="A111" s="1" t="s">
        <v>145</v>
      </c>
      <c r="B111" t="s">
        <v>824</v>
      </c>
      <c r="C111">
        <f>HYPERLINK("https://finance.naver.com/item/coinfo.nhn?code=015760", "A015760")</f>
        <v>0</v>
      </c>
      <c r="D111">
        <f>HYPERLINK("http://comp.fnguide.com/SVO2/ASP/SVD_Consensus.asp?pGB=1&amp;gicode=A015760&amp;cID=&amp;MenuYn=Y&amp;ReportGB=&amp;NewMenuID=108&amp;stkGb=701", "한국전력")</f>
        <v>0</v>
      </c>
      <c r="E111">
        <v>3</v>
      </c>
      <c r="F111">
        <v>23900</v>
      </c>
      <c r="G111">
        <v>0</v>
      </c>
      <c r="H111">
        <v>8.83</v>
      </c>
      <c r="I111">
        <v>19107</v>
      </c>
      <c r="J111">
        <v>71873</v>
      </c>
      <c r="K111">
        <v>87243</v>
      </c>
      <c r="L111">
        <v>20.05</v>
      </c>
      <c r="M111">
        <v>-200.73</v>
      </c>
      <c r="N111">
        <v>-265.03</v>
      </c>
      <c r="O111">
        <v>1.46</v>
      </c>
      <c r="P111" t="b">
        <v>1</v>
      </c>
      <c r="Q111">
        <v>0</v>
      </c>
      <c r="R111">
        <v>3102</v>
      </c>
      <c r="S111">
        <v>311</v>
      </c>
      <c r="T111">
        <v>-90</v>
      </c>
      <c r="U111" t="s">
        <v>1503</v>
      </c>
      <c r="V111" t="s">
        <v>2182</v>
      </c>
      <c r="W111">
        <v>0</v>
      </c>
      <c r="X111">
        <v>0</v>
      </c>
      <c r="Y111" t="s">
        <v>2854</v>
      </c>
      <c r="Z111">
        <v>-68.77180760914906</v>
      </c>
      <c r="AA111">
        <v>153429</v>
      </c>
      <c r="AB111">
        <v>2631245</v>
      </c>
      <c r="AC111" t="s">
        <v>3487</v>
      </c>
      <c r="AD111">
        <v>51.14</v>
      </c>
      <c r="AE111" t="s">
        <v>4166</v>
      </c>
      <c r="AF111" t="s">
        <v>4840</v>
      </c>
      <c r="AG111">
        <v>585693</v>
      </c>
      <c r="AH111">
        <v>40863</v>
      </c>
      <c r="AJ111">
        <v>4.44</v>
      </c>
    </row>
    <row r="112" spans="1:36">
      <c r="A112" s="1" t="s">
        <v>146</v>
      </c>
      <c r="B112" t="s">
        <v>825</v>
      </c>
      <c r="C112">
        <f>HYPERLINK("https://finance.naver.com/item/coinfo.nhn?code=006200", "A006200")</f>
        <v>0</v>
      </c>
      <c r="D112">
        <f>HYPERLINK("http://comp.fnguide.com/SVO2/ASP/SVD_Consensus.asp?pGB=1&amp;gicode=A006200&amp;cID=&amp;MenuYn=Y&amp;ReportGB=&amp;NewMenuID=108&amp;stkGb=701", "한국전자홀딩스")</f>
        <v>0</v>
      </c>
      <c r="E112">
        <v>3</v>
      </c>
      <c r="F112">
        <v>1260</v>
      </c>
      <c r="G112">
        <v>0</v>
      </c>
      <c r="I112">
        <v>0</v>
      </c>
      <c r="J112">
        <v>1375</v>
      </c>
      <c r="K112">
        <v>1775</v>
      </c>
      <c r="L112">
        <v>100</v>
      </c>
      <c r="M112">
        <v>-9.1</v>
      </c>
      <c r="N112">
        <v>-40.88</v>
      </c>
      <c r="O112">
        <v>0</v>
      </c>
      <c r="P112" t="b">
        <v>0</v>
      </c>
      <c r="Q112">
        <v>0</v>
      </c>
      <c r="R112">
        <v>-120</v>
      </c>
      <c r="U112" t="s">
        <v>1504</v>
      </c>
      <c r="V112" t="s">
        <v>2183</v>
      </c>
      <c r="W112">
        <v>0</v>
      </c>
      <c r="X112">
        <v>0</v>
      </c>
      <c r="Y112" t="s">
        <v>2762</v>
      </c>
      <c r="Z112">
        <v>0</v>
      </c>
      <c r="AA112">
        <v>590</v>
      </c>
      <c r="AB112">
        <v>564126</v>
      </c>
      <c r="AC112" t="s">
        <v>3488</v>
      </c>
      <c r="AD112">
        <v>39.14</v>
      </c>
      <c r="AE112" t="s">
        <v>4167</v>
      </c>
      <c r="AF112" t="s">
        <v>4741</v>
      </c>
      <c r="AG112">
        <v>2215</v>
      </c>
      <c r="AH112">
        <v>-2</v>
      </c>
      <c r="AI112">
        <v>2947249</v>
      </c>
    </row>
    <row r="113" spans="1:36">
      <c r="A113" s="1" t="s">
        <v>147</v>
      </c>
      <c r="B113" t="s">
        <v>826</v>
      </c>
      <c r="C113">
        <f>HYPERLINK("https://finance.naver.com/item/coinfo.nhn?code=023350", "A023350")</f>
        <v>0</v>
      </c>
      <c r="D113">
        <f>HYPERLINK("http://comp.fnguide.com/SVO2/ASP/SVD_Consensus.asp?pGB=1&amp;gicode=A023350&amp;cID=&amp;MenuYn=Y&amp;ReportGB=&amp;NewMenuID=108&amp;stkGb=701", "한국종합기술")</f>
        <v>0</v>
      </c>
      <c r="E113">
        <v>3</v>
      </c>
      <c r="F113">
        <v>8850</v>
      </c>
      <c r="G113">
        <v>0</v>
      </c>
      <c r="H113">
        <v>8.33</v>
      </c>
      <c r="I113">
        <v>4116</v>
      </c>
      <c r="J113">
        <v>9521</v>
      </c>
      <c r="K113">
        <v>11096</v>
      </c>
      <c r="L113">
        <v>53.49</v>
      </c>
      <c r="M113">
        <v>-7.58</v>
      </c>
      <c r="N113">
        <v>-25.37</v>
      </c>
      <c r="O113">
        <v>2.56</v>
      </c>
      <c r="P113" t="b">
        <v>1</v>
      </c>
      <c r="Q113">
        <v>0</v>
      </c>
      <c r="R113">
        <v>591</v>
      </c>
      <c r="U113" t="s">
        <v>1505</v>
      </c>
      <c r="V113" t="s">
        <v>2184</v>
      </c>
      <c r="W113">
        <v>0</v>
      </c>
      <c r="X113">
        <v>0</v>
      </c>
      <c r="Y113" t="s">
        <v>2855</v>
      </c>
      <c r="Z113">
        <v>159.4</v>
      </c>
      <c r="AA113">
        <v>969</v>
      </c>
      <c r="AB113">
        <v>563699</v>
      </c>
      <c r="AC113" t="s">
        <v>3489</v>
      </c>
      <c r="AD113">
        <v>53.63</v>
      </c>
      <c r="AE113" t="s">
        <v>4168</v>
      </c>
      <c r="AF113" t="s">
        <v>4841</v>
      </c>
      <c r="AG113">
        <v>2882</v>
      </c>
      <c r="AH113">
        <v>46</v>
      </c>
      <c r="AI113">
        <v>546085</v>
      </c>
      <c r="AJ113">
        <v>2.03</v>
      </c>
    </row>
    <row r="114" spans="1:36">
      <c r="A114" s="1" t="s">
        <v>148</v>
      </c>
      <c r="B114" t="s">
        <v>827</v>
      </c>
      <c r="C114">
        <f>HYPERLINK("https://finance.naver.com/item/coinfo.nhn?code=027410", "A027410")</f>
        <v>0</v>
      </c>
      <c r="D114">
        <f>HYPERLINK("http://comp.fnguide.com/SVO2/ASP/SVD_Consensus.asp?pGB=1&amp;gicode=A027410&amp;cID=&amp;MenuYn=Y&amp;ReportGB=&amp;NewMenuID=108&amp;stkGb=701", "BGF")</f>
        <v>0</v>
      </c>
      <c r="E114">
        <v>3</v>
      </c>
      <c r="F114">
        <v>6930</v>
      </c>
      <c r="G114">
        <v>-1.99</v>
      </c>
      <c r="H114">
        <v>17.2</v>
      </c>
      <c r="I114">
        <v>4301</v>
      </c>
      <c r="J114">
        <v>11120</v>
      </c>
      <c r="K114">
        <v>13107</v>
      </c>
      <c r="L114">
        <v>37.94</v>
      </c>
      <c r="M114">
        <v>-60.47</v>
      </c>
      <c r="N114">
        <v>-89.13</v>
      </c>
      <c r="O114">
        <v>2.24</v>
      </c>
      <c r="P114" t="b">
        <v>0</v>
      </c>
      <c r="Q114">
        <v>2</v>
      </c>
      <c r="R114">
        <v>285</v>
      </c>
      <c r="S114">
        <v>439</v>
      </c>
      <c r="T114">
        <v>54</v>
      </c>
      <c r="U114" t="s">
        <v>1506</v>
      </c>
      <c r="V114" t="s">
        <v>2185</v>
      </c>
      <c r="W114">
        <v>-8.660317157527263</v>
      </c>
      <c r="X114">
        <v>1.2</v>
      </c>
      <c r="Y114" t="s">
        <v>2856</v>
      </c>
      <c r="Z114">
        <v>-37.36030599958705</v>
      </c>
      <c r="AA114">
        <v>6633</v>
      </c>
      <c r="AB114">
        <v>231169</v>
      </c>
      <c r="AC114" t="s">
        <v>3490</v>
      </c>
      <c r="AD114">
        <v>69.7</v>
      </c>
      <c r="AE114" t="s">
        <v>4169</v>
      </c>
      <c r="AF114" t="s">
        <v>4842</v>
      </c>
      <c r="AG114">
        <v>1544</v>
      </c>
      <c r="AH114">
        <v>146</v>
      </c>
      <c r="AI114">
        <v>8024</v>
      </c>
      <c r="AJ114">
        <v>2.25</v>
      </c>
    </row>
    <row r="115" spans="1:36">
      <c r="A115" s="1" t="s">
        <v>149</v>
      </c>
      <c r="B115" t="s">
        <v>828</v>
      </c>
      <c r="C115">
        <f>HYPERLINK("https://finance.naver.com/item/coinfo.nhn?code=003480", "A003480")</f>
        <v>0</v>
      </c>
      <c r="D115">
        <f>HYPERLINK("http://comp.fnguide.com/SVO2/ASP/SVD_Consensus.asp?pGB=1&amp;gicode=A003480&amp;cID=&amp;MenuYn=Y&amp;ReportGB=&amp;NewMenuID=108&amp;stkGb=701", "한진중공업홀딩스")</f>
        <v>0</v>
      </c>
      <c r="E115">
        <v>3</v>
      </c>
      <c r="F115">
        <v>4345</v>
      </c>
      <c r="G115">
        <v>0</v>
      </c>
      <c r="I115">
        <v>5288</v>
      </c>
      <c r="J115">
        <v>9649</v>
      </c>
      <c r="K115">
        <v>10919</v>
      </c>
      <c r="L115">
        <v>-21.7</v>
      </c>
      <c r="M115">
        <v>-122.06</v>
      </c>
      <c r="N115">
        <v>-151.3</v>
      </c>
      <c r="O115">
        <v>3.44</v>
      </c>
      <c r="P115" t="b">
        <v>0</v>
      </c>
      <c r="Q115">
        <v>0</v>
      </c>
      <c r="R115">
        <v>-129</v>
      </c>
      <c r="U115" t="s">
        <v>1507</v>
      </c>
      <c r="V115" t="s">
        <v>2186</v>
      </c>
      <c r="W115">
        <v>0</v>
      </c>
      <c r="X115">
        <v>0</v>
      </c>
      <c r="Y115" t="s">
        <v>2857</v>
      </c>
      <c r="Z115">
        <v>234.8</v>
      </c>
      <c r="AA115">
        <v>1283</v>
      </c>
      <c r="AB115">
        <v>58805</v>
      </c>
      <c r="AC115" t="s">
        <v>3491</v>
      </c>
      <c r="AD115">
        <v>48.37</v>
      </c>
      <c r="AE115" t="s">
        <v>4170</v>
      </c>
      <c r="AF115" t="s">
        <v>4843</v>
      </c>
      <c r="AG115">
        <v>7952</v>
      </c>
      <c r="AH115">
        <v>504</v>
      </c>
      <c r="AI115">
        <v>3440308</v>
      </c>
    </row>
    <row r="116" spans="1:36">
      <c r="A116" s="1" t="s">
        <v>150</v>
      </c>
      <c r="B116" t="s">
        <v>829</v>
      </c>
      <c r="C116">
        <f>HYPERLINK("https://finance.naver.com/item/coinfo.nhn?code=000880", "A000880")</f>
        <v>0</v>
      </c>
      <c r="D116">
        <f>HYPERLINK("http://comp.fnguide.com/SVO2/ASP/SVD_Consensus.asp?pGB=1&amp;gicode=A000880&amp;cID=&amp;MenuYn=Y&amp;ReportGB=&amp;NewMenuID=108&amp;stkGb=701", "한화")</f>
        <v>0</v>
      </c>
      <c r="E116">
        <v>3</v>
      </c>
      <c r="F116">
        <v>31800</v>
      </c>
      <c r="G116">
        <v>-2.3</v>
      </c>
      <c r="H116">
        <v>12.96</v>
      </c>
      <c r="I116">
        <v>38978</v>
      </c>
      <c r="J116">
        <v>54823</v>
      </c>
      <c r="K116">
        <v>59438</v>
      </c>
      <c r="L116">
        <v>-22.57</v>
      </c>
      <c r="M116">
        <v>-72.40000000000001</v>
      </c>
      <c r="N116">
        <v>-86.91</v>
      </c>
      <c r="O116">
        <v>4.88</v>
      </c>
      <c r="P116" t="b">
        <v>1</v>
      </c>
      <c r="Q116">
        <v>2</v>
      </c>
      <c r="R116">
        <v>2184</v>
      </c>
      <c r="S116">
        <v>4024</v>
      </c>
      <c r="T116">
        <v>84.2</v>
      </c>
      <c r="U116" t="s">
        <v>1508</v>
      </c>
      <c r="V116" t="s">
        <v>2187</v>
      </c>
      <c r="W116">
        <v>-5.634677105281439</v>
      </c>
      <c r="X116">
        <v>137.7</v>
      </c>
      <c r="Y116" t="s">
        <v>2858</v>
      </c>
      <c r="Z116">
        <v>-22.60742632015922</v>
      </c>
      <c r="AA116">
        <v>23837</v>
      </c>
      <c r="AB116">
        <v>1721031</v>
      </c>
      <c r="AC116" t="s">
        <v>3492</v>
      </c>
      <c r="AD116">
        <v>39.11</v>
      </c>
      <c r="AE116" t="s">
        <v>4171</v>
      </c>
      <c r="AF116" t="s">
        <v>4844</v>
      </c>
      <c r="AG116">
        <v>509265</v>
      </c>
      <c r="AH116">
        <v>15820</v>
      </c>
      <c r="AI116">
        <v>6270878</v>
      </c>
      <c r="AJ116">
        <v>2.47</v>
      </c>
    </row>
    <row r="117" spans="1:36">
      <c r="A117" s="1" t="s">
        <v>151</v>
      </c>
      <c r="B117" t="s">
        <v>830</v>
      </c>
      <c r="C117">
        <f>HYPERLINK("https://finance.naver.com/item/coinfo.nhn?code=088350", "A088350")</f>
        <v>0</v>
      </c>
      <c r="D117">
        <f>HYPERLINK("http://comp.fnguide.com/SVO2/ASP/SVD_Consensus.asp?pGB=1&amp;gicode=A088350&amp;cID=&amp;MenuYn=Y&amp;ReportGB=&amp;NewMenuID=108&amp;stkGb=701", "한화생명")</f>
        <v>0</v>
      </c>
      <c r="E117">
        <v>3</v>
      </c>
      <c r="F117">
        <v>3950</v>
      </c>
      <c r="G117">
        <v>1.41</v>
      </c>
      <c r="H117">
        <v>9.01</v>
      </c>
      <c r="I117">
        <v>3934</v>
      </c>
      <c r="J117">
        <v>11610</v>
      </c>
      <c r="K117">
        <v>13846</v>
      </c>
      <c r="L117">
        <v>0.4</v>
      </c>
      <c r="M117">
        <v>-193.92</v>
      </c>
      <c r="N117">
        <v>-250.53</v>
      </c>
      <c r="O117">
        <v>1.92</v>
      </c>
      <c r="P117" t="b">
        <v>1</v>
      </c>
      <c r="Q117">
        <v>2</v>
      </c>
      <c r="R117">
        <v>271</v>
      </c>
      <c r="S117">
        <v>575</v>
      </c>
      <c r="T117">
        <v>112.2</v>
      </c>
      <c r="U117" t="s">
        <v>1509</v>
      </c>
      <c r="V117" t="s">
        <v>2188</v>
      </c>
      <c r="W117">
        <v>6.399967965015696</v>
      </c>
      <c r="X117">
        <v>1.9</v>
      </c>
      <c r="Y117" t="s">
        <v>2859</v>
      </c>
      <c r="Z117">
        <v>4.515467567099707</v>
      </c>
      <c r="AA117">
        <v>34307</v>
      </c>
      <c r="AB117">
        <v>22731381</v>
      </c>
      <c r="AC117" t="s">
        <v>3493</v>
      </c>
      <c r="AD117">
        <v>45.05</v>
      </c>
      <c r="AE117" t="s">
        <v>4172</v>
      </c>
      <c r="AF117" t="s">
        <v>4845</v>
      </c>
      <c r="AG117">
        <v>162278</v>
      </c>
      <c r="AH117">
        <v>3767</v>
      </c>
      <c r="AI117">
        <v>117139750</v>
      </c>
      <c r="AJ117">
        <v>1.23</v>
      </c>
    </row>
    <row r="118" spans="1:36">
      <c r="A118" s="1" t="s">
        <v>152</v>
      </c>
      <c r="B118" t="s">
        <v>831</v>
      </c>
      <c r="C118">
        <f>HYPERLINK("https://finance.naver.com/item/coinfo.nhn?code=001450", "A001450")</f>
        <v>0</v>
      </c>
      <c r="D118">
        <f>HYPERLINK("http://comp.fnguide.com/SVO2/ASP/SVD_Consensus.asp?pGB=1&amp;gicode=A001450&amp;cID=&amp;MenuYn=Y&amp;ReportGB=&amp;NewMenuID=108&amp;stkGb=701", "현대해상")</f>
        <v>0</v>
      </c>
      <c r="E118">
        <v>3</v>
      </c>
      <c r="F118">
        <v>24800</v>
      </c>
      <c r="G118">
        <v>-2.94</v>
      </c>
      <c r="H118">
        <v>6.13</v>
      </c>
      <c r="I118">
        <v>54887</v>
      </c>
      <c r="J118">
        <v>58680</v>
      </c>
      <c r="K118">
        <v>59785</v>
      </c>
      <c r="L118">
        <v>-121.32</v>
      </c>
      <c r="M118">
        <v>-136.61</v>
      </c>
      <c r="N118">
        <v>-141.07</v>
      </c>
      <c r="O118">
        <v>7.36</v>
      </c>
      <c r="P118" t="b">
        <v>1</v>
      </c>
      <c r="Q118">
        <v>2</v>
      </c>
      <c r="R118">
        <v>3712</v>
      </c>
      <c r="S118">
        <v>3921</v>
      </c>
      <c r="T118">
        <v>5.6</v>
      </c>
      <c r="U118" t="s">
        <v>1510</v>
      </c>
      <c r="V118" t="s">
        <v>2189</v>
      </c>
      <c r="W118">
        <v>-2.083904663582103</v>
      </c>
      <c r="X118">
        <v>7.1</v>
      </c>
      <c r="Y118" t="s">
        <v>2860</v>
      </c>
      <c r="Z118">
        <v>10.82948834554163</v>
      </c>
      <c r="AA118">
        <v>22171</v>
      </c>
      <c r="AB118">
        <v>744984</v>
      </c>
      <c r="AC118" t="s">
        <v>3494</v>
      </c>
      <c r="AD118">
        <v>22.65</v>
      </c>
      <c r="AE118" t="s">
        <v>4173</v>
      </c>
      <c r="AF118" t="s">
        <v>4846</v>
      </c>
      <c r="AG118">
        <v>143906</v>
      </c>
      <c r="AH118">
        <v>2868</v>
      </c>
      <c r="AI118">
        <v>10985500</v>
      </c>
      <c r="AJ118">
        <v>4.4</v>
      </c>
    </row>
    <row r="119" spans="1:36">
      <c r="A119" s="1" t="s">
        <v>153</v>
      </c>
      <c r="B119" t="s">
        <v>832</v>
      </c>
      <c r="C119">
        <f>HYPERLINK("https://finance.naver.com/item/coinfo.nhn?code=057050", "A057050")</f>
        <v>0</v>
      </c>
      <c r="D119">
        <f>HYPERLINK("http://comp.fnguide.com/SVO2/ASP/SVD_Consensus.asp?pGB=1&amp;gicode=A057050&amp;cID=&amp;MenuYn=Y&amp;ReportGB=&amp;NewMenuID=108&amp;stkGb=701", "현대홈쇼핑")</f>
        <v>0</v>
      </c>
      <c r="E119">
        <v>3</v>
      </c>
      <c r="F119">
        <v>93600</v>
      </c>
      <c r="G119">
        <v>-1.63</v>
      </c>
      <c r="H119">
        <v>8.68</v>
      </c>
      <c r="I119">
        <v>125920</v>
      </c>
      <c r="J119">
        <v>144396</v>
      </c>
      <c r="K119">
        <v>149778</v>
      </c>
      <c r="L119">
        <v>-34.53</v>
      </c>
      <c r="M119">
        <v>-54.27</v>
      </c>
      <c r="N119">
        <v>-60.02</v>
      </c>
      <c r="O119">
        <v>6.59</v>
      </c>
      <c r="P119" t="b">
        <v>1</v>
      </c>
      <c r="Q119">
        <v>2</v>
      </c>
      <c r="R119">
        <v>9393</v>
      </c>
      <c r="S119">
        <v>11779</v>
      </c>
      <c r="T119">
        <v>25.4</v>
      </c>
      <c r="U119" t="s">
        <v>1511</v>
      </c>
      <c r="V119" t="s">
        <v>2190</v>
      </c>
      <c r="W119">
        <v>-5.312273062661987</v>
      </c>
      <c r="X119">
        <v>31.1</v>
      </c>
      <c r="Y119" t="s">
        <v>2861</v>
      </c>
      <c r="Z119">
        <v>0.2770785172538925</v>
      </c>
      <c r="AA119">
        <v>11232</v>
      </c>
      <c r="AB119">
        <v>120000</v>
      </c>
      <c r="AC119" t="s">
        <v>3495</v>
      </c>
      <c r="AD119">
        <v>40.82</v>
      </c>
      <c r="AE119" t="s">
        <v>4174</v>
      </c>
      <c r="AF119" t="s">
        <v>4847</v>
      </c>
      <c r="AG119">
        <v>22987</v>
      </c>
      <c r="AH119">
        <v>1549</v>
      </c>
      <c r="AI119">
        <v>552250</v>
      </c>
      <c r="AJ119">
        <v>2.7</v>
      </c>
    </row>
    <row r="120" spans="1:36">
      <c r="A120" s="1" t="s">
        <v>154</v>
      </c>
      <c r="B120" t="s">
        <v>833</v>
      </c>
      <c r="C120">
        <f>HYPERLINK("https://finance.naver.com/item/coinfo.nhn?code=003010", "A003010")</f>
        <v>0</v>
      </c>
      <c r="D120">
        <f>HYPERLINK("http://comp.fnguide.com/SVO2/ASP/SVD_Consensus.asp?pGB=1&amp;gicode=A003010&amp;cID=&amp;MenuYn=Y&amp;ReportGB=&amp;NewMenuID=108&amp;stkGb=701", "혜인")</f>
        <v>0</v>
      </c>
      <c r="E120">
        <v>3</v>
      </c>
      <c r="F120">
        <v>7480</v>
      </c>
      <c r="G120">
        <v>0</v>
      </c>
      <c r="H120">
        <v>12.56</v>
      </c>
      <c r="I120">
        <v>4855</v>
      </c>
      <c r="J120">
        <v>7895</v>
      </c>
      <c r="K120">
        <v>8781</v>
      </c>
      <c r="L120">
        <v>35.09</v>
      </c>
      <c r="M120">
        <v>-5.55</v>
      </c>
      <c r="N120">
        <v>-17.39</v>
      </c>
      <c r="O120">
        <v>4</v>
      </c>
      <c r="P120" t="b">
        <v>1</v>
      </c>
      <c r="Q120">
        <v>0</v>
      </c>
      <c r="R120">
        <v>413</v>
      </c>
      <c r="U120" t="s">
        <v>1512</v>
      </c>
      <c r="V120" t="s">
        <v>2191</v>
      </c>
      <c r="W120">
        <v>0</v>
      </c>
      <c r="X120">
        <v>13.3</v>
      </c>
      <c r="Y120" t="s">
        <v>2862</v>
      </c>
      <c r="Z120">
        <v>54.98257966623217</v>
      </c>
      <c r="AA120">
        <v>951</v>
      </c>
      <c r="AB120">
        <v>188859</v>
      </c>
      <c r="AC120" t="s">
        <v>3496</v>
      </c>
      <c r="AD120">
        <v>23.27</v>
      </c>
      <c r="AE120" t="s">
        <v>4175</v>
      </c>
      <c r="AF120" t="s">
        <v>4848</v>
      </c>
      <c r="AG120">
        <v>2175</v>
      </c>
      <c r="AH120">
        <v>88</v>
      </c>
      <c r="AI120">
        <v>1964424</v>
      </c>
      <c r="AJ120">
        <v>2.31</v>
      </c>
    </row>
    <row r="121" spans="1:36">
      <c r="A121" s="1" t="s">
        <v>155</v>
      </c>
      <c r="B121" t="s">
        <v>834</v>
      </c>
      <c r="C121">
        <f>HYPERLINK("https://finance.naver.com/item/coinfo.nhn?code=002460", "A002460")</f>
        <v>0</v>
      </c>
      <c r="D121">
        <f>HYPERLINK("http://comp.fnguide.com/SVO2/ASP/SVD_Consensus.asp?pGB=1&amp;gicode=A002460&amp;cID=&amp;MenuYn=Y&amp;ReportGB=&amp;NewMenuID=108&amp;stkGb=701", "화성산업")</f>
        <v>0</v>
      </c>
      <c r="E121">
        <v>3</v>
      </c>
      <c r="F121">
        <v>13800</v>
      </c>
      <c r="G121">
        <v>0</v>
      </c>
      <c r="H121">
        <v>4.67</v>
      </c>
      <c r="I121">
        <v>28874</v>
      </c>
      <c r="J121">
        <v>31048</v>
      </c>
      <c r="K121">
        <v>31682</v>
      </c>
      <c r="L121">
        <v>-109.23</v>
      </c>
      <c r="M121">
        <v>-124.99</v>
      </c>
      <c r="N121">
        <v>-129.58</v>
      </c>
      <c r="O121">
        <v>7.29</v>
      </c>
      <c r="P121" t="b">
        <v>1</v>
      </c>
      <c r="Q121">
        <v>0</v>
      </c>
      <c r="R121">
        <v>2667</v>
      </c>
      <c r="U121" t="s">
        <v>1513</v>
      </c>
      <c r="V121" t="s">
        <v>2192</v>
      </c>
      <c r="W121">
        <v>0</v>
      </c>
      <c r="X121">
        <v>332.8</v>
      </c>
      <c r="Y121" t="s">
        <v>2863</v>
      </c>
      <c r="Z121">
        <v>6.477739711708552</v>
      </c>
      <c r="AA121">
        <v>1718</v>
      </c>
      <c r="AB121">
        <v>102718</v>
      </c>
      <c r="AC121" t="s">
        <v>3497</v>
      </c>
      <c r="AD121">
        <v>41.39</v>
      </c>
      <c r="AE121" t="s">
        <v>4176</v>
      </c>
      <c r="AF121" t="s">
        <v>4849</v>
      </c>
      <c r="AG121">
        <v>4193</v>
      </c>
      <c r="AH121">
        <v>405</v>
      </c>
      <c r="AI121">
        <v>340638</v>
      </c>
      <c r="AJ121">
        <v>5.22</v>
      </c>
    </row>
    <row r="122" spans="1:36">
      <c r="A122" s="1" t="s">
        <v>156</v>
      </c>
      <c r="B122" t="s">
        <v>835</v>
      </c>
      <c r="C122">
        <f>HYPERLINK("https://finance.naver.com/item/coinfo.nhn?code=013520", "A013520")</f>
        <v>0</v>
      </c>
      <c r="D122">
        <f>HYPERLINK("http://comp.fnguide.com/SVO2/ASP/SVD_Consensus.asp?pGB=1&amp;gicode=A013520&amp;cID=&amp;MenuYn=Y&amp;ReportGB=&amp;NewMenuID=108&amp;stkGb=701", "화승코퍼레이션")</f>
        <v>0</v>
      </c>
      <c r="E122">
        <v>3</v>
      </c>
      <c r="F122">
        <v>2230</v>
      </c>
      <c r="G122">
        <v>0</v>
      </c>
      <c r="I122">
        <v>2037</v>
      </c>
      <c r="J122">
        <v>3928</v>
      </c>
      <c r="K122">
        <v>4479</v>
      </c>
      <c r="L122">
        <v>8.66</v>
      </c>
      <c r="M122">
        <v>-76.16</v>
      </c>
      <c r="N122">
        <v>-100.87</v>
      </c>
      <c r="O122">
        <v>3.21</v>
      </c>
      <c r="P122" t="b">
        <v>0</v>
      </c>
      <c r="Q122">
        <v>0</v>
      </c>
      <c r="R122">
        <v>-628</v>
      </c>
      <c r="U122" t="s">
        <v>1514</v>
      </c>
      <c r="V122" t="s">
        <v>2193</v>
      </c>
      <c r="W122">
        <v>0</v>
      </c>
      <c r="X122">
        <v>0</v>
      </c>
      <c r="Y122" t="s">
        <v>2864</v>
      </c>
      <c r="Z122">
        <v>-24.3</v>
      </c>
      <c r="AA122">
        <v>1116</v>
      </c>
      <c r="AB122">
        <v>831604</v>
      </c>
      <c r="AC122" t="s">
        <v>3498</v>
      </c>
      <c r="AD122">
        <v>44.69</v>
      </c>
      <c r="AE122" t="s">
        <v>4177</v>
      </c>
      <c r="AF122" t="s">
        <v>4850</v>
      </c>
      <c r="AG122">
        <v>13133</v>
      </c>
      <c r="AH122">
        <v>137</v>
      </c>
      <c r="AI122">
        <v>7783665</v>
      </c>
      <c r="AJ122">
        <v>1.8</v>
      </c>
    </row>
    <row r="123" spans="1:36">
      <c r="A123" s="1" t="s">
        <v>157</v>
      </c>
      <c r="B123" t="s">
        <v>836</v>
      </c>
      <c r="C123">
        <f>HYPERLINK("https://finance.naver.com/item/coinfo.nhn?code=010690", "A010690")</f>
        <v>0</v>
      </c>
      <c r="D123">
        <f>HYPERLINK("http://comp.fnguide.com/SVO2/ASP/SVD_Consensus.asp?pGB=1&amp;gicode=A010690&amp;cID=&amp;MenuYn=Y&amp;ReportGB=&amp;NewMenuID=108&amp;stkGb=701", "화신")</f>
        <v>0</v>
      </c>
      <c r="E123">
        <v>3</v>
      </c>
      <c r="F123">
        <v>5700</v>
      </c>
      <c r="G123">
        <v>0</v>
      </c>
      <c r="I123">
        <v>705</v>
      </c>
      <c r="J123">
        <v>4899</v>
      </c>
      <c r="K123">
        <v>6121</v>
      </c>
      <c r="L123">
        <v>87.62</v>
      </c>
      <c r="M123">
        <v>14.05</v>
      </c>
      <c r="N123">
        <v>-7.38</v>
      </c>
      <c r="O123">
        <v>0.75</v>
      </c>
      <c r="P123" t="b">
        <v>0</v>
      </c>
      <c r="Q123">
        <v>0</v>
      </c>
      <c r="R123">
        <v>-1553</v>
      </c>
      <c r="U123" t="s">
        <v>1515</v>
      </c>
      <c r="V123" t="s">
        <v>2194</v>
      </c>
      <c r="W123">
        <v>0</v>
      </c>
      <c r="X123">
        <v>0</v>
      </c>
      <c r="Y123" t="s">
        <v>2762</v>
      </c>
      <c r="Z123">
        <v>0</v>
      </c>
      <c r="AA123">
        <v>1990</v>
      </c>
      <c r="AB123">
        <v>7649737</v>
      </c>
      <c r="AC123" t="s">
        <v>3499</v>
      </c>
      <c r="AD123">
        <v>50.41</v>
      </c>
      <c r="AE123" t="s">
        <v>4178</v>
      </c>
      <c r="AF123" t="s">
        <v>4851</v>
      </c>
      <c r="AG123">
        <v>10855</v>
      </c>
      <c r="AH123">
        <v>-113</v>
      </c>
      <c r="AI123">
        <v>1995600</v>
      </c>
      <c r="AJ123">
        <v>1.48</v>
      </c>
    </row>
    <row r="124" spans="1:36">
      <c r="A124" s="1" t="s">
        <v>158</v>
      </c>
      <c r="B124" t="s">
        <v>837</v>
      </c>
      <c r="C124">
        <f>HYPERLINK("https://finance.naver.com/item/coinfo.nhn?code=010660", "A010660")</f>
        <v>0</v>
      </c>
      <c r="D124">
        <f>HYPERLINK("http://comp.fnguide.com/SVO2/ASP/SVD_Consensus.asp?pGB=1&amp;gicode=A010660&amp;cID=&amp;MenuYn=Y&amp;ReportGB=&amp;NewMenuID=108&amp;stkGb=701", "화천기계")</f>
        <v>0</v>
      </c>
      <c r="E124">
        <v>3</v>
      </c>
      <c r="F124">
        <v>2670</v>
      </c>
      <c r="G124">
        <v>0</v>
      </c>
      <c r="I124">
        <v>0</v>
      </c>
      <c r="J124">
        <v>3606</v>
      </c>
      <c r="K124">
        <v>4656</v>
      </c>
      <c r="L124">
        <v>100</v>
      </c>
      <c r="M124">
        <v>-35.05</v>
      </c>
      <c r="N124">
        <v>-74.38</v>
      </c>
      <c r="O124">
        <v>0</v>
      </c>
      <c r="P124" t="b">
        <v>0</v>
      </c>
      <c r="Q124">
        <v>0</v>
      </c>
      <c r="R124">
        <v>-207</v>
      </c>
      <c r="U124" t="s">
        <v>1516</v>
      </c>
      <c r="V124" t="s">
        <v>2195</v>
      </c>
      <c r="W124">
        <v>0</v>
      </c>
      <c r="X124">
        <v>0</v>
      </c>
      <c r="Y124" t="s">
        <v>2762</v>
      </c>
      <c r="Z124">
        <v>0</v>
      </c>
      <c r="AA124">
        <v>587</v>
      </c>
      <c r="AB124">
        <v>154566</v>
      </c>
      <c r="AC124" t="s">
        <v>3500</v>
      </c>
      <c r="AD124">
        <v>34.54</v>
      </c>
      <c r="AE124" t="s">
        <v>4179</v>
      </c>
      <c r="AF124" t="s">
        <v>4741</v>
      </c>
      <c r="AG124">
        <v>1368</v>
      </c>
      <c r="AH124">
        <v>-48</v>
      </c>
      <c r="AI124">
        <v>2200000</v>
      </c>
    </row>
    <row r="125" spans="1:36">
      <c r="A125" s="1" t="s">
        <v>159</v>
      </c>
      <c r="B125" t="s">
        <v>838</v>
      </c>
      <c r="C125">
        <f>HYPERLINK("https://finance.naver.com/item/coinfo.nhn?code=000850", "A000850")</f>
        <v>0</v>
      </c>
      <c r="D125">
        <f>HYPERLINK("http://comp.fnguide.com/SVO2/ASP/SVD_Consensus.asp?pGB=1&amp;gicode=A000850&amp;cID=&amp;MenuYn=Y&amp;ReportGB=&amp;NewMenuID=108&amp;stkGb=701", "화천기공")</f>
        <v>0</v>
      </c>
      <c r="E125">
        <v>3</v>
      </c>
      <c r="F125">
        <v>37450</v>
      </c>
      <c r="G125">
        <v>0</v>
      </c>
      <c r="H125">
        <v>15.78</v>
      </c>
      <c r="I125">
        <v>38600</v>
      </c>
      <c r="J125">
        <v>95642</v>
      </c>
      <c r="K125">
        <v>112257</v>
      </c>
      <c r="L125">
        <v>-3.07</v>
      </c>
      <c r="M125">
        <v>-155.39</v>
      </c>
      <c r="N125">
        <v>-199.75</v>
      </c>
      <c r="O125">
        <v>2.36</v>
      </c>
      <c r="P125" t="b">
        <v>0</v>
      </c>
      <c r="Q125">
        <v>0</v>
      </c>
      <c r="R125">
        <v>2053</v>
      </c>
      <c r="U125" t="s">
        <v>1517</v>
      </c>
      <c r="V125" t="s">
        <v>2196</v>
      </c>
      <c r="W125">
        <v>0</v>
      </c>
      <c r="X125">
        <v>-39.4</v>
      </c>
      <c r="Y125" t="s">
        <v>2865</v>
      </c>
      <c r="Z125">
        <v>-22.34433326496911</v>
      </c>
      <c r="AA125">
        <v>824</v>
      </c>
      <c r="AB125">
        <v>12227</v>
      </c>
      <c r="AC125" t="s">
        <v>3501</v>
      </c>
      <c r="AD125">
        <v>48.78</v>
      </c>
      <c r="AE125" t="s">
        <v>4180</v>
      </c>
      <c r="AF125" t="s">
        <v>4852</v>
      </c>
      <c r="AG125">
        <v>1617</v>
      </c>
      <c r="AH125">
        <v>14</v>
      </c>
      <c r="AJ125">
        <v>2.31</v>
      </c>
    </row>
    <row r="126" spans="1:36">
      <c r="A126" s="1" t="s">
        <v>160</v>
      </c>
      <c r="B126" t="s">
        <v>839</v>
      </c>
      <c r="C126">
        <f>HYPERLINK("https://finance.naver.com/item/coinfo.nhn?code=032560", "A032560")</f>
        <v>0</v>
      </c>
      <c r="D126">
        <f>HYPERLINK("http://comp.fnguide.com/SVO2/ASP/SVD_Consensus.asp?pGB=1&amp;gicode=A032560&amp;cID=&amp;MenuYn=Y&amp;ReportGB=&amp;NewMenuID=108&amp;stkGb=701", "황금에스티")</f>
        <v>0</v>
      </c>
      <c r="E126">
        <v>3</v>
      </c>
      <c r="F126">
        <v>10050</v>
      </c>
      <c r="G126">
        <v>0</v>
      </c>
      <c r="H126">
        <v>6.75</v>
      </c>
      <c r="I126">
        <v>15672</v>
      </c>
      <c r="J126">
        <v>16503</v>
      </c>
      <c r="K126">
        <v>16745</v>
      </c>
      <c r="L126">
        <v>-55.94</v>
      </c>
      <c r="M126">
        <v>-64.20999999999999</v>
      </c>
      <c r="N126">
        <v>-66.62</v>
      </c>
      <c r="O126">
        <v>7.55</v>
      </c>
      <c r="P126" t="b">
        <v>1</v>
      </c>
      <c r="Q126">
        <v>0</v>
      </c>
      <c r="R126">
        <v>1047</v>
      </c>
      <c r="U126" t="s">
        <v>1518</v>
      </c>
      <c r="V126" t="s">
        <v>2197</v>
      </c>
      <c r="W126">
        <v>0</v>
      </c>
      <c r="X126">
        <v>-30.4</v>
      </c>
      <c r="Y126" t="s">
        <v>2866</v>
      </c>
      <c r="Z126">
        <v>31.09656064101931</v>
      </c>
      <c r="AA126">
        <v>1608</v>
      </c>
      <c r="AB126">
        <v>761403</v>
      </c>
      <c r="AC126" t="s">
        <v>3502</v>
      </c>
      <c r="AD126">
        <v>54.12</v>
      </c>
      <c r="AE126" t="s">
        <v>4181</v>
      </c>
      <c r="AF126" t="s">
        <v>4853</v>
      </c>
      <c r="AG126">
        <v>2582</v>
      </c>
      <c r="AH126">
        <v>237</v>
      </c>
      <c r="AI126">
        <v>1861</v>
      </c>
      <c r="AJ126">
        <v>1.24</v>
      </c>
    </row>
    <row r="127" spans="1:36">
      <c r="A127" s="1" t="s">
        <v>161</v>
      </c>
      <c r="B127" t="s">
        <v>840</v>
      </c>
      <c r="C127">
        <f>HYPERLINK("https://finance.naver.com/item/coinfo.nhn?code=004800", "A004800")</f>
        <v>0</v>
      </c>
      <c r="D127">
        <f>HYPERLINK("http://comp.fnguide.com/SVO2/ASP/SVD_Consensus.asp?pGB=1&amp;gicode=A004800&amp;cID=&amp;MenuYn=Y&amp;ReportGB=&amp;NewMenuID=108&amp;stkGb=701", "효성")</f>
        <v>0</v>
      </c>
      <c r="E127">
        <v>3</v>
      </c>
      <c r="F127">
        <v>102500</v>
      </c>
      <c r="I127">
        <v>269880</v>
      </c>
      <c r="J127">
        <v>176208</v>
      </c>
      <c r="K127">
        <v>148923</v>
      </c>
      <c r="L127">
        <v>-163.3</v>
      </c>
      <c r="M127">
        <v>-71.91</v>
      </c>
      <c r="N127">
        <v>-45.29</v>
      </c>
      <c r="O127">
        <v>19.78</v>
      </c>
      <c r="P127" t="b">
        <v>0</v>
      </c>
      <c r="Q127">
        <v>1</v>
      </c>
      <c r="R127">
        <v>-2504</v>
      </c>
      <c r="S127">
        <v>12790</v>
      </c>
      <c r="T127">
        <v>-610.8</v>
      </c>
      <c r="U127" t="s">
        <v>1519</v>
      </c>
      <c r="V127" t="s">
        <v>2198</v>
      </c>
      <c r="W127">
        <v>-55.45326661907222</v>
      </c>
      <c r="X127">
        <v>0</v>
      </c>
      <c r="Y127" t="s">
        <v>2867</v>
      </c>
      <c r="Z127">
        <v>-22.86830861630861</v>
      </c>
      <c r="AA127">
        <v>21598</v>
      </c>
      <c r="AB127">
        <v>60951</v>
      </c>
      <c r="AC127" t="s">
        <v>3503</v>
      </c>
      <c r="AD127">
        <v>55.13</v>
      </c>
      <c r="AE127" t="s">
        <v>4182</v>
      </c>
      <c r="AF127" t="s">
        <v>4854</v>
      </c>
      <c r="AG127">
        <v>27826</v>
      </c>
      <c r="AH127">
        <v>1388</v>
      </c>
      <c r="AI127">
        <v>1161621</v>
      </c>
      <c r="AJ127">
        <v>6.54</v>
      </c>
    </row>
    <row r="128" spans="1:36">
      <c r="A128" s="1" t="s">
        <v>162</v>
      </c>
      <c r="B128" t="s">
        <v>841</v>
      </c>
      <c r="C128">
        <f>HYPERLINK("https://finance.naver.com/item/coinfo.nhn?code=298040", "A298040")</f>
        <v>0</v>
      </c>
      <c r="D128">
        <f>HYPERLINK("http://comp.fnguide.com/SVO2/ASP/SVD_Consensus.asp?pGB=1&amp;gicode=A298040&amp;cID=&amp;MenuYn=Y&amp;ReportGB=&amp;NewMenuID=108&amp;stkGb=701", "효성중공업")</f>
        <v>0</v>
      </c>
      <c r="E128">
        <v>3</v>
      </c>
      <c r="F128">
        <v>64700</v>
      </c>
      <c r="I128">
        <v>5580</v>
      </c>
      <c r="J128">
        <v>58627</v>
      </c>
      <c r="K128">
        <v>74079</v>
      </c>
      <c r="L128">
        <v>91.38</v>
      </c>
      <c r="M128">
        <v>9.390000000000001</v>
      </c>
      <c r="N128">
        <v>-14.5</v>
      </c>
      <c r="O128">
        <v>0.48</v>
      </c>
      <c r="P128" t="b">
        <v>0</v>
      </c>
      <c r="Q128">
        <v>1</v>
      </c>
      <c r="R128">
        <v>-2382</v>
      </c>
      <c r="S128">
        <v>10754</v>
      </c>
      <c r="T128">
        <v>-551.5</v>
      </c>
      <c r="U128" t="s">
        <v>1520</v>
      </c>
      <c r="V128" t="s">
        <v>2199</v>
      </c>
      <c r="W128">
        <v>274.9991408691428</v>
      </c>
      <c r="X128">
        <v>0</v>
      </c>
      <c r="Y128" t="s">
        <v>2868</v>
      </c>
      <c r="Z128">
        <v>0</v>
      </c>
      <c r="AA128">
        <v>6033</v>
      </c>
      <c r="AB128">
        <v>39095</v>
      </c>
      <c r="AC128" t="s">
        <v>3504</v>
      </c>
      <c r="AD128">
        <v>54.18</v>
      </c>
      <c r="AE128" t="s">
        <v>4183</v>
      </c>
      <c r="AF128" t="s">
        <v>4855</v>
      </c>
      <c r="AG128">
        <v>29840</v>
      </c>
      <c r="AH128">
        <v>441</v>
      </c>
      <c r="AI128">
        <v>12807</v>
      </c>
    </row>
    <row r="129" spans="1:36">
      <c r="A129" s="1" t="s">
        <v>163</v>
      </c>
      <c r="B129" t="s">
        <v>842</v>
      </c>
      <c r="C129">
        <f>HYPERLINK("https://finance.naver.com/item/coinfo.nhn?code=005870", "A005870")</f>
        <v>0</v>
      </c>
      <c r="D129">
        <f>HYPERLINK("http://comp.fnguide.com/SVO2/ASP/SVD_Consensus.asp?pGB=1&amp;gicode=A005870&amp;cID=&amp;MenuYn=Y&amp;ReportGB=&amp;NewMenuID=108&amp;stkGb=701", "휴니드")</f>
        <v>0</v>
      </c>
      <c r="E129">
        <v>3</v>
      </c>
      <c r="F129">
        <v>8060</v>
      </c>
      <c r="G129">
        <v>0</v>
      </c>
      <c r="H129">
        <v>14.08</v>
      </c>
      <c r="I129">
        <v>9805</v>
      </c>
      <c r="J129">
        <v>9394</v>
      </c>
      <c r="K129">
        <v>9275</v>
      </c>
      <c r="L129">
        <v>-21.64</v>
      </c>
      <c r="M129">
        <v>-16.55</v>
      </c>
      <c r="N129">
        <v>-15.07</v>
      </c>
      <c r="O129">
        <v>8.84</v>
      </c>
      <c r="P129" t="b">
        <v>1</v>
      </c>
      <c r="Q129">
        <v>0</v>
      </c>
      <c r="R129">
        <v>405</v>
      </c>
      <c r="U129" t="s">
        <v>1521</v>
      </c>
      <c r="V129" t="s">
        <v>2200</v>
      </c>
      <c r="W129">
        <v>0</v>
      </c>
      <c r="X129">
        <v>-28.3</v>
      </c>
      <c r="Y129" t="s">
        <v>2869</v>
      </c>
      <c r="Z129">
        <v>31.96707626467332</v>
      </c>
      <c r="AA129">
        <v>1138</v>
      </c>
      <c r="AB129">
        <v>66296</v>
      </c>
      <c r="AC129" t="s">
        <v>3505</v>
      </c>
      <c r="AD129">
        <v>22.83</v>
      </c>
      <c r="AE129" t="s">
        <v>4184</v>
      </c>
      <c r="AF129" t="s">
        <v>4856</v>
      </c>
      <c r="AG129">
        <v>1981</v>
      </c>
      <c r="AH129">
        <v>106</v>
      </c>
      <c r="AI129">
        <v>1025525</v>
      </c>
    </row>
    <row r="130" spans="1:36">
      <c r="A130" s="1" t="s">
        <v>164</v>
      </c>
      <c r="B130" t="s">
        <v>843</v>
      </c>
      <c r="C130">
        <f>HYPERLINK("https://finance.naver.com/item/coinfo.nhn?code=079980", "A079980")</f>
        <v>0</v>
      </c>
      <c r="D130">
        <f>HYPERLINK("http://comp.fnguide.com/SVO2/ASP/SVD_Consensus.asp?pGB=1&amp;gicode=A079980&amp;cID=&amp;MenuYn=Y&amp;ReportGB=&amp;NewMenuID=108&amp;stkGb=701", "휴비스")</f>
        <v>0</v>
      </c>
      <c r="E130">
        <v>3</v>
      </c>
      <c r="F130">
        <v>11050</v>
      </c>
      <c r="G130">
        <v>0</v>
      </c>
      <c r="H130">
        <v>3.46</v>
      </c>
      <c r="I130">
        <v>17886</v>
      </c>
      <c r="J130">
        <v>15766</v>
      </c>
      <c r="K130">
        <v>15149</v>
      </c>
      <c r="L130">
        <v>-61.86</v>
      </c>
      <c r="M130">
        <v>-42.68</v>
      </c>
      <c r="N130">
        <v>-37.1</v>
      </c>
      <c r="O130">
        <v>10.27</v>
      </c>
      <c r="P130" t="b">
        <v>1</v>
      </c>
      <c r="Q130">
        <v>0</v>
      </c>
      <c r="R130">
        <v>2382</v>
      </c>
      <c r="U130" t="s">
        <v>1522</v>
      </c>
      <c r="V130" t="s">
        <v>2201</v>
      </c>
      <c r="W130">
        <v>0</v>
      </c>
      <c r="X130">
        <v>0</v>
      </c>
      <c r="Y130" t="s">
        <v>2870</v>
      </c>
      <c r="Z130">
        <v>-4.067104186694537</v>
      </c>
      <c r="AA130">
        <v>3812</v>
      </c>
      <c r="AB130">
        <v>428784</v>
      </c>
      <c r="AC130" t="s">
        <v>3506</v>
      </c>
      <c r="AD130">
        <v>51</v>
      </c>
      <c r="AE130" t="s">
        <v>4185</v>
      </c>
      <c r="AF130" t="s">
        <v>4857</v>
      </c>
      <c r="AG130">
        <v>9203</v>
      </c>
      <c r="AH130">
        <v>399</v>
      </c>
      <c r="AI130">
        <v>1589680</v>
      </c>
      <c r="AJ130">
        <v>3.64</v>
      </c>
    </row>
    <row r="131" spans="1:36">
      <c r="A131" s="1" t="s">
        <v>165</v>
      </c>
      <c r="B131" t="s">
        <v>844</v>
      </c>
      <c r="C131">
        <f>HYPERLINK("https://finance.naver.com/item/coinfo.nhn?code=005010", "A005010")</f>
        <v>0</v>
      </c>
      <c r="D131">
        <f>HYPERLINK("http://comp.fnguide.com/SVO2/ASP/SVD_Consensus.asp?pGB=1&amp;gicode=A005010&amp;cID=&amp;MenuYn=Y&amp;ReportGB=&amp;NewMenuID=108&amp;stkGb=701", "휴스틸")</f>
        <v>0</v>
      </c>
      <c r="E131">
        <v>3</v>
      </c>
      <c r="F131">
        <v>17400</v>
      </c>
      <c r="G131">
        <v>0</v>
      </c>
      <c r="H131">
        <v>6.43</v>
      </c>
      <c r="I131">
        <v>11834</v>
      </c>
      <c r="J131">
        <v>36963</v>
      </c>
      <c r="K131">
        <v>44283</v>
      </c>
      <c r="L131">
        <v>31.99</v>
      </c>
      <c r="M131">
        <v>-112.43</v>
      </c>
      <c r="N131">
        <v>-154.5</v>
      </c>
      <c r="O131">
        <v>1.8</v>
      </c>
      <c r="P131" t="b">
        <v>1</v>
      </c>
      <c r="Q131">
        <v>0</v>
      </c>
      <c r="R131">
        <v>1134</v>
      </c>
      <c r="U131" t="s">
        <v>1523</v>
      </c>
      <c r="V131" t="s">
        <v>2202</v>
      </c>
      <c r="W131">
        <v>0</v>
      </c>
      <c r="X131">
        <v>0</v>
      </c>
      <c r="Y131" t="s">
        <v>2871</v>
      </c>
      <c r="Z131">
        <v>328.2</v>
      </c>
      <c r="AA131">
        <v>1332</v>
      </c>
      <c r="AB131">
        <v>453783</v>
      </c>
      <c r="AC131" t="s">
        <v>3507</v>
      </c>
      <c r="AD131">
        <v>49.92</v>
      </c>
      <c r="AE131" t="s">
        <v>4186</v>
      </c>
      <c r="AF131" t="s">
        <v>4858</v>
      </c>
      <c r="AG131">
        <v>3656</v>
      </c>
      <c r="AH131">
        <v>177</v>
      </c>
      <c r="AJ131">
        <v>2.74</v>
      </c>
    </row>
    <row r="132" spans="1:36">
      <c r="A132" s="1" t="s">
        <v>166</v>
      </c>
      <c r="B132" t="s">
        <v>845</v>
      </c>
      <c r="C132">
        <f>HYPERLINK("https://finance.naver.com/item/coinfo.nhn?code=000540", "A000540")</f>
        <v>0</v>
      </c>
      <c r="D132">
        <f>HYPERLINK("http://comp.fnguide.com/SVO2/ASP/SVD_Consensus.asp?pGB=1&amp;gicode=A000540&amp;cID=&amp;MenuYn=Y&amp;ReportGB=&amp;NewMenuID=108&amp;stkGb=701", "흥국화재")</f>
        <v>0</v>
      </c>
      <c r="E132">
        <v>3</v>
      </c>
      <c r="F132">
        <v>4735</v>
      </c>
      <c r="G132">
        <v>0</v>
      </c>
      <c r="H132">
        <v>8.119999999999999</v>
      </c>
      <c r="I132">
        <v>6440</v>
      </c>
      <c r="J132">
        <v>9307</v>
      </c>
      <c r="K132">
        <v>10142</v>
      </c>
      <c r="L132">
        <v>-36</v>
      </c>
      <c r="M132">
        <v>-96.55</v>
      </c>
      <c r="N132">
        <v>-114.19</v>
      </c>
      <c r="O132">
        <v>4.7</v>
      </c>
      <c r="P132" t="b">
        <v>1</v>
      </c>
      <c r="Q132">
        <v>0</v>
      </c>
      <c r="R132">
        <v>349</v>
      </c>
      <c r="U132" t="s">
        <v>1524</v>
      </c>
      <c r="V132" t="s">
        <v>2203</v>
      </c>
      <c r="W132">
        <v>0</v>
      </c>
      <c r="X132">
        <v>3.2</v>
      </c>
      <c r="Y132" t="s">
        <v>2872</v>
      </c>
      <c r="Z132">
        <v>7.395157311021849</v>
      </c>
      <c r="AA132">
        <v>3042</v>
      </c>
      <c r="AB132">
        <v>414622</v>
      </c>
      <c r="AC132" t="s">
        <v>3508</v>
      </c>
      <c r="AD132">
        <v>80.31999999999999</v>
      </c>
      <c r="AE132" t="s">
        <v>4187</v>
      </c>
      <c r="AF132" t="s">
        <v>4859</v>
      </c>
      <c r="AG132">
        <v>32047</v>
      </c>
      <c r="AH132">
        <v>259</v>
      </c>
    </row>
    <row r="133" spans="1:36">
      <c r="A133" s="1" t="s">
        <v>167</v>
      </c>
      <c r="B133" t="s">
        <v>846</v>
      </c>
      <c r="C133">
        <f>HYPERLINK("https://finance.naver.com/item/coinfo.nhn?code=126560", "A126560")</f>
        <v>0</v>
      </c>
      <c r="D133">
        <f>HYPERLINK("http://comp.fnguide.com/SVO2/ASP/SVD_Consensus.asp?pGB=1&amp;gicode=A126560&amp;cID=&amp;MenuYn=Y&amp;ReportGB=&amp;NewMenuID=108&amp;stkGb=701", "현대퓨처넷")</f>
        <v>0</v>
      </c>
      <c r="E133">
        <v>3</v>
      </c>
      <c r="F133">
        <v>4360</v>
      </c>
      <c r="G133">
        <v>0</v>
      </c>
      <c r="I133">
        <v>2054</v>
      </c>
      <c r="J133">
        <v>4560</v>
      </c>
      <c r="K133">
        <v>5290</v>
      </c>
      <c r="L133">
        <v>52.89</v>
      </c>
      <c r="M133">
        <v>-4.59</v>
      </c>
      <c r="N133">
        <v>-21.33</v>
      </c>
      <c r="O133">
        <v>2.69</v>
      </c>
      <c r="P133" t="b">
        <v>0</v>
      </c>
      <c r="Q133">
        <v>0</v>
      </c>
      <c r="R133">
        <v>-261</v>
      </c>
      <c r="U133" t="s">
        <v>1525</v>
      </c>
      <c r="V133" t="s">
        <v>2204</v>
      </c>
      <c r="W133">
        <v>0</v>
      </c>
      <c r="X133">
        <v>0</v>
      </c>
      <c r="Y133" t="s">
        <v>2873</v>
      </c>
      <c r="Z133">
        <v>-0.5797369747711834</v>
      </c>
      <c r="AA133">
        <v>4921</v>
      </c>
      <c r="AB133">
        <v>305851</v>
      </c>
      <c r="AC133" t="s">
        <v>3509</v>
      </c>
      <c r="AD133">
        <v>66.20999999999999</v>
      </c>
      <c r="AE133" t="s">
        <v>4188</v>
      </c>
      <c r="AF133" t="s">
        <v>4860</v>
      </c>
      <c r="AG133">
        <v>3080</v>
      </c>
      <c r="AH133">
        <v>219</v>
      </c>
      <c r="AI133">
        <v>2723241</v>
      </c>
      <c r="AJ133">
        <v>2.08</v>
      </c>
    </row>
    <row r="134" spans="1:36">
      <c r="A134" s="1" t="s">
        <v>168</v>
      </c>
      <c r="B134" t="s">
        <v>847</v>
      </c>
      <c r="C134">
        <f>HYPERLINK("https://finance.naver.com/item/coinfo.nhn?code=227840", "A227840")</f>
        <v>0</v>
      </c>
      <c r="D134">
        <f>HYPERLINK("http://comp.fnguide.com/SVO2/ASP/SVD_Consensus.asp?pGB=1&amp;gicode=A227840&amp;cID=&amp;MenuYn=Y&amp;ReportGB=&amp;NewMenuID=108&amp;stkGb=701", "현대코퍼레이션홀딩스")</f>
        <v>0</v>
      </c>
      <c r="E134">
        <v>3</v>
      </c>
      <c r="F134">
        <v>15050</v>
      </c>
      <c r="G134">
        <v>0</v>
      </c>
      <c r="H134">
        <v>5.78</v>
      </c>
      <c r="I134">
        <v>17932</v>
      </c>
      <c r="J134">
        <v>19118</v>
      </c>
      <c r="K134">
        <v>19463</v>
      </c>
      <c r="L134">
        <v>-19.15</v>
      </c>
      <c r="M134">
        <v>-27.03</v>
      </c>
      <c r="N134">
        <v>-29.32</v>
      </c>
      <c r="O134">
        <v>7.4</v>
      </c>
      <c r="P134" t="b">
        <v>1</v>
      </c>
      <c r="Q134">
        <v>0</v>
      </c>
      <c r="R134">
        <v>1947</v>
      </c>
      <c r="U134" t="s">
        <v>1526</v>
      </c>
      <c r="V134" t="s">
        <v>2205</v>
      </c>
      <c r="W134">
        <v>0</v>
      </c>
      <c r="X134">
        <v>72.40000000000001</v>
      </c>
      <c r="Y134" t="s">
        <v>2874</v>
      </c>
      <c r="Z134">
        <v>-0.5426714610775374</v>
      </c>
      <c r="AA134">
        <v>1370</v>
      </c>
      <c r="AB134">
        <v>55935</v>
      </c>
      <c r="AC134" t="s">
        <v>3510</v>
      </c>
      <c r="AD134">
        <v>47.95</v>
      </c>
      <c r="AE134" t="s">
        <v>4189</v>
      </c>
      <c r="AF134" t="s">
        <v>4861</v>
      </c>
      <c r="AG134">
        <v>1516</v>
      </c>
      <c r="AH134">
        <v>101</v>
      </c>
      <c r="AI134">
        <v>279135</v>
      </c>
      <c r="AJ134">
        <v>4.44</v>
      </c>
    </row>
    <row r="135" spans="1:36">
      <c r="A135" s="1" t="s">
        <v>169</v>
      </c>
      <c r="B135" t="s">
        <v>848</v>
      </c>
      <c r="C135">
        <f>HYPERLINK("https://finance.naver.com/item/coinfo.nhn?code=011760", "A011760")</f>
        <v>0</v>
      </c>
      <c r="D135">
        <f>HYPERLINK("http://comp.fnguide.com/SVO2/ASP/SVD_Consensus.asp?pGB=1&amp;gicode=A011760&amp;cID=&amp;MenuYn=Y&amp;ReportGB=&amp;NewMenuID=108&amp;stkGb=701", "현대코퍼레이션")</f>
        <v>0</v>
      </c>
      <c r="E135">
        <v>3</v>
      </c>
      <c r="F135">
        <v>21100</v>
      </c>
      <c r="G135">
        <v>0</v>
      </c>
      <c r="H135">
        <v>4.28</v>
      </c>
      <c r="I135">
        <v>29287</v>
      </c>
      <c r="J135">
        <v>27375</v>
      </c>
      <c r="K135">
        <v>26818</v>
      </c>
      <c r="L135">
        <v>-38.8</v>
      </c>
      <c r="M135">
        <v>-29.74</v>
      </c>
      <c r="N135">
        <v>-27.1</v>
      </c>
      <c r="O135">
        <v>9.23</v>
      </c>
      <c r="P135" t="b">
        <v>1</v>
      </c>
      <c r="Q135">
        <v>0</v>
      </c>
      <c r="R135">
        <v>3727</v>
      </c>
      <c r="S135">
        <v>2415</v>
      </c>
      <c r="T135">
        <v>-35.2</v>
      </c>
      <c r="U135" t="s">
        <v>1527</v>
      </c>
      <c r="V135" t="s">
        <v>2206</v>
      </c>
      <c r="W135">
        <v>0</v>
      </c>
      <c r="X135">
        <v>201.4</v>
      </c>
      <c r="Y135" t="s">
        <v>2875</v>
      </c>
      <c r="Z135">
        <v>-8.113973367192063</v>
      </c>
      <c r="AA135">
        <v>2791</v>
      </c>
      <c r="AB135">
        <v>87672</v>
      </c>
      <c r="AC135" t="s">
        <v>3511</v>
      </c>
      <c r="AD135">
        <v>24.96</v>
      </c>
      <c r="AE135" t="s">
        <v>4190</v>
      </c>
      <c r="AF135" t="s">
        <v>4862</v>
      </c>
      <c r="AG135">
        <v>28809</v>
      </c>
      <c r="AH135">
        <v>332</v>
      </c>
      <c r="AI135">
        <v>1218000</v>
      </c>
      <c r="AJ135">
        <v>3.76</v>
      </c>
    </row>
    <row r="136" spans="1:36">
      <c r="A136" s="1" t="s">
        <v>170</v>
      </c>
      <c r="B136" t="s">
        <v>849</v>
      </c>
      <c r="C136">
        <f>HYPERLINK("https://finance.naver.com/item/coinfo.nhn?code=079430", "A079430")</f>
        <v>0</v>
      </c>
      <c r="D136">
        <f>HYPERLINK("http://comp.fnguide.com/SVO2/ASP/SVD_Consensus.asp?pGB=1&amp;gicode=A079430&amp;cID=&amp;MenuYn=Y&amp;ReportGB=&amp;NewMenuID=108&amp;stkGb=701", "현대리바트")</f>
        <v>0</v>
      </c>
      <c r="E136">
        <v>3</v>
      </c>
      <c r="F136">
        <v>18300</v>
      </c>
      <c r="G136">
        <v>-1.7</v>
      </c>
      <c r="H136">
        <v>12.32</v>
      </c>
      <c r="I136">
        <v>16781</v>
      </c>
      <c r="J136">
        <v>21017</v>
      </c>
      <c r="K136">
        <v>22251</v>
      </c>
      <c r="L136">
        <v>8.300000000000001</v>
      </c>
      <c r="M136">
        <v>-14.85</v>
      </c>
      <c r="N136">
        <v>-21.59</v>
      </c>
      <c r="O136">
        <v>5.77</v>
      </c>
      <c r="P136" t="b">
        <v>1</v>
      </c>
      <c r="Q136">
        <v>2</v>
      </c>
      <c r="R136">
        <v>1295</v>
      </c>
      <c r="S136">
        <v>1510</v>
      </c>
      <c r="T136">
        <v>16.6</v>
      </c>
      <c r="U136" t="s">
        <v>1528</v>
      </c>
      <c r="V136" t="s">
        <v>2207</v>
      </c>
      <c r="W136">
        <v>-7.246780756070681</v>
      </c>
      <c r="X136">
        <v>36.6</v>
      </c>
      <c r="Y136" t="s">
        <v>2876</v>
      </c>
      <c r="Z136">
        <v>-4.949308615326564</v>
      </c>
      <c r="AA136">
        <v>3758</v>
      </c>
      <c r="AB136">
        <v>138867</v>
      </c>
      <c r="AC136" t="s">
        <v>3512</v>
      </c>
      <c r="AD136">
        <v>41.16</v>
      </c>
      <c r="AE136" t="s">
        <v>4191</v>
      </c>
      <c r="AF136" t="s">
        <v>4863</v>
      </c>
      <c r="AG136">
        <v>13846</v>
      </c>
      <c r="AH136">
        <v>372</v>
      </c>
      <c r="AI136">
        <v>421080</v>
      </c>
      <c r="AJ136">
        <v>1.25</v>
      </c>
    </row>
    <row r="137" spans="1:36">
      <c r="A137" s="1" t="s">
        <v>171</v>
      </c>
      <c r="B137" t="s">
        <v>850</v>
      </c>
      <c r="C137">
        <f>HYPERLINK("https://finance.naver.com/item/coinfo.nhn?code=000370", "A000370")</f>
        <v>0</v>
      </c>
      <c r="D137">
        <f>HYPERLINK("http://comp.fnguide.com/SVO2/ASP/SVD_Consensus.asp?pGB=1&amp;gicode=A000370&amp;cID=&amp;MenuYn=Y&amp;ReportGB=&amp;NewMenuID=108&amp;stkGb=701", "한화손해보험")</f>
        <v>0</v>
      </c>
      <c r="E137">
        <v>3</v>
      </c>
      <c r="F137">
        <v>4875</v>
      </c>
      <c r="G137">
        <v>0</v>
      </c>
      <c r="H137">
        <v>7.31</v>
      </c>
      <c r="I137">
        <v>5298</v>
      </c>
      <c r="J137">
        <v>10707</v>
      </c>
      <c r="K137">
        <v>12283</v>
      </c>
      <c r="L137">
        <v>-8.68</v>
      </c>
      <c r="M137">
        <v>-119.63</v>
      </c>
      <c r="N137">
        <v>-151.95</v>
      </c>
      <c r="O137">
        <v>3.02</v>
      </c>
      <c r="P137" t="b">
        <v>1</v>
      </c>
      <c r="Q137">
        <v>0</v>
      </c>
      <c r="R137">
        <v>525</v>
      </c>
      <c r="U137" t="s">
        <v>1529</v>
      </c>
      <c r="V137" t="s">
        <v>2208</v>
      </c>
      <c r="W137">
        <v>0</v>
      </c>
      <c r="X137">
        <v>4</v>
      </c>
      <c r="Y137" t="s">
        <v>2877</v>
      </c>
      <c r="Z137">
        <v>6.317062057275336</v>
      </c>
      <c r="AA137">
        <v>5691</v>
      </c>
      <c r="AB137">
        <v>5236941</v>
      </c>
      <c r="AC137" t="s">
        <v>3513</v>
      </c>
      <c r="AD137">
        <v>51.47</v>
      </c>
      <c r="AE137" t="s">
        <v>4192</v>
      </c>
      <c r="AF137" t="s">
        <v>4864</v>
      </c>
      <c r="AG137">
        <v>59942</v>
      </c>
      <c r="AH137">
        <v>703</v>
      </c>
      <c r="AI137">
        <v>118489</v>
      </c>
    </row>
    <row r="138" spans="1:36">
      <c r="A138" s="1" t="s">
        <v>172</v>
      </c>
      <c r="B138" t="s">
        <v>851</v>
      </c>
      <c r="C138">
        <f>HYPERLINK("https://finance.naver.com/item/coinfo.nhn?code=012450", "A012450")</f>
        <v>0</v>
      </c>
      <c r="D138">
        <f>HYPERLINK("http://comp.fnguide.com/SVO2/ASP/SVD_Consensus.asp?pGB=1&amp;gicode=A012450&amp;cID=&amp;MenuYn=Y&amp;ReportGB=&amp;NewMenuID=108&amp;stkGb=701", "한화에어로스페이스")</f>
        <v>0</v>
      </c>
      <c r="E138">
        <v>3</v>
      </c>
      <c r="F138">
        <v>43250</v>
      </c>
      <c r="G138">
        <v>0.15</v>
      </c>
      <c r="H138">
        <v>11.93</v>
      </c>
      <c r="I138">
        <v>27761</v>
      </c>
      <c r="J138">
        <v>41776</v>
      </c>
      <c r="K138">
        <v>45858</v>
      </c>
      <c r="L138">
        <v>35.81</v>
      </c>
      <c r="M138">
        <v>3.41</v>
      </c>
      <c r="N138">
        <v>-6.03</v>
      </c>
      <c r="O138">
        <v>4.44</v>
      </c>
      <c r="P138" t="b">
        <v>1</v>
      </c>
      <c r="Q138">
        <v>1</v>
      </c>
      <c r="R138">
        <v>2388</v>
      </c>
      <c r="S138">
        <v>3456</v>
      </c>
      <c r="T138">
        <v>44.7</v>
      </c>
      <c r="U138" t="s">
        <v>1530</v>
      </c>
      <c r="V138" t="s">
        <v>2209</v>
      </c>
      <c r="W138">
        <v>77.42164852463831</v>
      </c>
      <c r="X138">
        <v>-6.5</v>
      </c>
      <c r="Y138" t="s">
        <v>2878</v>
      </c>
      <c r="Z138">
        <v>514.8247544703064</v>
      </c>
      <c r="AA138">
        <v>21897</v>
      </c>
      <c r="AB138">
        <v>1074285</v>
      </c>
      <c r="AC138" t="s">
        <v>3514</v>
      </c>
      <c r="AD138">
        <v>33.98</v>
      </c>
      <c r="AE138" t="s">
        <v>4193</v>
      </c>
      <c r="AF138" t="s">
        <v>4865</v>
      </c>
      <c r="AG138">
        <v>53214</v>
      </c>
      <c r="AH138">
        <v>2439</v>
      </c>
      <c r="AI138">
        <v>48096</v>
      </c>
      <c r="AJ138">
        <v>2.11</v>
      </c>
    </row>
    <row r="139" spans="1:36">
      <c r="A139" s="1" t="s">
        <v>173</v>
      </c>
      <c r="B139" t="s">
        <v>852</v>
      </c>
      <c r="C139">
        <f>HYPERLINK("https://finance.naver.com/item/coinfo.nhn?code=003530", "A003530")</f>
        <v>0</v>
      </c>
      <c r="D139">
        <f>HYPERLINK("http://comp.fnguide.com/SVO2/ASP/SVD_Consensus.asp?pGB=1&amp;gicode=A003530&amp;cID=&amp;MenuYn=Y&amp;ReportGB=&amp;NewMenuID=108&amp;stkGb=701", "한화투자증권")</f>
        <v>0</v>
      </c>
      <c r="E139">
        <v>3</v>
      </c>
      <c r="F139">
        <v>5150</v>
      </c>
      <c r="G139">
        <v>0</v>
      </c>
      <c r="H139">
        <v>7.17</v>
      </c>
      <c r="I139">
        <v>5151</v>
      </c>
      <c r="J139">
        <v>5568</v>
      </c>
      <c r="K139">
        <v>5689</v>
      </c>
      <c r="L139">
        <v>-0.03</v>
      </c>
      <c r="M139">
        <v>-8.109999999999999</v>
      </c>
      <c r="N139">
        <v>-10.47</v>
      </c>
      <c r="O139">
        <v>7.23</v>
      </c>
      <c r="P139" t="b">
        <v>0</v>
      </c>
      <c r="Q139">
        <v>0</v>
      </c>
      <c r="R139">
        <v>306</v>
      </c>
      <c r="U139" t="s">
        <v>1531</v>
      </c>
      <c r="V139" t="s">
        <v>2210</v>
      </c>
      <c r="W139">
        <v>0</v>
      </c>
      <c r="X139">
        <v>5.6</v>
      </c>
      <c r="Y139" t="s">
        <v>2879</v>
      </c>
      <c r="Z139">
        <v>1.198253714038988</v>
      </c>
      <c r="AA139">
        <v>11049</v>
      </c>
      <c r="AB139">
        <v>4844810</v>
      </c>
      <c r="AC139" t="s">
        <v>3515</v>
      </c>
      <c r="AD139">
        <v>46.22</v>
      </c>
      <c r="AE139" t="s">
        <v>4194</v>
      </c>
      <c r="AF139" t="s">
        <v>4866</v>
      </c>
      <c r="AG139">
        <v>3534</v>
      </c>
      <c r="AH139">
        <v>1000</v>
      </c>
      <c r="AI139">
        <v>677387</v>
      </c>
    </row>
    <row r="140" spans="1:36">
      <c r="A140" s="1" t="s">
        <v>174</v>
      </c>
      <c r="B140" t="s">
        <v>853</v>
      </c>
      <c r="C140">
        <f>HYPERLINK("https://finance.naver.com/item/coinfo.nhn?code=143210", "A143210")</f>
        <v>0</v>
      </c>
      <c r="D140">
        <f>HYPERLINK("http://comp.fnguide.com/SVO2/ASP/SVD_Consensus.asp?pGB=1&amp;gicode=A143210&amp;cID=&amp;MenuYn=Y&amp;ReportGB=&amp;NewMenuID=108&amp;stkGb=701", "핸즈코퍼레이션")</f>
        <v>0</v>
      </c>
      <c r="E140">
        <v>3</v>
      </c>
      <c r="F140">
        <v>6540</v>
      </c>
      <c r="G140">
        <v>0</v>
      </c>
      <c r="I140">
        <v>1653</v>
      </c>
      <c r="J140">
        <v>9364</v>
      </c>
      <c r="K140">
        <v>11611</v>
      </c>
      <c r="L140">
        <v>74.73</v>
      </c>
      <c r="M140">
        <v>-43.19</v>
      </c>
      <c r="N140">
        <v>-77.53</v>
      </c>
      <c r="O140">
        <v>0.93</v>
      </c>
      <c r="P140" t="b">
        <v>0</v>
      </c>
      <c r="Q140">
        <v>0</v>
      </c>
      <c r="R140">
        <v>-360</v>
      </c>
      <c r="U140" t="s">
        <v>1532</v>
      </c>
      <c r="V140" t="s">
        <v>2211</v>
      </c>
      <c r="W140">
        <v>0</v>
      </c>
      <c r="X140">
        <v>0</v>
      </c>
      <c r="Y140" t="s">
        <v>2880</v>
      </c>
      <c r="Z140">
        <v>-30.84111885319059</v>
      </c>
      <c r="AA140">
        <v>1430</v>
      </c>
      <c r="AB140">
        <v>69494</v>
      </c>
      <c r="AC140" t="s">
        <v>3516</v>
      </c>
      <c r="AD140">
        <v>60.27</v>
      </c>
      <c r="AE140" t="s">
        <v>4195</v>
      </c>
      <c r="AF140" t="s">
        <v>4867</v>
      </c>
      <c r="AG140">
        <v>5727</v>
      </c>
      <c r="AH140">
        <v>-52</v>
      </c>
      <c r="AI140">
        <v>382042</v>
      </c>
      <c r="AJ140">
        <v>0</v>
      </c>
    </row>
    <row r="141" spans="1:36">
      <c r="A141" s="1" t="s">
        <v>175</v>
      </c>
      <c r="B141" t="s">
        <v>854</v>
      </c>
      <c r="C141">
        <f>HYPERLINK("https://finance.naver.com/item/coinfo.nhn?code=000720", "A000720")</f>
        <v>0</v>
      </c>
      <c r="D141">
        <f>HYPERLINK("http://comp.fnguide.com/SVO2/ASP/SVD_Consensus.asp?pGB=1&amp;gicode=A000720&amp;cID=&amp;MenuYn=Y&amp;ReportGB=&amp;NewMenuID=108&amp;stkGb=701", "현대건설")</f>
        <v>0</v>
      </c>
      <c r="E141">
        <v>3</v>
      </c>
      <c r="F141">
        <v>51900</v>
      </c>
      <c r="G141">
        <v>4.69</v>
      </c>
      <c r="H141">
        <v>34.12</v>
      </c>
      <c r="I141">
        <v>29113</v>
      </c>
      <c r="J141">
        <v>47195</v>
      </c>
      <c r="K141">
        <v>52461</v>
      </c>
      <c r="L141">
        <v>43.9</v>
      </c>
      <c r="M141">
        <v>9.07</v>
      </c>
      <c r="N141">
        <v>-1.08</v>
      </c>
      <c r="O141">
        <v>4.02</v>
      </c>
      <c r="P141" t="b">
        <v>0</v>
      </c>
      <c r="Q141">
        <v>1</v>
      </c>
      <c r="R141">
        <v>1098</v>
      </c>
      <c r="S141">
        <v>4231</v>
      </c>
      <c r="T141">
        <v>285.3</v>
      </c>
      <c r="U141" t="s">
        <v>1533</v>
      </c>
      <c r="V141" t="s">
        <v>2212</v>
      </c>
      <c r="W141">
        <v>7.274666274702235</v>
      </c>
      <c r="X141">
        <v>-70</v>
      </c>
      <c r="Y141" t="s">
        <v>2881</v>
      </c>
      <c r="Z141">
        <v>-21.93162277884698</v>
      </c>
      <c r="AA141">
        <v>57794</v>
      </c>
      <c r="AB141">
        <v>578649</v>
      </c>
      <c r="AC141" t="s">
        <v>3517</v>
      </c>
      <c r="AD141">
        <v>34.92</v>
      </c>
      <c r="AE141" t="s">
        <v>4196</v>
      </c>
      <c r="AF141" t="s">
        <v>4868</v>
      </c>
      <c r="AG141">
        <v>169709</v>
      </c>
      <c r="AH141">
        <v>5490</v>
      </c>
      <c r="AJ141">
        <v>1.6</v>
      </c>
    </row>
    <row r="142" spans="1:36">
      <c r="A142" s="1" t="s">
        <v>176</v>
      </c>
      <c r="B142" t="s">
        <v>855</v>
      </c>
      <c r="C142">
        <f>HYPERLINK("https://finance.naver.com/item/coinfo.nhn?code=005440", "A005440")</f>
        <v>0</v>
      </c>
      <c r="D142">
        <f>HYPERLINK("http://comp.fnguide.com/SVO2/ASP/SVD_Consensus.asp?pGB=1&amp;gicode=A005440&amp;cID=&amp;MenuYn=Y&amp;ReportGB=&amp;NewMenuID=108&amp;stkGb=701", "현대그린푸드")</f>
        <v>0</v>
      </c>
      <c r="E142">
        <v>3</v>
      </c>
      <c r="F142">
        <v>11300</v>
      </c>
      <c r="G142">
        <v>-3.49</v>
      </c>
      <c r="H142">
        <v>12.03</v>
      </c>
      <c r="I142">
        <v>10221</v>
      </c>
      <c r="J142">
        <v>16268</v>
      </c>
      <c r="K142">
        <v>18029</v>
      </c>
      <c r="L142">
        <v>9.539999999999999</v>
      </c>
      <c r="M142">
        <v>-43.97</v>
      </c>
      <c r="N142">
        <v>-59.55</v>
      </c>
      <c r="O142">
        <v>4.12</v>
      </c>
      <c r="P142" t="b">
        <v>1</v>
      </c>
      <c r="Q142">
        <v>2</v>
      </c>
      <c r="R142">
        <v>728</v>
      </c>
      <c r="S142">
        <v>951</v>
      </c>
      <c r="T142">
        <v>30.6</v>
      </c>
      <c r="U142" t="s">
        <v>1534</v>
      </c>
      <c r="V142" t="s">
        <v>2213</v>
      </c>
      <c r="W142">
        <v>-3.445882932148558</v>
      </c>
      <c r="X142">
        <v>29.8</v>
      </c>
      <c r="Y142" t="s">
        <v>2882</v>
      </c>
      <c r="Z142">
        <v>-4.768865027214253</v>
      </c>
      <c r="AA142">
        <v>11041</v>
      </c>
      <c r="AB142">
        <v>2982082</v>
      </c>
      <c r="AC142" t="s">
        <v>3518</v>
      </c>
      <c r="AD142">
        <v>38.44</v>
      </c>
      <c r="AE142" t="s">
        <v>4197</v>
      </c>
      <c r="AF142" t="s">
        <v>4869</v>
      </c>
      <c r="AG142">
        <v>32385</v>
      </c>
      <c r="AH142">
        <v>786</v>
      </c>
      <c r="AI142">
        <v>10397555</v>
      </c>
      <c r="AJ142">
        <v>2.4</v>
      </c>
    </row>
    <row r="143" spans="1:36">
      <c r="A143" s="1" t="s">
        <v>177</v>
      </c>
      <c r="B143" t="s">
        <v>856</v>
      </c>
      <c r="C143">
        <f>HYPERLINK("https://finance.naver.com/item/coinfo.nhn?code=012330", "A012330")</f>
        <v>0</v>
      </c>
      <c r="D143">
        <f>HYPERLINK("http://comp.fnguide.com/SVO2/ASP/SVD_Consensus.asp?pGB=1&amp;gicode=A012330&amp;cID=&amp;MenuYn=Y&amp;ReportGB=&amp;NewMenuID=108&amp;stkGb=701", "현대모비스")</f>
        <v>0</v>
      </c>
      <c r="E143">
        <v>3</v>
      </c>
      <c r="F143">
        <v>275000</v>
      </c>
      <c r="G143">
        <v>1.17</v>
      </c>
      <c r="H143">
        <v>15.89</v>
      </c>
      <c r="I143">
        <v>255960</v>
      </c>
      <c r="J143">
        <v>319146</v>
      </c>
      <c r="K143">
        <v>337551</v>
      </c>
      <c r="L143">
        <v>6.92</v>
      </c>
      <c r="M143">
        <v>-16.05</v>
      </c>
      <c r="N143">
        <v>-22.75</v>
      </c>
      <c r="O143">
        <v>5.81</v>
      </c>
      <c r="P143" t="b">
        <v>1</v>
      </c>
      <c r="Q143">
        <v>1</v>
      </c>
      <c r="R143">
        <v>16083</v>
      </c>
      <c r="S143">
        <v>28470</v>
      </c>
      <c r="T143">
        <v>77</v>
      </c>
      <c r="U143" t="s">
        <v>1535</v>
      </c>
      <c r="V143" t="s">
        <v>2214</v>
      </c>
      <c r="W143">
        <v>13.63516793699446</v>
      </c>
      <c r="X143">
        <v>-32.6</v>
      </c>
      <c r="Y143" t="s">
        <v>2883</v>
      </c>
      <c r="Z143">
        <v>-12.51821655630367</v>
      </c>
      <c r="AA143">
        <v>260681</v>
      </c>
      <c r="AB143">
        <v>332608</v>
      </c>
      <c r="AC143" t="s">
        <v>3519</v>
      </c>
      <c r="AD143">
        <v>31.3</v>
      </c>
      <c r="AE143" t="s">
        <v>4198</v>
      </c>
      <c r="AF143" t="s">
        <v>4870</v>
      </c>
      <c r="AG143">
        <v>366265</v>
      </c>
      <c r="AH143">
        <v>18303</v>
      </c>
      <c r="AI143">
        <v>3021000</v>
      </c>
      <c r="AJ143">
        <v>1.57</v>
      </c>
    </row>
    <row r="144" spans="1:36">
      <c r="A144" s="1" t="s">
        <v>178</v>
      </c>
      <c r="B144" t="s">
        <v>857</v>
      </c>
      <c r="C144">
        <f>HYPERLINK("https://finance.naver.com/item/coinfo.nhn?code=001500", "A001500")</f>
        <v>0</v>
      </c>
      <c r="D144">
        <f>HYPERLINK("http://comp.fnguide.com/SVO2/ASP/SVD_Consensus.asp?pGB=1&amp;gicode=A001500&amp;cID=&amp;MenuYn=Y&amp;ReportGB=&amp;NewMenuID=108&amp;stkGb=701", "현대차증권")</f>
        <v>0</v>
      </c>
      <c r="E144">
        <v>3</v>
      </c>
      <c r="F144">
        <v>14450</v>
      </c>
      <c r="G144">
        <v>0</v>
      </c>
      <c r="H144">
        <v>5.79</v>
      </c>
      <c r="I144">
        <v>32685</v>
      </c>
      <c r="J144">
        <v>33853</v>
      </c>
      <c r="K144">
        <v>34194</v>
      </c>
      <c r="L144">
        <v>-126.19</v>
      </c>
      <c r="M144">
        <v>-134.28</v>
      </c>
      <c r="N144">
        <v>-136.63</v>
      </c>
      <c r="O144">
        <v>7.75</v>
      </c>
      <c r="P144" t="b">
        <v>0</v>
      </c>
      <c r="Q144">
        <v>0</v>
      </c>
      <c r="R144">
        <v>2175</v>
      </c>
      <c r="U144" t="s">
        <v>1536</v>
      </c>
      <c r="V144" t="s">
        <v>2215</v>
      </c>
      <c r="W144">
        <v>0</v>
      </c>
      <c r="X144">
        <v>8.199999999999999</v>
      </c>
      <c r="Y144" t="s">
        <v>2884</v>
      </c>
      <c r="Z144">
        <v>6.67364594744031</v>
      </c>
      <c r="AA144">
        <v>4342</v>
      </c>
      <c r="AB144">
        <v>167589</v>
      </c>
      <c r="AC144" t="s">
        <v>3520</v>
      </c>
      <c r="AD144">
        <v>48.29</v>
      </c>
      <c r="AE144" t="s">
        <v>4199</v>
      </c>
      <c r="AF144" t="s">
        <v>4871</v>
      </c>
      <c r="AG144">
        <v>2765</v>
      </c>
      <c r="AH144">
        <v>1174</v>
      </c>
      <c r="AJ144">
        <v>5.36</v>
      </c>
    </row>
    <row r="145" spans="1:36">
      <c r="A145" s="1" t="s">
        <v>179</v>
      </c>
      <c r="B145" t="s">
        <v>858</v>
      </c>
      <c r="C145">
        <f>HYPERLINK("https://finance.naver.com/item/coinfo.nhn?code=069960", "A069960")</f>
        <v>0</v>
      </c>
      <c r="D145">
        <f>HYPERLINK("http://comp.fnguide.com/SVO2/ASP/SVD_Consensus.asp?pGB=1&amp;gicode=A069960&amp;cID=&amp;MenuYn=Y&amp;ReportGB=&amp;NewMenuID=108&amp;stkGb=701", "현대백화점")</f>
        <v>0</v>
      </c>
      <c r="E145">
        <v>3</v>
      </c>
      <c r="F145">
        <v>91100</v>
      </c>
      <c r="G145">
        <v>-3.09</v>
      </c>
      <c r="H145">
        <v>23.76</v>
      </c>
      <c r="I145">
        <v>79719</v>
      </c>
      <c r="J145">
        <v>148323</v>
      </c>
      <c r="K145">
        <v>168306</v>
      </c>
      <c r="L145">
        <v>12.49</v>
      </c>
      <c r="M145">
        <v>-62.81</v>
      </c>
      <c r="N145">
        <v>-84.75</v>
      </c>
      <c r="O145">
        <v>3.36</v>
      </c>
      <c r="P145" t="b">
        <v>1</v>
      </c>
      <c r="Q145">
        <v>1</v>
      </c>
      <c r="R145">
        <v>3005</v>
      </c>
      <c r="S145">
        <v>8042</v>
      </c>
      <c r="T145">
        <v>167.6</v>
      </c>
      <c r="U145" t="s">
        <v>1537</v>
      </c>
      <c r="V145" t="s">
        <v>2216</v>
      </c>
      <c r="W145">
        <v>-7.689684291652221</v>
      </c>
      <c r="X145">
        <v>-63.8</v>
      </c>
      <c r="Y145" t="s">
        <v>2885</v>
      </c>
      <c r="Z145">
        <v>-21.84050164564667</v>
      </c>
      <c r="AA145">
        <v>21320</v>
      </c>
      <c r="AB145">
        <v>159956</v>
      </c>
      <c r="AC145" t="s">
        <v>3521</v>
      </c>
      <c r="AD145">
        <v>36.08</v>
      </c>
      <c r="AE145" t="s">
        <v>4200</v>
      </c>
      <c r="AF145" t="s">
        <v>4872</v>
      </c>
      <c r="AG145">
        <v>22732</v>
      </c>
      <c r="AH145">
        <v>1359</v>
      </c>
      <c r="AI145">
        <v>1547255</v>
      </c>
      <c r="AJ145">
        <v>1.4</v>
      </c>
    </row>
    <row r="146" spans="1:36">
      <c r="A146" s="1" t="s">
        <v>180</v>
      </c>
      <c r="B146" t="s">
        <v>859</v>
      </c>
      <c r="C146">
        <f>HYPERLINK("https://finance.naver.com/item/coinfo.nhn?code=004560", "A004560")</f>
        <v>0</v>
      </c>
      <c r="D146">
        <f>HYPERLINK("http://comp.fnguide.com/SVO2/ASP/SVD_Consensus.asp?pGB=1&amp;gicode=A004560&amp;cID=&amp;MenuYn=Y&amp;ReportGB=&amp;NewMenuID=108&amp;stkGb=701", "현대비앤지스틸")</f>
        <v>0</v>
      </c>
      <c r="E146">
        <v>3</v>
      </c>
      <c r="F146">
        <v>20950</v>
      </c>
      <c r="G146">
        <v>0</v>
      </c>
      <c r="H146">
        <v>6.35</v>
      </c>
      <c r="I146">
        <v>19210</v>
      </c>
      <c r="J146">
        <v>24679</v>
      </c>
      <c r="K146">
        <v>26272</v>
      </c>
      <c r="L146">
        <v>8.31</v>
      </c>
      <c r="M146">
        <v>-17.8</v>
      </c>
      <c r="N146">
        <v>-25.4</v>
      </c>
      <c r="O146">
        <v>5.56</v>
      </c>
      <c r="P146" t="b">
        <v>1</v>
      </c>
      <c r="Q146">
        <v>0</v>
      </c>
      <c r="R146">
        <v>1554</v>
      </c>
      <c r="U146" t="s">
        <v>1538</v>
      </c>
      <c r="V146" t="s">
        <v>2217</v>
      </c>
      <c r="W146">
        <v>0</v>
      </c>
      <c r="X146">
        <v>497.4</v>
      </c>
      <c r="Y146" t="s">
        <v>2886</v>
      </c>
      <c r="Z146">
        <v>45.15736446527265</v>
      </c>
      <c r="AA146">
        <v>3159</v>
      </c>
      <c r="AB146">
        <v>741600</v>
      </c>
      <c r="AC146" t="s">
        <v>3522</v>
      </c>
      <c r="AD146">
        <v>46.1</v>
      </c>
      <c r="AE146" t="s">
        <v>4201</v>
      </c>
      <c r="AF146" t="s">
        <v>4873</v>
      </c>
      <c r="AG146">
        <v>6802</v>
      </c>
      <c r="AH146">
        <v>334</v>
      </c>
      <c r="AJ146">
        <v>1.01</v>
      </c>
    </row>
    <row r="147" spans="1:36">
      <c r="A147" s="1" t="s">
        <v>181</v>
      </c>
      <c r="B147" t="s">
        <v>860</v>
      </c>
      <c r="C147">
        <f>HYPERLINK("https://finance.naver.com/item/coinfo.nhn?code=011210", "A011210")</f>
        <v>0</v>
      </c>
      <c r="D147">
        <f>HYPERLINK("http://comp.fnguide.com/SVO2/ASP/SVD_Consensus.asp?pGB=1&amp;gicode=A011210&amp;cID=&amp;MenuYn=Y&amp;ReportGB=&amp;NewMenuID=108&amp;stkGb=701", "현대위아")</f>
        <v>0</v>
      </c>
      <c r="E147">
        <v>3</v>
      </c>
      <c r="F147">
        <v>81000</v>
      </c>
      <c r="G147">
        <v>0</v>
      </c>
      <c r="H147">
        <v>23.86</v>
      </c>
      <c r="I147">
        <v>22564</v>
      </c>
      <c r="J147">
        <v>78888</v>
      </c>
      <c r="K147">
        <v>95294</v>
      </c>
      <c r="L147">
        <v>72.14</v>
      </c>
      <c r="M147">
        <v>2.61</v>
      </c>
      <c r="N147">
        <v>-17.65</v>
      </c>
      <c r="O147">
        <v>1.58</v>
      </c>
      <c r="P147" t="b">
        <v>1</v>
      </c>
      <c r="Q147">
        <v>3</v>
      </c>
      <c r="R147">
        <v>2242</v>
      </c>
      <c r="S147">
        <v>4516</v>
      </c>
      <c r="T147">
        <v>101.4</v>
      </c>
      <c r="U147" t="s">
        <v>1539</v>
      </c>
      <c r="V147" t="s">
        <v>2218</v>
      </c>
      <c r="W147">
        <v>0</v>
      </c>
      <c r="X147">
        <v>10.4</v>
      </c>
      <c r="Y147" t="s">
        <v>2887</v>
      </c>
      <c r="Z147">
        <v>-33.5470090966554</v>
      </c>
      <c r="AA147">
        <v>22028</v>
      </c>
      <c r="AB147">
        <v>990304</v>
      </c>
      <c r="AC147" t="s">
        <v>3523</v>
      </c>
      <c r="AD147">
        <v>40.75</v>
      </c>
      <c r="AE147" t="s">
        <v>4202</v>
      </c>
      <c r="AF147" t="s">
        <v>4874</v>
      </c>
      <c r="AG147">
        <v>65922</v>
      </c>
      <c r="AH147">
        <v>720</v>
      </c>
      <c r="AI147">
        <v>633354</v>
      </c>
      <c r="AJ147">
        <v>1.31</v>
      </c>
    </row>
    <row r="148" spans="1:36">
      <c r="A148" s="1" t="s">
        <v>182</v>
      </c>
      <c r="B148" t="s">
        <v>861</v>
      </c>
      <c r="C148">
        <f>HYPERLINK("https://finance.naver.com/item/coinfo.nhn?code=004020", "A004020")</f>
        <v>0</v>
      </c>
      <c r="D148">
        <f>HYPERLINK("http://comp.fnguide.com/SVO2/ASP/SVD_Consensus.asp?pGB=1&amp;gicode=A004020&amp;cID=&amp;MenuYn=Y&amp;ReportGB=&amp;NewMenuID=108&amp;stkGb=701", "현대제철")</f>
        <v>0</v>
      </c>
      <c r="E148">
        <v>3</v>
      </c>
      <c r="F148">
        <v>55900</v>
      </c>
      <c r="I148">
        <v>6525</v>
      </c>
      <c r="J148">
        <v>76453</v>
      </c>
      <c r="K148">
        <v>96822</v>
      </c>
      <c r="L148">
        <v>88.33</v>
      </c>
      <c r="M148">
        <v>-36.77</v>
      </c>
      <c r="N148">
        <v>-73.20999999999999</v>
      </c>
      <c r="O148">
        <v>0.43</v>
      </c>
      <c r="P148" t="b">
        <v>0</v>
      </c>
      <c r="Q148">
        <v>1</v>
      </c>
      <c r="R148">
        <v>-3222</v>
      </c>
      <c r="S148">
        <v>5979</v>
      </c>
      <c r="T148">
        <v>-285.6</v>
      </c>
      <c r="U148" t="s">
        <v>1540</v>
      </c>
      <c r="V148" t="s">
        <v>2219</v>
      </c>
      <c r="W148">
        <v>26.17928152792706</v>
      </c>
      <c r="X148">
        <v>0</v>
      </c>
      <c r="Y148" t="s">
        <v>2888</v>
      </c>
      <c r="Z148">
        <v>-61.53051326981684</v>
      </c>
      <c r="AA148">
        <v>74596</v>
      </c>
      <c r="AB148">
        <v>1868784</v>
      </c>
      <c r="AC148" t="s">
        <v>3524</v>
      </c>
      <c r="AD148">
        <v>35.97</v>
      </c>
      <c r="AE148" t="s">
        <v>4203</v>
      </c>
      <c r="AF148" t="s">
        <v>4875</v>
      </c>
      <c r="AG148">
        <v>180234</v>
      </c>
      <c r="AH148">
        <v>730</v>
      </c>
      <c r="AI148">
        <v>1900046</v>
      </c>
      <c r="AJ148">
        <v>1.26</v>
      </c>
    </row>
    <row r="149" spans="1:36">
      <c r="A149" s="1" t="s">
        <v>183</v>
      </c>
      <c r="B149" t="s">
        <v>862</v>
      </c>
      <c r="C149">
        <f>HYPERLINK("https://finance.naver.com/item/coinfo.nhn?code=267250", "A267250")</f>
        <v>0</v>
      </c>
      <c r="D149">
        <f>HYPERLINK("http://comp.fnguide.com/SVO2/ASP/SVD_Consensus.asp?pGB=1&amp;gicode=A267250&amp;cID=&amp;MenuYn=Y&amp;ReportGB=&amp;NewMenuID=108&amp;stkGb=701", "현대중공업지주")</f>
        <v>0</v>
      </c>
      <c r="E149">
        <v>3</v>
      </c>
      <c r="F149">
        <v>73400</v>
      </c>
      <c r="I149">
        <v>15960</v>
      </c>
      <c r="J149">
        <v>65440</v>
      </c>
      <c r="K149">
        <v>79853</v>
      </c>
      <c r="L149">
        <v>78.26000000000001</v>
      </c>
      <c r="M149">
        <v>10.84</v>
      </c>
      <c r="N149">
        <v>-8.789999999999999</v>
      </c>
      <c r="O149">
        <v>1.32</v>
      </c>
      <c r="P149" t="b">
        <v>0</v>
      </c>
      <c r="Q149">
        <v>1</v>
      </c>
      <c r="R149">
        <v>-7631</v>
      </c>
      <c r="S149">
        <v>4965</v>
      </c>
      <c r="T149">
        <v>-165.1</v>
      </c>
      <c r="U149" t="s">
        <v>1541</v>
      </c>
      <c r="V149" t="s">
        <v>2220</v>
      </c>
      <c r="W149">
        <v>14.63864544626274</v>
      </c>
      <c r="X149">
        <v>0</v>
      </c>
      <c r="Y149" t="s">
        <v>2889</v>
      </c>
      <c r="Z149">
        <v>0</v>
      </c>
      <c r="AA149">
        <v>57981</v>
      </c>
      <c r="AB149">
        <v>432497</v>
      </c>
      <c r="AC149" t="s">
        <v>3525</v>
      </c>
      <c r="AD149">
        <v>34.36</v>
      </c>
      <c r="AE149" t="s">
        <v>4204</v>
      </c>
      <c r="AF149" t="s">
        <v>4876</v>
      </c>
      <c r="AG149">
        <v>189110</v>
      </c>
      <c r="AH149">
        <v>-5971</v>
      </c>
      <c r="AI149">
        <v>8324655</v>
      </c>
      <c r="AJ149">
        <v>6.53</v>
      </c>
    </row>
    <row r="150" spans="1:36">
      <c r="A150" s="1" t="s">
        <v>184</v>
      </c>
      <c r="B150" t="s">
        <v>863</v>
      </c>
      <c r="C150">
        <f>HYPERLINK("https://finance.naver.com/item/coinfo.nhn?code=005380", "A005380")</f>
        <v>0</v>
      </c>
      <c r="D150">
        <f>HYPERLINK("http://comp.fnguide.com/SVO2/ASP/SVD_Consensus.asp?pGB=1&amp;gicode=A005380&amp;cID=&amp;MenuYn=Y&amp;ReportGB=&amp;NewMenuID=108&amp;stkGb=701", "현대차")</f>
        <v>0</v>
      </c>
      <c r="E150">
        <v>3</v>
      </c>
      <c r="F150">
        <v>229000</v>
      </c>
      <c r="G150">
        <v>0.68</v>
      </c>
      <c r="H150">
        <v>37.33</v>
      </c>
      <c r="I150">
        <v>119120</v>
      </c>
      <c r="J150">
        <v>254118</v>
      </c>
      <c r="K150">
        <v>293441</v>
      </c>
      <c r="L150">
        <v>47.98</v>
      </c>
      <c r="M150">
        <v>-10.97</v>
      </c>
      <c r="N150">
        <v>-28.14</v>
      </c>
      <c r="O150">
        <v>2.83</v>
      </c>
      <c r="P150" t="b">
        <v>1</v>
      </c>
      <c r="Q150">
        <v>1</v>
      </c>
      <c r="R150">
        <v>5144</v>
      </c>
      <c r="S150">
        <v>19942</v>
      </c>
      <c r="T150">
        <v>287.7</v>
      </c>
      <c r="U150" t="s">
        <v>1542</v>
      </c>
      <c r="V150" t="s">
        <v>2221</v>
      </c>
      <c r="W150">
        <v>55.04053419255976</v>
      </c>
      <c r="X150">
        <v>-52.2</v>
      </c>
      <c r="Y150" t="s">
        <v>2890</v>
      </c>
      <c r="Z150">
        <v>-25.54291677041385</v>
      </c>
      <c r="AA150">
        <v>489300</v>
      </c>
      <c r="AB150">
        <v>1357407</v>
      </c>
      <c r="AC150" t="s">
        <v>3526</v>
      </c>
      <c r="AD150">
        <v>29.38</v>
      </c>
      <c r="AE150" t="s">
        <v>4205</v>
      </c>
      <c r="AF150" t="s">
        <v>4877</v>
      </c>
      <c r="AG150">
        <v>1039976</v>
      </c>
      <c r="AH150">
        <v>23947</v>
      </c>
      <c r="AI150">
        <v>13091418</v>
      </c>
      <c r="AJ150">
        <v>1.56</v>
      </c>
    </row>
    <row r="151" spans="1:36">
      <c r="A151" s="1" t="s">
        <v>185</v>
      </c>
      <c r="B151" t="s">
        <v>864</v>
      </c>
      <c r="C151">
        <f>HYPERLINK("https://finance.naver.com/item/coinfo.nhn?code=006730", "A006730")</f>
        <v>0</v>
      </c>
      <c r="D151">
        <f>HYPERLINK("http://comp.fnguide.com/SVO2/ASP/SVD_Consensus.asp?pGB=1&amp;gicode=A006730&amp;cID=&amp;MenuYn=Y&amp;ReportGB=&amp;NewMenuID=108&amp;stkGb=701", "서부T&amp;D")</f>
        <v>0</v>
      </c>
      <c r="E151">
        <v>3</v>
      </c>
      <c r="F151">
        <v>8120</v>
      </c>
      <c r="G151">
        <v>0</v>
      </c>
      <c r="I151">
        <v>4</v>
      </c>
      <c r="J151">
        <v>6519</v>
      </c>
      <c r="K151">
        <v>8417</v>
      </c>
      <c r="L151">
        <v>99.95</v>
      </c>
      <c r="M151">
        <v>19.72</v>
      </c>
      <c r="N151">
        <v>-3.65</v>
      </c>
      <c r="O151">
        <v>0</v>
      </c>
      <c r="P151" t="b">
        <v>0</v>
      </c>
      <c r="Q151">
        <v>0</v>
      </c>
      <c r="R151">
        <v>-585</v>
      </c>
      <c r="U151" t="s">
        <v>1543</v>
      </c>
      <c r="V151" t="s">
        <v>2222</v>
      </c>
      <c r="W151">
        <v>0</v>
      </c>
      <c r="X151">
        <v>0</v>
      </c>
      <c r="Y151" t="s">
        <v>2762</v>
      </c>
      <c r="Z151">
        <v>0</v>
      </c>
      <c r="AA151">
        <v>4812</v>
      </c>
      <c r="AB151">
        <v>176928</v>
      </c>
      <c r="AC151" t="s">
        <v>3527</v>
      </c>
      <c r="AD151">
        <v>53.92</v>
      </c>
      <c r="AE151" t="s">
        <v>4206</v>
      </c>
      <c r="AF151" t="s">
        <v>4878</v>
      </c>
      <c r="AG151">
        <v>848</v>
      </c>
      <c r="AH151">
        <v>-227</v>
      </c>
      <c r="AI151">
        <v>2216091</v>
      </c>
      <c r="AJ151">
        <v>0.65</v>
      </c>
    </row>
    <row r="152" spans="1:36">
      <c r="A152" s="1" t="s">
        <v>186</v>
      </c>
      <c r="B152" t="s">
        <v>865</v>
      </c>
      <c r="C152">
        <f>HYPERLINK("https://finance.naver.com/item/coinfo.nhn?code=027040", "A027040")</f>
        <v>0</v>
      </c>
      <c r="D152">
        <f>HYPERLINK("http://comp.fnguide.com/SVO2/ASP/SVD_Consensus.asp?pGB=1&amp;gicode=A027040&amp;cID=&amp;MenuYn=Y&amp;ReportGB=&amp;NewMenuID=108&amp;stkGb=701", "서울전자통신")</f>
        <v>0</v>
      </c>
      <c r="E152">
        <v>3</v>
      </c>
      <c r="F152">
        <v>982</v>
      </c>
      <c r="G152">
        <v>0</v>
      </c>
      <c r="I152">
        <v>409</v>
      </c>
      <c r="J152">
        <v>1109</v>
      </c>
      <c r="K152">
        <v>1313</v>
      </c>
      <c r="L152">
        <v>58.36</v>
      </c>
      <c r="M152">
        <v>-12.95</v>
      </c>
      <c r="N152">
        <v>-33.72</v>
      </c>
      <c r="O152">
        <v>2.12</v>
      </c>
      <c r="P152" t="b">
        <v>0</v>
      </c>
      <c r="Q152">
        <v>0</v>
      </c>
      <c r="R152">
        <v>-48</v>
      </c>
      <c r="U152" t="s">
        <v>1544</v>
      </c>
      <c r="V152" t="s">
        <v>2223</v>
      </c>
      <c r="W152">
        <v>0</v>
      </c>
      <c r="X152">
        <v>0</v>
      </c>
      <c r="Y152" t="s">
        <v>2762</v>
      </c>
      <c r="Z152">
        <v>0</v>
      </c>
      <c r="AA152">
        <v>683</v>
      </c>
      <c r="AB152">
        <v>657605</v>
      </c>
      <c r="AC152" t="s">
        <v>3528</v>
      </c>
      <c r="AD152">
        <v>41.86</v>
      </c>
      <c r="AE152" t="s">
        <v>4207</v>
      </c>
      <c r="AF152" t="s">
        <v>4879</v>
      </c>
      <c r="AG152">
        <v>598</v>
      </c>
      <c r="AH152">
        <v>-13</v>
      </c>
      <c r="AI152">
        <v>679</v>
      </c>
    </row>
    <row r="153" spans="1:36">
      <c r="A153" s="1" t="s">
        <v>187</v>
      </c>
      <c r="B153" t="s">
        <v>866</v>
      </c>
      <c r="C153">
        <f>HYPERLINK("https://finance.naver.com/item/coinfo.nhn?code=093920", "A093920")</f>
        <v>0</v>
      </c>
      <c r="D153">
        <f>HYPERLINK("http://comp.fnguide.com/SVO2/ASP/SVD_Consensus.asp?pGB=1&amp;gicode=A093920&amp;cID=&amp;MenuYn=Y&amp;ReportGB=&amp;NewMenuID=108&amp;stkGb=701", "서원인텍")</f>
        <v>0</v>
      </c>
      <c r="E153">
        <v>3</v>
      </c>
      <c r="F153">
        <v>7780</v>
      </c>
      <c r="G153">
        <v>0</v>
      </c>
      <c r="H153">
        <v>8.550000000000001</v>
      </c>
      <c r="I153">
        <v>9238</v>
      </c>
      <c r="J153">
        <v>9237</v>
      </c>
      <c r="K153">
        <v>9237</v>
      </c>
      <c r="L153">
        <v>-18.75</v>
      </c>
      <c r="M153">
        <v>-18.73</v>
      </c>
      <c r="N153">
        <v>-18.73</v>
      </c>
      <c r="O153">
        <v>8.220000000000001</v>
      </c>
      <c r="P153" t="b">
        <v>1</v>
      </c>
      <c r="Q153">
        <v>0</v>
      </c>
      <c r="R153">
        <v>901</v>
      </c>
      <c r="U153" t="s">
        <v>1545</v>
      </c>
      <c r="V153" t="s">
        <v>2224</v>
      </c>
      <c r="W153">
        <v>0</v>
      </c>
      <c r="X153">
        <v>34</v>
      </c>
      <c r="Y153" t="s">
        <v>2891</v>
      </c>
      <c r="Z153">
        <v>-7.431521783881411</v>
      </c>
      <c r="AA153">
        <v>1447</v>
      </c>
      <c r="AB153">
        <v>41537</v>
      </c>
      <c r="AC153" t="s">
        <v>3529</v>
      </c>
      <c r="AD153">
        <v>52.41</v>
      </c>
      <c r="AE153" t="s">
        <v>4208</v>
      </c>
      <c r="AF153" t="s">
        <v>4880</v>
      </c>
      <c r="AG153">
        <v>3156</v>
      </c>
      <c r="AH153">
        <v>185</v>
      </c>
      <c r="AJ153">
        <v>4.55</v>
      </c>
    </row>
    <row r="154" spans="1:36">
      <c r="A154" s="1" t="s">
        <v>188</v>
      </c>
      <c r="B154" t="s">
        <v>867</v>
      </c>
      <c r="C154">
        <f>HYPERLINK("https://finance.naver.com/item/coinfo.nhn?code=071850", "A071850")</f>
        <v>0</v>
      </c>
      <c r="D154">
        <f>HYPERLINK("http://comp.fnguide.com/SVO2/ASP/SVD_Consensus.asp?pGB=1&amp;gicode=A071850&amp;cID=&amp;MenuYn=Y&amp;ReportGB=&amp;NewMenuID=108&amp;stkGb=701", "캐스텍코리아")</f>
        <v>0</v>
      </c>
      <c r="E154">
        <v>3</v>
      </c>
      <c r="F154">
        <v>3690</v>
      </c>
      <c r="G154">
        <v>0</v>
      </c>
      <c r="I154">
        <v>116</v>
      </c>
      <c r="J154">
        <v>3742</v>
      </c>
      <c r="K154">
        <v>4798</v>
      </c>
      <c r="L154">
        <v>96.86</v>
      </c>
      <c r="M154">
        <v>-1.41</v>
      </c>
      <c r="N154">
        <v>-30.03</v>
      </c>
      <c r="O154">
        <v>0.15</v>
      </c>
      <c r="P154" t="b">
        <v>0</v>
      </c>
      <c r="Q154">
        <v>0</v>
      </c>
      <c r="R154">
        <v>-1107</v>
      </c>
      <c r="U154" t="s">
        <v>1546</v>
      </c>
      <c r="V154" t="s">
        <v>2225</v>
      </c>
      <c r="W154">
        <v>0</v>
      </c>
      <c r="X154">
        <v>0</v>
      </c>
      <c r="Y154" t="s">
        <v>2892</v>
      </c>
      <c r="Z154">
        <v>-54.91655975112376</v>
      </c>
      <c r="AA154">
        <v>611</v>
      </c>
      <c r="AB154">
        <v>161800</v>
      </c>
      <c r="AC154" t="s">
        <v>3530</v>
      </c>
      <c r="AD154">
        <v>17.74</v>
      </c>
      <c r="AE154" t="s">
        <v>4209</v>
      </c>
      <c r="AF154" t="s">
        <v>4881</v>
      </c>
      <c r="AG154">
        <v>1376</v>
      </c>
      <c r="AH154">
        <v>-92</v>
      </c>
      <c r="AI154">
        <v>268250</v>
      </c>
    </row>
    <row r="155" spans="1:36">
      <c r="A155" s="1" t="s">
        <v>189</v>
      </c>
      <c r="B155" t="s">
        <v>868</v>
      </c>
      <c r="C155">
        <f>HYPERLINK("https://finance.naver.com/item/coinfo.nhn?code=221980", "A221980")</f>
        <v>0</v>
      </c>
      <c r="D155">
        <f>HYPERLINK("http://comp.fnguide.com/SVO2/ASP/SVD_Consensus.asp?pGB=1&amp;gicode=A221980&amp;cID=&amp;MenuYn=Y&amp;ReportGB=&amp;NewMenuID=108&amp;stkGb=701", "케이디켐")</f>
        <v>0</v>
      </c>
      <c r="E155">
        <v>3</v>
      </c>
      <c r="F155">
        <v>17250</v>
      </c>
      <c r="G155">
        <v>0</v>
      </c>
      <c r="H155">
        <v>7.6</v>
      </c>
      <c r="I155">
        <v>24550</v>
      </c>
      <c r="J155">
        <v>22760</v>
      </c>
      <c r="K155">
        <v>22239</v>
      </c>
      <c r="L155">
        <v>-42.32</v>
      </c>
      <c r="M155">
        <v>-31.94</v>
      </c>
      <c r="N155">
        <v>-28.92</v>
      </c>
      <c r="O155">
        <v>9.369999999999999</v>
      </c>
      <c r="P155" t="b">
        <v>1</v>
      </c>
      <c r="Q155">
        <v>0</v>
      </c>
      <c r="R155">
        <v>1743</v>
      </c>
      <c r="U155" t="s">
        <v>1547</v>
      </c>
      <c r="V155" t="s">
        <v>2226</v>
      </c>
      <c r="W155">
        <v>0</v>
      </c>
      <c r="X155">
        <v>-6.1</v>
      </c>
      <c r="Y155" t="s">
        <v>2893</v>
      </c>
      <c r="Z155">
        <v>-10.7250651491767</v>
      </c>
      <c r="AA155">
        <v>696</v>
      </c>
      <c r="AB155">
        <v>20524</v>
      </c>
      <c r="AC155" t="s">
        <v>3531</v>
      </c>
      <c r="AD155">
        <v>71.06999999999999</v>
      </c>
      <c r="AE155" t="s">
        <v>4210</v>
      </c>
      <c r="AF155" t="s">
        <v>4882</v>
      </c>
      <c r="AG155">
        <v>475</v>
      </c>
      <c r="AH155">
        <v>62</v>
      </c>
      <c r="AI155">
        <v>213443</v>
      </c>
      <c r="AJ155">
        <v>3.77</v>
      </c>
    </row>
    <row r="156" spans="1:36">
      <c r="A156" s="1" t="s">
        <v>190</v>
      </c>
      <c r="B156" t="s">
        <v>869</v>
      </c>
      <c r="C156">
        <f>HYPERLINK("https://finance.naver.com/item/coinfo.nhn?code=083550", "A083550")</f>
        <v>0</v>
      </c>
      <c r="D156">
        <f>HYPERLINK("http://comp.fnguide.com/SVO2/ASP/SVD_Consensus.asp?pGB=1&amp;gicode=A083550&amp;cID=&amp;MenuYn=Y&amp;ReportGB=&amp;NewMenuID=108&amp;stkGb=701", "케이엠")</f>
        <v>0</v>
      </c>
      <c r="E156">
        <v>3</v>
      </c>
      <c r="F156">
        <v>11450</v>
      </c>
      <c r="G156">
        <v>0</v>
      </c>
      <c r="H156">
        <v>4.26</v>
      </c>
      <c r="I156">
        <v>28454</v>
      </c>
      <c r="J156">
        <v>18435</v>
      </c>
      <c r="K156">
        <v>15516</v>
      </c>
      <c r="L156">
        <v>-148.51</v>
      </c>
      <c r="M156">
        <v>-61</v>
      </c>
      <c r="N156">
        <v>-35.51</v>
      </c>
      <c r="O156">
        <v>20.19</v>
      </c>
      <c r="P156" t="b">
        <v>1</v>
      </c>
      <c r="Q156">
        <v>0</v>
      </c>
      <c r="R156">
        <v>3042</v>
      </c>
      <c r="U156" t="s">
        <v>1548</v>
      </c>
      <c r="V156" t="s">
        <v>2227</v>
      </c>
      <c r="W156">
        <v>0</v>
      </c>
      <c r="X156">
        <v>399</v>
      </c>
      <c r="Y156" t="s">
        <v>2894</v>
      </c>
      <c r="Z156">
        <v>37.7489904842258</v>
      </c>
      <c r="AA156">
        <v>1231</v>
      </c>
      <c r="AB156">
        <v>78925</v>
      </c>
      <c r="AC156" t="s">
        <v>3532</v>
      </c>
      <c r="AD156">
        <v>32.04</v>
      </c>
      <c r="AE156" t="s">
        <v>4211</v>
      </c>
      <c r="AF156" t="s">
        <v>4883</v>
      </c>
      <c r="AG156">
        <v>1879</v>
      </c>
      <c r="AH156">
        <v>426</v>
      </c>
      <c r="AI156">
        <v>820305</v>
      </c>
      <c r="AJ156">
        <v>0.74</v>
      </c>
    </row>
    <row r="157" spans="1:36">
      <c r="A157" s="1" t="s">
        <v>191</v>
      </c>
      <c r="B157" t="s">
        <v>870</v>
      </c>
      <c r="C157">
        <f>HYPERLINK("https://finance.naver.com/item/coinfo.nhn?code=024880", "A024880")</f>
        <v>0</v>
      </c>
      <c r="D157">
        <f>HYPERLINK("http://comp.fnguide.com/SVO2/ASP/SVD_Consensus.asp?pGB=1&amp;gicode=A024880&amp;cID=&amp;MenuYn=Y&amp;ReportGB=&amp;NewMenuID=108&amp;stkGb=701", "케이피에프")</f>
        <v>0</v>
      </c>
      <c r="E157">
        <v>3</v>
      </c>
      <c r="F157">
        <v>4645</v>
      </c>
      <c r="G157">
        <v>0</v>
      </c>
      <c r="I157">
        <v>2895</v>
      </c>
      <c r="J157">
        <v>6533</v>
      </c>
      <c r="K157">
        <v>7593</v>
      </c>
      <c r="L157">
        <v>37.67</v>
      </c>
      <c r="M157">
        <v>-40.65</v>
      </c>
      <c r="N157">
        <v>-63.46</v>
      </c>
      <c r="O157">
        <v>2.64</v>
      </c>
      <c r="P157" t="b">
        <v>0</v>
      </c>
      <c r="Q157">
        <v>0</v>
      </c>
      <c r="R157">
        <v>-331</v>
      </c>
      <c r="U157" t="s">
        <v>1549</v>
      </c>
      <c r="V157" t="s">
        <v>2228</v>
      </c>
      <c r="W157">
        <v>0</v>
      </c>
      <c r="X157">
        <v>0</v>
      </c>
      <c r="Y157" t="s">
        <v>2895</v>
      </c>
      <c r="Z157">
        <v>-13.76208991922412</v>
      </c>
      <c r="AA157">
        <v>823</v>
      </c>
      <c r="AB157">
        <v>65422</v>
      </c>
      <c r="AC157" t="s">
        <v>3533</v>
      </c>
      <c r="AD157">
        <v>36.72</v>
      </c>
      <c r="AE157" t="s">
        <v>4212</v>
      </c>
      <c r="AF157" t="s">
        <v>4884</v>
      </c>
      <c r="AG157">
        <v>3348</v>
      </c>
      <c r="AH157">
        <v>22</v>
      </c>
      <c r="AI157">
        <v>1332412</v>
      </c>
      <c r="AJ157">
        <v>2.46</v>
      </c>
    </row>
    <row r="158" spans="1:36">
      <c r="A158" s="1" t="s">
        <v>192</v>
      </c>
      <c r="B158" t="s">
        <v>871</v>
      </c>
      <c r="C158">
        <f>HYPERLINK("https://finance.naver.com/item/coinfo.nhn?code=190650", "A190650")</f>
        <v>0</v>
      </c>
      <c r="D158">
        <f>HYPERLINK("http://comp.fnguide.com/SVO2/ASP/SVD_Consensus.asp?pGB=1&amp;gicode=A190650&amp;cID=&amp;MenuYn=Y&amp;ReportGB=&amp;NewMenuID=108&amp;stkGb=701", "코리아에셋투자증권")</f>
        <v>0</v>
      </c>
      <c r="E158">
        <v>3</v>
      </c>
      <c r="F158">
        <v>11650</v>
      </c>
      <c r="G158">
        <v>0</v>
      </c>
      <c r="H158">
        <v>4.5</v>
      </c>
      <c r="I158">
        <v>15108</v>
      </c>
      <c r="J158">
        <v>12606</v>
      </c>
      <c r="K158">
        <v>11877</v>
      </c>
      <c r="L158">
        <v>-29.68</v>
      </c>
      <c r="M158">
        <v>-8.210000000000001</v>
      </c>
      <c r="N158">
        <v>-1.95</v>
      </c>
      <c r="O158">
        <v>11.4</v>
      </c>
      <c r="P158" t="b">
        <v>1</v>
      </c>
      <c r="Q158">
        <v>0</v>
      </c>
      <c r="R158">
        <v>1207</v>
      </c>
      <c r="U158" t="s">
        <v>1550</v>
      </c>
      <c r="V158" t="s">
        <v>2229</v>
      </c>
      <c r="W158">
        <v>0</v>
      </c>
      <c r="X158">
        <v>15</v>
      </c>
      <c r="Y158" t="s">
        <v>2896</v>
      </c>
      <c r="Z158">
        <v>12.8292520656804</v>
      </c>
      <c r="AA158">
        <v>744</v>
      </c>
      <c r="AB158">
        <v>50867</v>
      </c>
      <c r="AC158" t="s">
        <v>3534</v>
      </c>
      <c r="AD158">
        <v>51.42</v>
      </c>
      <c r="AE158" t="s">
        <v>4213</v>
      </c>
      <c r="AF158" t="s">
        <v>4885</v>
      </c>
      <c r="AG158">
        <v>560</v>
      </c>
      <c r="AH158">
        <v>94</v>
      </c>
      <c r="AJ158">
        <v>5.52</v>
      </c>
    </row>
    <row r="159" spans="1:36">
      <c r="A159" s="1" t="s">
        <v>193</v>
      </c>
      <c r="B159" t="s">
        <v>872</v>
      </c>
      <c r="C159">
        <f>HYPERLINK("https://finance.naver.com/item/coinfo.nhn?code=123410", "A123410")</f>
        <v>0</v>
      </c>
      <c r="D159">
        <f>HYPERLINK("http://comp.fnguide.com/SVO2/ASP/SVD_Consensus.asp?pGB=1&amp;gicode=A123410&amp;cID=&amp;MenuYn=Y&amp;ReportGB=&amp;NewMenuID=108&amp;stkGb=701", "코리아에프티")</f>
        <v>0</v>
      </c>
      <c r="E159">
        <v>3</v>
      </c>
      <c r="F159">
        <v>3555</v>
      </c>
      <c r="G159">
        <v>0</v>
      </c>
      <c r="H159">
        <v>22.01</v>
      </c>
      <c r="I159">
        <v>1993</v>
      </c>
      <c r="J159">
        <v>3416</v>
      </c>
      <c r="K159">
        <v>3831</v>
      </c>
      <c r="L159">
        <v>43.92</v>
      </c>
      <c r="M159">
        <v>3.9</v>
      </c>
      <c r="N159">
        <v>-7.76</v>
      </c>
      <c r="O159">
        <v>3.73</v>
      </c>
      <c r="P159" t="b">
        <v>1</v>
      </c>
      <c r="Q159">
        <v>0</v>
      </c>
      <c r="R159">
        <v>132</v>
      </c>
      <c r="U159" t="s">
        <v>1551</v>
      </c>
      <c r="V159" t="s">
        <v>2230</v>
      </c>
      <c r="W159">
        <v>0</v>
      </c>
      <c r="X159">
        <v>-35.7</v>
      </c>
      <c r="Y159" t="s">
        <v>2897</v>
      </c>
      <c r="Z159">
        <v>-23.56857350125448</v>
      </c>
      <c r="AA159">
        <v>990</v>
      </c>
      <c r="AB159">
        <v>276752</v>
      </c>
      <c r="AC159" t="s">
        <v>3535</v>
      </c>
      <c r="AD159">
        <v>39.52</v>
      </c>
      <c r="AE159" t="s">
        <v>4214</v>
      </c>
      <c r="AF159" t="s">
        <v>4886</v>
      </c>
      <c r="AG159">
        <v>4097</v>
      </c>
      <c r="AH159">
        <v>62</v>
      </c>
      <c r="AI159">
        <v>5</v>
      </c>
      <c r="AJ159">
        <v>1.03</v>
      </c>
    </row>
    <row r="160" spans="1:36">
      <c r="A160" s="1" t="s">
        <v>194</v>
      </c>
      <c r="B160" t="s">
        <v>873</v>
      </c>
      <c r="C160">
        <f>HYPERLINK("https://finance.naver.com/item/coinfo.nhn?code=049430", "A049430")</f>
        <v>0</v>
      </c>
      <c r="D160">
        <f>HYPERLINK("http://comp.fnguide.com/SVO2/ASP/SVD_Consensus.asp?pGB=1&amp;gicode=A049430&amp;cID=&amp;MenuYn=Y&amp;ReportGB=&amp;NewMenuID=108&amp;stkGb=701", "코메론")</f>
        <v>0</v>
      </c>
      <c r="E160">
        <v>3</v>
      </c>
      <c r="F160">
        <v>13050</v>
      </c>
      <c r="G160">
        <v>1.39</v>
      </c>
      <c r="H160">
        <v>6.66</v>
      </c>
      <c r="I160">
        <v>20506</v>
      </c>
      <c r="J160">
        <v>19002</v>
      </c>
      <c r="K160">
        <v>18564</v>
      </c>
      <c r="L160">
        <v>-57.14</v>
      </c>
      <c r="M160">
        <v>-45.61</v>
      </c>
      <c r="N160">
        <v>-42.25</v>
      </c>
      <c r="O160">
        <v>9.380000000000001</v>
      </c>
      <c r="P160" t="b">
        <v>1</v>
      </c>
      <c r="Q160">
        <v>1</v>
      </c>
      <c r="R160">
        <v>1338</v>
      </c>
      <c r="S160">
        <v>1558</v>
      </c>
      <c r="T160">
        <v>16.4</v>
      </c>
      <c r="U160" t="s">
        <v>1552</v>
      </c>
      <c r="V160" t="s">
        <v>2231</v>
      </c>
      <c r="W160">
        <v>4.804344215156475</v>
      </c>
      <c r="X160">
        <v>-15.3</v>
      </c>
      <c r="Y160" t="s">
        <v>2898</v>
      </c>
      <c r="Z160">
        <v>-0.179491588511338</v>
      </c>
      <c r="AA160">
        <v>1181</v>
      </c>
      <c r="AB160">
        <v>271915</v>
      </c>
      <c r="AC160" t="s">
        <v>3536</v>
      </c>
      <c r="AD160">
        <v>38.73</v>
      </c>
      <c r="AE160" t="s">
        <v>4215</v>
      </c>
      <c r="AF160" t="s">
        <v>4887</v>
      </c>
      <c r="AG160">
        <v>664</v>
      </c>
      <c r="AH160">
        <v>141</v>
      </c>
      <c r="AI160">
        <v>763630</v>
      </c>
      <c r="AJ160">
        <v>2.24</v>
      </c>
    </row>
    <row r="161" spans="1:36">
      <c r="A161" s="1" t="s">
        <v>195</v>
      </c>
      <c r="B161" t="s">
        <v>874</v>
      </c>
      <c r="C161">
        <f>HYPERLINK("https://finance.naver.com/item/coinfo.nhn?code=069110", "A069110")</f>
        <v>0</v>
      </c>
      <c r="D161">
        <f>HYPERLINK("http://comp.fnguide.com/SVO2/ASP/SVD_Consensus.asp?pGB=1&amp;gicode=A069110&amp;cID=&amp;MenuYn=Y&amp;ReportGB=&amp;NewMenuID=108&amp;stkGb=701", "코스온")</f>
        <v>0</v>
      </c>
      <c r="E161">
        <v>3</v>
      </c>
      <c r="F161">
        <v>2630</v>
      </c>
      <c r="G161">
        <v>0</v>
      </c>
      <c r="I161">
        <v>0</v>
      </c>
      <c r="J161">
        <v>2214</v>
      </c>
      <c r="K161">
        <v>2859</v>
      </c>
      <c r="L161">
        <v>100</v>
      </c>
      <c r="M161">
        <v>15.82</v>
      </c>
      <c r="N161">
        <v>-8.699999999999999</v>
      </c>
      <c r="O161">
        <v>0</v>
      </c>
      <c r="P161" t="b">
        <v>0</v>
      </c>
      <c r="Q161">
        <v>0</v>
      </c>
      <c r="R161">
        <v>-1419</v>
      </c>
      <c r="U161" t="s">
        <v>1553</v>
      </c>
      <c r="V161" t="s">
        <v>2232</v>
      </c>
      <c r="W161">
        <v>0</v>
      </c>
      <c r="X161">
        <v>0</v>
      </c>
      <c r="Y161" t="s">
        <v>2899</v>
      </c>
      <c r="Z161">
        <v>-52.61666959784276</v>
      </c>
      <c r="AA161">
        <v>630</v>
      </c>
      <c r="AB161">
        <v>0</v>
      </c>
      <c r="AC161" t="s">
        <v>3537</v>
      </c>
      <c r="AD161">
        <v>0.9</v>
      </c>
      <c r="AE161" t="s">
        <v>4216</v>
      </c>
      <c r="AF161" t="s">
        <v>4741</v>
      </c>
      <c r="AG161">
        <v>919</v>
      </c>
      <c r="AH161">
        <v>-147</v>
      </c>
      <c r="AI161">
        <v>63694</v>
      </c>
    </row>
    <row r="162" spans="1:36">
      <c r="A162" s="1" t="s">
        <v>196</v>
      </c>
      <c r="B162" t="s">
        <v>875</v>
      </c>
      <c r="C162">
        <f>HYPERLINK("https://finance.naver.com/item/coinfo.nhn?code=056360", "A056360")</f>
        <v>0</v>
      </c>
      <c r="D162">
        <f>HYPERLINK("http://comp.fnguide.com/SVO2/ASP/SVD_Consensus.asp?pGB=1&amp;gicode=A056360&amp;cID=&amp;MenuYn=Y&amp;ReportGB=&amp;NewMenuID=108&amp;stkGb=701", "코위버")</f>
        <v>0</v>
      </c>
      <c r="E162">
        <v>3</v>
      </c>
      <c r="F162">
        <v>9030</v>
      </c>
      <c r="G162">
        <v>0</v>
      </c>
      <c r="H162">
        <v>17.58</v>
      </c>
      <c r="I162">
        <v>15388</v>
      </c>
      <c r="J162">
        <v>13995</v>
      </c>
      <c r="K162">
        <v>13589</v>
      </c>
      <c r="L162">
        <v>-70.41</v>
      </c>
      <c r="M162">
        <v>-54.98</v>
      </c>
      <c r="N162">
        <v>-50.49</v>
      </c>
      <c r="O162">
        <v>9.699999999999999</v>
      </c>
      <c r="P162" t="b">
        <v>1</v>
      </c>
      <c r="Q162">
        <v>0</v>
      </c>
      <c r="R162">
        <v>572</v>
      </c>
      <c r="U162" t="s">
        <v>1554</v>
      </c>
      <c r="V162" t="s">
        <v>2233</v>
      </c>
      <c r="W162">
        <v>0</v>
      </c>
      <c r="X162">
        <v>-72.90000000000001</v>
      </c>
      <c r="Y162" t="s">
        <v>2900</v>
      </c>
      <c r="Z162">
        <v>-9.629430277301799</v>
      </c>
      <c r="AA162">
        <v>885</v>
      </c>
      <c r="AB162">
        <v>30080</v>
      </c>
      <c r="AC162" t="s">
        <v>3538</v>
      </c>
      <c r="AD162">
        <v>28.91</v>
      </c>
      <c r="AE162" t="s">
        <v>4217</v>
      </c>
      <c r="AF162" t="s">
        <v>4888</v>
      </c>
      <c r="AG162">
        <v>809</v>
      </c>
      <c r="AH162">
        <v>32</v>
      </c>
      <c r="AI162">
        <v>450345</v>
      </c>
      <c r="AJ162">
        <v>0.8</v>
      </c>
    </row>
    <row r="163" spans="1:36">
      <c r="A163" s="1" t="s">
        <v>197</v>
      </c>
      <c r="B163" t="s">
        <v>876</v>
      </c>
      <c r="C163">
        <f>HYPERLINK("https://finance.naver.com/item/coinfo.nhn?code=052330", "A052330")</f>
        <v>0</v>
      </c>
      <c r="D163">
        <f>HYPERLINK("http://comp.fnguide.com/SVO2/ASP/SVD_Consensus.asp?pGB=1&amp;gicode=A052330&amp;cID=&amp;MenuYn=Y&amp;ReportGB=&amp;NewMenuID=108&amp;stkGb=701", "코텍")</f>
        <v>0</v>
      </c>
      <c r="E163">
        <v>3</v>
      </c>
      <c r="F163">
        <v>11650</v>
      </c>
      <c r="G163">
        <v>0</v>
      </c>
      <c r="I163">
        <v>14034</v>
      </c>
      <c r="J163">
        <v>18171</v>
      </c>
      <c r="K163">
        <v>19376</v>
      </c>
      <c r="L163">
        <v>-20.46</v>
      </c>
      <c r="M163">
        <v>-55.98</v>
      </c>
      <c r="N163">
        <v>-66.31999999999999</v>
      </c>
      <c r="O163">
        <v>5.49</v>
      </c>
      <c r="P163" t="b">
        <v>0</v>
      </c>
      <c r="Q163">
        <v>0</v>
      </c>
      <c r="R163">
        <v>-547</v>
      </c>
      <c r="U163" t="s">
        <v>1555</v>
      </c>
      <c r="V163" t="s">
        <v>2234</v>
      </c>
      <c r="W163">
        <v>0</v>
      </c>
      <c r="X163">
        <v>0</v>
      </c>
      <c r="Y163" t="s">
        <v>2901</v>
      </c>
      <c r="Z163">
        <v>3.896395826565335</v>
      </c>
      <c r="AA163">
        <v>1814</v>
      </c>
      <c r="AB163">
        <v>56524</v>
      </c>
      <c r="AC163" t="s">
        <v>3539</v>
      </c>
      <c r="AD163">
        <v>32.95</v>
      </c>
      <c r="AE163" t="s">
        <v>4218</v>
      </c>
      <c r="AF163" t="s">
        <v>4889</v>
      </c>
      <c r="AG163">
        <v>1865</v>
      </c>
      <c r="AH163">
        <v>-10</v>
      </c>
      <c r="AI163">
        <v>1293395</v>
      </c>
      <c r="AJ163">
        <v>2.78</v>
      </c>
    </row>
    <row r="164" spans="1:36">
      <c r="A164" s="1" t="s">
        <v>198</v>
      </c>
      <c r="B164" t="s">
        <v>877</v>
      </c>
      <c r="C164">
        <f>HYPERLINK("https://finance.naver.com/item/coinfo.nhn?code=126600", "A126600")</f>
        <v>0</v>
      </c>
      <c r="D164">
        <f>HYPERLINK("http://comp.fnguide.com/SVO2/ASP/SVD_Consensus.asp?pGB=1&amp;gicode=A126600&amp;cID=&amp;MenuYn=Y&amp;ReportGB=&amp;NewMenuID=108&amp;stkGb=701", "코프라")</f>
        <v>0</v>
      </c>
      <c r="E164">
        <v>3</v>
      </c>
      <c r="F164">
        <v>5920</v>
      </c>
      <c r="G164">
        <v>0.17</v>
      </c>
      <c r="H164">
        <v>6.9</v>
      </c>
      <c r="I164">
        <v>6579</v>
      </c>
      <c r="J164">
        <v>6149</v>
      </c>
      <c r="K164">
        <v>6024</v>
      </c>
      <c r="L164">
        <v>-11.14</v>
      </c>
      <c r="M164">
        <v>-3.87</v>
      </c>
      <c r="N164">
        <v>-1.75</v>
      </c>
      <c r="O164">
        <v>9.24</v>
      </c>
      <c r="P164" t="b">
        <v>1</v>
      </c>
      <c r="Q164">
        <v>3</v>
      </c>
      <c r="R164">
        <v>603</v>
      </c>
      <c r="S164">
        <v>651</v>
      </c>
      <c r="T164">
        <v>8</v>
      </c>
      <c r="U164" t="s">
        <v>1556</v>
      </c>
      <c r="V164" t="s">
        <v>2235</v>
      </c>
      <c r="W164">
        <v>41.6842073105993</v>
      </c>
      <c r="X164">
        <v>42.2</v>
      </c>
      <c r="Y164" t="s">
        <v>2902</v>
      </c>
      <c r="Z164">
        <v>1.251921417178514</v>
      </c>
      <c r="AA164">
        <v>1250</v>
      </c>
      <c r="AB164">
        <v>188721</v>
      </c>
      <c r="AC164" t="s">
        <v>3540</v>
      </c>
      <c r="AD164">
        <v>34.17</v>
      </c>
      <c r="AE164" t="s">
        <v>4219</v>
      </c>
      <c r="AF164" t="s">
        <v>4890</v>
      </c>
      <c r="AG164">
        <v>1509</v>
      </c>
      <c r="AH164">
        <v>115</v>
      </c>
      <c r="AI164">
        <v>842699</v>
      </c>
      <c r="AJ164">
        <v>2.4</v>
      </c>
    </row>
    <row r="165" spans="1:36">
      <c r="A165" s="1" t="s">
        <v>199</v>
      </c>
      <c r="B165" t="s">
        <v>878</v>
      </c>
      <c r="C165">
        <f>HYPERLINK("https://finance.naver.com/item/coinfo.nhn?code=114120", "A114120")</f>
        <v>0</v>
      </c>
      <c r="D165">
        <f>HYPERLINK("http://comp.fnguide.com/SVO2/ASP/SVD_Consensus.asp?pGB=1&amp;gicode=A114120&amp;cID=&amp;MenuYn=Y&amp;ReportGB=&amp;NewMenuID=108&amp;stkGb=701", "크루셜텍")</f>
        <v>0</v>
      </c>
      <c r="E165">
        <v>3</v>
      </c>
      <c r="F165">
        <v>1355</v>
      </c>
      <c r="G165">
        <v>0</v>
      </c>
      <c r="I165">
        <v>0</v>
      </c>
      <c r="J165">
        <v>1158</v>
      </c>
      <c r="K165">
        <v>1495</v>
      </c>
      <c r="L165">
        <v>100</v>
      </c>
      <c r="M165">
        <v>14.57</v>
      </c>
      <c r="N165">
        <v>-10.31</v>
      </c>
      <c r="O165">
        <v>0</v>
      </c>
      <c r="P165" t="b">
        <v>0</v>
      </c>
      <c r="Q165">
        <v>0</v>
      </c>
      <c r="R165">
        <v>-966</v>
      </c>
      <c r="U165" t="s">
        <v>1557</v>
      </c>
      <c r="V165" t="s">
        <v>2236</v>
      </c>
      <c r="W165">
        <v>0</v>
      </c>
      <c r="X165">
        <v>0</v>
      </c>
      <c r="Y165" t="s">
        <v>2903</v>
      </c>
      <c r="Z165">
        <v>-97.2</v>
      </c>
      <c r="AA165">
        <v>284</v>
      </c>
      <c r="AB165">
        <v>146537</v>
      </c>
      <c r="AC165" t="s">
        <v>3541</v>
      </c>
      <c r="AD165">
        <v>8.890000000000001</v>
      </c>
      <c r="AE165" t="s">
        <v>4220</v>
      </c>
      <c r="AF165" t="s">
        <v>4741</v>
      </c>
      <c r="AG165">
        <v>476</v>
      </c>
      <c r="AH165">
        <v>-209</v>
      </c>
      <c r="AI165">
        <v>26411</v>
      </c>
    </row>
    <row r="166" spans="1:36">
      <c r="A166" s="1" t="s">
        <v>200</v>
      </c>
      <c r="B166" t="s">
        <v>879</v>
      </c>
      <c r="C166">
        <f>HYPERLINK("https://finance.naver.com/item/coinfo.nhn?code=900250", "A900250")</f>
        <v>0</v>
      </c>
      <c r="D166">
        <f>HYPERLINK("http://comp.fnguide.com/SVO2/ASP/SVD_Consensus.asp?pGB=1&amp;gicode=A900250&amp;cID=&amp;MenuYn=Y&amp;ReportGB=&amp;NewMenuID=108&amp;stkGb=701", "크리스탈신소재")</f>
        <v>0</v>
      </c>
      <c r="E166">
        <v>3</v>
      </c>
      <c r="F166">
        <v>1635</v>
      </c>
      <c r="G166">
        <v>0</v>
      </c>
      <c r="H166">
        <v>5.18</v>
      </c>
      <c r="I166">
        <v>4606</v>
      </c>
      <c r="J166">
        <v>4399</v>
      </c>
      <c r="K166">
        <v>4339</v>
      </c>
      <c r="L166">
        <v>-181.68</v>
      </c>
      <c r="M166">
        <v>-169.05</v>
      </c>
      <c r="N166">
        <v>-165.37</v>
      </c>
      <c r="O166">
        <v>8.890000000000001</v>
      </c>
      <c r="P166" t="b">
        <v>0</v>
      </c>
      <c r="Q166">
        <v>0</v>
      </c>
      <c r="R166">
        <v>330</v>
      </c>
      <c r="U166" t="s">
        <v>1558</v>
      </c>
      <c r="V166" t="s">
        <v>2237</v>
      </c>
      <c r="W166">
        <v>0</v>
      </c>
      <c r="X166">
        <v>-1.2</v>
      </c>
      <c r="Y166" t="s">
        <v>2904</v>
      </c>
      <c r="Z166">
        <v>-6.532880581152101</v>
      </c>
      <c r="AA166">
        <v>1108</v>
      </c>
      <c r="AB166">
        <v>558596</v>
      </c>
      <c r="AC166" t="s">
        <v>3542</v>
      </c>
      <c r="AD166">
        <v>20.57</v>
      </c>
      <c r="AE166" t="s">
        <v>4221</v>
      </c>
      <c r="AF166" t="s">
        <v>4891</v>
      </c>
      <c r="AG166">
        <v>908</v>
      </c>
      <c r="AH166">
        <v>311</v>
      </c>
    </row>
    <row r="167" spans="1:36">
      <c r="A167" s="1" t="s">
        <v>201</v>
      </c>
      <c r="B167" t="s">
        <v>880</v>
      </c>
      <c r="C167">
        <f>HYPERLINK("https://finance.naver.com/item/coinfo.nhn?code=065130", "A065130")</f>
        <v>0</v>
      </c>
      <c r="D167">
        <f>HYPERLINK("http://comp.fnguide.com/SVO2/ASP/SVD_Consensus.asp?pGB=1&amp;gicode=A065130&amp;cID=&amp;MenuYn=Y&amp;ReportGB=&amp;NewMenuID=108&amp;stkGb=701", "탑엔지니어링")</f>
        <v>0</v>
      </c>
      <c r="E167">
        <v>3</v>
      </c>
      <c r="F167">
        <v>8990</v>
      </c>
      <c r="G167">
        <v>0</v>
      </c>
      <c r="I167">
        <v>12722</v>
      </c>
      <c r="J167">
        <v>12984</v>
      </c>
      <c r="K167">
        <v>13060</v>
      </c>
      <c r="L167">
        <v>-41.52</v>
      </c>
      <c r="M167">
        <v>-44.42</v>
      </c>
      <c r="N167">
        <v>-45.27</v>
      </c>
      <c r="O167">
        <v>7.95</v>
      </c>
      <c r="P167" t="b">
        <v>0</v>
      </c>
      <c r="Q167">
        <v>0</v>
      </c>
      <c r="R167">
        <v>-253</v>
      </c>
      <c r="U167" t="s">
        <v>1559</v>
      </c>
      <c r="V167" t="s">
        <v>2238</v>
      </c>
      <c r="W167">
        <v>0</v>
      </c>
      <c r="X167">
        <v>0</v>
      </c>
      <c r="Y167" t="s">
        <v>2905</v>
      </c>
      <c r="Z167">
        <v>33.66354044244495</v>
      </c>
      <c r="AA167">
        <v>1436</v>
      </c>
      <c r="AB167">
        <v>74415</v>
      </c>
      <c r="AC167" t="s">
        <v>3543</v>
      </c>
      <c r="AD167">
        <v>24.32</v>
      </c>
      <c r="AE167" t="s">
        <v>4222</v>
      </c>
      <c r="AF167" t="s">
        <v>4892</v>
      </c>
      <c r="AG167">
        <v>11861</v>
      </c>
      <c r="AH167">
        <v>-182</v>
      </c>
      <c r="AI167">
        <v>181464</v>
      </c>
    </row>
    <row r="168" spans="1:36">
      <c r="A168" s="1" t="s">
        <v>202</v>
      </c>
      <c r="B168" t="s">
        <v>881</v>
      </c>
      <c r="C168">
        <f>HYPERLINK("https://finance.naver.com/item/coinfo.nhn?code=023160", "A023160")</f>
        <v>0</v>
      </c>
      <c r="D168">
        <f>HYPERLINK("http://comp.fnguide.com/SVO2/ASP/SVD_Consensus.asp?pGB=1&amp;gicode=A023160&amp;cID=&amp;MenuYn=Y&amp;ReportGB=&amp;NewMenuID=108&amp;stkGb=701", "태광")</f>
        <v>0</v>
      </c>
      <c r="E168">
        <v>3</v>
      </c>
      <c r="F168">
        <v>11400</v>
      </c>
      <c r="I168">
        <v>1946</v>
      </c>
      <c r="J168">
        <v>10469</v>
      </c>
      <c r="K168">
        <v>12951</v>
      </c>
      <c r="L168">
        <v>82.93000000000001</v>
      </c>
      <c r="M168">
        <v>8.17</v>
      </c>
      <c r="N168">
        <v>-13.61</v>
      </c>
      <c r="O168">
        <v>0.98</v>
      </c>
      <c r="P168" t="b">
        <v>0</v>
      </c>
      <c r="Q168">
        <v>1</v>
      </c>
      <c r="R168">
        <v>-189</v>
      </c>
      <c r="S168">
        <v>166</v>
      </c>
      <c r="T168">
        <v>-187.8</v>
      </c>
      <c r="U168" t="s">
        <v>1560</v>
      </c>
      <c r="V168" t="s">
        <v>2239</v>
      </c>
      <c r="W168">
        <v>-24.13327454944738</v>
      </c>
      <c r="X168">
        <v>0</v>
      </c>
      <c r="Y168" t="s">
        <v>2906</v>
      </c>
      <c r="Z168">
        <v>-39.27430527363232</v>
      </c>
      <c r="AA168">
        <v>3021</v>
      </c>
      <c r="AB168">
        <v>478563</v>
      </c>
      <c r="AC168" t="s">
        <v>3544</v>
      </c>
      <c r="AD168">
        <v>45.63</v>
      </c>
      <c r="AE168" t="s">
        <v>4223</v>
      </c>
      <c r="AF168" t="s">
        <v>4893</v>
      </c>
      <c r="AG168">
        <v>1884</v>
      </c>
      <c r="AH168">
        <v>-31</v>
      </c>
      <c r="AI168">
        <v>632758</v>
      </c>
      <c r="AJ168">
        <v>0.65</v>
      </c>
    </row>
    <row r="169" spans="1:36">
      <c r="A169" s="1" t="s">
        <v>203</v>
      </c>
      <c r="B169" t="s">
        <v>882</v>
      </c>
      <c r="C169">
        <f>HYPERLINK("https://finance.naver.com/item/coinfo.nhn?code=053620", "A053620")</f>
        <v>0</v>
      </c>
      <c r="D169">
        <f>HYPERLINK("http://comp.fnguide.com/SVO2/ASP/SVD_Consensus.asp?pGB=1&amp;gicode=A053620&amp;cID=&amp;MenuYn=Y&amp;ReportGB=&amp;NewMenuID=108&amp;stkGb=701", "태양")</f>
        <v>0</v>
      </c>
      <c r="E169">
        <v>3</v>
      </c>
      <c r="F169">
        <v>11100</v>
      </c>
      <c r="G169">
        <v>0</v>
      </c>
      <c r="H169">
        <v>10.39</v>
      </c>
      <c r="I169">
        <v>9934</v>
      </c>
      <c r="J169">
        <v>16277</v>
      </c>
      <c r="K169">
        <v>18125</v>
      </c>
      <c r="L169">
        <v>10.5</v>
      </c>
      <c r="M169">
        <v>-46.64</v>
      </c>
      <c r="N169">
        <v>-63.28</v>
      </c>
      <c r="O169">
        <v>3.96</v>
      </c>
      <c r="P169" t="b">
        <v>1</v>
      </c>
      <c r="Q169">
        <v>0</v>
      </c>
      <c r="R169">
        <v>815</v>
      </c>
      <c r="U169" t="s">
        <v>1561</v>
      </c>
      <c r="V169" t="s">
        <v>2240</v>
      </c>
      <c r="W169">
        <v>0</v>
      </c>
      <c r="X169">
        <v>-4.9</v>
      </c>
      <c r="Y169" t="s">
        <v>2907</v>
      </c>
      <c r="Z169">
        <v>16.12382073057634</v>
      </c>
      <c r="AA169">
        <v>955</v>
      </c>
      <c r="AB169">
        <v>17929</v>
      </c>
      <c r="AC169" t="s">
        <v>3545</v>
      </c>
      <c r="AD169">
        <v>62.47</v>
      </c>
      <c r="AE169" t="s">
        <v>4224</v>
      </c>
      <c r="AF169" t="s">
        <v>4894</v>
      </c>
      <c r="AG169">
        <v>1415</v>
      </c>
      <c r="AH169">
        <v>93</v>
      </c>
      <c r="AI169">
        <v>638969</v>
      </c>
      <c r="AJ169">
        <v>1.77</v>
      </c>
    </row>
    <row r="170" spans="1:36">
      <c r="A170" s="1" t="s">
        <v>204</v>
      </c>
      <c r="B170" t="s">
        <v>883</v>
      </c>
      <c r="C170">
        <f>HYPERLINK("https://finance.naver.com/item/coinfo.nhn?code=900310", "A900310")</f>
        <v>0</v>
      </c>
      <c r="D170">
        <f>HYPERLINK("http://comp.fnguide.com/SVO2/ASP/SVD_Consensus.asp?pGB=1&amp;gicode=A900310&amp;cID=&amp;MenuYn=Y&amp;ReportGB=&amp;NewMenuID=108&amp;stkGb=701", "컬러레이")</f>
        <v>0</v>
      </c>
      <c r="E170">
        <v>3</v>
      </c>
      <c r="F170">
        <v>2145</v>
      </c>
      <c r="G170">
        <v>0</v>
      </c>
      <c r="H170">
        <v>4.92</v>
      </c>
      <c r="I170">
        <v>6407</v>
      </c>
      <c r="J170">
        <v>4593</v>
      </c>
      <c r="K170">
        <v>4064</v>
      </c>
      <c r="L170">
        <v>-198.71</v>
      </c>
      <c r="M170">
        <v>-114.1</v>
      </c>
      <c r="N170">
        <v>-89.45999999999999</v>
      </c>
      <c r="O170">
        <v>15.71</v>
      </c>
      <c r="P170" t="b">
        <v>0</v>
      </c>
      <c r="Q170">
        <v>0</v>
      </c>
      <c r="R170">
        <v>408</v>
      </c>
      <c r="U170" t="s">
        <v>1562</v>
      </c>
      <c r="V170" t="s">
        <v>2241</v>
      </c>
      <c r="W170">
        <v>0</v>
      </c>
      <c r="X170">
        <v>-8.9</v>
      </c>
      <c r="Y170" t="s">
        <v>2908</v>
      </c>
      <c r="Z170">
        <v>-79.45672321288191</v>
      </c>
      <c r="AA170">
        <v>1158</v>
      </c>
      <c r="AB170">
        <v>196780</v>
      </c>
      <c r="AC170" t="s">
        <v>3546</v>
      </c>
      <c r="AD170">
        <v>54.03</v>
      </c>
      <c r="AE170" t="s">
        <v>4225</v>
      </c>
      <c r="AF170" t="s">
        <v>4895</v>
      </c>
      <c r="AG170">
        <v>737</v>
      </c>
      <c r="AH170">
        <v>298</v>
      </c>
    </row>
    <row r="171" spans="1:36">
      <c r="A171" s="1" t="s">
        <v>205</v>
      </c>
      <c r="B171" t="s">
        <v>884</v>
      </c>
      <c r="C171">
        <f>HYPERLINK("https://finance.naver.com/item/coinfo.nhn?code=052300", "A052300")</f>
        <v>0</v>
      </c>
      <c r="D171">
        <f>HYPERLINK("http://comp.fnguide.com/SVO2/ASP/SVD_Consensus.asp?pGB=1&amp;gicode=A052300&amp;cID=&amp;MenuYn=Y&amp;ReportGB=&amp;NewMenuID=108&amp;stkGb=701", "초록뱀컴퍼니")</f>
        <v>0</v>
      </c>
      <c r="E171">
        <v>3</v>
      </c>
      <c r="F171">
        <v>322</v>
      </c>
      <c r="G171">
        <v>0</v>
      </c>
      <c r="H171">
        <v>1.11</v>
      </c>
      <c r="I171">
        <v>1756</v>
      </c>
      <c r="J171">
        <v>1837</v>
      </c>
      <c r="K171">
        <v>1861</v>
      </c>
      <c r="L171">
        <v>-445.24</v>
      </c>
      <c r="M171">
        <v>-470.51</v>
      </c>
      <c r="N171">
        <v>-477.87</v>
      </c>
      <c r="O171">
        <v>7.62</v>
      </c>
      <c r="P171" t="b">
        <v>1</v>
      </c>
      <c r="Q171">
        <v>0</v>
      </c>
      <c r="R171">
        <v>284</v>
      </c>
      <c r="U171" t="s">
        <v>1563</v>
      </c>
      <c r="V171" t="s">
        <v>2242</v>
      </c>
      <c r="W171">
        <v>0</v>
      </c>
      <c r="X171">
        <v>0</v>
      </c>
      <c r="Y171" t="s">
        <v>2909</v>
      </c>
      <c r="Z171">
        <v>-30.9521904764532</v>
      </c>
      <c r="AA171">
        <v>1031</v>
      </c>
      <c r="AB171">
        <v>0</v>
      </c>
      <c r="AC171" t="s">
        <v>3547</v>
      </c>
      <c r="AD171">
        <v>27.4</v>
      </c>
      <c r="AE171" t="s">
        <v>4226</v>
      </c>
      <c r="AF171" t="s">
        <v>4896</v>
      </c>
      <c r="AG171">
        <v>167</v>
      </c>
      <c r="AH171">
        <v>-6</v>
      </c>
      <c r="AI171">
        <v>43910</v>
      </c>
    </row>
    <row r="172" spans="1:36">
      <c r="A172" s="1" t="s">
        <v>206</v>
      </c>
      <c r="B172" t="s">
        <v>885</v>
      </c>
      <c r="C172">
        <f>HYPERLINK("https://finance.naver.com/item/coinfo.nhn?code=035810", "A035810")</f>
        <v>0</v>
      </c>
      <c r="D172">
        <f>HYPERLINK("http://comp.fnguide.com/SVO2/ASP/SVD_Consensus.asp?pGB=1&amp;gicode=A035810&amp;cID=&amp;MenuYn=Y&amp;ReportGB=&amp;NewMenuID=108&amp;stkGb=701", "이지홀딩스")</f>
        <v>0</v>
      </c>
      <c r="E172">
        <v>3</v>
      </c>
      <c r="F172">
        <v>5000</v>
      </c>
      <c r="G172">
        <v>-0.22</v>
      </c>
      <c r="H172">
        <v>2.51</v>
      </c>
      <c r="I172">
        <v>12390</v>
      </c>
      <c r="J172">
        <v>9860</v>
      </c>
      <c r="K172">
        <v>9123</v>
      </c>
      <c r="L172">
        <v>-147.8</v>
      </c>
      <c r="M172">
        <v>-97.2</v>
      </c>
      <c r="N172">
        <v>-82.45999999999999</v>
      </c>
      <c r="O172">
        <v>12.53</v>
      </c>
      <c r="P172" t="b">
        <v>1</v>
      </c>
      <c r="Q172">
        <v>0</v>
      </c>
      <c r="R172">
        <v>1633</v>
      </c>
      <c r="S172">
        <v>381</v>
      </c>
      <c r="T172">
        <v>-76.7</v>
      </c>
      <c r="U172" t="s">
        <v>1564</v>
      </c>
      <c r="V172" t="s">
        <v>2243</v>
      </c>
      <c r="W172">
        <v>-11.36653417016641</v>
      </c>
      <c r="X172">
        <v>1534.7</v>
      </c>
      <c r="Y172" t="s">
        <v>2910</v>
      </c>
      <c r="Z172">
        <v>29.97368582104529</v>
      </c>
      <c r="AA172">
        <v>2782</v>
      </c>
      <c r="AB172">
        <v>4503169</v>
      </c>
      <c r="AC172" t="s">
        <v>3548</v>
      </c>
      <c r="AD172">
        <v>31.86</v>
      </c>
      <c r="AE172" t="s">
        <v>4227</v>
      </c>
      <c r="AF172" t="s">
        <v>4897</v>
      </c>
      <c r="AG172">
        <v>16083</v>
      </c>
      <c r="AH172">
        <v>470</v>
      </c>
      <c r="AI172">
        <v>9658</v>
      </c>
      <c r="AJ172">
        <v>1.22</v>
      </c>
    </row>
    <row r="173" spans="1:36">
      <c r="A173" s="1" t="s">
        <v>207</v>
      </c>
      <c r="B173" t="s">
        <v>886</v>
      </c>
      <c r="C173">
        <f>HYPERLINK("https://finance.naver.com/item/coinfo.nhn?code=004650", "A004650")</f>
        <v>0</v>
      </c>
      <c r="D173">
        <f>HYPERLINK("http://comp.fnguide.com/SVO2/ASP/SVD_Consensus.asp?pGB=1&amp;gicode=A004650&amp;cID=&amp;MenuYn=Y&amp;ReportGB=&amp;NewMenuID=108&amp;stkGb=701", "창해에탄올")</f>
        <v>0</v>
      </c>
      <c r="E173">
        <v>3</v>
      </c>
      <c r="F173">
        <v>14150</v>
      </c>
      <c r="G173">
        <v>0</v>
      </c>
      <c r="H173">
        <v>9.539999999999999</v>
      </c>
      <c r="I173">
        <v>24112</v>
      </c>
      <c r="J173">
        <v>20038</v>
      </c>
      <c r="K173">
        <v>18851</v>
      </c>
      <c r="L173">
        <v>-70.40000000000001</v>
      </c>
      <c r="M173">
        <v>-41.61</v>
      </c>
      <c r="N173">
        <v>-33.22</v>
      </c>
      <c r="O173">
        <v>11.49</v>
      </c>
      <c r="P173" t="b">
        <v>1</v>
      </c>
      <c r="Q173">
        <v>0</v>
      </c>
      <c r="R173">
        <v>1414</v>
      </c>
      <c r="U173" t="s">
        <v>1565</v>
      </c>
      <c r="V173" t="s">
        <v>2244</v>
      </c>
      <c r="W173">
        <v>0</v>
      </c>
      <c r="X173">
        <v>-35.3</v>
      </c>
      <c r="Y173" t="s">
        <v>2911</v>
      </c>
      <c r="Z173">
        <v>-1.14036887978004</v>
      </c>
      <c r="AA173">
        <v>1301</v>
      </c>
      <c r="AB173">
        <v>51282</v>
      </c>
      <c r="AC173" t="s">
        <v>3549</v>
      </c>
      <c r="AD173">
        <v>27.14</v>
      </c>
      <c r="AE173" t="s">
        <v>4228</v>
      </c>
      <c r="AF173" t="s">
        <v>4898</v>
      </c>
      <c r="AG173">
        <v>1147</v>
      </c>
      <c r="AH173">
        <v>194</v>
      </c>
      <c r="AI173">
        <v>1603534</v>
      </c>
      <c r="AJ173">
        <v>4.44</v>
      </c>
    </row>
    <row r="174" spans="1:36">
      <c r="A174" s="1" t="s">
        <v>208</v>
      </c>
      <c r="B174" t="s">
        <v>887</v>
      </c>
      <c r="C174">
        <f>HYPERLINK("https://finance.naver.com/item/coinfo.nhn?code=024810", "A024810")</f>
        <v>0</v>
      </c>
      <c r="D174">
        <f>HYPERLINK("http://comp.fnguide.com/SVO2/ASP/SVD_Consensus.asp?pGB=1&amp;gicode=A024810&amp;cID=&amp;MenuYn=Y&amp;ReportGB=&amp;NewMenuID=108&amp;stkGb=701", "이화전기")</f>
        <v>0</v>
      </c>
      <c r="E174">
        <v>3</v>
      </c>
      <c r="F174">
        <v>253</v>
      </c>
      <c r="G174">
        <v>0</v>
      </c>
      <c r="I174">
        <v>0</v>
      </c>
      <c r="J174">
        <v>1523</v>
      </c>
      <c r="K174">
        <v>1967</v>
      </c>
      <c r="L174">
        <v>100</v>
      </c>
      <c r="M174">
        <v>-502.06</v>
      </c>
      <c r="N174">
        <v>-677.4299999999999</v>
      </c>
      <c r="O174">
        <v>0</v>
      </c>
      <c r="P174" t="b">
        <v>0</v>
      </c>
      <c r="Q174">
        <v>0</v>
      </c>
      <c r="R174">
        <v>-277</v>
      </c>
      <c r="U174" t="s">
        <v>1566</v>
      </c>
      <c r="V174" t="s">
        <v>2245</v>
      </c>
      <c r="W174">
        <v>0</v>
      </c>
      <c r="X174">
        <v>0</v>
      </c>
      <c r="Y174" t="s">
        <v>2762</v>
      </c>
      <c r="Z174">
        <v>0</v>
      </c>
      <c r="AA174">
        <v>1817</v>
      </c>
      <c r="AB174">
        <v>0</v>
      </c>
      <c r="AC174" t="s">
        <v>3550</v>
      </c>
      <c r="AD174">
        <v>14.93</v>
      </c>
      <c r="AE174" t="s">
        <v>4229</v>
      </c>
      <c r="AF174" t="s">
        <v>4741</v>
      </c>
      <c r="AG174">
        <v>533</v>
      </c>
      <c r="AH174">
        <v>-37</v>
      </c>
      <c r="AI174">
        <v>8332</v>
      </c>
    </row>
    <row r="175" spans="1:36">
      <c r="A175" s="1" t="s">
        <v>209</v>
      </c>
      <c r="B175" t="s">
        <v>888</v>
      </c>
      <c r="C175">
        <f>HYPERLINK("https://finance.naver.com/item/coinfo.nhn?code=037330", "A037330")</f>
        <v>0</v>
      </c>
      <c r="D175">
        <f>HYPERLINK("http://comp.fnguide.com/SVO2/ASP/SVD_Consensus.asp?pGB=1&amp;gicode=A037330&amp;cID=&amp;MenuYn=Y&amp;ReportGB=&amp;NewMenuID=108&amp;stkGb=701", "인지디스플레")</f>
        <v>0</v>
      </c>
      <c r="E175">
        <v>3</v>
      </c>
      <c r="F175">
        <v>3430</v>
      </c>
      <c r="G175">
        <v>0</v>
      </c>
      <c r="H175">
        <v>9.279999999999999</v>
      </c>
      <c r="I175">
        <v>3378</v>
      </c>
      <c r="J175">
        <v>3840</v>
      </c>
      <c r="K175">
        <v>3975</v>
      </c>
      <c r="L175">
        <v>1.51</v>
      </c>
      <c r="M175">
        <v>-11.96</v>
      </c>
      <c r="N175">
        <v>-15.88</v>
      </c>
      <c r="O175">
        <v>6.68</v>
      </c>
      <c r="P175" t="b">
        <v>1</v>
      </c>
      <c r="Q175">
        <v>0</v>
      </c>
      <c r="R175">
        <v>370</v>
      </c>
      <c r="U175" t="s">
        <v>1567</v>
      </c>
      <c r="V175" t="s">
        <v>2246</v>
      </c>
      <c r="W175">
        <v>0</v>
      </c>
      <c r="X175">
        <v>234.5</v>
      </c>
      <c r="Y175" t="s">
        <v>2912</v>
      </c>
      <c r="Z175">
        <v>38.26958188253145</v>
      </c>
      <c r="AA175">
        <v>1505</v>
      </c>
      <c r="AB175">
        <v>162869</v>
      </c>
      <c r="AC175" t="s">
        <v>3551</v>
      </c>
      <c r="AD175">
        <v>49.98</v>
      </c>
      <c r="AE175" t="s">
        <v>4230</v>
      </c>
      <c r="AF175" t="s">
        <v>4899</v>
      </c>
      <c r="AG175">
        <v>7645</v>
      </c>
      <c r="AH175">
        <v>346</v>
      </c>
      <c r="AI175">
        <v>693500</v>
      </c>
      <c r="AJ175">
        <v>2.91</v>
      </c>
    </row>
    <row r="176" spans="1:36">
      <c r="A176" s="1" t="s">
        <v>210</v>
      </c>
      <c r="B176" t="s">
        <v>889</v>
      </c>
      <c r="C176">
        <f>HYPERLINK("https://finance.naver.com/item/coinfo.nhn?code=017250", "A017250")</f>
        <v>0</v>
      </c>
      <c r="D176">
        <f>HYPERLINK("http://comp.fnguide.com/SVO2/ASP/SVD_Consensus.asp?pGB=1&amp;gicode=A017250&amp;cID=&amp;MenuYn=Y&amp;ReportGB=&amp;NewMenuID=108&amp;stkGb=701", "인터엠")</f>
        <v>0</v>
      </c>
      <c r="E176">
        <v>3</v>
      </c>
      <c r="F176">
        <v>1705</v>
      </c>
      <c r="G176">
        <v>0</v>
      </c>
      <c r="I176">
        <v>0</v>
      </c>
      <c r="J176">
        <v>1361</v>
      </c>
      <c r="K176">
        <v>1758</v>
      </c>
      <c r="L176">
        <v>100</v>
      </c>
      <c r="M176">
        <v>20.16</v>
      </c>
      <c r="N176">
        <v>-3.1</v>
      </c>
      <c r="O176">
        <v>0</v>
      </c>
      <c r="P176" t="b">
        <v>0</v>
      </c>
      <c r="Q176">
        <v>0</v>
      </c>
      <c r="R176">
        <v>-880</v>
      </c>
      <c r="U176" t="s">
        <v>1568</v>
      </c>
      <c r="V176" t="s">
        <v>2247</v>
      </c>
      <c r="W176">
        <v>0</v>
      </c>
      <c r="X176">
        <v>0</v>
      </c>
      <c r="Y176" t="s">
        <v>2913</v>
      </c>
      <c r="Z176">
        <v>584.8</v>
      </c>
      <c r="AA176">
        <v>359</v>
      </c>
      <c r="AB176">
        <v>29461</v>
      </c>
      <c r="AC176" t="s">
        <v>3552</v>
      </c>
      <c r="AD176">
        <v>43.38</v>
      </c>
      <c r="AE176" t="s">
        <v>4231</v>
      </c>
      <c r="AF176" t="s">
        <v>4741</v>
      </c>
      <c r="AG176">
        <v>634</v>
      </c>
      <c r="AH176">
        <v>-155</v>
      </c>
      <c r="AI176">
        <v>800000</v>
      </c>
    </row>
    <row r="177" spans="1:36">
      <c r="A177" s="1" t="s">
        <v>211</v>
      </c>
      <c r="B177" t="s">
        <v>890</v>
      </c>
      <c r="C177">
        <f>HYPERLINK("https://finance.naver.com/item/coinfo.nhn?code=115310", "A115310")</f>
        <v>0</v>
      </c>
      <c r="D177">
        <f>HYPERLINK("http://comp.fnguide.com/SVO2/ASP/SVD_Consensus.asp?pGB=1&amp;gicode=A115310&amp;cID=&amp;MenuYn=Y&amp;ReportGB=&amp;NewMenuID=108&amp;stkGb=701", "인포바인")</f>
        <v>0</v>
      </c>
      <c r="E177">
        <v>3</v>
      </c>
      <c r="F177">
        <v>21150</v>
      </c>
      <c r="G177">
        <v>0</v>
      </c>
      <c r="H177">
        <v>9.119999999999999</v>
      </c>
      <c r="I177">
        <v>48555</v>
      </c>
      <c r="J177">
        <v>44443</v>
      </c>
      <c r="K177">
        <v>43246</v>
      </c>
      <c r="L177">
        <v>-129.57</v>
      </c>
      <c r="M177">
        <v>-110.13</v>
      </c>
      <c r="N177">
        <v>-104.47</v>
      </c>
      <c r="O177">
        <v>9.59</v>
      </c>
      <c r="P177" t="b">
        <v>1</v>
      </c>
      <c r="Q177">
        <v>0</v>
      </c>
      <c r="R177">
        <v>2072</v>
      </c>
      <c r="U177" t="s">
        <v>1569</v>
      </c>
      <c r="V177" t="s">
        <v>2248</v>
      </c>
      <c r="W177">
        <v>0</v>
      </c>
      <c r="X177">
        <v>-26.4</v>
      </c>
      <c r="Y177" t="s">
        <v>2914</v>
      </c>
      <c r="Z177">
        <v>-7.842988812158891</v>
      </c>
      <c r="AA177">
        <v>675</v>
      </c>
      <c r="AB177">
        <v>4190</v>
      </c>
      <c r="AC177" t="s">
        <v>3553</v>
      </c>
      <c r="AD177">
        <v>17.43</v>
      </c>
      <c r="AE177" t="s">
        <v>4232</v>
      </c>
      <c r="AF177" t="s">
        <v>4900</v>
      </c>
      <c r="AG177">
        <v>192</v>
      </c>
      <c r="AH177">
        <v>81</v>
      </c>
      <c r="AI177">
        <v>1050332</v>
      </c>
      <c r="AJ177">
        <v>4.76</v>
      </c>
    </row>
    <row r="178" spans="1:36">
      <c r="A178" s="1" t="s">
        <v>212</v>
      </c>
      <c r="B178" t="s">
        <v>891</v>
      </c>
      <c r="C178">
        <f>HYPERLINK("https://finance.naver.com/item/coinfo.nhn?code=101930", "A101930")</f>
        <v>0</v>
      </c>
      <c r="D178">
        <f>HYPERLINK("http://comp.fnguide.com/SVO2/ASP/SVD_Consensus.asp?pGB=1&amp;gicode=A101930&amp;cID=&amp;MenuYn=Y&amp;ReportGB=&amp;NewMenuID=108&amp;stkGb=701", "인화정공")</f>
        <v>0</v>
      </c>
      <c r="E178">
        <v>3</v>
      </c>
      <c r="F178">
        <v>12100</v>
      </c>
      <c r="G178">
        <v>0</v>
      </c>
      <c r="H178">
        <v>2.06</v>
      </c>
      <c r="I178">
        <v>23320</v>
      </c>
      <c r="J178">
        <v>20105</v>
      </c>
      <c r="K178">
        <v>19168</v>
      </c>
      <c r="L178">
        <v>-92.73</v>
      </c>
      <c r="M178">
        <v>-66.16</v>
      </c>
      <c r="N178">
        <v>-58.42</v>
      </c>
      <c r="O178">
        <v>10.71</v>
      </c>
      <c r="P178" t="b">
        <v>1</v>
      </c>
      <c r="Q178">
        <v>0</v>
      </c>
      <c r="R178">
        <v>3394</v>
      </c>
      <c r="U178" t="s">
        <v>1570</v>
      </c>
      <c r="V178" t="s">
        <v>2249</v>
      </c>
      <c r="W178">
        <v>0</v>
      </c>
      <c r="X178">
        <v>0</v>
      </c>
      <c r="Y178" t="s">
        <v>2762</v>
      </c>
      <c r="Z178">
        <v>0</v>
      </c>
      <c r="AA178">
        <v>1129</v>
      </c>
      <c r="AB178">
        <v>104784</v>
      </c>
      <c r="AC178" t="s">
        <v>3554</v>
      </c>
      <c r="AD178">
        <v>50.81</v>
      </c>
      <c r="AE178" t="s">
        <v>4233</v>
      </c>
      <c r="AF178" t="s">
        <v>4901</v>
      </c>
      <c r="AG178">
        <v>1057</v>
      </c>
      <c r="AH178">
        <v>-6</v>
      </c>
      <c r="AI178">
        <v>150857</v>
      </c>
    </row>
    <row r="179" spans="1:36">
      <c r="A179" s="1" t="s">
        <v>213</v>
      </c>
      <c r="B179" t="s">
        <v>892</v>
      </c>
      <c r="C179">
        <f>HYPERLINK("https://finance.naver.com/item/coinfo.nhn?code=019540", "A019540")</f>
        <v>0</v>
      </c>
      <c r="D179">
        <f>HYPERLINK("http://comp.fnguide.com/SVO2/ASP/SVD_Consensus.asp?pGB=1&amp;gicode=A019540&amp;cID=&amp;MenuYn=Y&amp;ReportGB=&amp;NewMenuID=108&amp;stkGb=701", "일지테크")</f>
        <v>0</v>
      </c>
      <c r="E179">
        <v>3</v>
      </c>
      <c r="F179">
        <v>4070</v>
      </c>
      <c r="G179">
        <v>0</v>
      </c>
      <c r="I179">
        <v>0</v>
      </c>
      <c r="J179">
        <v>4814</v>
      </c>
      <c r="K179">
        <v>6216</v>
      </c>
      <c r="L179">
        <v>100</v>
      </c>
      <c r="M179">
        <v>-18.27</v>
      </c>
      <c r="N179">
        <v>-52.72</v>
      </c>
      <c r="O179">
        <v>0</v>
      </c>
      <c r="P179" t="b">
        <v>0</v>
      </c>
      <c r="Q179">
        <v>0</v>
      </c>
      <c r="R179">
        <v>-933</v>
      </c>
      <c r="U179" t="s">
        <v>1571</v>
      </c>
      <c r="V179" t="s">
        <v>2250</v>
      </c>
      <c r="W179">
        <v>0</v>
      </c>
      <c r="X179">
        <v>0</v>
      </c>
      <c r="Y179" t="s">
        <v>2915</v>
      </c>
      <c r="Z179">
        <v>-2.469645750668981</v>
      </c>
      <c r="AA179">
        <v>550</v>
      </c>
      <c r="AB179">
        <v>34086</v>
      </c>
      <c r="AC179" t="s">
        <v>3555</v>
      </c>
      <c r="AD179">
        <v>46.41</v>
      </c>
      <c r="AE179" t="s">
        <v>4234</v>
      </c>
      <c r="AF179" t="s">
        <v>4741</v>
      </c>
      <c r="AG179">
        <v>1917</v>
      </c>
      <c r="AH179">
        <v>-92</v>
      </c>
      <c r="AI179">
        <v>298034</v>
      </c>
    </row>
    <row r="180" spans="1:36">
      <c r="A180" s="1" t="s">
        <v>214</v>
      </c>
      <c r="B180" t="s">
        <v>893</v>
      </c>
      <c r="C180">
        <f>HYPERLINK("https://finance.naver.com/item/coinfo.nhn?code=094820", "A094820")</f>
        <v>0</v>
      </c>
      <c r="D180">
        <f>HYPERLINK("http://comp.fnguide.com/SVO2/ASP/SVD_Consensus.asp?pGB=1&amp;gicode=A094820&amp;cID=&amp;MenuYn=Y&amp;ReportGB=&amp;NewMenuID=108&amp;stkGb=701", "일진파워")</f>
        <v>0</v>
      </c>
      <c r="E180">
        <v>3</v>
      </c>
      <c r="F180">
        <v>6510</v>
      </c>
      <c r="G180">
        <v>0</v>
      </c>
      <c r="H180">
        <v>7.84</v>
      </c>
      <c r="I180">
        <v>10379</v>
      </c>
      <c r="J180">
        <v>8169</v>
      </c>
      <c r="K180">
        <v>7525</v>
      </c>
      <c r="L180">
        <v>-59.43</v>
      </c>
      <c r="M180">
        <v>-25.49</v>
      </c>
      <c r="N180">
        <v>-15.6</v>
      </c>
      <c r="O180">
        <v>12.81</v>
      </c>
      <c r="P180" t="b">
        <v>0</v>
      </c>
      <c r="Q180">
        <v>0</v>
      </c>
      <c r="R180">
        <v>707</v>
      </c>
      <c r="U180" t="s">
        <v>1572</v>
      </c>
      <c r="V180" t="s">
        <v>2251</v>
      </c>
      <c r="W180">
        <v>0</v>
      </c>
      <c r="X180">
        <v>-9.4</v>
      </c>
      <c r="Y180" t="s">
        <v>2916</v>
      </c>
      <c r="Z180">
        <v>29.5121256973693</v>
      </c>
      <c r="AA180">
        <v>982</v>
      </c>
      <c r="AB180">
        <v>139775</v>
      </c>
      <c r="AC180" t="s">
        <v>3556</v>
      </c>
      <c r="AD180">
        <v>38.44</v>
      </c>
      <c r="AE180" t="s">
        <v>4235</v>
      </c>
      <c r="AF180" t="s">
        <v>4902</v>
      </c>
      <c r="AG180">
        <v>1680</v>
      </c>
      <c r="AH180">
        <v>131</v>
      </c>
      <c r="AJ180">
        <v>5.42</v>
      </c>
    </row>
    <row r="181" spans="1:36">
      <c r="A181" s="1" t="s">
        <v>215</v>
      </c>
      <c r="B181" t="s">
        <v>894</v>
      </c>
      <c r="C181">
        <f>HYPERLINK("https://finance.naver.com/item/coinfo.nhn?code=221610", "A221610")</f>
        <v>0</v>
      </c>
      <c r="D181">
        <f>HYPERLINK("http://comp.fnguide.com/SVO2/ASP/SVD_Consensus.asp?pGB=1&amp;gicode=A221610&amp;cID=&amp;MenuYn=Y&amp;ReportGB=&amp;NewMenuID=108&amp;stkGb=701", "자안바이오")</f>
        <v>0</v>
      </c>
      <c r="E181">
        <v>3</v>
      </c>
      <c r="F181">
        <v>339</v>
      </c>
      <c r="G181">
        <v>0</v>
      </c>
      <c r="I181">
        <v>1064</v>
      </c>
      <c r="J181">
        <v>6266</v>
      </c>
      <c r="K181">
        <v>7782</v>
      </c>
      <c r="L181">
        <v>-213.73</v>
      </c>
      <c r="M181">
        <v>-1748.43</v>
      </c>
      <c r="N181">
        <v>-2195.46</v>
      </c>
      <c r="O181">
        <v>0.89</v>
      </c>
      <c r="P181" t="b">
        <v>0</v>
      </c>
      <c r="Q181">
        <v>0</v>
      </c>
      <c r="R181">
        <v>-4291</v>
      </c>
      <c r="U181" t="s">
        <v>1573</v>
      </c>
      <c r="V181" t="s">
        <v>2252</v>
      </c>
      <c r="W181">
        <v>0</v>
      </c>
      <c r="X181">
        <v>0</v>
      </c>
      <c r="Y181" t="s">
        <v>2762</v>
      </c>
      <c r="Z181">
        <v>0</v>
      </c>
      <c r="AA181">
        <v>1101</v>
      </c>
      <c r="AB181">
        <v>0</v>
      </c>
      <c r="AC181" t="s">
        <v>3557</v>
      </c>
      <c r="AD181">
        <v>33.21</v>
      </c>
      <c r="AE181" t="s">
        <v>4236</v>
      </c>
      <c r="AF181" t="s">
        <v>4903</v>
      </c>
      <c r="AG181">
        <v>163</v>
      </c>
      <c r="AH181">
        <v>-89</v>
      </c>
    </row>
    <row r="182" spans="1:36">
      <c r="A182" s="1" t="s">
        <v>216</v>
      </c>
      <c r="B182" t="s">
        <v>895</v>
      </c>
      <c r="C182">
        <f>HYPERLINK("https://finance.naver.com/item/coinfo.nhn?code=219550", "A219550")</f>
        <v>0</v>
      </c>
      <c r="D182">
        <f>HYPERLINK("http://comp.fnguide.com/SVO2/ASP/SVD_Consensus.asp?pGB=1&amp;gicode=A219550&amp;cID=&amp;MenuYn=Y&amp;ReportGB=&amp;NewMenuID=108&amp;stkGb=701", "자안코스메틱")</f>
        <v>0</v>
      </c>
      <c r="E182">
        <v>3</v>
      </c>
      <c r="F182">
        <v>835</v>
      </c>
      <c r="G182">
        <v>0</v>
      </c>
      <c r="I182">
        <v>975</v>
      </c>
      <c r="J182">
        <v>2816</v>
      </c>
      <c r="K182">
        <v>3353</v>
      </c>
      <c r="L182">
        <v>-16.77</v>
      </c>
      <c r="M182">
        <v>-237.3</v>
      </c>
      <c r="N182">
        <v>-301.54</v>
      </c>
      <c r="O182">
        <v>1.97</v>
      </c>
      <c r="P182" t="b">
        <v>0</v>
      </c>
      <c r="Q182">
        <v>0</v>
      </c>
      <c r="R182">
        <v>-1651</v>
      </c>
      <c r="U182" t="s">
        <v>1574</v>
      </c>
      <c r="V182" t="s">
        <v>2253</v>
      </c>
      <c r="W182">
        <v>0</v>
      </c>
      <c r="X182">
        <v>0</v>
      </c>
      <c r="Y182" t="s">
        <v>2917</v>
      </c>
      <c r="Z182">
        <v>-13.71896516968014</v>
      </c>
      <c r="AA182">
        <v>667</v>
      </c>
      <c r="AB182">
        <v>0</v>
      </c>
      <c r="AC182" t="s">
        <v>3558</v>
      </c>
      <c r="AD182">
        <v>21.83</v>
      </c>
      <c r="AE182" t="s">
        <v>4237</v>
      </c>
      <c r="AF182" t="s">
        <v>4904</v>
      </c>
      <c r="AG182">
        <v>304</v>
      </c>
      <c r="AH182">
        <v>-85</v>
      </c>
      <c r="AI182">
        <v>3786741</v>
      </c>
    </row>
    <row r="183" spans="1:36">
      <c r="A183" s="1" t="s">
        <v>217</v>
      </c>
      <c r="B183" t="s">
        <v>896</v>
      </c>
      <c r="C183">
        <f>HYPERLINK("https://finance.naver.com/item/coinfo.nhn?code=174880", "A174880")</f>
        <v>0</v>
      </c>
      <c r="D183">
        <f>HYPERLINK("http://comp.fnguide.com/SVO2/ASP/SVD_Consensus.asp?pGB=1&amp;gicode=A174880&amp;cID=&amp;MenuYn=Y&amp;ReportGB=&amp;NewMenuID=108&amp;stkGb=701", "장원테크")</f>
        <v>0</v>
      </c>
      <c r="E183">
        <v>3</v>
      </c>
      <c r="F183">
        <v>4000</v>
      </c>
      <c r="G183">
        <v>0</v>
      </c>
      <c r="I183">
        <v>1493</v>
      </c>
      <c r="J183">
        <v>3524</v>
      </c>
      <c r="K183">
        <v>4115</v>
      </c>
      <c r="L183">
        <v>62.68</v>
      </c>
      <c r="M183">
        <v>11.91</v>
      </c>
      <c r="N183">
        <v>-2.88</v>
      </c>
      <c r="O183">
        <v>2.5</v>
      </c>
      <c r="P183" t="b">
        <v>0</v>
      </c>
      <c r="Q183">
        <v>0</v>
      </c>
      <c r="R183">
        <v>-4730</v>
      </c>
      <c r="U183" t="s">
        <v>1575</v>
      </c>
      <c r="V183" t="s">
        <v>2254</v>
      </c>
      <c r="W183">
        <v>0</v>
      </c>
      <c r="X183">
        <v>0</v>
      </c>
      <c r="Y183" t="s">
        <v>2918</v>
      </c>
      <c r="Z183">
        <v>-86.20000000000002</v>
      </c>
      <c r="AA183">
        <v>658</v>
      </c>
      <c r="AB183">
        <v>95780</v>
      </c>
      <c r="AC183" t="s">
        <v>3559</v>
      </c>
      <c r="AD183">
        <v>75.76000000000001</v>
      </c>
      <c r="AE183" t="s">
        <v>4238</v>
      </c>
      <c r="AF183" t="s">
        <v>4905</v>
      </c>
      <c r="AG183">
        <v>478</v>
      </c>
      <c r="AH183">
        <v>-195</v>
      </c>
      <c r="AI183">
        <v>275500</v>
      </c>
    </row>
    <row r="184" spans="1:36">
      <c r="A184" s="1" t="s">
        <v>218</v>
      </c>
      <c r="B184" t="s">
        <v>897</v>
      </c>
      <c r="C184">
        <f>HYPERLINK("https://finance.naver.com/item/coinfo.nhn?code=064800", "A064800")</f>
        <v>0</v>
      </c>
      <c r="D184">
        <f>HYPERLINK("http://comp.fnguide.com/SVO2/ASP/SVD_Consensus.asp?pGB=1&amp;gicode=A064800&amp;cID=&amp;MenuYn=Y&amp;ReportGB=&amp;NewMenuID=108&amp;stkGb=701", "젬백스링크")</f>
        <v>0</v>
      </c>
      <c r="E184">
        <v>3</v>
      </c>
      <c r="F184">
        <v>1650</v>
      </c>
      <c r="G184">
        <v>0</v>
      </c>
      <c r="H184">
        <v>11.13</v>
      </c>
      <c r="I184">
        <v>1007</v>
      </c>
      <c r="J184">
        <v>1535</v>
      </c>
      <c r="K184">
        <v>1689</v>
      </c>
      <c r="L184">
        <v>38.96</v>
      </c>
      <c r="M184">
        <v>6.95</v>
      </c>
      <c r="N184">
        <v>-2.38</v>
      </c>
      <c r="O184">
        <v>4.36</v>
      </c>
      <c r="P184" t="b">
        <v>1</v>
      </c>
      <c r="Q184">
        <v>0</v>
      </c>
      <c r="R184">
        <v>127</v>
      </c>
      <c r="U184" t="s">
        <v>1576</v>
      </c>
      <c r="V184" t="s">
        <v>2255</v>
      </c>
      <c r="W184">
        <v>0</v>
      </c>
      <c r="X184">
        <v>171.4</v>
      </c>
      <c r="Y184" t="s">
        <v>2919</v>
      </c>
      <c r="Z184">
        <v>-26.69433855424262</v>
      </c>
      <c r="AA184">
        <v>1296</v>
      </c>
      <c r="AB184">
        <v>1625961</v>
      </c>
      <c r="AC184" t="s">
        <v>3560</v>
      </c>
      <c r="AD184">
        <v>25</v>
      </c>
      <c r="AE184" t="s">
        <v>4239</v>
      </c>
      <c r="AF184" t="s">
        <v>4906</v>
      </c>
      <c r="AG184">
        <v>934</v>
      </c>
      <c r="AH184">
        <v>37</v>
      </c>
    </row>
    <row r="185" spans="1:36">
      <c r="A185" s="1" t="s">
        <v>219</v>
      </c>
      <c r="B185" t="s">
        <v>898</v>
      </c>
      <c r="C185">
        <f>HYPERLINK("https://finance.naver.com/item/coinfo.nhn?code=033340", "A033340")</f>
        <v>0</v>
      </c>
      <c r="D185">
        <f>HYPERLINK("http://comp.fnguide.com/SVO2/ASP/SVD_Consensus.asp?pGB=1&amp;gicode=A033340&amp;cID=&amp;MenuYn=Y&amp;ReportGB=&amp;NewMenuID=108&amp;stkGb=701", "좋은사람들")</f>
        <v>0</v>
      </c>
      <c r="E185">
        <v>3</v>
      </c>
      <c r="F185">
        <v>1055</v>
      </c>
      <c r="G185">
        <v>0</v>
      </c>
      <c r="I185">
        <v>161</v>
      </c>
      <c r="J185">
        <v>1096</v>
      </c>
      <c r="K185">
        <v>1368</v>
      </c>
      <c r="L185">
        <v>84.73</v>
      </c>
      <c r="M185">
        <v>-3.89</v>
      </c>
      <c r="N185">
        <v>-29.71</v>
      </c>
      <c r="O185">
        <v>0.76</v>
      </c>
      <c r="P185" t="b">
        <v>0</v>
      </c>
      <c r="Q185">
        <v>0</v>
      </c>
      <c r="R185">
        <v>-537</v>
      </c>
      <c r="U185" t="s">
        <v>1577</v>
      </c>
      <c r="V185" t="s">
        <v>2256</v>
      </c>
      <c r="W185">
        <v>0</v>
      </c>
      <c r="X185">
        <v>0</v>
      </c>
      <c r="Y185" t="s">
        <v>2762</v>
      </c>
      <c r="Z185">
        <v>0</v>
      </c>
      <c r="AA185">
        <v>527</v>
      </c>
      <c r="AB185">
        <v>0</v>
      </c>
      <c r="AC185" t="s">
        <v>3561</v>
      </c>
      <c r="AD185">
        <v>2.09</v>
      </c>
      <c r="AE185" t="s">
        <v>4240</v>
      </c>
      <c r="AF185" t="s">
        <v>4907</v>
      </c>
      <c r="AG185">
        <v>1120</v>
      </c>
      <c r="AH185">
        <v>-233</v>
      </c>
    </row>
    <row r="186" spans="1:36">
      <c r="A186" s="1" t="s">
        <v>220</v>
      </c>
      <c r="B186" t="s">
        <v>899</v>
      </c>
      <c r="C186">
        <f>HYPERLINK("https://finance.naver.com/item/coinfo.nhn?code=000440", "A000440")</f>
        <v>0</v>
      </c>
      <c r="D186">
        <f>HYPERLINK("http://comp.fnguide.com/SVO2/ASP/SVD_Consensus.asp?pGB=1&amp;gicode=A000440&amp;cID=&amp;MenuYn=Y&amp;ReportGB=&amp;NewMenuID=108&amp;stkGb=701", "중앙에너비스")</f>
        <v>0</v>
      </c>
      <c r="E186">
        <v>3</v>
      </c>
      <c r="F186">
        <v>16400</v>
      </c>
      <c r="G186">
        <v>0</v>
      </c>
      <c r="H186">
        <v>3</v>
      </c>
      <c r="I186">
        <v>31727</v>
      </c>
      <c r="J186">
        <v>21134</v>
      </c>
      <c r="K186">
        <v>18049</v>
      </c>
      <c r="L186">
        <v>-93.45999999999999</v>
      </c>
      <c r="M186">
        <v>-28.87</v>
      </c>
      <c r="N186">
        <v>-10.05</v>
      </c>
      <c r="O186">
        <v>18.77</v>
      </c>
      <c r="P186" t="b">
        <v>1</v>
      </c>
      <c r="Q186">
        <v>0</v>
      </c>
      <c r="R186">
        <v>3083</v>
      </c>
      <c r="U186" t="s">
        <v>1578</v>
      </c>
      <c r="V186" t="s">
        <v>2257</v>
      </c>
      <c r="W186">
        <v>0</v>
      </c>
      <c r="X186">
        <v>3020.4</v>
      </c>
      <c r="Y186" t="s">
        <v>2920</v>
      </c>
      <c r="Z186">
        <v>85.79480278346377</v>
      </c>
      <c r="AA186">
        <v>1021</v>
      </c>
      <c r="AB186">
        <v>700486</v>
      </c>
      <c r="AC186" t="s">
        <v>3562</v>
      </c>
      <c r="AD186">
        <v>49.88</v>
      </c>
      <c r="AE186" t="s">
        <v>4241</v>
      </c>
      <c r="AF186" t="s">
        <v>4908</v>
      </c>
      <c r="AG186">
        <v>536</v>
      </c>
      <c r="AH186">
        <v>1</v>
      </c>
      <c r="AI186">
        <v>1793295</v>
      </c>
      <c r="AJ186">
        <v>5.18</v>
      </c>
    </row>
    <row r="187" spans="1:36">
      <c r="A187" s="1" t="s">
        <v>221</v>
      </c>
      <c r="B187" t="s">
        <v>900</v>
      </c>
      <c r="C187">
        <f>HYPERLINK("https://finance.naver.com/item/coinfo.nhn?code=114570", "A114570")</f>
        <v>0</v>
      </c>
      <c r="D187">
        <f>HYPERLINK("http://comp.fnguide.com/SVO2/ASP/SVD_Consensus.asp?pGB=1&amp;gicode=A114570&amp;cID=&amp;MenuYn=Y&amp;ReportGB=&amp;NewMenuID=108&amp;stkGb=701", "지스마트글로벌")</f>
        <v>0</v>
      </c>
      <c r="E187">
        <v>3</v>
      </c>
      <c r="F187">
        <v>620</v>
      </c>
      <c r="G187">
        <v>0</v>
      </c>
      <c r="I187">
        <v>1193</v>
      </c>
      <c r="J187">
        <v>2967</v>
      </c>
      <c r="K187">
        <v>3484</v>
      </c>
      <c r="L187">
        <v>-92.34</v>
      </c>
      <c r="M187">
        <v>-378.55</v>
      </c>
      <c r="N187">
        <v>-461.92</v>
      </c>
      <c r="O187">
        <v>2.35</v>
      </c>
      <c r="P187" t="b">
        <v>0</v>
      </c>
      <c r="Q187">
        <v>0</v>
      </c>
      <c r="R187">
        <v>-8212</v>
      </c>
      <c r="U187" t="s">
        <v>1579</v>
      </c>
      <c r="V187" t="s">
        <v>2258</v>
      </c>
      <c r="W187">
        <v>0</v>
      </c>
      <c r="Y187" t="s">
        <v>2921</v>
      </c>
      <c r="Z187">
        <v>0</v>
      </c>
      <c r="AA187">
        <v>70</v>
      </c>
      <c r="AB187">
        <v>0</v>
      </c>
      <c r="AC187" t="s">
        <v>3563</v>
      </c>
      <c r="AD187">
        <v>5.93</v>
      </c>
      <c r="AE187" t="s">
        <v>4242</v>
      </c>
      <c r="AF187" t="s">
        <v>4909</v>
      </c>
      <c r="AG187">
        <v>124</v>
      </c>
      <c r="AH187">
        <v>-636</v>
      </c>
    </row>
    <row r="188" spans="1:36">
      <c r="A188" s="1" t="s">
        <v>222</v>
      </c>
      <c r="B188" t="s">
        <v>901</v>
      </c>
      <c r="C188">
        <f>HYPERLINK("https://finance.naver.com/item/coinfo.nhn?code=053050", "A053050")</f>
        <v>0</v>
      </c>
      <c r="D188">
        <f>HYPERLINK("http://comp.fnguide.com/SVO2/ASP/SVD_Consensus.asp?pGB=1&amp;gicode=A053050&amp;cID=&amp;MenuYn=Y&amp;ReportGB=&amp;NewMenuID=108&amp;stkGb=701", "지에스이")</f>
        <v>0</v>
      </c>
      <c r="E188">
        <v>3</v>
      </c>
      <c r="F188">
        <v>1865</v>
      </c>
      <c r="G188">
        <v>0</v>
      </c>
      <c r="H188">
        <v>11.26</v>
      </c>
      <c r="I188">
        <v>2118</v>
      </c>
      <c r="J188">
        <v>2408</v>
      </c>
      <c r="K188">
        <v>2492</v>
      </c>
      <c r="L188">
        <v>-13.58</v>
      </c>
      <c r="M188">
        <v>-29.11</v>
      </c>
      <c r="N188">
        <v>-33.64</v>
      </c>
      <c r="O188">
        <v>6.68</v>
      </c>
      <c r="P188" t="b">
        <v>0</v>
      </c>
      <c r="Q188">
        <v>0</v>
      </c>
      <c r="R188">
        <v>145</v>
      </c>
      <c r="U188" t="s">
        <v>1580</v>
      </c>
      <c r="V188" t="s">
        <v>2259</v>
      </c>
      <c r="W188">
        <v>0</v>
      </c>
      <c r="X188">
        <v>1.1</v>
      </c>
      <c r="Y188" t="s">
        <v>2922</v>
      </c>
      <c r="Z188">
        <v>-5.134719615125293</v>
      </c>
      <c r="AA188">
        <v>559</v>
      </c>
      <c r="AB188">
        <v>159960</v>
      </c>
      <c r="AC188" t="s">
        <v>3564</v>
      </c>
      <c r="AD188">
        <v>44.6</v>
      </c>
      <c r="AE188" t="s">
        <v>4243</v>
      </c>
      <c r="AF188" t="s">
        <v>4910</v>
      </c>
      <c r="AG188">
        <v>1208</v>
      </c>
      <c r="AH188">
        <v>52</v>
      </c>
      <c r="AI188">
        <v>2282342</v>
      </c>
      <c r="AJ188">
        <v>2.45</v>
      </c>
    </row>
    <row r="189" spans="1:36">
      <c r="A189" s="1" t="s">
        <v>223</v>
      </c>
      <c r="B189" t="s">
        <v>902</v>
      </c>
      <c r="C189">
        <f>HYPERLINK("https://finance.naver.com/item/coinfo.nhn?code=044490", "A044490")</f>
        <v>0</v>
      </c>
      <c r="D189">
        <f>HYPERLINK("http://comp.fnguide.com/SVO2/ASP/SVD_Consensus.asp?pGB=1&amp;gicode=A044490&amp;cID=&amp;MenuYn=Y&amp;ReportGB=&amp;NewMenuID=108&amp;stkGb=701", "태웅")</f>
        <v>0</v>
      </c>
      <c r="E189">
        <v>3</v>
      </c>
      <c r="F189">
        <v>12500</v>
      </c>
      <c r="G189">
        <v>0</v>
      </c>
      <c r="I189">
        <v>0</v>
      </c>
      <c r="J189">
        <v>13864</v>
      </c>
      <c r="K189">
        <v>17902</v>
      </c>
      <c r="L189">
        <v>100</v>
      </c>
      <c r="M189">
        <v>-10.91</v>
      </c>
      <c r="N189">
        <v>-43.22</v>
      </c>
      <c r="O189">
        <v>0</v>
      </c>
      <c r="P189" t="b">
        <v>0</v>
      </c>
      <c r="Q189">
        <v>0</v>
      </c>
      <c r="R189">
        <v>-4681</v>
      </c>
      <c r="U189" t="s">
        <v>1581</v>
      </c>
      <c r="V189" t="s">
        <v>2260</v>
      </c>
      <c r="W189">
        <v>0</v>
      </c>
      <c r="X189">
        <v>0</v>
      </c>
      <c r="Y189" t="s">
        <v>2923</v>
      </c>
      <c r="Z189">
        <v>78.09999999999999</v>
      </c>
      <c r="AA189">
        <v>2501</v>
      </c>
      <c r="AB189">
        <v>0</v>
      </c>
      <c r="AC189" t="s">
        <v>3565</v>
      </c>
      <c r="AD189">
        <v>53.75</v>
      </c>
      <c r="AE189" t="s">
        <v>4244</v>
      </c>
      <c r="AF189" t="s">
        <v>4741</v>
      </c>
      <c r="AG189">
        <v>3444</v>
      </c>
      <c r="AH189">
        <v>13</v>
      </c>
    </row>
    <row r="190" spans="1:36">
      <c r="A190" s="1" t="s">
        <v>224</v>
      </c>
      <c r="B190" t="s">
        <v>903</v>
      </c>
      <c r="C190">
        <f>HYPERLINK("https://finance.naver.com/item/coinfo.nhn?code=066700", "A066700")</f>
        <v>0</v>
      </c>
      <c r="D190">
        <f>HYPERLINK("http://comp.fnguide.com/SVO2/ASP/SVD_Consensus.asp?pGB=1&amp;gicode=A066700&amp;cID=&amp;MenuYn=Y&amp;ReportGB=&amp;NewMenuID=108&amp;stkGb=701", "테라젠이텍스")</f>
        <v>0</v>
      </c>
      <c r="E190">
        <v>3</v>
      </c>
      <c r="F190">
        <v>8400</v>
      </c>
      <c r="G190">
        <v>0</v>
      </c>
      <c r="I190">
        <v>19094</v>
      </c>
      <c r="J190">
        <v>14698</v>
      </c>
      <c r="K190">
        <v>13417</v>
      </c>
      <c r="L190">
        <v>-127.31</v>
      </c>
      <c r="M190">
        <v>-74.97</v>
      </c>
      <c r="N190">
        <v>-59.73</v>
      </c>
      <c r="O190">
        <v>13.42</v>
      </c>
      <c r="P190" t="b">
        <v>0</v>
      </c>
      <c r="Q190">
        <v>0</v>
      </c>
      <c r="R190">
        <v>-277</v>
      </c>
      <c r="U190" t="s">
        <v>1582</v>
      </c>
      <c r="V190" t="s">
        <v>2261</v>
      </c>
      <c r="W190">
        <v>0</v>
      </c>
      <c r="X190">
        <v>0</v>
      </c>
      <c r="Y190" t="s">
        <v>2924</v>
      </c>
      <c r="Z190">
        <v>-47.4</v>
      </c>
      <c r="AA190">
        <v>2727</v>
      </c>
      <c r="AB190">
        <v>115438</v>
      </c>
      <c r="AC190" t="s">
        <v>3566</v>
      </c>
      <c r="AD190">
        <v>16.86</v>
      </c>
      <c r="AE190" t="s">
        <v>4245</v>
      </c>
      <c r="AF190" t="s">
        <v>4911</v>
      </c>
      <c r="AG190">
        <v>1430</v>
      </c>
      <c r="AH190">
        <v>-63</v>
      </c>
      <c r="AI190">
        <v>469056</v>
      </c>
    </row>
    <row r="191" spans="1:36">
      <c r="A191" s="1" t="s">
        <v>225</v>
      </c>
      <c r="B191" t="s">
        <v>904</v>
      </c>
      <c r="C191">
        <f>HYPERLINK("https://finance.naver.com/item/coinfo.nhn?code=051360", "A051360")</f>
        <v>0</v>
      </c>
      <c r="D191">
        <f>HYPERLINK("http://comp.fnguide.com/SVO2/ASP/SVD_Consensus.asp?pGB=1&amp;gicode=A051360&amp;cID=&amp;MenuYn=Y&amp;ReportGB=&amp;NewMenuID=108&amp;stkGb=701", "토비스")</f>
        <v>0</v>
      </c>
      <c r="E191">
        <v>3</v>
      </c>
      <c r="F191">
        <v>8240</v>
      </c>
      <c r="G191">
        <v>0</v>
      </c>
      <c r="I191">
        <v>8573</v>
      </c>
      <c r="J191">
        <v>10613</v>
      </c>
      <c r="K191">
        <v>11208</v>
      </c>
      <c r="L191">
        <v>-4.04</v>
      </c>
      <c r="M191">
        <v>-28.8</v>
      </c>
      <c r="N191">
        <v>-36.01</v>
      </c>
      <c r="O191">
        <v>5.87</v>
      </c>
      <c r="P191" t="b">
        <v>0</v>
      </c>
      <c r="Q191">
        <v>0</v>
      </c>
      <c r="R191">
        <v>-383</v>
      </c>
      <c r="U191" t="s">
        <v>1583</v>
      </c>
      <c r="V191" t="s">
        <v>2262</v>
      </c>
      <c r="W191">
        <v>0</v>
      </c>
      <c r="X191">
        <v>0</v>
      </c>
      <c r="Y191" t="s">
        <v>2925</v>
      </c>
      <c r="Z191">
        <v>-2.544115953834059</v>
      </c>
      <c r="AA191">
        <v>1377</v>
      </c>
      <c r="AB191">
        <v>149066</v>
      </c>
      <c r="AC191" t="s">
        <v>3567</v>
      </c>
      <c r="AD191">
        <v>14.37</v>
      </c>
      <c r="AE191" t="s">
        <v>4246</v>
      </c>
      <c r="AF191" t="s">
        <v>4912</v>
      </c>
      <c r="AG191">
        <v>2728</v>
      </c>
      <c r="AH191">
        <v>-56</v>
      </c>
      <c r="AI191">
        <v>1385732</v>
      </c>
    </row>
    <row r="192" spans="1:36">
      <c r="A192" s="1" t="s">
        <v>226</v>
      </c>
      <c r="B192" t="s">
        <v>905</v>
      </c>
      <c r="C192">
        <f>HYPERLINK("https://finance.naver.com/item/coinfo.nhn?code=130740", "A130740")</f>
        <v>0</v>
      </c>
      <c r="D192">
        <f>HYPERLINK("http://comp.fnguide.com/SVO2/ASP/SVD_Consensus.asp?pGB=1&amp;gicode=A130740&amp;cID=&amp;MenuYn=Y&amp;ReportGB=&amp;NewMenuID=108&amp;stkGb=701", "티피씨글로벌")</f>
        <v>0</v>
      </c>
      <c r="E192">
        <v>3</v>
      </c>
      <c r="F192">
        <v>4560</v>
      </c>
      <c r="G192">
        <v>0</v>
      </c>
      <c r="H192">
        <v>13.88</v>
      </c>
      <c r="I192">
        <v>1769</v>
      </c>
      <c r="J192">
        <v>3939</v>
      </c>
      <c r="K192">
        <v>4571</v>
      </c>
      <c r="L192">
        <v>61.21</v>
      </c>
      <c r="M192">
        <v>13.63</v>
      </c>
      <c r="N192">
        <v>-0.23</v>
      </c>
      <c r="O192">
        <v>2.68</v>
      </c>
      <c r="P192" t="b">
        <v>1</v>
      </c>
      <c r="Q192">
        <v>0</v>
      </c>
      <c r="R192">
        <v>210</v>
      </c>
      <c r="U192" t="s">
        <v>1584</v>
      </c>
      <c r="V192" t="s">
        <v>2263</v>
      </c>
      <c r="W192">
        <v>0</v>
      </c>
      <c r="X192">
        <v>0</v>
      </c>
      <c r="Y192" t="s">
        <v>2926</v>
      </c>
      <c r="Z192">
        <v>-12.70470203820638</v>
      </c>
      <c r="AA192">
        <v>514</v>
      </c>
      <c r="AB192">
        <v>134000</v>
      </c>
      <c r="AC192" t="s">
        <v>3568</v>
      </c>
      <c r="AD192">
        <v>38.52</v>
      </c>
      <c r="AE192" t="s">
        <v>4247</v>
      </c>
      <c r="AF192" t="s">
        <v>4913</v>
      </c>
      <c r="AG192">
        <v>793</v>
      </c>
      <c r="AH192">
        <v>8</v>
      </c>
      <c r="AI192">
        <v>26044</v>
      </c>
    </row>
    <row r="193" spans="1:36">
      <c r="A193" s="1" t="s">
        <v>227</v>
      </c>
      <c r="B193" t="s">
        <v>906</v>
      </c>
      <c r="C193">
        <f>HYPERLINK("https://finance.naver.com/item/coinfo.nhn?code=023760", "A023760")</f>
        <v>0</v>
      </c>
      <c r="D193">
        <f>HYPERLINK("http://comp.fnguide.com/SVO2/ASP/SVD_Consensus.asp?pGB=1&amp;gicode=A023760&amp;cID=&amp;MenuYn=Y&amp;ReportGB=&amp;NewMenuID=108&amp;stkGb=701", "한국캐피탈")</f>
        <v>0</v>
      </c>
      <c r="E193">
        <v>3</v>
      </c>
      <c r="F193">
        <v>812</v>
      </c>
      <c r="G193">
        <v>0</v>
      </c>
      <c r="H193">
        <v>5.7</v>
      </c>
      <c r="I193">
        <v>1107</v>
      </c>
      <c r="J193">
        <v>1032</v>
      </c>
      <c r="K193">
        <v>1011</v>
      </c>
      <c r="L193">
        <v>-36.29</v>
      </c>
      <c r="M193">
        <v>-27.15</v>
      </c>
      <c r="N193">
        <v>-24.49</v>
      </c>
      <c r="O193">
        <v>9.27</v>
      </c>
      <c r="P193" t="b">
        <v>1</v>
      </c>
      <c r="Q193">
        <v>0</v>
      </c>
      <c r="R193">
        <v>102</v>
      </c>
      <c r="U193" t="s">
        <v>1585</v>
      </c>
      <c r="V193" t="s">
        <v>2264</v>
      </c>
      <c r="W193">
        <v>0</v>
      </c>
      <c r="Y193" t="s">
        <v>2823</v>
      </c>
      <c r="Z193">
        <v>-12.89710838341679</v>
      </c>
      <c r="AA193">
        <v>2563</v>
      </c>
      <c r="AB193">
        <v>3175256</v>
      </c>
      <c r="AC193" t="s">
        <v>3569</v>
      </c>
      <c r="AD193">
        <v>80.41</v>
      </c>
      <c r="AE193" t="s">
        <v>4248</v>
      </c>
      <c r="AF193" t="s">
        <v>4914</v>
      </c>
      <c r="AG193">
        <v>762</v>
      </c>
      <c r="AH193">
        <v>420</v>
      </c>
      <c r="AI193">
        <v>3193001</v>
      </c>
      <c r="AJ193">
        <v>4.32</v>
      </c>
    </row>
    <row r="194" spans="1:36">
      <c r="A194" s="1" t="s">
        <v>228</v>
      </c>
      <c r="B194" t="s">
        <v>907</v>
      </c>
      <c r="C194">
        <f>HYPERLINK("https://finance.naver.com/item/coinfo.nhn?code=054040", "A054040")</f>
        <v>0</v>
      </c>
      <c r="D194">
        <f>HYPERLINK("http://comp.fnguide.com/SVO2/ASP/SVD_Consensus.asp?pGB=1&amp;gicode=A054040&amp;cID=&amp;MenuYn=Y&amp;ReportGB=&amp;NewMenuID=108&amp;stkGb=701", "한국컴퓨터")</f>
        <v>0</v>
      </c>
      <c r="E194">
        <v>3</v>
      </c>
      <c r="F194">
        <v>4865</v>
      </c>
      <c r="G194">
        <v>0</v>
      </c>
      <c r="H194">
        <v>5.33</v>
      </c>
      <c r="I194">
        <v>5888</v>
      </c>
      <c r="J194">
        <v>6348</v>
      </c>
      <c r="K194">
        <v>6482</v>
      </c>
      <c r="L194">
        <v>-21.03</v>
      </c>
      <c r="M194">
        <v>-30.48</v>
      </c>
      <c r="N194">
        <v>-33.23</v>
      </c>
      <c r="O194">
        <v>7.27</v>
      </c>
      <c r="P194" t="b">
        <v>1</v>
      </c>
      <c r="Q194">
        <v>0</v>
      </c>
      <c r="R194">
        <v>544</v>
      </c>
      <c r="U194" t="s">
        <v>1586</v>
      </c>
      <c r="V194" t="s">
        <v>2265</v>
      </c>
      <c r="W194">
        <v>0</v>
      </c>
      <c r="X194">
        <v>15.4</v>
      </c>
      <c r="Y194" t="s">
        <v>2927</v>
      </c>
      <c r="Z194">
        <v>-0.7268414927781186</v>
      </c>
      <c r="AA194">
        <v>782</v>
      </c>
      <c r="AB194">
        <v>3581409</v>
      </c>
      <c r="AC194" t="s">
        <v>3570</v>
      </c>
      <c r="AD194">
        <v>42.11</v>
      </c>
      <c r="AE194" t="s">
        <v>4249</v>
      </c>
      <c r="AF194" t="s">
        <v>4915</v>
      </c>
      <c r="AG194">
        <v>1337</v>
      </c>
      <c r="AH194">
        <v>101</v>
      </c>
      <c r="AI194">
        <v>790656</v>
      </c>
      <c r="AJ194">
        <v>5.17</v>
      </c>
    </row>
    <row r="195" spans="1:36">
      <c r="A195" s="1" t="s">
        <v>229</v>
      </c>
      <c r="B195" t="s">
        <v>908</v>
      </c>
      <c r="C195">
        <f>HYPERLINK("https://finance.naver.com/item/coinfo.nhn?code=045100", "A045100")</f>
        <v>0</v>
      </c>
      <c r="D195">
        <f>HYPERLINK("http://comp.fnguide.com/SVO2/ASP/SVD_Consensus.asp?pGB=1&amp;gicode=A045100&amp;cID=&amp;MenuYn=Y&amp;ReportGB=&amp;NewMenuID=108&amp;stkGb=701", "한양이엔지")</f>
        <v>0</v>
      </c>
      <c r="E195">
        <v>3</v>
      </c>
      <c r="F195">
        <v>19650</v>
      </c>
      <c r="G195">
        <v>0</v>
      </c>
      <c r="H195">
        <v>6.38</v>
      </c>
      <c r="I195">
        <v>37795</v>
      </c>
      <c r="J195">
        <v>27896</v>
      </c>
      <c r="K195">
        <v>25013</v>
      </c>
      <c r="L195">
        <v>-92.34</v>
      </c>
      <c r="M195">
        <v>-41.97</v>
      </c>
      <c r="N195">
        <v>-27.29</v>
      </c>
      <c r="O195">
        <v>14.7</v>
      </c>
      <c r="P195" t="b">
        <v>1</v>
      </c>
      <c r="Q195">
        <v>0</v>
      </c>
      <c r="R195">
        <v>2674</v>
      </c>
      <c r="U195" t="s">
        <v>1587</v>
      </c>
      <c r="V195" t="s">
        <v>2266</v>
      </c>
      <c r="W195">
        <v>0</v>
      </c>
      <c r="X195">
        <v>63</v>
      </c>
      <c r="Y195" t="s">
        <v>2928</v>
      </c>
      <c r="Z195">
        <v>2.197892391896472</v>
      </c>
      <c r="AA195">
        <v>3537</v>
      </c>
      <c r="AB195">
        <v>599930</v>
      </c>
      <c r="AC195" t="s">
        <v>3571</v>
      </c>
      <c r="AD195">
        <v>45.6</v>
      </c>
      <c r="AE195" t="s">
        <v>4250</v>
      </c>
      <c r="AF195" t="s">
        <v>4916</v>
      </c>
      <c r="AG195">
        <v>7585</v>
      </c>
      <c r="AH195">
        <v>533</v>
      </c>
      <c r="AI195">
        <v>602572</v>
      </c>
      <c r="AJ195">
        <v>2.93</v>
      </c>
    </row>
    <row r="196" spans="1:36">
      <c r="A196" s="1" t="s">
        <v>230</v>
      </c>
      <c r="B196" t="s">
        <v>909</v>
      </c>
      <c r="C196">
        <f>HYPERLINK("https://finance.naver.com/item/coinfo.nhn?code=046110", "A046110")</f>
        <v>0</v>
      </c>
      <c r="D196">
        <f>HYPERLINK("http://comp.fnguide.com/SVO2/ASP/SVD_Consensus.asp?pGB=1&amp;gicode=A046110&amp;cID=&amp;MenuYn=Y&amp;ReportGB=&amp;NewMenuID=108&amp;stkGb=701", "한일네트웍스")</f>
        <v>0</v>
      </c>
      <c r="E196">
        <v>3</v>
      </c>
      <c r="F196">
        <v>5760</v>
      </c>
      <c r="G196">
        <v>0</v>
      </c>
      <c r="H196">
        <v>7.82</v>
      </c>
      <c r="I196">
        <v>8043</v>
      </c>
      <c r="J196">
        <v>7072</v>
      </c>
      <c r="K196">
        <v>6789</v>
      </c>
      <c r="L196">
        <v>-39.64</v>
      </c>
      <c r="M196">
        <v>-22.78</v>
      </c>
      <c r="N196">
        <v>-17.86</v>
      </c>
      <c r="O196">
        <v>10.32</v>
      </c>
      <c r="P196" t="b">
        <v>1</v>
      </c>
      <c r="Q196">
        <v>0</v>
      </c>
      <c r="R196">
        <v>636</v>
      </c>
      <c r="U196" t="s">
        <v>1588</v>
      </c>
      <c r="V196" t="s">
        <v>2267</v>
      </c>
      <c r="W196">
        <v>0</v>
      </c>
      <c r="X196">
        <v>8</v>
      </c>
      <c r="Y196" t="s">
        <v>2929</v>
      </c>
      <c r="Z196">
        <v>27.41072674361213</v>
      </c>
      <c r="AA196">
        <v>689</v>
      </c>
      <c r="AB196">
        <v>61150</v>
      </c>
      <c r="AC196" t="s">
        <v>3572</v>
      </c>
      <c r="AD196">
        <v>50.1</v>
      </c>
      <c r="AE196" t="s">
        <v>4251</v>
      </c>
      <c r="AF196" t="s">
        <v>4917</v>
      </c>
      <c r="AG196">
        <v>1174</v>
      </c>
      <c r="AH196">
        <v>100</v>
      </c>
      <c r="AJ196">
        <v>4.83</v>
      </c>
    </row>
    <row r="197" spans="1:36">
      <c r="A197" s="1" t="s">
        <v>231</v>
      </c>
      <c r="B197" t="s">
        <v>910</v>
      </c>
      <c r="C197">
        <f>HYPERLINK("https://finance.naver.com/item/coinfo.nhn?code=024740", "A024740")</f>
        <v>0</v>
      </c>
      <c r="D197">
        <f>HYPERLINK("http://comp.fnguide.com/SVO2/ASP/SVD_Consensus.asp?pGB=1&amp;gicode=A024740&amp;cID=&amp;MenuYn=Y&amp;ReportGB=&amp;NewMenuID=108&amp;stkGb=701", "한일단조")</f>
        <v>0</v>
      </c>
      <c r="E197">
        <v>3</v>
      </c>
      <c r="F197">
        <v>2200</v>
      </c>
      <c r="G197">
        <v>0</v>
      </c>
      <c r="I197">
        <v>427</v>
      </c>
      <c r="J197">
        <v>2301</v>
      </c>
      <c r="K197">
        <v>2847</v>
      </c>
      <c r="L197">
        <v>80.59</v>
      </c>
      <c r="M197">
        <v>-4.59</v>
      </c>
      <c r="N197">
        <v>-29.4</v>
      </c>
      <c r="O197">
        <v>0.98</v>
      </c>
      <c r="P197" t="b">
        <v>0</v>
      </c>
      <c r="Q197">
        <v>0</v>
      </c>
      <c r="R197">
        <v>-113</v>
      </c>
      <c r="U197" t="s">
        <v>1589</v>
      </c>
      <c r="V197" t="s">
        <v>2268</v>
      </c>
      <c r="W197">
        <v>0</v>
      </c>
      <c r="X197">
        <v>0</v>
      </c>
      <c r="Y197" t="s">
        <v>2930</v>
      </c>
      <c r="Z197">
        <v>15.7</v>
      </c>
      <c r="AA197">
        <v>658</v>
      </c>
      <c r="AB197">
        <v>496452</v>
      </c>
      <c r="AC197" t="s">
        <v>3573</v>
      </c>
      <c r="AD197">
        <v>31.24</v>
      </c>
      <c r="AE197" t="s">
        <v>4252</v>
      </c>
      <c r="AF197" t="s">
        <v>4918</v>
      </c>
      <c r="AG197">
        <v>1383</v>
      </c>
      <c r="AH197">
        <v>9</v>
      </c>
      <c r="AI197">
        <v>299794</v>
      </c>
    </row>
    <row r="198" spans="1:36">
      <c r="A198" s="1" t="s">
        <v>232</v>
      </c>
      <c r="B198" t="s">
        <v>911</v>
      </c>
      <c r="C198">
        <f>HYPERLINK("https://finance.naver.com/item/coinfo.nhn?code=123840", "A123840")</f>
        <v>0</v>
      </c>
      <c r="D198">
        <f>HYPERLINK("http://comp.fnguide.com/SVO2/ASP/SVD_Consensus.asp?pGB=1&amp;gicode=A123840&amp;cID=&amp;MenuYn=Y&amp;ReportGB=&amp;NewMenuID=108&amp;stkGb=701", "한일진공")</f>
        <v>0</v>
      </c>
      <c r="E198">
        <v>3</v>
      </c>
      <c r="F198">
        <v>1260</v>
      </c>
      <c r="G198">
        <v>0</v>
      </c>
      <c r="H198">
        <v>6.8</v>
      </c>
      <c r="I198">
        <v>971</v>
      </c>
      <c r="J198">
        <v>1440</v>
      </c>
      <c r="K198">
        <v>1576</v>
      </c>
      <c r="L198">
        <v>22.93</v>
      </c>
      <c r="M198">
        <v>-14.27</v>
      </c>
      <c r="N198">
        <v>-25.11</v>
      </c>
      <c r="O198">
        <v>4.54</v>
      </c>
      <c r="P198" t="b">
        <v>1</v>
      </c>
      <c r="Q198">
        <v>0</v>
      </c>
      <c r="R198">
        <v>173</v>
      </c>
      <c r="U198" t="s">
        <v>1590</v>
      </c>
      <c r="V198" t="s">
        <v>2269</v>
      </c>
      <c r="W198">
        <v>0</v>
      </c>
      <c r="X198">
        <v>0</v>
      </c>
      <c r="Y198" t="s">
        <v>2931</v>
      </c>
      <c r="Z198">
        <v>83.40403485201738</v>
      </c>
      <c r="AA198">
        <v>987</v>
      </c>
      <c r="AB198">
        <v>5438449</v>
      </c>
      <c r="AC198" t="s">
        <v>3574</v>
      </c>
      <c r="AD198">
        <v>39.24</v>
      </c>
      <c r="AE198" t="s">
        <v>4253</v>
      </c>
      <c r="AF198" t="s">
        <v>4919</v>
      </c>
      <c r="AG198">
        <v>157</v>
      </c>
      <c r="AH198">
        <v>-87</v>
      </c>
      <c r="AI198">
        <v>248176</v>
      </c>
    </row>
    <row r="199" spans="1:36">
      <c r="A199" s="1" t="s">
        <v>233</v>
      </c>
      <c r="B199" t="s">
        <v>912</v>
      </c>
      <c r="C199">
        <f>HYPERLINK("https://finance.naver.com/item/coinfo.nhn?code=007770", "A007770")</f>
        <v>0</v>
      </c>
      <c r="D199">
        <f>HYPERLINK("http://comp.fnguide.com/SVO2/ASP/SVD_Consensus.asp?pGB=1&amp;gicode=A007770&amp;cID=&amp;MenuYn=Y&amp;ReportGB=&amp;NewMenuID=108&amp;stkGb=701", "한일화학")</f>
        <v>0</v>
      </c>
      <c r="E199">
        <v>3</v>
      </c>
      <c r="F199">
        <v>18000</v>
      </c>
      <c r="G199">
        <v>0</v>
      </c>
      <c r="I199">
        <v>3547</v>
      </c>
      <c r="J199">
        <v>16924</v>
      </c>
      <c r="K199">
        <v>20820</v>
      </c>
      <c r="L199">
        <v>80.3</v>
      </c>
      <c r="M199">
        <v>5.98</v>
      </c>
      <c r="N199">
        <v>-15.67</v>
      </c>
      <c r="O199">
        <v>1.12</v>
      </c>
      <c r="P199" t="b">
        <v>0</v>
      </c>
      <c r="Q199">
        <v>0</v>
      </c>
      <c r="R199">
        <v>-374</v>
      </c>
      <c r="U199" t="s">
        <v>1591</v>
      </c>
      <c r="V199" t="s">
        <v>2270</v>
      </c>
      <c r="W199">
        <v>0</v>
      </c>
      <c r="X199">
        <v>0</v>
      </c>
      <c r="Y199" t="s">
        <v>2932</v>
      </c>
      <c r="Z199">
        <v>1.202552273344848</v>
      </c>
      <c r="AA199">
        <v>632</v>
      </c>
      <c r="AB199">
        <v>47497</v>
      </c>
      <c r="AC199" t="s">
        <v>3575</v>
      </c>
      <c r="AD199">
        <v>65.90000000000001</v>
      </c>
      <c r="AE199" t="s">
        <v>4254</v>
      </c>
      <c r="AF199" t="s">
        <v>4920</v>
      </c>
      <c r="AG199">
        <v>868</v>
      </c>
      <c r="AH199">
        <v>15</v>
      </c>
      <c r="AJ199">
        <v>0.49</v>
      </c>
    </row>
    <row r="200" spans="1:36">
      <c r="A200" s="1" t="s">
        <v>234</v>
      </c>
      <c r="B200" t="s">
        <v>913</v>
      </c>
      <c r="C200">
        <f>HYPERLINK("https://finance.naver.com/item/coinfo.nhn?code=034810", "A034810")</f>
        <v>0</v>
      </c>
      <c r="D200">
        <f>HYPERLINK("http://comp.fnguide.com/SVO2/ASP/SVD_Consensus.asp?pGB=1&amp;gicode=A034810&amp;cID=&amp;MenuYn=Y&amp;ReportGB=&amp;NewMenuID=108&amp;stkGb=701", "해성산업")</f>
        <v>0</v>
      </c>
      <c r="E200">
        <v>3</v>
      </c>
      <c r="F200">
        <v>15000</v>
      </c>
      <c r="G200">
        <v>0</v>
      </c>
      <c r="H200">
        <v>0.49</v>
      </c>
      <c r="I200">
        <v>135124</v>
      </c>
      <c r="J200">
        <v>68870</v>
      </c>
      <c r="K200">
        <v>49571</v>
      </c>
      <c r="L200">
        <v>-800.83</v>
      </c>
      <c r="M200">
        <v>-359.13</v>
      </c>
      <c r="N200">
        <v>-230.47</v>
      </c>
      <c r="O200">
        <v>47.11</v>
      </c>
      <c r="P200" t="b">
        <v>1</v>
      </c>
      <c r="Q200">
        <v>0</v>
      </c>
      <c r="R200">
        <v>24709</v>
      </c>
      <c r="U200" t="s">
        <v>1592</v>
      </c>
      <c r="V200" t="s">
        <v>2271</v>
      </c>
      <c r="W200">
        <v>0</v>
      </c>
      <c r="X200">
        <v>10295</v>
      </c>
      <c r="Y200" t="s">
        <v>2933</v>
      </c>
      <c r="Z200">
        <v>129.8987905818248</v>
      </c>
      <c r="AA200">
        <v>3953</v>
      </c>
      <c r="AB200">
        <v>36971</v>
      </c>
      <c r="AC200" t="s">
        <v>3576</v>
      </c>
      <c r="AD200">
        <v>63.91</v>
      </c>
      <c r="AE200" t="s">
        <v>4255</v>
      </c>
      <c r="AF200" t="s">
        <v>4921</v>
      </c>
      <c r="AG200">
        <v>4794</v>
      </c>
      <c r="AH200">
        <v>231</v>
      </c>
      <c r="AI200">
        <v>764637</v>
      </c>
      <c r="AJ200">
        <v>1.43</v>
      </c>
    </row>
    <row r="201" spans="1:36">
      <c r="A201" s="1" t="s">
        <v>235</v>
      </c>
      <c r="B201" t="s">
        <v>914</v>
      </c>
      <c r="C201">
        <f>HYPERLINK("https://finance.naver.com/item/coinfo.nhn?code=900270", "A900270")</f>
        <v>0</v>
      </c>
      <c r="D201">
        <f>HYPERLINK("http://comp.fnguide.com/SVO2/ASP/SVD_Consensus.asp?pGB=1&amp;gicode=A900270&amp;cID=&amp;MenuYn=Y&amp;ReportGB=&amp;NewMenuID=108&amp;stkGb=701", "헝셩그룹")</f>
        <v>0</v>
      </c>
      <c r="E201">
        <v>3</v>
      </c>
      <c r="F201">
        <v>585</v>
      </c>
      <c r="G201">
        <v>0</v>
      </c>
      <c r="H201">
        <v>9.779999999999999</v>
      </c>
      <c r="I201">
        <v>2974</v>
      </c>
      <c r="J201">
        <v>3310</v>
      </c>
      <c r="K201">
        <v>3408</v>
      </c>
      <c r="L201">
        <v>-408.32</v>
      </c>
      <c r="M201">
        <v>-465.82</v>
      </c>
      <c r="N201">
        <v>-482.57</v>
      </c>
      <c r="O201">
        <v>6.91</v>
      </c>
      <c r="P201" t="b">
        <v>0</v>
      </c>
      <c r="Q201">
        <v>0</v>
      </c>
      <c r="R201">
        <v>64</v>
      </c>
      <c r="U201" t="s">
        <v>1593</v>
      </c>
      <c r="V201" t="s">
        <v>2272</v>
      </c>
      <c r="W201">
        <v>0</v>
      </c>
      <c r="X201">
        <v>-84.3</v>
      </c>
      <c r="Y201" t="s">
        <v>2934</v>
      </c>
      <c r="Z201">
        <v>-32.86251234768937</v>
      </c>
      <c r="AA201">
        <v>468</v>
      </c>
      <c r="AB201">
        <v>260723</v>
      </c>
      <c r="AC201" t="s">
        <v>3577</v>
      </c>
      <c r="AD201">
        <v>27.42</v>
      </c>
      <c r="AE201" t="s">
        <v>4256</v>
      </c>
      <c r="AF201" t="s">
        <v>4922</v>
      </c>
      <c r="AG201">
        <v>1435</v>
      </c>
      <c r="AH201">
        <v>50</v>
      </c>
    </row>
    <row r="202" spans="1:36">
      <c r="A202" s="1" t="s">
        <v>236</v>
      </c>
      <c r="B202" t="s">
        <v>915</v>
      </c>
      <c r="C202">
        <f>HYPERLINK("https://finance.naver.com/item/coinfo.nhn?code=041440", "A041440")</f>
        <v>0</v>
      </c>
      <c r="D202">
        <f>HYPERLINK("http://comp.fnguide.com/SVO2/ASP/SVD_Consensus.asp?pGB=1&amp;gicode=A041440&amp;cID=&amp;MenuYn=Y&amp;ReportGB=&amp;NewMenuID=108&amp;stkGb=701", "현대에버다임")</f>
        <v>0</v>
      </c>
      <c r="E202">
        <v>3</v>
      </c>
      <c r="F202">
        <v>5930</v>
      </c>
      <c r="G202">
        <v>0</v>
      </c>
      <c r="I202">
        <v>1382</v>
      </c>
      <c r="J202">
        <v>6677</v>
      </c>
      <c r="K202">
        <v>8219</v>
      </c>
      <c r="L202">
        <v>76.69</v>
      </c>
      <c r="M202">
        <v>-12.59</v>
      </c>
      <c r="N202">
        <v>-38.6</v>
      </c>
      <c r="O202">
        <v>1.1</v>
      </c>
      <c r="P202" t="b">
        <v>0</v>
      </c>
      <c r="Q202">
        <v>0</v>
      </c>
      <c r="R202">
        <v>-397</v>
      </c>
      <c r="U202" t="s">
        <v>1594</v>
      </c>
      <c r="V202" t="s">
        <v>2273</v>
      </c>
      <c r="W202">
        <v>0</v>
      </c>
      <c r="X202">
        <v>0</v>
      </c>
      <c r="Y202" t="s">
        <v>2935</v>
      </c>
      <c r="Z202">
        <v>-44.4591634670241</v>
      </c>
      <c r="AA202">
        <v>1062</v>
      </c>
      <c r="AB202">
        <v>74293</v>
      </c>
      <c r="AC202" t="s">
        <v>3578</v>
      </c>
      <c r="AD202">
        <v>46.68</v>
      </c>
      <c r="AE202" t="s">
        <v>4257</v>
      </c>
      <c r="AF202" t="s">
        <v>4923</v>
      </c>
      <c r="AG202">
        <v>2635</v>
      </c>
      <c r="AH202">
        <v>29</v>
      </c>
      <c r="AI202">
        <v>74232</v>
      </c>
      <c r="AJ202">
        <v>0.47</v>
      </c>
    </row>
    <row r="203" spans="1:36">
      <c r="A203" s="1" t="s">
        <v>237</v>
      </c>
      <c r="B203" t="s">
        <v>916</v>
      </c>
      <c r="C203">
        <f>HYPERLINK("https://finance.naver.com/item/coinfo.nhn?code=039010", "A039010")</f>
        <v>0</v>
      </c>
      <c r="D203">
        <f>HYPERLINK("http://comp.fnguide.com/SVO2/ASP/SVD_Consensus.asp?pGB=1&amp;gicode=A039010&amp;cID=&amp;MenuYn=Y&amp;ReportGB=&amp;NewMenuID=108&amp;stkGb=701", "현대에이치티")</f>
        <v>0</v>
      </c>
      <c r="E203">
        <v>3</v>
      </c>
      <c r="F203">
        <v>10150</v>
      </c>
      <c r="G203">
        <v>0</v>
      </c>
      <c r="H203">
        <v>7.67</v>
      </c>
      <c r="I203">
        <v>18525</v>
      </c>
      <c r="J203">
        <v>13900</v>
      </c>
      <c r="K203">
        <v>12552</v>
      </c>
      <c r="L203">
        <v>-82.52</v>
      </c>
      <c r="M203">
        <v>-36.94</v>
      </c>
      <c r="N203">
        <v>-23.67</v>
      </c>
      <c r="O203">
        <v>14.18</v>
      </c>
      <c r="P203" t="b">
        <v>1</v>
      </c>
      <c r="Q203">
        <v>0</v>
      </c>
      <c r="R203">
        <v>1059</v>
      </c>
      <c r="U203" t="s">
        <v>1595</v>
      </c>
      <c r="V203" t="s">
        <v>2274</v>
      </c>
      <c r="W203">
        <v>0</v>
      </c>
      <c r="X203">
        <v>-14.3</v>
      </c>
      <c r="Y203" t="s">
        <v>2936</v>
      </c>
      <c r="Z203">
        <v>0.7961863579637019</v>
      </c>
      <c r="AA203">
        <v>875</v>
      </c>
      <c r="AB203">
        <v>25506</v>
      </c>
      <c r="AC203" t="s">
        <v>3579</v>
      </c>
      <c r="AD203">
        <v>38.47</v>
      </c>
      <c r="AE203" t="s">
        <v>4258</v>
      </c>
      <c r="AF203" t="s">
        <v>4924</v>
      </c>
      <c r="AG203">
        <v>1037</v>
      </c>
      <c r="AH203">
        <v>86</v>
      </c>
      <c r="AI203">
        <v>597186</v>
      </c>
      <c r="AJ203">
        <v>4.31</v>
      </c>
    </row>
    <row r="204" spans="1:36">
      <c r="A204" s="1" t="s">
        <v>238</v>
      </c>
      <c r="B204" t="s">
        <v>917</v>
      </c>
      <c r="C204">
        <f>HYPERLINK("https://finance.naver.com/item/coinfo.nhn?code=126640", "A126640")</f>
        <v>0</v>
      </c>
      <c r="D204">
        <f>HYPERLINK("http://comp.fnguide.com/SVO2/ASP/SVD_Consensus.asp?pGB=1&amp;gicode=A126640&amp;cID=&amp;MenuYn=Y&amp;ReportGB=&amp;NewMenuID=108&amp;stkGb=701", "화신정공")</f>
        <v>0</v>
      </c>
      <c r="E204">
        <v>3</v>
      </c>
      <c r="F204">
        <v>2015</v>
      </c>
      <c r="G204">
        <v>0</v>
      </c>
      <c r="H204">
        <v>13.2</v>
      </c>
      <c r="I204">
        <v>1365</v>
      </c>
      <c r="J204">
        <v>2006</v>
      </c>
      <c r="K204">
        <v>2193</v>
      </c>
      <c r="L204">
        <v>32.28</v>
      </c>
      <c r="M204">
        <v>0.44</v>
      </c>
      <c r="N204">
        <v>-8.83</v>
      </c>
      <c r="O204">
        <v>4.59</v>
      </c>
      <c r="P204" t="b">
        <v>1</v>
      </c>
      <c r="Q204">
        <v>0</v>
      </c>
      <c r="R204">
        <v>133</v>
      </c>
      <c r="U204" t="s">
        <v>1596</v>
      </c>
      <c r="V204" t="s">
        <v>2275</v>
      </c>
      <c r="W204">
        <v>0</v>
      </c>
      <c r="X204">
        <v>39.6</v>
      </c>
      <c r="Y204" t="s">
        <v>2937</v>
      </c>
      <c r="Z204">
        <v>2.090409397347015</v>
      </c>
      <c r="AA204">
        <v>733</v>
      </c>
      <c r="AB204">
        <v>1160720</v>
      </c>
      <c r="AC204" t="s">
        <v>3580</v>
      </c>
      <c r="AD204">
        <v>33.39</v>
      </c>
      <c r="AE204" t="s">
        <v>4259</v>
      </c>
      <c r="AF204" t="s">
        <v>4925</v>
      </c>
      <c r="AG204">
        <v>2471</v>
      </c>
      <c r="AH204">
        <v>66</v>
      </c>
      <c r="AI204">
        <v>1317977</v>
      </c>
      <c r="AJ204">
        <v>1.71</v>
      </c>
    </row>
    <row r="205" spans="1:36">
      <c r="A205" s="1" t="s">
        <v>239</v>
      </c>
      <c r="B205" t="s">
        <v>918</v>
      </c>
      <c r="C205">
        <f>HYPERLINK("https://finance.naver.com/item/coinfo.nhn?code=090710", "A090710")</f>
        <v>0</v>
      </c>
      <c r="D205">
        <f>HYPERLINK("http://comp.fnguide.com/SVO2/ASP/SVD_Consensus.asp?pGB=1&amp;gicode=A090710&amp;cID=&amp;MenuYn=Y&amp;ReportGB=&amp;NewMenuID=108&amp;stkGb=701", "휴림로봇")</f>
        <v>0</v>
      </c>
      <c r="E205">
        <v>3</v>
      </c>
      <c r="F205">
        <v>1225</v>
      </c>
      <c r="G205">
        <v>0</v>
      </c>
      <c r="H205">
        <v>3.67</v>
      </c>
      <c r="I205">
        <v>3107</v>
      </c>
      <c r="J205">
        <v>1656</v>
      </c>
      <c r="K205">
        <v>1234</v>
      </c>
      <c r="L205">
        <v>-153.66</v>
      </c>
      <c r="M205">
        <v>-35.21</v>
      </c>
      <c r="N205">
        <v>-0.71</v>
      </c>
      <c r="O205">
        <v>38.45</v>
      </c>
      <c r="P205" t="b">
        <v>1</v>
      </c>
      <c r="Q205">
        <v>0</v>
      </c>
      <c r="R205">
        <v>473</v>
      </c>
      <c r="U205" t="s">
        <v>1597</v>
      </c>
      <c r="V205" t="s">
        <v>2276</v>
      </c>
      <c r="W205">
        <v>0</v>
      </c>
      <c r="X205">
        <v>0</v>
      </c>
      <c r="Y205" t="s">
        <v>2938</v>
      </c>
      <c r="Z205">
        <v>8.799264703397691</v>
      </c>
      <c r="AA205">
        <v>1359</v>
      </c>
      <c r="AB205">
        <v>1865674</v>
      </c>
      <c r="AC205" t="s">
        <v>3581</v>
      </c>
      <c r="AD205">
        <v>9.31</v>
      </c>
      <c r="AE205" t="s">
        <v>4260</v>
      </c>
      <c r="AF205" t="s">
        <v>4926</v>
      </c>
      <c r="AG205">
        <v>207</v>
      </c>
      <c r="AH205">
        <v>-89</v>
      </c>
      <c r="AI205">
        <v>41541</v>
      </c>
    </row>
    <row r="206" spans="1:36">
      <c r="A206" s="1" t="s">
        <v>240</v>
      </c>
      <c r="B206" t="s">
        <v>919</v>
      </c>
      <c r="C206">
        <f>HYPERLINK("https://finance.naver.com/item/coinfo.nhn?code=115160", "A115160")</f>
        <v>0</v>
      </c>
      <c r="D206">
        <f>HYPERLINK("http://comp.fnguide.com/SVO2/ASP/SVD_Consensus.asp?pGB=1&amp;gicode=A115160&amp;cID=&amp;MenuYn=Y&amp;ReportGB=&amp;NewMenuID=108&amp;stkGb=701", "휴맥스")</f>
        <v>0</v>
      </c>
      <c r="E206">
        <v>3</v>
      </c>
      <c r="F206">
        <v>4415</v>
      </c>
      <c r="G206">
        <v>0</v>
      </c>
      <c r="I206">
        <v>2299</v>
      </c>
      <c r="J206">
        <v>7613</v>
      </c>
      <c r="K206">
        <v>9161</v>
      </c>
      <c r="L206">
        <v>47.94</v>
      </c>
      <c r="M206">
        <v>-72.44</v>
      </c>
      <c r="N206">
        <v>-107.51</v>
      </c>
      <c r="O206">
        <v>1.68</v>
      </c>
      <c r="P206" t="b">
        <v>0</v>
      </c>
      <c r="Q206">
        <v>0</v>
      </c>
      <c r="R206">
        <v>-3037</v>
      </c>
      <c r="U206" t="s">
        <v>1598</v>
      </c>
      <c r="V206" t="s">
        <v>2277</v>
      </c>
      <c r="W206">
        <v>0</v>
      </c>
      <c r="X206">
        <v>0</v>
      </c>
      <c r="Y206" t="s">
        <v>2939</v>
      </c>
      <c r="Z206">
        <v>-79.7</v>
      </c>
      <c r="AA206">
        <v>1781</v>
      </c>
      <c r="AB206">
        <v>116987</v>
      </c>
      <c r="AC206" t="s">
        <v>3582</v>
      </c>
      <c r="AD206">
        <v>34.2</v>
      </c>
      <c r="AE206" t="s">
        <v>4261</v>
      </c>
      <c r="AF206" t="s">
        <v>4927</v>
      </c>
      <c r="AG206">
        <v>8746</v>
      </c>
      <c r="AH206">
        <v>135</v>
      </c>
      <c r="AI206">
        <v>848701</v>
      </c>
    </row>
    <row r="207" spans="1:36">
      <c r="A207" s="1" t="s">
        <v>241</v>
      </c>
      <c r="B207" t="s">
        <v>920</v>
      </c>
      <c r="C207">
        <f>HYPERLINK("https://finance.naver.com/item/coinfo.nhn?code=028080", "A028080")</f>
        <v>0</v>
      </c>
      <c r="D207">
        <f>HYPERLINK("http://comp.fnguide.com/SVO2/ASP/SVD_Consensus.asp?pGB=1&amp;gicode=A028080&amp;cID=&amp;MenuYn=Y&amp;ReportGB=&amp;NewMenuID=108&amp;stkGb=701", "휴맥스홀딩스")</f>
        <v>0</v>
      </c>
      <c r="E207">
        <v>3</v>
      </c>
      <c r="F207">
        <v>4100</v>
      </c>
      <c r="G207">
        <v>0</v>
      </c>
      <c r="I207">
        <v>1855</v>
      </c>
      <c r="J207">
        <v>7809</v>
      </c>
      <c r="K207">
        <v>9543</v>
      </c>
      <c r="L207">
        <v>54.76</v>
      </c>
      <c r="M207">
        <v>-90.45999999999999</v>
      </c>
      <c r="N207">
        <v>-132.77</v>
      </c>
      <c r="O207">
        <v>1.28</v>
      </c>
      <c r="P207" t="b">
        <v>0</v>
      </c>
      <c r="Q207">
        <v>0</v>
      </c>
      <c r="R207">
        <v>-1740</v>
      </c>
      <c r="U207" t="s">
        <v>1599</v>
      </c>
      <c r="V207" t="s">
        <v>2278</v>
      </c>
      <c r="W207">
        <v>0</v>
      </c>
      <c r="X207">
        <v>0</v>
      </c>
      <c r="Y207" t="s">
        <v>2762</v>
      </c>
      <c r="Z207">
        <v>0</v>
      </c>
      <c r="AA207">
        <v>516</v>
      </c>
      <c r="AB207">
        <v>31386</v>
      </c>
      <c r="AC207" t="s">
        <v>3583</v>
      </c>
      <c r="AD207">
        <v>36.55</v>
      </c>
      <c r="AE207" t="s">
        <v>4262</v>
      </c>
      <c r="AF207" t="s">
        <v>4928</v>
      </c>
      <c r="AG207">
        <v>51</v>
      </c>
      <c r="AH207">
        <v>-204</v>
      </c>
      <c r="AI207">
        <v>1659448</v>
      </c>
    </row>
    <row r="208" spans="1:36">
      <c r="A208" s="1" t="s">
        <v>242</v>
      </c>
      <c r="B208" t="s">
        <v>921</v>
      </c>
      <c r="C208">
        <f>HYPERLINK("https://finance.naver.com/item/coinfo.nhn?code=101680", "A101680")</f>
        <v>0</v>
      </c>
      <c r="D208">
        <f>HYPERLINK("http://comp.fnguide.com/SVO2/ASP/SVD_Consensus.asp?pGB=1&amp;gicode=A101680&amp;cID=&amp;MenuYn=Y&amp;ReportGB=&amp;NewMenuID=108&amp;stkGb=701", "한국정밀기계")</f>
        <v>0</v>
      </c>
      <c r="E208">
        <v>3</v>
      </c>
      <c r="F208">
        <v>1440</v>
      </c>
      <c r="G208">
        <v>0</v>
      </c>
      <c r="I208">
        <v>0</v>
      </c>
      <c r="J208">
        <v>3061</v>
      </c>
      <c r="K208">
        <v>3952</v>
      </c>
      <c r="L208">
        <v>100</v>
      </c>
      <c r="M208">
        <v>-112.55</v>
      </c>
      <c r="N208">
        <v>-174.46</v>
      </c>
      <c r="O208">
        <v>0</v>
      </c>
      <c r="P208" t="b">
        <v>0</v>
      </c>
      <c r="Q208">
        <v>0</v>
      </c>
      <c r="R208">
        <v>-1543</v>
      </c>
      <c r="U208" t="s">
        <v>1600</v>
      </c>
      <c r="V208" t="s">
        <v>2279</v>
      </c>
      <c r="W208">
        <v>0</v>
      </c>
      <c r="X208">
        <v>0</v>
      </c>
      <c r="Y208" t="s">
        <v>2762</v>
      </c>
      <c r="Z208">
        <v>0</v>
      </c>
      <c r="AA208">
        <v>121</v>
      </c>
      <c r="AB208">
        <v>0</v>
      </c>
      <c r="AC208" t="s">
        <v>3584</v>
      </c>
      <c r="AD208">
        <v>53.16</v>
      </c>
      <c r="AE208" t="s">
        <v>4263</v>
      </c>
      <c r="AF208" t="s">
        <v>4741</v>
      </c>
      <c r="AG208">
        <v>172</v>
      </c>
      <c r="AH208">
        <v>-126</v>
      </c>
      <c r="AI208">
        <v>1231</v>
      </c>
    </row>
    <row r="209" spans="1:36">
      <c r="A209" s="1" t="s">
        <v>243</v>
      </c>
      <c r="B209" t="s">
        <v>922</v>
      </c>
      <c r="C209">
        <f>HYPERLINK("https://finance.naver.com/item/coinfo.nhn?code=017890", "A017890")</f>
        <v>0</v>
      </c>
      <c r="D209">
        <f>HYPERLINK("http://comp.fnguide.com/SVO2/ASP/SVD_Consensus.asp?pGB=1&amp;gicode=A017890&amp;cID=&amp;MenuYn=Y&amp;ReportGB=&amp;NewMenuID=108&amp;stkGb=701", "한국알콜")</f>
        <v>0</v>
      </c>
      <c r="E209">
        <v>3</v>
      </c>
      <c r="F209">
        <v>14500</v>
      </c>
      <c r="G209">
        <v>0</v>
      </c>
      <c r="H209">
        <v>5.53</v>
      </c>
      <c r="I209">
        <v>27410</v>
      </c>
      <c r="J209">
        <v>21894</v>
      </c>
      <c r="K209">
        <v>20288</v>
      </c>
      <c r="L209">
        <v>-89.03</v>
      </c>
      <c r="M209">
        <v>-51</v>
      </c>
      <c r="N209">
        <v>-39.92</v>
      </c>
      <c r="O209">
        <v>12.43</v>
      </c>
      <c r="P209" t="b">
        <v>1</v>
      </c>
      <c r="Q209">
        <v>0</v>
      </c>
      <c r="R209">
        <v>2360</v>
      </c>
      <c r="U209" t="s">
        <v>1601</v>
      </c>
      <c r="V209" t="s">
        <v>2280</v>
      </c>
      <c r="W209">
        <v>0</v>
      </c>
      <c r="X209">
        <v>60.4</v>
      </c>
      <c r="Y209" t="s">
        <v>2940</v>
      </c>
      <c r="Z209">
        <v>22.8914035840545</v>
      </c>
      <c r="AA209">
        <v>3133</v>
      </c>
      <c r="AB209">
        <v>146933</v>
      </c>
      <c r="AC209" t="s">
        <v>3585</v>
      </c>
      <c r="AD209">
        <v>38.58</v>
      </c>
      <c r="AE209" t="s">
        <v>4264</v>
      </c>
      <c r="AF209" t="s">
        <v>4929</v>
      </c>
      <c r="AG209">
        <v>3717</v>
      </c>
      <c r="AH209">
        <v>561</v>
      </c>
      <c r="AI209">
        <v>1025167</v>
      </c>
      <c r="AJ209">
        <v>0.77</v>
      </c>
    </row>
    <row r="210" spans="1:36">
      <c r="A210" s="1" t="s">
        <v>244</v>
      </c>
      <c r="B210" t="s">
        <v>923</v>
      </c>
      <c r="C210">
        <f>HYPERLINK("https://finance.naver.com/item/coinfo.nhn?code=039340", "A039340")</f>
        <v>0</v>
      </c>
      <c r="D210">
        <f>HYPERLINK("http://comp.fnguide.com/SVO2/ASP/SVD_Consensus.asp?pGB=1&amp;gicode=A039340&amp;cID=&amp;MenuYn=Y&amp;ReportGB=&amp;NewMenuID=108&amp;stkGb=701", "한국경제TV")</f>
        <v>0</v>
      </c>
      <c r="E210">
        <v>3</v>
      </c>
      <c r="F210">
        <v>6800</v>
      </c>
      <c r="G210">
        <v>0</v>
      </c>
      <c r="H210">
        <v>6.87</v>
      </c>
      <c r="I210">
        <v>10677</v>
      </c>
      <c r="J210">
        <v>8056</v>
      </c>
      <c r="K210">
        <v>7292</v>
      </c>
      <c r="L210">
        <v>-57.02</v>
      </c>
      <c r="M210">
        <v>-18.47</v>
      </c>
      <c r="N210">
        <v>-7.24</v>
      </c>
      <c r="O210">
        <v>14.01</v>
      </c>
      <c r="P210" t="b">
        <v>1</v>
      </c>
      <c r="Q210">
        <v>0</v>
      </c>
      <c r="R210">
        <v>827</v>
      </c>
      <c r="U210" t="s">
        <v>1602</v>
      </c>
      <c r="V210" t="s">
        <v>2281</v>
      </c>
      <c r="W210">
        <v>0</v>
      </c>
      <c r="X210">
        <v>26.7</v>
      </c>
      <c r="Y210" t="s">
        <v>2941</v>
      </c>
      <c r="Z210">
        <v>15.91134544395376</v>
      </c>
      <c r="AA210">
        <v>1564</v>
      </c>
      <c r="AB210">
        <v>203074</v>
      </c>
      <c r="AC210" t="s">
        <v>3586</v>
      </c>
      <c r="AD210">
        <v>46.04</v>
      </c>
      <c r="AE210" t="s">
        <v>4265</v>
      </c>
      <c r="AF210" t="s">
        <v>4930</v>
      </c>
      <c r="AG210">
        <v>949</v>
      </c>
      <c r="AH210">
        <v>182</v>
      </c>
      <c r="AI210">
        <v>937408</v>
      </c>
      <c r="AJ210">
        <v>2.29</v>
      </c>
    </row>
    <row r="211" spans="1:36">
      <c r="A211" s="1" t="s">
        <v>245</v>
      </c>
      <c r="B211" t="s">
        <v>924</v>
      </c>
      <c r="C211">
        <f>HYPERLINK("https://finance.naver.com/item/coinfo.nhn?code=075130", "A075130")</f>
        <v>0</v>
      </c>
      <c r="D211">
        <f>HYPERLINK("http://comp.fnguide.com/SVO2/ASP/SVD_Consensus.asp?pGB=1&amp;gicode=A075130&amp;cID=&amp;MenuYn=Y&amp;ReportGB=&amp;NewMenuID=108&amp;stkGb=701", "플랜티넷")</f>
        <v>0</v>
      </c>
      <c r="E211">
        <v>3</v>
      </c>
      <c r="F211">
        <v>7110</v>
      </c>
      <c r="G211">
        <v>0</v>
      </c>
      <c r="H211">
        <v>54.52</v>
      </c>
      <c r="I211">
        <v>2360</v>
      </c>
      <c r="J211">
        <v>6048</v>
      </c>
      <c r="K211">
        <v>7123</v>
      </c>
      <c r="L211">
        <v>66.81</v>
      </c>
      <c r="M211">
        <v>14.93</v>
      </c>
      <c r="N211">
        <v>-0.18</v>
      </c>
      <c r="O211">
        <v>2.26</v>
      </c>
      <c r="P211" t="b">
        <v>0</v>
      </c>
      <c r="Q211">
        <v>0</v>
      </c>
      <c r="R211">
        <v>112</v>
      </c>
      <c r="U211" t="s">
        <v>1603</v>
      </c>
      <c r="V211" t="s">
        <v>2282</v>
      </c>
      <c r="W211">
        <v>0</v>
      </c>
      <c r="X211">
        <v>-57.5</v>
      </c>
      <c r="Y211" t="s">
        <v>2942</v>
      </c>
      <c r="Z211">
        <v>7.120284273250599</v>
      </c>
      <c r="AA211">
        <v>637</v>
      </c>
      <c r="AB211">
        <v>339878</v>
      </c>
      <c r="AC211" t="s">
        <v>3587</v>
      </c>
      <c r="AD211">
        <v>28.12</v>
      </c>
      <c r="AE211" t="s">
        <v>4266</v>
      </c>
      <c r="AF211" t="s">
        <v>4931</v>
      </c>
      <c r="AG211">
        <v>240</v>
      </c>
      <c r="AH211">
        <v>14</v>
      </c>
      <c r="AI211">
        <v>1375196</v>
      </c>
      <c r="AJ211">
        <v>3.27</v>
      </c>
    </row>
    <row r="212" spans="1:36">
      <c r="A212" s="1" t="s">
        <v>246</v>
      </c>
      <c r="B212" t="s">
        <v>925</v>
      </c>
      <c r="C212">
        <f>HYPERLINK("https://finance.naver.com/item/coinfo.nhn?code=038950", "A038950")</f>
        <v>0</v>
      </c>
      <c r="D212">
        <f>HYPERLINK("http://comp.fnguide.com/SVO2/ASP/SVD_Consensus.asp?pGB=1&amp;gicode=A038950&amp;cID=&amp;MenuYn=Y&amp;ReportGB=&amp;NewMenuID=108&amp;stkGb=701", "파인디지털")</f>
        <v>0</v>
      </c>
      <c r="E212">
        <v>3</v>
      </c>
      <c r="F212">
        <v>6720</v>
      </c>
      <c r="G212">
        <v>0</v>
      </c>
      <c r="H212">
        <v>11.94</v>
      </c>
      <c r="I212">
        <v>5114</v>
      </c>
      <c r="J212">
        <v>8588</v>
      </c>
      <c r="K212">
        <v>9599</v>
      </c>
      <c r="L212">
        <v>23.89</v>
      </c>
      <c r="M212">
        <v>-27.79</v>
      </c>
      <c r="N212">
        <v>-42.85</v>
      </c>
      <c r="O212">
        <v>3.84</v>
      </c>
      <c r="P212" t="b">
        <v>1</v>
      </c>
      <c r="Q212">
        <v>0</v>
      </c>
      <c r="R212">
        <v>600</v>
      </c>
      <c r="U212" t="s">
        <v>1604</v>
      </c>
      <c r="V212" t="s">
        <v>2283</v>
      </c>
      <c r="W212">
        <v>0</v>
      </c>
      <c r="X212">
        <v>0</v>
      </c>
      <c r="Y212" t="s">
        <v>2762</v>
      </c>
      <c r="Z212">
        <v>0</v>
      </c>
      <c r="AA212">
        <v>686</v>
      </c>
      <c r="AB212">
        <v>31499</v>
      </c>
      <c r="AC212" t="s">
        <v>3588</v>
      </c>
      <c r="AD212">
        <v>29.79</v>
      </c>
      <c r="AE212" t="s">
        <v>4267</v>
      </c>
      <c r="AF212" t="s">
        <v>4932</v>
      </c>
      <c r="AG212">
        <v>1045</v>
      </c>
      <c r="AH212">
        <v>34</v>
      </c>
      <c r="AI212">
        <v>2009812</v>
      </c>
      <c r="AJ212">
        <v>1.4</v>
      </c>
    </row>
    <row r="213" spans="1:36">
      <c r="A213" s="1" t="s">
        <v>247</v>
      </c>
      <c r="B213" t="s">
        <v>926</v>
      </c>
      <c r="C213">
        <f>HYPERLINK("https://finance.naver.com/item/coinfo.nhn?code=065690", "A065690")</f>
        <v>0</v>
      </c>
      <c r="D213">
        <f>HYPERLINK("http://comp.fnguide.com/SVO2/ASP/SVD_Consensus.asp?pGB=1&amp;gicode=A065690&amp;cID=&amp;MenuYn=Y&amp;ReportGB=&amp;NewMenuID=108&amp;stkGb=701", "파커스")</f>
        <v>0</v>
      </c>
      <c r="E213">
        <v>3</v>
      </c>
      <c r="F213">
        <v>3310</v>
      </c>
      <c r="G213">
        <v>0</v>
      </c>
      <c r="I213">
        <v>564</v>
      </c>
      <c r="J213">
        <v>3538</v>
      </c>
      <c r="K213">
        <v>4405</v>
      </c>
      <c r="L213">
        <v>82.97</v>
      </c>
      <c r="M213">
        <v>-6.9</v>
      </c>
      <c r="N213">
        <v>-33.08</v>
      </c>
      <c r="O213">
        <v>0.83</v>
      </c>
      <c r="P213" t="b">
        <v>0</v>
      </c>
      <c r="Q213">
        <v>0</v>
      </c>
      <c r="R213">
        <v>-592</v>
      </c>
      <c r="U213" t="s">
        <v>1605</v>
      </c>
      <c r="V213" t="s">
        <v>2284</v>
      </c>
      <c r="W213">
        <v>0</v>
      </c>
      <c r="X213">
        <v>0</v>
      </c>
      <c r="Y213" t="s">
        <v>2943</v>
      </c>
      <c r="Z213">
        <v>-32.2</v>
      </c>
      <c r="AA213">
        <v>462</v>
      </c>
      <c r="AB213">
        <v>20049</v>
      </c>
      <c r="AC213" t="s">
        <v>3589</v>
      </c>
      <c r="AD213">
        <v>44.05</v>
      </c>
      <c r="AE213" t="s">
        <v>4268</v>
      </c>
      <c r="AF213" t="s">
        <v>4933</v>
      </c>
      <c r="AG213">
        <v>783</v>
      </c>
      <c r="AH213">
        <v>-22</v>
      </c>
      <c r="AI213">
        <v>718634</v>
      </c>
      <c r="AJ213">
        <v>5.2</v>
      </c>
    </row>
    <row r="214" spans="1:36">
      <c r="A214" s="1" t="s">
        <v>248</v>
      </c>
      <c r="B214" t="s">
        <v>927</v>
      </c>
      <c r="C214">
        <f>HYPERLINK("https://finance.naver.com/item/coinfo.nhn?code=141020", "A141020")</f>
        <v>0</v>
      </c>
      <c r="D214">
        <f>HYPERLINK("http://comp.fnguide.com/SVO2/ASP/SVD_Consensus.asp?pGB=1&amp;gicode=A141020&amp;cID=&amp;MenuYn=Y&amp;ReportGB=&amp;NewMenuID=108&amp;stkGb=701", "포티스")</f>
        <v>0</v>
      </c>
      <c r="E214">
        <v>3</v>
      </c>
      <c r="F214">
        <v>108</v>
      </c>
      <c r="G214">
        <v>0</v>
      </c>
      <c r="I214">
        <v>0</v>
      </c>
      <c r="J214">
        <v>243</v>
      </c>
      <c r="K214">
        <v>313</v>
      </c>
      <c r="L214">
        <v>100</v>
      </c>
      <c r="M214">
        <v>-124.79</v>
      </c>
      <c r="N214">
        <v>-190.27</v>
      </c>
      <c r="O214">
        <v>0</v>
      </c>
      <c r="P214" t="b">
        <v>0</v>
      </c>
      <c r="Q214">
        <v>0</v>
      </c>
      <c r="R214">
        <v>-18</v>
      </c>
      <c r="U214" t="s">
        <v>1606</v>
      </c>
      <c r="V214" t="s">
        <v>2285</v>
      </c>
      <c r="W214">
        <v>0</v>
      </c>
      <c r="X214">
        <v>0</v>
      </c>
      <c r="Y214" t="s">
        <v>2762</v>
      </c>
      <c r="Z214">
        <v>0</v>
      </c>
      <c r="AA214">
        <v>188</v>
      </c>
      <c r="AB214">
        <v>0</v>
      </c>
      <c r="AC214" t="s">
        <v>3590</v>
      </c>
      <c r="AD214">
        <v>0.85</v>
      </c>
      <c r="AE214" t="s">
        <v>4269</v>
      </c>
      <c r="AF214" t="s">
        <v>4741</v>
      </c>
      <c r="AG214">
        <v>15</v>
      </c>
      <c r="AH214">
        <v>-1</v>
      </c>
    </row>
    <row r="215" spans="1:36">
      <c r="A215" s="1" t="s">
        <v>249</v>
      </c>
      <c r="B215" t="s">
        <v>928</v>
      </c>
      <c r="C215">
        <f>HYPERLINK("https://finance.naver.com/item/coinfo.nhn?code=005670", "A005670")</f>
        <v>0</v>
      </c>
      <c r="D215">
        <f>HYPERLINK("http://comp.fnguide.com/SVO2/ASP/SVD_Consensus.asp?pGB=1&amp;gicode=A005670&amp;cID=&amp;MenuYn=Y&amp;ReportGB=&amp;NewMenuID=108&amp;stkGb=701", "푸드웰")</f>
        <v>0</v>
      </c>
      <c r="E215">
        <v>3</v>
      </c>
      <c r="F215">
        <v>7900</v>
      </c>
      <c r="G215">
        <v>0</v>
      </c>
      <c r="H215">
        <v>18.15</v>
      </c>
      <c r="I215">
        <v>21048</v>
      </c>
      <c r="J215">
        <v>13441</v>
      </c>
      <c r="K215">
        <v>11225</v>
      </c>
      <c r="L215">
        <v>-166.43</v>
      </c>
      <c r="M215">
        <v>-70.14</v>
      </c>
      <c r="N215">
        <v>-42.09</v>
      </c>
      <c r="O215">
        <v>20.99</v>
      </c>
      <c r="P215" t="b">
        <v>1</v>
      </c>
      <c r="Q215">
        <v>0</v>
      </c>
      <c r="R215">
        <v>411</v>
      </c>
      <c r="U215" t="s">
        <v>1607</v>
      </c>
      <c r="V215" t="s">
        <v>2286</v>
      </c>
      <c r="W215">
        <v>0</v>
      </c>
      <c r="X215">
        <v>-86.8</v>
      </c>
      <c r="Y215" t="s">
        <v>2944</v>
      </c>
      <c r="Z215">
        <v>45.81392035068566</v>
      </c>
      <c r="AA215">
        <v>790</v>
      </c>
      <c r="AB215">
        <v>426328</v>
      </c>
      <c r="AC215" t="s">
        <v>3591</v>
      </c>
      <c r="AD215">
        <v>45.81</v>
      </c>
      <c r="AE215" t="s">
        <v>4270</v>
      </c>
      <c r="AF215" t="s">
        <v>4934</v>
      </c>
      <c r="AG215">
        <v>1373</v>
      </c>
      <c r="AH215">
        <v>62</v>
      </c>
      <c r="AI215">
        <v>280618</v>
      </c>
      <c r="AJ215">
        <v>1.14</v>
      </c>
    </row>
    <row r="216" spans="1:36">
      <c r="A216" s="1" t="s">
        <v>250</v>
      </c>
      <c r="B216" t="s">
        <v>929</v>
      </c>
      <c r="C216">
        <f>HYPERLINK("https://finance.naver.com/item/coinfo.nhn?code=007330", "A007330")</f>
        <v>0</v>
      </c>
      <c r="D216">
        <f>HYPERLINK("http://comp.fnguide.com/SVO2/ASP/SVD_Consensus.asp?pGB=1&amp;gicode=A007330&amp;cID=&amp;MenuYn=Y&amp;ReportGB=&amp;NewMenuID=108&amp;stkGb=701", "푸른저축은행")</f>
        <v>0</v>
      </c>
      <c r="E216">
        <v>3</v>
      </c>
      <c r="F216">
        <v>20000</v>
      </c>
      <c r="G216">
        <v>0</v>
      </c>
      <c r="H216">
        <v>5.7</v>
      </c>
      <c r="I216">
        <v>25416</v>
      </c>
      <c r="J216">
        <v>24218</v>
      </c>
      <c r="K216">
        <v>23869</v>
      </c>
      <c r="L216">
        <v>-27.08</v>
      </c>
      <c r="M216">
        <v>-21.09</v>
      </c>
      <c r="N216">
        <v>-19.35</v>
      </c>
      <c r="O216">
        <v>8.93</v>
      </c>
      <c r="P216" t="b">
        <v>1</v>
      </c>
      <c r="Q216">
        <v>0</v>
      </c>
      <c r="R216">
        <v>1452</v>
      </c>
      <c r="U216" t="s">
        <v>1608</v>
      </c>
      <c r="V216" t="s">
        <v>2287</v>
      </c>
      <c r="W216">
        <v>0</v>
      </c>
      <c r="Y216" t="s">
        <v>2823</v>
      </c>
      <c r="Z216">
        <v>22.30597717771892</v>
      </c>
      <c r="AA216">
        <v>3017</v>
      </c>
      <c r="AB216">
        <v>935697</v>
      </c>
      <c r="AC216" t="s">
        <v>3592</v>
      </c>
      <c r="AD216">
        <v>62.31</v>
      </c>
      <c r="AE216" t="s">
        <v>4271</v>
      </c>
      <c r="AF216" t="s">
        <v>4935</v>
      </c>
      <c r="AG216">
        <v>520</v>
      </c>
      <c r="AH216">
        <v>254</v>
      </c>
      <c r="AI216">
        <v>3214891</v>
      </c>
      <c r="AJ216">
        <v>6.64</v>
      </c>
    </row>
    <row r="217" spans="1:36">
      <c r="A217" s="1" t="s">
        <v>251</v>
      </c>
      <c r="B217" t="s">
        <v>930</v>
      </c>
      <c r="C217">
        <f>HYPERLINK("https://finance.naver.com/item/coinfo.nhn?code=093380", "A093380")</f>
        <v>0</v>
      </c>
      <c r="D217">
        <f>HYPERLINK("http://comp.fnguide.com/SVO2/ASP/SVD_Consensus.asp?pGB=1&amp;gicode=A093380&amp;cID=&amp;MenuYn=Y&amp;ReportGB=&amp;NewMenuID=108&amp;stkGb=701", "풍강")</f>
        <v>0</v>
      </c>
      <c r="E217">
        <v>3</v>
      </c>
      <c r="F217">
        <v>4865</v>
      </c>
      <c r="G217">
        <v>0</v>
      </c>
      <c r="H217">
        <v>173.62</v>
      </c>
      <c r="I217">
        <v>739</v>
      </c>
      <c r="J217">
        <v>4067</v>
      </c>
      <c r="K217">
        <v>5036</v>
      </c>
      <c r="L217">
        <v>84.8</v>
      </c>
      <c r="M217">
        <v>16.41</v>
      </c>
      <c r="N217">
        <v>-3.51</v>
      </c>
      <c r="O217">
        <v>0.96</v>
      </c>
      <c r="P217" t="b">
        <v>0</v>
      </c>
      <c r="Q217">
        <v>0</v>
      </c>
      <c r="R217">
        <v>16</v>
      </c>
      <c r="U217" t="s">
        <v>1609</v>
      </c>
      <c r="V217" t="s">
        <v>2288</v>
      </c>
      <c r="W217">
        <v>0</v>
      </c>
      <c r="X217">
        <v>379.7</v>
      </c>
      <c r="Y217" t="s">
        <v>2945</v>
      </c>
      <c r="Z217">
        <v>-16.3884865415682</v>
      </c>
      <c r="AA217">
        <v>481</v>
      </c>
      <c r="AB217">
        <v>469704</v>
      </c>
      <c r="AC217" t="s">
        <v>3593</v>
      </c>
      <c r="AD217">
        <v>32.54</v>
      </c>
      <c r="AE217" t="s">
        <v>4272</v>
      </c>
      <c r="AF217" t="s">
        <v>4936</v>
      </c>
      <c r="AG217">
        <v>639</v>
      </c>
      <c r="AH217">
        <v>2</v>
      </c>
      <c r="AI217">
        <v>291091</v>
      </c>
      <c r="AJ217">
        <v>1.08</v>
      </c>
    </row>
    <row r="218" spans="1:36">
      <c r="A218" s="1" t="s">
        <v>252</v>
      </c>
      <c r="B218" t="s">
        <v>931</v>
      </c>
      <c r="C218">
        <f>HYPERLINK("https://finance.naver.com/item/coinfo.nhn?code=237750", "A237750")</f>
        <v>0</v>
      </c>
      <c r="D218">
        <f>HYPERLINK("http://comp.fnguide.com/SVO2/ASP/SVD_Consensus.asp?pGB=1&amp;gicode=A237750&amp;cID=&amp;MenuYn=Y&amp;ReportGB=&amp;NewMenuID=108&amp;stkGb=701", "피앤씨테크")</f>
        <v>0</v>
      </c>
      <c r="E218">
        <v>3</v>
      </c>
      <c r="F218">
        <v>7180</v>
      </c>
      <c r="G218">
        <v>0</v>
      </c>
      <c r="H218">
        <v>17.57</v>
      </c>
      <c r="I218">
        <v>4712</v>
      </c>
      <c r="J218">
        <v>7582</v>
      </c>
      <c r="K218">
        <v>8418</v>
      </c>
      <c r="L218">
        <v>34.38</v>
      </c>
      <c r="M218">
        <v>-5.59</v>
      </c>
      <c r="N218">
        <v>-17.24</v>
      </c>
      <c r="O218">
        <v>4.06</v>
      </c>
      <c r="P218" t="b">
        <v>1</v>
      </c>
      <c r="Q218">
        <v>0</v>
      </c>
      <c r="R218">
        <v>335</v>
      </c>
      <c r="U218" t="s">
        <v>1610</v>
      </c>
      <c r="V218" t="s">
        <v>2289</v>
      </c>
      <c r="W218">
        <v>0</v>
      </c>
      <c r="X218">
        <v>-21.6</v>
      </c>
      <c r="Y218" t="s">
        <v>2946</v>
      </c>
      <c r="Z218">
        <v>-23.19431295137973</v>
      </c>
      <c r="AA218">
        <v>466</v>
      </c>
      <c r="AB218">
        <v>38209</v>
      </c>
      <c r="AC218" t="s">
        <v>3594</v>
      </c>
      <c r="AD218">
        <v>46.91</v>
      </c>
      <c r="AE218" t="s">
        <v>4273</v>
      </c>
      <c r="AF218" t="s">
        <v>4937</v>
      </c>
      <c r="AG218">
        <v>196</v>
      </c>
      <c r="AH218">
        <v>11</v>
      </c>
    </row>
    <row r="219" spans="1:36">
      <c r="A219" s="1" t="s">
        <v>253</v>
      </c>
      <c r="B219" t="s">
        <v>932</v>
      </c>
      <c r="C219">
        <f>HYPERLINK("https://finance.naver.com/item/coinfo.nhn?code=004590", "A004590")</f>
        <v>0</v>
      </c>
      <c r="D219">
        <f>HYPERLINK("http://comp.fnguide.com/SVO2/ASP/SVD_Consensus.asp?pGB=1&amp;gicode=A004590&amp;cID=&amp;MenuYn=Y&amp;ReportGB=&amp;NewMenuID=108&amp;stkGb=701", "한국가구")</f>
        <v>0</v>
      </c>
      <c r="E219">
        <v>3</v>
      </c>
      <c r="F219">
        <v>7090</v>
      </c>
      <c r="G219">
        <v>0</v>
      </c>
      <c r="H219">
        <v>7.25</v>
      </c>
      <c r="I219">
        <v>7073</v>
      </c>
      <c r="J219">
        <v>7497</v>
      </c>
      <c r="K219">
        <v>7620</v>
      </c>
      <c r="L219">
        <v>0.24</v>
      </c>
      <c r="M219">
        <v>-5.74</v>
      </c>
      <c r="N219">
        <v>-7.48</v>
      </c>
      <c r="O219">
        <v>7.47</v>
      </c>
      <c r="P219" t="b">
        <v>1</v>
      </c>
      <c r="Q219">
        <v>0</v>
      </c>
      <c r="R219">
        <v>617</v>
      </c>
      <c r="U219" t="s">
        <v>1611</v>
      </c>
      <c r="V219" t="s">
        <v>2290</v>
      </c>
      <c r="W219">
        <v>0</v>
      </c>
      <c r="X219">
        <v>52.5</v>
      </c>
      <c r="Y219" t="s">
        <v>2947</v>
      </c>
      <c r="Z219">
        <v>8.991804304820805</v>
      </c>
      <c r="AA219">
        <v>1064</v>
      </c>
      <c r="AB219">
        <v>540190</v>
      </c>
      <c r="AC219" t="s">
        <v>3595</v>
      </c>
      <c r="AD219">
        <v>55.79</v>
      </c>
      <c r="AE219" t="s">
        <v>4274</v>
      </c>
      <c r="AF219" t="s">
        <v>4938</v>
      </c>
      <c r="AG219">
        <v>755</v>
      </c>
      <c r="AH219">
        <v>105</v>
      </c>
      <c r="AJ219">
        <v>3.02</v>
      </c>
    </row>
    <row r="220" spans="1:36">
      <c r="A220" s="1" t="s">
        <v>254</v>
      </c>
      <c r="B220" t="s">
        <v>933</v>
      </c>
      <c r="C220">
        <f>HYPERLINK("https://finance.naver.com/item/coinfo.nhn?code=031980", "A031980")</f>
        <v>0</v>
      </c>
      <c r="D220">
        <f>HYPERLINK("http://comp.fnguide.com/SVO2/ASP/SVD_Consensus.asp?pGB=1&amp;gicode=A031980&amp;cID=&amp;MenuYn=Y&amp;ReportGB=&amp;NewMenuID=108&amp;stkGb=701", "피에스케이홀딩스")</f>
        <v>0</v>
      </c>
      <c r="E220">
        <v>3</v>
      </c>
      <c r="F220">
        <v>11300</v>
      </c>
      <c r="G220">
        <v>0</v>
      </c>
      <c r="H220">
        <v>2.82</v>
      </c>
      <c r="I220">
        <v>28599</v>
      </c>
      <c r="J220">
        <v>17253</v>
      </c>
      <c r="K220">
        <v>13948</v>
      </c>
      <c r="L220">
        <v>-153.09</v>
      </c>
      <c r="M220">
        <v>-52.68</v>
      </c>
      <c r="N220">
        <v>-23.44</v>
      </c>
      <c r="O220">
        <v>24.75</v>
      </c>
      <c r="P220" t="b">
        <v>1</v>
      </c>
      <c r="Q220">
        <v>0</v>
      </c>
      <c r="R220">
        <v>2942</v>
      </c>
      <c r="U220" t="s">
        <v>1612</v>
      </c>
      <c r="V220" t="s">
        <v>2291</v>
      </c>
      <c r="W220">
        <v>0</v>
      </c>
      <c r="X220">
        <v>114.7</v>
      </c>
      <c r="Y220" t="s">
        <v>2948</v>
      </c>
      <c r="Z220">
        <v>34.47419789559669</v>
      </c>
      <c r="AA220">
        <v>2437</v>
      </c>
      <c r="AB220">
        <v>415139</v>
      </c>
      <c r="AC220" t="s">
        <v>3596</v>
      </c>
      <c r="AD220">
        <v>74.23</v>
      </c>
      <c r="AE220" t="s">
        <v>4275</v>
      </c>
      <c r="AF220" t="s">
        <v>4939</v>
      </c>
      <c r="AG220">
        <v>398</v>
      </c>
      <c r="AH220">
        <v>-25</v>
      </c>
      <c r="AI220">
        <v>766431</v>
      </c>
      <c r="AJ220">
        <v>2.41</v>
      </c>
    </row>
    <row r="221" spans="1:36">
      <c r="A221" s="1" t="s">
        <v>255</v>
      </c>
      <c r="B221" t="s">
        <v>934</v>
      </c>
      <c r="C221">
        <f>HYPERLINK("https://finance.naver.com/item/coinfo.nhn?code=002230", "A002230")</f>
        <v>0</v>
      </c>
      <c r="D221">
        <f>HYPERLINK("http://comp.fnguide.com/SVO2/ASP/SVD_Consensus.asp?pGB=1&amp;gicode=A002230&amp;cID=&amp;MenuYn=Y&amp;ReportGB=&amp;NewMenuID=108&amp;stkGb=701", "피에스텍")</f>
        <v>0</v>
      </c>
      <c r="E221">
        <v>3</v>
      </c>
      <c r="F221">
        <v>5580</v>
      </c>
      <c r="G221">
        <v>0</v>
      </c>
      <c r="H221">
        <v>212.95</v>
      </c>
      <c r="I221">
        <v>699</v>
      </c>
      <c r="J221">
        <v>4864</v>
      </c>
      <c r="K221">
        <v>6078</v>
      </c>
      <c r="L221">
        <v>87.47</v>
      </c>
      <c r="M221">
        <v>12.83</v>
      </c>
      <c r="N221">
        <v>-8.92</v>
      </c>
      <c r="O221">
        <v>0.74</v>
      </c>
      <c r="P221" t="b">
        <v>0</v>
      </c>
      <c r="Q221">
        <v>0</v>
      </c>
      <c r="R221">
        <v>22</v>
      </c>
      <c r="U221" t="s">
        <v>1613</v>
      </c>
      <c r="V221" t="s">
        <v>2292</v>
      </c>
      <c r="W221">
        <v>0</v>
      </c>
      <c r="X221">
        <v>-82.90000000000001</v>
      </c>
      <c r="Y221" t="s">
        <v>2949</v>
      </c>
      <c r="Z221">
        <v>-41.98431141803019</v>
      </c>
      <c r="AA221">
        <v>1098</v>
      </c>
      <c r="AB221">
        <v>40829</v>
      </c>
      <c r="AC221" t="s">
        <v>3597</v>
      </c>
      <c r="AD221">
        <v>49.86</v>
      </c>
      <c r="AE221" t="s">
        <v>4276</v>
      </c>
      <c r="AF221" t="s">
        <v>4940</v>
      </c>
      <c r="AG221">
        <v>532</v>
      </c>
      <c r="AH221">
        <v>-6</v>
      </c>
      <c r="AI221">
        <v>2020900</v>
      </c>
      <c r="AJ221">
        <v>1.6</v>
      </c>
    </row>
    <row r="222" spans="1:36">
      <c r="A222" s="1" t="s">
        <v>256</v>
      </c>
      <c r="B222" t="s">
        <v>935</v>
      </c>
      <c r="C222">
        <f>HYPERLINK("https://finance.naver.com/item/coinfo.nhn?code=043370", "A043370")</f>
        <v>0</v>
      </c>
      <c r="D222">
        <f>HYPERLINK("http://comp.fnguide.com/SVO2/ASP/SVD_Consensus.asp?pGB=1&amp;gicode=A043370&amp;cID=&amp;MenuYn=Y&amp;ReportGB=&amp;NewMenuID=108&amp;stkGb=701", "피에이치에이")</f>
        <v>0</v>
      </c>
      <c r="E222">
        <v>3</v>
      </c>
      <c r="F222">
        <v>10550</v>
      </c>
      <c r="G222">
        <v>-3.41</v>
      </c>
      <c r="H222">
        <v>24.3</v>
      </c>
      <c r="I222">
        <v>13834</v>
      </c>
      <c r="J222">
        <v>22560</v>
      </c>
      <c r="K222">
        <v>25101</v>
      </c>
      <c r="L222">
        <v>-31.13</v>
      </c>
      <c r="M222">
        <v>-113.84</v>
      </c>
      <c r="N222">
        <v>-137.93</v>
      </c>
      <c r="O222">
        <v>3.99</v>
      </c>
      <c r="P222" t="b">
        <v>1</v>
      </c>
      <c r="Q222">
        <v>1</v>
      </c>
      <c r="R222">
        <v>377</v>
      </c>
      <c r="S222">
        <v>1714</v>
      </c>
      <c r="T222">
        <v>354.6</v>
      </c>
      <c r="U222" t="s">
        <v>1614</v>
      </c>
      <c r="V222" t="s">
        <v>2293</v>
      </c>
      <c r="W222">
        <v>-7.120574803564084</v>
      </c>
      <c r="X222">
        <v>-74.90000000000001</v>
      </c>
      <c r="Y222" t="s">
        <v>2950</v>
      </c>
      <c r="Z222">
        <v>1.509108765619205</v>
      </c>
      <c r="AA222">
        <v>2216</v>
      </c>
      <c r="AB222">
        <v>155277</v>
      </c>
      <c r="AC222" t="s">
        <v>3598</v>
      </c>
      <c r="AD222">
        <v>54.63</v>
      </c>
      <c r="AE222" t="s">
        <v>4277</v>
      </c>
      <c r="AF222" t="s">
        <v>4941</v>
      </c>
      <c r="AG222">
        <v>9491</v>
      </c>
      <c r="AH222">
        <v>143</v>
      </c>
      <c r="AI222">
        <v>463438</v>
      </c>
      <c r="AJ222">
        <v>1.96</v>
      </c>
    </row>
    <row r="223" spans="1:36">
      <c r="A223" s="1" t="s">
        <v>257</v>
      </c>
      <c r="B223" t="s">
        <v>936</v>
      </c>
      <c r="C223">
        <f>HYPERLINK("https://finance.naver.com/item/coinfo.nhn?code=087600", "A087600")</f>
        <v>0</v>
      </c>
      <c r="D223">
        <f>HYPERLINK("http://comp.fnguide.com/SVO2/ASP/SVD_Consensus.asp?pGB=1&amp;gicode=A087600&amp;cID=&amp;MenuYn=Y&amp;ReportGB=&amp;NewMenuID=108&amp;stkGb=701", "픽셀플러스")</f>
        <v>0</v>
      </c>
      <c r="E223">
        <v>3</v>
      </c>
      <c r="F223">
        <v>7940</v>
      </c>
      <c r="G223">
        <v>0</v>
      </c>
      <c r="H223">
        <v>15.26</v>
      </c>
      <c r="I223">
        <v>3862</v>
      </c>
      <c r="J223">
        <v>9066</v>
      </c>
      <c r="K223">
        <v>10582</v>
      </c>
      <c r="L223">
        <v>51.35</v>
      </c>
      <c r="M223">
        <v>-14.19</v>
      </c>
      <c r="N223">
        <v>-33.28</v>
      </c>
      <c r="O223">
        <v>2.52</v>
      </c>
      <c r="P223" t="b">
        <v>1</v>
      </c>
      <c r="Q223">
        <v>0</v>
      </c>
      <c r="R223">
        <v>488</v>
      </c>
      <c r="U223" t="s">
        <v>1615</v>
      </c>
      <c r="V223" t="s">
        <v>2294</v>
      </c>
      <c r="W223">
        <v>0</v>
      </c>
      <c r="X223">
        <v>0</v>
      </c>
      <c r="Y223" t="s">
        <v>2762</v>
      </c>
      <c r="Z223">
        <v>0</v>
      </c>
      <c r="AA223">
        <v>648</v>
      </c>
      <c r="AB223">
        <v>25311</v>
      </c>
      <c r="AC223" t="s">
        <v>3599</v>
      </c>
      <c r="AD223">
        <v>31.77</v>
      </c>
      <c r="AE223" t="s">
        <v>4278</v>
      </c>
      <c r="AF223" t="s">
        <v>4942</v>
      </c>
      <c r="AG223">
        <v>391</v>
      </c>
      <c r="AH223">
        <v>10</v>
      </c>
      <c r="AI223">
        <v>1797727</v>
      </c>
    </row>
    <row r="224" spans="1:36">
      <c r="A224" s="1" t="s">
        <v>258</v>
      </c>
      <c r="B224" t="s">
        <v>937</v>
      </c>
      <c r="C224">
        <f>HYPERLINK("https://finance.naver.com/item/coinfo.nhn?code=003380", "A003380")</f>
        <v>0</v>
      </c>
      <c r="D224">
        <f>HYPERLINK("http://comp.fnguide.com/SVO2/ASP/SVD_Consensus.asp?pGB=1&amp;gicode=A003380&amp;cID=&amp;MenuYn=Y&amp;ReportGB=&amp;NewMenuID=108&amp;stkGb=701", "하림지주")</f>
        <v>0</v>
      </c>
      <c r="E224">
        <v>3</v>
      </c>
      <c r="F224">
        <v>11650</v>
      </c>
      <c r="G224">
        <v>-2.86</v>
      </c>
      <c r="H224">
        <v>15.27</v>
      </c>
      <c r="I224">
        <v>10179</v>
      </c>
      <c r="J224">
        <v>17456</v>
      </c>
      <c r="K224">
        <v>19576</v>
      </c>
      <c r="L224">
        <v>12.63</v>
      </c>
      <c r="M224">
        <v>-49.84</v>
      </c>
      <c r="N224">
        <v>-68.04000000000001</v>
      </c>
      <c r="O224">
        <v>3.73</v>
      </c>
      <c r="P224" t="b">
        <v>0</v>
      </c>
      <c r="Q224">
        <v>1</v>
      </c>
      <c r="R224">
        <v>590</v>
      </c>
      <c r="S224">
        <v>996</v>
      </c>
      <c r="T224">
        <v>68.8</v>
      </c>
      <c r="U224" t="s">
        <v>1616</v>
      </c>
      <c r="V224" t="s">
        <v>2295</v>
      </c>
      <c r="W224">
        <v>-5.341982914635979</v>
      </c>
      <c r="X224">
        <v>-0.7</v>
      </c>
      <c r="Y224" t="s">
        <v>2951</v>
      </c>
      <c r="Z224">
        <v>-14.04877077663684</v>
      </c>
      <c r="AA224">
        <v>10758</v>
      </c>
      <c r="AB224">
        <v>716286</v>
      </c>
      <c r="AC224" t="s">
        <v>3600</v>
      </c>
      <c r="AD224">
        <v>51.5</v>
      </c>
      <c r="AE224" t="s">
        <v>4279</v>
      </c>
      <c r="AF224" t="s">
        <v>4943</v>
      </c>
      <c r="AG224">
        <v>77233</v>
      </c>
      <c r="AH224">
        <v>3540</v>
      </c>
      <c r="AI224">
        <v>16832117</v>
      </c>
      <c r="AJ224">
        <v>0.55</v>
      </c>
    </row>
    <row r="225" spans="1:36">
      <c r="A225" s="1" t="s">
        <v>259</v>
      </c>
      <c r="B225" t="s">
        <v>938</v>
      </c>
      <c r="C225">
        <f>HYPERLINK("https://finance.naver.com/item/coinfo.nhn?code=013030", "A013030")</f>
        <v>0</v>
      </c>
      <c r="D225">
        <f>HYPERLINK("http://comp.fnguide.com/SVO2/ASP/SVD_Consensus.asp?pGB=1&amp;gicode=A013030&amp;cID=&amp;MenuYn=Y&amp;ReportGB=&amp;NewMenuID=108&amp;stkGb=701", "하이록코리아")</f>
        <v>0</v>
      </c>
      <c r="E225">
        <v>3</v>
      </c>
      <c r="F225">
        <v>19300</v>
      </c>
      <c r="G225">
        <v>-5.84</v>
      </c>
      <c r="H225">
        <v>34.67</v>
      </c>
      <c r="I225">
        <v>8223</v>
      </c>
      <c r="J225">
        <v>18576</v>
      </c>
      <c r="K225">
        <v>21592</v>
      </c>
      <c r="L225">
        <v>57.39</v>
      </c>
      <c r="M225">
        <v>3.75</v>
      </c>
      <c r="N225">
        <v>-11.87</v>
      </c>
      <c r="O225">
        <v>2.63</v>
      </c>
      <c r="P225" t="b">
        <v>1</v>
      </c>
      <c r="Q225">
        <v>1</v>
      </c>
      <c r="R225">
        <v>388</v>
      </c>
      <c r="S225">
        <v>705</v>
      </c>
      <c r="T225">
        <v>81.7</v>
      </c>
      <c r="U225" t="s">
        <v>1617</v>
      </c>
      <c r="V225" t="s">
        <v>2296</v>
      </c>
      <c r="W225">
        <v>-5.941657992580196</v>
      </c>
      <c r="X225">
        <v>-59</v>
      </c>
      <c r="Y225" t="s">
        <v>2952</v>
      </c>
      <c r="Z225">
        <v>-34.21995660986995</v>
      </c>
      <c r="AA225">
        <v>2627</v>
      </c>
      <c r="AB225">
        <v>128181</v>
      </c>
      <c r="AC225" t="s">
        <v>3601</v>
      </c>
      <c r="AD225">
        <v>41.8</v>
      </c>
      <c r="AE225" t="s">
        <v>4280</v>
      </c>
      <c r="AF225" t="s">
        <v>4944</v>
      </c>
      <c r="AG225">
        <v>1382</v>
      </c>
      <c r="AH225">
        <v>162</v>
      </c>
      <c r="AI225">
        <v>757182</v>
      </c>
      <c r="AJ225">
        <v>3.72</v>
      </c>
    </row>
    <row r="226" spans="1:36">
      <c r="A226" s="1" t="s">
        <v>260</v>
      </c>
      <c r="B226" t="s">
        <v>939</v>
      </c>
      <c r="C226">
        <f>HYPERLINK("https://finance.naver.com/item/coinfo.nhn?code=160600", "A160600")</f>
        <v>0</v>
      </c>
      <c r="D226">
        <f>HYPERLINK("http://comp.fnguide.com/SVO2/ASP/SVD_Consensus.asp?pGB=1&amp;gicode=A160600&amp;cID=&amp;MenuYn=Y&amp;ReportGB=&amp;NewMenuID=108&amp;stkGb=701", "이큐셀")</f>
        <v>0</v>
      </c>
      <c r="E226">
        <v>3</v>
      </c>
      <c r="F226">
        <v>310</v>
      </c>
      <c r="G226">
        <v>0</v>
      </c>
      <c r="I226">
        <v>189</v>
      </c>
      <c r="J226">
        <v>468</v>
      </c>
      <c r="K226">
        <v>549</v>
      </c>
      <c r="L226">
        <v>39.18</v>
      </c>
      <c r="M226">
        <v>-50.97</v>
      </c>
      <c r="N226">
        <v>-77.23</v>
      </c>
      <c r="O226">
        <v>2.35</v>
      </c>
      <c r="P226" t="b">
        <v>0</v>
      </c>
      <c r="Q226">
        <v>0</v>
      </c>
      <c r="R226">
        <v>-3121</v>
      </c>
      <c r="U226" t="s">
        <v>1618</v>
      </c>
      <c r="V226" t="s">
        <v>2297</v>
      </c>
      <c r="W226">
        <v>0</v>
      </c>
      <c r="X226">
        <v>0</v>
      </c>
      <c r="Y226" t="s">
        <v>2953</v>
      </c>
      <c r="Z226">
        <v>-6.894955783915413</v>
      </c>
      <c r="AA226">
        <v>186</v>
      </c>
      <c r="AB226">
        <v>0</v>
      </c>
      <c r="AC226" t="s">
        <v>3602</v>
      </c>
      <c r="AD226">
        <v>49.89</v>
      </c>
      <c r="AE226" t="s">
        <v>4281</v>
      </c>
      <c r="AF226" t="s">
        <v>4945</v>
      </c>
      <c r="AG226">
        <v>236</v>
      </c>
      <c r="AH226">
        <v>-57</v>
      </c>
      <c r="AI226">
        <v>399437</v>
      </c>
    </row>
    <row r="227" spans="1:36">
      <c r="A227" s="1" t="s">
        <v>261</v>
      </c>
      <c r="B227" t="s">
        <v>940</v>
      </c>
      <c r="C227">
        <f>HYPERLINK("https://finance.naver.com/item/coinfo.nhn?code=063760", "A063760")</f>
        <v>0</v>
      </c>
      <c r="D227">
        <f>HYPERLINK("http://comp.fnguide.com/SVO2/ASP/SVD_Consensus.asp?pGB=1&amp;gicode=A063760&amp;cID=&amp;MenuYn=Y&amp;ReportGB=&amp;NewMenuID=108&amp;stkGb=701", "이엘피")</f>
        <v>0</v>
      </c>
      <c r="E227">
        <v>3</v>
      </c>
      <c r="F227">
        <v>6980</v>
      </c>
      <c r="G227">
        <v>0</v>
      </c>
      <c r="H227">
        <v>20.74</v>
      </c>
      <c r="I227">
        <v>7472</v>
      </c>
      <c r="J227">
        <v>7649</v>
      </c>
      <c r="K227">
        <v>7700</v>
      </c>
      <c r="L227">
        <v>-7.05</v>
      </c>
      <c r="M227">
        <v>-9.58</v>
      </c>
      <c r="N227">
        <v>-10.32</v>
      </c>
      <c r="O227">
        <v>7.9</v>
      </c>
      <c r="P227" t="b">
        <v>1</v>
      </c>
      <c r="Q227">
        <v>0</v>
      </c>
      <c r="R227">
        <v>267</v>
      </c>
      <c r="U227" t="s">
        <v>1619</v>
      </c>
      <c r="V227" t="s">
        <v>2298</v>
      </c>
      <c r="W227">
        <v>0</v>
      </c>
      <c r="X227">
        <v>-38.9</v>
      </c>
      <c r="Y227" t="s">
        <v>2954</v>
      </c>
      <c r="Z227">
        <v>-9.815640769244116</v>
      </c>
      <c r="AA227">
        <v>651</v>
      </c>
      <c r="AB227">
        <v>69065</v>
      </c>
      <c r="AC227" t="s">
        <v>3603</v>
      </c>
      <c r="AD227">
        <v>23.52</v>
      </c>
      <c r="AE227" t="s">
        <v>4282</v>
      </c>
      <c r="AF227" t="s">
        <v>4946</v>
      </c>
      <c r="AG227">
        <v>289</v>
      </c>
      <c r="AH227">
        <v>27</v>
      </c>
      <c r="AI227">
        <v>495870</v>
      </c>
      <c r="AJ227">
        <v>1.14</v>
      </c>
    </row>
    <row r="228" spans="1:36">
      <c r="A228" s="1" t="s">
        <v>262</v>
      </c>
      <c r="B228" t="s">
        <v>941</v>
      </c>
      <c r="C228">
        <f>HYPERLINK("https://finance.naver.com/item/coinfo.nhn?code=122690", "A122690")</f>
        <v>0</v>
      </c>
      <c r="D228">
        <f>HYPERLINK("http://comp.fnguide.com/SVO2/ASP/SVD_Consensus.asp?pGB=1&amp;gicode=A122690&amp;cID=&amp;MenuYn=Y&amp;ReportGB=&amp;NewMenuID=108&amp;stkGb=701", "서진오토모티브")</f>
        <v>0</v>
      </c>
      <c r="E228">
        <v>3</v>
      </c>
      <c r="F228">
        <v>2820</v>
      </c>
      <c r="G228">
        <v>0</v>
      </c>
      <c r="I228">
        <v>0</v>
      </c>
      <c r="J228">
        <v>2233</v>
      </c>
      <c r="K228">
        <v>2883</v>
      </c>
      <c r="L228">
        <v>100</v>
      </c>
      <c r="M228">
        <v>20.81</v>
      </c>
      <c r="N228">
        <v>-2.25</v>
      </c>
      <c r="O228">
        <v>0</v>
      </c>
      <c r="P228" t="b">
        <v>0</v>
      </c>
      <c r="Q228">
        <v>0</v>
      </c>
      <c r="R228">
        <v>-694</v>
      </c>
      <c r="U228" t="s">
        <v>1620</v>
      </c>
      <c r="V228" t="s">
        <v>2299</v>
      </c>
      <c r="W228">
        <v>0</v>
      </c>
      <c r="X228">
        <v>0</v>
      </c>
      <c r="Y228" t="s">
        <v>2955</v>
      </c>
      <c r="Z228">
        <v>-45.4</v>
      </c>
      <c r="AA228">
        <v>551</v>
      </c>
      <c r="AB228">
        <v>109045</v>
      </c>
      <c r="AC228" t="s">
        <v>3604</v>
      </c>
      <c r="AD228">
        <v>63.97</v>
      </c>
      <c r="AE228" t="s">
        <v>4283</v>
      </c>
      <c r="AF228" t="s">
        <v>4741</v>
      </c>
      <c r="AG228">
        <v>15060</v>
      </c>
      <c r="AH228">
        <v>39</v>
      </c>
      <c r="AI228">
        <v>123946</v>
      </c>
    </row>
    <row r="229" spans="1:36">
      <c r="A229" s="1" t="s">
        <v>263</v>
      </c>
      <c r="B229" t="s">
        <v>942</v>
      </c>
      <c r="C229">
        <f>HYPERLINK("https://finance.naver.com/item/coinfo.nhn?code=033790", "A033790")</f>
        <v>0</v>
      </c>
      <c r="D229">
        <f>HYPERLINK("http://comp.fnguide.com/SVO2/ASP/SVD_Consensus.asp?pGB=1&amp;gicode=A033790&amp;cID=&amp;MenuYn=Y&amp;ReportGB=&amp;NewMenuID=108&amp;stkGb=701", "스카이문스테크놀로지")</f>
        <v>0</v>
      </c>
      <c r="E229">
        <v>3</v>
      </c>
      <c r="F229">
        <v>829</v>
      </c>
      <c r="G229">
        <v>0</v>
      </c>
      <c r="I229">
        <v>0</v>
      </c>
      <c r="J229">
        <v>682</v>
      </c>
      <c r="K229">
        <v>880</v>
      </c>
      <c r="L229">
        <v>100</v>
      </c>
      <c r="M229">
        <v>17.77</v>
      </c>
      <c r="N229">
        <v>-6.18</v>
      </c>
      <c r="O229">
        <v>0</v>
      </c>
      <c r="P229" t="b">
        <v>0</v>
      </c>
      <c r="Q229">
        <v>0</v>
      </c>
      <c r="R229">
        <v>-49</v>
      </c>
      <c r="U229" t="s">
        <v>1621</v>
      </c>
      <c r="V229" t="s">
        <v>2300</v>
      </c>
      <c r="W229">
        <v>0</v>
      </c>
      <c r="X229">
        <v>0</v>
      </c>
      <c r="Y229" t="s">
        <v>2762</v>
      </c>
      <c r="Z229">
        <v>0</v>
      </c>
      <c r="AA229">
        <v>142</v>
      </c>
      <c r="AB229">
        <v>0</v>
      </c>
      <c r="AC229" t="s">
        <v>3605</v>
      </c>
      <c r="AD229">
        <v>27.2</v>
      </c>
      <c r="AE229" t="s">
        <v>4284</v>
      </c>
      <c r="AF229" t="s">
        <v>4741</v>
      </c>
      <c r="AG229">
        <v>251</v>
      </c>
      <c r="AH229">
        <v>-15</v>
      </c>
      <c r="AI229">
        <v>300000</v>
      </c>
    </row>
    <row r="230" spans="1:36">
      <c r="A230" s="1" t="s">
        <v>264</v>
      </c>
      <c r="B230" t="s">
        <v>943</v>
      </c>
      <c r="C230">
        <f>HYPERLINK("https://finance.naver.com/item/coinfo.nhn?code=017000", "A017000")</f>
        <v>0</v>
      </c>
      <c r="D230">
        <f>HYPERLINK("http://comp.fnguide.com/SVO2/ASP/SVD_Consensus.asp?pGB=1&amp;gicode=A017000&amp;cID=&amp;MenuYn=Y&amp;ReportGB=&amp;NewMenuID=108&amp;stkGb=701", "신원종합개발")</f>
        <v>0</v>
      </c>
      <c r="E230">
        <v>3</v>
      </c>
      <c r="F230">
        <v>6710</v>
      </c>
      <c r="G230">
        <v>0</v>
      </c>
      <c r="I230">
        <v>7446</v>
      </c>
      <c r="J230">
        <v>7387</v>
      </c>
      <c r="K230">
        <v>7370</v>
      </c>
      <c r="L230">
        <v>-10.97</v>
      </c>
      <c r="M230">
        <v>-10.09</v>
      </c>
      <c r="N230">
        <v>-9.83</v>
      </c>
      <c r="O230">
        <v>8.33</v>
      </c>
      <c r="P230" t="b">
        <v>0</v>
      </c>
      <c r="Q230">
        <v>0</v>
      </c>
      <c r="R230">
        <v>-1422</v>
      </c>
      <c r="U230" t="s">
        <v>1622</v>
      </c>
      <c r="V230" t="s">
        <v>2301</v>
      </c>
      <c r="W230">
        <v>0</v>
      </c>
      <c r="X230">
        <v>0</v>
      </c>
      <c r="Y230" t="s">
        <v>2956</v>
      </c>
      <c r="Z230">
        <v>77.47804355538004</v>
      </c>
      <c r="AA230">
        <v>716</v>
      </c>
      <c r="AB230">
        <v>86039</v>
      </c>
      <c r="AC230" t="s">
        <v>3606</v>
      </c>
      <c r="AD230">
        <v>17.69</v>
      </c>
      <c r="AE230" t="s">
        <v>4285</v>
      </c>
      <c r="AF230" t="s">
        <v>4947</v>
      </c>
      <c r="AG230">
        <v>1238</v>
      </c>
      <c r="AH230">
        <v>31</v>
      </c>
      <c r="AI230">
        <v>472513</v>
      </c>
    </row>
    <row r="231" spans="1:36">
      <c r="A231" s="1" t="s">
        <v>265</v>
      </c>
      <c r="B231" t="s">
        <v>944</v>
      </c>
      <c r="C231">
        <f>HYPERLINK("https://finance.naver.com/item/coinfo.nhn?code=187270", "A187270")</f>
        <v>0</v>
      </c>
      <c r="D231">
        <f>HYPERLINK("http://comp.fnguide.com/SVO2/ASP/SVD_Consensus.asp?pGB=1&amp;gicode=A187270&amp;cID=&amp;MenuYn=Y&amp;ReportGB=&amp;NewMenuID=108&amp;stkGb=701", "신화콘텍")</f>
        <v>0</v>
      </c>
      <c r="E231">
        <v>3</v>
      </c>
      <c r="F231">
        <v>3485</v>
      </c>
      <c r="G231">
        <v>0</v>
      </c>
      <c r="H231">
        <v>27.84</v>
      </c>
      <c r="I231">
        <v>733</v>
      </c>
      <c r="J231">
        <v>3358</v>
      </c>
      <c r="K231">
        <v>4123</v>
      </c>
      <c r="L231">
        <v>78.95</v>
      </c>
      <c r="M231">
        <v>3.63</v>
      </c>
      <c r="N231">
        <v>-18.31</v>
      </c>
      <c r="O231">
        <v>1.17</v>
      </c>
      <c r="P231" t="b">
        <v>1</v>
      </c>
      <c r="Q231">
        <v>0</v>
      </c>
      <c r="R231">
        <v>111</v>
      </c>
      <c r="U231" t="s">
        <v>1623</v>
      </c>
      <c r="V231" t="s">
        <v>2302</v>
      </c>
      <c r="W231">
        <v>0</v>
      </c>
      <c r="X231">
        <v>0</v>
      </c>
      <c r="Y231" t="s">
        <v>2957</v>
      </c>
      <c r="Z231">
        <v>1377.3</v>
      </c>
      <c r="AA231">
        <v>354</v>
      </c>
      <c r="AB231">
        <v>47289</v>
      </c>
      <c r="AC231" t="s">
        <v>3607</v>
      </c>
      <c r="AD231">
        <v>38.49</v>
      </c>
      <c r="AE231" t="s">
        <v>4286</v>
      </c>
      <c r="AF231" t="s">
        <v>4948</v>
      </c>
      <c r="AG231">
        <v>444</v>
      </c>
      <c r="AH231">
        <v>6</v>
      </c>
      <c r="AI231">
        <v>945252</v>
      </c>
    </row>
    <row r="232" spans="1:36">
      <c r="A232" s="1" t="s">
        <v>266</v>
      </c>
      <c r="B232" t="s">
        <v>945</v>
      </c>
      <c r="C232">
        <f>HYPERLINK("https://finance.naver.com/item/coinfo.nhn?code=036710", "A036710")</f>
        <v>0</v>
      </c>
      <c r="D232">
        <f>HYPERLINK("http://comp.fnguide.com/SVO2/ASP/SVD_Consensus.asp?pGB=1&amp;gicode=A036710&amp;cID=&amp;MenuYn=Y&amp;ReportGB=&amp;NewMenuID=108&amp;stkGb=701", "심텍홀딩스")</f>
        <v>0</v>
      </c>
      <c r="E232">
        <v>3</v>
      </c>
      <c r="F232">
        <v>2815</v>
      </c>
      <c r="G232">
        <v>0</v>
      </c>
      <c r="H232">
        <v>4.19</v>
      </c>
      <c r="I232">
        <v>4034</v>
      </c>
      <c r="J232">
        <v>3745</v>
      </c>
      <c r="K232">
        <v>3661</v>
      </c>
      <c r="L232">
        <v>-43.31</v>
      </c>
      <c r="M232">
        <v>-33.03</v>
      </c>
      <c r="N232">
        <v>-30.04</v>
      </c>
      <c r="O232">
        <v>9.35</v>
      </c>
      <c r="P232" t="b">
        <v>1</v>
      </c>
      <c r="Q232">
        <v>0</v>
      </c>
      <c r="R232">
        <v>582</v>
      </c>
      <c r="U232" t="s">
        <v>1624</v>
      </c>
      <c r="V232" t="s">
        <v>2303</v>
      </c>
      <c r="W232">
        <v>0</v>
      </c>
      <c r="X232">
        <v>0</v>
      </c>
      <c r="Y232" t="s">
        <v>2958</v>
      </c>
      <c r="Z232">
        <v>-84.28968722239047</v>
      </c>
      <c r="AA232">
        <v>1145</v>
      </c>
      <c r="AB232">
        <v>167384</v>
      </c>
      <c r="AC232" t="s">
        <v>3608</v>
      </c>
      <c r="AD232">
        <v>47.86</v>
      </c>
      <c r="AE232" t="s">
        <v>4287</v>
      </c>
      <c r="AF232" t="s">
        <v>4949</v>
      </c>
      <c r="AG232">
        <v>12017</v>
      </c>
      <c r="AH232">
        <v>884</v>
      </c>
      <c r="AI232">
        <v>2013455</v>
      </c>
      <c r="AJ232">
        <v>1.23</v>
      </c>
    </row>
    <row r="233" spans="1:36">
      <c r="A233" s="1" t="s">
        <v>267</v>
      </c>
      <c r="B233" t="s">
        <v>946</v>
      </c>
      <c r="C233">
        <f>HYPERLINK("https://finance.naver.com/item/coinfo.nhn?code=037760", "A037760")</f>
        <v>0</v>
      </c>
      <c r="D233">
        <f>HYPERLINK("http://comp.fnguide.com/SVO2/ASP/SVD_Consensus.asp?pGB=1&amp;gicode=A037760&amp;cID=&amp;MenuYn=Y&amp;ReportGB=&amp;NewMenuID=108&amp;stkGb=701", "쎄니트")</f>
        <v>0</v>
      </c>
      <c r="E233">
        <v>3</v>
      </c>
      <c r="F233">
        <v>2005</v>
      </c>
      <c r="G233">
        <v>0</v>
      </c>
      <c r="H233">
        <v>6.67</v>
      </c>
      <c r="I233">
        <v>2223</v>
      </c>
      <c r="J233">
        <v>2324</v>
      </c>
      <c r="K233">
        <v>2353</v>
      </c>
      <c r="L233">
        <v>-10.88</v>
      </c>
      <c r="M233">
        <v>-15.91</v>
      </c>
      <c r="N233">
        <v>-17.37</v>
      </c>
      <c r="O233">
        <v>7.64</v>
      </c>
      <c r="P233" t="b">
        <v>1</v>
      </c>
      <c r="Q233">
        <v>0</v>
      </c>
      <c r="R233">
        <v>260</v>
      </c>
      <c r="U233" t="s">
        <v>1625</v>
      </c>
      <c r="V233" t="s">
        <v>2304</v>
      </c>
      <c r="W233">
        <v>0</v>
      </c>
      <c r="X233">
        <v>318.8</v>
      </c>
      <c r="Y233" t="s">
        <v>2959</v>
      </c>
      <c r="Z233">
        <v>1.176167322338761</v>
      </c>
      <c r="AA233">
        <v>678</v>
      </c>
      <c r="AB233">
        <v>85079</v>
      </c>
      <c r="AC233" t="s">
        <v>3609</v>
      </c>
      <c r="AD233">
        <v>55.01</v>
      </c>
      <c r="AE233" t="s">
        <v>4288</v>
      </c>
      <c r="AF233" t="s">
        <v>4950</v>
      </c>
      <c r="AG233">
        <v>939</v>
      </c>
      <c r="AH233">
        <v>-10</v>
      </c>
      <c r="AI233">
        <v>2030000</v>
      </c>
      <c r="AJ233">
        <v>1.73</v>
      </c>
    </row>
    <row r="234" spans="1:36">
      <c r="A234" s="1" t="s">
        <v>268</v>
      </c>
      <c r="B234" t="s">
        <v>947</v>
      </c>
      <c r="C234">
        <f>HYPERLINK("https://finance.naver.com/item/coinfo.nhn?code=900120", "A900120")</f>
        <v>0</v>
      </c>
      <c r="D234">
        <f>HYPERLINK("http://comp.fnguide.com/SVO2/ASP/SVD_Consensus.asp?pGB=1&amp;gicode=A900120&amp;cID=&amp;MenuYn=Y&amp;ReportGB=&amp;NewMenuID=108&amp;stkGb=701", "씨케이에이치")</f>
        <v>0</v>
      </c>
      <c r="E234">
        <v>3</v>
      </c>
      <c r="F234">
        <v>355</v>
      </c>
      <c r="G234">
        <v>0</v>
      </c>
      <c r="I234">
        <v>0</v>
      </c>
      <c r="J234">
        <v>1901</v>
      </c>
      <c r="K234">
        <v>2455</v>
      </c>
      <c r="L234">
        <v>100</v>
      </c>
      <c r="M234">
        <v>-435.56</v>
      </c>
      <c r="N234">
        <v>-591.5599999999999</v>
      </c>
      <c r="O234">
        <v>0</v>
      </c>
      <c r="P234" t="b">
        <v>0</v>
      </c>
      <c r="Q234">
        <v>0</v>
      </c>
      <c r="R234">
        <v>-892</v>
      </c>
      <c r="U234" t="s">
        <v>1626</v>
      </c>
      <c r="V234" t="s">
        <v>2305</v>
      </c>
      <c r="W234">
        <v>0</v>
      </c>
      <c r="X234">
        <v>0</v>
      </c>
      <c r="Y234" t="s">
        <v>2960</v>
      </c>
      <c r="Z234">
        <v>-98.59999999999999</v>
      </c>
      <c r="AA234">
        <v>392</v>
      </c>
      <c r="AB234">
        <v>289117</v>
      </c>
      <c r="AC234" t="s">
        <v>3610</v>
      </c>
      <c r="AD234">
        <v>25.24</v>
      </c>
      <c r="AE234" t="s">
        <v>4289</v>
      </c>
      <c r="AF234" t="s">
        <v>4741</v>
      </c>
      <c r="AG234">
        <v>634</v>
      </c>
      <c r="AH234">
        <v>-619</v>
      </c>
    </row>
    <row r="235" spans="1:36">
      <c r="A235" s="1" t="s">
        <v>269</v>
      </c>
      <c r="B235" t="s">
        <v>948</v>
      </c>
      <c r="C235">
        <f>HYPERLINK("https://finance.naver.com/item/coinfo.nhn?code=083930", "A083930")</f>
        <v>0</v>
      </c>
      <c r="D235">
        <f>HYPERLINK("http://comp.fnguide.com/SVO2/ASP/SVD_Consensus.asp?pGB=1&amp;gicode=A083930&amp;cID=&amp;MenuYn=Y&amp;ReportGB=&amp;NewMenuID=108&amp;stkGb=701", "아바코")</f>
        <v>0</v>
      </c>
      <c r="E235">
        <v>3</v>
      </c>
      <c r="F235">
        <v>12000</v>
      </c>
      <c r="G235">
        <v>0</v>
      </c>
      <c r="H235">
        <v>11.56</v>
      </c>
      <c r="I235">
        <v>18756</v>
      </c>
      <c r="J235">
        <v>13981</v>
      </c>
      <c r="K235">
        <v>12590</v>
      </c>
      <c r="L235">
        <v>-56.3</v>
      </c>
      <c r="M235">
        <v>-16.51</v>
      </c>
      <c r="N235">
        <v>-4.92</v>
      </c>
      <c r="O235">
        <v>14.39</v>
      </c>
      <c r="P235" t="b">
        <v>1</v>
      </c>
      <c r="Q235">
        <v>0</v>
      </c>
      <c r="R235">
        <v>921</v>
      </c>
      <c r="U235" t="s">
        <v>1627</v>
      </c>
      <c r="V235" t="s">
        <v>2306</v>
      </c>
      <c r="W235">
        <v>0</v>
      </c>
      <c r="X235">
        <v>-24.8</v>
      </c>
      <c r="Y235" t="s">
        <v>2961</v>
      </c>
      <c r="Z235">
        <v>-6.621058843420347</v>
      </c>
      <c r="AA235">
        <v>1850</v>
      </c>
      <c r="AB235">
        <v>115763</v>
      </c>
      <c r="AC235" t="s">
        <v>3611</v>
      </c>
      <c r="AD235">
        <v>27.48</v>
      </c>
      <c r="AE235" t="s">
        <v>4290</v>
      </c>
      <c r="AF235" t="s">
        <v>4951</v>
      </c>
      <c r="AG235">
        <v>2003</v>
      </c>
      <c r="AH235">
        <v>231</v>
      </c>
      <c r="AI235">
        <v>2320960</v>
      </c>
      <c r="AJ235">
        <v>2.82</v>
      </c>
    </row>
    <row r="236" spans="1:36">
      <c r="A236" s="1" t="s">
        <v>270</v>
      </c>
      <c r="B236" t="s">
        <v>949</v>
      </c>
      <c r="C236">
        <f>HYPERLINK("https://finance.naver.com/item/coinfo.nhn?code=050860", "A050860")</f>
        <v>0</v>
      </c>
      <c r="D236">
        <f>HYPERLINK("http://comp.fnguide.com/SVO2/ASP/SVD_Consensus.asp?pGB=1&amp;gicode=A050860&amp;cID=&amp;MenuYn=Y&amp;ReportGB=&amp;NewMenuID=108&amp;stkGb=701", "아세아텍")</f>
        <v>0</v>
      </c>
      <c r="E236">
        <v>3</v>
      </c>
      <c r="F236">
        <v>3785</v>
      </c>
      <c r="G236">
        <v>0</v>
      </c>
      <c r="H236">
        <v>51.4</v>
      </c>
      <c r="I236">
        <v>865</v>
      </c>
      <c r="J236">
        <v>3947</v>
      </c>
      <c r="K236">
        <v>4845</v>
      </c>
      <c r="L236">
        <v>77.14</v>
      </c>
      <c r="M236">
        <v>-4.29</v>
      </c>
      <c r="N236">
        <v>-28.01</v>
      </c>
      <c r="O236">
        <v>1.18</v>
      </c>
      <c r="P236" t="b">
        <v>1</v>
      </c>
      <c r="Q236">
        <v>0</v>
      </c>
      <c r="R236">
        <v>56</v>
      </c>
      <c r="U236" t="s">
        <v>1628</v>
      </c>
      <c r="V236" t="s">
        <v>2307</v>
      </c>
      <c r="W236">
        <v>0</v>
      </c>
      <c r="X236">
        <v>0</v>
      </c>
      <c r="Y236" t="s">
        <v>2962</v>
      </c>
      <c r="Z236">
        <v>-29.09593214077882</v>
      </c>
      <c r="AA236">
        <v>662</v>
      </c>
      <c r="AB236">
        <v>169407</v>
      </c>
      <c r="AC236" t="s">
        <v>3612</v>
      </c>
      <c r="AD236">
        <v>34.53</v>
      </c>
      <c r="AE236" t="s">
        <v>4291</v>
      </c>
      <c r="AF236" t="s">
        <v>4952</v>
      </c>
      <c r="AG236">
        <v>1130</v>
      </c>
      <c r="AH236">
        <v>52</v>
      </c>
      <c r="AI236">
        <v>1214007</v>
      </c>
      <c r="AJ236">
        <v>1.74</v>
      </c>
    </row>
    <row r="237" spans="1:36">
      <c r="A237" s="1" t="s">
        <v>271</v>
      </c>
      <c r="B237" t="s">
        <v>950</v>
      </c>
      <c r="C237">
        <f>HYPERLINK("https://finance.naver.com/item/coinfo.nhn?code=054800", "A054800")</f>
        <v>0</v>
      </c>
      <c r="D237">
        <f>HYPERLINK("http://comp.fnguide.com/SVO2/ASP/SVD_Consensus.asp?pGB=1&amp;gicode=A054800&amp;cID=&amp;MenuYn=Y&amp;ReportGB=&amp;NewMenuID=108&amp;stkGb=701", "아이디스홀딩스")</f>
        <v>0</v>
      </c>
      <c r="E237">
        <v>3</v>
      </c>
      <c r="F237">
        <v>13750</v>
      </c>
      <c r="G237">
        <v>0</v>
      </c>
      <c r="H237">
        <v>39.12</v>
      </c>
      <c r="I237">
        <v>7240</v>
      </c>
      <c r="J237">
        <v>16578</v>
      </c>
      <c r="K237">
        <v>19298</v>
      </c>
      <c r="L237">
        <v>47.35</v>
      </c>
      <c r="M237">
        <v>-20.57</v>
      </c>
      <c r="N237">
        <v>-40.35</v>
      </c>
      <c r="O237">
        <v>2.59</v>
      </c>
      <c r="P237" t="b">
        <v>1</v>
      </c>
      <c r="Q237">
        <v>0</v>
      </c>
      <c r="R237">
        <v>328</v>
      </c>
      <c r="U237" t="s">
        <v>1629</v>
      </c>
      <c r="V237" t="s">
        <v>2308</v>
      </c>
      <c r="W237">
        <v>0</v>
      </c>
      <c r="X237">
        <v>0</v>
      </c>
      <c r="Y237" t="s">
        <v>2963</v>
      </c>
      <c r="Z237">
        <v>13.23364370598734</v>
      </c>
      <c r="AA237">
        <v>1423</v>
      </c>
      <c r="AB237">
        <v>6325</v>
      </c>
      <c r="AC237" t="s">
        <v>3613</v>
      </c>
      <c r="AD237">
        <v>41.55</v>
      </c>
      <c r="AE237" t="s">
        <v>4292</v>
      </c>
      <c r="AF237" t="s">
        <v>4953</v>
      </c>
      <c r="AG237">
        <v>4322</v>
      </c>
      <c r="AH237">
        <v>154</v>
      </c>
      <c r="AI237">
        <v>1080164</v>
      </c>
      <c r="AJ237">
        <v>1.56</v>
      </c>
    </row>
    <row r="238" spans="1:36">
      <c r="A238" s="1" t="s">
        <v>272</v>
      </c>
      <c r="B238" t="s">
        <v>951</v>
      </c>
      <c r="C238">
        <f>HYPERLINK("https://finance.naver.com/item/coinfo.nhn?code=031310", "A031310")</f>
        <v>0</v>
      </c>
      <c r="D238">
        <f>HYPERLINK("http://comp.fnguide.com/SVO2/ASP/SVD_Consensus.asp?pGB=1&amp;gicode=A031310&amp;cID=&amp;MenuYn=Y&amp;ReportGB=&amp;NewMenuID=108&amp;stkGb=701", "아이즈비전")</f>
        <v>0</v>
      </c>
      <c r="E238">
        <v>3</v>
      </c>
      <c r="F238">
        <v>4750</v>
      </c>
      <c r="G238">
        <v>0</v>
      </c>
      <c r="H238">
        <v>4.95</v>
      </c>
      <c r="I238">
        <v>7365</v>
      </c>
      <c r="J238">
        <v>7270</v>
      </c>
      <c r="K238">
        <v>7242</v>
      </c>
      <c r="L238">
        <v>-55.06</v>
      </c>
      <c r="M238">
        <v>-53.05</v>
      </c>
      <c r="N238">
        <v>-52.46</v>
      </c>
      <c r="O238">
        <v>8.4</v>
      </c>
      <c r="P238" t="b">
        <v>1</v>
      </c>
      <c r="Q238">
        <v>0</v>
      </c>
      <c r="R238">
        <v>770</v>
      </c>
      <c r="U238" t="s">
        <v>1630</v>
      </c>
      <c r="V238" t="s">
        <v>2309</v>
      </c>
      <c r="W238">
        <v>0</v>
      </c>
      <c r="X238">
        <v>0</v>
      </c>
      <c r="Y238" t="s">
        <v>2964</v>
      </c>
      <c r="Z238">
        <v>90.59335527169354</v>
      </c>
      <c r="AA238">
        <v>749</v>
      </c>
      <c r="AB238">
        <v>192800</v>
      </c>
      <c r="AC238" t="s">
        <v>3614</v>
      </c>
      <c r="AD238">
        <v>18.84</v>
      </c>
      <c r="AE238" t="s">
        <v>4293</v>
      </c>
      <c r="AF238" t="s">
        <v>4954</v>
      </c>
      <c r="AG238">
        <v>1353</v>
      </c>
      <c r="AH238">
        <v>57</v>
      </c>
      <c r="AI238">
        <v>934659</v>
      </c>
    </row>
    <row r="239" spans="1:36">
      <c r="A239" s="1" t="s">
        <v>273</v>
      </c>
      <c r="B239" t="s">
        <v>952</v>
      </c>
      <c r="C239">
        <f>HYPERLINK("https://finance.naver.com/item/coinfo.nhn?code=032080", "A032080")</f>
        <v>0</v>
      </c>
      <c r="D239">
        <f>HYPERLINK("http://comp.fnguide.com/SVO2/ASP/SVD_Consensus.asp?pGB=1&amp;gicode=A032080&amp;cID=&amp;MenuYn=Y&amp;ReportGB=&amp;NewMenuID=108&amp;stkGb=701", "아즈텍WB")</f>
        <v>0</v>
      </c>
      <c r="E239">
        <v>3</v>
      </c>
      <c r="F239">
        <v>2915</v>
      </c>
      <c r="G239">
        <v>0</v>
      </c>
      <c r="H239">
        <v>10.8</v>
      </c>
      <c r="I239">
        <v>2394</v>
      </c>
      <c r="J239">
        <v>3762</v>
      </c>
      <c r="K239">
        <v>4161</v>
      </c>
      <c r="L239">
        <v>17.86</v>
      </c>
      <c r="M239">
        <v>-29.07</v>
      </c>
      <c r="N239">
        <v>-42.74</v>
      </c>
      <c r="O239">
        <v>4.19</v>
      </c>
      <c r="P239" t="b">
        <v>1</v>
      </c>
      <c r="Q239">
        <v>0</v>
      </c>
      <c r="R239">
        <v>169</v>
      </c>
      <c r="U239" t="s">
        <v>1631</v>
      </c>
      <c r="V239" t="s">
        <v>2310</v>
      </c>
      <c r="W239">
        <v>0</v>
      </c>
      <c r="X239">
        <v>-18.6</v>
      </c>
      <c r="Y239" t="s">
        <v>2965</v>
      </c>
      <c r="Z239">
        <v>-4.428704062338518</v>
      </c>
      <c r="AA239">
        <v>626</v>
      </c>
      <c r="AB239">
        <v>1246743</v>
      </c>
      <c r="AC239" t="s">
        <v>3615</v>
      </c>
      <c r="AD239">
        <v>42.59</v>
      </c>
      <c r="AE239" t="s">
        <v>4294</v>
      </c>
      <c r="AF239" t="s">
        <v>4955</v>
      </c>
      <c r="AG239">
        <v>360</v>
      </c>
      <c r="AH239">
        <v>-21</v>
      </c>
      <c r="AI239">
        <v>501000</v>
      </c>
      <c r="AJ239">
        <v>2.73</v>
      </c>
    </row>
    <row r="240" spans="1:36">
      <c r="A240" s="1" t="s">
        <v>274</v>
      </c>
      <c r="B240" t="s">
        <v>953</v>
      </c>
      <c r="C240">
        <f>HYPERLINK("https://finance.naver.com/item/coinfo.nhn?code=013310", "A013310")</f>
        <v>0</v>
      </c>
      <c r="D240">
        <f>HYPERLINK("http://comp.fnguide.com/SVO2/ASP/SVD_Consensus.asp?pGB=1&amp;gicode=A013310&amp;cID=&amp;MenuYn=Y&amp;ReportGB=&amp;NewMenuID=108&amp;stkGb=701", "아진산업")</f>
        <v>0</v>
      </c>
      <c r="E240">
        <v>3</v>
      </c>
      <c r="F240">
        <v>3520</v>
      </c>
      <c r="G240">
        <v>0</v>
      </c>
      <c r="I240">
        <v>1571</v>
      </c>
      <c r="J240">
        <v>3719</v>
      </c>
      <c r="K240">
        <v>4345</v>
      </c>
      <c r="L240">
        <v>55.36</v>
      </c>
      <c r="M240">
        <v>-5.66</v>
      </c>
      <c r="N240">
        <v>-23.44</v>
      </c>
      <c r="O240">
        <v>2.49</v>
      </c>
      <c r="P240" t="b">
        <v>0</v>
      </c>
      <c r="Q240">
        <v>0</v>
      </c>
      <c r="R240">
        <v>-35</v>
      </c>
      <c r="U240" t="s">
        <v>1632</v>
      </c>
      <c r="V240" t="s">
        <v>2311</v>
      </c>
      <c r="W240">
        <v>0</v>
      </c>
      <c r="X240">
        <v>0</v>
      </c>
      <c r="Y240" t="s">
        <v>2966</v>
      </c>
      <c r="Z240">
        <v>-37.9039453749274</v>
      </c>
      <c r="AA240">
        <v>1366</v>
      </c>
      <c r="AB240">
        <v>3231432</v>
      </c>
      <c r="AC240" t="s">
        <v>3616</v>
      </c>
      <c r="AD240">
        <v>30.81</v>
      </c>
      <c r="AE240" t="s">
        <v>4295</v>
      </c>
      <c r="AF240" t="s">
        <v>4956</v>
      </c>
      <c r="AG240">
        <v>4407</v>
      </c>
      <c r="AH240">
        <v>146</v>
      </c>
      <c r="AI240">
        <v>2640</v>
      </c>
    </row>
    <row r="241" spans="1:36">
      <c r="A241" s="1" t="s">
        <v>275</v>
      </c>
      <c r="B241" t="s">
        <v>954</v>
      </c>
      <c r="C241">
        <f>HYPERLINK("https://finance.naver.com/item/coinfo.nhn?code=052790", "A052790")</f>
        <v>0</v>
      </c>
      <c r="D241">
        <f>HYPERLINK("http://comp.fnguide.com/SVO2/ASP/SVD_Consensus.asp?pGB=1&amp;gicode=A052790&amp;cID=&amp;MenuYn=Y&amp;ReportGB=&amp;NewMenuID=108&amp;stkGb=701", "액토즈소프트")</f>
        <v>0</v>
      </c>
      <c r="E241">
        <v>3</v>
      </c>
      <c r="F241">
        <v>8600</v>
      </c>
      <c r="G241">
        <v>0</v>
      </c>
      <c r="H241">
        <v>6.87</v>
      </c>
      <c r="I241">
        <v>20853</v>
      </c>
      <c r="J241">
        <v>16693</v>
      </c>
      <c r="K241">
        <v>15482</v>
      </c>
      <c r="L241">
        <v>-142.48</v>
      </c>
      <c r="M241">
        <v>-94.11</v>
      </c>
      <c r="N241">
        <v>-80.02</v>
      </c>
      <c r="O241">
        <v>12.38</v>
      </c>
      <c r="P241" t="b">
        <v>1</v>
      </c>
      <c r="Q241">
        <v>0</v>
      </c>
      <c r="R241">
        <v>1376</v>
      </c>
      <c r="U241" t="s">
        <v>1633</v>
      </c>
      <c r="V241" t="s">
        <v>2312</v>
      </c>
      <c r="W241">
        <v>0</v>
      </c>
      <c r="X241">
        <v>-24.9</v>
      </c>
      <c r="Y241" t="s">
        <v>2967</v>
      </c>
      <c r="Z241">
        <v>-24.9</v>
      </c>
      <c r="AA241">
        <v>974</v>
      </c>
      <c r="AB241">
        <v>36752</v>
      </c>
      <c r="AC241" t="s">
        <v>3617</v>
      </c>
      <c r="AD241">
        <v>51.08</v>
      </c>
      <c r="AE241" t="s">
        <v>4296</v>
      </c>
      <c r="AF241" t="s">
        <v>4957</v>
      </c>
      <c r="AG241">
        <v>475</v>
      </c>
      <c r="AH241">
        <v>179</v>
      </c>
      <c r="AI241">
        <v>406091</v>
      </c>
    </row>
    <row r="242" spans="1:36">
      <c r="A242" s="1" t="s">
        <v>276</v>
      </c>
      <c r="B242" t="s">
        <v>955</v>
      </c>
      <c r="C242">
        <f>HYPERLINK("https://finance.naver.com/item/coinfo.nhn?code=030960", "A030960")</f>
        <v>0</v>
      </c>
      <c r="D242">
        <f>HYPERLINK("http://comp.fnguide.com/SVO2/ASP/SVD_Consensus.asp?pGB=1&amp;gicode=A030960&amp;cID=&amp;MenuYn=Y&amp;ReportGB=&amp;NewMenuID=108&amp;stkGb=701", "양지사")</f>
        <v>0</v>
      </c>
      <c r="E242">
        <v>3</v>
      </c>
      <c r="F242">
        <v>13200</v>
      </c>
      <c r="G242">
        <v>0</v>
      </c>
      <c r="H242">
        <v>1.28</v>
      </c>
      <c r="I242">
        <v>81601</v>
      </c>
      <c r="J242">
        <v>41301</v>
      </c>
      <c r="K242">
        <v>29563</v>
      </c>
      <c r="L242">
        <v>-518.1900000000001</v>
      </c>
      <c r="M242">
        <v>-212.89</v>
      </c>
      <c r="N242">
        <v>-123.96</v>
      </c>
      <c r="O242">
        <v>48.77</v>
      </c>
      <c r="P242" t="b">
        <v>1</v>
      </c>
      <c r="Q242">
        <v>0</v>
      </c>
      <c r="R242">
        <v>7553</v>
      </c>
      <c r="U242" t="s">
        <v>1634</v>
      </c>
      <c r="V242" t="s">
        <v>2313</v>
      </c>
      <c r="W242">
        <v>0</v>
      </c>
      <c r="X242">
        <v>-95.90000000000001</v>
      </c>
      <c r="Y242" t="s">
        <v>2968</v>
      </c>
      <c r="Z242">
        <v>11.7330467586956</v>
      </c>
      <c r="AA242">
        <v>2109</v>
      </c>
      <c r="AB242">
        <v>218297</v>
      </c>
      <c r="AC242" t="s">
        <v>3618</v>
      </c>
      <c r="AD242">
        <v>75.53</v>
      </c>
      <c r="AE242" t="s">
        <v>4297</v>
      </c>
      <c r="AF242" t="s">
        <v>4958</v>
      </c>
      <c r="AG242">
        <v>489</v>
      </c>
      <c r="AH242">
        <v>17</v>
      </c>
      <c r="AI242">
        <v>2243930</v>
      </c>
      <c r="AJ242">
        <v>0.52</v>
      </c>
    </row>
    <row r="243" spans="1:36">
      <c r="A243" s="1" t="s">
        <v>277</v>
      </c>
      <c r="B243" t="s">
        <v>956</v>
      </c>
      <c r="C243">
        <f>HYPERLINK("https://finance.naver.com/item/coinfo.nhn?code=042110", "A042110")</f>
        <v>0</v>
      </c>
      <c r="D243">
        <f>HYPERLINK("http://comp.fnguide.com/SVO2/ASP/SVD_Consensus.asp?pGB=1&amp;gicode=A042110&amp;cID=&amp;MenuYn=Y&amp;ReportGB=&amp;NewMenuID=108&amp;stkGb=701", "에스씨디")</f>
        <v>0</v>
      </c>
      <c r="E243">
        <v>3</v>
      </c>
      <c r="F243">
        <v>1820</v>
      </c>
      <c r="G243">
        <v>0</v>
      </c>
      <c r="H243">
        <v>21.63</v>
      </c>
      <c r="I243">
        <v>819</v>
      </c>
      <c r="J243">
        <v>1603</v>
      </c>
      <c r="K243">
        <v>1832</v>
      </c>
      <c r="L243">
        <v>55.02</v>
      </c>
      <c r="M243">
        <v>11.92</v>
      </c>
      <c r="N243">
        <v>-0.64</v>
      </c>
      <c r="O243">
        <v>3.15</v>
      </c>
      <c r="P243" t="b">
        <v>1</v>
      </c>
      <c r="Q243">
        <v>0</v>
      </c>
      <c r="R243">
        <v>78</v>
      </c>
      <c r="U243" t="s">
        <v>1635</v>
      </c>
      <c r="V243" t="s">
        <v>2314</v>
      </c>
      <c r="W243">
        <v>0</v>
      </c>
      <c r="X243">
        <v>0</v>
      </c>
      <c r="Y243" t="s">
        <v>2969</v>
      </c>
      <c r="Z243">
        <v>-12.27308616184509</v>
      </c>
      <c r="AA243">
        <v>880</v>
      </c>
      <c r="AB243">
        <v>1396521</v>
      </c>
      <c r="AC243" t="s">
        <v>3619</v>
      </c>
      <c r="AD243">
        <v>51.42</v>
      </c>
      <c r="AE243" t="s">
        <v>4298</v>
      </c>
      <c r="AF243" t="s">
        <v>4959</v>
      </c>
      <c r="AG243">
        <v>1908</v>
      </c>
      <c r="AH243">
        <v>52</v>
      </c>
      <c r="AJ243">
        <v>1.19</v>
      </c>
    </row>
    <row r="244" spans="1:36">
      <c r="A244" s="1" t="s">
        <v>278</v>
      </c>
      <c r="B244" t="s">
        <v>957</v>
      </c>
      <c r="C244">
        <f>HYPERLINK("https://finance.naver.com/item/coinfo.nhn?code=103230", "A103230")</f>
        <v>0</v>
      </c>
      <c r="D244">
        <f>HYPERLINK("http://comp.fnguide.com/SVO2/ASP/SVD_Consensus.asp?pGB=1&amp;gicode=A103230&amp;cID=&amp;MenuYn=Y&amp;ReportGB=&amp;NewMenuID=108&amp;stkGb=701", "에스앤더블류")</f>
        <v>0</v>
      </c>
      <c r="E244">
        <v>3</v>
      </c>
      <c r="F244">
        <v>2505</v>
      </c>
      <c r="G244">
        <v>0</v>
      </c>
      <c r="H244">
        <v>35.79</v>
      </c>
      <c r="I244">
        <v>531</v>
      </c>
      <c r="J244">
        <v>3499</v>
      </c>
      <c r="K244">
        <v>4363</v>
      </c>
      <c r="L244">
        <v>78.79000000000001</v>
      </c>
      <c r="M244">
        <v>-39.68</v>
      </c>
      <c r="N244">
        <v>-74.19</v>
      </c>
      <c r="O244">
        <v>0.79</v>
      </c>
      <c r="P244" t="b">
        <v>1</v>
      </c>
      <c r="Q244">
        <v>0</v>
      </c>
      <c r="R244">
        <v>87</v>
      </c>
      <c r="U244" t="s">
        <v>1636</v>
      </c>
      <c r="V244" t="s">
        <v>2315</v>
      </c>
      <c r="W244">
        <v>0</v>
      </c>
      <c r="X244">
        <v>0</v>
      </c>
      <c r="Y244" t="s">
        <v>2762</v>
      </c>
      <c r="Z244">
        <v>0</v>
      </c>
      <c r="AA244">
        <v>180</v>
      </c>
      <c r="AB244">
        <v>0</v>
      </c>
      <c r="AC244" t="s">
        <v>3620</v>
      </c>
      <c r="AD244">
        <v>50.57</v>
      </c>
      <c r="AE244" t="s">
        <v>4299</v>
      </c>
      <c r="AF244" t="s">
        <v>4960</v>
      </c>
      <c r="AG244">
        <v>335</v>
      </c>
      <c r="AH244">
        <v>-9</v>
      </c>
    </row>
    <row r="245" spans="1:36">
      <c r="A245" s="1" t="s">
        <v>279</v>
      </c>
      <c r="B245" t="s">
        <v>958</v>
      </c>
      <c r="C245">
        <f>HYPERLINK("https://finance.naver.com/item/coinfo.nhn?code=115570", "A115570")</f>
        <v>0</v>
      </c>
      <c r="D245">
        <f>HYPERLINK("http://comp.fnguide.com/SVO2/ASP/SVD_Consensus.asp?pGB=1&amp;gicode=A115570&amp;cID=&amp;MenuYn=Y&amp;ReportGB=&amp;NewMenuID=108&amp;stkGb=701", "스타플렉스")</f>
        <v>0</v>
      </c>
      <c r="E245">
        <v>3</v>
      </c>
      <c r="F245">
        <v>5390</v>
      </c>
      <c r="G245">
        <v>0</v>
      </c>
      <c r="I245">
        <v>1318</v>
      </c>
      <c r="J245">
        <v>5461</v>
      </c>
      <c r="K245">
        <v>6668</v>
      </c>
      <c r="L245">
        <v>75.54000000000001</v>
      </c>
      <c r="M245">
        <v>-1.32</v>
      </c>
      <c r="N245">
        <v>-23.71</v>
      </c>
      <c r="O245">
        <v>1.31</v>
      </c>
      <c r="P245" t="b">
        <v>0</v>
      </c>
      <c r="Q245">
        <v>0</v>
      </c>
      <c r="R245">
        <v>-890</v>
      </c>
      <c r="U245" t="s">
        <v>1637</v>
      </c>
      <c r="V245" t="s">
        <v>2316</v>
      </c>
      <c r="W245">
        <v>0</v>
      </c>
      <c r="X245">
        <v>0</v>
      </c>
      <c r="Y245" t="s">
        <v>2762</v>
      </c>
      <c r="Z245">
        <v>0</v>
      </c>
      <c r="AA245">
        <v>424</v>
      </c>
      <c r="AB245">
        <v>52659</v>
      </c>
      <c r="AC245" t="s">
        <v>3621</v>
      </c>
      <c r="AD245">
        <v>51.24</v>
      </c>
      <c r="AE245" t="s">
        <v>4300</v>
      </c>
      <c r="AF245" t="s">
        <v>4961</v>
      </c>
      <c r="AG245">
        <v>681</v>
      </c>
      <c r="AH245">
        <v>-44</v>
      </c>
      <c r="AI245">
        <v>94490</v>
      </c>
    </row>
    <row r="246" spans="1:36">
      <c r="A246" s="1" t="s">
        <v>280</v>
      </c>
      <c r="B246" t="s">
        <v>959</v>
      </c>
      <c r="C246">
        <f>HYPERLINK("https://finance.naver.com/item/coinfo.nhn?code=099440", "A099440")</f>
        <v>0</v>
      </c>
      <c r="D246">
        <f>HYPERLINK("http://comp.fnguide.com/SVO2/ASP/SVD_Consensus.asp?pGB=1&amp;gicode=A099440&amp;cID=&amp;MenuYn=Y&amp;ReportGB=&amp;NewMenuID=108&amp;stkGb=701", "스맥")</f>
        <v>0</v>
      </c>
      <c r="E246">
        <v>3</v>
      </c>
      <c r="F246">
        <v>1760</v>
      </c>
      <c r="G246">
        <v>0</v>
      </c>
      <c r="I246">
        <v>0</v>
      </c>
      <c r="J246">
        <v>1595</v>
      </c>
      <c r="K246">
        <v>2060</v>
      </c>
      <c r="L246">
        <v>100</v>
      </c>
      <c r="M246">
        <v>9.359999999999999</v>
      </c>
      <c r="N246">
        <v>-17.04</v>
      </c>
      <c r="O246">
        <v>0</v>
      </c>
      <c r="P246" t="b">
        <v>0</v>
      </c>
      <c r="Q246">
        <v>0</v>
      </c>
      <c r="R246">
        <v>-972</v>
      </c>
      <c r="U246" t="s">
        <v>1638</v>
      </c>
      <c r="V246" t="s">
        <v>2317</v>
      </c>
      <c r="W246">
        <v>0</v>
      </c>
      <c r="X246">
        <v>0</v>
      </c>
      <c r="Y246" t="s">
        <v>2970</v>
      </c>
      <c r="Z246">
        <v>-70.72680406925134</v>
      </c>
      <c r="AA246">
        <v>541</v>
      </c>
      <c r="AB246">
        <v>78124</v>
      </c>
      <c r="AC246" t="s">
        <v>3622</v>
      </c>
      <c r="AD246">
        <v>15.33</v>
      </c>
      <c r="AE246" t="s">
        <v>4301</v>
      </c>
      <c r="AF246" t="s">
        <v>4741</v>
      </c>
      <c r="AG246">
        <v>1137</v>
      </c>
      <c r="AH246">
        <v>-181</v>
      </c>
      <c r="AI246">
        <v>2957902</v>
      </c>
    </row>
    <row r="247" spans="1:36">
      <c r="A247" s="1" t="s">
        <v>281</v>
      </c>
      <c r="B247" t="s">
        <v>960</v>
      </c>
      <c r="C247">
        <f>HYPERLINK("https://finance.naver.com/item/coinfo.nhn?code=900110", "A900110")</f>
        <v>0</v>
      </c>
      <c r="D247">
        <f>HYPERLINK("http://comp.fnguide.com/SVO2/ASP/SVD_Consensus.asp?pGB=1&amp;gicode=A900110&amp;cID=&amp;MenuYn=Y&amp;ReportGB=&amp;NewMenuID=108&amp;stkGb=701", "이스트아시아홀딩스")</f>
        <v>0</v>
      </c>
      <c r="E247">
        <v>3</v>
      </c>
      <c r="F247">
        <v>212</v>
      </c>
      <c r="G247">
        <v>0</v>
      </c>
      <c r="I247">
        <v>155</v>
      </c>
      <c r="J247">
        <v>967</v>
      </c>
      <c r="K247">
        <v>1203</v>
      </c>
      <c r="L247">
        <v>26.8</v>
      </c>
      <c r="M247">
        <v>-356.01</v>
      </c>
      <c r="N247">
        <v>-467.52</v>
      </c>
      <c r="O247">
        <v>0.84</v>
      </c>
      <c r="P247" t="b">
        <v>0</v>
      </c>
      <c r="Q247">
        <v>0</v>
      </c>
      <c r="R247">
        <v>-7</v>
      </c>
      <c r="U247" t="s">
        <v>1639</v>
      </c>
      <c r="V247" t="s">
        <v>2318</v>
      </c>
      <c r="W247">
        <v>0</v>
      </c>
      <c r="X247">
        <v>0</v>
      </c>
      <c r="Y247" t="s">
        <v>2971</v>
      </c>
      <c r="Z247">
        <v>0.237418163079206</v>
      </c>
      <c r="AA247">
        <v>290</v>
      </c>
      <c r="AB247">
        <v>996594</v>
      </c>
      <c r="AC247" t="s">
        <v>3623</v>
      </c>
      <c r="AD247">
        <v>21.98</v>
      </c>
      <c r="AE247" t="s">
        <v>4302</v>
      </c>
      <c r="AF247" t="s">
        <v>4962</v>
      </c>
      <c r="AG247">
        <v>375</v>
      </c>
      <c r="AH247">
        <v>4</v>
      </c>
    </row>
    <row r="248" spans="1:36">
      <c r="A248" s="1" t="s">
        <v>282</v>
      </c>
      <c r="B248" t="s">
        <v>961</v>
      </c>
      <c r="C248">
        <f>HYPERLINK("https://finance.naver.com/item/coinfo.nhn?code=192440", "A192440")</f>
        <v>0</v>
      </c>
      <c r="D248">
        <f>HYPERLINK("http://comp.fnguide.com/SVO2/ASP/SVD_Consensus.asp?pGB=1&amp;gicode=A192440&amp;cID=&amp;MenuYn=Y&amp;ReportGB=&amp;NewMenuID=108&amp;stkGb=701", "슈피겐코리아")</f>
        <v>0</v>
      </c>
      <c r="E248">
        <v>3</v>
      </c>
      <c r="F248">
        <v>60100</v>
      </c>
      <c r="G248">
        <v>0.8</v>
      </c>
      <c r="H248">
        <v>7.57</v>
      </c>
      <c r="I248">
        <v>110293</v>
      </c>
      <c r="J248">
        <v>77881</v>
      </c>
      <c r="K248">
        <v>68439</v>
      </c>
      <c r="L248">
        <v>-83.52</v>
      </c>
      <c r="M248">
        <v>-29.59</v>
      </c>
      <c r="N248">
        <v>-13.88</v>
      </c>
      <c r="O248">
        <v>16.27</v>
      </c>
      <c r="P248" t="b">
        <v>1</v>
      </c>
      <c r="Q248">
        <v>2</v>
      </c>
      <c r="R248">
        <v>8603</v>
      </c>
      <c r="S248">
        <v>9008</v>
      </c>
      <c r="T248">
        <v>4.7</v>
      </c>
      <c r="U248" t="s">
        <v>1640</v>
      </c>
      <c r="V248" t="s">
        <v>2319</v>
      </c>
      <c r="W248">
        <v>9.473080265624812</v>
      </c>
      <c r="X248">
        <v>32.6</v>
      </c>
      <c r="Y248" t="s">
        <v>2972</v>
      </c>
      <c r="Z248">
        <v>7.494817325492953</v>
      </c>
      <c r="AA248">
        <v>3736</v>
      </c>
      <c r="AB248">
        <v>28980</v>
      </c>
      <c r="AC248" t="s">
        <v>3624</v>
      </c>
      <c r="AD248">
        <v>40.99</v>
      </c>
      <c r="AE248" t="s">
        <v>4303</v>
      </c>
      <c r="AF248" t="s">
        <v>4963</v>
      </c>
      <c r="AG248">
        <v>4033</v>
      </c>
      <c r="AH248">
        <v>797</v>
      </c>
      <c r="AI248">
        <v>186531</v>
      </c>
      <c r="AJ248">
        <v>1.84</v>
      </c>
    </row>
    <row r="249" spans="1:36">
      <c r="A249" s="1" t="s">
        <v>283</v>
      </c>
      <c r="B249" t="s">
        <v>962</v>
      </c>
      <c r="C249">
        <f>HYPERLINK("https://finance.naver.com/item/coinfo.nhn?code=011370", "A011370")</f>
        <v>0</v>
      </c>
      <c r="D249">
        <f>HYPERLINK("http://comp.fnguide.com/SVO2/ASP/SVD_Consensus.asp?pGB=1&amp;gicode=A011370&amp;cID=&amp;MenuYn=Y&amp;ReportGB=&amp;NewMenuID=108&amp;stkGb=701", "서한")</f>
        <v>0</v>
      </c>
      <c r="E249">
        <v>3</v>
      </c>
      <c r="F249">
        <v>1765</v>
      </c>
      <c r="G249">
        <v>0</v>
      </c>
      <c r="H249">
        <v>8.33</v>
      </c>
      <c r="I249">
        <v>2462</v>
      </c>
      <c r="J249">
        <v>2871</v>
      </c>
      <c r="K249">
        <v>2990</v>
      </c>
      <c r="L249">
        <v>-39.49</v>
      </c>
      <c r="M249">
        <v>-62.64</v>
      </c>
      <c r="N249">
        <v>-69.38</v>
      </c>
      <c r="O249">
        <v>6.42</v>
      </c>
      <c r="P249" t="b">
        <v>0</v>
      </c>
      <c r="Q249">
        <v>0</v>
      </c>
      <c r="R249">
        <v>180</v>
      </c>
      <c r="U249" t="s">
        <v>1641</v>
      </c>
      <c r="V249" t="s">
        <v>2320</v>
      </c>
      <c r="W249">
        <v>0</v>
      </c>
      <c r="X249">
        <v>84.5</v>
      </c>
      <c r="Y249" t="s">
        <v>2973</v>
      </c>
      <c r="Z249">
        <v>-10.82705031703923</v>
      </c>
      <c r="AA249">
        <v>1781</v>
      </c>
      <c r="AB249">
        <v>1749933</v>
      </c>
      <c r="AC249" t="s">
        <v>3625</v>
      </c>
      <c r="AD249">
        <v>11.26</v>
      </c>
      <c r="AE249" t="s">
        <v>4304</v>
      </c>
      <c r="AF249" t="s">
        <v>4964</v>
      </c>
      <c r="AG249">
        <v>4852</v>
      </c>
      <c r="AH249">
        <v>285</v>
      </c>
      <c r="AJ249">
        <v>2.67</v>
      </c>
    </row>
    <row r="250" spans="1:36">
      <c r="A250" s="1" t="s">
        <v>284</v>
      </c>
      <c r="B250" t="s">
        <v>963</v>
      </c>
      <c r="C250">
        <f>HYPERLINK("https://finance.naver.com/item/coinfo.nhn?code=035890", "A035890")</f>
        <v>0</v>
      </c>
      <c r="D250">
        <f>HYPERLINK("http://comp.fnguide.com/SVO2/ASP/SVD_Consensus.asp?pGB=1&amp;gicode=A035890&amp;cID=&amp;MenuYn=Y&amp;ReportGB=&amp;NewMenuID=108&amp;stkGb=701", "서희건설")</f>
        <v>0</v>
      </c>
      <c r="E250">
        <v>3</v>
      </c>
      <c r="F250">
        <v>2060</v>
      </c>
      <c r="G250">
        <v>0.06</v>
      </c>
      <c r="H250">
        <v>2.84</v>
      </c>
      <c r="I250">
        <v>6401</v>
      </c>
      <c r="J250">
        <v>4000</v>
      </c>
      <c r="K250">
        <v>3300</v>
      </c>
      <c r="L250">
        <v>-210.74</v>
      </c>
      <c r="M250">
        <v>-94.16</v>
      </c>
      <c r="N250">
        <v>-60.2</v>
      </c>
      <c r="O250">
        <v>22.31</v>
      </c>
      <c r="P250" t="b">
        <v>1</v>
      </c>
      <c r="Q250">
        <v>3</v>
      </c>
      <c r="R250">
        <v>539</v>
      </c>
      <c r="S250">
        <v>635</v>
      </c>
      <c r="T250">
        <v>17.8</v>
      </c>
      <c r="U250" t="s">
        <v>1642</v>
      </c>
      <c r="V250" t="s">
        <v>2321</v>
      </c>
      <c r="W250">
        <v>46.46153548374943</v>
      </c>
      <c r="X250">
        <v>83.5</v>
      </c>
      <c r="Y250" t="s">
        <v>2974</v>
      </c>
      <c r="Z250">
        <v>48.83626987787675</v>
      </c>
      <c r="AA250">
        <v>4734</v>
      </c>
      <c r="AB250">
        <v>2133924</v>
      </c>
      <c r="AC250" t="s">
        <v>3626</v>
      </c>
      <c r="AD250">
        <v>54.12</v>
      </c>
      <c r="AE250" t="s">
        <v>4305</v>
      </c>
      <c r="AF250" t="s">
        <v>4965</v>
      </c>
      <c r="AG250">
        <v>12783</v>
      </c>
      <c r="AH250">
        <v>1744</v>
      </c>
      <c r="AI250">
        <v>9575559</v>
      </c>
      <c r="AJ250">
        <v>2.61</v>
      </c>
    </row>
    <row r="251" spans="1:36">
      <c r="A251" s="1" t="s">
        <v>285</v>
      </c>
      <c r="B251" t="s">
        <v>964</v>
      </c>
      <c r="C251">
        <f>HYPERLINK("https://finance.naver.com/item/coinfo.nhn?code=003100", "A003100")</f>
        <v>0</v>
      </c>
      <c r="D251">
        <f>HYPERLINK("http://comp.fnguide.com/SVO2/ASP/SVD_Consensus.asp?pGB=1&amp;gicode=A003100&amp;cID=&amp;MenuYn=Y&amp;ReportGB=&amp;NewMenuID=108&amp;stkGb=701", "선광")</f>
        <v>0</v>
      </c>
      <c r="E251">
        <v>3</v>
      </c>
      <c r="F251">
        <v>39850</v>
      </c>
      <c r="G251">
        <v>0</v>
      </c>
      <c r="H251">
        <v>26.21</v>
      </c>
      <c r="I251">
        <v>12640</v>
      </c>
      <c r="J251">
        <v>36352</v>
      </c>
      <c r="K251">
        <v>43259</v>
      </c>
      <c r="L251">
        <v>68.28</v>
      </c>
      <c r="M251">
        <v>8.779999999999999</v>
      </c>
      <c r="N251">
        <v>-8.56</v>
      </c>
      <c r="O251">
        <v>1.98</v>
      </c>
      <c r="P251" t="b">
        <v>0</v>
      </c>
      <c r="Q251">
        <v>0</v>
      </c>
      <c r="R251">
        <v>1028</v>
      </c>
      <c r="U251" t="s">
        <v>1643</v>
      </c>
      <c r="V251" t="s">
        <v>2322</v>
      </c>
      <c r="W251">
        <v>0</v>
      </c>
      <c r="X251">
        <v>161</v>
      </c>
      <c r="Y251" t="s">
        <v>2975</v>
      </c>
      <c r="Z251">
        <v>4.564694989959373</v>
      </c>
      <c r="AA251">
        <v>2630</v>
      </c>
      <c r="AB251">
        <v>11861</v>
      </c>
      <c r="AC251" t="s">
        <v>3627</v>
      </c>
      <c r="AD251">
        <v>52.5</v>
      </c>
      <c r="AE251" t="s">
        <v>4306</v>
      </c>
      <c r="AF251" t="s">
        <v>4966</v>
      </c>
      <c r="AG251">
        <v>1517</v>
      </c>
      <c r="AH251">
        <v>286</v>
      </c>
      <c r="AI251">
        <v>825910</v>
      </c>
      <c r="AJ251">
        <v>1.3</v>
      </c>
    </row>
    <row r="252" spans="1:36">
      <c r="A252" s="1" t="s">
        <v>286</v>
      </c>
      <c r="B252" t="s">
        <v>965</v>
      </c>
      <c r="C252">
        <f>HYPERLINK("https://finance.naver.com/item/coinfo.nhn?code=014620", "A014620")</f>
        <v>0</v>
      </c>
      <c r="D252">
        <f>HYPERLINK("http://comp.fnguide.com/SVO2/ASP/SVD_Consensus.asp?pGB=1&amp;gicode=A014620&amp;cID=&amp;MenuYn=Y&amp;ReportGB=&amp;NewMenuID=108&amp;stkGb=701", "성광벤드")</f>
        <v>0</v>
      </c>
      <c r="E252">
        <v>3</v>
      </c>
      <c r="F252">
        <v>10050</v>
      </c>
      <c r="G252">
        <v>0</v>
      </c>
      <c r="I252">
        <v>895</v>
      </c>
      <c r="J252">
        <v>9661</v>
      </c>
      <c r="K252">
        <v>12215</v>
      </c>
      <c r="L252">
        <v>91.09</v>
      </c>
      <c r="M252">
        <v>3.87</v>
      </c>
      <c r="N252">
        <v>-21.54</v>
      </c>
      <c r="O252">
        <v>0.47</v>
      </c>
      <c r="P252" t="b">
        <v>0</v>
      </c>
      <c r="Q252">
        <v>1</v>
      </c>
      <c r="R252">
        <v>-49</v>
      </c>
      <c r="S252">
        <v>106</v>
      </c>
      <c r="T252">
        <v>-316.3</v>
      </c>
      <c r="U252" t="s">
        <v>1644</v>
      </c>
      <c r="V252" t="s">
        <v>2323</v>
      </c>
      <c r="W252">
        <v>0</v>
      </c>
      <c r="X252">
        <v>0</v>
      </c>
      <c r="Y252" t="s">
        <v>2976</v>
      </c>
      <c r="Z252">
        <v>-76.59999999999999</v>
      </c>
      <c r="AA252">
        <v>2874</v>
      </c>
      <c r="AB252">
        <v>435844</v>
      </c>
      <c r="AC252" t="s">
        <v>3628</v>
      </c>
      <c r="AD252">
        <v>41.08</v>
      </c>
      <c r="AE252" t="s">
        <v>4307</v>
      </c>
      <c r="AF252" t="s">
        <v>4967</v>
      </c>
      <c r="AG252">
        <v>1808</v>
      </c>
      <c r="AH252">
        <v>11</v>
      </c>
      <c r="AI252">
        <v>671453</v>
      </c>
      <c r="AJ252">
        <v>1.37</v>
      </c>
    </row>
    <row r="253" spans="1:36">
      <c r="A253" s="1" t="s">
        <v>287</v>
      </c>
      <c r="B253" t="s">
        <v>966</v>
      </c>
      <c r="C253">
        <f>HYPERLINK("https://finance.naver.com/item/coinfo.nhn?code=037350", "A037350")</f>
        <v>0</v>
      </c>
      <c r="D253">
        <f>HYPERLINK("http://comp.fnguide.com/SVO2/ASP/SVD_Consensus.asp?pGB=1&amp;gicode=A037350&amp;cID=&amp;MenuYn=Y&amp;ReportGB=&amp;NewMenuID=108&amp;stkGb=701", "성도이엔지")</f>
        <v>0</v>
      </c>
      <c r="E253">
        <v>3</v>
      </c>
      <c r="F253">
        <v>6240</v>
      </c>
      <c r="G253">
        <v>0</v>
      </c>
      <c r="H253">
        <v>0.79</v>
      </c>
      <c r="I253">
        <v>49821</v>
      </c>
      <c r="J253">
        <v>29668</v>
      </c>
      <c r="K253">
        <v>23797</v>
      </c>
      <c r="L253">
        <v>-698.41</v>
      </c>
      <c r="M253">
        <v>-375.44</v>
      </c>
      <c r="N253">
        <v>-281.37</v>
      </c>
      <c r="O253">
        <v>25.77</v>
      </c>
      <c r="P253" t="b">
        <v>1</v>
      </c>
      <c r="Q253">
        <v>0</v>
      </c>
      <c r="R253">
        <v>5770</v>
      </c>
      <c r="U253" t="s">
        <v>1645</v>
      </c>
      <c r="V253" t="s">
        <v>2324</v>
      </c>
      <c r="W253">
        <v>0</v>
      </c>
      <c r="X253">
        <v>0</v>
      </c>
      <c r="Y253" t="s">
        <v>2977</v>
      </c>
      <c r="Z253">
        <v>28.9612123033973</v>
      </c>
      <c r="AA253">
        <v>965</v>
      </c>
      <c r="AB253">
        <v>145221</v>
      </c>
      <c r="AC253" t="s">
        <v>3629</v>
      </c>
      <c r="AD253">
        <v>36.54</v>
      </c>
      <c r="AE253" t="s">
        <v>4308</v>
      </c>
      <c r="AF253" t="s">
        <v>4968</v>
      </c>
      <c r="AG253">
        <v>5375</v>
      </c>
      <c r="AH253">
        <v>192</v>
      </c>
      <c r="AI253">
        <v>1065277</v>
      </c>
      <c r="AJ253">
        <v>4.42</v>
      </c>
    </row>
    <row r="254" spans="1:36">
      <c r="A254" s="1" t="s">
        <v>288</v>
      </c>
      <c r="B254" t="s">
        <v>967</v>
      </c>
      <c r="C254">
        <f>HYPERLINK("https://finance.naver.com/item/coinfo.nhn?code=081580", "A081580")</f>
        <v>0</v>
      </c>
      <c r="D254">
        <f>HYPERLINK("http://comp.fnguide.com/SVO2/ASP/SVD_Consensus.asp?pGB=1&amp;gicode=A081580&amp;cID=&amp;MenuYn=Y&amp;ReportGB=&amp;NewMenuID=108&amp;stkGb=701", "성우전자")</f>
        <v>0</v>
      </c>
      <c r="E254">
        <v>3</v>
      </c>
      <c r="F254">
        <v>3225</v>
      </c>
      <c r="G254">
        <v>0</v>
      </c>
      <c r="I254">
        <v>1035</v>
      </c>
      <c r="J254">
        <v>4225</v>
      </c>
      <c r="K254">
        <v>5154</v>
      </c>
      <c r="L254">
        <v>67.90000000000001</v>
      </c>
      <c r="M254">
        <v>-31.01</v>
      </c>
      <c r="N254">
        <v>-59.83</v>
      </c>
      <c r="O254">
        <v>1.33</v>
      </c>
      <c r="P254" t="b">
        <v>0</v>
      </c>
      <c r="Q254">
        <v>0</v>
      </c>
      <c r="R254">
        <v>-230</v>
      </c>
      <c r="U254" t="s">
        <v>1646</v>
      </c>
      <c r="V254" t="s">
        <v>2325</v>
      </c>
      <c r="W254">
        <v>0</v>
      </c>
      <c r="X254">
        <v>0</v>
      </c>
      <c r="Y254" t="s">
        <v>2978</v>
      </c>
      <c r="Z254">
        <v>-9.592158934499739</v>
      </c>
      <c r="AA254">
        <v>500</v>
      </c>
      <c r="AB254">
        <v>40220</v>
      </c>
      <c r="AC254" t="s">
        <v>3630</v>
      </c>
      <c r="AD254">
        <v>41.47</v>
      </c>
      <c r="AE254" t="s">
        <v>4309</v>
      </c>
      <c r="AF254" t="s">
        <v>4969</v>
      </c>
      <c r="AG254">
        <v>1138</v>
      </c>
      <c r="AH254">
        <v>-47</v>
      </c>
      <c r="AI254">
        <v>303444</v>
      </c>
    </row>
    <row r="255" spans="1:36">
      <c r="A255" s="1" t="s">
        <v>289</v>
      </c>
      <c r="B255" t="s">
        <v>968</v>
      </c>
      <c r="C255">
        <f>HYPERLINK("https://finance.naver.com/item/coinfo.nhn?code=045300", "A045300")</f>
        <v>0</v>
      </c>
      <c r="D255">
        <f>HYPERLINK("http://comp.fnguide.com/SVO2/ASP/SVD_Consensus.asp?pGB=1&amp;gicode=A045300&amp;cID=&amp;MenuYn=Y&amp;ReportGB=&amp;NewMenuID=108&amp;stkGb=701", "성우테크론")</f>
        <v>0</v>
      </c>
      <c r="E255">
        <v>3</v>
      </c>
      <c r="F255">
        <v>5610</v>
      </c>
      <c r="G255">
        <v>0</v>
      </c>
      <c r="H255">
        <v>11.89</v>
      </c>
      <c r="I255">
        <v>6230</v>
      </c>
      <c r="J255">
        <v>5978</v>
      </c>
      <c r="K255">
        <v>5904</v>
      </c>
      <c r="L255">
        <v>-11.05</v>
      </c>
      <c r="M255">
        <v>-6.55</v>
      </c>
      <c r="N255">
        <v>-5.24</v>
      </c>
      <c r="O255">
        <v>8.82</v>
      </c>
      <c r="P255" t="b">
        <v>1</v>
      </c>
      <c r="Q255">
        <v>0</v>
      </c>
      <c r="R255">
        <v>399</v>
      </c>
      <c r="U255" t="s">
        <v>1647</v>
      </c>
      <c r="V255" t="s">
        <v>2326</v>
      </c>
      <c r="W255">
        <v>0</v>
      </c>
      <c r="X255">
        <v>-15.5</v>
      </c>
      <c r="Y255" t="s">
        <v>2979</v>
      </c>
      <c r="Z255">
        <v>194.5706676134375</v>
      </c>
      <c r="AA255">
        <v>538</v>
      </c>
      <c r="AB255">
        <v>107572</v>
      </c>
      <c r="AC255" t="s">
        <v>3631</v>
      </c>
      <c r="AD255">
        <v>42</v>
      </c>
      <c r="AE255" t="s">
        <v>4310</v>
      </c>
      <c r="AF255" t="s">
        <v>4970</v>
      </c>
      <c r="AG255">
        <v>379</v>
      </c>
      <c r="AH255">
        <v>43</v>
      </c>
      <c r="AI255">
        <v>353222</v>
      </c>
      <c r="AJ255">
        <v>0.83</v>
      </c>
    </row>
    <row r="256" spans="1:36">
      <c r="A256" s="1" t="s">
        <v>290</v>
      </c>
      <c r="B256" t="s">
        <v>969</v>
      </c>
      <c r="C256">
        <f>HYPERLINK("https://finance.naver.com/item/coinfo.nhn?code=015750", "A015750")</f>
        <v>0</v>
      </c>
      <c r="D256">
        <f>HYPERLINK("http://comp.fnguide.com/SVO2/ASP/SVD_Consensus.asp?pGB=1&amp;gicode=A015750&amp;cID=&amp;MenuYn=Y&amp;ReportGB=&amp;NewMenuID=108&amp;stkGb=701", "성우하이텍")</f>
        <v>0</v>
      </c>
      <c r="E256">
        <v>3</v>
      </c>
      <c r="F256">
        <v>5940</v>
      </c>
      <c r="G256">
        <v>0</v>
      </c>
      <c r="I256">
        <v>2553</v>
      </c>
      <c r="J256">
        <v>8667</v>
      </c>
      <c r="K256">
        <v>10448</v>
      </c>
      <c r="L256">
        <v>57.03</v>
      </c>
      <c r="M256">
        <v>-45.9</v>
      </c>
      <c r="N256">
        <v>-75.89</v>
      </c>
      <c r="O256">
        <v>1.63</v>
      </c>
      <c r="P256" t="b">
        <v>0</v>
      </c>
      <c r="Q256">
        <v>0</v>
      </c>
      <c r="R256">
        <v>-651</v>
      </c>
      <c r="U256" t="s">
        <v>1648</v>
      </c>
      <c r="V256" t="s">
        <v>2327</v>
      </c>
      <c r="W256">
        <v>0</v>
      </c>
      <c r="X256">
        <v>0</v>
      </c>
      <c r="Y256" t="s">
        <v>2980</v>
      </c>
      <c r="Z256">
        <v>0.5590365170600409</v>
      </c>
      <c r="AA256">
        <v>4752</v>
      </c>
      <c r="AB256">
        <v>1244459</v>
      </c>
      <c r="AC256" t="s">
        <v>3632</v>
      </c>
      <c r="AD256">
        <v>44.87</v>
      </c>
      <c r="AE256" t="s">
        <v>4311</v>
      </c>
      <c r="AF256" t="s">
        <v>4971</v>
      </c>
      <c r="AG256">
        <v>29703</v>
      </c>
      <c r="AH256">
        <v>53</v>
      </c>
      <c r="AI256">
        <v>8407</v>
      </c>
      <c r="AJ256">
        <v>0.88</v>
      </c>
    </row>
    <row r="257" spans="1:36">
      <c r="A257" s="1" t="s">
        <v>291</v>
      </c>
      <c r="B257" t="s">
        <v>970</v>
      </c>
      <c r="C257">
        <f>HYPERLINK("https://finance.naver.com/item/coinfo.nhn?code=011560", "A011560")</f>
        <v>0</v>
      </c>
      <c r="D257">
        <f>HYPERLINK("http://comp.fnguide.com/SVO2/ASP/SVD_Consensus.asp?pGB=1&amp;gicode=A011560&amp;cID=&amp;MenuYn=Y&amp;ReportGB=&amp;NewMenuID=108&amp;stkGb=701", "세보엠이씨")</f>
        <v>0</v>
      </c>
      <c r="E257">
        <v>3</v>
      </c>
      <c r="F257">
        <v>7330</v>
      </c>
      <c r="G257">
        <v>0</v>
      </c>
      <c r="H257">
        <v>9.17</v>
      </c>
      <c r="I257">
        <v>8841</v>
      </c>
      <c r="J257">
        <v>12780</v>
      </c>
      <c r="K257">
        <v>13927</v>
      </c>
      <c r="L257">
        <v>-20.61</v>
      </c>
      <c r="M257">
        <v>-74.34999999999999</v>
      </c>
      <c r="N257">
        <v>-90.01000000000001</v>
      </c>
      <c r="O257">
        <v>4.7</v>
      </c>
      <c r="P257" t="b">
        <v>0</v>
      </c>
      <c r="Q257">
        <v>0</v>
      </c>
      <c r="R257">
        <v>658</v>
      </c>
      <c r="U257" t="s">
        <v>1649</v>
      </c>
      <c r="V257" t="s">
        <v>2328</v>
      </c>
      <c r="W257">
        <v>0</v>
      </c>
      <c r="X257">
        <v>0</v>
      </c>
      <c r="Y257" t="s">
        <v>2981</v>
      </c>
      <c r="Z257">
        <v>17.78048627396038</v>
      </c>
      <c r="AA257">
        <v>772</v>
      </c>
      <c r="AB257">
        <v>49701</v>
      </c>
      <c r="AC257" t="s">
        <v>3633</v>
      </c>
      <c r="AD257">
        <v>47.47</v>
      </c>
      <c r="AE257" t="s">
        <v>4312</v>
      </c>
      <c r="AF257" t="s">
        <v>4972</v>
      </c>
      <c r="AG257">
        <v>6412</v>
      </c>
      <c r="AH257">
        <v>71</v>
      </c>
      <c r="AI257">
        <v>525432</v>
      </c>
      <c r="AJ257">
        <v>3.31</v>
      </c>
    </row>
    <row r="258" spans="1:36">
      <c r="A258" s="1" t="s">
        <v>292</v>
      </c>
      <c r="B258" t="s">
        <v>971</v>
      </c>
      <c r="C258">
        <f>HYPERLINK("https://finance.naver.com/item/coinfo.nhn?code=024830", "A024830")</f>
        <v>0</v>
      </c>
      <c r="D258">
        <f>HYPERLINK("http://comp.fnguide.com/SVO2/ASP/SVD_Consensus.asp?pGB=1&amp;gicode=A024830&amp;cID=&amp;MenuYn=Y&amp;ReportGB=&amp;NewMenuID=108&amp;stkGb=701", "세원물산")</f>
        <v>0</v>
      </c>
      <c r="E258">
        <v>3</v>
      </c>
      <c r="F258">
        <v>6280</v>
      </c>
      <c r="G258">
        <v>0</v>
      </c>
      <c r="H258">
        <v>2.86</v>
      </c>
      <c r="I258">
        <v>22819</v>
      </c>
      <c r="J258">
        <v>23983</v>
      </c>
      <c r="K258">
        <v>24322</v>
      </c>
      <c r="L258">
        <v>-263.36</v>
      </c>
      <c r="M258">
        <v>-281.89</v>
      </c>
      <c r="N258">
        <v>-287.29</v>
      </c>
      <c r="O258">
        <v>7.57</v>
      </c>
      <c r="P258" t="b">
        <v>1</v>
      </c>
      <c r="Q258">
        <v>0</v>
      </c>
      <c r="R258">
        <v>2199</v>
      </c>
      <c r="U258" t="s">
        <v>1650</v>
      </c>
      <c r="V258" t="s">
        <v>2329</v>
      </c>
      <c r="W258">
        <v>0</v>
      </c>
      <c r="X258">
        <v>39.9</v>
      </c>
      <c r="Y258" t="s">
        <v>2982</v>
      </c>
      <c r="Z258">
        <v>15.98594455944644</v>
      </c>
      <c r="AA258">
        <v>524</v>
      </c>
      <c r="AB258">
        <v>0</v>
      </c>
      <c r="AC258" t="s">
        <v>3634</v>
      </c>
      <c r="AD258">
        <v>78.43000000000001</v>
      </c>
      <c r="AE258" t="s">
        <v>4313</v>
      </c>
      <c r="AF258" t="s">
        <v>4973</v>
      </c>
      <c r="AG258">
        <v>1558</v>
      </c>
      <c r="AH258">
        <v>140</v>
      </c>
      <c r="AJ258">
        <v>0.4</v>
      </c>
    </row>
    <row r="259" spans="1:36">
      <c r="A259" s="1" t="s">
        <v>293</v>
      </c>
      <c r="B259" t="s">
        <v>972</v>
      </c>
      <c r="C259">
        <f>HYPERLINK("https://finance.naver.com/item/coinfo.nhn?code=039310", "A039310")</f>
        <v>0</v>
      </c>
      <c r="D259">
        <f>HYPERLINK("http://comp.fnguide.com/SVO2/ASP/SVD_Consensus.asp?pGB=1&amp;gicode=A039310&amp;cID=&amp;MenuYn=Y&amp;ReportGB=&amp;NewMenuID=108&amp;stkGb=701", "세중")</f>
        <v>0</v>
      </c>
      <c r="E259">
        <v>3</v>
      </c>
      <c r="F259">
        <v>2970</v>
      </c>
      <c r="G259">
        <v>0</v>
      </c>
      <c r="H259">
        <v>97.43000000000001</v>
      </c>
      <c r="I259">
        <v>686</v>
      </c>
      <c r="J259">
        <v>3012</v>
      </c>
      <c r="K259">
        <v>3690</v>
      </c>
      <c r="L259">
        <v>76.91</v>
      </c>
      <c r="M259">
        <v>-1.42</v>
      </c>
      <c r="N259">
        <v>-24.24</v>
      </c>
      <c r="O259">
        <v>1.22</v>
      </c>
      <c r="P259" t="b">
        <v>1</v>
      </c>
      <c r="Q259">
        <v>0</v>
      </c>
      <c r="R259">
        <v>28</v>
      </c>
      <c r="U259" t="s">
        <v>1651</v>
      </c>
      <c r="V259" t="s">
        <v>2330</v>
      </c>
      <c r="W259">
        <v>0</v>
      </c>
      <c r="X259">
        <v>-76.40000000000001</v>
      </c>
      <c r="Y259" t="s">
        <v>2983</v>
      </c>
      <c r="Z259">
        <v>-44.67441821363287</v>
      </c>
      <c r="AA259">
        <v>538</v>
      </c>
      <c r="AB259">
        <v>56015</v>
      </c>
      <c r="AC259" t="s">
        <v>3635</v>
      </c>
      <c r="AD259">
        <v>26.99</v>
      </c>
      <c r="AE259" t="s">
        <v>4314</v>
      </c>
      <c r="AF259" t="s">
        <v>4974</v>
      </c>
      <c r="AG259">
        <v>1318</v>
      </c>
      <c r="AH259">
        <v>16</v>
      </c>
      <c r="AI259">
        <v>371022</v>
      </c>
    </row>
    <row r="260" spans="1:36">
      <c r="A260" s="1" t="s">
        <v>294</v>
      </c>
      <c r="B260" t="s">
        <v>973</v>
      </c>
      <c r="C260">
        <f>HYPERLINK("https://finance.naver.com/item/coinfo.nhn?code=043100", "A043100")</f>
        <v>0</v>
      </c>
      <c r="D260">
        <f>HYPERLINK("http://comp.fnguide.com/SVO2/ASP/SVD_Consensus.asp?pGB=1&amp;gicode=A043100&amp;cID=&amp;MenuYn=Y&amp;ReportGB=&amp;NewMenuID=108&amp;stkGb=701", "솔고바이오")</f>
        <v>0</v>
      </c>
      <c r="E260">
        <v>3</v>
      </c>
      <c r="F260">
        <v>392</v>
      </c>
      <c r="G260">
        <v>0</v>
      </c>
      <c r="H260">
        <v>13.75</v>
      </c>
      <c r="I260">
        <v>169</v>
      </c>
      <c r="J260">
        <v>404</v>
      </c>
      <c r="K260">
        <v>472</v>
      </c>
      <c r="L260">
        <v>56.98</v>
      </c>
      <c r="M260">
        <v>-3.02</v>
      </c>
      <c r="N260">
        <v>-20.5</v>
      </c>
      <c r="O260">
        <v>2.46</v>
      </c>
      <c r="P260" t="b">
        <v>1</v>
      </c>
      <c r="Q260">
        <v>0</v>
      </c>
      <c r="R260">
        <v>29</v>
      </c>
      <c r="U260" t="s">
        <v>1652</v>
      </c>
      <c r="V260" t="s">
        <v>2331</v>
      </c>
      <c r="W260">
        <v>0</v>
      </c>
      <c r="X260">
        <v>0</v>
      </c>
      <c r="Y260" t="s">
        <v>2762</v>
      </c>
      <c r="Z260">
        <v>0</v>
      </c>
      <c r="AA260">
        <v>226</v>
      </c>
      <c r="AB260">
        <v>0</v>
      </c>
      <c r="AC260" t="s">
        <v>3636</v>
      </c>
      <c r="AD260">
        <v>5.22</v>
      </c>
      <c r="AE260" t="s">
        <v>4315</v>
      </c>
      <c r="AF260" t="s">
        <v>4975</v>
      </c>
      <c r="AG260">
        <v>229</v>
      </c>
      <c r="AH260">
        <v>5</v>
      </c>
      <c r="AI260">
        <v>12517</v>
      </c>
    </row>
    <row r="261" spans="1:36">
      <c r="A261" s="1" t="s">
        <v>295</v>
      </c>
      <c r="B261" t="s">
        <v>974</v>
      </c>
      <c r="C261">
        <f>HYPERLINK("https://finance.naver.com/item/coinfo.nhn?code=036830", "A036830")</f>
        <v>0</v>
      </c>
      <c r="D261">
        <f>HYPERLINK("http://comp.fnguide.com/SVO2/ASP/SVD_Consensus.asp?pGB=1&amp;gicode=A036830&amp;cID=&amp;MenuYn=Y&amp;ReportGB=&amp;NewMenuID=108&amp;stkGb=701", "솔브레인홀딩스")</f>
        <v>0</v>
      </c>
      <c r="E261">
        <v>3</v>
      </c>
      <c r="F261">
        <v>39450</v>
      </c>
      <c r="G261">
        <v>0</v>
      </c>
      <c r="H261">
        <v>0.44</v>
      </c>
      <c r="I261">
        <v>516596</v>
      </c>
      <c r="J261">
        <v>239528</v>
      </c>
      <c r="K261">
        <v>158823</v>
      </c>
      <c r="L261">
        <v>-1209.5</v>
      </c>
      <c r="M261">
        <v>-507.17</v>
      </c>
      <c r="N261">
        <v>-302.59</v>
      </c>
      <c r="O261">
        <v>84.72</v>
      </c>
      <c r="P261" t="b">
        <v>1</v>
      </c>
      <c r="Q261">
        <v>0</v>
      </c>
      <c r="R261">
        <v>103627</v>
      </c>
      <c r="U261" t="s">
        <v>1653</v>
      </c>
      <c r="V261" t="s">
        <v>2332</v>
      </c>
      <c r="W261">
        <v>0</v>
      </c>
      <c r="X261">
        <v>1438.1</v>
      </c>
      <c r="Y261" t="s">
        <v>2984</v>
      </c>
      <c r="Z261">
        <v>84.22688009722219</v>
      </c>
      <c r="AA261">
        <v>8270</v>
      </c>
      <c r="AB261">
        <v>40802</v>
      </c>
      <c r="AC261" t="s">
        <v>3637</v>
      </c>
      <c r="AD261">
        <v>73.58</v>
      </c>
      <c r="AE261" t="s">
        <v>4316</v>
      </c>
      <c r="AF261" t="s">
        <v>4976</v>
      </c>
      <c r="AG261">
        <v>2357</v>
      </c>
      <c r="AH261">
        <v>166</v>
      </c>
      <c r="AI261">
        <v>302463</v>
      </c>
    </row>
    <row r="262" spans="1:36">
      <c r="A262" s="1" t="s">
        <v>296</v>
      </c>
      <c r="B262" t="s">
        <v>975</v>
      </c>
      <c r="C262">
        <f>HYPERLINK("https://finance.naver.com/item/coinfo.nhn?code=058530", "A058530")</f>
        <v>0</v>
      </c>
      <c r="D262">
        <f>HYPERLINK("http://comp.fnguide.com/SVO2/ASP/SVD_Consensus.asp?pGB=1&amp;gicode=A058530&amp;cID=&amp;MenuYn=Y&amp;ReportGB=&amp;NewMenuID=108&amp;stkGb=701", "슈펙스비앤피")</f>
        <v>0</v>
      </c>
      <c r="E262">
        <v>3</v>
      </c>
      <c r="F262">
        <v>1620</v>
      </c>
      <c r="G262">
        <v>0</v>
      </c>
      <c r="I262">
        <v>0</v>
      </c>
      <c r="J262">
        <v>2670</v>
      </c>
      <c r="K262">
        <v>3448</v>
      </c>
      <c r="L262">
        <v>100</v>
      </c>
      <c r="M262">
        <v>-64.84</v>
      </c>
      <c r="N262">
        <v>-112.86</v>
      </c>
      <c r="O262">
        <v>0</v>
      </c>
      <c r="P262" t="b">
        <v>0</v>
      </c>
      <c r="Q262">
        <v>0</v>
      </c>
      <c r="R262">
        <v>-526</v>
      </c>
      <c r="U262" t="s">
        <v>1654</v>
      </c>
      <c r="V262" t="s">
        <v>2333</v>
      </c>
      <c r="W262">
        <v>0</v>
      </c>
      <c r="X262">
        <v>0</v>
      </c>
      <c r="Y262" t="s">
        <v>2762</v>
      </c>
      <c r="Z262">
        <v>0</v>
      </c>
      <c r="AA262">
        <v>212</v>
      </c>
      <c r="AB262">
        <v>0</v>
      </c>
      <c r="AC262" t="s">
        <v>3638</v>
      </c>
      <c r="AD262">
        <v>5.85</v>
      </c>
      <c r="AE262" t="s">
        <v>4317</v>
      </c>
      <c r="AF262" t="s">
        <v>4741</v>
      </c>
      <c r="AG262">
        <v>201</v>
      </c>
      <c r="AH262">
        <v>-1</v>
      </c>
    </row>
    <row r="263" spans="1:36">
      <c r="A263" s="1" t="s">
        <v>297</v>
      </c>
      <c r="B263" t="s">
        <v>976</v>
      </c>
      <c r="C263">
        <f>HYPERLINK("https://finance.naver.com/item/coinfo.nhn?code=094840", "A094840")</f>
        <v>0</v>
      </c>
      <c r="D263">
        <f>HYPERLINK("http://comp.fnguide.com/SVO2/ASP/SVD_Consensus.asp?pGB=1&amp;gicode=A094840&amp;cID=&amp;MenuYn=Y&amp;ReportGB=&amp;NewMenuID=108&amp;stkGb=701", "슈프리마에이치큐")</f>
        <v>0</v>
      </c>
      <c r="E263">
        <v>3</v>
      </c>
      <c r="F263">
        <v>10750</v>
      </c>
      <c r="G263">
        <v>0</v>
      </c>
      <c r="H263">
        <v>11.81</v>
      </c>
      <c r="I263">
        <v>10049</v>
      </c>
      <c r="J263">
        <v>13694</v>
      </c>
      <c r="K263">
        <v>14756</v>
      </c>
      <c r="L263">
        <v>6.52</v>
      </c>
      <c r="M263">
        <v>-27.39</v>
      </c>
      <c r="N263">
        <v>-37.27</v>
      </c>
      <c r="O263">
        <v>5.1</v>
      </c>
      <c r="P263" t="b">
        <v>1</v>
      </c>
      <c r="Q263">
        <v>0</v>
      </c>
      <c r="R263">
        <v>638</v>
      </c>
      <c r="U263" t="s">
        <v>1655</v>
      </c>
      <c r="V263" t="s">
        <v>2334</v>
      </c>
      <c r="W263">
        <v>0</v>
      </c>
      <c r="X263">
        <v>-16.4</v>
      </c>
      <c r="Y263" t="s">
        <v>2985</v>
      </c>
      <c r="Z263">
        <v>-6.037407027578457</v>
      </c>
      <c r="AA263">
        <v>1126</v>
      </c>
      <c r="AB263">
        <v>607941</v>
      </c>
      <c r="AC263" t="s">
        <v>3639</v>
      </c>
      <c r="AD263">
        <v>43.71</v>
      </c>
      <c r="AE263" t="s">
        <v>4318</v>
      </c>
      <c r="AF263" t="s">
        <v>4977</v>
      </c>
      <c r="AG263">
        <v>263</v>
      </c>
      <c r="AH263">
        <v>43</v>
      </c>
      <c r="AI263">
        <v>1074985</v>
      </c>
    </row>
    <row r="264" spans="1:36">
      <c r="A264" s="1" t="s">
        <v>298</v>
      </c>
      <c r="B264" t="s">
        <v>977</v>
      </c>
      <c r="C264">
        <f>HYPERLINK("https://finance.naver.com/item/coinfo.nhn?code=900080", "A900080")</f>
        <v>0</v>
      </c>
      <c r="D264">
        <f>HYPERLINK("http://comp.fnguide.com/SVO2/ASP/SVD_Consensus.asp?pGB=1&amp;gicode=A900080&amp;cID=&amp;MenuYn=Y&amp;ReportGB=&amp;NewMenuID=108&amp;stkGb=701", "에스앤씨엔진그룹")</f>
        <v>0</v>
      </c>
      <c r="E264">
        <v>3</v>
      </c>
      <c r="F264">
        <v>197</v>
      </c>
      <c r="G264">
        <v>0</v>
      </c>
      <c r="H264">
        <v>9.56</v>
      </c>
      <c r="I264">
        <v>1249</v>
      </c>
      <c r="J264">
        <v>2618</v>
      </c>
      <c r="K264">
        <v>3017</v>
      </c>
      <c r="L264">
        <v>-534.21</v>
      </c>
      <c r="M264">
        <v>-1228.96</v>
      </c>
      <c r="N264">
        <v>-1431.33</v>
      </c>
      <c r="O264">
        <v>2.89</v>
      </c>
      <c r="P264" t="b">
        <v>0</v>
      </c>
      <c r="Q264">
        <v>0</v>
      </c>
      <c r="R264">
        <v>45</v>
      </c>
      <c r="U264" t="s">
        <v>1656</v>
      </c>
      <c r="V264" t="s">
        <v>2335</v>
      </c>
      <c r="W264">
        <v>0</v>
      </c>
      <c r="Y264" t="s">
        <v>2986</v>
      </c>
      <c r="Z264">
        <v>0</v>
      </c>
      <c r="AA264">
        <v>244</v>
      </c>
      <c r="AB264">
        <v>0</v>
      </c>
      <c r="AC264" t="s">
        <v>3640</v>
      </c>
      <c r="AD264">
        <v>24.28</v>
      </c>
      <c r="AE264" t="s">
        <v>4319</v>
      </c>
      <c r="AF264" t="s">
        <v>4978</v>
      </c>
      <c r="AG264">
        <v>1076</v>
      </c>
      <c r="AH264">
        <v>146</v>
      </c>
    </row>
    <row r="265" spans="1:36">
      <c r="A265" s="1" t="s">
        <v>299</v>
      </c>
      <c r="B265" t="s">
        <v>978</v>
      </c>
      <c r="C265">
        <f>HYPERLINK("https://finance.naver.com/item/coinfo.nhn?code=095910", "A095910")</f>
        <v>0</v>
      </c>
      <c r="D265">
        <f>HYPERLINK("http://comp.fnguide.com/SVO2/ASP/SVD_Consensus.asp?pGB=1&amp;gicode=A095910&amp;cID=&amp;MenuYn=Y&amp;ReportGB=&amp;NewMenuID=108&amp;stkGb=701", "에스에너지")</f>
        <v>0</v>
      </c>
      <c r="E265">
        <v>3</v>
      </c>
      <c r="F265">
        <v>4805</v>
      </c>
      <c r="G265">
        <v>0</v>
      </c>
      <c r="I265">
        <v>0</v>
      </c>
      <c r="J265">
        <v>4050</v>
      </c>
      <c r="K265">
        <v>5229</v>
      </c>
      <c r="L265">
        <v>100</v>
      </c>
      <c r="M265">
        <v>15.72</v>
      </c>
      <c r="N265">
        <v>-8.83</v>
      </c>
      <c r="O265">
        <v>0</v>
      </c>
      <c r="P265" t="b">
        <v>0</v>
      </c>
      <c r="Q265">
        <v>0</v>
      </c>
      <c r="R265">
        <v>-1356</v>
      </c>
      <c r="U265" t="s">
        <v>1657</v>
      </c>
      <c r="V265" t="s">
        <v>2336</v>
      </c>
      <c r="W265">
        <v>0</v>
      </c>
      <c r="X265">
        <v>0</v>
      </c>
      <c r="Y265" t="s">
        <v>2987</v>
      </c>
      <c r="Z265">
        <v>-14.2</v>
      </c>
      <c r="AA265">
        <v>714</v>
      </c>
      <c r="AB265">
        <v>67102</v>
      </c>
      <c r="AC265" t="s">
        <v>3641</v>
      </c>
      <c r="AD265">
        <v>15.79</v>
      </c>
      <c r="AE265" t="s">
        <v>4320</v>
      </c>
      <c r="AF265" t="s">
        <v>4741</v>
      </c>
      <c r="AG265">
        <v>2548</v>
      </c>
      <c r="AH265">
        <v>-59</v>
      </c>
      <c r="AI265">
        <v>860275</v>
      </c>
      <c r="AJ265">
        <v>0.63</v>
      </c>
    </row>
    <row r="266" spans="1:36">
      <c r="A266" s="1" t="s">
        <v>300</v>
      </c>
      <c r="B266" t="s">
        <v>979</v>
      </c>
      <c r="C266">
        <f>HYPERLINK("https://finance.naver.com/item/coinfo.nhn?code=031330", "A031330")</f>
        <v>0</v>
      </c>
      <c r="D266">
        <f>HYPERLINK("http://comp.fnguide.com/SVO2/ASP/SVD_Consensus.asp?pGB=1&amp;gicode=A031330&amp;cID=&amp;MenuYn=Y&amp;ReportGB=&amp;NewMenuID=108&amp;stkGb=701", "에스에이엠티")</f>
        <v>0</v>
      </c>
      <c r="E266">
        <v>3</v>
      </c>
      <c r="F266">
        <v>2955</v>
      </c>
      <c r="G266">
        <v>0</v>
      </c>
      <c r="H266">
        <v>5.58</v>
      </c>
      <c r="I266">
        <v>5358</v>
      </c>
      <c r="J266">
        <v>3719</v>
      </c>
      <c r="K266">
        <v>3241</v>
      </c>
      <c r="L266">
        <v>-81.31999999999999</v>
      </c>
      <c r="M266">
        <v>-25.84</v>
      </c>
      <c r="N266">
        <v>-9.69</v>
      </c>
      <c r="O266">
        <v>16.95</v>
      </c>
      <c r="P266" t="b">
        <v>1</v>
      </c>
      <c r="Q266">
        <v>0</v>
      </c>
      <c r="R266">
        <v>434</v>
      </c>
      <c r="U266" t="s">
        <v>1658</v>
      </c>
      <c r="V266" t="s">
        <v>2337</v>
      </c>
      <c r="W266">
        <v>0</v>
      </c>
      <c r="X266">
        <v>15.4</v>
      </c>
      <c r="Y266" t="s">
        <v>2988</v>
      </c>
      <c r="Z266">
        <v>1.574563430316478</v>
      </c>
      <c r="AA266">
        <v>2955</v>
      </c>
      <c r="AB266">
        <v>296886</v>
      </c>
      <c r="AC266" t="s">
        <v>3642</v>
      </c>
      <c r="AD266">
        <v>50.02</v>
      </c>
      <c r="AE266" t="s">
        <v>4321</v>
      </c>
      <c r="AF266" t="s">
        <v>4979</v>
      </c>
      <c r="AG266">
        <v>12405</v>
      </c>
      <c r="AH266">
        <v>341</v>
      </c>
      <c r="AI266">
        <v>2000000</v>
      </c>
      <c r="AJ266">
        <v>6.2</v>
      </c>
    </row>
    <row r="267" spans="1:36">
      <c r="A267" s="1" t="s">
        <v>301</v>
      </c>
      <c r="B267" t="s">
        <v>980</v>
      </c>
      <c r="C267">
        <f>HYPERLINK("https://finance.naver.com/item/coinfo.nhn?code=060540", "A060540")</f>
        <v>0</v>
      </c>
      <c r="D267">
        <f>HYPERLINK("http://comp.fnguide.com/SVO2/ASP/SVD_Consensus.asp?pGB=1&amp;gicode=A060540&amp;cID=&amp;MenuYn=Y&amp;ReportGB=&amp;NewMenuID=108&amp;stkGb=701", "에스에이티")</f>
        <v>0</v>
      </c>
      <c r="E267">
        <v>3</v>
      </c>
      <c r="F267">
        <v>2875</v>
      </c>
      <c r="G267">
        <v>0</v>
      </c>
      <c r="H267">
        <v>17.39</v>
      </c>
      <c r="I267">
        <v>3013</v>
      </c>
      <c r="J267">
        <v>3185</v>
      </c>
      <c r="K267">
        <v>3235</v>
      </c>
      <c r="L267">
        <v>-4.8</v>
      </c>
      <c r="M267">
        <v>-10.78</v>
      </c>
      <c r="N267">
        <v>-12.52</v>
      </c>
      <c r="O267">
        <v>7.5</v>
      </c>
      <c r="P267" t="b">
        <v>1</v>
      </c>
      <c r="Q267">
        <v>0</v>
      </c>
      <c r="R267">
        <v>147</v>
      </c>
      <c r="U267" t="s">
        <v>1659</v>
      </c>
      <c r="V267" t="s">
        <v>2338</v>
      </c>
      <c r="W267">
        <v>0</v>
      </c>
      <c r="X267">
        <v>-58.7</v>
      </c>
      <c r="Y267" t="s">
        <v>2989</v>
      </c>
      <c r="Z267">
        <v>-11.64234493398131</v>
      </c>
      <c r="AA267">
        <v>751</v>
      </c>
      <c r="AB267">
        <v>307702</v>
      </c>
      <c r="AC267" t="s">
        <v>3643</v>
      </c>
      <c r="AD267">
        <v>40.82</v>
      </c>
      <c r="AE267" t="s">
        <v>4322</v>
      </c>
      <c r="AF267" t="s">
        <v>4980</v>
      </c>
      <c r="AG267">
        <v>1252</v>
      </c>
      <c r="AH267">
        <v>62</v>
      </c>
      <c r="AI267">
        <v>372</v>
      </c>
      <c r="AJ267">
        <v>1.96</v>
      </c>
    </row>
    <row r="268" spans="1:36">
      <c r="A268" s="1" t="s">
        <v>302</v>
      </c>
      <c r="B268" t="s">
        <v>981</v>
      </c>
      <c r="C268">
        <f>HYPERLINK("https://finance.naver.com/item/coinfo.nhn?code=073560", "A073560")</f>
        <v>0</v>
      </c>
      <c r="D268">
        <f>HYPERLINK("http://comp.fnguide.com/SVO2/ASP/SVD_Consensus.asp?pGB=1&amp;gicode=A073560&amp;cID=&amp;MenuYn=Y&amp;ReportGB=&amp;NewMenuID=108&amp;stkGb=701", "우리손에프앤지")</f>
        <v>0</v>
      </c>
      <c r="E268">
        <v>3</v>
      </c>
      <c r="F268">
        <v>2485</v>
      </c>
      <c r="G268">
        <v>0</v>
      </c>
      <c r="H268">
        <v>6.31</v>
      </c>
      <c r="I268">
        <v>3253</v>
      </c>
      <c r="J268">
        <v>3074</v>
      </c>
      <c r="K268">
        <v>3021</v>
      </c>
      <c r="L268">
        <v>-30.92</v>
      </c>
      <c r="M268">
        <v>-23.69</v>
      </c>
      <c r="N268">
        <v>-21.58</v>
      </c>
      <c r="O268">
        <v>9.06</v>
      </c>
      <c r="P268" t="b">
        <v>1</v>
      </c>
      <c r="Q268">
        <v>0</v>
      </c>
      <c r="R268">
        <v>315</v>
      </c>
      <c r="U268" t="s">
        <v>1660</v>
      </c>
      <c r="V268" t="s">
        <v>2339</v>
      </c>
      <c r="W268">
        <v>0</v>
      </c>
      <c r="X268">
        <v>418.9</v>
      </c>
      <c r="Y268" t="s">
        <v>2990</v>
      </c>
      <c r="Z268">
        <v>-4.137835748210684</v>
      </c>
      <c r="AA268">
        <v>1721</v>
      </c>
      <c r="AB268">
        <v>2205883</v>
      </c>
      <c r="AC268" t="s">
        <v>3644</v>
      </c>
      <c r="AD268">
        <v>49.69</v>
      </c>
      <c r="AE268" t="s">
        <v>4323</v>
      </c>
      <c r="AF268" t="s">
        <v>4981</v>
      </c>
      <c r="AG268">
        <v>2371</v>
      </c>
      <c r="AH268">
        <v>322</v>
      </c>
      <c r="AJ268">
        <v>1.26</v>
      </c>
    </row>
    <row r="269" spans="1:36">
      <c r="A269" s="1" t="s">
        <v>303</v>
      </c>
      <c r="B269" t="s">
        <v>982</v>
      </c>
      <c r="C269">
        <f>HYPERLINK("https://finance.naver.com/item/coinfo.nhn?code=032940", "A032940")</f>
        <v>0</v>
      </c>
      <c r="D269">
        <f>HYPERLINK("http://comp.fnguide.com/SVO2/ASP/SVD_Consensus.asp?pGB=1&amp;gicode=A032940&amp;cID=&amp;MenuYn=Y&amp;ReportGB=&amp;NewMenuID=108&amp;stkGb=701", "원익")</f>
        <v>0</v>
      </c>
      <c r="E269">
        <v>3</v>
      </c>
      <c r="F269">
        <v>5130</v>
      </c>
      <c r="G269">
        <v>0</v>
      </c>
      <c r="H269">
        <v>1.09</v>
      </c>
      <c r="I269">
        <v>50663</v>
      </c>
      <c r="J269">
        <v>26683</v>
      </c>
      <c r="K269">
        <v>19698</v>
      </c>
      <c r="L269">
        <v>-887.59</v>
      </c>
      <c r="M269">
        <v>-420.13</v>
      </c>
      <c r="N269">
        <v>-283.97</v>
      </c>
      <c r="O269">
        <v>40.47</v>
      </c>
      <c r="P269" t="b">
        <v>1</v>
      </c>
      <c r="Q269">
        <v>0</v>
      </c>
      <c r="R269">
        <v>4367</v>
      </c>
      <c r="U269" t="s">
        <v>1661</v>
      </c>
      <c r="V269" t="s">
        <v>2340</v>
      </c>
      <c r="W269">
        <v>0</v>
      </c>
      <c r="X269">
        <v>126.5</v>
      </c>
      <c r="Y269" t="s">
        <v>2991</v>
      </c>
      <c r="Z269">
        <v>-38.13037902168787</v>
      </c>
      <c r="AA269">
        <v>933</v>
      </c>
      <c r="AB269">
        <v>84207</v>
      </c>
      <c r="AC269" t="s">
        <v>3645</v>
      </c>
      <c r="AD269">
        <v>47.9</v>
      </c>
      <c r="AE269" t="s">
        <v>4324</v>
      </c>
      <c r="AF269" t="s">
        <v>4982</v>
      </c>
      <c r="AG269">
        <v>875</v>
      </c>
      <c r="AH269">
        <v>46</v>
      </c>
      <c r="AI269">
        <v>49</v>
      </c>
    </row>
    <row r="270" spans="1:36">
      <c r="A270" s="1" t="s">
        <v>304</v>
      </c>
      <c r="B270" t="s">
        <v>983</v>
      </c>
      <c r="C270">
        <f>HYPERLINK("https://finance.naver.com/item/coinfo.nhn?code=030530", "A030530")</f>
        <v>0</v>
      </c>
      <c r="D270">
        <f>HYPERLINK("http://comp.fnguide.com/SVO2/ASP/SVD_Consensus.asp?pGB=1&amp;gicode=A030530&amp;cID=&amp;MenuYn=Y&amp;ReportGB=&amp;NewMenuID=108&amp;stkGb=701", "원익홀딩스")</f>
        <v>0</v>
      </c>
      <c r="E270">
        <v>3</v>
      </c>
      <c r="F270">
        <v>6620</v>
      </c>
      <c r="G270">
        <v>0</v>
      </c>
      <c r="H270">
        <v>6.23</v>
      </c>
      <c r="I270">
        <v>11081</v>
      </c>
      <c r="J270">
        <v>11163</v>
      </c>
      <c r="K270">
        <v>11187</v>
      </c>
      <c r="L270">
        <v>-67.39</v>
      </c>
      <c r="M270">
        <v>-68.63</v>
      </c>
      <c r="N270">
        <v>-68.98999999999999</v>
      </c>
      <c r="O270">
        <v>8.119999999999999</v>
      </c>
      <c r="P270" t="b">
        <v>1</v>
      </c>
      <c r="Q270">
        <v>0</v>
      </c>
      <c r="R270">
        <v>1018</v>
      </c>
      <c r="U270" t="s">
        <v>1662</v>
      </c>
      <c r="V270" t="s">
        <v>2341</v>
      </c>
      <c r="W270">
        <v>0</v>
      </c>
      <c r="X270">
        <v>137.1</v>
      </c>
      <c r="Y270" t="s">
        <v>2992</v>
      </c>
      <c r="Z270">
        <v>5.782533360476072</v>
      </c>
      <c r="AA270">
        <v>5113</v>
      </c>
      <c r="AB270">
        <v>436891</v>
      </c>
      <c r="AC270" t="s">
        <v>3646</v>
      </c>
      <c r="AD270">
        <v>47.77</v>
      </c>
      <c r="AE270" t="s">
        <v>4325</v>
      </c>
      <c r="AF270" t="s">
        <v>4983</v>
      </c>
      <c r="AG270">
        <v>6460</v>
      </c>
      <c r="AH270">
        <v>867</v>
      </c>
      <c r="AI270">
        <v>854976</v>
      </c>
    </row>
    <row r="271" spans="1:36">
      <c r="A271" s="1" t="s">
        <v>305</v>
      </c>
      <c r="B271" t="s">
        <v>984</v>
      </c>
      <c r="C271">
        <f>HYPERLINK("https://finance.naver.com/item/coinfo.nhn?code=012620", "A012620")</f>
        <v>0</v>
      </c>
      <c r="D271">
        <f>HYPERLINK("http://comp.fnguide.com/SVO2/ASP/SVD_Consensus.asp?pGB=1&amp;gicode=A012620&amp;cID=&amp;MenuYn=Y&amp;ReportGB=&amp;NewMenuID=108&amp;stkGb=701", "원일특강")</f>
        <v>0</v>
      </c>
      <c r="E271">
        <v>3</v>
      </c>
      <c r="F271">
        <v>13000</v>
      </c>
      <c r="G271">
        <v>0</v>
      </c>
      <c r="H271">
        <v>26.64</v>
      </c>
      <c r="I271">
        <v>15055</v>
      </c>
      <c r="J271">
        <v>22109</v>
      </c>
      <c r="K271">
        <v>24164</v>
      </c>
      <c r="L271">
        <v>-15.81</v>
      </c>
      <c r="M271">
        <v>-70.06999999999999</v>
      </c>
      <c r="N271">
        <v>-85.88</v>
      </c>
      <c r="O271">
        <v>4.59</v>
      </c>
      <c r="P271" t="b">
        <v>1</v>
      </c>
      <c r="Q271">
        <v>0</v>
      </c>
      <c r="R271">
        <v>330</v>
      </c>
      <c r="U271" t="s">
        <v>1663</v>
      </c>
      <c r="V271" t="s">
        <v>2342</v>
      </c>
      <c r="W271">
        <v>0</v>
      </c>
      <c r="X271">
        <v>-85.40000000000001</v>
      </c>
      <c r="Y271" t="s">
        <v>2993</v>
      </c>
      <c r="Z271">
        <v>-20.74997224716948</v>
      </c>
      <c r="AA271">
        <v>572</v>
      </c>
      <c r="AB271">
        <v>29880</v>
      </c>
      <c r="AC271" t="s">
        <v>3647</v>
      </c>
      <c r="AD271">
        <v>44.83</v>
      </c>
      <c r="AE271" t="s">
        <v>4326</v>
      </c>
      <c r="AF271" t="s">
        <v>4984</v>
      </c>
      <c r="AG271">
        <v>2451</v>
      </c>
      <c r="AH271">
        <v>23</v>
      </c>
      <c r="AJ271">
        <v>1.37</v>
      </c>
    </row>
    <row r="272" spans="1:36">
      <c r="A272" s="1" t="s">
        <v>306</v>
      </c>
      <c r="B272" t="s">
        <v>985</v>
      </c>
      <c r="C272">
        <f>HYPERLINK("https://finance.naver.com/item/coinfo.nhn?code=192390", "A192390")</f>
        <v>0</v>
      </c>
      <c r="D272">
        <f>HYPERLINK("http://comp.fnguide.com/SVO2/ASP/SVD_Consensus.asp?pGB=1&amp;gicode=A192390&amp;cID=&amp;MenuYn=Y&amp;ReportGB=&amp;NewMenuID=108&amp;stkGb=701", "윈하이텍")</f>
        <v>0</v>
      </c>
      <c r="E272">
        <v>3</v>
      </c>
      <c r="F272">
        <v>3775</v>
      </c>
      <c r="G272">
        <v>0</v>
      </c>
      <c r="H272">
        <v>40.51</v>
      </c>
      <c r="I272">
        <v>1754</v>
      </c>
      <c r="J272">
        <v>3818</v>
      </c>
      <c r="K272">
        <v>4419</v>
      </c>
      <c r="L272">
        <v>53.55</v>
      </c>
      <c r="M272">
        <v>-1.14</v>
      </c>
      <c r="N272">
        <v>-17.07</v>
      </c>
      <c r="O272">
        <v>2.76</v>
      </c>
      <c r="P272" t="b">
        <v>1</v>
      </c>
      <c r="Q272">
        <v>0</v>
      </c>
      <c r="R272">
        <v>79</v>
      </c>
      <c r="U272" t="s">
        <v>1664</v>
      </c>
      <c r="V272" t="s">
        <v>2343</v>
      </c>
      <c r="W272">
        <v>0</v>
      </c>
      <c r="X272">
        <v>0</v>
      </c>
      <c r="Y272" t="s">
        <v>2994</v>
      </c>
      <c r="Z272">
        <v>-0.7036031295081902</v>
      </c>
      <c r="AA272">
        <v>402</v>
      </c>
      <c r="AB272">
        <v>71891</v>
      </c>
      <c r="AC272" t="s">
        <v>3648</v>
      </c>
      <c r="AD272">
        <v>49.33</v>
      </c>
      <c r="AE272" t="s">
        <v>4327</v>
      </c>
      <c r="AF272" t="s">
        <v>4985</v>
      </c>
      <c r="AG272">
        <v>757</v>
      </c>
      <c r="AH272">
        <v>-82</v>
      </c>
      <c r="AI272">
        <v>578862</v>
      </c>
    </row>
    <row r="273" spans="1:36">
      <c r="A273" s="1" t="s">
        <v>307</v>
      </c>
      <c r="B273" t="s">
        <v>986</v>
      </c>
      <c r="C273">
        <f>HYPERLINK("https://finance.naver.com/item/coinfo.nhn?code=900340", "A900340")</f>
        <v>0</v>
      </c>
      <c r="D273">
        <f>HYPERLINK("http://comp.fnguide.com/SVO2/ASP/SVD_Consensus.asp?pGB=1&amp;gicode=A900340&amp;cID=&amp;MenuYn=Y&amp;ReportGB=&amp;NewMenuID=108&amp;stkGb=701", "윙입푸드")</f>
        <v>0</v>
      </c>
      <c r="E273">
        <v>3</v>
      </c>
      <c r="F273">
        <v>1335</v>
      </c>
      <c r="G273">
        <v>0</v>
      </c>
      <c r="H273">
        <v>5.26</v>
      </c>
      <c r="I273">
        <v>4595</v>
      </c>
      <c r="J273">
        <v>3389</v>
      </c>
      <c r="K273">
        <v>3037</v>
      </c>
      <c r="L273">
        <v>-244.19</v>
      </c>
      <c r="M273">
        <v>-153.83</v>
      </c>
      <c r="N273">
        <v>-127.51</v>
      </c>
      <c r="O273">
        <v>14.73</v>
      </c>
      <c r="P273" t="b">
        <v>0</v>
      </c>
      <c r="Q273">
        <v>0</v>
      </c>
      <c r="R273">
        <v>272</v>
      </c>
      <c r="U273" t="s">
        <v>1665</v>
      </c>
      <c r="V273" t="s">
        <v>2344</v>
      </c>
      <c r="W273">
        <v>0</v>
      </c>
      <c r="X273">
        <v>15.2</v>
      </c>
      <c r="Y273" t="s">
        <v>2995</v>
      </c>
      <c r="Z273">
        <v>0</v>
      </c>
      <c r="AA273">
        <v>640</v>
      </c>
      <c r="AB273">
        <v>162299</v>
      </c>
      <c r="AC273" t="s">
        <v>3649</v>
      </c>
      <c r="AD273">
        <v>47.42</v>
      </c>
      <c r="AE273" t="s">
        <v>4328</v>
      </c>
      <c r="AF273" t="s">
        <v>4986</v>
      </c>
      <c r="AG273">
        <v>1305</v>
      </c>
      <c r="AH273">
        <v>173</v>
      </c>
    </row>
    <row r="274" spans="1:36">
      <c r="A274" s="1" t="s">
        <v>308</v>
      </c>
      <c r="B274" t="s">
        <v>987</v>
      </c>
      <c r="C274">
        <f>HYPERLINK("https://finance.naver.com/item/coinfo.nhn?code=089850", "A089850")</f>
        <v>0</v>
      </c>
      <c r="D274">
        <f>HYPERLINK("http://comp.fnguide.com/SVO2/ASP/SVD_Consensus.asp?pGB=1&amp;gicode=A089850&amp;cID=&amp;MenuYn=Y&amp;ReportGB=&amp;NewMenuID=108&amp;stkGb=701", "유비벨록스")</f>
        <v>0</v>
      </c>
      <c r="E274">
        <v>3</v>
      </c>
      <c r="F274">
        <v>12150</v>
      </c>
      <c r="G274">
        <v>0</v>
      </c>
      <c r="H274">
        <v>9.52</v>
      </c>
      <c r="I274">
        <v>12092</v>
      </c>
      <c r="J274">
        <v>12147</v>
      </c>
      <c r="K274">
        <v>12164</v>
      </c>
      <c r="L274">
        <v>0.48</v>
      </c>
      <c r="M274">
        <v>0.02</v>
      </c>
      <c r="N274">
        <v>-0.11</v>
      </c>
      <c r="O274">
        <v>8.16</v>
      </c>
      <c r="P274" t="b">
        <v>1</v>
      </c>
      <c r="Q274">
        <v>0</v>
      </c>
      <c r="R274">
        <v>1001</v>
      </c>
      <c r="U274" t="s">
        <v>1666</v>
      </c>
      <c r="V274" t="s">
        <v>2345</v>
      </c>
      <c r="W274">
        <v>0</v>
      </c>
      <c r="X274">
        <v>24.3</v>
      </c>
      <c r="Y274" t="s">
        <v>2996</v>
      </c>
      <c r="Z274">
        <v>41.06888388301653</v>
      </c>
      <c r="AA274">
        <v>865</v>
      </c>
      <c r="AB274">
        <v>453199</v>
      </c>
      <c r="AC274" t="s">
        <v>3650</v>
      </c>
      <c r="AD274">
        <v>24.23</v>
      </c>
      <c r="AE274" t="s">
        <v>4329</v>
      </c>
      <c r="AF274" t="s">
        <v>4987</v>
      </c>
      <c r="AG274">
        <v>2860</v>
      </c>
      <c r="AH274">
        <v>171</v>
      </c>
      <c r="AI274">
        <v>378119</v>
      </c>
    </row>
    <row r="275" spans="1:36">
      <c r="A275" s="1" t="s">
        <v>309</v>
      </c>
      <c r="B275" t="s">
        <v>988</v>
      </c>
      <c r="C275">
        <f>HYPERLINK("https://finance.naver.com/item/coinfo.nhn?code=024800", "A024800")</f>
        <v>0</v>
      </c>
      <c r="D275">
        <f>HYPERLINK("http://comp.fnguide.com/SVO2/ASP/SVD_Consensus.asp?pGB=1&amp;gicode=A024800&amp;cID=&amp;MenuYn=Y&amp;ReportGB=&amp;NewMenuID=108&amp;stkGb=701", "유성티엔에스")</f>
        <v>0</v>
      </c>
      <c r="E275">
        <v>3</v>
      </c>
      <c r="F275">
        <v>4060</v>
      </c>
      <c r="G275">
        <v>0</v>
      </c>
      <c r="H275">
        <v>1.65</v>
      </c>
      <c r="I275">
        <v>17497</v>
      </c>
      <c r="J275">
        <v>12396</v>
      </c>
      <c r="K275">
        <v>10910</v>
      </c>
      <c r="L275">
        <v>-330.96</v>
      </c>
      <c r="M275">
        <v>-205.31</v>
      </c>
      <c r="N275">
        <v>-168.71</v>
      </c>
      <c r="O275">
        <v>16.14</v>
      </c>
      <c r="P275" t="b">
        <v>1</v>
      </c>
      <c r="Q275">
        <v>0</v>
      </c>
      <c r="R275">
        <v>1793</v>
      </c>
      <c r="U275" t="s">
        <v>1667</v>
      </c>
      <c r="V275" t="s">
        <v>2346</v>
      </c>
      <c r="W275">
        <v>0</v>
      </c>
      <c r="X275">
        <v>130.1</v>
      </c>
      <c r="Y275" t="s">
        <v>2997</v>
      </c>
      <c r="Z275">
        <v>46.83788542053991</v>
      </c>
      <c r="AA275">
        <v>1105</v>
      </c>
      <c r="AB275">
        <v>245208</v>
      </c>
      <c r="AC275" t="s">
        <v>3651</v>
      </c>
      <c r="AD275">
        <v>60.18</v>
      </c>
      <c r="AE275" t="s">
        <v>4330</v>
      </c>
      <c r="AF275" t="s">
        <v>4988</v>
      </c>
      <c r="AG275">
        <v>2941</v>
      </c>
      <c r="AH275">
        <v>35</v>
      </c>
      <c r="AI275">
        <v>3652884</v>
      </c>
      <c r="AJ275">
        <v>0.51</v>
      </c>
    </row>
    <row r="276" spans="1:36">
      <c r="A276" s="1" t="s">
        <v>310</v>
      </c>
      <c r="B276" t="s">
        <v>989</v>
      </c>
      <c r="C276">
        <f>HYPERLINK("https://finance.naver.com/item/coinfo.nhn?code=054930", "A054930")</f>
        <v>0</v>
      </c>
      <c r="D276">
        <f>HYPERLINK("http://comp.fnguide.com/SVO2/ASP/SVD_Consensus.asp?pGB=1&amp;gicode=A054930&amp;cID=&amp;MenuYn=Y&amp;ReportGB=&amp;NewMenuID=108&amp;stkGb=701", "유신")</f>
        <v>0</v>
      </c>
      <c r="E276">
        <v>3</v>
      </c>
      <c r="F276">
        <v>20350</v>
      </c>
      <c r="G276">
        <v>0</v>
      </c>
      <c r="H276">
        <v>14.67</v>
      </c>
      <c r="I276">
        <v>6195</v>
      </c>
      <c r="J276">
        <v>18909</v>
      </c>
      <c r="K276">
        <v>22612</v>
      </c>
      <c r="L276">
        <v>69.56</v>
      </c>
      <c r="M276">
        <v>7.08</v>
      </c>
      <c r="N276">
        <v>-11.12</v>
      </c>
      <c r="O276">
        <v>1.84</v>
      </c>
      <c r="P276" t="b">
        <v>1</v>
      </c>
      <c r="Q276">
        <v>0</v>
      </c>
      <c r="R276">
        <v>1009</v>
      </c>
      <c r="U276" t="s">
        <v>1668</v>
      </c>
      <c r="V276" t="s">
        <v>2347</v>
      </c>
      <c r="W276">
        <v>0</v>
      </c>
      <c r="X276">
        <v>0</v>
      </c>
      <c r="Y276" t="s">
        <v>2998</v>
      </c>
      <c r="Z276">
        <v>22.49448967198484</v>
      </c>
      <c r="AA276">
        <v>611</v>
      </c>
      <c r="AB276">
        <v>17290</v>
      </c>
      <c r="AC276" t="s">
        <v>3652</v>
      </c>
      <c r="AD276">
        <v>50.51</v>
      </c>
      <c r="AE276" t="s">
        <v>4331</v>
      </c>
      <c r="AF276" t="s">
        <v>4989</v>
      </c>
      <c r="AG276">
        <v>2123</v>
      </c>
      <c r="AH276">
        <v>26</v>
      </c>
      <c r="AJ276">
        <v>3.38</v>
      </c>
    </row>
    <row r="277" spans="1:36">
      <c r="A277" s="1" t="s">
        <v>311</v>
      </c>
      <c r="B277" t="s">
        <v>990</v>
      </c>
      <c r="C277">
        <f>HYPERLINK("https://finance.naver.com/item/coinfo.nhn?code=049520", "A049520")</f>
        <v>0</v>
      </c>
      <c r="D277">
        <f>HYPERLINK("http://comp.fnguide.com/SVO2/ASP/SVD_Consensus.asp?pGB=1&amp;gicode=A049520&amp;cID=&amp;MenuYn=Y&amp;ReportGB=&amp;NewMenuID=108&amp;stkGb=701", "유아이엘")</f>
        <v>0</v>
      </c>
      <c r="E277">
        <v>3</v>
      </c>
      <c r="F277">
        <v>3860</v>
      </c>
      <c r="G277">
        <v>0</v>
      </c>
      <c r="I277">
        <v>2228</v>
      </c>
      <c r="J277">
        <v>5161</v>
      </c>
      <c r="K277">
        <v>6016</v>
      </c>
      <c r="L277">
        <v>42.29</v>
      </c>
      <c r="M277">
        <v>-33.72</v>
      </c>
      <c r="N277">
        <v>-55.86</v>
      </c>
      <c r="O277">
        <v>2.56</v>
      </c>
      <c r="P277" t="b">
        <v>0</v>
      </c>
      <c r="Q277">
        <v>0</v>
      </c>
      <c r="R277">
        <v>-488</v>
      </c>
      <c r="U277" t="s">
        <v>1669</v>
      </c>
      <c r="V277" t="s">
        <v>2348</v>
      </c>
      <c r="W277">
        <v>0</v>
      </c>
      <c r="X277">
        <v>0</v>
      </c>
      <c r="Y277" t="s">
        <v>2999</v>
      </c>
      <c r="Z277">
        <v>-10.43613343694285</v>
      </c>
      <c r="AA277">
        <v>841</v>
      </c>
      <c r="AB277">
        <v>172077</v>
      </c>
      <c r="AC277" t="s">
        <v>3653</v>
      </c>
      <c r="AD277">
        <v>48.63</v>
      </c>
      <c r="AE277" t="s">
        <v>4332</v>
      </c>
      <c r="AF277" t="s">
        <v>4990</v>
      </c>
      <c r="AG277">
        <v>3008</v>
      </c>
      <c r="AH277">
        <v>-127</v>
      </c>
      <c r="AI277">
        <v>800000</v>
      </c>
    </row>
    <row r="278" spans="1:36">
      <c r="A278" s="1" t="s">
        <v>312</v>
      </c>
      <c r="B278" t="s">
        <v>991</v>
      </c>
      <c r="C278">
        <f>HYPERLINK("https://finance.naver.com/item/coinfo.nhn?code=023410", "A023410")</f>
        <v>0</v>
      </c>
      <c r="D278">
        <f>HYPERLINK("http://comp.fnguide.com/SVO2/ASP/SVD_Consensus.asp?pGB=1&amp;gicode=A023410&amp;cID=&amp;MenuYn=Y&amp;ReportGB=&amp;NewMenuID=108&amp;stkGb=701", "유진기업")</f>
        <v>0</v>
      </c>
      <c r="E278">
        <v>3</v>
      </c>
      <c r="F278">
        <v>5800</v>
      </c>
      <c r="G278">
        <v>0</v>
      </c>
      <c r="H278">
        <v>7.37</v>
      </c>
      <c r="I278">
        <v>6242</v>
      </c>
      <c r="J278">
        <v>9232</v>
      </c>
      <c r="K278">
        <v>10103</v>
      </c>
      <c r="L278">
        <v>-7.61</v>
      </c>
      <c r="M278">
        <v>-59.17</v>
      </c>
      <c r="N278">
        <v>-74.19</v>
      </c>
      <c r="O278">
        <v>4.55</v>
      </c>
      <c r="P278" t="b">
        <v>1</v>
      </c>
      <c r="Q278">
        <v>0</v>
      </c>
      <c r="R278">
        <v>640</v>
      </c>
      <c r="U278" t="s">
        <v>1670</v>
      </c>
      <c r="V278" t="s">
        <v>2349</v>
      </c>
      <c r="W278">
        <v>0</v>
      </c>
      <c r="X278">
        <v>148.9</v>
      </c>
      <c r="Y278" t="s">
        <v>3000</v>
      </c>
      <c r="Z278">
        <v>30.9450842545715</v>
      </c>
      <c r="AA278">
        <v>4484</v>
      </c>
      <c r="AB278">
        <v>430846</v>
      </c>
      <c r="AC278" t="s">
        <v>3654</v>
      </c>
      <c r="AD278">
        <v>38.88</v>
      </c>
      <c r="AE278" t="s">
        <v>4333</v>
      </c>
      <c r="AF278" t="s">
        <v>4991</v>
      </c>
      <c r="AG278">
        <v>14438</v>
      </c>
      <c r="AH278">
        <v>1325</v>
      </c>
      <c r="AI278">
        <v>6301103</v>
      </c>
      <c r="AJ278">
        <v>3.6</v>
      </c>
    </row>
    <row r="279" spans="1:36">
      <c r="A279" s="1" t="s">
        <v>313</v>
      </c>
      <c r="B279" t="s">
        <v>992</v>
      </c>
      <c r="C279">
        <f>HYPERLINK("https://finance.naver.com/item/coinfo.nhn?code=039020", "A039020")</f>
        <v>0</v>
      </c>
      <c r="D279">
        <f>HYPERLINK("http://comp.fnguide.com/SVO2/ASP/SVD_Consensus.asp?pGB=1&amp;gicode=A039020&amp;cID=&amp;MenuYn=Y&amp;ReportGB=&amp;NewMenuID=108&amp;stkGb=701", "이건홀딩스")</f>
        <v>0</v>
      </c>
      <c r="E279">
        <v>3</v>
      </c>
      <c r="F279">
        <v>5090</v>
      </c>
      <c r="G279">
        <v>0</v>
      </c>
      <c r="I279">
        <v>2485</v>
      </c>
      <c r="J279">
        <v>5029</v>
      </c>
      <c r="K279">
        <v>5770</v>
      </c>
      <c r="L279">
        <v>51.17</v>
      </c>
      <c r="M279">
        <v>1.19</v>
      </c>
      <c r="N279">
        <v>-13.37</v>
      </c>
      <c r="O279">
        <v>3.02</v>
      </c>
      <c r="P279" t="b">
        <v>0</v>
      </c>
      <c r="Q279">
        <v>0</v>
      </c>
      <c r="R279">
        <v>-8</v>
      </c>
      <c r="U279" t="s">
        <v>1671</v>
      </c>
      <c r="V279" t="s">
        <v>2350</v>
      </c>
      <c r="W279">
        <v>0</v>
      </c>
      <c r="X279">
        <v>0</v>
      </c>
      <c r="Y279" t="s">
        <v>3001</v>
      </c>
      <c r="Z279">
        <v>-12.79730968797443</v>
      </c>
      <c r="AA279">
        <v>1150</v>
      </c>
      <c r="AB279">
        <v>501702</v>
      </c>
      <c r="AC279" t="s">
        <v>3655</v>
      </c>
      <c r="AD279">
        <v>53.15</v>
      </c>
      <c r="AE279" t="s">
        <v>4334</v>
      </c>
      <c r="AF279" t="s">
        <v>4992</v>
      </c>
      <c r="AG279">
        <v>4135</v>
      </c>
      <c r="AH279">
        <v>75</v>
      </c>
      <c r="AI279">
        <v>925488</v>
      </c>
      <c r="AJ279">
        <v>2.39</v>
      </c>
    </row>
    <row r="280" spans="1:36">
      <c r="A280" s="1" t="s">
        <v>314</v>
      </c>
      <c r="B280" t="s">
        <v>993</v>
      </c>
      <c r="C280">
        <f>HYPERLINK("https://finance.naver.com/item/coinfo.nhn?code=041520", "A041520")</f>
        <v>0</v>
      </c>
      <c r="D280">
        <f>HYPERLINK("http://comp.fnguide.com/SVO2/ASP/SVD_Consensus.asp?pGB=1&amp;gicode=A041520&amp;cID=&amp;MenuYn=Y&amp;ReportGB=&amp;NewMenuID=108&amp;stkGb=701", "이라이콤")</f>
        <v>0</v>
      </c>
      <c r="E280">
        <v>3</v>
      </c>
      <c r="F280">
        <v>11300</v>
      </c>
      <c r="G280">
        <v>0</v>
      </c>
      <c r="H280">
        <v>24.28</v>
      </c>
      <c r="I280">
        <v>5611</v>
      </c>
      <c r="J280">
        <v>12630</v>
      </c>
      <c r="K280">
        <v>14674</v>
      </c>
      <c r="L280">
        <v>50.34</v>
      </c>
      <c r="M280">
        <v>-11.77</v>
      </c>
      <c r="N280">
        <v>-29.86</v>
      </c>
      <c r="O280">
        <v>2.65</v>
      </c>
      <c r="P280" t="b">
        <v>1</v>
      </c>
      <c r="Q280">
        <v>0</v>
      </c>
      <c r="R280">
        <v>680</v>
      </c>
      <c r="U280" t="s">
        <v>1672</v>
      </c>
      <c r="V280" t="s">
        <v>2351</v>
      </c>
      <c r="W280">
        <v>0</v>
      </c>
      <c r="X280">
        <v>0</v>
      </c>
      <c r="Y280" t="s">
        <v>3002</v>
      </c>
      <c r="Z280">
        <v>-92.59999999999999</v>
      </c>
      <c r="AA280">
        <v>1377</v>
      </c>
      <c r="AB280">
        <v>50691</v>
      </c>
      <c r="AC280" t="s">
        <v>3656</v>
      </c>
      <c r="AD280">
        <v>46.72</v>
      </c>
      <c r="AE280" t="s">
        <v>4335</v>
      </c>
      <c r="AF280" t="s">
        <v>4993</v>
      </c>
      <c r="AG280">
        <v>2451</v>
      </c>
      <c r="AH280">
        <v>178</v>
      </c>
      <c r="AI280">
        <v>1334</v>
      </c>
      <c r="AJ280">
        <v>3.64</v>
      </c>
    </row>
    <row r="281" spans="1:36">
      <c r="A281" s="1" t="s">
        <v>315</v>
      </c>
      <c r="B281" t="s">
        <v>994</v>
      </c>
      <c r="C281">
        <f>HYPERLINK("https://finance.naver.com/item/coinfo.nhn?code=078020", "A078020")</f>
        <v>0</v>
      </c>
      <c r="D281">
        <f>HYPERLINK("http://comp.fnguide.com/SVO2/ASP/SVD_Consensus.asp?pGB=1&amp;gicode=A078020&amp;cID=&amp;MenuYn=Y&amp;ReportGB=&amp;NewMenuID=108&amp;stkGb=701", "이베스트투자증권")</f>
        <v>0</v>
      </c>
      <c r="E281">
        <v>3</v>
      </c>
      <c r="F281">
        <v>8640</v>
      </c>
      <c r="G281">
        <v>0.1</v>
      </c>
      <c r="H281">
        <v>3.53</v>
      </c>
      <c r="I281">
        <v>27206</v>
      </c>
      <c r="J281">
        <v>19775</v>
      </c>
      <c r="K281">
        <v>17610</v>
      </c>
      <c r="L281">
        <v>-214.88</v>
      </c>
      <c r="M281">
        <v>-128.87</v>
      </c>
      <c r="N281">
        <v>-103.82</v>
      </c>
      <c r="O281">
        <v>15.22</v>
      </c>
      <c r="P281" t="b">
        <v>1</v>
      </c>
      <c r="Q281">
        <v>3</v>
      </c>
      <c r="R281">
        <v>1921</v>
      </c>
      <c r="S281">
        <v>2037</v>
      </c>
      <c r="T281">
        <v>6</v>
      </c>
      <c r="U281" t="s">
        <v>1673</v>
      </c>
      <c r="V281" t="s">
        <v>2352</v>
      </c>
      <c r="W281">
        <v>34.27824673492801</v>
      </c>
      <c r="X281">
        <v>20.1</v>
      </c>
      <c r="Y281" t="s">
        <v>3003</v>
      </c>
      <c r="Z281">
        <v>11.24571298867068</v>
      </c>
      <c r="AA281">
        <v>4794</v>
      </c>
      <c r="AB281">
        <v>335513</v>
      </c>
      <c r="AC281" t="s">
        <v>3657</v>
      </c>
      <c r="AD281">
        <v>62.45</v>
      </c>
      <c r="AE281" t="s">
        <v>4336</v>
      </c>
      <c r="AF281" t="s">
        <v>4994</v>
      </c>
      <c r="AG281">
        <v>3409</v>
      </c>
      <c r="AH281">
        <v>1535</v>
      </c>
      <c r="AI281">
        <v>5075498</v>
      </c>
      <c r="AJ281">
        <v>8.1</v>
      </c>
    </row>
    <row r="282" spans="1:36">
      <c r="A282" s="1" t="s">
        <v>316</v>
      </c>
      <c r="B282" t="s">
        <v>995</v>
      </c>
      <c r="C282">
        <f>HYPERLINK("https://finance.naver.com/item/coinfo.nhn?code=080010", "A080010")</f>
        <v>0</v>
      </c>
      <c r="D282">
        <f>HYPERLINK("http://comp.fnguide.com/SVO2/ASP/SVD_Consensus.asp?pGB=1&amp;gicode=A080010&amp;cID=&amp;MenuYn=Y&amp;ReportGB=&amp;NewMenuID=108&amp;stkGb=701", "이상네트웍스")</f>
        <v>0</v>
      </c>
      <c r="E282">
        <v>3</v>
      </c>
      <c r="F282">
        <v>7430</v>
      </c>
      <c r="G282">
        <v>0</v>
      </c>
      <c r="H282">
        <v>10.22</v>
      </c>
      <c r="I282">
        <v>10840</v>
      </c>
      <c r="J282">
        <v>11063</v>
      </c>
      <c r="K282">
        <v>11128</v>
      </c>
      <c r="L282">
        <v>-45.89</v>
      </c>
      <c r="M282">
        <v>-48.89</v>
      </c>
      <c r="N282">
        <v>-49.77</v>
      </c>
      <c r="O282">
        <v>7.95</v>
      </c>
      <c r="P282" t="b">
        <v>1</v>
      </c>
      <c r="Q282">
        <v>0</v>
      </c>
      <c r="R282">
        <v>690</v>
      </c>
      <c r="U282" t="s">
        <v>1674</v>
      </c>
      <c r="V282" t="s">
        <v>2353</v>
      </c>
      <c r="W282">
        <v>0</v>
      </c>
      <c r="X282">
        <v>-31.1</v>
      </c>
      <c r="Y282" t="s">
        <v>3004</v>
      </c>
      <c r="Z282">
        <v>17.42329152753586</v>
      </c>
      <c r="AA282">
        <v>670</v>
      </c>
      <c r="AB282">
        <v>42773</v>
      </c>
      <c r="AC282" t="s">
        <v>3658</v>
      </c>
      <c r="AD282">
        <v>50.05</v>
      </c>
      <c r="AE282" t="s">
        <v>4337</v>
      </c>
      <c r="AF282" t="s">
        <v>4995</v>
      </c>
      <c r="AG282">
        <v>442</v>
      </c>
      <c r="AH282">
        <v>31</v>
      </c>
      <c r="AI282">
        <v>98424</v>
      </c>
      <c r="AJ282">
        <v>1.42</v>
      </c>
    </row>
    <row r="283" spans="1:36">
      <c r="A283" s="1" t="s">
        <v>317</v>
      </c>
      <c r="B283" t="s">
        <v>996</v>
      </c>
      <c r="C283">
        <f>HYPERLINK("https://finance.naver.com/item/coinfo.nhn?code=057540", "A057540")</f>
        <v>0</v>
      </c>
      <c r="D283">
        <f>HYPERLINK("http://comp.fnguide.com/SVO2/ASP/SVD_Consensus.asp?pGB=1&amp;gicode=A057540&amp;cID=&amp;MenuYn=Y&amp;ReportGB=&amp;NewMenuID=108&amp;stkGb=701", "옴니시스템")</f>
        <v>0</v>
      </c>
      <c r="E283">
        <v>3</v>
      </c>
      <c r="F283">
        <v>2150</v>
      </c>
      <c r="G283">
        <v>0</v>
      </c>
      <c r="I283">
        <v>2183</v>
      </c>
      <c r="J283">
        <v>2203</v>
      </c>
      <c r="K283">
        <v>2209</v>
      </c>
      <c r="L283">
        <v>-1.54</v>
      </c>
      <c r="M283">
        <v>-2.47</v>
      </c>
      <c r="N283">
        <v>-2.74</v>
      </c>
      <c r="O283">
        <v>8.1</v>
      </c>
      <c r="P283" t="b">
        <v>0</v>
      </c>
      <c r="Q283">
        <v>0</v>
      </c>
      <c r="R283">
        <v>-99</v>
      </c>
      <c r="U283" t="s">
        <v>1675</v>
      </c>
      <c r="V283" t="s">
        <v>2354</v>
      </c>
      <c r="W283">
        <v>0</v>
      </c>
      <c r="X283">
        <v>0</v>
      </c>
      <c r="Y283" t="s">
        <v>3005</v>
      </c>
      <c r="Z283">
        <v>25.3881403147681</v>
      </c>
      <c r="AA283">
        <v>999</v>
      </c>
      <c r="AB283">
        <v>201943</v>
      </c>
      <c r="AC283" t="s">
        <v>3659</v>
      </c>
      <c r="AD283">
        <v>24.91</v>
      </c>
      <c r="AE283" t="s">
        <v>4338</v>
      </c>
      <c r="AF283" t="s">
        <v>4996</v>
      </c>
      <c r="AG283">
        <v>983</v>
      </c>
      <c r="AH283">
        <v>-8</v>
      </c>
      <c r="AI283">
        <v>2105261</v>
      </c>
    </row>
    <row r="284" spans="1:36">
      <c r="A284" s="1" t="s">
        <v>318</v>
      </c>
      <c r="B284" t="s">
        <v>997</v>
      </c>
      <c r="C284">
        <f>HYPERLINK("https://finance.naver.com/item/coinfo.nhn?code=010470", "A010470")</f>
        <v>0</v>
      </c>
      <c r="D284">
        <f>HYPERLINK("http://comp.fnguide.com/SVO2/ASP/SVD_Consensus.asp?pGB=1&amp;gicode=A010470&amp;cID=&amp;MenuYn=Y&amp;ReportGB=&amp;NewMenuID=108&amp;stkGb=701", "오리콤")</f>
        <v>0</v>
      </c>
      <c r="E284">
        <v>3</v>
      </c>
      <c r="F284">
        <v>6270</v>
      </c>
      <c r="G284">
        <v>0</v>
      </c>
      <c r="H284">
        <v>83</v>
      </c>
      <c r="I284">
        <v>4256</v>
      </c>
      <c r="J284">
        <v>5978</v>
      </c>
      <c r="K284">
        <v>6479</v>
      </c>
      <c r="L284">
        <v>32.12</v>
      </c>
      <c r="M284">
        <v>4.66</v>
      </c>
      <c r="N284">
        <v>-3.34</v>
      </c>
      <c r="O284">
        <v>4.89</v>
      </c>
      <c r="P284" t="b">
        <v>1</v>
      </c>
      <c r="Q284">
        <v>0</v>
      </c>
      <c r="R284">
        <v>65</v>
      </c>
      <c r="U284" t="s">
        <v>1676</v>
      </c>
      <c r="V284" t="s">
        <v>2355</v>
      </c>
      <c r="W284">
        <v>0</v>
      </c>
      <c r="X284">
        <v>-87.3</v>
      </c>
      <c r="Y284" t="s">
        <v>3006</v>
      </c>
      <c r="Z284">
        <v>-23.79303931950564</v>
      </c>
      <c r="AA284">
        <v>743</v>
      </c>
      <c r="AB284">
        <v>394417</v>
      </c>
      <c r="AC284" t="s">
        <v>3660</v>
      </c>
      <c r="AD284">
        <v>62.12</v>
      </c>
      <c r="AE284" t="s">
        <v>4339</v>
      </c>
      <c r="AF284" t="s">
        <v>4997</v>
      </c>
      <c r="AG284">
        <v>1323</v>
      </c>
      <c r="AH284">
        <v>10</v>
      </c>
      <c r="AI284">
        <v>370315</v>
      </c>
      <c r="AJ284">
        <v>4.05</v>
      </c>
    </row>
    <row r="285" spans="1:36">
      <c r="A285" s="1" t="s">
        <v>319</v>
      </c>
      <c r="B285" t="s">
        <v>998</v>
      </c>
      <c r="C285">
        <f>HYPERLINK("https://finance.naver.com/item/coinfo.nhn?code=080520", "A080520")</f>
        <v>0</v>
      </c>
      <c r="D285">
        <f>HYPERLINK("http://comp.fnguide.com/SVO2/ASP/SVD_Consensus.asp?pGB=1&amp;gicode=A080520&amp;cID=&amp;MenuYn=Y&amp;ReportGB=&amp;NewMenuID=108&amp;stkGb=701", "오디텍")</f>
        <v>0</v>
      </c>
      <c r="E285">
        <v>3</v>
      </c>
      <c r="F285">
        <v>7660</v>
      </c>
      <c r="G285">
        <v>0</v>
      </c>
      <c r="H285">
        <v>11.23</v>
      </c>
      <c r="I285">
        <v>4612</v>
      </c>
      <c r="J285">
        <v>8479</v>
      </c>
      <c r="K285">
        <v>9606</v>
      </c>
      <c r="L285">
        <v>39.79</v>
      </c>
      <c r="M285">
        <v>-10.7</v>
      </c>
      <c r="N285">
        <v>-25.4</v>
      </c>
      <c r="O285">
        <v>3.41</v>
      </c>
      <c r="P285" t="b">
        <v>1</v>
      </c>
      <c r="Q285">
        <v>0</v>
      </c>
      <c r="R285">
        <v>468</v>
      </c>
      <c r="U285" t="s">
        <v>1677</v>
      </c>
      <c r="V285" t="s">
        <v>2356</v>
      </c>
      <c r="W285">
        <v>0</v>
      </c>
      <c r="X285">
        <v>157.3</v>
      </c>
      <c r="Y285" t="s">
        <v>3007</v>
      </c>
      <c r="Z285">
        <v>-9.6759650809344</v>
      </c>
      <c r="AA285">
        <v>900</v>
      </c>
      <c r="AB285">
        <v>851887</v>
      </c>
      <c r="AC285" t="s">
        <v>3661</v>
      </c>
      <c r="AD285">
        <v>25.33</v>
      </c>
      <c r="AE285" t="s">
        <v>4340</v>
      </c>
      <c r="AF285" t="s">
        <v>4998</v>
      </c>
      <c r="AG285">
        <v>422</v>
      </c>
      <c r="AH285">
        <v>13</v>
      </c>
      <c r="AI285">
        <v>850367</v>
      </c>
      <c r="AJ285">
        <v>1.9</v>
      </c>
    </row>
    <row r="286" spans="1:36">
      <c r="A286" s="1" t="s">
        <v>320</v>
      </c>
      <c r="B286" t="s">
        <v>999</v>
      </c>
      <c r="C286">
        <f>HYPERLINK("https://finance.naver.com/item/coinfo.nhn?code=038110", "A038110")</f>
        <v>0</v>
      </c>
      <c r="D286">
        <f>HYPERLINK("http://comp.fnguide.com/SVO2/ASP/SVD_Consensus.asp?pGB=1&amp;gicode=A038110&amp;cID=&amp;MenuYn=Y&amp;ReportGB=&amp;NewMenuID=108&amp;stkGb=701", "에코플라스틱")</f>
        <v>0</v>
      </c>
      <c r="E286">
        <v>3</v>
      </c>
      <c r="F286">
        <v>2840</v>
      </c>
      <c r="G286">
        <v>0</v>
      </c>
      <c r="I286">
        <v>0</v>
      </c>
      <c r="J286">
        <v>2432</v>
      </c>
      <c r="K286">
        <v>3141</v>
      </c>
      <c r="L286">
        <v>100</v>
      </c>
      <c r="M286">
        <v>14.36</v>
      </c>
      <c r="N286">
        <v>-10.58</v>
      </c>
      <c r="O286">
        <v>0</v>
      </c>
      <c r="P286" t="b">
        <v>0</v>
      </c>
      <c r="Q286">
        <v>0</v>
      </c>
      <c r="R286">
        <v>-244</v>
      </c>
      <c r="U286" t="s">
        <v>1678</v>
      </c>
      <c r="V286" t="s">
        <v>2357</v>
      </c>
      <c r="W286">
        <v>0</v>
      </c>
      <c r="X286">
        <v>0</v>
      </c>
      <c r="Y286" t="s">
        <v>3008</v>
      </c>
      <c r="Z286">
        <v>-7.799999999999995</v>
      </c>
      <c r="AA286">
        <v>729</v>
      </c>
      <c r="AB286">
        <v>1625882</v>
      </c>
      <c r="AC286" t="s">
        <v>3662</v>
      </c>
      <c r="AD286">
        <v>27.4</v>
      </c>
      <c r="AE286" t="s">
        <v>4341</v>
      </c>
      <c r="AF286" t="s">
        <v>4741</v>
      </c>
      <c r="AG286">
        <v>12918</v>
      </c>
      <c r="AH286">
        <v>23</v>
      </c>
      <c r="AI286">
        <v>661901</v>
      </c>
      <c r="AJ286">
        <v>1.48</v>
      </c>
    </row>
    <row r="287" spans="1:36">
      <c r="A287" s="1" t="s">
        <v>321</v>
      </c>
      <c r="B287" t="s">
        <v>1000</v>
      </c>
      <c r="C287">
        <f>HYPERLINK("https://finance.naver.com/item/coinfo.nhn?code=080440", "A080440")</f>
        <v>0</v>
      </c>
      <c r="D287">
        <f>HYPERLINK("http://comp.fnguide.com/SVO2/ASP/SVD_Consensus.asp?pGB=1&amp;gicode=A080440&amp;cID=&amp;MenuYn=Y&amp;ReportGB=&amp;NewMenuID=108&amp;stkGb=701", "에스제이케이")</f>
        <v>0</v>
      </c>
      <c r="E287">
        <v>3</v>
      </c>
      <c r="F287">
        <v>498</v>
      </c>
      <c r="G287">
        <v>0</v>
      </c>
      <c r="I287">
        <v>0</v>
      </c>
      <c r="J287">
        <v>593</v>
      </c>
      <c r="K287">
        <v>766</v>
      </c>
      <c r="L287">
        <v>100</v>
      </c>
      <c r="M287">
        <v>-19.06</v>
      </c>
      <c r="N287">
        <v>-53.74</v>
      </c>
      <c r="O287">
        <v>0</v>
      </c>
      <c r="P287" t="b">
        <v>0</v>
      </c>
      <c r="Q287">
        <v>0</v>
      </c>
      <c r="R287">
        <v>-857</v>
      </c>
      <c r="U287" t="s">
        <v>1679</v>
      </c>
      <c r="V287" t="s">
        <v>2358</v>
      </c>
      <c r="W287">
        <v>0</v>
      </c>
      <c r="Y287" t="s">
        <v>2757</v>
      </c>
      <c r="Z287">
        <v>0</v>
      </c>
      <c r="AA287">
        <v>66</v>
      </c>
      <c r="AB287">
        <v>0</v>
      </c>
      <c r="AC287" t="s">
        <v>3663</v>
      </c>
      <c r="AD287">
        <v>3.59</v>
      </c>
      <c r="AE287" t="s">
        <v>4342</v>
      </c>
      <c r="AF287" t="s">
        <v>4741</v>
      </c>
      <c r="AG287">
        <v>41</v>
      </c>
      <c r="AH287">
        <v>-55</v>
      </c>
      <c r="AI287">
        <v>2619</v>
      </c>
    </row>
    <row r="288" spans="1:36">
      <c r="A288" s="1" t="s">
        <v>322</v>
      </c>
      <c r="B288" t="s">
        <v>1001</v>
      </c>
      <c r="C288">
        <f>HYPERLINK("https://finance.naver.com/item/coinfo.nhn?code=069510", "A069510")</f>
        <v>0</v>
      </c>
      <c r="D288">
        <f>HYPERLINK("http://comp.fnguide.com/SVO2/ASP/SVD_Consensus.asp?pGB=1&amp;gicode=A069510&amp;cID=&amp;MenuYn=Y&amp;ReportGB=&amp;NewMenuID=108&amp;stkGb=701", "에스텍")</f>
        <v>0</v>
      </c>
      <c r="E288">
        <v>3</v>
      </c>
      <c r="F288">
        <v>11700</v>
      </c>
      <c r="G288">
        <v>-0.7</v>
      </c>
      <c r="H288">
        <v>10.11</v>
      </c>
      <c r="I288">
        <v>23525</v>
      </c>
      <c r="J288">
        <v>20640</v>
      </c>
      <c r="K288">
        <v>19800</v>
      </c>
      <c r="L288">
        <v>-101.06</v>
      </c>
      <c r="M288">
        <v>-76.41</v>
      </c>
      <c r="N288">
        <v>-69.23</v>
      </c>
      <c r="O288">
        <v>10.36</v>
      </c>
      <c r="P288" t="b">
        <v>1</v>
      </c>
      <c r="Q288">
        <v>1</v>
      </c>
      <c r="R288">
        <v>1117</v>
      </c>
      <c r="S288">
        <v>1146</v>
      </c>
      <c r="T288">
        <v>2.6</v>
      </c>
      <c r="U288" t="s">
        <v>1680</v>
      </c>
      <c r="V288" t="s">
        <v>2359</v>
      </c>
      <c r="W288">
        <v>-14.40791208454625</v>
      </c>
      <c r="X288">
        <v>-29.1</v>
      </c>
      <c r="Y288" t="s">
        <v>3009</v>
      </c>
      <c r="Z288">
        <v>-2.966182901016401</v>
      </c>
      <c r="AA288">
        <v>1276</v>
      </c>
      <c r="AB288">
        <v>20804</v>
      </c>
      <c r="AC288" t="s">
        <v>3664</v>
      </c>
      <c r="AD288">
        <v>49.55</v>
      </c>
      <c r="AE288" t="s">
        <v>4343</v>
      </c>
      <c r="AF288" t="s">
        <v>4999</v>
      </c>
      <c r="AG288">
        <v>3125</v>
      </c>
      <c r="AH288">
        <v>133</v>
      </c>
      <c r="AI288">
        <v>2500000</v>
      </c>
      <c r="AJ288">
        <v>3.54</v>
      </c>
    </row>
    <row r="289" spans="1:36">
      <c r="A289" s="1" t="s">
        <v>323</v>
      </c>
      <c r="B289" t="s">
        <v>1002</v>
      </c>
      <c r="C289">
        <f>HYPERLINK("https://finance.naver.com/item/coinfo.nhn?code=003800", "A003800")</f>
        <v>0</v>
      </c>
      <c r="D289">
        <f>HYPERLINK("http://comp.fnguide.com/SVO2/ASP/SVD_Consensus.asp?pGB=1&amp;gicode=A003800&amp;cID=&amp;MenuYn=Y&amp;ReportGB=&amp;NewMenuID=108&amp;stkGb=701", "에이스침대")</f>
        <v>0</v>
      </c>
      <c r="E289">
        <v>3</v>
      </c>
      <c r="F289">
        <v>44150</v>
      </c>
      <c r="G289">
        <v>0</v>
      </c>
      <c r="H289">
        <v>8.57</v>
      </c>
      <c r="I289">
        <v>57474</v>
      </c>
      <c r="J289">
        <v>52705</v>
      </c>
      <c r="K289">
        <v>51316</v>
      </c>
      <c r="L289">
        <v>-30.18</v>
      </c>
      <c r="M289">
        <v>-19.38</v>
      </c>
      <c r="N289">
        <v>-16.23</v>
      </c>
      <c r="O289">
        <v>9.550000000000001</v>
      </c>
      <c r="P289" t="b">
        <v>1</v>
      </c>
      <c r="Q289">
        <v>0</v>
      </c>
      <c r="R289">
        <v>4448</v>
      </c>
      <c r="U289" t="s">
        <v>1681</v>
      </c>
      <c r="V289" t="s">
        <v>2360</v>
      </c>
      <c r="W289">
        <v>0</v>
      </c>
      <c r="X289">
        <v>11.6</v>
      </c>
      <c r="Y289" t="s">
        <v>3010</v>
      </c>
      <c r="Z289">
        <v>10.12465428540645</v>
      </c>
      <c r="AA289">
        <v>4896</v>
      </c>
      <c r="AB289">
        <v>4250</v>
      </c>
      <c r="AC289" t="s">
        <v>3665</v>
      </c>
      <c r="AD289">
        <v>79.56</v>
      </c>
      <c r="AE289" t="s">
        <v>4344</v>
      </c>
      <c r="AF289" t="s">
        <v>5000</v>
      </c>
      <c r="AG289">
        <v>2895</v>
      </c>
      <c r="AH289">
        <v>493</v>
      </c>
      <c r="AI289">
        <v>838055</v>
      </c>
      <c r="AJ289">
        <v>2.89</v>
      </c>
    </row>
    <row r="290" spans="1:36">
      <c r="A290" s="1" t="s">
        <v>324</v>
      </c>
      <c r="B290" t="s">
        <v>1003</v>
      </c>
      <c r="C290">
        <f>HYPERLINK("https://finance.naver.com/item/coinfo.nhn?code=039230", "A039230")</f>
        <v>0</v>
      </c>
      <c r="D290">
        <f>HYPERLINK("http://comp.fnguide.com/SVO2/ASP/SVD_Consensus.asp?pGB=1&amp;gicode=A039230&amp;cID=&amp;MenuYn=Y&amp;ReportGB=&amp;NewMenuID=108&amp;stkGb=701", "에이아이비트")</f>
        <v>0</v>
      </c>
      <c r="E290">
        <v>3</v>
      </c>
      <c r="F290">
        <v>543</v>
      </c>
      <c r="G290">
        <v>0</v>
      </c>
      <c r="I290">
        <v>0</v>
      </c>
      <c r="J290">
        <v>731</v>
      </c>
      <c r="K290">
        <v>944</v>
      </c>
      <c r="L290">
        <v>100</v>
      </c>
      <c r="M290">
        <v>-34.7</v>
      </c>
      <c r="N290">
        <v>-73.93000000000001</v>
      </c>
      <c r="O290">
        <v>0</v>
      </c>
      <c r="P290" t="b">
        <v>0</v>
      </c>
      <c r="Q290">
        <v>0</v>
      </c>
      <c r="R290">
        <v>-213</v>
      </c>
      <c r="U290" t="s">
        <v>1682</v>
      </c>
      <c r="V290" t="s">
        <v>2361</v>
      </c>
      <c r="W290">
        <v>0</v>
      </c>
      <c r="X290">
        <v>0</v>
      </c>
      <c r="Y290" t="s">
        <v>2762</v>
      </c>
      <c r="Z290">
        <v>0</v>
      </c>
      <c r="AA290">
        <v>200</v>
      </c>
      <c r="AB290">
        <v>0</v>
      </c>
      <c r="AC290" t="s">
        <v>3666</v>
      </c>
      <c r="AD290">
        <v>5.12</v>
      </c>
      <c r="AE290" t="s">
        <v>4345</v>
      </c>
      <c r="AF290" t="s">
        <v>4741</v>
      </c>
      <c r="AG290">
        <v>292</v>
      </c>
      <c r="AH290">
        <v>-37</v>
      </c>
    </row>
    <row r="291" spans="1:36">
      <c r="A291" s="1" t="s">
        <v>325</v>
      </c>
      <c r="B291" t="s">
        <v>1004</v>
      </c>
      <c r="C291">
        <f>HYPERLINK("https://finance.naver.com/item/coinfo.nhn?code=044780", "A044780")</f>
        <v>0</v>
      </c>
      <c r="D291">
        <f>HYPERLINK("http://comp.fnguide.com/SVO2/ASP/SVD_Consensus.asp?pGB=1&amp;gicode=A044780&amp;cID=&amp;MenuYn=Y&amp;ReportGB=&amp;NewMenuID=108&amp;stkGb=701", "에이치케이")</f>
        <v>0</v>
      </c>
      <c r="E291">
        <v>3</v>
      </c>
      <c r="F291">
        <v>2100</v>
      </c>
      <c r="G291">
        <v>0</v>
      </c>
      <c r="H291">
        <v>27.1</v>
      </c>
      <c r="I291">
        <v>768</v>
      </c>
      <c r="J291">
        <v>1928</v>
      </c>
      <c r="K291">
        <v>2265</v>
      </c>
      <c r="L291">
        <v>63.44</v>
      </c>
      <c r="M291">
        <v>8.210000000000001</v>
      </c>
      <c r="N291">
        <v>-7.87</v>
      </c>
      <c r="O291">
        <v>2.32</v>
      </c>
      <c r="P291" t="b">
        <v>1</v>
      </c>
      <c r="Q291">
        <v>0</v>
      </c>
      <c r="R291">
        <v>66</v>
      </c>
      <c r="U291" t="s">
        <v>1683</v>
      </c>
      <c r="V291" t="s">
        <v>2362</v>
      </c>
      <c r="W291">
        <v>0</v>
      </c>
      <c r="X291">
        <v>48.4</v>
      </c>
      <c r="Y291" t="s">
        <v>3011</v>
      </c>
      <c r="Z291">
        <v>58.82066354615001</v>
      </c>
      <c r="AA291">
        <v>389</v>
      </c>
      <c r="AB291">
        <v>180834</v>
      </c>
      <c r="AC291" t="s">
        <v>3667</v>
      </c>
      <c r="AD291">
        <v>22.15</v>
      </c>
      <c r="AE291" t="s">
        <v>4346</v>
      </c>
      <c r="AF291" t="s">
        <v>5001</v>
      </c>
      <c r="AG291">
        <v>555</v>
      </c>
      <c r="AH291">
        <v>14</v>
      </c>
      <c r="AI291">
        <v>162404</v>
      </c>
    </row>
    <row r="292" spans="1:36">
      <c r="A292" s="1" t="s">
        <v>326</v>
      </c>
      <c r="B292" t="s">
        <v>1005</v>
      </c>
      <c r="C292">
        <f>HYPERLINK("https://finance.naver.com/item/coinfo.nhn?code=109960", "A109960")</f>
        <v>0</v>
      </c>
      <c r="D292">
        <f>HYPERLINK("http://comp.fnguide.com/SVO2/ASP/SVD_Consensus.asp?pGB=1&amp;gicode=A109960&amp;cID=&amp;MenuYn=Y&amp;ReportGB=&amp;NewMenuID=108&amp;stkGb=701", "에이프로젠 H&amp;G")</f>
        <v>0</v>
      </c>
      <c r="E292">
        <v>3</v>
      </c>
      <c r="F292">
        <v>1020</v>
      </c>
      <c r="G292">
        <v>0</v>
      </c>
      <c r="H292">
        <v>11.96</v>
      </c>
      <c r="I292">
        <v>534</v>
      </c>
      <c r="J292">
        <v>988</v>
      </c>
      <c r="K292">
        <v>1120</v>
      </c>
      <c r="L292">
        <v>47.63</v>
      </c>
      <c r="M292">
        <v>3.13</v>
      </c>
      <c r="N292">
        <v>-9.83</v>
      </c>
      <c r="O292">
        <v>3.38</v>
      </c>
      <c r="P292" t="b">
        <v>1</v>
      </c>
      <c r="Q292">
        <v>0</v>
      </c>
      <c r="R292">
        <v>62</v>
      </c>
      <c r="U292" t="s">
        <v>1684</v>
      </c>
      <c r="V292" t="s">
        <v>2363</v>
      </c>
      <c r="W292">
        <v>0</v>
      </c>
      <c r="X292">
        <v>0</v>
      </c>
      <c r="Y292" t="s">
        <v>2762</v>
      </c>
      <c r="Z292">
        <v>0</v>
      </c>
      <c r="AA292">
        <v>1823</v>
      </c>
      <c r="AB292">
        <v>121323881</v>
      </c>
      <c r="AC292" t="s">
        <v>3668</v>
      </c>
      <c r="AD292">
        <v>59.7</v>
      </c>
      <c r="AE292" t="s">
        <v>4347</v>
      </c>
      <c r="AF292" t="s">
        <v>5002</v>
      </c>
      <c r="AG292">
        <v>103</v>
      </c>
      <c r="AH292">
        <v>-20</v>
      </c>
      <c r="AI292">
        <v>162557</v>
      </c>
    </row>
    <row r="293" spans="1:36">
      <c r="A293" s="1" t="s">
        <v>327</v>
      </c>
      <c r="B293" t="s">
        <v>1006</v>
      </c>
      <c r="C293">
        <f>HYPERLINK("https://finance.naver.com/item/coinfo.nhn?code=198080", "A198080")</f>
        <v>0</v>
      </c>
      <c r="D293">
        <f>HYPERLINK("http://comp.fnguide.com/SVO2/ASP/SVD_Consensus.asp?pGB=1&amp;gicode=A198080&amp;cID=&amp;MenuYn=Y&amp;ReportGB=&amp;NewMenuID=108&amp;stkGb=701", "엔피디")</f>
        <v>0</v>
      </c>
      <c r="E293">
        <v>3</v>
      </c>
      <c r="F293">
        <v>4230</v>
      </c>
      <c r="G293">
        <v>0</v>
      </c>
      <c r="I293">
        <v>8804</v>
      </c>
      <c r="J293">
        <v>5861</v>
      </c>
      <c r="K293">
        <v>5004</v>
      </c>
      <c r="L293">
        <v>-108.14</v>
      </c>
      <c r="M293">
        <v>-38.57</v>
      </c>
      <c r="N293">
        <v>-18.3</v>
      </c>
      <c r="O293">
        <v>18.8</v>
      </c>
      <c r="P293" t="b">
        <v>0</v>
      </c>
      <c r="Q293">
        <v>0</v>
      </c>
      <c r="R293">
        <v>-247</v>
      </c>
      <c r="U293" t="s">
        <v>1685</v>
      </c>
      <c r="V293" t="s">
        <v>2364</v>
      </c>
      <c r="W293">
        <v>0</v>
      </c>
      <c r="X293">
        <v>0</v>
      </c>
      <c r="Y293" t="s">
        <v>3012</v>
      </c>
      <c r="Z293">
        <v>26.12477383526033</v>
      </c>
      <c r="AA293">
        <v>911</v>
      </c>
      <c r="AB293">
        <v>448417</v>
      </c>
      <c r="AC293" t="s">
        <v>3669</v>
      </c>
      <c r="AD293">
        <v>64.08</v>
      </c>
      <c r="AE293" t="s">
        <v>4348</v>
      </c>
      <c r="AF293" t="s">
        <v>4741</v>
      </c>
      <c r="AG293">
        <v>2331</v>
      </c>
      <c r="AH293">
        <v>83</v>
      </c>
    </row>
    <row r="294" spans="1:36">
      <c r="A294" s="1" t="s">
        <v>328</v>
      </c>
      <c r="B294" t="s">
        <v>1007</v>
      </c>
      <c r="C294">
        <f>HYPERLINK("https://finance.naver.com/item/coinfo.nhn?code=045060", "A045060")</f>
        <v>0</v>
      </c>
      <c r="D294">
        <f>HYPERLINK("http://comp.fnguide.com/SVO2/ASP/SVD_Consensus.asp?pGB=1&amp;gicode=A045060&amp;cID=&amp;MenuYn=Y&amp;ReportGB=&amp;NewMenuID=108&amp;stkGb=701", "오공")</f>
        <v>0</v>
      </c>
      <c r="E294">
        <v>3</v>
      </c>
      <c r="F294">
        <v>5050</v>
      </c>
      <c r="G294">
        <v>0</v>
      </c>
      <c r="H294">
        <v>11.09</v>
      </c>
      <c r="I294">
        <v>5922</v>
      </c>
      <c r="J294">
        <v>5446</v>
      </c>
      <c r="K294">
        <v>5307</v>
      </c>
      <c r="L294">
        <v>-17.26</v>
      </c>
      <c r="M294">
        <v>-7.84</v>
      </c>
      <c r="N294">
        <v>-5.09</v>
      </c>
      <c r="O294">
        <v>9.51</v>
      </c>
      <c r="P294" t="b">
        <v>1</v>
      </c>
      <c r="Q294">
        <v>0</v>
      </c>
      <c r="R294">
        <v>455</v>
      </c>
      <c r="U294" t="s">
        <v>1686</v>
      </c>
      <c r="V294" t="s">
        <v>2365</v>
      </c>
      <c r="W294">
        <v>0</v>
      </c>
      <c r="X294">
        <v>2.9</v>
      </c>
      <c r="Y294" t="s">
        <v>3013</v>
      </c>
      <c r="Z294">
        <v>21.0542277726838</v>
      </c>
      <c r="AA294">
        <v>856</v>
      </c>
      <c r="AB294">
        <v>92345</v>
      </c>
      <c r="AC294" t="s">
        <v>3670</v>
      </c>
      <c r="AD294">
        <v>30.92</v>
      </c>
      <c r="AE294" t="s">
        <v>4349</v>
      </c>
      <c r="AF294" t="s">
        <v>5003</v>
      </c>
      <c r="AG294">
        <v>1508</v>
      </c>
      <c r="AH294">
        <v>99</v>
      </c>
      <c r="AI294">
        <v>87473</v>
      </c>
      <c r="AJ294">
        <v>1.19</v>
      </c>
    </row>
    <row r="295" spans="1:36">
      <c r="A295" s="1" t="s">
        <v>329</v>
      </c>
      <c r="B295" t="s">
        <v>1008</v>
      </c>
      <c r="C295">
        <f>HYPERLINK("https://finance.naver.com/item/coinfo.nhn?code=073110", "A073110")</f>
        <v>0</v>
      </c>
      <c r="D295">
        <f>HYPERLINK("http://comp.fnguide.com/SVO2/ASP/SVD_Consensus.asp?pGB=1&amp;gicode=A073110&amp;cID=&amp;MenuYn=Y&amp;ReportGB=&amp;NewMenuID=108&amp;stkGb=701", "엘엠에스")</f>
        <v>0</v>
      </c>
      <c r="E295">
        <v>3</v>
      </c>
      <c r="F295">
        <v>10600</v>
      </c>
      <c r="G295">
        <v>0</v>
      </c>
      <c r="I295">
        <v>7618</v>
      </c>
      <c r="J295">
        <v>12360</v>
      </c>
      <c r="K295">
        <v>13741</v>
      </c>
      <c r="L295">
        <v>28.14</v>
      </c>
      <c r="M295">
        <v>-16.6</v>
      </c>
      <c r="N295">
        <v>-29.64</v>
      </c>
      <c r="O295">
        <v>4.01</v>
      </c>
      <c r="P295" t="b">
        <v>0</v>
      </c>
      <c r="Q295">
        <v>0</v>
      </c>
      <c r="R295">
        <v>-2076</v>
      </c>
      <c r="U295" t="s">
        <v>1687</v>
      </c>
      <c r="V295" t="s">
        <v>2366</v>
      </c>
      <c r="W295">
        <v>0</v>
      </c>
      <c r="X295">
        <v>0</v>
      </c>
      <c r="Y295" t="s">
        <v>3014</v>
      </c>
      <c r="Z295">
        <v>8.229894206730147</v>
      </c>
      <c r="AA295">
        <v>943</v>
      </c>
      <c r="AB295">
        <v>12397</v>
      </c>
      <c r="AC295" t="s">
        <v>3671</v>
      </c>
      <c r="AD295">
        <v>23.45</v>
      </c>
      <c r="AE295" t="s">
        <v>4350</v>
      </c>
      <c r="AF295" t="s">
        <v>5004</v>
      </c>
      <c r="AG295">
        <v>1197</v>
      </c>
      <c r="AH295">
        <v>-125</v>
      </c>
      <c r="AI295">
        <v>2473501</v>
      </c>
      <c r="AJ295">
        <v>1.49</v>
      </c>
    </row>
    <row r="296" spans="1:36">
      <c r="A296" s="1" t="s">
        <v>330</v>
      </c>
      <c r="B296" t="s">
        <v>1009</v>
      </c>
      <c r="C296">
        <f>HYPERLINK("https://finance.naver.com/item/coinfo.nhn?code=009780", "A009780")</f>
        <v>0</v>
      </c>
      <c r="D296">
        <f>HYPERLINK("http://comp.fnguide.com/SVO2/ASP/SVD_Consensus.asp?pGB=1&amp;gicode=A009780&amp;cID=&amp;MenuYn=Y&amp;ReportGB=&amp;NewMenuID=108&amp;stkGb=701", "엠에스씨")</f>
        <v>0</v>
      </c>
      <c r="E296">
        <v>3</v>
      </c>
      <c r="F296">
        <v>5470</v>
      </c>
      <c r="G296">
        <v>0</v>
      </c>
      <c r="H296">
        <v>9.859999999999999</v>
      </c>
      <c r="I296">
        <v>8012</v>
      </c>
      <c r="J296">
        <v>6651</v>
      </c>
      <c r="K296">
        <v>6255</v>
      </c>
      <c r="L296">
        <v>-46.46</v>
      </c>
      <c r="M296">
        <v>-21.6</v>
      </c>
      <c r="N296">
        <v>-14.36</v>
      </c>
      <c r="O296">
        <v>11.51</v>
      </c>
      <c r="P296" t="b">
        <v>1</v>
      </c>
      <c r="Q296">
        <v>0</v>
      </c>
      <c r="R296">
        <v>508</v>
      </c>
      <c r="U296" t="s">
        <v>1688</v>
      </c>
      <c r="V296" t="s">
        <v>2367</v>
      </c>
      <c r="W296">
        <v>0</v>
      </c>
      <c r="X296">
        <v>-23</v>
      </c>
      <c r="Y296" t="s">
        <v>3015</v>
      </c>
      <c r="Z296">
        <v>11.64611390990344</v>
      </c>
      <c r="AA296">
        <v>963</v>
      </c>
      <c r="AB296">
        <v>264163</v>
      </c>
      <c r="AC296" t="s">
        <v>3672</v>
      </c>
      <c r="AD296">
        <v>73.22</v>
      </c>
      <c r="AE296" t="s">
        <v>4351</v>
      </c>
      <c r="AF296" t="s">
        <v>5005</v>
      </c>
      <c r="AG296">
        <v>1464</v>
      </c>
      <c r="AH296">
        <v>129</v>
      </c>
      <c r="AJ296">
        <v>1.2</v>
      </c>
    </row>
    <row r="297" spans="1:36">
      <c r="A297" s="1" t="s">
        <v>331</v>
      </c>
      <c r="B297" t="s">
        <v>1010</v>
      </c>
      <c r="C297">
        <f>HYPERLINK("https://finance.naver.com/item/coinfo.nhn?code=033160", "A033160")</f>
        <v>0</v>
      </c>
      <c r="D297">
        <f>HYPERLINK("http://comp.fnguide.com/SVO2/ASP/SVD_Consensus.asp?pGB=1&amp;gicode=A033160&amp;cID=&amp;MenuYn=Y&amp;ReportGB=&amp;NewMenuID=108&amp;stkGb=701", "엠케이전자")</f>
        <v>0</v>
      </c>
      <c r="E297">
        <v>3</v>
      </c>
      <c r="F297">
        <v>11300</v>
      </c>
      <c r="G297">
        <v>0</v>
      </c>
      <c r="H297">
        <v>8.31</v>
      </c>
      <c r="I297">
        <v>13131</v>
      </c>
      <c r="J297">
        <v>15347</v>
      </c>
      <c r="K297">
        <v>15992</v>
      </c>
      <c r="L297">
        <v>-16.21</v>
      </c>
      <c r="M297">
        <v>-35.81</v>
      </c>
      <c r="N297">
        <v>-41.52</v>
      </c>
      <c r="O297">
        <v>6.4</v>
      </c>
      <c r="P297" t="b">
        <v>1</v>
      </c>
      <c r="Q297">
        <v>0</v>
      </c>
      <c r="R297">
        <v>1269</v>
      </c>
      <c r="U297" t="s">
        <v>1689</v>
      </c>
      <c r="V297" t="s">
        <v>2368</v>
      </c>
      <c r="W297">
        <v>0</v>
      </c>
      <c r="X297">
        <v>291.2</v>
      </c>
      <c r="Y297" t="s">
        <v>3016</v>
      </c>
      <c r="Z297">
        <v>-28.31026662328197</v>
      </c>
      <c r="AA297">
        <v>2464</v>
      </c>
      <c r="AB297">
        <v>121438</v>
      </c>
      <c r="AC297" t="s">
        <v>3673</v>
      </c>
      <c r="AD297">
        <v>35.85</v>
      </c>
      <c r="AE297" t="s">
        <v>4352</v>
      </c>
      <c r="AF297" t="s">
        <v>5006</v>
      </c>
      <c r="AG297">
        <v>8758</v>
      </c>
      <c r="AH297">
        <v>1110</v>
      </c>
      <c r="AI297">
        <v>919254</v>
      </c>
      <c r="AJ297">
        <v>1.33</v>
      </c>
    </row>
    <row r="298" spans="1:36">
      <c r="A298" s="1" t="s">
        <v>332</v>
      </c>
      <c r="B298" t="s">
        <v>1011</v>
      </c>
      <c r="C298">
        <f>HYPERLINK("https://finance.naver.com/item/coinfo.nhn?code=036560", "A036560")</f>
        <v>0</v>
      </c>
      <c r="D298">
        <f>HYPERLINK("http://comp.fnguide.com/SVO2/ASP/SVD_Consensus.asp?pGB=1&amp;gicode=A036560&amp;cID=&amp;MenuYn=Y&amp;ReportGB=&amp;NewMenuID=108&amp;stkGb=701", "영풍정밀")</f>
        <v>0</v>
      </c>
      <c r="E298">
        <v>3</v>
      </c>
      <c r="F298">
        <v>8930</v>
      </c>
      <c r="G298">
        <v>0</v>
      </c>
      <c r="H298">
        <v>9.56</v>
      </c>
      <c r="I298">
        <v>9698</v>
      </c>
      <c r="J298">
        <v>14550</v>
      </c>
      <c r="K298">
        <v>15963</v>
      </c>
      <c r="L298">
        <v>-8.6</v>
      </c>
      <c r="M298">
        <v>-62.93</v>
      </c>
      <c r="N298">
        <v>-78.76000000000001</v>
      </c>
      <c r="O298">
        <v>4.46</v>
      </c>
      <c r="P298" t="b">
        <v>1</v>
      </c>
      <c r="Q298">
        <v>0</v>
      </c>
      <c r="R298">
        <v>847</v>
      </c>
      <c r="U298" t="s">
        <v>1690</v>
      </c>
      <c r="V298" t="s">
        <v>2369</v>
      </c>
      <c r="W298">
        <v>0</v>
      </c>
      <c r="X298">
        <v>6</v>
      </c>
      <c r="Y298" t="s">
        <v>3017</v>
      </c>
      <c r="Z298">
        <v>7.93673649024611</v>
      </c>
      <c r="AA298">
        <v>1406</v>
      </c>
      <c r="AB298">
        <v>111477</v>
      </c>
      <c r="AC298" t="s">
        <v>3674</v>
      </c>
      <c r="AD298">
        <v>51.07</v>
      </c>
      <c r="AE298" t="s">
        <v>4353</v>
      </c>
      <c r="AF298" t="s">
        <v>5007</v>
      </c>
      <c r="AG298">
        <v>908</v>
      </c>
      <c r="AH298">
        <v>103</v>
      </c>
      <c r="AJ298">
        <v>4.33</v>
      </c>
    </row>
    <row r="299" spans="1:36">
      <c r="A299" s="1" t="s">
        <v>333</v>
      </c>
      <c r="B299" t="s">
        <v>1012</v>
      </c>
      <c r="C299">
        <f>HYPERLINK("https://finance.naver.com/item/coinfo.nhn?code=036000", "A036000")</f>
        <v>0</v>
      </c>
      <c r="D299">
        <f>HYPERLINK("http://comp.fnguide.com/SVO2/ASP/SVD_Consensus.asp?pGB=1&amp;gicode=A036000&amp;cID=&amp;MenuYn=Y&amp;ReportGB=&amp;NewMenuID=108&amp;stkGb=701", "예림당")</f>
        <v>0</v>
      </c>
      <c r="E299">
        <v>3</v>
      </c>
      <c r="F299">
        <v>3225</v>
      </c>
      <c r="G299">
        <v>0</v>
      </c>
      <c r="I299">
        <v>1308</v>
      </c>
      <c r="J299">
        <v>3837</v>
      </c>
      <c r="K299">
        <v>4573</v>
      </c>
      <c r="L299">
        <v>59.45</v>
      </c>
      <c r="M299">
        <v>-18.97</v>
      </c>
      <c r="N299">
        <v>-41.81</v>
      </c>
      <c r="O299">
        <v>1.93</v>
      </c>
      <c r="P299" t="b">
        <v>0</v>
      </c>
      <c r="Q299">
        <v>0</v>
      </c>
      <c r="R299">
        <v>-1747</v>
      </c>
      <c r="U299" t="s">
        <v>1691</v>
      </c>
      <c r="V299" t="s">
        <v>2370</v>
      </c>
      <c r="W299">
        <v>0</v>
      </c>
      <c r="X299">
        <v>0</v>
      </c>
      <c r="Y299" t="s">
        <v>3018</v>
      </c>
      <c r="Z299">
        <v>93.9860640696177</v>
      </c>
      <c r="AA299">
        <v>743</v>
      </c>
      <c r="AB299">
        <v>74687</v>
      </c>
      <c r="AC299" t="s">
        <v>3675</v>
      </c>
      <c r="AD299">
        <v>54.26</v>
      </c>
      <c r="AE299" t="s">
        <v>4354</v>
      </c>
      <c r="AF299" t="s">
        <v>5008</v>
      </c>
      <c r="AG299">
        <v>2936</v>
      </c>
      <c r="AH299">
        <v>-1742</v>
      </c>
    </row>
    <row r="300" spans="1:36">
      <c r="A300" s="1" t="s">
        <v>334</v>
      </c>
      <c r="B300" t="s">
        <v>1013</v>
      </c>
      <c r="C300">
        <f>HYPERLINK("https://finance.naver.com/item/coinfo.nhn?code=900300", "A900300")</f>
        <v>0</v>
      </c>
      <c r="D300">
        <f>HYPERLINK("http://comp.fnguide.com/SVO2/ASP/SVD_Consensus.asp?pGB=1&amp;gicode=A900300&amp;cID=&amp;MenuYn=Y&amp;ReportGB=&amp;NewMenuID=108&amp;stkGb=701", "오가닉티코스메틱")</f>
        <v>0</v>
      </c>
      <c r="E300">
        <v>3</v>
      </c>
      <c r="F300">
        <v>709</v>
      </c>
      <c r="G300">
        <v>0</v>
      </c>
      <c r="H300">
        <v>2.6</v>
      </c>
      <c r="I300">
        <v>6930</v>
      </c>
      <c r="J300">
        <v>4890</v>
      </c>
      <c r="K300">
        <v>4296</v>
      </c>
      <c r="L300">
        <v>-877.38</v>
      </c>
      <c r="M300">
        <v>-589.76</v>
      </c>
      <c r="N300">
        <v>-505.98</v>
      </c>
      <c r="O300">
        <v>16.29</v>
      </c>
      <c r="P300" t="b">
        <v>0</v>
      </c>
      <c r="Q300">
        <v>0</v>
      </c>
      <c r="R300">
        <v>559</v>
      </c>
      <c r="U300" t="s">
        <v>1692</v>
      </c>
      <c r="V300" t="s">
        <v>2371</v>
      </c>
      <c r="W300">
        <v>0</v>
      </c>
      <c r="Y300" t="s">
        <v>3019</v>
      </c>
      <c r="Z300">
        <v>0</v>
      </c>
      <c r="AA300">
        <v>457</v>
      </c>
      <c r="AB300">
        <v>994955</v>
      </c>
      <c r="AC300" t="s">
        <v>3676</v>
      </c>
      <c r="AD300">
        <v>11.62</v>
      </c>
      <c r="AE300" t="s">
        <v>4355</v>
      </c>
      <c r="AF300" t="s">
        <v>5009</v>
      </c>
      <c r="AG300">
        <v>2996</v>
      </c>
      <c r="AH300">
        <v>459</v>
      </c>
    </row>
    <row r="301" spans="1:36">
      <c r="A301" s="1" t="s">
        <v>335</v>
      </c>
      <c r="B301" t="s">
        <v>1014</v>
      </c>
      <c r="C301">
        <f>HYPERLINK("https://finance.naver.com/item/coinfo.nhn?code=010770", "A010770")</f>
        <v>0</v>
      </c>
      <c r="D301">
        <f>HYPERLINK("http://comp.fnguide.com/SVO2/ASP/SVD_Consensus.asp?pGB=1&amp;gicode=A010770&amp;cID=&amp;MenuYn=Y&amp;ReportGB=&amp;NewMenuID=108&amp;stkGb=701", "평화홀딩스")</f>
        <v>0</v>
      </c>
      <c r="E301">
        <v>3</v>
      </c>
      <c r="F301">
        <v>4240</v>
      </c>
      <c r="G301">
        <v>0</v>
      </c>
      <c r="I301">
        <v>0</v>
      </c>
      <c r="J301">
        <v>4921</v>
      </c>
      <c r="K301">
        <v>6354</v>
      </c>
      <c r="L301">
        <v>100</v>
      </c>
      <c r="M301">
        <v>-16.05</v>
      </c>
      <c r="N301">
        <v>-49.86</v>
      </c>
      <c r="O301">
        <v>0</v>
      </c>
      <c r="P301" t="b">
        <v>0</v>
      </c>
      <c r="Q301">
        <v>0</v>
      </c>
      <c r="R301">
        <v>-212</v>
      </c>
      <c r="U301" t="s">
        <v>1693</v>
      </c>
      <c r="V301" t="s">
        <v>2372</v>
      </c>
      <c r="W301">
        <v>0</v>
      </c>
      <c r="X301">
        <v>0</v>
      </c>
      <c r="Y301" t="s">
        <v>3020</v>
      </c>
      <c r="Z301">
        <v>1028.4</v>
      </c>
      <c r="AA301">
        <v>620</v>
      </c>
      <c r="AB301">
        <v>44079</v>
      </c>
      <c r="AC301" t="s">
        <v>3677</v>
      </c>
      <c r="AD301">
        <v>52.34</v>
      </c>
      <c r="AE301" t="s">
        <v>4356</v>
      </c>
      <c r="AF301" t="s">
        <v>4741</v>
      </c>
      <c r="AG301">
        <v>5211</v>
      </c>
      <c r="AH301">
        <v>-31</v>
      </c>
      <c r="AI301">
        <v>768387</v>
      </c>
      <c r="AJ301">
        <v>4.25</v>
      </c>
    </row>
    <row r="302" spans="1:36">
      <c r="A302" s="1" t="s">
        <v>336</v>
      </c>
      <c r="B302" t="s">
        <v>1015</v>
      </c>
      <c r="C302">
        <f>HYPERLINK("https://finance.naver.com/item/coinfo.nhn?code=002320", "A002320")</f>
        <v>0</v>
      </c>
      <c r="D302">
        <f>HYPERLINK("http://comp.fnguide.com/SVO2/ASP/SVD_Consensus.asp?pGB=1&amp;gicode=A002320&amp;cID=&amp;MenuYn=Y&amp;ReportGB=&amp;NewMenuID=108&amp;stkGb=701", "한진")</f>
        <v>0</v>
      </c>
      <c r="E302">
        <v>3</v>
      </c>
      <c r="F302">
        <v>39500</v>
      </c>
      <c r="G302">
        <v>1.64</v>
      </c>
      <c r="H302">
        <v>83.55</v>
      </c>
      <c r="I302">
        <v>11671</v>
      </c>
      <c r="J302">
        <v>48460</v>
      </c>
      <c r="K302">
        <v>59176</v>
      </c>
      <c r="L302">
        <v>70.45</v>
      </c>
      <c r="M302">
        <v>-22.68</v>
      </c>
      <c r="N302">
        <v>-49.81</v>
      </c>
      <c r="O302">
        <v>1.3</v>
      </c>
      <c r="P302" t="b">
        <v>0</v>
      </c>
      <c r="Q302">
        <v>2</v>
      </c>
      <c r="R302">
        <v>572</v>
      </c>
      <c r="S302">
        <v>12510</v>
      </c>
      <c r="T302">
        <v>2087.1</v>
      </c>
      <c r="U302" t="s">
        <v>1694</v>
      </c>
      <c r="V302" t="s">
        <v>2373</v>
      </c>
      <c r="W302">
        <v>51.02147331418712</v>
      </c>
      <c r="X302">
        <v>0</v>
      </c>
      <c r="Y302" t="s">
        <v>3021</v>
      </c>
      <c r="Z302">
        <v>-60.5</v>
      </c>
      <c r="AA302">
        <v>5904</v>
      </c>
      <c r="AB302">
        <v>39893</v>
      </c>
      <c r="AC302" t="s">
        <v>3678</v>
      </c>
      <c r="AD302">
        <v>27.45</v>
      </c>
      <c r="AE302" t="s">
        <v>4357</v>
      </c>
      <c r="AF302" t="s">
        <v>5010</v>
      </c>
      <c r="AG302">
        <v>22157</v>
      </c>
      <c r="AH302">
        <v>1059</v>
      </c>
      <c r="AI302">
        <v>120700</v>
      </c>
      <c r="AJ302">
        <v>1.26</v>
      </c>
    </row>
    <row r="303" spans="1:36">
      <c r="A303" s="1" t="s">
        <v>337</v>
      </c>
      <c r="B303" t="s">
        <v>1016</v>
      </c>
      <c r="C303">
        <f>HYPERLINK("https://finance.naver.com/item/coinfo.nhn?code=019180", "A019180")</f>
        <v>0</v>
      </c>
      <c r="D303">
        <f>HYPERLINK("http://comp.fnguide.com/SVO2/ASP/SVD_Consensus.asp?pGB=1&amp;gicode=A019180&amp;cID=&amp;MenuYn=Y&amp;ReportGB=&amp;NewMenuID=108&amp;stkGb=701", "티에이치엔")</f>
        <v>0</v>
      </c>
      <c r="E303">
        <v>3</v>
      </c>
      <c r="F303">
        <v>3330</v>
      </c>
      <c r="G303">
        <v>0</v>
      </c>
      <c r="I303">
        <v>6055</v>
      </c>
      <c r="J303">
        <v>4679</v>
      </c>
      <c r="K303">
        <v>4279</v>
      </c>
      <c r="L303">
        <v>-81.83</v>
      </c>
      <c r="M303">
        <v>-40.52</v>
      </c>
      <c r="N303">
        <v>-28.49</v>
      </c>
      <c r="O303">
        <v>13.31</v>
      </c>
      <c r="P303" t="b">
        <v>0</v>
      </c>
      <c r="Q303">
        <v>0</v>
      </c>
      <c r="R303">
        <v>-901</v>
      </c>
      <c r="U303" t="s">
        <v>1695</v>
      </c>
      <c r="V303" t="s">
        <v>2374</v>
      </c>
      <c r="W303">
        <v>0</v>
      </c>
      <c r="X303">
        <v>0</v>
      </c>
      <c r="Y303" t="s">
        <v>3022</v>
      </c>
      <c r="Z303">
        <v>4.958017259882075</v>
      </c>
      <c r="AA303">
        <v>599</v>
      </c>
      <c r="AB303">
        <v>174993</v>
      </c>
      <c r="AC303" t="s">
        <v>3679</v>
      </c>
      <c r="AD303">
        <v>42.81</v>
      </c>
      <c r="AE303" t="s">
        <v>4358</v>
      </c>
      <c r="AF303" t="s">
        <v>5011</v>
      </c>
      <c r="AG303">
        <v>3464</v>
      </c>
      <c r="AH303">
        <v>89</v>
      </c>
      <c r="AJ303">
        <v>1.17</v>
      </c>
    </row>
    <row r="304" spans="1:36">
      <c r="A304" s="1" t="s">
        <v>338</v>
      </c>
      <c r="B304" t="s">
        <v>1017</v>
      </c>
      <c r="C304">
        <f>HYPERLINK("https://finance.naver.com/item/coinfo.nhn?code=005960", "A005960")</f>
        <v>0</v>
      </c>
      <c r="D304">
        <f>HYPERLINK("http://comp.fnguide.com/SVO2/ASP/SVD_Consensus.asp?pGB=1&amp;gicode=A005960&amp;cID=&amp;MenuYn=Y&amp;ReportGB=&amp;NewMenuID=108&amp;stkGb=701", "동부건설")</f>
        <v>0</v>
      </c>
      <c r="E304">
        <v>3</v>
      </c>
      <c r="F304">
        <v>12750</v>
      </c>
      <c r="G304">
        <v>0</v>
      </c>
      <c r="H304">
        <v>6.87</v>
      </c>
      <c r="I304">
        <v>34069</v>
      </c>
      <c r="J304">
        <v>25845</v>
      </c>
      <c r="K304">
        <v>23449</v>
      </c>
      <c r="L304">
        <v>-167.21</v>
      </c>
      <c r="M304">
        <v>-102.71</v>
      </c>
      <c r="N304">
        <v>-83.92</v>
      </c>
      <c r="O304">
        <v>13.85</v>
      </c>
      <c r="P304" t="b">
        <v>1</v>
      </c>
      <c r="Q304">
        <v>0</v>
      </c>
      <c r="R304">
        <v>1973</v>
      </c>
      <c r="U304" t="s">
        <v>1696</v>
      </c>
      <c r="V304" t="s">
        <v>2375</v>
      </c>
      <c r="W304">
        <v>0</v>
      </c>
      <c r="X304">
        <v>-29.6</v>
      </c>
      <c r="Y304" t="s">
        <v>3023</v>
      </c>
      <c r="Z304">
        <v>-25.24102432923998</v>
      </c>
      <c r="AA304">
        <v>2898</v>
      </c>
      <c r="AB304">
        <v>114565</v>
      </c>
      <c r="AC304" t="s">
        <v>3680</v>
      </c>
      <c r="AD304">
        <v>56.84</v>
      </c>
      <c r="AE304" t="s">
        <v>4359</v>
      </c>
      <c r="AF304" t="s">
        <v>5012</v>
      </c>
      <c r="AG304">
        <v>12146</v>
      </c>
      <c r="AH304">
        <v>521</v>
      </c>
      <c r="AI304">
        <v>4291</v>
      </c>
      <c r="AJ304">
        <v>6.64</v>
      </c>
    </row>
    <row r="305" spans="1:36">
      <c r="A305" s="1" t="s">
        <v>339</v>
      </c>
      <c r="B305" t="s">
        <v>1018</v>
      </c>
      <c r="C305">
        <f>HYPERLINK("https://finance.naver.com/item/coinfo.nhn?code=006650", "A006650")</f>
        <v>0</v>
      </c>
      <c r="D305">
        <f>HYPERLINK("http://comp.fnguide.com/SVO2/ASP/SVD_Consensus.asp?pGB=1&amp;gicode=A006650&amp;cID=&amp;MenuYn=Y&amp;ReportGB=&amp;NewMenuID=108&amp;stkGb=701", "대한유화")</f>
        <v>0</v>
      </c>
      <c r="E305">
        <v>3</v>
      </c>
      <c r="F305">
        <v>272000</v>
      </c>
      <c r="G305">
        <v>5.31</v>
      </c>
      <c r="H305">
        <v>11.75</v>
      </c>
      <c r="I305">
        <v>306123</v>
      </c>
      <c r="J305">
        <v>306455</v>
      </c>
      <c r="K305">
        <v>306552</v>
      </c>
      <c r="L305">
        <v>-12.55</v>
      </c>
      <c r="M305">
        <v>-12.67</v>
      </c>
      <c r="N305">
        <v>-12.7</v>
      </c>
      <c r="O305">
        <v>8.210000000000001</v>
      </c>
      <c r="P305" t="b">
        <v>1</v>
      </c>
      <c r="Q305">
        <v>2</v>
      </c>
      <c r="R305">
        <v>19576</v>
      </c>
      <c r="S305">
        <v>42292</v>
      </c>
      <c r="T305">
        <v>116</v>
      </c>
      <c r="U305" t="s">
        <v>1697</v>
      </c>
      <c r="V305" t="s">
        <v>2376</v>
      </c>
      <c r="W305">
        <v>2.211395489202017</v>
      </c>
      <c r="X305">
        <v>19.7</v>
      </c>
      <c r="Y305" t="s">
        <v>3024</v>
      </c>
      <c r="Z305">
        <v>-8.70891727599281</v>
      </c>
      <c r="AA305">
        <v>17680</v>
      </c>
      <c r="AB305">
        <v>46555</v>
      </c>
      <c r="AC305" t="s">
        <v>3681</v>
      </c>
      <c r="AD305">
        <v>39.5</v>
      </c>
      <c r="AE305" t="s">
        <v>4360</v>
      </c>
      <c r="AF305" t="s">
        <v>5013</v>
      </c>
      <c r="AG305">
        <v>18827</v>
      </c>
      <c r="AH305">
        <v>1702</v>
      </c>
      <c r="AI305">
        <v>323900</v>
      </c>
      <c r="AJ305">
        <v>1.3</v>
      </c>
    </row>
    <row r="306" spans="1:36">
      <c r="A306" s="1" t="s">
        <v>340</v>
      </c>
      <c r="B306" t="s">
        <v>1019</v>
      </c>
      <c r="C306">
        <f>HYPERLINK("https://finance.naver.com/item/coinfo.nhn?code=084010", "A084010")</f>
        <v>0</v>
      </c>
      <c r="D306">
        <f>HYPERLINK("http://comp.fnguide.com/SVO2/ASP/SVD_Consensus.asp?pGB=1&amp;gicode=A084010&amp;cID=&amp;MenuYn=Y&amp;ReportGB=&amp;NewMenuID=108&amp;stkGb=701", "대한제강")</f>
        <v>0</v>
      </c>
      <c r="E306">
        <v>3</v>
      </c>
      <c r="F306">
        <v>20250</v>
      </c>
      <c r="G306">
        <v>0</v>
      </c>
      <c r="H306">
        <v>5.26</v>
      </c>
      <c r="I306">
        <v>20495</v>
      </c>
      <c r="J306">
        <v>21939</v>
      </c>
      <c r="K306">
        <v>22360</v>
      </c>
      <c r="L306">
        <v>-1.21</v>
      </c>
      <c r="M306">
        <v>-8.34</v>
      </c>
      <c r="N306">
        <v>-10.42</v>
      </c>
      <c r="O306">
        <v>7.35</v>
      </c>
      <c r="P306" t="b">
        <v>1</v>
      </c>
      <c r="Q306">
        <v>3</v>
      </c>
      <c r="R306">
        <v>1977</v>
      </c>
      <c r="S306">
        <v>3325</v>
      </c>
      <c r="T306">
        <v>68.2</v>
      </c>
      <c r="U306" t="s">
        <v>1698</v>
      </c>
      <c r="V306" t="s">
        <v>2377</v>
      </c>
      <c r="W306">
        <v>0</v>
      </c>
      <c r="X306">
        <v>61.7</v>
      </c>
      <c r="Y306" t="s">
        <v>3025</v>
      </c>
      <c r="Z306">
        <v>11.53722984739456</v>
      </c>
      <c r="AA306">
        <v>4991</v>
      </c>
      <c r="AB306">
        <v>986650</v>
      </c>
      <c r="AC306" t="s">
        <v>3682</v>
      </c>
      <c r="AD306">
        <v>45.45</v>
      </c>
      <c r="AE306" t="s">
        <v>4361</v>
      </c>
      <c r="AF306" t="s">
        <v>5014</v>
      </c>
      <c r="AG306">
        <v>10961</v>
      </c>
      <c r="AH306">
        <v>818</v>
      </c>
      <c r="AI306">
        <v>3073225</v>
      </c>
      <c r="AJ306">
        <v>2.88</v>
      </c>
    </row>
    <row r="307" spans="1:36">
      <c r="A307" s="1" t="s">
        <v>341</v>
      </c>
      <c r="B307" t="s">
        <v>1020</v>
      </c>
      <c r="C307">
        <f>HYPERLINK("https://finance.naver.com/item/coinfo.nhn?code=001790", "A001790")</f>
        <v>0</v>
      </c>
      <c r="D307">
        <f>HYPERLINK("http://comp.fnguide.com/SVO2/ASP/SVD_Consensus.asp?pGB=1&amp;gicode=A001790&amp;cID=&amp;MenuYn=Y&amp;ReportGB=&amp;NewMenuID=108&amp;stkGb=701", "대한제당")</f>
        <v>0</v>
      </c>
      <c r="E307">
        <v>3</v>
      </c>
      <c r="F307">
        <v>3725</v>
      </c>
      <c r="G307">
        <v>0</v>
      </c>
      <c r="H307">
        <v>9.76</v>
      </c>
      <c r="I307">
        <v>2487</v>
      </c>
      <c r="J307">
        <v>4177</v>
      </c>
      <c r="K307">
        <v>4669</v>
      </c>
      <c r="L307">
        <v>33.24</v>
      </c>
      <c r="M307">
        <v>-12.13</v>
      </c>
      <c r="N307">
        <v>-25.35</v>
      </c>
      <c r="O307">
        <v>3.83</v>
      </c>
      <c r="P307" t="b">
        <v>1</v>
      </c>
      <c r="Q307">
        <v>0</v>
      </c>
      <c r="R307">
        <v>235</v>
      </c>
      <c r="U307" t="s">
        <v>1699</v>
      </c>
      <c r="V307" t="s">
        <v>2378</v>
      </c>
      <c r="W307">
        <v>0</v>
      </c>
      <c r="X307">
        <v>53.4</v>
      </c>
      <c r="Y307" t="s">
        <v>3026</v>
      </c>
      <c r="Z307">
        <v>0.04060201295414956</v>
      </c>
      <c r="AA307">
        <v>3341</v>
      </c>
      <c r="AB307">
        <v>1879354</v>
      </c>
      <c r="AC307" t="s">
        <v>3683</v>
      </c>
      <c r="AD307">
        <v>48.38</v>
      </c>
      <c r="AE307" t="s">
        <v>4362</v>
      </c>
      <c r="AF307" t="s">
        <v>5015</v>
      </c>
      <c r="AG307">
        <v>12145</v>
      </c>
      <c r="AH307">
        <v>463</v>
      </c>
      <c r="AJ307">
        <v>3.92</v>
      </c>
    </row>
    <row r="308" spans="1:36">
      <c r="A308" s="1" t="s">
        <v>342</v>
      </c>
      <c r="B308" t="s">
        <v>1021</v>
      </c>
      <c r="C308">
        <f>HYPERLINK("https://finance.naver.com/item/coinfo.nhn?code=001130", "A001130")</f>
        <v>0</v>
      </c>
      <c r="D308">
        <f>HYPERLINK("http://comp.fnguide.com/SVO2/ASP/SVD_Consensus.asp?pGB=1&amp;gicode=A001130&amp;cID=&amp;MenuYn=Y&amp;ReportGB=&amp;NewMenuID=108&amp;stkGb=701", "대한제분")</f>
        <v>0</v>
      </c>
      <c r="E308">
        <v>3</v>
      </c>
      <c r="F308">
        <v>187500</v>
      </c>
      <c r="G308">
        <v>0</v>
      </c>
      <c r="H308">
        <v>13.47</v>
      </c>
      <c r="I308">
        <v>188938</v>
      </c>
      <c r="J308">
        <v>358386</v>
      </c>
      <c r="K308">
        <v>407743</v>
      </c>
      <c r="L308">
        <v>-0.77</v>
      </c>
      <c r="M308">
        <v>-91.14</v>
      </c>
      <c r="N308">
        <v>-117.46</v>
      </c>
      <c r="O308">
        <v>3.28</v>
      </c>
      <c r="P308" t="b">
        <v>0</v>
      </c>
      <c r="Q308">
        <v>0</v>
      </c>
      <c r="R308">
        <v>12322</v>
      </c>
      <c r="U308" t="s">
        <v>1700</v>
      </c>
      <c r="V308" t="s">
        <v>2379</v>
      </c>
      <c r="W308">
        <v>0</v>
      </c>
      <c r="X308">
        <v>22.5</v>
      </c>
      <c r="Y308" t="s">
        <v>3027</v>
      </c>
      <c r="Z308">
        <v>-9.441286147170747</v>
      </c>
      <c r="AA308">
        <v>3169</v>
      </c>
      <c r="AB308">
        <v>34780</v>
      </c>
      <c r="AC308" t="s">
        <v>3684</v>
      </c>
      <c r="AD308">
        <v>42.43</v>
      </c>
      <c r="AE308" t="s">
        <v>4363</v>
      </c>
      <c r="AF308" t="s">
        <v>5016</v>
      </c>
      <c r="AG308">
        <v>9702</v>
      </c>
      <c r="AH308">
        <v>230</v>
      </c>
      <c r="AI308">
        <v>44776</v>
      </c>
      <c r="AJ308">
        <v>1.2</v>
      </c>
    </row>
    <row r="309" spans="1:36">
      <c r="A309" s="1" t="s">
        <v>343</v>
      </c>
      <c r="B309" t="s">
        <v>1022</v>
      </c>
      <c r="C309">
        <f>HYPERLINK("https://finance.naver.com/item/coinfo.nhn?code=003830", "A003830")</f>
        <v>0</v>
      </c>
      <c r="D309">
        <f>HYPERLINK("http://comp.fnguide.com/SVO2/ASP/SVD_Consensus.asp?pGB=1&amp;gicode=A003830&amp;cID=&amp;MenuYn=Y&amp;ReportGB=&amp;NewMenuID=108&amp;stkGb=701", "대한화섬")</f>
        <v>0</v>
      </c>
      <c r="E309">
        <v>3</v>
      </c>
      <c r="F309">
        <v>140000</v>
      </c>
      <c r="G309">
        <v>0</v>
      </c>
      <c r="H309">
        <v>8.359999999999999</v>
      </c>
      <c r="I309">
        <v>289235</v>
      </c>
      <c r="J309">
        <v>438505</v>
      </c>
      <c r="K309">
        <v>481985</v>
      </c>
      <c r="L309">
        <v>-106.6</v>
      </c>
      <c r="M309">
        <v>-213.22</v>
      </c>
      <c r="N309">
        <v>-244.28</v>
      </c>
      <c r="O309">
        <v>4.4</v>
      </c>
      <c r="P309" t="b">
        <v>1</v>
      </c>
      <c r="Q309">
        <v>0</v>
      </c>
      <c r="R309">
        <v>12201</v>
      </c>
      <c r="U309" t="s">
        <v>1701</v>
      </c>
      <c r="V309" t="s">
        <v>2380</v>
      </c>
      <c r="W309">
        <v>0</v>
      </c>
      <c r="X309">
        <v>-28.1</v>
      </c>
      <c r="Y309" t="s">
        <v>3028</v>
      </c>
      <c r="Z309">
        <v>1.372697128493283</v>
      </c>
      <c r="AA309">
        <v>1859</v>
      </c>
      <c r="AB309">
        <v>388</v>
      </c>
      <c r="AC309" t="s">
        <v>3685</v>
      </c>
      <c r="AD309">
        <v>61</v>
      </c>
      <c r="AE309" t="s">
        <v>4364</v>
      </c>
      <c r="AF309" t="s">
        <v>5017</v>
      </c>
      <c r="AG309">
        <v>869</v>
      </c>
      <c r="AH309">
        <v>30</v>
      </c>
      <c r="AI309">
        <v>204695</v>
      </c>
      <c r="AJ309">
        <v>0.4</v>
      </c>
    </row>
    <row r="310" spans="1:36">
      <c r="A310" s="1" t="s">
        <v>344</v>
      </c>
      <c r="B310" t="s">
        <v>1023</v>
      </c>
      <c r="C310">
        <f>HYPERLINK("https://finance.naver.com/item/coinfo.nhn?code=016090", "A016090")</f>
        <v>0</v>
      </c>
      <c r="D310">
        <f>HYPERLINK("http://comp.fnguide.com/SVO2/ASP/SVD_Consensus.asp?pGB=1&amp;gicode=A016090&amp;cID=&amp;MenuYn=Y&amp;ReportGB=&amp;NewMenuID=108&amp;stkGb=701", "대현")</f>
        <v>0</v>
      </c>
      <c r="E310">
        <v>3</v>
      </c>
      <c r="F310">
        <v>2640</v>
      </c>
      <c r="G310">
        <v>0</v>
      </c>
      <c r="H310">
        <v>9.300000000000001</v>
      </c>
      <c r="I310">
        <v>3641</v>
      </c>
      <c r="J310">
        <v>4208</v>
      </c>
      <c r="K310">
        <v>4373</v>
      </c>
      <c r="L310">
        <v>-37.93</v>
      </c>
      <c r="M310">
        <v>-59.4</v>
      </c>
      <c r="N310">
        <v>-65.65000000000001</v>
      </c>
      <c r="O310">
        <v>6.51</v>
      </c>
      <c r="P310" t="b">
        <v>1</v>
      </c>
      <c r="Q310">
        <v>0</v>
      </c>
      <c r="R310">
        <v>204</v>
      </c>
      <c r="U310" t="s">
        <v>1702</v>
      </c>
      <c r="V310" t="s">
        <v>2381</v>
      </c>
      <c r="W310">
        <v>0</v>
      </c>
      <c r="X310">
        <v>-45.8</v>
      </c>
      <c r="Y310" t="s">
        <v>3029</v>
      </c>
      <c r="Z310">
        <v>2.144866944171708</v>
      </c>
      <c r="AA310">
        <v>1169</v>
      </c>
      <c r="AB310">
        <v>678296</v>
      </c>
      <c r="AC310" t="s">
        <v>3686</v>
      </c>
      <c r="AD310">
        <v>47.28</v>
      </c>
      <c r="AE310" t="s">
        <v>4365</v>
      </c>
      <c r="AF310" t="s">
        <v>5018</v>
      </c>
      <c r="AG310">
        <v>2532</v>
      </c>
      <c r="AH310">
        <v>71</v>
      </c>
      <c r="AJ310">
        <v>2.11</v>
      </c>
    </row>
    <row r="311" spans="1:36">
      <c r="A311" s="1" t="s">
        <v>345</v>
      </c>
      <c r="B311" t="s">
        <v>1024</v>
      </c>
      <c r="C311">
        <f>HYPERLINK("https://finance.naver.com/item/coinfo.nhn?code=007590", "A007590")</f>
        <v>0</v>
      </c>
      <c r="D311">
        <f>HYPERLINK("http://comp.fnguide.com/SVO2/ASP/SVD_Consensus.asp?pGB=1&amp;gicode=A007590&amp;cID=&amp;MenuYn=Y&amp;ReportGB=&amp;NewMenuID=108&amp;stkGb=701", "동방아그로")</f>
        <v>0</v>
      </c>
      <c r="E311">
        <v>3</v>
      </c>
      <c r="F311">
        <v>8010</v>
      </c>
      <c r="G311">
        <v>0</v>
      </c>
      <c r="H311">
        <v>12.97</v>
      </c>
      <c r="I311">
        <v>7053</v>
      </c>
      <c r="J311">
        <v>10040</v>
      </c>
      <c r="K311">
        <v>10910</v>
      </c>
      <c r="L311">
        <v>11.95</v>
      </c>
      <c r="M311">
        <v>-25.34</v>
      </c>
      <c r="N311">
        <v>-36.21</v>
      </c>
      <c r="O311">
        <v>4.8</v>
      </c>
      <c r="P311" t="b">
        <v>1</v>
      </c>
      <c r="Q311">
        <v>0</v>
      </c>
      <c r="R311">
        <v>493</v>
      </c>
      <c r="U311" t="s">
        <v>1703</v>
      </c>
      <c r="V311" t="s">
        <v>2382</v>
      </c>
      <c r="W311">
        <v>0</v>
      </c>
      <c r="X311">
        <v>4.3</v>
      </c>
      <c r="Y311" t="s">
        <v>3030</v>
      </c>
      <c r="Z311">
        <v>3.329951119242947</v>
      </c>
      <c r="AA311">
        <v>1091</v>
      </c>
      <c r="AB311">
        <v>77100</v>
      </c>
      <c r="AC311" t="s">
        <v>3687</v>
      </c>
      <c r="AD311">
        <v>34.26</v>
      </c>
      <c r="AE311" t="s">
        <v>4366</v>
      </c>
      <c r="AF311" t="s">
        <v>5019</v>
      </c>
      <c r="AG311">
        <v>1295</v>
      </c>
      <c r="AH311">
        <v>93</v>
      </c>
      <c r="AI311">
        <v>1922682</v>
      </c>
      <c r="AJ311">
        <v>5.78</v>
      </c>
    </row>
    <row r="312" spans="1:36">
      <c r="A312" s="1" t="s">
        <v>346</v>
      </c>
      <c r="B312" t="s">
        <v>1025</v>
      </c>
      <c r="C312">
        <f>HYPERLINK("https://finance.naver.com/item/coinfo.nhn?code=000640", "A000640")</f>
        <v>0</v>
      </c>
      <c r="D312">
        <f>HYPERLINK("http://comp.fnguide.com/SVO2/ASP/SVD_Consensus.asp?pGB=1&amp;gicode=A000640&amp;cID=&amp;MenuYn=Y&amp;ReportGB=&amp;NewMenuID=108&amp;stkGb=701", "동아쏘시오홀딩스")</f>
        <v>0</v>
      </c>
      <c r="E312">
        <v>3</v>
      </c>
      <c r="F312">
        <v>124500</v>
      </c>
      <c r="G312">
        <v>0</v>
      </c>
      <c r="H312">
        <v>4.63</v>
      </c>
      <c r="I312">
        <v>193216</v>
      </c>
      <c r="J312">
        <v>165598</v>
      </c>
      <c r="K312">
        <v>157554</v>
      </c>
      <c r="L312">
        <v>-55.19</v>
      </c>
      <c r="M312">
        <v>-33.01</v>
      </c>
      <c r="N312">
        <v>-26.55</v>
      </c>
      <c r="O312">
        <v>10.83</v>
      </c>
      <c r="P312" t="b">
        <v>1</v>
      </c>
      <c r="Q312">
        <v>0</v>
      </c>
      <c r="R312">
        <v>26439</v>
      </c>
      <c r="S312">
        <v>6174</v>
      </c>
      <c r="T312">
        <v>-76.59999999999999</v>
      </c>
      <c r="U312" t="s">
        <v>1704</v>
      </c>
      <c r="V312" t="s">
        <v>2383</v>
      </c>
      <c r="W312">
        <v>0</v>
      </c>
      <c r="X312">
        <v>721.1</v>
      </c>
      <c r="Y312" t="s">
        <v>3031</v>
      </c>
      <c r="Z312">
        <v>63.33653937989332</v>
      </c>
      <c r="AA312">
        <v>7663</v>
      </c>
      <c r="AB312">
        <v>31445</v>
      </c>
      <c r="AC312" t="s">
        <v>3688</v>
      </c>
      <c r="AD312">
        <v>40.84</v>
      </c>
      <c r="AE312" t="s">
        <v>4367</v>
      </c>
      <c r="AF312" t="s">
        <v>5020</v>
      </c>
      <c r="AG312">
        <v>7833</v>
      </c>
      <c r="AH312">
        <v>506</v>
      </c>
      <c r="AI312">
        <v>98190</v>
      </c>
      <c r="AJ312">
        <v>0.82</v>
      </c>
    </row>
    <row r="313" spans="1:36">
      <c r="A313" s="1" t="s">
        <v>347</v>
      </c>
      <c r="B313" t="s">
        <v>1026</v>
      </c>
      <c r="C313">
        <f>HYPERLINK("https://finance.naver.com/item/coinfo.nhn?code=000430", "A000430")</f>
        <v>0</v>
      </c>
      <c r="D313">
        <f>HYPERLINK("http://comp.fnguide.com/SVO2/ASP/SVD_Consensus.asp?pGB=1&amp;gicode=A000430&amp;cID=&amp;MenuYn=Y&amp;ReportGB=&amp;NewMenuID=108&amp;stkGb=701", "대원강업")</f>
        <v>0</v>
      </c>
      <c r="E313">
        <v>3</v>
      </c>
      <c r="F313">
        <v>4270</v>
      </c>
      <c r="G313">
        <v>0</v>
      </c>
      <c r="I313">
        <v>1602</v>
      </c>
      <c r="J313">
        <v>5097</v>
      </c>
      <c r="K313">
        <v>6116</v>
      </c>
      <c r="L313">
        <v>62.49</v>
      </c>
      <c r="M313">
        <v>-19.38</v>
      </c>
      <c r="N313">
        <v>-43.22</v>
      </c>
      <c r="O313">
        <v>1.76</v>
      </c>
      <c r="P313" t="b">
        <v>0</v>
      </c>
      <c r="Q313">
        <v>0</v>
      </c>
      <c r="R313">
        <v>-104</v>
      </c>
      <c r="U313" t="s">
        <v>1705</v>
      </c>
      <c r="V313" t="s">
        <v>2384</v>
      </c>
      <c r="W313">
        <v>0</v>
      </c>
      <c r="X313">
        <v>0</v>
      </c>
      <c r="Y313" t="s">
        <v>3032</v>
      </c>
      <c r="Z313">
        <v>-4.038695264393288</v>
      </c>
      <c r="AA313">
        <v>2647</v>
      </c>
      <c r="AB313">
        <v>151740</v>
      </c>
      <c r="AC313" t="s">
        <v>3689</v>
      </c>
      <c r="AD313">
        <v>35.29</v>
      </c>
      <c r="AE313" t="s">
        <v>4368</v>
      </c>
      <c r="AF313" t="s">
        <v>5021</v>
      </c>
      <c r="AG313">
        <v>8612</v>
      </c>
      <c r="AH313">
        <v>52</v>
      </c>
      <c r="AJ313">
        <v>2.61</v>
      </c>
    </row>
    <row r="314" spans="1:36">
      <c r="A314" s="1" t="s">
        <v>348</v>
      </c>
      <c r="B314" t="s">
        <v>1027</v>
      </c>
      <c r="C314">
        <f>HYPERLINK("https://finance.naver.com/item/coinfo.nhn?code=282690", "A282690")</f>
        <v>0</v>
      </c>
      <c r="D314">
        <f>HYPERLINK("http://comp.fnguide.com/SVO2/ASP/SVD_Consensus.asp?pGB=1&amp;gicode=A282690&amp;cID=&amp;MenuYn=Y&amp;ReportGB=&amp;NewMenuID=108&amp;stkGb=701", "동아타이어")</f>
        <v>0</v>
      </c>
      <c r="E314">
        <v>3</v>
      </c>
      <c r="F314">
        <v>13050</v>
      </c>
      <c r="G314">
        <v>0</v>
      </c>
      <c r="H314">
        <v>10.17</v>
      </c>
      <c r="I314">
        <v>16307</v>
      </c>
      <c r="J314">
        <v>22492</v>
      </c>
      <c r="K314">
        <v>24293</v>
      </c>
      <c r="L314">
        <v>-24.96</v>
      </c>
      <c r="M314">
        <v>-72.34999999999999</v>
      </c>
      <c r="N314">
        <v>-86.16</v>
      </c>
      <c r="O314">
        <v>5.02</v>
      </c>
      <c r="P314" t="b">
        <v>1</v>
      </c>
      <c r="Q314">
        <v>0</v>
      </c>
      <c r="R314">
        <v>971</v>
      </c>
      <c r="U314" t="s">
        <v>1706</v>
      </c>
      <c r="V314" t="s">
        <v>2385</v>
      </c>
      <c r="W314">
        <v>0</v>
      </c>
      <c r="X314">
        <v>-46</v>
      </c>
      <c r="Y314" t="s">
        <v>3033</v>
      </c>
      <c r="Z314">
        <v>0</v>
      </c>
      <c r="AA314">
        <v>1792</v>
      </c>
      <c r="AB314">
        <v>52330</v>
      </c>
      <c r="AC314" t="s">
        <v>3690</v>
      </c>
      <c r="AD314">
        <v>64.94</v>
      </c>
      <c r="AE314" t="s">
        <v>4369</v>
      </c>
      <c r="AF314" t="s">
        <v>5022</v>
      </c>
      <c r="AG314">
        <v>1432</v>
      </c>
      <c r="AH314">
        <v>170</v>
      </c>
      <c r="AI314">
        <v>1598</v>
      </c>
      <c r="AJ314">
        <v>8.1</v>
      </c>
    </row>
    <row r="315" spans="1:36">
      <c r="A315" s="1" t="s">
        <v>349</v>
      </c>
      <c r="B315" t="s">
        <v>1028</v>
      </c>
      <c r="C315">
        <f>HYPERLINK("https://finance.naver.com/item/coinfo.nhn?code=001520", "A001520")</f>
        <v>0</v>
      </c>
      <c r="D315">
        <f>HYPERLINK("http://comp.fnguide.com/SVO2/ASP/SVD_Consensus.asp?pGB=1&amp;gicode=A001520&amp;cID=&amp;MenuYn=Y&amp;ReportGB=&amp;NewMenuID=108&amp;stkGb=701", "동양")</f>
        <v>0</v>
      </c>
      <c r="E315">
        <v>3</v>
      </c>
      <c r="F315">
        <v>1460</v>
      </c>
      <c r="G315">
        <v>0</v>
      </c>
      <c r="I315">
        <v>31</v>
      </c>
      <c r="J315">
        <v>2373</v>
      </c>
      <c r="K315">
        <v>3055</v>
      </c>
      <c r="L315">
        <v>97.84999999999999</v>
      </c>
      <c r="M315">
        <v>-62.54</v>
      </c>
      <c r="N315">
        <v>-109.26</v>
      </c>
      <c r="O315">
        <v>0.07000000000000001</v>
      </c>
      <c r="P315" t="b">
        <v>0</v>
      </c>
      <c r="Q315">
        <v>0</v>
      </c>
      <c r="R315">
        <v>-98</v>
      </c>
      <c r="U315" t="s">
        <v>1707</v>
      </c>
      <c r="V315" t="s">
        <v>2386</v>
      </c>
      <c r="W315">
        <v>0</v>
      </c>
      <c r="X315">
        <v>0</v>
      </c>
      <c r="Y315" t="s">
        <v>3034</v>
      </c>
      <c r="Z315">
        <v>-82.54015847854666</v>
      </c>
      <c r="AA315">
        <v>3485</v>
      </c>
      <c r="AB315">
        <v>991022</v>
      </c>
      <c r="AC315" t="s">
        <v>3691</v>
      </c>
      <c r="AD315">
        <v>30.05</v>
      </c>
      <c r="AE315" t="s">
        <v>4370</v>
      </c>
      <c r="AF315" t="s">
        <v>5023</v>
      </c>
      <c r="AG315">
        <v>6031</v>
      </c>
      <c r="AH315">
        <v>-153</v>
      </c>
      <c r="AI315">
        <v>40512000</v>
      </c>
      <c r="AJ315">
        <v>3.36</v>
      </c>
    </row>
    <row r="316" spans="1:36">
      <c r="A316" s="1" t="s">
        <v>350</v>
      </c>
      <c r="B316" t="s">
        <v>1029</v>
      </c>
      <c r="C316">
        <f>HYPERLINK("https://finance.naver.com/item/coinfo.nhn?code=084670", "A084670")</f>
        <v>0</v>
      </c>
      <c r="D316">
        <f>HYPERLINK("http://comp.fnguide.com/SVO2/ASP/SVD_Consensus.asp?pGB=1&amp;gicode=A084670&amp;cID=&amp;MenuYn=Y&amp;ReportGB=&amp;NewMenuID=108&amp;stkGb=701", "동양고속")</f>
        <v>0</v>
      </c>
      <c r="E316">
        <v>3</v>
      </c>
      <c r="F316">
        <v>24000</v>
      </c>
      <c r="G316">
        <v>0</v>
      </c>
      <c r="I316">
        <v>45299</v>
      </c>
      <c r="J316">
        <v>42578</v>
      </c>
      <c r="K316">
        <v>41785</v>
      </c>
      <c r="L316">
        <v>-88.75</v>
      </c>
      <c r="M316">
        <v>-77.41</v>
      </c>
      <c r="N316">
        <v>-74.09999999999999</v>
      </c>
      <c r="O316">
        <v>9.15</v>
      </c>
      <c r="P316" t="b">
        <v>0</v>
      </c>
      <c r="Q316">
        <v>0</v>
      </c>
      <c r="R316">
        <v>-5659</v>
      </c>
      <c r="U316" t="s">
        <v>1708</v>
      </c>
      <c r="V316" t="s">
        <v>2387</v>
      </c>
      <c r="W316">
        <v>0</v>
      </c>
      <c r="X316">
        <v>0</v>
      </c>
      <c r="Y316" t="s">
        <v>3035</v>
      </c>
      <c r="Z316">
        <v>235.5370024304324</v>
      </c>
      <c r="AA316">
        <v>695</v>
      </c>
      <c r="AB316">
        <v>3277</v>
      </c>
      <c r="AC316" t="s">
        <v>3692</v>
      </c>
      <c r="AD316">
        <v>47.52</v>
      </c>
      <c r="AE316" t="s">
        <v>4371</v>
      </c>
      <c r="AF316" t="s">
        <v>5024</v>
      </c>
      <c r="AG316">
        <v>835</v>
      </c>
      <c r="AH316">
        <v>-221</v>
      </c>
      <c r="AI316">
        <v>275048</v>
      </c>
      <c r="AJ316">
        <v>2</v>
      </c>
    </row>
    <row r="317" spans="1:36">
      <c r="A317" s="1" t="s">
        <v>351</v>
      </c>
      <c r="B317" t="s">
        <v>1030</v>
      </c>
      <c r="C317">
        <f>HYPERLINK("https://finance.naver.com/item/coinfo.nhn?code=082640", "A082640")</f>
        <v>0</v>
      </c>
      <c r="D317">
        <f>HYPERLINK("http://comp.fnguide.com/SVO2/ASP/SVD_Consensus.asp?pGB=1&amp;gicode=A082640&amp;cID=&amp;MenuYn=Y&amp;ReportGB=&amp;NewMenuID=108&amp;stkGb=701", "동양생명")</f>
        <v>0</v>
      </c>
      <c r="E317">
        <v>3</v>
      </c>
      <c r="F317">
        <v>5720</v>
      </c>
      <c r="G317">
        <v>0.08</v>
      </c>
      <c r="H317">
        <v>4.42</v>
      </c>
      <c r="I317">
        <v>10126</v>
      </c>
      <c r="J317">
        <v>15897</v>
      </c>
      <c r="K317">
        <v>17578</v>
      </c>
      <c r="L317">
        <v>-77.03</v>
      </c>
      <c r="M317">
        <v>-177.92</v>
      </c>
      <c r="N317">
        <v>-207.3</v>
      </c>
      <c r="O317">
        <v>4.2</v>
      </c>
      <c r="P317" t="b">
        <v>1</v>
      </c>
      <c r="Q317">
        <v>3</v>
      </c>
      <c r="R317">
        <v>797</v>
      </c>
      <c r="S317">
        <v>1134</v>
      </c>
      <c r="T317">
        <v>42.3</v>
      </c>
      <c r="U317" t="s">
        <v>1709</v>
      </c>
      <c r="V317" t="s">
        <v>2388</v>
      </c>
      <c r="W317">
        <v>53.73580924747623</v>
      </c>
      <c r="X317">
        <v>4.5</v>
      </c>
      <c r="Y317" t="s">
        <v>3036</v>
      </c>
      <c r="Z317">
        <v>4.020417957999745</v>
      </c>
      <c r="AA317">
        <v>9230</v>
      </c>
      <c r="AB317">
        <v>1170885</v>
      </c>
      <c r="AC317" t="s">
        <v>3693</v>
      </c>
      <c r="AD317">
        <v>75.37</v>
      </c>
      <c r="AE317" t="s">
        <v>4372</v>
      </c>
      <c r="AF317" t="s">
        <v>5025</v>
      </c>
      <c r="AG317">
        <v>49109</v>
      </c>
      <c r="AH317">
        <v>1776</v>
      </c>
      <c r="AI317">
        <v>5500000</v>
      </c>
      <c r="AJ317">
        <v>6.25</v>
      </c>
    </row>
    <row r="318" spans="1:36">
      <c r="A318" s="1" t="s">
        <v>352</v>
      </c>
      <c r="B318" t="s">
        <v>1031</v>
      </c>
      <c r="C318">
        <f>HYPERLINK("https://finance.naver.com/item/coinfo.nhn?code=092780", "A092780")</f>
        <v>0</v>
      </c>
      <c r="D318">
        <f>HYPERLINK("http://comp.fnguide.com/SVO2/ASP/SVD_Consensus.asp?pGB=1&amp;gicode=A092780&amp;cID=&amp;MenuYn=Y&amp;ReportGB=&amp;NewMenuID=108&amp;stkGb=701", "동양피스톤")</f>
        <v>0</v>
      </c>
      <c r="E318">
        <v>3</v>
      </c>
      <c r="F318">
        <v>5760</v>
      </c>
      <c r="G318">
        <v>0</v>
      </c>
      <c r="I318">
        <v>4883</v>
      </c>
      <c r="J318">
        <v>6408</v>
      </c>
      <c r="K318">
        <v>6853</v>
      </c>
      <c r="L318">
        <v>15.23</v>
      </c>
      <c r="M318">
        <v>-11.26</v>
      </c>
      <c r="N318">
        <v>-18.97</v>
      </c>
      <c r="O318">
        <v>5.39</v>
      </c>
      <c r="P318" t="b">
        <v>0</v>
      </c>
      <c r="Q318">
        <v>0</v>
      </c>
      <c r="R318">
        <v>-552</v>
      </c>
      <c r="U318" t="s">
        <v>1710</v>
      </c>
      <c r="V318" t="s">
        <v>2389</v>
      </c>
      <c r="W318">
        <v>0</v>
      </c>
      <c r="X318">
        <v>0</v>
      </c>
      <c r="Y318" t="s">
        <v>3037</v>
      </c>
      <c r="Z318">
        <v>2.307316731176723</v>
      </c>
      <c r="AA318">
        <v>759</v>
      </c>
      <c r="AB318">
        <v>27174</v>
      </c>
      <c r="AC318" t="s">
        <v>3694</v>
      </c>
      <c r="AD318">
        <v>55.79</v>
      </c>
      <c r="AE318" t="s">
        <v>4373</v>
      </c>
      <c r="AF318" t="s">
        <v>5026</v>
      </c>
      <c r="AG318">
        <v>3215</v>
      </c>
      <c r="AH318">
        <v>17</v>
      </c>
      <c r="AI318">
        <v>647132</v>
      </c>
      <c r="AJ318">
        <v>1.04</v>
      </c>
    </row>
    <row r="319" spans="1:36">
      <c r="A319" s="1" t="s">
        <v>353</v>
      </c>
      <c r="B319" t="s">
        <v>1032</v>
      </c>
      <c r="C319">
        <f>HYPERLINK("https://finance.naver.com/item/coinfo.nhn?code=018500", "A018500")</f>
        <v>0</v>
      </c>
      <c r="D319">
        <f>HYPERLINK("http://comp.fnguide.com/SVO2/ASP/SVD_Consensus.asp?pGB=1&amp;gicode=A018500&amp;cID=&amp;MenuYn=Y&amp;ReportGB=&amp;NewMenuID=108&amp;stkGb=701", "동원금속")</f>
        <v>0</v>
      </c>
      <c r="E319">
        <v>3</v>
      </c>
      <c r="F319">
        <v>1145</v>
      </c>
      <c r="G319">
        <v>0</v>
      </c>
      <c r="H319">
        <v>1.42</v>
      </c>
      <c r="I319">
        <v>2627</v>
      </c>
      <c r="J319">
        <v>1876</v>
      </c>
      <c r="K319">
        <v>1657</v>
      </c>
      <c r="L319">
        <v>-129.41</v>
      </c>
      <c r="M319">
        <v>-63.84</v>
      </c>
      <c r="N319">
        <v>-44.74</v>
      </c>
      <c r="O319">
        <v>15.85</v>
      </c>
      <c r="P319" t="b">
        <v>1</v>
      </c>
      <c r="Q319">
        <v>0</v>
      </c>
      <c r="R319">
        <v>350</v>
      </c>
      <c r="U319" t="s">
        <v>1711</v>
      </c>
      <c r="V319" t="s">
        <v>2390</v>
      </c>
      <c r="W319">
        <v>0</v>
      </c>
      <c r="X319">
        <v>0</v>
      </c>
      <c r="Y319" t="s">
        <v>2762</v>
      </c>
      <c r="Z319">
        <v>0</v>
      </c>
      <c r="AA319">
        <v>535</v>
      </c>
      <c r="AB319">
        <v>1096513</v>
      </c>
      <c r="AC319" t="s">
        <v>3695</v>
      </c>
      <c r="AD319">
        <v>23.16</v>
      </c>
      <c r="AE319" t="s">
        <v>4374</v>
      </c>
      <c r="AF319" t="s">
        <v>5027</v>
      </c>
      <c r="AG319">
        <v>4566</v>
      </c>
      <c r="AH319">
        <v>201</v>
      </c>
      <c r="AI319">
        <v>10128</v>
      </c>
    </row>
    <row r="320" spans="1:36">
      <c r="A320" s="1" t="s">
        <v>354</v>
      </c>
      <c r="B320" t="s">
        <v>1033</v>
      </c>
      <c r="C320">
        <f>HYPERLINK("https://finance.naver.com/item/coinfo.nhn?code=006040", "A006040")</f>
        <v>0</v>
      </c>
      <c r="D320">
        <f>HYPERLINK("http://comp.fnguide.com/SVO2/ASP/SVD_Consensus.asp?pGB=1&amp;gicode=A006040&amp;cID=&amp;MenuYn=Y&amp;ReportGB=&amp;NewMenuID=108&amp;stkGb=701", "동원산업")</f>
        <v>0</v>
      </c>
      <c r="E320">
        <v>3</v>
      </c>
      <c r="F320">
        <v>294000</v>
      </c>
      <c r="G320">
        <v>0.14</v>
      </c>
      <c r="H320">
        <v>3.4</v>
      </c>
      <c r="I320">
        <v>589439</v>
      </c>
      <c r="J320">
        <v>457134</v>
      </c>
      <c r="K320">
        <v>418596</v>
      </c>
      <c r="L320">
        <v>-100.49</v>
      </c>
      <c r="M320">
        <v>-55.49</v>
      </c>
      <c r="N320">
        <v>-42.38</v>
      </c>
      <c r="O320">
        <v>13.21</v>
      </c>
      <c r="P320" t="b">
        <v>0</v>
      </c>
      <c r="Q320">
        <v>0</v>
      </c>
      <c r="R320">
        <v>65430</v>
      </c>
      <c r="S320">
        <v>39427</v>
      </c>
      <c r="T320">
        <v>-39.7</v>
      </c>
      <c r="U320" t="s">
        <v>1712</v>
      </c>
      <c r="V320" t="s">
        <v>2391</v>
      </c>
      <c r="W320">
        <v>24.3103805298277</v>
      </c>
      <c r="X320">
        <v>418</v>
      </c>
      <c r="Y320" t="s">
        <v>3038</v>
      </c>
      <c r="Z320">
        <v>80.12767240121019</v>
      </c>
      <c r="AA320">
        <v>10812</v>
      </c>
      <c r="AB320">
        <v>5003</v>
      </c>
      <c r="AC320" t="s">
        <v>3696</v>
      </c>
      <c r="AD320">
        <v>63.3</v>
      </c>
      <c r="AE320" t="s">
        <v>4375</v>
      </c>
      <c r="AF320" t="s">
        <v>5028</v>
      </c>
      <c r="AG320">
        <v>28573</v>
      </c>
      <c r="AH320">
        <v>3065</v>
      </c>
      <c r="AI320">
        <v>266581</v>
      </c>
      <c r="AJ320">
        <v>2.25</v>
      </c>
    </row>
    <row r="321" spans="1:36">
      <c r="A321" s="1" t="s">
        <v>355</v>
      </c>
      <c r="B321" t="s">
        <v>1034</v>
      </c>
      <c r="C321">
        <f>HYPERLINK("https://finance.naver.com/item/coinfo.nhn?code=015230", "A015230")</f>
        <v>0</v>
      </c>
      <c r="D321">
        <f>HYPERLINK("http://comp.fnguide.com/SVO2/ASP/SVD_Consensus.asp?pGB=1&amp;gicode=A015230&amp;cID=&amp;MenuYn=Y&amp;ReportGB=&amp;NewMenuID=108&amp;stkGb=701", "대창단조")</f>
        <v>0</v>
      </c>
      <c r="E321">
        <v>3</v>
      </c>
      <c r="F321">
        <v>9410</v>
      </c>
      <c r="G321">
        <v>0</v>
      </c>
      <c r="H321">
        <v>7.46</v>
      </c>
      <c r="I321">
        <v>13188</v>
      </c>
      <c r="J321">
        <v>13950</v>
      </c>
      <c r="K321">
        <v>14172</v>
      </c>
      <c r="L321">
        <v>-40.15</v>
      </c>
      <c r="M321">
        <v>-48.25</v>
      </c>
      <c r="N321">
        <v>-50.6</v>
      </c>
      <c r="O321">
        <v>7.49</v>
      </c>
      <c r="P321" t="b">
        <v>1</v>
      </c>
      <c r="Q321">
        <v>0</v>
      </c>
      <c r="R321">
        <v>930</v>
      </c>
      <c r="U321" t="s">
        <v>1713</v>
      </c>
      <c r="V321" t="s">
        <v>2392</v>
      </c>
      <c r="W321">
        <v>0</v>
      </c>
      <c r="X321">
        <v>-8</v>
      </c>
      <c r="Y321" t="s">
        <v>3039</v>
      </c>
      <c r="Z321">
        <v>-3.314862255655671</v>
      </c>
      <c r="AA321">
        <v>1344</v>
      </c>
      <c r="AB321">
        <v>173746</v>
      </c>
      <c r="AC321" t="s">
        <v>3697</v>
      </c>
      <c r="AD321">
        <v>44.98</v>
      </c>
      <c r="AE321" t="s">
        <v>4376</v>
      </c>
      <c r="AF321" t="s">
        <v>5029</v>
      </c>
      <c r="AG321">
        <v>2645</v>
      </c>
      <c r="AH321">
        <v>192</v>
      </c>
      <c r="AI321">
        <v>1335758</v>
      </c>
      <c r="AJ321">
        <v>2.59</v>
      </c>
    </row>
    <row r="322" spans="1:36">
      <c r="A322" s="1" t="s">
        <v>356</v>
      </c>
      <c r="B322" t="s">
        <v>1035</v>
      </c>
      <c r="C322">
        <f>HYPERLINK("https://finance.naver.com/item/coinfo.nhn?code=003540", "A003540")</f>
        <v>0</v>
      </c>
      <c r="D322">
        <f>HYPERLINK("http://comp.fnguide.com/SVO2/ASP/SVD_Consensus.asp?pGB=1&amp;gicode=A003540&amp;cID=&amp;MenuYn=Y&amp;ReportGB=&amp;NewMenuID=108&amp;stkGb=701", "대신증권")</f>
        <v>0</v>
      </c>
      <c r="E322">
        <v>3</v>
      </c>
      <c r="F322">
        <v>18750</v>
      </c>
      <c r="G322">
        <v>1.35</v>
      </c>
      <c r="H322">
        <v>7.61</v>
      </c>
      <c r="I322">
        <v>44496</v>
      </c>
      <c r="J322">
        <v>51516</v>
      </c>
      <c r="K322">
        <v>53560</v>
      </c>
      <c r="L322">
        <v>-137.31</v>
      </c>
      <c r="M322">
        <v>-174.75</v>
      </c>
      <c r="N322">
        <v>-185.66</v>
      </c>
      <c r="O322">
        <v>6.5</v>
      </c>
      <c r="P322" t="b">
        <v>0</v>
      </c>
      <c r="Q322">
        <v>2</v>
      </c>
      <c r="R322">
        <v>1707</v>
      </c>
      <c r="S322">
        <v>1913</v>
      </c>
      <c r="T322">
        <v>12.1</v>
      </c>
      <c r="U322" t="s">
        <v>1714</v>
      </c>
      <c r="V322" t="s">
        <v>2393</v>
      </c>
      <c r="W322">
        <v>5.647660652111042</v>
      </c>
      <c r="X322">
        <v>7.4</v>
      </c>
      <c r="Y322" t="s">
        <v>3040</v>
      </c>
      <c r="Z322">
        <v>6.011975268811942</v>
      </c>
      <c r="AA322">
        <v>9520</v>
      </c>
      <c r="AB322">
        <v>114817</v>
      </c>
      <c r="AC322" t="s">
        <v>3698</v>
      </c>
      <c r="AD322">
        <v>14.77</v>
      </c>
      <c r="AE322" t="s">
        <v>4377</v>
      </c>
      <c r="AF322" t="s">
        <v>5030</v>
      </c>
      <c r="AG322">
        <v>6663</v>
      </c>
      <c r="AH322">
        <v>2392</v>
      </c>
      <c r="AI322">
        <v>14400711</v>
      </c>
      <c r="AJ322">
        <v>9.23</v>
      </c>
    </row>
    <row r="323" spans="1:36">
      <c r="A323" s="1" t="s">
        <v>357</v>
      </c>
      <c r="B323" t="s">
        <v>1036</v>
      </c>
      <c r="C323">
        <f>HYPERLINK("https://finance.naver.com/item/coinfo.nhn?code=163560", "A163560")</f>
        <v>0</v>
      </c>
      <c r="D323">
        <f>HYPERLINK("http://comp.fnguide.com/SVO2/ASP/SVD_Consensus.asp?pGB=1&amp;gicode=A163560&amp;cID=&amp;MenuYn=Y&amp;ReportGB=&amp;NewMenuID=108&amp;stkGb=701", "동일고무벨트")</f>
        <v>0</v>
      </c>
      <c r="E323">
        <v>3</v>
      </c>
      <c r="F323">
        <v>9990</v>
      </c>
      <c r="G323">
        <v>0</v>
      </c>
      <c r="H323">
        <v>18.83</v>
      </c>
      <c r="I323">
        <v>7421</v>
      </c>
      <c r="J323">
        <v>11555</v>
      </c>
      <c r="K323">
        <v>12759</v>
      </c>
      <c r="L323">
        <v>25.72</v>
      </c>
      <c r="M323">
        <v>-15.67</v>
      </c>
      <c r="N323">
        <v>-27.72</v>
      </c>
      <c r="O323">
        <v>4.24</v>
      </c>
      <c r="P323" t="b">
        <v>1</v>
      </c>
      <c r="Q323">
        <v>0</v>
      </c>
      <c r="R323">
        <v>524</v>
      </c>
      <c r="U323" t="s">
        <v>1715</v>
      </c>
      <c r="V323" t="s">
        <v>2394</v>
      </c>
      <c r="W323">
        <v>0</v>
      </c>
      <c r="X323">
        <v>-12.1</v>
      </c>
      <c r="Y323" t="s">
        <v>3041</v>
      </c>
      <c r="Z323">
        <v>-17.77814608891366</v>
      </c>
      <c r="AA323">
        <v>1389</v>
      </c>
      <c r="AB323">
        <v>54458</v>
      </c>
      <c r="AC323" t="s">
        <v>3699</v>
      </c>
      <c r="AD323">
        <v>69.76000000000001</v>
      </c>
      <c r="AE323" t="s">
        <v>4378</v>
      </c>
      <c r="AF323" t="s">
        <v>5031</v>
      </c>
      <c r="AG323">
        <v>2432</v>
      </c>
      <c r="AH323">
        <v>148</v>
      </c>
      <c r="AJ323">
        <v>0.99</v>
      </c>
    </row>
    <row r="324" spans="1:36">
      <c r="A324" s="1" t="s">
        <v>358</v>
      </c>
      <c r="B324" t="s">
        <v>1037</v>
      </c>
      <c r="C324">
        <f>HYPERLINK("https://finance.naver.com/item/coinfo.nhn?code=019680", "A019680")</f>
        <v>0</v>
      </c>
      <c r="D324">
        <f>HYPERLINK("http://comp.fnguide.com/SVO2/ASP/SVD_Consensus.asp?pGB=1&amp;gicode=A019680&amp;cID=&amp;MenuYn=Y&amp;ReportGB=&amp;NewMenuID=108&amp;stkGb=701", "대교")</f>
        <v>0</v>
      </c>
      <c r="E324">
        <v>3</v>
      </c>
      <c r="F324">
        <v>4470</v>
      </c>
      <c r="I324">
        <v>1379</v>
      </c>
      <c r="J324">
        <v>5335</v>
      </c>
      <c r="K324">
        <v>6488</v>
      </c>
      <c r="L324">
        <v>69.15000000000001</v>
      </c>
      <c r="M324">
        <v>-19.36</v>
      </c>
      <c r="N324">
        <v>-45.14</v>
      </c>
      <c r="O324">
        <v>1.41</v>
      </c>
      <c r="P324" t="b">
        <v>0</v>
      </c>
      <c r="Q324">
        <v>1</v>
      </c>
      <c r="R324">
        <v>-169</v>
      </c>
      <c r="S324">
        <v>61</v>
      </c>
      <c r="T324">
        <v>-136.1</v>
      </c>
      <c r="U324" t="s">
        <v>1716</v>
      </c>
      <c r="V324" t="s">
        <v>2395</v>
      </c>
      <c r="W324">
        <v>-30.41138677440091</v>
      </c>
      <c r="X324">
        <v>0</v>
      </c>
      <c r="Y324" t="s">
        <v>3042</v>
      </c>
      <c r="Z324">
        <v>-21.64106572821695</v>
      </c>
      <c r="AA324">
        <v>3786</v>
      </c>
      <c r="AB324">
        <v>198439</v>
      </c>
      <c r="AC324" t="s">
        <v>3700</v>
      </c>
      <c r="AD324">
        <v>66.62</v>
      </c>
      <c r="AE324" t="s">
        <v>4379</v>
      </c>
      <c r="AF324" t="s">
        <v>5032</v>
      </c>
      <c r="AG324">
        <v>6270</v>
      </c>
      <c r="AH324">
        <v>-280</v>
      </c>
      <c r="AI324">
        <v>15634584</v>
      </c>
      <c r="AJ324">
        <v>2.71</v>
      </c>
    </row>
    <row r="325" spans="1:36">
      <c r="A325" s="1" t="s">
        <v>359</v>
      </c>
      <c r="B325" t="s">
        <v>1038</v>
      </c>
      <c r="C325">
        <f>HYPERLINK("https://finance.naver.com/item/coinfo.nhn?code=002350", "A002350")</f>
        <v>0</v>
      </c>
      <c r="D325">
        <f>HYPERLINK("http://comp.fnguide.com/SVO2/ASP/SVD_Consensus.asp?pGB=1&amp;gicode=A002350&amp;cID=&amp;MenuYn=Y&amp;ReportGB=&amp;NewMenuID=108&amp;stkGb=701", "넥센타이어")</f>
        <v>0</v>
      </c>
      <c r="E325">
        <v>3</v>
      </c>
      <c r="F325">
        <v>8590</v>
      </c>
      <c r="I325">
        <v>7607</v>
      </c>
      <c r="J325">
        <v>12620</v>
      </c>
      <c r="K325">
        <v>14080</v>
      </c>
      <c r="L325">
        <v>11.45</v>
      </c>
      <c r="M325">
        <v>-46.91</v>
      </c>
      <c r="N325">
        <v>-63.91</v>
      </c>
      <c r="O325">
        <v>3.9</v>
      </c>
      <c r="P325" t="b">
        <v>0</v>
      </c>
      <c r="Q325">
        <v>1</v>
      </c>
      <c r="R325">
        <v>-161</v>
      </c>
      <c r="S325">
        <v>737</v>
      </c>
      <c r="T325">
        <v>-557.8</v>
      </c>
      <c r="U325" t="s">
        <v>1717</v>
      </c>
      <c r="V325" t="s">
        <v>2396</v>
      </c>
      <c r="W325">
        <v>-9.452441304977288</v>
      </c>
      <c r="X325">
        <v>0</v>
      </c>
      <c r="Y325" t="s">
        <v>3043</v>
      </c>
      <c r="Z325">
        <v>-1.72560887448977</v>
      </c>
      <c r="AA325">
        <v>8390</v>
      </c>
      <c r="AB325">
        <v>171275</v>
      </c>
      <c r="AC325" t="s">
        <v>3701</v>
      </c>
      <c r="AD325">
        <v>66.95</v>
      </c>
      <c r="AE325" t="s">
        <v>4380</v>
      </c>
      <c r="AF325" t="s">
        <v>5033</v>
      </c>
      <c r="AG325">
        <v>16981</v>
      </c>
      <c r="AH325">
        <v>394</v>
      </c>
      <c r="AI325">
        <v>1504451</v>
      </c>
      <c r="AJ325">
        <v>1.7</v>
      </c>
    </row>
    <row r="326" spans="1:36">
      <c r="A326" s="1" t="s">
        <v>360</v>
      </c>
      <c r="B326" t="s">
        <v>1039</v>
      </c>
      <c r="C326">
        <f>HYPERLINK("https://finance.naver.com/item/coinfo.nhn?code=090350", "A090350")</f>
        <v>0</v>
      </c>
      <c r="D326">
        <f>HYPERLINK("http://comp.fnguide.com/SVO2/ASP/SVD_Consensus.asp?pGB=1&amp;gicode=A090350&amp;cID=&amp;MenuYn=Y&amp;ReportGB=&amp;NewMenuID=108&amp;stkGb=701", "노루페인트")</f>
        <v>0</v>
      </c>
      <c r="E326">
        <v>3</v>
      </c>
      <c r="F326">
        <v>13400</v>
      </c>
      <c r="G326">
        <v>0</v>
      </c>
      <c r="H326">
        <v>11.28</v>
      </c>
      <c r="I326">
        <v>11049</v>
      </c>
      <c r="J326">
        <v>14402</v>
      </c>
      <c r="K326">
        <v>15379</v>
      </c>
      <c r="L326">
        <v>17.55</v>
      </c>
      <c r="M326">
        <v>-7.48</v>
      </c>
      <c r="N326">
        <v>-14.77</v>
      </c>
      <c r="O326">
        <v>5.44</v>
      </c>
      <c r="P326" t="b">
        <v>1</v>
      </c>
      <c r="Q326">
        <v>0</v>
      </c>
      <c r="R326">
        <v>879</v>
      </c>
      <c r="U326" t="s">
        <v>1718</v>
      </c>
      <c r="V326" t="s">
        <v>2397</v>
      </c>
      <c r="W326">
        <v>0</v>
      </c>
      <c r="X326">
        <v>-4.9</v>
      </c>
      <c r="Y326" t="s">
        <v>3044</v>
      </c>
      <c r="Z326">
        <v>-11.3077183043575</v>
      </c>
      <c r="AA326">
        <v>2680</v>
      </c>
      <c r="AB326">
        <v>675964</v>
      </c>
      <c r="AC326" t="s">
        <v>3702</v>
      </c>
      <c r="AD326">
        <v>51.91</v>
      </c>
      <c r="AE326" t="s">
        <v>4381</v>
      </c>
      <c r="AF326" t="s">
        <v>5034</v>
      </c>
      <c r="AG326">
        <v>6429</v>
      </c>
      <c r="AH326">
        <v>323</v>
      </c>
      <c r="AJ326">
        <v>2.77</v>
      </c>
    </row>
    <row r="327" spans="1:36">
      <c r="A327" s="1" t="s">
        <v>361</v>
      </c>
      <c r="B327" t="s">
        <v>1040</v>
      </c>
      <c r="C327">
        <f>HYPERLINK("https://finance.naver.com/item/coinfo.nhn?code=000320", "A000320")</f>
        <v>0</v>
      </c>
      <c r="D327">
        <f>HYPERLINK("http://comp.fnguide.com/SVO2/ASP/SVD_Consensus.asp?pGB=1&amp;gicode=A000320&amp;cID=&amp;MenuYn=Y&amp;ReportGB=&amp;NewMenuID=108&amp;stkGb=701", "노루홀딩스")</f>
        <v>0</v>
      </c>
      <c r="E327">
        <v>3</v>
      </c>
      <c r="F327">
        <v>15050</v>
      </c>
      <c r="G327">
        <v>0</v>
      </c>
      <c r="H327">
        <v>10.54</v>
      </c>
      <c r="I327">
        <v>10224</v>
      </c>
      <c r="J327">
        <v>25697</v>
      </c>
      <c r="K327">
        <v>30204</v>
      </c>
      <c r="L327">
        <v>32.07</v>
      </c>
      <c r="M327">
        <v>-70.75</v>
      </c>
      <c r="N327">
        <v>-100.69</v>
      </c>
      <c r="O327">
        <v>2.32</v>
      </c>
      <c r="P327" t="b">
        <v>0</v>
      </c>
      <c r="Q327">
        <v>3</v>
      </c>
      <c r="R327">
        <v>1038</v>
      </c>
      <c r="S327">
        <v>1039</v>
      </c>
      <c r="T327">
        <v>0.1</v>
      </c>
      <c r="U327" t="s">
        <v>1719</v>
      </c>
      <c r="V327" t="s">
        <v>2398</v>
      </c>
      <c r="W327">
        <v>0</v>
      </c>
      <c r="X327">
        <v>205.9</v>
      </c>
      <c r="Y327" t="s">
        <v>3045</v>
      </c>
      <c r="Z327">
        <v>26.41741693381292</v>
      </c>
      <c r="AA327">
        <v>2000</v>
      </c>
      <c r="AB327">
        <v>85238</v>
      </c>
      <c r="AC327" t="s">
        <v>3703</v>
      </c>
      <c r="AD327">
        <v>44.06</v>
      </c>
      <c r="AE327" t="s">
        <v>4382</v>
      </c>
      <c r="AF327" t="s">
        <v>5035</v>
      </c>
      <c r="AG327">
        <v>8480</v>
      </c>
      <c r="AH327">
        <v>358</v>
      </c>
      <c r="AI327">
        <v>3058261</v>
      </c>
      <c r="AJ327">
        <v>4.11</v>
      </c>
    </row>
    <row r="328" spans="1:36">
      <c r="A328" s="1" t="s">
        <v>362</v>
      </c>
      <c r="B328" t="s">
        <v>1041</v>
      </c>
      <c r="C328">
        <f>HYPERLINK("https://finance.naver.com/item/coinfo.nhn?code=004370", "A004370")</f>
        <v>0</v>
      </c>
      <c r="D328">
        <f>HYPERLINK("http://comp.fnguide.com/SVO2/ASP/SVD_Consensus.asp?pGB=1&amp;gicode=A004370&amp;cID=&amp;MenuYn=Y&amp;ReportGB=&amp;NewMenuID=108&amp;stkGb=701", "농심")</f>
        <v>0</v>
      </c>
      <c r="E328">
        <v>3</v>
      </c>
      <c r="F328">
        <v>301000</v>
      </c>
      <c r="G328">
        <v>1.11</v>
      </c>
      <c r="H328">
        <v>12.29</v>
      </c>
      <c r="I328">
        <v>245895</v>
      </c>
      <c r="J328">
        <v>308755</v>
      </c>
      <c r="K328">
        <v>327065</v>
      </c>
      <c r="L328">
        <v>18.31</v>
      </c>
      <c r="M328">
        <v>-2.58</v>
      </c>
      <c r="N328">
        <v>-8.66</v>
      </c>
      <c r="O328">
        <v>5.75</v>
      </c>
      <c r="P328" t="b">
        <v>1</v>
      </c>
      <c r="Q328">
        <v>0</v>
      </c>
      <c r="R328">
        <v>24416</v>
      </c>
      <c r="S328">
        <v>18974</v>
      </c>
      <c r="T328">
        <v>-22.3</v>
      </c>
      <c r="U328" t="s">
        <v>1720</v>
      </c>
      <c r="V328" t="s">
        <v>2399</v>
      </c>
      <c r="W328">
        <v>11.02776482627761</v>
      </c>
      <c r="X328">
        <v>109.2</v>
      </c>
      <c r="Y328" t="s">
        <v>3046</v>
      </c>
      <c r="Z328">
        <v>4.824104402974738</v>
      </c>
      <c r="AA328">
        <v>18309</v>
      </c>
      <c r="AB328">
        <v>65872</v>
      </c>
      <c r="AC328" t="s">
        <v>3704</v>
      </c>
      <c r="AD328">
        <v>45.49</v>
      </c>
      <c r="AE328" t="s">
        <v>4383</v>
      </c>
      <c r="AF328" t="s">
        <v>5036</v>
      </c>
      <c r="AG328">
        <v>26398</v>
      </c>
      <c r="AH328">
        <v>1603</v>
      </c>
      <c r="AI328">
        <v>300018</v>
      </c>
      <c r="AJ328">
        <v>1.33</v>
      </c>
    </row>
    <row r="329" spans="1:36">
      <c r="A329" s="1" t="s">
        <v>363</v>
      </c>
      <c r="B329" t="s">
        <v>1042</v>
      </c>
      <c r="C329">
        <f>HYPERLINK("https://finance.naver.com/item/coinfo.nhn?code=072710", "A072710")</f>
        <v>0</v>
      </c>
      <c r="D329">
        <f>HYPERLINK("http://comp.fnguide.com/SVO2/ASP/SVD_Consensus.asp?pGB=1&amp;gicode=A072710&amp;cID=&amp;MenuYn=Y&amp;ReportGB=&amp;NewMenuID=108&amp;stkGb=701", "농심홀딩스")</f>
        <v>0</v>
      </c>
      <c r="E329">
        <v>3</v>
      </c>
      <c r="F329">
        <v>87700</v>
      </c>
      <c r="G329">
        <v>0</v>
      </c>
      <c r="H329">
        <v>5.25</v>
      </c>
      <c r="I329">
        <v>149028</v>
      </c>
      <c r="J329">
        <v>184995</v>
      </c>
      <c r="K329">
        <v>195472</v>
      </c>
      <c r="L329">
        <v>-69.93000000000001</v>
      </c>
      <c r="M329">
        <v>-110.94</v>
      </c>
      <c r="N329">
        <v>-122.89</v>
      </c>
      <c r="O329">
        <v>5.84</v>
      </c>
      <c r="P329" t="b">
        <v>1</v>
      </c>
      <c r="Q329">
        <v>0</v>
      </c>
      <c r="R329">
        <v>14746</v>
      </c>
      <c r="U329" t="s">
        <v>1721</v>
      </c>
      <c r="V329" t="s">
        <v>2400</v>
      </c>
      <c r="W329">
        <v>0</v>
      </c>
      <c r="X329">
        <v>87</v>
      </c>
      <c r="Y329" t="s">
        <v>3047</v>
      </c>
      <c r="Z329">
        <v>7.522995250930142</v>
      </c>
      <c r="AA329">
        <v>4067</v>
      </c>
      <c r="AB329">
        <v>73687</v>
      </c>
      <c r="AC329" t="s">
        <v>3705</v>
      </c>
      <c r="AD329">
        <v>66.59999999999999</v>
      </c>
      <c r="AE329" t="s">
        <v>4384</v>
      </c>
      <c r="AF329" t="s">
        <v>5037</v>
      </c>
      <c r="AG329">
        <v>5836</v>
      </c>
      <c r="AH329">
        <v>740</v>
      </c>
      <c r="AJ329">
        <v>2.58</v>
      </c>
    </row>
    <row r="330" spans="1:36">
      <c r="A330" s="1" t="s">
        <v>364</v>
      </c>
      <c r="B330" t="s">
        <v>1043</v>
      </c>
      <c r="C330">
        <f>HYPERLINK("https://finance.naver.com/item/coinfo.nhn?code=058730", "A058730")</f>
        <v>0</v>
      </c>
      <c r="D330">
        <f>HYPERLINK("http://comp.fnguide.com/SVO2/ASP/SVD_Consensus.asp?pGB=1&amp;gicode=A058730&amp;cID=&amp;MenuYn=Y&amp;ReportGB=&amp;NewMenuID=108&amp;stkGb=701", "다스코")</f>
        <v>0</v>
      </c>
      <c r="E330">
        <v>3</v>
      </c>
      <c r="F330">
        <v>5410</v>
      </c>
      <c r="G330">
        <v>0</v>
      </c>
      <c r="I330">
        <v>2690</v>
      </c>
      <c r="J330">
        <v>5546</v>
      </c>
      <c r="K330">
        <v>6378</v>
      </c>
      <c r="L330">
        <v>50.28</v>
      </c>
      <c r="M330">
        <v>-2.52</v>
      </c>
      <c r="N330">
        <v>-17.89</v>
      </c>
      <c r="O330">
        <v>2.95</v>
      </c>
      <c r="P330" t="b">
        <v>0</v>
      </c>
      <c r="Q330">
        <v>0</v>
      </c>
      <c r="R330">
        <v>-513</v>
      </c>
      <c r="U330" t="s">
        <v>1722</v>
      </c>
      <c r="V330" t="s">
        <v>2401</v>
      </c>
      <c r="W330">
        <v>0</v>
      </c>
      <c r="X330">
        <v>0</v>
      </c>
      <c r="Y330" t="s">
        <v>3048</v>
      </c>
      <c r="Z330">
        <v>-33.75221795803066</v>
      </c>
      <c r="AA330">
        <v>882</v>
      </c>
      <c r="AB330">
        <v>32116</v>
      </c>
      <c r="AC330" t="s">
        <v>3706</v>
      </c>
      <c r="AD330">
        <v>39.27</v>
      </c>
      <c r="AE330" t="s">
        <v>4385</v>
      </c>
      <c r="AF330" t="s">
        <v>5038</v>
      </c>
      <c r="AG330">
        <v>2245</v>
      </c>
      <c r="AH330">
        <v>-72</v>
      </c>
      <c r="AI330">
        <v>564090</v>
      </c>
    </row>
    <row r="331" spans="1:36">
      <c r="A331" s="1" t="s">
        <v>365</v>
      </c>
      <c r="B331" t="s">
        <v>1044</v>
      </c>
      <c r="C331">
        <f>HYPERLINK("https://finance.naver.com/item/coinfo.nhn?code=023590", "A023590")</f>
        <v>0</v>
      </c>
      <c r="D331">
        <f>HYPERLINK("http://comp.fnguide.com/SVO2/ASP/SVD_Consensus.asp?pGB=1&amp;gicode=A023590&amp;cID=&amp;MenuYn=Y&amp;ReportGB=&amp;NewMenuID=108&amp;stkGb=701", "다우기술")</f>
        <v>0</v>
      </c>
      <c r="E331">
        <v>3</v>
      </c>
      <c r="F331">
        <v>27450</v>
      </c>
      <c r="G331">
        <v>0</v>
      </c>
      <c r="H331">
        <v>3.57</v>
      </c>
      <c r="I331">
        <v>71092</v>
      </c>
      <c r="J331">
        <v>50662</v>
      </c>
      <c r="K331">
        <v>44711</v>
      </c>
      <c r="L331">
        <v>-158.99</v>
      </c>
      <c r="M331">
        <v>-84.56</v>
      </c>
      <c r="N331">
        <v>-62.88</v>
      </c>
      <c r="O331">
        <v>15.93</v>
      </c>
      <c r="P331" t="b">
        <v>1</v>
      </c>
      <c r="Q331">
        <v>0</v>
      </c>
      <c r="R331">
        <v>6143</v>
      </c>
      <c r="U331" t="s">
        <v>1723</v>
      </c>
      <c r="V331" t="s">
        <v>2402</v>
      </c>
      <c r="W331">
        <v>0</v>
      </c>
      <c r="X331">
        <v>48.7</v>
      </c>
      <c r="Y331" t="s">
        <v>3049</v>
      </c>
      <c r="Z331">
        <v>21.72601118964572</v>
      </c>
      <c r="AA331">
        <v>12316</v>
      </c>
      <c r="AB331">
        <v>124330</v>
      </c>
      <c r="AC331" t="s">
        <v>3707</v>
      </c>
      <c r="AD331">
        <v>46.73</v>
      </c>
      <c r="AE331" t="s">
        <v>4386</v>
      </c>
      <c r="AF331" t="s">
        <v>5039</v>
      </c>
      <c r="AG331">
        <v>47329</v>
      </c>
      <c r="AH331">
        <v>10154</v>
      </c>
      <c r="AI331">
        <v>1600000</v>
      </c>
      <c r="AJ331">
        <v>2.28</v>
      </c>
    </row>
    <row r="332" spans="1:36">
      <c r="A332" s="1" t="s">
        <v>366</v>
      </c>
      <c r="B332" t="s">
        <v>1045</v>
      </c>
      <c r="C332">
        <f>HYPERLINK("https://finance.naver.com/item/coinfo.nhn?code=006370", "A006370")</f>
        <v>0</v>
      </c>
      <c r="D332">
        <f>HYPERLINK("http://comp.fnguide.com/SVO2/ASP/SVD_Consensus.asp?pGB=1&amp;gicode=A006370&amp;cID=&amp;MenuYn=Y&amp;ReportGB=&amp;NewMenuID=108&amp;stkGb=701", "대구백화점")</f>
        <v>0</v>
      </c>
      <c r="E332">
        <v>3</v>
      </c>
      <c r="F332">
        <v>10950</v>
      </c>
      <c r="G332">
        <v>0</v>
      </c>
      <c r="I332">
        <v>0</v>
      </c>
      <c r="J332">
        <v>18722</v>
      </c>
      <c r="K332">
        <v>24175</v>
      </c>
      <c r="L332">
        <v>100</v>
      </c>
      <c r="M332">
        <v>-70.98</v>
      </c>
      <c r="N332">
        <v>-120.78</v>
      </c>
      <c r="O332">
        <v>0</v>
      </c>
      <c r="P332" t="b">
        <v>0</v>
      </c>
      <c r="Q332">
        <v>0</v>
      </c>
      <c r="R332">
        <v>-1645</v>
      </c>
      <c r="U332" t="s">
        <v>1724</v>
      </c>
      <c r="V332" t="s">
        <v>2403</v>
      </c>
      <c r="W332">
        <v>0</v>
      </c>
      <c r="X332">
        <v>0</v>
      </c>
      <c r="Y332" t="s">
        <v>2762</v>
      </c>
      <c r="Z332">
        <v>0</v>
      </c>
      <c r="AA332">
        <v>1185</v>
      </c>
      <c r="AB332">
        <v>7628</v>
      </c>
      <c r="AC332" t="s">
        <v>3708</v>
      </c>
      <c r="AD332">
        <v>29.17</v>
      </c>
      <c r="AE332" t="s">
        <v>4387</v>
      </c>
      <c r="AF332" t="s">
        <v>4741</v>
      </c>
      <c r="AG332">
        <v>911</v>
      </c>
      <c r="AH332">
        <v>-176</v>
      </c>
      <c r="AI332">
        <v>2500000</v>
      </c>
      <c r="AJ332">
        <v>1.09</v>
      </c>
    </row>
    <row r="333" spans="1:36">
      <c r="A333" s="1" t="s">
        <v>367</v>
      </c>
      <c r="B333" t="s">
        <v>1046</v>
      </c>
      <c r="C333">
        <f>HYPERLINK("https://finance.naver.com/item/coinfo.nhn?code=117580", "A117580")</f>
        <v>0</v>
      </c>
      <c r="D333">
        <f>HYPERLINK("http://comp.fnguide.com/SVO2/ASP/SVD_Consensus.asp?pGB=1&amp;gicode=A117580&amp;cID=&amp;MenuYn=Y&amp;ReportGB=&amp;NewMenuID=108&amp;stkGb=701", "대성에너지")</f>
        <v>0</v>
      </c>
      <c r="E333">
        <v>3</v>
      </c>
      <c r="F333">
        <v>5920</v>
      </c>
      <c r="G333">
        <v>0</v>
      </c>
      <c r="H333">
        <v>10.37</v>
      </c>
      <c r="I333">
        <v>6141</v>
      </c>
      <c r="J333">
        <v>9284</v>
      </c>
      <c r="K333">
        <v>10200</v>
      </c>
      <c r="L333">
        <v>-3.73</v>
      </c>
      <c r="M333">
        <v>-56.82</v>
      </c>
      <c r="N333">
        <v>-72.29000000000001</v>
      </c>
      <c r="O333">
        <v>4.42</v>
      </c>
      <c r="P333" t="b">
        <v>0</v>
      </c>
      <c r="Q333">
        <v>0</v>
      </c>
      <c r="R333">
        <v>514</v>
      </c>
      <c r="U333" t="s">
        <v>1725</v>
      </c>
      <c r="V333" t="s">
        <v>2404</v>
      </c>
      <c r="W333">
        <v>0</v>
      </c>
      <c r="X333">
        <v>8.4</v>
      </c>
      <c r="Y333" t="s">
        <v>3050</v>
      </c>
      <c r="Z333">
        <v>0.5818855309012161</v>
      </c>
      <c r="AA333">
        <v>1628</v>
      </c>
      <c r="AB333">
        <v>85379</v>
      </c>
      <c r="AC333" t="s">
        <v>3709</v>
      </c>
      <c r="AD333">
        <v>72.73</v>
      </c>
      <c r="AE333" t="s">
        <v>4388</v>
      </c>
      <c r="AF333" t="s">
        <v>5040</v>
      </c>
      <c r="AG333">
        <v>7432</v>
      </c>
      <c r="AH333">
        <v>263</v>
      </c>
      <c r="AJ333">
        <v>4.69</v>
      </c>
    </row>
    <row r="334" spans="1:36">
      <c r="A334" s="1" t="s">
        <v>368</v>
      </c>
      <c r="B334" t="s">
        <v>1047</v>
      </c>
      <c r="C334">
        <f>HYPERLINK("https://finance.naver.com/item/coinfo.nhn?code=008060", "A008060")</f>
        <v>0</v>
      </c>
      <c r="D334">
        <f>HYPERLINK("http://comp.fnguide.com/SVO2/ASP/SVD_Consensus.asp?pGB=1&amp;gicode=A008060&amp;cID=&amp;MenuYn=Y&amp;ReportGB=&amp;NewMenuID=108&amp;stkGb=701", "대덕")</f>
        <v>0</v>
      </c>
      <c r="E334">
        <v>3</v>
      </c>
      <c r="F334">
        <v>7220</v>
      </c>
      <c r="G334">
        <v>0</v>
      </c>
      <c r="H334">
        <v>2.33</v>
      </c>
      <c r="I334">
        <v>36915</v>
      </c>
      <c r="J334">
        <v>25632</v>
      </c>
      <c r="K334">
        <v>22346</v>
      </c>
      <c r="L334">
        <v>-411.29</v>
      </c>
      <c r="M334">
        <v>-255.02</v>
      </c>
      <c r="N334">
        <v>-209.5</v>
      </c>
      <c r="O334">
        <v>16.93</v>
      </c>
      <c r="P334" t="b">
        <v>1</v>
      </c>
      <c r="Q334">
        <v>0</v>
      </c>
      <c r="R334">
        <v>2992</v>
      </c>
      <c r="U334" t="s">
        <v>1726</v>
      </c>
      <c r="V334" t="s">
        <v>2405</v>
      </c>
      <c r="W334">
        <v>0</v>
      </c>
      <c r="X334">
        <v>276.9</v>
      </c>
      <c r="Y334" t="s">
        <v>3051</v>
      </c>
      <c r="Z334">
        <v>36.68661138175937</v>
      </c>
      <c r="AA334">
        <v>2447</v>
      </c>
      <c r="AB334">
        <v>238410</v>
      </c>
      <c r="AC334" t="s">
        <v>3710</v>
      </c>
      <c r="AD334">
        <v>43.33</v>
      </c>
      <c r="AE334" t="s">
        <v>4389</v>
      </c>
      <c r="AF334" t="s">
        <v>5041</v>
      </c>
      <c r="AG334">
        <v>34</v>
      </c>
      <c r="AH334">
        <v>-41</v>
      </c>
      <c r="AJ334">
        <v>4.3</v>
      </c>
    </row>
    <row r="335" spans="1:36">
      <c r="A335" s="1" t="s">
        <v>369</v>
      </c>
      <c r="B335" t="s">
        <v>1048</v>
      </c>
      <c r="C335">
        <f>HYPERLINK("https://finance.naver.com/item/coinfo.nhn?code=000490", "A000490")</f>
        <v>0</v>
      </c>
      <c r="D335">
        <f>HYPERLINK("http://comp.fnguide.com/SVO2/ASP/SVD_Consensus.asp?pGB=1&amp;gicode=A000490&amp;cID=&amp;MenuYn=Y&amp;ReportGB=&amp;NewMenuID=108&amp;stkGb=701", "대동")</f>
        <v>0</v>
      </c>
      <c r="E335">
        <v>3</v>
      </c>
      <c r="F335">
        <v>11050</v>
      </c>
      <c r="G335">
        <v>0</v>
      </c>
      <c r="H335">
        <v>7.92</v>
      </c>
      <c r="I335">
        <v>8156</v>
      </c>
      <c r="J335">
        <v>12355</v>
      </c>
      <c r="K335">
        <v>13578</v>
      </c>
      <c r="L335">
        <v>26.19</v>
      </c>
      <c r="M335">
        <v>-11.81</v>
      </c>
      <c r="N335">
        <v>-22.88</v>
      </c>
      <c r="O335">
        <v>4.4</v>
      </c>
      <c r="P335" t="b">
        <v>0</v>
      </c>
      <c r="Q335">
        <v>0</v>
      </c>
      <c r="R335">
        <v>861</v>
      </c>
      <c r="U335" t="s">
        <v>1727</v>
      </c>
      <c r="V335" t="s">
        <v>2406</v>
      </c>
      <c r="W335">
        <v>0</v>
      </c>
      <c r="X335">
        <v>636.8</v>
      </c>
      <c r="Y335" t="s">
        <v>3052</v>
      </c>
      <c r="Z335">
        <v>28.56031450173064</v>
      </c>
      <c r="AA335">
        <v>2622</v>
      </c>
      <c r="AB335">
        <v>259539</v>
      </c>
      <c r="AC335" t="s">
        <v>3711</v>
      </c>
      <c r="AD335">
        <v>27.72</v>
      </c>
      <c r="AE335" t="s">
        <v>4390</v>
      </c>
      <c r="AF335" t="s">
        <v>5042</v>
      </c>
      <c r="AG335">
        <v>8958</v>
      </c>
      <c r="AH335">
        <v>331</v>
      </c>
      <c r="AI335">
        <v>3000000</v>
      </c>
      <c r="AJ335">
        <v>1.17</v>
      </c>
    </row>
    <row r="336" spans="1:36">
      <c r="A336" s="1" t="s">
        <v>370</v>
      </c>
      <c r="B336" t="s">
        <v>1049</v>
      </c>
      <c r="C336">
        <f>HYPERLINK("https://finance.naver.com/item/coinfo.nhn?code=008110", "A008110")</f>
        <v>0</v>
      </c>
      <c r="D336">
        <f>HYPERLINK("http://comp.fnguide.com/SVO2/ASP/SVD_Consensus.asp?pGB=1&amp;gicode=A008110&amp;cID=&amp;MenuYn=Y&amp;ReportGB=&amp;NewMenuID=108&amp;stkGb=701", "대동전자")</f>
        <v>0</v>
      </c>
      <c r="E336">
        <v>3</v>
      </c>
      <c r="F336">
        <v>8620</v>
      </c>
      <c r="G336">
        <v>0</v>
      </c>
      <c r="H336">
        <v>7.36</v>
      </c>
      <c r="I336">
        <v>5309</v>
      </c>
      <c r="J336">
        <v>12268</v>
      </c>
      <c r="K336">
        <v>14295</v>
      </c>
      <c r="L336">
        <v>38.41</v>
      </c>
      <c r="M336">
        <v>-42.32</v>
      </c>
      <c r="N336">
        <v>-65.83</v>
      </c>
      <c r="O336">
        <v>2.56</v>
      </c>
      <c r="P336" t="b">
        <v>1</v>
      </c>
      <c r="Q336">
        <v>0</v>
      </c>
      <c r="R336">
        <v>419</v>
      </c>
      <c r="U336" t="s">
        <v>1728</v>
      </c>
      <c r="V336" t="s">
        <v>2407</v>
      </c>
      <c r="W336">
        <v>0</v>
      </c>
      <c r="X336">
        <v>-65.8</v>
      </c>
      <c r="Y336" t="s">
        <v>3053</v>
      </c>
      <c r="Z336">
        <v>-4.313865404922613</v>
      </c>
      <c r="AA336">
        <v>904</v>
      </c>
      <c r="AB336">
        <v>29692</v>
      </c>
      <c r="AC336" t="s">
        <v>3712</v>
      </c>
      <c r="AD336">
        <v>60.4</v>
      </c>
      <c r="AE336" t="s">
        <v>4391</v>
      </c>
      <c r="AF336" t="s">
        <v>5043</v>
      </c>
      <c r="AG336">
        <v>450</v>
      </c>
      <c r="AH336">
        <v>17</v>
      </c>
      <c r="AI336">
        <v>2320000</v>
      </c>
      <c r="AJ336">
        <v>16.21</v>
      </c>
    </row>
    <row r="337" spans="1:36">
      <c r="A337" s="1" t="s">
        <v>371</v>
      </c>
      <c r="B337" t="s">
        <v>1050</v>
      </c>
      <c r="C337">
        <f>HYPERLINK("https://finance.naver.com/item/coinfo.nhn?code=005750", "A005750")</f>
        <v>0</v>
      </c>
      <c r="D337">
        <f>HYPERLINK("http://comp.fnguide.com/SVO2/ASP/SVD_Consensus.asp?pGB=1&amp;gicode=A005750&amp;cID=&amp;MenuYn=Y&amp;ReportGB=&amp;NewMenuID=108&amp;stkGb=701", "대림B&amp;Co")</f>
        <v>0</v>
      </c>
      <c r="E337">
        <v>3</v>
      </c>
      <c r="F337">
        <v>7290</v>
      </c>
      <c r="G337">
        <v>0</v>
      </c>
      <c r="I337">
        <v>1034</v>
      </c>
      <c r="J337">
        <v>6074</v>
      </c>
      <c r="K337">
        <v>7542</v>
      </c>
      <c r="L337">
        <v>85.81</v>
      </c>
      <c r="M337">
        <v>16.68</v>
      </c>
      <c r="N337">
        <v>-3.45</v>
      </c>
      <c r="O337">
        <v>0.89</v>
      </c>
      <c r="P337" t="b">
        <v>0</v>
      </c>
      <c r="Q337">
        <v>0</v>
      </c>
      <c r="R337">
        <v>-101</v>
      </c>
      <c r="U337" t="s">
        <v>1729</v>
      </c>
      <c r="V337" t="s">
        <v>2408</v>
      </c>
      <c r="W337">
        <v>0</v>
      </c>
      <c r="X337">
        <v>0</v>
      </c>
      <c r="Y337" t="s">
        <v>3054</v>
      </c>
      <c r="Z337">
        <v>-29.33461860966777</v>
      </c>
      <c r="AA337">
        <v>1215</v>
      </c>
      <c r="AB337">
        <v>75003</v>
      </c>
      <c r="AC337" t="s">
        <v>3713</v>
      </c>
      <c r="AD337">
        <v>49.87</v>
      </c>
      <c r="AE337" t="s">
        <v>4392</v>
      </c>
      <c r="AF337" t="s">
        <v>5044</v>
      </c>
      <c r="AG337">
        <v>2324</v>
      </c>
      <c r="AH337">
        <v>17</v>
      </c>
      <c r="AJ337">
        <v>2.04</v>
      </c>
    </row>
    <row r="338" spans="1:36">
      <c r="A338" s="1" t="s">
        <v>372</v>
      </c>
      <c r="B338" t="s">
        <v>1051</v>
      </c>
      <c r="C338">
        <f>HYPERLINK("https://finance.naver.com/item/coinfo.nhn?code=001680", "A001680")</f>
        <v>0</v>
      </c>
      <c r="D338">
        <f>HYPERLINK("http://comp.fnguide.com/SVO2/ASP/SVD_Consensus.asp?pGB=1&amp;gicode=A001680&amp;cID=&amp;MenuYn=Y&amp;ReportGB=&amp;NewMenuID=108&amp;stkGb=701", "대상")</f>
        <v>0</v>
      </c>
      <c r="E338">
        <v>3</v>
      </c>
      <c r="F338">
        <v>29850</v>
      </c>
      <c r="G338">
        <v>0.27</v>
      </c>
      <c r="H338">
        <v>7.5</v>
      </c>
      <c r="I338">
        <v>41689</v>
      </c>
      <c r="J338">
        <v>35502</v>
      </c>
      <c r="K338">
        <v>33699</v>
      </c>
      <c r="L338">
        <v>-39.66</v>
      </c>
      <c r="M338">
        <v>-18.93</v>
      </c>
      <c r="N338">
        <v>-12.9</v>
      </c>
      <c r="O338">
        <v>10.96</v>
      </c>
      <c r="P338" t="b">
        <v>1</v>
      </c>
      <c r="Q338">
        <v>3</v>
      </c>
      <c r="R338">
        <v>3473</v>
      </c>
      <c r="S338">
        <v>3747</v>
      </c>
      <c r="T338">
        <v>7.9</v>
      </c>
      <c r="U338" t="s">
        <v>1730</v>
      </c>
      <c r="V338" t="s">
        <v>2409</v>
      </c>
      <c r="W338">
        <v>27.65390791908944</v>
      </c>
      <c r="X338">
        <v>16.7</v>
      </c>
      <c r="Y338" t="s">
        <v>3055</v>
      </c>
      <c r="Z338">
        <v>16.49882445218229</v>
      </c>
      <c r="AA338">
        <v>10342</v>
      </c>
      <c r="AB338">
        <v>1125105</v>
      </c>
      <c r="AC338" t="s">
        <v>3714</v>
      </c>
      <c r="AD338">
        <v>44.74</v>
      </c>
      <c r="AE338" t="s">
        <v>4393</v>
      </c>
      <c r="AF338" t="s">
        <v>5045</v>
      </c>
      <c r="AG338">
        <v>31132</v>
      </c>
      <c r="AH338">
        <v>1744</v>
      </c>
      <c r="AJ338">
        <v>2.69</v>
      </c>
    </row>
    <row r="339" spans="1:36">
      <c r="A339" s="1" t="s">
        <v>373</v>
      </c>
      <c r="B339" t="s">
        <v>1052</v>
      </c>
      <c r="C339">
        <f>HYPERLINK("https://finance.naver.com/item/coinfo.nhn?code=084690", "A084690")</f>
        <v>0</v>
      </c>
      <c r="D339">
        <f>HYPERLINK("http://comp.fnguide.com/SVO2/ASP/SVD_Consensus.asp?pGB=1&amp;gicode=A084690&amp;cID=&amp;MenuYn=Y&amp;ReportGB=&amp;NewMenuID=108&amp;stkGb=701", "대상홀딩스")</f>
        <v>0</v>
      </c>
      <c r="E339">
        <v>3</v>
      </c>
      <c r="F339">
        <v>13150</v>
      </c>
      <c r="G339">
        <v>0</v>
      </c>
      <c r="H339">
        <v>4.32</v>
      </c>
      <c r="I339">
        <v>26829</v>
      </c>
      <c r="J339">
        <v>21604</v>
      </c>
      <c r="K339">
        <v>20082</v>
      </c>
      <c r="L339">
        <v>-104.02</v>
      </c>
      <c r="M339">
        <v>-64.29000000000001</v>
      </c>
      <c r="N339">
        <v>-52.72</v>
      </c>
      <c r="O339">
        <v>12.23</v>
      </c>
      <c r="P339" t="b">
        <v>1</v>
      </c>
      <c r="Q339">
        <v>0</v>
      </c>
      <c r="R339">
        <v>2360</v>
      </c>
      <c r="U339" t="s">
        <v>1731</v>
      </c>
      <c r="V339" t="s">
        <v>2410</v>
      </c>
      <c r="W339">
        <v>0</v>
      </c>
      <c r="X339">
        <v>21.3</v>
      </c>
      <c r="Y339" t="s">
        <v>3056</v>
      </c>
      <c r="Z339">
        <v>29.13118606169656</v>
      </c>
      <c r="AA339">
        <v>4762</v>
      </c>
      <c r="AB339">
        <v>341945</v>
      </c>
      <c r="AC339" t="s">
        <v>3715</v>
      </c>
      <c r="AD339">
        <v>67.3</v>
      </c>
      <c r="AE339" t="s">
        <v>4394</v>
      </c>
      <c r="AF339" t="s">
        <v>5046</v>
      </c>
      <c r="AG339">
        <v>37543</v>
      </c>
      <c r="AH339">
        <v>2070</v>
      </c>
      <c r="AJ339">
        <v>2.16</v>
      </c>
    </row>
    <row r="340" spans="1:36">
      <c r="A340" s="1" t="s">
        <v>374</v>
      </c>
      <c r="B340" t="s">
        <v>1053</v>
      </c>
      <c r="C340">
        <f>HYPERLINK("https://finance.naver.com/item/coinfo.nhn?code=128820", "A128820")</f>
        <v>0</v>
      </c>
      <c r="D340">
        <f>HYPERLINK("http://comp.fnguide.com/SVO2/ASP/SVD_Consensus.asp?pGB=1&amp;gicode=A128820&amp;cID=&amp;MenuYn=Y&amp;ReportGB=&amp;NewMenuID=108&amp;stkGb=701", "대성산업")</f>
        <v>0</v>
      </c>
      <c r="E340">
        <v>3</v>
      </c>
      <c r="F340">
        <v>5130</v>
      </c>
      <c r="G340">
        <v>0</v>
      </c>
      <c r="H340">
        <v>2.91</v>
      </c>
      <c r="I340">
        <v>9227</v>
      </c>
      <c r="J340">
        <v>12270</v>
      </c>
      <c r="K340">
        <v>13157</v>
      </c>
      <c r="L340">
        <v>-79.86</v>
      </c>
      <c r="M340">
        <v>-139.19</v>
      </c>
      <c r="N340">
        <v>-156.47</v>
      </c>
      <c r="O340">
        <v>5.29</v>
      </c>
      <c r="P340" t="b">
        <v>1</v>
      </c>
      <c r="Q340">
        <v>0</v>
      </c>
      <c r="R340">
        <v>1072</v>
      </c>
      <c r="U340" t="s">
        <v>1732</v>
      </c>
      <c r="V340" t="s">
        <v>2411</v>
      </c>
      <c r="W340">
        <v>0</v>
      </c>
      <c r="X340">
        <v>0</v>
      </c>
      <c r="Y340" t="s">
        <v>2762</v>
      </c>
      <c r="Z340">
        <v>0</v>
      </c>
      <c r="AA340">
        <v>2321</v>
      </c>
      <c r="AB340">
        <v>589248</v>
      </c>
      <c r="AC340" t="s">
        <v>3716</v>
      </c>
      <c r="AD340">
        <v>35.46</v>
      </c>
      <c r="AE340" t="s">
        <v>4395</v>
      </c>
      <c r="AF340" t="s">
        <v>5047</v>
      </c>
      <c r="AG340">
        <v>8450</v>
      </c>
      <c r="AH340">
        <v>39</v>
      </c>
      <c r="AI340">
        <v>10087607</v>
      </c>
    </row>
    <row r="341" spans="1:36">
      <c r="A341" s="1" t="s">
        <v>375</v>
      </c>
      <c r="B341" t="s">
        <v>1054</v>
      </c>
      <c r="C341">
        <f>HYPERLINK("https://finance.naver.com/item/coinfo.nhn?code=030720", "A030720")</f>
        <v>0</v>
      </c>
      <c r="D341">
        <f>HYPERLINK("http://comp.fnguide.com/SVO2/ASP/SVD_Consensus.asp?pGB=1&amp;gicode=A030720&amp;cID=&amp;MenuYn=Y&amp;ReportGB=&amp;NewMenuID=108&amp;stkGb=701", "동원수산")</f>
        <v>0</v>
      </c>
      <c r="E341">
        <v>3</v>
      </c>
      <c r="F341">
        <v>9220</v>
      </c>
      <c r="G341">
        <v>0</v>
      </c>
      <c r="I341">
        <v>6169</v>
      </c>
      <c r="J341">
        <v>8631</v>
      </c>
      <c r="K341">
        <v>9348</v>
      </c>
      <c r="L341">
        <v>33.09</v>
      </c>
      <c r="M341">
        <v>6.39</v>
      </c>
      <c r="N341">
        <v>-1.39</v>
      </c>
      <c r="O341">
        <v>4.92</v>
      </c>
      <c r="P341" t="b">
        <v>0</v>
      </c>
      <c r="Q341">
        <v>0</v>
      </c>
      <c r="R341">
        <v>-694</v>
      </c>
      <c r="U341" t="s">
        <v>1733</v>
      </c>
      <c r="V341" t="s">
        <v>2412</v>
      </c>
      <c r="W341">
        <v>0</v>
      </c>
      <c r="X341">
        <v>0</v>
      </c>
      <c r="Y341" t="s">
        <v>3057</v>
      </c>
      <c r="Z341">
        <v>83.11965775544785</v>
      </c>
      <c r="AA341">
        <v>429</v>
      </c>
      <c r="AB341">
        <v>82373</v>
      </c>
      <c r="AC341" t="s">
        <v>3717</v>
      </c>
      <c r="AD341">
        <v>18.9</v>
      </c>
      <c r="AE341" t="s">
        <v>4396</v>
      </c>
      <c r="AF341" t="s">
        <v>5048</v>
      </c>
      <c r="AG341">
        <v>1454</v>
      </c>
      <c r="AH341">
        <v>-21</v>
      </c>
    </row>
    <row r="342" spans="1:36">
      <c r="A342" s="1" t="s">
        <v>376</v>
      </c>
      <c r="B342" t="s">
        <v>1055</v>
      </c>
      <c r="C342">
        <f>HYPERLINK("https://finance.naver.com/item/coinfo.nhn?code=004890", "A004890")</f>
        <v>0</v>
      </c>
      <c r="D342">
        <f>HYPERLINK("http://comp.fnguide.com/SVO2/ASP/SVD_Consensus.asp?pGB=1&amp;gicode=A004890&amp;cID=&amp;MenuYn=Y&amp;ReportGB=&amp;NewMenuID=108&amp;stkGb=701", "동일산업")</f>
        <v>0</v>
      </c>
      <c r="E342">
        <v>3</v>
      </c>
      <c r="F342">
        <v>100000</v>
      </c>
      <c r="G342">
        <v>0</v>
      </c>
      <c r="H342">
        <v>22.97</v>
      </c>
      <c r="I342">
        <v>44948</v>
      </c>
      <c r="J342">
        <v>117104</v>
      </c>
      <c r="K342">
        <v>138122</v>
      </c>
      <c r="L342">
        <v>55.05</v>
      </c>
      <c r="M342">
        <v>-17.1</v>
      </c>
      <c r="N342">
        <v>-38.12</v>
      </c>
      <c r="O342">
        <v>2.22</v>
      </c>
      <c r="P342" t="b">
        <v>1</v>
      </c>
      <c r="Q342">
        <v>0</v>
      </c>
      <c r="R342">
        <v>3305</v>
      </c>
      <c r="U342" t="s">
        <v>1734</v>
      </c>
      <c r="V342" t="s">
        <v>2413</v>
      </c>
      <c r="W342">
        <v>0</v>
      </c>
      <c r="X342">
        <v>113.7</v>
      </c>
      <c r="Y342" t="s">
        <v>3058</v>
      </c>
      <c r="Z342">
        <v>13.8429493284191</v>
      </c>
      <c r="AA342">
        <v>2425</v>
      </c>
      <c r="AB342">
        <v>2695</v>
      </c>
      <c r="AC342" t="s">
        <v>3718</v>
      </c>
      <c r="AD342">
        <v>45.73</v>
      </c>
      <c r="AE342" t="s">
        <v>4397</v>
      </c>
      <c r="AF342" t="s">
        <v>5049</v>
      </c>
      <c r="AG342">
        <v>3333</v>
      </c>
      <c r="AH342">
        <v>20</v>
      </c>
      <c r="AI342">
        <v>259144</v>
      </c>
      <c r="AJ342">
        <v>2.37</v>
      </c>
    </row>
    <row r="343" spans="1:36">
      <c r="A343" s="1" t="s">
        <v>377</v>
      </c>
      <c r="B343" t="s">
        <v>1056</v>
      </c>
      <c r="C343">
        <f>HYPERLINK("https://finance.naver.com/item/coinfo.nhn?code=006660", "A006660")</f>
        <v>0</v>
      </c>
      <c r="D343">
        <f>HYPERLINK("http://comp.fnguide.com/SVO2/ASP/SVD_Consensus.asp?pGB=1&amp;gicode=A006660&amp;cID=&amp;MenuYn=Y&amp;ReportGB=&amp;NewMenuID=108&amp;stkGb=701", "삼성공조")</f>
        <v>0</v>
      </c>
      <c r="E343">
        <v>3</v>
      </c>
      <c r="F343">
        <v>16050</v>
      </c>
      <c r="G343">
        <v>0</v>
      </c>
      <c r="H343">
        <v>10.87</v>
      </c>
      <c r="I343">
        <v>8265</v>
      </c>
      <c r="J343">
        <v>19725</v>
      </c>
      <c r="K343">
        <v>23063</v>
      </c>
      <c r="L343">
        <v>48.51</v>
      </c>
      <c r="M343">
        <v>-22.9</v>
      </c>
      <c r="N343">
        <v>-43.7</v>
      </c>
      <c r="O343">
        <v>2.46</v>
      </c>
      <c r="P343" t="b">
        <v>1</v>
      </c>
      <c r="Q343">
        <v>0</v>
      </c>
      <c r="R343">
        <v>664</v>
      </c>
      <c r="U343" t="s">
        <v>1735</v>
      </c>
      <c r="V343" t="s">
        <v>2414</v>
      </c>
      <c r="W343">
        <v>0</v>
      </c>
      <c r="X343">
        <v>13.5</v>
      </c>
      <c r="Y343" t="s">
        <v>3059</v>
      </c>
      <c r="Z343">
        <v>-8.951503312136088</v>
      </c>
      <c r="AA343">
        <v>1304</v>
      </c>
      <c r="AB343">
        <v>171398</v>
      </c>
      <c r="AC343" t="s">
        <v>3719</v>
      </c>
      <c r="AD343">
        <v>51.41</v>
      </c>
      <c r="AE343" t="s">
        <v>4398</v>
      </c>
      <c r="AF343" t="s">
        <v>5050</v>
      </c>
      <c r="AG343">
        <v>638</v>
      </c>
      <c r="AH343">
        <v>-13</v>
      </c>
      <c r="AI343">
        <v>107310</v>
      </c>
      <c r="AJ343">
        <v>1.11</v>
      </c>
    </row>
    <row r="344" spans="1:36">
      <c r="A344" s="1" t="s">
        <v>378</v>
      </c>
      <c r="B344" t="s">
        <v>1057</v>
      </c>
      <c r="C344">
        <f>HYPERLINK("https://finance.naver.com/item/coinfo.nhn?code=003610", "A003610")</f>
        <v>0</v>
      </c>
      <c r="D344">
        <f>HYPERLINK("http://comp.fnguide.com/SVO2/ASP/SVD_Consensus.asp?pGB=1&amp;gicode=A003610&amp;cID=&amp;MenuYn=Y&amp;ReportGB=&amp;NewMenuID=108&amp;stkGb=701", "방림")</f>
        <v>0</v>
      </c>
      <c r="E344">
        <v>3</v>
      </c>
      <c r="F344">
        <v>2905</v>
      </c>
      <c r="G344">
        <v>0</v>
      </c>
      <c r="H344">
        <v>16.33</v>
      </c>
      <c r="I344">
        <v>1552</v>
      </c>
      <c r="J344">
        <v>3566</v>
      </c>
      <c r="K344">
        <v>4153</v>
      </c>
      <c r="L344">
        <v>46.56</v>
      </c>
      <c r="M344">
        <v>-22.76</v>
      </c>
      <c r="N344">
        <v>-42.96</v>
      </c>
      <c r="O344">
        <v>2.58</v>
      </c>
      <c r="P344" t="b">
        <v>1</v>
      </c>
      <c r="Q344">
        <v>0</v>
      </c>
      <c r="R344">
        <v>118</v>
      </c>
      <c r="U344" t="s">
        <v>1736</v>
      </c>
      <c r="V344" t="s">
        <v>2415</v>
      </c>
      <c r="W344">
        <v>0</v>
      </c>
      <c r="X344">
        <v>0</v>
      </c>
      <c r="Y344" t="s">
        <v>3060</v>
      </c>
      <c r="Z344">
        <v>-0.1953469718023126</v>
      </c>
      <c r="AA344">
        <v>1229</v>
      </c>
      <c r="AB344">
        <v>2458899</v>
      </c>
      <c r="AC344" t="s">
        <v>3720</v>
      </c>
      <c r="AD344">
        <v>38.67</v>
      </c>
      <c r="AE344" t="s">
        <v>4399</v>
      </c>
      <c r="AF344" t="s">
        <v>5051</v>
      </c>
      <c r="AG344">
        <v>1165</v>
      </c>
      <c r="AH344">
        <v>-13</v>
      </c>
      <c r="AI344">
        <v>3633031</v>
      </c>
      <c r="AJ344">
        <v>1.82</v>
      </c>
    </row>
    <row r="345" spans="1:36">
      <c r="A345" s="1" t="s">
        <v>379</v>
      </c>
      <c r="B345" t="s">
        <v>1058</v>
      </c>
      <c r="C345">
        <f>HYPERLINK("https://finance.naver.com/item/coinfo.nhn?code=009580", "A009580")</f>
        <v>0</v>
      </c>
      <c r="D345">
        <f>HYPERLINK("http://comp.fnguide.com/SVO2/ASP/SVD_Consensus.asp?pGB=1&amp;gicode=A009580&amp;cID=&amp;MenuYn=Y&amp;ReportGB=&amp;NewMenuID=108&amp;stkGb=701", "무림P&amp;P")</f>
        <v>0</v>
      </c>
      <c r="E345">
        <v>3</v>
      </c>
      <c r="F345">
        <v>5770</v>
      </c>
      <c r="I345">
        <v>2917</v>
      </c>
      <c r="J345">
        <v>6840</v>
      </c>
      <c r="K345">
        <v>7983</v>
      </c>
      <c r="L345">
        <v>49.44</v>
      </c>
      <c r="M345">
        <v>-18.54</v>
      </c>
      <c r="N345">
        <v>-38.35</v>
      </c>
      <c r="O345">
        <v>2.52</v>
      </c>
      <c r="P345" t="b">
        <v>0</v>
      </c>
      <c r="Q345">
        <v>1</v>
      </c>
      <c r="R345">
        <v>-139</v>
      </c>
      <c r="S345">
        <v>465</v>
      </c>
      <c r="T345">
        <v>-434.5</v>
      </c>
      <c r="U345" t="s">
        <v>1737</v>
      </c>
      <c r="V345" t="s">
        <v>2416</v>
      </c>
      <c r="W345">
        <v>-25.34071884717396</v>
      </c>
      <c r="X345">
        <v>0</v>
      </c>
      <c r="Y345" t="s">
        <v>3061</v>
      </c>
      <c r="Z345">
        <v>-47.33264768378801</v>
      </c>
      <c r="AA345">
        <v>3599</v>
      </c>
      <c r="AB345">
        <v>713755</v>
      </c>
      <c r="AC345" t="s">
        <v>3721</v>
      </c>
      <c r="AD345">
        <v>66.97</v>
      </c>
      <c r="AE345" t="s">
        <v>4400</v>
      </c>
      <c r="AF345" t="s">
        <v>5052</v>
      </c>
      <c r="AG345">
        <v>5279</v>
      </c>
      <c r="AH345">
        <v>63</v>
      </c>
      <c r="AI345">
        <v>4546</v>
      </c>
      <c r="AJ345">
        <v>3.45</v>
      </c>
    </row>
    <row r="346" spans="1:36">
      <c r="A346" s="1" t="s">
        <v>380</v>
      </c>
      <c r="B346" t="s">
        <v>1059</v>
      </c>
      <c r="C346">
        <f>HYPERLINK("https://finance.naver.com/item/coinfo.nhn?code=009200", "A009200")</f>
        <v>0</v>
      </c>
      <c r="D346">
        <f>HYPERLINK("http://comp.fnguide.com/SVO2/ASP/SVD_Consensus.asp?pGB=1&amp;gicode=A009200&amp;cID=&amp;MenuYn=Y&amp;ReportGB=&amp;NewMenuID=108&amp;stkGb=701", "무림페이퍼")</f>
        <v>0</v>
      </c>
      <c r="E346">
        <v>3</v>
      </c>
      <c r="F346">
        <v>3090</v>
      </c>
      <c r="G346">
        <v>0</v>
      </c>
      <c r="I346">
        <v>1564</v>
      </c>
      <c r="J346">
        <v>6321</v>
      </c>
      <c r="K346">
        <v>7706</v>
      </c>
      <c r="L346">
        <v>49.37</v>
      </c>
      <c r="M346">
        <v>-104.56</v>
      </c>
      <c r="N346">
        <v>-149.39</v>
      </c>
      <c r="O346">
        <v>1.34</v>
      </c>
      <c r="P346" t="b">
        <v>0</v>
      </c>
      <c r="Q346">
        <v>0</v>
      </c>
      <c r="R346">
        <v>-925</v>
      </c>
      <c r="U346" t="s">
        <v>1738</v>
      </c>
      <c r="V346" t="s">
        <v>2417</v>
      </c>
      <c r="W346">
        <v>0</v>
      </c>
      <c r="X346">
        <v>0</v>
      </c>
      <c r="Y346" t="s">
        <v>3062</v>
      </c>
      <c r="Z346">
        <v>1135.00526314668</v>
      </c>
      <c r="AA346">
        <v>1286</v>
      </c>
      <c r="AB346">
        <v>155299</v>
      </c>
      <c r="AC346" t="s">
        <v>3722</v>
      </c>
      <c r="AD346">
        <v>54.07</v>
      </c>
      <c r="AE346" t="s">
        <v>4401</v>
      </c>
      <c r="AF346" t="s">
        <v>5053</v>
      </c>
      <c r="AG346">
        <v>9497</v>
      </c>
      <c r="AH346">
        <v>273</v>
      </c>
      <c r="AJ346">
        <v>1.85</v>
      </c>
    </row>
    <row r="347" spans="1:36">
      <c r="A347" s="1" t="s">
        <v>381</v>
      </c>
      <c r="B347" t="s">
        <v>1060</v>
      </c>
      <c r="C347">
        <f>HYPERLINK("https://finance.naver.com/item/coinfo.nhn?code=033920", "A033920")</f>
        <v>0</v>
      </c>
      <c r="D347">
        <f>HYPERLINK("http://comp.fnguide.com/SVO2/ASP/SVD_Consensus.asp?pGB=1&amp;gicode=A033920&amp;cID=&amp;MenuYn=Y&amp;ReportGB=&amp;NewMenuID=108&amp;stkGb=701", "무학")</f>
        <v>0</v>
      </c>
      <c r="E347">
        <v>3</v>
      </c>
      <c r="F347">
        <v>9190</v>
      </c>
      <c r="G347">
        <v>0</v>
      </c>
      <c r="H347">
        <v>15.44</v>
      </c>
      <c r="I347">
        <v>6626</v>
      </c>
      <c r="J347">
        <v>14156</v>
      </c>
      <c r="K347">
        <v>16349</v>
      </c>
      <c r="L347">
        <v>27.9</v>
      </c>
      <c r="M347">
        <v>-54.04</v>
      </c>
      <c r="N347">
        <v>-77.90000000000001</v>
      </c>
      <c r="O347">
        <v>2.82</v>
      </c>
      <c r="P347" t="b">
        <v>0</v>
      </c>
      <c r="Q347">
        <v>0</v>
      </c>
      <c r="R347">
        <v>465</v>
      </c>
      <c r="U347" t="s">
        <v>1739</v>
      </c>
      <c r="V347" t="s">
        <v>2418</v>
      </c>
      <c r="W347">
        <v>0</v>
      </c>
      <c r="X347">
        <v>-44.1</v>
      </c>
      <c r="Y347" t="s">
        <v>3063</v>
      </c>
      <c r="Z347">
        <v>-0.01149372100560653</v>
      </c>
      <c r="AA347">
        <v>2619</v>
      </c>
      <c r="AB347">
        <v>57406</v>
      </c>
      <c r="AC347" t="s">
        <v>3723</v>
      </c>
      <c r="AD347">
        <v>61.46</v>
      </c>
      <c r="AE347" t="s">
        <v>4402</v>
      </c>
      <c r="AF347" t="s">
        <v>5054</v>
      </c>
      <c r="AG347">
        <v>1394</v>
      </c>
      <c r="AH347">
        <v>20</v>
      </c>
      <c r="AI347">
        <v>1313132</v>
      </c>
      <c r="AJ347">
        <v>2.09</v>
      </c>
    </row>
    <row r="348" spans="1:36">
      <c r="A348" s="1" t="s">
        <v>382</v>
      </c>
      <c r="B348" t="s">
        <v>1061</v>
      </c>
      <c r="C348">
        <f>HYPERLINK("https://finance.naver.com/item/coinfo.nhn?code=007120", "A007120")</f>
        <v>0</v>
      </c>
      <c r="D348">
        <f>HYPERLINK("http://comp.fnguide.com/SVO2/ASP/SVD_Consensus.asp?pGB=1&amp;gicode=A007120&amp;cID=&amp;MenuYn=Y&amp;ReportGB=&amp;NewMenuID=108&amp;stkGb=701", "미래아이앤지")</f>
        <v>0</v>
      </c>
      <c r="E348">
        <v>3</v>
      </c>
      <c r="F348">
        <v>550</v>
      </c>
      <c r="G348">
        <v>0</v>
      </c>
      <c r="H348">
        <v>2.59</v>
      </c>
      <c r="I348">
        <v>1682</v>
      </c>
      <c r="J348">
        <v>1096</v>
      </c>
      <c r="K348">
        <v>925</v>
      </c>
      <c r="L348">
        <v>-205.8</v>
      </c>
      <c r="M348">
        <v>-99.28</v>
      </c>
      <c r="N348">
        <v>-68.25</v>
      </c>
      <c r="O348">
        <v>19.88</v>
      </c>
      <c r="P348" t="b">
        <v>1</v>
      </c>
      <c r="Q348">
        <v>0</v>
      </c>
      <c r="R348">
        <v>152</v>
      </c>
      <c r="U348" t="s">
        <v>1740</v>
      </c>
      <c r="V348" t="s">
        <v>2419</v>
      </c>
      <c r="W348">
        <v>0</v>
      </c>
      <c r="X348">
        <v>40.3</v>
      </c>
      <c r="Y348" t="s">
        <v>3064</v>
      </c>
      <c r="Z348">
        <v>40.3</v>
      </c>
      <c r="AA348">
        <v>712</v>
      </c>
      <c r="AB348">
        <v>1423885</v>
      </c>
      <c r="AC348" t="s">
        <v>3724</v>
      </c>
      <c r="AD348">
        <v>24.76</v>
      </c>
      <c r="AE348" t="s">
        <v>4403</v>
      </c>
      <c r="AF348" t="s">
        <v>5055</v>
      </c>
      <c r="AG348">
        <v>58</v>
      </c>
      <c r="AH348">
        <v>7</v>
      </c>
      <c r="AI348">
        <v>799813</v>
      </c>
    </row>
    <row r="349" spans="1:36">
      <c r="A349" s="1" t="s">
        <v>383</v>
      </c>
      <c r="B349" t="s">
        <v>1062</v>
      </c>
      <c r="C349">
        <f>HYPERLINK("https://finance.naver.com/item/coinfo.nhn?code=085620", "A085620")</f>
        <v>0</v>
      </c>
      <c r="D349">
        <f>HYPERLINK("http://comp.fnguide.com/SVO2/ASP/SVD_Consensus.asp?pGB=1&amp;gicode=A085620&amp;cID=&amp;MenuYn=Y&amp;ReportGB=&amp;NewMenuID=108&amp;stkGb=701", "미래에셋생명")</f>
        <v>0</v>
      </c>
      <c r="E349">
        <v>3</v>
      </c>
      <c r="F349">
        <v>4170</v>
      </c>
      <c r="G349">
        <v>0</v>
      </c>
      <c r="H349">
        <v>9.56</v>
      </c>
      <c r="I349">
        <v>9052</v>
      </c>
      <c r="J349">
        <v>14078</v>
      </c>
      <c r="K349">
        <v>15542</v>
      </c>
      <c r="L349">
        <v>-117.06</v>
      </c>
      <c r="M349">
        <v>-237.59</v>
      </c>
      <c r="N349">
        <v>-272.7</v>
      </c>
      <c r="O349">
        <v>4.25</v>
      </c>
      <c r="P349" t="b">
        <v>0</v>
      </c>
      <c r="Q349">
        <v>0</v>
      </c>
      <c r="R349">
        <v>403</v>
      </c>
      <c r="U349" t="s">
        <v>1741</v>
      </c>
      <c r="V349" t="s">
        <v>2420</v>
      </c>
      <c r="W349">
        <v>0</v>
      </c>
      <c r="X349">
        <v>3.5</v>
      </c>
      <c r="Y349" t="s">
        <v>3065</v>
      </c>
      <c r="Z349">
        <v>5.803894646838237</v>
      </c>
      <c r="AA349">
        <v>7382</v>
      </c>
      <c r="AB349">
        <v>940975</v>
      </c>
      <c r="AC349" t="s">
        <v>3725</v>
      </c>
      <c r="AD349">
        <v>46.21</v>
      </c>
      <c r="AE349" t="s">
        <v>4404</v>
      </c>
      <c r="AF349" t="s">
        <v>5056</v>
      </c>
      <c r="AG349">
        <v>17906</v>
      </c>
      <c r="AH349">
        <v>1153</v>
      </c>
      <c r="AI349">
        <v>46540183</v>
      </c>
      <c r="AJ349">
        <v>2.6</v>
      </c>
    </row>
    <row r="350" spans="1:36">
      <c r="A350" s="1" t="s">
        <v>384</v>
      </c>
      <c r="B350" t="s">
        <v>1063</v>
      </c>
      <c r="C350">
        <f>HYPERLINK("https://finance.naver.com/item/coinfo.nhn?code=006800", "A006800")</f>
        <v>0</v>
      </c>
      <c r="D350">
        <f>HYPERLINK("http://comp.fnguide.com/SVO2/ASP/SVD_Consensus.asp?pGB=1&amp;gicode=A006800&amp;cID=&amp;MenuYn=Y&amp;ReportGB=&amp;NewMenuID=108&amp;stkGb=701", "미래에셋증권")</f>
        <v>0</v>
      </c>
      <c r="E350">
        <v>3</v>
      </c>
      <c r="F350">
        <v>10100</v>
      </c>
      <c r="G350">
        <v>0.36</v>
      </c>
      <c r="H350">
        <v>9.25</v>
      </c>
      <c r="I350">
        <v>18337</v>
      </c>
      <c r="J350">
        <v>18698</v>
      </c>
      <c r="K350">
        <v>18803</v>
      </c>
      <c r="L350">
        <v>-81.56</v>
      </c>
      <c r="M350">
        <v>-85.12</v>
      </c>
      <c r="N350">
        <v>-86.16</v>
      </c>
      <c r="O350">
        <v>7.96</v>
      </c>
      <c r="P350" t="b">
        <v>0</v>
      </c>
      <c r="Q350">
        <v>3</v>
      </c>
      <c r="R350">
        <v>1021</v>
      </c>
      <c r="S350">
        <v>1145</v>
      </c>
      <c r="T350">
        <v>12.1</v>
      </c>
      <c r="U350" t="s">
        <v>1742</v>
      </c>
      <c r="V350" t="s">
        <v>2421</v>
      </c>
      <c r="W350">
        <v>25.72201484946477</v>
      </c>
      <c r="X350">
        <v>8.9</v>
      </c>
      <c r="Y350" t="s">
        <v>3066</v>
      </c>
      <c r="Z350">
        <v>6.022057307664053</v>
      </c>
      <c r="AA350">
        <v>64167</v>
      </c>
      <c r="AB350">
        <v>1931964</v>
      </c>
      <c r="AC350" t="s">
        <v>3726</v>
      </c>
      <c r="AD350">
        <v>24.54</v>
      </c>
      <c r="AE350" t="s">
        <v>4405</v>
      </c>
      <c r="AF350" t="s">
        <v>5057</v>
      </c>
      <c r="AG350">
        <v>24735</v>
      </c>
      <c r="AH350">
        <v>11171</v>
      </c>
      <c r="AI350">
        <v>146035874</v>
      </c>
      <c r="AJ350">
        <v>2.12</v>
      </c>
    </row>
    <row r="351" spans="1:36">
      <c r="A351" s="1" t="s">
        <v>385</v>
      </c>
      <c r="B351" t="s">
        <v>1064</v>
      </c>
      <c r="C351">
        <f>HYPERLINK("https://finance.naver.com/item/coinfo.nhn?code=003650", "A003650")</f>
        <v>0</v>
      </c>
      <c r="D351">
        <f>HYPERLINK("http://comp.fnguide.com/SVO2/ASP/SVD_Consensus.asp?pGB=1&amp;gicode=A003650&amp;cID=&amp;MenuYn=Y&amp;ReportGB=&amp;NewMenuID=108&amp;stkGb=701", "미창석유")</f>
        <v>0</v>
      </c>
      <c r="E351">
        <v>3</v>
      </c>
      <c r="F351">
        <v>83800</v>
      </c>
      <c r="G351">
        <v>0</v>
      </c>
      <c r="H351">
        <v>5.68</v>
      </c>
      <c r="I351">
        <v>149839</v>
      </c>
      <c r="J351">
        <v>169624</v>
      </c>
      <c r="K351">
        <v>175387</v>
      </c>
      <c r="L351">
        <v>-78.81</v>
      </c>
      <c r="M351">
        <v>-102.41</v>
      </c>
      <c r="N351">
        <v>-109.29</v>
      </c>
      <c r="O351">
        <v>6.73</v>
      </c>
      <c r="P351" t="b">
        <v>1</v>
      </c>
      <c r="Q351">
        <v>0</v>
      </c>
      <c r="R351">
        <v>11312</v>
      </c>
      <c r="U351" t="s">
        <v>1743</v>
      </c>
      <c r="V351" t="s">
        <v>2422</v>
      </c>
      <c r="W351">
        <v>0</v>
      </c>
      <c r="X351">
        <v>11</v>
      </c>
      <c r="Y351" t="s">
        <v>3067</v>
      </c>
      <c r="Z351">
        <v>-4.768792841905234</v>
      </c>
      <c r="AA351">
        <v>1458</v>
      </c>
      <c r="AB351">
        <v>4879</v>
      </c>
      <c r="AC351" t="s">
        <v>3727</v>
      </c>
      <c r="AD351">
        <v>40.24</v>
      </c>
      <c r="AE351" t="s">
        <v>4406</v>
      </c>
      <c r="AF351" t="s">
        <v>5058</v>
      </c>
      <c r="AG351">
        <v>2776</v>
      </c>
      <c r="AH351">
        <v>187</v>
      </c>
      <c r="AI351">
        <v>226693</v>
      </c>
      <c r="AJ351">
        <v>3.27</v>
      </c>
    </row>
    <row r="352" spans="1:36">
      <c r="A352" s="1" t="s">
        <v>386</v>
      </c>
      <c r="B352" t="s">
        <v>1065</v>
      </c>
      <c r="C352">
        <f>HYPERLINK("https://finance.naver.com/item/coinfo.nhn?code=002410", "A002410")</f>
        <v>0</v>
      </c>
      <c r="D352">
        <f>HYPERLINK("http://comp.fnguide.com/SVO2/ASP/SVD_Consensus.asp?pGB=1&amp;gicode=A002410&amp;cID=&amp;MenuYn=Y&amp;ReportGB=&amp;NewMenuID=108&amp;stkGb=701", "범양건영")</f>
        <v>0</v>
      </c>
      <c r="E352">
        <v>3</v>
      </c>
      <c r="F352">
        <v>4080</v>
      </c>
      <c r="G352">
        <v>0</v>
      </c>
      <c r="H352">
        <v>10.99</v>
      </c>
      <c r="I352">
        <v>8009</v>
      </c>
      <c r="J352">
        <v>5194</v>
      </c>
      <c r="K352">
        <v>4375</v>
      </c>
      <c r="L352">
        <v>-96.3</v>
      </c>
      <c r="M352">
        <v>-27.31</v>
      </c>
      <c r="N352">
        <v>-7.22</v>
      </c>
      <c r="O352">
        <v>20.13</v>
      </c>
      <c r="P352" t="b">
        <v>0</v>
      </c>
      <c r="Q352">
        <v>0</v>
      </c>
      <c r="R352">
        <v>442</v>
      </c>
      <c r="U352" t="s">
        <v>1744</v>
      </c>
      <c r="V352" t="s">
        <v>2423</v>
      </c>
      <c r="W352">
        <v>0</v>
      </c>
      <c r="X352">
        <v>-44.4</v>
      </c>
      <c r="Y352" t="s">
        <v>3068</v>
      </c>
      <c r="Z352">
        <v>111.9203635859401</v>
      </c>
      <c r="AA352">
        <v>1013</v>
      </c>
      <c r="AB352">
        <v>147430</v>
      </c>
      <c r="AC352" t="s">
        <v>3728</v>
      </c>
      <c r="AD352">
        <v>33.22</v>
      </c>
      <c r="AE352" t="s">
        <v>4407</v>
      </c>
      <c r="AF352" t="s">
        <v>5059</v>
      </c>
      <c r="AG352">
        <v>1444</v>
      </c>
      <c r="AH352">
        <v>120</v>
      </c>
      <c r="AI352">
        <v>2030</v>
      </c>
    </row>
    <row r="353" spans="1:36">
      <c r="A353" s="1" t="s">
        <v>387</v>
      </c>
      <c r="B353" t="s">
        <v>1066</v>
      </c>
      <c r="C353">
        <f>HYPERLINK("https://finance.naver.com/item/coinfo.nhn?code=000060", "A000060")</f>
        <v>0</v>
      </c>
      <c r="D353">
        <f>HYPERLINK("http://comp.fnguide.com/SVO2/ASP/SVD_Consensus.asp?pGB=1&amp;gicode=A000060&amp;cID=&amp;MenuYn=Y&amp;ReportGB=&amp;NewMenuID=108&amp;stkGb=701", "메리츠화재")</f>
        <v>0</v>
      </c>
      <c r="E353">
        <v>3</v>
      </c>
      <c r="F353">
        <v>21150</v>
      </c>
      <c r="G353">
        <v>0.19</v>
      </c>
      <c r="H353">
        <v>3.88</v>
      </c>
      <c r="I353">
        <v>40880</v>
      </c>
      <c r="J353">
        <v>30252</v>
      </c>
      <c r="K353">
        <v>27157</v>
      </c>
      <c r="L353">
        <v>-93.29000000000001</v>
      </c>
      <c r="M353">
        <v>-43.04</v>
      </c>
      <c r="N353">
        <v>-28.4</v>
      </c>
      <c r="O353">
        <v>14.62</v>
      </c>
      <c r="P353" t="b">
        <v>1</v>
      </c>
      <c r="Q353">
        <v>0</v>
      </c>
      <c r="R353">
        <v>3762</v>
      </c>
      <c r="S353">
        <v>3631</v>
      </c>
      <c r="T353">
        <v>-3.5</v>
      </c>
      <c r="U353" t="s">
        <v>1745</v>
      </c>
      <c r="V353" t="s">
        <v>2424</v>
      </c>
      <c r="W353">
        <v>20.24175498841949</v>
      </c>
      <c r="X353">
        <v>16.9</v>
      </c>
      <c r="Y353" t="s">
        <v>3069</v>
      </c>
      <c r="Z353">
        <v>15.73781380795656</v>
      </c>
      <c r="AA353">
        <v>25512</v>
      </c>
      <c r="AB353">
        <v>284189</v>
      </c>
      <c r="AC353" t="s">
        <v>3729</v>
      </c>
      <c r="AD353">
        <v>56.3</v>
      </c>
      <c r="AE353" t="s">
        <v>4408</v>
      </c>
      <c r="AF353" t="s">
        <v>5060</v>
      </c>
      <c r="AG353">
        <v>91806</v>
      </c>
      <c r="AH353">
        <v>6080</v>
      </c>
      <c r="AI353">
        <v>4264022</v>
      </c>
      <c r="AJ353">
        <v>8.77</v>
      </c>
    </row>
    <row r="354" spans="1:36">
      <c r="A354" s="1" t="s">
        <v>388</v>
      </c>
      <c r="B354" t="s">
        <v>1067</v>
      </c>
      <c r="C354">
        <f>HYPERLINK("https://finance.naver.com/item/coinfo.nhn?code=001270", "A001270")</f>
        <v>0</v>
      </c>
      <c r="D354">
        <f>HYPERLINK("http://comp.fnguide.com/SVO2/ASP/SVD_Consensus.asp?pGB=1&amp;gicode=A001270&amp;cID=&amp;MenuYn=Y&amp;ReportGB=&amp;NewMenuID=108&amp;stkGb=701", "부국증권")</f>
        <v>0</v>
      </c>
      <c r="E354">
        <v>3</v>
      </c>
      <c r="F354">
        <v>25100</v>
      </c>
      <c r="G354">
        <v>0</v>
      </c>
      <c r="H354">
        <v>4.7</v>
      </c>
      <c r="I354">
        <v>100569</v>
      </c>
      <c r="J354">
        <v>96930</v>
      </c>
      <c r="K354">
        <v>95869</v>
      </c>
      <c r="L354">
        <v>-300.67</v>
      </c>
      <c r="M354">
        <v>-286.17</v>
      </c>
      <c r="N354">
        <v>-281.95</v>
      </c>
      <c r="O354">
        <v>8.75</v>
      </c>
      <c r="P354" t="b">
        <v>1</v>
      </c>
      <c r="Q354">
        <v>0</v>
      </c>
      <c r="R354">
        <v>4529</v>
      </c>
      <c r="U354" t="s">
        <v>1746</v>
      </c>
      <c r="V354" t="s">
        <v>2425</v>
      </c>
      <c r="W354">
        <v>0</v>
      </c>
      <c r="X354">
        <v>11.6</v>
      </c>
      <c r="Y354" t="s">
        <v>3070</v>
      </c>
      <c r="Z354">
        <v>7.55888210564617</v>
      </c>
      <c r="AA354">
        <v>2603</v>
      </c>
      <c r="AB354">
        <v>7419</v>
      </c>
      <c r="AC354" t="s">
        <v>3730</v>
      </c>
      <c r="AD354">
        <v>31.9</v>
      </c>
      <c r="AE354" t="s">
        <v>4409</v>
      </c>
      <c r="AF354" t="s">
        <v>5061</v>
      </c>
      <c r="AG354">
        <v>2056</v>
      </c>
      <c r="AH354">
        <v>772</v>
      </c>
      <c r="AI354">
        <v>4430764</v>
      </c>
      <c r="AJ354">
        <v>5.63</v>
      </c>
    </row>
    <row r="355" spans="1:36">
      <c r="A355" s="1" t="s">
        <v>389</v>
      </c>
      <c r="B355" t="s">
        <v>1068</v>
      </c>
      <c r="C355">
        <f>HYPERLINK("https://finance.naver.com/item/coinfo.nhn?code=015350", "A015350")</f>
        <v>0</v>
      </c>
      <c r="D355">
        <f>HYPERLINK("http://comp.fnguide.com/SVO2/ASP/SVD_Consensus.asp?pGB=1&amp;gicode=A015350&amp;cID=&amp;MenuYn=Y&amp;ReportGB=&amp;NewMenuID=108&amp;stkGb=701", "부산가스")</f>
        <v>0</v>
      </c>
      <c r="E355">
        <v>3</v>
      </c>
      <c r="F355">
        <v>64400</v>
      </c>
      <c r="G355">
        <v>0</v>
      </c>
      <c r="H355">
        <v>3.13</v>
      </c>
      <c r="I355">
        <v>164026</v>
      </c>
      <c r="J355">
        <v>118068</v>
      </c>
      <c r="K355">
        <v>104682</v>
      </c>
      <c r="L355">
        <v>-154.7</v>
      </c>
      <c r="M355">
        <v>-83.34</v>
      </c>
      <c r="N355">
        <v>-62.55</v>
      </c>
      <c r="O355">
        <v>15.56</v>
      </c>
      <c r="P355" t="b">
        <v>1</v>
      </c>
      <c r="Q355">
        <v>0</v>
      </c>
      <c r="R355">
        <v>16307</v>
      </c>
      <c r="U355" t="s">
        <v>1747</v>
      </c>
      <c r="V355" t="s">
        <v>2426</v>
      </c>
      <c r="W355">
        <v>0</v>
      </c>
      <c r="X355">
        <v>266.6</v>
      </c>
      <c r="Y355" t="s">
        <v>3071</v>
      </c>
      <c r="Z355">
        <v>33.9957762222032</v>
      </c>
      <c r="AA355">
        <v>7084</v>
      </c>
      <c r="AB355">
        <v>11687</v>
      </c>
      <c r="AC355" t="s">
        <v>3731</v>
      </c>
      <c r="AD355">
        <v>67.31999999999999</v>
      </c>
      <c r="AE355" t="s">
        <v>4410</v>
      </c>
      <c r="AF355" t="s">
        <v>5062</v>
      </c>
      <c r="AG355">
        <v>9221</v>
      </c>
      <c r="AH355">
        <v>351</v>
      </c>
      <c r="AI355">
        <v>999000</v>
      </c>
      <c r="AJ355">
        <v>1.96</v>
      </c>
    </row>
    <row r="356" spans="1:36">
      <c r="A356" s="1" t="s">
        <v>390</v>
      </c>
      <c r="B356" t="s">
        <v>1069</v>
      </c>
      <c r="C356">
        <f>HYPERLINK("https://finance.naver.com/item/coinfo.nhn?code=100220", "A100220")</f>
        <v>0</v>
      </c>
      <c r="D356">
        <f>HYPERLINK("http://comp.fnguide.com/SVO2/ASP/SVD_Consensus.asp?pGB=1&amp;gicode=A100220&amp;cID=&amp;MenuYn=Y&amp;ReportGB=&amp;NewMenuID=108&amp;stkGb=701", "비상교육")</f>
        <v>0</v>
      </c>
      <c r="E356">
        <v>3</v>
      </c>
      <c r="F356">
        <v>8490</v>
      </c>
      <c r="G356">
        <v>0</v>
      </c>
      <c r="I356">
        <v>3855</v>
      </c>
      <c r="J356">
        <v>11063</v>
      </c>
      <c r="K356">
        <v>13162</v>
      </c>
      <c r="L356">
        <v>54.6</v>
      </c>
      <c r="M356">
        <v>-30.3</v>
      </c>
      <c r="N356">
        <v>-55.03</v>
      </c>
      <c r="O356">
        <v>1.98</v>
      </c>
      <c r="P356" t="b">
        <v>0</v>
      </c>
      <c r="Q356">
        <v>0</v>
      </c>
      <c r="R356">
        <v>-1142</v>
      </c>
      <c r="U356" t="s">
        <v>1748</v>
      </c>
      <c r="V356" t="s">
        <v>2427</v>
      </c>
      <c r="W356">
        <v>0</v>
      </c>
      <c r="X356">
        <v>0</v>
      </c>
      <c r="Y356" t="s">
        <v>3072</v>
      </c>
      <c r="Z356">
        <v>-9.520795333315357</v>
      </c>
      <c r="AA356">
        <v>1103</v>
      </c>
      <c r="AB356">
        <v>1855718</v>
      </c>
      <c r="AC356" t="s">
        <v>3732</v>
      </c>
      <c r="AD356">
        <v>54.44</v>
      </c>
      <c r="AE356" t="s">
        <v>4411</v>
      </c>
      <c r="AF356" t="s">
        <v>5063</v>
      </c>
      <c r="AG356">
        <v>1723</v>
      </c>
      <c r="AH356">
        <v>-149</v>
      </c>
      <c r="AI356">
        <v>745226</v>
      </c>
      <c r="AJ356">
        <v>2.26</v>
      </c>
    </row>
    <row r="357" spans="1:36">
      <c r="A357" s="1" t="s">
        <v>391</v>
      </c>
      <c r="B357" t="s">
        <v>1070</v>
      </c>
      <c r="C357">
        <f>HYPERLINK("https://finance.naver.com/item/coinfo.nhn?code=005180", "A005180")</f>
        <v>0</v>
      </c>
      <c r="D357">
        <f>HYPERLINK("http://comp.fnguide.com/SVO2/ASP/SVD_Consensus.asp?pGB=1&amp;gicode=A005180&amp;cID=&amp;MenuYn=Y&amp;ReportGB=&amp;NewMenuID=108&amp;stkGb=701", "빙그레")</f>
        <v>0</v>
      </c>
      <c r="E357">
        <v>3</v>
      </c>
      <c r="F357">
        <v>62900</v>
      </c>
      <c r="G357">
        <v>2.04</v>
      </c>
      <c r="H357">
        <v>16.13</v>
      </c>
      <c r="I357">
        <v>52883</v>
      </c>
      <c r="J357">
        <v>61073</v>
      </c>
      <c r="K357">
        <v>63459</v>
      </c>
      <c r="L357">
        <v>15.92</v>
      </c>
      <c r="M357">
        <v>2.9</v>
      </c>
      <c r="N357">
        <v>-0.89</v>
      </c>
      <c r="O357">
        <v>6.52</v>
      </c>
      <c r="P357" t="b">
        <v>0</v>
      </c>
      <c r="Q357">
        <v>1</v>
      </c>
      <c r="R357">
        <v>3540</v>
      </c>
      <c r="S357">
        <v>4365</v>
      </c>
      <c r="T357">
        <v>23.3</v>
      </c>
      <c r="U357" t="s">
        <v>1749</v>
      </c>
      <c r="V357" t="s">
        <v>2428</v>
      </c>
      <c r="W357">
        <v>7.898979611694568</v>
      </c>
      <c r="X357">
        <v>-15.1</v>
      </c>
      <c r="Y357" t="s">
        <v>3073</v>
      </c>
      <c r="Z357">
        <v>7.108691406760337</v>
      </c>
      <c r="AA357">
        <v>6196</v>
      </c>
      <c r="AB357">
        <v>56686</v>
      </c>
      <c r="AC357" t="s">
        <v>3733</v>
      </c>
      <c r="AD357">
        <v>40.89</v>
      </c>
      <c r="AE357" t="s">
        <v>4412</v>
      </c>
      <c r="AF357" t="s">
        <v>5064</v>
      </c>
      <c r="AG357">
        <v>9591</v>
      </c>
      <c r="AH357">
        <v>398</v>
      </c>
      <c r="AI357">
        <v>1009440</v>
      </c>
      <c r="AJ357">
        <v>2.8</v>
      </c>
    </row>
    <row r="358" spans="1:36">
      <c r="A358" s="1" t="s">
        <v>392</v>
      </c>
      <c r="B358" t="s">
        <v>1071</v>
      </c>
      <c r="C358">
        <f>HYPERLINK("https://finance.naver.com/item/coinfo.nhn?code=003960", "A003960")</f>
        <v>0</v>
      </c>
      <c r="D358">
        <f>HYPERLINK("http://comp.fnguide.com/SVO2/ASP/SVD_Consensus.asp?pGB=1&amp;gicode=A003960&amp;cID=&amp;MenuYn=Y&amp;ReportGB=&amp;NewMenuID=108&amp;stkGb=701", "사조대림")</f>
        <v>0</v>
      </c>
      <c r="E358">
        <v>3</v>
      </c>
      <c r="F358">
        <v>21100</v>
      </c>
      <c r="G358">
        <v>0</v>
      </c>
      <c r="H358">
        <v>4.42</v>
      </c>
      <c r="I358">
        <v>94461</v>
      </c>
      <c r="J358">
        <v>67252</v>
      </c>
      <c r="K358">
        <v>59326</v>
      </c>
      <c r="L358">
        <v>-347.68</v>
      </c>
      <c r="M358">
        <v>-218.73</v>
      </c>
      <c r="N358">
        <v>-181.17</v>
      </c>
      <c r="O358">
        <v>15.96</v>
      </c>
      <c r="P358" t="b">
        <v>1</v>
      </c>
      <c r="Q358">
        <v>0</v>
      </c>
      <c r="R358">
        <v>3691</v>
      </c>
      <c r="U358" t="s">
        <v>1750</v>
      </c>
      <c r="V358" t="s">
        <v>2429</v>
      </c>
      <c r="W358">
        <v>0</v>
      </c>
      <c r="X358">
        <v>-65</v>
      </c>
      <c r="Y358" t="s">
        <v>3074</v>
      </c>
      <c r="Z358">
        <v>12.44156947472517</v>
      </c>
      <c r="AA358">
        <v>1934</v>
      </c>
      <c r="AB358">
        <v>49259</v>
      </c>
      <c r="AC358" t="s">
        <v>3734</v>
      </c>
      <c r="AD358">
        <v>47.43</v>
      </c>
      <c r="AE358" t="s">
        <v>4413</v>
      </c>
      <c r="AF358" t="s">
        <v>5065</v>
      </c>
      <c r="AG358">
        <v>17181</v>
      </c>
      <c r="AH358">
        <v>494</v>
      </c>
      <c r="AI358">
        <v>1814170</v>
      </c>
      <c r="AJ358">
        <v>1.23</v>
      </c>
    </row>
    <row r="359" spans="1:36">
      <c r="A359" s="1" t="s">
        <v>393</v>
      </c>
      <c r="B359" t="s">
        <v>1072</v>
      </c>
      <c r="C359">
        <f>HYPERLINK("https://finance.naver.com/item/coinfo.nhn?code=007160", "A007160")</f>
        <v>0</v>
      </c>
      <c r="D359">
        <f>HYPERLINK("http://comp.fnguide.com/SVO2/ASP/SVD_Consensus.asp?pGB=1&amp;gicode=A007160&amp;cID=&amp;MenuYn=Y&amp;ReportGB=&amp;NewMenuID=108&amp;stkGb=701", "사조산업")</f>
        <v>0</v>
      </c>
      <c r="E359">
        <v>3</v>
      </c>
      <c r="F359">
        <v>50400</v>
      </c>
      <c r="G359">
        <v>0</v>
      </c>
      <c r="H359">
        <v>21.09</v>
      </c>
      <c r="I359">
        <v>23622</v>
      </c>
      <c r="J359">
        <v>57481</v>
      </c>
      <c r="K359">
        <v>67343</v>
      </c>
      <c r="L359">
        <v>53.13</v>
      </c>
      <c r="M359">
        <v>-14.05</v>
      </c>
      <c r="N359">
        <v>-33.62</v>
      </c>
      <c r="O359">
        <v>2.41</v>
      </c>
      <c r="P359" t="b">
        <v>0</v>
      </c>
      <c r="Q359">
        <v>0</v>
      </c>
      <c r="R359">
        <v>1480</v>
      </c>
      <c r="U359" t="s">
        <v>1751</v>
      </c>
      <c r="V359" t="s">
        <v>2430</v>
      </c>
      <c r="W359">
        <v>0</v>
      </c>
      <c r="X359">
        <v>0</v>
      </c>
      <c r="Y359" t="s">
        <v>3075</v>
      </c>
      <c r="Z359">
        <v>23.07475289426602</v>
      </c>
      <c r="AA359">
        <v>2520</v>
      </c>
      <c r="AB359">
        <v>13653</v>
      </c>
      <c r="AC359" t="s">
        <v>3735</v>
      </c>
      <c r="AD359">
        <v>56.17</v>
      </c>
      <c r="AE359" t="s">
        <v>4414</v>
      </c>
      <c r="AF359" t="s">
        <v>5066</v>
      </c>
      <c r="AG359">
        <v>6219</v>
      </c>
      <c r="AH359">
        <v>219</v>
      </c>
      <c r="AI359">
        <v>55000</v>
      </c>
      <c r="AJ359">
        <v>0.64</v>
      </c>
    </row>
    <row r="360" spans="1:36">
      <c r="A360" s="1" t="s">
        <v>394</v>
      </c>
      <c r="B360" t="s">
        <v>1073</v>
      </c>
      <c r="C360">
        <f>HYPERLINK("https://finance.naver.com/item/coinfo.nhn?code=014710", "A014710")</f>
        <v>0</v>
      </c>
      <c r="D360">
        <f>HYPERLINK("http://comp.fnguide.com/SVO2/ASP/SVD_Consensus.asp?pGB=1&amp;gicode=A014710&amp;cID=&amp;MenuYn=Y&amp;ReportGB=&amp;NewMenuID=108&amp;stkGb=701", "사조씨푸드")</f>
        <v>0</v>
      </c>
      <c r="E360">
        <v>3</v>
      </c>
      <c r="F360">
        <v>6220</v>
      </c>
      <c r="G360">
        <v>0</v>
      </c>
      <c r="H360">
        <v>13.22</v>
      </c>
      <c r="I360">
        <v>4274</v>
      </c>
      <c r="J360">
        <v>9007</v>
      </c>
      <c r="K360">
        <v>10386</v>
      </c>
      <c r="L360">
        <v>31.28</v>
      </c>
      <c r="M360">
        <v>-44.81</v>
      </c>
      <c r="N360">
        <v>-66.97</v>
      </c>
      <c r="O360">
        <v>2.87</v>
      </c>
      <c r="P360" t="b">
        <v>1</v>
      </c>
      <c r="Q360">
        <v>0</v>
      </c>
      <c r="R360">
        <v>455</v>
      </c>
      <c r="U360" t="s">
        <v>1752</v>
      </c>
      <c r="V360" t="s">
        <v>2431</v>
      </c>
      <c r="W360">
        <v>0</v>
      </c>
      <c r="X360">
        <v>0</v>
      </c>
      <c r="Y360" t="s">
        <v>3076</v>
      </c>
      <c r="Z360">
        <v>27.84821738523964</v>
      </c>
      <c r="AA360">
        <v>1071</v>
      </c>
      <c r="AB360">
        <v>243844</v>
      </c>
      <c r="AC360" t="s">
        <v>3736</v>
      </c>
      <c r="AD360">
        <v>56.3</v>
      </c>
      <c r="AE360" t="s">
        <v>4415</v>
      </c>
      <c r="AF360" t="s">
        <v>5067</v>
      </c>
      <c r="AG360">
        <v>2145</v>
      </c>
      <c r="AH360">
        <v>108</v>
      </c>
    </row>
    <row r="361" spans="1:36">
      <c r="A361" s="1" t="s">
        <v>395</v>
      </c>
      <c r="B361" t="s">
        <v>1074</v>
      </c>
      <c r="C361">
        <f>HYPERLINK("https://finance.naver.com/item/coinfo.nhn?code=009680", "A009680")</f>
        <v>0</v>
      </c>
      <c r="D361">
        <f>HYPERLINK("http://comp.fnguide.com/SVO2/ASP/SVD_Consensus.asp?pGB=1&amp;gicode=A009680&amp;cID=&amp;MenuYn=Y&amp;ReportGB=&amp;NewMenuID=108&amp;stkGb=701", "모토닉")</f>
        <v>0</v>
      </c>
      <c r="E361">
        <v>3</v>
      </c>
      <c r="F361">
        <v>12500</v>
      </c>
      <c r="G361">
        <v>0</v>
      </c>
      <c r="H361">
        <v>26.21</v>
      </c>
      <c r="I361">
        <v>7156</v>
      </c>
      <c r="J361">
        <v>14177</v>
      </c>
      <c r="K361">
        <v>16222</v>
      </c>
      <c r="L361">
        <v>42.75</v>
      </c>
      <c r="M361">
        <v>-13.41</v>
      </c>
      <c r="N361">
        <v>-29.77</v>
      </c>
      <c r="O361">
        <v>3.1</v>
      </c>
      <c r="P361" t="b">
        <v>1</v>
      </c>
      <c r="Q361">
        <v>0</v>
      </c>
      <c r="R361">
        <v>450</v>
      </c>
      <c r="U361" t="s">
        <v>1753</v>
      </c>
      <c r="V361" t="s">
        <v>2432</v>
      </c>
      <c r="W361">
        <v>0</v>
      </c>
      <c r="X361">
        <v>30.9</v>
      </c>
      <c r="Y361" t="s">
        <v>3077</v>
      </c>
      <c r="Z361">
        <v>10.03956275766373</v>
      </c>
      <c r="AA361">
        <v>4125</v>
      </c>
      <c r="AB361">
        <v>40060</v>
      </c>
      <c r="AC361" t="s">
        <v>3737</v>
      </c>
      <c r="AD361">
        <v>38.83</v>
      </c>
      <c r="AE361" t="s">
        <v>4416</v>
      </c>
      <c r="AF361" t="s">
        <v>5068</v>
      </c>
      <c r="AG361">
        <v>1786</v>
      </c>
      <c r="AH361">
        <v>114</v>
      </c>
      <c r="AI361">
        <v>11151419</v>
      </c>
      <c r="AJ361">
        <v>3.39</v>
      </c>
    </row>
    <row r="362" spans="1:36">
      <c r="A362" s="1" t="s">
        <v>396</v>
      </c>
      <c r="B362" t="s">
        <v>1075</v>
      </c>
      <c r="C362">
        <f>HYPERLINK("https://finance.naver.com/item/coinfo.nhn?code=008560", "A008560")</f>
        <v>0</v>
      </c>
      <c r="D362">
        <f>HYPERLINK("http://comp.fnguide.com/SVO2/ASP/SVD_Consensus.asp?pGB=1&amp;gicode=A008560&amp;cID=&amp;MenuYn=Y&amp;ReportGB=&amp;NewMenuID=108&amp;stkGb=701", "메리츠증권")</f>
        <v>0</v>
      </c>
      <c r="E362">
        <v>3</v>
      </c>
      <c r="F362">
        <v>4880</v>
      </c>
      <c r="G362">
        <v>0.45</v>
      </c>
      <c r="H362">
        <v>4.74</v>
      </c>
      <c r="I362">
        <v>12333</v>
      </c>
      <c r="J362">
        <v>9395</v>
      </c>
      <c r="K362">
        <v>8539</v>
      </c>
      <c r="L362">
        <v>-152.73</v>
      </c>
      <c r="M362">
        <v>-92.51000000000001</v>
      </c>
      <c r="N362">
        <v>-74.97</v>
      </c>
      <c r="O362">
        <v>13.73</v>
      </c>
      <c r="P362" t="b">
        <v>1</v>
      </c>
      <c r="Q362">
        <v>1</v>
      </c>
      <c r="R362">
        <v>773</v>
      </c>
      <c r="S362">
        <v>811</v>
      </c>
      <c r="T362">
        <v>4.9</v>
      </c>
      <c r="U362" t="s">
        <v>1754</v>
      </c>
      <c r="V362" t="s">
        <v>2433</v>
      </c>
      <c r="W362">
        <v>10.45907918804589</v>
      </c>
      <c r="X362">
        <v>13.1</v>
      </c>
      <c r="Y362" t="s">
        <v>3078</v>
      </c>
      <c r="Z362">
        <v>13.81745114909643</v>
      </c>
      <c r="AA362">
        <v>33089</v>
      </c>
      <c r="AB362">
        <v>1972095</v>
      </c>
      <c r="AC362" t="s">
        <v>3738</v>
      </c>
      <c r="AD362">
        <v>49.44</v>
      </c>
      <c r="AE362" t="s">
        <v>4417</v>
      </c>
      <c r="AF362" t="s">
        <v>5069</v>
      </c>
      <c r="AG362">
        <v>14334</v>
      </c>
      <c r="AH362">
        <v>8280</v>
      </c>
      <c r="AI362">
        <v>54388182</v>
      </c>
      <c r="AJ362">
        <v>8.73</v>
      </c>
    </row>
    <row r="363" spans="1:36">
      <c r="A363" s="1" t="s">
        <v>397</v>
      </c>
      <c r="B363" t="s">
        <v>1076</v>
      </c>
      <c r="C363">
        <f>HYPERLINK("https://finance.naver.com/item/coinfo.nhn?code=002690", "A002690")</f>
        <v>0</v>
      </c>
      <c r="D363">
        <f>HYPERLINK("http://comp.fnguide.com/SVO2/ASP/SVD_Consensus.asp?pGB=1&amp;gicode=A002690&amp;cID=&amp;MenuYn=Y&amp;ReportGB=&amp;NewMenuID=108&amp;stkGb=701", "동일제강")</f>
        <v>0</v>
      </c>
      <c r="E363">
        <v>3</v>
      </c>
      <c r="F363">
        <v>4840</v>
      </c>
      <c r="G363">
        <v>0</v>
      </c>
      <c r="H363">
        <v>120.5</v>
      </c>
      <c r="I363">
        <v>452</v>
      </c>
      <c r="J363">
        <v>5506</v>
      </c>
      <c r="K363">
        <v>6978</v>
      </c>
      <c r="L363">
        <v>90.65000000000001</v>
      </c>
      <c r="M363">
        <v>-13.76</v>
      </c>
      <c r="N363">
        <v>-44.18</v>
      </c>
      <c r="O363">
        <v>0.42</v>
      </c>
      <c r="P363" t="b">
        <v>0</v>
      </c>
      <c r="Q363">
        <v>0</v>
      </c>
      <c r="R363">
        <v>20</v>
      </c>
      <c r="U363" t="s">
        <v>1755</v>
      </c>
      <c r="V363" t="s">
        <v>2434</v>
      </c>
      <c r="W363">
        <v>0</v>
      </c>
      <c r="X363">
        <v>-72.8</v>
      </c>
      <c r="Y363" t="s">
        <v>3079</v>
      </c>
      <c r="Z363">
        <v>-48.80403907905468</v>
      </c>
      <c r="AA363">
        <v>726</v>
      </c>
      <c r="AB363">
        <v>817584</v>
      </c>
      <c r="AC363" t="s">
        <v>3739</v>
      </c>
      <c r="AD363">
        <v>58.33</v>
      </c>
      <c r="AE363" t="s">
        <v>4418</v>
      </c>
      <c r="AF363" t="s">
        <v>5070</v>
      </c>
      <c r="AG363">
        <v>1229</v>
      </c>
      <c r="AH363">
        <v>-1</v>
      </c>
      <c r="AI363">
        <v>514900</v>
      </c>
    </row>
    <row r="364" spans="1:36">
      <c r="A364" s="1" t="s">
        <v>398</v>
      </c>
      <c r="B364" t="s">
        <v>1077</v>
      </c>
      <c r="C364">
        <f>HYPERLINK("https://finance.naver.com/item/coinfo.nhn?code=000400", "A000400")</f>
        <v>0</v>
      </c>
      <c r="D364">
        <f>HYPERLINK("http://comp.fnguide.com/SVO2/ASP/SVD_Consensus.asp?pGB=1&amp;gicode=A000400&amp;cID=&amp;MenuYn=Y&amp;ReportGB=&amp;NewMenuID=108&amp;stkGb=701", "롯데손해보험")</f>
        <v>0</v>
      </c>
      <c r="E364">
        <v>3</v>
      </c>
      <c r="F364">
        <v>2075</v>
      </c>
      <c r="G364">
        <v>0</v>
      </c>
      <c r="I364">
        <v>1021</v>
      </c>
      <c r="J364">
        <v>2233</v>
      </c>
      <c r="K364">
        <v>2586</v>
      </c>
      <c r="L364">
        <v>50.81</v>
      </c>
      <c r="M364">
        <v>-7.62</v>
      </c>
      <c r="N364">
        <v>-24.64</v>
      </c>
      <c r="O364">
        <v>2.74</v>
      </c>
      <c r="P364" t="b">
        <v>0</v>
      </c>
      <c r="Q364">
        <v>0</v>
      </c>
      <c r="R364">
        <v>-78</v>
      </c>
      <c r="U364" t="s">
        <v>1756</v>
      </c>
      <c r="V364" t="s">
        <v>2435</v>
      </c>
      <c r="W364">
        <v>0</v>
      </c>
      <c r="X364">
        <v>-2.5</v>
      </c>
      <c r="Y364" t="s">
        <v>3080</v>
      </c>
      <c r="Z364">
        <v>5.129832407049206</v>
      </c>
      <c r="AA364">
        <v>6439</v>
      </c>
      <c r="AB364">
        <v>3046968</v>
      </c>
      <c r="AC364" t="s">
        <v>3740</v>
      </c>
      <c r="AD364">
        <v>77.04000000000001</v>
      </c>
      <c r="AE364" t="s">
        <v>4419</v>
      </c>
      <c r="AF364" t="s">
        <v>5071</v>
      </c>
      <c r="AG364">
        <v>22396</v>
      </c>
      <c r="AH364">
        <v>-310</v>
      </c>
      <c r="AI364">
        <v>1226290</v>
      </c>
    </row>
    <row r="365" spans="1:36">
      <c r="A365" s="1" t="s">
        <v>399</v>
      </c>
      <c r="B365" t="s">
        <v>1078</v>
      </c>
      <c r="C365">
        <f>HYPERLINK("https://finance.naver.com/item/coinfo.nhn?code=000150", "A000150")</f>
        <v>0</v>
      </c>
      <c r="D365">
        <f>HYPERLINK("http://comp.fnguide.com/SVO2/ASP/SVD_Consensus.asp?pGB=1&amp;gicode=A000150&amp;cID=&amp;MenuYn=Y&amp;ReportGB=&amp;NewMenuID=108&amp;stkGb=701", "두산")</f>
        <v>0</v>
      </c>
      <c r="E365">
        <v>3</v>
      </c>
      <c r="F365">
        <v>68500</v>
      </c>
      <c r="G365">
        <v>0</v>
      </c>
      <c r="I365">
        <v>117058</v>
      </c>
      <c r="J365">
        <v>120428</v>
      </c>
      <c r="K365">
        <v>121410</v>
      </c>
      <c r="L365">
        <v>-70.89</v>
      </c>
      <c r="M365">
        <v>-75.81</v>
      </c>
      <c r="N365">
        <v>-77.23999999999999</v>
      </c>
      <c r="O365">
        <v>7.84</v>
      </c>
      <c r="P365" t="b">
        <v>0</v>
      </c>
      <c r="Q365">
        <v>1</v>
      </c>
      <c r="R365">
        <v>-25839</v>
      </c>
      <c r="S365">
        <v>12913</v>
      </c>
      <c r="T365">
        <v>-150</v>
      </c>
      <c r="U365" t="s">
        <v>1757</v>
      </c>
      <c r="V365" t="s">
        <v>2436</v>
      </c>
      <c r="W365">
        <v>0</v>
      </c>
      <c r="X365">
        <v>0</v>
      </c>
      <c r="Y365" t="s">
        <v>3081</v>
      </c>
      <c r="Z365">
        <v>-78.40000000000001</v>
      </c>
      <c r="AA365">
        <v>11319</v>
      </c>
      <c r="AB365">
        <v>90058</v>
      </c>
      <c r="AC365" t="s">
        <v>3741</v>
      </c>
      <c r="AD365">
        <v>47.23</v>
      </c>
      <c r="AE365" t="s">
        <v>4420</v>
      </c>
      <c r="AF365" t="s">
        <v>5072</v>
      </c>
      <c r="AG365">
        <v>169693</v>
      </c>
      <c r="AH365">
        <v>2750</v>
      </c>
      <c r="AI365">
        <v>3000866</v>
      </c>
      <c r="AJ365">
        <v>3.82</v>
      </c>
    </row>
    <row r="366" spans="1:36">
      <c r="A366" s="1" t="s">
        <v>400</v>
      </c>
      <c r="B366" t="s">
        <v>1079</v>
      </c>
      <c r="C366">
        <f>HYPERLINK("https://finance.naver.com/item/coinfo.nhn?code=042670", "A042670")</f>
        <v>0</v>
      </c>
      <c r="D366">
        <f>HYPERLINK("http://comp.fnguide.com/SVO2/ASP/SVD_Consensus.asp?pGB=1&amp;gicode=A042670&amp;cID=&amp;MenuYn=Y&amp;ReportGB=&amp;NewMenuID=108&amp;stkGb=701", "두산인프라코어")</f>
        <v>0</v>
      </c>
      <c r="E366">
        <v>3</v>
      </c>
      <c r="F366">
        <v>10400</v>
      </c>
      <c r="G366">
        <v>1.56</v>
      </c>
      <c r="H366">
        <v>11.2</v>
      </c>
      <c r="I366">
        <v>12119</v>
      </c>
      <c r="J366">
        <v>11190</v>
      </c>
      <c r="K366">
        <v>10919</v>
      </c>
      <c r="L366">
        <v>-16.53</v>
      </c>
      <c r="M366">
        <v>-7.59</v>
      </c>
      <c r="N366">
        <v>-4.99</v>
      </c>
      <c r="O366">
        <v>9.44</v>
      </c>
      <c r="P366" t="b">
        <v>0</v>
      </c>
      <c r="Q366">
        <v>1</v>
      </c>
      <c r="R366">
        <v>707</v>
      </c>
      <c r="S366">
        <v>1458</v>
      </c>
      <c r="T366">
        <v>106.2</v>
      </c>
      <c r="U366" t="s">
        <v>1758</v>
      </c>
      <c r="V366" t="s">
        <v>2437</v>
      </c>
      <c r="W366">
        <v>7.177271695421972</v>
      </c>
      <c r="X366">
        <v>-38.6</v>
      </c>
      <c r="Y366" t="s">
        <v>3082</v>
      </c>
      <c r="Z366">
        <v>23.43879499998329</v>
      </c>
      <c r="AA366">
        <v>23189</v>
      </c>
      <c r="AB366">
        <v>1993289</v>
      </c>
      <c r="AC366" t="s">
        <v>3742</v>
      </c>
      <c r="AD366">
        <v>33.89</v>
      </c>
      <c r="AE366" t="s">
        <v>4421</v>
      </c>
      <c r="AF366" t="s">
        <v>5073</v>
      </c>
      <c r="AG366">
        <v>79341</v>
      </c>
      <c r="AH366">
        <v>6586</v>
      </c>
      <c r="AI366">
        <v>505</v>
      </c>
    </row>
    <row r="367" spans="1:36">
      <c r="A367" s="1" t="s">
        <v>401</v>
      </c>
      <c r="B367" t="s">
        <v>1080</v>
      </c>
      <c r="C367">
        <f>HYPERLINK("https://finance.naver.com/item/coinfo.nhn?code=016740", "A016740")</f>
        <v>0</v>
      </c>
      <c r="D367">
        <f>HYPERLINK("http://comp.fnguide.com/SVO2/ASP/SVD_Consensus.asp?pGB=1&amp;gicode=A016740&amp;cID=&amp;MenuYn=Y&amp;ReportGB=&amp;NewMenuID=108&amp;stkGb=701", "두올")</f>
        <v>0</v>
      </c>
      <c r="E367">
        <v>3</v>
      </c>
      <c r="F367">
        <v>4860</v>
      </c>
      <c r="G367">
        <v>0</v>
      </c>
      <c r="H367">
        <v>21.18</v>
      </c>
      <c r="I367">
        <v>4483</v>
      </c>
      <c r="J367">
        <v>5841</v>
      </c>
      <c r="K367">
        <v>6237</v>
      </c>
      <c r="L367">
        <v>7.75</v>
      </c>
      <c r="M367">
        <v>-20.19</v>
      </c>
      <c r="N367">
        <v>-28.34</v>
      </c>
      <c r="O367">
        <v>5.44</v>
      </c>
      <c r="P367" t="b">
        <v>1</v>
      </c>
      <c r="Q367">
        <v>0</v>
      </c>
      <c r="R367">
        <v>159</v>
      </c>
      <c r="U367" t="s">
        <v>1759</v>
      </c>
      <c r="V367" t="s">
        <v>2438</v>
      </c>
      <c r="W367">
        <v>0</v>
      </c>
      <c r="X367">
        <v>-56.4</v>
      </c>
      <c r="Y367" t="s">
        <v>3083</v>
      </c>
      <c r="Z367">
        <v>-29.33372432371981</v>
      </c>
      <c r="AA367">
        <v>1315</v>
      </c>
      <c r="AB367">
        <v>2764853</v>
      </c>
      <c r="AC367" t="s">
        <v>3743</v>
      </c>
      <c r="AD367">
        <v>44.28</v>
      </c>
      <c r="AE367" t="s">
        <v>4422</v>
      </c>
      <c r="AF367" t="s">
        <v>5074</v>
      </c>
      <c r="AG367">
        <v>4658</v>
      </c>
      <c r="AH367">
        <v>203</v>
      </c>
      <c r="AI367">
        <v>596916</v>
      </c>
      <c r="AJ367">
        <v>2.37</v>
      </c>
    </row>
    <row r="368" spans="1:36">
      <c r="A368" s="1" t="s">
        <v>402</v>
      </c>
      <c r="B368" t="s">
        <v>1081</v>
      </c>
      <c r="C368">
        <f>HYPERLINK("https://finance.naver.com/item/coinfo.nhn?code=024090", "A024090")</f>
        <v>0</v>
      </c>
      <c r="D368">
        <f>HYPERLINK("http://comp.fnguide.com/SVO2/ASP/SVD_Consensus.asp?pGB=1&amp;gicode=A024090&amp;cID=&amp;MenuYn=Y&amp;ReportGB=&amp;NewMenuID=108&amp;stkGb=701", "디씨엠")</f>
        <v>0</v>
      </c>
      <c r="E368">
        <v>3</v>
      </c>
      <c r="F368">
        <v>16650</v>
      </c>
      <c r="G368">
        <v>0</v>
      </c>
      <c r="H368">
        <v>7.18</v>
      </c>
      <c r="I368">
        <v>27356</v>
      </c>
      <c r="J368">
        <v>23325</v>
      </c>
      <c r="K368">
        <v>22151</v>
      </c>
      <c r="L368">
        <v>-64.3</v>
      </c>
      <c r="M368">
        <v>-40.09</v>
      </c>
      <c r="N368">
        <v>-33.04</v>
      </c>
      <c r="O368">
        <v>10.93</v>
      </c>
      <c r="P368" t="b">
        <v>1</v>
      </c>
      <c r="Q368">
        <v>0</v>
      </c>
      <c r="R368">
        <v>1706</v>
      </c>
      <c r="U368" t="s">
        <v>1760</v>
      </c>
      <c r="V368" t="s">
        <v>2439</v>
      </c>
      <c r="W368">
        <v>0</v>
      </c>
      <c r="X368">
        <v>-14.9</v>
      </c>
      <c r="Y368" t="s">
        <v>3084</v>
      </c>
      <c r="Z368">
        <v>34.76967912680793</v>
      </c>
      <c r="AA368">
        <v>1948</v>
      </c>
      <c r="AB368">
        <v>23579</v>
      </c>
      <c r="AC368" t="s">
        <v>3744</v>
      </c>
      <c r="AD368">
        <v>44.57</v>
      </c>
      <c r="AE368" t="s">
        <v>4423</v>
      </c>
      <c r="AF368" t="s">
        <v>5075</v>
      </c>
      <c r="AG368">
        <v>1654</v>
      </c>
      <c r="AH368">
        <v>147</v>
      </c>
      <c r="AI368">
        <v>2511909</v>
      </c>
      <c r="AJ368">
        <v>4.08</v>
      </c>
    </row>
    <row r="369" spans="1:36">
      <c r="A369" s="1" t="s">
        <v>403</v>
      </c>
      <c r="B369" t="s">
        <v>1082</v>
      </c>
      <c r="C369">
        <f>HYPERLINK("https://finance.naver.com/item/coinfo.nhn?code=013570", "A013570")</f>
        <v>0</v>
      </c>
      <c r="D369">
        <f>HYPERLINK("http://comp.fnguide.com/SVO2/ASP/SVD_Consensus.asp?pGB=1&amp;gicode=A013570&amp;cID=&amp;MenuYn=Y&amp;ReportGB=&amp;NewMenuID=108&amp;stkGb=701", "디와이")</f>
        <v>0</v>
      </c>
      <c r="E369">
        <v>3</v>
      </c>
      <c r="F369">
        <v>5980</v>
      </c>
      <c r="G369">
        <v>0</v>
      </c>
      <c r="I369">
        <v>3095</v>
      </c>
      <c r="J369">
        <v>9344</v>
      </c>
      <c r="K369">
        <v>11164</v>
      </c>
      <c r="L369">
        <v>48.25</v>
      </c>
      <c r="M369">
        <v>-56.26</v>
      </c>
      <c r="N369">
        <v>-86.7</v>
      </c>
      <c r="O369">
        <v>1.87</v>
      </c>
      <c r="P369" t="b">
        <v>0</v>
      </c>
      <c r="Q369">
        <v>0</v>
      </c>
      <c r="R369">
        <v>-445</v>
      </c>
      <c r="U369" t="s">
        <v>1761</v>
      </c>
      <c r="V369" t="s">
        <v>2440</v>
      </c>
      <c r="W369">
        <v>0</v>
      </c>
      <c r="X369">
        <v>0</v>
      </c>
      <c r="Y369" t="s">
        <v>3085</v>
      </c>
      <c r="Z369">
        <v>-6.463289854303689</v>
      </c>
      <c r="AA369">
        <v>1574</v>
      </c>
      <c r="AB369">
        <v>171135</v>
      </c>
      <c r="AC369" t="s">
        <v>3745</v>
      </c>
      <c r="AD369">
        <v>40.51</v>
      </c>
      <c r="AE369" t="s">
        <v>4424</v>
      </c>
      <c r="AF369" t="s">
        <v>5076</v>
      </c>
      <c r="AG369">
        <v>7894</v>
      </c>
      <c r="AH369">
        <v>417</v>
      </c>
      <c r="AI369">
        <v>1650442</v>
      </c>
      <c r="AJ369">
        <v>2.21</v>
      </c>
    </row>
    <row r="370" spans="1:36">
      <c r="A370" s="1" t="s">
        <v>404</v>
      </c>
      <c r="B370" t="s">
        <v>1083</v>
      </c>
      <c r="C370">
        <f>HYPERLINK("https://finance.naver.com/item/coinfo.nhn?code=210540", "A210540")</f>
        <v>0</v>
      </c>
      <c r="D370">
        <f>HYPERLINK("http://comp.fnguide.com/SVO2/ASP/SVD_Consensus.asp?pGB=1&amp;gicode=A210540&amp;cID=&amp;MenuYn=Y&amp;ReportGB=&amp;NewMenuID=108&amp;stkGb=701", "디와이파워")</f>
        <v>0</v>
      </c>
      <c r="E370">
        <v>3</v>
      </c>
      <c r="F370">
        <v>19050</v>
      </c>
      <c r="G370">
        <v>11.74</v>
      </c>
      <c r="H370">
        <v>5.17</v>
      </c>
      <c r="I370">
        <v>29601</v>
      </c>
      <c r="J370">
        <v>22197</v>
      </c>
      <c r="K370">
        <v>20040</v>
      </c>
      <c r="L370">
        <v>-55.38</v>
      </c>
      <c r="M370">
        <v>-16.52</v>
      </c>
      <c r="N370">
        <v>-5.2</v>
      </c>
      <c r="O370">
        <v>14.2</v>
      </c>
      <c r="P370" t="b">
        <v>0</v>
      </c>
      <c r="Q370">
        <v>2</v>
      </c>
      <c r="R370">
        <v>2301</v>
      </c>
      <c r="S370">
        <v>2341</v>
      </c>
      <c r="T370">
        <v>1.7</v>
      </c>
      <c r="U370" t="s">
        <v>1762</v>
      </c>
      <c r="V370" t="s">
        <v>2441</v>
      </c>
      <c r="W370">
        <v>0.4405136940963894</v>
      </c>
      <c r="X370">
        <v>33.2</v>
      </c>
      <c r="Y370" t="s">
        <v>3086</v>
      </c>
      <c r="Z370">
        <v>72.10784887653803</v>
      </c>
      <c r="AA370">
        <v>2103</v>
      </c>
      <c r="AB370">
        <v>220745</v>
      </c>
      <c r="AC370" t="s">
        <v>3746</v>
      </c>
      <c r="AD370">
        <v>38.46</v>
      </c>
      <c r="AE370" t="s">
        <v>4425</v>
      </c>
      <c r="AF370" t="s">
        <v>5077</v>
      </c>
      <c r="AG370">
        <v>3048</v>
      </c>
      <c r="AH370">
        <v>355</v>
      </c>
      <c r="AI370">
        <v>5857</v>
      </c>
      <c r="AJ370">
        <v>1.85</v>
      </c>
    </row>
    <row r="371" spans="1:36">
      <c r="A371" s="1" t="s">
        <v>405</v>
      </c>
      <c r="B371" t="s">
        <v>1084</v>
      </c>
      <c r="C371">
        <f>HYPERLINK("https://finance.naver.com/item/coinfo.nhn?code=007340", "A007340")</f>
        <v>0</v>
      </c>
      <c r="D371">
        <f>HYPERLINK("http://comp.fnguide.com/SVO2/ASP/SVD_Consensus.asp?pGB=1&amp;gicode=A007340&amp;cID=&amp;MenuYn=Y&amp;ReportGB=&amp;NewMenuID=108&amp;stkGb=701", "디티알오토모티브")</f>
        <v>0</v>
      </c>
      <c r="E371">
        <v>3</v>
      </c>
      <c r="F371">
        <v>37250</v>
      </c>
      <c r="G371">
        <v>0</v>
      </c>
      <c r="H371">
        <v>5.6</v>
      </c>
      <c r="I371">
        <v>82810</v>
      </c>
      <c r="J371">
        <v>76789</v>
      </c>
      <c r="K371">
        <v>75035</v>
      </c>
      <c r="L371">
        <v>-122.31</v>
      </c>
      <c r="M371">
        <v>-106.14</v>
      </c>
      <c r="N371">
        <v>-101.44</v>
      </c>
      <c r="O371">
        <v>9.369999999999999</v>
      </c>
      <c r="P371" t="b">
        <v>1</v>
      </c>
      <c r="Q371">
        <v>0</v>
      </c>
      <c r="R371">
        <v>4596</v>
      </c>
      <c r="U371" t="s">
        <v>1763</v>
      </c>
      <c r="V371" t="s">
        <v>2442</v>
      </c>
      <c r="W371">
        <v>0</v>
      </c>
      <c r="X371">
        <v>-30.2</v>
      </c>
      <c r="Y371" t="s">
        <v>3087</v>
      </c>
      <c r="Z371">
        <v>8.441833832548751</v>
      </c>
      <c r="AA371">
        <v>3723</v>
      </c>
      <c r="AB371">
        <v>27892</v>
      </c>
      <c r="AC371" t="s">
        <v>3747</v>
      </c>
      <c r="AD371">
        <v>50.89</v>
      </c>
      <c r="AE371" t="s">
        <v>4426</v>
      </c>
      <c r="AF371" t="s">
        <v>5078</v>
      </c>
      <c r="AG371">
        <v>8239</v>
      </c>
      <c r="AH371">
        <v>714</v>
      </c>
      <c r="AI371">
        <v>1375880</v>
      </c>
      <c r="AJ371">
        <v>7.77</v>
      </c>
    </row>
    <row r="372" spans="1:36">
      <c r="A372" s="1" t="s">
        <v>406</v>
      </c>
      <c r="B372" t="s">
        <v>1085</v>
      </c>
      <c r="C372">
        <f>HYPERLINK("https://finance.naver.com/item/coinfo.nhn?code=023530", "A023530")</f>
        <v>0</v>
      </c>
      <c r="D372">
        <f>HYPERLINK("http://comp.fnguide.com/SVO2/ASP/SVD_Consensus.asp?pGB=1&amp;gicode=A023530&amp;cID=&amp;MenuYn=Y&amp;ReportGB=&amp;NewMenuID=108&amp;stkGb=701", "롯데쇼핑")</f>
        <v>0</v>
      </c>
      <c r="E372">
        <v>3</v>
      </c>
      <c r="F372">
        <v>114500</v>
      </c>
      <c r="G372">
        <v>0</v>
      </c>
      <c r="I372">
        <v>0</v>
      </c>
      <c r="J372">
        <v>205930</v>
      </c>
      <c r="K372">
        <v>265914</v>
      </c>
      <c r="L372">
        <v>100</v>
      </c>
      <c r="M372">
        <v>-79.84999999999999</v>
      </c>
      <c r="N372">
        <v>-132.24</v>
      </c>
      <c r="O372">
        <v>0</v>
      </c>
      <c r="P372" t="b">
        <v>0</v>
      </c>
      <c r="Q372">
        <v>2</v>
      </c>
      <c r="R372">
        <v>-27783</v>
      </c>
      <c r="S372">
        <v>3547</v>
      </c>
      <c r="T372">
        <v>-112.8</v>
      </c>
      <c r="U372" t="s">
        <v>1764</v>
      </c>
      <c r="V372" t="s">
        <v>2443</v>
      </c>
      <c r="W372">
        <v>0</v>
      </c>
      <c r="X372">
        <v>0</v>
      </c>
      <c r="Y372" t="s">
        <v>2762</v>
      </c>
      <c r="Z372">
        <v>0</v>
      </c>
      <c r="AA372">
        <v>32391</v>
      </c>
      <c r="AB372">
        <v>141795</v>
      </c>
      <c r="AC372" t="s">
        <v>3748</v>
      </c>
      <c r="AD372">
        <v>61.89</v>
      </c>
      <c r="AE372" t="s">
        <v>4427</v>
      </c>
      <c r="AF372" t="s">
        <v>5079</v>
      </c>
      <c r="AG372">
        <v>161844</v>
      </c>
      <c r="AH372">
        <v>3461</v>
      </c>
      <c r="AI372">
        <v>18115</v>
      </c>
      <c r="AJ372">
        <v>2.73</v>
      </c>
    </row>
    <row r="373" spans="1:36">
      <c r="A373" s="1" t="s">
        <v>407</v>
      </c>
      <c r="B373" t="s">
        <v>1086</v>
      </c>
      <c r="C373">
        <f>HYPERLINK("https://finance.naver.com/item/coinfo.nhn?code=138040", "A138040")</f>
        <v>0</v>
      </c>
      <c r="D373">
        <f>HYPERLINK("http://comp.fnguide.com/SVO2/ASP/SVD_Consensus.asp?pGB=1&amp;gicode=A138040&amp;cID=&amp;MenuYn=Y&amp;ReportGB=&amp;NewMenuID=108&amp;stkGb=701", "메리츠금융지주")</f>
        <v>0</v>
      </c>
      <c r="E373">
        <v>3</v>
      </c>
      <c r="F373">
        <v>19600</v>
      </c>
      <c r="G373">
        <v>0</v>
      </c>
      <c r="H373">
        <v>2.74</v>
      </c>
      <c r="I373">
        <v>48420</v>
      </c>
      <c r="J373">
        <v>34983</v>
      </c>
      <c r="K373">
        <v>31069</v>
      </c>
      <c r="L373">
        <v>-147.04</v>
      </c>
      <c r="M373">
        <v>-78.48999999999999</v>
      </c>
      <c r="N373">
        <v>-58.52</v>
      </c>
      <c r="O373">
        <v>15.43</v>
      </c>
      <c r="P373" t="b">
        <v>1</v>
      </c>
      <c r="Q373">
        <v>0</v>
      </c>
      <c r="R373">
        <v>3587</v>
      </c>
      <c r="U373" t="s">
        <v>1765</v>
      </c>
      <c r="V373" t="s">
        <v>2444</v>
      </c>
      <c r="W373">
        <v>0</v>
      </c>
      <c r="X373">
        <v>4.7</v>
      </c>
      <c r="Y373" t="s">
        <v>3088</v>
      </c>
      <c r="Z373">
        <v>4.519455476415923</v>
      </c>
      <c r="AA373">
        <v>26266</v>
      </c>
      <c r="AB373">
        <v>418958</v>
      </c>
      <c r="AC373" t="s">
        <v>3749</v>
      </c>
      <c r="AD373">
        <v>72.25</v>
      </c>
      <c r="AE373" t="s">
        <v>4428</v>
      </c>
      <c r="AF373" t="s">
        <v>5080</v>
      </c>
      <c r="AG373">
        <v>18245</v>
      </c>
      <c r="AH373">
        <v>13721</v>
      </c>
      <c r="AI373">
        <v>4185670</v>
      </c>
      <c r="AJ373">
        <v>9.17</v>
      </c>
    </row>
    <row r="374" spans="1:36">
      <c r="A374" s="1" t="s">
        <v>408</v>
      </c>
      <c r="B374" t="s">
        <v>1087</v>
      </c>
      <c r="C374">
        <f>HYPERLINK("https://finance.naver.com/item/coinfo.nhn?code=004000", "A004000")</f>
        <v>0</v>
      </c>
      <c r="D374">
        <f>HYPERLINK("http://comp.fnguide.com/SVO2/ASP/SVD_Consensus.asp?pGB=1&amp;gicode=A004000&amp;cID=&amp;MenuYn=Y&amp;ReportGB=&amp;NewMenuID=108&amp;stkGb=701", "롯데정밀화학")</f>
        <v>0</v>
      </c>
      <c r="E374">
        <v>3</v>
      </c>
      <c r="F374">
        <v>61400</v>
      </c>
      <c r="G374">
        <v>-36.2</v>
      </c>
      <c r="H374">
        <v>7.16</v>
      </c>
      <c r="I374">
        <v>102606</v>
      </c>
      <c r="J374">
        <v>80133</v>
      </c>
      <c r="K374">
        <v>73587</v>
      </c>
      <c r="L374">
        <v>-67.11</v>
      </c>
      <c r="M374">
        <v>-30.51</v>
      </c>
      <c r="N374">
        <v>-19.85</v>
      </c>
      <c r="O374">
        <v>13.02</v>
      </c>
      <c r="P374" t="b">
        <v>1</v>
      </c>
      <c r="Q374">
        <v>2</v>
      </c>
      <c r="R374">
        <v>7705</v>
      </c>
      <c r="S374">
        <v>8285</v>
      </c>
      <c r="T374">
        <v>7.5</v>
      </c>
      <c r="U374" t="s">
        <v>1766</v>
      </c>
      <c r="V374" t="s">
        <v>2445</v>
      </c>
      <c r="W374">
        <v>-0.1978168905259037</v>
      </c>
      <c r="X374">
        <v>18.1</v>
      </c>
      <c r="Y374" t="s">
        <v>3089</v>
      </c>
      <c r="Z374">
        <v>30.6018974269114</v>
      </c>
      <c r="AA374">
        <v>15841</v>
      </c>
      <c r="AB374">
        <v>132972</v>
      </c>
      <c r="AC374" t="s">
        <v>3750</v>
      </c>
      <c r="AD374">
        <v>31.13</v>
      </c>
      <c r="AE374" t="s">
        <v>4429</v>
      </c>
      <c r="AF374" t="s">
        <v>5081</v>
      </c>
      <c r="AG374">
        <v>12636</v>
      </c>
      <c r="AH374">
        <v>1392</v>
      </c>
      <c r="AI374">
        <v>330000</v>
      </c>
      <c r="AJ374">
        <v>2.72</v>
      </c>
    </row>
    <row r="375" spans="1:36">
      <c r="A375" s="1" t="s">
        <v>409</v>
      </c>
      <c r="B375" t="s">
        <v>1088</v>
      </c>
      <c r="C375">
        <f>HYPERLINK("https://finance.naver.com/item/coinfo.nhn?code=280360", "A280360")</f>
        <v>0</v>
      </c>
      <c r="D375">
        <f>HYPERLINK("http://comp.fnguide.com/SVO2/ASP/SVD_Consensus.asp?pGB=1&amp;gicode=A280360&amp;cID=&amp;MenuYn=Y&amp;ReportGB=&amp;NewMenuID=108&amp;stkGb=701", "롯데제과")</f>
        <v>0</v>
      </c>
      <c r="E375">
        <v>3</v>
      </c>
      <c r="F375">
        <v>154000</v>
      </c>
      <c r="G375">
        <v>0.2</v>
      </c>
      <c r="H375">
        <v>15.97</v>
      </c>
      <c r="I375">
        <v>66007</v>
      </c>
      <c r="J375">
        <v>136791</v>
      </c>
      <c r="K375">
        <v>157410</v>
      </c>
      <c r="L375">
        <v>57.14</v>
      </c>
      <c r="M375">
        <v>11.17</v>
      </c>
      <c r="N375">
        <v>-2.21</v>
      </c>
      <c r="O375">
        <v>2.93</v>
      </c>
      <c r="P375" t="b">
        <v>0</v>
      </c>
      <c r="Q375">
        <v>3</v>
      </c>
      <c r="R375">
        <v>6387</v>
      </c>
      <c r="S375">
        <v>12353</v>
      </c>
      <c r="T375">
        <v>93.40000000000001</v>
      </c>
      <c r="U375" t="s">
        <v>1767</v>
      </c>
      <c r="V375" t="s">
        <v>2446</v>
      </c>
      <c r="W375">
        <v>78.0302189783564</v>
      </c>
      <c r="X375">
        <v>7.7</v>
      </c>
      <c r="Y375" t="s">
        <v>3090</v>
      </c>
      <c r="Z375">
        <v>0</v>
      </c>
      <c r="AA375">
        <v>9882</v>
      </c>
      <c r="AB375">
        <v>21727</v>
      </c>
      <c r="AC375" t="s">
        <v>3751</v>
      </c>
      <c r="AD375">
        <v>76.98999999999999</v>
      </c>
      <c r="AE375" t="s">
        <v>4430</v>
      </c>
      <c r="AF375" t="s">
        <v>5082</v>
      </c>
      <c r="AG375">
        <v>20760</v>
      </c>
      <c r="AH375">
        <v>1126</v>
      </c>
      <c r="AI375">
        <v>4578</v>
      </c>
      <c r="AJ375">
        <v>1.57</v>
      </c>
    </row>
    <row r="376" spans="1:36">
      <c r="A376" s="1" t="s">
        <v>410</v>
      </c>
      <c r="B376" t="s">
        <v>1089</v>
      </c>
      <c r="C376">
        <f>HYPERLINK("https://finance.naver.com/item/coinfo.nhn?code=004990", "A004990")</f>
        <v>0</v>
      </c>
      <c r="D376">
        <f>HYPERLINK("http://comp.fnguide.com/SVO2/ASP/SVD_Consensus.asp?pGB=1&amp;gicode=A004990&amp;cID=&amp;MenuYn=Y&amp;ReportGB=&amp;NewMenuID=108&amp;stkGb=701", "롯데지주")</f>
        <v>0</v>
      </c>
      <c r="E376">
        <v>3</v>
      </c>
      <c r="F376">
        <v>37450</v>
      </c>
      <c r="I376">
        <v>5145</v>
      </c>
      <c r="J376">
        <v>55921</v>
      </c>
      <c r="K376">
        <v>70711</v>
      </c>
      <c r="L376">
        <v>86.26000000000001</v>
      </c>
      <c r="M376">
        <v>-49.32</v>
      </c>
      <c r="N376">
        <v>-88.81</v>
      </c>
      <c r="O376">
        <v>0.47</v>
      </c>
      <c r="P376" t="b">
        <v>0</v>
      </c>
      <c r="Q376">
        <v>2</v>
      </c>
      <c r="R376">
        <v>-1874</v>
      </c>
      <c r="S376">
        <v>7186</v>
      </c>
      <c r="T376">
        <v>-483.5</v>
      </c>
      <c r="U376" t="s">
        <v>1768</v>
      </c>
      <c r="V376" t="s">
        <v>2447</v>
      </c>
      <c r="W376">
        <v>60.2508107983766</v>
      </c>
      <c r="X376">
        <v>0</v>
      </c>
      <c r="Y376" t="s">
        <v>3091</v>
      </c>
      <c r="Z376">
        <v>-6.158534918206316</v>
      </c>
      <c r="AA376">
        <v>39289</v>
      </c>
      <c r="AB376">
        <v>344064</v>
      </c>
      <c r="AC376" t="s">
        <v>3752</v>
      </c>
      <c r="AD376">
        <v>42.63</v>
      </c>
      <c r="AE376" t="s">
        <v>4431</v>
      </c>
      <c r="AF376" t="s">
        <v>5083</v>
      </c>
      <c r="AG376">
        <v>90866</v>
      </c>
      <c r="AH376">
        <v>1562</v>
      </c>
      <c r="AI376">
        <v>34103937</v>
      </c>
      <c r="AJ376">
        <v>2.83</v>
      </c>
    </row>
    <row r="377" spans="1:36">
      <c r="A377" s="1" t="s">
        <v>411</v>
      </c>
      <c r="B377" t="s">
        <v>1090</v>
      </c>
      <c r="C377">
        <f>HYPERLINK("https://finance.naver.com/item/coinfo.nhn?code=011170", "A011170")</f>
        <v>0</v>
      </c>
      <c r="D377">
        <f>HYPERLINK("http://comp.fnguide.com/SVO2/ASP/SVD_Consensus.asp?pGB=1&amp;gicode=A011170&amp;cID=&amp;MenuYn=Y&amp;ReportGB=&amp;NewMenuID=108&amp;stkGb=701", "롯데케미칼")</f>
        <v>0</v>
      </c>
      <c r="E377">
        <v>3</v>
      </c>
      <c r="F377">
        <v>282500</v>
      </c>
      <c r="G377">
        <v>44.21</v>
      </c>
      <c r="H377">
        <v>59.7</v>
      </c>
      <c r="I377">
        <v>210655</v>
      </c>
      <c r="J377">
        <v>308152</v>
      </c>
      <c r="K377">
        <v>336552</v>
      </c>
      <c r="L377">
        <v>25.43</v>
      </c>
      <c r="M377">
        <v>-9.08</v>
      </c>
      <c r="N377">
        <v>-19.13</v>
      </c>
      <c r="O377">
        <v>4.62</v>
      </c>
      <c r="P377" t="b">
        <v>1</v>
      </c>
      <c r="Q377">
        <v>1</v>
      </c>
      <c r="R377">
        <v>4623</v>
      </c>
      <c r="S377">
        <v>47858</v>
      </c>
      <c r="T377">
        <v>935.2</v>
      </c>
      <c r="U377" t="s">
        <v>1769</v>
      </c>
      <c r="V377" t="s">
        <v>2448</v>
      </c>
      <c r="W377">
        <v>1.350325213071724</v>
      </c>
      <c r="X377">
        <v>-77.8</v>
      </c>
      <c r="Y377" t="s">
        <v>3092</v>
      </c>
      <c r="Z377">
        <v>-30.68083000345774</v>
      </c>
      <c r="AA377">
        <v>96828</v>
      </c>
      <c r="AB377">
        <v>221417</v>
      </c>
      <c r="AC377" t="s">
        <v>3753</v>
      </c>
      <c r="AD377">
        <v>54.92</v>
      </c>
      <c r="AE377" t="s">
        <v>4432</v>
      </c>
      <c r="AF377" t="s">
        <v>5084</v>
      </c>
      <c r="AG377">
        <v>122230</v>
      </c>
      <c r="AH377">
        <v>3569</v>
      </c>
      <c r="AJ377">
        <v>1.3</v>
      </c>
    </row>
    <row r="378" spans="1:36">
      <c r="A378" s="1" t="s">
        <v>412</v>
      </c>
      <c r="B378" t="s">
        <v>1091</v>
      </c>
      <c r="C378">
        <f>HYPERLINK("https://finance.naver.com/item/coinfo.nhn?code=002270", "A002270")</f>
        <v>0</v>
      </c>
      <c r="D378">
        <f>HYPERLINK("http://comp.fnguide.com/SVO2/ASP/SVD_Consensus.asp?pGB=1&amp;gicode=A002270&amp;cID=&amp;MenuYn=Y&amp;ReportGB=&amp;NewMenuID=108&amp;stkGb=701", "롯데푸드")</f>
        <v>0</v>
      </c>
      <c r="E378">
        <v>3</v>
      </c>
      <c r="F378">
        <v>428500</v>
      </c>
      <c r="G378">
        <v>-2.12</v>
      </c>
      <c r="H378">
        <v>5.34</v>
      </c>
      <c r="I378">
        <v>776777</v>
      </c>
      <c r="J378">
        <v>812345</v>
      </c>
      <c r="K378">
        <v>822705</v>
      </c>
      <c r="L378">
        <v>-81.28</v>
      </c>
      <c r="M378">
        <v>-89.58</v>
      </c>
      <c r="N378">
        <v>-92</v>
      </c>
      <c r="O378">
        <v>7.63</v>
      </c>
      <c r="P378" t="b">
        <v>1</v>
      </c>
      <c r="Q378">
        <v>0</v>
      </c>
      <c r="R378">
        <v>62047</v>
      </c>
      <c r="S378">
        <v>34780</v>
      </c>
      <c r="T378">
        <v>-43.9</v>
      </c>
      <c r="U378" t="s">
        <v>1770</v>
      </c>
      <c r="V378" t="s">
        <v>2449</v>
      </c>
      <c r="W378">
        <v>-2.520693622520176</v>
      </c>
      <c r="X378">
        <v>87.2</v>
      </c>
      <c r="Y378" t="s">
        <v>3093</v>
      </c>
      <c r="Z378">
        <v>11.04832460540552</v>
      </c>
      <c r="AA378">
        <v>4850</v>
      </c>
      <c r="AB378">
        <v>8468</v>
      </c>
      <c r="AC378" t="s">
        <v>3754</v>
      </c>
      <c r="AD378">
        <v>48.21</v>
      </c>
      <c r="AE378" t="s">
        <v>4433</v>
      </c>
      <c r="AF378" t="s">
        <v>5085</v>
      </c>
      <c r="AG378">
        <v>17188</v>
      </c>
      <c r="AH378">
        <v>444</v>
      </c>
      <c r="AI378">
        <v>222061</v>
      </c>
      <c r="AJ378">
        <v>3.62</v>
      </c>
    </row>
    <row r="379" spans="1:36">
      <c r="A379" s="1" t="s">
        <v>413</v>
      </c>
      <c r="B379" t="s">
        <v>1092</v>
      </c>
      <c r="C379">
        <f>HYPERLINK("https://finance.naver.com/item/coinfo.nhn?code=078000", "A078000")</f>
        <v>0</v>
      </c>
      <c r="D379">
        <f>HYPERLINK("http://comp.fnguide.com/SVO2/ASP/SVD_Consensus.asp?pGB=1&amp;gicode=A078000&amp;cID=&amp;MenuYn=Y&amp;ReportGB=&amp;NewMenuID=108&amp;stkGb=701", "텔코웨어")</f>
        <v>0</v>
      </c>
      <c r="E379">
        <v>3</v>
      </c>
      <c r="F379">
        <v>12300</v>
      </c>
      <c r="G379">
        <v>-4</v>
      </c>
      <c r="H379">
        <v>62.88</v>
      </c>
      <c r="I379">
        <v>7369</v>
      </c>
      <c r="J379">
        <v>14604</v>
      </c>
      <c r="K379">
        <v>16711</v>
      </c>
      <c r="L379">
        <v>40.09</v>
      </c>
      <c r="M379">
        <v>-18.73</v>
      </c>
      <c r="N379">
        <v>-35.86</v>
      </c>
      <c r="O379">
        <v>3.1</v>
      </c>
      <c r="P379" t="b">
        <v>1</v>
      </c>
      <c r="Q379">
        <v>1</v>
      </c>
      <c r="R379">
        <v>192</v>
      </c>
      <c r="S379">
        <v>392</v>
      </c>
      <c r="T379">
        <v>104.2</v>
      </c>
      <c r="U379" t="s">
        <v>1771</v>
      </c>
      <c r="V379" t="s">
        <v>2450</v>
      </c>
      <c r="W379">
        <v>-15.71797458860847</v>
      </c>
      <c r="X379">
        <v>-56.4</v>
      </c>
      <c r="Y379" t="s">
        <v>3094</v>
      </c>
      <c r="Z379">
        <v>-24.85194531152358</v>
      </c>
      <c r="AA379">
        <v>1193</v>
      </c>
      <c r="AB379">
        <v>17600</v>
      </c>
      <c r="AC379" t="s">
        <v>3755</v>
      </c>
      <c r="AD379">
        <v>29.19</v>
      </c>
      <c r="AE379" t="s">
        <v>4434</v>
      </c>
      <c r="AF379" t="s">
        <v>5086</v>
      </c>
      <c r="AG379">
        <v>364</v>
      </c>
      <c r="AH379">
        <v>5</v>
      </c>
      <c r="AI379">
        <v>4076074</v>
      </c>
      <c r="AJ379">
        <v>3.97</v>
      </c>
    </row>
    <row r="380" spans="1:36">
      <c r="A380" s="1" t="s">
        <v>414</v>
      </c>
      <c r="B380" t="s">
        <v>1093</v>
      </c>
      <c r="C380">
        <f>HYPERLINK("https://finance.naver.com/item/coinfo.nhn?code=001080", "A001080")</f>
        <v>0</v>
      </c>
      <c r="D380">
        <f>HYPERLINK("http://comp.fnguide.com/SVO2/ASP/SVD_Consensus.asp?pGB=1&amp;gicode=A001080&amp;cID=&amp;MenuYn=Y&amp;ReportGB=&amp;NewMenuID=108&amp;stkGb=701", "만호제강")</f>
        <v>0</v>
      </c>
      <c r="E380">
        <v>3</v>
      </c>
      <c r="F380">
        <v>23800</v>
      </c>
      <c r="G380">
        <v>0</v>
      </c>
      <c r="H380">
        <v>44.4</v>
      </c>
      <c r="I380">
        <v>5792</v>
      </c>
      <c r="J380">
        <v>47717</v>
      </c>
      <c r="K380">
        <v>59929</v>
      </c>
      <c r="L380">
        <v>75.66</v>
      </c>
      <c r="M380">
        <v>-100.49</v>
      </c>
      <c r="N380">
        <v>-151.8</v>
      </c>
      <c r="O380">
        <v>0.62</v>
      </c>
      <c r="P380" t="b">
        <v>0</v>
      </c>
      <c r="Q380">
        <v>0</v>
      </c>
      <c r="R380">
        <v>306</v>
      </c>
      <c r="U380" t="s">
        <v>1772</v>
      </c>
      <c r="V380" t="s">
        <v>2451</v>
      </c>
      <c r="W380">
        <v>0</v>
      </c>
      <c r="X380">
        <v>0</v>
      </c>
      <c r="Y380" t="s">
        <v>3095</v>
      </c>
      <c r="Z380">
        <v>-24.97258842887996</v>
      </c>
      <c r="AA380">
        <v>988</v>
      </c>
      <c r="AB380">
        <v>22441</v>
      </c>
      <c r="AC380" t="s">
        <v>3756</v>
      </c>
      <c r="AD380">
        <v>22.66</v>
      </c>
      <c r="AE380" t="s">
        <v>4435</v>
      </c>
      <c r="AF380" t="s">
        <v>5087</v>
      </c>
      <c r="AG380">
        <v>1964</v>
      </c>
      <c r="AH380">
        <v>-4</v>
      </c>
      <c r="AI380">
        <v>1108527</v>
      </c>
      <c r="AJ380">
        <v>1.47</v>
      </c>
    </row>
    <row r="381" spans="1:36">
      <c r="A381" s="1" t="s">
        <v>415</v>
      </c>
      <c r="B381" t="s">
        <v>1094</v>
      </c>
      <c r="C381">
        <f>HYPERLINK("https://finance.naver.com/item/coinfo.nhn?code=005720", "A005720")</f>
        <v>0</v>
      </c>
      <c r="D381">
        <f>HYPERLINK("http://comp.fnguide.com/SVO2/ASP/SVD_Consensus.asp?pGB=1&amp;gicode=A005720&amp;cID=&amp;MenuYn=Y&amp;ReportGB=&amp;NewMenuID=108&amp;stkGb=701", "넥센")</f>
        <v>0</v>
      </c>
      <c r="E381">
        <v>3</v>
      </c>
      <c r="F381">
        <v>5080</v>
      </c>
      <c r="G381">
        <v>0</v>
      </c>
      <c r="H381">
        <v>24.31</v>
      </c>
      <c r="I381">
        <v>8924</v>
      </c>
      <c r="J381">
        <v>15671</v>
      </c>
      <c r="K381">
        <v>17636</v>
      </c>
      <c r="L381">
        <v>-75.67</v>
      </c>
      <c r="M381">
        <v>-208.48</v>
      </c>
      <c r="N381">
        <v>-247.17</v>
      </c>
      <c r="O381">
        <v>3.62</v>
      </c>
      <c r="P381" t="b">
        <v>1</v>
      </c>
      <c r="Q381">
        <v>0</v>
      </c>
      <c r="R381">
        <v>190</v>
      </c>
      <c r="U381" t="s">
        <v>1773</v>
      </c>
      <c r="V381" t="s">
        <v>2452</v>
      </c>
      <c r="W381">
        <v>0</v>
      </c>
      <c r="X381">
        <v>-81.59999999999999</v>
      </c>
      <c r="Y381" t="s">
        <v>3096</v>
      </c>
      <c r="Z381">
        <v>-33.14927703165379</v>
      </c>
      <c r="AA381">
        <v>2720</v>
      </c>
      <c r="AB381">
        <v>37925</v>
      </c>
      <c r="AC381" t="s">
        <v>3757</v>
      </c>
      <c r="AD381">
        <v>59.37</v>
      </c>
      <c r="AE381" t="s">
        <v>4436</v>
      </c>
      <c r="AF381" t="s">
        <v>5088</v>
      </c>
      <c r="AG381">
        <v>19685</v>
      </c>
      <c r="AH381">
        <v>623</v>
      </c>
      <c r="AI381">
        <v>1702839</v>
      </c>
      <c r="AJ381">
        <v>1.84</v>
      </c>
    </row>
    <row r="382" spans="1:36">
      <c r="A382" s="1" t="s">
        <v>416</v>
      </c>
      <c r="B382" t="s">
        <v>1095</v>
      </c>
      <c r="C382">
        <f>HYPERLINK("https://finance.naver.com/item/coinfo.nhn?code=003920", "A003920")</f>
        <v>0</v>
      </c>
      <c r="D382">
        <f>HYPERLINK("http://comp.fnguide.com/SVO2/ASP/SVD_Consensus.asp?pGB=1&amp;gicode=A003920&amp;cID=&amp;MenuYn=Y&amp;ReportGB=&amp;NewMenuID=108&amp;stkGb=701", "남양유업")</f>
        <v>0</v>
      </c>
      <c r="E382">
        <v>3</v>
      </c>
      <c r="F382">
        <v>383500</v>
      </c>
      <c r="G382">
        <v>0</v>
      </c>
      <c r="I382">
        <v>172790</v>
      </c>
      <c r="J382">
        <v>822277</v>
      </c>
      <c r="K382">
        <v>1011462</v>
      </c>
      <c r="L382">
        <v>54.94</v>
      </c>
      <c r="M382">
        <v>-114.41</v>
      </c>
      <c r="N382">
        <v>-163.74</v>
      </c>
      <c r="O382">
        <v>1.12</v>
      </c>
      <c r="P382" t="b">
        <v>0</v>
      </c>
      <c r="Q382">
        <v>0</v>
      </c>
      <c r="R382">
        <v>-60339</v>
      </c>
      <c r="U382" t="s">
        <v>1774</v>
      </c>
      <c r="V382" t="s">
        <v>2453</v>
      </c>
      <c r="W382">
        <v>0</v>
      </c>
      <c r="X382">
        <v>0</v>
      </c>
      <c r="Y382" t="s">
        <v>3097</v>
      </c>
      <c r="Z382">
        <v>2.303977827402326</v>
      </c>
      <c r="AA382">
        <v>2761</v>
      </c>
      <c r="AB382">
        <v>8163</v>
      </c>
      <c r="AC382" t="s">
        <v>3758</v>
      </c>
      <c r="AD382">
        <v>53.08</v>
      </c>
      <c r="AE382" t="s">
        <v>4437</v>
      </c>
      <c r="AF382" t="s">
        <v>5089</v>
      </c>
      <c r="AG382">
        <v>9489</v>
      </c>
      <c r="AH382">
        <v>-771</v>
      </c>
      <c r="AI382">
        <v>40288</v>
      </c>
      <c r="AJ382">
        <v>0.35</v>
      </c>
    </row>
    <row r="383" spans="1:36">
      <c r="A383" s="1" t="s">
        <v>417</v>
      </c>
      <c r="B383" t="s">
        <v>1096</v>
      </c>
      <c r="C383">
        <f>HYPERLINK("https://finance.naver.com/item/coinfo.nhn?code=024110", "A024110")</f>
        <v>0</v>
      </c>
      <c r="D383">
        <f>HYPERLINK("http://comp.fnguide.com/SVO2/ASP/SVD_Consensus.asp?pGB=1&amp;gicode=A024110&amp;cID=&amp;MenuYn=Y&amp;ReportGB=&amp;NewMenuID=108&amp;stkGb=701", "기업은행")</f>
        <v>0</v>
      </c>
      <c r="E383">
        <v>3</v>
      </c>
      <c r="F383">
        <v>10700</v>
      </c>
      <c r="G383">
        <v>-0.7</v>
      </c>
      <c r="H383">
        <v>4.41</v>
      </c>
      <c r="I383">
        <v>29074</v>
      </c>
      <c r="J383">
        <v>31770</v>
      </c>
      <c r="K383">
        <v>32555</v>
      </c>
      <c r="L383">
        <v>-171.72</v>
      </c>
      <c r="M383">
        <v>-196.92</v>
      </c>
      <c r="N383">
        <v>-204.26</v>
      </c>
      <c r="O383">
        <v>7.11</v>
      </c>
      <c r="P383" t="b">
        <v>0</v>
      </c>
      <c r="Q383">
        <v>1</v>
      </c>
      <c r="R383">
        <v>2006</v>
      </c>
      <c r="S383">
        <v>2191</v>
      </c>
      <c r="T383">
        <v>9.199999999999999</v>
      </c>
      <c r="U383" t="s">
        <v>1775</v>
      </c>
      <c r="V383" t="s">
        <v>2454</v>
      </c>
      <c r="W383">
        <v>-6.334210545344021</v>
      </c>
      <c r="X383">
        <v>2.5</v>
      </c>
      <c r="Y383" t="s">
        <v>3098</v>
      </c>
      <c r="Z383">
        <v>2.85981313209418</v>
      </c>
      <c r="AA383">
        <v>79037</v>
      </c>
      <c r="AB383">
        <v>2646200</v>
      </c>
      <c r="AC383" t="s">
        <v>3759</v>
      </c>
      <c r="AD383">
        <v>63.47</v>
      </c>
      <c r="AE383" t="s">
        <v>4438</v>
      </c>
      <c r="AF383" t="s">
        <v>5090</v>
      </c>
      <c r="AG383">
        <v>86539</v>
      </c>
      <c r="AH383">
        <v>21255</v>
      </c>
      <c r="AI383">
        <v>2</v>
      </c>
      <c r="AJ383">
        <v>5.33</v>
      </c>
    </row>
    <row r="384" spans="1:36">
      <c r="A384" s="1" t="s">
        <v>418</v>
      </c>
      <c r="B384" t="s">
        <v>1097</v>
      </c>
      <c r="C384">
        <f>HYPERLINK("https://finance.naver.com/item/coinfo.nhn?code=092230", "A092230")</f>
        <v>0</v>
      </c>
      <c r="D384">
        <f>HYPERLINK("http://comp.fnguide.com/SVO2/ASP/SVD_Consensus.asp?pGB=1&amp;gicode=A092230&amp;cID=&amp;MenuYn=Y&amp;ReportGB=&amp;NewMenuID=108&amp;stkGb=701", "KPX홀딩스")</f>
        <v>0</v>
      </c>
      <c r="E384">
        <v>3</v>
      </c>
      <c r="F384">
        <v>76600</v>
      </c>
      <c r="G384">
        <v>0</v>
      </c>
      <c r="H384">
        <v>1.82</v>
      </c>
      <c r="I384">
        <v>280494</v>
      </c>
      <c r="J384">
        <v>228492</v>
      </c>
      <c r="K384">
        <v>213344</v>
      </c>
      <c r="L384">
        <v>-266.18</v>
      </c>
      <c r="M384">
        <v>-198.29</v>
      </c>
      <c r="N384">
        <v>-178.52</v>
      </c>
      <c r="O384">
        <v>11.95</v>
      </c>
      <c r="P384" t="b">
        <v>1</v>
      </c>
      <c r="Q384">
        <v>0</v>
      </c>
      <c r="R384">
        <v>33268</v>
      </c>
      <c r="U384" t="s">
        <v>1776</v>
      </c>
      <c r="V384" t="s">
        <v>2455</v>
      </c>
      <c r="W384">
        <v>0</v>
      </c>
      <c r="X384">
        <v>309.2</v>
      </c>
      <c r="Y384" t="s">
        <v>3099</v>
      </c>
      <c r="Z384">
        <v>32.75120038140729</v>
      </c>
      <c r="AA384">
        <v>3236</v>
      </c>
      <c r="AB384">
        <v>42798</v>
      </c>
      <c r="AC384" t="s">
        <v>3760</v>
      </c>
      <c r="AD384">
        <v>74.84</v>
      </c>
      <c r="AE384" t="s">
        <v>4439</v>
      </c>
      <c r="AF384" t="s">
        <v>5091</v>
      </c>
      <c r="AG384">
        <v>9532</v>
      </c>
      <c r="AH384">
        <v>791</v>
      </c>
      <c r="AI384">
        <v>212049</v>
      </c>
      <c r="AJ384">
        <v>5.13</v>
      </c>
    </row>
    <row r="385" spans="1:36">
      <c r="A385" s="1" t="s">
        <v>419</v>
      </c>
      <c r="B385" t="s">
        <v>1098</v>
      </c>
      <c r="C385">
        <f>HYPERLINK("https://finance.naver.com/item/coinfo.nhn?code=175330", "A175330")</f>
        <v>0</v>
      </c>
      <c r="D385">
        <f>HYPERLINK("http://comp.fnguide.com/SVO2/ASP/SVD_Consensus.asp?pGB=1&amp;gicode=A175330&amp;cID=&amp;MenuYn=Y&amp;ReportGB=&amp;NewMenuID=108&amp;stkGb=701", "JB금융지주")</f>
        <v>0</v>
      </c>
      <c r="E385">
        <v>3</v>
      </c>
      <c r="F385">
        <v>7900</v>
      </c>
      <c r="G385">
        <v>0.23</v>
      </c>
      <c r="H385">
        <v>3.06</v>
      </c>
      <c r="I385">
        <v>23353</v>
      </c>
      <c r="J385">
        <v>20962</v>
      </c>
      <c r="K385">
        <v>20266</v>
      </c>
      <c r="L385">
        <v>-195.61</v>
      </c>
      <c r="M385">
        <v>-165.35</v>
      </c>
      <c r="N385">
        <v>-156.53</v>
      </c>
      <c r="O385">
        <v>9.93</v>
      </c>
      <c r="P385" t="b">
        <v>1</v>
      </c>
      <c r="Q385">
        <v>3</v>
      </c>
      <c r="R385">
        <v>1845</v>
      </c>
      <c r="S385">
        <v>2135</v>
      </c>
      <c r="T385">
        <v>15.7</v>
      </c>
      <c r="U385" t="s">
        <v>1777</v>
      </c>
      <c r="V385" t="s">
        <v>2456</v>
      </c>
      <c r="W385">
        <v>13.4097615984222</v>
      </c>
      <c r="X385">
        <v>3.4</v>
      </c>
      <c r="Y385" t="s">
        <v>3100</v>
      </c>
      <c r="Z385">
        <v>3.399961315269606</v>
      </c>
      <c r="AA385">
        <v>15562</v>
      </c>
      <c r="AB385">
        <v>458703</v>
      </c>
      <c r="AC385" t="s">
        <v>3761</v>
      </c>
      <c r="AD385">
        <v>14.61</v>
      </c>
      <c r="AE385" t="s">
        <v>4440</v>
      </c>
      <c r="AF385" t="s">
        <v>5092</v>
      </c>
      <c r="AG385">
        <v>18135</v>
      </c>
      <c r="AH385">
        <v>4695</v>
      </c>
      <c r="AI385">
        <v>2638818</v>
      </c>
      <c r="AJ385">
        <v>6.63</v>
      </c>
    </row>
    <row r="386" spans="1:36">
      <c r="A386" s="1" t="s">
        <v>420</v>
      </c>
      <c r="B386" t="s">
        <v>1099</v>
      </c>
      <c r="C386">
        <f>HYPERLINK("https://finance.naver.com/item/coinfo.nhn?code=105560", "A105560")</f>
        <v>0</v>
      </c>
      <c r="D386">
        <f>HYPERLINK("http://comp.fnguide.com/SVO2/ASP/SVD_Consensus.asp?pGB=1&amp;gicode=A105560&amp;cID=&amp;MenuYn=Y&amp;ReportGB=&amp;NewMenuID=108&amp;stkGb=701", "KB금융")</f>
        <v>0</v>
      </c>
      <c r="E386">
        <v>3</v>
      </c>
      <c r="F386">
        <v>57600</v>
      </c>
      <c r="G386">
        <v>0.49</v>
      </c>
      <c r="H386">
        <v>5.22</v>
      </c>
      <c r="I386">
        <v>115478</v>
      </c>
      <c r="J386">
        <v>111682</v>
      </c>
      <c r="K386">
        <v>110576</v>
      </c>
      <c r="L386">
        <v>-100.48</v>
      </c>
      <c r="M386">
        <v>-93.89</v>
      </c>
      <c r="N386">
        <v>-91.97</v>
      </c>
      <c r="O386">
        <v>8.699999999999999</v>
      </c>
      <c r="P386" t="b">
        <v>1</v>
      </c>
      <c r="Q386">
        <v>3</v>
      </c>
      <c r="R386">
        <v>8309</v>
      </c>
      <c r="S386">
        <v>9904</v>
      </c>
      <c r="T386">
        <v>19.2</v>
      </c>
      <c r="U386" t="s">
        <v>1778</v>
      </c>
      <c r="V386" t="s">
        <v>2457</v>
      </c>
      <c r="W386">
        <v>10.60115648319244</v>
      </c>
      <c r="X386">
        <v>2.5</v>
      </c>
      <c r="Y386" t="s">
        <v>3101</v>
      </c>
      <c r="Z386">
        <v>2.539949297176491</v>
      </c>
      <c r="AA386">
        <v>239505</v>
      </c>
      <c r="AB386">
        <v>1263046</v>
      </c>
      <c r="AC386" t="s">
        <v>3762</v>
      </c>
      <c r="AD386">
        <v>9.93</v>
      </c>
      <c r="AE386" t="s">
        <v>4441</v>
      </c>
      <c r="AF386" t="s">
        <v>5093</v>
      </c>
      <c r="AG386">
        <v>144857</v>
      </c>
      <c r="AH386">
        <v>46160</v>
      </c>
      <c r="AI386">
        <v>26173585</v>
      </c>
      <c r="AJ386">
        <v>4.08</v>
      </c>
    </row>
    <row r="387" spans="1:36">
      <c r="A387" s="1" t="s">
        <v>421</v>
      </c>
      <c r="B387" t="s">
        <v>1100</v>
      </c>
      <c r="C387">
        <f>HYPERLINK("https://finance.naver.com/item/coinfo.nhn?code=002380", "A002380")</f>
        <v>0</v>
      </c>
      <c r="D387">
        <f>HYPERLINK("http://comp.fnguide.com/SVO2/ASP/SVD_Consensus.asp?pGB=1&amp;gicode=A002380&amp;cID=&amp;MenuYn=Y&amp;ReportGB=&amp;NewMenuID=108&amp;stkGb=701", "KCC")</f>
        <v>0</v>
      </c>
      <c r="E387">
        <v>3</v>
      </c>
      <c r="F387">
        <v>340500</v>
      </c>
      <c r="G387">
        <v>0</v>
      </c>
      <c r="H387">
        <v>2.94</v>
      </c>
      <c r="I387">
        <v>494817</v>
      </c>
      <c r="J387">
        <v>578691</v>
      </c>
      <c r="K387">
        <v>603122</v>
      </c>
      <c r="L387">
        <v>-45.32</v>
      </c>
      <c r="M387">
        <v>-69.95</v>
      </c>
      <c r="N387">
        <v>-77.13</v>
      </c>
      <c r="O387">
        <v>6.39</v>
      </c>
      <c r="P387" t="b">
        <v>1</v>
      </c>
      <c r="Q387">
        <v>0</v>
      </c>
      <c r="R387">
        <v>67079</v>
      </c>
      <c r="S387">
        <v>33905</v>
      </c>
      <c r="T387">
        <v>-49.5</v>
      </c>
      <c r="U387" t="s">
        <v>1779</v>
      </c>
      <c r="V387" t="s">
        <v>2458</v>
      </c>
      <c r="W387">
        <v>0</v>
      </c>
      <c r="X387">
        <v>0</v>
      </c>
      <c r="Y387" t="s">
        <v>3102</v>
      </c>
      <c r="Z387">
        <v>-52.39768913172387</v>
      </c>
      <c r="AA387">
        <v>30258</v>
      </c>
      <c r="AB387">
        <v>53130</v>
      </c>
      <c r="AC387" t="s">
        <v>3763</v>
      </c>
      <c r="AD387">
        <v>39.51</v>
      </c>
      <c r="AE387" t="s">
        <v>4442</v>
      </c>
      <c r="AF387" t="s">
        <v>5094</v>
      </c>
      <c r="AG387">
        <v>50836</v>
      </c>
      <c r="AH387">
        <v>1338</v>
      </c>
      <c r="AI387">
        <v>1228318</v>
      </c>
      <c r="AJ387">
        <v>2.89</v>
      </c>
    </row>
    <row r="388" spans="1:36">
      <c r="A388" s="1" t="s">
        <v>422</v>
      </c>
      <c r="B388" t="s">
        <v>1101</v>
      </c>
      <c r="C388">
        <f>HYPERLINK("https://finance.naver.com/item/coinfo.nhn?code=009440", "A009440")</f>
        <v>0</v>
      </c>
      <c r="D388">
        <f>HYPERLINK("http://comp.fnguide.com/SVO2/ASP/SVD_Consensus.asp?pGB=1&amp;gicode=A009440&amp;cID=&amp;MenuYn=Y&amp;ReportGB=&amp;NewMenuID=108&amp;stkGb=701", "KC그린홀딩스")</f>
        <v>0</v>
      </c>
      <c r="E388">
        <v>3</v>
      </c>
      <c r="F388">
        <v>4540</v>
      </c>
      <c r="G388">
        <v>0</v>
      </c>
      <c r="I388">
        <v>2195</v>
      </c>
      <c r="J388">
        <v>4714</v>
      </c>
      <c r="K388">
        <v>5448</v>
      </c>
      <c r="L388">
        <v>51.65</v>
      </c>
      <c r="M388">
        <v>-3.83</v>
      </c>
      <c r="N388">
        <v>-20</v>
      </c>
      <c r="O388">
        <v>2.8</v>
      </c>
      <c r="P388" t="b">
        <v>0</v>
      </c>
      <c r="Q388">
        <v>0</v>
      </c>
      <c r="R388">
        <v>-1649</v>
      </c>
      <c r="U388" t="s">
        <v>1780</v>
      </c>
      <c r="V388" t="s">
        <v>2459</v>
      </c>
      <c r="W388">
        <v>0</v>
      </c>
      <c r="X388">
        <v>0</v>
      </c>
      <c r="Y388" t="s">
        <v>3103</v>
      </c>
      <c r="Z388">
        <v>-11.97839808973329</v>
      </c>
      <c r="AA388">
        <v>1019</v>
      </c>
      <c r="AB388">
        <v>62437</v>
      </c>
      <c r="AC388" t="s">
        <v>3764</v>
      </c>
      <c r="AD388">
        <v>46.21</v>
      </c>
      <c r="AE388" t="s">
        <v>4443</v>
      </c>
      <c r="AF388" t="s">
        <v>5095</v>
      </c>
      <c r="AG388">
        <v>6804</v>
      </c>
      <c r="AH388">
        <v>-479</v>
      </c>
      <c r="AI388">
        <v>310000</v>
      </c>
      <c r="AJ388">
        <v>0.77</v>
      </c>
    </row>
    <row r="389" spans="1:36">
      <c r="A389" s="1" t="s">
        <v>423</v>
      </c>
      <c r="B389" t="s">
        <v>1102</v>
      </c>
      <c r="C389">
        <f>HYPERLINK("https://finance.naver.com/item/coinfo.nhn?code=001390", "A001390")</f>
        <v>0</v>
      </c>
      <c r="D389">
        <f>HYPERLINK("http://comp.fnguide.com/SVO2/ASP/SVD_Consensus.asp?pGB=1&amp;gicode=A001390&amp;cID=&amp;MenuYn=Y&amp;ReportGB=&amp;NewMenuID=108&amp;stkGb=701", "KG케미칼")</f>
        <v>0</v>
      </c>
      <c r="E389">
        <v>3</v>
      </c>
      <c r="F389">
        <v>29300</v>
      </c>
      <c r="G389">
        <v>0</v>
      </c>
      <c r="H389">
        <v>7.19</v>
      </c>
      <c r="I389">
        <v>58166</v>
      </c>
      <c r="J389">
        <v>40230</v>
      </c>
      <c r="K389">
        <v>35006</v>
      </c>
      <c r="L389">
        <v>-98.52</v>
      </c>
      <c r="M389">
        <v>-37.3</v>
      </c>
      <c r="N389">
        <v>-19.47</v>
      </c>
      <c r="O389">
        <v>17.09</v>
      </c>
      <c r="P389" t="b">
        <v>1</v>
      </c>
      <c r="Q389">
        <v>0</v>
      </c>
      <c r="R389">
        <v>3319</v>
      </c>
      <c r="U389" t="s">
        <v>1781</v>
      </c>
      <c r="V389" t="s">
        <v>2460</v>
      </c>
      <c r="W389">
        <v>0</v>
      </c>
      <c r="X389">
        <v>-56.2</v>
      </c>
      <c r="Y389" t="s">
        <v>3104</v>
      </c>
      <c r="Z389">
        <v>17.36405294881571</v>
      </c>
      <c r="AA389">
        <v>4063</v>
      </c>
      <c r="AB389">
        <v>111947</v>
      </c>
      <c r="AC389" t="s">
        <v>3765</v>
      </c>
      <c r="AD389">
        <v>49.9</v>
      </c>
      <c r="AE389" t="s">
        <v>4444</v>
      </c>
      <c r="AF389" t="s">
        <v>5096</v>
      </c>
      <c r="AG389">
        <v>36864</v>
      </c>
      <c r="AH389">
        <v>2430</v>
      </c>
      <c r="AI389">
        <v>200910</v>
      </c>
      <c r="AJ389">
        <v>1.68</v>
      </c>
    </row>
    <row r="390" spans="1:36">
      <c r="A390" s="1" t="s">
        <v>424</v>
      </c>
      <c r="B390" t="s">
        <v>1103</v>
      </c>
      <c r="C390">
        <f>HYPERLINK("https://finance.naver.com/item/coinfo.nhn?code=001940", "A001940")</f>
        <v>0</v>
      </c>
      <c r="D390">
        <f>HYPERLINK("http://comp.fnguide.com/SVO2/ASP/SVD_Consensus.asp?pGB=1&amp;gicode=A001940&amp;cID=&amp;MenuYn=Y&amp;ReportGB=&amp;NewMenuID=108&amp;stkGb=701", "KISCO홀딩스")</f>
        <v>0</v>
      </c>
      <c r="E390">
        <v>3</v>
      </c>
      <c r="F390">
        <v>19350</v>
      </c>
      <c r="G390">
        <v>0</v>
      </c>
      <c r="H390">
        <v>7.6</v>
      </c>
      <c r="I390">
        <v>33192</v>
      </c>
      <c r="J390">
        <v>49583</v>
      </c>
      <c r="K390">
        <v>54357</v>
      </c>
      <c r="L390">
        <v>-71.53</v>
      </c>
      <c r="M390">
        <v>-156.24</v>
      </c>
      <c r="N390">
        <v>-180.91</v>
      </c>
      <c r="O390">
        <v>4.49</v>
      </c>
      <c r="P390" t="b">
        <v>1</v>
      </c>
      <c r="Q390">
        <v>0</v>
      </c>
      <c r="R390">
        <v>1869</v>
      </c>
      <c r="U390" t="s">
        <v>1782</v>
      </c>
      <c r="V390" t="s">
        <v>2461</v>
      </c>
      <c r="W390">
        <v>0</v>
      </c>
      <c r="X390">
        <v>-22.4</v>
      </c>
      <c r="Y390" t="s">
        <v>3105</v>
      </c>
      <c r="Z390">
        <v>-4.566656967766836</v>
      </c>
      <c r="AA390">
        <v>3575</v>
      </c>
      <c r="AB390">
        <v>47637</v>
      </c>
      <c r="AC390" t="s">
        <v>3766</v>
      </c>
      <c r="AD390">
        <v>45.45</v>
      </c>
      <c r="AE390" t="s">
        <v>4445</v>
      </c>
      <c r="AF390" t="s">
        <v>5097</v>
      </c>
      <c r="AG390">
        <v>10646</v>
      </c>
      <c r="AH390">
        <v>827</v>
      </c>
      <c r="AI390">
        <v>4601815</v>
      </c>
      <c r="AJ390">
        <v>2.11</v>
      </c>
    </row>
    <row r="391" spans="1:36">
      <c r="A391" s="1" t="s">
        <v>425</v>
      </c>
      <c r="B391" t="s">
        <v>1104</v>
      </c>
      <c r="C391">
        <f>HYPERLINK("https://finance.naver.com/item/coinfo.nhn?code=025000", "A025000")</f>
        <v>0</v>
      </c>
      <c r="D391">
        <f>HYPERLINK("http://comp.fnguide.com/SVO2/ASP/SVD_Consensus.asp?pGB=1&amp;gicode=A025000&amp;cID=&amp;MenuYn=Y&amp;ReportGB=&amp;NewMenuID=108&amp;stkGb=701", "KPX케미칼")</f>
        <v>0</v>
      </c>
      <c r="E391">
        <v>3</v>
      </c>
      <c r="F391">
        <v>73400</v>
      </c>
      <c r="G391">
        <v>0</v>
      </c>
      <c r="H391">
        <v>4.2</v>
      </c>
      <c r="I391">
        <v>131697</v>
      </c>
      <c r="J391">
        <v>118863</v>
      </c>
      <c r="K391">
        <v>115125</v>
      </c>
      <c r="L391">
        <v>-79.42</v>
      </c>
      <c r="M391">
        <v>-61.94</v>
      </c>
      <c r="N391">
        <v>-56.85</v>
      </c>
      <c r="O391">
        <v>9.83</v>
      </c>
      <c r="P391" t="b">
        <v>1</v>
      </c>
      <c r="Q391">
        <v>0</v>
      </c>
      <c r="R391">
        <v>13074</v>
      </c>
      <c r="U391" t="s">
        <v>1783</v>
      </c>
      <c r="V391" t="s">
        <v>2462</v>
      </c>
      <c r="W391">
        <v>0</v>
      </c>
      <c r="X391">
        <v>51.9</v>
      </c>
      <c r="Y391" t="s">
        <v>3106</v>
      </c>
      <c r="Z391">
        <v>13.37966378552256</v>
      </c>
      <c r="AA391">
        <v>3553</v>
      </c>
      <c r="AB391">
        <v>14612</v>
      </c>
      <c r="AC391" t="s">
        <v>3767</v>
      </c>
      <c r="AD391">
        <v>64.40000000000001</v>
      </c>
      <c r="AE391" t="s">
        <v>4446</v>
      </c>
      <c r="AF391" t="s">
        <v>5098</v>
      </c>
      <c r="AG391">
        <v>7467</v>
      </c>
      <c r="AH391">
        <v>641</v>
      </c>
      <c r="AI391">
        <v>84779</v>
      </c>
      <c r="AJ391">
        <v>5.01</v>
      </c>
    </row>
    <row r="392" spans="1:36">
      <c r="A392" s="1" t="s">
        <v>426</v>
      </c>
      <c r="B392" t="s">
        <v>1105</v>
      </c>
      <c r="C392">
        <f>HYPERLINK("https://finance.naver.com/item/coinfo.nhn?code=030200", "A030200")</f>
        <v>0</v>
      </c>
      <c r="D392">
        <f>HYPERLINK("http://comp.fnguide.com/SVO2/ASP/SVD_Consensus.asp?pGB=1&amp;gicode=A030200&amp;cID=&amp;MenuYn=Y&amp;ReportGB=&amp;NewMenuID=108&amp;stkGb=701", "KT")</f>
        <v>0</v>
      </c>
      <c r="E392">
        <v>3</v>
      </c>
      <c r="F392">
        <v>31000</v>
      </c>
      <c r="G392">
        <v>1.36</v>
      </c>
      <c r="H392">
        <v>9.52</v>
      </c>
      <c r="I392">
        <v>35099</v>
      </c>
      <c r="J392">
        <v>49780</v>
      </c>
      <c r="K392">
        <v>54056</v>
      </c>
      <c r="L392">
        <v>-13.22</v>
      </c>
      <c r="M392">
        <v>-60.58</v>
      </c>
      <c r="N392">
        <v>-74.38</v>
      </c>
      <c r="O392">
        <v>4.82</v>
      </c>
      <c r="P392" t="b">
        <v>1</v>
      </c>
      <c r="Q392">
        <v>2</v>
      </c>
      <c r="R392">
        <v>2520</v>
      </c>
      <c r="S392">
        <v>3229</v>
      </c>
      <c r="T392">
        <v>28.1</v>
      </c>
      <c r="U392" t="s">
        <v>1784</v>
      </c>
      <c r="V392" t="s">
        <v>2463</v>
      </c>
      <c r="W392">
        <v>6.976434266390874</v>
      </c>
      <c r="X392">
        <v>6.9</v>
      </c>
      <c r="Y392" t="s">
        <v>3107</v>
      </c>
      <c r="Z392">
        <v>3.523664757768774</v>
      </c>
      <c r="AA392">
        <v>80945</v>
      </c>
      <c r="AB392">
        <v>1390255</v>
      </c>
      <c r="AC392" t="s">
        <v>3768</v>
      </c>
      <c r="AD392">
        <v>12.2</v>
      </c>
      <c r="AE392" t="s">
        <v>4447</v>
      </c>
      <c r="AF392" t="s">
        <v>5099</v>
      </c>
      <c r="AG392">
        <v>239167</v>
      </c>
      <c r="AH392">
        <v>11841</v>
      </c>
      <c r="AI392">
        <v>26870564</v>
      </c>
      <c r="AJ392">
        <v>5.63</v>
      </c>
    </row>
    <row r="393" spans="1:36">
      <c r="A393" s="1" t="s">
        <v>427</v>
      </c>
      <c r="B393" t="s">
        <v>1106</v>
      </c>
      <c r="C393">
        <f>HYPERLINK("https://finance.naver.com/item/coinfo.nhn?code=089470", "A089470")</f>
        <v>0</v>
      </c>
      <c r="D393">
        <f>HYPERLINK("http://comp.fnguide.com/SVO2/ASP/SVD_Consensus.asp?pGB=1&amp;gicode=A089470&amp;cID=&amp;MenuYn=Y&amp;ReportGB=&amp;NewMenuID=108&amp;stkGb=701", "HDC현대EP")</f>
        <v>0</v>
      </c>
      <c r="E393">
        <v>3</v>
      </c>
      <c r="F393">
        <v>6110</v>
      </c>
      <c r="G393">
        <v>0</v>
      </c>
      <c r="H393">
        <v>15.31</v>
      </c>
      <c r="I393">
        <v>5485</v>
      </c>
      <c r="J393">
        <v>8243</v>
      </c>
      <c r="K393">
        <v>9046</v>
      </c>
      <c r="L393">
        <v>10.23</v>
      </c>
      <c r="M393">
        <v>-34.91</v>
      </c>
      <c r="N393">
        <v>-48.05</v>
      </c>
      <c r="O393">
        <v>4.45</v>
      </c>
      <c r="P393" t="b">
        <v>1</v>
      </c>
      <c r="Q393">
        <v>0</v>
      </c>
      <c r="R393">
        <v>432</v>
      </c>
      <c r="U393" t="s">
        <v>1785</v>
      </c>
      <c r="V393" t="s">
        <v>2464</v>
      </c>
      <c r="W393">
        <v>0</v>
      </c>
      <c r="X393">
        <v>4.7</v>
      </c>
      <c r="Y393" t="s">
        <v>3108</v>
      </c>
      <c r="Z393">
        <v>-21.00047190801979</v>
      </c>
      <c r="AA393">
        <v>1949</v>
      </c>
      <c r="AB393">
        <v>59313</v>
      </c>
      <c r="AC393" t="s">
        <v>3769</v>
      </c>
      <c r="AD393">
        <v>48.42</v>
      </c>
      <c r="AE393" t="s">
        <v>4448</v>
      </c>
      <c r="AF393" t="s">
        <v>5100</v>
      </c>
      <c r="AG393">
        <v>6894</v>
      </c>
      <c r="AH393">
        <v>346</v>
      </c>
      <c r="AI393">
        <v>3000000</v>
      </c>
      <c r="AJ393">
        <v>2.11</v>
      </c>
    </row>
    <row r="394" spans="1:36">
      <c r="A394" s="1" t="s">
        <v>428</v>
      </c>
      <c r="B394" t="s">
        <v>1107</v>
      </c>
      <c r="C394">
        <f>HYPERLINK("https://finance.naver.com/item/coinfo.nhn?code=030210", "A030210")</f>
        <v>0</v>
      </c>
      <c r="D394">
        <f>HYPERLINK("http://comp.fnguide.com/SVO2/ASP/SVD_Consensus.asp?pGB=1&amp;gicode=A030210&amp;cID=&amp;MenuYn=Y&amp;ReportGB=&amp;NewMenuID=108&amp;stkGb=701", "KTB투자증권")</f>
        <v>0</v>
      </c>
      <c r="E394">
        <v>3</v>
      </c>
      <c r="F394">
        <v>5630</v>
      </c>
      <c r="G394">
        <v>0</v>
      </c>
      <c r="H394">
        <v>2.89</v>
      </c>
      <c r="I394">
        <v>12787</v>
      </c>
      <c r="J394">
        <v>11025</v>
      </c>
      <c r="K394">
        <v>10512</v>
      </c>
      <c r="L394">
        <v>-127.12</v>
      </c>
      <c r="M394">
        <v>-95.83</v>
      </c>
      <c r="N394">
        <v>-86.72</v>
      </c>
      <c r="O394">
        <v>10.7</v>
      </c>
      <c r="P394" t="b">
        <v>1</v>
      </c>
      <c r="Q394">
        <v>0</v>
      </c>
      <c r="R394">
        <v>1103</v>
      </c>
      <c r="U394" t="s">
        <v>1786</v>
      </c>
      <c r="V394" t="s">
        <v>2465</v>
      </c>
      <c r="W394">
        <v>0</v>
      </c>
      <c r="X394">
        <v>13</v>
      </c>
      <c r="Y394" t="s">
        <v>3109</v>
      </c>
      <c r="Z394">
        <v>8.95870483273773</v>
      </c>
      <c r="AA394">
        <v>3396</v>
      </c>
      <c r="AB394">
        <v>534687</v>
      </c>
      <c r="AC394" t="s">
        <v>3770</v>
      </c>
      <c r="AD394">
        <v>25.52</v>
      </c>
      <c r="AE394" t="s">
        <v>4449</v>
      </c>
      <c r="AF394" t="s">
        <v>5101</v>
      </c>
      <c r="AG394">
        <v>2996</v>
      </c>
      <c r="AH394">
        <v>665</v>
      </c>
      <c r="AI394">
        <v>1290313</v>
      </c>
      <c r="AJ394">
        <v>4.7</v>
      </c>
    </row>
    <row r="395" spans="1:36">
      <c r="A395" s="1" t="s">
        <v>429</v>
      </c>
      <c r="B395" t="s">
        <v>1108</v>
      </c>
      <c r="C395">
        <f>HYPERLINK("https://finance.naver.com/item/coinfo.nhn?code=058850", "A058850")</f>
        <v>0</v>
      </c>
      <c r="D395">
        <f>HYPERLINK("http://comp.fnguide.com/SVO2/ASP/SVD_Consensus.asp?pGB=1&amp;gicode=A058850&amp;cID=&amp;MenuYn=Y&amp;ReportGB=&amp;NewMenuID=108&amp;stkGb=701", "KTcs")</f>
        <v>0</v>
      </c>
      <c r="E395">
        <v>3</v>
      </c>
      <c r="F395">
        <v>3140</v>
      </c>
      <c r="G395">
        <v>0</v>
      </c>
      <c r="H395">
        <v>8.84</v>
      </c>
      <c r="I395">
        <v>3028</v>
      </c>
      <c r="J395">
        <v>3649</v>
      </c>
      <c r="K395">
        <v>3830</v>
      </c>
      <c r="L395">
        <v>3.58</v>
      </c>
      <c r="M395">
        <v>-16.2</v>
      </c>
      <c r="N395">
        <v>-21.96</v>
      </c>
      <c r="O395">
        <v>6.11</v>
      </c>
      <c r="P395" t="b">
        <v>1</v>
      </c>
      <c r="Q395">
        <v>0</v>
      </c>
      <c r="R395">
        <v>251</v>
      </c>
      <c r="U395" t="s">
        <v>1787</v>
      </c>
      <c r="V395" t="s">
        <v>2466</v>
      </c>
      <c r="W395">
        <v>0</v>
      </c>
      <c r="X395">
        <v>43.9</v>
      </c>
      <c r="Y395" t="s">
        <v>3110</v>
      </c>
      <c r="Z395">
        <v>-3.003331788591357</v>
      </c>
      <c r="AA395">
        <v>1340</v>
      </c>
      <c r="AB395">
        <v>826338</v>
      </c>
      <c r="AC395" t="s">
        <v>3771</v>
      </c>
      <c r="AD395">
        <v>30.33</v>
      </c>
      <c r="AE395" t="s">
        <v>4450</v>
      </c>
      <c r="AF395" t="s">
        <v>5102</v>
      </c>
      <c r="AG395">
        <v>9317</v>
      </c>
      <c r="AH395">
        <v>179</v>
      </c>
      <c r="AI395">
        <v>2544056</v>
      </c>
      <c r="AJ395">
        <v>3.61</v>
      </c>
    </row>
    <row r="396" spans="1:36">
      <c r="A396" s="1" t="s">
        <v>430</v>
      </c>
      <c r="B396" t="s">
        <v>1109</v>
      </c>
      <c r="C396">
        <f>HYPERLINK("https://finance.naver.com/item/coinfo.nhn?code=058860", "A058860")</f>
        <v>0</v>
      </c>
      <c r="D396">
        <f>HYPERLINK("http://comp.fnguide.com/SVO2/ASP/SVD_Consensus.asp?pGB=1&amp;gicode=A058860&amp;cID=&amp;MenuYn=Y&amp;ReportGB=&amp;NewMenuID=108&amp;stkGb=701", "KTis")</f>
        <v>0</v>
      </c>
      <c r="E396">
        <v>3</v>
      </c>
      <c r="F396">
        <v>3125</v>
      </c>
      <c r="G396">
        <v>0</v>
      </c>
      <c r="H396">
        <v>12.13</v>
      </c>
      <c r="I396">
        <v>3067</v>
      </c>
      <c r="J396">
        <v>4309</v>
      </c>
      <c r="K396">
        <v>4671</v>
      </c>
      <c r="L396">
        <v>1.87</v>
      </c>
      <c r="M396">
        <v>-37.89</v>
      </c>
      <c r="N396">
        <v>-49.47</v>
      </c>
      <c r="O396">
        <v>4.89</v>
      </c>
      <c r="P396" t="b">
        <v>1</v>
      </c>
      <c r="Q396">
        <v>0</v>
      </c>
      <c r="R396">
        <v>212</v>
      </c>
      <c r="U396" t="s">
        <v>1788</v>
      </c>
      <c r="V396" t="s">
        <v>2467</v>
      </c>
      <c r="W396">
        <v>0</v>
      </c>
      <c r="X396">
        <v>-19.7</v>
      </c>
      <c r="Y396" t="s">
        <v>3111</v>
      </c>
      <c r="Z396">
        <v>-13.25653072909901</v>
      </c>
      <c r="AA396">
        <v>1088</v>
      </c>
      <c r="AB396">
        <v>353801</v>
      </c>
      <c r="AC396" t="s">
        <v>3772</v>
      </c>
      <c r="AD396">
        <v>29.32</v>
      </c>
      <c r="AE396" t="s">
        <v>4451</v>
      </c>
      <c r="AF396" t="s">
        <v>5103</v>
      </c>
      <c r="AG396">
        <v>4536</v>
      </c>
      <c r="AH396">
        <v>90</v>
      </c>
      <c r="AI396">
        <v>2350081</v>
      </c>
      <c r="AJ396">
        <v>3.11</v>
      </c>
    </row>
    <row r="397" spans="1:36">
      <c r="A397" s="1" t="s">
        <v>431</v>
      </c>
      <c r="B397" t="s">
        <v>1110</v>
      </c>
      <c r="C397">
        <f>HYPERLINK("https://finance.naver.com/item/coinfo.nhn?code=093050", "A093050")</f>
        <v>0</v>
      </c>
      <c r="D397">
        <f>HYPERLINK("http://comp.fnguide.com/SVO2/ASP/SVD_Consensus.asp?pGB=1&amp;gicode=A093050&amp;cID=&amp;MenuYn=Y&amp;ReportGB=&amp;NewMenuID=108&amp;stkGb=701", "LF")</f>
        <v>0</v>
      </c>
      <c r="E397">
        <v>3</v>
      </c>
      <c r="F397">
        <v>19300</v>
      </c>
      <c r="G397">
        <v>-2.16</v>
      </c>
      <c r="H397">
        <v>24.83</v>
      </c>
      <c r="I397">
        <v>20107</v>
      </c>
      <c r="J397">
        <v>33907</v>
      </c>
      <c r="K397">
        <v>37927</v>
      </c>
      <c r="L397">
        <v>-4.18</v>
      </c>
      <c r="M397">
        <v>-75.69</v>
      </c>
      <c r="N397">
        <v>-96.51000000000001</v>
      </c>
      <c r="O397">
        <v>3.81</v>
      </c>
      <c r="P397" t="b">
        <v>1</v>
      </c>
      <c r="Q397">
        <v>1</v>
      </c>
      <c r="R397">
        <v>592</v>
      </c>
      <c r="S397">
        <v>1970</v>
      </c>
      <c r="T397">
        <v>232.8</v>
      </c>
      <c r="U397" t="s">
        <v>1789</v>
      </c>
      <c r="V397" t="s">
        <v>2468</v>
      </c>
      <c r="W397">
        <v>-11.52146097960011</v>
      </c>
      <c r="X397">
        <v>-74.40000000000001</v>
      </c>
      <c r="Y397" t="s">
        <v>3112</v>
      </c>
      <c r="Z397">
        <v>-19.38814696864235</v>
      </c>
      <c r="AA397">
        <v>5643</v>
      </c>
      <c r="AB397">
        <v>91926</v>
      </c>
      <c r="AC397" t="s">
        <v>3773</v>
      </c>
      <c r="AD397">
        <v>45.71</v>
      </c>
      <c r="AE397" t="s">
        <v>4452</v>
      </c>
      <c r="AF397" t="s">
        <v>5104</v>
      </c>
      <c r="AG397">
        <v>16105</v>
      </c>
      <c r="AH397">
        <v>771</v>
      </c>
      <c r="AI397">
        <v>780000</v>
      </c>
      <c r="AJ397">
        <v>3.4</v>
      </c>
    </row>
    <row r="398" spans="1:36">
      <c r="A398" s="1" t="s">
        <v>432</v>
      </c>
      <c r="B398" t="s">
        <v>1111</v>
      </c>
      <c r="C398">
        <f>HYPERLINK("https://finance.naver.com/item/coinfo.nhn?code=034220", "A034220")</f>
        <v>0</v>
      </c>
      <c r="D398">
        <f>HYPERLINK("http://comp.fnguide.com/SVO2/ASP/SVD_Consensus.asp?pGB=1&amp;gicode=A034220&amp;cID=&amp;MenuYn=Y&amp;ReportGB=&amp;NewMenuID=108&amp;stkGb=701", "LG디스플레이")</f>
        <v>0</v>
      </c>
      <c r="E398">
        <v>3</v>
      </c>
      <c r="F398">
        <v>22000</v>
      </c>
      <c r="G398">
        <v>0</v>
      </c>
      <c r="I398">
        <v>0</v>
      </c>
      <c r="J398">
        <v>18925</v>
      </c>
      <c r="K398">
        <v>24438</v>
      </c>
      <c r="L398">
        <v>100</v>
      </c>
      <c r="M398">
        <v>13.98</v>
      </c>
      <c r="N398">
        <v>-11.08</v>
      </c>
      <c r="O398">
        <v>0</v>
      </c>
      <c r="P398" t="b">
        <v>0</v>
      </c>
      <c r="Q398">
        <v>2</v>
      </c>
      <c r="R398">
        <v>-250</v>
      </c>
      <c r="S398">
        <v>3232</v>
      </c>
      <c r="T398">
        <v>-1392.8</v>
      </c>
      <c r="U398" t="s">
        <v>1790</v>
      </c>
      <c r="V398" t="s">
        <v>2469</v>
      </c>
      <c r="W398">
        <v>0</v>
      </c>
      <c r="X398">
        <v>0</v>
      </c>
      <c r="Y398" t="s">
        <v>3113</v>
      </c>
      <c r="Z398">
        <v>36.55562968988133</v>
      </c>
      <c r="AA398">
        <v>78719</v>
      </c>
      <c r="AB398">
        <v>3037543</v>
      </c>
      <c r="AC398" t="s">
        <v>3774</v>
      </c>
      <c r="AD398">
        <v>37.91</v>
      </c>
      <c r="AE398" t="s">
        <v>4453</v>
      </c>
      <c r="AF398" t="s">
        <v>5105</v>
      </c>
      <c r="AG398">
        <v>242301</v>
      </c>
      <c r="AH398">
        <v>-291</v>
      </c>
    </row>
    <row r="399" spans="1:36">
      <c r="A399" s="1" t="s">
        <v>433</v>
      </c>
      <c r="B399" t="s">
        <v>1112</v>
      </c>
      <c r="C399">
        <f>HYPERLINK("https://finance.naver.com/item/coinfo.nhn?code=001120", "A001120")</f>
        <v>0</v>
      </c>
      <c r="D399">
        <f>HYPERLINK("http://comp.fnguide.com/SVO2/ASP/SVD_Consensus.asp?pGB=1&amp;gicode=A001120&amp;cID=&amp;MenuYn=Y&amp;ReportGB=&amp;NewMenuID=108&amp;stkGb=701", "LG상사")</f>
        <v>0</v>
      </c>
      <c r="E399">
        <v>3</v>
      </c>
      <c r="F399">
        <v>34750</v>
      </c>
      <c r="G399">
        <v>0</v>
      </c>
      <c r="H399">
        <v>3.22</v>
      </c>
      <c r="I399">
        <v>57422</v>
      </c>
      <c r="J399">
        <v>45414</v>
      </c>
      <c r="K399">
        <v>41916</v>
      </c>
      <c r="L399">
        <v>-65.23999999999999</v>
      </c>
      <c r="M399">
        <v>-30.69</v>
      </c>
      <c r="N399">
        <v>-20.62</v>
      </c>
      <c r="O399">
        <v>12.69</v>
      </c>
      <c r="P399" t="b">
        <v>1</v>
      </c>
      <c r="Q399">
        <v>0</v>
      </c>
      <c r="R399">
        <v>7678</v>
      </c>
      <c r="S399">
        <v>4240</v>
      </c>
      <c r="T399">
        <v>-44.8</v>
      </c>
      <c r="U399" t="s">
        <v>1791</v>
      </c>
      <c r="V399" t="s">
        <v>2470</v>
      </c>
      <c r="W399">
        <v>0</v>
      </c>
      <c r="X399">
        <v>941.4</v>
      </c>
      <c r="Y399" t="s">
        <v>3114</v>
      </c>
      <c r="Z399">
        <v>228.4646708551774</v>
      </c>
      <c r="AA399">
        <v>13469</v>
      </c>
      <c r="AB399">
        <v>173381</v>
      </c>
      <c r="AC399" t="s">
        <v>3775</v>
      </c>
      <c r="AD399">
        <v>24.76</v>
      </c>
      <c r="AE399" t="s">
        <v>4454</v>
      </c>
      <c r="AF399" t="s">
        <v>5106</v>
      </c>
      <c r="AG399">
        <v>112826</v>
      </c>
      <c r="AH399">
        <v>1598</v>
      </c>
      <c r="AI399">
        <v>2792074</v>
      </c>
      <c r="AJ399">
        <v>1.62</v>
      </c>
    </row>
    <row r="400" spans="1:36">
      <c r="A400" s="1" t="s">
        <v>434</v>
      </c>
      <c r="B400" t="s">
        <v>1113</v>
      </c>
      <c r="C400">
        <f>HYPERLINK("https://finance.naver.com/item/coinfo.nhn?code=032640", "A032640")</f>
        <v>0</v>
      </c>
      <c r="D400">
        <f>HYPERLINK("http://comp.fnguide.com/SVO2/ASP/SVD_Consensus.asp?pGB=1&amp;gicode=A032640&amp;cID=&amp;MenuYn=Y&amp;ReportGB=&amp;NewMenuID=108&amp;stkGb=701", "LG유플러스")</f>
        <v>0</v>
      </c>
      <c r="E400">
        <v>3</v>
      </c>
      <c r="F400">
        <v>14800</v>
      </c>
      <c r="G400">
        <v>0.93</v>
      </c>
      <c r="H400">
        <v>10.99</v>
      </c>
      <c r="I400">
        <v>13682</v>
      </c>
      <c r="J400">
        <v>15588</v>
      </c>
      <c r="K400">
        <v>16143</v>
      </c>
      <c r="L400">
        <v>7.55</v>
      </c>
      <c r="M400">
        <v>-5.33</v>
      </c>
      <c r="N400">
        <v>-9.08</v>
      </c>
      <c r="O400">
        <v>6.66</v>
      </c>
      <c r="P400" t="b">
        <v>1</v>
      </c>
      <c r="Q400">
        <v>2</v>
      </c>
      <c r="R400">
        <v>1069</v>
      </c>
      <c r="S400">
        <v>1543</v>
      </c>
      <c r="T400">
        <v>44.3</v>
      </c>
      <c r="U400" t="s">
        <v>1792</v>
      </c>
      <c r="V400" t="s">
        <v>2471</v>
      </c>
      <c r="W400">
        <v>11.83440856837625</v>
      </c>
      <c r="X400">
        <v>6.4</v>
      </c>
      <c r="Y400" t="s">
        <v>3115</v>
      </c>
      <c r="Z400">
        <v>5.847584085860325</v>
      </c>
      <c r="AA400">
        <v>64618</v>
      </c>
      <c r="AB400">
        <v>2644752</v>
      </c>
      <c r="AC400" t="s">
        <v>3776</v>
      </c>
      <c r="AD400">
        <v>37.67</v>
      </c>
      <c r="AE400" t="s">
        <v>4455</v>
      </c>
      <c r="AF400" t="s">
        <v>5107</v>
      </c>
      <c r="AG400">
        <v>134176</v>
      </c>
      <c r="AH400">
        <v>8862</v>
      </c>
      <c r="AI400">
        <v>3</v>
      </c>
      <c r="AJ400">
        <v>3.83</v>
      </c>
    </row>
    <row r="401" spans="1:36">
      <c r="A401" s="1" t="s">
        <v>435</v>
      </c>
      <c r="B401" t="s">
        <v>1114</v>
      </c>
      <c r="C401">
        <f>HYPERLINK("https://finance.naver.com/item/coinfo.nhn?code=294870", "A294870")</f>
        <v>0</v>
      </c>
      <c r="D401">
        <f>HYPERLINK("http://comp.fnguide.com/SVO2/ASP/SVD_Consensus.asp?pGB=1&amp;gicode=A294870&amp;cID=&amp;MenuYn=Y&amp;ReportGB=&amp;NewMenuID=108&amp;stkGb=701", "HDC현대산업개발")</f>
        <v>0</v>
      </c>
      <c r="E401">
        <v>3</v>
      </c>
      <c r="F401">
        <v>28750</v>
      </c>
      <c r="G401">
        <v>4.12</v>
      </c>
      <c r="H401">
        <v>7.29</v>
      </c>
      <c r="I401">
        <v>56673</v>
      </c>
      <c r="J401">
        <v>47735</v>
      </c>
      <c r="K401">
        <v>45132</v>
      </c>
      <c r="L401">
        <v>-97.12</v>
      </c>
      <c r="M401">
        <v>-66.04000000000001</v>
      </c>
      <c r="N401">
        <v>-56.98</v>
      </c>
      <c r="O401">
        <v>11.19</v>
      </c>
      <c r="P401" t="b">
        <v>0</v>
      </c>
      <c r="Q401">
        <v>1</v>
      </c>
      <c r="R401">
        <v>3579</v>
      </c>
      <c r="S401">
        <v>5514</v>
      </c>
      <c r="T401">
        <v>54.1</v>
      </c>
      <c r="U401" t="s">
        <v>1793</v>
      </c>
      <c r="V401" t="s">
        <v>2472</v>
      </c>
      <c r="W401">
        <v>1.76995445220709</v>
      </c>
      <c r="X401">
        <v>-62</v>
      </c>
      <c r="Y401" t="s">
        <v>3116</v>
      </c>
      <c r="Z401">
        <v>0</v>
      </c>
      <c r="AA401">
        <v>18948</v>
      </c>
      <c r="AB401">
        <v>450443</v>
      </c>
      <c r="AC401" t="s">
        <v>3777</v>
      </c>
      <c r="AD401">
        <v>41.48</v>
      </c>
      <c r="AE401" t="s">
        <v>4456</v>
      </c>
      <c r="AF401" t="s">
        <v>5108</v>
      </c>
      <c r="AG401">
        <v>36702</v>
      </c>
      <c r="AH401">
        <v>5857</v>
      </c>
      <c r="AI401">
        <v>9470</v>
      </c>
      <c r="AJ401">
        <v>2.3</v>
      </c>
    </row>
    <row r="402" spans="1:36">
      <c r="A402" s="1" t="s">
        <v>436</v>
      </c>
      <c r="B402" t="s">
        <v>1115</v>
      </c>
      <c r="C402">
        <f>HYPERLINK("https://finance.naver.com/item/coinfo.nhn?code=012630", "A012630")</f>
        <v>0</v>
      </c>
      <c r="D402">
        <f>HYPERLINK("http://comp.fnguide.com/SVO2/ASP/SVD_Consensus.asp?pGB=1&amp;gicode=A012630&amp;cID=&amp;MenuYn=Y&amp;ReportGB=&amp;NewMenuID=108&amp;stkGb=701", "HDC")</f>
        <v>0</v>
      </c>
      <c r="E402">
        <v>3</v>
      </c>
      <c r="F402">
        <v>14050</v>
      </c>
      <c r="G402">
        <v>0</v>
      </c>
      <c r="H402">
        <v>6.37</v>
      </c>
      <c r="I402">
        <v>64825</v>
      </c>
      <c r="J402">
        <v>50581</v>
      </c>
      <c r="K402">
        <v>46432</v>
      </c>
      <c r="L402">
        <v>-361.39</v>
      </c>
      <c r="M402">
        <v>-260.01</v>
      </c>
      <c r="N402">
        <v>-230.47</v>
      </c>
      <c r="O402">
        <v>13.05</v>
      </c>
      <c r="P402" t="b">
        <v>1</v>
      </c>
      <c r="Q402">
        <v>0</v>
      </c>
      <c r="R402">
        <v>1734</v>
      </c>
      <c r="U402" t="s">
        <v>1794</v>
      </c>
      <c r="V402" t="s">
        <v>2473</v>
      </c>
      <c r="W402">
        <v>0</v>
      </c>
      <c r="X402">
        <v>-59.6</v>
      </c>
      <c r="Y402" t="s">
        <v>3117</v>
      </c>
      <c r="Z402">
        <v>-9.648786522965647</v>
      </c>
      <c r="AA402">
        <v>8394</v>
      </c>
      <c r="AB402">
        <v>748984</v>
      </c>
      <c r="AC402" t="s">
        <v>3778</v>
      </c>
      <c r="AD402">
        <v>38.17</v>
      </c>
      <c r="AE402" t="s">
        <v>4457</v>
      </c>
      <c r="AF402" t="s">
        <v>5109</v>
      </c>
      <c r="AG402">
        <v>39519</v>
      </c>
      <c r="AH402">
        <v>5447</v>
      </c>
      <c r="AI402">
        <v>4919656</v>
      </c>
      <c r="AJ402">
        <v>2.26</v>
      </c>
    </row>
    <row r="403" spans="1:36">
      <c r="A403" s="1" t="s">
        <v>437</v>
      </c>
      <c r="B403" t="s">
        <v>1116</v>
      </c>
      <c r="C403">
        <f>HYPERLINK("https://finance.naver.com/item/coinfo.nhn?code=092440", "A092440")</f>
        <v>0</v>
      </c>
      <c r="D403">
        <f>HYPERLINK("http://comp.fnguide.com/SVO2/ASP/SVD_Consensus.asp?pGB=1&amp;gicode=A092440&amp;cID=&amp;MenuYn=Y&amp;ReportGB=&amp;NewMenuID=108&amp;stkGb=701", "기신정기")</f>
        <v>0</v>
      </c>
      <c r="E403">
        <v>3</v>
      </c>
      <c r="F403">
        <v>5230</v>
      </c>
      <c r="G403">
        <v>0</v>
      </c>
      <c r="H403">
        <v>9.66</v>
      </c>
      <c r="I403">
        <v>4640</v>
      </c>
      <c r="J403">
        <v>6709</v>
      </c>
      <c r="K403">
        <v>7312</v>
      </c>
      <c r="L403">
        <v>11.29</v>
      </c>
      <c r="M403">
        <v>-28.28</v>
      </c>
      <c r="N403">
        <v>-39.8</v>
      </c>
      <c r="O403">
        <v>4.7</v>
      </c>
      <c r="P403" t="b">
        <v>0</v>
      </c>
      <c r="Q403">
        <v>0</v>
      </c>
      <c r="R403">
        <v>298</v>
      </c>
      <c r="U403" t="s">
        <v>1795</v>
      </c>
      <c r="V403" t="s">
        <v>2474</v>
      </c>
      <c r="W403">
        <v>0</v>
      </c>
      <c r="X403">
        <v>0.4</v>
      </c>
      <c r="Y403" t="s">
        <v>3118</v>
      </c>
      <c r="Z403">
        <v>3.550967360475132</v>
      </c>
      <c r="AA403">
        <v>1527</v>
      </c>
      <c r="AB403">
        <v>77139</v>
      </c>
      <c r="AC403" t="s">
        <v>3779</v>
      </c>
      <c r="AD403">
        <v>71.81</v>
      </c>
      <c r="AE403" t="s">
        <v>4458</v>
      </c>
      <c r="AF403" t="s">
        <v>5110</v>
      </c>
      <c r="AG403">
        <v>1246</v>
      </c>
      <c r="AH403">
        <v>93</v>
      </c>
      <c r="AJ403">
        <v>5.22</v>
      </c>
    </row>
    <row r="404" spans="1:36">
      <c r="A404" s="1" t="s">
        <v>438</v>
      </c>
      <c r="B404" t="s">
        <v>1117</v>
      </c>
      <c r="C404">
        <f>HYPERLINK("https://finance.naver.com/item/coinfo.nhn?code=139130", "A139130")</f>
        <v>0</v>
      </c>
      <c r="D404">
        <f>HYPERLINK("http://comp.fnguide.com/SVO2/ASP/SVD_Consensus.asp?pGB=1&amp;gicode=A139130&amp;cID=&amp;MenuYn=Y&amp;ReportGB=&amp;NewMenuID=108&amp;stkGb=701", "DGB금융지주")</f>
        <v>0</v>
      </c>
      <c r="E404">
        <v>3</v>
      </c>
      <c r="F404">
        <v>9340</v>
      </c>
      <c r="G404">
        <v>10.6</v>
      </c>
      <c r="H404">
        <v>3.46</v>
      </c>
      <c r="I404">
        <v>26192</v>
      </c>
      <c r="J404">
        <v>28153</v>
      </c>
      <c r="K404">
        <v>28724</v>
      </c>
      <c r="L404">
        <v>-180.43</v>
      </c>
      <c r="M404">
        <v>-201.42</v>
      </c>
      <c r="N404">
        <v>-207.53</v>
      </c>
      <c r="O404">
        <v>7.3</v>
      </c>
      <c r="P404" t="b">
        <v>1</v>
      </c>
      <c r="Q404">
        <v>2</v>
      </c>
      <c r="R404">
        <v>1965</v>
      </c>
      <c r="S404">
        <v>2278</v>
      </c>
      <c r="T404">
        <v>15.9</v>
      </c>
      <c r="U404" t="s">
        <v>1796</v>
      </c>
      <c r="V404" t="s">
        <v>2475</v>
      </c>
      <c r="W404">
        <v>0.3262833670969023</v>
      </c>
      <c r="X404">
        <v>2.7</v>
      </c>
      <c r="Y404" t="s">
        <v>3119</v>
      </c>
      <c r="Z404">
        <v>2.919914469385421</v>
      </c>
      <c r="AA404">
        <v>15798</v>
      </c>
      <c r="AB404">
        <v>719030</v>
      </c>
      <c r="AC404" t="s">
        <v>3780</v>
      </c>
      <c r="AD404">
        <v>13.63</v>
      </c>
      <c r="AE404" t="s">
        <v>4459</v>
      </c>
      <c r="AF404" t="s">
        <v>5111</v>
      </c>
      <c r="AG404">
        <v>20746</v>
      </c>
      <c r="AH404">
        <v>4900</v>
      </c>
      <c r="AI404">
        <v>1</v>
      </c>
      <c r="AJ404">
        <v>5.74</v>
      </c>
    </row>
    <row r="405" spans="1:36">
      <c r="A405" s="1" t="s">
        <v>439</v>
      </c>
      <c r="B405" t="s">
        <v>1118</v>
      </c>
      <c r="C405">
        <f>HYPERLINK("https://finance.naver.com/item/coinfo.nhn?code=138930", "A138930")</f>
        <v>0</v>
      </c>
      <c r="D405">
        <f>HYPERLINK("http://comp.fnguide.com/SVO2/ASP/SVD_Consensus.asp?pGB=1&amp;gicode=A138930&amp;cID=&amp;MenuYn=Y&amp;ReportGB=&amp;NewMenuID=108&amp;stkGb=701", "BNK금융지주")</f>
        <v>0</v>
      </c>
      <c r="E405">
        <v>3</v>
      </c>
      <c r="F405">
        <v>8100</v>
      </c>
      <c r="G405">
        <v>0.49</v>
      </c>
      <c r="H405">
        <v>3.56</v>
      </c>
      <c r="I405">
        <v>21444</v>
      </c>
      <c r="J405">
        <v>24688</v>
      </c>
      <c r="K405">
        <v>25632</v>
      </c>
      <c r="L405">
        <v>-164.74</v>
      </c>
      <c r="M405">
        <v>-204.79</v>
      </c>
      <c r="N405">
        <v>-216.45</v>
      </c>
      <c r="O405">
        <v>6.55</v>
      </c>
      <c r="P405" t="b">
        <v>1</v>
      </c>
      <c r="Q405">
        <v>1</v>
      </c>
      <c r="R405">
        <v>1593</v>
      </c>
      <c r="S405">
        <v>1900</v>
      </c>
      <c r="T405">
        <v>19.3</v>
      </c>
      <c r="U405" t="s">
        <v>1797</v>
      </c>
      <c r="V405" t="s">
        <v>2476</v>
      </c>
      <c r="W405">
        <v>7.239156446489114</v>
      </c>
      <c r="X405">
        <v>2.7</v>
      </c>
      <c r="Y405" t="s">
        <v>3120</v>
      </c>
      <c r="Z405">
        <v>2.899864058550494</v>
      </c>
      <c r="AA405">
        <v>26401</v>
      </c>
      <c r="AB405">
        <v>1567918</v>
      </c>
      <c r="AC405" t="s">
        <v>3781</v>
      </c>
      <c r="AD405">
        <v>13.74</v>
      </c>
      <c r="AE405" t="s">
        <v>4460</v>
      </c>
      <c r="AF405" t="s">
        <v>5112</v>
      </c>
      <c r="AG405">
        <v>33036</v>
      </c>
      <c r="AH405">
        <v>7482</v>
      </c>
      <c r="AI405">
        <v>1503577</v>
      </c>
      <c r="AJ405">
        <v>5.63</v>
      </c>
    </row>
    <row r="406" spans="1:36">
      <c r="A406" s="1" t="s">
        <v>440</v>
      </c>
      <c r="B406" t="s">
        <v>1119</v>
      </c>
      <c r="C406">
        <f>HYPERLINK("https://finance.naver.com/item/coinfo.nhn?code=001460", "A001460")</f>
        <v>0</v>
      </c>
      <c r="D406">
        <f>HYPERLINK("http://comp.fnguide.com/SVO2/ASP/SVD_Consensus.asp?pGB=1&amp;gicode=A001460&amp;cID=&amp;MenuYn=Y&amp;ReportGB=&amp;NewMenuID=108&amp;stkGb=701", "BYC")</f>
        <v>0</v>
      </c>
      <c r="E406">
        <v>3</v>
      </c>
      <c r="F406">
        <v>390000</v>
      </c>
      <c r="G406">
        <v>0</v>
      </c>
      <c r="H406">
        <v>13.16</v>
      </c>
      <c r="I406">
        <v>408825</v>
      </c>
      <c r="J406">
        <v>596488</v>
      </c>
      <c r="K406">
        <v>651151</v>
      </c>
      <c r="L406">
        <v>-4.83</v>
      </c>
      <c r="M406">
        <v>-52.95</v>
      </c>
      <c r="N406">
        <v>-66.95999999999999</v>
      </c>
      <c r="O406">
        <v>4.64</v>
      </c>
      <c r="P406" t="b">
        <v>1</v>
      </c>
      <c r="Q406">
        <v>0</v>
      </c>
      <c r="R406">
        <v>21775</v>
      </c>
      <c r="U406" t="s">
        <v>1798</v>
      </c>
      <c r="V406" t="s">
        <v>2477</v>
      </c>
      <c r="W406">
        <v>0</v>
      </c>
      <c r="X406">
        <v>-34.1</v>
      </c>
      <c r="Y406" t="s">
        <v>3121</v>
      </c>
      <c r="Z406">
        <v>6.749160707396951</v>
      </c>
      <c r="AA406">
        <v>2436</v>
      </c>
      <c r="AB406">
        <v>347</v>
      </c>
      <c r="AC406" t="s">
        <v>3782</v>
      </c>
      <c r="AD406">
        <v>61.29</v>
      </c>
      <c r="AE406" t="s">
        <v>4461</v>
      </c>
      <c r="AF406" t="s">
        <v>5113</v>
      </c>
      <c r="AG406">
        <v>1619</v>
      </c>
      <c r="AH406">
        <v>229</v>
      </c>
      <c r="AI406">
        <v>8</v>
      </c>
      <c r="AJ406">
        <v>0.38</v>
      </c>
    </row>
    <row r="407" spans="1:36">
      <c r="A407" s="1" t="s">
        <v>441</v>
      </c>
      <c r="B407" t="s">
        <v>1120</v>
      </c>
      <c r="C407">
        <f>HYPERLINK("https://finance.naver.com/item/coinfo.nhn?code=001040", "A001040")</f>
        <v>0</v>
      </c>
      <c r="D407">
        <f>HYPERLINK("http://comp.fnguide.com/SVO2/ASP/SVD_Consensus.asp?pGB=1&amp;gicode=A001040&amp;cID=&amp;MenuYn=Y&amp;ReportGB=&amp;NewMenuID=108&amp;stkGb=701", "CJ")</f>
        <v>0</v>
      </c>
      <c r="E407">
        <v>3</v>
      </c>
      <c r="F407">
        <v>107500</v>
      </c>
      <c r="G407">
        <v>-3.49</v>
      </c>
      <c r="H407">
        <v>37.91</v>
      </c>
      <c r="I407">
        <v>87197</v>
      </c>
      <c r="J407">
        <v>137335</v>
      </c>
      <c r="K407">
        <v>151939</v>
      </c>
      <c r="L407">
        <v>18.89</v>
      </c>
      <c r="M407">
        <v>-27.75</v>
      </c>
      <c r="N407">
        <v>-41.34</v>
      </c>
      <c r="O407">
        <v>4.18</v>
      </c>
      <c r="P407" t="b">
        <v>0</v>
      </c>
      <c r="Q407">
        <v>1</v>
      </c>
      <c r="R407">
        <v>2430</v>
      </c>
      <c r="S407">
        <v>6174</v>
      </c>
      <c r="T407">
        <v>154.1</v>
      </c>
      <c r="U407" t="s">
        <v>1799</v>
      </c>
      <c r="V407" t="s">
        <v>2478</v>
      </c>
      <c r="W407">
        <v>-10.85626289964158</v>
      </c>
      <c r="X407">
        <v>-71.2</v>
      </c>
      <c r="Y407" t="s">
        <v>3122</v>
      </c>
      <c r="Z407">
        <v>-17.90219931851583</v>
      </c>
      <c r="AA407">
        <v>31365</v>
      </c>
      <c r="AB407">
        <v>165962</v>
      </c>
      <c r="AC407" t="s">
        <v>3783</v>
      </c>
      <c r="AD407">
        <v>47.05</v>
      </c>
      <c r="AE407" t="s">
        <v>4462</v>
      </c>
      <c r="AF407" t="s">
        <v>5114</v>
      </c>
      <c r="AG407">
        <v>319991</v>
      </c>
      <c r="AH407">
        <v>13903</v>
      </c>
      <c r="AI407">
        <v>2118538</v>
      </c>
      <c r="AJ407">
        <v>2.17</v>
      </c>
    </row>
    <row r="408" spans="1:36">
      <c r="A408" s="1" t="s">
        <v>442</v>
      </c>
      <c r="B408" t="s">
        <v>1121</v>
      </c>
      <c r="C408">
        <f>HYPERLINK("https://finance.naver.com/item/coinfo.nhn?code=000590", "A000590")</f>
        <v>0</v>
      </c>
      <c r="D408">
        <f>HYPERLINK("http://comp.fnguide.com/SVO2/ASP/SVD_Consensus.asp?pGB=1&amp;gicode=A000590&amp;cID=&amp;MenuYn=Y&amp;ReportGB=&amp;NewMenuID=108&amp;stkGb=701", "CS홀딩스")</f>
        <v>0</v>
      </c>
      <c r="E408">
        <v>3</v>
      </c>
      <c r="F408">
        <v>78200</v>
      </c>
      <c r="G408">
        <v>0</v>
      </c>
      <c r="H408">
        <v>8.92</v>
      </c>
      <c r="I408">
        <v>93639</v>
      </c>
      <c r="J408">
        <v>163562</v>
      </c>
      <c r="K408">
        <v>183929</v>
      </c>
      <c r="L408">
        <v>-19.74</v>
      </c>
      <c r="M408">
        <v>-109.16</v>
      </c>
      <c r="N408">
        <v>-135.2</v>
      </c>
      <c r="O408">
        <v>3.64</v>
      </c>
      <c r="P408" t="b">
        <v>0</v>
      </c>
      <c r="Q408">
        <v>0</v>
      </c>
      <c r="R408">
        <v>6616</v>
      </c>
      <c r="U408" t="s">
        <v>1800</v>
      </c>
      <c r="V408" t="s">
        <v>2479</v>
      </c>
      <c r="W408">
        <v>0</v>
      </c>
      <c r="X408">
        <v>-28.1</v>
      </c>
      <c r="Y408" t="s">
        <v>3123</v>
      </c>
      <c r="Z408">
        <v>-18.79179295159047</v>
      </c>
      <c r="AA408">
        <v>903</v>
      </c>
      <c r="AB408">
        <v>7335</v>
      </c>
      <c r="AC408" t="s">
        <v>3784</v>
      </c>
      <c r="AD408">
        <v>73.37</v>
      </c>
      <c r="AE408" t="s">
        <v>4463</v>
      </c>
      <c r="AF408" t="s">
        <v>5115</v>
      </c>
      <c r="AG408">
        <v>1316</v>
      </c>
      <c r="AH408">
        <v>159</v>
      </c>
      <c r="AI408">
        <v>7161</v>
      </c>
      <c r="AJ408">
        <v>0.85</v>
      </c>
    </row>
    <row r="409" spans="1:36">
      <c r="A409" s="1" t="s">
        <v>443</v>
      </c>
      <c r="B409" t="s">
        <v>1122</v>
      </c>
      <c r="C409">
        <f>HYPERLINK("https://finance.naver.com/item/coinfo.nhn?code=012030", "A012030")</f>
        <v>0</v>
      </c>
      <c r="D409">
        <f>HYPERLINK("http://comp.fnguide.com/SVO2/ASP/SVD_Consensus.asp?pGB=1&amp;gicode=A012030&amp;cID=&amp;MenuYn=Y&amp;ReportGB=&amp;NewMenuID=108&amp;stkGb=701", "DB")</f>
        <v>0</v>
      </c>
      <c r="E409">
        <v>3</v>
      </c>
      <c r="F409">
        <v>927</v>
      </c>
      <c r="G409">
        <v>0</v>
      </c>
      <c r="H409">
        <v>25.54</v>
      </c>
      <c r="I409">
        <v>407</v>
      </c>
      <c r="J409">
        <v>1141</v>
      </c>
      <c r="K409">
        <v>1354</v>
      </c>
      <c r="L409">
        <v>56.07</v>
      </c>
      <c r="M409">
        <v>-23.05</v>
      </c>
      <c r="N409">
        <v>-46.1</v>
      </c>
      <c r="O409">
        <v>2.04</v>
      </c>
      <c r="P409" t="b">
        <v>1</v>
      </c>
      <c r="Q409">
        <v>0</v>
      </c>
      <c r="R409">
        <v>31</v>
      </c>
      <c r="U409" t="s">
        <v>1801</v>
      </c>
      <c r="V409" t="s">
        <v>2480</v>
      </c>
      <c r="W409">
        <v>0</v>
      </c>
      <c r="X409">
        <v>42.4</v>
      </c>
      <c r="Y409" t="s">
        <v>3124</v>
      </c>
      <c r="Z409">
        <v>42.39999999999999</v>
      </c>
      <c r="AA409">
        <v>1865</v>
      </c>
      <c r="AB409">
        <v>990896</v>
      </c>
      <c r="AC409" t="s">
        <v>3785</v>
      </c>
      <c r="AD409">
        <v>43.83</v>
      </c>
      <c r="AE409" t="s">
        <v>4464</v>
      </c>
      <c r="AF409" t="s">
        <v>5116</v>
      </c>
      <c r="AG409">
        <v>2724</v>
      </c>
      <c r="AH409">
        <v>269</v>
      </c>
      <c r="AI409">
        <v>10143400</v>
      </c>
    </row>
    <row r="410" spans="1:36">
      <c r="A410" s="1" t="s">
        <v>444</v>
      </c>
      <c r="B410" t="s">
        <v>1123</v>
      </c>
      <c r="C410">
        <f>HYPERLINK("https://finance.naver.com/item/coinfo.nhn?code=016610", "A016610")</f>
        <v>0</v>
      </c>
      <c r="D410">
        <f>HYPERLINK("http://comp.fnguide.com/SVO2/ASP/SVD_Consensus.asp?pGB=1&amp;gicode=A016610&amp;cID=&amp;MenuYn=Y&amp;ReportGB=&amp;NewMenuID=108&amp;stkGb=701", "DB금융투자")</f>
        <v>0</v>
      </c>
      <c r="E410">
        <v>3</v>
      </c>
      <c r="F410">
        <v>7300</v>
      </c>
      <c r="G410">
        <v>0</v>
      </c>
      <c r="H410">
        <v>2.05</v>
      </c>
      <c r="I410">
        <v>24072</v>
      </c>
      <c r="J410">
        <v>21248</v>
      </c>
      <c r="K410">
        <v>20425</v>
      </c>
      <c r="L410">
        <v>-229.76</v>
      </c>
      <c r="M410">
        <v>-191.07</v>
      </c>
      <c r="N410">
        <v>-179.8</v>
      </c>
      <c r="O410">
        <v>10.24</v>
      </c>
      <c r="P410" t="b">
        <v>1</v>
      </c>
      <c r="Q410">
        <v>0</v>
      </c>
      <c r="R410">
        <v>2271</v>
      </c>
      <c r="U410" t="s">
        <v>1802</v>
      </c>
      <c r="V410" t="s">
        <v>2481</v>
      </c>
      <c r="W410">
        <v>0</v>
      </c>
      <c r="X410">
        <v>12.9</v>
      </c>
      <c r="Y410" t="s">
        <v>3125</v>
      </c>
      <c r="Z410">
        <v>7.259805666442443</v>
      </c>
      <c r="AA410">
        <v>3099</v>
      </c>
      <c r="AB410">
        <v>316819</v>
      </c>
      <c r="AC410" t="s">
        <v>3786</v>
      </c>
      <c r="AD410">
        <v>33.72</v>
      </c>
      <c r="AE410" t="s">
        <v>4465</v>
      </c>
      <c r="AF410" t="s">
        <v>5117</v>
      </c>
      <c r="AG410">
        <v>3808</v>
      </c>
      <c r="AH410">
        <v>1366</v>
      </c>
      <c r="AI410">
        <v>1017500</v>
      </c>
      <c r="AJ410">
        <v>6.44</v>
      </c>
    </row>
    <row r="411" spans="1:36">
      <c r="A411" s="1" t="s">
        <v>445</v>
      </c>
      <c r="B411" t="s">
        <v>1124</v>
      </c>
      <c r="C411">
        <f>HYPERLINK("https://finance.naver.com/item/coinfo.nhn?code=005830", "A005830")</f>
        <v>0</v>
      </c>
      <c r="D411">
        <f>HYPERLINK("http://comp.fnguide.com/SVO2/ASP/SVD_Consensus.asp?pGB=1&amp;gicode=A005830&amp;cID=&amp;MenuYn=Y&amp;ReportGB=&amp;NewMenuID=108&amp;stkGb=701", "DB손해보험")</f>
        <v>0</v>
      </c>
      <c r="E411">
        <v>3</v>
      </c>
      <c r="F411">
        <v>51700</v>
      </c>
      <c r="G411">
        <v>1.25</v>
      </c>
      <c r="H411">
        <v>5.54</v>
      </c>
      <c r="I411">
        <v>111959</v>
      </c>
      <c r="J411">
        <v>108910</v>
      </c>
      <c r="K411">
        <v>108022</v>
      </c>
      <c r="L411">
        <v>-116.56</v>
      </c>
      <c r="M411">
        <v>-110.66</v>
      </c>
      <c r="N411">
        <v>-108.94</v>
      </c>
      <c r="O411">
        <v>8.619999999999999</v>
      </c>
      <c r="P411" t="b">
        <v>1</v>
      </c>
      <c r="Q411">
        <v>2</v>
      </c>
      <c r="R411">
        <v>7893</v>
      </c>
      <c r="S411">
        <v>8573</v>
      </c>
      <c r="T411">
        <v>8.6</v>
      </c>
      <c r="U411" t="s">
        <v>1803</v>
      </c>
      <c r="V411" t="s">
        <v>2482</v>
      </c>
      <c r="W411">
        <v>4.444228262047711</v>
      </c>
      <c r="X411">
        <v>9</v>
      </c>
      <c r="Y411" t="s">
        <v>3126</v>
      </c>
      <c r="Z411">
        <v>10.94206235865574</v>
      </c>
      <c r="AA411">
        <v>36604</v>
      </c>
      <c r="AB411">
        <v>299937</v>
      </c>
      <c r="AC411" t="s">
        <v>3787</v>
      </c>
      <c r="AD411">
        <v>23.21</v>
      </c>
      <c r="AE411" t="s">
        <v>4466</v>
      </c>
      <c r="AF411" t="s">
        <v>5118</v>
      </c>
      <c r="AG411">
        <v>154561</v>
      </c>
      <c r="AH411">
        <v>7310</v>
      </c>
      <c r="AI411">
        <v>10756531</v>
      </c>
      <c r="AJ411">
        <v>5.03</v>
      </c>
    </row>
    <row r="412" spans="1:36">
      <c r="A412" s="1" t="s">
        <v>446</v>
      </c>
      <c r="B412" t="s">
        <v>1125</v>
      </c>
      <c r="C412">
        <f>HYPERLINK("https://finance.naver.com/item/coinfo.nhn?code=001530", "A001530")</f>
        <v>0</v>
      </c>
      <c r="D412">
        <f>HYPERLINK("http://comp.fnguide.com/SVO2/ASP/SVD_Consensus.asp?pGB=1&amp;gicode=A001530&amp;cID=&amp;MenuYn=Y&amp;ReportGB=&amp;NewMenuID=108&amp;stkGb=701", "DI동일")</f>
        <v>0</v>
      </c>
      <c r="E412">
        <v>3</v>
      </c>
      <c r="F412">
        <v>186500</v>
      </c>
      <c r="G412">
        <v>0</v>
      </c>
      <c r="H412">
        <v>18.73</v>
      </c>
      <c r="I412">
        <v>90208</v>
      </c>
      <c r="J412">
        <v>196784</v>
      </c>
      <c r="K412">
        <v>227828</v>
      </c>
      <c r="L412">
        <v>51.63</v>
      </c>
      <c r="M412">
        <v>-5.51</v>
      </c>
      <c r="N412">
        <v>-22.16</v>
      </c>
      <c r="O412">
        <v>2.75</v>
      </c>
      <c r="P412" t="b">
        <v>1</v>
      </c>
      <c r="Q412">
        <v>0</v>
      </c>
      <c r="R412">
        <v>7795</v>
      </c>
      <c r="U412" t="s">
        <v>1804</v>
      </c>
      <c r="V412" t="s">
        <v>2483</v>
      </c>
      <c r="W412">
        <v>0</v>
      </c>
      <c r="X412">
        <v>81.09999999999999</v>
      </c>
      <c r="Y412" t="s">
        <v>3127</v>
      </c>
      <c r="Z412">
        <v>2755.268917282574</v>
      </c>
      <c r="AA412">
        <v>4682</v>
      </c>
      <c r="AB412">
        <v>8033</v>
      </c>
      <c r="AC412" t="s">
        <v>3788</v>
      </c>
      <c r="AD412">
        <v>19.29</v>
      </c>
      <c r="AE412" t="s">
        <v>4467</v>
      </c>
      <c r="AF412" t="s">
        <v>5119</v>
      </c>
      <c r="AG412">
        <v>6797</v>
      </c>
      <c r="AH412">
        <v>264</v>
      </c>
      <c r="AI412">
        <v>663749</v>
      </c>
      <c r="AJ412">
        <v>1.01</v>
      </c>
    </row>
    <row r="413" spans="1:36">
      <c r="A413" s="1" t="s">
        <v>447</v>
      </c>
      <c r="B413" t="s">
        <v>1126</v>
      </c>
      <c r="C413">
        <f>HYPERLINK("https://finance.naver.com/item/coinfo.nhn?code=006360", "A006360")</f>
        <v>0</v>
      </c>
      <c r="D413">
        <f>HYPERLINK("http://comp.fnguide.com/SVO2/ASP/SVD_Consensus.asp?pGB=1&amp;gicode=A006360&amp;cID=&amp;MenuYn=Y&amp;ReportGB=&amp;NewMenuID=108&amp;stkGb=701", "GS건설")</f>
        <v>0</v>
      </c>
      <c r="E413">
        <v>3</v>
      </c>
      <c r="F413">
        <v>43450</v>
      </c>
      <c r="G413">
        <v>-7.8</v>
      </c>
      <c r="H413">
        <v>9.789999999999999</v>
      </c>
      <c r="I413">
        <v>63332</v>
      </c>
      <c r="J413">
        <v>54722</v>
      </c>
      <c r="K413">
        <v>52214</v>
      </c>
      <c r="L413">
        <v>-45.76</v>
      </c>
      <c r="M413">
        <v>-25.94</v>
      </c>
      <c r="N413">
        <v>-20.17</v>
      </c>
      <c r="O413">
        <v>10.66</v>
      </c>
      <c r="P413" t="b">
        <v>0</v>
      </c>
      <c r="Q413">
        <v>1</v>
      </c>
      <c r="R413">
        <v>3862</v>
      </c>
      <c r="S413">
        <v>7054</v>
      </c>
      <c r="T413">
        <v>82.7</v>
      </c>
      <c r="U413" t="s">
        <v>1805</v>
      </c>
      <c r="V413" t="s">
        <v>2484</v>
      </c>
      <c r="W413">
        <v>-1.255335052953466</v>
      </c>
      <c r="X413">
        <v>-30.2</v>
      </c>
      <c r="Y413" t="s">
        <v>3128</v>
      </c>
      <c r="Z413">
        <v>-27.40592310663355</v>
      </c>
      <c r="AA413">
        <v>37146</v>
      </c>
      <c r="AB413">
        <v>455864</v>
      </c>
      <c r="AC413" t="s">
        <v>3789</v>
      </c>
      <c r="AD413">
        <v>23.8</v>
      </c>
      <c r="AE413" t="s">
        <v>4468</v>
      </c>
      <c r="AF413" t="s">
        <v>5120</v>
      </c>
      <c r="AG413">
        <v>101229</v>
      </c>
      <c r="AH413">
        <v>7504</v>
      </c>
      <c r="AI413">
        <v>692595</v>
      </c>
      <c r="AJ413">
        <v>3.17</v>
      </c>
    </row>
    <row r="414" spans="1:36">
      <c r="A414" s="1" t="s">
        <v>448</v>
      </c>
      <c r="B414" t="s">
        <v>1127</v>
      </c>
      <c r="C414">
        <f>HYPERLINK("https://finance.naver.com/item/coinfo.nhn?code=000210", "A000210")</f>
        <v>0</v>
      </c>
      <c r="D414">
        <f>HYPERLINK("http://comp.fnguide.com/SVO2/ASP/SVD_Consensus.asp?pGB=1&amp;gicode=A000210&amp;cID=&amp;MenuYn=Y&amp;ReportGB=&amp;NewMenuID=108&amp;stkGb=701", "DL")</f>
        <v>0</v>
      </c>
      <c r="E414">
        <v>3</v>
      </c>
      <c r="F414">
        <v>85100</v>
      </c>
      <c r="G414">
        <v>0</v>
      </c>
      <c r="H414">
        <v>5.73</v>
      </c>
      <c r="I414">
        <v>179063</v>
      </c>
      <c r="J414">
        <v>146204</v>
      </c>
      <c r="K414">
        <v>136632</v>
      </c>
      <c r="L414">
        <v>-110.41</v>
      </c>
      <c r="M414">
        <v>-71.8</v>
      </c>
      <c r="N414">
        <v>-60.56</v>
      </c>
      <c r="O414">
        <v>11.9</v>
      </c>
      <c r="P414" t="b">
        <v>1</v>
      </c>
      <c r="Q414">
        <v>0</v>
      </c>
      <c r="R414">
        <v>13082</v>
      </c>
      <c r="U414" t="s">
        <v>1806</v>
      </c>
      <c r="V414" t="s">
        <v>2485</v>
      </c>
      <c r="W414">
        <v>0</v>
      </c>
      <c r="X414">
        <v>-24.1</v>
      </c>
      <c r="Y414" t="s">
        <v>3129</v>
      </c>
      <c r="Z414">
        <v>19.54935179694692</v>
      </c>
      <c r="AA414">
        <v>13141</v>
      </c>
      <c r="AB414">
        <v>344450</v>
      </c>
      <c r="AC414" t="s">
        <v>3790</v>
      </c>
      <c r="AD414">
        <v>23.11</v>
      </c>
      <c r="AE414" t="s">
        <v>4469</v>
      </c>
      <c r="AF414" t="s">
        <v>5121</v>
      </c>
      <c r="AG414">
        <v>15661</v>
      </c>
      <c r="AH414">
        <v>1190</v>
      </c>
      <c r="AJ414">
        <v>1.73</v>
      </c>
    </row>
    <row r="415" spans="1:36">
      <c r="A415" s="1" t="s">
        <v>449</v>
      </c>
      <c r="B415" t="s">
        <v>1128</v>
      </c>
      <c r="C415">
        <f>HYPERLINK("https://finance.naver.com/item/coinfo.nhn?code=001880", "A001880")</f>
        <v>0</v>
      </c>
      <c r="D415">
        <f>HYPERLINK("http://comp.fnguide.com/SVO2/ASP/SVD_Consensus.asp?pGB=1&amp;gicode=A001880&amp;cID=&amp;MenuYn=Y&amp;ReportGB=&amp;NewMenuID=108&amp;stkGb=701", "DL건설")</f>
        <v>0</v>
      </c>
      <c r="E415">
        <v>3</v>
      </c>
      <c r="F415">
        <v>35900</v>
      </c>
      <c r="G415">
        <v>0</v>
      </c>
      <c r="H415">
        <v>3.94</v>
      </c>
      <c r="I415">
        <v>100203</v>
      </c>
      <c r="J415">
        <v>62284</v>
      </c>
      <c r="K415">
        <v>51239</v>
      </c>
      <c r="L415">
        <v>-179.12</v>
      </c>
      <c r="M415">
        <v>-73.48999999999999</v>
      </c>
      <c r="N415">
        <v>-42.73</v>
      </c>
      <c r="O415">
        <v>22.65</v>
      </c>
      <c r="P415" t="b">
        <v>1</v>
      </c>
      <c r="Q415">
        <v>0</v>
      </c>
      <c r="R415">
        <v>7759</v>
      </c>
      <c r="U415" t="s">
        <v>1807</v>
      </c>
      <c r="V415" t="s">
        <v>2486</v>
      </c>
      <c r="W415">
        <v>0</v>
      </c>
      <c r="X415">
        <v>23.9</v>
      </c>
      <c r="Y415" t="s">
        <v>3130</v>
      </c>
      <c r="Z415">
        <v>24.07852728405353</v>
      </c>
      <c r="AA415">
        <v>7917</v>
      </c>
      <c r="AB415">
        <v>56137</v>
      </c>
      <c r="AC415" t="s">
        <v>3791</v>
      </c>
      <c r="AD415">
        <v>66.36</v>
      </c>
      <c r="AE415" t="s">
        <v>4470</v>
      </c>
      <c r="AF415" t="s">
        <v>5122</v>
      </c>
      <c r="AG415">
        <v>17346</v>
      </c>
      <c r="AH415">
        <v>2034</v>
      </c>
      <c r="AI415">
        <v>371</v>
      </c>
      <c r="AJ415">
        <v>1.8</v>
      </c>
    </row>
    <row r="416" spans="1:36">
      <c r="A416" s="1" t="s">
        <v>450</v>
      </c>
      <c r="B416" t="s">
        <v>1129</v>
      </c>
      <c r="C416">
        <f>HYPERLINK("https://finance.naver.com/item/coinfo.nhn?code=004840", "A004840")</f>
        <v>0</v>
      </c>
      <c r="D416">
        <f>HYPERLINK("http://comp.fnguide.com/SVO2/ASP/SVD_Consensus.asp?pGB=1&amp;gicode=A004840&amp;cID=&amp;MenuYn=Y&amp;ReportGB=&amp;NewMenuID=108&amp;stkGb=701", "DRB동일")</f>
        <v>0</v>
      </c>
      <c r="E416">
        <v>3</v>
      </c>
      <c r="F416">
        <v>7160</v>
      </c>
      <c r="G416">
        <v>0</v>
      </c>
      <c r="H416">
        <v>58.97</v>
      </c>
      <c r="I416">
        <v>3300</v>
      </c>
      <c r="J416">
        <v>12213</v>
      </c>
      <c r="K416">
        <v>14809</v>
      </c>
      <c r="L416">
        <v>53.92</v>
      </c>
      <c r="M416">
        <v>-70.56999999999999</v>
      </c>
      <c r="N416">
        <v>-106.83</v>
      </c>
      <c r="O416">
        <v>1.48</v>
      </c>
      <c r="P416" t="b">
        <v>1</v>
      </c>
      <c r="Q416">
        <v>0</v>
      </c>
      <c r="R416">
        <v>117</v>
      </c>
      <c r="U416" t="s">
        <v>1808</v>
      </c>
      <c r="V416" t="s">
        <v>2487</v>
      </c>
      <c r="W416">
        <v>0</v>
      </c>
      <c r="X416">
        <v>-73.8</v>
      </c>
      <c r="Y416" t="s">
        <v>3131</v>
      </c>
      <c r="Z416">
        <v>-43.75295446858165</v>
      </c>
      <c r="AA416">
        <v>1427</v>
      </c>
      <c r="AB416">
        <v>19847</v>
      </c>
      <c r="AC416" t="s">
        <v>3792</v>
      </c>
      <c r="AD416">
        <v>69.75</v>
      </c>
      <c r="AE416" t="s">
        <v>4471</v>
      </c>
      <c r="AF416" t="s">
        <v>5123</v>
      </c>
      <c r="AG416">
        <v>4966</v>
      </c>
      <c r="AH416">
        <v>210</v>
      </c>
      <c r="AI416">
        <v>657636</v>
      </c>
      <c r="AJ416">
        <v>0.73</v>
      </c>
    </row>
    <row r="417" spans="1:36">
      <c r="A417" s="1" t="s">
        <v>451</v>
      </c>
      <c r="B417" t="s">
        <v>1130</v>
      </c>
      <c r="C417">
        <f>HYPERLINK("https://finance.naver.com/item/coinfo.nhn?code=155660", "A155660")</f>
        <v>0</v>
      </c>
      <c r="D417">
        <f>HYPERLINK("http://comp.fnguide.com/SVO2/ASP/SVD_Consensus.asp?pGB=1&amp;gicode=A155660&amp;cID=&amp;MenuYn=Y&amp;ReportGB=&amp;NewMenuID=108&amp;stkGb=701", "DSR")</f>
        <v>0</v>
      </c>
      <c r="E417">
        <v>3</v>
      </c>
      <c r="F417">
        <v>6980</v>
      </c>
      <c r="G417">
        <v>0</v>
      </c>
      <c r="H417">
        <v>11.2</v>
      </c>
      <c r="I417">
        <v>6997</v>
      </c>
      <c r="J417">
        <v>8833</v>
      </c>
      <c r="K417">
        <v>9367</v>
      </c>
      <c r="L417">
        <v>-0.24</v>
      </c>
      <c r="M417">
        <v>-26.54</v>
      </c>
      <c r="N417">
        <v>-34.2</v>
      </c>
      <c r="O417">
        <v>5.7</v>
      </c>
      <c r="P417" t="b">
        <v>1</v>
      </c>
      <c r="Q417">
        <v>0</v>
      </c>
      <c r="R417">
        <v>558</v>
      </c>
      <c r="U417" t="s">
        <v>1809</v>
      </c>
      <c r="V417" t="s">
        <v>2488</v>
      </c>
      <c r="W417">
        <v>0</v>
      </c>
      <c r="X417">
        <v>2.2</v>
      </c>
      <c r="Y417" t="s">
        <v>3132</v>
      </c>
      <c r="Z417">
        <v>-2.13331883758594</v>
      </c>
      <c r="AA417">
        <v>1117</v>
      </c>
      <c r="AB417">
        <v>232278</v>
      </c>
      <c r="AC417" t="s">
        <v>3793</v>
      </c>
      <c r="AD417">
        <v>70.2</v>
      </c>
      <c r="AE417" t="s">
        <v>4472</v>
      </c>
      <c r="AF417" t="s">
        <v>5124</v>
      </c>
      <c r="AG417">
        <v>2310</v>
      </c>
      <c r="AH417">
        <v>121</v>
      </c>
      <c r="AJ417">
        <v>0.8</v>
      </c>
    </row>
    <row r="418" spans="1:36">
      <c r="A418" s="1" t="s">
        <v>452</v>
      </c>
      <c r="B418" t="s">
        <v>1131</v>
      </c>
      <c r="C418">
        <f>HYPERLINK("https://finance.naver.com/item/coinfo.nhn?code=069730", "A069730")</f>
        <v>0</v>
      </c>
      <c r="D418">
        <f>HYPERLINK("http://comp.fnguide.com/SVO2/ASP/SVD_Consensus.asp?pGB=1&amp;gicode=A069730&amp;cID=&amp;MenuYn=Y&amp;ReportGB=&amp;NewMenuID=108&amp;stkGb=701", "DSR제강")</f>
        <v>0</v>
      </c>
      <c r="E418">
        <v>3</v>
      </c>
      <c r="F418">
        <v>6320</v>
      </c>
      <c r="G418">
        <v>0</v>
      </c>
      <c r="H418">
        <v>13.32</v>
      </c>
      <c r="I418">
        <v>5407</v>
      </c>
      <c r="J418">
        <v>8230</v>
      </c>
      <c r="K418">
        <v>9052</v>
      </c>
      <c r="L418">
        <v>14.44</v>
      </c>
      <c r="M418">
        <v>-30.22</v>
      </c>
      <c r="N418">
        <v>-43.23</v>
      </c>
      <c r="O418">
        <v>4.38</v>
      </c>
      <c r="P418" t="b">
        <v>1</v>
      </c>
      <c r="Q418">
        <v>0</v>
      </c>
      <c r="R418">
        <v>367</v>
      </c>
      <c r="U418" t="s">
        <v>1810</v>
      </c>
      <c r="V418" t="s">
        <v>2489</v>
      </c>
      <c r="W418">
        <v>0</v>
      </c>
      <c r="X418">
        <v>-21.9</v>
      </c>
      <c r="Y418" t="s">
        <v>3133</v>
      </c>
      <c r="Z418">
        <v>-11.77601470903878</v>
      </c>
      <c r="AA418">
        <v>910</v>
      </c>
      <c r="AB418">
        <v>352620</v>
      </c>
      <c r="AC418" t="s">
        <v>3794</v>
      </c>
      <c r="AD418">
        <v>57.18</v>
      </c>
      <c r="AE418" t="s">
        <v>4473</v>
      </c>
      <c r="AF418" t="s">
        <v>5125</v>
      </c>
      <c r="AG418">
        <v>1762</v>
      </c>
      <c r="AH418">
        <v>35</v>
      </c>
      <c r="AJ418">
        <v>0.82</v>
      </c>
    </row>
    <row r="419" spans="1:36">
      <c r="A419" s="1" t="s">
        <v>453</v>
      </c>
      <c r="B419" t="s">
        <v>1132</v>
      </c>
      <c r="C419">
        <f>HYPERLINK("https://finance.naver.com/item/coinfo.nhn?code=017940", "A017940")</f>
        <v>0</v>
      </c>
      <c r="D419">
        <f>HYPERLINK("http://comp.fnguide.com/SVO2/ASP/SVD_Consensus.asp?pGB=1&amp;gicode=A017940&amp;cID=&amp;MenuYn=Y&amp;ReportGB=&amp;NewMenuID=108&amp;stkGb=701", "E1")</f>
        <v>0</v>
      </c>
      <c r="E419">
        <v>3</v>
      </c>
      <c r="F419">
        <v>48600</v>
      </c>
      <c r="G419">
        <v>0</v>
      </c>
      <c r="H419">
        <v>5.08</v>
      </c>
      <c r="I419">
        <v>91567</v>
      </c>
      <c r="J419">
        <v>158884</v>
      </c>
      <c r="K419">
        <v>178493</v>
      </c>
      <c r="L419">
        <v>-88.41</v>
      </c>
      <c r="M419">
        <v>-226.92</v>
      </c>
      <c r="N419">
        <v>-267.27</v>
      </c>
      <c r="O419">
        <v>3.67</v>
      </c>
      <c r="P419" t="b">
        <v>1</v>
      </c>
      <c r="Q419">
        <v>0</v>
      </c>
      <c r="R419">
        <v>8788</v>
      </c>
      <c r="U419" t="s">
        <v>1811</v>
      </c>
      <c r="V419" t="s">
        <v>2490</v>
      </c>
      <c r="W419">
        <v>0</v>
      </c>
      <c r="X419">
        <v>0</v>
      </c>
      <c r="Y419" t="s">
        <v>3134</v>
      </c>
      <c r="Z419">
        <v>-7.499999999999996</v>
      </c>
      <c r="AA419">
        <v>3334</v>
      </c>
      <c r="AB419">
        <v>15844</v>
      </c>
      <c r="AC419" t="s">
        <v>3795</v>
      </c>
      <c r="AD419">
        <v>45.33</v>
      </c>
      <c r="AE419" t="s">
        <v>4474</v>
      </c>
      <c r="AF419" t="s">
        <v>5126</v>
      </c>
      <c r="AG419">
        <v>39276</v>
      </c>
      <c r="AH419">
        <v>395</v>
      </c>
      <c r="AI419">
        <v>1078249</v>
      </c>
      <c r="AJ419">
        <v>4.93</v>
      </c>
    </row>
    <row r="420" spans="1:36">
      <c r="A420" s="1" t="s">
        <v>454</v>
      </c>
      <c r="B420" t="s">
        <v>1133</v>
      </c>
      <c r="C420">
        <f>HYPERLINK("https://finance.naver.com/item/coinfo.nhn?code=078930", "A078930")</f>
        <v>0</v>
      </c>
      <c r="D420">
        <f>HYPERLINK("http://comp.fnguide.com/SVO2/ASP/SVD_Consensus.asp?pGB=1&amp;gicode=A078930&amp;cID=&amp;MenuYn=Y&amp;ReportGB=&amp;NewMenuID=108&amp;stkGb=701", "GS")</f>
        <v>0</v>
      </c>
      <c r="E420">
        <v>3</v>
      </c>
      <c r="F420">
        <v>48250</v>
      </c>
      <c r="I420">
        <v>43140</v>
      </c>
      <c r="J420">
        <v>70930</v>
      </c>
      <c r="K420">
        <v>79024</v>
      </c>
      <c r="L420">
        <v>10.59</v>
      </c>
      <c r="M420">
        <v>-47</v>
      </c>
      <c r="N420">
        <v>-63.78</v>
      </c>
      <c r="O420">
        <v>3.94</v>
      </c>
      <c r="P420" t="b">
        <v>0</v>
      </c>
      <c r="Q420">
        <v>1</v>
      </c>
      <c r="R420">
        <v>-2563</v>
      </c>
      <c r="S420">
        <v>8658</v>
      </c>
      <c r="T420">
        <v>-437.8</v>
      </c>
      <c r="U420" t="s">
        <v>1812</v>
      </c>
      <c r="V420" t="s">
        <v>2491</v>
      </c>
      <c r="W420">
        <v>-3.20260605108067</v>
      </c>
      <c r="X420">
        <v>0</v>
      </c>
      <c r="Y420" t="s">
        <v>3135</v>
      </c>
      <c r="Z420">
        <v>2.525174121884355</v>
      </c>
      <c r="AA420">
        <v>44832</v>
      </c>
      <c r="AB420">
        <v>342821</v>
      </c>
      <c r="AC420" t="s">
        <v>3796</v>
      </c>
      <c r="AD420">
        <v>52</v>
      </c>
      <c r="AE420" t="s">
        <v>4475</v>
      </c>
      <c r="AF420" t="s">
        <v>5127</v>
      </c>
      <c r="AG420">
        <v>154442</v>
      </c>
      <c r="AH420">
        <v>9206</v>
      </c>
      <c r="AI420">
        <v>19883</v>
      </c>
      <c r="AJ420">
        <v>5.06</v>
      </c>
    </row>
    <row r="421" spans="1:36">
      <c r="A421" s="1" t="s">
        <v>455</v>
      </c>
      <c r="B421" t="s">
        <v>1134</v>
      </c>
      <c r="C421">
        <f>HYPERLINK("https://finance.naver.com/item/coinfo.nhn?code=037560", "A037560")</f>
        <v>0</v>
      </c>
      <c r="D421">
        <f>HYPERLINK("http://comp.fnguide.com/SVO2/ASP/SVD_Consensus.asp?pGB=1&amp;gicode=A037560&amp;cID=&amp;MenuYn=Y&amp;ReportGB=&amp;NewMenuID=108&amp;stkGb=701", "LG헬로비전")</f>
        <v>0</v>
      </c>
      <c r="E421">
        <v>3</v>
      </c>
      <c r="F421">
        <v>5180</v>
      </c>
      <c r="I421">
        <v>633</v>
      </c>
      <c r="J421">
        <v>5097</v>
      </c>
      <c r="K421">
        <v>6397</v>
      </c>
      <c r="L421">
        <v>87.78</v>
      </c>
      <c r="M421">
        <v>1.6</v>
      </c>
      <c r="N421">
        <v>-23.5</v>
      </c>
      <c r="O421">
        <v>0.64</v>
      </c>
      <c r="P421" t="b">
        <v>0</v>
      </c>
      <c r="Q421">
        <v>1</v>
      </c>
      <c r="R421">
        <v>-4039</v>
      </c>
      <c r="S421">
        <v>365</v>
      </c>
      <c r="T421">
        <v>-109</v>
      </c>
      <c r="U421" t="s">
        <v>1813</v>
      </c>
      <c r="V421" t="s">
        <v>2492</v>
      </c>
      <c r="W421">
        <v>-10.37642404648224</v>
      </c>
      <c r="X421">
        <v>0</v>
      </c>
      <c r="Y421" t="s">
        <v>3136</v>
      </c>
      <c r="Z421">
        <v>-13.17081474389614</v>
      </c>
      <c r="AA421">
        <v>4012</v>
      </c>
      <c r="AB421">
        <v>580691</v>
      </c>
      <c r="AC421" t="s">
        <v>3797</v>
      </c>
      <c r="AD421">
        <v>50</v>
      </c>
      <c r="AE421" t="s">
        <v>4476</v>
      </c>
      <c r="AF421" t="s">
        <v>5128</v>
      </c>
      <c r="AG421">
        <v>10579</v>
      </c>
      <c r="AH421">
        <v>342</v>
      </c>
      <c r="AJ421">
        <v>1.93</v>
      </c>
    </row>
    <row r="422" spans="1:36">
      <c r="A422" s="1" t="s">
        <v>456</v>
      </c>
      <c r="B422" t="s">
        <v>1135</v>
      </c>
      <c r="C422">
        <f>HYPERLINK("https://finance.naver.com/item/coinfo.nhn?code=006260", "A006260")</f>
        <v>0</v>
      </c>
      <c r="D422">
        <f>HYPERLINK("http://comp.fnguide.com/SVO2/ASP/SVD_Consensus.asp?pGB=1&amp;gicode=A006260&amp;cID=&amp;MenuYn=Y&amp;ReportGB=&amp;NewMenuID=108&amp;stkGb=701", "LS")</f>
        <v>0</v>
      </c>
      <c r="E422">
        <v>3</v>
      </c>
      <c r="F422">
        <v>71300</v>
      </c>
      <c r="G422">
        <v>-0.76</v>
      </c>
      <c r="H422">
        <v>18.12</v>
      </c>
      <c r="I422">
        <v>64775</v>
      </c>
      <c r="J422">
        <v>96191</v>
      </c>
      <c r="K422">
        <v>105343</v>
      </c>
      <c r="L422">
        <v>9.15</v>
      </c>
      <c r="M422">
        <v>-34.91</v>
      </c>
      <c r="N422">
        <v>-47.75</v>
      </c>
      <c r="O422">
        <v>4.52</v>
      </c>
      <c r="P422" t="b">
        <v>0</v>
      </c>
      <c r="Q422">
        <v>2</v>
      </c>
      <c r="R422">
        <v>3939</v>
      </c>
      <c r="S422">
        <v>5494</v>
      </c>
      <c r="T422">
        <v>39.5</v>
      </c>
      <c r="U422" t="s">
        <v>1814</v>
      </c>
      <c r="V422" t="s">
        <v>2493</v>
      </c>
      <c r="W422">
        <v>-23.94876348543642</v>
      </c>
      <c r="X422">
        <v>400.8</v>
      </c>
      <c r="Y422" t="s">
        <v>3137</v>
      </c>
      <c r="Z422">
        <v>-6.695642606294139</v>
      </c>
      <c r="AA422">
        <v>22959</v>
      </c>
      <c r="AB422">
        <v>181646</v>
      </c>
      <c r="AC422" t="s">
        <v>3798</v>
      </c>
      <c r="AD422">
        <v>32.23</v>
      </c>
      <c r="AE422" t="s">
        <v>4477</v>
      </c>
      <c r="AF422" t="s">
        <v>5129</v>
      </c>
      <c r="AG422">
        <v>104443</v>
      </c>
      <c r="AH422">
        <v>3366</v>
      </c>
      <c r="AI422">
        <v>4432929</v>
      </c>
      <c r="AJ422">
        <v>2.03</v>
      </c>
    </row>
    <row r="423" spans="1:36">
      <c r="A423" s="1" t="s">
        <v>457</v>
      </c>
      <c r="B423" t="s">
        <v>1136</v>
      </c>
      <c r="C423">
        <f>HYPERLINK("https://finance.naver.com/item/coinfo.nhn?code=000680", "A000680")</f>
        <v>0</v>
      </c>
      <c r="D423">
        <f>HYPERLINK("http://comp.fnguide.com/SVO2/ASP/SVD_Consensus.asp?pGB=1&amp;gicode=A000680&amp;cID=&amp;MenuYn=Y&amp;ReportGB=&amp;NewMenuID=108&amp;stkGb=701", "LS네트웍스")</f>
        <v>0</v>
      </c>
      <c r="E423">
        <v>3</v>
      </c>
      <c r="F423">
        <v>2940</v>
      </c>
      <c r="G423">
        <v>0</v>
      </c>
      <c r="I423">
        <v>352</v>
      </c>
      <c r="J423">
        <v>4130</v>
      </c>
      <c r="K423">
        <v>5230</v>
      </c>
      <c r="L423">
        <v>88.01000000000001</v>
      </c>
      <c r="M423">
        <v>-40.46</v>
      </c>
      <c r="N423">
        <v>-77.89</v>
      </c>
      <c r="O423">
        <v>0.43</v>
      </c>
      <c r="P423" t="b">
        <v>0</v>
      </c>
      <c r="Q423">
        <v>0</v>
      </c>
      <c r="R423">
        <v>-313</v>
      </c>
      <c r="U423" t="s">
        <v>1815</v>
      </c>
      <c r="V423" t="s">
        <v>2494</v>
      </c>
      <c r="W423">
        <v>0</v>
      </c>
      <c r="X423">
        <v>0</v>
      </c>
      <c r="Y423" t="s">
        <v>3138</v>
      </c>
      <c r="Z423">
        <v>-20.9</v>
      </c>
      <c r="AA423">
        <v>2317</v>
      </c>
      <c r="AB423">
        <v>168130</v>
      </c>
      <c r="AC423" t="s">
        <v>3799</v>
      </c>
      <c r="AD423">
        <v>81.81</v>
      </c>
      <c r="AE423" t="s">
        <v>4478</v>
      </c>
      <c r="AF423" t="s">
        <v>5130</v>
      </c>
      <c r="AG423">
        <v>3349</v>
      </c>
      <c r="AH423">
        <v>-323</v>
      </c>
      <c r="AI423">
        <v>5320054</v>
      </c>
    </row>
    <row r="424" spans="1:36">
      <c r="A424" s="1" t="s">
        <v>458</v>
      </c>
      <c r="B424" t="s">
        <v>1137</v>
      </c>
      <c r="C424">
        <f>HYPERLINK("https://finance.naver.com/item/coinfo.nhn?code=012200", "A012200")</f>
        <v>0</v>
      </c>
      <c r="D424">
        <f>HYPERLINK("http://comp.fnguide.com/SVO2/ASP/SVD_Consensus.asp?pGB=1&amp;gicode=A012200&amp;cID=&amp;MenuYn=Y&amp;ReportGB=&amp;NewMenuID=108&amp;stkGb=701", "계양전기")</f>
        <v>0</v>
      </c>
      <c r="E424">
        <v>3</v>
      </c>
      <c r="F424">
        <v>4520</v>
      </c>
      <c r="G424">
        <v>0</v>
      </c>
      <c r="H424">
        <v>14.7</v>
      </c>
      <c r="I424">
        <v>2540</v>
      </c>
      <c r="J424">
        <v>4540</v>
      </c>
      <c r="K424">
        <v>5123</v>
      </c>
      <c r="L424">
        <v>43.82</v>
      </c>
      <c r="M424">
        <v>-0.45</v>
      </c>
      <c r="N424">
        <v>-13.34</v>
      </c>
      <c r="O424">
        <v>3.53</v>
      </c>
      <c r="P424" t="b">
        <v>0</v>
      </c>
      <c r="Q424">
        <v>0</v>
      </c>
      <c r="R424">
        <v>294</v>
      </c>
      <c r="U424" t="s">
        <v>1816</v>
      </c>
      <c r="V424" t="s">
        <v>2495</v>
      </c>
      <c r="W424">
        <v>0</v>
      </c>
      <c r="X424">
        <v>7634</v>
      </c>
      <c r="Y424" t="s">
        <v>3139</v>
      </c>
      <c r="Z424">
        <v>0.02877829750422833</v>
      </c>
      <c r="AA424">
        <v>1474</v>
      </c>
      <c r="AB424">
        <v>100259</v>
      </c>
      <c r="AC424" t="s">
        <v>3800</v>
      </c>
      <c r="AD424">
        <v>45.6</v>
      </c>
      <c r="AE424" t="s">
        <v>4479</v>
      </c>
      <c r="AF424" t="s">
        <v>5131</v>
      </c>
      <c r="AG424">
        <v>3797</v>
      </c>
      <c r="AH424">
        <v>28</v>
      </c>
      <c r="AJ424">
        <v>0.8100000000000001</v>
      </c>
    </row>
    <row r="425" spans="1:36">
      <c r="A425" s="1" t="s">
        <v>459</v>
      </c>
      <c r="B425" t="s">
        <v>1138</v>
      </c>
      <c r="C425">
        <f>HYPERLINK("https://finance.naver.com/item/coinfo.nhn?code=000500", "A000500")</f>
        <v>0</v>
      </c>
      <c r="D425">
        <f>HYPERLINK("http://comp.fnguide.com/SVO2/ASP/SVD_Consensus.asp?pGB=1&amp;gicode=A000500&amp;cID=&amp;MenuYn=Y&amp;ReportGB=&amp;NewMenuID=108&amp;stkGb=701", "가온전선")</f>
        <v>0</v>
      </c>
      <c r="E425">
        <v>3</v>
      </c>
      <c r="F425">
        <v>28150</v>
      </c>
      <c r="G425">
        <v>0</v>
      </c>
      <c r="H425">
        <v>9.539999999999999</v>
      </c>
      <c r="I425">
        <v>20707</v>
      </c>
      <c r="J425">
        <v>48236</v>
      </c>
      <c r="K425">
        <v>56255</v>
      </c>
      <c r="L425">
        <v>26.44</v>
      </c>
      <c r="M425">
        <v>-71.36</v>
      </c>
      <c r="N425">
        <v>-99.84</v>
      </c>
      <c r="O425">
        <v>2.54</v>
      </c>
      <c r="P425" t="b">
        <v>1</v>
      </c>
      <c r="Q425">
        <v>0</v>
      </c>
      <c r="R425">
        <v>2285</v>
      </c>
      <c r="U425" t="s">
        <v>1817</v>
      </c>
      <c r="V425" t="s">
        <v>2496</v>
      </c>
      <c r="W425">
        <v>0</v>
      </c>
      <c r="X425">
        <v>73.90000000000001</v>
      </c>
      <c r="Y425" t="s">
        <v>3140</v>
      </c>
      <c r="Z425">
        <v>36.51255215937497</v>
      </c>
      <c r="AA425">
        <v>1171</v>
      </c>
      <c r="AB425">
        <v>25692</v>
      </c>
      <c r="AC425" t="s">
        <v>3801</v>
      </c>
      <c r="AD425">
        <v>46.56</v>
      </c>
      <c r="AE425" t="s">
        <v>4480</v>
      </c>
      <c r="AF425" t="s">
        <v>5132</v>
      </c>
      <c r="AG425">
        <v>8574</v>
      </c>
      <c r="AH425">
        <v>127</v>
      </c>
      <c r="AI425">
        <v>229298</v>
      </c>
      <c r="AJ425">
        <v>2.75</v>
      </c>
    </row>
    <row r="426" spans="1:36">
      <c r="A426" s="1" t="s">
        <v>460</v>
      </c>
      <c r="B426" t="s">
        <v>1139</v>
      </c>
      <c r="C426">
        <f>HYPERLINK("https://finance.naver.com/item/coinfo.nhn?code=000860", "A000860")</f>
        <v>0</v>
      </c>
      <c r="D426">
        <f>HYPERLINK("http://comp.fnguide.com/SVO2/ASP/SVD_Consensus.asp?pGB=1&amp;gicode=A000860&amp;cID=&amp;MenuYn=Y&amp;ReportGB=&amp;NewMenuID=108&amp;stkGb=701", "강남제비스코")</f>
        <v>0</v>
      </c>
      <c r="E426">
        <v>3</v>
      </c>
      <c r="F426">
        <v>29800</v>
      </c>
      <c r="G426">
        <v>0</v>
      </c>
      <c r="H426">
        <v>6.14</v>
      </c>
      <c r="I426">
        <v>44861</v>
      </c>
      <c r="J426">
        <v>68126</v>
      </c>
      <c r="K426">
        <v>74903</v>
      </c>
      <c r="L426">
        <v>-50.54</v>
      </c>
      <c r="M426">
        <v>-128.61</v>
      </c>
      <c r="N426">
        <v>-151.35</v>
      </c>
      <c r="O426">
        <v>4.39</v>
      </c>
      <c r="P426" t="b">
        <v>1</v>
      </c>
      <c r="Q426">
        <v>0</v>
      </c>
      <c r="R426">
        <v>3583</v>
      </c>
      <c r="U426" t="s">
        <v>1818</v>
      </c>
      <c r="V426" t="s">
        <v>2497</v>
      </c>
      <c r="W426">
        <v>0</v>
      </c>
      <c r="X426">
        <v>59.3</v>
      </c>
      <c r="Y426" t="s">
        <v>3141</v>
      </c>
      <c r="Z426">
        <v>-10.34142121327194</v>
      </c>
      <c r="AA426">
        <v>1937</v>
      </c>
      <c r="AB426">
        <v>16671</v>
      </c>
      <c r="AC426" t="s">
        <v>3802</v>
      </c>
      <c r="AD426">
        <v>50.74</v>
      </c>
      <c r="AE426" t="s">
        <v>4481</v>
      </c>
      <c r="AF426" t="s">
        <v>5133</v>
      </c>
      <c r="AG426">
        <v>3408</v>
      </c>
      <c r="AH426">
        <v>27</v>
      </c>
      <c r="AJ426">
        <v>2.27</v>
      </c>
    </row>
    <row r="427" spans="1:36">
      <c r="A427" s="1" t="s">
        <v>461</v>
      </c>
      <c r="B427" t="s">
        <v>1140</v>
      </c>
      <c r="C427">
        <f>HYPERLINK("https://finance.naver.com/item/coinfo.nhn?code=267290", "A267290")</f>
        <v>0</v>
      </c>
      <c r="D427">
        <f>HYPERLINK("http://comp.fnguide.com/SVO2/ASP/SVD_Consensus.asp?pGB=1&amp;gicode=A267290&amp;cID=&amp;MenuYn=Y&amp;ReportGB=&amp;NewMenuID=108&amp;stkGb=701", "경동도시가스")</f>
        <v>0</v>
      </c>
      <c r="E427">
        <v>3</v>
      </c>
      <c r="F427">
        <v>23700</v>
      </c>
      <c r="G427">
        <v>0</v>
      </c>
      <c r="H427">
        <v>5.77</v>
      </c>
      <c r="I427">
        <v>52003</v>
      </c>
      <c r="J427">
        <v>57053</v>
      </c>
      <c r="K427">
        <v>58524</v>
      </c>
      <c r="L427">
        <v>-119.42</v>
      </c>
      <c r="M427">
        <v>-140.73</v>
      </c>
      <c r="N427">
        <v>-146.94</v>
      </c>
      <c r="O427">
        <v>7.07</v>
      </c>
      <c r="P427" t="b">
        <v>1</v>
      </c>
      <c r="Q427">
        <v>0</v>
      </c>
      <c r="R427">
        <v>3221</v>
      </c>
      <c r="U427" t="s">
        <v>1819</v>
      </c>
      <c r="V427" t="s">
        <v>2498</v>
      </c>
      <c r="W427">
        <v>0</v>
      </c>
      <c r="X427">
        <v>-22.6</v>
      </c>
      <c r="Y427" t="s">
        <v>3142</v>
      </c>
      <c r="Z427">
        <v>0</v>
      </c>
      <c r="AA427">
        <v>1397</v>
      </c>
      <c r="AB427">
        <v>17454</v>
      </c>
      <c r="AC427" t="s">
        <v>3803</v>
      </c>
      <c r="AD427">
        <v>52.28</v>
      </c>
      <c r="AE427" t="s">
        <v>4482</v>
      </c>
      <c r="AF427" t="s">
        <v>5134</v>
      </c>
      <c r="AG427">
        <v>10868</v>
      </c>
      <c r="AH427">
        <v>181</v>
      </c>
      <c r="AI427">
        <v>4979</v>
      </c>
      <c r="AJ427">
        <v>4.7</v>
      </c>
    </row>
    <row r="428" spans="1:36">
      <c r="A428" s="1" t="s">
        <v>462</v>
      </c>
      <c r="B428" t="s">
        <v>1141</v>
      </c>
      <c r="C428">
        <f>HYPERLINK("https://finance.naver.com/item/coinfo.nhn?code=012320", "A012320")</f>
        <v>0</v>
      </c>
      <c r="D428">
        <f>HYPERLINK("http://comp.fnguide.com/SVO2/ASP/SVD_Consensus.asp?pGB=1&amp;gicode=A012320&amp;cID=&amp;MenuYn=Y&amp;ReportGB=&amp;NewMenuID=108&amp;stkGb=701", "경동인베스트")</f>
        <v>0</v>
      </c>
      <c r="E428">
        <v>3</v>
      </c>
      <c r="F428">
        <v>45450</v>
      </c>
      <c r="G428">
        <v>0</v>
      </c>
      <c r="H428">
        <v>4.84</v>
      </c>
      <c r="I428">
        <v>90316</v>
      </c>
      <c r="J428">
        <v>151604</v>
      </c>
      <c r="K428">
        <v>169456</v>
      </c>
      <c r="L428">
        <v>-98.72</v>
      </c>
      <c r="M428">
        <v>-233.56</v>
      </c>
      <c r="N428">
        <v>-272.84</v>
      </c>
      <c r="O428">
        <v>3.84</v>
      </c>
      <c r="P428" t="b">
        <v>1</v>
      </c>
      <c r="Q428">
        <v>0</v>
      </c>
      <c r="R428">
        <v>6446</v>
      </c>
      <c r="U428" t="s">
        <v>1820</v>
      </c>
      <c r="V428" t="s">
        <v>2499</v>
      </c>
      <c r="W428">
        <v>0</v>
      </c>
      <c r="X428">
        <v>67.40000000000001</v>
      </c>
      <c r="Y428" t="s">
        <v>3143</v>
      </c>
      <c r="Z428">
        <v>5.765234640109251</v>
      </c>
      <c r="AA428">
        <v>1075</v>
      </c>
      <c r="AB428">
        <v>5555</v>
      </c>
      <c r="AC428" t="s">
        <v>3804</v>
      </c>
      <c r="AD428">
        <v>54.29</v>
      </c>
      <c r="AE428" t="s">
        <v>4483</v>
      </c>
      <c r="AF428" t="s">
        <v>5135</v>
      </c>
      <c r="AG428">
        <v>3105</v>
      </c>
      <c r="AH428">
        <v>207</v>
      </c>
      <c r="AI428">
        <v>184671</v>
      </c>
      <c r="AJ428">
        <v>1.6</v>
      </c>
    </row>
    <row r="429" spans="1:36">
      <c r="A429" s="1" t="s">
        <v>463</v>
      </c>
      <c r="B429" t="s">
        <v>1142</v>
      </c>
      <c r="C429">
        <f>HYPERLINK("https://finance.naver.com/item/coinfo.nhn?code=000050", "A000050")</f>
        <v>0</v>
      </c>
      <c r="D429">
        <f>HYPERLINK("http://comp.fnguide.com/SVO2/ASP/SVD_Consensus.asp?pGB=1&amp;gicode=A000050&amp;cID=&amp;MenuYn=Y&amp;ReportGB=&amp;NewMenuID=108&amp;stkGb=701", "경방")</f>
        <v>0</v>
      </c>
      <c r="E429">
        <v>3</v>
      </c>
      <c r="F429">
        <v>14700</v>
      </c>
      <c r="G429">
        <v>0</v>
      </c>
      <c r="H429">
        <v>26.09</v>
      </c>
      <c r="I429">
        <v>11802</v>
      </c>
      <c r="J429">
        <v>21932</v>
      </c>
      <c r="K429">
        <v>24883</v>
      </c>
      <c r="L429">
        <v>19.72</v>
      </c>
      <c r="M429">
        <v>-49.2</v>
      </c>
      <c r="N429">
        <v>-69.27</v>
      </c>
      <c r="O429">
        <v>3.36</v>
      </c>
      <c r="P429" t="b">
        <v>1</v>
      </c>
      <c r="Q429">
        <v>0</v>
      </c>
      <c r="R429">
        <v>475</v>
      </c>
      <c r="U429" t="s">
        <v>1821</v>
      </c>
      <c r="V429" t="s">
        <v>2500</v>
      </c>
      <c r="W429">
        <v>0</v>
      </c>
      <c r="X429">
        <v>-70.09999999999999</v>
      </c>
      <c r="Y429" t="s">
        <v>3144</v>
      </c>
      <c r="Z429">
        <v>-4.803202460615374</v>
      </c>
      <c r="AA429">
        <v>4030</v>
      </c>
      <c r="AB429">
        <v>114592</v>
      </c>
      <c r="AC429" t="s">
        <v>3805</v>
      </c>
      <c r="AD429">
        <v>59.89</v>
      </c>
      <c r="AE429" t="s">
        <v>4484</v>
      </c>
      <c r="AF429" t="s">
        <v>5136</v>
      </c>
      <c r="AG429">
        <v>3292</v>
      </c>
      <c r="AH429">
        <v>219</v>
      </c>
      <c r="AI429">
        <v>1703000</v>
      </c>
      <c r="AJ429">
        <v>1.01</v>
      </c>
    </row>
    <row r="430" spans="1:36">
      <c r="A430" s="1" t="s">
        <v>464</v>
      </c>
      <c r="B430" t="s">
        <v>1143</v>
      </c>
      <c r="C430">
        <f>HYPERLINK("https://finance.naver.com/item/coinfo.nhn?code=009140", "A009140")</f>
        <v>0</v>
      </c>
      <c r="D430">
        <f>HYPERLINK("http://comp.fnguide.com/SVO2/ASP/SVD_Consensus.asp?pGB=1&amp;gicode=A009140&amp;cID=&amp;MenuYn=Y&amp;ReportGB=&amp;NewMenuID=108&amp;stkGb=701", "경인전자")</f>
        <v>0</v>
      </c>
      <c r="E430">
        <v>3</v>
      </c>
      <c r="F430">
        <v>30650</v>
      </c>
      <c r="G430">
        <v>0</v>
      </c>
      <c r="H430">
        <v>29.14</v>
      </c>
      <c r="I430">
        <v>7055</v>
      </c>
      <c r="J430">
        <v>27556</v>
      </c>
      <c r="K430">
        <v>33528</v>
      </c>
      <c r="L430">
        <v>76.98</v>
      </c>
      <c r="M430">
        <v>10.09</v>
      </c>
      <c r="N430">
        <v>-9.390000000000001</v>
      </c>
      <c r="O430">
        <v>1.4</v>
      </c>
      <c r="P430" t="b">
        <v>0</v>
      </c>
      <c r="Q430">
        <v>0</v>
      </c>
      <c r="R430">
        <v>860</v>
      </c>
      <c r="U430" t="s">
        <v>1822</v>
      </c>
      <c r="V430" t="s">
        <v>2501</v>
      </c>
      <c r="W430">
        <v>0</v>
      </c>
      <c r="X430">
        <v>455.7</v>
      </c>
      <c r="Y430" t="s">
        <v>3145</v>
      </c>
      <c r="Z430">
        <v>250.5214258786473</v>
      </c>
      <c r="AA430">
        <v>481</v>
      </c>
      <c r="AB430">
        <v>3354</v>
      </c>
      <c r="AC430" t="s">
        <v>3806</v>
      </c>
      <c r="AD430">
        <v>49.98</v>
      </c>
      <c r="AE430" t="s">
        <v>4485</v>
      </c>
      <c r="AF430" t="s">
        <v>5137</v>
      </c>
      <c r="AG430">
        <v>208</v>
      </c>
      <c r="AH430">
        <v>10</v>
      </c>
      <c r="AI430">
        <v>269410</v>
      </c>
      <c r="AJ430">
        <v>1</v>
      </c>
    </row>
    <row r="431" spans="1:36">
      <c r="A431" s="1" t="s">
        <v>465</v>
      </c>
      <c r="B431" t="s">
        <v>1144</v>
      </c>
      <c r="C431">
        <f>HYPERLINK("https://finance.naver.com/item/coinfo.nhn?code=013580", "A013580")</f>
        <v>0</v>
      </c>
      <c r="D431">
        <f>HYPERLINK("http://comp.fnguide.com/SVO2/ASP/SVD_Consensus.asp?pGB=1&amp;gicode=A013580&amp;cID=&amp;MenuYn=Y&amp;ReportGB=&amp;NewMenuID=108&amp;stkGb=701", "계룡건설")</f>
        <v>0</v>
      </c>
      <c r="E431">
        <v>3</v>
      </c>
      <c r="F431">
        <v>34350</v>
      </c>
      <c r="G431">
        <v>1.08</v>
      </c>
      <c r="H431">
        <v>2.66</v>
      </c>
      <c r="I431">
        <v>144850</v>
      </c>
      <c r="J431">
        <v>95903</v>
      </c>
      <c r="K431">
        <v>81645</v>
      </c>
      <c r="L431">
        <v>-321.69</v>
      </c>
      <c r="M431">
        <v>-179.19</v>
      </c>
      <c r="N431">
        <v>-137.69</v>
      </c>
      <c r="O431">
        <v>19.07</v>
      </c>
      <c r="P431" t="b">
        <v>1</v>
      </c>
      <c r="Q431">
        <v>2</v>
      </c>
      <c r="R431">
        <v>10532</v>
      </c>
      <c r="S431">
        <v>10749</v>
      </c>
      <c r="T431">
        <v>2.1</v>
      </c>
      <c r="U431" t="s">
        <v>1823</v>
      </c>
      <c r="V431" t="s">
        <v>2502</v>
      </c>
      <c r="W431">
        <v>2.470414241233621</v>
      </c>
      <c r="X431">
        <v>31.4</v>
      </c>
      <c r="Y431" t="s">
        <v>3146</v>
      </c>
      <c r="Z431">
        <v>43.09322227844101</v>
      </c>
      <c r="AA431">
        <v>3068</v>
      </c>
      <c r="AB431">
        <v>60101</v>
      </c>
      <c r="AC431" t="s">
        <v>3807</v>
      </c>
      <c r="AD431">
        <v>38.7</v>
      </c>
      <c r="AE431" t="s">
        <v>4486</v>
      </c>
      <c r="AF431" t="s">
        <v>5138</v>
      </c>
      <c r="AG431">
        <v>22000</v>
      </c>
      <c r="AH431">
        <v>1748</v>
      </c>
      <c r="AI431">
        <v>73110</v>
      </c>
      <c r="AJ431">
        <v>2.14</v>
      </c>
    </row>
    <row r="432" spans="1:36">
      <c r="A432" s="1" t="s">
        <v>466</v>
      </c>
      <c r="B432" t="s">
        <v>1145</v>
      </c>
      <c r="C432">
        <f>HYPERLINK("https://finance.naver.com/item/coinfo.nhn?code=002240", "A002240")</f>
        <v>0</v>
      </c>
      <c r="D432">
        <f>HYPERLINK("http://comp.fnguide.com/SVO2/ASP/SVD_Consensus.asp?pGB=1&amp;gicode=A002240&amp;cID=&amp;MenuYn=Y&amp;ReportGB=&amp;NewMenuID=108&amp;stkGb=701", "고려제강")</f>
        <v>0</v>
      </c>
      <c r="E432">
        <v>3</v>
      </c>
      <c r="F432">
        <v>27200</v>
      </c>
      <c r="G432">
        <v>0</v>
      </c>
      <c r="H432">
        <v>40.15</v>
      </c>
      <c r="I432">
        <v>2525</v>
      </c>
      <c r="J432">
        <v>36077</v>
      </c>
      <c r="K432">
        <v>45851</v>
      </c>
      <c r="L432">
        <v>90.72</v>
      </c>
      <c r="M432">
        <v>-32.64</v>
      </c>
      <c r="N432">
        <v>-68.56999999999999</v>
      </c>
      <c r="O432">
        <v>0.35</v>
      </c>
      <c r="P432" t="b">
        <v>0</v>
      </c>
      <c r="Q432">
        <v>0</v>
      </c>
      <c r="R432">
        <v>366</v>
      </c>
      <c r="U432" t="s">
        <v>1824</v>
      </c>
      <c r="V432" t="s">
        <v>2503</v>
      </c>
      <c r="W432">
        <v>0</v>
      </c>
      <c r="X432">
        <v>0</v>
      </c>
      <c r="Y432" t="s">
        <v>3147</v>
      </c>
      <c r="Z432">
        <v>-44.09433569622101</v>
      </c>
      <c r="AA432">
        <v>6256</v>
      </c>
      <c r="AB432">
        <v>127233</v>
      </c>
      <c r="AC432" t="s">
        <v>3808</v>
      </c>
      <c r="AD432">
        <v>67.48999999999999</v>
      </c>
      <c r="AE432" t="s">
        <v>4487</v>
      </c>
      <c r="AF432" t="s">
        <v>5139</v>
      </c>
      <c r="AG432">
        <v>13974</v>
      </c>
      <c r="AH432">
        <v>98</v>
      </c>
      <c r="AI432">
        <v>5616</v>
      </c>
      <c r="AJ432">
        <v>1.77</v>
      </c>
    </row>
    <row r="433" spans="1:36">
      <c r="A433" s="1" t="s">
        <v>467</v>
      </c>
      <c r="B433" t="s">
        <v>1146</v>
      </c>
      <c r="C433">
        <f>HYPERLINK("https://finance.naver.com/item/coinfo.nhn?code=005940", "A005940")</f>
        <v>0</v>
      </c>
      <c r="D433">
        <f>HYPERLINK("http://comp.fnguide.com/SVO2/ASP/SVD_Consensus.asp?pGB=1&amp;gicode=A005940&amp;cID=&amp;MenuYn=Y&amp;ReportGB=&amp;NewMenuID=108&amp;stkGb=701", "NH투자증권")</f>
        <v>0</v>
      </c>
      <c r="E433">
        <v>3</v>
      </c>
      <c r="F433">
        <v>13300</v>
      </c>
      <c r="G433">
        <v>0.21</v>
      </c>
      <c r="H433">
        <v>5.88</v>
      </c>
      <c r="I433">
        <v>23663</v>
      </c>
      <c r="J433">
        <v>21875</v>
      </c>
      <c r="K433">
        <v>21354</v>
      </c>
      <c r="L433">
        <v>-77.92</v>
      </c>
      <c r="M433">
        <v>-64.47</v>
      </c>
      <c r="N433">
        <v>-60.56</v>
      </c>
      <c r="O433">
        <v>9.42</v>
      </c>
      <c r="P433" t="b">
        <v>0</v>
      </c>
      <c r="Q433">
        <v>3</v>
      </c>
      <c r="R433">
        <v>1921</v>
      </c>
      <c r="S433">
        <v>2501</v>
      </c>
      <c r="T433">
        <v>30.2</v>
      </c>
      <c r="U433" t="s">
        <v>1825</v>
      </c>
      <c r="V433" t="s">
        <v>2504</v>
      </c>
      <c r="W433">
        <v>27.68182016323133</v>
      </c>
      <c r="X433">
        <v>10.3</v>
      </c>
      <c r="Y433" t="s">
        <v>3148</v>
      </c>
      <c r="Z433">
        <v>7.82547908960618</v>
      </c>
      <c r="AA433">
        <v>37427</v>
      </c>
      <c r="AB433">
        <v>1217743</v>
      </c>
      <c r="AC433" t="s">
        <v>3809</v>
      </c>
      <c r="AD433">
        <v>49.12</v>
      </c>
      <c r="AE433" t="s">
        <v>4488</v>
      </c>
      <c r="AF433" t="s">
        <v>5140</v>
      </c>
      <c r="AG433">
        <v>16809</v>
      </c>
      <c r="AH433">
        <v>7873</v>
      </c>
      <c r="AI433">
        <v>683671</v>
      </c>
      <c r="AJ433">
        <v>6.19</v>
      </c>
    </row>
    <row r="434" spans="1:36">
      <c r="A434" s="1" t="s">
        <v>468</v>
      </c>
      <c r="B434" t="s">
        <v>1147</v>
      </c>
      <c r="C434">
        <f>HYPERLINK("https://finance.naver.com/item/coinfo.nhn?code=009290", "A009290")</f>
        <v>0</v>
      </c>
      <c r="D434">
        <f>HYPERLINK("http://comp.fnguide.com/SVO2/ASP/SVD_Consensus.asp?pGB=1&amp;gicode=A009290&amp;cID=&amp;MenuYn=Y&amp;ReportGB=&amp;NewMenuID=108&amp;stkGb=701", "광동제약")</f>
        <v>0</v>
      </c>
      <c r="E434">
        <v>3</v>
      </c>
      <c r="F434">
        <v>9010</v>
      </c>
      <c r="G434">
        <v>0</v>
      </c>
      <c r="H434">
        <v>11.84</v>
      </c>
      <c r="I434">
        <v>11079</v>
      </c>
      <c r="J434">
        <v>11405</v>
      </c>
      <c r="K434">
        <v>11500</v>
      </c>
      <c r="L434">
        <v>-22.96</v>
      </c>
      <c r="M434">
        <v>-26.58</v>
      </c>
      <c r="N434">
        <v>-27.64</v>
      </c>
      <c r="O434">
        <v>7.83</v>
      </c>
      <c r="P434" t="b">
        <v>1</v>
      </c>
      <c r="Q434">
        <v>0</v>
      </c>
      <c r="R434">
        <v>865</v>
      </c>
      <c r="U434" t="s">
        <v>1826</v>
      </c>
      <c r="V434" t="s">
        <v>2505</v>
      </c>
      <c r="W434">
        <v>0</v>
      </c>
      <c r="X434">
        <v>96.8</v>
      </c>
      <c r="Y434" t="s">
        <v>3149</v>
      </c>
      <c r="Z434">
        <v>5.315870261187472</v>
      </c>
      <c r="AA434">
        <v>4723</v>
      </c>
      <c r="AB434">
        <v>79123</v>
      </c>
      <c r="AC434" t="s">
        <v>3810</v>
      </c>
      <c r="AD434">
        <v>17.64</v>
      </c>
      <c r="AE434" t="s">
        <v>4489</v>
      </c>
      <c r="AF434" t="s">
        <v>5141</v>
      </c>
      <c r="AG434">
        <v>12438</v>
      </c>
      <c r="AH434">
        <v>466</v>
      </c>
      <c r="AI434">
        <v>11340239</v>
      </c>
      <c r="AJ434">
        <v>0.98</v>
      </c>
    </row>
    <row r="435" spans="1:36">
      <c r="A435" s="1" t="s">
        <v>469</v>
      </c>
      <c r="B435" t="s">
        <v>1148</v>
      </c>
      <c r="C435">
        <f>HYPERLINK("https://finance.naver.com/item/coinfo.nhn?code=017900", "A017900")</f>
        <v>0</v>
      </c>
      <c r="D435">
        <f>HYPERLINK("http://comp.fnguide.com/SVO2/ASP/SVD_Consensus.asp?pGB=1&amp;gicode=A017900&amp;cID=&amp;MenuYn=Y&amp;ReportGB=&amp;NewMenuID=108&amp;stkGb=701", "광전자")</f>
        <v>0</v>
      </c>
      <c r="E435">
        <v>3</v>
      </c>
      <c r="F435">
        <v>2485</v>
      </c>
      <c r="G435">
        <v>0</v>
      </c>
      <c r="I435">
        <v>498</v>
      </c>
      <c r="J435">
        <v>2558</v>
      </c>
      <c r="K435">
        <v>3159</v>
      </c>
      <c r="L435">
        <v>79.95999999999999</v>
      </c>
      <c r="M435">
        <v>-2.96</v>
      </c>
      <c r="N435">
        <v>-27.11</v>
      </c>
      <c r="O435">
        <v>1.03</v>
      </c>
      <c r="P435" t="b">
        <v>0</v>
      </c>
      <c r="Q435">
        <v>0</v>
      </c>
      <c r="R435">
        <v>-274</v>
      </c>
      <c r="U435" t="s">
        <v>1827</v>
      </c>
      <c r="V435" t="s">
        <v>2506</v>
      </c>
      <c r="W435">
        <v>0</v>
      </c>
      <c r="X435">
        <v>0</v>
      </c>
      <c r="Y435" t="s">
        <v>3150</v>
      </c>
      <c r="Z435">
        <v>20.28958560599654</v>
      </c>
      <c r="AA435">
        <v>1440</v>
      </c>
      <c r="AB435">
        <v>251111</v>
      </c>
      <c r="AC435" t="s">
        <v>3811</v>
      </c>
      <c r="AD435">
        <v>55.48</v>
      </c>
      <c r="AE435" t="s">
        <v>4490</v>
      </c>
      <c r="AF435" t="s">
        <v>5142</v>
      </c>
      <c r="AG435">
        <v>1502</v>
      </c>
      <c r="AH435">
        <v>-78</v>
      </c>
      <c r="AI435">
        <v>7580000</v>
      </c>
    </row>
    <row r="436" spans="1:36">
      <c r="A436" s="1" t="s">
        <v>470</v>
      </c>
      <c r="B436" t="s">
        <v>1149</v>
      </c>
      <c r="C436">
        <f>HYPERLINK("https://finance.naver.com/item/coinfo.nhn?code=037710", "A037710")</f>
        <v>0</v>
      </c>
      <c r="D436">
        <f>HYPERLINK("http://comp.fnguide.com/SVO2/ASP/SVD_Consensus.asp?pGB=1&amp;gicode=A037710&amp;cID=&amp;MenuYn=Y&amp;ReportGB=&amp;NewMenuID=108&amp;stkGb=701", "광주신세계")</f>
        <v>0</v>
      </c>
      <c r="E436">
        <v>3</v>
      </c>
      <c r="F436">
        <v>189500</v>
      </c>
      <c r="G436">
        <v>0</v>
      </c>
      <c r="H436">
        <v>5.67</v>
      </c>
      <c r="I436">
        <v>368768</v>
      </c>
      <c r="J436">
        <v>410356</v>
      </c>
      <c r="K436">
        <v>422470</v>
      </c>
      <c r="L436">
        <v>-94.59999999999999</v>
      </c>
      <c r="M436">
        <v>-116.55</v>
      </c>
      <c r="N436">
        <v>-122.94</v>
      </c>
      <c r="O436">
        <v>6.91</v>
      </c>
      <c r="P436" t="b">
        <v>1</v>
      </c>
      <c r="Q436">
        <v>0</v>
      </c>
      <c r="R436">
        <v>26975</v>
      </c>
      <c r="U436" t="s">
        <v>1828</v>
      </c>
      <c r="V436" t="s">
        <v>2507</v>
      </c>
      <c r="W436">
        <v>0</v>
      </c>
      <c r="X436">
        <v>-9.5</v>
      </c>
      <c r="Y436" t="s">
        <v>3151</v>
      </c>
      <c r="Z436">
        <v>-1.259553191421658</v>
      </c>
      <c r="AA436">
        <v>3032</v>
      </c>
      <c r="AB436">
        <v>3893</v>
      </c>
      <c r="AC436" t="s">
        <v>3812</v>
      </c>
      <c r="AD436">
        <v>62.5</v>
      </c>
      <c r="AE436" t="s">
        <v>4491</v>
      </c>
      <c r="AF436" t="s">
        <v>5143</v>
      </c>
      <c r="AG436">
        <v>1475</v>
      </c>
      <c r="AH436">
        <v>483</v>
      </c>
      <c r="AI436">
        <v>8562</v>
      </c>
      <c r="AJ436">
        <v>2.29</v>
      </c>
    </row>
    <row r="437" spans="1:36">
      <c r="A437" s="1" t="s">
        <v>471</v>
      </c>
      <c r="B437" t="s">
        <v>1150</v>
      </c>
      <c r="C437">
        <f>HYPERLINK("https://finance.naver.com/item/coinfo.nhn?code=030610", "A030610")</f>
        <v>0</v>
      </c>
      <c r="D437">
        <f>HYPERLINK("http://comp.fnguide.com/SVO2/ASP/SVD_Consensus.asp?pGB=1&amp;gicode=A030610&amp;cID=&amp;MenuYn=Y&amp;ReportGB=&amp;NewMenuID=108&amp;stkGb=701", "교보증권")</f>
        <v>0</v>
      </c>
      <c r="E437">
        <v>3</v>
      </c>
      <c r="F437">
        <v>8950</v>
      </c>
      <c r="G437">
        <v>0</v>
      </c>
      <c r="H437">
        <v>3.73</v>
      </c>
      <c r="I437">
        <v>22278</v>
      </c>
      <c r="J437">
        <v>20851</v>
      </c>
      <c r="K437">
        <v>20435</v>
      </c>
      <c r="L437">
        <v>-148.91</v>
      </c>
      <c r="M437">
        <v>-132.97</v>
      </c>
      <c r="N437">
        <v>-128.33</v>
      </c>
      <c r="O437">
        <v>9.210000000000001</v>
      </c>
      <c r="P437" t="b">
        <v>1</v>
      </c>
      <c r="Q437">
        <v>0</v>
      </c>
      <c r="R437">
        <v>2046</v>
      </c>
      <c r="U437" t="s">
        <v>1829</v>
      </c>
      <c r="V437" t="s">
        <v>2508</v>
      </c>
      <c r="W437">
        <v>0</v>
      </c>
      <c r="X437">
        <v>9.4</v>
      </c>
      <c r="Y437" t="s">
        <v>3152</v>
      </c>
      <c r="Z437">
        <v>9.139695521446356</v>
      </c>
      <c r="AA437">
        <v>5786</v>
      </c>
      <c r="AB437">
        <v>211318</v>
      </c>
      <c r="AC437" t="s">
        <v>3813</v>
      </c>
      <c r="AD437">
        <v>73.16</v>
      </c>
      <c r="AE437" t="s">
        <v>4492</v>
      </c>
      <c r="AF437" t="s">
        <v>5144</v>
      </c>
      <c r="AG437">
        <v>3494</v>
      </c>
      <c r="AH437">
        <v>1366</v>
      </c>
      <c r="AI437">
        <v>1093598</v>
      </c>
      <c r="AJ437">
        <v>5.89</v>
      </c>
    </row>
    <row r="438" spans="1:36">
      <c r="A438" s="1" t="s">
        <v>472</v>
      </c>
      <c r="B438" t="s">
        <v>1151</v>
      </c>
      <c r="C438">
        <f>HYPERLINK("https://finance.naver.com/item/coinfo.nhn?code=007690", "A007690")</f>
        <v>0</v>
      </c>
      <c r="D438">
        <f>HYPERLINK("http://comp.fnguide.com/SVO2/ASP/SVD_Consensus.asp?pGB=1&amp;gicode=A007690&amp;cID=&amp;MenuYn=Y&amp;ReportGB=&amp;NewMenuID=108&amp;stkGb=701", "국도화학")</f>
        <v>0</v>
      </c>
      <c r="E438">
        <v>3</v>
      </c>
      <c r="F438">
        <v>73300</v>
      </c>
      <c r="G438">
        <v>0</v>
      </c>
      <c r="H438">
        <v>10.66</v>
      </c>
      <c r="I438">
        <v>80269</v>
      </c>
      <c r="J438">
        <v>91407</v>
      </c>
      <c r="K438">
        <v>94651</v>
      </c>
      <c r="L438">
        <v>-9.51</v>
      </c>
      <c r="M438">
        <v>-24.7</v>
      </c>
      <c r="N438">
        <v>-29.13</v>
      </c>
      <c r="O438">
        <v>6.66</v>
      </c>
      <c r="P438" t="b">
        <v>1</v>
      </c>
      <c r="Q438">
        <v>0</v>
      </c>
      <c r="R438">
        <v>5065</v>
      </c>
      <c r="U438" t="s">
        <v>1830</v>
      </c>
      <c r="V438" t="s">
        <v>2509</v>
      </c>
      <c r="W438">
        <v>0</v>
      </c>
      <c r="X438">
        <v>-16</v>
      </c>
      <c r="Y438" t="s">
        <v>3153</v>
      </c>
      <c r="Z438">
        <v>-12.02370661936399</v>
      </c>
      <c r="AA438">
        <v>4259</v>
      </c>
      <c r="AB438">
        <v>39409</v>
      </c>
      <c r="AC438" t="s">
        <v>3814</v>
      </c>
      <c r="AD438">
        <v>24.61</v>
      </c>
      <c r="AE438" t="s">
        <v>4493</v>
      </c>
      <c r="AF438" t="s">
        <v>5145</v>
      </c>
      <c r="AG438">
        <v>11327</v>
      </c>
      <c r="AH438">
        <v>460</v>
      </c>
      <c r="AI438">
        <v>364289</v>
      </c>
      <c r="AJ438">
        <v>2.22</v>
      </c>
    </row>
    <row r="439" spans="1:36">
      <c r="A439" s="1" t="s">
        <v>473</v>
      </c>
      <c r="B439" t="s">
        <v>1152</v>
      </c>
      <c r="C439">
        <f>HYPERLINK("https://finance.naver.com/item/coinfo.nhn?code=014280", "A014280")</f>
        <v>0</v>
      </c>
      <c r="D439">
        <f>HYPERLINK("http://comp.fnguide.com/SVO2/ASP/SVD_Consensus.asp?pGB=1&amp;gicode=A014280&amp;cID=&amp;MenuYn=Y&amp;ReportGB=&amp;NewMenuID=108&amp;stkGb=701", "금강공업")</f>
        <v>0</v>
      </c>
      <c r="E439">
        <v>3</v>
      </c>
      <c r="F439">
        <v>6780</v>
      </c>
      <c r="I439">
        <v>1084</v>
      </c>
      <c r="J439">
        <v>6571</v>
      </c>
      <c r="K439">
        <v>8169</v>
      </c>
      <c r="L439">
        <v>84.01000000000001</v>
      </c>
      <c r="M439">
        <v>3.08</v>
      </c>
      <c r="N439">
        <v>-20.49</v>
      </c>
      <c r="O439">
        <v>0.86</v>
      </c>
      <c r="P439" t="b">
        <v>0</v>
      </c>
      <c r="Q439">
        <v>2</v>
      </c>
      <c r="R439">
        <v>-55</v>
      </c>
      <c r="S439">
        <v>356</v>
      </c>
      <c r="T439">
        <v>-747.3</v>
      </c>
      <c r="U439" t="s">
        <v>1831</v>
      </c>
      <c r="V439" t="s">
        <v>2510</v>
      </c>
      <c r="W439">
        <v>-15.05016057554989</v>
      </c>
      <c r="X439">
        <v>0</v>
      </c>
      <c r="Y439" t="s">
        <v>3154</v>
      </c>
      <c r="Z439">
        <v>38.99337152457072</v>
      </c>
      <c r="AA439">
        <v>1978</v>
      </c>
      <c r="AB439">
        <v>132468</v>
      </c>
      <c r="AC439" t="s">
        <v>3815</v>
      </c>
      <c r="AD439">
        <v>38.66</v>
      </c>
      <c r="AE439" t="s">
        <v>4494</v>
      </c>
      <c r="AF439" t="s">
        <v>5146</v>
      </c>
      <c r="AG439">
        <v>5019</v>
      </c>
      <c r="AH439">
        <v>-15</v>
      </c>
      <c r="AI439">
        <v>2503820</v>
      </c>
      <c r="AJ439">
        <v>0.74</v>
      </c>
    </row>
    <row r="440" spans="1:36">
      <c r="A440" s="1" t="s">
        <v>474</v>
      </c>
      <c r="B440" t="s">
        <v>1153</v>
      </c>
      <c r="C440">
        <f>HYPERLINK("https://finance.naver.com/item/coinfo.nhn?code=008870", "A008870")</f>
        <v>0</v>
      </c>
      <c r="D440">
        <f>HYPERLINK("http://comp.fnguide.com/SVO2/ASP/SVD_Consensus.asp?pGB=1&amp;gicode=A008870&amp;cID=&amp;MenuYn=Y&amp;ReportGB=&amp;NewMenuID=108&amp;stkGb=701", "금비")</f>
        <v>0</v>
      </c>
      <c r="E440">
        <v>3</v>
      </c>
      <c r="F440">
        <v>80300</v>
      </c>
      <c r="G440">
        <v>0</v>
      </c>
      <c r="I440">
        <v>50169</v>
      </c>
      <c r="J440">
        <v>93451</v>
      </c>
      <c r="K440">
        <v>106058</v>
      </c>
      <c r="L440">
        <v>37.52</v>
      </c>
      <c r="M440">
        <v>-16.38</v>
      </c>
      <c r="N440">
        <v>-32.08</v>
      </c>
      <c r="O440">
        <v>3.35</v>
      </c>
      <c r="P440" t="b">
        <v>0</v>
      </c>
      <c r="Q440">
        <v>0</v>
      </c>
      <c r="R440">
        <v>-3454</v>
      </c>
      <c r="U440" t="s">
        <v>1832</v>
      </c>
      <c r="V440" t="s">
        <v>2511</v>
      </c>
      <c r="W440">
        <v>0</v>
      </c>
      <c r="X440">
        <v>1351.1</v>
      </c>
      <c r="Y440" t="s">
        <v>3155</v>
      </c>
      <c r="Z440">
        <v>77.79664127259171</v>
      </c>
      <c r="AA440">
        <v>803</v>
      </c>
      <c r="AB440">
        <v>3626</v>
      </c>
      <c r="AC440" t="s">
        <v>3816</v>
      </c>
      <c r="AD440">
        <v>56.48</v>
      </c>
      <c r="AE440" t="s">
        <v>4495</v>
      </c>
      <c r="AF440" t="s">
        <v>5147</v>
      </c>
      <c r="AG440">
        <v>2193</v>
      </c>
      <c r="AH440">
        <v>66</v>
      </c>
      <c r="AI440">
        <v>190500</v>
      </c>
      <c r="AJ440">
        <v>2.27</v>
      </c>
    </row>
    <row r="441" spans="1:36">
      <c r="A441" s="1" t="s">
        <v>475</v>
      </c>
      <c r="B441" t="s">
        <v>1154</v>
      </c>
      <c r="C441">
        <f>HYPERLINK("https://finance.naver.com/item/coinfo.nhn?code=024070", "A024070")</f>
        <v>0</v>
      </c>
      <c r="D441">
        <f>HYPERLINK("http://comp.fnguide.com/SVO2/ASP/SVD_Consensus.asp?pGB=1&amp;gicode=A024070&amp;cID=&amp;MenuYn=Y&amp;ReportGB=&amp;NewMenuID=108&amp;stkGb=701", "WISCOM")</f>
        <v>0</v>
      </c>
      <c r="E441">
        <v>3</v>
      </c>
      <c r="F441">
        <v>4500</v>
      </c>
      <c r="G441">
        <v>0</v>
      </c>
      <c r="I441">
        <v>414</v>
      </c>
      <c r="J441">
        <v>4691</v>
      </c>
      <c r="K441">
        <v>5936</v>
      </c>
      <c r="L441">
        <v>90.81</v>
      </c>
      <c r="M441">
        <v>-4.24</v>
      </c>
      <c r="N441">
        <v>-31.92</v>
      </c>
      <c r="O441">
        <v>0.45</v>
      </c>
      <c r="P441" t="b">
        <v>0</v>
      </c>
      <c r="Q441">
        <v>0</v>
      </c>
      <c r="R441">
        <v>-65</v>
      </c>
      <c r="U441" t="s">
        <v>1833</v>
      </c>
      <c r="V441" t="s">
        <v>2512</v>
      </c>
      <c r="W441">
        <v>0</v>
      </c>
      <c r="X441">
        <v>0</v>
      </c>
      <c r="Y441" t="s">
        <v>3156</v>
      </c>
      <c r="Z441">
        <v>-21.94619591913617</v>
      </c>
      <c r="AA441">
        <v>690</v>
      </c>
      <c r="AB441">
        <v>1203959</v>
      </c>
      <c r="AC441" t="s">
        <v>3817</v>
      </c>
      <c r="AD441">
        <v>50.95</v>
      </c>
      <c r="AE441" t="s">
        <v>4496</v>
      </c>
      <c r="AF441" t="s">
        <v>5148</v>
      </c>
      <c r="AG441">
        <v>1025</v>
      </c>
      <c r="AH441">
        <v>-17</v>
      </c>
      <c r="AJ441">
        <v>1.83</v>
      </c>
    </row>
    <row r="442" spans="1:36">
      <c r="A442" s="1" t="s">
        <v>476</v>
      </c>
      <c r="B442" t="s">
        <v>1155</v>
      </c>
      <c r="C442">
        <f>HYPERLINK("https://finance.naver.com/item/coinfo.nhn?code=084870", "A084870")</f>
        <v>0</v>
      </c>
      <c r="D442">
        <f>HYPERLINK("http://comp.fnguide.com/SVO2/ASP/SVD_Consensus.asp?pGB=1&amp;gicode=A084870&amp;cID=&amp;MenuYn=Y&amp;ReportGB=&amp;NewMenuID=108&amp;stkGb=701", "TBH글로벌")</f>
        <v>0</v>
      </c>
      <c r="E442">
        <v>3</v>
      </c>
      <c r="F442">
        <v>2020</v>
      </c>
      <c r="G442">
        <v>0</v>
      </c>
      <c r="I442">
        <v>0</v>
      </c>
      <c r="J442">
        <v>2224</v>
      </c>
      <c r="K442">
        <v>2872</v>
      </c>
      <c r="L442">
        <v>100</v>
      </c>
      <c r="M442">
        <v>-10.11</v>
      </c>
      <c r="N442">
        <v>-42.18</v>
      </c>
      <c r="O442">
        <v>0</v>
      </c>
      <c r="P442" t="b">
        <v>0</v>
      </c>
      <c r="Q442">
        <v>0</v>
      </c>
      <c r="R442">
        <v>-1476</v>
      </c>
      <c r="U442" t="s">
        <v>1834</v>
      </c>
      <c r="V442" t="s">
        <v>2513</v>
      </c>
      <c r="W442">
        <v>0</v>
      </c>
      <c r="X442">
        <v>0</v>
      </c>
      <c r="Y442" t="s">
        <v>2762</v>
      </c>
      <c r="Z442">
        <v>0</v>
      </c>
      <c r="AA442">
        <v>421</v>
      </c>
      <c r="AB442">
        <v>96785</v>
      </c>
      <c r="AC442" t="s">
        <v>3818</v>
      </c>
      <c r="AD442">
        <v>50.07</v>
      </c>
      <c r="AE442" t="s">
        <v>4497</v>
      </c>
      <c r="AF442" t="s">
        <v>4741</v>
      </c>
      <c r="AG442">
        <v>1731</v>
      </c>
      <c r="AH442">
        <v>-69</v>
      </c>
    </row>
    <row r="443" spans="1:36">
      <c r="A443" s="1" t="s">
        <v>477</v>
      </c>
      <c r="B443" t="s">
        <v>1156</v>
      </c>
      <c r="C443">
        <f>HYPERLINK("https://finance.naver.com/item/coinfo.nhn?code=002820", "A002820")</f>
        <v>0</v>
      </c>
      <c r="D443">
        <f>HYPERLINK("http://comp.fnguide.com/SVO2/ASP/SVD_Consensus.asp?pGB=1&amp;gicode=A002820&amp;cID=&amp;MenuYn=Y&amp;ReportGB=&amp;NewMenuID=108&amp;stkGb=701", "SUN&amp;L")</f>
        <v>0</v>
      </c>
      <c r="E443">
        <v>3</v>
      </c>
      <c r="F443">
        <v>7000</v>
      </c>
      <c r="G443">
        <v>0</v>
      </c>
      <c r="I443">
        <v>0</v>
      </c>
      <c r="J443">
        <v>10172</v>
      </c>
      <c r="K443">
        <v>13136</v>
      </c>
      <c r="L443">
        <v>100</v>
      </c>
      <c r="M443">
        <v>-45.32</v>
      </c>
      <c r="N443">
        <v>-87.65000000000001</v>
      </c>
      <c r="O443">
        <v>0</v>
      </c>
      <c r="P443" t="b">
        <v>0</v>
      </c>
      <c r="Q443">
        <v>0</v>
      </c>
      <c r="R443">
        <v>-730</v>
      </c>
      <c r="U443" t="s">
        <v>1835</v>
      </c>
      <c r="V443" t="s">
        <v>2514</v>
      </c>
      <c r="W443">
        <v>0</v>
      </c>
      <c r="X443">
        <v>0</v>
      </c>
      <c r="Y443" t="s">
        <v>3157</v>
      </c>
      <c r="Z443">
        <v>103.2</v>
      </c>
      <c r="AA443">
        <v>883</v>
      </c>
      <c r="AB443">
        <v>67601</v>
      </c>
      <c r="AC443" t="s">
        <v>3819</v>
      </c>
      <c r="AD443">
        <v>46.48</v>
      </c>
      <c r="AE443" t="s">
        <v>4498</v>
      </c>
      <c r="AF443" t="s">
        <v>4741</v>
      </c>
      <c r="AG443">
        <v>4125</v>
      </c>
      <c r="AH443">
        <v>-38</v>
      </c>
      <c r="AI443">
        <v>544785</v>
      </c>
    </row>
    <row r="444" spans="1:36">
      <c r="A444" s="1" t="s">
        <v>478</v>
      </c>
      <c r="B444" t="s">
        <v>1157</v>
      </c>
      <c r="C444">
        <f>HYPERLINK("https://finance.naver.com/item/coinfo.nhn?code=036530", "A036530")</f>
        <v>0</v>
      </c>
      <c r="D444">
        <f>HYPERLINK("http://comp.fnguide.com/SVO2/ASP/SVD_Consensus.asp?pGB=1&amp;gicode=A036530&amp;cID=&amp;MenuYn=Y&amp;ReportGB=&amp;NewMenuID=108&amp;stkGb=701", "SNT홀딩스")</f>
        <v>0</v>
      </c>
      <c r="E444">
        <v>3</v>
      </c>
      <c r="F444">
        <v>20050</v>
      </c>
      <c r="G444">
        <v>0</v>
      </c>
      <c r="H444">
        <v>6.5</v>
      </c>
      <c r="I444">
        <v>42812</v>
      </c>
      <c r="J444">
        <v>52434</v>
      </c>
      <c r="K444">
        <v>55237</v>
      </c>
      <c r="L444">
        <v>-113.52</v>
      </c>
      <c r="M444">
        <v>-161.52</v>
      </c>
      <c r="N444">
        <v>-175.5</v>
      </c>
      <c r="O444">
        <v>5.96</v>
      </c>
      <c r="P444" t="b">
        <v>1</v>
      </c>
      <c r="Q444">
        <v>0</v>
      </c>
      <c r="R444">
        <v>2294</v>
      </c>
      <c r="U444" t="s">
        <v>1836</v>
      </c>
      <c r="V444" t="s">
        <v>2515</v>
      </c>
      <c r="W444">
        <v>0</v>
      </c>
      <c r="X444">
        <v>138.8</v>
      </c>
      <c r="Y444" t="s">
        <v>3158</v>
      </c>
      <c r="Z444">
        <v>100.5450441440937</v>
      </c>
      <c r="AA444">
        <v>3269</v>
      </c>
      <c r="AB444">
        <v>79884</v>
      </c>
      <c r="AC444" t="s">
        <v>3820</v>
      </c>
      <c r="AD444">
        <v>63.31</v>
      </c>
      <c r="AE444" t="s">
        <v>4499</v>
      </c>
      <c r="AF444" t="s">
        <v>5149</v>
      </c>
      <c r="AG444">
        <v>14358</v>
      </c>
      <c r="AH444">
        <v>1271</v>
      </c>
      <c r="AI444">
        <v>1844224</v>
      </c>
      <c r="AJ444">
        <v>4.36</v>
      </c>
    </row>
    <row r="445" spans="1:36">
      <c r="A445" s="1" t="s">
        <v>479</v>
      </c>
      <c r="B445" t="s">
        <v>1158</v>
      </c>
      <c r="C445">
        <f>HYPERLINK("https://finance.naver.com/item/coinfo.nhn?code=004250", "A004250")</f>
        <v>0</v>
      </c>
      <c r="D445">
        <f>HYPERLINK("http://comp.fnguide.com/SVO2/ASP/SVD_Consensus.asp?pGB=1&amp;gicode=A004250&amp;cID=&amp;MenuYn=Y&amp;ReportGB=&amp;NewMenuID=108&amp;stkGb=701", "NPC")</f>
        <v>0</v>
      </c>
      <c r="E445">
        <v>3</v>
      </c>
      <c r="F445">
        <v>4520</v>
      </c>
      <c r="G445">
        <v>0</v>
      </c>
      <c r="H445">
        <v>7.3</v>
      </c>
      <c r="I445">
        <v>5659</v>
      </c>
      <c r="J445">
        <v>7061</v>
      </c>
      <c r="K445">
        <v>7470</v>
      </c>
      <c r="L445">
        <v>-25.2</v>
      </c>
      <c r="M445">
        <v>-56.23</v>
      </c>
      <c r="N445">
        <v>-65.26000000000001</v>
      </c>
      <c r="O445">
        <v>5.8</v>
      </c>
      <c r="P445" t="b">
        <v>1</v>
      </c>
      <c r="Q445">
        <v>0</v>
      </c>
      <c r="R445">
        <v>449</v>
      </c>
      <c r="U445" t="s">
        <v>1837</v>
      </c>
      <c r="V445" t="s">
        <v>2516</v>
      </c>
      <c r="W445">
        <v>0</v>
      </c>
      <c r="X445">
        <v>31</v>
      </c>
      <c r="Y445" t="s">
        <v>3159</v>
      </c>
      <c r="Z445">
        <v>-5.341730678714873</v>
      </c>
      <c r="AA445">
        <v>1660</v>
      </c>
      <c r="AB445">
        <v>1274056</v>
      </c>
      <c r="AC445" t="s">
        <v>3821</v>
      </c>
      <c r="AD445">
        <v>60.2</v>
      </c>
      <c r="AE445" t="s">
        <v>4500</v>
      </c>
      <c r="AF445" t="s">
        <v>5150</v>
      </c>
      <c r="AG445">
        <v>4313</v>
      </c>
      <c r="AH445">
        <v>207</v>
      </c>
      <c r="AJ445">
        <v>3.05</v>
      </c>
    </row>
    <row r="446" spans="1:36">
      <c r="A446" s="1" t="s">
        <v>480</v>
      </c>
      <c r="B446" t="s">
        <v>1159</v>
      </c>
      <c r="C446">
        <f>HYPERLINK("https://finance.naver.com/item/coinfo.nhn?code=005490", "A005490")</f>
        <v>0</v>
      </c>
      <c r="D446">
        <f>HYPERLINK("http://comp.fnguide.com/SVO2/ASP/SVD_Consensus.asp?pGB=1&amp;gicode=A005490&amp;cID=&amp;MenuYn=Y&amp;ReportGB=&amp;NewMenuID=108&amp;stkGb=701", "POSCO")</f>
        <v>0</v>
      </c>
      <c r="E446">
        <v>3</v>
      </c>
      <c r="F446">
        <v>380000</v>
      </c>
      <c r="G446">
        <v>0.47</v>
      </c>
      <c r="H446">
        <v>14.8</v>
      </c>
      <c r="I446">
        <v>274200</v>
      </c>
      <c r="J446">
        <v>459514</v>
      </c>
      <c r="K446">
        <v>513493</v>
      </c>
      <c r="L446">
        <v>27.84</v>
      </c>
      <c r="M446">
        <v>-20.92</v>
      </c>
      <c r="N446">
        <v>-35.13</v>
      </c>
      <c r="O446">
        <v>3.85</v>
      </c>
      <c r="P446" t="b">
        <v>1</v>
      </c>
      <c r="Q446">
        <v>1</v>
      </c>
      <c r="R446">
        <v>18376</v>
      </c>
      <c r="S446">
        <v>43869</v>
      </c>
      <c r="T446">
        <v>138.7</v>
      </c>
      <c r="U446" t="s">
        <v>1838</v>
      </c>
      <c r="V446" t="s">
        <v>2517</v>
      </c>
      <c r="W446">
        <v>31.24984533315107</v>
      </c>
      <c r="X446">
        <v>-12.7</v>
      </c>
      <c r="Y446" t="s">
        <v>3160</v>
      </c>
      <c r="Z446">
        <v>54.75396219405626</v>
      </c>
      <c r="AA446">
        <v>331310</v>
      </c>
      <c r="AB446">
        <v>567800</v>
      </c>
      <c r="AC446" t="s">
        <v>3822</v>
      </c>
      <c r="AD446">
        <v>11.11</v>
      </c>
      <c r="AE446" t="s">
        <v>4501</v>
      </c>
      <c r="AF446" t="s">
        <v>5151</v>
      </c>
      <c r="AG446">
        <v>577928</v>
      </c>
      <c r="AH446">
        <v>24030</v>
      </c>
      <c r="AI446">
        <v>11561263</v>
      </c>
      <c r="AJ446">
        <v>2.94</v>
      </c>
    </row>
    <row r="447" spans="1:36">
      <c r="A447" s="1" t="s">
        <v>481</v>
      </c>
      <c r="B447" t="s">
        <v>1160</v>
      </c>
      <c r="C447">
        <f>HYPERLINK("https://finance.naver.com/item/coinfo.nhn?code=101060", "A101060")</f>
        <v>0</v>
      </c>
      <c r="D447">
        <f>HYPERLINK("http://comp.fnguide.com/SVO2/ASP/SVD_Consensus.asp?pGB=1&amp;gicode=A101060&amp;cID=&amp;MenuYn=Y&amp;ReportGB=&amp;NewMenuID=108&amp;stkGb=701", "SBS미디어홀딩스")</f>
        <v>0</v>
      </c>
      <c r="E447">
        <v>3</v>
      </c>
      <c r="F447">
        <v>2050</v>
      </c>
      <c r="G447">
        <v>0</v>
      </c>
      <c r="I447">
        <v>131</v>
      </c>
      <c r="J447">
        <v>2417</v>
      </c>
      <c r="K447">
        <v>3083</v>
      </c>
      <c r="L447">
        <v>93.62</v>
      </c>
      <c r="M447">
        <v>-17.89</v>
      </c>
      <c r="N447">
        <v>-50.37</v>
      </c>
      <c r="O447">
        <v>0.27</v>
      </c>
      <c r="P447" t="b">
        <v>0</v>
      </c>
      <c r="Q447">
        <v>0</v>
      </c>
      <c r="R447">
        <v>-464</v>
      </c>
      <c r="U447" t="s">
        <v>1839</v>
      </c>
      <c r="V447" t="s">
        <v>2518</v>
      </c>
      <c r="W447">
        <v>0</v>
      </c>
      <c r="X447">
        <v>0</v>
      </c>
      <c r="Y447" t="s">
        <v>3161</v>
      </c>
      <c r="Z447">
        <v>-20.43238693712593</v>
      </c>
      <c r="AA447">
        <v>2868</v>
      </c>
      <c r="AB447">
        <v>1660495</v>
      </c>
      <c r="AC447" t="s">
        <v>3823</v>
      </c>
      <c r="AD447">
        <v>61.42</v>
      </c>
      <c r="AE447" t="s">
        <v>4502</v>
      </c>
      <c r="AF447" t="s">
        <v>5152</v>
      </c>
      <c r="AG447">
        <v>1654</v>
      </c>
      <c r="AH447">
        <v>-59</v>
      </c>
      <c r="AI447">
        <v>12739487</v>
      </c>
    </row>
    <row r="448" spans="1:36">
      <c r="A448" s="1" t="s">
        <v>482</v>
      </c>
      <c r="B448" t="s">
        <v>1161</v>
      </c>
      <c r="C448">
        <f>HYPERLINK("https://finance.naver.com/item/coinfo.nhn?code=004060", "A004060")</f>
        <v>0</v>
      </c>
      <c r="D448">
        <f>HYPERLINK("http://comp.fnguide.com/SVO2/ASP/SVD_Consensus.asp?pGB=1&amp;gicode=A004060&amp;cID=&amp;MenuYn=Y&amp;ReportGB=&amp;NewMenuID=108&amp;stkGb=701", "SG세계물산")</f>
        <v>0</v>
      </c>
      <c r="E448">
        <v>3</v>
      </c>
      <c r="F448">
        <v>756</v>
      </c>
      <c r="G448">
        <v>0</v>
      </c>
      <c r="I448">
        <v>256</v>
      </c>
      <c r="J448">
        <v>680</v>
      </c>
      <c r="K448">
        <v>803</v>
      </c>
      <c r="L448">
        <v>66.08</v>
      </c>
      <c r="M448">
        <v>10.08</v>
      </c>
      <c r="N448">
        <v>-6.24</v>
      </c>
      <c r="O448">
        <v>2.17</v>
      </c>
      <c r="P448" t="b">
        <v>0</v>
      </c>
      <c r="Q448">
        <v>0</v>
      </c>
      <c r="R448">
        <v>-51</v>
      </c>
      <c r="U448" t="s">
        <v>1840</v>
      </c>
      <c r="V448" t="s">
        <v>2519</v>
      </c>
      <c r="W448">
        <v>0</v>
      </c>
      <c r="X448">
        <v>0</v>
      </c>
      <c r="Y448" t="s">
        <v>3162</v>
      </c>
      <c r="Z448">
        <v>44.7</v>
      </c>
      <c r="AA448">
        <v>1530</v>
      </c>
      <c r="AB448">
        <v>474711</v>
      </c>
      <c r="AC448" t="s">
        <v>3824</v>
      </c>
      <c r="AD448">
        <v>50.61</v>
      </c>
      <c r="AE448" t="s">
        <v>4503</v>
      </c>
      <c r="AF448" t="s">
        <v>5153</v>
      </c>
      <c r="AG448">
        <v>1678</v>
      </c>
      <c r="AH448">
        <v>-208</v>
      </c>
    </row>
    <row r="449" spans="1:36">
      <c r="A449" s="1" t="s">
        <v>483</v>
      </c>
      <c r="B449" t="s">
        <v>1162</v>
      </c>
      <c r="C449">
        <f>HYPERLINK("https://finance.naver.com/item/coinfo.nhn?code=009160", "A009160")</f>
        <v>0</v>
      </c>
      <c r="D449">
        <f>HYPERLINK("http://comp.fnguide.com/SVO2/ASP/SVD_Consensus.asp?pGB=1&amp;gicode=A009160&amp;cID=&amp;MenuYn=Y&amp;ReportGB=&amp;NewMenuID=108&amp;stkGb=701", "SIMPAC")</f>
        <v>0</v>
      </c>
      <c r="E449">
        <v>3</v>
      </c>
      <c r="F449">
        <v>4800</v>
      </c>
      <c r="G449">
        <v>0</v>
      </c>
      <c r="H449">
        <v>4.73</v>
      </c>
      <c r="I449">
        <v>7990</v>
      </c>
      <c r="J449">
        <v>8178</v>
      </c>
      <c r="K449">
        <v>8233</v>
      </c>
      <c r="L449">
        <v>-66.45</v>
      </c>
      <c r="M449">
        <v>-70.37</v>
      </c>
      <c r="N449">
        <v>-71.51000000000001</v>
      </c>
      <c r="O449">
        <v>7.91</v>
      </c>
      <c r="P449" t="b">
        <v>0</v>
      </c>
      <c r="Q449">
        <v>0</v>
      </c>
      <c r="R449">
        <v>522</v>
      </c>
      <c r="U449" t="s">
        <v>1841</v>
      </c>
      <c r="V449" t="s">
        <v>2520</v>
      </c>
      <c r="W449">
        <v>0</v>
      </c>
      <c r="X449">
        <v>259.8</v>
      </c>
      <c r="Y449" t="s">
        <v>3163</v>
      </c>
      <c r="Z449">
        <v>-1.600102915036328</v>
      </c>
      <c r="AA449">
        <v>3141</v>
      </c>
      <c r="AB449">
        <v>492367</v>
      </c>
      <c r="AC449" t="s">
        <v>3825</v>
      </c>
      <c r="AD449">
        <v>60.01</v>
      </c>
      <c r="AE449" t="s">
        <v>4504</v>
      </c>
      <c r="AF449" t="s">
        <v>5154</v>
      </c>
      <c r="AG449">
        <v>3659</v>
      </c>
      <c r="AH449">
        <v>78</v>
      </c>
      <c r="AI449">
        <v>9568873</v>
      </c>
      <c r="AJ449">
        <v>2.43</v>
      </c>
    </row>
    <row r="450" spans="1:36">
      <c r="A450" s="1" t="s">
        <v>484</v>
      </c>
      <c r="B450" t="s">
        <v>1163</v>
      </c>
      <c r="C450">
        <f>HYPERLINK("https://finance.naver.com/item/coinfo.nhn?code=123700", "A123700")</f>
        <v>0</v>
      </c>
      <c r="D450">
        <f>HYPERLINK("http://comp.fnguide.com/SVO2/ASP/SVD_Consensus.asp?pGB=1&amp;gicode=A123700&amp;cID=&amp;MenuYn=Y&amp;ReportGB=&amp;NewMenuID=108&amp;stkGb=701", "SJM")</f>
        <v>0</v>
      </c>
      <c r="E450">
        <v>3</v>
      </c>
      <c r="F450">
        <v>5650</v>
      </c>
      <c r="G450">
        <v>0</v>
      </c>
      <c r="H450">
        <v>19.19</v>
      </c>
      <c r="I450">
        <v>3388</v>
      </c>
      <c r="J450">
        <v>7591</v>
      </c>
      <c r="K450">
        <v>8816</v>
      </c>
      <c r="L450">
        <v>40.03</v>
      </c>
      <c r="M450">
        <v>-34.36</v>
      </c>
      <c r="N450">
        <v>-56.03</v>
      </c>
      <c r="O450">
        <v>2.66</v>
      </c>
      <c r="P450" t="b">
        <v>1</v>
      </c>
      <c r="Q450">
        <v>0</v>
      </c>
      <c r="R450">
        <v>172</v>
      </c>
      <c r="U450" t="s">
        <v>1842</v>
      </c>
      <c r="V450" t="s">
        <v>2521</v>
      </c>
      <c r="W450">
        <v>0</v>
      </c>
      <c r="X450">
        <v>-60.8</v>
      </c>
      <c r="Y450" t="s">
        <v>3164</v>
      </c>
      <c r="Z450">
        <v>-34.30464874008469</v>
      </c>
      <c r="AA450">
        <v>882</v>
      </c>
      <c r="AB450">
        <v>279991</v>
      </c>
      <c r="AC450" t="s">
        <v>3826</v>
      </c>
      <c r="AD450">
        <v>53.03</v>
      </c>
      <c r="AE450" t="s">
        <v>4505</v>
      </c>
      <c r="AF450" t="s">
        <v>5155</v>
      </c>
      <c r="AG450">
        <v>1387</v>
      </c>
      <c r="AH450">
        <v>68</v>
      </c>
      <c r="AJ450">
        <v>1.52</v>
      </c>
    </row>
    <row r="451" spans="1:36">
      <c r="A451" s="1" t="s">
        <v>485</v>
      </c>
      <c r="B451" t="s">
        <v>1164</v>
      </c>
      <c r="C451">
        <f>HYPERLINK("https://finance.naver.com/item/coinfo.nhn?code=025530", "A025530")</f>
        <v>0</v>
      </c>
      <c r="D451">
        <f>HYPERLINK("http://comp.fnguide.com/SVO2/ASP/SVD_Consensus.asp?pGB=1&amp;gicode=A025530&amp;cID=&amp;MenuYn=Y&amp;ReportGB=&amp;NewMenuID=108&amp;stkGb=701", "SJM홀딩스")</f>
        <v>0</v>
      </c>
      <c r="E451">
        <v>3</v>
      </c>
      <c r="F451">
        <v>4360</v>
      </c>
      <c r="G451">
        <v>0</v>
      </c>
      <c r="H451">
        <v>15.19</v>
      </c>
      <c r="I451">
        <v>3259</v>
      </c>
      <c r="J451">
        <v>7771</v>
      </c>
      <c r="K451">
        <v>9085</v>
      </c>
      <c r="L451">
        <v>25.24</v>
      </c>
      <c r="M451">
        <v>-78.23</v>
      </c>
      <c r="N451">
        <v>-108.36</v>
      </c>
      <c r="O451">
        <v>2.47</v>
      </c>
      <c r="P451" t="b">
        <v>1</v>
      </c>
      <c r="Q451">
        <v>0</v>
      </c>
      <c r="R451">
        <v>201</v>
      </c>
      <c r="U451" t="s">
        <v>1843</v>
      </c>
      <c r="V451" t="s">
        <v>2522</v>
      </c>
      <c r="W451">
        <v>0</v>
      </c>
      <c r="X451">
        <v>-39.1</v>
      </c>
      <c r="Y451" t="s">
        <v>3165</v>
      </c>
      <c r="Z451">
        <v>-23.10137122845472</v>
      </c>
      <c r="AA451">
        <v>651</v>
      </c>
      <c r="AB451">
        <v>54185</v>
      </c>
      <c r="AC451" t="s">
        <v>3827</v>
      </c>
      <c r="AD451">
        <v>63.91</v>
      </c>
      <c r="AE451" t="s">
        <v>4506</v>
      </c>
      <c r="AF451" t="s">
        <v>5156</v>
      </c>
      <c r="AG451">
        <v>1416</v>
      </c>
      <c r="AH451">
        <v>64</v>
      </c>
      <c r="AI451">
        <v>1382017</v>
      </c>
      <c r="AJ451">
        <v>3.28</v>
      </c>
    </row>
    <row r="452" spans="1:36">
      <c r="A452" s="1" t="s">
        <v>486</v>
      </c>
      <c r="B452" t="s">
        <v>1165</v>
      </c>
      <c r="C452">
        <f>HYPERLINK("https://finance.naver.com/item/coinfo.nhn?code=034730", "A034730")</f>
        <v>0</v>
      </c>
      <c r="D452">
        <f>HYPERLINK("http://comp.fnguide.com/SVO2/ASP/SVD_Consensus.asp?pGB=1&amp;gicode=A034730&amp;cID=&amp;MenuYn=Y&amp;ReportGB=&amp;NewMenuID=108&amp;stkGb=701", "SK")</f>
        <v>0</v>
      </c>
      <c r="E452">
        <v>3</v>
      </c>
      <c r="F452">
        <v>270000</v>
      </c>
      <c r="G452">
        <v>-3.62</v>
      </c>
      <c r="H452">
        <v>90.08</v>
      </c>
      <c r="I452">
        <v>181200</v>
      </c>
      <c r="J452">
        <v>271564</v>
      </c>
      <c r="K452">
        <v>297885</v>
      </c>
      <c r="L452">
        <v>32.89</v>
      </c>
      <c r="M452">
        <v>-0.58</v>
      </c>
      <c r="N452">
        <v>-10.33</v>
      </c>
      <c r="O452">
        <v>4.47</v>
      </c>
      <c r="P452" t="b">
        <v>0</v>
      </c>
      <c r="Q452">
        <v>1</v>
      </c>
      <c r="R452">
        <v>2670</v>
      </c>
      <c r="S452">
        <v>13470</v>
      </c>
      <c r="T452">
        <v>404.5</v>
      </c>
      <c r="U452" t="s">
        <v>1844</v>
      </c>
      <c r="V452" t="s">
        <v>2523</v>
      </c>
      <c r="W452">
        <v>-24.90159051549827</v>
      </c>
      <c r="X452">
        <v>-73.59999999999999</v>
      </c>
      <c r="Y452" t="s">
        <v>3166</v>
      </c>
      <c r="Z452">
        <v>-50.94430245882752</v>
      </c>
      <c r="AA452">
        <v>189973</v>
      </c>
      <c r="AB452">
        <v>173146</v>
      </c>
      <c r="AC452" t="s">
        <v>3828</v>
      </c>
      <c r="AD452">
        <v>28.52</v>
      </c>
      <c r="AE452" t="s">
        <v>4507</v>
      </c>
      <c r="AF452" t="s">
        <v>5157</v>
      </c>
      <c r="AG452">
        <v>818201</v>
      </c>
      <c r="AH452">
        <v>-1645</v>
      </c>
      <c r="AI452">
        <v>18055950</v>
      </c>
      <c r="AJ452">
        <v>2.91</v>
      </c>
    </row>
    <row r="453" spans="1:36">
      <c r="A453" s="1" t="s">
        <v>487</v>
      </c>
      <c r="B453" t="s">
        <v>1166</v>
      </c>
      <c r="C453">
        <f>HYPERLINK("https://finance.naver.com/item/coinfo.nhn?code=018670", "A018670")</f>
        <v>0</v>
      </c>
      <c r="D453">
        <f>HYPERLINK("http://comp.fnguide.com/SVO2/ASP/SVD_Consensus.asp?pGB=1&amp;gicode=A018670&amp;cID=&amp;MenuYn=Y&amp;ReportGB=&amp;NewMenuID=108&amp;stkGb=701", "SK가스")</f>
        <v>0</v>
      </c>
      <c r="E453">
        <v>3</v>
      </c>
      <c r="F453">
        <v>105000</v>
      </c>
      <c r="G453">
        <v>0.1</v>
      </c>
      <c r="H453">
        <v>3.64</v>
      </c>
      <c r="I453">
        <v>294474</v>
      </c>
      <c r="J453">
        <v>245814</v>
      </c>
      <c r="K453">
        <v>231640</v>
      </c>
      <c r="L453">
        <v>-180.45</v>
      </c>
      <c r="M453">
        <v>-134.11</v>
      </c>
      <c r="N453">
        <v>-120.61</v>
      </c>
      <c r="O453">
        <v>11.39</v>
      </c>
      <c r="P453" t="b">
        <v>1</v>
      </c>
      <c r="Q453">
        <v>0</v>
      </c>
      <c r="R453">
        <v>28748</v>
      </c>
      <c r="S453">
        <v>16013</v>
      </c>
      <c r="T453">
        <v>-44.3</v>
      </c>
      <c r="U453" t="s">
        <v>1845</v>
      </c>
      <c r="V453" t="s">
        <v>2524</v>
      </c>
      <c r="W453">
        <v>35.23735491538962</v>
      </c>
      <c r="X453">
        <v>67</v>
      </c>
      <c r="Y453" t="s">
        <v>3167</v>
      </c>
      <c r="Z453">
        <v>30.80623242028771</v>
      </c>
      <c r="AA453">
        <v>9692</v>
      </c>
      <c r="AB453">
        <v>9219</v>
      </c>
      <c r="AC453" t="s">
        <v>3829</v>
      </c>
      <c r="AD453">
        <v>72.34999999999999</v>
      </c>
      <c r="AE453" t="s">
        <v>4508</v>
      </c>
      <c r="AF453" t="s">
        <v>5158</v>
      </c>
      <c r="AG453">
        <v>44123</v>
      </c>
      <c r="AH453">
        <v>1902</v>
      </c>
      <c r="AI453">
        <v>297248</v>
      </c>
      <c r="AJ453">
        <v>3.83</v>
      </c>
    </row>
    <row r="454" spans="1:36">
      <c r="A454" s="1" t="s">
        <v>488</v>
      </c>
      <c r="B454" t="s">
        <v>1167</v>
      </c>
      <c r="C454">
        <f>HYPERLINK("https://finance.naver.com/item/coinfo.nhn?code=001740", "A001740")</f>
        <v>0</v>
      </c>
      <c r="D454">
        <f>HYPERLINK("http://comp.fnguide.com/SVO2/ASP/SVD_Consensus.asp?pGB=1&amp;gicode=A001740&amp;cID=&amp;MenuYn=Y&amp;ReportGB=&amp;NewMenuID=108&amp;stkGb=701", "SK네트웍스")</f>
        <v>0</v>
      </c>
      <c r="E454">
        <v>3</v>
      </c>
      <c r="F454">
        <v>5630</v>
      </c>
      <c r="G454">
        <v>0.24</v>
      </c>
      <c r="H454">
        <v>34.95</v>
      </c>
      <c r="I454">
        <v>993</v>
      </c>
      <c r="J454">
        <v>5997</v>
      </c>
      <c r="K454">
        <v>7454</v>
      </c>
      <c r="L454">
        <v>82.36</v>
      </c>
      <c r="M454">
        <v>-6.51</v>
      </c>
      <c r="N454">
        <v>-32.4</v>
      </c>
      <c r="O454">
        <v>0.87</v>
      </c>
      <c r="P454" t="b">
        <v>0</v>
      </c>
      <c r="Q454">
        <v>2</v>
      </c>
      <c r="R454">
        <v>139</v>
      </c>
      <c r="S454">
        <v>434</v>
      </c>
      <c r="T454">
        <v>212.2</v>
      </c>
      <c r="U454" t="s">
        <v>1846</v>
      </c>
      <c r="V454" t="s">
        <v>2525</v>
      </c>
      <c r="W454">
        <v>146.3419905992628</v>
      </c>
      <c r="X454">
        <v>0</v>
      </c>
      <c r="Y454" t="s">
        <v>3168</v>
      </c>
      <c r="Z454">
        <v>-78.3</v>
      </c>
      <c r="AA454">
        <v>13973</v>
      </c>
      <c r="AB454">
        <v>1353497</v>
      </c>
      <c r="AC454" t="s">
        <v>3830</v>
      </c>
      <c r="AD454">
        <v>42</v>
      </c>
      <c r="AE454" t="s">
        <v>4509</v>
      </c>
      <c r="AF454" t="s">
        <v>5159</v>
      </c>
      <c r="AG454">
        <v>106259</v>
      </c>
      <c r="AH454">
        <v>1239</v>
      </c>
      <c r="AI454">
        <v>29632965</v>
      </c>
      <c r="AJ454">
        <v>2.47</v>
      </c>
    </row>
    <row r="455" spans="1:36">
      <c r="A455" s="1" t="s">
        <v>489</v>
      </c>
      <c r="B455" t="s">
        <v>1168</v>
      </c>
      <c r="C455">
        <f>HYPERLINK("https://finance.naver.com/item/coinfo.nhn?code=006120", "A006120")</f>
        <v>0</v>
      </c>
      <c r="D455">
        <f>HYPERLINK("http://comp.fnguide.com/SVO2/ASP/SVD_Consensus.asp?pGB=1&amp;gicode=A006120&amp;cID=&amp;MenuYn=Y&amp;ReportGB=&amp;NewMenuID=108&amp;stkGb=701", "SK디스커버리")</f>
        <v>0</v>
      </c>
      <c r="E455">
        <v>3</v>
      </c>
      <c r="F455">
        <v>54000</v>
      </c>
      <c r="G455">
        <v>0</v>
      </c>
      <c r="H455">
        <v>5.02</v>
      </c>
      <c r="I455">
        <v>150909</v>
      </c>
      <c r="J455">
        <v>122058</v>
      </c>
      <c r="K455">
        <v>113654</v>
      </c>
      <c r="L455">
        <v>-179.46</v>
      </c>
      <c r="M455">
        <v>-126.03</v>
      </c>
      <c r="N455">
        <v>-110.47</v>
      </c>
      <c r="O455">
        <v>12.12</v>
      </c>
      <c r="P455" t="b">
        <v>1</v>
      </c>
      <c r="Q455">
        <v>0</v>
      </c>
      <c r="R455">
        <v>13091</v>
      </c>
      <c r="U455" t="s">
        <v>1847</v>
      </c>
      <c r="V455" t="s">
        <v>2526</v>
      </c>
      <c r="W455">
        <v>0</v>
      </c>
      <c r="X455">
        <v>48</v>
      </c>
      <c r="Y455" t="s">
        <v>3169</v>
      </c>
      <c r="Z455">
        <v>41.69293200214976</v>
      </c>
      <c r="AA455">
        <v>10280</v>
      </c>
      <c r="AB455">
        <v>47138</v>
      </c>
      <c r="AC455" t="s">
        <v>3831</v>
      </c>
      <c r="AD455">
        <v>47.5</v>
      </c>
      <c r="AE455" t="s">
        <v>4510</v>
      </c>
      <c r="AF455" t="s">
        <v>5160</v>
      </c>
      <c r="AG455">
        <v>45195</v>
      </c>
      <c r="AH455">
        <v>1730</v>
      </c>
      <c r="AI455">
        <v>12137</v>
      </c>
      <c r="AJ455">
        <v>1.52</v>
      </c>
    </row>
    <row r="456" spans="1:36">
      <c r="A456" s="1" t="s">
        <v>490</v>
      </c>
      <c r="B456" t="s">
        <v>1169</v>
      </c>
      <c r="C456">
        <f>HYPERLINK("https://finance.naver.com/item/coinfo.nhn?code=001510", "A001510")</f>
        <v>0</v>
      </c>
      <c r="D456">
        <f>HYPERLINK("http://comp.fnguide.com/SVO2/ASP/SVD_Consensus.asp?pGB=1&amp;gicode=A001510&amp;cID=&amp;MenuYn=Y&amp;ReportGB=&amp;NewMenuID=108&amp;stkGb=701", "SK증권")</f>
        <v>0</v>
      </c>
      <c r="E456">
        <v>3</v>
      </c>
      <c r="F456">
        <v>1010</v>
      </c>
      <c r="G456">
        <v>0</v>
      </c>
      <c r="H456">
        <v>33.58</v>
      </c>
      <c r="I456">
        <v>540</v>
      </c>
      <c r="J456">
        <v>1008</v>
      </c>
      <c r="K456">
        <v>1145</v>
      </c>
      <c r="L456">
        <v>46.5</v>
      </c>
      <c r="M456">
        <v>0.15</v>
      </c>
      <c r="N456">
        <v>-13.35</v>
      </c>
      <c r="O456">
        <v>3.34</v>
      </c>
      <c r="P456" t="b">
        <v>0</v>
      </c>
      <c r="Q456">
        <v>0</v>
      </c>
      <c r="R456">
        <v>24</v>
      </c>
      <c r="U456" t="s">
        <v>1848</v>
      </c>
      <c r="V456" t="s">
        <v>2527</v>
      </c>
      <c r="W456">
        <v>0</v>
      </c>
      <c r="X456">
        <v>2</v>
      </c>
      <c r="Y456" t="s">
        <v>3170</v>
      </c>
      <c r="Z456">
        <v>3.532002848136484</v>
      </c>
      <c r="AA456">
        <v>4773</v>
      </c>
      <c r="AB456">
        <v>4673326</v>
      </c>
      <c r="AC456" t="s">
        <v>3832</v>
      </c>
      <c r="AD456">
        <v>19.6</v>
      </c>
      <c r="AE456" t="s">
        <v>4511</v>
      </c>
      <c r="AF456" t="s">
        <v>5161</v>
      </c>
      <c r="AG456">
        <v>2372</v>
      </c>
      <c r="AH456">
        <v>123</v>
      </c>
      <c r="AI456">
        <v>39683968</v>
      </c>
      <c r="AJ456">
        <v>1.25</v>
      </c>
    </row>
    <row r="457" spans="1:36">
      <c r="A457" s="1" t="s">
        <v>491</v>
      </c>
      <c r="B457" t="s">
        <v>1170</v>
      </c>
      <c r="C457">
        <f>HYPERLINK("https://finance.naver.com/item/coinfo.nhn?code=017670", "A017670")</f>
        <v>0</v>
      </c>
      <c r="D457">
        <f>HYPERLINK("http://comp.fnguide.com/SVO2/ASP/SVD_Consensus.asp?pGB=1&amp;gicode=A017670&amp;cID=&amp;MenuYn=Y&amp;ReportGB=&amp;NewMenuID=108&amp;stkGb=701", "SK텔레콤")</f>
        <v>0</v>
      </c>
      <c r="E457">
        <v>3</v>
      </c>
      <c r="F457">
        <v>317000</v>
      </c>
      <c r="G457">
        <v>-1.58</v>
      </c>
      <c r="H457">
        <v>12.77</v>
      </c>
      <c r="I457">
        <v>328735</v>
      </c>
      <c r="J457">
        <v>359219</v>
      </c>
      <c r="K457">
        <v>368098</v>
      </c>
      <c r="L457">
        <v>-3.7</v>
      </c>
      <c r="M457">
        <v>-13.32</v>
      </c>
      <c r="N457">
        <v>-16.12</v>
      </c>
      <c r="O457">
        <v>7.11</v>
      </c>
      <c r="P457" t="b">
        <v>0</v>
      </c>
      <c r="Q457">
        <v>2</v>
      </c>
      <c r="R457">
        <v>18631</v>
      </c>
      <c r="S457">
        <v>30068</v>
      </c>
      <c r="T457">
        <v>61.4</v>
      </c>
      <c r="U457" t="s">
        <v>1849</v>
      </c>
      <c r="V457" t="s">
        <v>2528</v>
      </c>
      <c r="W457">
        <v>-8.104775549564424</v>
      </c>
      <c r="X457">
        <v>69.3</v>
      </c>
      <c r="Y457" t="s">
        <v>3171</v>
      </c>
      <c r="Z457">
        <v>-0.1922283767032851</v>
      </c>
      <c r="AA457">
        <v>228431</v>
      </c>
      <c r="AB457">
        <v>319487</v>
      </c>
      <c r="AC457" t="s">
        <v>3833</v>
      </c>
      <c r="AD457">
        <v>30.02</v>
      </c>
      <c r="AE457" t="s">
        <v>4512</v>
      </c>
      <c r="AF457" t="s">
        <v>5162</v>
      </c>
      <c r="AG457">
        <v>186247</v>
      </c>
      <c r="AH457">
        <v>13493</v>
      </c>
      <c r="AI457">
        <v>9585568</v>
      </c>
      <c r="AJ457">
        <v>4.2</v>
      </c>
    </row>
    <row r="458" spans="1:36">
      <c r="A458" s="1" t="s">
        <v>492</v>
      </c>
      <c r="B458" t="s">
        <v>1171</v>
      </c>
      <c r="C458">
        <f>HYPERLINK("https://finance.naver.com/item/coinfo.nhn?code=100840", "A100840")</f>
        <v>0</v>
      </c>
      <c r="D458">
        <f>HYPERLINK("http://comp.fnguide.com/SVO2/ASP/SVD_Consensus.asp?pGB=1&amp;gicode=A100840&amp;cID=&amp;MenuYn=Y&amp;ReportGB=&amp;NewMenuID=108&amp;stkGb=701", "SNT에너지")</f>
        <v>0</v>
      </c>
      <c r="E458">
        <v>3</v>
      </c>
      <c r="F458">
        <v>18500</v>
      </c>
      <c r="G458">
        <v>0</v>
      </c>
      <c r="H458">
        <v>12</v>
      </c>
      <c r="I458">
        <v>19464</v>
      </c>
      <c r="J458">
        <v>29859</v>
      </c>
      <c r="K458">
        <v>32887</v>
      </c>
      <c r="L458">
        <v>-5.21</v>
      </c>
      <c r="M458">
        <v>-61.4</v>
      </c>
      <c r="N458">
        <v>-77.77</v>
      </c>
      <c r="O458">
        <v>4.33</v>
      </c>
      <c r="P458" t="b">
        <v>0</v>
      </c>
      <c r="Q458">
        <v>0</v>
      </c>
      <c r="R458">
        <v>1304</v>
      </c>
      <c r="U458" t="s">
        <v>1850</v>
      </c>
      <c r="V458" t="s">
        <v>2529</v>
      </c>
      <c r="W458">
        <v>0</v>
      </c>
      <c r="X458">
        <v>-13.9</v>
      </c>
      <c r="Y458" t="s">
        <v>3172</v>
      </c>
      <c r="Z458">
        <v>38.35557401847858</v>
      </c>
      <c r="AA458">
        <v>1389</v>
      </c>
      <c r="AB458">
        <v>16415</v>
      </c>
      <c r="AC458" t="s">
        <v>3834</v>
      </c>
      <c r="AD458">
        <v>55.93</v>
      </c>
      <c r="AE458" t="s">
        <v>4513</v>
      </c>
      <c r="AF458" t="s">
        <v>5163</v>
      </c>
      <c r="AG458">
        <v>2374</v>
      </c>
      <c r="AH458">
        <v>231</v>
      </c>
      <c r="AI458">
        <v>1127687</v>
      </c>
      <c r="AJ458">
        <v>5.11</v>
      </c>
    </row>
    <row r="459" spans="1:36">
      <c r="A459" s="1" t="s">
        <v>493</v>
      </c>
      <c r="B459" t="s">
        <v>1172</v>
      </c>
      <c r="C459">
        <f>HYPERLINK("https://finance.naver.com/item/coinfo.nhn?code=003570", "A003570")</f>
        <v>0</v>
      </c>
      <c r="D459">
        <f>HYPERLINK("http://comp.fnguide.com/SVO2/ASP/SVD_Consensus.asp?pGB=1&amp;gicode=A003570&amp;cID=&amp;MenuYn=Y&amp;ReportGB=&amp;NewMenuID=108&amp;stkGb=701", "SNT중공업")</f>
        <v>0</v>
      </c>
      <c r="E459">
        <v>3</v>
      </c>
      <c r="F459">
        <v>8800</v>
      </c>
      <c r="G459">
        <v>0</v>
      </c>
      <c r="H459">
        <v>23.48</v>
      </c>
      <c r="I459">
        <v>6946</v>
      </c>
      <c r="J459">
        <v>18692</v>
      </c>
      <c r="K459">
        <v>22113</v>
      </c>
      <c r="L459">
        <v>21.07</v>
      </c>
      <c r="M459">
        <v>-112.41</v>
      </c>
      <c r="N459">
        <v>-151.29</v>
      </c>
      <c r="O459">
        <v>2.14</v>
      </c>
      <c r="P459" t="b">
        <v>1</v>
      </c>
      <c r="Q459">
        <v>0</v>
      </c>
      <c r="R459">
        <v>251</v>
      </c>
      <c r="U459" t="s">
        <v>1851</v>
      </c>
      <c r="V459" t="s">
        <v>2530</v>
      </c>
      <c r="W459">
        <v>0</v>
      </c>
      <c r="X459">
        <v>1521.7</v>
      </c>
      <c r="Y459" t="s">
        <v>3173</v>
      </c>
      <c r="Z459">
        <v>89.68333475469971</v>
      </c>
      <c r="AA459">
        <v>2926</v>
      </c>
      <c r="AB459">
        <v>348202</v>
      </c>
      <c r="AC459" t="s">
        <v>3835</v>
      </c>
      <c r="AD459">
        <v>42.27</v>
      </c>
      <c r="AE459" t="s">
        <v>4514</v>
      </c>
      <c r="AF459" t="s">
        <v>5164</v>
      </c>
      <c r="AG459">
        <v>3018</v>
      </c>
      <c r="AH459">
        <v>136</v>
      </c>
      <c r="AI459">
        <v>10896224</v>
      </c>
      <c r="AJ459">
        <v>5.09</v>
      </c>
    </row>
    <row r="460" spans="1:36">
      <c r="A460" s="1" t="s">
        <v>494</v>
      </c>
      <c r="B460" t="s">
        <v>1173</v>
      </c>
      <c r="C460">
        <f>HYPERLINK("https://finance.naver.com/item/coinfo.nhn?code=006090", "A006090")</f>
        <v>0</v>
      </c>
      <c r="D460">
        <f>HYPERLINK("http://comp.fnguide.com/SVO2/ASP/SVD_Consensus.asp?pGB=1&amp;gicode=A006090&amp;cID=&amp;MenuYn=Y&amp;ReportGB=&amp;NewMenuID=108&amp;stkGb=701", "사조오양")</f>
        <v>0</v>
      </c>
      <c r="E460">
        <v>3</v>
      </c>
      <c r="F460">
        <v>11400</v>
      </c>
      <c r="G460">
        <v>0</v>
      </c>
      <c r="H460">
        <v>5.02</v>
      </c>
      <c r="I460">
        <v>21087</v>
      </c>
      <c r="J460">
        <v>20211</v>
      </c>
      <c r="K460">
        <v>19956</v>
      </c>
      <c r="L460">
        <v>-84.98</v>
      </c>
      <c r="M460">
        <v>-77.29000000000001</v>
      </c>
      <c r="N460">
        <v>-75.05</v>
      </c>
      <c r="O460">
        <v>8.84</v>
      </c>
      <c r="P460" t="b">
        <v>1</v>
      </c>
      <c r="Q460">
        <v>0</v>
      </c>
      <c r="R460">
        <v>1959</v>
      </c>
      <c r="U460" t="s">
        <v>1852</v>
      </c>
      <c r="V460" t="s">
        <v>2531</v>
      </c>
      <c r="W460">
        <v>0</v>
      </c>
      <c r="X460">
        <v>39.7</v>
      </c>
      <c r="Y460" t="s">
        <v>3174</v>
      </c>
      <c r="Z460">
        <v>7.874876036324818</v>
      </c>
      <c r="AA460">
        <v>1074</v>
      </c>
      <c r="AB460">
        <v>113977</v>
      </c>
      <c r="AC460" t="s">
        <v>3836</v>
      </c>
      <c r="AD460">
        <v>60.53</v>
      </c>
      <c r="AE460" t="s">
        <v>4515</v>
      </c>
      <c r="AF460" t="s">
        <v>5165</v>
      </c>
      <c r="AG460">
        <v>3276</v>
      </c>
      <c r="AH460">
        <v>267</v>
      </c>
      <c r="AI460">
        <v>3</v>
      </c>
      <c r="AJ460">
        <v>1.52</v>
      </c>
    </row>
    <row r="461" spans="1:36">
      <c r="A461" s="1" t="s">
        <v>495</v>
      </c>
      <c r="B461" t="s">
        <v>1174</v>
      </c>
      <c r="C461">
        <f>HYPERLINK("https://finance.naver.com/item/coinfo.nhn?code=071840", "A071840")</f>
        <v>0</v>
      </c>
      <c r="D461">
        <f>HYPERLINK("http://comp.fnguide.com/SVO2/ASP/SVD_Consensus.asp?pGB=1&amp;gicode=A071840&amp;cID=&amp;MenuYn=Y&amp;ReportGB=&amp;NewMenuID=108&amp;stkGb=701", "롯데하이마트")</f>
        <v>0</v>
      </c>
      <c r="E461">
        <v>3</v>
      </c>
      <c r="F461">
        <v>40050</v>
      </c>
      <c r="G461">
        <v>0</v>
      </c>
      <c r="H461">
        <v>25.6</v>
      </c>
      <c r="I461">
        <v>14336</v>
      </c>
      <c r="J461">
        <v>54373</v>
      </c>
      <c r="K461">
        <v>66035</v>
      </c>
      <c r="L461">
        <v>64.2</v>
      </c>
      <c r="M461">
        <v>-35.76</v>
      </c>
      <c r="N461">
        <v>-64.88</v>
      </c>
      <c r="O461">
        <v>1.44</v>
      </c>
      <c r="P461" t="b">
        <v>1</v>
      </c>
      <c r="Q461">
        <v>0</v>
      </c>
      <c r="R461">
        <v>1217</v>
      </c>
      <c r="U461" t="s">
        <v>1853</v>
      </c>
      <c r="V461" t="s">
        <v>2532</v>
      </c>
      <c r="W461">
        <v>0</v>
      </c>
      <c r="X461">
        <v>0</v>
      </c>
      <c r="Y461" t="s">
        <v>3175</v>
      </c>
      <c r="Z461">
        <v>-7.1021197236382</v>
      </c>
      <c r="AA461">
        <v>9455</v>
      </c>
      <c r="AB461">
        <v>64385</v>
      </c>
      <c r="AC461" t="s">
        <v>3837</v>
      </c>
      <c r="AD461">
        <v>65.39</v>
      </c>
      <c r="AE461" t="s">
        <v>4516</v>
      </c>
      <c r="AF461" t="s">
        <v>5166</v>
      </c>
      <c r="AG461">
        <v>40517</v>
      </c>
      <c r="AH461">
        <v>1611</v>
      </c>
      <c r="AI461">
        <v>45904</v>
      </c>
      <c r="AJ461">
        <v>3.85</v>
      </c>
    </row>
    <row r="462" spans="1:36">
      <c r="A462" s="1" t="s">
        <v>496</v>
      </c>
      <c r="B462" t="s">
        <v>1175</v>
      </c>
      <c r="C462">
        <f>HYPERLINK("https://finance.naver.com/item/coinfo.nhn?code=028260", "A028260")</f>
        <v>0</v>
      </c>
      <c r="D462">
        <f>HYPERLINK("http://comp.fnguide.com/SVO2/ASP/SVD_Consensus.asp?pGB=1&amp;gicode=A028260&amp;cID=&amp;MenuYn=Y&amp;ReportGB=&amp;NewMenuID=108&amp;stkGb=701", "삼성물산")</f>
        <v>0</v>
      </c>
      <c r="E462">
        <v>3</v>
      </c>
      <c r="F462">
        <v>140000</v>
      </c>
      <c r="G462">
        <v>-9.76</v>
      </c>
      <c r="H462">
        <v>25.24</v>
      </c>
      <c r="I462">
        <v>108737</v>
      </c>
      <c r="J462">
        <v>153879</v>
      </c>
      <c r="K462">
        <v>167027</v>
      </c>
      <c r="L462">
        <v>22.33</v>
      </c>
      <c r="M462">
        <v>-9.91</v>
      </c>
      <c r="N462">
        <v>-19.31</v>
      </c>
      <c r="O462">
        <v>4.84</v>
      </c>
      <c r="P462" t="b">
        <v>1</v>
      </c>
      <c r="Q462">
        <v>1</v>
      </c>
      <c r="R462">
        <v>5468</v>
      </c>
      <c r="S462">
        <v>8281</v>
      </c>
      <c r="T462">
        <v>51.4</v>
      </c>
      <c r="U462" t="s">
        <v>1854</v>
      </c>
      <c r="V462" t="s">
        <v>2533</v>
      </c>
      <c r="W462">
        <v>-2.58737885036785</v>
      </c>
      <c r="X462">
        <v>-0.4</v>
      </c>
      <c r="Y462" t="s">
        <v>3176</v>
      </c>
      <c r="Z462">
        <v>-21.29628590985391</v>
      </c>
      <c r="AA462">
        <v>261642</v>
      </c>
      <c r="AB462">
        <v>1000628</v>
      </c>
      <c r="AC462" t="s">
        <v>3838</v>
      </c>
      <c r="AD462">
        <v>33.71</v>
      </c>
      <c r="AE462" t="s">
        <v>4517</v>
      </c>
      <c r="AF462" t="s">
        <v>5167</v>
      </c>
      <c r="AG462">
        <v>302161</v>
      </c>
      <c r="AH462">
        <v>8571</v>
      </c>
      <c r="AI462">
        <v>23422688</v>
      </c>
      <c r="AJ462">
        <v>1.67</v>
      </c>
    </row>
    <row r="463" spans="1:36">
      <c r="A463" s="1" t="s">
        <v>497</v>
      </c>
      <c r="B463" t="s">
        <v>1176</v>
      </c>
      <c r="C463">
        <f>HYPERLINK("https://finance.naver.com/item/coinfo.nhn?code=000950", "A000950")</f>
        <v>0</v>
      </c>
      <c r="D463">
        <f>HYPERLINK("http://comp.fnguide.com/SVO2/ASP/SVD_Consensus.asp?pGB=1&amp;gicode=A000950&amp;cID=&amp;MenuYn=Y&amp;ReportGB=&amp;NewMenuID=108&amp;stkGb=701", "전방")</f>
        <v>0</v>
      </c>
      <c r="E463">
        <v>3</v>
      </c>
      <c r="F463">
        <v>40250</v>
      </c>
      <c r="G463">
        <v>0</v>
      </c>
      <c r="H463">
        <v>8.5</v>
      </c>
      <c r="I463">
        <v>32579</v>
      </c>
      <c r="J463">
        <v>86362</v>
      </c>
      <c r="K463">
        <v>102027</v>
      </c>
      <c r="L463">
        <v>19.06</v>
      </c>
      <c r="M463">
        <v>-114.56</v>
      </c>
      <c r="N463">
        <v>-153.48</v>
      </c>
      <c r="O463">
        <v>2.17</v>
      </c>
      <c r="P463" t="b">
        <v>1</v>
      </c>
      <c r="Q463">
        <v>0</v>
      </c>
      <c r="R463">
        <v>3514</v>
      </c>
      <c r="U463" t="s">
        <v>1855</v>
      </c>
      <c r="V463" t="s">
        <v>2534</v>
      </c>
      <c r="W463">
        <v>0</v>
      </c>
      <c r="X463">
        <v>0</v>
      </c>
      <c r="Y463" t="s">
        <v>2762</v>
      </c>
      <c r="Z463">
        <v>0</v>
      </c>
      <c r="AA463">
        <v>676</v>
      </c>
      <c r="AB463">
        <v>2251</v>
      </c>
      <c r="AC463" t="s">
        <v>3839</v>
      </c>
      <c r="AD463">
        <v>20.46</v>
      </c>
      <c r="AE463" t="s">
        <v>4518</v>
      </c>
      <c r="AF463" t="s">
        <v>5168</v>
      </c>
      <c r="AG463">
        <v>1052</v>
      </c>
      <c r="AH463">
        <v>-180</v>
      </c>
      <c r="AI463">
        <v>540530</v>
      </c>
    </row>
    <row r="464" spans="1:36">
      <c r="A464" s="1" t="s">
        <v>498</v>
      </c>
      <c r="B464" t="s">
        <v>1177</v>
      </c>
      <c r="C464">
        <f>HYPERLINK("https://finance.naver.com/item/coinfo.nhn?code=004970", "A004970")</f>
        <v>0</v>
      </c>
      <c r="D464">
        <f>HYPERLINK("http://comp.fnguide.com/SVO2/ASP/SVD_Consensus.asp?pGB=1&amp;gicode=A004970&amp;cID=&amp;MenuYn=Y&amp;ReportGB=&amp;NewMenuID=108&amp;stkGb=701", "신라교역")</f>
        <v>0</v>
      </c>
      <c r="E464">
        <v>3</v>
      </c>
      <c r="F464">
        <v>12250</v>
      </c>
      <c r="G464">
        <v>0</v>
      </c>
      <c r="H464">
        <v>19.08</v>
      </c>
      <c r="I464">
        <v>10914</v>
      </c>
      <c r="J464">
        <v>23657</v>
      </c>
      <c r="K464">
        <v>27369</v>
      </c>
      <c r="L464">
        <v>10.9</v>
      </c>
      <c r="M464">
        <v>-93.12</v>
      </c>
      <c r="N464">
        <v>-123.42</v>
      </c>
      <c r="O464">
        <v>2.77</v>
      </c>
      <c r="P464" t="b">
        <v>0</v>
      </c>
      <c r="Q464">
        <v>0</v>
      </c>
      <c r="R464">
        <v>479</v>
      </c>
      <c r="U464" t="s">
        <v>1856</v>
      </c>
      <c r="V464" t="s">
        <v>2535</v>
      </c>
      <c r="W464">
        <v>0</v>
      </c>
      <c r="X464">
        <v>-25.7</v>
      </c>
      <c r="Y464" t="s">
        <v>3177</v>
      </c>
      <c r="Z464">
        <v>-14.49206130811981</v>
      </c>
      <c r="AA464">
        <v>1960</v>
      </c>
      <c r="AB464">
        <v>26409</v>
      </c>
      <c r="AC464" t="s">
        <v>3840</v>
      </c>
      <c r="AD464">
        <v>66.17</v>
      </c>
      <c r="AE464" t="s">
        <v>4519</v>
      </c>
      <c r="AF464" t="s">
        <v>5169</v>
      </c>
      <c r="AG464">
        <v>3723</v>
      </c>
      <c r="AH464">
        <v>-49</v>
      </c>
      <c r="AJ464">
        <v>5.47</v>
      </c>
    </row>
    <row r="465" spans="1:36">
      <c r="A465" s="1" t="s">
        <v>499</v>
      </c>
      <c r="B465" t="s">
        <v>1178</v>
      </c>
      <c r="C465">
        <f>HYPERLINK("https://finance.naver.com/item/coinfo.nhn?code=006220", "A006220")</f>
        <v>0</v>
      </c>
      <c r="D465">
        <f>HYPERLINK("http://comp.fnguide.com/SVO2/ASP/SVD_Consensus.asp?pGB=1&amp;gicode=A006220&amp;cID=&amp;MenuYn=Y&amp;ReportGB=&amp;NewMenuID=108&amp;stkGb=701", "제주은행")</f>
        <v>0</v>
      </c>
      <c r="E465">
        <v>3</v>
      </c>
      <c r="F465">
        <v>7040</v>
      </c>
      <c r="G465">
        <v>0</v>
      </c>
      <c r="H465">
        <v>6.07</v>
      </c>
      <c r="I465">
        <v>9069</v>
      </c>
      <c r="J465">
        <v>13099</v>
      </c>
      <c r="K465">
        <v>14274</v>
      </c>
      <c r="L465">
        <v>-28.82</v>
      </c>
      <c r="M465">
        <v>-86.06999999999999</v>
      </c>
      <c r="N465">
        <v>-102.75</v>
      </c>
      <c r="O465">
        <v>4.7</v>
      </c>
      <c r="P465" t="b">
        <v>0</v>
      </c>
      <c r="Q465">
        <v>0</v>
      </c>
      <c r="R465">
        <v>545</v>
      </c>
      <c r="U465" t="s">
        <v>1857</v>
      </c>
      <c r="V465" t="s">
        <v>2536</v>
      </c>
      <c r="W465">
        <v>0</v>
      </c>
      <c r="X465">
        <v>2.1</v>
      </c>
      <c r="Y465" t="s">
        <v>3178</v>
      </c>
      <c r="Z465">
        <v>2.359890504186613</v>
      </c>
      <c r="AA465">
        <v>2262</v>
      </c>
      <c r="AB465">
        <v>850554</v>
      </c>
      <c r="AC465" t="s">
        <v>3841</v>
      </c>
      <c r="AD465">
        <v>75.31</v>
      </c>
      <c r="AE465" t="s">
        <v>4520</v>
      </c>
      <c r="AF465" t="s">
        <v>5170</v>
      </c>
      <c r="AG465">
        <v>1827</v>
      </c>
      <c r="AH465">
        <v>216</v>
      </c>
      <c r="AJ465">
        <v>3.02</v>
      </c>
    </row>
    <row r="466" spans="1:36">
      <c r="A466" s="1" t="s">
        <v>500</v>
      </c>
      <c r="B466" t="s">
        <v>1179</v>
      </c>
      <c r="C466">
        <f>HYPERLINK("https://finance.naver.com/item/coinfo.nhn?code=004170", "A004170")</f>
        <v>0</v>
      </c>
      <c r="D466">
        <f>HYPERLINK("http://comp.fnguide.com/SVO2/ASP/SVD_Consensus.asp?pGB=1&amp;gicode=A004170&amp;cID=&amp;MenuYn=Y&amp;ReportGB=&amp;NewMenuID=108&amp;stkGb=701", "신세계")</f>
        <v>0</v>
      </c>
      <c r="E466">
        <v>3</v>
      </c>
      <c r="F466">
        <v>308000</v>
      </c>
      <c r="I466">
        <v>251333</v>
      </c>
      <c r="J466">
        <v>309917</v>
      </c>
      <c r="K466">
        <v>326981</v>
      </c>
      <c r="L466">
        <v>18.4</v>
      </c>
      <c r="M466">
        <v>-0.62</v>
      </c>
      <c r="N466">
        <v>-6.16</v>
      </c>
      <c r="O466">
        <v>5.9</v>
      </c>
      <c r="P466" t="b">
        <v>0</v>
      </c>
      <c r="Q466">
        <v>1</v>
      </c>
      <c r="R466">
        <v>-10512</v>
      </c>
      <c r="S466">
        <v>24553</v>
      </c>
      <c r="T466">
        <v>-333.6</v>
      </c>
      <c r="U466" t="s">
        <v>1858</v>
      </c>
      <c r="V466" t="s">
        <v>2537</v>
      </c>
      <c r="W466">
        <v>0.4579983725445436</v>
      </c>
      <c r="X466">
        <v>0</v>
      </c>
      <c r="Y466" t="s">
        <v>3179</v>
      </c>
      <c r="Z466">
        <v>6.95719411309057</v>
      </c>
      <c r="AA466">
        <v>30323</v>
      </c>
      <c r="AB466">
        <v>114256</v>
      </c>
      <c r="AC466" t="s">
        <v>3842</v>
      </c>
      <c r="AD466">
        <v>28.57</v>
      </c>
      <c r="AE466" t="s">
        <v>4521</v>
      </c>
      <c r="AF466" t="s">
        <v>5171</v>
      </c>
      <c r="AG466">
        <v>47693</v>
      </c>
      <c r="AH466">
        <v>885</v>
      </c>
      <c r="AI466">
        <v>8774</v>
      </c>
      <c r="AJ466">
        <v>0.63</v>
      </c>
    </row>
    <row r="467" spans="1:36">
      <c r="A467" s="1" t="s">
        <v>501</v>
      </c>
      <c r="B467" t="s">
        <v>1180</v>
      </c>
      <c r="C467">
        <f>HYPERLINK("https://finance.naver.com/item/coinfo.nhn?code=035510", "A035510")</f>
        <v>0</v>
      </c>
      <c r="D467">
        <f>HYPERLINK("http://comp.fnguide.com/SVO2/ASP/SVD_Consensus.asp?pGB=1&amp;gicode=A035510&amp;cID=&amp;MenuYn=Y&amp;ReportGB=&amp;NewMenuID=108&amp;stkGb=701", "신세계 I&amp;C")</f>
        <v>0</v>
      </c>
      <c r="E467">
        <v>3</v>
      </c>
      <c r="F467">
        <v>176500</v>
      </c>
      <c r="G467">
        <v>0</v>
      </c>
      <c r="H467">
        <v>3.1</v>
      </c>
      <c r="I467">
        <v>462182</v>
      </c>
      <c r="J467">
        <v>292724</v>
      </c>
      <c r="K467">
        <v>243364</v>
      </c>
      <c r="L467">
        <v>-161.86</v>
      </c>
      <c r="M467">
        <v>-65.84999999999999</v>
      </c>
      <c r="N467">
        <v>-37.88</v>
      </c>
      <c r="O467">
        <v>21.48</v>
      </c>
      <c r="P467" t="b">
        <v>1</v>
      </c>
      <c r="Q467">
        <v>0</v>
      </c>
      <c r="R467">
        <v>40451</v>
      </c>
      <c r="U467" t="s">
        <v>1859</v>
      </c>
      <c r="V467" t="s">
        <v>2538</v>
      </c>
      <c r="W467">
        <v>0</v>
      </c>
      <c r="X467">
        <v>552.8</v>
      </c>
      <c r="Y467" t="s">
        <v>3180</v>
      </c>
      <c r="Z467">
        <v>59.15362024924422</v>
      </c>
      <c r="AA467">
        <v>3036</v>
      </c>
      <c r="AB467">
        <v>7806</v>
      </c>
      <c r="AC467" t="s">
        <v>3843</v>
      </c>
      <c r="AD467">
        <v>35.65</v>
      </c>
      <c r="AE467" t="s">
        <v>4522</v>
      </c>
      <c r="AF467" t="s">
        <v>5172</v>
      </c>
      <c r="AG467">
        <v>4803</v>
      </c>
      <c r="AH467">
        <v>300</v>
      </c>
      <c r="AI467">
        <v>525419</v>
      </c>
      <c r="AJ467">
        <v>1.99</v>
      </c>
    </row>
    <row r="468" spans="1:36">
      <c r="A468" s="1" t="s">
        <v>502</v>
      </c>
      <c r="B468" t="s">
        <v>1181</v>
      </c>
      <c r="C468">
        <f>HYPERLINK("https://finance.naver.com/item/coinfo.nhn?code=034300", "A034300")</f>
        <v>0</v>
      </c>
      <c r="D468">
        <f>HYPERLINK("http://comp.fnguide.com/SVO2/ASP/SVD_Consensus.asp?pGB=1&amp;gicode=A034300&amp;cID=&amp;MenuYn=Y&amp;ReportGB=&amp;NewMenuID=108&amp;stkGb=701", "신세계건설")</f>
        <v>0</v>
      </c>
      <c r="E468">
        <v>3</v>
      </c>
      <c r="F468">
        <v>45850</v>
      </c>
      <c r="G468">
        <v>0</v>
      </c>
      <c r="H468">
        <v>8.779999999999999</v>
      </c>
      <c r="I468">
        <v>61998</v>
      </c>
      <c r="J468">
        <v>55228</v>
      </c>
      <c r="K468">
        <v>53256</v>
      </c>
      <c r="L468">
        <v>-35.22</v>
      </c>
      <c r="M468">
        <v>-20.45</v>
      </c>
      <c r="N468">
        <v>-16.15</v>
      </c>
      <c r="O468">
        <v>10.07</v>
      </c>
      <c r="P468" t="b">
        <v>0</v>
      </c>
      <c r="Q468">
        <v>0</v>
      </c>
      <c r="R468">
        <v>3058</v>
      </c>
      <c r="U468" t="s">
        <v>1860</v>
      </c>
      <c r="V468" t="s">
        <v>2539</v>
      </c>
      <c r="W468">
        <v>0</v>
      </c>
      <c r="X468">
        <v>-30.2</v>
      </c>
      <c r="Y468" t="s">
        <v>3181</v>
      </c>
      <c r="Z468">
        <v>-5.182469037911352</v>
      </c>
      <c r="AA468">
        <v>1834</v>
      </c>
      <c r="AB468">
        <v>70848</v>
      </c>
      <c r="AC468" t="s">
        <v>3844</v>
      </c>
      <c r="AD468">
        <v>42.7</v>
      </c>
      <c r="AE468" t="s">
        <v>4523</v>
      </c>
      <c r="AF468" t="s">
        <v>5173</v>
      </c>
      <c r="AG468">
        <v>9568</v>
      </c>
      <c r="AH468">
        <v>206</v>
      </c>
      <c r="AJ468">
        <v>2.98</v>
      </c>
    </row>
    <row r="469" spans="1:36">
      <c r="A469" s="1" t="s">
        <v>503</v>
      </c>
      <c r="B469" t="s">
        <v>1182</v>
      </c>
      <c r="C469">
        <f>HYPERLINK("https://finance.naver.com/item/coinfo.nhn?code=001560", "A001560")</f>
        <v>0</v>
      </c>
      <c r="D469">
        <f>HYPERLINK("http://comp.fnguide.com/SVO2/ASP/SVD_Consensus.asp?pGB=1&amp;gicode=A001560&amp;cID=&amp;MenuYn=Y&amp;ReportGB=&amp;NewMenuID=108&amp;stkGb=701", "제일연마")</f>
        <v>0</v>
      </c>
      <c r="E469">
        <v>3</v>
      </c>
      <c r="F469">
        <v>8780</v>
      </c>
      <c r="G469">
        <v>0</v>
      </c>
      <c r="H469">
        <v>22.12</v>
      </c>
      <c r="I469">
        <v>7912</v>
      </c>
      <c r="J469">
        <v>10015</v>
      </c>
      <c r="K469">
        <v>10628</v>
      </c>
      <c r="L469">
        <v>9.890000000000001</v>
      </c>
      <c r="M469">
        <v>-14.07</v>
      </c>
      <c r="N469">
        <v>-21.05</v>
      </c>
      <c r="O469">
        <v>5.68</v>
      </c>
      <c r="P469" t="b">
        <v>1</v>
      </c>
      <c r="Q469">
        <v>0</v>
      </c>
      <c r="R469">
        <v>326</v>
      </c>
      <c r="U469" t="s">
        <v>1861</v>
      </c>
      <c r="V469" t="s">
        <v>2540</v>
      </c>
      <c r="W469">
        <v>0</v>
      </c>
      <c r="X469">
        <v>-49</v>
      </c>
      <c r="Y469" t="s">
        <v>3182</v>
      </c>
      <c r="Z469">
        <v>4.331444953028907</v>
      </c>
      <c r="AA469">
        <v>878</v>
      </c>
      <c r="AB469">
        <v>16099</v>
      </c>
      <c r="AC469" t="s">
        <v>3845</v>
      </c>
      <c r="AD469">
        <v>50.92</v>
      </c>
      <c r="AE469" t="s">
        <v>4524</v>
      </c>
      <c r="AF469" t="s">
        <v>5174</v>
      </c>
      <c r="AG469">
        <v>732</v>
      </c>
      <c r="AH469">
        <v>36</v>
      </c>
      <c r="AI469">
        <v>2500000</v>
      </c>
      <c r="AJ469">
        <v>3.05</v>
      </c>
    </row>
    <row r="470" spans="1:36">
      <c r="A470" s="1" t="s">
        <v>504</v>
      </c>
      <c r="B470" t="s">
        <v>1183</v>
      </c>
      <c r="C470">
        <f>HYPERLINK("https://finance.naver.com/item/coinfo.nhn?code=006880", "A006880")</f>
        <v>0</v>
      </c>
      <c r="D470">
        <f>HYPERLINK("http://comp.fnguide.com/SVO2/ASP/SVD_Consensus.asp?pGB=1&amp;gicode=A006880&amp;cID=&amp;MenuYn=Y&amp;ReportGB=&amp;NewMenuID=108&amp;stkGb=701", "신송홀딩스")</f>
        <v>0</v>
      </c>
      <c r="E470">
        <v>3</v>
      </c>
      <c r="F470">
        <v>5730</v>
      </c>
      <c r="G470">
        <v>0</v>
      </c>
      <c r="H470">
        <v>17.68</v>
      </c>
      <c r="I470">
        <v>1485</v>
      </c>
      <c r="J470">
        <v>5372</v>
      </c>
      <c r="K470">
        <v>6504</v>
      </c>
      <c r="L470">
        <v>74.09</v>
      </c>
      <c r="M470">
        <v>6.26</v>
      </c>
      <c r="N470">
        <v>-13.5</v>
      </c>
      <c r="O470">
        <v>1.52</v>
      </c>
      <c r="P470" t="b">
        <v>1</v>
      </c>
      <c r="Q470">
        <v>0</v>
      </c>
      <c r="R470">
        <v>231</v>
      </c>
      <c r="U470" t="s">
        <v>1862</v>
      </c>
      <c r="V470" t="s">
        <v>2541</v>
      </c>
      <c r="W470">
        <v>0</v>
      </c>
      <c r="X470">
        <v>0</v>
      </c>
      <c r="Y470" t="s">
        <v>2762</v>
      </c>
      <c r="Z470">
        <v>0</v>
      </c>
      <c r="AA470">
        <v>678</v>
      </c>
      <c r="AB470">
        <v>139289</v>
      </c>
      <c r="AC470" t="s">
        <v>3846</v>
      </c>
      <c r="AD470">
        <v>58.95</v>
      </c>
      <c r="AE470" t="s">
        <v>4525</v>
      </c>
      <c r="AF470" t="s">
        <v>5175</v>
      </c>
      <c r="AG470">
        <v>2059</v>
      </c>
      <c r="AH470">
        <v>52</v>
      </c>
      <c r="AI470">
        <v>631470</v>
      </c>
      <c r="AJ470">
        <v>2.45</v>
      </c>
    </row>
    <row r="471" spans="1:36">
      <c r="A471" s="1" t="s">
        <v>505</v>
      </c>
      <c r="B471" t="s">
        <v>1184</v>
      </c>
      <c r="C471">
        <f>HYPERLINK("https://finance.naver.com/item/coinfo.nhn?code=071320", "A071320")</f>
        <v>0</v>
      </c>
      <c r="D471">
        <f>HYPERLINK("http://comp.fnguide.com/SVO2/ASP/SVD_Consensus.asp?pGB=1&amp;gicode=A071320&amp;cID=&amp;MenuYn=Y&amp;ReportGB=&amp;NewMenuID=108&amp;stkGb=701", "지역난방공사")</f>
        <v>0</v>
      </c>
      <c r="E471">
        <v>3</v>
      </c>
      <c r="F471">
        <v>42800</v>
      </c>
      <c r="G471">
        <v>0</v>
      </c>
      <c r="H471">
        <v>16.72</v>
      </c>
      <c r="I471">
        <v>15919</v>
      </c>
      <c r="J471">
        <v>98989</v>
      </c>
      <c r="K471">
        <v>123186</v>
      </c>
      <c r="L471">
        <v>62.81</v>
      </c>
      <c r="M471">
        <v>-131.28</v>
      </c>
      <c r="N471">
        <v>-187.82</v>
      </c>
      <c r="O471">
        <v>0.84</v>
      </c>
      <c r="P471" t="b">
        <v>0</v>
      </c>
      <c r="Q471">
        <v>3</v>
      </c>
      <c r="R471">
        <v>2413</v>
      </c>
      <c r="S471">
        <v>5644</v>
      </c>
      <c r="T471">
        <v>133.9</v>
      </c>
      <c r="U471" t="s">
        <v>1863</v>
      </c>
      <c r="V471" t="s">
        <v>2542</v>
      </c>
      <c r="W471">
        <v>0</v>
      </c>
      <c r="X471">
        <v>0</v>
      </c>
      <c r="Y471" t="s">
        <v>3183</v>
      </c>
      <c r="Z471">
        <v>-22.36019062362402</v>
      </c>
      <c r="AA471">
        <v>4956</v>
      </c>
      <c r="AB471">
        <v>13003</v>
      </c>
      <c r="AC471" t="s">
        <v>3847</v>
      </c>
      <c r="AD471">
        <v>75</v>
      </c>
      <c r="AE471" t="s">
        <v>4526</v>
      </c>
      <c r="AF471" t="s">
        <v>5176</v>
      </c>
      <c r="AG471">
        <v>20989</v>
      </c>
      <c r="AH471">
        <v>1329</v>
      </c>
      <c r="AJ471">
        <v>2.39</v>
      </c>
    </row>
    <row r="472" spans="1:36">
      <c r="A472" s="1" t="s">
        <v>506</v>
      </c>
      <c r="B472" t="s">
        <v>1185</v>
      </c>
      <c r="C472">
        <f>HYPERLINK("https://finance.naver.com/item/coinfo.nhn?code=005800", "A005800")</f>
        <v>0</v>
      </c>
      <c r="D472">
        <f>HYPERLINK("http://comp.fnguide.com/SVO2/ASP/SVD_Consensus.asp?pGB=1&amp;gicode=A005800&amp;cID=&amp;MenuYn=Y&amp;ReportGB=&amp;NewMenuID=108&amp;stkGb=701", "신영와코루")</f>
        <v>0</v>
      </c>
      <c r="E472">
        <v>3</v>
      </c>
      <c r="F472">
        <v>123000</v>
      </c>
      <c r="G472">
        <v>0</v>
      </c>
      <c r="H472">
        <v>32.2</v>
      </c>
      <c r="I472">
        <v>42662</v>
      </c>
      <c r="J472">
        <v>226661</v>
      </c>
      <c r="K472">
        <v>280257</v>
      </c>
      <c r="L472">
        <v>65.31999999999999</v>
      </c>
      <c r="M472">
        <v>-84.28</v>
      </c>
      <c r="N472">
        <v>-127.85</v>
      </c>
      <c r="O472">
        <v>1</v>
      </c>
      <c r="P472" t="b">
        <v>1</v>
      </c>
      <c r="Q472">
        <v>0</v>
      </c>
      <c r="R472">
        <v>3245</v>
      </c>
      <c r="U472" t="s">
        <v>1864</v>
      </c>
      <c r="V472" t="s">
        <v>2543</v>
      </c>
      <c r="W472">
        <v>0</v>
      </c>
      <c r="X472">
        <v>1.7</v>
      </c>
      <c r="Y472" t="s">
        <v>3184</v>
      </c>
      <c r="Z472">
        <v>-23.77910381155567</v>
      </c>
      <c r="AA472">
        <v>1107</v>
      </c>
      <c r="AB472">
        <v>1908</v>
      </c>
      <c r="AC472" t="s">
        <v>3848</v>
      </c>
      <c r="AD472">
        <v>49</v>
      </c>
      <c r="AE472" t="s">
        <v>4527</v>
      </c>
      <c r="AF472" t="s">
        <v>5177</v>
      </c>
      <c r="AG472">
        <v>1780</v>
      </c>
      <c r="AH472">
        <v>5</v>
      </c>
      <c r="AJ472">
        <v>1.44</v>
      </c>
    </row>
    <row r="473" spans="1:36">
      <c r="A473" s="1" t="s">
        <v>507</v>
      </c>
      <c r="B473" t="s">
        <v>1186</v>
      </c>
      <c r="C473">
        <f>HYPERLINK("https://finance.naver.com/item/coinfo.nhn?code=001720", "A001720")</f>
        <v>0</v>
      </c>
      <c r="D473">
        <f>HYPERLINK("http://comp.fnguide.com/SVO2/ASP/SVD_Consensus.asp?pGB=1&amp;gicode=A001720&amp;cID=&amp;MenuYn=Y&amp;ReportGB=&amp;NewMenuID=108&amp;stkGb=701", "신영증권")</f>
        <v>0</v>
      </c>
      <c r="E473">
        <v>3</v>
      </c>
      <c r="F473">
        <v>62200</v>
      </c>
      <c r="G473">
        <v>0.96</v>
      </c>
      <c r="H473">
        <v>36.69</v>
      </c>
      <c r="I473">
        <v>94614</v>
      </c>
      <c r="J473">
        <v>148446</v>
      </c>
      <c r="K473">
        <v>164127</v>
      </c>
      <c r="L473">
        <v>-52.11</v>
      </c>
      <c r="M473">
        <v>-138.66</v>
      </c>
      <c r="N473">
        <v>-163.87</v>
      </c>
      <c r="O473">
        <v>4.2</v>
      </c>
      <c r="P473" t="b">
        <v>0</v>
      </c>
      <c r="Q473">
        <v>1</v>
      </c>
      <c r="R473">
        <v>1255</v>
      </c>
      <c r="S473">
        <v>11860</v>
      </c>
      <c r="T473">
        <v>845</v>
      </c>
      <c r="U473" t="s">
        <v>1865</v>
      </c>
      <c r="V473" t="s">
        <v>2544</v>
      </c>
      <c r="W473">
        <v>38.12082990078798</v>
      </c>
      <c r="X473">
        <v>16.9</v>
      </c>
      <c r="Y473" t="s">
        <v>3185</v>
      </c>
      <c r="Z473">
        <v>7.447039862395477</v>
      </c>
      <c r="AA473">
        <v>5838</v>
      </c>
      <c r="AB473">
        <v>13969</v>
      </c>
      <c r="AC473" t="s">
        <v>3849</v>
      </c>
      <c r="AD473">
        <v>28.19</v>
      </c>
      <c r="AE473" t="s">
        <v>4528</v>
      </c>
      <c r="AF473" t="s">
        <v>5178</v>
      </c>
      <c r="AG473">
        <v>1493</v>
      </c>
      <c r="AH473">
        <v>162</v>
      </c>
      <c r="AI473">
        <v>3237672</v>
      </c>
      <c r="AJ473">
        <v>5.43</v>
      </c>
    </row>
    <row r="474" spans="1:36">
      <c r="A474" s="1" t="s">
        <v>508</v>
      </c>
      <c r="B474" t="s">
        <v>1187</v>
      </c>
      <c r="C474">
        <f>HYPERLINK("https://finance.naver.com/item/coinfo.nhn?code=015860", "A015860")</f>
        <v>0</v>
      </c>
      <c r="D474">
        <f>HYPERLINK("http://comp.fnguide.com/SVO2/ASP/SVD_Consensus.asp?pGB=1&amp;gicode=A015860&amp;cID=&amp;MenuYn=Y&amp;ReportGB=&amp;NewMenuID=108&amp;stkGb=701", "일진홀딩스")</f>
        <v>0</v>
      </c>
      <c r="E474">
        <v>3</v>
      </c>
      <c r="F474">
        <v>5330</v>
      </c>
      <c r="G474">
        <v>0</v>
      </c>
      <c r="H474">
        <v>27.13</v>
      </c>
      <c r="I474">
        <v>2500</v>
      </c>
      <c r="J474">
        <v>4757</v>
      </c>
      <c r="K474">
        <v>5414</v>
      </c>
      <c r="L474">
        <v>53.1</v>
      </c>
      <c r="M474">
        <v>10.75</v>
      </c>
      <c r="N474">
        <v>-1.58</v>
      </c>
      <c r="O474">
        <v>3.26</v>
      </c>
      <c r="P474" t="b">
        <v>0</v>
      </c>
      <c r="Q474">
        <v>0</v>
      </c>
      <c r="R474">
        <v>205</v>
      </c>
      <c r="S474">
        <v>203</v>
      </c>
      <c r="T474">
        <v>-1</v>
      </c>
      <c r="U474" t="s">
        <v>1866</v>
      </c>
      <c r="V474" t="s">
        <v>2545</v>
      </c>
      <c r="W474">
        <v>0</v>
      </c>
      <c r="X474">
        <v>-19.7</v>
      </c>
      <c r="Y474" t="s">
        <v>3186</v>
      </c>
      <c r="Z474">
        <v>-19.70000000000001</v>
      </c>
      <c r="AA474">
        <v>2630</v>
      </c>
      <c r="AB474">
        <v>146162</v>
      </c>
      <c r="AC474" t="s">
        <v>3850</v>
      </c>
      <c r="AD474">
        <v>55.97</v>
      </c>
      <c r="AE474" t="s">
        <v>4529</v>
      </c>
      <c r="AF474" t="s">
        <v>5179</v>
      </c>
      <c r="AG474">
        <v>9340</v>
      </c>
      <c r="AH474">
        <v>273</v>
      </c>
      <c r="AI474">
        <v>3361946</v>
      </c>
      <c r="AJ474">
        <v>1.8</v>
      </c>
    </row>
    <row r="475" spans="1:36">
      <c r="A475" s="1" t="s">
        <v>509</v>
      </c>
      <c r="B475" t="s">
        <v>1188</v>
      </c>
      <c r="C475">
        <f>HYPERLINK("https://finance.naver.com/item/coinfo.nhn?code=009270", "A009270")</f>
        <v>0</v>
      </c>
      <c r="D475">
        <f>HYPERLINK("http://comp.fnguide.com/SVO2/ASP/SVD_Consensus.asp?pGB=1&amp;gicode=A009270&amp;cID=&amp;MenuYn=Y&amp;ReportGB=&amp;NewMenuID=108&amp;stkGb=701", "신원")</f>
        <v>0</v>
      </c>
      <c r="E475">
        <v>3</v>
      </c>
      <c r="F475">
        <v>1770</v>
      </c>
      <c r="G475">
        <v>0</v>
      </c>
      <c r="I475">
        <v>80</v>
      </c>
      <c r="J475">
        <v>1612</v>
      </c>
      <c r="K475">
        <v>2058</v>
      </c>
      <c r="L475">
        <v>95.48999999999999</v>
      </c>
      <c r="M475">
        <v>8.93</v>
      </c>
      <c r="N475">
        <v>-16.29</v>
      </c>
      <c r="O475">
        <v>0.25</v>
      </c>
      <c r="P475" t="b">
        <v>0</v>
      </c>
      <c r="Q475">
        <v>0</v>
      </c>
      <c r="R475">
        <v>-90</v>
      </c>
      <c r="U475" t="s">
        <v>1867</v>
      </c>
      <c r="V475" t="s">
        <v>2546</v>
      </c>
      <c r="W475">
        <v>0</v>
      </c>
      <c r="X475">
        <v>0</v>
      </c>
      <c r="Y475" t="s">
        <v>2762</v>
      </c>
      <c r="Z475">
        <v>0</v>
      </c>
      <c r="AA475">
        <v>1505</v>
      </c>
      <c r="AB475">
        <v>1044052</v>
      </c>
      <c r="AC475" t="s">
        <v>3851</v>
      </c>
      <c r="AD475">
        <v>32.69</v>
      </c>
      <c r="AE475" t="s">
        <v>4530</v>
      </c>
      <c r="AF475" t="s">
        <v>5180</v>
      </c>
      <c r="AG475">
        <v>6943</v>
      </c>
      <c r="AH475">
        <v>3</v>
      </c>
      <c r="AI475">
        <v>14500000</v>
      </c>
    </row>
    <row r="476" spans="1:36">
      <c r="A476" s="1" t="s">
        <v>510</v>
      </c>
      <c r="B476" t="s">
        <v>1189</v>
      </c>
      <c r="C476">
        <f>HYPERLINK("https://finance.naver.com/item/coinfo.nhn?code=103590", "A103590")</f>
        <v>0</v>
      </c>
      <c r="D476">
        <f>HYPERLINK("http://comp.fnguide.com/SVO2/ASP/SVD_Consensus.asp?pGB=1&amp;gicode=A103590&amp;cID=&amp;MenuYn=Y&amp;ReportGB=&amp;NewMenuID=108&amp;stkGb=701", "일진전기")</f>
        <v>0</v>
      </c>
      <c r="E476">
        <v>3</v>
      </c>
      <c r="F476">
        <v>4035</v>
      </c>
      <c r="G476">
        <v>0</v>
      </c>
      <c r="H476">
        <v>24.39</v>
      </c>
      <c r="I476">
        <v>1198</v>
      </c>
      <c r="J476">
        <v>5435</v>
      </c>
      <c r="K476">
        <v>6670</v>
      </c>
      <c r="L476">
        <v>70.31</v>
      </c>
      <c r="M476">
        <v>-34.71</v>
      </c>
      <c r="N476">
        <v>-65.3</v>
      </c>
      <c r="O476">
        <v>1.18</v>
      </c>
      <c r="P476" t="b">
        <v>0</v>
      </c>
      <c r="Q476">
        <v>0</v>
      </c>
      <c r="R476">
        <v>130</v>
      </c>
      <c r="U476" t="s">
        <v>1868</v>
      </c>
      <c r="V476" t="s">
        <v>2547</v>
      </c>
      <c r="W476">
        <v>0</v>
      </c>
      <c r="X476">
        <v>33.7</v>
      </c>
      <c r="Y476" t="s">
        <v>3187</v>
      </c>
      <c r="Z476">
        <v>-52.32505899321952</v>
      </c>
      <c r="AA476">
        <v>1496</v>
      </c>
      <c r="AB476">
        <v>128296</v>
      </c>
      <c r="AC476" t="s">
        <v>3852</v>
      </c>
      <c r="AD476">
        <v>59.73</v>
      </c>
      <c r="AE476" t="s">
        <v>4531</v>
      </c>
      <c r="AF476" t="s">
        <v>5181</v>
      </c>
      <c r="AG476">
        <v>7079</v>
      </c>
      <c r="AH476">
        <v>138</v>
      </c>
      <c r="AI476">
        <v>8121</v>
      </c>
      <c r="AJ476">
        <v>1.89</v>
      </c>
    </row>
    <row r="477" spans="1:36">
      <c r="A477" s="1" t="s">
        <v>511</v>
      </c>
      <c r="B477" t="s">
        <v>1190</v>
      </c>
      <c r="C477">
        <f>HYPERLINK("https://finance.naver.com/item/coinfo.nhn?code=008500", "A008500")</f>
        <v>0</v>
      </c>
      <c r="D477">
        <f>HYPERLINK("http://comp.fnguide.com/SVO2/ASP/SVD_Consensus.asp?pGB=1&amp;gicode=A008500&amp;cID=&amp;MenuYn=Y&amp;ReportGB=&amp;NewMenuID=108&amp;stkGb=701", "일정실업")</f>
        <v>0</v>
      </c>
      <c r="E477">
        <v>3</v>
      </c>
      <c r="F477">
        <v>16100</v>
      </c>
      <c r="G477">
        <v>0</v>
      </c>
      <c r="I477">
        <v>0</v>
      </c>
      <c r="J477">
        <v>12818</v>
      </c>
      <c r="K477">
        <v>16552</v>
      </c>
      <c r="L477">
        <v>100</v>
      </c>
      <c r="M477">
        <v>20.38</v>
      </c>
      <c r="N477">
        <v>-2.81</v>
      </c>
      <c r="O477">
        <v>0</v>
      </c>
      <c r="P477" t="b">
        <v>0</v>
      </c>
      <c r="Q477">
        <v>0</v>
      </c>
      <c r="R477">
        <v>-3518</v>
      </c>
      <c r="U477" t="s">
        <v>1869</v>
      </c>
      <c r="V477" t="s">
        <v>2548</v>
      </c>
      <c r="W477">
        <v>0</v>
      </c>
      <c r="X477">
        <v>0</v>
      </c>
      <c r="Y477" t="s">
        <v>3188</v>
      </c>
      <c r="Z477">
        <v>-55.50000000000001</v>
      </c>
      <c r="AA477">
        <v>193</v>
      </c>
      <c r="AB477">
        <v>2223</v>
      </c>
      <c r="AC477" t="s">
        <v>3853</v>
      </c>
      <c r="AD477">
        <v>66.61</v>
      </c>
      <c r="AE477" t="s">
        <v>4532</v>
      </c>
      <c r="AF477" t="s">
        <v>4741</v>
      </c>
      <c r="AG477">
        <v>313</v>
      </c>
      <c r="AH477">
        <v>-73</v>
      </c>
      <c r="AI477">
        <v>18383</v>
      </c>
    </row>
    <row r="478" spans="1:36">
      <c r="A478" s="1" t="s">
        <v>512</v>
      </c>
      <c r="B478" t="s">
        <v>1191</v>
      </c>
      <c r="C478">
        <f>HYPERLINK("https://finance.naver.com/item/coinfo.nhn?code=029530", "A029530")</f>
        <v>0</v>
      </c>
      <c r="D478">
        <f>HYPERLINK("http://comp.fnguide.com/SVO2/ASP/SVD_Consensus.asp?pGB=1&amp;gicode=A029530&amp;cID=&amp;MenuYn=Y&amp;ReportGB=&amp;NewMenuID=108&amp;stkGb=701", "신도리코")</f>
        <v>0</v>
      </c>
      <c r="E478">
        <v>3</v>
      </c>
      <c r="F478">
        <v>31550</v>
      </c>
      <c r="G478">
        <v>0</v>
      </c>
      <c r="I478">
        <v>12986</v>
      </c>
      <c r="J478">
        <v>56819</v>
      </c>
      <c r="K478">
        <v>69587</v>
      </c>
      <c r="L478">
        <v>58.84</v>
      </c>
      <c r="M478">
        <v>-80.09</v>
      </c>
      <c r="N478">
        <v>-120.56</v>
      </c>
      <c r="O478">
        <v>1.23</v>
      </c>
      <c r="P478" t="b">
        <v>0</v>
      </c>
      <c r="Q478">
        <v>0</v>
      </c>
      <c r="R478">
        <v>-1331</v>
      </c>
      <c r="U478" t="s">
        <v>1870</v>
      </c>
      <c r="V478" t="s">
        <v>2549</v>
      </c>
      <c r="W478">
        <v>0</v>
      </c>
      <c r="X478">
        <v>0</v>
      </c>
      <c r="Y478" t="s">
        <v>3189</v>
      </c>
      <c r="Z478">
        <v>11.50567547445025</v>
      </c>
      <c r="AA478">
        <v>3180</v>
      </c>
      <c r="AB478">
        <v>22683</v>
      </c>
      <c r="AC478" t="s">
        <v>3854</v>
      </c>
      <c r="AD478">
        <v>48.72</v>
      </c>
      <c r="AE478" t="s">
        <v>4533</v>
      </c>
      <c r="AF478" t="s">
        <v>5182</v>
      </c>
      <c r="AG478">
        <v>3358</v>
      </c>
      <c r="AH478">
        <v>-146</v>
      </c>
      <c r="AI478">
        <v>302877</v>
      </c>
    </row>
    <row r="479" spans="1:36">
      <c r="A479" s="1" t="s">
        <v>513</v>
      </c>
      <c r="B479" t="s">
        <v>1192</v>
      </c>
      <c r="C479">
        <f>HYPERLINK("https://finance.naver.com/item/coinfo.nhn?code=016590", "A016590")</f>
        <v>0</v>
      </c>
      <c r="D479">
        <f>HYPERLINK("http://comp.fnguide.com/SVO2/ASP/SVD_Consensus.asp?pGB=1&amp;gicode=A016590&amp;cID=&amp;MenuYn=Y&amp;ReportGB=&amp;NewMenuID=108&amp;stkGb=701", "신대양제지")</f>
        <v>0</v>
      </c>
      <c r="E479">
        <v>3</v>
      </c>
      <c r="F479">
        <v>86400</v>
      </c>
      <c r="G479">
        <v>0</v>
      </c>
      <c r="H479">
        <v>6.06</v>
      </c>
      <c r="I479">
        <v>199127</v>
      </c>
      <c r="J479">
        <v>151585</v>
      </c>
      <c r="K479">
        <v>137737</v>
      </c>
      <c r="L479">
        <v>-130.47</v>
      </c>
      <c r="M479">
        <v>-75.45</v>
      </c>
      <c r="N479">
        <v>-59.42</v>
      </c>
      <c r="O479">
        <v>13.74</v>
      </c>
      <c r="P479" t="b">
        <v>1</v>
      </c>
      <c r="Q479">
        <v>0</v>
      </c>
      <c r="R479">
        <v>10529</v>
      </c>
      <c r="U479" t="s">
        <v>1871</v>
      </c>
      <c r="V479" t="s">
        <v>2550</v>
      </c>
      <c r="W479">
        <v>0</v>
      </c>
      <c r="X479">
        <v>-24</v>
      </c>
      <c r="Y479" t="s">
        <v>3190</v>
      </c>
      <c r="Z479">
        <v>27.150932699998</v>
      </c>
      <c r="AA479">
        <v>3482</v>
      </c>
      <c r="AB479">
        <v>15420</v>
      </c>
      <c r="AC479" t="s">
        <v>3855</v>
      </c>
      <c r="AD479">
        <v>54.34</v>
      </c>
      <c r="AE479" t="s">
        <v>4534</v>
      </c>
      <c r="AF479" t="s">
        <v>5183</v>
      </c>
      <c r="AG479">
        <v>6092</v>
      </c>
      <c r="AH479">
        <v>646</v>
      </c>
      <c r="AI479">
        <v>211500</v>
      </c>
      <c r="AJ479">
        <v>0.98</v>
      </c>
    </row>
    <row r="480" spans="1:36">
      <c r="A480" s="1" t="s">
        <v>514</v>
      </c>
      <c r="B480" t="s">
        <v>1193</v>
      </c>
      <c r="C480">
        <f>HYPERLINK("https://finance.naver.com/item/coinfo.nhn?code=004910", "A004910")</f>
        <v>0</v>
      </c>
      <c r="D480">
        <f>HYPERLINK("http://comp.fnguide.com/SVO2/ASP/SVD_Consensus.asp?pGB=1&amp;gicode=A004910&amp;cID=&amp;MenuYn=Y&amp;ReportGB=&amp;NewMenuID=108&amp;stkGb=701", "조광페인트")</f>
        <v>0</v>
      </c>
      <c r="E480">
        <v>3</v>
      </c>
      <c r="F480">
        <v>8610</v>
      </c>
      <c r="G480">
        <v>0</v>
      </c>
      <c r="H480">
        <v>19.44</v>
      </c>
      <c r="I480">
        <v>2897</v>
      </c>
      <c r="J480">
        <v>13064</v>
      </c>
      <c r="K480">
        <v>16025</v>
      </c>
      <c r="L480">
        <v>66.34999999999999</v>
      </c>
      <c r="M480">
        <v>-51.73</v>
      </c>
      <c r="N480">
        <v>-86.12</v>
      </c>
      <c r="O480">
        <v>1.19</v>
      </c>
      <c r="P480" t="b">
        <v>1</v>
      </c>
      <c r="Q480">
        <v>0</v>
      </c>
      <c r="R480">
        <v>349</v>
      </c>
      <c r="U480" t="s">
        <v>1872</v>
      </c>
      <c r="V480" t="s">
        <v>2551</v>
      </c>
      <c r="W480">
        <v>0</v>
      </c>
      <c r="X480">
        <v>0</v>
      </c>
      <c r="Y480" t="s">
        <v>3191</v>
      </c>
      <c r="Z480">
        <v>-52.82500662427181</v>
      </c>
      <c r="AA480">
        <v>1102</v>
      </c>
      <c r="AB480">
        <v>507009</v>
      </c>
      <c r="AC480" t="s">
        <v>3856</v>
      </c>
      <c r="AD480">
        <v>37.78</v>
      </c>
      <c r="AE480" t="s">
        <v>4535</v>
      </c>
      <c r="AF480" t="s">
        <v>5184</v>
      </c>
      <c r="AG480">
        <v>2013</v>
      </c>
      <c r="AH480">
        <v>-48</v>
      </c>
      <c r="AI480">
        <v>2687000</v>
      </c>
      <c r="AJ480">
        <v>2.95</v>
      </c>
    </row>
    <row r="481" spans="1:36">
      <c r="A481" s="1" t="s">
        <v>515</v>
      </c>
      <c r="B481" t="s">
        <v>1194</v>
      </c>
      <c r="C481">
        <f>HYPERLINK("https://finance.naver.com/item/coinfo.nhn?code=053210", "A053210")</f>
        <v>0</v>
      </c>
      <c r="D481">
        <f>HYPERLINK("http://comp.fnguide.com/SVO2/ASP/SVD_Consensus.asp?pGB=1&amp;gicode=A053210&amp;cID=&amp;MenuYn=Y&amp;ReportGB=&amp;NewMenuID=108&amp;stkGb=701", "스카이라이프")</f>
        <v>0</v>
      </c>
      <c r="E481">
        <v>3</v>
      </c>
      <c r="F481">
        <v>9780</v>
      </c>
      <c r="G481">
        <v>0.93</v>
      </c>
      <c r="H481">
        <v>7.36</v>
      </c>
      <c r="I481">
        <v>15172</v>
      </c>
      <c r="J481">
        <v>15367</v>
      </c>
      <c r="K481">
        <v>15423</v>
      </c>
      <c r="L481">
        <v>-55.14</v>
      </c>
      <c r="M481">
        <v>-57.12</v>
      </c>
      <c r="N481">
        <v>-57.7</v>
      </c>
      <c r="O481">
        <v>8.050000000000001</v>
      </c>
      <c r="P481" t="b">
        <v>1</v>
      </c>
      <c r="Q481">
        <v>3</v>
      </c>
      <c r="R481">
        <v>1196</v>
      </c>
      <c r="S481">
        <v>1358</v>
      </c>
      <c r="T481">
        <v>13.5</v>
      </c>
      <c r="U481" t="s">
        <v>1873</v>
      </c>
      <c r="V481" t="s">
        <v>2552</v>
      </c>
      <c r="W481">
        <v>7.930463926331455</v>
      </c>
      <c r="X481">
        <v>4.9</v>
      </c>
      <c r="Y481" t="s">
        <v>3192</v>
      </c>
      <c r="Z481">
        <v>-4.685782281909989</v>
      </c>
      <c r="AA481">
        <v>4677</v>
      </c>
      <c r="AB481">
        <v>895017</v>
      </c>
      <c r="AC481" t="s">
        <v>3857</v>
      </c>
      <c r="AD481">
        <v>50</v>
      </c>
      <c r="AE481" t="s">
        <v>4536</v>
      </c>
      <c r="AF481" t="s">
        <v>5185</v>
      </c>
      <c r="AG481">
        <v>6987</v>
      </c>
      <c r="AH481">
        <v>738</v>
      </c>
      <c r="AI481">
        <v>258613</v>
      </c>
      <c r="AJ481">
        <v>3.97</v>
      </c>
    </row>
    <row r="482" spans="1:36">
      <c r="A482" s="1" t="s">
        <v>516</v>
      </c>
      <c r="B482" t="s">
        <v>1195</v>
      </c>
      <c r="C482">
        <f>HYPERLINK("https://finance.naver.com/item/coinfo.nhn?code=027970", "A027970")</f>
        <v>0</v>
      </c>
      <c r="D482">
        <f>HYPERLINK("http://comp.fnguide.com/SVO2/ASP/SVD_Consensus.asp?pGB=1&amp;gicode=A027970&amp;cID=&amp;MenuYn=Y&amp;ReportGB=&amp;NewMenuID=108&amp;stkGb=701", "세하")</f>
        <v>0</v>
      </c>
      <c r="E482">
        <v>3</v>
      </c>
      <c r="F482">
        <v>2130</v>
      </c>
      <c r="G482">
        <v>0</v>
      </c>
      <c r="H482">
        <v>5.81</v>
      </c>
      <c r="I482">
        <v>4829</v>
      </c>
      <c r="J482">
        <v>2867</v>
      </c>
      <c r="K482">
        <v>2295</v>
      </c>
      <c r="L482">
        <v>-126.73</v>
      </c>
      <c r="M482">
        <v>-34.59</v>
      </c>
      <c r="N482">
        <v>-7.76</v>
      </c>
      <c r="O482">
        <v>26.02</v>
      </c>
      <c r="P482" t="b">
        <v>1</v>
      </c>
      <c r="Q482">
        <v>0</v>
      </c>
      <c r="R482">
        <v>310</v>
      </c>
      <c r="U482" t="s">
        <v>1874</v>
      </c>
      <c r="V482" t="s">
        <v>2553</v>
      </c>
      <c r="W482">
        <v>0</v>
      </c>
      <c r="X482">
        <v>-10.8</v>
      </c>
      <c r="Y482" t="s">
        <v>3193</v>
      </c>
      <c r="Z482">
        <v>37.19037867139227</v>
      </c>
      <c r="AA482">
        <v>1226</v>
      </c>
      <c r="AB482">
        <v>982483</v>
      </c>
      <c r="AC482" t="s">
        <v>3858</v>
      </c>
      <c r="AD482">
        <v>50.73</v>
      </c>
      <c r="AE482" t="s">
        <v>4537</v>
      </c>
      <c r="AF482" t="s">
        <v>5186</v>
      </c>
      <c r="AG482">
        <v>1895</v>
      </c>
      <c r="AH482">
        <v>211</v>
      </c>
      <c r="AI482">
        <v>1305</v>
      </c>
    </row>
    <row r="483" spans="1:36">
      <c r="A483" s="1" t="s">
        <v>517</v>
      </c>
      <c r="B483" t="s">
        <v>1196</v>
      </c>
      <c r="C483">
        <f>HYPERLINK("https://finance.naver.com/item/coinfo.nhn?code=004700", "A004700")</f>
        <v>0</v>
      </c>
      <c r="D483">
        <f>HYPERLINK("http://comp.fnguide.com/SVO2/ASP/SVD_Consensus.asp?pGB=1&amp;gicode=A004700&amp;cID=&amp;MenuYn=Y&amp;ReportGB=&amp;NewMenuID=108&amp;stkGb=701", "조광피혁")</f>
        <v>0</v>
      </c>
      <c r="E483">
        <v>3</v>
      </c>
      <c r="F483">
        <v>54900</v>
      </c>
      <c r="G483">
        <v>0</v>
      </c>
      <c r="H483">
        <v>20.06</v>
      </c>
      <c r="I483">
        <v>66851</v>
      </c>
      <c r="J483">
        <v>79788</v>
      </c>
      <c r="K483">
        <v>83556</v>
      </c>
      <c r="L483">
        <v>-21.77</v>
      </c>
      <c r="M483">
        <v>-45.33</v>
      </c>
      <c r="N483">
        <v>-52.2</v>
      </c>
      <c r="O483">
        <v>6.2</v>
      </c>
      <c r="P483" t="b">
        <v>1</v>
      </c>
      <c r="Q483">
        <v>0</v>
      </c>
      <c r="R483">
        <v>2956</v>
      </c>
      <c r="U483" t="s">
        <v>1875</v>
      </c>
      <c r="V483" t="s">
        <v>2554</v>
      </c>
      <c r="W483">
        <v>0</v>
      </c>
      <c r="X483">
        <v>35.6</v>
      </c>
      <c r="Y483" t="s">
        <v>3194</v>
      </c>
      <c r="Z483">
        <v>22.04711514546569</v>
      </c>
      <c r="AA483">
        <v>3650</v>
      </c>
      <c r="AB483">
        <v>3533</v>
      </c>
      <c r="AC483" t="s">
        <v>3859</v>
      </c>
      <c r="AD483">
        <v>26.24</v>
      </c>
      <c r="AE483" t="s">
        <v>4538</v>
      </c>
      <c r="AF483" t="s">
        <v>5187</v>
      </c>
      <c r="AG483">
        <v>973</v>
      </c>
      <c r="AH483">
        <v>151</v>
      </c>
      <c r="AI483">
        <v>3096215</v>
      </c>
      <c r="AJ483">
        <v>0.51</v>
      </c>
    </row>
    <row r="484" spans="1:36">
      <c r="A484" s="1" t="s">
        <v>518</v>
      </c>
      <c r="B484" t="s">
        <v>1197</v>
      </c>
      <c r="C484">
        <f>HYPERLINK("https://finance.naver.com/item/coinfo.nhn?code=000480", "A000480")</f>
        <v>0</v>
      </c>
      <c r="D484">
        <f>HYPERLINK("http://comp.fnguide.com/SVO2/ASP/SVD_Consensus.asp?pGB=1&amp;gicode=A000480&amp;cID=&amp;MenuYn=Y&amp;ReportGB=&amp;NewMenuID=108&amp;stkGb=701", "조선내화")</f>
        <v>0</v>
      </c>
      <c r="E484">
        <v>3</v>
      </c>
      <c r="F484">
        <v>91500</v>
      </c>
      <c r="G484">
        <v>0</v>
      </c>
      <c r="H484">
        <v>9.609999999999999</v>
      </c>
      <c r="I484">
        <v>133472</v>
      </c>
      <c r="J484">
        <v>168755</v>
      </c>
      <c r="K484">
        <v>179032</v>
      </c>
      <c r="L484">
        <v>-45.87</v>
      </c>
      <c r="M484">
        <v>-84.43000000000001</v>
      </c>
      <c r="N484">
        <v>-95.66</v>
      </c>
      <c r="O484">
        <v>5.69</v>
      </c>
      <c r="P484" t="b">
        <v>1</v>
      </c>
      <c r="Q484">
        <v>0</v>
      </c>
      <c r="R484">
        <v>8391</v>
      </c>
      <c r="U484" t="s">
        <v>1876</v>
      </c>
      <c r="V484" t="s">
        <v>2555</v>
      </c>
      <c r="W484">
        <v>0</v>
      </c>
      <c r="X484">
        <v>37.8</v>
      </c>
      <c r="Y484" t="s">
        <v>3195</v>
      </c>
      <c r="Z484">
        <v>16.5508767509948</v>
      </c>
      <c r="AA484">
        <v>3660</v>
      </c>
      <c r="AB484">
        <v>3316</v>
      </c>
      <c r="AC484" t="s">
        <v>3860</v>
      </c>
      <c r="AD484">
        <v>60.87</v>
      </c>
      <c r="AE484" t="s">
        <v>4539</v>
      </c>
      <c r="AF484" t="s">
        <v>5188</v>
      </c>
      <c r="AG484">
        <v>7052</v>
      </c>
      <c r="AH484">
        <v>229</v>
      </c>
      <c r="AI484">
        <v>800000</v>
      </c>
      <c r="AJ484">
        <v>5.21</v>
      </c>
    </row>
    <row r="485" spans="1:36">
      <c r="A485" s="1" t="s">
        <v>519</v>
      </c>
      <c r="B485" t="s">
        <v>1198</v>
      </c>
      <c r="C485">
        <f>HYPERLINK("https://finance.naver.com/item/coinfo.nhn?code=002600", "A002600")</f>
        <v>0</v>
      </c>
      <c r="D485">
        <f>HYPERLINK("http://comp.fnguide.com/SVO2/ASP/SVD_Consensus.asp?pGB=1&amp;gicode=A002600&amp;cID=&amp;MenuYn=Y&amp;ReportGB=&amp;NewMenuID=108&amp;stkGb=701", "조흥")</f>
        <v>0</v>
      </c>
      <c r="E485">
        <v>3</v>
      </c>
      <c r="F485">
        <v>190000</v>
      </c>
      <c r="G485">
        <v>0</v>
      </c>
      <c r="H485">
        <v>13.97</v>
      </c>
      <c r="I485">
        <v>162044</v>
      </c>
      <c r="J485">
        <v>197656</v>
      </c>
      <c r="K485">
        <v>208029</v>
      </c>
      <c r="L485">
        <v>14.71</v>
      </c>
      <c r="M485">
        <v>-4.03</v>
      </c>
      <c r="N485">
        <v>-9.49</v>
      </c>
      <c r="O485">
        <v>6</v>
      </c>
      <c r="P485" t="b">
        <v>0</v>
      </c>
      <c r="Q485">
        <v>0</v>
      </c>
      <c r="R485">
        <v>12528</v>
      </c>
      <c r="U485" t="s">
        <v>1877</v>
      </c>
      <c r="V485" t="s">
        <v>2556</v>
      </c>
      <c r="W485">
        <v>0</v>
      </c>
      <c r="X485">
        <v>-4.2</v>
      </c>
      <c r="Y485" t="s">
        <v>3196</v>
      </c>
      <c r="Z485">
        <v>2.491465466001319</v>
      </c>
      <c r="AA485">
        <v>1140</v>
      </c>
      <c r="AB485">
        <v>556</v>
      </c>
      <c r="AC485" t="s">
        <v>3861</v>
      </c>
      <c r="AD485">
        <v>67.23</v>
      </c>
      <c r="AE485" t="s">
        <v>4540</v>
      </c>
      <c r="AF485" t="s">
        <v>5189</v>
      </c>
      <c r="AG485">
        <v>2226</v>
      </c>
      <c r="AH485">
        <v>118</v>
      </c>
      <c r="AJ485">
        <v>3.43</v>
      </c>
    </row>
    <row r="486" spans="1:36">
      <c r="A486" s="1" t="s">
        <v>520</v>
      </c>
      <c r="B486" t="s">
        <v>1199</v>
      </c>
      <c r="C486">
        <f>HYPERLINK("https://finance.naver.com/item/coinfo.nhn?code=001630", "A001630")</f>
        <v>0</v>
      </c>
      <c r="D486">
        <f>HYPERLINK("http://comp.fnguide.com/SVO2/ASP/SVD_Consensus.asp?pGB=1&amp;gicode=A001630&amp;cID=&amp;MenuYn=Y&amp;ReportGB=&amp;NewMenuID=108&amp;stkGb=701", "종근당홀딩스")</f>
        <v>0</v>
      </c>
      <c r="E486">
        <v>3</v>
      </c>
      <c r="F486">
        <v>111500</v>
      </c>
      <c r="G486">
        <v>0.12</v>
      </c>
      <c r="H486">
        <v>8.119999999999999</v>
      </c>
      <c r="I486">
        <v>161105</v>
      </c>
      <c r="J486">
        <v>129730</v>
      </c>
      <c r="K486">
        <v>120591</v>
      </c>
      <c r="L486">
        <v>-44.49</v>
      </c>
      <c r="M486">
        <v>-16.35</v>
      </c>
      <c r="N486">
        <v>-8.15</v>
      </c>
      <c r="O486">
        <v>12.23</v>
      </c>
      <c r="P486" t="b">
        <v>1</v>
      </c>
      <c r="Q486">
        <v>3</v>
      </c>
      <c r="R486">
        <v>15704</v>
      </c>
      <c r="S486">
        <v>25989</v>
      </c>
      <c r="T486">
        <v>65.5</v>
      </c>
      <c r="U486" t="s">
        <v>1878</v>
      </c>
      <c r="V486" t="s">
        <v>2557</v>
      </c>
      <c r="W486">
        <v>68.00089049036684</v>
      </c>
      <c r="X486">
        <v>74.7</v>
      </c>
      <c r="Y486" t="s">
        <v>3197</v>
      </c>
      <c r="Z486">
        <v>33.92197752669508</v>
      </c>
      <c r="AA486">
        <v>5586</v>
      </c>
      <c r="AB486">
        <v>15564</v>
      </c>
      <c r="AC486" t="s">
        <v>3862</v>
      </c>
      <c r="AD486">
        <v>45.98</v>
      </c>
      <c r="AE486" t="s">
        <v>4541</v>
      </c>
      <c r="AF486" t="s">
        <v>5190</v>
      </c>
      <c r="AG486">
        <v>8581</v>
      </c>
      <c r="AH486">
        <v>893</v>
      </c>
      <c r="AI486">
        <v>21017</v>
      </c>
      <c r="AJ486">
        <v>1.1</v>
      </c>
    </row>
    <row r="487" spans="1:36">
      <c r="A487" s="1" t="s">
        <v>521</v>
      </c>
      <c r="B487" t="s">
        <v>1200</v>
      </c>
      <c r="C487">
        <f>HYPERLINK("https://finance.naver.com/item/coinfo.nhn?code=033530", "A033530")</f>
        <v>0</v>
      </c>
      <c r="D487">
        <f>HYPERLINK("http://comp.fnguide.com/SVO2/ASP/SVD_Consensus.asp?pGB=1&amp;gicode=A033530&amp;cID=&amp;MenuYn=Y&amp;ReportGB=&amp;NewMenuID=108&amp;stkGb=701", "세종공업")</f>
        <v>0</v>
      </c>
      <c r="E487">
        <v>3</v>
      </c>
      <c r="F487">
        <v>8210</v>
      </c>
      <c r="G487">
        <v>0</v>
      </c>
      <c r="I487">
        <v>885</v>
      </c>
      <c r="J487">
        <v>8889</v>
      </c>
      <c r="K487">
        <v>11220</v>
      </c>
      <c r="L487">
        <v>89.22</v>
      </c>
      <c r="M487">
        <v>-8.27</v>
      </c>
      <c r="N487">
        <v>-36.67</v>
      </c>
      <c r="O487">
        <v>0.51</v>
      </c>
      <c r="P487" t="b">
        <v>0</v>
      </c>
      <c r="Q487">
        <v>0</v>
      </c>
      <c r="R487">
        <v>-642</v>
      </c>
      <c r="U487" t="s">
        <v>1879</v>
      </c>
      <c r="V487" t="s">
        <v>2558</v>
      </c>
      <c r="W487">
        <v>0</v>
      </c>
      <c r="X487">
        <v>0</v>
      </c>
      <c r="Y487" t="s">
        <v>3198</v>
      </c>
      <c r="Z487">
        <v>-36</v>
      </c>
      <c r="AA487">
        <v>2284</v>
      </c>
      <c r="AB487">
        <v>75751</v>
      </c>
      <c r="AC487" t="s">
        <v>3863</v>
      </c>
      <c r="AD487">
        <v>43.79</v>
      </c>
      <c r="AE487" t="s">
        <v>4542</v>
      </c>
      <c r="AF487" t="s">
        <v>5191</v>
      </c>
      <c r="AG487">
        <v>11828</v>
      </c>
      <c r="AH487">
        <v>-62</v>
      </c>
      <c r="AI487">
        <v>844382</v>
      </c>
      <c r="AJ487">
        <v>0.54</v>
      </c>
    </row>
    <row r="488" spans="1:36">
      <c r="A488" s="1" t="s">
        <v>522</v>
      </c>
      <c r="B488" t="s">
        <v>1201</v>
      </c>
      <c r="C488">
        <f>HYPERLINK("https://finance.naver.com/item/coinfo.nhn?code=067830", "A067830")</f>
        <v>0</v>
      </c>
      <c r="D488">
        <f>HYPERLINK("http://comp.fnguide.com/SVO2/ASP/SVD_Consensus.asp?pGB=1&amp;gicode=A067830&amp;cID=&amp;MenuYn=Y&amp;ReportGB=&amp;NewMenuID=108&amp;stkGb=701", "세이브존I&amp;C")</f>
        <v>0</v>
      </c>
      <c r="E488">
        <v>3</v>
      </c>
      <c r="F488">
        <v>4080</v>
      </c>
      <c r="G488">
        <v>0</v>
      </c>
      <c r="H488">
        <v>12.2</v>
      </c>
      <c r="I488">
        <v>5546</v>
      </c>
      <c r="J488">
        <v>9363</v>
      </c>
      <c r="K488">
        <v>10474</v>
      </c>
      <c r="L488">
        <v>-35.94</v>
      </c>
      <c r="M488">
        <v>-129.48</v>
      </c>
      <c r="N488">
        <v>-156.72</v>
      </c>
      <c r="O488">
        <v>3.81</v>
      </c>
      <c r="P488" t="b">
        <v>1</v>
      </c>
      <c r="Q488">
        <v>0</v>
      </c>
      <c r="R488">
        <v>241</v>
      </c>
      <c r="U488" t="s">
        <v>1880</v>
      </c>
      <c r="V488" t="s">
        <v>2559</v>
      </c>
      <c r="W488">
        <v>0</v>
      </c>
      <c r="X488">
        <v>-55.5</v>
      </c>
      <c r="Y488" t="s">
        <v>3199</v>
      </c>
      <c r="Z488">
        <v>-17.6186340793334</v>
      </c>
      <c r="AA488">
        <v>1674</v>
      </c>
      <c r="AB488">
        <v>83074</v>
      </c>
      <c r="AC488" t="s">
        <v>3864</v>
      </c>
      <c r="AD488">
        <v>53.22</v>
      </c>
      <c r="AE488" t="s">
        <v>4543</v>
      </c>
      <c r="AF488" t="s">
        <v>5192</v>
      </c>
      <c r="AG488">
        <v>1347</v>
      </c>
      <c r="AH488">
        <v>146</v>
      </c>
      <c r="AI488">
        <v>3276263</v>
      </c>
      <c r="AJ488">
        <v>1.02</v>
      </c>
    </row>
    <row r="489" spans="1:36">
      <c r="A489" s="1" t="s">
        <v>523</v>
      </c>
      <c r="B489" t="s">
        <v>1202</v>
      </c>
      <c r="C489">
        <f>HYPERLINK("https://finance.naver.com/item/coinfo.nhn?code=003470", "A003470")</f>
        <v>0</v>
      </c>
      <c r="D489">
        <f>HYPERLINK("http://comp.fnguide.com/SVO2/ASP/SVD_Consensus.asp?pGB=1&amp;gicode=A003470&amp;cID=&amp;MenuYn=Y&amp;ReportGB=&amp;NewMenuID=108&amp;stkGb=701", "유안타증권")</f>
        <v>0</v>
      </c>
      <c r="E489">
        <v>3</v>
      </c>
      <c r="F489">
        <v>4450</v>
      </c>
      <c r="G489">
        <v>0</v>
      </c>
      <c r="H489">
        <v>6.18</v>
      </c>
      <c r="I489">
        <v>6730</v>
      </c>
      <c r="J489">
        <v>7008</v>
      </c>
      <c r="K489">
        <v>7089</v>
      </c>
      <c r="L489">
        <v>-51.23</v>
      </c>
      <c r="M489">
        <v>-57.49</v>
      </c>
      <c r="N489">
        <v>-59.31</v>
      </c>
      <c r="O489">
        <v>7.68</v>
      </c>
      <c r="P489" t="b">
        <v>0</v>
      </c>
      <c r="Q489">
        <v>0</v>
      </c>
      <c r="R489">
        <v>494</v>
      </c>
      <c r="U489" t="s">
        <v>1881</v>
      </c>
      <c r="V489" t="s">
        <v>2560</v>
      </c>
      <c r="W489">
        <v>0</v>
      </c>
      <c r="X489">
        <v>7.9</v>
      </c>
      <c r="Y489" t="s">
        <v>3200</v>
      </c>
      <c r="Z489">
        <v>6.660454888783418</v>
      </c>
      <c r="AA489">
        <v>8882</v>
      </c>
      <c r="AB489">
        <v>654596</v>
      </c>
      <c r="AC489" t="s">
        <v>3865</v>
      </c>
      <c r="AD489">
        <v>57.43</v>
      </c>
      <c r="AE489" t="s">
        <v>4544</v>
      </c>
      <c r="AF489" t="s">
        <v>5193</v>
      </c>
      <c r="AG489">
        <v>4919</v>
      </c>
      <c r="AH489">
        <v>1226</v>
      </c>
      <c r="AI489">
        <v>6916471</v>
      </c>
      <c r="AJ489">
        <v>4.09</v>
      </c>
    </row>
    <row r="490" spans="1:36">
      <c r="A490" s="1" t="s">
        <v>524</v>
      </c>
      <c r="B490" t="s">
        <v>1203</v>
      </c>
      <c r="C490">
        <f>HYPERLINK("https://finance.naver.com/item/coinfo.nhn?code=013870", "A013870")</f>
        <v>0</v>
      </c>
      <c r="D490">
        <f>HYPERLINK("http://comp.fnguide.com/SVO2/ASP/SVD_Consensus.asp?pGB=1&amp;gicode=A013870&amp;cID=&amp;MenuYn=Y&amp;ReportGB=&amp;NewMenuID=108&amp;stkGb=701", "지엠비코리아")</f>
        <v>0</v>
      </c>
      <c r="E490">
        <v>3</v>
      </c>
      <c r="F490">
        <v>7430</v>
      </c>
      <c r="G490">
        <v>0</v>
      </c>
      <c r="I490">
        <v>586</v>
      </c>
      <c r="J490">
        <v>7098</v>
      </c>
      <c r="K490">
        <v>8996</v>
      </c>
      <c r="L490">
        <v>92.12</v>
      </c>
      <c r="M490">
        <v>4.46</v>
      </c>
      <c r="N490">
        <v>-21.07</v>
      </c>
      <c r="O490">
        <v>0.42</v>
      </c>
      <c r="P490" t="b">
        <v>0</v>
      </c>
      <c r="Q490">
        <v>0</v>
      </c>
      <c r="R490">
        <v>-432</v>
      </c>
      <c r="U490" t="s">
        <v>1882</v>
      </c>
      <c r="V490" t="s">
        <v>2561</v>
      </c>
      <c r="W490">
        <v>0</v>
      </c>
      <c r="X490">
        <v>0</v>
      </c>
      <c r="Y490" t="s">
        <v>3201</v>
      </c>
      <c r="Z490">
        <v>-31.13461144130849</v>
      </c>
      <c r="AA490">
        <v>1417</v>
      </c>
      <c r="AB490">
        <v>57177</v>
      </c>
      <c r="AC490" t="s">
        <v>3866</v>
      </c>
      <c r="AD490">
        <v>58.98</v>
      </c>
      <c r="AE490" t="s">
        <v>4545</v>
      </c>
      <c r="AF490" t="s">
        <v>5194</v>
      </c>
      <c r="AG490">
        <v>4458</v>
      </c>
      <c r="AH490">
        <v>-97</v>
      </c>
    </row>
    <row r="491" spans="1:36">
      <c r="A491" s="1" t="s">
        <v>525</v>
      </c>
      <c r="B491" t="s">
        <v>1204</v>
      </c>
      <c r="C491">
        <f>HYPERLINK("https://finance.naver.com/item/coinfo.nhn?code=021820", "A021820")</f>
        <v>0</v>
      </c>
      <c r="D491">
        <f>HYPERLINK("http://comp.fnguide.com/SVO2/ASP/SVD_Consensus.asp?pGB=1&amp;gicode=A021820&amp;cID=&amp;MenuYn=Y&amp;ReportGB=&amp;NewMenuID=108&amp;stkGb=701", "세원정공")</f>
        <v>0</v>
      </c>
      <c r="E491">
        <v>3</v>
      </c>
      <c r="F491">
        <v>8090</v>
      </c>
      <c r="G491">
        <v>0</v>
      </c>
      <c r="H491">
        <v>10.65</v>
      </c>
      <c r="I491">
        <v>4675</v>
      </c>
      <c r="J491">
        <v>26571</v>
      </c>
      <c r="K491">
        <v>32949</v>
      </c>
      <c r="L491">
        <v>42.22</v>
      </c>
      <c r="M491">
        <v>-228.45</v>
      </c>
      <c r="N491">
        <v>-307.29</v>
      </c>
      <c r="O491">
        <v>0.93</v>
      </c>
      <c r="P491" t="b">
        <v>1</v>
      </c>
      <c r="Q491">
        <v>0</v>
      </c>
      <c r="R491">
        <v>760</v>
      </c>
      <c r="U491" t="s">
        <v>1883</v>
      </c>
      <c r="V491" t="s">
        <v>2562</v>
      </c>
      <c r="W491">
        <v>0</v>
      </c>
      <c r="X491">
        <v>144.4</v>
      </c>
      <c r="Y491" t="s">
        <v>3202</v>
      </c>
      <c r="Z491">
        <v>-58.934686169469</v>
      </c>
      <c r="AA491">
        <v>809</v>
      </c>
      <c r="AB491">
        <v>0</v>
      </c>
      <c r="AC491" t="s">
        <v>3867</v>
      </c>
      <c r="AD491">
        <v>46.64</v>
      </c>
      <c r="AE491" t="s">
        <v>4546</v>
      </c>
      <c r="AF491" t="s">
        <v>5195</v>
      </c>
      <c r="AG491">
        <v>1569</v>
      </c>
      <c r="AH491">
        <v>-85</v>
      </c>
      <c r="AJ491">
        <v>0.31</v>
      </c>
    </row>
    <row r="492" spans="1:36">
      <c r="A492" s="1" t="s">
        <v>526</v>
      </c>
      <c r="B492" t="s">
        <v>1205</v>
      </c>
      <c r="C492">
        <f>HYPERLINK("https://finance.naver.com/item/coinfo.nhn?code=091090", "A091090")</f>
        <v>0</v>
      </c>
      <c r="D492">
        <f>HYPERLINK("http://comp.fnguide.com/SVO2/ASP/SVD_Consensus.asp?pGB=1&amp;gicode=A091090&amp;cID=&amp;MenuYn=Y&amp;ReportGB=&amp;NewMenuID=108&amp;stkGb=701", "세원이앤씨")</f>
        <v>0</v>
      </c>
      <c r="E492">
        <v>3</v>
      </c>
      <c r="F492">
        <v>1755</v>
      </c>
      <c r="G492">
        <v>0</v>
      </c>
      <c r="I492">
        <v>0</v>
      </c>
      <c r="J492">
        <v>1425</v>
      </c>
      <c r="K492">
        <v>1840</v>
      </c>
      <c r="L492">
        <v>100</v>
      </c>
      <c r="M492">
        <v>18.78</v>
      </c>
      <c r="N492">
        <v>-4.87</v>
      </c>
      <c r="O492">
        <v>0</v>
      </c>
      <c r="P492" t="b">
        <v>0</v>
      </c>
      <c r="Q492">
        <v>0</v>
      </c>
      <c r="R492">
        <v>-384</v>
      </c>
      <c r="U492" t="s">
        <v>1884</v>
      </c>
      <c r="V492" t="s">
        <v>2563</v>
      </c>
      <c r="W492">
        <v>0</v>
      </c>
      <c r="X492">
        <v>0</v>
      </c>
      <c r="Y492" t="s">
        <v>2762</v>
      </c>
      <c r="Z492">
        <v>0</v>
      </c>
      <c r="AA492">
        <v>1244</v>
      </c>
      <c r="AB492">
        <v>242037</v>
      </c>
      <c r="AC492" t="s">
        <v>3868</v>
      </c>
      <c r="AD492">
        <v>24.71</v>
      </c>
      <c r="AE492" t="s">
        <v>4547</v>
      </c>
      <c r="AF492" t="s">
        <v>4741</v>
      </c>
      <c r="AG492">
        <v>1099</v>
      </c>
      <c r="AH492">
        <v>-60</v>
      </c>
      <c r="AI492">
        <v>2137</v>
      </c>
    </row>
    <row r="493" spans="1:36">
      <c r="A493" s="1" t="s">
        <v>527</v>
      </c>
      <c r="B493" t="s">
        <v>1206</v>
      </c>
      <c r="C493">
        <f>HYPERLINK("https://finance.naver.com/item/coinfo.nhn?code=058650", "A058650")</f>
        <v>0</v>
      </c>
      <c r="D493">
        <f>HYPERLINK("http://comp.fnguide.com/SVO2/ASP/SVD_Consensus.asp?pGB=1&amp;gicode=A058650&amp;cID=&amp;MenuYn=Y&amp;ReportGB=&amp;NewMenuID=108&amp;stkGb=701", "세아홀딩스")</f>
        <v>0</v>
      </c>
      <c r="E493">
        <v>3</v>
      </c>
      <c r="F493">
        <v>110000</v>
      </c>
      <c r="G493">
        <v>0</v>
      </c>
      <c r="I493">
        <v>46432</v>
      </c>
      <c r="J493">
        <v>297578</v>
      </c>
      <c r="K493">
        <v>370733</v>
      </c>
      <c r="L493">
        <v>57.79</v>
      </c>
      <c r="M493">
        <v>-170.53</v>
      </c>
      <c r="N493">
        <v>-237.03</v>
      </c>
      <c r="O493">
        <v>0.8100000000000001</v>
      </c>
      <c r="P493" t="b">
        <v>0</v>
      </c>
      <c r="Q493">
        <v>0</v>
      </c>
      <c r="R493">
        <v>-40506</v>
      </c>
      <c r="U493" t="s">
        <v>1885</v>
      </c>
      <c r="V493" t="s">
        <v>2564</v>
      </c>
      <c r="W493">
        <v>0</v>
      </c>
      <c r="X493">
        <v>0</v>
      </c>
      <c r="Y493" t="s">
        <v>3203</v>
      </c>
      <c r="Z493">
        <v>-28.1602075304913</v>
      </c>
      <c r="AA493">
        <v>4400</v>
      </c>
      <c r="AB493">
        <v>2234</v>
      </c>
      <c r="AC493" t="s">
        <v>3869</v>
      </c>
      <c r="AD493">
        <v>89.98</v>
      </c>
      <c r="AE493" t="s">
        <v>4548</v>
      </c>
      <c r="AF493" t="s">
        <v>5196</v>
      </c>
      <c r="AG493">
        <v>42574</v>
      </c>
      <c r="AH493">
        <v>131</v>
      </c>
      <c r="AI493">
        <v>41030</v>
      </c>
      <c r="AJ493">
        <v>2.94</v>
      </c>
    </row>
    <row r="494" spans="1:36">
      <c r="A494" s="1" t="s">
        <v>528</v>
      </c>
      <c r="B494" t="s">
        <v>1207</v>
      </c>
      <c r="C494">
        <f>HYPERLINK("https://finance.naver.com/item/coinfo.nhn?code=019440", "A019440")</f>
        <v>0</v>
      </c>
      <c r="D494">
        <f>HYPERLINK("http://comp.fnguide.com/SVO2/ASP/SVD_Consensus.asp?pGB=1&amp;gicode=A019440&amp;cID=&amp;MenuYn=Y&amp;ReportGB=&amp;NewMenuID=108&amp;stkGb=701", "세아특수강")</f>
        <v>0</v>
      </c>
      <c r="E494">
        <v>3</v>
      </c>
      <c r="F494">
        <v>16950</v>
      </c>
      <c r="G494">
        <v>0</v>
      </c>
      <c r="I494">
        <v>7771</v>
      </c>
      <c r="J494">
        <v>24836</v>
      </c>
      <c r="K494">
        <v>29807</v>
      </c>
      <c r="L494">
        <v>54.15</v>
      </c>
      <c r="M494">
        <v>-46.52</v>
      </c>
      <c r="N494">
        <v>-75.84999999999999</v>
      </c>
      <c r="O494">
        <v>1.75</v>
      </c>
      <c r="P494" t="b">
        <v>0</v>
      </c>
      <c r="Q494">
        <v>0</v>
      </c>
      <c r="R494">
        <v>-515</v>
      </c>
      <c r="U494" t="s">
        <v>1886</v>
      </c>
      <c r="V494" t="s">
        <v>2565</v>
      </c>
      <c r="W494">
        <v>0</v>
      </c>
      <c r="X494">
        <v>0</v>
      </c>
      <c r="Y494" t="s">
        <v>3204</v>
      </c>
      <c r="Z494">
        <v>-13.23831839952583</v>
      </c>
      <c r="AA494">
        <v>1453</v>
      </c>
      <c r="AB494">
        <v>77869</v>
      </c>
      <c r="AC494" t="s">
        <v>3870</v>
      </c>
      <c r="AD494">
        <v>68.73</v>
      </c>
      <c r="AE494" t="s">
        <v>4549</v>
      </c>
      <c r="AF494" t="s">
        <v>5197</v>
      </c>
      <c r="AG494">
        <v>6550</v>
      </c>
      <c r="AH494">
        <v>9</v>
      </c>
      <c r="AI494">
        <v>225131</v>
      </c>
      <c r="AJ494">
        <v>5.93</v>
      </c>
    </row>
    <row r="495" spans="1:36">
      <c r="A495" s="1" t="s">
        <v>529</v>
      </c>
      <c r="B495" t="s">
        <v>1208</v>
      </c>
      <c r="C495">
        <f>HYPERLINK("https://finance.naver.com/item/coinfo.nhn?code=002870", "A002870")</f>
        <v>0</v>
      </c>
      <c r="D495">
        <f>HYPERLINK("http://comp.fnguide.com/SVO2/ASP/SVD_Consensus.asp?pGB=1&amp;gicode=A002870&amp;cID=&amp;MenuYn=Y&amp;ReportGB=&amp;NewMenuID=108&amp;stkGb=701", "신풍제지")</f>
        <v>0</v>
      </c>
      <c r="E495">
        <v>3</v>
      </c>
      <c r="F495">
        <v>3285</v>
      </c>
      <c r="G495">
        <v>0</v>
      </c>
      <c r="H495">
        <v>3.71</v>
      </c>
      <c r="I495">
        <v>14666</v>
      </c>
      <c r="J495">
        <v>8116</v>
      </c>
      <c r="K495">
        <v>6208</v>
      </c>
      <c r="L495">
        <v>-346.46</v>
      </c>
      <c r="M495">
        <v>-147.06</v>
      </c>
      <c r="N495">
        <v>-88.98</v>
      </c>
      <c r="O495">
        <v>33.14</v>
      </c>
      <c r="P495" t="b">
        <v>1</v>
      </c>
      <c r="Q495">
        <v>0</v>
      </c>
      <c r="R495">
        <v>943</v>
      </c>
      <c r="U495" t="s">
        <v>1887</v>
      </c>
      <c r="V495" t="s">
        <v>2566</v>
      </c>
      <c r="W495">
        <v>0</v>
      </c>
      <c r="X495">
        <v>0</v>
      </c>
      <c r="Y495" t="s">
        <v>3205</v>
      </c>
      <c r="Z495">
        <v>122.7002470508904</v>
      </c>
      <c r="AA495">
        <v>1148</v>
      </c>
      <c r="AB495">
        <v>180600</v>
      </c>
      <c r="AC495" t="s">
        <v>3871</v>
      </c>
      <c r="AD495">
        <v>34.87</v>
      </c>
      <c r="AE495" t="s">
        <v>4550</v>
      </c>
      <c r="AF495" t="s">
        <v>5198</v>
      </c>
      <c r="AG495">
        <v>338</v>
      </c>
      <c r="AH495">
        <v>-104</v>
      </c>
      <c r="AI495">
        <v>7252320</v>
      </c>
      <c r="AJ495">
        <v>1.43</v>
      </c>
    </row>
    <row r="496" spans="1:36">
      <c r="A496" s="1" t="s">
        <v>530</v>
      </c>
      <c r="B496" t="s">
        <v>1209</v>
      </c>
      <c r="C496">
        <f>HYPERLINK("https://finance.naver.com/item/coinfo.nhn?code=003200", "A003200")</f>
        <v>0</v>
      </c>
      <c r="D496">
        <f>HYPERLINK("http://comp.fnguide.com/SVO2/ASP/SVD_Consensus.asp?pGB=1&amp;gicode=A003200&amp;cID=&amp;MenuYn=Y&amp;ReportGB=&amp;NewMenuID=108&amp;stkGb=701", "일신방직")</f>
        <v>0</v>
      </c>
      <c r="E496">
        <v>3</v>
      </c>
      <c r="F496">
        <v>108500</v>
      </c>
      <c r="G496">
        <v>0</v>
      </c>
      <c r="H496">
        <v>19.16</v>
      </c>
      <c r="I496">
        <v>59243</v>
      </c>
      <c r="J496">
        <v>210265</v>
      </c>
      <c r="K496">
        <v>254255</v>
      </c>
      <c r="L496">
        <v>45.4</v>
      </c>
      <c r="M496">
        <v>-93.79000000000001</v>
      </c>
      <c r="N496">
        <v>-134.34</v>
      </c>
      <c r="O496">
        <v>1.55</v>
      </c>
      <c r="P496" t="b">
        <v>1</v>
      </c>
      <c r="Q496">
        <v>0</v>
      </c>
      <c r="R496">
        <v>4181</v>
      </c>
      <c r="U496" t="s">
        <v>1888</v>
      </c>
      <c r="V496" t="s">
        <v>2567</v>
      </c>
      <c r="W496">
        <v>0</v>
      </c>
      <c r="X496">
        <v>42.2</v>
      </c>
      <c r="Y496" t="s">
        <v>3206</v>
      </c>
      <c r="Z496">
        <v>-12.21203092157996</v>
      </c>
      <c r="AA496">
        <v>2604</v>
      </c>
      <c r="AB496">
        <v>2919</v>
      </c>
      <c r="AC496" t="s">
        <v>3872</v>
      </c>
      <c r="AD496">
        <v>50.29</v>
      </c>
      <c r="AE496" t="s">
        <v>4551</v>
      </c>
      <c r="AF496" t="s">
        <v>5199</v>
      </c>
      <c r="AG496">
        <v>4649</v>
      </c>
      <c r="AH496">
        <v>135</v>
      </c>
      <c r="AI496">
        <v>135919</v>
      </c>
      <c r="AJ496">
        <v>1.87</v>
      </c>
    </row>
    <row r="497" spans="1:36">
      <c r="A497" s="1" t="s">
        <v>531</v>
      </c>
      <c r="B497" t="s">
        <v>1210</v>
      </c>
      <c r="C497">
        <f>HYPERLINK("https://finance.naver.com/item/coinfo.nhn?code=055550", "A055550")</f>
        <v>0</v>
      </c>
      <c r="D497">
        <f>HYPERLINK("http://comp.fnguide.com/SVO2/ASP/SVD_Consensus.asp?pGB=1&amp;gicode=A055550&amp;cID=&amp;MenuYn=Y&amp;ReportGB=&amp;NewMenuID=108&amp;stkGb=701", "신한지주")</f>
        <v>0</v>
      </c>
      <c r="E497">
        <v>3</v>
      </c>
      <c r="F497">
        <v>41200</v>
      </c>
      <c r="G497">
        <v>1.15</v>
      </c>
      <c r="H497">
        <v>4.75</v>
      </c>
      <c r="I497">
        <v>89926</v>
      </c>
      <c r="J497">
        <v>87183</v>
      </c>
      <c r="K497">
        <v>86384</v>
      </c>
      <c r="L497">
        <v>-118.27</v>
      </c>
      <c r="M497">
        <v>-111.61</v>
      </c>
      <c r="N497">
        <v>-109.67</v>
      </c>
      <c r="O497">
        <v>8.66</v>
      </c>
      <c r="P497" t="b">
        <v>1</v>
      </c>
      <c r="Q497">
        <v>1</v>
      </c>
      <c r="R497">
        <v>6743</v>
      </c>
      <c r="S497">
        <v>7512</v>
      </c>
      <c r="T497">
        <v>11.4</v>
      </c>
      <c r="U497" t="s">
        <v>1889</v>
      </c>
      <c r="V497" t="s">
        <v>2568</v>
      </c>
      <c r="W497">
        <v>4.113985724311653</v>
      </c>
      <c r="X497">
        <v>2.5</v>
      </c>
      <c r="Y497" t="s">
        <v>3207</v>
      </c>
      <c r="Z497">
        <v>2.599961013634111</v>
      </c>
      <c r="AA497">
        <v>212839</v>
      </c>
      <c r="AB497">
        <v>1058721</v>
      </c>
      <c r="AC497" t="s">
        <v>3873</v>
      </c>
      <c r="AD497">
        <v>9.81</v>
      </c>
      <c r="AE497" t="s">
        <v>4552</v>
      </c>
      <c r="AF497" t="s">
        <v>5200</v>
      </c>
      <c r="AG497">
        <v>147740</v>
      </c>
      <c r="AH497">
        <v>49297</v>
      </c>
      <c r="AI497">
        <v>3926</v>
      </c>
      <c r="AJ497">
        <v>4.68</v>
      </c>
    </row>
    <row r="498" spans="1:36">
      <c r="A498" s="1" t="s">
        <v>532</v>
      </c>
      <c r="B498" t="s">
        <v>1211</v>
      </c>
      <c r="C498">
        <f>HYPERLINK("https://finance.naver.com/item/coinfo.nhn?code=001800", "A001800")</f>
        <v>0</v>
      </c>
      <c r="D498">
        <f>HYPERLINK("http://comp.fnguide.com/SVO2/ASP/SVD_Consensus.asp?pGB=1&amp;gicode=A001800&amp;cID=&amp;MenuYn=Y&amp;ReportGB=&amp;NewMenuID=108&amp;stkGb=701", "오리온홀딩스")</f>
        <v>0</v>
      </c>
      <c r="E498">
        <v>3</v>
      </c>
      <c r="F498">
        <v>17950</v>
      </c>
      <c r="G498">
        <v>0</v>
      </c>
      <c r="H498">
        <v>10.67</v>
      </c>
      <c r="I498">
        <v>13289</v>
      </c>
      <c r="J498">
        <v>24811</v>
      </c>
      <c r="K498">
        <v>28167</v>
      </c>
      <c r="L498">
        <v>25.97</v>
      </c>
      <c r="M498">
        <v>-38.22</v>
      </c>
      <c r="N498">
        <v>-56.92</v>
      </c>
      <c r="O498">
        <v>3.34</v>
      </c>
      <c r="P498" t="b">
        <v>0</v>
      </c>
      <c r="Q498">
        <v>0</v>
      </c>
      <c r="R498">
        <v>1237</v>
      </c>
      <c r="U498" t="s">
        <v>1890</v>
      </c>
      <c r="V498" t="s">
        <v>2569</v>
      </c>
      <c r="W498">
        <v>0</v>
      </c>
      <c r="X498">
        <v>60.2</v>
      </c>
      <c r="Y498" t="s">
        <v>3208</v>
      </c>
      <c r="Z498">
        <v>-14.3115497615617</v>
      </c>
      <c r="AA498">
        <v>11245</v>
      </c>
      <c r="AB498">
        <v>185828</v>
      </c>
      <c r="AC498" t="s">
        <v>3874</v>
      </c>
      <c r="AD498">
        <v>63.85</v>
      </c>
      <c r="AE498" t="s">
        <v>4553</v>
      </c>
      <c r="AF498" t="s">
        <v>5201</v>
      </c>
      <c r="AG498">
        <v>22805</v>
      </c>
      <c r="AH498">
        <v>3086</v>
      </c>
      <c r="AI498">
        <v>2488769</v>
      </c>
      <c r="AJ498">
        <v>4.92</v>
      </c>
    </row>
    <row r="499" spans="1:36">
      <c r="A499" s="1" t="s">
        <v>533</v>
      </c>
      <c r="B499" t="s">
        <v>1212</v>
      </c>
      <c r="C499">
        <f>HYPERLINK("https://finance.naver.com/item/coinfo.nhn?code=000700", "A000700")</f>
        <v>0</v>
      </c>
      <c r="D499">
        <f>HYPERLINK("http://comp.fnguide.com/SVO2/ASP/SVD_Consensus.asp?pGB=1&amp;gicode=A000700&amp;cID=&amp;MenuYn=Y&amp;ReportGB=&amp;NewMenuID=108&amp;stkGb=701", "유수홀딩스")</f>
        <v>0</v>
      </c>
      <c r="E499">
        <v>3</v>
      </c>
      <c r="F499">
        <v>8230</v>
      </c>
      <c r="G499">
        <v>0</v>
      </c>
      <c r="H499">
        <v>1.87</v>
      </c>
      <c r="I499">
        <v>24364</v>
      </c>
      <c r="J499">
        <v>17164</v>
      </c>
      <c r="K499">
        <v>15067</v>
      </c>
      <c r="L499">
        <v>-196.04</v>
      </c>
      <c r="M499">
        <v>-108.56</v>
      </c>
      <c r="N499">
        <v>-83.08</v>
      </c>
      <c r="O499">
        <v>16.36</v>
      </c>
      <c r="P499" t="b">
        <v>1</v>
      </c>
      <c r="Q499">
        <v>0</v>
      </c>
      <c r="R499">
        <v>3071</v>
      </c>
      <c r="U499" t="s">
        <v>1891</v>
      </c>
      <c r="V499" t="s">
        <v>2570</v>
      </c>
      <c r="W499">
        <v>0</v>
      </c>
      <c r="X499">
        <v>1863.9</v>
      </c>
      <c r="Y499" t="s">
        <v>3209</v>
      </c>
      <c r="Z499">
        <v>197.9400610861185</v>
      </c>
      <c r="AA499">
        <v>2143</v>
      </c>
      <c r="AB499">
        <v>264056</v>
      </c>
      <c r="AC499" t="s">
        <v>3875</v>
      </c>
      <c r="AD499">
        <v>47.05</v>
      </c>
      <c r="AE499" t="s">
        <v>4554</v>
      </c>
      <c r="AF499" t="s">
        <v>5202</v>
      </c>
      <c r="AG499">
        <v>3348</v>
      </c>
      <c r="AH499">
        <v>-152</v>
      </c>
      <c r="AI499">
        <v>1063588</v>
      </c>
      <c r="AJ499">
        <v>4.36</v>
      </c>
    </row>
    <row r="500" spans="1:36">
      <c r="A500" s="1" t="s">
        <v>534</v>
      </c>
      <c r="B500" t="s">
        <v>1213</v>
      </c>
      <c r="C500">
        <f>HYPERLINK("https://finance.naver.com/item/coinfo.nhn?code=002920", "A002920")</f>
        <v>0</v>
      </c>
      <c r="D500">
        <f>HYPERLINK("http://comp.fnguide.com/SVO2/ASP/SVD_Consensus.asp?pGB=1&amp;gicode=A002920&amp;cID=&amp;MenuYn=Y&amp;ReportGB=&amp;NewMenuID=108&amp;stkGb=701", "유성기업")</f>
        <v>0</v>
      </c>
      <c r="E500">
        <v>3</v>
      </c>
      <c r="F500">
        <v>3645</v>
      </c>
      <c r="G500">
        <v>0</v>
      </c>
      <c r="I500">
        <v>2740</v>
      </c>
      <c r="J500">
        <v>7240</v>
      </c>
      <c r="K500">
        <v>8551</v>
      </c>
      <c r="L500">
        <v>24.82</v>
      </c>
      <c r="M500">
        <v>-98.64</v>
      </c>
      <c r="N500">
        <v>-134.6</v>
      </c>
      <c r="O500">
        <v>2.18</v>
      </c>
      <c r="P500" t="b">
        <v>0</v>
      </c>
      <c r="Q500">
        <v>0</v>
      </c>
      <c r="R500">
        <v>-182</v>
      </c>
      <c r="U500" t="s">
        <v>1892</v>
      </c>
      <c r="V500" t="s">
        <v>2571</v>
      </c>
      <c r="W500">
        <v>0</v>
      </c>
      <c r="X500">
        <v>0</v>
      </c>
      <c r="Y500" t="s">
        <v>3210</v>
      </c>
      <c r="Z500">
        <v>7.033807552390448</v>
      </c>
      <c r="AA500">
        <v>946</v>
      </c>
      <c r="AB500">
        <v>411063</v>
      </c>
      <c r="AC500" t="s">
        <v>3876</v>
      </c>
      <c r="AD500">
        <v>48.78</v>
      </c>
      <c r="AE500" t="s">
        <v>4555</v>
      </c>
      <c r="AF500" t="s">
        <v>5203</v>
      </c>
      <c r="AG500">
        <v>2415</v>
      </c>
      <c r="AH500">
        <v>-15</v>
      </c>
      <c r="AI500">
        <v>300000</v>
      </c>
      <c r="AJ500">
        <v>4.36</v>
      </c>
    </row>
    <row r="501" spans="1:36">
      <c r="A501" s="1" t="s">
        <v>535</v>
      </c>
      <c r="B501" t="s">
        <v>1214</v>
      </c>
      <c r="C501">
        <f>HYPERLINK("https://finance.naver.com/item/coinfo.nhn?code=003460", "A003460")</f>
        <v>0</v>
      </c>
      <c r="D501">
        <f>HYPERLINK("http://comp.fnguide.com/SVO2/ASP/SVD_Consensus.asp?pGB=1&amp;gicode=A003460&amp;cID=&amp;MenuYn=Y&amp;ReportGB=&amp;NewMenuID=108&amp;stkGb=701", "유화증권")</f>
        <v>0</v>
      </c>
      <c r="E501">
        <v>3</v>
      </c>
      <c r="F501">
        <v>2695</v>
      </c>
      <c r="G501">
        <v>0</v>
      </c>
      <c r="H501">
        <v>32.79</v>
      </c>
      <c r="I501">
        <v>1544</v>
      </c>
      <c r="J501">
        <v>6749</v>
      </c>
      <c r="K501">
        <v>8265</v>
      </c>
      <c r="L501">
        <v>42.7</v>
      </c>
      <c r="M501">
        <v>-150.42</v>
      </c>
      <c r="N501">
        <v>-206.68</v>
      </c>
      <c r="O501">
        <v>1.23</v>
      </c>
      <c r="P501" t="b">
        <v>0</v>
      </c>
      <c r="Q501">
        <v>0</v>
      </c>
      <c r="R501">
        <v>70</v>
      </c>
      <c r="U501" t="s">
        <v>1893</v>
      </c>
      <c r="V501" t="s">
        <v>2572</v>
      </c>
      <c r="W501">
        <v>0</v>
      </c>
      <c r="X501">
        <v>1.1</v>
      </c>
      <c r="Y501" t="s">
        <v>3211</v>
      </c>
      <c r="Z501">
        <v>1.439731815363965</v>
      </c>
      <c r="AA501">
        <v>1528</v>
      </c>
      <c r="AB501">
        <v>52672</v>
      </c>
      <c r="AC501" t="s">
        <v>3877</v>
      </c>
      <c r="AD501">
        <v>47.92</v>
      </c>
      <c r="AE501" t="s">
        <v>4556</v>
      </c>
      <c r="AF501" t="s">
        <v>5204</v>
      </c>
      <c r="AG501">
        <v>148</v>
      </c>
      <c r="AH501">
        <v>46</v>
      </c>
      <c r="AI501">
        <v>10946410</v>
      </c>
      <c r="AJ501">
        <v>4.76</v>
      </c>
    </row>
    <row r="502" spans="1:36">
      <c r="A502" s="1" t="s">
        <v>536</v>
      </c>
      <c r="B502" t="s">
        <v>1215</v>
      </c>
      <c r="C502">
        <f>HYPERLINK("https://finance.naver.com/item/coinfo.nhn?code=011330", "A011330")</f>
        <v>0</v>
      </c>
      <c r="D502">
        <f>HYPERLINK("http://comp.fnguide.com/SVO2/ASP/SVD_Consensus.asp?pGB=1&amp;gicode=A011330&amp;cID=&amp;MenuYn=Y&amp;ReportGB=&amp;NewMenuID=108&amp;stkGb=701", "유니켐")</f>
        <v>0</v>
      </c>
      <c r="E502">
        <v>3</v>
      </c>
      <c r="F502">
        <v>1665</v>
      </c>
      <c r="G502">
        <v>0</v>
      </c>
      <c r="H502">
        <v>8.94</v>
      </c>
      <c r="I502">
        <v>2964</v>
      </c>
      <c r="J502">
        <v>2060</v>
      </c>
      <c r="K502">
        <v>1797</v>
      </c>
      <c r="L502">
        <v>-78.02</v>
      </c>
      <c r="M502">
        <v>-23.74</v>
      </c>
      <c r="N502">
        <v>-7.93</v>
      </c>
      <c r="O502">
        <v>16.89</v>
      </c>
      <c r="P502" t="b">
        <v>1</v>
      </c>
      <c r="Q502">
        <v>0</v>
      </c>
      <c r="R502">
        <v>158</v>
      </c>
      <c r="U502" t="s">
        <v>1894</v>
      </c>
      <c r="V502" t="s">
        <v>2573</v>
      </c>
      <c r="W502">
        <v>0</v>
      </c>
      <c r="X502">
        <v>-28.9</v>
      </c>
      <c r="Y502" t="s">
        <v>3212</v>
      </c>
      <c r="Z502">
        <v>45.59325469827616</v>
      </c>
      <c r="AA502">
        <v>1144</v>
      </c>
      <c r="AB502">
        <v>410944</v>
      </c>
      <c r="AC502" t="s">
        <v>3878</v>
      </c>
      <c r="AD502">
        <v>18.61</v>
      </c>
      <c r="AE502" t="s">
        <v>4557</v>
      </c>
      <c r="AF502" t="s">
        <v>5205</v>
      </c>
      <c r="AG502">
        <v>1262</v>
      </c>
      <c r="AH502">
        <v>153</v>
      </c>
      <c r="AI502">
        <v>907818</v>
      </c>
      <c r="AJ502">
        <v>3.53</v>
      </c>
    </row>
    <row r="503" spans="1:36">
      <c r="A503" s="1" t="s">
        <v>537</v>
      </c>
      <c r="B503" t="s">
        <v>1216</v>
      </c>
      <c r="C503">
        <f>HYPERLINK("https://finance.naver.com/item/coinfo.nhn?code=014830", "A014830")</f>
        <v>0</v>
      </c>
      <c r="D503">
        <f>HYPERLINK("http://comp.fnguide.com/SVO2/ASP/SVD_Consensus.asp?pGB=1&amp;gicode=A014830&amp;cID=&amp;MenuYn=Y&amp;ReportGB=&amp;NewMenuID=108&amp;stkGb=701", "유니드")</f>
        <v>0</v>
      </c>
      <c r="E503">
        <v>3</v>
      </c>
      <c r="F503">
        <v>79000</v>
      </c>
      <c r="G503">
        <v>0.13</v>
      </c>
      <c r="H503">
        <v>5.58</v>
      </c>
      <c r="I503">
        <v>102223</v>
      </c>
      <c r="J503">
        <v>94856</v>
      </c>
      <c r="K503">
        <v>92711</v>
      </c>
      <c r="L503">
        <v>-29.4</v>
      </c>
      <c r="M503">
        <v>-20.07</v>
      </c>
      <c r="N503">
        <v>-17.36</v>
      </c>
      <c r="O503">
        <v>9.35</v>
      </c>
      <c r="P503" t="b">
        <v>1</v>
      </c>
      <c r="Q503">
        <v>3</v>
      </c>
      <c r="R503">
        <v>8656</v>
      </c>
      <c r="S503">
        <v>12250</v>
      </c>
      <c r="T503">
        <v>41.5</v>
      </c>
      <c r="U503" t="s">
        <v>1895</v>
      </c>
      <c r="V503" t="s">
        <v>2574</v>
      </c>
      <c r="W503">
        <v>44.47232117925526</v>
      </c>
      <c r="X503">
        <v>13.9</v>
      </c>
      <c r="Y503" t="s">
        <v>3213</v>
      </c>
      <c r="Z503">
        <v>0.2756866108766687</v>
      </c>
      <c r="AA503">
        <v>7023</v>
      </c>
      <c r="AB503">
        <v>47739</v>
      </c>
      <c r="AC503" t="s">
        <v>3879</v>
      </c>
      <c r="AD503">
        <v>46.37</v>
      </c>
      <c r="AE503" t="s">
        <v>4558</v>
      </c>
      <c r="AF503" t="s">
        <v>5206</v>
      </c>
      <c r="AG503">
        <v>8905</v>
      </c>
      <c r="AH503">
        <v>962</v>
      </c>
      <c r="AI503">
        <v>158000</v>
      </c>
      <c r="AJ503">
        <v>2.9</v>
      </c>
    </row>
    <row r="504" spans="1:36">
      <c r="A504" s="1" t="s">
        <v>538</v>
      </c>
      <c r="B504" t="s">
        <v>1217</v>
      </c>
      <c r="C504">
        <f>HYPERLINK("https://finance.naver.com/item/coinfo.nhn?code=005820", "A005820")</f>
        <v>0</v>
      </c>
      <c r="D504">
        <f>HYPERLINK("http://comp.fnguide.com/SVO2/ASP/SVD_Consensus.asp?pGB=1&amp;gicode=A005820&amp;cID=&amp;MenuYn=Y&amp;ReportGB=&amp;NewMenuID=108&amp;stkGb=701", "원림")</f>
        <v>0</v>
      </c>
      <c r="E504">
        <v>3</v>
      </c>
      <c r="F504">
        <v>24550</v>
      </c>
      <c r="G504">
        <v>0</v>
      </c>
      <c r="H504">
        <v>2.83</v>
      </c>
      <c r="I504">
        <v>57907</v>
      </c>
      <c r="J504">
        <v>54028</v>
      </c>
      <c r="K504">
        <v>52898</v>
      </c>
      <c r="L504">
        <v>-135.88</v>
      </c>
      <c r="M504">
        <v>-120.07</v>
      </c>
      <c r="N504">
        <v>-115.47</v>
      </c>
      <c r="O504">
        <v>9.26</v>
      </c>
      <c r="P504" t="b">
        <v>1</v>
      </c>
      <c r="Q504">
        <v>0</v>
      </c>
      <c r="R504">
        <v>6961</v>
      </c>
      <c r="U504" t="s">
        <v>1896</v>
      </c>
      <c r="V504" t="s">
        <v>2575</v>
      </c>
      <c r="W504">
        <v>0</v>
      </c>
      <c r="X504">
        <v>439.3</v>
      </c>
      <c r="Y504" t="s">
        <v>3214</v>
      </c>
      <c r="Z504">
        <v>91.09548399603062</v>
      </c>
      <c r="AA504">
        <v>564</v>
      </c>
      <c r="AB504">
        <v>20318</v>
      </c>
      <c r="AC504" t="s">
        <v>3880</v>
      </c>
      <c r="AD504">
        <v>60.52</v>
      </c>
      <c r="AE504" t="s">
        <v>4559</v>
      </c>
      <c r="AF504" t="s">
        <v>5207</v>
      </c>
      <c r="AG504">
        <v>684</v>
      </c>
      <c r="AH504">
        <v>54</v>
      </c>
      <c r="AI504">
        <v>240590</v>
      </c>
      <c r="AJ504">
        <v>2.44</v>
      </c>
    </row>
    <row r="505" spans="1:36">
      <c r="A505" s="1" t="s">
        <v>539</v>
      </c>
      <c r="B505" t="s">
        <v>1218</v>
      </c>
      <c r="C505">
        <f>HYPERLINK("https://finance.naver.com/item/coinfo.nhn?code=010400", "A010400")</f>
        <v>0</v>
      </c>
      <c r="D505">
        <f>HYPERLINK("http://comp.fnguide.com/SVO2/ASP/SVD_Consensus.asp?pGB=1&amp;gicode=A010400&amp;cID=&amp;MenuYn=Y&amp;ReportGB=&amp;NewMenuID=108&amp;stkGb=701", "우진아이엔에스")</f>
        <v>0</v>
      </c>
      <c r="E505">
        <v>3</v>
      </c>
      <c r="F505">
        <v>9300</v>
      </c>
      <c r="G505">
        <v>0</v>
      </c>
      <c r="H505">
        <v>34.87</v>
      </c>
      <c r="I505">
        <v>7505</v>
      </c>
      <c r="J505">
        <v>12010</v>
      </c>
      <c r="K505">
        <v>13322</v>
      </c>
      <c r="L505">
        <v>19.3</v>
      </c>
      <c r="M505">
        <v>-29.14</v>
      </c>
      <c r="N505">
        <v>-43.24</v>
      </c>
      <c r="O505">
        <v>4.09</v>
      </c>
      <c r="P505" t="b">
        <v>0</v>
      </c>
      <c r="Q505">
        <v>0</v>
      </c>
      <c r="R505">
        <v>231</v>
      </c>
      <c r="U505" t="s">
        <v>1897</v>
      </c>
      <c r="V505" t="s">
        <v>2576</v>
      </c>
      <c r="W505">
        <v>0</v>
      </c>
      <c r="X505">
        <v>-17</v>
      </c>
      <c r="Y505" t="s">
        <v>3215</v>
      </c>
      <c r="Z505">
        <v>-39.24072267450425</v>
      </c>
      <c r="AA505">
        <v>709</v>
      </c>
      <c r="AB505">
        <v>140774</v>
      </c>
      <c r="AC505" t="s">
        <v>3881</v>
      </c>
      <c r="AD505">
        <v>53.21</v>
      </c>
      <c r="AE505" t="s">
        <v>4560</v>
      </c>
      <c r="AF505" t="s">
        <v>5208</v>
      </c>
      <c r="AG505">
        <v>1404</v>
      </c>
      <c r="AH505">
        <v>18</v>
      </c>
      <c r="AI505">
        <v>901921</v>
      </c>
      <c r="AJ505">
        <v>3.1</v>
      </c>
    </row>
    <row r="506" spans="1:36">
      <c r="A506" s="1" t="s">
        <v>540</v>
      </c>
      <c r="B506" t="s">
        <v>1219</v>
      </c>
      <c r="C506">
        <f>HYPERLINK("https://finance.naver.com/item/coinfo.nhn?code=105840", "A105840")</f>
        <v>0</v>
      </c>
      <c r="D506">
        <f>HYPERLINK("http://comp.fnguide.com/SVO2/ASP/SVD_Consensus.asp?pGB=1&amp;gicode=A105840&amp;cID=&amp;MenuYn=Y&amp;ReportGB=&amp;NewMenuID=108&amp;stkGb=701", "우진")</f>
        <v>0</v>
      </c>
      <c r="E506">
        <v>3</v>
      </c>
      <c r="F506">
        <v>5310</v>
      </c>
      <c r="G506">
        <v>0</v>
      </c>
      <c r="H506">
        <v>2.6</v>
      </c>
      <c r="I506">
        <v>11763</v>
      </c>
      <c r="J506">
        <v>9223</v>
      </c>
      <c r="K506">
        <v>8483</v>
      </c>
      <c r="L506">
        <v>-121.52</v>
      </c>
      <c r="M506">
        <v>-73.69</v>
      </c>
      <c r="N506">
        <v>-59.76</v>
      </c>
      <c r="O506">
        <v>12.91</v>
      </c>
      <c r="P506" t="b">
        <v>1</v>
      </c>
      <c r="Q506">
        <v>0</v>
      </c>
      <c r="R506">
        <v>1690</v>
      </c>
      <c r="U506" t="s">
        <v>1898</v>
      </c>
      <c r="V506" t="s">
        <v>2577</v>
      </c>
      <c r="W506">
        <v>0</v>
      </c>
      <c r="X506">
        <v>0</v>
      </c>
      <c r="Y506" t="s">
        <v>2762</v>
      </c>
      <c r="Z506">
        <v>0</v>
      </c>
      <c r="AA506">
        <v>1074</v>
      </c>
      <c r="AB506">
        <v>822752</v>
      </c>
      <c r="AC506" t="s">
        <v>3882</v>
      </c>
      <c r="AD506">
        <v>37.08</v>
      </c>
      <c r="AE506" t="s">
        <v>4561</v>
      </c>
      <c r="AF506" t="s">
        <v>5209</v>
      </c>
      <c r="AG506">
        <v>898</v>
      </c>
      <c r="AH506">
        <v>11</v>
      </c>
      <c r="AI506">
        <v>314955</v>
      </c>
      <c r="AJ506">
        <v>2.28</v>
      </c>
    </row>
    <row r="507" spans="1:36">
      <c r="A507" s="1" t="s">
        <v>541</v>
      </c>
      <c r="B507" t="s">
        <v>1220</v>
      </c>
      <c r="C507">
        <f>HYPERLINK("https://finance.naver.com/item/coinfo.nhn?code=006980", "A006980")</f>
        <v>0</v>
      </c>
      <c r="D507">
        <f>HYPERLINK("http://comp.fnguide.com/SVO2/ASP/SVD_Consensus.asp?pGB=1&amp;gicode=A006980&amp;cID=&amp;MenuYn=Y&amp;ReportGB=&amp;NewMenuID=108&amp;stkGb=701", "우성사료")</f>
        <v>0</v>
      </c>
      <c r="E507">
        <v>3</v>
      </c>
      <c r="F507">
        <v>37600</v>
      </c>
      <c r="G507">
        <v>0</v>
      </c>
      <c r="H507">
        <v>16.09</v>
      </c>
      <c r="I507">
        <v>33840</v>
      </c>
      <c r="J507">
        <v>54720</v>
      </c>
      <c r="K507">
        <v>60802</v>
      </c>
      <c r="L507">
        <v>10</v>
      </c>
      <c r="M507">
        <v>-45.53</v>
      </c>
      <c r="N507">
        <v>-61.71</v>
      </c>
      <c r="O507">
        <v>4.03</v>
      </c>
      <c r="P507" t="b">
        <v>0</v>
      </c>
      <c r="Q507">
        <v>0</v>
      </c>
      <c r="R507">
        <v>1865</v>
      </c>
      <c r="U507" t="s">
        <v>1899</v>
      </c>
      <c r="V507" t="s">
        <v>2578</v>
      </c>
      <c r="W507">
        <v>0</v>
      </c>
      <c r="X507">
        <v>-51.7</v>
      </c>
      <c r="Y507" t="s">
        <v>3216</v>
      </c>
      <c r="Z507">
        <v>-20.8513423992548</v>
      </c>
      <c r="AA507">
        <v>1162</v>
      </c>
      <c r="AB507">
        <v>75956</v>
      </c>
      <c r="AC507" t="s">
        <v>3883</v>
      </c>
      <c r="AD507">
        <v>32.45</v>
      </c>
      <c r="AE507" t="s">
        <v>4562</v>
      </c>
      <c r="AF507" t="s">
        <v>5210</v>
      </c>
      <c r="AG507">
        <v>3886</v>
      </c>
      <c r="AH507">
        <v>45</v>
      </c>
      <c r="AI507">
        <v>518777</v>
      </c>
      <c r="AJ507">
        <v>0.5</v>
      </c>
    </row>
    <row r="508" spans="1:36">
      <c r="A508" s="1" t="s">
        <v>542</v>
      </c>
      <c r="B508" t="s">
        <v>1221</v>
      </c>
      <c r="C508">
        <f>HYPERLINK("https://finance.naver.com/item/coinfo.nhn?code=139480", "A139480")</f>
        <v>0</v>
      </c>
      <c r="D508">
        <f>HYPERLINK("http://comp.fnguide.com/SVO2/ASP/SVD_Consensus.asp?pGB=1&amp;gicode=A139480&amp;cID=&amp;MenuYn=Y&amp;ReportGB=&amp;NewMenuID=108&amp;stkGb=701", "이마트")</f>
        <v>0</v>
      </c>
      <c r="E508">
        <v>3</v>
      </c>
      <c r="F508">
        <v>154000</v>
      </c>
      <c r="G508">
        <v>-1.49</v>
      </c>
      <c r="H508">
        <v>11.67</v>
      </c>
      <c r="I508">
        <v>153201</v>
      </c>
      <c r="J508">
        <v>256151</v>
      </c>
      <c r="K508">
        <v>286139</v>
      </c>
      <c r="L508">
        <v>0.52</v>
      </c>
      <c r="M508">
        <v>-66.33</v>
      </c>
      <c r="N508">
        <v>-85.8</v>
      </c>
      <c r="O508">
        <v>3.86</v>
      </c>
      <c r="P508" t="b">
        <v>1</v>
      </c>
      <c r="Q508">
        <v>0</v>
      </c>
      <c r="R508">
        <v>12979</v>
      </c>
      <c r="S508">
        <v>12637</v>
      </c>
      <c r="T508">
        <v>-2.6</v>
      </c>
      <c r="U508" t="s">
        <v>1900</v>
      </c>
      <c r="V508" t="s">
        <v>2579</v>
      </c>
      <c r="W508">
        <v>-7.809917263204492</v>
      </c>
      <c r="X508">
        <v>54.7</v>
      </c>
      <c r="Y508" t="s">
        <v>3217</v>
      </c>
      <c r="Z508">
        <v>-4.483392051096713</v>
      </c>
      <c r="AA508">
        <v>42929</v>
      </c>
      <c r="AB508">
        <v>191123</v>
      </c>
      <c r="AC508" t="s">
        <v>3884</v>
      </c>
      <c r="AD508">
        <v>28.56</v>
      </c>
      <c r="AE508" t="s">
        <v>4563</v>
      </c>
      <c r="AF508" t="s">
        <v>5211</v>
      </c>
      <c r="AG508">
        <v>220330</v>
      </c>
      <c r="AH508">
        <v>2372</v>
      </c>
      <c r="AI508">
        <v>87464</v>
      </c>
      <c r="AJ508">
        <v>1.32</v>
      </c>
    </row>
    <row r="509" spans="1:36">
      <c r="A509" s="1" t="s">
        <v>543</v>
      </c>
      <c r="B509" t="s">
        <v>1222</v>
      </c>
      <c r="C509">
        <f>HYPERLINK("https://finance.naver.com/item/coinfo.nhn?code=000760", "A000760")</f>
        <v>0</v>
      </c>
      <c r="D509">
        <f>HYPERLINK("http://comp.fnguide.com/SVO2/ASP/SVD_Consensus.asp?pGB=1&amp;gicode=A000760&amp;cID=&amp;MenuYn=Y&amp;ReportGB=&amp;NewMenuID=108&amp;stkGb=701", "이화산업")</f>
        <v>0</v>
      </c>
      <c r="E509">
        <v>3</v>
      </c>
      <c r="F509">
        <v>19800</v>
      </c>
      <c r="G509">
        <v>0</v>
      </c>
      <c r="I509">
        <v>0</v>
      </c>
      <c r="J509">
        <v>21064</v>
      </c>
      <c r="K509">
        <v>27200</v>
      </c>
      <c r="L509">
        <v>100</v>
      </c>
      <c r="M509">
        <v>-6.39</v>
      </c>
      <c r="N509">
        <v>-37.37</v>
      </c>
      <c r="O509">
        <v>0</v>
      </c>
      <c r="P509" t="b">
        <v>0</v>
      </c>
      <c r="Q509">
        <v>0</v>
      </c>
      <c r="R509">
        <v>-951</v>
      </c>
      <c r="U509" t="s">
        <v>1901</v>
      </c>
      <c r="V509" t="s">
        <v>2580</v>
      </c>
      <c r="W509">
        <v>0</v>
      </c>
      <c r="X509">
        <v>0</v>
      </c>
      <c r="Y509" t="s">
        <v>2762</v>
      </c>
      <c r="Z509">
        <v>0</v>
      </c>
      <c r="AA509">
        <v>554</v>
      </c>
      <c r="AB509">
        <v>1428</v>
      </c>
      <c r="AC509" t="s">
        <v>3885</v>
      </c>
      <c r="AD509">
        <v>72.81</v>
      </c>
      <c r="AE509" t="s">
        <v>4564</v>
      </c>
      <c r="AF509" t="s">
        <v>4741</v>
      </c>
      <c r="AG509">
        <v>511</v>
      </c>
      <c r="AH509">
        <v>-35</v>
      </c>
    </row>
    <row r="510" spans="1:36">
      <c r="A510" s="1" t="s">
        <v>544</v>
      </c>
      <c r="B510" t="s">
        <v>1223</v>
      </c>
      <c r="C510">
        <f>HYPERLINK("https://finance.naver.com/item/coinfo.nhn?code=033660", "A033660")</f>
        <v>0</v>
      </c>
      <c r="D510">
        <f>HYPERLINK("http://comp.fnguide.com/SVO2/ASP/SVD_Consensus.asp?pGB=1&amp;gicode=A033660&amp;cID=&amp;MenuYn=Y&amp;ReportGB=&amp;NewMenuID=108&amp;stkGb=701", "우리금융캐피탈")</f>
        <v>0</v>
      </c>
      <c r="E510">
        <v>3</v>
      </c>
      <c r="F510">
        <v>11900</v>
      </c>
      <c r="G510">
        <v>0</v>
      </c>
      <c r="H510">
        <v>11.9</v>
      </c>
      <c r="I510">
        <v>18121</v>
      </c>
      <c r="J510">
        <v>16204</v>
      </c>
      <c r="K510">
        <v>15645</v>
      </c>
      <c r="L510">
        <v>-52.28</v>
      </c>
      <c r="M510">
        <v>-36.17</v>
      </c>
      <c r="N510">
        <v>-31.47</v>
      </c>
      <c r="O510">
        <v>10</v>
      </c>
      <c r="P510" t="b">
        <v>0</v>
      </c>
      <c r="Q510">
        <v>0</v>
      </c>
      <c r="R510">
        <v>1025</v>
      </c>
      <c r="U510" t="s">
        <v>1902</v>
      </c>
      <c r="V510" t="s">
        <v>2581</v>
      </c>
      <c r="W510">
        <v>0</v>
      </c>
      <c r="Y510" t="s">
        <v>2823</v>
      </c>
      <c r="Z510">
        <v>0</v>
      </c>
      <c r="AA510">
        <v>6848</v>
      </c>
      <c r="AB510">
        <v>41139</v>
      </c>
      <c r="AC510" t="s">
        <v>3886</v>
      </c>
      <c r="AD510">
        <v>86.89</v>
      </c>
      <c r="AE510" t="s">
        <v>4565</v>
      </c>
      <c r="AF510" t="s">
        <v>5212</v>
      </c>
      <c r="AG510">
        <v>2431</v>
      </c>
      <c r="AH510">
        <v>1381</v>
      </c>
      <c r="AI510">
        <v>2064059</v>
      </c>
      <c r="AJ510">
        <v>2.62</v>
      </c>
    </row>
    <row r="511" spans="1:36">
      <c r="A511" s="1" t="s">
        <v>545</v>
      </c>
      <c r="B511" t="s">
        <v>1224</v>
      </c>
      <c r="C511">
        <f>HYPERLINK("https://finance.naver.com/item/coinfo.nhn?code=316140", "A316140")</f>
        <v>0</v>
      </c>
      <c r="D511">
        <f>HYPERLINK("http://comp.fnguide.com/SVO2/ASP/SVD_Consensus.asp?pGB=1&amp;gicode=A316140&amp;cID=&amp;MenuYn=Y&amp;ReportGB=&amp;NewMenuID=108&amp;stkGb=701", "우리금융지주")</f>
        <v>0</v>
      </c>
      <c r="E511">
        <v>3</v>
      </c>
      <c r="F511">
        <v>11100</v>
      </c>
      <c r="G511">
        <v>0</v>
      </c>
      <c r="H511">
        <v>5.38</v>
      </c>
      <c r="I511">
        <v>11397</v>
      </c>
      <c r="J511">
        <v>23586</v>
      </c>
      <c r="K511">
        <v>27136</v>
      </c>
      <c r="L511">
        <v>-2.67</v>
      </c>
      <c r="M511">
        <v>-112.48</v>
      </c>
      <c r="N511">
        <v>-144.47</v>
      </c>
      <c r="O511">
        <v>2.94</v>
      </c>
      <c r="P511" t="b">
        <v>1</v>
      </c>
      <c r="Q511">
        <v>1</v>
      </c>
      <c r="R511">
        <v>1810</v>
      </c>
      <c r="S511">
        <v>2674</v>
      </c>
      <c r="T511">
        <v>47.7</v>
      </c>
      <c r="U511" t="s">
        <v>1903</v>
      </c>
      <c r="V511" t="s">
        <v>2582</v>
      </c>
      <c r="W511">
        <v>0</v>
      </c>
      <c r="X511">
        <v>2.1</v>
      </c>
      <c r="Y511" t="s">
        <v>3218</v>
      </c>
      <c r="Z511">
        <v>0</v>
      </c>
      <c r="AA511">
        <v>80172</v>
      </c>
      <c r="AB511">
        <v>1811715</v>
      </c>
      <c r="AC511" t="s">
        <v>3887</v>
      </c>
      <c r="AD511">
        <v>15.25</v>
      </c>
      <c r="AE511" t="s">
        <v>4566</v>
      </c>
      <c r="AF511" t="s">
        <v>5213</v>
      </c>
      <c r="AG511">
        <v>95239</v>
      </c>
      <c r="AH511">
        <v>20804</v>
      </c>
      <c r="AI511">
        <v>2</v>
      </c>
      <c r="AJ511">
        <v>3.7</v>
      </c>
    </row>
    <row r="512" spans="1:36">
      <c r="A512" s="1" t="s">
        <v>546</v>
      </c>
      <c r="B512" t="s">
        <v>1225</v>
      </c>
      <c r="C512">
        <f>HYPERLINK("https://finance.naver.com/item/coinfo.nhn?code=070960", "A070960")</f>
        <v>0</v>
      </c>
      <c r="D512">
        <f>HYPERLINK("http://comp.fnguide.com/SVO2/ASP/SVD_Consensus.asp?pGB=1&amp;gicode=A070960&amp;cID=&amp;MenuYn=Y&amp;ReportGB=&amp;NewMenuID=108&amp;stkGb=701", "용평리조트")</f>
        <v>0</v>
      </c>
      <c r="E512">
        <v>3</v>
      </c>
      <c r="F512">
        <v>5270</v>
      </c>
      <c r="G512">
        <v>0</v>
      </c>
      <c r="I512">
        <v>395</v>
      </c>
      <c r="J512">
        <v>4822</v>
      </c>
      <c r="K512">
        <v>6112</v>
      </c>
      <c r="L512">
        <v>92.51000000000001</v>
      </c>
      <c r="M512">
        <v>8.5</v>
      </c>
      <c r="N512">
        <v>-15.98</v>
      </c>
      <c r="O512">
        <v>0.41</v>
      </c>
      <c r="P512" t="b">
        <v>0</v>
      </c>
      <c r="Q512">
        <v>0</v>
      </c>
      <c r="R512">
        <v>-365</v>
      </c>
      <c r="U512" t="s">
        <v>1904</v>
      </c>
      <c r="V512" t="s">
        <v>2583</v>
      </c>
      <c r="W512">
        <v>0</v>
      </c>
      <c r="X512">
        <v>0</v>
      </c>
      <c r="Y512" t="s">
        <v>3219</v>
      </c>
      <c r="Z512">
        <v>-11.52923638015311</v>
      </c>
      <c r="AA512">
        <v>2537</v>
      </c>
      <c r="AB512">
        <v>361586</v>
      </c>
      <c r="AC512" t="s">
        <v>3888</v>
      </c>
      <c r="AD512">
        <v>48.84</v>
      </c>
      <c r="AE512" t="s">
        <v>4567</v>
      </c>
      <c r="AF512" t="s">
        <v>5214</v>
      </c>
      <c r="AG512">
        <v>1274</v>
      </c>
      <c r="AH512">
        <v>-70</v>
      </c>
    </row>
    <row r="513" spans="1:36">
      <c r="A513" s="1" t="s">
        <v>547</v>
      </c>
      <c r="B513" t="s">
        <v>1226</v>
      </c>
      <c r="C513">
        <f>HYPERLINK("https://finance.naver.com/item/coinfo.nhn?code=015360", "A015360")</f>
        <v>0</v>
      </c>
      <c r="D513">
        <f>HYPERLINK("http://comp.fnguide.com/SVO2/ASP/SVD_Consensus.asp?pGB=1&amp;gicode=A015360&amp;cID=&amp;MenuYn=Y&amp;ReportGB=&amp;NewMenuID=108&amp;stkGb=701", "예스코홀딩스")</f>
        <v>0</v>
      </c>
      <c r="E513">
        <v>3</v>
      </c>
      <c r="F513">
        <v>36750</v>
      </c>
      <c r="G513">
        <v>0</v>
      </c>
      <c r="I513">
        <v>16325</v>
      </c>
      <c r="J513">
        <v>72864</v>
      </c>
      <c r="K513">
        <v>89333</v>
      </c>
      <c r="L513">
        <v>55.58</v>
      </c>
      <c r="M513">
        <v>-98.27</v>
      </c>
      <c r="N513">
        <v>-143.08</v>
      </c>
      <c r="O513">
        <v>1.2</v>
      </c>
      <c r="P513" t="b">
        <v>0</v>
      </c>
      <c r="Q513">
        <v>0</v>
      </c>
      <c r="R513">
        <v>-11271</v>
      </c>
      <c r="U513" t="s">
        <v>1905</v>
      </c>
      <c r="V513" t="s">
        <v>2584</v>
      </c>
      <c r="W513">
        <v>0</v>
      </c>
      <c r="X513">
        <v>0</v>
      </c>
      <c r="Y513" t="s">
        <v>3220</v>
      </c>
      <c r="Z513">
        <v>19.70079364816257</v>
      </c>
      <c r="AA513">
        <v>2205</v>
      </c>
      <c r="AB513">
        <v>979</v>
      </c>
      <c r="AC513" t="s">
        <v>3889</v>
      </c>
      <c r="AD513">
        <v>39.44</v>
      </c>
      <c r="AE513" t="s">
        <v>4568</v>
      </c>
      <c r="AF513" t="s">
        <v>5215</v>
      </c>
      <c r="AG513">
        <v>11224</v>
      </c>
      <c r="AH513">
        <v>96</v>
      </c>
      <c r="AI513">
        <v>1734211</v>
      </c>
      <c r="AJ513">
        <v>5.71</v>
      </c>
    </row>
    <row r="514" spans="1:36">
      <c r="A514" s="1" t="s">
        <v>548</v>
      </c>
      <c r="B514" t="s">
        <v>1227</v>
      </c>
      <c r="C514">
        <f>HYPERLINK("https://finance.naver.com/item/coinfo.nhn?code=102280", "A102280")</f>
        <v>0</v>
      </c>
      <c r="D514">
        <f>HYPERLINK("http://comp.fnguide.com/SVO2/ASP/SVD_Consensus.asp?pGB=1&amp;gicode=A102280&amp;cID=&amp;MenuYn=Y&amp;ReportGB=&amp;NewMenuID=108&amp;stkGb=701", "쌍방울")</f>
        <v>0</v>
      </c>
      <c r="E514">
        <v>3</v>
      </c>
      <c r="F514">
        <v>636</v>
      </c>
      <c r="G514">
        <v>0</v>
      </c>
      <c r="I514">
        <v>0</v>
      </c>
      <c r="J514">
        <v>530</v>
      </c>
      <c r="K514">
        <v>685</v>
      </c>
      <c r="L514">
        <v>100</v>
      </c>
      <c r="M514">
        <v>16.62</v>
      </c>
      <c r="N514">
        <v>-7.67</v>
      </c>
      <c r="O514">
        <v>0</v>
      </c>
      <c r="P514" t="b">
        <v>0</v>
      </c>
      <c r="Q514">
        <v>0</v>
      </c>
      <c r="R514">
        <v>-86</v>
      </c>
      <c r="U514" t="s">
        <v>1906</v>
      </c>
      <c r="V514" t="s">
        <v>2585</v>
      </c>
      <c r="W514">
        <v>0</v>
      </c>
      <c r="X514">
        <v>0</v>
      </c>
      <c r="Y514" t="s">
        <v>2762</v>
      </c>
      <c r="Z514">
        <v>0</v>
      </c>
      <c r="AA514">
        <v>1529</v>
      </c>
      <c r="AB514">
        <v>1370586</v>
      </c>
      <c r="AC514" t="s">
        <v>3890</v>
      </c>
      <c r="AD514">
        <v>13.15</v>
      </c>
      <c r="AE514" t="s">
        <v>4569</v>
      </c>
      <c r="AF514" t="s">
        <v>4741</v>
      </c>
      <c r="AG514">
        <v>972</v>
      </c>
      <c r="AH514">
        <v>-13</v>
      </c>
      <c r="AI514">
        <v>12030</v>
      </c>
    </row>
    <row r="515" spans="1:36">
      <c r="A515" s="1" t="s">
        <v>549</v>
      </c>
      <c r="B515" t="s">
        <v>1228</v>
      </c>
      <c r="C515">
        <f>HYPERLINK("https://finance.naver.com/item/coinfo.nhn?code=012160", "A012160")</f>
        <v>0</v>
      </c>
      <c r="D515">
        <f>HYPERLINK("http://comp.fnguide.com/SVO2/ASP/SVD_Consensus.asp?pGB=1&amp;gicode=A012160&amp;cID=&amp;MenuYn=Y&amp;ReportGB=&amp;NewMenuID=108&amp;stkGb=701", "영흥")</f>
        <v>0</v>
      </c>
      <c r="E515">
        <v>3</v>
      </c>
      <c r="F515">
        <v>1235</v>
      </c>
      <c r="G515">
        <v>0</v>
      </c>
      <c r="I515">
        <v>58</v>
      </c>
      <c r="J515">
        <v>1362</v>
      </c>
      <c r="K515">
        <v>1741</v>
      </c>
      <c r="L515">
        <v>95.27</v>
      </c>
      <c r="M515">
        <v>-10.27</v>
      </c>
      <c r="N515">
        <v>-41.01</v>
      </c>
      <c r="O515">
        <v>0.21</v>
      </c>
      <c r="P515" t="b">
        <v>0</v>
      </c>
      <c r="Q515">
        <v>0</v>
      </c>
      <c r="R515">
        <v>-217</v>
      </c>
      <c r="U515" t="s">
        <v>1907</v>
      </c>
      <c r="V515" t="s">
        <v>2586</v>
      </c>
      <c r="W515">
        <v>0</v>
      </c>
      <c r="X515">
        <v>0</v>
      </c>
      <c r="Y515" t="s">
        <v>3221</v>
      </c>
      <c r="Z515">
        <v>-93.5</v>
      </c>
      <c r="AA515">
        <v>1197</v>
      </c>
      <c r="AB515">
        <v>687904</v>
      </c>
      <c r="AC515" t="s">
        <v>3891</v>
      </c>
      <c r="AD515">
        <v>28.56</v>
      </c>
      <c r="AE515" t="s">
        <v>4570</v>
      </c>
      <c r="AF515" t="s">
        <v>5216</v>
      </c>
      <c r="AG515">
        <v>2047</v>
      </c>
      <c r="AH515">
        <v>-251</v>
      </c>
      <c r="AI515">
        <v>31808526</v>
      </c>
      <c r="AJ515">
        <v>1.72</v>
      </c>
    </row>
    <row r="516" spans="1:36">
      <c r="A516" s="1" t="s">
        <v>550</v>
      </c>
      <c r="B516" t="s">
        <v>1229</v>
      </c>
      <c r="C516">
        <f>HYPERLINK("https://finance.naver.com/item/coinfo.nhn?code=006740", "A006740")</f>
        <v>0</v>
      </c>
      <c r="D516">
        <f>HYPERLINK("http://comp.fnguide.com/SVO2/ASP/SVD_Consensus.asp?pGB=1&amp;gicode=A006740&amp;cID=&amp;MenuYn=Y&amp;ReportGB=&amp;NewMenuID=108&amp;stkGb=701", "영풍제지")</f>
        <v>0</v>
      </c>
      <c r="E516">
        <v>3</v>
      </c>
      <c r="F516">
        <v>6700</v>
      </c>
      <c r="G516">
        <v>0</v>
      </c>
      <c r="H516">
        <v>16.59</v>
      </c>
      <c r="I516">
        <v>7386</v>
      </c>
      <c r="J516">
        <v>7271</v>
      </c>
      <c r="K516">
        <v>7238</v>
      </c>
      <c r="L516">
        <v>-10.23</v>
      </c>
      <c r="M516">
        <v>-8.529999999999999</v>
      </c>
      <c r="N516">
        <v>-8.029999999999999</v>
      </c>
      <c r="O516">
        <v>8.44</v>
      </c>
      <c r="P516" t="b">
        <v>0</v>
      </c>
      <c r="Q516">
        <v>0</v>
      </c>
      <c r="R516">
        <v>384</v>
      </c>
      <c r="U516" t="s">
        <v>1908</v>
      </c>
      <c r="V516" t="s">
        <v>2587</v>
      </c>
      <c r="W516">
        <v>0</v>
      </c>
      <c r="X516">
        <v>-8.1</v>
      </c>
      <c r="Y516" t="s">
        <v>3222</v>
      </c>
      <c r="Z516">
        <v>11.63439610045196</v>
      </c>
      <c r="AA516">
        <v>1487</v>
      </c>
      <c r="AB516">
        <v>73645</v>
      </c>
      <c r="AC516" t="s">
        <v>3892</v>
      </c>
      <c r="AD516">
        <v>54.44</v>
      </c>
      <c r="AE516" t="s">
        <v>4571</v>
      </c>
      <c r="AF516" t="s">
        <v>5217</v>
      </c>
      <c r="AG516">
        <v>982</v>
      </c>
      <c r="AH516">
        <v>102</v>
      </c>
      <c r="AI516">
        <v>4627676</v>
      </c>
      <c r="AJ516">
        <v>0.63</v>
      </c>
    </row>
    <row r="517" spans="1:36">
      <c r="A517" s="1" t="s">
        <v>551</v>
      </c>
      <c r="B517" t="s">
        <v>1230</v>
      </c>
      <c r="C517">
        <f>HYPERLINK("https://finance.naver.com/item/coinfo.nhn?code=000670", "A000670")</f>
        <v>0</v>
      </c>
      <c r="D517">
        <f>HYPERLINK("http://comp.fnguide.com/SVO2/ASP/SVD_Consensus.asp?pGB=1&amp;gicode=A000670&amp;cID=&amp;MenuYn=Y&amp;ReportGB=&amp;NewMenuID=108&amp;stkGb=701", "영풍")</f>
        <v>0</v>
      </c>
      <c r="E517">
        <v>3</v>
      </c>
      <c r="F517">
        <v>701000</v>
      </c>
      <c r="G517">
        <v>0.23</v>
      </c>
      <c r="H517">
        <v>7.47</v>
      </c>
      <c r="I517">
        <v>1197146</v>
      </c>
      <c r="J517">
        <v>1632897</v>
      </c>
      <c r="K517">
        <v>1759824</v>
      </c>
      <c r="L517">
        <v>-70.78</v>
      </c>
      <c r="M517">
        <v>-132.94</v>
      </c>
      <c r="N517">
        <v>-151.04</v>
      </c>
      <c r="O517">
        <v>5.1</v>
      </c>
      <c r="P517" t="b">
        <v>1</v>
      </c>
      <c r="Q517">
        <v>1</v>
      </c>
      <c r="R517">
        <v>72005</v>
      </c>
      <c r="S517">
        <v>138976</v>
      </c>
      <c r="T517">
        <v>93</v>
      </c>
      <c r="U517" t="s">
        <v>1909</v>
      </c>
      <c r="V517" t="s">
        <v>2588</v>
      </c>
      <c r="W517">
        <v>32.22306654541176</v>
      </c>
      <c r="X517">
        <v>-43.1</v>
      </c>
      <c r="Y517" t="s">
        <v>3223</v>
      </c>
      <c r="Z517">
        <v>0.5820100049172439</v>
      </c>
      <c r="AA517">
        <v>12913</v>
      </c>
      <c r="AB517">
        <v>3681</v>
      </c>
      <c r="AC517" t="s">
        <v>3893</v>
      </c>
      <c r="AD517">
        <v>78.33</v>
      </c>
      <c r="AE517" t="s">
        <v>4572</v>
      </c>
      <c r="AF517" t="s">
        <v>5218</v>
      </c>
      <c r="AG517">
        <v>31834</v>
      </c>
      <c r="AH517">
        <v>467</v>
      </c>
      <c r="AI517">
        <v>121906</v>
      </c>
      <c r="AJ517">
        <v>1.86</v>
      </c>
    </row>
    <row r="518" spans="1:36">
      <c r="A518" s="1" t="s">
        <v>552</v>
      </c>
      <c r="B518" t="s">
        <v>1231</v>
      </c>
      <c r="C518">
        <f>HYPERLINK("https://finance.naver.com/item/coinfo.nhn?code=009970", "A009970")</f>
        <v>0</v>
      </c>
      <c r="D518">
        <f>HYPERLINK("http://comp.fnguide.com/SVO2/ASP/SVD_Consensus.asp?pGB=1&amp;gicode=A009970&amp;cID=&amp;MenuYn=Y&amp;ReportGB=&amp;NewMenuID=108&amp;stkGb=701", "영원무역홀딩스")</f>
        <v>0</v>
      </c>
      <c r="E518">
        <v>3</v>
      </c>
      <c r="F518">
        <v>54300</v>
      </c>
      <c r="G518">
        <v>0</v>
      </c>
      <c r="H518">
        <v>4.91</v>
      </c>
      <c r="I518">
        <v>121203</v>
      </c>
      <c r="J518">
        <v>119368</v>
      </c>
      <c r="K518">
        <v>118834</v>
      </c>
      <c r="L518">
        <v>-123.21</v>
      </c>
      <c r="M518">
        <v>-119.83</v>
      </c>
      <c r="N518">
        <v>-118.85</v>
      </c>
      <c r="O518">
        <v>8.44</v>
      </c>
      <c r="P518" t="b">
        <v>1</v>
      </c>
      <c r="Q518">
        <v>0</v>
      </c>
      <c r="R518">
        <v>7690</v>
      </c>
      <c r="U518" t="s">
        <v>1910</v>
      </c>
      <c r="V518" t="s">
        <v>2589</v>
      </c>
      <c r="W518">
        <v>0</v>
      </c>
      <c r="X518">
        <v>-13.3</v>
      </c>
      <c r="Y518" t="s">
        <v>3224</v>
      </c>
      <c r="Z518">
        <v>4.371833519991886</v>
      </c>
      <c r="AA518">
        <v>7404</v>
      </c>
      <c r="AB518">
        <v>23272</v>
      </c>
      <c r="AC518" t="s">
        <v>3894</v>
      </c>
      <c r="AD518">
        <v>46.24</v>
      </c>
      <c r="AE518" t="s">
        <v>4573</v>
      </c>
      <c r="AF518" t="s">
        <v>5219</v>
      </c>
      <c r="AG518">
        <v>28510</v>
      </c>
      <c r="AH518">
        <v>3408</v>
      </c>
      <c r="AI518">
        <v>2030694</v>
      </c>
      <c r="AJ518">
        <v>3.18</v>
      </c>
    </row>
    <row r="519" spans="1:36">
      <c r="A519" s="1" t="s">
        <v>553</v>
      </c>
      <c r="B519" t="s">
        <v>1232</v>
      </c>
      <c r="C519">
        <f>HYPERLINK("https://finance.naver.com/item/coinfo.nhn?code=014440", "A014440")</f>
        <v>0</v>
      </c>
      <c r="D519">
        <f>HYPERLINK("http://comp.fnguide.com/SVO2/ASP/SVD_Consensus.asp?pGB=1&amp;gicode=A014440&amp;cID=&amp;MenuYn=Y&amp;ReportGB=&amp;NewMenuID=108&amp;stkGb=701", "영보화학")</f>
        <v>0</v>
      </c>
      <c r="E519">
        <v>3</v>
      </c>
      <c r="F519">
        <v>4950</v>
      </c>
      <c r="G519">
        <v>0</v>
      </c>
      <c r="H519">
        <v>26.07</v>
      </c>
      <c r="I519">
        <v>2609</v>
      </c>
      <c r="J519">
        <v>5552</v>
      </c>
      <c r="K519">
        <v>6409</v>
      </c>
      <c r="L519">
        <v>47.3</v>
      </c>
      <c r="M519">
        <v>-12.16</v>
      </c>
      <c r="N519">
        <v>-29.48</v>
      </c>
      <c r="O519">
        <v>2.84</v>
      </c>
      <c r="P519" t="b">
        <v>1</v>
      </c>
      <c r="Q519">
        <v>0</v>
      </c>
      <c r="R519">
        <v>142</v>
      </c>
      <c r="U519" t="s">
        <v>1911</v>
      </c>
      <c r="V519" t="s">
        <v>2590</v>
      </c>
      <c r="W519">
        <v>0</v>
      </c>
      <c r="X519">
        <v>-44.5</v>
      </c>
      <c r="Y519" t="s">
        <v>3225</v>
      </c>
      <c r="Z519">
        <v>-20.79683405786</v>
      </c>
      <c r="AA519">
        <v>990</v>
      </c>
      <c r="AB519">
        <v>471696</v>
      </c>
      <c r="AC519" t="s">
        <v>3895</v>
      </c>
      <c r="AD519">
        <v>51</v>
      </c>
      <c r="AE519" t="s">
        <v>4574</v>
      </c>
      <c r="AF519" t="s">
        <v>5220</v>
      </c>
      <c r="AG519">
        <v>1074</v>
      </c>
      <c r="AH519">
        <v>44</v>
      </c>
      <c r="AI519">
        <v>500000</v>
      </c>
      <c r="AJ519">
        <v>2.02</v>
      </c>
    </row>
    <row r="520" spans="1:36">
      <c r="A520" s="1" t="s">
        <v>554</v>
      </c>
      <c r="B520" t="s">
        <v>1233</v>
      </c>
      <c r="C520">
        <f>HYPERLINK("https://finance.naver.com/item/coinfo.nhn?code=009810", "A009810")</f>
        <v>0</v>
      </c>
      <c r="D520">
        <f>HYPERLINK("http://comp.fnguide.com/SVO2/ASP/SVD_Consensus.asp?pGB=1&amp;gicode=A009810&amp;cID=&amp;MenuYn=Y&amp;ReportGB=&amp;NewMenuID=108&amp;stkGb=701", "엔케이물산")</f>
        <v>0</v>
      </c>
      <c r="E520">
        <v>3</v>
      </c>
      <c r="F520">
        <v>599</v>
      </c>
      <c r="G520">
        <v>0</v>
      </c>
      <c r="H520">
        <v>7.04</v>
      </c>
      <c r="I520">
        <v>335</v>
      </c>
      <c r="J520">
        <v>601</v>
      </c>
      <c r="K520">
        <v>679</v>
      </c>
      <c r="L520">
        <v>44.02</v>
      </c>
      <c r="M520">
        <v>-0.37</v>
      </c>
      <c r="N520">
        <v>-13.3</v>
      </c>
      <c r="O520">
        <v>3.52</v>
      </c>
      <c r="P520" t="b">
        <v>1</v>
      </c>
      <c r="Q520">
        <v>0</v>
      </c>
      <c r="R520">
        <v>79</v>
      </c>
      <c r="U520" t="s">
        <v>1912</v>
      </c>
      <c r="V520" t="s">
        <v>2591</v>
      </c>
      <c r="W520">
        <v>0</v>
      </c>
      <c r="X520">
        <v>0</v>
      </c>
      <c r="Y520" t="s">
        <v>2762</v>
      </c>
      <c r="Z520">
        <v>0</v>
      </c>
      <c r="AA520">
        <v>476</v>
      </c>
      <c r="AB520">
        <v>799515</v>
      </c>
      <c r="AC520" t="s">
        <v>3896</v>
      </c>
      <c r="AD520">
        <v>16.62</v>
      </c>
      <c r="AE520" t="s">
        <v>4575</v>
      </c>
      <c r="AF520" t="s">
        <v>5221</v>
      </c>
      <c r="AG520">
        <v>341</v>
      </c>
      <c r="AH520">
        <v>-24</v>
      </c>
    </row>
    <row r="521" spans="1:36">
      <c r="A521" s="1" t="s">
        <v>555</v>
      </c>
      <c r="B521" t="s">
        <v>1234</v>
      </c>
      <c r="C521">
        <f>HYPERLINK("https://finance.naver.com/item/coinfo.nhn?code=034590", "A034590")</f>
        <v>0</v>
      </c>
      <c r="D521">
        <f>HYPERLINK("http://comp.fnguide.com/SVO2/ASP/SVD_Consensus.asp?pGB=1&amp;gicode=A034590&amp;cID=&amp;MenuYn=Y&amp;ReportGB=&amp;NewMenuID=108&amp;stkGb=701", "인천도시가스")</f>
        <v>0</v>
      </c>
      <c r="E521">
        <v>3</v>
      </c>
      <c r="F521">
        <v>27500</v>
      </c>
      <c r="G521">
        <v>0</v>
      </c>
      <c r="H521">
        <v>9.609999999999999</v>
      </c>
      <c r="I521">
        <v>36851</v>
      </c>
      <c r="J521">
        <v>42586</v>
      </c>
      <c r="K521">
        <v>44256</v>
      </c>
      <c r="L521">
        <v>-34</v>
      </c>
      <c r="M521">
        <v>-54.86</v>
      </c>
      <c r="N521">
        <v>-60.93</v>
      </c>
      <c r="O521">
        <v>6.51</v>
      </c>
      <c r="P521" t="b">
        <v>1</v>
      </c>
      <c r="Q521">
        <v>0</v>
      </c>
      <c r="R521">
        <v>2603</v>
      </c>
      <c r="U521" t="s">
        <v>1913</v>
      </c>
      <c r="V521" t="s">
        <v>2592</v>
      </c>
      <c r="W521">
        <v>0</v>
      </c>
      <c r="X521">
        <v>6.3</v>
      </c>
      <c r="Y521" t="s">
        <v>3226</v>
      </c>
      <c r="Z521">
        <v>9.723447921385354</v>
      </c>
      <c r="AA521">
        <v>1203</v>
      </c>
      <c r="AB521">
        <v>2267</v>
      </c>
      <c r="AC521" t="s">
        <v>3897</v>
      </c>
      <c r="AD521">
        <v>68.45999999999999</v>
      </c>
      <c r="AE521" t="s">
        <v>4576</v>
      </c>
      <c r="AF521" t="s">
        <v>5222</v>
      </c>
      <c r="AG521">
        <v>5045</v>
      </c>
      <c r="AH521">
        <v>108</v>
      </c>
      <c r="AI521">
        <v>252755</v>
      </c>
      <c r="AJ521">
        <v>5</v>
      </c>
    </row>
    <row r="522" spans="1:36">
      <c r="A522" s="1" t="s">
        <v>556</v>
      </c>
      <c r="B522" t="s">
        <v>1235</v>
      </c>
      <c r="C522">
        <f>HYPERLINK("https://finance.naver.com/item/coinfo.nhn?code=129260", "A129260")</f>
        <v>0</v>
      </c>
      <c r="D522">
        <f>HYPERLINK("http://comp.fnguide.com/SVO2/ASP/SVD_Consensus.asp?pGB=1&amp;gicode=A129260&amp;cID=&amp;MenuYn=Y&amp;ReportGB=&amp;NewMenuID=108&amp;stkGb=701", "인터지스")</f>
        <v>0</v>
      </c>
      <c r="E522">
        <v>3</v>
      </c>
      <c r="F522">
        <v>4620</v>
      </c>
      <c r="G522">
        <v>0</v>
      </c>
      <c r="H522">
        <v>19.33</v>
      </c>
      <c r="I522">
        <v>1126</v>
      </c>
      <c r="J522">
        <v>4368</v>
      </c>
      <c r="K522">
        <v>5313</v>
      </c>
      <c r="L522">
        <v>75.64</v>
      </c>
      <c r="M522">
        <v>5.44</v>
      </c>
      <c r="N522">
        <v>-15</v>
      </c>
      <c r="O522">
        <v>1.41</v>
      </c>
      <c r="P522" t="b">
        <v>0</v>
      </c>
      <c r="Q522">
        <v>0</v>
      </c>
      <c r="R522">
        <v>171</v>
      </c>
      <c r="U522" t="s">
        <v>1914</v>
      </c>
      <c r="V522" t="s">
        <v>2593</v>
      </c>
      <c r="W522">
        <v>0</v>
      </c>
      <c r="X522">
        <v>0</v>
      </c>
      <c r="Y522" t="s">
        <v>3227</v>
      </c>
      <c r="Z522">
        <v>-31.47723006182543</v>
      </c>
      <c r="AA522">
        <v>1374</v>
      </c>
      <c r="AB522">
        <v>665957</v>
      </c>
      <c r="AC522" t="s">
        <v>3898</v>
      </c>
      <c r="AD522">
        <v>57.17</v>
      </c>
      <c r="AE522" t="s">
        <v>4577</v>
      </c>
      <c r="AF522" t="s">
        <v>5223</v>
      </c>
      <c r="AG522">
        <v>4583</v>
      </c>
      <c r="AH522">
        <v>77</v>
      </c>
      <c r="AI522">
        <v>1533742</v>
      </c>
    </row>
    <row r="523" spans="1:36">
      <c r="A523" s="1" t="s">
        <v>557</v>
      </c>
      <c r="B523" t="s">
        <v>1236</v>
      </c>
      <c r="C523">
        <f>HYPERLINK("https://finance.naver.com/item/coinfo.nhn?code=005850", "A005850")</f>
        <v>0</v>
      </c>
      <c r="D523">
        <f>HYPERLINK("http://comp.fnguide.com/SVO2/ASP/SVD_Consensus.asp?pGB=1&amp;gicode=A005850&amp;cID=&amp;MenuYn=Y&amp;ReportGB=&amp;NewMenuID=108&amp;stkGb=701", "에스엘")</f>
        <v>0</v>
      </c>
      <c r="E523">
        <v>3</v>
      </c>
      <c r="F523">
        <v>26950</v>
      </c>
      <c r="G523">
        <v>0.2</v>
      </c>
      <c r="H523">
        <v>11.93</v>
      </c>
      <c r="I523">
        <v>19373</v>
      </c>
      <c r="J523">
        <v>26044</v>
      </c>
      <c r="K523">
        <v>27987</v>
      </c>
      <c r="L523">
        <v>28.12</v>
      </c>
      <c r="M523">
        <v>3.36</v>
      </c>
      <c r="N523">
        <v>-3.85</v>
      </c>
      <c r="O523">
        <v>5.2</v>
      </c>
      <c r="P523" t="b">
        <v>1</v>
      </c>
      <c r="Q523">
        <v>1</v>
      </c>
      <c r="R523">
        <v>1362</v>
      </c>
      <c r="S523">
        <v>2962</v>
      </c>
      <c r="T523">
        <v>117.5</v>
      </c>
      <c r="U523" t="s">
        <v>1915</v>
      </c>
      <c r="V523" t="s">
        <v>2594</v>
      </c>
      <c r="W523">
        <v>58.55819064359488</v>
      </c>
      <c r="X523">
        <v>-29.1</v>
      </c>
      <c r="Y523" t="s">
        <v>3228</v>
      </c>
      <c r="Z523">
        <v>-8.118206976970743</v>
      </c>
      <c r="AA523">
        <v>12991</v>
      </c>
      <c r="AB523">
        <v>693762</v>
      </c>
      <c r="AC523" t="s">
        <v>3899</v>
      </c>
      <c r="AD523">
        <v>63.48</v>
      </c>
      <c r="AE523" t="s">
        <v>4578</v>
      </c>
      <c r="AF523" t="s">
        <v>5224</v>
      </c>
      <c r="AG523">
        <v>25050</v>
      </c>
      <c r="AH523">
        <v>932</v>
      </c>
      <c r="AI523">
        <v>2147815</v>
      </c>
      <c r="AJ523">
        <v>3.08</v>
      </c>
    </row>
    <row r="524" spans="1:36">
      <c r="A524" s="1" t="s">
        <v>558</v>
      </c>
      <c r="B524" t="s">
        <v>1237</v>
      </c>
      <c r="C524">
        <f>HYPERLINK("https://finance.naver.com/item/coinfo.nhn?code=161000", "A161000")</f>
        <v>0</v>
      </c>
      <c r="D524">
        <f>HYPERLINK("http://comp.fnguide.com/SVO2/ASP/SVD_Consensus.asp?pGB=1&amp;gicode=A161000&amp;cID=&amp;MenuYn=Y&amp;ReportGB=&amp;NewMenuID=108&amp;stkGb=701", "애경유화")</f>
        <v>0</v>
      </c>
      <c r="E524">
        <v>3</v>
      </c>
      <c r="F524">
        <v>13350</v>
      </c>
      <c r="G524">
        <v>0</v>
      </c>
      <c r="H524">
        <v>6.45</v>
      </c>
      <c r="I524">
        <v>17425</v>
      </c>
      <c r="J524">
        <v>14499</v>
      </c>
      <c r="K524">
        <v>13646</v>
      </c>
      <c r="L524">
        <v>-30.52</v>
      </c>
      <c r="M524">
        <v>-8.6</v>
      </c>
      <c r="N524">
        <v>-2.22</v>
      </c>
      <c r="O524">
        <v>11.46</v>
      </c>
      <c r="P524" t="b">
        <v>1</v>
      </c>
      <c r="Q524">
        <v>0</v>
      </c>
      <c r="R524">
        <v>1386</v>
      </c>
      <c r="U524" t="s">
        <v>1916</v>
      </c>
      <c r="V524" t="s">
        <v>2595</v>
      </c>
      <c r="W524">
        <v>0</v>
      </c>
      <c r="X524">
        <v>45.6</v>
      </c>
      <c r="Y524" t="s">
        <v>3229</v>
      </c>
      <c r="Z524">
        <v>9.405627273169937</v>
      </c>
      <c r="AA524">
        <v>4277</v>
      </c>
      <c r="AB524">
        <v>871305</v>
      </c>
      <c r="AC524" t="s">
        <v>3900</v>
      </c>
      <c r="AD524">
        <v>49.45</v>
      </c>
      <c r="AE524" t="s">
        <v>4579</v>
      </c>
      <c r="AF524" t="s">
        <v>5225</v>
      </c>
      <c r="AG524">
        <v>9089</v>
      </c>
      <c r="AH524">
        <v>575</v>
      </c>
      <c r="AI524">
        <v>475850</v>
      </c>
      <c r="AJ524">
        <v>3.91</v>
      </c>
    </row>
    <row r="525" spans="1:36">
      <c r="A525" s="1" t="s">
        <v>559</v>
      </c>
      <c r="B525" t="s">
        <v>1238</v>
      </c>
      <c r="C525">
        <f>HYPERLINK("https://finance.naver.com/item/coinfo.nhn?code=003120", "A003120")</f>
        <v>0</v>
      </c>
      <c r="D525">
        <f>HYPERLINK("http://comp.fnguide.com/SVO2/ASP/SVD_Consensus.asp?pGB=1&amp;gicode=A003120&amp;cID=&amp;MenuYn=Y&amp;ReportGB=&amp;NewMenuID=108&amp;stkGb=701", "일성신약")</f>
        <v>0</v>
      </c>
      <c r="E525">
        <v>3</v>
      </c>
      <c r="F525">
        <v>90900</v>
      </c>
      <c r="G525">
        <v>0</v>
      </c>
      <c r="H525">
        <v>68.31</v>
      </c>
      <c r="I525">
        <v>35464</v>
      </c>
      <c r="J525">
        <v>148972</v>
      </c>
      <c r="K525">
        <v>182034</v>
      </c>
      <c r="L525">
        <v>60.99</v>
      </c>
      <c r="M525">
        <v>-63.89</v>
      </c>
      <c r="N525">
        <v>-100.26</v>
      </c>
      <c r="O525">
        <v>1.29</v>
      </c>
      <c r="P525" t="b">
        <v>1</v>
      </c>
      <c r="Q525">
        <v>0</v>
      </c>
      <c r="R525">
        <v>1211</v>
      </c>
      <c r="U525" t="s">
        <v>1917</v>
      </c>
      <c r="V525" t="s">
        <v>2596</v>
      </c>
      <c r="W525">
        <v>0</v>
      </c>
      <c r="X525">
        <v>-52.1</v>
      </c>
      <c r="Y525" t="s">
        <v>3230</v>
      </c>
      <c r="Z525">
        <v>-49.76097941410682</v>
      </c>
      <c r="AA525">
        <v>2418</v>
      </c>
      <c r="AB525">
        <v>22663</v>
      </c>
      <c r="AC525" t="s">
        <v>3901</v>
      </c>
      <c r="AD525">
        <v>31.89</v>
      </c>
      <c r="AE525" t="s">
        <v>4580</v>
      </c>
      <c r="AF525" t="s">
        <v>5226</v>
      </c>
      <c r="AG525">
        <v>406</v>
      </c>
      <c r="AH525">
        <v>-19</v>
      </c>
      <c r="AI525">
        <v>1126232</v>
      </c>
      <c r="AJ525">
        <v>0.91</v>
      </c>
    </row>
    <row r="526" spans="1:36">
      <c r="A526" s="1" t="s">
        <v>560</v>
      </c>
      <c r="B526" t="s">
        <v>1239</v>
      </c>
      <c r="C526">
        <f>HYPERLINK("https://finance.naver.com/item/coinfo.nhn?code=002310", "A002310")</f>
        <v>0</v>
      </c>
      <c r="D526">
        <f>HYPERLINK("http://comp.fnguide.com/SVO2/ASP/SVD_Consensus.asp?pGB=1&amp;gicode=A002310&amp;cID=&amp;MenuYn=Y&amp;ReportGB=&amp;NewMenuID=108&amp;stkGb=701", "아세아제지")</f>
        <v>0</v>
      </c>
      <c r="E526">
        <v>3</v>
      </c>
      <c r="F526">
        <v>55400</v>
      </c>
      <c r="G526">
        <v>1.62</v>
      </c>
      <c r="H526">
        <v>6.15</v>
      </c>
      <c r="I526">
        <v>92515</v>
      </c>
      <c r="J526">
        <v>79576</v>
      </c>
      <c r="K526">
        <v>75807</v>
      </c>
      <c r="L526">
        <v>-66.98999999999999</v>
      </c>
      <c r="M526">
        <v>-43.64</v>
      </c>
      <c r="N526">
        <v>-36.84</v>
      </c>
      <c r="O526">
        <v>10.75</v>
      </c>
      <c r="P526" t="b">
        <v>1</v>
      </c>
      <c r="Q526">
        <v>1</v>
      </c>
      <c r="R526">
        <v>6057</v>
      </c>
      <c r="S526">
        <v>9825</v>
      </c>
      <c r="T526">
        <v>62.2</v>
      </c>
      <c r="U526" t="s">
        <v>1918</v>
      </c>
      <c r="V526" t="s">
        <v>2597</v>
      </c>
      <c r="W526">
        <v>3.80561898245606</v>
      </c>
      <c r="X526">
        <v>-11.7</v>
      </c>
      <c r="Y526" t="s">
        <v>3231</v>
      </c>
      <c r="Z526">
        <v>27.16079566954275</v>
      </c>
      <c r="AA526">
        <v>4962</v>
      </c>
      <c r="AB526">
        <v>56050</v>
      </c>
      <c r="AC526" t="s">
        <v>3902</v>
      </c>
      <c r="AD526">
        <v>49.87</v>
      </c>
      <c r="AE526" t="s">
        <v>4581</v>
      </c>
      <c r="AF526" t="s">
        <v>5227</v>
      </c>
      <c r="AG526">
        <v>7316</v>
      </c>
      <c r="AH526">
        <v>657</v>
      </c>
      <c r="AJ526">
        <v>1.88</v>
      </c>
    </row>
    <row r="527" spans="1:36">
      <c r="A527" s="1" t="s">
        <v>561</v>
      </c>
      <c r="B527" t="s">
        <v>1240</v>
      </c>
      <c r="C527">
        <f>HYPERLINK("https://finance.naver.com/item/coinfo.nhn?code=183190", "A183190")</f>
        <v>0</v>
      </c>
      <c r="D527">
        <f>HYPERLINK("http://comp.fnguide.com/SVO2/ASP/SVD_Consensus.asp?pGB=1&amp;gicode=A183190&amp;cID=&amp;MenuYn=Y&amp;ReportGB=&amp;NewMenuID=108&amp;stkGb=701", "아세아시멘트")</f>
        <v>0</v>
      </c>
      <c r="E527">
        <v>3</v>
      </c>
      <c r="F527">
        <v>138000</v>
      </c>
      <c r="G527">
        <v>0.34</v>
      </c>
      <c r="H527">
        <v>11.9</v>
      </c>
      <c r="I527">
        <v>75981</v>
      </c>
      <c r="J527">
        <v>155058</v>
      </c>
      <c r="K527">
        <v>178092</v>
      </c>
      <c r="L527">
        <v>44.94</v>
      </c>
      <c r="M527">
        <v>-12.36</v>
      </c>
      <c r="N527">
        <v>-29.05</v>
      </c>
      <c r="O527">
        <v>2.99</v>
      </c>
      <c r="P527" t="b">
        <v>1</v>
      </c>
      <c r="Q527">
        <v>1</v>
      </c>
      <c r="R527">
        <v>6093</v>
      </c>
      <c r="S527">
        <v>9754</v>
      </c>
      <c r="T527">
        <v>60.1</v>
      </c>
      <c r="U527" t="s">
        <v>1919</v>
      </c>
      <c r="V527" t="s">
        <v>2598</v>
      </c>
      <c r="W527">
        <v>34.56693842845635</v>
      </c>
      <c r="X527">
        <v>-14.3</v>
      </c>
      <c r="Y527" t="s">
        <v>3232</v>
      </c>
      <c r="Z527">
        <v>-14.44311013468912</v>
      </c>
      <c r="AA527">
        <v>5376</v>
      </c>
      <c r="AB527">
        <v>22241</v>
      </c>
      <c r="AC527" t="s">
        <v>3903</v>
      </c>
      <c r="AD527">
        <v>61.25</v>
      </c>
      <c r="AE527" t="s">
        <v>4582</v>
      </c>
      <c r="AF527" t="s">
        <v>5228</v>
      </c>
      <c r="AG527">
        <v>7875</v>
      </c>
      <c r="AH527">
        <v>753</v>
      </c>
      <c r="AI527">
        <v>1327</v>
      </c>
      <c r="AJ527">
        <v>1.72</v>
      </c>
    </row>
    <row r="528" spans="1:36">
      <c r="A528" s="1" t="s">
        <v>562</v>
      </c>
      <c r="B528" t="s">
        <v>1241</v>
      </c>
      <c r="C528">
        <f>HYPERLINK("https://finance.naver.com/item/coinfo.nhn?code=002030", "A002030")</f>
        <v>0</v>
      </c>
      <c r="D528">
        <f>HYPERLINK("http://comp.fnguide.com/SVO2/ASP/SVD_Consensus.asp?pGB=1&amp;gicode=A002030&amp;cID=&amp;MenuYn=Y&amp;ReportGB=&amp;NewMenuID=108&amp;stkGb=701", "아세아")</f>
        <v>0</v>
      </c>
      <c r="E528">
        <v>3</v>
      </c>
      <c r="F528">
        <v>137000</v>
      </c>
      <c r="G528">
        <v>0</v>
      </c>
      <c r="H528">
        <v>4.72</v>
      </c>
      <c r="I528">
        <v>316497</v>
      </c>
      <c r="J528">
        <v>388290</v>
      </c>
      <c r="K528">
        <v>409202</v>
      </c>
      <c r="L528">
        <v>-131.02</v>
      </c>
      <c r="M528">
        <v>-183.42</v>
      </c>
      <c r="N528">
        <v>-198.69</v>
      </c>
      <c r="O528">
        <v>5.95</v>
      </c>
      <c r="P528" t="b">
        <v>1</v>
      </c>
      <c r="Q528">
        <v>0</v>
      </c>
      <c r="R528">
        <v>19180</v>
      </c>
      <c r="U528" t="s">
        <v>1920</v>
      </c>
      <c r="V528" t="s">
        <v>2599</v>
      </c>
      <c r="W528">
        <v>0</v>
      </c>
      <c r="X528">
        <v>-12.6</v>
      </c>
      <c r="Y528" t="s">
        <v>3233</v>
      </c>
      <c r="Z528">
        <v>45.99747009104724</v>
      </c>
      <c r="AA528">
        <v>3002</v>
      </c>
      <c r="AB528">
        <v>2809</v>
      </c>
      <c r="AC528" t="s">
        <v>3904</v>
      </c>
      <c r="AD528">
        <v>42.97</v>
      </c>
      <c r="AE528" t="s">
        <v>4583</v>
      </c>
      <c r="AF528" t="s">
        <v>5229</v>
      </c>
      <c r="AG528">
        <v>15271</v>
      </c>
      <c r="AH528">
        <v>1470</v>
      </c>
      <c r="AI528">
        <v>341322</v>
      </c>
      <c r="AJ528">
        <v>2.21</v>
      </c>
    </row>
    <row r="529" spans="1:36">
      <c r="A529" s="1" t="s">
        <v>563</v>
      </c>
      <c r="B529" t="s">
        <v>1242</v>
      </c>
      <c r="C529">
        <f>HYPERLINK("https://finance.naver.com/item/coinfo.nhn?code=003030", "A003030")</f>
        <v>0</v>
      </c>
      <c r="D529">
        <f>HYPERLINK("http://comp.fnguide.com/SVO2/ASP/SVD_Consensus.asp?pGB=1&amp;gicode=A003030&amp;cID=&amp;MenuYn=Y&amp;ReportGB=&amp;NewMenuID=108&amp;stkGb=701", "세아제강지주")</f>
        <v>0</v>
      </c>
      <c r="E529">
        <v>3</v>
      </c>
      <c r="F529">
        <v>74000</v>
      </c>
      <c r="G529">
        <v>0</v>
      </c>
      <c r="H529">
        <v>10.8</v>
      </c>
      <c r="I529">
        <v>168122</v>
      </c>
      <c r="J529">
        <v>211725</v>
      </c>
      <c r="K529">
        <v>224425</v>
      </c>
      <c r="L529">
        <v>-127.19</v>
      </c>
      <c r="M529">
        <v>-186.11</v>
      </c>
      <c r="N529">
        <v>-203.28</v>
      </c>
      <c r="O529">
        <v>5.72</v>
      </c>
      <c r="P529" t="b">
        <v>0</v>
      </c>
      <c r="Q529">
        <v>0</v>
      </c>
      <c r="R529">
        <v>4124</v>
      </c>
      <c r="U529" t="s">
        <v>1921</v>
      </c>
      <c r="V529" t="s">
        <v>2600</v>
      </c>
      <c r="W529">
        <v>0</v>
      </c>
      <c r="X529">
        <v>0</v>
      </c>
      <c r="Y529" t="s">
        <v>3234</v>
      </c>
      <c r="Z529">
        <v>101.4650773688678</v>
      </c>
      <c r="AA529">
        <v>3065</v>
      </c>
      <c r="AB529">
        <v>23978</v>
      </c>
      <c r="AC529" t="s">
        <v>3905</v>
      </c>
      <c r="AD529">
        <v>64.76000000000001</v>
      </c>
      <c r="AE529" t="s">
        <v>4584</v>
      </c>
      <c r="AF529" t="s">
        <v>5230</v>
      </c>
      <c r="AG529">
        <v>23064</v>
      </c>
      <c r="AH529">
        <v>671</v>
      </c>
      <c r="AI529">
        <v>101196</v>
      </c>
      <c r="AJ529">
        <v>3.37</v>
      </c>
    </row>
    <row r="530" spans="1:36">
      <c r="A530" s="1" t="s">
        <v>564</v>
      </c>
      <c r="B530" t="s">
        <v>1243</v>
      </c>
      <c r="C530">
        <f>HYPERLINK("https://finance.naver.com/item/coinfo.nhn?code=001200", "A001200")</f>
        <v>0</v>
      </c>
      <c r="D530">
        <f>HYPERLINK("http://comp.fnguide.com/SVO2/ASP/SVD_Consensus.asp?pGB=1&amp;gicode=A001200&amp;cID=&amp;MenuYn=Y&amp;ReportGB=&amp;NewMenuID=108&amp;stkGb=701", "유진투자증권")</f>
        <v>0</v>
      </c>
      <c r="E530">
        <v>3</v>
      </c>
      <c r="F530">
        <v>4535</v>
      </c>
      <c r="G530">
        <v>0</v>
      </c>
      <c r="H530">
        <v>5.07</v>
      </c>
      <c r="I530">
        <v>8304</v>
      </c>
      <c r="J530">
        <v>8848</v>
      </c>
      <c r="K530">
        <v>9007</v>
      </c>
      <c r="L530">
        <v>-83.11</v>
      </c>
      <c r="M530">
        <v>-95.11</v>
      </c>
      <c r="N530">
        <v>-98.59999999999999</v>
      </c>
      <c r="O530">
        <v>7.4</v>
      </c>
      <c r="P530" t="b">
        <v>1</v>
      </c>
      <c r="Q530">
        <v>0</v>
      </c>
      <c r="R530">
        <v>778</v>
      </c>
      <c r="U530" t="s">
        <v>1922</v>
      </c>
      <c r="V530" t="s">
        <v>2601</v>
      </c>
      <c r="W530">
        <v>0</v>
      </c>
      <c r="X530">
        <v>9.1</v>
      </c>
      <c r="Y530" t="s">
        <v>3235</v>
      </c>
      <c r="Z530">
        <v>7.252100659018024</v>
      </c>
      <c r="AA530">
        <v>4393</v>
      </c>
      <c r="AB530">
        <v>531552</v>
      </c>
      <c r="AC530" t="s">
        <v>3906</v>
      </c>
      <c r="AD530">
        <v>28.98</v>
      </c>
      <c r="AE530" t="s">
        <v>4585</v>
      </c>
      <c r="AF530" t="s">
        <v>5231</v>
      </c>
      <c r="AG530">
        <v>3435</v>
      </c>
      <c r="AH530">
        <v>1013</v>
      </c>
      <c r="AI530">
        <v>3027273</v>
      </c>
      <c r="AJ530">
        <v>3.04</v>
      </c>
    </row>
    <row r="531" spans="1:36">
      <c r="A531" s="1" t="s">
        <v>565</v>
      </c>
      <c r="B531" t="s">
        <v>1244</v>
      </c>
      <c r="C531">
        <f>HYPERLINK("https://finance.naver.com/item/coinfo.nhn?code=035000", "A035000")</f>
        <v>0</v>
      </c>
      <c r="D531">
        <f>HYPERLINK("http://comp.fnguide.com/SVO2/ASP/SVD_Consensus.asp?pGB=1&amp;gicode=A035000&amp;cID=&amp;MenuYn=Y&amp;ReportGB=&amp;NewMenuID=108&amp;stkGb=701", "지투알")</f>
        <v>0</v>
      </c>
      <c r="E531">
        <v>3</v>
      </c>
      <c r="F531">
        <v>6670</v>
      </c>
      <c r="G531">
        <v>0</v>
      </c>
      <c r="H531">
        <v>10.45</v>
      </c>
      <c r="I531">
        <v>9681</v>
      </c>
      <c r="J531">
        <v>9256</v>
      </c>
      <c r="K531">
        <v>9132</v>
      </c>
      <c r="L531">
        <v>-45.14</v>
      </c>
      <c r="M531">
        <v>-38.77</v>
      </c>
      <c r="N531">
        <v>-36.91</v>
      </c>
      <c r="O531">
        <v>8.880000000000001</v>
      </c>
      <c r="P531" t="b">
        <v>1</v>
      </c>
      <c r="Q531">
        <v>0</v>
      </c>
      <c r="R531">
        <v>546</v>
      </c>
      <c r="U531" t="s">
        <v>1923</v>
      </c>
      <c r="V531" t="s">
        <v>2602</v>
      </c>
      <c r="W531">
        <v>0</v>
      </c>
      <c r="X531">
        <v>-40.8</v>
      </c>
      <c r="Y531" t="s">
        <v>3236</v>
      </c>
      <c r="Z531">
        <v>-4.878487407547938</v>
      </c>
      <c r="AA531">
        <v>1105</v>
      </c>
      <c r="AB531">
        <v>45931</v>
      </c>
      <c r="AC531" t="s">
        <v>3907</v>
      </c>
      <c r="AD531">
        <v>35</v>
      </c>
      <c r="AE531" t="s">
        <v>4586</v>
      </c>
      <c r="AF531" t="s">
        <v>5232</v>
      </c>
      <c r="AG531">
        <v>3756</v>
      </c>
      <c r="AH531">
        <v>253</v>
      </c>
      <c r="AI531">
        <v>359765</v>
      </c>
      <c r="AJ531">
        <v>5.26</v>
      </c>
    </row>
    <row r="532" spans="1:36">
      <c r="A532" s="1" t="s">
        <v>566</v>
      </c>
      <c r="B532" t="s">
        <v>1245</v>
      </c>
      <c r="C532">
        <f>HYPERLINK("https://finance.naver.com/item/coinfo.nhn?code=005740", "A005740")</f>
        <v>0</v>
      </c>
      <c r="D532">
        <f>HYPERLINK("http://comp.fnguide.com/SVO2/ASP/SVD_Consensus.asp?pGB=1&amp;gicode=A005740&amp;cID=&amp;MenuYn=Y&amp;ReportGB=&amp;NewMenuID=108&amp;stkGb=701", "크라운해태홀딩스")</f>
        <v>0</v>
      </c>
      <c r="E532">
        <v>3</v>
      </c>
      <c r="F532">
        <v>12700</v>
      </c>
      <c r="G532">
        <v>0</v>
      </c>
      <c r="H532">
        <v>5.93</v>
      </c>
      <c r="I532">
        <v>10670</v>
      </c>
      <c r="J532">
        <v>15982</v>
      </c>
      <c r="K532">
        <v>17530</v>
      </c>
      <c r="L532">
        <v>15.99</v>
      </c>
      <c r="M532">
        <v>-25.84</v>
      </c>
      <c r="N532">
        <v>-38.03</v>
      </c>
      <c r="O532">
        <v>4.47</v>
      </c>
      <c r="P532" t="b">
        <v>1</v>
      </c>
      <c r="Q532">
        <v>0</v>
      </c>
      <c r="R532">
        <v>1485</v>
      </c>
      <c r="U532" t="s">
        <v>1924</v>
      </c>
      <c r="V532" t="s">
        <v>2603</v>
      </c>
      <c r="W532">
        <v>0</v>
      </c>
      <c r="X532">
        <v>0</v>
      </c>
      <c r="Y532" t="s">
        <v>3237</v>
      </c>
      <c r="Z532">
        <v>-51.38502214426048</v>
      </c>
      <c r="AA532">
        <v>1886</v>
      </c>
      <c r="AB532">
        <v>196376</v>
      </c>
      <c r="AC532" t="s">
        <v>3908</v>
      </c>
      <c r="AD532">
        <v>55.02</v>
      </c>
      <c r="AE532" t="s">
        <v>4587</v>
      </c>
      <c r="AF532" t="s">
        <v>5233</v>
      </c>
      <c r="AG532">
        <v>9232</v>
      </c>
      <c r="AH532">
        <v>543</v>
      </c>
      <c r="AI532">
        <v>464612</v>
      </c>
      <c r="AJ532">
        <v>1.14</v>
      </c>
    </row>
    <row r="533" spans="1:36">
      <c r="A533" s="1" t="s">
        <v>567</v>
      </c>
      <c r="B533" t="s">
        <v>1246</v>
      </c>
      <c r="C533">
        <f>HYPERLINK("https://finance.naver.com/item/coinfo.nhn?code=002020", "A002020")</f>
        <v>0</v>
      </c>
      <c r="D533">
        <f>HYPERLINK("http://comp.fnguide.com/SVO2/ASP/SVD_Consensus.asp?pGB=1&amp;gicode=A002020&amp;cID=&amp;MenuYn=Y&amp;ReportGB=&amp;NewMenuID=108&amp;stkGb=701", "코오롱")</f>
        <v>0</v>
      </c>
      <c r="E533">
        <v>3</v>
      </c>
      <c r="F533">
        <v>32800</v>
      </c>
      <c r="G533">
        <v>0</v>
      </c>
      <c r="H533">
        <v>2</v>
      </c>
      <c r="I533">
        <v>79009</v>
      </c>
      <c r="J533">
        <v>65992</v>
      </c>
      <c r="K533">
        <v>62201</v>
      </c>
      <c r="L533">
        <v>-140.88</v>
      </c>
      <c r="M533">
        <v>-101.2</v>
      </c>
      <c r="N533">
        <v>-89.64</v>
      </c>
      <c r="O533">
        <v>11.38</v>
      </c>
      <c r="P533" t="b">
        <v>1</v>
      </c>
      <c r="Q533">
        <v>0</v>
      </c>
      <c r="R533">
        <v>10892</v>
      </c>
      <c r="U533" t="s">
        <v>1925</v>
      </c>
      <c r="V533" t="s">
        <v>2604</v>
      </c>
      <c r="W533">
        <v>0</v>
      </c>
      <c r="X533">
        <v>0</v>
      </c>
      <c r="Y533" t="s">
        <v>3238</v>
      </c>
      <c r="Z533">
        <v>321.4</v>
      </c>
      <c r="AA533">
        <v>4141</v>
      </c>
      <c r="AB533">
        <v>56104</v>
      </c>
      <c r="AC533" t="s">
        <v>3909</v>
      </c>
      <c r="AD533">
        <v>52.22</v>
      </c>
      <c r="AE533" t="s">
        <v>4588</v>
      </c>
      <c r="AF533" t="s">
        <v>5234</v>
      </c>
      <c r="AG533">
        <v>48902</v>
      </c>
      <c r="AH533">
        <v>2714</v>
      </c>
      <c r="AJ533">
        <v>2.29</v>
      </c>
    </row>
    <row r="534" spans="1:36">
      <c r="A534" s="1" t="s">
        <v>568</v>
      </c>
      <c r="B534" t="s">
        <v>1247</v>
      </c>
      <c r="C534">
        <f>HYPERLINK("https://finance.naver.com/item/coinfo.nhn?code=041650", "A041650")</f>
        <v>0</v>
      </c>
      <c r="D534">
        <f>HYPERLINK("http://comp.fnguide.com/SVO2/ASP/SVD_Consensus.asp?pGB=1&amp;gicode=A041650&amp;cID=&amp;MenuYn=Y&amp;ReportGB=&amp;NewMenuID=108&amp;stkGb=701", "상신브레이크")</f>
        <v>0</v>
      </c>
      <c r="E534">
        <v>3</v>
      </c>
      <c r="F534">
        <v>4550</v>
      </c>
      <c r="G534">
        <v>0</v>
      </c>
      <c r="I534">
        <v>1664</v>
      </c>
      <c r="J534">
        <v>5695</v>
      </c>
      <c r="K534">
        <v>6869</v>
      </c>
      <c r="L534">
        <v>63.44</v>
      </c>
      <c r="M534">
        <v>-25.16</v>
      </c>
      <c r="N534">
        <v>-50.96</v>
      </c>
      <c r="O534">
        <v>1.62</v>
      </c>
      <c r="P534" t="b">
        <v>0</v>
      </c>
      <c r="Q534">
        <v>0</v>
      </c>
      <c r="R534">
        <v>-124</v>
      </c>
      <c r="U534" t="s">
        <v>1926</v>
      </c>
      <c r="V534" t="s">
        <v>2605</v>
      </c>
      <c r="W534">
        <v>0</v>
      </c>
      <c r="X534">
        <v>0</v>
      </c>
      <c r="Y534" t="s">
        <v>3239</v>
      </c>
      <c r="Z534">
        <v>-37.27326232021693</v>
      </c>
      <c r="AA534">
        <v>977</v>
      </c>
      <c r="AB534">
        <v>112211</v>
      </c>
      <c r="AC534" t="s">
        <v>3910</v>
      </c>
      <c r="AD534">
        <v>46.37</v>
      </c>
      <c r="AE534" t="s">
        <v>4589</v>
      </c>
      <c r="AF534" t="s">
        <v>5235</v>
      </c>
      <c r="AG534">
        <v>3490</v>
      </c>
      <c r="AH534">
        <v>79</v>
      </c>
      <c r="AI534">
        <v>2111140</v>
      </c>
      <c r="AJ534">
        <v>1.56</v>
      </c>
    </row>
    <row r="535" spans="1:36">
      <c r="A535" s="1" t="s">
        <v>569</v>
      </c>
      <c r="B535" t="s">
        <v>1248</v>
      </c>
      <c r="C535">
        <f>HYPERLINK("https://finance.naver.com/item/coinfo.nhn?code=001290", "A001290")</f>
        <v>0</v>
      </c>
      <c r="D535">
        <f>HYPERLINK("http://comp.fnguide.com/SVO2/ASP/SVD_Consensus.asp?pGB=1&amp;gicode=A001290&amp;cID=&amp;MenuYn=Y&amp;ReportGB=&amp;NewMenuID=108&amp;stkGb=701", "상상인증권")</f>
        <v>0</v>
      </c>
      <c r="E535">
        <v>3</v>
      </c>
      <c r="F535">
        <v>1345</v>
      </c>
      <c r="G535">
        <v>0</v>
      </c>
      <c r="H535">
        <v>40.66</v>
      </c>
      <c r="I535">
        <v>171</v>
      </c>
      <c r="J535">
        <v>1152</v>
      </c>
      <c r="K535">
        <v>1438</v>
      </c>
      <c r="L535">
        <v>87.3</v>
      </c>
      <c r="M535">
        <v>14.32</v>
      </c>
      <c r="N535">
        <v>-6.94</v>
      </c>
      <c r="O535">
        <v>0.77</v>
      </c>
      <c r="P535" t="b">
        <v>0</v>
      </c>
      <c r="Q535">
        <v>0</v>
      </c>
      <c r="R535">
        <v>26</v>
      </c>
      <c r="U535" t="s">
        <v>1927</v>
      </c>
      <c r="V535" t="s">
        <v>2606</v>
      </c>
      <c r="W535">
        <v>0</v>
      </c>
      <c r="X535">
        <v>1.5</v>
      </c>
      <c r="Y535" t="s">
        <v>3240</v>
      </c>
      <c r="Z535">
        <v>-3.957847039021745</v>
      </c>
      <c r="AA535">
        <v>1303</v>
      </c>
      <c r="AB535">
        <v>210510</v>
      </c>
      <c r="AC535" t="s">
        <v>3911</v>
      </c>
      <c r="AD535">
        <v>64.23</v>
      </c>
      <c r="AE535" t="s">
        <v>4590</v>
      </c>
      <c r="AF535" t="s">
        <v>5236</v>
      </c>
      <c r="AG535">
        <v>267</v>
      </c>
      <c r="AH535">
        <v>29</v>
      </c>
      <c r="AI535">
        <v>2073279</v>
      </c>
    </row>
    <row r="536" spans="1:36">
      <c r="A536" s="1" t="s">
        <v>570</v>
      </c>
      <c r="B536" t="s">
        <v>1249</v>
      </c>
      <c r="C536">
        <f>HYPERLINK("https://finance.naver.com/item/coinfo.nhn?code=088790", "A088790")</f>
        <v>0</v>
      </c>
      <c r="D536">
        <f>HYPERLINK("http://comp.fnguide.com/SVO2/ASP/SVD_Consensus.asp?pGB=1&amp;gicode=A088790&amp;cID=&amp;MenuYn=Y&amp;ReportGB=&amp;NewMenuID=108&amp;stkGb=701", "진도")</f>
        <v>0</v>
      </c>
      <c r="E536">
        <v>3</v>
      </c>
      <c r="F536">
        <v>5360</v>
      </c>
      <c r="G536">
        <v>0</v>
      </c>
      <c r="I536">
        <v>854</v>
      </c>
      <c r="J536">
        <v>4980</v>
      </c>
      <c r="K536">
        <v>6182</v>
      </c>
      <c r="L536">
        <v>84.06999999999999</v>
      </c>
      <c r="M536">
        <v>7.09</v>
      </c>
      <c r="N536">
        <v>-15.33</v>
      </c>
      <c r="O536">
        <v>0.9</v>
      </c>
      <c r="P536" t="b">
        <v>0</v>
      </c>
      <c r="Q536">
        <v>0</v>
      </c>
      <c r="R536">
        <v>-145</v>
      </c>
      <c r="U536" t="s">
        <v>1928</v>
      </c>
      <c r="V536" t="s">
        <v>2607</v>
      </c>
      <c r="W536">
        <v>0</v>
      </c>
      <c r="X536">
        <v>0</v>
      </c>
      <c r="Y536" t="s">
        <v>3241</v>
      </c>
      <c r="Z536">
        <v>14.45301757224287</v>
      </c>
      <c r="AA536">
        <v>667</v>
      </c>
      <c r="AB536">
        <v>149775</v>
      </c>
      <c r="AC536" t="s">
        <v>3912</v>
      </c>
      <c r="AD536">
        <v>50.85</v>
      </c>
      <c r="AE536" t="s">
        <v>4591</v>
      </c>
      <c r="AF536" t="s">
        <v>5237</v>
      </c>
      <c r="AG536">
        <v>545</v>
      </c>
      <c r="AH536">
        <v>-17</v>
      </c>
    </row>
    <row r="537" spans="1:36">
      <c r="A537" s="1" t="s">
        <v>571</v>
      </c>
      <c r="B537" t="s">
        <v>1250</v>
      </c>
      <c r="C537">
        <f>HYPERLINK("https://finance.naver.com/item/coinfo.nhn?code=010960", "A010960")</f>
        <v>0</v>
      </c>
      <c r="D537">
        <f>HYPERLINK("http://comp.fnguide.com/SVO2/ASP/SVD_Consensus.asp?pGB=1&amp;gicode=A010960&amp;cID=&amp;MenuYn=Y&amp;ReportGB=&amp;NewMenuID=108&amp;stkGb=701", "삼호개발")</f>
        <v>0</v>
      </c>
      <c r="E537">
        <v>3</v>
      </c>
      <c r="F537">
        <v>6370</v>
      </c>
      <c r="G537">
        <v>0</v>
      </c>
      <c r="H537">
        <v>5.75</v>
      </c>
      <c r="I537">
        <v>12092</v>
      </c>
      <c r="J537">
        <v>10517</v>
      </c>
      <c r="K537">
        <v>10059</v>
      </c>
      <c r="L537">
        <v>-89.83</v>
      </c>
      <c r="M537">
        <v>-65.11</v>
      </c>
      <c r="N537">
        <v>-57.91</v>
      </c>
      <c r="O537">
        <v>10.53</v>
      </c>
      <c r="P537" t="b">
        <v>1</v>
      </c>
      <c r="Q537">
        <v>0</v>
      </c>
      <c r="R537">
        <v>744</v>
      </c>
      <c r="U537" t="s">
        <v>1929</v>
      </c>
      <c r="V537" t="s">
        <v>2608</v>
      </c>
      <c r="W537">
        <v>0</v>
      </c>
      <c r="X537">
        <v>-13.8</v>
      </c>
      <c r="Y537" t="s">
        <v>3242</v>
      </c>
      <c r="Z537">
        <v>17.35445229750445</v>
      </c>
      <c r="AA537">
        <v>1593</v>
      </c>
      <c r="AB537">
        <v>1826339</v>
      </c>
      <c r="AC537" t="s">
        <v>3913</v>
      </c>
      <c r="AD537">
        <v>32.44</v>
      </c>
      <c r="AE537" t="s">
        <v>4592</v>
      </c>
      <c r="AF537" t="s">
        <v>5238</v>
      </c>
      <c r="AG537">
        <v>3634</v>
      </c>
      <c r="AH537">
        <v>136</v>
      </c>
      <c r="AI537">
        <v>2640000</v>
      </c>
      <c r="AJ537">
        <v>4.44</v>
      </c>
    </row>
    <row r="538" spans="1:36">
      <c r="A538" s="1" t="s">
        <v>572</v>
      </c>
      <c r="B538" t="s">
        <v>1251</v>
      </c>
      <c r="C538">
        <f>HYPERLINK("https://finance.naver.com/item/coinfo.nhn?code=004690", "A004690")</f>
        <v>0</v>
      </c>
      <c r="D538">
        <f>HYPERLINK("http://comp.fnguide.com/SVO2/ASP/SVD_Consensus.asp?pGB=1&amp;gicode=A004690&amp;cID=&amp;MenuYn=Y&amp;ReportGB=&amp;NewMenuID=108&amp;stkGb=701", "삼천리")</f>
        <v>0</v>
      </c>
      <c r="E538">
        <v>3</v>
      </c>
      <c r="F538">
        <v>86900</v>
      </c>
      <c r="G538">
        <v>0.82</v>
      </c>
      <c r="H538">
        <v>10.33</v>
      </c>
      <c r="I538">
        <v>121938</v>
      </c>
      <c r="J538">
        <v>272766</v>
      </c>
      <c r="K538">
        <v>316700</v>
      </c>
      <c r="L538">
        <v>-40.32</v>
      </c>
      <c r="M538">
        <v>-213.89</v>
      </c>
      <c r="N538">
        <v>-264.44</v>
      </c>
      <c r="O538">
        <v>2.67</v>
      </c>
      <c r="P538" t="b">
        <v>0</v>
      </c>
      <c r="Q538">
        <v>1</v>
      </c>
      <c r="R538">
        <v>7883</v>
      </c>
      <c r="S538">
        <v>11270</v>
      </c>
      <c r="T538">
        <v>43</v>
      </c>
      <c r="U538" t="s">
        <v>1930</v>
      </c>
      <c r="V538" t="s">
        <v>2609</v>
      </c>
      <c r="W538">
        <v>12.55330478027785</v>
      </c>
      <c r="X538">
        <v>-15.5</v>
      </c>
      <c r="Y538" t="s">
        <v>3243</v>
      </c>
      <c r="Z538">
        <v>-2.92223193316804</v>
      </c>
      <c r="AA538">
        <v>3524</v>
      </c>
      <c r="AB538">
        <v>8224</v>
      </c>
      <c r="AC538" t="s">
        <v>3914</v>
      </c>
      <c r="AD538">
        <v>39.2</v>
      </c>
      <c r="AE538" t="s">
        <v>4593</v>
      </c>
      <c r="AF538" t="s">
        <v>5239</v>
      </c>
      <c r="AG538">
        <v>32138</v>
      </c>
      <c r="AH538">
        <v>958</v>
      </c>
      <c r="AI538">
        <v>631000</v>
      </c>
      <c r="AJ538">
        <v>3.69</v>
      </c>
    </row>
    <row r="539" spans="1:36">
      <c r="A539" s="1" t="s">
        <v>573</v>
      </c>
      <c r="B539" t="s">
        <v>1252</v>
      </c>
      <c r="C539">
        <f>HYPERLINK("https://finance.naver.com/item/coinfo.nhn?code=009770", "A009770")</f>
        <v>0</v>
      </c>
      <c r="D539">
        <f>HYPERLINK("http://comp.fnguide.com/SVO2/ASP/SVD_Consensus.asp?pGB=1&amp;gicode=A009770&amp;cID=&amp;MenuYn=Y&amp;ReportGB=&amp;NewMenuID=108&amp;stkGb=701", "삼정펄프")</f>
        <v>0</v>
      </c>
      <c r="E539">
        <v>3</v>
      </c>
      <c r="F539">
        <v>36600</v>
      </c>
      <c r="G539">
        <v>0</v>
      </c>
      <c r="H539">
        <v>2.78</v>
      </c>
      <c r="I539">
        <v>78480</v>
      </c>
      <c r="J539">
        <v>81997</v>
      </c>
      <c r="K539">
        <v>83021</v>
      </c>
      <c r="L539">
        <v>-114.43</v>
      </c>
      <c r="M539">
        <v>-124.03</v>
      </c>
      <c r="N539">
        <v>-126.83</v>
      </c>
      <c r="O539">
        <v>7.64</v>
      </c>
      <c r="P539" t="b">
        <v>1</v>
      </c>
      <c r="Q539">
        <v>0</v>
      </c>
      <c r="R539">
        <v>10743</v>
      </c>
      <c r="U539" t="s">
        <v>1931</v>
      </c>
      <c r="V539" t="s">
        <v>2610</v>
      </c>
      <c r="W539">
        <v>0</v>
      </c>
      <c r="X539">
        <v>475</v>
      </c>
      <c r="Y539" t="s">
        <v>3244</v>
      </c>
      <c r="Z539">
        <v>96.32354066999793</v>
      </c>
      <c r="AA539">
        <v>915</v>
      </c>
      <c r="AB539">
        <v>4106</v>
      </c>
      <c r="AC539" t="s">
        <v>3915</v>
      </c>
      <c r="AD539">
        <v>74.13</v>
      </c>
      <c r="AE539" t="s">
        <v>4594</v>
      </c>
      <c r="AF539" t="s">
        <v>5240</v>
      </c>
      <c r="AG539">
        <v>1463</v>
      </c>
      <c r="AH539">
        <v>136</v>
      </c>
      <c r="AJ539">
        <v>3.34</v>
      </c>
    </row>
    <row r="540" spans="1:36">
      <c r="A540" s="1" t="s">
        <v>574</v>
      </c>
      <c r="B540" t="s">
        <v>1253</v>
      </c>
      <c r="C540">
        <f>HYPERLINK("https://finance.naver.com/item/coinfo.nhn?code=004440", "A004440")</f>
        <v>0</v>
      </c>
      <c r="D540">
        <f>HYPERLINK("http://comp.fnguide.com/SVO2/ASP/SVD_Consensus.asp?pGB=1&amp;gicode=A004440&amp;cID=&amp;MenuYn=Y&amp;ReportGB=&amp;NewMenuID=108&amp;stkGb=701", "삼일씨엔에스")</f>
        <v>0</v>
      </c>
      <c r="E540">
        <v>3</v>
      </c>
      <c r="F540">
        <v>15250</v>
      </c>
      <c r="G540">
        <v>0</v>
      </c>
      <c r="I540">
        <v>857</v>
      </c>
      <c r="J540">
        <v>13289</v>
      </c>
      <c r="K540">
        <v>16910</v>
      </c>
      <c r="L540">
        <v>94.38</v>
      </c>
      <c r="M540">
        <v>12.86</v>
      </c>
      <c r="N540">
        <v>-10.89</v>
      </c>
      <c r="O540">
        <v>0.32</v>
      </c>
      <c r="P540" t="b">
        <v>0</v>
      </c>
      <c r="Q540">
        <v>0</v>
      </c>
      <c r="R540">
        <v>-81</v>
      </c>
      <c r="U540" t="s">
        <v>1932</v>
      </c>
      <c r="V540" t="s">
        <v>2611</v>
      </c>
      <c r="W540">
        <v>0</v>
      </c>
      <c r="X540">
        <v>0</v>
      </c>
      <c r="Y540" t="s">
        <v>3245</v>
      </c>
      <c r="Z540">
        <v>-67.96814085945057</v>
      </c>
      <c r="AA540">
        <v>1942</v>
      </c>
      <c r="AB540">
        <v>42819</v>
      </c>
      <c r="AC540" t="s">
        <v>3916</v>
      </c>
      <c r="AD540">
        <v>54.34</v>
      </c>
      <c r="AE540" t="s">
        <v>4595</v>
      </c>
      <c r="AF540" t="s">
        <v>5241</v>
      </c>
      <c r="AG540">
        <v>1861</v>
      </c>
      <c r="AH540">
        <v>-3</v>
      </c>
    </row>
    <row r="541" spans="1:36">
      <c r="A541" s="1" t="s">
        <v>575</v>
      </c>
      <c r="B541" t="s">
        <v>1254</v>
      </c>
      <c r="C541">
        <f>HYPERLINK("https://finance.naver.com/item/coinfo.nhn?code=120110", "A120110")</f>
        <v>0</v>
      </c>
      <c r="D541">
        <f>HYPERLINK("http://comp.fnguide.com/SVO2/ASP/SVD_Consensus.asp?pGB=1&amp;gicode=A120110&amp;cID=&amp;MenuYn=Y&amp;ReportGB=&amp;NewMenuID=108&amp;stkGb=701", "코오롱인더")</f>
        <v>0</v>
      </c>
      <c r="E541">
        <v>3</v>
      </c>
      <c r="F541">
        <v>60400</v>
      </c>
      <c r="G541">
        <v>0.18</v>
      </c>
      <c r="H541">
        <v>6</v>
      </c>
      <c r="I541">
        <v>57813</v>
      </c>
      <c r="J541">
        <v>71451</v>
      </c>
      <c r="K541">
        <v>75424</v>
      </c>
      <c r="L541">
        <v>4.28</v>
      </c>
      <c r="M541">
        <v>-18.3</v>
      </c>
      <c r="N541">
        <v>-24.87</v>
      </c>
      <c r="O541">
        <v>5.88</v>
      </c>
      <c r="P541" t="b">
        <v>1</v>
      </c>
      <c r="Q541">
        <v>0</v>
      </c>
      <c r="R541">
        <v>6839</v>
      </c>
      <c r="S541">
        <v>5352</v>
      </c>
      <c r="T541">
        <v>-21.7</v>
      </c>
      <c r="U541" t="s">
        <v>1933</v>
      </c>
      <c r="V541" t="s">
        <v>2612</v>
      </c>
      <c r="W541">
        <v>33.4838233144773</v>
      </c>
      <c r="X541">
        <v>526.2</v>
      </c>
      <c r="Y541" t="s">
        <v>3246</v>
      </c>
      <c r="Z541">
        <v>2.861842788221813</v>
      </c>
      <c r="AA541">
        <v>16295</v>
      </c>
      <c r="AB541">
        <v>168797</v>
      </c>
      <c r="AC541" t="s">
        <v>3917</v>
      </c>
      <c r="AD541">
        <v>36.85</v>
      </c>
      <c r="AE541" t="s">
        <v>4596</v>
      </c>
      <c r="AF541" t="s">
        <v>5242</v>
      </c>
      <c r="AG541">
        <v>40361</v>
      </c>
      <c r="AH541">
        <v>1524</v>
      </c>
      <c r="AJ541">
        <v>2.44</v>
      </c>
    </row>
    <row r="542" spans="1:36">
      <c r="A542" s="1" t="s">
        <v>576</v>
      </c>
      <c r="B542" t="s">
        <v>1255</v>
      </c>
      <c r="C542">
        <f>HYPERLINK("https://finance.naver.com/item/coinfo.nhn?code=002450", "A002450")</f>
        <v>0</v>
      </c>
      <c r="D542">
        <f>HYPERLINK("http://comp.fnguide.com/SVO2/ASP/SVD_Consensus.asp?pGB=1&amp;gicode=A002450&amp;cID=&amp;MenuYn=Y&amp;ReportGB=&amp;NewMenuID=108&amp;stkGb=701", "삼익악기")</f>
        <v>0</v>
      </c>
      <c r="E542">
        <v>3</v>
      </c>
      <c r="F542">
        <v>1755</v>
      </c>
      <c r="G542">
        <v>0</v>
      </c>
      <c r="H542">
        <v>13.17</v>
      </c>
      <c r="I542">
        <v>1760</v>
      </c>
      <c r="J542">
        <v>2301</v>
      </c>
      <c r="K542">
        <v>2459</v>
      </c>
      <c r="L542">
        <v>-0.28</v>
      </c>
      <c r="M542">
        <v>-31.11</v>
      </c>
      <c r="N542">
        <v>-40.09</v>
      </c>
      <c r="O542">
        <v>5.42</v>
      </c>
      <c r="P542" t="b">
        <v>1</v>
      </c>
      <c r="Q542">
        <v>0</v>
      </c>
      <c r="R542">
        <v>111</v>
      </c>
      <c r="U542" t="s">
        <v>1934</v>
      </c>
      <c r="V542" t="s">
        <v>2613</v>
      </c>
      <c r="W542">
        <v>0</v>
      </c>
      <c r="X542">
        <v>-26.5</v>
      </c>
      <c r="Y542" t="s">
        <v>3247</v>
      </c>
      <c r="Z542">
        <v>-17.89372618257189</v>
      </c>
      <c r="AA542">
        <v>1589</v>
      </c>
      <c r="AB542">
        <v>315471</v>
      </c>
      <c r="AC542" t="s">
        <v>3918</v>
      </c>
      <c r="AD542">
        <v>40.33</v>
      </c>
      <c r="AE542" t="s">
        <v>4597</v>
      </c>
      <c r="AF542" t="s">
        <v>5243</v>
      </c>
      <c r="AG542">
        <v>2479</v>
      </c>
      <c r="AH542">
        <v>202</v>
      </c>
      <c r="AI542">
        <v>7000000</v>
      </c>
      <c r="AJ542">
        <v>3.42</v>
      </c>
    </row>
    <row r="543" spans="1:36">
      <c r="A543" s="1" t="s">
        <v>577</v>
      </c>
      <c r="B543" t="s">
        <v>1256</v>
      </c>
      <c r="C543">
        <f>HYPERLINK("https://finance.naver.com/item/coinfo.nhn?code=192400", "A192400")</f>
        <v>0</v>
      </c>
      <c r="D543">
        <f>HYPERLINK("http://comp.fnguide.com/SVO2/ASP/SVD_Consensus.asp?pGB=1&amp;gicode=A192400&amp;cID=&amp;MenuYn=Y&amp;ReportGB=&amp;NewMenuID=108&amp;stkGb=701", "쿠쿠홀딩스")</f>
        <v>0</v>
      </c>
      <c r="E543">
        <v>3</v>
      </c>
      <c r="F543">
        <v>134500</v>
      </c>
      <c r="G543">
        <v>0</v>
      </c>
      <c r="H543">
        <v>6.66</v>
      </c>
      <c r="I543">
        <v>215668</v>
      </c>
      <c r="J543">
        <v>160280</v>
      </c>
      <c r="K543">
        <v>144146</v>
      </c>
      <c r="L543">
        <v>-60.35</v>
      </c>
      <c r="M543">
        <v>-19.17</v>
      </c>
      <c r="N543">
        <v>-7.17</v>
      </c>
      <c r="O543">
        <v>14.48</v>
      </c>
      <c r="P543" t="b">
        <v>1</v>
      </c>
      <c r="Q543">
        <v>0</v>
      </c>
      <c r="R543">
        <v>15003</v>
      </c>
      <c r="U543" t="s">
        <v>1935</v>
      </c>
      <c r="V543" t="s">
        <v>2614</v>
      </c>
      <c r="W543">
        <v>0</v>
      </c>
      <c r="X543">
        <v>34.3</v>
      </c>
      <c r="Y543" t="s">
        <v>3248</v>
      </c>
      <c r="Z543">
        <v>14.50844871280144</v>
      </c>
      <c r="AA543">
        <v>9566</v>
      </c>
      <c r="AB543">
        <v>5312</v>
      </c>
      <c r="AC543" t="s">
        <v>3919</v>
      </c>
      <c r="AD543">
        <v>69.06999999999999</v>
      </c>
      <c r="AE543" t="s">
        <v>4598</v>
      </c>
      <c r="AF543" t="s">
        <v>5244</v>
      </c>
      <c r="AG543">
        <v>5878</v>
      </c>
      <c r="AH543">
        <v>1023</v>
      </c>
      <c r="AI543">
        <v>896760</v>
      </c>
      <c r="AJ543">
        <v>3.3</v>
      </c>
    </row>
    <row r="544" spans="1:36">
      <c r="A544" s="1" t="s">
        <v>578</v>
      </c>
      <c r="B544" t="s">
        <v>1257</v>
      </c>
      <c r="C544">
        <f>HYPERLINK("https://finance.naver.com/item/coinfo.nhn?code=023000", "A023000")</f>
        <v>0</v>
      </c>
      <c r="D544">
        <f>HYPERLINK("http://comp.fnguide.com/SVO2/ASP/SVD_Consensus.asp?pGB=1&amp;gicode=A023000&amp;cID=&amp;MenuYn=Y&amp;ReportGB=&amp;NewMenuID=108&amp;stkGb=701", "삼원강재")</f>
        <v>0</v>
      </c>
      <c r="E544">
        <v>3</v>
      </c>
      <c r="F544">
        <v>3850</v>
      </c>
      <c r="G544">
        <v>0</v>
      </c>
      <c r="H544">
        <v>12.98</v>
      </c>
      <c r="I544">
        <v>2991</v>
      </c>
      <c r="J544">
        <v>4395</v>
      </c>
      <c r="K544">
        <v>4804</v>
      </c>
      <c r="L544">
        <v>22.31</v>
      </c>
      <c r="M544">
        <v>-14.16</v>
      </c>
      <c r="N544">
        <v>-24.78</v>
      </c>
      <c r="O544">
        <v>4.59</v>
      </c>
      <c r="P544" t="b">
        <v>1</v>
      </c>
      <c r="Q544">
        <v>0</v>
      </c>
      <c r="R544">
        <v>203</v>
      </c>
      <c r="U544" t="s">
        <v>1936</v>
      </c>
      <c r="V544" t="s">
        <v>2615</v>
      </c>
      <c r="W544">
        <v>0</v>
      </c>
      <c r="X544">
        <v>-22.2</v>
      </c>
      <c r="Y544" t="s">
        <v>3249</v>
      </c>
      <c r="Z544">
        <v>-12.52361359392411</v>
      </c>
      <c r="AA544">
        <v>1540</v>
      </c>
      <c r="AB544">
        <v>298708</v>
      </c>
      <c r="AC544" t="s">
        <v>3920</v>
      </c>
      <c r="AD544">
        <v>61.11</v>
      </c>
      <c r="AE544" t="s">
        <v>4599</v>
      </c>
      <c r="AF544" t="s">
        <v>5245</v>
      </c>
      <c r="AG544">
        <v>2460</v>
      </c>
      <c r="AH544">
        <v>100</v>
      </c>
      <c r="AI544">
        <v>260044</v>
      </c>
      <c r="AJ544">
        <v>3.98</v>
      </c>
    </row>
    <row r="545" spans="1:36">
      <c r="A545" s="1" t="s">
        <v>579</v>
      </c>
      <c r="B545" t="s">
        <v>1258</v>
      </c>
      <c r="C545">
        <f>HYPERLINK("https://finance.naver.com/item/coinfo.nhn?code=005680", "A005680")</f>
        <v>0</v>
      </c>
      <c r="D545">
        <f>HYPERLINK("http://comp.fnguide.com/SVO2/ASP/SVD_Consensus.asp?pGB=1&amp;gicode=A005680&amp;cID=&amp;MenuYn=Y&amp;ReportGB=&amp;NewMenuID=108&amp;stkGb=701", "삼영전자")</f>
        <v>0</v>
      </c>
      <c r="E545">
        <v>3</v>
      </c>
      <c r="F545">
        <v>12450</v>
      </c>
      <c r="G545">
        <v>-14.4</v>
      </c>
      <c r="H545">
        <v>17.86</v>
      </c>
      <c r="I545">
        <v>6838</v>
      </c>
      <c r="J545">
        <v>17355</v>
      </c>
      <c r="K545">
        <v>20419</v>
      </c>
      <c r="L545">
        <v>45.08</v>
      </c>
      <c r="M545">
        <v>-39.4</v>
      </c>
      <c r="N545">
        <v>-64.01000000000001</v>
      </c>
      <c r="O545">
        <v>2.29</v>
      </c>
      <c r="P545" t="b">
        <v>1</v>
      </c>
      <c r="Q545">
        <v>2</v>
      </c>
      <c r="R545">
        <v>571</v>
      </c>
      <c r="S545">
        <v>730</v>
      </c>
      <c r="T545">
        <v>27.8</v>
      </c>
      <c r="U545" t="s">
        <v>1937</v>
      </c>
      <c r="V545" t="s">
        <v>2616</v>
      </c>
      <c r="W545">
        <v>-1.240614938865459</v>
      </c>
      <c r="X545">
        <v>33.6</v>
      </c>
      <c r="Y545" t="s">
        <v>3250</v>
      </c>
      <c r="Z545">
        <v>-3.757838949966097</v>
      </c>
      <c r="AA545">
        <v>2490</v>
      </c>
      <c r="AB545">
        <v>360824</v>
      </c>
      <c r="AC545" t="s">
        <v>3921</v>
      </c>
      <c r="AD545">
        <v>53.59</v>
      </c>
      <c r="AE545" t="s">
        <v>4600</v>
      </c>
      <c r="AF545" t="s">
        <v>5246</v>
      </c>
      <c r="AG545">
        <v>2006</v>
      </c>
      <c r="AH545">
        <v>92</v>
      </c>
      <c r="AJ545">
        <v>2.45</v>
      </c>
    </row>
    <row r="546" spans="1:36">
      <c r="A546" s="1" t="s">
        <v>580</v>
      </c>
      <c r="B546" t="s">
        <v>1259</v>
      </c>
      <c r="C546">
        <f>HYPERLINK("https://finance.naver.com/item/coinfo.nhn?code=002810", "A002810")</f>
        <v>0</v>
      </c>
      <c r="D546">
        <f>HYPERLINK("http://comp.fnguide.com/SVO2/ASP/SVD_Consensus.asp?pGB=1&amp;gicode=A002810&amp;cID=&amp;MenuYn=Y&amp;ReportGB=&amp;NewMenuID=108&amp;stkGb=701", "삼영무역")</f>
        <v>0</v>
      </c>
      <c r="E546">
        <v>3</v>
      </c>
      <c r="F546">
        <v>17050</v>
      </c>
      <c r="G546">
        <v>0</v>
      </c>
      <c r="H546">
        <v>9.18</v>
      </c>
      <c r="I546">
        <v>22215</v>
      </c>
      <c r="J546">
        <v>21800</v>
      </c>
      <c r="K546">
        <v>21679</v>
      </c>
      <c r="L546">
        <v>-30.29</v>
      </c>
      <c r="M546">
        <v>-27.86</v>
      </c>
      <c r="N546">
        <v>-27.15</v>
      </c>
      <c r="O546">
        <v>8.49</v>
      </c>
      <c r="P546" t="b">
        <v>1</v>
      </c>
      <c r="Q546">
        <v>0</v>
      </c>
      <c r="R546">
        <v>1526</v>
      </c>
      <c r="U546" t="s">
        <v>1938</v>
      </c>
      <c r="V546" t="s">
        <v>2617</v>
      </c>
      <c r="W546">
        <v>0</v>
      </c>
      <c r="X546">
        <v>-15.7</v>
      </c>
      <c r="Y546" t="s">
        <v>3251</v>
      </c>
      <c r="Z546">
        <v>8.225579589106369</v>
      </c>
      <c r="AA546">
        <v>3149</v>
      </c>
      <c r="AB546">
        <v>69855</v>
      </c>
      <c r="AC546" t="s">
        <v>3922</v>
      </c>
      <c r="AD546">
        <v>44.51</v>
      </c>
      <c r="AE546" t="s">
        <v>4601</v>
      </c>
      <c r="AF546" t="s">
        <v>5247</v>
      </c>
      <c r="AG546">
        <v>3924</v>
      </c>
      <c r="AH546">
        <v>224</v>
      </c>
      <c r="AI546">
        <v>838844</v>
      </c>
      <c r="AJ546">
        <v>3.57</v>
      </c>
    </row>
    <row r="547" spans="1:36">
      <c r="A547" s="1" t="s">
        <v>581</v>
      </c>
      <c r="B547" t="s">
        <v>1260</v>
      </c>
      <c r="C547">
        <f>HYPERLINK("https://finance.naver.com/item/coinfo.nhn?code=007540", "A007540")</f>
        <v>0</v>
      </c>
      <c r="D547">
        <f>HYPERLINK("http://comp.fnguide.com/SVO2/ASP/SVD_Consensus.asp?pGB=1&amp;gicode=A007540&amp;cID=&amp;MenuYn=Y&amp;ReportGB=&amp;NewMenuID=108&amp;stkGb=701", "샘표")</f>
        <v>0</v>
      </c>
      <c r="E547">
        <v>3</v>
      </c>
      <c r="F547">
        <v>58500</v>
      </c>
      <c r="G547">
        <v>0</v>
      </c>
      <c r="H547">
        <v>7.88</v>
      </c>
      <c r="I547">
        <v>91457</v>
      </c>
      <c r="J547">
        <v>85132</v>
      </c>
      <c r="K547">
        <v>83289</v>
      </c>
      <c r="L547">
        <v>-56.34</v>
      </c>
      <c r="M547">
        <v>-45.52</v>
      </c>
      <c r="N547">
        <v>-42.37</v>
      </c>
      <c r="O547">
        <v>9.300000000000001</v>
      </c>
      <c r="P547" t="b">
        <v>0</v>
      </c>
      <c r="Q547">
        <v>0</v>
      </c>
      <c r="R547">
        <v>6217</v>
      </c>
      <c r="U547" t="s">
        <v>1939</v>
      </c>
      <c r="V547" t="s">
        <v>2618</v>
      </c>
      <c r="W547">
        <v>0</v>
      </c>
      <c r="X547">
        <v>48.2</v>
      </c>
      <c r="Y547" t="s">
        <v>3252</v>
      </c>
      <c r="Z547">
        <v>14.58903995379852</v>
      </c>
      <c r="AA547">
        <v>1682</v>
      </c>
      <c r="AB547">
        <v>35487</v>
      </c>
      <c r="AC547" t="s">
        <v>3923</v>
      </c>
      <c r="AD547">
        <v>48.44</v>
      </c>
      <c r="AE547" t="s">
        <v>4602</v>
      </c>
      <c r="AF547" t="s">
        <v>5248</v>
      </c>
      <c r="AG547">
        <v>3191</v>
      </c>
      <c r="AH547">
        <v>411</v>
      </c>
      <c r="AI547">
        <v>658187</v>
      </c>
      <c r="AJ547">
        <v>0.41</v>
      </c>
    </row>
    <row r="548" spans="1:36">
      <c r="A548" s="1" t="s">
        <v>582</v>
      </c>
      <c r="B548" t="s">
        <v>1261</v>
      </c>
      <c r="C548">
        <f>HYPERLINK("https://finance.naver.com/item/coinfo.nhn?code=000070", "A000070")</f>
        <v>0</v>
      </c>
      <c r="D548">
        <f>HYPERLINK("http://comp.fnguide.com/SVO2/ASP/SVD_Consensus.asp?pGB=1&amp;gicode=A000070&amp;cID=&amp;MenuYn=Y&amp;ReportGB=&amp;NewMenuID=108&amp;stkGb=701", "삼양홀딩스")</f>
        <v>0</v>
      </c>
      <c r="E548">
        <v>3</v>
      </c>
      <c r="F548">
        <v>120000</v>
      </c>
      <c r="G548">
        <v>0</v>
      </c>
      <c r="H548">
        <v>6.46</v>
      </c>
      <c r="I548">
        <v>125398</v>
      </c>
      <c r="J548">
        <v>172312</v>
      </c>
      <c r="K548">
        <v>185978</v>
      </c>
      <c r="L548">
        <v>-4.5</v>
      </c>
      <c r="M548">
        <v>-43.59</v>
      </c>
      <c r="N548">
        <v>-54.98</v>
      </c>
      <c r="O548">
        <v>5.04</v>
      </c>
      <c r="P548" t="b">
        <v>1</v>
      </c>
      <c r="Q548">
        <v>0</v>
      </c>
      <c r="R548">
        <v>11537</v>
      </c>
      <c r="U548" t="s">
        <v>1940</v>
      </c>
      <c r="V548" t="s">
        <v>2619</v>
      </c>
      <c r="W548">
        <v>0</v>
      </c>
      <c r="X548">
        <v>231.4</v>
      </c>
      <c r="Y548" t="s">
        <v>3253</v>
      </c>
      <c r="Z548">
        <v>17.05308189118875</v>
      </c>
      <c r="AA548">
        <v>10277</v>
      </c>
      <c r="AB548">
        <v>71336</v>
      </c>
      <c r="AC548" t="s">
        <v>3924</v>
      </c>
      <c r="AD548">
        <v>41.72</v>
      </c>
      <c r="AE548" t="s">
        <v>4603</v>
      </c>
      <c r="AF548" t="s">
        <v>5249</v>
      </c>
      <c r="AG548">
        <v>24712</v>
      </c>
      <c r="AH548">
        <v>1703</v>
      </c>
      <c r="AI548">
        <v>1128726</v>
      </c>
      <c r="AJ548">
        <v>3.02</v>
      </c>
    </row>
    <row r="549" spans="1:36">
      <c r="A549" s="1" t="s">
        <v>583</v>
      </c>
      <c r="B549" t="s">
        <v>1262</v>
      </c>
      <c r="C549">
        <f>HYPERLINK("https://finance.naver.com/item/coinfo.nhn?code=002170", "A002170")</f>
        <v>0</v>
      </c>
      <c r="D549">
        <f>HYPERLINK("http://comp.fnguide.com/SVO2/ASP/SVD_Consensus.asp?pGB=1&amp;gicode=A002170&amp;cID=&amp;MenuYn=Y&amp;ReportGB=&amp;NewMenuID=108&amp;stkGb=701", "삼양통상")</f>
        <v>0</v>
      </c>
      <c r="E549">
        <v>3</v>
      </c>
      <c r="F549">
        <v>87000</v>
      </c>
      <c r="G549">
        <v>0</v>
      </c>
      <c r="H549">
        <v>3.77</v>
      </c>
      <c r="I549">
        <v>213573</v>
      </c>
      <c r="J549">
        <v>165012</v>
      </c>
      <c r="K549">
        <v>150868</v>
      </c>
      <c r="L549">
        <v>-145.49</v>
      </c>
      <c r="M549">
        <v>-89.67</v>
      </c>
      <c r="N549">
        <v>-73.41</v>
      </c>
      <c r="O549">
        <v>13.32</v>
      </c>
      <c r="P549" t="b">
        <v>1</v>
      </c>
      <c r="Q549">
        <v>0</v>
      </c>
      <c r="R549">
        <v>16637</v>
      </c>
      <c r="U549" t="s">
        <v>1941</v>
      </c>
      <c r="V549" t="s">
        <v>2620</v>
      </c>
      <c r="W549">
        <v>0</v>
      </c>
      <c r="X549">
        <v>12.9</v>
      </c>
      <c r="Y549" t="s">
        <v>3254</v>
      </c>
      <c r="Z549">
        <v>36.51723785450231</v>
      </c>
      <c r="AA549">
        <v>2610</v>
      </c>
      <c r="AB549">
        <v>3209</v>
      </c>
      <c r="AC549" t="s">
        <v>3925</v>
      </c>
      <c r="AD549">
        <v>55.32</v>
      </c>
      <c r="AE549" t="s">
        <v>4604</v>
      </c>
      <c r="AF549" t="s">
        <v>5250</v>
      </c>
      <c r="AG549">
        <v>1984</v>
      </c>
      <c r="AH549">
        <v>577</v>
      </c>
      <c r="AI549">
        <v>150575</v>
      </c>
      <c r="AJ549">
        <v>1.99</v>
      </c>
    </row>
    <row r="550" spans="1:36">
      <c r="A550" s="1" t="s">
        <v>584</v>
      </c>
      <c r="B550" t="s">
        <v>1263</v>
      </c>
      <c r="C550">
        <f>HYPERLINK("https://finance.naver.com/item/coinfo.nhn?code=039490", "A039490")</f>
        <v>0</v>
      </c>
      <c r="D550">
        <f>HYPERLINK("http://comp.fnguide.com/SVO2/ASP/SVD_Consensus.asp?pGB=1&amp;gicode=A039490&amp;cID=&amp;MenuYn=Y&amp;ReportGB=&amp;NewMenuID=108&amp;stkGb=701", "키움증권")</f>
        <v>0</v>
      </c>
      <c r="E550">
        <v>3</v>
      </c>
      <c r="F550">
        <v>126500</v>
      </c>
      <c r="G550">
        <v>0.08</v>
      </c>
      <c r="H550">
        <v>4.59</v>
      </c>
      <c r="I550">
        <v>288961</v>
      </c>
      <c r="J550">
        <v>183632</v>
      </c>
      <c r="K550">
        <v>152951</v>
      </c>
      <c r="L550">
        <v>-128.43</v>
      </c>
      <c r="M550">
        <v>-45.16</v>
      </c>
      <c r="N550">
        <v>-20.91</v>
      </c>
      <c r="O550">
        <v>21.28</v>
      </c>
      <c r="P550" t="b">
        <v>1</v>
      </c>
      <c r="Q550">
        <v>3</v>
      </c>
      <c r="R550">
        <v>27556</v>
      </c>
      <c r="S550">
        <v>28968</v>
      </c>
      <c r="T550">
        <v>5.1</v>
      </c>
      <c r="U550" t="s">
        <v>1942</v>
      </c>
      <c r="V550" t="s">
        <v>2621</v>
      </c>
      <c r="W550">
        <v>55.17440648630625</v>
      </c>
      <c r="X550">
        <v>27.6</v>
      </c>
      <c r="Y550" t="s">
        <v>3255</v>
      </c>
      <c r="Z550">
        <v>17.49374321567527</v>
      </c>
      <c r="AA550">
        <v>33005</v>
      </c>
      <c r="AB550">
        <v>149550</v>
      </c>
      <c r="AC550" t="s">
        <v>3926</v>
      </c>
      <c r="AD550">
        <v>41.43</v>
      </c>
      <c r="AE550" t="s">
        <v>4605</v>
      </c>
      <c r="AF550" t="s">
        <v>5251</v>
      </c>
      <c r="AG550">
        <v>14691</v>
      </c>
      <c r="AH550">
        <v>9690</v>
      </c>
      <c r="AI550">
        <v>500000</v>
      </c>
      <c r="AJ550">
        <v>2.37</v>
      </c>
    </row>
    <row r="551" spans="1:36">
      <c r="A551" s="1" t="s">
        <v>585</v>
      </c>
      <c r="B551" t="s">
        <v>1264</v>
      </c>
      <c r="C551">
        <f>HYPERLINK("https://finance.naver.com/item/coinfo.nhn?code=015890", "A015890")</f>
        <v>0</v>
      </c>
      <c r="D551">
        <f>HYPERLINK("http://comp.fnguide.com/SVO2/ASP/SVD_Consensus.asp?pGB=1&amp;gicode=A015890&amp;cID=&amp;MenuYn=Y&amp;ReportGB=&amp;NewMenuID=108&amp;stkGb=701", "태경산업")</f>
        <v>0</v>
      </c>
      <c r="E551">
        <v>3</v>
      </c>
      <c r="F551">
        <v>7000</v>
      </c>
      <c r="G551">
        <v>0</v>
      </c>
      <c r="H551">
        <v>46.07</v>
      </c>
      <c r="I551">
        <v>4705</v>
      </c>
      <c r="J551">
        <v>6762</v>
      </c>
      <c r="K551">
        <v>7361</v>
      </c>
      <c r="L551">
        <v>32.79</v>
      </c>
      <c r="M551">
        <v>3.41</v>
      </c>
      <c r="N551">
        <v>-5.15</v>
      </c>
      <c r="O551">
        <v>4.74</v>
      </c>
      <c r="P551" t="b">
        <v>1</v>
      </c>
      <c r="Q551">
        <v>0</v>
      </c>
      <c r="R551">
        <v>128</v>
      </c>
      <c r="U551" t="s">
        <v>1943</v>
      </c>
      <c r="V551" t="s">
        <v>2622</v>
      </c>
      <c r="W551">
        <v>0</v>
      </c>
      <c r="X551">
        <v>-81.90000000000001</v>
      </c>
      <c r="Y551" t="s">
        <v>3256</v>
      </c>
      <c r="Z551">
        <v>10.90503621711822</v>
      </c>
      <c r="AA551">
        <v>2046</v>
      </c>
      <c r="AB551">
        <v>58975</v>
      </c>
      <c r="AC551" t="s">
        <v>3927</v>
      </c>
      <c r="AD551">
        <v>62.99</v>
      </c>
      <c r="AE551" t="s">
        <v>4606</v>
      </c>
      <c r="AF551" t="s">
        <v>5252</v>
      </c>
      <c r="AG551">
        <v>4306</v>
      </c>
      <c r="AH551">
        <v>159</v>
      </c>
      <c r="AI551">
        <v>713753</v>
      </c>
      <c r="AJ551">
        <v>4.07</v>
      </c>
    </row>
    <row r="552" spans="1:36">
      <c r="A552" s="1" t="s">
        <v>586</v>
      </c>
      <c r="B552" t="s">
        <v>1265</v>
      </c>
      <c r="C552">
        <f>HYPERLINK("https://finance.naver.com/item/coinfo.nhn?code=145990", "A145990")</f>
        <v>0</v>
      </c>
      <c r="D552">
        <f>HYPERLINK("http://comp.fnguide.com/SVO2/ASP/SVD_Consensus.asp?pGB=1&amp;gicode=A145990&amp;cID=&amp;MenuYn=Y&amp;ReportGB=&amp;NewMenuID=108&amp;stkGb=701", "삼양사")</f>
        <v>0</v>
      </c>
      <c r="E552">
        <v>3</v>
      </c>
      <c r="F552">
        <v>65700</v>
      </c>
      <c r="G552">
        <v>0</v>
      </c>
      <c r="H552">
        <v>11.19</v>
      </c>
      <c r="I552">
        <v>62351</v>
      </c>
      <c r="J552">
        <v>97087</v>
      </c>
      <c r="K552">
        <v>107204</v>
      </c>
      <c r="L552">
        <v>5.1</v>
      </c>
      <c r="M552">
        <v>-47.77</v>
      </c>
      <c r="N552">
        <v>-63.17</v>
      </c>
      <c r="O552">
        <v>4.24</v>
      </c>
      <c r="P552" t="b">
        <v>1</v>
      </c>
      <c r="Q552">
        <v>0</v>
      </c>
      <c r="R552">
        <v>5396</v>
      </c>
      <c r="U552" t="s">
        <v>1944</v>
      </c>
      <c r="V552" t="s">
        <v>2623</v>
      </c>
      <c r="W552">
        <v>0</v>
      </c>
      <c r="X552">
        <v>70.09999999999999</v>
      </c>
      <c r="Y552" t="s">
        <v>3257</v>
      </c>
      <c r="Z552">
        <v>-6.468021598201701</v>
      </c>
      <c r="AA552">
        <v>6776</v>
      </c>
      <c r="AB552">
        <v>77480</v>
      </c>
      <c r="AC552" t="s">
        <v>3928</v>
      </c>
      <c r="AD552">
        <v>64.14</v>
      </c>
      <c r="AE552" t="s">
        <v>4607</v>
      </c>
      <c r="AF552" t="s">
        <v>5253</v>
      </c>
      <c r="AG552">
        <v>20518</v>
      </c>
      <c r="AH552">
        <v>1116</v>
      </c>
      <c r="AI552">
        <v>647125</v>
      </c>
      <c r="AJ552">
        <v>2.07</v>
      </c>
    </row>
    <row r="553" spans="1:36">
      <c r="A553" s="1" t="s">
        <v>587</v>
      </c>
      <c r="B553" t="s">
        <v>1266</v>
      </c>
      <c r="C553">
        <f>HYPERLINK("https://finance.naver.com/item/coinfo.nhn?code=003240", "A003240")</f>
        <v>0</v>
      </c>
      <c r="D553">
        <f>HYPERLINK("http://comp.fnguide.com/SVO2/ASP/SVD_Consensus.asp?pGB=1&amp;gicode=A003240&amp;cID=&amp;MenuYn=Y&amp;ReportGB=&amp;NewMenuID=108&amp;stkGb=701", "태광산업")</f>
        <v>0</v>
      </c>
      <c r="E553">
        <v>3</v>
      </c>
      <c r="F553">
        <v>1208000</v>
      </c>
      <c r="G553">
        <v>0</v>
      </c>
      <c r="H553">
        <v>8.43</v>
      </c>
      <c r="I553">
        <v>2058883</v>
      </c>
      <c r="J553">
        <v>3169191</v>
      </c>
      <c r="K553">
        <v>3492605</v>
      </c>
      <c r="L553">
        <v>-70.44</v>
      </c>
      <c r="M553">
        <v>-162.35</v>
      </c>
      <c r="N553">
        <v>-189.12</v>
      </c>
      <c r="O553">
        <v>4.31</v>
      </c>
      <c r="P553" t="b">
        <v>1</v>
      </c>
      <c r="Q553">
        <v>0</v>
      </c>
      <c r="R553">
        <v>95038</v>
      </c>
      <c r="U553" t="s">
        <v>1945</v>
      </c>
      <c r="V553" t="s">
        <v>2624</v>
      </c>
      <c r="W553">
        <v>0</v>
      </c>
      <c r="X553">
        <v>-22.2</v>
      </c>
      <c r="Y553" t="s">
        <v>3258</v>
      </c>
      <c r="Z553">
        <v>7.053414399053759</v>
      </c>
      <c r="AA553">
        <v>13450</v>
      </c>
      <c r="AB553">
        <v>1708</v>
      </c>
      <c r="AC553" t="s">
        <v>3929</v>
      </c>
      <c r="AD553">
        <v>54.79</v>
      </c>
      <c r="AE553" t="s">
        <v>4608</v>
      </c>
      <c r="AF553" t="s">
        <v>5254</v>
      </c>
      <c r="AG553">
        <v>17406</v>
      </c>
      <c r="AH553">
        <v>535</v>
      </c>
      <c r="AI553">
        <v>271769</v>
      </c>
      <c r="AJ553">
        <v>0.19</v>
      </c>
    </row>
    <row r="554" spans="1:36">
      <c r="A554" s="1" t="s">
        <v>588</v>
      </c>
      <c r="B554" t="s">
        <v>1267</v>
      </c>
      <c r="C554">
        <f>HYPERLINK("https://finance.naver.com/item/coinfo.nhn?code=000810", "A000810")</f>
        <v>0</v>
      </c>
      <c r="D554">
        <f>HYPERLINK("http://comp.fnguide.com/SVO2/ASP/SVD_Consensus.asp?pGB=1&amp;gicode=A000810&amp;cID=&amp;MenuYn=Y&amp;ReportGB=&amp;NewMenuID=108&amp;stkGb=701", "삼성화재")</f>
        <v>0</v>
      </c>
      <c r="E554">
        <v>3</v>
      </c>
      <c r="F554">
        <v>212500</v>
      </c>
      <c r="G554">
        <v>-8.619999999999999</v>
      </c>
      <c r="H554">
        <v>12.56</v>
      </c>
      <c r="I554">
        <v>275331</v>
      </c>
      <c r="J554">
        <v>354296</v>
      </c>
      <c r="K554">
        <v>377297</v>
      </c>
      <c r="L554">
        <v>-29.57</v>
      </c>
      <c r="M554">
        <v>-66.73</v>
      </c>
      <c r="N554">
        <v>-77.55</v>
      </c>
      <c r="O554">
        <v>5.54</v>
      </c>
      <c r="P554" t="b">
        <v>0</v>
      </c>
      <c r="Q554">
        <v>2</v>
      </c>
      <c r="R554">
        <v>14931</v>
      </c>
      <c r="S554">
        <v>20221</v>
      </c>
      <c r="T554">
        <v>35.4</v>
      </c>
      <c r="U554" t="s">
        <v>1946</v>
      </c>
      <c r="V554" t="s">
        <v>2625</v>
      </c>
      <c r="W554">
        <v>-1.456552720154403</v>
      </c>
      <c r="X554">
        <v>4.9</v>
      </c>
      <c r="Y554" t="s">
        <v>3259</v>
      </c>
      <c r="Z554">
        <v>7.162568185588292</v>
      </c>
      <c r="AA554">
        <v>100672</v>
      </c>
      <c r="AB554">
        <v>135934</v>
      </c>
      <c r="AC554" t="s">
        <v>3930</v>
      </c>
      <c r="AD554">
        <v>18.51</v>
      </c>
      <c r="AE554" t="s">
        <v>4609</v>
      </c>
      <c r="AF554" t="s">
        <v>5255</v>
      </c>
      <c r="AG554">
        <v>200133</v>
      </c>
      <c r="AH554">
        <v>10444</v>
      </c>
      <c r="AI554">
        <v>7546541</v>
      </c>
      <c r="AJ554">
        <v>4.69</v>
      </c>
    </row>
    <row r="555" spans="1:36">
      <c r="A555" s="1" t="s">
        <v>589</v>
      </c>
      <c r="B555" t="s">
        <v>1268</v>
      </c>
      <c r="C555">
        <f>HYPERLINK("https://finance.naver.com/item/coinfo.nhn?code=004100", "A004100")</f>
        <v>0</v>
      </c>
      <c r="D555">
        <f>HYPERLINK("http://comp.fnguide.com/SVO2/ASP/SVD_Consensus.asp?pGB=1&amp;gicode=A004100&amp;cID=&amp;MenuYn=Y&amp;ReportGB=&amp;NewMenuID=108&amp;stkGb=701", "태양금속")</f>
        <v>0</v>
      </c>
      <c r="E555">
        <v>3</v>
      </c>
      <c r="F555">
        <v>1595</v>
      </c>
      <c r="G555">
        <v>0</v>
      </c>
      <c r="I555">
        <v>0</v>
      </c>
      <c r="J555">
        <v>1609</v>
      </c>
      <c r="K555">
        <v>2078</v>
      </c>
      <c r="L555">
        <v>100</v>
      </c>
      <c r="M555">
        <v>-0.91</v>
      </c>
      <c r="N555">
        <v>-30.3</v>
      </c>
      <c r="O555">
        <v>0</v>
      </c>
      <c r="P555" t="b">
        <v>0</v>
      </c>
      <c r="Q555">
        <v>0</v>
      </c>
      <c r="R555">
        <v>-237</v>
      </c>
      <c r="U555" t="s">
        <v>1947</v>
      </c>
      <c r="V555" t="s">
        <v>2626</v>
      </c>
      <c r="W555">
        <v>0</v>
      </c>
      <c r="X555">
        <v>0</v>
      </c>
      <c r="Y555" t="s">
        <v>3260</v>
      </c>
      <c r="Z555">
        <v>146.8</v>
      </c>
      <c r="AA555">
        <v>585</v>
      </c>
      <c r="AB555">
        <v>3154630</v>
      </c>
      <c r="AC555" t="s">
        <v>3931</v>
      </c>
      <c r="AD555">
        <v>45.24</v>
      </c>
      <c r="AE555" t="s">
        <v>4610</v>
      </c>
      <c r="AF555" t="s">
        <v>4741</v>
      </c>
      <c r="AG555">
        <v>4044</v>
      </c>
      <c r="AH555">
        <v>-34</v>
      </c>
      <c r="AI555">
        <v>276140</v>
      </c>
      <c r="AJ555">
        <v>0.45</v>
      </c>
    </row>
    <row r="556" spans="1:36">
      <c r="A556" s="1" t="s">
        <v>590</v>
      </c>
      <c r="B556" t="s">
        <v>1269</v>
      </c>
      <c r="C556">
        <f>HYPERLINK("https://finance.naver.com/item/coinfo.nhn?code=009410", "A009410")</f>
        <v>0</v>
      </c>
      <c r="D556">
        <f>HYPERLINK("http://comp.fnguide.com/SVO2/ASP/SVD_Consensus.asp?pGB=1&amp;gicode=A009410&amp;cID=&amp;MenuYn=Y&amp;ReportGB=&amp;NewMenuID=108&amp;stkGb=701", "태영건설")</f>
        <v>0</v>
      </c>
      <c r="E556">
        <v>3</v>
      </c>
      <c r="F556">
        <v>13600</v>
      </c>
      <c r="G556">
        <v>0</v>
      </c>
      <c r="H556">
        <v>1.4</v>
      </c>
      <c r="I556">
        <v>74277</v>
      </c>
      <c r="J556">
        <v>39967</v>
      </c>
      <c r="K556">
        <v>29973</v>
      </c>
      <c r="L556">
        <v>-446.15</v>
      </c>
      <c r="M556">
        <v>-193.88</v>
      </c>
      <c r="N556">
        <v>-120.39</v>
      </c>
      <c r="O556">
        <v>36.98</v>
      </c>
      <c r="P556" t="b">
        <v>1</v>
      </c>
      <c r="Q556">
        <v>0</v>
      </c>
      <c r="R556">
        <v>8432</v>
      </c>
      <c r="U556" t="s">
        <v>1948</v>
      </c>
      <c r="V556" t="s">
        <v>2627</v>
      </c>
      <c r="W556">
        <v>0</v>
      </c>
      <c r="X556">
        <v>632.2</v>
      </c>
      <c r="Y556" t="s">
        <v>3261</v>
      </c>
      <c r="Z556">
        <v>237.0796726809527</v>
      </c>
      <c r="AA556">
        <v>5290</v>
      </c>
      <c r="AB556">
        <v>128490</v>
      </c>
      <c r="AC556" t="s">
        <v>3932</v>
      </c>
      <c r="AD556">
        <v>49.17</v>
      </c>
      <c r="AE556" t="s">
        <v>4611</v>
      </c>
      <c r="AF556" t="s">
        <v>5256</v>
      </c>
      <c r="AG556">
        <v>22815</v>
      </c>
      <c r="AH556">
        <v>2509</v>
      </c>
      <c r="AI556">
        <v>7780</v>
      </c>
      <c r="AJ556">
        <v>2.75</v>
      </c>
    </row>
    <row r="557" spans="1:36">
      <c r="A557" s="1" t="s">
        <v>591</v>
      </c>
      <c r="B557" t="s">
        <v>1270</v>
      </c>
      <c r="C557">
        <f>HYPERLINK("https://finance.naver.com/item/coinfo.nhn?code=029780", "A029780")</f>
        <v>0</v>
      </c>
      <c r="D557">
        <f>HYPERLINK("http://comp.fnguide.com/SVO2/ASP/SVD_Consensus.asp?pGB=1&amp;gicode=A029780&amp;cID=&amp;MenuYn=Y&amp;ReportGB=&amp;NewMenuID=108&amp;stkGb=701", "삼성카드")</f>
        <v>0</v>
      </c>
      <c r="E557">
        <v>3</v>
      </c>
      <c r="F557">
        <v>33600</v>
      </c>
      <c r="G557">
        <v>0.99</v>
      </c>
      <c r="H557">
        <v>9.44</v>
      </c>
      <c r="I557">
        <v>43545</v>
      </c>
      <c r="J557">
        <v>57309</v>
      </c>
      <c r="K557">
        <v>61318</v>
      </c>
      <c r="L557">
        <v>-29.6</v>
      </c>
      <c r="M557">
        <v>-70.56</v>
      </c>
      <c r="N557">
        <v>-82.48999999999999</v>
      </c>
      <c r="O557">
        <v>5.36</v>
      </c>
      <c r="P557" t="b">
        <v>0</v>
      </c>
      <c r="Q557">
        <v>2</v>
      </c>
      <c r="R557">
        <v>3442</v>
      </c>
      <c r="S557">
        <v>3913</v>
      </c>
      <c r="T557">
        <v>13.7</v>
      </c>
      <c r="U557" t="s">
        <v>1949</v>
      </c>
      <c r="V557" t="s">
        <v>2628</v>
      </c>
      <c r="W557">
        <v>9.52493892048385</v>
      </c>
      <c r="Y557" t="s">
        <v>2823</v>
      </c>
      <c r="Z557">
        <v>70.42117334103463</v>
      </c>
      <c r="AA557">
        <v>38929</v>
      </c>
      <c r="AB557">
        <v>178362</v>
      </c>
      <c r="AC557" t="s">
        <v>3933</v>
      </c>
      <c r="AD557">
        <v>71.90000000000001</v>
      </c>
      <c r="AE557" t="s">
        <v>4612</v>
      </c>
      <c r="AF557" t="s">
        <v>5257</v>
      </c>
      <c r="AG557">
        <v>24222</v>
      </c>
      <c r="AH557">
        <v>5343</v>
      </c>
      <c r="AI557">
        <v>9148196</v>
      </c>
      <c r="AJ557">
        <v>5.54</v>
      </c>
    </row>
    <row r="558" spans="1:36">
      <c r="A558" s="1" t="s">
        <v>592</v>
      </c>
      <c r="B558" t="s">
        <v>1271</v>
      </c>
      <c r="C558">
        <f>HYPERLINK("https://finance.naver.com/item/coinfo.nhn?code=007980", "A007980")</f>
        <v>0</v>
      </c>
      <c r="D558">
        <f>HYPERLINK("http://comp.fnguide.com/SVO2/ASP/SVD_Consensus.asp?pGB=1&amp;gicode=A007980&amp;cID=&amp;MenuYn=Y&amp;ReportGB=&amp;NewMenuID=108&amp;stkGb=701", "태평양물산")</f>
        <v>0</v>
      </c>
      <c r="E558">
        <v>3</v>
      </c>
      <c r="F558">
        <v>2825</v>
      </c>
      <c r="I558">
        <v>1570</v>
      </c>
      <c r="J558">
        <v>2815</v>
      </c>
      <c r="K558">
        <v>3178</v>
      </c>
      <c r="L558">
        <v>44.42</v>
      </c>
      <c r="M558">
        <v>0.34</v>
      </c>
      <c r="N558">
        <v>-12.5</v>
      </c>
      <c r="O558">
        <v>3.52</v>
      </c>
      <c r="P558" t="b">
        <v>0</v>
      </c>
      <c r="Q558">
        <v>1</v>
      </c>
      <c r="R558">
        <v>-251</v>
      </c>
      <c r="S558">
        <v>317</v>
      </c>
      <c r="T558">
        <v>-226.3</v>
      </c>
      <c r="U558" t="s">
        <v>1950</v>
      </c>
      <c r="V558" t="s">
        <v>2629</v>
      </c>
      <c r="W558">
        <v>16.22982359515046</v>
      </c>
      <c r="X558">
        <v>0</v>
      </c>
      <c r="Y558" t="s">
        <v>3262</v>
      </c>
      <c r="Z558">
        <v>6.13924816014102</v>
      </c>
      <c r="AA558">
        <v>1360</v>
      </c>
      <c r="AB558">
        <v>1159037</v>
      </c>
      <c r="AC558" t="s">
        <v>3934</v>
      </c>
      <c r="AD558">
        <v>32.79</v>
      </c>
      <c r="AE558" t="s">
        <v>4613</v>
      </c>
      <c r="AF558" t="s">
        <v>5258</v>
      </c>
      <c r="AG558">
        <v>7850</v>
      </c>
      <c r="AH558">
        <v>-20</v>
      </c>
      <c r="AI558">
        <v>2357635</v>
      </c>
    </row>
    <row r="559" spans="1:36">
      <c r="A559" s="1" t="s">
        <v>593</v>
      </c>
      <c r="B559" t="s">
        <v>1272</v>
      </c>
      <c r="C559">
        <f>HYPERLINK("https://finance.naver.com/item/coinfo.nhn?code=016360", "A016360")</f>
        <v>0</v>
      </c>
      <c r="D559">
        <f>HYPERLINK("http://comp.fnguide.com/SVO2/ASP/SVD_Consensus.asp?pGB=1&amp;gicode=A016360&amp;cID=&amp;MenuYn=Y&amp;ReportGB=&amp;NewMenuID=108&amp;stkGb=701", "삼성증권")</f>
        <v>0</v>
      </c>
      <c r="E559">
        <v>3</v>
      </c>
      <c r="F559">
        <v>44400</v>
      </c>
      <c r="G559">
        <v>0.22</v>
      </c>
      <c r="H559">
        <v>7.11</v>
      </c>
      <c r="I559">
        <v>64395</v>
      </c>
      <c r="J559">
        <v>61513</v>
      </c>
      <c r="K559">
        <v>60673</v>
      </c>
      <c r="L559">
        <v>-45.03</v>
      </c>
      <c r="M559">
        <v>-38.54</v>
      </c>
      <c r="N559">
        <v>-36.65</v>
      </c>
      <c r="O559">
        <v>8.890000000000001</v>
      </c>
      <c r="P559" t="b">
        <v>0</v>
      </c>
      <c r="Q559">
        <v>3</v>
      </c>
      <c r="R559">
        <v>5686</v>
      </c>
      <c r="S559">
        <v>8555</v>
      </c>
      <c r="T559">
        <v>50.5</v>
      </c>
      <c r="U559" t="s">
        <v>1951</v>
      </c>
      <c r="V559" t="s">
        <v>2630</v>
      </c>
      <c r="W559">
        <v>31.76897606740663</v>
      </c>
      <c r="X559">
        <v>9.9</v>
      </c>
      <c r="Y559" t="s">
        <v>3263</v>
      </c>
      <c r="Z559">
        <v>7.346187379610924</v>
      </c>
      <c r="AA559">
        <v>39649</v>
      </c>
      <c r="AB559">
        <v>421598</v>
      </c>
      <c r="AC559" t="s">
        <v>3935</v>
      </c>
      <c r="AD559">
        <v>29.79</v>
      </c>
      <c r="AE559" t="s">
        <v>4614</v>
      </c>
      <c r="AF559" t="s">
        <v>5259</v>
      </c>
      <c r="AG559">
        <v>14926</v>
      </c>
      <c r="AH559">
        <v>6780</v>
      </c>
      <c r="AJ559">
        <v>5.44</v>
      </c>
    </row>
    <row r="560" spans="1:36">
      <c r="A560" s="1" t="s">
        <v>594</v>
      </c>
      <c r="B560" t="s">
        <v>1273</v>
      </c>
      <c r="C560">
        <f>HYPERLINK("https://finance.naver.com/item/coinfo.nhn?code=032830", "A032830")</f>
        <v>0</v>
      </c>
      <c r="D560">
        <f>HYPERLINK("http://comp.fnguide.com/SVO2/ASP/SVD_Consensus.asp?pGB=1&amp;gicode=A032830&amp;cID=&amp;MenuYn=Y&amp;ReportGB=&amp;NewMenuID=108&amp;stkGb=701", "삼성생명")</f>
        <v>0</v>
      </c>
      <c r="E560">
        <v>3</v>
      </c>
      <c r="F560">
        <v>84900</v>
      </c>
      <c r="G560">
        <v>-8.76</v>
      </c>
      <c r="H560">
        <v>12.5</v>
      </c>
      <c r="I560">
        <v>101939</v>
      </c>
      <c r="J560">
        <v>179962</v>
      </c>
      <c r="K560">
        <v>202689</v>
      </c>
      <c r="L560">
        <v>-20.07</v>
      </c>
      <c r="M560">
        <v>-111.97</v>
      </c>
      <c r="N560">
        <v>-138.74</v>
      </c>
      <c r="O560">
        <v>3.59</v>
      </c>
      <c r="P560" t="b">
        <v>0</v>
      </c>
      <c r="Q560">
        <v>2</v>
      </c>
      <c r="R560">
        <v>6329</v>
      </c>
      <c r="S560">
        <v>7973</v>
      </c>
      <c r="T560">
        <v>26</v>
      </c>
      <c r="U560" t="s">
        <v>1952</v>
      </c>
      <c r="V560" t="s">
        <v>2631</v>
      </c>
      <c r="W560">
        <v>-1.42666013247833</v>
      </c>
      <c r="X560">
        <v>3.3</v>
      </c>
      <c r="Y560" t="s">
        <v>3264</v>
      </c>
      <c r="Z560">
        <v>4.862812744504663</v>
      </c>
      <c r="AA560">
        <v>169800</v>
      </c>
      <c r="AB560">
        <v>599282</v>
      </c>
      <c r="AC560" t="s">
        <v>3936</v>
      </c>
      <c r="AD560">
        <v>47.03</v>
      </c>
      <c r="AE560" t="s">
        <v>4615</v>
      </c>
      <c r="AF560" t="s">
        <v>5260</v>
      </c>
      <c r="AG560">
        <v>177401</v>
      </c>
      <c r="AH560">
        <v>17900</v>
      </c>
      <c r="AI560">
        <v>20425221</v>
      </c>
      <c r="AJ560">
        <v>3.16</v>
      </c>
    </row>
    <row r="561" spans="1:36">
      <c r="A561" s="1" t="s">
        <v>595</v>
      </c>
      <c r="B561" t="s">
        <v>1274</v>
      </c>
      <c r="C561">
        <f>HYPERLINK("https://finance.naver.com/item/coinfo.nhn?code=075180", "A075180")</f>
        <v>0</v>
      </c>
      <c r="D561">
        <f>HYPERLINK("http://comp.fnguide.com/SVO2/ASP/SVD_Consensus.asp?pGB=1&amp;gicode=A075180&amp;cID=&amp;MenuYn=Y&amp;ReportGB=&amp;NewMenuID=108&amp;stkGb=701", "새론오토모티브")</f>
        <v>0</v>
      </c>
      <c r="E561">
        <v>3</v>
      </c>
      <c r="F561">
        <v>5980</v>
      </c>
      <c r="G561">
        <v>0</v>
      </c>
      <c r="H561">
        <v>19.28</v>
      </c>
      <c r="I561">
        <v>2745</v>
      </c>
      <c r="J561">
        <v>7856</v>
      </c>
      <c r="K561">
        <v>9344</v>
      </c>
      <c r="L561">
        <v>54.09</v>
      </c>
      <c r="M561">
        <v>-31.36</v>
      </c>
      <c r="N561">
        <v>-56.26</v>
      </c>
      <c r="O561">
        <v>1.99</v>
      </c>
      <c r="P561" t="b">
        <v>1</v>
      </c>
      <c r="Q561">
        <v>0</v>
      </c>
      <c r="R561">
        <v>321</v>
      </c>
      <c r="U561" t="s">
        <v>1953</v>
      </c>
      <c r="V561" t="s">
        <v>2632</v>
      </c>
      <c r="W561">
        <v>0</v>
      </c>
      <c r="X561">
        <v>0</v>
      </c>
      <c r="Y561" t="s">
        <v>3265</v>
      </c>
      <c r="Z561">
        <v>-33.20284413366619</v>
      </c>
      <c r="AA561">
        <v>1148</v>
      </c>
      <c r="AB561">
        <v>4798</v>
      </c>
      <c r="AC561" t="s">
        <v>3937</v>
      </c>
      <c r="AD561">
        <v>65.01000000000001</v>
      </c>
      <c r="AE561" t="s">
        <v>4616</v>
      </c>
      <c r="AF561" t="s">
        <v>5261</v>
      </c>
      <c r="AG561">
        <v>1357</v>
      </c>
      <c r="AH561">
        <v>-27</v>
      </c>
      <c r="AJ561">
        <v>2.43</v>
      </c>
    </row>
    <row r="562" spans="1:36">
      <c r="A562" s="1" t="s">
        <v>596</v>
      </c>
      <c r="B562" t="s">
        <v>1275</v>
      </c>
      <c r="C562">
        <f>HYPERLINK("https://finance.naver.com/item/coinfo.nhn?code=004450", "A004450")</f>
        <v>0</v>
      </c>
      <c r="D562">
        <f>HYPERLINK("http://comp.fnguide.com/SVO2/ASP/SVD_Consensus.asp?pGB=1&amp;gicode=A004450&amp;cID=&amp;MenuYn=Y&amp;ReportGB=&amp;NewMenuID=108&amp;stkGb=701", "삼화왕관")</f>
        <v>0</v>
      </c>
      <c r="E562">
        <v>3</v>
      </c>
      <c r="F562">
        <v>41800</v>
      </c>
      <c r="G562">
        <v>0</v>
      </c>
      <c r="H562">
        <v>56.76</v>
      </c>
      <c r="I562">
        <v>35374</v>
      </c>
      <c r="J562">
        <v>61338</v>
      </c>
      <c r="K562">
        <v>68900</v>
      </c>
      <c r="L562">
        <v>15.37</v>
      </c>
      <c r="M562">
        <v>-46.74</v>
      </c>
      <c r="N562">
        <v>-64.83</v>
      </c>
      <c r="O562">
        <v>3.68</v>
      </c>
      <c r="P562" t="b">
        <v>0</v>
      </c>
      <c r="Q562">
        <v>0</v>
      </c>
      <c r="R562">
        <v>694</v>
      </c>
      <c r="U562" t="s">
        <v>1954</v>
      </c>
      <c r="V562" t="s">
        <v>2633</v>
      </c>
      <c r="W562">
        <v>0</v>
      </c>
      <c r="X562">
        <v>-82.09999999999999</v>
      </c>
      <c r="Y562" t="s">
        <v>3266</v>
      </c>
      <c r="Z562">
        <v>-31.21998695833197</v>
      </c>
      <c r="AA562">
        <v>901</v>
      </c>
      <c r="AB562">
        <v>1030</v>
      </c>
      <c r="AC562" t="s">
        <v>3938</v>
      </c>
      <c r="AD562">
        <v>51.34</v>
      </c>
      <c r="AE562" t="s">
        <v>4617</v>
      </c>
      <c r="AF562" t="s">
        <v>5262</v>
      </c>
      <c r="AG562">
        <v>1403</v>
      </c>
      <c r="AH562">
        <v>95</v>
      </c>
      <c r="AI562">
        <v>331062</v>
      </c>
      <c r="AJ562">
        <v>3.17</v>
      </c>
    </row>
    <row r="563" spans="1:36">
      <c r="A563" s="1" t="s">
        <v>597</v>
      </c>
      <c r="B563" t="s">
        <v>1276</v>
      </c>
      <c r="C563">
        <f>HYPERLINK("https://finance.naver.com/item/coinfo.nhn?code=044820", "A044820")</f>
        <v>0</v>
      </c>
      <c r="D563">
        <f>HYPERLINK("http://comp.fnguide.com/SVO2/ASP/SVD_Consensus.asp?pGB=1&amp;gicode=A044820&amp;cID=&amp;MenuYn=Y&amp;ReportGB=&amp;NewMenuID=108&amp;stkGb=701", "코스맥스비티아이")</f>
        <v>0</v>
      </c>
      <c r="E563">
        <v>3</v>
      </c>
      <c r="F563">
        <v>18200</v>
      </c>
      <c r="G563">
        <v>0</v>
      </c>
      <c r="I563">
        <v>2156</v>
      </c>
      <c r="J563">
        <v>18971</v>
      </c>
      <c r="K563">
        <v>23869</v>
      </c>
      <c r="L563">
        <v>88.15000000000001</v>
      </c>
      <c r="M563">
        <v>-4.24</v>
      </c>
      <c r="N563">
        <v>-31.15</v>
      </c>
      <c r="O563">
        <v>0.58</v>
      </c>
      <c r="P563" t="b">
        <v>0</v>
      </c>
      <c r="Q563">
        <v>0</v>
      </c>
      <c r="R563">
        <v>-670</v>
      </c>
      <c r="U563" t="s">
        <v>1955</v>
      </c>
      <c r="V563" t="s">
        <v>2634</v>
      </c>
      <c r="W563">
        <v>0</v>
      </c>
      <c r="X563">
        <v>0</v>
      </c>
      <c r="Y563" t="s">
        <v>3267</v>
      </c>
      <c r="Z563">
        <v>-52.75800981437509</v>
      </c>
      <c r="AA563">
        <v>1748</v>
      </c>
      <c r="AB563">
        <v>30725</v>
      </c>
      <c r="AC563" t="s">
        <v>3939</v>
      </c>
      <c r="AD563">
        <v>61.04</v>
      </c>
      <c r="AE563" t="s">
        <v>4618</v>
      </c>
      <c r="AF563" t="s">
        <v>5263</v>
      </c>
      <c r="AG563">
        <v>5259</v>
      </c>
      <c r="AH563">
        <v>12</v>
      </c>
      <c r="AI563">
        <v>49082</v>
      </c>
      <c r="AJ563">
        <v>1.14</v>
      </c>
    </row>
    <row r="564" spans="1:36">
      <c r="A564" s="1" t="s">
        <v>598</v>
      </c>
      <c r="B564" t="s">
        <v>1277</v>
      </c>
      <c r="C564">
        <f>HYPERLINK("https://finance.naver.com/item/coinfo.nhn?code=001430", "A001430")</f>
        <v>0</v>
      </c>
      <c r="D564">
        <f>HYPERLINK("http://comp.fnguide.com/SVO2/ASP/SVD_Consensus.asp?pGB=1&amp;gicode=A001430&amp;cID=&amp;MenuYn=Y&amp;ReportGB=&amp;NewMenuID=108&amp;stkGb=701", "세아베스틸")</f>
        <v>0</v>
      </c>
      <c r="E564">
        <v>3</v>
      </c>
      <c r="F564">
        <v>31100</v>
      </c>
      <c r="I564">
        <v>2774</v>
      </c>
      <c r="J564">
        <v>28212</v>
      </c>
      <c r="K564">
        <v>35622</v>
      </c>
      <c r="L564">
        <v>91.08</v>
      </c>
      <c r="M564">
        <v>9.279999999999999</v>
      </c>
      <c r="N564">
        <v>-14.54</v>
      </c>
      <c r="O564">
        <v>0.5</v>
      </c>
      <c r="P564" t="b">
        <v>0</v>
      </c>
      <c r="Q564">
        <v>1</v>
      </c>
      <c r="R564">
        <v>-6857</v>
      </c>
      <c r="S564">
        <v>3286</v>
      </c>
      <c r="T564">
        <v>-147.9</v>
      </c>
      <c r="U564" t="s">
        <v>1956</v>
      </c>
      <c r="V564" t="s">
        <v>2635</v>
      </c>
      <c r="W564">
        <v>77.76774842342506</v>
      </c>
      <c r="X564">
        <v>0</v>
      </c>
      <c r="Y564" t="s">
        <v>3268</v>
      </c>
      <c r="Z564">
        <v>-41.84556056347471</v>
      </c>
      <c r="AA564">
        <v>11153</v>
      </c>
      <c r="AB564">
        <v>1110201</v>
      </c>
      <c r="AC564" t="s">
        <v>3940</v>
      </c>
      <c r="AD564">
        <v>62.66</v>
      </c>
      <c r="AE564" t="s">
        <v>4619</v>
      </c>
      <c r="AF564" t="s">
        <v>5264</v>
      </c>
      <c r="AG564">
        <v>25358</v>
      </c>
      <c r="AH564">
        <v>-33</v>
      </c>
      <c r="AI564">
        <v>315689</v>
      </c>
      <c r="AJ564">
        <v>1.89</v>
      </c>
    </row>
    <row r="565" spans="1:36">
      <c r="A565" s="1" t="s">
        <v>599</v>
      </c>
      <c r="B565" t="s">
        <v>1278</v>
      </c>
      <c r="C565">
        <f>HYPERLINK("https://finance.naver.com/item/coinfo.nhn?code=100250", "A100250")</f>
        <v>0</v>
      </c>
      <c r="D565">
        <f>HYPERLINK("http://comp.fnguide.com/SVO2/ASP/SVD_Consensus.asp?pGB=1&amp;gicode=A100250&amp;cID=&amp;MenuYn=Y&amp;ReportGB=&amp;NewMenuID=108&amp;stkGb=701", "진양홀딩스")</f>
        <v>0</v>
      </c>
      <c r="E565">
        <v>3</v>
      </c>
      <c r="F565">
        <v>3130</v>
      </c>
      <c r="G565">
        <v>0</v>
      </c>
      <c r="H565">
        <v>6.04</v>
      </c>
      <c r="I565">
        <v>4210</v>
      </c>
      <c r="J565">
        <v>5232</v>
      </c>
      <c r="K565">
        <v>5530</v>
      </c>
      <c r="L565">
        <v>-34.51</v>
      </c>
      <c r="M565">
        <v>-67.17</v>
      </c>
      <c r="N565">
        <v>-76.68000000000001</v>
      </c>
      <c r="O565">
        <v>5.84</v>
      </c>
      <c r="P565" t="b">
        <v>1</v>
      </c>
      <c r="Q565">
        <v>0</v>
      </c>
      <c r="R565">
        <v>466</v>
      </c>
      <c r="U565" t="s">
        <v>1957</v>
      </c>
      <c r="V565" t="s">
        <v>2636</v>
      </c>
      <c r="W565">
        <v>0</v>
      </c>
      <c r="X565">
        <v>72.09999999999999</v>
      </c>
      <c r="Y565" t="s">
        <v>3269</v>
      </c>
      <c r="Z565">
        <v>25.05943319036847</v>
      </c>
      <c r="AA565">
        <v>1750</v>
      </c>
      <c r="AB565">
        <v>122912</v>
      </c>
      <c r="AC565" t="s">
        <v>3941</v>
      </c>
      <c r="AD565">
        <v>62.94</v>
      </c>
      <c r="AE565" t="s">
        <v>4620</v>
      </c>
      <c r="AF565" t="s">
        <v>5265</v>
      </c>
      <c r="AG565">
        <v>2115</v>
      </c>
      <c r="AH565">
        <v>116</v>
      </c>
      <c r="AI565">
        <v>1100000</v>
      </c>
      <c r="AJ565">
        <v>6.04</v>
      </c>
    </row>
    <row r="566" spans="1:36">
      <c r="A566" s="1" t="s">
        <v>600</v>
      </c>
      <c r="B566" t="s">
        <v>1279</v>
      </c>
      <c r="C566">
        <f>HYPERLINK("https://finance.naver.com/item/coinfo.nhn?code=306200", "A306200")</f>
        <v>0</v>
      </c>
      <c r="D566">
        <f>HYPERLINK("http://comp.fnguide.com/SVO2/ASP/SVD_Consensus.asp?pGB=1&amp;gicode=A306200&amp;cID=&amp;MenuYn=Y&amp;ReportGB=&amp;NewMenuID=108&amp;stkGb=701", "세아제강")</f>
        <v>0</v>
      </c>
      <c r="E566">
        <v>3</v>
      </c>
      <c r="F566">
        <v>115000</v>
      </c>
      <c r="G566">
        <v>0</v>
      </c>
      <c r="H566">
        <v>7.76</v>
      </c>
      <c r="I566">
        <v>111429</v>
      </c>
      <c r="J566">
        <v>171521</v>
      </c>
      <c r="K566">
        <v>189024</v>
      </c>
      <c r="L566">
        <v>3.1</v>
      </c>
      <c r="M566">
        <v>-49.15</v>
      </c>
      <c r="N566">
        <v>-64.37</v>
      </c>
      <c r="O566">
        <v>4.31</v>
      </c>
      <c r="P566" t="b">
        <v>1</v>
      </c>
      <c r="Q566">
        <v>0</v>
      </c>
      <c r="R566">
        <v>11656</v>
      </c>
      <c r="U566" t="s">
        <v>1958</v>
      </c>
      <c r="V566" t="s">
        <v>2637</v>
      </c>
      <c r="W566">
        <v>0</v>
      </c>
      <c r="X566">
        <v>33</v>
      </c>
      <c r="Y566" t="s">
        <v>3270</v>
      </c>
      <c r="Z566">
        <v>0</v>
      </c>
      <c r="AA566">
        <v>3262</v>
      </c>
      <c r="AB566">
        <v>37167</v>
      </c>
      <c r="AC566" t="s">
        <v>3942</v>
      </c>
      <c r="AD566">
        <v>59.9</v>
      </c>
      <c r="AE566" t="s">
        <v>4621</v>
      </c>
      <c r="AF566" t="s">
        <v>5266</v>
      </c>
      <c r="AG566">
        <v>11505</v>
      </c>
      <c r="AH566">
        <v>536</v>
      </c>
      <c r="AI566">
        <v>36200</v>
      </c>
      <c r="AJ566">
        <v>2.76</v>
      </c>
    </row>
    <row r="567" spans="1:36">
      <c r="A567" s="1" t="s">
        <v>601</v>
      </c>
      <c r="B567" t="s">
        <v>1280</v>
      </c>
      <c r="C567">
        <f>HYPERLINK("https://finance.naver.com/item/coinfo.nhn?code=003080", "A003080")</f>
        <v>0</v>
      </c>
      <c r="D567">
        <f>HYPERLINK("http://comp.fnguide.com/SVO2/ASP/SVD_Consensus.asp?pGB=1&amp;gicode=A003080&amp;cID=&amp;MenuYn=Y&amp;ReportGB=&amp;NewMenuID=108&amp;stkGb=701", "성보화학")</f>
        <v>0</v>
      </c>
      <c r="E567">
        <v>3</v>
      </c>
      <c r="F567">
        <v>5020</v>
      </c>
      <c r="G567">
        <v>0</v>
      </c>
      <c r="I567">
        <v>548</v>
      </c>
      <c r="J567">
        <v>4351</v>
      </c>
      <c r="K567">
        <v>5459</v>
      </c>
      <c r="L567">
        <v>89.08</v>
      </c>
      <c r="M567">
        <v>13.32</v>
      </c>
      <c r="N567">
        <v>-8.74</v>
      </c>
      <c r="O567">
        <v>0.65</v>
      </c>
      <c r="P567" t="b">
        <v>0</v>
      </c>
      <c r="Q567">
        <v>0</v>
      </c>
      <c r="R567">
        <v>-299</v>
      </c>
      <c r="U567" t="s">
        <v>1959</v>
      </c>
      <c r="V567" t="s">
        <v>2638</v>
      </c>
      <c r="W567">
        <v>0</v>
      </c>
      <c r="X567">
        <v>0</v>
      </c>
      <c r="Y567" t="s">
        <v>3271</v>
      </c>
      <c r="Z567">
        <v>23.56141291526441</v>
      </c>
      <c r="AA567">
        <v>1005</v>
      </c>
      <c r="AB567">
        <v>165546</v>
      </c>
      <c r="AC567" t="s">
        <v>3943</v>
      </c>
      <c r="AD567">
        <v>58.69</v>
      </c>
      <c r="AE567" t="s">
        <v>4622</v>
      </c>
      <c r="AF567" t="s">
        <v>5267</v>
      </c>
      <c r="AG567">
        <v>517</v>
      </c>
      <c r="AH567">
        <v>-37</v>
      </c>
      <c r="AI567">
        <v>353526</v>
      </c>
      <c r="AJ567">
        <v>3.03</v>
      </c>
    </row>
    <row r="568" spans="1:36">
      <c r="A568" s="1" t="s">
        <v>602</v>
      </c>
      <c r="B568" t="s">
        <v>1281</v>
      </c>
      <c r="C568">
        <f>HYPERLINK("https://finance.naver.com/item/coinfo.nhn?code=136490", "A136490")</f>
        <v>0</v>
      </c>
      <c r="D568">
        <f>HYPERLINK("http://comp.fnguide.com/SVO2/ASP/SVD_Consensus.asp?pGB=1&amp;gicode=A136490&amp;cID=&amp;MenuYn=Y&amp;ReportGB=&amp;NewMenuID=108&amp;stkGb=701", "선진")</f>
        <v>0</v>
      </c>
      <c r="E568">
        <v>3</v>
      </c>
      <c r="F568">
        <v>18400</v>
      </c>
      <c r="G568">
        <v>0</v>
      </c>
      <c r="H568">
        <v>3.21</v>
      </c>
      <c r="I568">
        <v>28962</v>
      </c>
      <c r="J568">
        <v>21001</v>
      </c>
      <c r="K568">
        <v>18683</v>
      </c>
      <c r="L568">
        <v>-57.4</v>
      </c>
      <c r="M568">
        <v>-14.14</v>
      </c>
      <c r="N568">
        <v>-1.54</v>
      </c>
      <c r="O568">
        <v>15.3</v>
      </c>
      <c r="P568" t="b">
        <v>1</v>
      </c>
      <c r="Q568">
        <v>0</v>
      </c>
      <c r="R568">
        <v>3516</v>
      </c>
      <c r="U568" t="s">
        <v>1960</v>
      </c>
      <c r="V568" t="s">
        <v>2639</v>
      </c>
      <c r="W568">
        <v>0</v>
      </c>
      <c r="X568">
        <v>291.2</v>
      </c>
      <c r="Y568" t="s">
        <v>3272</v>
      </c>
      <c r="Z568">
        <v>25.74322327801326</v>
      </c>
      <c r="AA568">
        <v>4375</v>
      </c>
      <c r="AB568">
        <v>1254387</v>
      </c>
      <c r="AC568" t="s">
        <v>3944</v>
      </c>
      <c r="AD568">
        <v>50.04</v>
      </c>
      <c r="AE568" t="s">
        <v>4623</v>
      </c>
      <c r="AF568" t="s">
        <v>5268</v>
      </c>
      <c r="AG568">
        <v>13481</v>
      </c>
      <c r="AH568">
        <v>1076</v>
      </c>
      <c r="AI568">
        <v>396</v>
      </c>
      <c r="AJ568">
        <v>0.88</v>
      </c>
    </row>
    <row r="569" spans="1:36">
      <c r="A569" s="1" t="s">
        <v>603</v>
      </c>
      <c r="B569" t="s">
        <v>1282</v>
      </c>
      <c r="C569">
        <f>HYPERLINK("https://finance.naver.com/item/coinfo.nhn?code=007610", "A007610")</f>
        <v>0</v>
      </c>
      <c r="D569">
        <f>HYPERLINK("http://comp.fnguide.com/SVO2/ASP/SVD_Consensus.asp?pGB=1&amp;gicode=A007610&amp;cID=&amp;MenuYn=Y&amp;ReportGB=&amp;NewMenuID=108&amp;stkGb=701", "선도전기")</f>
        <v>0</v>
      </c>
      <c r="E569">
        <v>3</v>
      </c>
      <c r="F569">
        <v>3960</v>
      </c>
      <c r="G569">
        <v>0</v>
      </c>
      <c r="H569">
        <v>21.66</v>
      </c>
      <c r="I569">
        <v>882</v>
      </c>
      <c r="J569">
        <v>3433</v>
      </c>
      <c r="K569">
        <v>4176</v>
      </c>
      <c r="L569">
        <v>77.73999999999999</v>
      </c>
      <c r="M569">
        <v>13.32</v>
      </c>
      <c r="N569">
        <v>-5.45</v>
      </c>
      <c r="O569">
        <v>1.4</v>
      </c>
      <c r="P569" t="b">
        <v>0</v>
      </c>
      <c r="Q569">
        <v>0</v>
      </c>
      <c r="R569">
        <v>139</v>
      </c>
      <c r="U569" t="s">
        <v>1961</v>
      </c>
      <c r="V569" t="s">
        <v>2640</v>
      </c>
      <c r="W569">
        <v>0</v>
      </c>
      <c r="X569">
        <v>0</v>
      </c>
      <c r="Y569" t="s">
        <v>3273</v>
      </c>
      <c r="Z569">
        <v>-37.29306258475064</v>
      </c>
      <c r="AA569">
        <v>713</v>
      </c>
      <c r="AB569">
        <v>237939</v>
      </c>
      <c r="AC569" t="s">
        <v>3945</v>
      </c>
      <c r="AD569">
        <v>30.49</v>
      </c>
      <c r="AE569" t="s">
        <v>4624</v>
      </c>
      <c r="AF569" t="s">
        <v>5269</v>
      </c>
      <c r="AG569">
        <v>862</v>
      </c>
      <c r="AH569">
        <v>26</v>
      </c>
      <c r="AI569">
        <v>130981</v>
      </c>
      <c r="AJ569">
        <v>0.17</v>
      </c>
    </row>
    <row r="570" spans="1:36">
      <c r="A570" s="1" t="s">
        <v>604</v>
      </c>
      <c r="B570" t="s">
        <v>1283</v>
      </c>
      <c r="C570">
        <f>HYPERLINK("https://finance.naver.com/item/coinfo.nhn?code=003690", "A003690")</f>
        <v>0</v>
      </c>
      <c r="D570">
        <f>HYPERLINK("http://comp.fnguide.com/SVO2/ASP/SVD_Consensus.asp?pGB=1&amp;gicode=A003690&amp;cID=&amp;MenuYn=Y&amp;ReportGB=&amp;NewMenuID=108&amp;stkGb=701", "코리안리")</f>
        <v>0</v>
      </c>
      <c r="E570">
        <v>3</v>
      </c>
      <c r="F570">
        <v>9920</v>
      </c>
      <c r="G570">
        <v>0</v>
      </c>
      <c r="H570">
        <v>6.69</v>
      </c>
      <c r="I570">
        <v>18551</v>
      </c>
      <c r="J570">
        <v>21796</v>
      </c>
      <c r="K570">
        <v>22741</v>
      </c>
      <c r="L570">
        <v>-87.01000000000001</v>
      </c>
      <c r="M570">
        <v>-119.72</v>
      </c>
      <c r="N570">
        <v>-129.24</v>
      </c>
      <c r="O570">
        <v>6.35</v>
      </c>
      <c r="P570" t="b">
        <v>1</v>
      </c>
      <c r="Q570">
        <v>0</v>
      </c>
      <c r="R570">
        <v>1180</v>
      </c>
      <c r="U570" t="s">
        <v>1962</v>
      </c>
      <c r="V570" t="s">
        <v>2641</v>
      </c>
      <c r="W570">
        <v>0</v>
      </c>
      <c r="X570">
        <v>5.8</v>
      </c>
      <c r="Y570" t="s">
        <v>3274</v>
      </c>
      <c r="Z570">
        <v>6.492709386509454</v>
      </c>
      <c r="AA570">
        <v>11941</v>
      </c>
      <c r="AB570">
        <v>648342</v>
      </c>
      <c r="AC570" t="s">
        <v>3946</v>
      </c>
      <c r="AD570">
        <v>22.53</v>
      </c>
      <c r="AE570" t="s">
        <v>4625</v>
      </c>
      <c r="AF570" t="s">
        <v>5270</v>
      </c>
      <c r="AG570">
        <v>84471</v>
      </c>
      <c r="AH570">
        <v>1923</v>
      </c>
      <c r="AI570">
        <v>18100000</v>
      </c>
      <c r="AJ570">
        <v>5.7</v>
      </c>
    </row>
    <row r="571" spans="1:36">
      <c r="A571" s="1" t="s">
        <v>605</v>
      </c>
      <c r="B571" t="s">
        <v>1284</v>
      </c>
      <c r="C571">
        <f>HYPERLINK("https://finance.naver.com/item/coinfo.nhn?code=017390", "A017390")</f>
        <v>0</v>
      </c>
      <c r="D571">
        <f>HYPERLINK("http://comp.fnguide.com/SVO2/ASP/SVD_Consensus.asp?pGB=1&amp;gicode=A017390&amp;cID=&amp;MenuYn=Y&amp;ReportGB=&amp;NewMenuID=108&amp;stkGb=701", "서울가스")</f>
        <v>0</v>
      </c>
      <c r="E571">
        <v>3</v>
      </c>
      <c r="F571">
        <v>102500</v>
      </c>
      <c r="G571">
        <v>0</v>
      </c>
      <c r="H571">
        <v>3.45</v>
      </c>
      <c r="I571">
        <v>269061</v>
      </c>
      <c r="J571">
        <v>266888</v>
      </c>
      <c r="K571">
        <v>266255</v>
      </c>
      <c r="L571">
        <v>-162.5</v>
      </c>
      <c r="M571">
        <v>-160.38</v>
      </c>
      <c r="N571">
        <v>-159.76</v>
      </c>
      <c r="O571">
        <v>8.33</v>
      </c>
      <c r="P571" t="b">
        <v>1</v>
      </c>
      <c r="Q571">
        <v>0</v>
      </c>
      <c r="R571">
        <v>26203</v>
      </c>
      <c r="U571" t="s">
        <v>1963</v>
      </c>
      <c r="V571" t="s">
        <v>2642</v>
      </c>
      <c r="W571">
        <v>0</v>
      </c>
      <c r="X571">
        <v>349</v>
      </c>
      <c r="Y571" t="s">
        <v>3275</v>
      </c>
      <c r="Z571">
        <v>24.08455644986234</v>
      </c>
      <c r="AA571">
        <v>5125</v>
      </c>
      <c r="AB571">
        <v>1644</v>
      </c>
      <c r="AC571" t="s">
        <v>3947</v>
      </c>
      <c r="AD571">
        <v>63.53</v>
      </c>
      <c r="AE571" t="s">
        <v>4626</v>
      </c>
      <c r="AF571" t="s">
        <v>5271</v>
      </c>
      <c r="AG571">
        <v>12807</v>
      </c>
      <c r="AH571">
        <v>80</v>
      </c>
      <c r="AI571">
        <v>1117208</v>
      </c>
      <c r="AJ571">
        <v>18.51</v>
      </c>
    </row>
    <row r="572" spans="1:36">
      <c r="A572" s="1" t="s">
        <v>606</v>
      </c>
      <c r="B572" t="s">
        <v>1285</v>
      </c>
      <c r="C572">
        <f>HYPERLINK("https://finance.naver.com/item/coinfo.nhn?code=029460", "A029460")</f>
        <v>0</v>
      </c>
      <c r="D572">
        <f>HYPERLINK("http://comp.fnguide.com/SVO2/ASP/SVD_Consensus.asp?pGB=1&amp;gicode=A029460&amp;cID=&amp;MenuYn=Y&amp;ReportGB=&amp;NewMenuID=108&amp;stkGb=701", "케이씨")</f>
        <v>0</v>
      </c>
      <c r="E572">
        <v>3</v>
      </c>
      <c r="F572">
        <v>28600</v>
      </c>
      <c r="G572">
        <v>0</v>
      </c>
      <c r="H572">
        <v>7.82</v>
      </c>
      <c r="I572">
        <v>115167</v>
      </c>
      <c r="J572">
        <v>75058</v>
      </c>
      <c r="K572">
        <v>63375</v>
      </c>
      <c r="L572">
        <v>-302.68</v>
      </c>
      <c r="M572">
        <v>-162.44</v>
      </c>
      <c r="N572">
        <v>-121.59</v>
      </c>
      <c r="O572">
        <v>19.87</v>
      </c>
      <c r="P572" t="b">
        <v>1</v>
      </c>
      <c r="Q572">
        <v>0</v>
      </c>
      <c r="R572">
        <v>3534</v>
      </c>
      <c r="U572" t="s">
        <v>1964</v>
      </c>
      <c r="V572" t="s">
        <v>2643</v>
      </c>
      <c r="W572">
        <v>0</v>
      </c>
      <c r="X572">
        <v>-1.6</v>
      </c>
      <c r="Y572" t="s">
        <v>3276</v>
      </c>
      <c r="Z572">
        <v>22.46656547093586</v>
      </c>
      <c r="AA572">
        <v>3876</v>
      </c>
      <c r="AB572">
        <v>53724</v>
      </c>
      <c r="AC572" t="s">
        <v>3948</v>
      </c>
      <c r="AD572">
        <v>40.67</v>
      </c>
      <c r="AE572" t="s">
        <v>4627</v>
      </c>
      <c r="AF572" t="s">
        <v>5272</v>
      </c>
      <c r="AG572">
        <v>5764</v>
      </c>
      <c r="AH572">
        <v>761</v>
      </c>
      <c r="AI572">
        <v>1116836</v>
      </c>
      <c r="AJ572">
        <v>1.08</v>
      </c>
    </row>
    <row r="573" spans="1:36">
      <c r="A573" s="1" t="s">
        <v>607</v>
      </c>
      <c r="B573" t="s">
        <v>1286</v>
      </c>
      <c r="C573">
        <f>HYPERLINK("https://finance.naver.com/item/coinfo.nhn?code=000180", "A000180")</f>
        <v>0</v>
      </c>
      <c r="D573">
        <f>HYPERLINK("http://comp.fnguide.com/SVO2/ASP/SVD_Consensus.asp?pGB=1&amp;gicode=A000180&amp;cID=&amp;MenuYn=Y&amp;ReportGB=&amp;NewMenuID=108&amp;stkGb=701", "성창기업지주")</f>
        <v>0</v>
      </c>
      <c r="E573">
        <v>3</v>
      </c>
      <c r="F573">
        <v>3270</v>
      </c>
      <c r="G573">
        <v>0</v>
      </c>
      <c r="H573">
        <v>30.73</v>
      </c>
      <c r="I573">
        <v>480</v>
      </c>
      <c r="J573">
        <v>5074</v>
      </c>
      <c r="K573">
        <v>6412</v>
      </c>
      <c r="L573">
        <v>85.33</v>
      </c>
      <c r="M573">
        <v>-55.17</v>
      </c>
      <c r="N573">
        <v>-96.09999999999999</v>
      </c>
      <c r="O573">
        <v>0.48</v>
      </c>
      <c r="P573" t="b">
        <v>1</v>
      </c>
      <c r="Q573">
        <v>2</v>
      </c>
      <c r="R573">
        <v>73</v>
      </c>
      <c r="S573">
        <v>196</v>
      </c>
      <c r="T573">
        <v>168.5</v>
      </c>
      <c r="U573" t="s">
        <v>1965</v>
      </c>
      <c r="V573" t="s">
        <v>2644</v>
      </c>
      <c r="W573">
        <v>0</v>
      </c>
      <c r="X573">
        <v>0</v>
      </c>
      <c r="Y573" t="s">
        <v>3277</v>
      </c>
      <c r="Z573">
        <v>28.15162894009578</v>
      </c>
      <c r="AA573">
        <v>2281</v>
      </c>
      <c r="AB573">
        <v>2799011</v>
      </c>
      <c r="AC573" t="s">
        <v>3949</v>
      </c>
      <c r="AD573">
        <v>30.33</v>
      </c>
      <c r="AE573" t="s">
        <v>4628</v>
      </c>
      <c r="AF573" t="s">
        <v>5273</v>
      </c>
      <c r="AG573">
        <v>1709</v>
      </c>
      <c r="AH573">
        <v>80</v>
      </c>
      <c r="AI573">
        <v>4905781</v>
      </c>
    </row>
    <row r="574" spans="1:36">
      <c r="A574" s="1" t="s">
        <v>608</v>
      </c>
      <c r="B574" t="s">
        <v>1287</v>
      </c>
      <c r="C574">
        <f>HYPERLINK("https://finance.naver.com/item/coinfo.nhn?code=001620", "A001620")</f>
        <v>0</v>
      </c>
      <c r="D574">
        <f>HYPERLINK("http://comp.fnguide.com/SVO2/ASP/SVD_Consensus.asp?pGB=1&amp;gicode=A001620&amp;cID=&amp;MenuYn=Y&amp;ReportGB=&amp;NewMenuID=108&amp;stkGb=701", "케이비아이동국실업")</f>
        <v>0</v>
      </c>
      <c r="E574">
        <v>3</v>
      </c>
      <c r="F574">
        <v>884</v>
      </c>
      <c r="G574">
        <v>0</v>
      </c>
      <c r="I574">
        <v>0</v>
      </c>
      <c r="J574">
        <v>1474</v>
      </c>
      <c r="K574">
        <v>1903</v>
      </c>
      <c r="L574">
        <v>100</v>
      </c>
      <c r="M574">
        <v>-66.72</v>
      </c>
      <c r="N574">
        <v>-115.28</v>
      </c>
      <c r="O574">
        <v>0</v>
      </c>
      <c r="P574" t="b">
        <v>0</v>
      </c>
      <c r="Q574">
        <v>0</v>
      </c>
      <c r="R574">
        <v>-177</v>
      </c>
      <c r="U574" t="s">
        <v>1966</v>
      </c>
      <c r="V574" t="s">
        <v>2645</v>
      </c>
      <c r="W574">
        <v>0</v>
      </c>
      <c r="X574">
        <v>0</v>
      </c>
      <c r="Y574" t="s">
        <v>3278</v>
      </c>
      <c r="Z574">
        <v>229.5</v>
      </c>
      <c r="AA574">
        <v>591</v>
      </c>
      <c r="AB574">
        <v>222616</v>
      </c>
      <c r="AC574" t="s">
        <v>3950</v>
      </c>
      <c r="AD574">
        <v>47.67</v>
      </c>
      <c r="AE574" t="s">
        <v>4629</v>
      </c>
      <c r="AF574" t="s">
        <v>4741</v>
      </c>
      <c r="AG574">
        <v>5308</v>
      </c>
      <c r="AH574">
        <v>-208</v>
      </c>
    </row>
    <row r="575" spans="1:36">
      <c r="A575" s="1" t="s">
        <v>609</v>
      </c>
      <c r="B575" t="s">
        <v>1288</v>
      </c>
      <c r="C575">
        <f>HYPERLINK("https://finance.naver.com/item/coinfo.nhn?code=004360", "A004360")</f>
        <v>0</v>
      </c>
      <c r="D575">
        <f>HYPERLINK("http://comp.fnguide.com/SVO2/ASP/SVD_Consensus.asp?pGB=1&amp;gicode=A004360&amp;cID=&amp;MenuYn=Y&amp;ReportGB=&amp;NewMenuID=108&amp;stkGb=701", "세방")</f>
        <v>0</v>
      </c>
      <c r="E575">
        <v>3</v>
      </c>
      <c r="F575">
        <v>14650</v>
      </c>
      <c r="G575">
        <v>0</v>
      </c>
      <c r="H575">
        <v>8.24</v>
      </c>
      <c r="I575">
        <v>17328</v>
      </c>
      <c r="J575">
        <v>34036</v>
      </c>
      <c r="K575">
        <v>38903</v>
      </c>
      <c r="L575">
        <v>-18.28</v>
      </c>
      <c r="M575">
        <v>-132.33</v>
      </c>
      <c r="N575">
        <v>-165.55</v>
      </c>
      <c r="O575">
        <v>3.13</v>
      </c>
      <c r="P575" t="b">
        <v>0</v>
      </c>
      <c r="Q575">
        <v>0</v>
      </c>
      <c r="R575">
        <v>1415</v>
      </c>
      <c r="U575" t="s">
        <v>1967</v>
      </c>
      <c r="V575" t="s">
        <v>2646</v>
      </c>
      <c r="W575">
        <v>0</v>
      </c>
      <c r="X575">
        <v>381</v>
      </c>
      <c r="Y575" t="s">
        <v>3279</v>
      </c>
      <c r="Z575">
        <v>-5.363859562838846</v>
      </c>
      <c r="AA575">
        <v>2829</v>
      </c>
      <c r="AB575">
        <v>109912</v>
      </c>
      <c r="AC575" t="s">
        <v>3951</v>
      </c>
      <c r="AD575">
        <v>44.68</v>
      </c>
      <c r="AE575" t="s">
        <v>4630</v>
      </c>
      <c r="AF575" t="s">
        <v>5274</v>
      </c>
      <c r="AG575">
        <v>8422</v>
      </c>
      <c r="AH575">
        <v>164</v>
      </c>
      <c r="AI575">
        <v>599231</v>
      </c>
      <c r="AJ575">
        <v>1.63</v>
      </c>
    </row>
    <row r="576" spans="1:36">
      <c r="A576" s="1" t="s">
        <v>610</v>
      </c>
      <c r="B576" t="s">
        <v>1289</v>
      </c>
      <c r="C576">
        <f>HYPERLINK("https://finance.naver.com/item/coinfo.nhn?code=200880", "A200880")</f>
        <v>0</v>
      </c>
      <c r="D576">
        <f>HYPERLINK("http://comp.fnguide.com/SVO2/ASP/SVD_Consensus.asp?pGB=1&amp;gicode=A200880&amp;cID=&amp;MenuYn=Y&amp;ReportGB=&amp;NewMenuID=108&amp;stkGb=701", "서연이화")</f>
        <v>0</v>
      </c>
      <c r="E576">
        <v>3</v>
      </c>
      <c r="F576">
        <v>9060</v>
      </c>
      <c r="G576">
        <v>0</v>
      </c>
      <c r="I576">
        <v>0</v>
      </c>
      <c r="J576">
        <v>13252</v>
      </c>
      <c r="K576">
        <v>17112</v>
      </c>
      <c r="L576">
        <v>100</v>
      </c>
      <c r="M576">
        <v>-46.27</v>
      </c>
      <c r="N576">
        <v>-88.87</v>
      </c>
      <c r="O576">
        <v>0</v>
      </c>
      <c r="P576" t="b">
        <v>0</v>
      </c>
      <c r="Q576">
        <v>0</v>
      </c>
      <c r="R576">
        <v>-1527</v>
      </c>
      <c r="U576" t="s">
        <v>1968</v>
      </c>
      <c r="V576" t="s">
        <v>2647</v>
      </c>
      <c r="W576">
        <v>0</v>
      </c>
      <c r="X576">
        <v>0</v>
      </c>
      <c r="Y576" t="s">
        <v>3280</v>
      </c>
      <c r="Z576">
        <v>-34.47504292256271</v>
      </c>
      <c r="AA576">
        <v>2449</v>
      </c>
      <c r="AB576">
        <v>134825</v>
      </c>
      <c r="AC576" t="s">
        <v>3952</v>
      </c>
      <c r="AD576">
        <v>57.06</v>
      </c>
      <c r="AE576" t="s">
        <v>4631</v>
      </c>
      <c r="AF576" t="s">
        <v>4741</v>
      </c>
      <c r="AG576">
        <v>19624</v>
      </c>
      <c r="AH576">
        <v>485</v>
      </c>
      <c r="AI576">
        <v>5686</v>
      </c>
      <c r="AJ576">
        <v>1.37</v>
      </c>
    </row>
    <row r="577" spans="1:36">
      <c r="A577" s="1" t="s">
        <v>611</v>
      </c>
      <c r="B577" t="s">
        <v>1290</v>
      </c>
      <c r="C577">
        <f>HYPERLINK("https://finance.naver.com/item/coinfo.nhn?code=004980", "A004980")</f>
        <v>0</v>
      </c>
      <c r="D577">
        <f>HYPERLINK("http://comp.fnguide.com/SVO2/ASP/SVD_Consensus.asp?pGB=1&amp;gicode=A004980&amp;cID=&amp;MenuYn=Y&amp;ReportGB=&amp;NewMenuID=108&amp;stkGb=701", "성신양회")</f>
        <v>0</v>
      </c>
      <c r="E577">
        <v>3</v>
      </c>
      <c r="F577">
        <v>10650</v>
      </c>
      <c r="G577">
        <v>6.91</v>
      </c>
      <c r="H577">
        <v>18.14</v>
      </c>
      <c r="I577">
        <v>7126</v>
      </c>
      <c r="J577">
        <v>12916</v>
      </c>
      <c r="K577">
        <v>14602</v>
      </c>
      <c r="L577">
        <v>33.09</v>
      </c>
      <c r="M577">
        <v>-21.27</v>
      </c>
      <c r="N577">
        <v>-37.11</v>
      </c>
      <c r="O577">
        <v>3.47</v>
      </c>
      <c r="P577" t="b">
        <v>1</v>
      </c>
      <c r="Q577">
        <v>1</v>
      </c>
      <c r="R577">
        <v>404</v>
      </c>
      <c r="S577">
        <v>713</v>
      </c>
      <c r="T577">
        <v>76.5</v>
      </c>
      <c r="U577" t="s">
        <v>1969</v>
      </c>
      <c r="V577" t="s">
        <v>2648</v>
      </c>
      <c r="W577">
        <v>2.624929566550738</v>
      </c>
      <c r="X577">
        <v>-41.6</v>
      </c>
      <c r="Y577" t="s">
        <v>3281</v>
      </c>
      <c r="Z577">
        <v>-5.362542585824903</v>
      </c>
      <c r="AA577">
        <v>2611</v>
      </c>
      <c r="AB577">
        <v>298265</v>
      </c>
      <c r="AC577" t="s">
        <v>3953</v>
      </c>
      <c r="AD577">
        <v>33.14</v>
      </c>
      <c r="AE577" t="s">
        <v>4632</v>
      </c>
      <c r="AF577" t="s">
        <v>5275</v>
      </c>
      <c r="AG577">
        <v>7223</v>
      </c>
      <c r="AH577">
        <v>212</v>
      </c>
      <c r="AI577">
        <v>400976</v>
      </c>
      <c r="AJ577">
        <v>2.05</v>
      </c>
    </row>
    <row r="578" spans="1:36">
      <c r="A578" s="1" t="s">
        <v>612</v>
      </c>
      <c r="B578" t="s">
        <v>1291</v>
      </c>
      <c r="C578">
        <f>HYPERLINK("https://finance.naver.com/item/coinfo.nhn?code=248170", "A248170")</f>
        <v>0</v>
      </c>
      <c r="D578">
        <f>HYPERLINK("http://comp.fnguide.com/SVO2/ASP/SVD_Consensus.asp?pGB=1&amp;gicode=A248170&amp;cID=&amp;MenuYn=Y&amp;ReportGB=&amp;NewMenuID=108&amp;stkGb=701", "샘표식품")</f>
        <v>0</v>
      </c>
      <c r="E578">
        <v>2</v>
      </c>
      <c r="F578">
        <v>59500</v>
      </c>
      <c r="G578">
        <v>0</v>
      </c>
      <c r="H578">
        <v>6.67</v>
      </c>
      <c r="I578">
        <v>97003</v>
      </c>
      <c r="J578">
        <v>64386</v>
      </c>
      <c r="K578">
        <v>54885</v>
      </c>
      <c r="L578">
        <v>-63.03</v>
      </c>
      <c r="M578">
        <v>-8.210000000000001</v>
      </c>
      <c r="N578">
        <v>7.76</v>
      </c>
      <c r="O578">
        <v>18.94</v>
      </c>
      <c r="P578" t="b">
        <v>1</v>
      </c>
      <c r="Q578">
        <v>0</v>
      </c>
      <c r="R578">
        <v>7892</v>
      </c>
      <c r="U578" t="s">
        <v>1970</v>
      </c>
      <c r="V578" t="s">
        <v>2649</v>
      </c>
      <c r="W578">
        <v>0</v>
      </c>
      <c r="X578">
        <v>34.4</v>
      </c>
      <c r="Y578" t="s">
        <v>3282</v>
      </c>
      <c r="Z578">
        <v>0</v>
      </c>
      <c r="AA578">
        <v>2718</v>
      </c>
      <c r="AB578">
        <v>155025</v>
      </c>
      <c r="AC578" t="s">
        <v>3954</v>
      </c>
      <c r="AD578">
        <v>60.02</v>
      </c>
      <c r="AE578" t="s">
        <v>4633</v>
      </c>
      <c r="AF578" t="s">
        <v>5276</v>
      </c>
      <c r="AG578">
        <v>3189</v>
      </c>
      <c r="AH578">
        <v>428</v>
      </c>
      <c r="AI578">
        <v>1690</v>
      </c>
      <c r="AJ578">
        <v>0.38</v>
      </c>
    </row>
    <row r="579" spans="1:36">
      <c r="A579" s="1" t="s">
        <v>613</v>
      </c>
      <c r="B579" t="s">
        <v>1292</v>
      </c>
      <c r="C579">
        <f>HYPERLINK("https://finance.naver.com/item/coinfo.nhn?code=229000", "A229000")</f>
        <v>0</v>
      </c>
      <c r="D579">
        <f>HYPERLINK("http://comp.fnguide.com/SVO2/ASP/SVD_Consensus.asp?pGB=1&amp;gicode=A229000&amp;cID=&amp;MenuYn=Y&amp;ReportGB=&amp;NewMenuID=108&amp;stkGb=701", "젠큐릭스")</f>
        <v>0</v>
      </c>
      <c r="E579">
        <v>2</v>
      </c>
      <c r="F579">
        <v>22450</v>
      </c>
      <c r="G579">
        <v>0</v>
      </c>
      <c r="H579">
        <v>2.94</v>
      </c>
      <c r="I579">
        <v>62130</v>
      </c>
      <c r="J579">
        <v>30132</v>
      </c>
      <c r="K579">
        <v>20811</v>
      </c>
      <c r="L579">
        <v>-176.75</v>
      </c>
      <c r="M579">
        <v>-34.22</v>
      </c>
      <c r="N579">
        <v>7.3</v>
      </c>
      <c r="O579">
        <v>61.85</v>
      </c>
      <c r="P579" t="b">
        <v>1</v>
      </c>
      <c r="Q579">
        <v>0</v>
      </c>
      <c r="R579">
        <v>5607</v>
      </c>
      <c r="U579" t="s">
        <v>1971</v>
      </c>
      <c r="V579" t="s">
        <v>2650</v>
      </c>
      <c r="W579">
        <v>0</v>
      </c>
      <c r="X579">
        <v>0</v>
      </c>
      <c r="Y579" t="s">
        <v>2762</v>
      </c>
      <c r="Z579">
        <v>0</v>
      </c>
      <c r="AA579">
        <v>1452</v>
      </c>
      <c r="AB579">
        <v>75327</v>
      </c>
      <c r="AC579" t="s">
        <v>3955</v>
      </c>
      <c r="AD579">
        <v>17.88</v>
      </c>
      <c r="AE579" t="s">
        <v>4634</v>
      </c>
      <c r="AF579" t="s">
        <v>5277</v>
      </c>
      <c r="AG579">
        <v>16</v>
      </c>
      <c r="AH579">
        <v>-93</v>
      </c>
    </row>
    <row r="580" spans="1:36">
      <c r="A580" s="1" t="s">
        <v>614</v>
      </c>
      <c r="B580" t="s">
        <v>1293</v>
      </c>
      <c r="C580">
        <f>HYPERLINK("https://finance.naver.com/item/coinfo.nhn?code=318410", "A318410")</f>
        <v>0</v>
      </c>
      <c r="D580">
        <f>HYPERLINK("http://comp.fnguide.com/SVO2/ASP/SVD_Consensus.asp?pGB=1&amp;gicode=A318410&amp;cID=&amp;MenuYn=Y&amp;ReportGB=&amp;NewMenuID=108&amp;stkGb=701", "비비씨")</f>
        <v>0</v>
      </c>
      <c r="E580">
        <v>2</v>
      </c>
      <c r="F580">
        <v>19200</v>
      </c>
      <c r="G580">
        <v>0</v>
      </c>
      <c r="H580">
        <v>10.06</v>
      </c>
      <c r="I580">
        <v>30392</v>
      </c>
      <c r="J580">
        <v>19614</v>
      </c>
      <c r="K580">
        <v>16475</v>
      </c>
      <c r="L580">
        <v>-58.29</v>
      </c>
      <c r="M580">
        <v>-2.16</v>
      </c>
      <c r="N580">
        <v>14.19</v>
      </c>
      <c r="O580">
        <v>20.4</v>
      </c>
      <c r="P580" t="b">
        <v>1</v>
      </c>
      <c r="Q580">
        <v>0</v>
      </c>
      <c r="R580">
        <v>1829</v>
      </c>
      <c r="U580" t="s">
        <v>1972</v>
      </c>
      <c r="V580" t="s">
        <v>2651</v>
      </c>
      <c r="W580">
        <v>0</v>
      </c>
      <c r="X580">
        <v>54.6</v>
      </c>
      <c r="Y580" t="s">
        <v>3283</v>
      </c>
      <c r="Z580">
        <v>85.92898988976484</v>
      </c>
      <c r="AA580">
        <v>1043</v>
      </c>
      <c r="AB580">
        <v>25153</v>
      </c>
      <c r="AC580" t="s">
        <v>3956</v>
      </c>
      <c r="AD580">
        <v>39.83</v>
      </c>
      <c r="AE580" t="s">
        <v>4635</v>
      </c>
      <c r="AF580" t="s">
        <v>5278</v>
      </c>
      <c r="AG580">
        <v>376</v>
      </c>
      <c r="AH580">
        <v>102</v>
      </c>
    </row>
    <row r="581" spans="1:36">
      <c r="A581" s="1" t="s">
        <v>615</v>
      </c>
      <c r="B581" t="s">
        <v>1294</v>
      </c>
      <c r="C581">
        <f>HYPERLINK("https://finance.naver.com/item/coinfo.nhn?code=264900", "A264900")</f>
        <v>0</v>
      </c>
      <c r="D581">
        <f>HYPERLINK("http://comp.fnguide.com/SVO2/ASP/SVD_Consensus.asp?pGB=1&amp;gicode=A264900&amp;cID=&amp;MenuYn=Y&amp;ReportGB=&amp;NewMenuID=108&amp;stkGb=701", "크라운제과")</f>
        <v>0</v>
      </c>
      <c r="E581">
        <v>2</v>
      </c>
      <c r="F581">
        <v>14300</v>
      </c>
      <c r="G581">
        <v>0</v>
      </c>
      <c r="H581">
        <v>7.29</v>
      </c>
      <c r="I581">
        <v>18559</v>
      </c>
      <c r="J581">
        <v>15084</v>
      </c>
      <c r="K581">
        <v>14071</v>
      </c>
      <c r="L581">
        <v>-29.79</v>
      </c>
      <c r="M581">
        <v>-5.48</v>
      </c>
      <c r="N581">
        <v>1.6</v>
      </c>
      <c r="O581">
        <v>12.01</v>
      </c>
      <c r="P581" t="b">
        <v>1</v>
      </c>
      <c r="Q581">
        <v>0</v>
      </c>
      <c r="R581">
        <v>1219</v>
      </c>
      <c r="U581" t="s">
        <v>1973</v>
      </c>
      <c r="V581" t="s">
        <v>2652</v>
      </c>
      <c r="W581">
        <v>0</v>
      </c>
      <c r="X581">
        <v>-14.4</v>
      </c>
      <c r="Y581" t="s">
        <v>3284</v>
      </c>
      <c r="Z581">
        <v>0</v>
      </c>
      <c r="AA581">
        <v>1791</v>
      </c>
      <c r="AB581">
        <v>131181</v>
      </c>
      <c r="AC581" t="s">
        <v>3957</v>
      </c>
      <c r="AD581">
        <v>61.68</v>
      </c>
      <c r="AE581" t="s">
        <v>4636</v>
      </c>
      <c r="AF581" t="s">
        <v>5279</v>
      </c>
      <c r="AG581">
        <v>3815</v>
      </c>
      <c r="AH581">
        <v>235</v>
      </c>
      <c r="AI581">
        <v>507681</v>
      </c>
      <c r="AJ581">
        <v>2.82</v>
      </c>
    </row>
    <row r="582" spans="1:36">
      <c r="A582" s="1" t="s">
        <v>616</v>
      </c>
      <c r="B582" t="s">
        <v>1295</v>
      </c>
      <c r="C582">
        <f>HYPERLINK("https://finance.naver.com/item/coinfo.nhn?code=033780", "A033780")</f>
        <v>0</v>
      </c>
      <c r="D582">
        <f>HYPERLINK("http://comp.fnguide.com/SVO2/ASP/SVD_Consensus.asp?pGB=1&amp;gicode=A033780&amp;cID=&amp;MenuYn=Y&amp;ReportGB=&amp;NewMenuID=108&amp;stkGb=701", "KT&amp;G")</f>
        <v>0</v>
      </c>
      <c r="E582">
        <v>2</v>
      </c>
      <c r="F582">
        <v>82300</v>
      </c>
      <c r="G582">
        <v>1.12</v>
      </c>
      <c r="H582">
        <v>9.74</v>
      </c>
      <c r="I582">
        <v>111772</v>
      </c>
      <c r="J582">
        <v>88643</v>
      </c>
      <c r="K582">
        <v>81906</v>
      </c>
      <c r="L582">
        <v>-35.81</v>
      </c>
      <c r="M582">
        <v>-7.71</v>
      </c>
      <c r="N582">
        <v>0.48</v>
      </c>
      <c r="O582">
        <v>12.62</v>
      </c>
      <c r="P582" t="b">
        <v>1</v>
      </c>
      <c r="Q582">
        <v>0</v>
      </c>
      <c r="R582">
        <v>8535</v>
      </c>
      <c r="S582">
        <v>8484</v>
      </c>
      <c r="T582">
        <v>-0.6</v>
      </c>
      <c r="U582" t="s">
        <v>1974</v>
      </c>
      <c r="V582" t="s">
        <v>2653</v>
      </c>
      <c r="W582">
        <v>8.71754538831453</v>
      </c>
      <c r="X582">
        <v>13.2</v>
      </c>
      <c r="Y582" t="s">
        <v>3285</v>
      </c>
      <c r="Z582">
        <v>2.255349648075811</v>
      </c>
      <c r="AA582">
        <v>112992</v>
      </c>
      <c r="AB582">
        <v>366829</v>
      </c>
      <c r="AC582" t="s">
        <v>3958</v>
      </c>
      <c r="AD582">
        <v>9.1</v>
      </c>
      <c r="AE582" t="s">
        <v>4637</v>
      </c>
      <c r="AF582" t="s">
        <v>5280</v>
      </c>
      <c r="AG582">
        <v>53016</v>
      </c>
      <c r="AH582">
        <v>14811</v>
      </c>
      <c r="AI582">
        <v>13212574</v>
      </c>
      <c r="AJ582">
        <v>5.78</v>
      </c>
    </row>
    <row r="583" spans="1:36">
      <c r="A583" s="1" t="s">
        <v>617</v>
      </c>
      <c r="B583" t="s">
        <v>1296</v>
      </c>
      <c r="C583">
        <f>HYPERLINK("https://finance.naver.com/item/coinfo.nhn?code=204270", "A204270")</f>
        <v>0</v>
      </c>
      <c r="D583">
        <f>HYPERLINK("http://comp.fnguide.com/SVO2/ASP/SVD_Consensus.asp?pGB=1&amp;gicode=A204270&amp;cID=&amp;MenuYn=Y&amp;ReportGB=&amp;NewMenuID=108&amp;stkGb=701", "제이앤티씨")</f>
        <v>0</v>
      </c>
      <c r="E583">
        <v>2</v>
      </c>
      <c r="F583">
        <v>9920</v>
      </c>
      <c r="G583">
        <v>0.4</v>
      </c>
      <c r="H583">
        <v>11.02</v>
      </c>
      <c r="I583">
        <v>18983</v>
      </c>
      <c r="J583">
        <v>11753</v>
      </c>
      <c r="K583">
        <v>9648</v>
      </c>
      <c r="L583">
        <v>-91.36</v>
      </c>
      <c r="M583">
        <v>-18.48</v>
      </c>
      <c r="N583">
        <v>2.75</v>
      </c>
      <c r="O583">
        <v>22.91</v>
      </c>
      <c r="P583" t="b">
        <v>1</v>
      </c>
      <c r="Q583">
        <v>1</v>
      </c>
      <c r="R583">
        <v>1043</v>
      </c>
      <c r="S583">
        <v>1122</v>
      </c>
      <c r="T583">
        <v>7.6</v>
      </c>
      <c r="U583" t="s">
        <v>1975</v>
      </c>
      <c r="V583" t="s">
        <v>2654</v>
      </c>
      <c r="W583">
        <v>27.47274650092815</v>
      </c>
      <c r="X583">
        <v>-38.3</v>
      </c>
      <c r="Y583" t="s">
        <v>3286</v>
      </c>
      <c r="Z583">
        <v>27.43387801902448</v>
      </c>
      <c r="AA583">
        <v>5739</v>
      </c>
      <c r="AB583">
        <v>118510</v>
      </c>
      <c r="AC583" t="s">
        <v>3959</v>
      </c>
      <c r="AD583">
        <v>71.38</v>
      </c>
      <c r="AE583" t="s">
        <v>4638</v>
      </c>
      <c r="AF583" t="s">
        <v>5281</v>
      </c>
      <c r="AG583">
        <v>3478</v>
      </c>
      <c r="AH583">
        <v>749</v>
      </c>
      <c r="AI583">
        <v>779845</v>
      </c>
    </row>
    <row r="584" spans="1:36">
      <c r="A584" s="1" t="s">
        <v>618</v>
      </c>
      <c r="B584" t="s">
        <v>1297</v>
      </c>
      <c r="C584">
        <f>HYPERLINK("https://finance.naver.com/item/coinfo.nhn?code=131030", "A131030")</f>
        <v>0</v>
      </c>
      <c r="D584">
        <f>HYPERLINK("http://comp.fnguide.com/SVO2/ASP/SVD_Consensus.asp?pGB=1&amp;gicode=A131030&amp;cID=&amp;MenuYn=Y&amp;ReportGB=&amp;NewMenuID=108&amp;stkGb=701", "디에이치피코리아")</f>
        <v>0</v>
      </c>
      <c r="E584">
        <v>2</v>
      </c>
      <c r="F584">
        <v>8600</v>
      </c>
      <c r="G584">
        <v>0</v>
      </c>
      <c r="H584">
        <v>9.609999999999999</v>
      </c>
      <c r="I584">
        <v>11719</v>
      </c>
      <c r="J584">
        <v>9161</v>
      </c>
      <c r="K584">
        <v>8416</v>
      </c>
      <c r="L584">
        <v>-36.27</v>
      </c>
      <c r="M584">
        <v>-6.52</v>
      </c>
      <c r="N584">
        <v>2.14</v>
      </c>
      <c r="O584">
        <v>13</v>
      </c>
      <c r="P584" t="b">
        <v>1</v>
      </c>
      <c r="Q584">
        <v>0</v>
      </c>
      <c r="R584">
        <v>870</v>
      </c>
      <c r="U584" t="s">
        <v>1976</v>
      </c>
      <c r="V584" t="s">
        <v>2655</v>
      </c>
      <c r="W584">
        <v>0</v>
      </c>
      <c r="X584">
        <v>-1.3</v>
      </c>
      <c r="Y584" t="s">
        <v>3287</v>
      </c>
      <c r="Z584">
        <v>6.938758069812478</v>
      </c>
      <c r="AA584">
        <v>1425</v>
      </c>
      <c r="AB584">
        <v>65211</v>
      </c>
      <c r="AC584" t="s">
        <v>3960</v>
      </c>
      <c r="AD584">
        <v>38.38</v>
      </c>
      <c r="AE584" t="s">
        <v>4639</v>
      </c>
      <c r="AF584" t="s">
        <v>5282</v>
      </c>
      <c r="AG584">
        <v>608</v>
      </c>
      <c r="AH584">
        <v>155</v>
      </c>
      <c r="AI584">
        <v>523536</v>
      </c>
      <c r="AJ584">
        <v>1.2</v>
      </c>
    </row>
    <row r="585" spans="1:36">
      <c r="A585" s="1" t="s">
        <v>619</v>
      </c>
      <c r="B585" t="s">
        <v>1298</v>
      </c>
      <c r="C585">
        <f>HYPERLINK("https://finance.naver.com/item/coinfo.nhn?code=093520", "A093520")</f>
        <v>0</v>
      </c>
      <c r="D585">
        <f>HYPERLINK("http://comp.fnguide.com/SVO2/ASP/SVD_Consensus.asp?pGB=1&amp;gicode=A093520&amp;cID=&amp;MenuYn=Y&amp;ReportGB=&amp;NewMenuID=108&amp;stkGb=701", "매커스")</f>
        <v>0</v>
      </c>
      <c r="E585">
        <v>2</v>
      </c>
      <c r="F585">
        <v>5820</v>
      </c>
      <c r="G585">
        <v>0</v>
      </c>
      <c r="H585">
        <v>10.17</v>
      </c>
      <c r="I585">
        <v>7679</v>
      </c>
      <c r="J585">
        <v>5908</v>
      </c>
      <c r="K585">
        <v>5392</v>
      </c>
      <c r="L585">
        <v>-31.95</v>
      </c>
      <c r="M585">
        <v>-1.51</v>
      </c>
      <c r="N585">
        <v>7.35</v>
      </c>
      <c r="O585">
        <v>13.44</v>
      </c>
      <c r="P585" t="b">
        <v>1</v>
      </c>
      <c r="Q585">
        <v>0</v>
      </c>
      <c r="R585">
        <v>493</v>
      </c>
      <c r="U585" t="s">
        <v>1977</v>
      </c>
      <c r="V585" t="s">
        <v>2656</v>
      </c>
      <c r="W585">
        <v>0</v>
      </c>
      <c r="X585">
        <v>66.5</v>
      </c>
      <c r="Y585" t="s">
        <v>3288</v>
      </c>
      <c r="Z585">
        <v>10.77851027472512</v>
      </c>
      <c r="AA585">
        <v>941</v>
      </c>
      <c r="AB585">
        <v>130248</v>
      </c>
      <c r="AC585" t="s">
        <v>3961</v>
      </c>
      <c r="AD585">
        <v>15.93</v>
      </c>
      <c r="AE585" t="s">
        <v>4640</v>
      </c>
      <c r="AF585" t="s">
        <v>5283</v>
      </c>
      <c r="AG585">
        <v>869</v>
      </c>
      <c r="AH585">
        <v>95</v>
      </c>
      <c r="AI585">
        <v>4135008</v>
      </c>
      <c r="AJ585">
        <v>2</v>
      </c>
    </row>
    <row r="586" spans="1:36">
      <c r="A586" s="1" t="s">
        <v>620</v>
      </c>
      <c r="B586" t="s">
        <v>1299</v>
      </c>
      <c r="C586">
        <f>HYPERLINK("https://finance.naver.com/item/coinfo.nhn?code=225220", "A225220")</f>
        <v>0</v>
      </c>
      <c r="D586">
        <f>HYPERLINK("http://comp.fnguide.com/SVO2/ASP/SVD_Consensus.asp?pGB=1&amp;gicode=A225220&amp;cID=&amp;MenuYn=Y&amp;ReportGB=&amp;NewMenuID=108&amp;stkGb=701", "제놀루션")</f>
        <v>0</v>
      </c>
      <c r="E586">
        <v>2</v>
      </c>
      <c r="F586">
        <v>14750</v>
      </c>
      <c r="G586">
        <v>0</v>
      </c>
      <c r="H586">
        <v>3.49</v>
      </c>
      <c r="I586">
        <v>39071</v>
      </c>
      <c r="J586">
        <v>19670</v>
      </c>
      <c r="K586">
        <v>14019</v>
      </c>
      <c r="L586">
        <v>-164.89</v>
      </c>
      <c r="M586">
        <v>-33.36</v>
      </c>
      <c r="N586">
        <v>4.96</v>
      </c>
      <c r="O586">
        <v>50.12</v>
      </c>
      <c r="P586" t="b">
        <v>1</v>
      </c>
      <c r="Q586">
        <v>0</v>
      </c>
      <c r="R586">
        <v>3927</v>
      </c>
      <c r="U586" t="s">
        <v>1978</v>
      </c>
      <c r="V586" t="s">
        <v>2657</v>
      </c>
      <c r="W586">
        <v>0</v>
      </c>
      <c r="X586">
        <v>0</v>
      </c>
      <c r="Y586" t="s">
        <v>3289</v>
      </c>
      <c r="Z586">
        <v>532.3</v>
      </c>
      <c r="AA586">
        <v>1411</v>
      </c>
      <c r="AB586">
        <v>213280</v>
      </c>
      <c r="AC586" t="s">
        <v>3962</v>
      </c>
      <c r="AD586">
        <v>24.87</v>
      </c>
      <c r="AE586" t="s">
        <v>4641</v>
      </c>
      <c r="AF586" t="s">
        <v>5284</v>
      </c>
      <c r="AG586">
        <v>853</v>
      </c>
      <c r="AH586">
        <v>540</v>
      </c>
      <c r="AJ586">
        <v>2.56</v>
      </c>
    </row>
    <row r="587" spans="1:36">
      <c r="A587" s="1" t="s">
        <v>621</v>
      </c>
      <c r="B587" t="s">
        <v>1300</v>
      </c>
      <c r="C587">
        <f>HYPERLINK("https://finance.naver.com/item/coinfo.nhn?code=210980", "A210980")</f>
        <v>0</v>
      </c>
      <c r="D587">
        <f>HYPERLINK("http://comp.fnguide.com/SVO2/ASP/SVD_Consensus.asp?pGB=1&amp;gicode=A210980&amp;cID=&amp;MenuYn=Y&amp;ReportGB=&amp;NewMenuID=108&amp;stkGb=701", "SK디앤디")</f>
        <v>0</v>
      </c>
      <c r="E587">
        <v>2</v>
      </c>
      <c r="F587">
        <v>36050</v>
      </c>
      <c r="G587">
        <v>-2.05</v>
      </c>
      <c r="H587">
        <v>14.51</v>
      </c>
      <c r="I587">
        <v>48853</v>
      </c>
      <c r="J587">
        <v>36239</v>
      </c>
      <c r="K587">
        <v>32564</v>
      </c>
      <c r="L587">
        <v>-35.51</v>
      </c>
      <c r="M587">
        <v>-0.52</v>
      </c>
      <c r="N587">
        <v>9.67</v>
      </c>
      <c r="O587">
        <v>14.54</v>
      </c>
      <c r="P587" t="b">
        <v>1</v>
      </c>
      <c r="Q587">
        <v>0</v>
      </c>
      <c r="R587">
        <v>2974</v>
      </c>
      <c r="S587">
        <v>2594</v>
      </c>
      <c r="T587">
        <v>-12.8</v>
      </c>
      <c r="U587" t="s">
        <v>1979</v>
      </c>
      <c r="V587" t="s">
        <v>2658</v>
      </c>
      <c r="W587">
        <v>-7.095196807177717</v>
      </c>
      <c r="X587">
        <v>25.8</v>
      </c>
      <c r="Y587" t="s">
        <v>3290</v>
      </c>
      <c r="Z587">
        <v>15.71707973614926</v>
      </c>
      <c r="AA587">
        <v>6846</v>
      </c>
      <c r="AB587">
        <v>64843</v>
      </c>
      <c r="AC587" t="s">
        <v>3963</v>
      </c>
      <c r="AD587">
        <v>58.67</v>
      </c>
      <c r="AE587" t="s">
        <v>4642</v>
      </c>
      <c r="AF587" t="s">
        <v>5285</v>
      </c>
      <c r="AG587">
        <v>6998</v>
      </c>
      <c r="AH587">
        <v>1398</v>
      </c>
      <c r="AI587">
        <v>640</v>
      </c>
      <c r="AJ587">
        <v>1.39</v>
      </c>
    </row>
    <row r="588" spans="1:36">
      <c r="A588" s="1" t="s">
        <v>622</v>
      </c>
      <c r="B588" t="s">
        <v>1301</v>
      </c>
      <c r="C588">
        <f>HYPERLINK("https://finance.naver.com/item/coinfo.nhn?code=044180", "A044180")</f>
        <v>0</v>
      </c>
      <c r="D588">
        <f>HYPERLINK("http://comp.fnguide.com/SVO2/ASP/SVD_Consensus.asp?pGB=1&amp;gicode=A044180&amp;cID=&amp;MenuYn=Y&amp;ReportGB=&amp;NewMenuID=108&amp;stkGb=701", "KD")</f>
        <v>0</v>
      </c>
      <c r="E588">
        <v>2</v>
      </c>
      <c r="F588">
        <v>2040</v>
      </c>
      <c r="G588">
        <v>0</v>
      </c>
      <c r="I588">
        <v>2482</v>
      </c>
      <c r="J588">
        <v>2043</v>
      </c>
      <c r="K588">
        <v>1915</v>
      </c>
      <c r="L588">
        <v>-21.67</v>
      </c>
      <c r="M588">
        <v>-0.14</v>
      </c>
      <c r="N588">
        <v>6.13</v>
      </c>
      <c r="O588">
        <v>11.71</v>
      </c>
      <c r="P588" t="b">
        <v>0</v>
      </c>
      <c r="Q588">
        <v>0</v>
      </c>
      <c r="R588">
        <v>-338</v>
      </c>
      <c r="U588" t="s">
        <v>1980</v>
      </c>
      <c r="V588" t="s">
        <v>2659</v>
      </c>
      <c r="W588">
        <v>0</v>
      </c>
      <c r="X588">
        <v>0</v>
      </c>
      <c r="Y588" t="s">
        <v>3291</v>
      </c>
      <c r="Z588">
        <v>-54.90000000000001</v>
      </c>
      <c r="AA588">
        <v>337</v>
      </c>
      <c r="AB588">
        <v>607535</v>
      </c>
      <c r="AC588" t="s">
        <v>3964</v>
      </c>
      <c r="AD588">
        <v>14.13</v>
      </c>
      <c r="AE588" t="s">
        <v>4643</v>
      </c>
      <c r="AF588" t="s">
        <v>5286</v>
      </c>
      <c r="AG588">
        <v>214</v>
      </c>
      <c r="AH588">
        <v>-82</v>
      </c>
    </row>
    <row r="589" spans="1:36">
      <c r="A589" s="1" t="s">
        <v>623</v>
      </c>
      <c r="B589" t="s">
        <v>1302</v>
      </c>
      <c r="C589">
        <f>HYPERLINK("https://finance.naver.com/item/coinfo.nhn?code=290740", "A290740")</f>
        <v>0</v>
      </c>
      <c r="D589">
        <f>HYPERLINK("http://comp.fnguide.com/SVO2/ASP/SVD_Consensus.asp?pGB=1&amp;gicode=A290740&amp;cID=&amp;MenuYn=Y&amp;ReportGB=&amp;NewMenuID=108&amp;stkGb=701", "액트로")</f>
        <v>0</v>
      </c>
      <c r="E589">
        <v>2</v>
      </c>
      <c r="F589">
        <v>9270</v>
      </c>
      <c r="G589">
        <v>0</v>
      </c>
      <c r="H589">
        <v>58.75</v>
      </c>
      <c r="I589">
        <v>12512</v>
      </c>
      <c r="J589">
        <v>9628</v>
      </c>
      <c r="K589">
        <v>8788</v>
      </c>
      <c r="L589">
        <v>-34.97</v>
      </c>
      <c r="M589">
        <v>-3.86</v>
      </c>
      <c r="N589">
        <v>5.2</v>
      </c>
      <c r="O589">
        <v>13.43</v>
      </c>
      <c r="P589" t="b">
        <v>1</v>
      </c>
      <c r="Q589">
        <v>0</v>
      </c>
      <c r="R589">
        <v>205</v>
      </c>
      <c r="U589" t="s">
        <v>1981</v>
      </c>
      <c r="V589" t="s">
        <v>2660</v>
      </c>
      <c r="W589">
        <v>0</v>
      </c>
      <c r="X589">
        <v>-86</v>
      </c>
      <c r="Y589" t="s">
        <v>3292</v>
      </c>
      <c r="Z589">
        <v>-18.34811939655188</v>
      </c>
      <c r="AA589">
        <v>933</v>
      </c>
      <c r="AB589">
        <v>13413</v>
      </c>
      <c r="AC589" t="s">
        <v>3965</v>
      </c>
      <c r="AD589">
        <v>37.87</v>
      </c>
      <c r="AE589" t="s">
        <v>4644</v>
      </c>
      <c r="AF589" t="s">
        <v>5287</v>
      </c>
      <c r="AG589">
        <v>1323</v>
      </c>
      <c r="AH589">
        <v>37</v>
      </c>
      <c r="AI589">
        <v>308257</v>
      </c>
      <c r="AJ589">
        <v>1.66</v>
      </c>
    </row>
    <row r="590" spans="1:36">
      <c r="A590" s="1" t="s">
        <v>624</v>
      </c>
      <c r="B590" t="s">
        <v>1303</v>
      </c>
      <c r="C590">
        <f>HYPERLINK("https://finance.naver.com/item/coinfo.nhn?code=036670", "A036670")</f>
        <v>0</v>
      </c>
      <c r="D590">
        <f>HYPERLINK("http://comp.fnguide.com/SVO2/ASP/SVD_Consensus.asp?pGB=1&amp;gicode=A036670&amp;cID=&amp;MenuYn=Y&amp;ReportGB=&amp;NewMenuID=108&amp;stkGb=701", "KCI")</f>
        <v>0</v>
      </c>
      <c r="E590">
        <v>2</v>
      </c>
      <c r="F590">
        <v>9810</v>
      </c>
      <c r="G590">
        <v>0</v>
      </c>
      <c r="H590">
        <v>10.62</v>
      </c>
      <c r="I590">
        <v>14040</v>
      </c>
      <c r="J590">
        <v>9819</v>
      </c>
      <c r="K590">
        <v>8589</v>
      </c>
      <c r="L590">
        <v>-43.12</v>
      </c>
      <c r="M590">
        <v>-0.09</v>
      </c>
      <c r="N590">
        <v>12.45</v>
      </c>
      <c r="O590">
        <v>16.65</v>
      </c>
      <c r="P590" t="b">
        <v>1</v>
      </c>
      <c r="Q590">
        <v>0</v>
      </c>
      <c r="R590">
        <v>942</v>
      </c>
      <c r="U590" t="s">
        <v>1982</v>
      </c>
      <c r="V590" t="s">
        <v>2661</v>
      </c>
      <c r="W590">
        <v>0</v>
      </c>
      <c r="X590">
        <v>-7</v>
      </c>
      <c r="Y590" t="s">
        <v>3293</v>
      </c>
      <c r="Z590">
        <v>14.24402259634179</v>
      </c>
      <c r="AA590">
        <v>1106</v>
      </c>
      <c r="AB590">
        <v>33463</v>
      </c>
      <c r="AC590" t="s">
        <v>3966</v>
      </c>
      <c r="AD590">
        <v>50.02</v>
      </c>
      <c r="AE590" t="s">
        <v>4645</v>
      </c>
      <c r="AF590" t="s">
        <v>5288</v>
      </c>
      <c r="AG590">
        <v>733</v>
      </c>
      <c r="AH590">
        <v>141</v>
      </c>
      <c r="AI590">
        <v>509800</v>
      </c>
      <c r="AJ590">
        <v>2</v>
      </c>
    </row>
    <row r="591" spans="1:36">
      <c r="A591" s="1" t="s">
        <v>625</v>
      </c>
      <c r="B591" t="s">
        <v>1304</v>
      </c>
      <c r="C591">
        <f>HYPERLINK("https://finance.naver.com/item/coinfo.nhn?code=298540", "A298540")</f>
        <v>0</v>
      </c>
      <c r="D591">
        <f>HYPERLINK("http://comp.fnguide.com/SVO2/ASP/SVD_Consensus.asp?pGB=1&amp;gicode=A298540&amp;cID=&amp;MenuYn=Y&amp;ReportGB=&amp;NewMenuID=108&amp;stkGb=701", "더네이쳐홀딩스")</f>
        <v>0</v>
      </c>
      <c r="E591">
        <v>2</v>
      </c>
      <c r="F591">
        <v>59200</v>
      </c>
      <c r="G591">
        <v>0.1</v>
      </c>
      <c r="H591">
        <v>6.52</v>
      </c>
      <c r="I591">
        <v>120892</v>
      </c>
      <c r="J591">
        <v>62539</v>
      </c>
      <c r="K591">
        <v>45541</v>
      </c>
      <c r="L591">
        <v>-104.21</v>
      </c>
      <c r="M591">
        <v>-5.64</v>
      </c>
      <c r="N591">
        <v>23.07</v>
      </c>
      <c r="O591">
        <v>43.88</v>
      </c>
      <c r="P591" t="b">
        <v>1</v>
      </c>
      <c r="Q591">
        <v>3</v>
      </c>
      <c r="R591">
        <v>6069</v>
      </c>
      <c r="S591">
        <v>7315</v>
      </c>
      <c r="T591">
        <v>20.5</v>
      </c>
      <c r="U591" t="s">
        <v>1983</v>
      </c>
      <c r="V591" t="s">
        <v>2662</v>
      </c>
      <c r="W591">
        <v>62.77091591123838</v>
      </c>
      <c r="X591">
        <v>113</v>
      </c>
      <c r="Y591" t="s">
        <v>3294</v>
      </c>
      <c r="Z591">
        <v>0</v>
      </c>
      <c r="AA591">
        <v>4305</v>
      </c>
      <c r="AB591">
        <v>141078</v>
      </c>
      <c r="AC591" t="s">
        <v>3967</v>
      </c>
      <c r="AD591">
        <v>38.94</v>
      </c>
      <c r="AE591" t="s">
        <v>4646</v>
      </c>
      <c r="AF591" t="s">
        <v>5289</v>
      </c>
      <c r="AG591">
        <v>2909</v>
      </c>
      <c r="AH591">
        <v>552</v>
      </c>
      <c r="AJ591">
        <v>1.01</v>
      </c>
    </row>
    <row r="592" spans="1:36">
      <c r="A592" s="1" t="s">
        <v>626</v>
      </c>
      <c r="B592" t="s">
        <v>1305</v>
      </c>
      <c r="C592">
        <f>HYPERLINK("https://finance.naver.com/item/coinfo.nhn?code=023910", "A023910")</f>
        <v>0</v>
      </c>
      <c r="D592">
        <f>HYPERLINK("http://comp.fnguide.com/SVO2/ASP/SVD_Consensus.asp?pGB=1&amp;gicode=A023910&amp;cID=&amp;MenuYn=Y&amp;ReportGB=&amp;NewMenuID=108&amp;stkGb=701", "대한약품")</f>
        <v>0</v>
      </c>
      <c r="E592">
        <v>2</v>
      </c>
      <c r="F592">
        <v>38350</v>
      </c>
      <c r="G592">
        <v>0</v>
      </c>
      <c r="H592">
        <v>11.37</v>
      </c>
      <c r="I592">
        <v>54615</v>
      </c>
      <c r="J592">
        <v>40183</v>
      </c>
      <c r="K592">
        <v>35979</v>
      </c>
      <c r="L592">
        <v>-42.41</v>
      </c>
      <c r="M592">
        <v>-4.78</v>
      </c>
      <c r="N592">
        <v>6.18</v>
      </c>
      <c r="O592">
        <v>14.81</v>
      </c>
      <c r="P592" t="b">
        <v>1</v>
      </c>
      <c r="Q592">
        <v>0</v>
      </c>
      <c r="R592">
        <v>2897</v>
      </c>
      <c r="U592" t="s">
        <v>1984</v>
      </c>
      <c r="V592" t="s">
        <v>2663</v>
      </c>
      <c r="W592">
        <v>0</v>
      </c>
      <c r="X592">
        <v>-38.3</v>
      </c>
      <c r="Y592" t="s">
        <v>3295</v>
      </c>
      <c r="Z592">
        <v>4.754205784413279</v>
      </c>
      <c r="AA592">
        <v>2301</v>
      </c>
      <c r="AB592">
        <v>14683</v>
      </c>
      <c r="AC592" t="s">
        <v>3968</v>
      </c>
      <c r="AD592">
        <v>34.73</v>
      </c>
      <c r="AE592" t="s">
        <v>4647</v>
      </c>
      <c r="AF592" t="s">
        <v>5290</v>
      </c>
      <c r="AG592">
        <v>1661</v>
      </c>
      <c r="AH592">
        <v>300</v>
      </c>
      <c r="AJ592">
        <v>1.21</v>
      </c>
    </row>
    <row r="593" spans="1:36">
      <c r="A593" s="1" t="s">
        <v>627</v>
      </c>
      <c r="B593" t="s">
        <v>1306</v>
      </c>
      <c r="C593">
        <f>HYPERLINK("https://finance.naver.com/item/coinfo.nhn?code=023770", "A023770")</f>
        <v>0</v>
      </c>
      <c r="D593">
        <f>HYPERLINK("http://comp.fnguide.com/SVO2/ASP/SVD_Consensus.asp?pGB=1&amp;gicode=A023770&amp;cID=&amp;MenuYn=Y&amp;ReportGB=&amp;NewMenuID=108&amp;stkGb=701", "플레이위드")</f>
        <v>0</v>
      </c>
      <c r="E593">
        <v>2</v>
      </c>
      <c r="F593">
        <v>9790</v>
      </c>
      <c r="G593">
        <v>0</v>
      </c>
      <c r="H593">
        <v>5.98</v>
      </c>
      <c r="I593">
        <v>24643</v>
      </c>
      <c r="J593">
        <v>12265</v>
      </c>
      <c r="K593">
        <v>8659</v>
      </c>
      <c r="L593">
        <v>-151.71</v>
      </c>
      <c r="M593">
        <v>-25.28</v>
      </c>
      <c r="N593">
        <v>11.55</v>
      </c>
      <c r="O593">
        <v>53.26</v>
      </c>
      <c r="P593" t="b">
        <v>1</v>
      </c>
      <c r="Q593">
        <v>0</v>
      </c>
      <c r="R593">
        <v>1539</v>
      </c>
      <c r="U593" t="s">
        <v>1985</v>
      </c>
      <c r="V593" t="s">
        <v>2664</v>
      </c>
      <c r="W593">
        <v>0</v>
      </c>
      <c r="X593">
        <v>41.7</v>
      </c>
      <c r="Y593" t="s">
        <v>3296</v>
      </c>
      <c r="Z593">
        <v>72.17328480342124</v>
      </c>
      <c r="AA593">
        <v>852</v>
      </c>
      <c r="AB593">
        <v>66542</v>
      </c>
      <c r="AC593" t="s">
        <v>3969</v>
      </c>
      <c r="AD593">
        <v>22.59</v>
      </c>
      <c r="AE593" t="s">
        <v>4648</v>
      </c>
      <c r="AF593" t="s">
        <v>5291</v>
      </c>
      <c r="AG593">
        <v>430</v>
      </c>
      <c r="AH593">
        <v>136</v>
      </c>
      <c r="AJ593">
        <v>3.26</v>
      </c>
    </row>
    <row r="594" spans="1:36">
      <c r="A594" s="1" t="s">
        <v>628</v>
      </c>
      <c r="B594" t="s">
        <v>1307</v>
      </c>
      <c r="C594">
        <f>HYPERLINK("https://finance.naver.com/item/coinfo.nhn?code=046940", "A046940")</f>
        <v>0</v>
      </c>
      <c r="D594">
        <f>HYPERLINK("http://comp.fnguide.com/SVO2/ASP/SVD_Consensus.asp?pGB=1&amp;gicode=A046940&amp;cID=&amp;MenuYn=Y&amp;ReportGB=&amp;NewMenuID=108&amp;stkGb=701", "우원개발")</f>
        <v>0</v>
      </c>
      <c r="E594">
        <v>2</v>
      </c>
      <c r="F594">
        <v>7560</v>
      </c>
      <c r="G594">
        <v>0</v>
      </c>
      <c r="H594">
        <v>6.75</v>
      </c>
      <c r="I594">
        <v>10632</v>
      </c>
      <c r="J594">
        <v>7636</v>
      </c>
      <c r="K594">
        <v>6763</v>
      </c>
      <c r="L594">
        <v>-40.64</v>
      </c>
      <c r="M594">
        <v>-1.01</v>
      </c>
      <c r="N594">
        <v>10.54</v>
      </c>
      <c r="O594">
        <v>15.64</v>
      </c>
      <c r="P594" t="b">
        <v>0</v>
      </c>
      <c r="Q594">
        <v>0</v>
      </c>
      <c r="R594">
        <v>931</v>
      </c>
      <c r="U594" t="s">
        <v>1986</v>
      </c>
      <c r="V594" t="s">
        <v>2665</v>
      </c>
      <c r="W594">
        <v>0</v>
      </c>
      <c r="X594">
        <v>17.4</v>
      </c>
      <c r="Y594" t="s">
        <v>3297</v>
      </c>
      <c r="Z594">
        <v>-5.603707699931359</v>
      </c>
      <c r="AA594">
        <v>1366</v>
      </c>
      <c r="AB594">
        <v>457135</v>
      </c>
      <c r="AC594" t="s">
        <v>3970</v>
      </c>
      <c r="AD594">
        <v>34.98</v>
      </c>
      <c r="AE594" t="s">
        <v>4649</v>
      </c>
      <c r="AF594" t="s">
        <v>5292</v>
      </c>
      <c r="AG594">
        <v>3163</v>
      </c>
      <c r="AH594">
        <v>326</v>
      </c>
    </row>
    <row r="595" spans="1:36">
      <c r="A595" s="1" t="s">
        <v>629</v>
      </c>
      <c r="B595" t="s">
        <v>1308</v>
      </c>
      <c r="C595">
        <f>HYPERLINK("https://finance.naver.com/item/coinfo.nhn?code=040910", "A040910")</f>
        <v>0</v>
      </c>
      <c r="D595">
        <f>HYPERLINK("http://comp.fnguide.com/SVO2/ASP/SVD_Consensus.asp?pGB=1&amp;gicode=A040910&amp;cID=&amp;MenuYn=Y&amp;ReportGB=&amp;NewMenuID=108&amp;stkGb=701", "아이씨디")</f>
        <v>0</v>
      </c>
      <c r="E595">
        <v>2</v>
      </c>
      <c r="F595">
        <v>14950</v>
      </c>
      <c r="G595">
        <v>8.73</v>
      </c>
      <c r="H595">
        <v>9.81</v>
      </c>
      <c r="I595">
        <v>21622</v>
      </c>
      <c r="J595">
        <v>15116</v>
      </c>
      <c r="K595">
        <v>13221</v>
      </c>
      <c r="L595">
        <v>-44.63</v>
      </c>
      <c r="M595">
        <v>-1.11</v>
      </c>
      <c r="N595">
        <v>11.57</v>
      </c>
      <c r="O595">
        <v>16.66</v>
      </c>
      <c r="P595" t="b">
        <v>1</v>
      </c>
      <c r="Q595">
        <v>0</v>
      </c>
      <c r="R595">
        <v>1866</v>
      </c>
      <c r="S595">
        <v>1851</v>
      </c>
      <c r="T595">
        <v>-0.8</v>
      </c>
      <c r="U595" t="s">
        <v>1987</v>
      </c>
      <c r="V595" t="s">
        <v>2666</v>
      </c>
      <c r="W595">
        <v>1.124001537423647</v>
      </c>
      <c r="X595">
        <v>-70.7</v>
      </c>
      <c r="Y595" t="s">
        <v>3298</v>
      </c>
      <c r="Z595">
        <v>-2.768667391166291</v>
      </c>
      <c r="AA595">
        <v>2698</v>
      </c>
      <c r="AB595">
        <v>163966</v>
      </c>
      <c r="AC595" t="s">
        <v>3971</v>
      </c>
      <c r="AD595">
        <v>23.89</v>
      </c>
      <c r="AE595" t="s">
        <v>4650</v>
      </c>
      <c r="AF595" t="s">
        <v>5293</v>
      </c>
      <c r="AG595">
        <v>3090</v>
      </c>
      <c r="AH595">
        <v>501</v>
      </c>
      <c r="AI595">
        <v>1239943</v>
      </c>
      <c r="AJ595">
        <v>1.91</v>
      </c>
    </row>
    <row r="596" spans="1:36">
      <c r="A596" s="1" t="s">
        <v>630</v>
      </c>
      <c r="B596" t="s">
        <v>1309</v>
      </c>
      <c r="C596">
        <f>HYPERLINK("https://finance.naver.com/item/coinfo.nhn?code=010640", "A010640")</f>
        <v>0</v>
      </c>
      <c r="D596">
        <f>HYPERLINK("http://comp.fnguide.com/SVO2/ASP/SVD_Consensus.asp?pGB=1&amp;gicode=A010640&amp;cID=&amp;MenuYn=Y&amp;ReportGB=&amp;NewMenuID=108&amp;stkGb=701", "진양폴리")</f>
        <v>0</v>
      </c>
      <c r="E596">
        <v>1</v>
      </c>
      <c r="F596">
        <v>3745</v>
      </c>
      <c r="G596">
        <v>0</v>
      </c>
      <c r="H596">
        <v>24</v>
      </c>
      <c r="I596">
        <v>4880</v>
      </c>
      <c r="J596">
        <v>3579</v>
      </c>
      <c r="K596">
        <v>3200</v>
      </c>
      <c r="L596">
        <v>-30.32</v>
      </c>
      <c r="M596">
        <v>4.42</v>
      </c>
      <c r="N596">
        <v>14.54</v>
      </c>
      <c r="O596">
        <v>14.91</v>
      </c>
      <c r="P596" t="b">
        <v>1</v>
      </c>
      <c r="Q596">
        <v>0</v>
      </c>
      <c r="R596">
        <v>161</v>
      </c>
      <c r="U596" t="s">
        <v>1988</v>
      </c>
      <c r="V596" t="s">
        <v>2667</v>
      </c>
      <c r="W596">
        <v>0</v>
      </c>
      <c r="X596">
        <v>-78.7</v>
      </c>
      <c r="Y596" t="s">
        <v>3299</v>
      </c>
      <c r="Z596">
        <v>-30.88956441206121</v>
      </c>
      <c r="AA596">
        <v>375</v>
      </c>
      <c r="AB596">
        <v>85989</v>
      </c>
      <c r="AC596" t="s">
        <v>3972</v>
      </c>
      <c r="AD596">
        <v>50.5</v>
      </c>
      <c r="AE596" t="s">
        <v>4651</v>
      </c>
      <c r="AF596" t="s">
        <v>5294</v>
      </c>
      <c r="AG596">
        <v>371</v>
      </c>
      <c r="AH596">
        <v>22</v>
      </c>
      <c r="AJ596">
        <v>3.23</v>
      </c>
    </row>
    <row r="597" spans="1:36">
      <c r="A597" s="1" t="s">
        <v>631</v>
      </c>
      <c r="B597" t="s">
        <v>1310</v>
      </c>
      <c r="C597">
        <f>HYPERLINK("https://finance.naver.com/item/coinfo.nhn?code=243070", "A243070")</f>
        <v>0</v>
      </c>
      <c r="D597">
        <f>HYPERLINK("http://comp.fnguide.com/SVO2/ASP/SVD_Consensus.asp?pGB=1&amp;gicode=A243070&amp;cID=&amp;MenuYn=Y&amp;ReportGB=&amp;NewMenuID=108&amp;stkGb=701", "휴온스")</f>
        <v>0</v>
      </c>
      <c r="E597">
        <v>1</v>
      </c>
      <c r="F597">
        <v>62000</v>
      </c>
      <c r="G597">
        <v>4.12</v>
      </c>
      <c r="H597">
        <v>12.07</v>
      </c>
      <c r="I597">
        <v>68084</v>
      </c>
      <c r="J597">
        <v>40823</v>
      </c>
      <c r="K597">
        <v>32883</v>
      </c>
      <c r="L597">
        <v>-9.81</v>
      </c>
      <c r="M597">
        <v>34.16</v>
      </c>
      <c r="N597">
        <v>46.96</v>
      </c>
      <c r="O597">
        <v>25.22</v>
      </c>
      <c r="P597" t="b">
        <v>1</v>
      </c>
      <c r="Q597">
        <v>0</v>
      </c>
      <c r="R597">
        <v>5118</v>
      </c>
      <c r="S597">
        <v>4540</v>
      </c>
      <c r="T597">
        <v>-11.3</v>
      </c>
      <c r="U597" t="s">
        <v>1989</v>
      </c>
      <c r="V597" t="s">
        <v>2668</v>
      </c>
      <c r="W597">
        <v>2.931374936965669</v>
      </c>
      <c r="X597">
        <v>-6.8</v>
      </c>
      <c r="Y597" t="s">
        <v>3300</v>
      </c>
      <c r="Z597">
        <v>27.58461220211403</v>
      </c>
      <c r="AA597">
        <v>6733</v>
      </c>
      <c r="AB597">
        <v>180922</v>
      </c>
      <c r="AC597" t="s">
        <v>3973</v>
      </c>
      <c r="AD597">
        <v>45.02</v>
      </c>
      <c r="AE597" t="s">
        <v>4652</v>
      </c>
      <c r="AF597" t="s">
        <v>5295</v>
      </c>
      <c r="AG597">
        <v>4067</v>
      </c>
      <c r="AH597">
        <v>541</v>
      </c>
      <c r="AI597">
        <v>96996</v>
      </c>
      <c r="AJ597">
        <v>0.88</v>
      </c>
    </row>
    <row r="598" spans="1:36">
      <c r="A598" s="1" t="s">
        <v>632</v>
      </c>
      <c r="B598" t="s">
        <v>1311</v>
      </c>
      <c r="C598">
        <f>HYPERLINK("https://finance.naver.com/item/coinfo.nhn?code=010240", "A010240")</f>
        <v>0</v>
      </c>
      <c r="D598">
        <f>HYPERLINK("http://comp.fnguide.com/SVO2/ASP/SVD_Consensus.asp?pGB=1&amp;gicode=A010240&amp;cID=&amp;MenuYn=Y&amp;ReportGB=&amp;NewMenuID=108&amp;stkGb=701", "흥국")</f>
        <v>0</v>
      </c>
      <c r="E598">
        <v>1</v>
      </c>
      <c r="F598">
        <v>9030</v>
      </c>
      <c r="G598">
        <v>0</v>
      </c>
      <c r="H598">
        <v>6.09</v>
      </c>
      <c r="I598">
        <v>11138</v>
      </c>
      <c r="J598">
        <v>8328</v>
      </c>
      <c r="K598">
        <v>7509</v>
      </c>
      <c r="L598">
        <v>-23.35</v>
      </c>
      <c r="M598">
        <v>7.77</v>
      </c>
      <c r="N598">
        <v>16.84</v>
      </c>
      <c r="O598">
        <v>14.29</v>
      </c>
      <c r="P598" t="b">
        <v>1</v>
      </c>
      <c r="Q598">
        <v>0</v>
      </c>
      <c r="R598">
        <v>954</v>
      </c>
      <c r="U598" t="s">
        <v>1990</v>
      </c>
      <c r="V598" t="s">
        <v>2669</v>
      </c>
      <c r="W598">
        <v>0</v>
      </c>
      <c r="X598">
        <v>67.90000000000001</v>
      </c>
      <c r="Y598" t="s">
        <v>3301</v>
      </c>
      <c r="Z598">
        <v>52.81838188033115</v>
      </c>
      <c r="AA598">
        <v>1113</v>
      </c>
      <c r="AB598">
        <v>365080</v>
      </c>
      <c r="AC598" t="s">
        <v>3974</v>
      </c>
      <c r="AD598">
        <v>51.18</v>
      </c>
      <c r="AE598" t="s">
        <v>4653</v>
      </c>
      <c r="AF598" t="s">
        <v>5296</v>
      </c>
      <c r="AG598">
        <v>1191</v>
      </c>
      <c r="AH598">
        <v>156</v>
      </c>
      <c r="AI598">
        <v>772811</v>
      </c>
      <c r="AJ598">
        <v>3.1</v>
      </c>
    </row>
    <row r="599" spans="1:36">
      <c r="A599" s="1" t="s">
        <v>633</v>
      </c>
      <c r="B599" t="s">
        <v>1312</v>
      </c>
      <c r="C599">
        <f>HYPERLINK("https://finance.naver.com/item/coinfo.nhn?code=033290", "A033290")</f>
        <v>0</v>
      </c>
      <c r="D599">
        <f>HYPERLINK("http://comp.fnguide.com/SVO2/ASP/SVD_Consensus.asp?pGB=1&amp;gicode=A033290&amp;cID=&amp;MenuYn=Y&amp;ReportGB=&amp;NewMenuID=108&amp;stkGb=701", "코웰패션")</f>
        <v>0</v>
      </c>
      <c r="E599">
        <v>1</v>
      </c>
      <c r="F599">
        <v>6760</v>
      </c>
      <c r="G599">
        <v>0.9</v>
      </c>
      <c r="H599">
        <v>8.289999999999999</v>
      </c>
      <c r="I599">
        <v>9601</v>
      </c>
      <c r="J599">
        <v>5891</v>
      </c>
      <c r="K599">
        <v>4810</v>
      </c>
      <c r="L599">
        <v>-42.03</v>
      </c>
      <c r="M599">
        <v>12.86</v>
      </c>
      <c r="N599">
        <v>28.85</v>
      </c>
      <c r="O599">
        <v>23.53</v>
      </c>
      <c r="P599" t="b">
        <v>1</v>
      </c>
      <c r="Q599">
        <v>3</v>
      </c>
      <c r="R599">
        <v>684</v>
      </c>
      <c r="S599">
        <v>724</v>
      </c>
      <c r="T599">
        <v>5.8</v>
      </c>
      <c r="U599" t="s">
        <v>1991</v>
      </c>
      <c r="V599" t="s">
        <v>2670</v>
      </c>
      <c r="W599">
        <v>9.226813177137405</v>
      </c>
      <c r="X599">
        <v>20.5</v>
      </c>
      <c r="Y599" t="s">
        <v>3302</v>
      </c>
      <c r="Z599">
        <v>40.76396215499487</v>
      </c>
      <c r="AA599">
        <v>5983</v>
      </c>
      <c r="AB599">
        <v>375555</v>
      </c>
      <c r="AC599" t="s">
        <v>3975</v>
      </c>
      <c r="AD599">
        <v>70.83</v>
      </c>
      <c r="AE599" t="s">
        <v>4654</v>
      </c>
      <c r="AF599" t="s">
        <v>5297</v>
      </c>
      <c r="AG599">
        <v>4264</v>
      </c>
      <c r="AH599">
        <v>801</v>
      </c>
      <c r="AI599">
        <v>3171107</v>
      </c>
      <c r="AJ599">
        <v>2.12</v>
      </c>
    </row>
    <row r="600" spans="1:36">
      <c r="A600" s="1" t="s">
        <v>634</v>
      </c>
      <c r="B600" t="s">
        <v>1313</v>
      </c>
      <c r="C600">
        <f>HYPERLINK("https://finance.naver.com/item/coinfo.nhn?code=281820", "A281820")</f>
        <v>0</v>
      </c>
      <c r="D600">
        <f>HYPERLINK("http://comp.fnguide.com/SVO2/ASP/SVD_Consensus.asp?pGB=1&amp;gicode=A281820&amp;cID=&amp;MenuYn=Y&amp;ReportGB=&amp;NewMenuID=108&amp;stkGb=701", "케이씨텍")</f>
        <v>0</v>
      </c>
      <c r="E600">
        <v>1</v>
      </c>
      <c r="F600">
        <v>29300</v>
      </c>
      <c r="G600">
        <v>-146.83</v>
      </c>
      <c r="H600">
        <v>14.41</v>
      </c>
      <c r="I600">
        <v>30684</v>
      </c>
      <c r="J600">
        <v>22363</v>
      </c>
      <c r="K600">
        <v>19940</v>
      </c>
      <c r="L600">
        <v>-4.72</v>
      </c>
      <c r="M600">
        <v>23.67</v>
      </c>
      <c r="N600">
        <v>31.95</v>
      </c>
      <c r="O600">
        <v>15.12</v>
      </c>
      <c r="P600" t="b">
        <v>0</v>
      </c>
      <c r="Q600">
        <v>2</v>
      </c>
      <c r="R600">
        <v>2133</v>
      </c>
      <c r="S600">
        <v>2732</v>
      </c>
      <c r="T600">
        <v>28.1</v>
      </c>
      <c r="U600" t="s">
        <v>1992</v>
      </c>
      <c r="V600" t="s">
        <v>2671</v>
      </c>
      <c r="W600">
        <v>-0.0981408180264487</v>
      </c>
      <c r="X600">
        <v>14.8</v>
      </c>
      <c r="Y600" t="s">
        <v>3303</v>
      </c>
      <c r="Z600">
        <v>0</v>
      </c>
      <c r="AA600">
        <v>6112</v>
      </c>
      <c r="AB600">
        <v>192597</v>
      </c>
      <c r="AC600" t="s">
        <v>3976</v>
      </c>
      <c r="AD600">
        <v>49.44</v>
      </c>
      <c r="AE600" t="s">
        <v>4655</v>
      </c>
      <c r="AF600" t="s">
        <v>5298</v>
      </c>
      <c r="AG600">
        <v>3199</v>
      </c>
      <c r="AH600">
        <v>561</v>
      </c>
      <c r="AI600">
        <v>4778</v>
      </c>
      <c r="AJ600">
        <v>0.72</v>
      </c>
    </row>
    <row r="601" spans="1:36">
      <c r="A601" s="1" t="s">
        <v>635</v>
      </c>
      <c r="B601" t="s">
        <v>1314</v>
      </c>
      <c r="C601">
        <f>HYPERLINK("https://finance.naver.com/item/coinfo.nhn?code=097950", "A097950")</f>
        <v>0</v>
      </c>
      <c r="D601">
        <f>HYPERLINK("http://comp.fnguide.com/SVO2/ASP/SVD_Consensus.asp?pGB=1&amp;gicode=A097950&amp;cID=&amp;MenuYn=Y&amp;ReportGB=&amp;NewMenuID=108&amp;stkGb=701", "CJ제일제당")</f>
        <v>0</v>
      </c>
      <c r="E601">
        <v>1</v>
      </c>
      <c r="F601">
        <v>454000</v>
      </c>
      <c r="G601">
        <v>-0.8</v>
      </c>
      <c r="H601">
        <v>9.1</v>
      </c>
      <c r="I601">
        <v>496842</v>
      </c>
      <c r="J601">
        <v>414897</v>
      </c>
      <c r="K601">
        <v>391028</v>
      </c>
      <c r="L601">
        <v>-9.44</v>
      </c>
      <c r="M601">
        <v>8.609999999999999</v>
      </c>
      <c r="N601">
        <v>13.87</v>
      </c>
      <c r="O601">
        <v>11.38</v>
      </c>
      <c r="P601" t="b">
        <v>1</v>
      </c>
      <c r="Q601">
        <v>0</v>
      </c>
      <c r="R601">
        <v>41851</v>
      </c>
      <c r="S601">
        <v>37635</v>
      </c>
      <c r="T601">
        <v>-10.1</v>
      </c>
      <c r="U601" t="s">
        <v>1993</v>
      </c>
      <c r="V601" t="s">
        <v>2672</v>
      </c>
      <c r="W601">
        <v>-11.42583458533694</v>
      </c>
      <c r="X601">
        <v>349.4</v>
      </c>
      <c r="Y601" t="s">
        <v>3304</v>
      </c>
      <c r="Z601">
        <v>26.22897184607993</v>
      </c>
      <c r="AA601">
        <v>68346</v>
      </c>
      <c r="AB601">
        <v>97157</v>
      </c>
      <c r="AC601" t="s">
        <v>3977</v>
      </c>
      <c r="AD601">
        <v>45.51</v>
      </c>
      <c r="AE601" t="s">
        <v>4656</v>
      </c>
      <c r="AF601" t="s">
        <v>5299</v>
      </c>
      <c r="AG601">
        <v>242457</v>
      </c>
      <c r="AH601">
        <v>13596</v>
      </c>
      <c r="AI601">
        <v>357302</v>
      </c>
      <c r="AJ601">
        <v>1.05</v>
      </c>
    </row>
    <row r="602" spans="1:36">
      <c r="A602" s="1" t="s">
        <v>636</v>
      </c>
      <c r="B602" t="s">
        <v>1315</v>
      </c>
      <c r="C602">
        <f>HYPERLINK("https://finance.naver.com/item/coinfo.nhn?code=347770", "A347770")</f>
        <v>0</v>
      </c>
      <c r="D602">
        <f>HYPERLINK("http://comp.fnguide.com/SVO2/ASP/SVD_Consensus.asp?pGB=1&amp;gicode=A347770&amp;cID=&amp;MenuYn=Y&amp;ReportGB=&amp;NewMenuID=108&amp;stkGb=701", "핌스")</f>
        <v>0</v>
      </c>
      <c r="E602">
        <v>1</v>
      </c>
      <c r="F602">
        <v>19650</v>
      </c>
      <c r="G602">
        <v>9.279999999999999</v>
      </c>
      <c r="H602">
        <v>19.37</v>
      </c>
      <c r="I602">
        <v>21342</v>
      </c>
      <c r="J602">
        <v>12447</v>
      </c>
      <c r="K602">
        <v>9856</v>
      </c>
      <c r="L602">
        <v>-8.609999999999999</v>
      </c>
      <c r="M602">
        <v>36.65</v>
      </c>
      <c r="N602">
        <v>49.84</v>
      </c>
      <c r="O602">
        <v>27.55</v>
      </c>
      <c r="P602" t="b">
        <v>1</v>
      </c>
      <c r="Q602">
        <v>1</v>
      </c>
      <c r="R602">
        <v>816</v>
      </c>
      <c r="S602">
        <v>1152</v>
      </c>
      <c r="T602">
        <v>41.2</v>
      </c>
      <c r="U602" t="s">
        <v>1994</v>
      </c>
      <c r="V602" t="s">
        <v>2673</v>
      </c>
      <c r="W602">
        <v>2.08783552825369</v>
      </c>
      <c r="X602">
        <v>-73.90000000000001</v>
      </c>
      <c r="Y602" t="s">
        <v>3305</v>
      </c>
      <c r="Z602">
        <v>0</v>
      </c>
      <c r="AA602">
        <v>1475</v>
      </c>
      <c r="AB602">
        <v>118675</v>
      </c>
      <c r="AC602" t="s">
        <v>3978</v>
      </c>
      <c r="AD602">
        <v>40.11</v>
      </c>
      <c r="AE602" t="s">
        <v>4657</v>
      </c>
      <c r="AF602" t="s">
        <v>5300</v>
      </c>
      <c r="AG602">
        <v>405</v>
      </c>
      <c r="AH602">
        <v>41</v>
      </c>
    </row>
    <row r="603" spans="1:36">
      <c r="A603" s="1" t="s">
        <v>637</v>
      </c>
      <c r="B603" t="s">
        <v>1316</v>
      </c>
      <c r="C603">
        <f>HYPERLINK("https://finance.naver.com/item/coinfo.nhn?code=161890", "A161890")</f>
        <v>0</v>
      </c>
      <c r="D603">
        <f>HYPERLINK("http://comp.fnguide.com/SVO2/ASP/SVD_Consensus.asp?pGB=1&amp;gicode=A161890&amp;cID=&amp;MenuYn=Y&amp;ReportGB=&amp;NewMenuID=108&amp;stkGb=701", "한국콜마")</f>
        <v>0</v>
      </c>
      <c r="E603">
        <v>1</v>
      </c>
      <c r="F603">
        <v>57000</v>
      </c>
      <c r="G603">
        <v>0.45</v>
      </c>
      <c r="H603">
        <v>7.27</v>
      </c>
      <c r="I603">
        <v>61884</v>
      </c>
      <c r="J603">
        <v>41317</v>
      </c>
      <c r="K603">
        <v>35327</v>
      </c>
      <c r="L603">
        <v>-8.57</v>
      </c>
      <c r="M603">
        <v>27.51</v>
      </c>
      <c r="N603">
        <v>38.02</v>
      </c>
      <c r="O603">
        <v>18.66</v>
      </c>
      <c r="P603" t="b">
        <v>1</v>
      </c>
      <c r="Q603">
        <v>0</v>
      </c>
      <c r="R603">
        <v>7004</v>
      </c>
      <c r="S603">
        <v>3061</v>
      </c>
      <c r="T603">
        <v>-56.3</v>
      </c>
      <c r="U603" t="s">
        <v>1995</v>
      </c>
      <c r="V603" t="s">
        <v>2674</v>
      </c>
      <c r="W603">
        <v>16.16122167173775</v>
      </c>
      <c r="X603">
        <v>445.3</v>
      </c>
      <c r="Y603" t="s">
        <v>3306</v>
      </c>
      <c r="Z603">
        <v>26.54227644390881</v>
      </c>
      <c r="AA603">
        <v>13042</v>
      </c>
      <c r="AB603">
        <v>100551</v>
      </c>
      <c r="AC603" t="s">
        <v>3979</v>
      </c>
      <c r="AD603">
        <v>30.26</v>
      </c>
      <c r="AE603" t="s">
        <v>4658</v>
      </c>
      <c r="AF603" t="s">
        <v>5301</v>
      </c>
      <c r="AG603">
        <v>13221</v>
      </c>
      <c r="AH603">
        <v>1217</v>
      </c>
      <c r="AJ603">
        <v>0.68</v>
      </c>
    </row>
    <row r="604" spans="1:36">
      <c r="A604" s="1" t="s">
        <v>638</v>
      </c>
      <c r="B604" t="s">
        <v>1317</v>
      </c>
      <c r="C604">
        <f>HYPERLINK("https://finance.naver.com/item/coinfo.nhn?code=282880", "A282880")</f>
        <v>0</v>
      </c>
      <c r="D604">
        <f>HYPERLINK("http://comp.fnguide.com/SVO2/ASP/SVD_Consensus.asp?pGB=1&amp;gicode=A282880&amp;cID=&amp;MenuYn=Y&amp;ReportGB=&amp;NewMenuID=108&amp;stkGb=701", "코윈테크")</f>
        <v>0</v>
      </c>
      <c r="E604">
        <v>1</v>
      </c>
      <c r="F604">
        <v>23200</v>
      </c>
      <c r="G604">
        <v>10.29</v>
      </c>
      <c r="H604">
        <v>87.65000000000001</v>
      </c>
      <c r="I604">
        <v>27874</v>
      </c>
      <c r="J604">
        <v>17747</v>
      </c>
      <c r="K604">
        <v>14798</v>
      </c>
      <c r="L604">
        <v>-20.15</v>
      </c>
      <c r="M604">
        <v>23.5</v>
      </c>
      <c r="N604">
        <v>36.22</v>
      </c>
      <c r="O604">
        <v>21.17</v>
      </c>
      <c r="P604" t="b">
        <v>0</v>
      </c>
      <c r="Q604">
        <v>1</v>
      </c>
      <c r="R604">
        <v>269</v>
      </c>
      <c r="S604">
        <v>1815</v>
      </c>
      <c r="T604">
        <v>574.7</v>
      </c>
      <c r="U604" t="s">
        <v>1996</v>
      </c>
      <c r="V604" t="s">
        <v>2675</v>
      </c>
      <c r="W604">
        <v>8.518688902700067</v>
      </c>
      <c r="X604">
        <v>42.2</v>
      </c>
      <c r="Y604" t="s">
        <v>3307</v>
      </c>
      <c r="Z604">
        <v>3.155932407561979</v>
      </c>
      <c r="AA604">
        <v>2198</v>
      </c>
      <c r="AB604">
        <v>35963</v>
      </c>
      <c r="AC604" t="s">
        <v>3980</v>
      </c>
      <c r="AD604">
        <v>24.17</v>
      </c>
      <c r="AE604" t="s">
        <v>4659</v>
      </c>
      <c r="AF604" t="s">
        <v>5302</v>
      </c>
      <c r="AG604">
        <v>454</v>
      </c>
      <c r="AH604">
        <v>6</v>
      </c>
      <c r="AI604">
        <v>292443</v>
      </c>
      <c r="AJ604">
        <v>0.83</v>
      </c>
    </row>
    <row r="605" spans="1:36">
      <c r="A605" s="1" t="s">
        <v>639</v>
      </c>
      <c r="B605" t="s">
        <v>1318</v>
      </c>
      <c r="C605">
        <f>HYPERLINK("https://finance.naver.com/item/coinfo.nhn?code=251970", "A251970")</f>
        <v>0</v>
      </c>
      <c r="D605">
        <f>HYPERLINK("http://comp.fnguide.com/SVO2/ASP/SVD_Consensus.asp?pGB=1&amp;gicode=A251970&amp;cID=&amp;MenuYn=Y&amp;ReportGB=&amp;NewMenuID=108&amp;stkGb=701", "펌텍코리아")</f>
        <v>0</v>
      </c>
      <c r="E605">
        <v>1</v>
      </c>
      <c r="F605">
        <v>22100</v>
      </c>
      <c r="G605">
        <v>3.95</v>
      </c>
      <c r="H605">
        <v>9.98</v>
      </c>
      <c r="I605">
        <v>30169</v>
      </c>
      <c r="J605">
        <v>20959</v>
      </c>
      <c r="K605">
        <v>18276</v>
      </c>
      <c r="L605">
        <v>-36.51</v>
      </c>
      <c r="M605">
        <v>5.16</v>
      </c>
      <c r="N605">
        <v>17.3</v>
      </c>
      <c r="O605">
        <v>16.91</v>
      </c>
      <c r="P605" t="b">
        <v>1</v>
      </c>
      <c r="Q605">
        <v>1</v>
      </c>
      <c r="R605">
        <v>1577</v>
      </c>
      <c r="S605">
        <v>1839</v>
      </c>
      <c r="T605">
        <v>16.6</v>
      </c>
      <c r="U605" t="s">
        <v>1997</v>
      </c>
      <c r="V605" t="s">
        <v>2676</v>
      </c>
      <c r="W605">
        <v>2.527705887344922</v>
      </c>
      <c r="X605">
        <v>-5</v>
      </c>
      <c r="Y605" t="s">
        <v>3308</v>
      </c>
      <c r="Z605">
        <v>-5.209706925712199</v>
      </c>
      <c r="AA605">
        <v>2740</v>
      </c>
      <c r="AB605">
        <v>66875</v>
      </c>
      <c r="AC605" t="s">
        <v>3981</v>
      </c>
      <c r="AD605">
        <v>61.4</v>
      </c>
      <c r="AE605" t="s">
        <v>4660</v>
      </c>
      <c r="AF605" t="s">
        <v>5303</v>
      </c>
      <c r="AG605">
        <v>1968</v>
      </c>
      <c r="AH605">
        <v>274</v>
      </c>
      <c r="AI605">
        <v>287382</v>
      </c>
      <c r="AJ605">
        <v>2.73</v>
      </c>
    </row>
    <row r="606" spans="1:36">
      <c r="A606" s="1" t="s">
        <v>640</v>
      </c>
      <c r="B606" t="s">
        <v>1319</v>
      </c>
      <c r="C606">
        <f>HYPERLINK("https://finance.naver.com/item/coinfo.nhn?code=007700", "A007700")</f>
        <v>0</v>
      </c>
      <c r="D606">
        <f>HYPERLINK("http://comp.fnguide.com/SVO2/ASP/SVD_Consensus.asp?pGB=1&amp;gicode=A007700&amp;cID=&amp;MenuYn=Y&amp;ReportGB=&amp;NewMenuID=108&amp;stkGb=701", "F&amp;F")</f>
        <v>0</v>
      </c>
      <c r="E606">
        <v>1</v>
      </c>
      <c r="F606">
        <v>180000</v>
      </c>
      <c r="G606">
        <v>0.55</v>
      </c>
      <c r="H606">
        <v>15.15</v>
      </c>
      <c r="I606">
        <v>192175</v>
      </c>
      <c r="J606">
        <v>120786</v>
      </c>
      <c r="K606">
        <v>99991</v>
      </c>
      <c r="L606">
        <v>-6.76</v>
      </c>
      <c r="M606">
        <v>32.9</v>
      </c>
      <c r="N606">
        <v>44.45</v>
      </c>
      <c r="O606">
        <v>21.95</v>
      </c>
      <c r="P606" t="b">
        <v>1</v>
      </c>
      <c r="Q606">
        <v>1</v>
      </c>
      <c r="R606">
        <v>5571</v>
      </c>
      <c r="S606">
        <v>14675</v>
      </c>
      <c r="T606">
        <v>163.4</v>
      </c>
      <c r="U606" t="s">
        <v>1998</v>
      </c>
      <c r="V606" t="s">
        <v>2677</v>
      </c>
      <c r="W606">
        <v>27.45243334447169</v>
      </c>
      <c r="X606">
        <v>-22.2</v>
      </c>
      <c r="Y606" t="s">
        <v>3309</v>
      </c>
      <c r="Z606">
        <v>47.10658492935175</v>
      </c>
      <c r="AA606">
        <v>27720</v>
      </c>
      <c r="AB606">
        <v>0</v>
      </c>
      <c r="AC606" t="s">
        <v>3982</v>
      </c>
      <c r="AD606">
        <v>58.82</v>
      </c>
      <c r="AE606" t="s">
        <v>4661</v>
      </c>
      <c r="AF606" t="s">
        <v>5304</v>
      </c>
      <c r="AG606">
        <v>8376</v>
      </c>
      <c r="AH606">
        <v>1226</v>
      </c>
      <c r="AI606">
        <v>79896</v>
      </c>
      <c r="AJ606">
        <v>1.18</v>
      </c>
    </row>
    <row r="607" spans="1:36">
      <c r="A607" s="1" t="s">
        <v>641</v>
      </c>
      <c r="B607" t="s">
        <v>1320</v>
      </c>
      <c r="C607">
        <f>HYPERLINK("https://finance.naver.com/item/coinfo.nhn?code=021240", "A021240")</f>
        <v>0</v>
      </c>
      <c r="D607">
        <f>HYPERLINK("http://comp.fnguide.com/SVO2/ASP/SVD_Consensus.asp?pGB=1&amp;gicode=A021240&amp;cID=&amp;MenuYn=Y&amp;ReportGB=&amp;NewMenuID=108&amp;stkGb=701", "코웨이")</f>
        <v>0</v>
      </c>
      <c r="E607">
        <v>1</v>
      </c>
      <c r="F607">
        <v>78000</v>
      </c>
      <c r="G607">
        <v>1.37</v>
      </c>
      <c r="H607">
        <v>13.25</v>
      </c>
      <c r="I607">
        <v>79119</v>
      </c>
      <c r="J607">
        <v>44334</v>
      </c>
      <c r="K607">
        <v>34201</v>
      </c>
      <c r="L607">
        <v>-1.43</v>
      </c>
      <c r="M607">
        <v>43.16</v>
      </c>
      <c r="N607">
        <v>56.15</v>
      </c>
      <c r="O607">
        <v>31.64</v>
      </c>
      <c r="P607" t="b">
        <v>1</v>
      </c>
      <c r="Q607">
        <v>2</v>
      </c>
      <c r="R607">
        <v>5486</v>
      </c>
      <c r="S607">
        <v>6251</v>
      </c>
      <c r="T607">
        <v>13.9</v>
      </c>
      <c r="U607" t="s">
        <v>1999</v>
      </c>
      <c r="V607" t="s">
        <v>2678</v>
      </c>
      <c r="W607">
        <v>9.694132991415527</v>
      </c>
      <c r="X607">
        <v>21.6</v>
      </c>
      <c r="Y607" t="s">
        <v>3310</v>
      </c>
      <c r="Z607">
        <v>4.278529462322522</v>
      </c>
      <c r="AA607">
        <v>57564</v>
      </c>
      <c r="AB607">
        <v>702469</v>
      </c>
      <c r="AC607" t="s">
        <v>3983</v>
      </c>
      <c r="AD607">
        <v>25.11</v>
      </c>
      <c r="AE607" t="s">
        <v>4662</v>
      </c>
      <c r="AF607" t="s">
        <v>5305</v>
      </c>
      <c r="AG607">
        <v>32374</v>
      </c>
      <c r="AH607">
        <v>6064</v>
      </c>
      <c r="AI607">
        <v>1243994</v>
      </c>
      <c r="AJ607">
        <v>1.65</v>
      </c>
    </row>
    <row r="608" spans="1:36">
      <c r="A608" s="1" t="s">
        <v>642</v>
      </c>
      <c r="B608" t="s">
        <v>1321</v>
      </c>
      <c r="C608">
        <f>HYPERLINK("https://finance.naver.com/item/coinfo.nhn?code=170790", "A170790")</f>
        <v>0</v>
      </c>
      <c r="D608">
        <f>HYPERLINK("http://comp.fnguide.com/SVO2/ASP/SVD_Consensus.asp?pGB=1&amp;gicode=A170790&amp;cID=&amp;MenuYn=Y&amp;ReportGB=&amp;NewMenuID=108&amp;stkGb=701", "파이오링크")</f>
        <v>0</v>
      </c>
      <c r="E608">
        <v>1</v>
      </c>
      <c r="F608">
        <v>13050</v>
      </c>
      <c r="G608">
        <v>0</v>
      </c>
      <c r="H608">
        <v>8.77</v>
      </c>
      <c r="I608">
        <v>16239</v>
      </c>
      <c r="J608">
        <v>11217</v>
      </c>
      <c r="K608">
        <v>9755</v>
      </c>
      <c r="L608">
        <v>-24.44</v>
      </c>
      <c r="M608">
        <v>14.04</v>
      </c>
      <c r="N608">
        <v>25.25</v>
      </c>
      <c r="O608">
        <v>17.15</v>
      </c>
      <c r="P608" t="b">
        <v>1</v>
      </c>
      <c r="Q608">
        <v>0</v>
      </c>
      <c r="R608">
        <v>1557</v>
      </c>
      <c r="U608" t="s">
        <v>2000</v>
      </c>
      <c r="V608" t="s">
        <v>2679</v>
      </c>
      <c r="W608">
        <v>0</v>
      </c>
      <c r="X608">
        <v>28.3</v>
      </c>
      <c r="Y608" t="s">
        <v>3311</v>
      </c>
      <c r="Z608">
        <v>235.4437489535029</v>
      </c>
      <c r="AA608">
        <v>895</v>
      </c>
      <c r="AB608">
        <v>40224</v>
      </c>
      <c r="AC608" t="s">
        <v>3984</v>
      </c>
      <c r="AD608">
        <v>39.28</v>
      </c>
      <c r="AE608" t="s">
        <v>4663</v>
      </c>
      <c r="AF608" t="s">
        <v>5306</v>
      </c>
      <c r="AG608">
        <v>398</v>
      </c>
      <c r="AH608">
        <v>65</v>
      </c>
      <c r="AI608">
        <v>176221</v>
      </c>
      <c r="AJ608">
        <v>1.1</v>
      </c>
    </row>
    <row r="609" spans="1:36">
      <c r="A609" s="1" t="s">
        <v>643</v>
      </c>
      <c r="B609" t="s">
        <v>1322</v>
      </c>
      <c r="C609">
        <f>HYPERLINK("https://finance.naver.com/item/coinfo.nhn?code=003070", "A003070")</f>
        <v>0</v>
      </c>
      <c r="D609">
        <f>HYPERLINK("http://comp.fnguide.com/SVO2/ASP/SVD_Consensus.asp?pGB=1&amp;gicode=A003070&amp;cID=&amp;MenuYn=Y&amp;ReportGB=&amp;NewMenuID=108&amp;stkGb=701", "코오롱글로벌")</f>
        <v>0</v>
      </c>
      <c r="E609">
        <v>1</v>
      </c>
      <c r="F609">
        <v>26500</v>
      </c>
      <c r="G609">
        <v>0.06</v>
      </c>
      <c r="H609">
        <v>5.96</v>
      </c>
      <c r="I609">
        <v>27966</v>
      </c>
      <c r="J609">
        <v>22553</v>
      </c>
      <c r="K609">
        <v>20976</v>
      </c>
      <c r="L609">
        <v>-5.53</v>
      </c>
      <c r="M609">
        <v>14.89</v>
      </c>
      <c r="N609">
        <v>20.84</v>
      </c>
      <c r="O609">
        <v>12.19</v>
      </c>
      <c r="P609" t="b">
        <v>1</v>
      </c>
      <c r="Q609">
        <v>3</v>
      </c>
      <c r="R609">
        <v>3238</v>
      </c>
      <c r="S609">
        <v>5079</v>
      </c>
      <c r="T609">
        <v>56.9</v>
      </c>
      <c r="U609" t="s">
        <v>2001</v>
      </c>
      <c r="V609" t="s">
        <v>2680</v>
      </c>
      <c r="W609">
        <v>99.58821809350344</v>
      </c>
      <c r="X609">
        <v>129.5</v>
      </c>
      <c r="Y609" t="s">
        <v>3312</v>
      </c>
      <c r="Z609">
        <v>82.84561079676547</v>
      </c>
      <c r="AA609">
        <v>6681</v>
      </c>
      <c r="AB609">
        <v>111706</v>
      </c>
      <c r="AC609" t="s">
        <v>3985</v>
      </c>
      <c r="AD609">
        <v>76.65000000000001</v>
      </c>
      <c r="AE609" t="s">
        <v>4664</v>
      </c>
      <c r="AF609" t="s">
        <v>5307</v>
      </c>
      <c r="AG609">
        <v>39282</v>
      </c>
      <c r="AH609">
        <v>1763</v>
      </c>
      <c r="AI609">
        <v>84095</v>
      </c>
      <c r="AJ609">
        <v>2.07</v>
      </c>
    </row>
    <row r="610" spans="1:36">
      <c r="A610" s="1" t="s">
        <v>644</v>
      </c>
      <c r="B610" t="s">
        <v>1323</v>
      </c>
      <c r="C610">
        <f>HYPERLINK("https://finance.naver.com/item/coinfo.nhn?code=110790", "A110790")</f>
        <v>0</v>
      </c>
      <c r="D610">
        <f>HYPERLINK("http://comp.fnguide.com/SVO2/ASP/SVD_Consensus.asp?pGB=1&amp;gicode=A110790&amp;cID=&amp;MenuYn=Y&amp;ReportGB=&amp;NewMenuID=108&amp;stkGb=701", "크리스에프앤씨")</f>
        <v>0</v>
      </c>
      <c r="E610">
        <v>1</v>
      </c>
      <c r="F610">
        <v>40450</v>
      </c>
      <c r="G610">
        <v>0</v>
      </c>
      <c r="H610">
        <v>7.86</v>
      </c>
      <c r="I610">
        <v>42678</v>
      </c>
      <c r="J610">
        <v>30494</v>
      </c>
      <c r="K610">
        <v>26946</v>
      </c>
      <c r="L610">
        <v>-5.51</v>
      </c>
      <c r="M610">
        <v>24.61</v>
      </c>
      <c r="N610">
        <v>33.39</v>
      </c>
      <c r="O610">
        <v>15.83</v>
      </c>
      <c r="P610" t="b">
        <v>1</v>
      </c>
      <c r="Q610">
        <v>0</v>
      </c>
      <c r="R610">
        <v>3301</v>
      </c>
      <c r="U610" t="s">
        <v>2002</v>
      </c>
      <c r="V610" t="s">
        <v>2681</v>
      </c>
      <c r="W610">
        <v>0</v>
      </c>
      <c r="X610">
        <v>55.8</v>
      </c>
      <c r="Y610" t="s">
        <v>3313</v>
      </c>
      <c r="Z610">
        <v>3.773491194748391</v>
      </c>
      <c r="AA610">
        <v>4739</v>
      </c>
      <c r="AB610">
        <v>64545</v>
      </c>
      <c r="AC610" t="s">
        <v>3986</v>
      </c>
      <c r="AD610">
        <v>40.12</v>
      </c>
      <c r="AE610" t="s">
        <v>4665</v>
      </c>
      <c r="AF610" t="s">
        <v>5308</v>
      </c>
      <c r="AG610">
        <v>2924</v>
      </c>
      <c r="AH610">
        <v>498</v>
      </c>
      <c r="AI610">
        <v>874441</v>
      </c>
      <c r="AJ610">
        <v>2.85</v>
      </c>
    </row>
    <row r="611" spans="1:36">
      <c r="A611" s="1" t="s">
        <v>645</v>
      </c>
      <c r="B611" t="s">
        <v>1324</v>
      </c>
      <c r="C611">
        <f>HYPERLINK("https://finance.naver.com/item/coinfo.nhn?code=047310", "A047310")</f>
        <v>0</v>
      </c>
      <c r="D611">
        <f>HYPERLINK("http://comp.fnguide.com/SVO2/ASP/SVD_Consensus.asp?pGB=1&amp;gicode=A047310&amp;cID=&amp;MenuYn=Y&amp;ReportGB=&amp;NewMenuID=108&amp;stkGb=701", "파워로직스")</f>
        <v>0</v>
      </c>
      <c r="E611">
        <v>1</v>
      </c>
      <c r="F611">
        <v>7850</v>
      </c>
      <c r="G611">
        <v>0</v>
      </c>
      <c r="I611">
        <v>8182</v>
      </c>
      <c r="J611">
        <v>6935</v>
      </c>
      <c r="K611">
        <v>6572</v>
      </c>
      <c r="L611">
        <v>-4.22</v>
      </c>
      <c r="M611">
        <v>11.65</v>
      </c>
      <c r="N611">
        <v>16.27</v>
      </c>
      <c r="O611">
        <v>11.05</v>
      </c>
      <c r="P611" t="b">
        <v>0</v>
      </c>
      <c r="Q611">
        <v>0</v>
      </c>
      <c r="R611">
        <v>-720</v>
      </c>
      <c r="U611" t="s">
        <v>2003</v>
      </c>
      <c r="V611" t="s">
        <v>2682</v>
      </c>
      <c r="W611">
        <v>0</v>
      </c>
      <c r="X611">
        <v>0</v>
      </c>
      <c r="Y611" t="s">
        <v>3314</v>
      </c>
      <c r="Z611">
        <v>78.73607819767912</v>
      </c>
      <c r="AA611">
        <v>2702</v>
      </c>
      <c r="AB611">
        <v>137906</v>
      </c>
      <c r="AC611" t="s">
        <v>3987</v>
      </c>
      <c r="AD611">
        <v>33.61</v>
      </c>
      <c r="AE611" t="s">
        <v>4666</v>
      </c>
      <c r="AF611" t="s">
        <v>5309</v>
      </c>
      <c r="AG611">
        <v>9272</v>
      </c>
      <c r="AH611">
        <v>-262</v>
      </c>
    </row>
    <row r="612" spans="1:36">
      <c r="A612" s="1" t="s">
        <v>646</v>
      </c>
      <c r="B612" t="s">
        <v>1325</v>
      </c>
      <c r="C612">
        <f>HYPERLINK("https://finance.naver.com/item/coinfo.nhn?code=045520", "A045520")</f>
        <v>0</v>
      </c>
      <c r="D612">
        <f>HYPERLINK("http://comp.fnguide.com/SVO2/ASP/SVD_Consensus.asp?pGB=1&amp;gicode=A045520&amp;cID=&amp;MenuYn=Y&amp;ReportGB=&amp;NewMenuID=108&amp;stkGb=701", "크린앤사이언스")</f>
        <v>0</v>
      </c>
      <c r="E612">
        <v>1</v>
      </c>
      <c r="F612">
        <v>23150</v>
      </c>
      <c r="G612">
        <v>0</v>
      </c>
      <c r="H612">
        <v>14.5</v>
      </c>
      <c r="I612">
        <v>25654</v>
      </c>
      <c r="J612">
        <v>15592</v>
      </c>
      <c r="K612">
        <v>12661</v>
      </c>
      <c r="L612">
        <v>-10.82</v>
      </c>
      <c r="M612">
        <v>32.65</v>
      </c>
      <c r="N612">
        <v>45.31</v>
      </c>
      <c r="O612">
        <v>24.2</v>
      </c>
      <c r="P612" t="b">
        <v>1</v>
      </c>
      <c r="Q612">
        <v>0</v>
      </c>
      <c r="R612">
        <v>2059</v>
      </c>
      <c r="U612" t="s">
        <v>2004</v>
      </c>
      <c r="V612" t="s">
        <v>2683</v>
      </c>
      <c r="W612">
        <v>0</v>
      </c>
      <c r="X612">
        <v>64.90000000000001</v>
      </c>
      <c r="Y612" t="s">
        <v>3315</v>
      </c>
      <c r="Z612">
        <v>30.2328851304801</v>
      </c>
      <c r="AA612">
        <v>1505</v>
      </c>
      <c r="AB612">
        <v>258432</v>
      </c>
      <c r="AC612" t="s">
        <v>3988</v>
      </c>
      <c r="AD612">
        <v>32.66</v>
      </c>
      <c r="AE612" t="s">
        <v>4667</v>
      </c>
      <c r="AF612" t="s">
        <v>5310</v>
      </c>
      <c r="AG612">
        <v>1505</v>
      </c>
      <c r="AH612">
        <v>189</v>
      </c>
      <c r="AI612">
        <v>383000</v>
      </c>
      <c r="AJ612">
        <v>1.68</v>
      </c>
    </row>
    <row r="613" spans="1:36">
      <c r="A613" s="1" t="s">
        <v>647</v>
      </c>
      <c r="B613" t="s">
        <v>1326</v>
      </c>
      <c r="C613">
        <f>HYPERLINK("https://finance.naver.com/item/coinfo.nhn?code=130660", "A130660")</f>
        <v>0</v>
      </c>
      <c r="D613">
        <f>HYPERLINK("http://comp.fnguide.com/SVO2/ASP/SVD_Consensus.asp?pGB=1&amp;gicode=A130660&amp;cID=&amp;MenuYn=Y&amp;ReportGB=&amp;NewMenuID=108&amp;stkGb=701", "한전산업")</f>
        <v>0</v>
      </c>
      <c r="E613">
        <v>1</v>
      </c>
      <c r="F613">
        <v>5090</v>
      </c>
      <c r="G613">
        <v>0</v>
      </c>
      <c r="H613">
        <v>11.37</v>
      </c>
      <c r="I613">
        <v>5539</v>
      </c>
      <c r="J613">
        <v>3765</v>
      </c>
      <c r="K613">
        <v>3248</v>
      </c>
      <c r="L613">
        <v>-8.83</v>
      </c>
      <c r="M613">
        <v>26.03</v>
      </c>
      <c r="N613">
        <v>36.18</v>
      </c>
      <c r="O613">
        <v>17.84</v>
      </c>
      <c r="P613" t="b">
        <v>1</v>
      </c>
      <c r="Q613">
        <v>0</v>
      </c>
      <c r="R613">
        <v>419</v>
      </c>
      <c r="U613" t="s">
        <v>2005</v>
      </c>
      <c r="V613" t="s">
        <v>2684</v>
      </c>
      <c r="W613">
        <v>0</v>
      </c>
      <c r="X613">
        <v>-19</v>
      </c>
      <c r="Y613" t="s">
        <v>3316</v>
      </c>
      <c r="Z613">
        <v>10.79390703711747</v>
      </c>
      <c r="AA613">
        <v>1659</v>
      </c>
      <c r="AB613">
        <v>216658</v>
      </c>
      <c r="AC613" t="s">
        <v>3989</v>
      </c>
      <c r="AD613">
        <v>31</v>
      </c>
      <c r="AE613" t="s">
        <v>4668</v>
      </c>
      <c r="AF613" t="s">
        <v>5311</v>
      </c>
      <c r="AG613">
        <v>3293</v>
      </c>
      <c r="AH613">
        <v>190</v>
      </c>
      <c r="AJ613">
        <v>4.37</v>
      </c>
    </row>
    <row r="614" spans="1:36">
      <c r="A614" s="1" t="s">
        <v>648</v>
      </c>
      <c r="B614" t="s">
        <v>1327</v>
      </c>
      <c r="C614">
        <f>HYPERLINK("https://finance.naver.com/item/coinfo.nhn?code=021650", "A021650")</f>
        <v>0</v>
      </c>
      <c r="D614">
        <f>HYPERLINK("http://comp.fnguide.com/SVO2/ASP/SVD_Consensus.asp?pGB=1&amp;gicode=A021650&amp;cID=&amp;MenuYn=Y&amp;ReportGB=&amp;NewMenuID=108&amp;stkGb=701", "한국큐빅")</f>
        <v>0</v>
      </c>
      <c r="E614">
        <v>1</v>
      </c>
      <c r="F614">
        <v>4930</v>
      </c>
      <c r="G614">
        <v>0</v>
      </c>
      <c r="H614">
        <v>6.15</v>
      </c>
      <c r="I614">
        <v>5389</v>
      </c>
      <c r="J614">
        <v>4648</v>
      </c>
      <c r="K614">
        <v>4432</v>
      </c>
      <c r="L614">
        <v>-9.32</v>
      </c>
      <c r="M614">
        <v>5.72</v>
      </c>
      <c r="N614">
        <v>10.1</v>
      </c>
      <c r="O614">
        <v>10.7</v>
      </c>
      <c r="P614" t="b">
        <v>1</v>
      </c>
      <c r="Q614">
        <v>0</v>
      </c>
      <c r="R614">
        <v>643</v>
      </c>
      <c r="U614" t="s">
        <v>2006</v>
      </c>
      <c r="V614" t="s">
        <v>2685</v>
      </c>
      <c r="W614">
        <v>0</v>
      </c>
      <c r="X614">
        <v>213.9</v>
      </c>
      <c r="Y614" t="s">
        <v>3317</v>
      </c>
      <c r="Z614">
        <v>26.5889841868362</v>
      </c>
      <c r="AA614">
        <v>806</v>
      </c>
      <c r="AB614">
        <v>266954</v>
      </c>
      <c r="AC614" t="s">
        <v>3990</v>
      </c>
      <c r="AD614">
        <v>45.81</v>
      </c>
      <c r="AE614" t="s">
        <v>4669</v>
      </c>
      <c r="AF614" t="s">
        <v>5312</v>
      </c>
      <c r="AG614">
        <v>1707</v>
      </c>
      <c r="AH614">
        <v>118</v>
      </c>
      <c r="AI614">
        <v>100474</v>
      </c>
      <c r="AJ614">
        <v>1.27</v>
      </c>
    </row>
    <row r="615" spans="1:36">
      <c r="A615" s="1" t="s">
        <v>649</v>
      </c>
      <c r="B615" t="s">
        <v>1328</v>
      </c>
      <c r="C615">
        <f>HYPERLINK("https://finance.naver.com/item/coinfo.nhn?code=124560", "A124560")</f>
        <v>0</v>
      </c>
      <c r="D615">
        <f>HYPERLINK("http://comp.fnguide.com/SVO2/ASP/SVD_Consensus.asp?pGB=1&amp;gicode=A124560&amp;cID=&amp;MenuYn=Y&amp;ReportGB=&amp;NewMenuID=108&amp;stkGb=701", "태웅로직스")</f>
        <v>0</v>
      </c>
      <c r="E615">
        <v>1</v>
      </c>
      <c r="F615">
        <v>9350</v>
      </c>
      <c r="G615">
        <v>0.51</v>
      </c>
      <c r="H615">
        <v>12.87</v>
      </c>
      <c r="I615">
        <v>9441</v>
      </c>
      <c r="J615">
        <v>5702</v>
      </c>
      <c r="K615">
        <v>4613</v>
      </c>
      <c r="L615">
        <v>-0.98</v>
      </c>
      <c r="M615">
        <v>39.02</v>
      </c>
      <c r="N615">
        <v>50.66</v>
      </c>
      <c r="O615">
        <v>24.67</v>
      </c>
      <c r="P615" t="b">
        <v>0</v>
      </c>
      <c r="Q615">
        <v>1</v>
      </c>
      <c r="R615">
        <v>402</v>
      </c>
      <c r="S615">
        <v>962</v>
      </c>
      <c r="T615">
        <v>139.3</v>
      </c>
      <c r="U615" t="s">
        <v>2007</v>
      </c>
      <c r="V615" t="s">
        <v>2686</v>
      </c>
      <c r="W615">
        <v>25.12048510939444</v>
      </c>
      <c r="X615">
        <v>-36.3</v>
      </c>
      <c r="Y615" t="s">
        <v>3318</v>
      </c>
      <c r="Z615">
        <v>132.0328367690471</v>
      </c>
      <c r="AA615">
        <v>1827</v>
      </c>
      <c r="AB615">
        <v>2425738</v>
      </c>
      <c r="AC615" t="s">
        <v>3991</v>
      </c>
      <c r="AD615">
        <v>38.11</v>
      </c>
      <c r="AE615" t="s">
        <v>4670</v>
      </c>
      <c r="AF615" t="s">
        <v>5313</v>
      </c>
      <c r="AG615">
        <v>3413</v>
      </c>
      <c r="AH615">
        <v>147</v>
      </c>
      <c r="AI615">
        <v>750000</v>
      </c>
      <c r="AJ615">
        <v>0.97</v>
      </c>
    </row>
    <row r="616" spans="1:36">
      <c r="A616" s="1" t="s">
        <v>650</v>
      </c>
      <c r="B616" t="s">
        <v>1329</v>
      </c>
      <c r="C616">
        <f>HYPERLINK("https://finance.naver.com/item/coinfo.nhn?code=053610", "A053610")</f>
        <v>0</v>
      </c>
      <c r="D616">
        <f>HYPERLINK("http://comp.fnguide.com/SVO2/ASP/SVD_Consensus.asp?pGB=1&amp;gicode=A053610&amp;cID=&amp;MenuYn=Y&amp;ReportGB=&amp;NewMenuID=108&amp;stkGb=701", "프로텍")</f>
        <v>0</v>
      </c>
      <c r="E616">
        <v>1</v>
      </c>
      <c r="F616">
        <v>26900</v>
      </c>
      <c r="G616">
        <v>0</v>
      </c>
      <c r="H616">
        <v>26.36</v>
      </c>
      <c r="I616">
        <v>31318</v>
      </c>
      <c r="J616">
        <v>25255</v>
      </c>
      <c r="K616">
        <v>23489</v>
      </c>
      <c r="L616">
        <v>-16.42</v>
      </c>
      <c r="M616">
        <v>6.12</v>
      </c>
      <c r="N616">
        <v>12.68</v>
      </c>
      <c r="O616">
        <v>12.2</v>
      </c>
      <c r="P616" t="b">
        <v>1</v>
      </c>
      <c r="Q616">
        <v>0</v>
      </c>
      <c r="R616">
        <v>1040</v>
      </c>
      <c r="U616" t="s">
        <v>2008</v>
      </c>
      <c r="V616" t="s">
        <v>2687</v>
      </c>
      <c r="W616">
        <v>0</v>
      </c>
      <c r="X616">
        <v>-70.3</v>
      </c>
      <c r="Y616" t="s">
        <v>3319</v>
      </c>
      <c r="Z616">
        <v>-1.408227092202918</v>
      </c>
      <c r="AA616">
        <v>2959</v>
      </c>
      <c r="AB616">
        <v>49194</v>
      </c>
      <c r="AC616" t="s">
        <v>3992</v>
      </c>
      <c r="AD616">
        <v>29.9</v>
      </c>
      <c r="AE616" t="s">
        <v>4671</v>
      </c>
      <c r="AF616" t="s">
        <v>5314</v>
      </c>
      <c r="AG616">
        <v>865</v>
      </c>
      <c r="AH616">
        <v>154</v>
      </c>
      <c r="AI616">
        <v>1232000</v>
      </c>
      <c r="AJ616">
        <v>1.09</v>
      </c>
    </row>
    <row r="617" spans="1:36">
      <c r="A617" s="1" t="s">
        <v>651</v>
      </c>
      <c r="B617" t="s">
        <v>1330</v>
      </c>
      <c r="C617">
        <f>HYPERLINK("https://finance.naver.com/item/coinfo.nhn?code=241520", "A241520")</f>
        <v>0</v>
      </c>
      <c r="D617">
        <f>HYPERLINK("http://comp.fnguide.com/SVO2/ASP/SVD_Consensus.asp?pGB=1&amp;gicode=A241520&amp;cID=&amp;MenuYn=Y&amp;ReportGB=&amp;NewMenuID=108&amp;stkGb=701", "DSC인베스트먼트")</f>
        <v>0</v>
      </c>
      <c r="E617">
        <v>1</v>
      </c>
      <c r="F617">
        <v>6070</v>
      </c>
      <c r="G617">
        <v>0</v>
      </c>
      <c r="H617">
        <v>4.57</v>
      </c>
      <c r="I617">
        <v>9837</v>
      </c>
      <c r="J617">
        <v>5279</v>
      </c>
      <c r="K617">
        <v>3951</v>
      </c>
      <c r="L617">
        <v>-62.06</v>
      </c>
      <c r="M617">
        <v>13.03</v>
      </c>
      <c r="N617">
        <v>34.91</v>
      </c>
      <c r="O617">
        <v>37.38</v>
      </c>
      <c r="P617" t="b">
        <v>1</v>
      </c>
      <c r="Q617">
        <v>0</v>
      </c>
      <c r="R617">
        <v>870</v>
      </c>
      <c r="U617" t="s">
        <v>2009</v>
      </c>
      <c r="V617" t="s">
        <v>2688</v>
      </c>
      <c r="W617">
        <v>0</v>
      </c>
      <c r="Y617" t="s">
        <v>2823</v>
      </c>
      <c r="Z617">
        <v>25.78398603911176</v>
      </c>
      <c r="AA617">
        <v>1680</v>
      </c>
      <c r="AB617">
        <v>413627</v>
      </c>
      <c r="AC617" t="s">
        <v>3993</v>
      </c>
      <c r="AD617">
        <v>24.79</v>
      </c>
      <c r="AE617" t="s">
        <v>4672</v>
      </c>
      <c r="AF617" t="s">
        <v>5315</v>
      </c>
      <c r="AG617">
        <v>387</v>
      </c>
      <c r="AH617">
        <v>289</v>
      </c>
      <c r="AI617">
        <v>260753</v>
      </c>
    </row>
    <row r="618" spans="1:36">
      <c r="A618" s="1" t="s">
        <v>652</v>
      </c>
      <c r="B618" t="s">
        <v>1331</v>
      </c>
      <c r="C618">
        <f>HYPERLINK("https://finance.naver.com/item/coinfo.nhn?code=086280", "A086280")</f>
        <v>0</v>
      </c>
      <c r="D618">
        <f>HYPERLINK("http://comp.fnguide.com/SVO2/ASP/SVD_Consensus.asp?pGB=1&amp;gicode=A086280&amp;cID=&amp;MenuYn=Y&amp;ReportGB=&amp;NewMenuID=108&amp;stkGb=701", "현대글로비스")</f>
        <v>0</v>
      </c>
      <c r="E618">
        <v>1</v>
      </c>
      <c r="F618">
        <v>186000</v>
      </c>
      <c r="G618">
        <v>0.91</v>
      </c>
      <c r="H618">
        <v>11.38</v>
      </c>
      <c r="I618">
        <v>192948</v>
      </c>
      <c r="J618">
        <v>158575</v>
      </c>
      <c r="K618">
        <v>148563</v>
      </c>
      <c r="L618">
        <v>-3.74</v>
      </c>
      <c r="M618">
        <v>14.74</v>
      </c>
      <c r="N618">
        <v>20.13</v>
      </c>
      <c r="O618">
        <v>11.74</v>
      </c>
      <c r="P618" t="b">
        <v>0</v>
      </c>
      <c r="Q618">
        <v>3</v>
      </c>
      <c r="R618">
        <v>16165</v>
      </c>
      <c r="S618">
        <v>16582</v>
      </c>
      <c r="T618">
        <v>2.6</v>
      </c>
      <c r="U618" t="s">
        <v>2010</v>
      </c>
      <c r="V618" t="s">
        <v>2689</v>
      </c>
      <c r="W618">
        <v>12.47557443053098</v>
      </c>
      <c r="X618">
        <v>20.7</v>
      </c>
      <c r="Y618" t="s">
        <v>3320</v>
      </c>
      <c r="Z618">
        <v>9.98726983691467</v>
      </c>
      <c r="AA618">
        <v>69750</v>
      </c>
      <c r="AB618">
        <v>208071</v>
      </c>
      <c r="AC618" t="s">
        <v>3994</v>
      </c>
      <c r="AD618">
        <v>50.34</v>
      </c>
      <c r="AE618" t="s">
        <v>4673</v>
      </c>
      <c r="AF618" t="s">
        <v>5316</v>
      </c>
      <c r="AG618">
        <v>165199</v>
      </c>
      <c r="AH618">
        <v>6622</v>
      </c>
      <c r="AJ618">
        <v>1.9</v>
      </c>
    </row>
    <row r="619" spans="1:36">
      <c r="A619" s="1" t="s">
        <v>653</v>
      </c>
      <c r="B619" t="s">
        <v>1332</v>
      </c>
      <c r="C619">
        <f>HYPERLINK("https://finance.naver.com/item/coinfo.nhn?code=223250", "A223250")</f>
        <v>0</v>
      </c>
      <c r="D619">
        <f>HYPERLINK("http://comp.fnguide.com/SVO2/ASP/SVD_Consensus.asp?pGB=1&amp;gicode=A223250&amp;cID=&amp;MenuYn=Y&amp;ReportGB=&amp;NewMenuID=108&amp;stkGb=701", "드림씨아이에스")</f>
        <v>0</v>
      </c>
      <c r="E619">
        <v>1</v>
      </c>
      <c r="F619">
        <v>16850</v>
      </c>
      <c r="G619">
        <v>3.17</v>
      </c>
      <c r="H619">
        <v>19.93</v>
      </c>
      <c r="I619">
        <v>30575</v>
      </c>
      <c r="J619">
        <v>16289</v>
      </c>
      <c r="K619">
        <v>12127</v>
      </c>
      <c r="L619">
        <v>-81.45</v>
      </c>
      <c r="M619">
        <v>3.33</v>
      </c>
      <c r="N619">
        <v>28.03</v>
      </c>
      <c r="O619">
        <v>38.53</v>
      </c>
      <c r="P619" t="b">
        <v>1</v>
      </c>
      <c r="Q619">
        <v>1</v>
      </c>
      <c r="R619">
        <v>976</v>
      </c>
      <c r="S619">
        <v>1019</v>
      </c>
      <c r="T619">
        <v>4.4</v>
      </c>
      <c r="U619" t="s">
        <v>2011</v>
      </c>
      <c r="V619" t="s">
        <v>2690</v>
      </c>
      <c r="W619">
        <v>6.293915030482</v>
      </c>
      <c r="X619">
        <v>-5.4</v>
      </c>
      <c r="Y619" t="s">
        <v>3321</v>
      </c>
      <c r="Z619">
        <v>7.209607778407623</v>
      </c>
      <c r="AA619">
        <v>943</v>
      </c>
      <c r="AB619">
        <v>6988</v>
      </c>
      <c r="AC619" t="s">
        <v>3995</v>
      </c>
      <c r="AD619">
        <v>63.25</v>
      </c>
      <c r="AE619" t="s">
        <v>4674</v>
      </c>
      <c r="AF619" t="s">
        <v>5317</v>
      </c>
      <c r="AG619">
        <v>235</v>
      </c>
      <c r="AH619">
        <v>48</v>
      </c>
    </row>
    <row r="620" spans="1:36">
      <c r="A620" s="1" t="s">
        <v>654</v>
      </c>
      <c r="B620" t="s">
        <v>1333</v>
      </c>
      <c r="C620">
        <f>HYPERLINK("https://finance.naver.com/item/coinfo.nhn?code=129890", "A129890")</f>
        <v>0</v>
      </c>
      <c r="D620">
        <f>HYPERLINK("http://comp.fnguide.com/SVO2/ASP/SVD_Consensus.asp?pGB=1&amp;gicode=A129890&amp;cID=&amp;MenuYn=Y&amp;ReportGB=&amp;NewMenuID=108&amp;stkGb=701", "앱코")</f>
        <v>0</v>
      </c>
      <c r="E620">
        <v>1</v>
      </c>
      <c r="F620">
        <v>25400</v>
      </c>
      <c r="G620">
        <v>0.12</v>
      </c>
      <c r="H620">
        <v>11.99</v>
      </c>
      <c r="I620">
        <v>34881</v>
      </c>
      <c r="J620">
        <v>19049</v>
      </c>
      <c r="K620">
        <v>14437</v>
      </c>
      <c r="L620">
        <v>-37.33</v>
      </c>
      <c r="M620">
        <v>25</v>
      </c>
      <c r="N620">
        <v>43.16</v>
      </c>
      <c r="O620">
        <v>34.85</v>
      </c>
      <c r="P620" t="b">
        <v>1</v>
      </c>
      <c r="Q620">
        <v>3</v>
      </c>
      <c r="R620">
        <v>2319</v>
      </c>
      <c r="S620">
        <v>2797</v>
      </c>
      <c r="T620">
        <v>20.6</v>
      </c>
      <c r="U620" t="s">
        <v>2012</v>
      </c>
      <c r="V620" t="s">
        <v>2691</v>
      </c>
      <c r="W620">
        <v>98.63573210904238</v>
      </c>
      <c r="X620">
        <v>410</v>
      </c>
      <c r="Y620" t="s">
        <v>3322</v>
      </c>
      <c r="Z620">
        <v>0</v>
      </c>
      <c r="AA620">
        <v>2461</v>
      </c>
      <c r="AB620">
        <v>36184</v>
      </c>
      <c r="AC620" t="s">
        <v>3996</v>
      </c>
      <c r="AD620">
        <v>54.19</v>
      </c>
      <c r="AE620" t="s">
        <v>4675</v>
      </c>
      <c r="AF620" t="s">
        <v>5318</v>
      </c>
      <c r="AG620">
        <v>1532</v>
      </c>
      <c r="AH620">
        <v>235</v>
      </c>
    </row>
    <row r="621" spans="1:36">
      <c r="A621" s="1" t="s">
        <v>655</v>
      </c>
      <c r="B621" t="s">
        <v>1334</v>
      </c>
      <c r="C621">
        <f>HYPERLINK("https://finance.naver.com/item/coinfo.nhn?code=095660", "A095660")</f>
        <v>0</v>
      </c>
      <c r="D621">
        <f>HYPERLINK("http://comp.fnguide.com/SVO2/ASP/SVD_Consensus.asp?pGB=1&amp;gicode=A095660&amp;cID=&amp;MenuYn=Y&amp;ReportGB=&amp;NewMenuID=108&amp;stkGb=701", "네오위즈")</f>
        <v>0</v>
      </c>
      <c r="E621">
        <v>1</v>
      </c>
      <c r="F621">
        <v>25200</v>
      </c>
      <c r="G621">
        <v>0.36</v>
      </c>
      <c r="H621">
        <v>8.17</v>
      </c>
      <c r="I621">
        <v>28415</v>
      </c>
      <c r="J621">
        <v>22232</v>
      </c>
      <c r="K621">
        <v>20432</v>
      </c>
      <c r="L621">
        <v>-12.76</v>
      </c>
      <c r="M621">
        <v>11.78</v>
      </c>
      <c r="N621">
        <v>18.92</v>
      </c>
      <c r="O621">
        <v>12.97</v>
      </c>
      <c r="P621" t="b">
        <v>1</v>
      </c>
      <c r="Q621">
        <v>0</v>
      </c>
      <c r="R621">
        <v>2747</v>
      </c>
      <c r="S621">
        <v>2709</v>
      </c>
      <c r="T621">
        <v>-1.4</v>
      </c>
      <c r="U621" t="s">
        <v>2013</v>
      </c>
      <c r="V621" t="s">
        <v>2692</v>
      </c>
      <c r="W621">
        <v>22.80745957295487</v>
      </c>
      <c r="X621">
        <v>148.9</v>
      </c>
      <c r="Y621" t="s">
        <v>3323</v>
      </c>
      <c r="Z621">
        <v>37.08373353538339</v>
      </c>
      <c r="AA621">
        <v>5553</v>
      </c>
      <c r="AB621">
        <v>1677432</v>
      </c>
      <c r="AC621" t="s">
        <v>3997</v>
      </c>
      <c r="AD621">
        <v>37.36</v>
      </c>
      <c r="AE621" t="s">
        <v>4676</v>
      </c>
      <c r="AF621" t="s">
        <v>5319</v>
      </c>
      <c r="AG621">
        <v>2896</v>
      </c>
      <c r="AH621">
        <v>603</v>
      </c>
      <c r="AI621">
        <v>513172</v>
      </c>
    </row>
    <row r="622" spans="1:36">
      <c r="A622" s="1" t="s">
        <v>656</v>
      </c>
      <c r="B622" t="s">
        <v>1335</v>
      </c>
      <c r="C622">
        <f>HYPERLINK("https://finance.naver.com/item/coinfo.nhn?code=092730", "A092730")</f>
        <v>0</v>
      </c>
      <c r="D622">
        <f>HYPERLINK("http://comp.fnguide.com/SVO2/ASP/SVD_Consensus.asp?pGB=1&amp;gicode=A092730&amp;cID=&amp;MenuYn=Y&amp;ReportGB=&amp;NewMenuID=108&amp;stkGb=701", "네오팜")</f>
        <v>0</v>
      </c>
      <c r="E622">
        <v>1</v>
      </c>
      <c r="F622">
        <v>33600</v>
      </c>
      <c r="G622">
        <v>1.71</v>
      </c>
      <c r="H622">
        <v>12.92</v>
      </c>
      <c r="I622">
        <v>37872</v>
      </c>
      <c r="J622">
        <v>24317</v>
      </c>
      <c r="K622">
        <v>20368</v>
      </c>
      <c r="L622">
        <v>-12.71</v>
      </c>
      <c r="M622">
        <v>27.63</v>
      </c>
      <c r="N622">
        <v>39.38</v>
      </c>
      <c r="O622">
        <v>20.68</v>
      </c>
      <c r="P622" t="b">
        <v>1</v>
      </c>
      <c r="Q622">
        <v>1</v>
      </c>
      <c r="R622">
        <v>2209</v>
      </c>
      <c r="S622">
        <v>2564</v>
      </c>
      <c r="T622">
        <v>16.1</v>
      </c>
      <c r="U622" t="s">
        <v>2014</v>
      </c>
      <c r="V622" t="s">
        <v>2693</v>
      </c>
      <c r="W622">
        <v>7.559404066730369</v>
      </c>
      <c r="X622">
        <v>-9.4</v>
      </c>
      <c r="Y622" t="s">
        <v>3324</v>
      </c>
      <c r="Z622">
        <v>37.07553044459981</v>
      </c>
      <c r="AA622">
        <v>2758</v>
      </c>
      <c r="AB622">
        <v>69820</v>
      </c>
      <c r="AC622" t="s">
        <v>3998</v>
      </c>
      <c r="AD622">
        <v>38.94</v>
      </c>
      <c r="AE622" t="s">
        <v>4677</v>
      </c>
      <c r="AF622" t="s">
        <v>5320</v>
      </c>
      <c r="AG622">
        <v>816</v>
      </c>
      <c r="AH622">
        <v>219</v>
      </c>
      <c r="AI622">
        <v>386733</v>
      </c>
      <c r="AJ622">
        <v>2.28</v>
      </c>
    </row>
    <row r="623" spans="1:36">
      <c r="A623" s="1" t="s">
        <v>657</v>
      </c>
      <c r="B623" t="s">
        <v>1336</v>
      </c>
      <c r="C623">
        <f>HYPERLINK("https://finance.naver.com/item/coinfo.nhn?code=040160", "A040160")</f>
        <v>0</v>
      </c>
      <c r="D623">
        <f>HYPERLINK("http://comp.fnguide.com/SVO2/ASP/SVD_Consensus.asp?pGB=1&amp;gicode=A040160&amp;cID=&amp;MenuYn=Y&amp;ReportGB=&amp;NewMenuID=108&amp;stkGb=701", "누리플렉스")</f>
        <v>0</v>
      </c>
      <c r="E623">
        <v>1</v>
      </c>
      <c r="F623">
        <v>7110</v>
      </c>
      <c r="G623">
        <v>0</v>
      </c>
      <c r="H623">
        <v>34.2</v>
      </c>
      <c r="I623">
        <v>7651</v>
      </c>
      <c r="J623">
        <v>6765</v>
      </c>
      <c r="K623">
        <v>6508</v>
      </c>
      <c r="L623">
        <v>-7.6</v>
      </c>
      <c r="M623">
        <v>4.85</v>
      </c>
      <c r="N623">
        <v>8.470000000000001</v>
      </c>
      <c r="O623">
        <v>10.21</v>
      </c>
      <c r="P623" t="b">
        <v>1</v>
      </c>
      <c r="Q623">
        <v>0</v>
      </c>
      <c r="R623">
        <v>237</v>
      </c>
      <c r="U623" t="s">
        <v>2015</v>
      </c>
      <c r="V623" t="s">
        <v>2694</v>
      </c>
      <c r="W623">
        <v>0</v>
      </c>
      <c r="X623">
        <v>-67.8</v>
      </c>
      <c r="Y623" t="s">
        <v>3325</v>
      </c>
      <c r="Z623">
        <v>-29.16464654127348</v>
      </c>
      <c r="AA623">
        <v>857</v>
      </c>
      <c r="AB623">
        <v>38840</v>
      </c>
      <c r="AC623" t="s">
        <v>3999</v>
      </c>
      <c r="AD623">
        <v>38.02</v>
      </c>
      <c r="AE623" t="s">
        <v>4678</v>
      </c>
      <c r="AF623" t="s">
        <v>5321</v>
      </c>
      <c r="AG623">
        <v>1100</v>
      </c>
      <c r="AH623">
        <v>29</v>
      </c>
      <c r="AI623">
        <v>757550</v>
      </c>
    </row>
    <row r="624" spans="1:36">
      <c r="A624" s="1" t="s">
        <v>658</v>
      </c>
      <c r="B624" t="s">
        <v>1337</v>
      </c>
      <c r="C624">
        <f>HYPERLINK("https://finance.naver.com/item/coinfo.nhn?code=144960", "A144960")</f>
        <v>0</v>
      </c>
      <c r="D624">
        <f>HYPERLINK("http://comp.fnguide.com/SVO2/ASP/SVD_Consensus.asp?pGB=1&amp;gicode=A144960&amp;cID=&amp;MenuYn=Y&amp;ReportGB=&amp;NewMenuID=108&amp;stkGb=701", "뉴파워프라즈마")</f>
        <v>0</v>
      </c>
      <c r="E624">
        <v>1</v>
      </c>
      <c r="F624">
        <v>6010</v>
      </c>
      <c r="G624">
        <v>0</v>
      </c>
      <c r="H624">
        <v>8.789999999999999</v>
      </c>
      <c r="I624">
        <v>6756</v>
      </c>
      <c r="J624">
        <v>5215</v>
      </c>
      <c r="K624">
        <v>4766</v>
      </c>
      <c r="L624">
        <v>-12.41</v>
      </c>
      <c r="M624">
        <v>13.22</v>
      </c>
      <c r="N624">
        <v>20.69</v>
      </c>
      <c r="O624">
        <v>13.34</v>
      </c>
      <c r="P624" t="b">
        <v>1</v>
      </c>
      <c r="Q624">
        <v>0</v>
      </c>
      <c r="R624">
        <v>750</v>
      </c>
      <c r="U624" t="s">
        <v>2016</v>
      </c>
      <c r="V624" t="s">
        <v>2695</v>
      </c>
      <c r="W624">
        <v>0</v>
      </c>
      <c r="X624">
        <v>464.1</v>
      </c>
      <c r="Y624" t="s">
        <v>3326</v>
      </c>
      <c r="Z624">
        <v>22.38758317843747</v>
      </c>
      <c r="AA624">
        <v>2626</v>
      </c>
      <c r="AB624">
        <v>258309</v>
      </c>
      <c r="AC624" t="s">
        <v>4000</v>
      </c>
      <c r="AD624">
        <v>37.2</v>
      </c>
      <c r="AE624" t="s">
        <v>4679</v>
      </c>
      <c r="AF624" t="s">
        <v>5322</v>
      </c>
      <c r="AG624">
        <v>1088</v>
      </c>
      <c r="AH624">
        <v>109</v>
      </c>
      <c r="AI624">
        <v>2414229</v>
      </c>
      <c r="AJ624">
        <v>0.76</v>
      </c>
    </row>
    <row r="625" spans="1:36">
      <c r="A625" s="1" t="s">
        <v>659</v>
      </c>
      <c r="B625" t="s">
        <v>1338</v>
      </c>
      <c r="C625">
        <f>HYPERLINK("https://finance.naver.com/item/coinfo.nhn?code=096530", "A096530")</f>
        <v>0</v>
      </c>
      <c r="D625">
        <f>HYPERLINK("http://comp.fnguide.com/SVO2/ASP/SVD_Consensus.asp?pGB=1&amp;gicode=A096530&amp;cID=&amp;MenuYn=Y&amp;ReportGB=&amp;NewMenuID=108&amp;stkGb=701", "씨젠")</f>
        <v>0</v>
      </c>
      <c r="E625">
        <v>1</v>
      </c>
      <c r="F625">
        <v>82000</v>
      </c>
      <c r="G625">
        <v>0.04</v>
      </c>
      <c r="H625">
        <v>10.09</v>
      </c>
      <c r="I625">
        <v>106846</v>
      </c>
      <c r="J625">
        <v>50756</v>
      </c>
      <c r="K625">
        <v>34419</v>
      </c>
      <c r="L625">
        <v>-30.3</v>
      </c>
      <c r="M625">
        <v>38.1</v>
      </c>
      <c r="N625">
        <v>58.03</v>
      </c>
      <c r="O625">
        <v>70.75</v>
      </c>
      <c r="P625" t="b">
        <v>1</v>
      </c>
      <c r="Q625">
        <v>3</v>
      </c>
      <c r="R625">
        <v>9617</v>
      </c>
      <c r="S625">
        <v>10261</v>
      </c>
      <c r="T625">
        <v>6.7</v>
      </c>
      <c r="U625" t="s">
        <v>2017</v>
      </c>
      <c r="V625" t="s">
        <v>2696</v>
      </c>
      <c r="W625">
        <v>268.55482878315</v>
      </c>
      <c r="X625">
        <v>1783.2</v>
      </c>
      <c r="Y625" t="s">
        <v>3327</v>
      </c>
      <c r="Z625">
        <v>136.5527581286856</v>
      </c>
      <c r="AA625">
        <v>42825</v>
      </c>
      <c r="AB625">
        <v>811507</v>
      </c>
      <c r="AC625" t="s">
        <v>4001</v>
      </c>
      <c r="AD625">
        <v>31.34</v>
      </c>
      <c r="AE625" t="s">
        <v>4680</v>
      </c>
      <c r="AF625" t="s">
        <v>5323</v>
      </c>
      <c r="AG625">
        <v>11252</v>
      </c>
      <c r="AH625">
        <v>6762</v>
      </c>
      <c r="AI625">
        <v>242046</v>
      </c>
      <c r="AJ625">
        <v>0.78</v>
      </c>
    </row>
    <row r="626" spans="1:36">
      <c r="A626" s="1" t="s">
        <v>660</v>
      </c>
      <c r="B626" t="s">
        <v>1339</v>
      </c>
      <c r="C626">
        <f>HYPERLINK("https://finance.naver.com/item/coinfo.nhn?code=352700", "A352700")</f>
        <v>0</v>
      </c>
      <c r="D626">
        <f>HYPERLINK("http://comp.fnguide.com/SVO2/ASP/SVD_Consensus.asp?pGB=1&amp;gicode=A352700&amp;cID=&amp;MenuYn=Y&amp;ReportGB=&amp;NewMenuID=108&amp;stkGb=701", "씨앤투스성진")</f>
        <v>0</v>
      </c>
      <c r="E626">
        <v>1</v>
      </c>
      <c r="F626">
        <v>21850</v>
      </c>
      <c r="G626">
        <v>0</v>
      </c>
      <c r="I626">
        <v>35223</v>
      </c>
      <c r="J626">
        <v>18845</v>
      </c>
      <c r="K626">
        <v>14075</v>
      </c>
      <c r="L626">
        <v>-61.2</v>
      </c>
      <c r="M626">
        <v>13.75</v>
      </c>
      <c r="N626">
        <v>35.59</v>
      </c>
      <c r="O626">
        <v>37.85</v>
      </c>
      <c r="P626" t="b">
        <v>0</v>
      </c>
      <c r="Q626">
        <v>3</v>
      </c>
      <c r="R626">
        <v>4082</v>
      </c>
      <c r="S626">
        <v>5319</v>
      </c>
      <c r="T626">
        <v>30.3</v>
      </c>
      <c r="U626" t="s">
        <v>2018</v>
      </c>
      <c r="V626" t="s">
        <v>2697</v>
      </c>
      <c r="W626">
        <v>0</v>
      </c>
      <c r="X626">
        <v>0</v>
      </c>
      <c r="Y626" t="s">
        <v>3328</v>
      </c>
      <c r="Z626">
        <v>41.90000000000001</v>
      </c>
      <c r="AA626">
        <v>2184</v>
      </c>
      <c r="AB626">
        <v>44118</v>
      </c>
      <c r="AC626" t="s">
        <v>4002</v>
      </c>
      <c r="AD626">
        <v>38.4</v>
      </c>
      <c r="AE626" t="s">
        <v>4681</v>
      </c>
      <c r="AF626" t="s">
        <v>5324</v>
      </c>
      <c r="AG626">
        <v>1579</v>
      </c>
      <c r="AH626">
        <v>687</v>
      </c>
      <c r="AI626">
        <v>400000</v>
      </c>
    </row>
    <row r="627" spans="1:36">
      <c r="A627" s="1" t="s">
        <v>661</v>
      </c>
      <c r="B627" t="s">
        <v>1340</v>
      </c>
      <c r="C627">
        <f>HYPERLINK("https://finance.naver.com/item/coinfo.nhn?code=264660", "A264660")</f>
        <v>0</v>
      </c>
      <c r="D627">
        <f>HYPERLINK("http://comp.fnguide.com/SVO2/ASP/SVD_Consensus.asp?pGB=1&amp;gicode=A264660&amp;cID=&amp;MenuYn=Y&amp;ReportGB=&amp;NewMenuID=108&amp;stkGb=701", "씨앤지하이테크")</f>
        <v>0</v>
      </c>
      <c r="E627">
        <v>1</v>
      </c>
      <c r="F627">
        <v>13150</v>
      </c>
      <c r="G627">
        <v>0</v>
      </c>
      <c r="H627">
        <v>11.98</v>
      </c>
      <c r="I627">
        <v>18921</v>
      </c>
      <c r="J627">
        <v>13017</v>
      </c>
      <c r="K627">
        <v>11297</v>
      </c>
      <c r="L627">
        <v>-43.89</v>
      </c>
      <c r="M627">
        <v>1.01</v>
      </c>
      <c r="N627">
        <v>14.09</v>
      </c>
      <c r="O627">
        <v>17.32</v>
      </c>
      <c r="P627" t="b">
        <v>1</v>
      </c>
      <c r="Q627">
        <v>0</v>
      </c>
      <c r="R627">
        <v>1160</v>
      </c>
      <c r="U627" t="s">
        <v>2019</v>
      </c>
      <c r="V627" t="s">
        <v>2698</v>
      </c>
      <c r="W627">
        <v>0</v>
      </c>
      <c r="X627">
        <v>91.5</v>
      </c>
      <c r="Y627" t="s">
        <v>3329</v>
      </c>
      <c r="Z627">
        <v>17.22412834973002</v>
      </c>
      <c r="AA627">
        <v>1105</v>
      </c>
      <c r="AB627">
        <v>15269</v>
      </c>
      <c r="AC627" t="s">
        <v>4003</v>
      </c>
      <c r="AD627">
        <v>33.44</v>
      </c>
      <c r="AE627" t="s">
        <v>4682</v>
      </c>
      <c r="AF627" t="s">
        <v>5325</v>
      </c>
      <c r="AG627">
        <v>1192</v>
      </c>
      <c r="AH627">
        <v>119</v>
      </c>
      <c r="AI627">
        <v>299270</v>
      </c>
      <c r="AJ627">
        <v>2.52</v>
      </c>
    </row>
    <row r="628" spans="1:36">
      <c r="A628" s="1" t="s">
        <v>662</v>
      </c>
      <c r="B628" t="s">
        <v>1341</v>
      </c>
      <c r="C628">
        <f>HYPERLINK("https://finance.naver.com/item/coinfo.nhn?code=049770", "A049770")</f>
        <v>0</v>
      </c>
      <c r="D628">
        <f>HYPERLINK("http://comp.fnguide.com/SVO2/ASP/SVD_Consensus.asp?pGB=1&amp;gicode=A049770&amp;cID=&amp;MenuYn=Y&amp;ReportGB=&amp;NewMenuID=108&amp;stkGb=701", "동원F&amp;B")</f>
        <v>0</v>
      </c>
      <c r="E628">
        <v>1</v>
      </c>
      <c r="F628">
        <v>234000</v>
      </c>
      <c r="G628">
        <v>0.59</v>
      </c>
      <c r="H628">
        <v>8.859999999999999</v>
      </c>
      <c r="I628">
        <v>243261</v>
      </c>
      <c r="J628">
        <v>213729</v>
      </c>
      <c r="K628">
        <v>205127</v>
      </c>
      <c r="L628">
        <v>-3.96</v>
      </c>
      <c r="M628">
        <v>8.66</v>
      </c>
      <c r="N628">
        <v>12.34</v>
      </c>
      <c r="O628">
        <v>10.33</v>
      </c>
      <c r="P628" t="b">
        <v>1</v>
      </c>
      <c r="Q628">
        <v>3</v>
      </c>
      <c r="R628">
        <v>20194</v>
      </c>
      <c r="S628">
        <v>22406</v>
      </c>
      <c r="T628">
        <v>11</v>
      </c>
      <c r="U628" t="s">
        <v>2020</v>
      </c>
      <c r="V628" t="s">
        <v>2699</v>
      </c>
      <c r="W628">
        <v>15.1226431981885</v>
      </c>
      <c r="X628">
        <v>18.7</v>
      </c>
      <c r="Y628" t="s">
        <v>3330</v>
      </c>
      <c r="Z628">
        <v>6.517134076483311</v>
      </c>
      <c r="AA628">
        <v>9030</v>
      </c>
      <c r="AB628">
        <v>20534</v>
      </c>
      <c r="AC628" t="s">
        <v>4004</v>
      </c>
      <c r="AD628">
        <v>74.40000000000001</v>
      </c>
      <c r="AE628" t="s">
        <v>4683</v>
      </c>
      <c r="AF628" t="s">
        <v>5326</v>
      </c>
      <c r="AG628">
        <v>31703</v>
      </c>
      <c r="AH628">
        <v>1163</v>
      </c>
      <c r="AJ628">
        <v>1.96</v>
      </c>
    </row>
    <row r="629" spans="1:36">
      <c r="A629" s="1" t="s">
        <v>663</v>
      </c>
      <c r="B629" t="s">
        <v>1342</v>
      </c>
      <c r="C629">
        <f>HYPERLINK("https://finance.naver.com/item/coinfo.nhn?code=119860", "A119860")</f>
        <v>0</v>
      </c>
      <c r="D629">
        <f>HYPERLINK("http://comp.fnguide.com/SVO2/ASP/SVD_Consensus.asp?pGB=1&amp;gicode=A119860&amp;cID=&amp;MenuYn=Y&amp;ReportGB=&amp;NewMenuID=108&amp;stkGb=701", "다나와")</f>
        <v>0</v>
      </c>
      <c r="E629">
        <v>1</v>
      </c>
      <c r="F629">
        <v>29650</v>
      </c>
      <c r="G629">
        <v>0.46</v>
      </c>
      <c r="H629">
        <v>13</v>
      </c>
      <c r="I629">
        <v>30449</v>
      </c>
      <c r="J629">
        <v>18633</v>
      </c>
      <c r="K629">
        <v>15191</v>
      </c>
      <c r="L629">
        <v>-2.7</v>
      </c>
      <c r="M629">
        <v>37.16</v>
      </c>
      <c r="N629">
        <v>48.76</v>
      </c>
      <c r="O629">
        <v>23.71</v>
      </c>
      <c r="P629" t="b">
        <v>1</v>
      </c>
      <c r="Q629">
        <v>3</v>
      </c>
      <c r="R629">
        <v>2366</v>
      </c>
      <c r="S629">
        <v>2654</v>
      </c>
      <c r="T629">
        <v>12.2</v>
      </c>
      <c r="U629" t="s">
        <v>2021</v>
      </c>
      <c r="V629" t="s">
        <v>2700</v>
      </c>
      <c r="W629">
        <v>28.36929419770928</v>
      </c>
      <c r="X629">
        <v>31.2</v>
      </c>
      <c r="Y629" t="s">
        <v>3331</v>
      </c>
      <c r="Z629">
        <v>38.50733258623564</v>
      </c>
      <c r="AA629">
        <v>3877</v>
      </c>
      <c r="AB629">
        <v>50574</v>
      </c>
      <c r="AC629" t="s">
        <v>4005</v>
      </c>
      <c r="AD629">
        <v>51.35</v>
      </c>
      <c r="AE629" t="s">
        <v>4684</v>
      </c>
      <c r="AF629" t="s">
        <v>5327</v>
      </c>
      <c r="AG629">
        <v>2320</v>
      </c>
      <c r="AH629">
        <v>378</v>
      </c>
      <c r="AI629">
        <v>115000</v>
      </c>
      <c r="AJ629">
        <v>1.95</v>
      </c>
    </row>
    <row r="630" spans="1:36">
      <c r="A630" s="1" t="s">
        <v>664</v>
      </c>
      <c r="B630" t="s">
        <v>1343</v>
      </c>
      <c r="C630">
        <f>HYPERLINK("https://finance.naver.com/item/coinfo.nhn?code=236200", "A236200")</f>
        <v>0</v>
      </c>
      <c r="D630">
        <f>HYPERLINK("http://comp.fnguide.com/SVO2/ASP/SVD_Consensus.asp?pGB=1&amp;gicode=A236200&amp;cID=&amp;MenuYn=Y&amp;ReportGB=&amp;NewMenuID=108&amp;stkGb=701", "슈프리마")</f>
        <v>0</v>
      </c>
      <c r="E630">
        <v>1</v>
      </c>
      <c r="F630">
        <v>26400</v>
      </c>
      <c r="G630">
        <v>0</v>
      </c>
      <c r="H630">
        <v>22.67</v>
      </c>
      <c r="I630">
        <v>30375</v>
      </c>
      <c r="J630">
        <v>24446</v>
      </c>
      <c r="K630">
        <v>22719</v>
      </c>
      <c r="L630">
        <v>-15.06</v>
      </c>
      <c r="M630">
        <v>7.4</v>
      </c>
      <c r="N630">
        <v>13.94</v>
      </c>
      <c r="O630">
        <v>12.24</v>
      </c>
      <c r="P630" t="b">
        <v>1</v>
      </c>
      <c r="Q630">
        <v>0</v>
      </c>
      <c r="R630">
        <v>1310</v>
      </c>
      <c r="U630" t="s">
        <v>2022</v>
      </c>
      <c r="V630" t="s">
        <v>2701</v>
      </c>
      <c r="W630">
        <v>0</v>
      </c>
      <c r="X630">
        <v>-64</v>
      </c>
      <c r="Y630" t="s">
        <v>3332</v>
      </c>
      <c r="Z630">
        <v>0</v>
      </c>
      <c r="AA630">
        <v>1899</v>
      </c>
      <c r="AB630">
        <v>15488</v>
      </c>
      <c r="AC630" t="s">
        <v>4006</v>
      </c>
      <c r="AD630">
        <v>30.38</v>
      </c>
      <c r="AE630" t="s">
        <v>4685</v>
      </c>
      <c r="AF630" t="s">
        <v>5328</v>
      </c>
      <c r="AG630">
        <v>578</v>
      </c>
      <c r="AH630">
        <v>106</v>
      </c>
      <c r="AI630">
        <v>38881</v>
      </c>
    </row>
    <row r="631" spans="1:36">
      <c r="A631" s="1" t="s">
        <v>665</v>
      </c>
      <c r="B631" t="s">
        <v>1344</v>
      </c>
      <c r="C631">
        <f>HYPERLINK("https://finance.naver.com/item/coinfo.nhn?code=290120", "A290120")</f>
        <v>0</v>
      </c>
      <c r="D631">
        <f>HYPERLINK("http://comp.fnguide.com/SVO2/ASP/SVD_Consensus.asp?pGB=1&amp;gicode=A290120&amp;cID=&amp;MenuYn=Y&amp;ReportGB=&amp;NewMenuID=108&amp;stkGb=701", "대유에이피")</f>
        <v>0</v>
      </c>
      <c r="E631">
        <v>1</v>
      </c>
      <c r="F631">
        <v>7980</v>
      </c>
      <c r="G631">
        <v>0</v>
      </c>
      <c r="H631">
        <v>14.1</v>
      </c>
      <c r="I631">
        <v>8995</v>
      </c>
      <c r="J631">
        <v>6381</v>
      </c>
      <c r="K631">
        <v>5619</v>
      </c>
      <c r="L631">
        <v>-12.72</v>
      </c>
      <c r="M631">
        <v>20.04</v>
      </c>
      <c r="N631">
        <v>29.58</v>
      </c>
      <c r="O631">
        <v>16.1</v>
      </c>
      <c r="P631" t="b">
        <v>1</v>
      </c>
      <c r="Q631">
        <v>0</v>
      </c>
      <c r="R631">
        <v>530</v>
      </c>
      <c r="U631" t="s">
        <v>2023</v>
      </c>
      <c r="V631" t="s">
        <v>2702</v>
      </c>
      <c r="W631">
        <v>0</v>
      </c>
      <c r="X631">
        <v>-27.8</v>
      </c>
      <c r="Y631" t="s">
        <v>3333</v>
      </c>
      <c r="Z631">
        <v>0</v>
      </c>
      <c r="AA631">
        <v>869</v>
      </c>
      <c r="AB631">
        <v>73767</v>
      </c>
      <c r="AC631" t="s">
        <v>4007</v>
      </c>
      <c r="AD631">
        <v>73.5</v>
      </c>
      <c r="AE631" t="s">
        <v>4686</v>
      </c>
      <c r="AF631" t="s">
        <v>5329</v>
      </c>
      <c r="AG631">
        <v>1718</v>
      </c>
      <c r="AH631">
        <v>141</v>
      </c>
      <c r="AJ631">
        <v>2.68</v>
      </c>
    </row>
    <row r="632" spans="1:36">
      <c r="A632" s="1" t="s">
        <v>666</v>
      </c>
      <c r="B632" t="s">
        <v>1345</v>
      </c>
      <c r="C632">
        <f>HYPERLINK("https://finance.naver.com/item/coinfo.nhn?code=043260", "A043260")</f>
        <v>0</v>
      </c>
      <c r="D632">
        <f>HYPERLINK("http://comp.fnguide.com/SVO2/ASP/SVD_Consensus.asp?pGB=1&amp;gicode=A043260&amp;cID=&amp;MenuYn=Y&amp;ReportGB=&amp;NewMenuID=108&amp;stkGb=701", "성호전자")</f>
        <v>0</v>
      </c>
      <c r="E632">
        <v>1</v>
      </c>
      <c r="F632">
        <v>1780</v>
      </c>
      <c r="G632">
        <v>0</v>
      </c>
      <c r="H632">
        <v>5.39</v>
      </c>
      <c r="I632">
        <v>2012</v>
      </c>
      <c r="J632">
        <v>1639</v>
      </c>
      <c r="K632">
        <v>1531</v>
      </c>
      <c r="L632">
        <v>-13.04</v>
      </c>
      <c r="M632">
        <v>7.9</v>
      </c>
      <c r="N632">
        <v>14</v>
      </c>
      <c r="O632">
        <v>11.95</v>
      </c>
      <c r="P632" t="b">
        <v>1</v>
      </c>
      <c r="Q632">
        <v>0</v>
      </c>
      <c r="R632">
        <v>283</v>
      </c>
      <c r="U632" t="s">
        <v>2024</v>
      </c>
      <c r="V632" t="s">
        <v>2703</v>
      </c>
      <c r="W632">
        <v>0</v>
      </c>
      <c r="X632">
        <v>0</v>
      </c>
      <c r="Y632" t="s">
        <v>3334</v>
      </c>
      <c r="Z632">
        <v>-30.2</v>
      </c>
      <c r="AA632">
        <v>951</v>
      </c>
      <c r="AB632">
        <v>414940</v>
      </c>
      <c r="AC632" t="s">
        <v>4008</v>
      </c>
      <c r="AD632">
        <v>38.62</v>
      </c>
      <c r="AE632" t="s">
        <v>4687</v>
      </c>
      <c r="AF632" t="s">
        <v>5330</v>
      </c>
      <c r="AG632">
        <v>1072</v>
      </c>
      <c r="AH632">
        <v>28</v>
      </c>
      <c r="AI632">
        <v>683922</v>
      </c>
    </row>
    <row r="633" spans="1:36">
      <c r="A633" s="1" t="s">
        <v>667</v>
      </c>
      <c r="B633" t="s">
        <v>1346</v>
      </c>
      <c r="C633">
        <f>HYPERLINK("https://finance.naver.com/item/coinfo.nhn?code=065710", "A065710")</f>
        <v>0</v>
      </c>
      <c r="D633">
        <f>HYPERLINK("http://comp.fnguide.com/SVO2/ASP/SVD_Consensus.asp?pGB=1&amp;gicode=A065710&amp;cID=&amp;MenuYn=Y&amp;ReportGB=&amp;NewMenuID=108&amp;stkGb=701", "서호전기")</f>
        <v>0</v>
      </c>
      <c r="E633">
        <v>1</v>
      </c>
      <c r="F633">
        <v>20900</v>
      </c>
      <c r="G633">
        <v>0</v>
      </c>
      <c r="H633">
        <v>16.48</v>
      </c>
      <c r="I633">
        <v>23478</v>
      </c>
      <c r="J633">
        <v>18025</v>
      </c>
      <c r="K633">
        <v>16436</v>
      </c>
      <c r="L633">
        <v>-12.33</v>
      </c>
      <c r="M633">
        <v>13.76</v>
      </c>
      <c r="N633">
        <v>21.36</v>
      </c>
      <c r="O633">
        <v>13.5</v>
      </c>
      <c r="P633" t="b">
        <v>1</v>
      </c>
      <c r="Q633">
        <v>0</v>
      </c>
      <c r="R633">
        <v>1317</v>
      </c>
      <c r="U633" t="s">
        <v>2025</v>
      </c>
      <c r="V633" t="s">
        <v>2704</v>
      </c>
      <c r="W633">
        <v>0</v>
      </c>
      <c r="X633">
        <v>-55.7</v>
      </c>
      <c r="Y633" t="s">
        <v>3335</v>
      </c>
      <c r="Z633">
        <v>18.45852762695062</v>
      </c>
      <c r="AA633">
        <v>1076</v>
      </c>
      <c r="AB633">
        <v>9845</v>
      </c>
      <c r="AC633" t="s">
        <v>4009</v>
      </c>
      <c r="AD633">
        <v>58.01</v>
      </c>
      <c r="AE633" t="s">
        <v>4688</v>
      </c>
      <c r="AF633" t="s">
        <v>5331</v>
      </c>
      <c r="AG633">
        <v>657</v>
      </c>
      <c r="AH633">
        <v>113</v>
      </c>
      <c r="AI633">
        <v>9078</v>
      </c>
      <c r="AJ633">
        <v>4.61</v>
      </c>
    </row>
    <row r="634" spans="1:36">
      <c r="A634" s="1" t="s">
        <v>668</v>
      </c>
      <c r="B634" t="s">
        <v>1347</v>
      </c>
      <c r="C634">
        <f>HYPERLINK("https://finance.naver.com/item/coinfo.nhn?code=192080", "A192080")</f>
        <v>0</v>
      </c>
      <c r="D634">
        <f>HYPERLINK("http://comp.fnguide.com/SVO2/ASP/SVD_Consensus.asp?pGB=1&amp;gicode=A192080&amp;cID=&amp;MenuYn=Y&amp;ReportGB=&amp;NewMenuID=108&amp;stkGb=701", "더블유게임즈")</f>
        <v>0</v>
      </c>
      <c r="E634">
        <v>1</v>
      </c>
      <c r="F634">
        <v>64500</v>
      </c>
      <c r="G634">
        <v>0.6899999999999999</v>
      </c>
      <c r="H634">
        <v>9.82</v>
      </c>
      <c r="I634">
        <v>87268</v>
      </c>
      <c r="J634">
        <v>59171</v>
      </c>
      <c r="K634">
        <v>50987</v>
      </c>
      <c r="L634">
        <v>-35.3</v>
      </c>
      <c r="M634">
        <v>8.26</v>
      </c>
      <c r="N634">
        <v>20.95</v>
      </c>
      <c r="O634">
        <v>17.95</v>
      </c>
      <c r="P634" t="b">
        <v>1</v>
      </c>
      <c r="Q634">
        <v>3</v>
      </c>
      <c r="R634">
        <v>6127</v>
      </c>
      <c r="S634">
        <v>7244</v>
      </c>
      <c r="T634">
        <v>18.2</v>
      </c>
      <c r="U634" t="s">
        <v>2026</v>
      </c>
      <c r="V634" t="s">
        <v>2705</v>
      </c>
      <c r="W634">
        <v>14.14995317614489</v>
      </c>
      <c r="X634">
        <v>1.4</v>
      </c>
      <c r="Y634" t="s">
        <v>3336</v>
      </c>
      <c r="Z634">
        <v>19.38707989219404</v>
      </c>
      <c r="AA634">
        <v>11852</v>
      </c>
      <c r="AB634">
        <v>106748</v>
      </c>
      <c r="AC634" t="s">
        <v>4010</v>
      </c>
      <c r="AD634">
        <v>43.62</v>
      </c>
      <c r="AE634" t="s">
        <v>4689</v>
      </c>
      <c r="AF634" t="s">
        <v>5332</v>
      </c>
      <c r="AG634">
        <v>6582</v>
      </c>
      <c r="AH634">
        <v>1942</v>
      </c>
      <c r="AI634">
        <v>1398976</v>
      </c>
      <c r="AJ634">
        <v>0.58</v>
      </c>
    </row>
    <row r="635" spans="1:36">
      <c r="A635" s="1" t="s">
        <v>669</v>
      </c>
      <c r="B635" t="s">
        <v>1348</v>
      </c>
      <c r="C635">
        <f>HYPERLINK("https://finance.naver.com/item/coinfo.nhn?code=187870", "A187870")</f>
        <v>0</v>
      </c>
      <c r="D635">
        <f>HYPERLINK("http://comp.fnguide.com/SVO2/ASP/SVD_Consensus.asp?pGB=1&amp;gicode=A187870&amp;cID=&amp;MenuYn=Y&amp;ReportGB=&amp;NewMenuID=108&amp;stkGb=701", "디바이스이엔지")</f>
        <v>0</v>
      </c>
      <c r="E635">
        <v>1</v>
      </c>
      <c r="F635">
        <v>38550</v>
      </c>
      <c r="G635">
        <v>0</v>
      </c>
      <c r="H635">
        <v>11.97</v>
      </c>
      <c r="I635">
        <v>44013</v>
      </c>
      <c r="J635">
        <v>26316</v>
      </c>
      <c r="K635">
        <v>21161</v>
      </c>
      <c r="L635">
        <v>-14.17</v>
      </c>
      <c r="M635">
        <v>31.74</v>
      </c>
      <c r="N635">
        <v>45.11</v>
      </c>
      <c r="O635">
        <v>25.44</v>
      </c>
      <c r="P635" t="b">
        <v>1</v>
      </c>
      <c r="Q635">
        <v>0</v>
      </c>
      <c r="R635">
        <v>4320</v>
      </c>
      <c r="U635" t="s">
        <v>2027</v>
      </c>
      <c r="V635" t="s">
        <v>2706</v>
      </c>
      <c r="W635">
        <v>0</v>
      </c>
      <c r="X635">
        <v>553.7</v>
      </c>
      <c r="Y635" t="s">
        <v>3337</v>
      </c>
      <c r="Z635">
        <v>80.58956107883002</v>
      </c>
      <c r="AA635">
        <v>2713</v>
      </c>
      <c r="AB635">
        <v>142788</v>
      </c>
      <c r="AC635" t="s">
        <v>4011</v>
      </c>
      <c r="AD635">
        <v>33.46</v>
      </c>
      <c r="AE635" t="s">
        <v>4690</v>
      </c>
      <c r="AF635" t="s">
        <v>5333</v>
      </c>
      <c r="AG635">
        <v>1262</v>
      </c>
      <c r="AH635">
        <v>437</v>
      </c>
      <c r="AI635">
        <v>87823</v>
      </c>
      <c r="AJ635">
        <v>1.16</v>
      </c>
    </row>
    <row r="636" spans="1:36">
      <c r="A636" s="1" t="s">
        <v>670</v>
      </c>
      <c r="B636" t="s">
        <v>1349</v>
      </c>
      <c r="C636">
        <f>HYPERLINK("https://finance.naver.com/item/coinfo.nhn?code=263690", "A263690")</f>
        <v>0</v>
      </c>
      <c r="D636">
        <f>HYPERLINK("http://comp.fnguide.com/SVO2/ASP/SVD_Consensus.asp?pGB=1&amp;gicode=A263690&amp;cID=&amp;MenuYn=Y&amp;ReportGB=&amp;NewMenuID=108&amp;stkGb=701", "디알젬")</f>
        <v>0</v>
      </c>
      <c r="E636">
        <v>1</v>
      </c>
      <c r="F636">
        <v>13600</v>
      </c>
      <c r="G636">
        <v>0</v>
      </c>
      <c r="H636">
        <v>9.630000000000001</v>
      </c>
      <c r="I636">
        <v>18808</v>
      </c>
      <c r="J636">
        <v>10423</v>
      </c>
      <c r="K636">
        <v>7981</v>
      </c>
      <c r="L636">
        <v>-38.29</v>
      </c>
      <c r="M636">
        <v>23.36</v>
      </c>
      <c r="N636">
        <v>41.32</v>
      </c>
      <c r="O636">
        <v>32.96</v>
      </c>
      <c r="P636" t="b">
        <v>1</v>
      </c>
      <c r="Q636">
        <v>0</v>
      </c>
      <c r="R636">
        <v>1765</v>
      </c>
      <c r="U636" t="s">
        <v>2028</v>
      </c>
      <c r="V636" t="s">
        <v>2707</v>
      </c>
      <c r="W636">
        <v>0</v>
      </c>
      <c r="X636">
        <v>265.4</v>
      </c>
      <c r="Y636" t="s">
        <v>3338</v>
      </c>
      <c r="Z636">
        <v>48.11437140461457</v>
      </c>
      <c r="AA636">
        <v>1540</v>
      </c>
      <c r="AB636">
        <v>173011</v>
      </c>
      <c r="AC636" t="s">
        <v>4012</v>
      </c>
      <c r="AD636">
        <v>42.1</v>
      </c>
      <c r="AE636" t="s">
        <v>4691</v>
      </c>
      <c r="AF636" t="s">
        <v>5334</v>
      </c>
      <c r="AG636">
        <v>1066</v>
      </c>
      <c r="AH636">
        <v>230</v>
      </c>
      <c r="AI636">
        <v>133591</v>
      </c>
      <c r="AJ636">
        <v>1.18</v>
      </c>
    </row>
    <row r="637" spans="1:36">
      <c r="A637" s="1" t="s">
        <v>671</v>
      </c>
      <c r="B637" t="s">
        <v>1350</v>
      </c>
      <c r="C637">
        <f>HYPERLINK("https://finance.naver.com/item/coinfo.nhn?code=104460", "A104460")</f>
        <v>0</v>
      </c>
      <c r="D637">
        <f>HYPERLINK("http://comp.fnguide.com/SVO2/ASP/SVD_Consensus.asp?pGB=1&amp;gicode=A104460&amp;cID=&amp;MenuYn=Y&amp;ReportGB=&amp;NewMenuID=108&amp;stkGb=701", "디와이피엔에프")</f>
        <v>0</v>
      </c>
      <c r="E637">
        <v>1</v>
      </c>
      <c r="F637">
        <v>28300</v>
      </c>
      <c r="G637">
        <v>0</v>
      </c>
      <c r="H637">
        <v>8.130000000000001</v>
      </c>
      <c r="I637">
        <v>36702</v>
      </c>
      <c r="J637">
        <v>20569</v>
      </c>
      <c r="K637">
        <v>15870</v>
      </c>
      <c r="L637">
        <v>-29.69</v>
      </c>
      <c r="M637">
        <v>27.32</v>
      </c>
      <c r="N637">
        <v>43.92</v>
      </c>
      <c r="O637">
        <v>31.62</v>
      </c>
      <c r="P637" t="b">
        <v>1</v>
      </c>
      <c r="Q637">
        <v>0</v>
      </c>
      <c r="R637">
        <v>2423</v>
      </c>
      <c r="U637" t="s">
        <v>2029</v>
      </c>
      <c r="V637" t="s">
        <v>2708</v>
      </c>
      <c r="W637">
        <v>0</v>
      </c>
      <c r="X637">
        <v>22.8</v>
      </c>
      <c r="Y637" t="s">
        <v>3339</v>
      </c>
      <c r="Z637">
        <v>-26.60160818437845</v>
      </c>
      <c r="AA637">
        <v>3032</v>
      </c>
      <c r="AB637">
        <v>89875</v>
      </c>
      <c r="AC637" t="s">
        <v>4013</v>
      </c>
      <c r="AD637">
        <v>49.34</v>
      </c>
      <c r="AE637" t="s">
        <v>4692</v>
      </c>
      <c r="AF637" t="s">
        <v>5335</v>
      </c>
      <c r="AG637">
        <v>2123</v>
      </c>
      <c r="AH637">
        <v>334</v>
      </c>
      <c r="AI637">
        <v>1154603</v>
      </c>
      <c r="AJ637">
        <v>2.13</v>
      </c>
    </row>
    <row r="638" spans="1:36">
      <c r="A638" s="1" t="s">
        <v>672</v>
      </c>
      <c r="B638" t="s">
        <v>1351</v>
      </c>
      <c r="C638">
        <f>HYPERLINK("https://finance.naver.com/item/coinfo.nhn?code=084650", "A084650")</f>
        <v>0</v>
      </c>
      <c r="D638">
        <f>HYPERLINK("http://comp.fnguide.com/SVO2/ASP/SVD_Consensus.asp?pGB=1&amp;gicode=A084650&amp;cID=&amp;MenuYn=Y&amp;ReportGB=&amp;NewMenuID=108&amp;stkGb=701", "랩지노믹스")</f>
        <v>0</v>
      </c>
      <c r="E638">
        <v>1</v>
      </c>
      <c r="F638">
        <v>20450</v>
      </c>
      <c r="G638">
        <v>0</v>
      </c>
      <c r="H638">
        <v>5.06</v>
      </c>
      <c r="I638">
        <v>34380</v>
      </c>
      <c r="J638">
        <v>18235</v>
      </c>
      <c r="K638">
        <v>13532</v>
      </c>
      <c r="L638">
        <v>-68.12</v>
      </c>
      <c r="M638">
        <v>10.83</v>
      </c>
      <c r="N638">
        <v>33.83</v>
      </c>
      <c r="O638">
        <v>39.26</v>
      </c>
      <c r="P638" t="b">
        <v>1</v>
      </c>
      <c r="Q638">
        <v>0</v>
      </c>
      <c r="R638">
        <v>3738</v>
      </c>
      <c r="U638" t="s">
        <v>2030</v>
      </c>
      <c r="V638" t="s">
        <v>2709</v>
      </c>
      <c r="W638">
        <v>0</v>
      </c>
      <c r="X638">
        <v>3885.4</v>
      </c>
      <c r="Y638" t="s">
        <v>3340</v>
      </c>
      <c r="Z638">
        <v>319.7078507724153</v>
      </c>
      <c r="AA638">
        <v>2342</v>
      </c>
      <c r="AB638">
        <v>653735</v>
      </c>
      <c r="AC638" t="s">
        <v>4014</v>
      </c>
      <c r="AD638">
        <v>12.57</v>
      </c>
      <c r="AE638" t="s">
        <v>4693</v>
      </c>
      <c r="AF638" t="s">
        <v>5336</v>
      </c>
      <c r="AG638">
        <v>1195</v>
      </c>
      <c r="AH638">
        <v>549</v>
      </c>
      <c r="AI638">
        <v>127972</v>
      </c>
    </row>
    <row r="639" spans="1:36">
      <c r="A639" s="1" t="s">
        <v>673</v>
      </c>
      <c r="B639" t="s">
        <v>1352</v>
      </c>
      <c r="C639">
        <f>HYPERLINK("https://finance.naver.com/item/coinfo.nhn?code=134380", "A134380")</f>
        <v>0</v>
      </c>
      <c r="D639">
        <f>HYPERLINK("http://comp.fnguide.com/SVO2/ASP/SVD_Consensus.asp?pGB=1&amp;gicode=A134380&amp;cID=&amp;MenuYn=Y&amp;ReportGB=&amp;NewMenuID=108&amp;stkGb=701", "미원화학")</f>
        <v>0</v>
      </c>
      <c r="E639">
        <v>1</v>
      </c>
      <c r="F639">
        <v>76100</v>
      </c>
      <c r="G639">
        <v>0</v>
      </c>
      <c r="H639">
        <v>9.880000000000001</v>
      </c>
      <c r="I639">
        <v>84360</v>
      </c>
      <c r="J639">
        <v>67169</v>
      </c>
      <c r="K639">
        <v>62161</v>
      </c>
      <c r="L639">
        <v>-10.85</v>
      </c>
      <c r="M639">
        <v>11.74</v>
      </c>
      <c r="N639">
        <v>18.32</v>
      </c>
      <c r="O639">
        <v>12.51</v>
      </c>
      <c r="P639" t="b">
        <v>1</v>
      </c>
      <c r="Q639">
        <v>0</v>
      </c>
      <c r="R639">
        <v>6264</v>
      </c>
      <c r="U639" t="s">
        <v>2031</v>
      </c>
      <c r="V639" t="s">
        <v>2710</v>
      </c>
      <c r="W639">
        <v>0</v>
      </c>
      <c r="X639">
        <v>-30</v>
      </c>
      <c r="Y639" t="s">
        <v>3341</v>
      </c>
      <c r="Z639">
        <v>-6.03871649379405</v>
      </c>
      <c r="AA639">
        <v>1674</v>
      </c>
      <c r="AB639">
        <v>423</v>
      </c>
      <c r="AC639" t="s">
        <v>4015</v>
      </c>
      <c r="AD639">
        <v>56.21</v>
      </c>
      <c r="AE639" t="s">
        <v>4694</v>
      </c>
      <c r="AF639" t="s">
        <v>5337</v>
      </c>
      <c r="AG639">
        <v>1602</v>
      </c>
      <c r="AH639">
        <v>162</v>
      </c>
      <c r="AI639">
        <v>161958</v>
      </c>
      <c r="AJ639">
        <v>4.04</v>
      </c>
    </row>
    <row r="640" spans="1:36">
      <c r="A640" s="1" t="s">
        <v>674</v>
      </c>
      <c r="B640" t="s">
        <v>1353</v>
      </c>
      <c r="C640">
        <f>HYPERLINK("https://finance.naver.com/item/coinfo.nhn?code=003230", "A003230")</f>
        <v>0</v>
      </c>
      <c r="D640">
        <f>HYPERLINK("http://comp.fnguide.com/SVO2/ASP/SVD_Consensus.asp?pGB=1&amp;gicode=A003230&amp;cID=&amp;MenuYn=Y&amp;ReportGB=&amp;NewMenuID=108&amp;stkGb=701", "삼양식품")</f>
        <v>0</v>
      </c>
      <c r="E640">
        <v>1</v>
      </c>
      <c r="F640">
        <v>95500</v>
      </c>
      <c r="G640">
        <v>0.53</v>
      </c>
      <c r="H640">
        <v>11.32</v>
      </c>
      <c r="I640">
        <v>116936</v>
      </c>
      <c r="J640">
        <v>74487</v>
      </c>
      <c r="K640">
        <v>62123</v>
      </c>
      <c r="L640">
        <v>-22.45</v>
      </c>
      <c r="M640">
        <v>22</v>
      </c>
      <c r="N640">
        <v>34.95</v>
      </c>
      <c r="O640">
        <v>21.14</v>
      </c>
      <c r="P640" t="b">
        <v>1</v>
      </c>
      <c r="Q640">
        <v>0</v>
      </c>
      <c r="R640">
        <v>8922</v>
      </c>
      <c r="S640">
        <v>8297</v>
      </c>
      <c r="T640">
        <v>-7</v>
      </c>
      <c r="U640" t="s">
        <v>2032</v>
      </c>
      <c r="V640" t="s">
        <v>2711</v>
      </c>
      <c r="W640">
        <v>21.54142772620267</v>
      </c>
      <c r="X640">
        <v>12.9</v>
      </c>
      <c r="Y640" t="s">
        <v>3342</v>
      </c>
      <c r="Z640">
        <v>38.41243985090508</v>
      </c>
      <c r="AA640">
        <v>7194</v>
      </c>
      <c r="AB640">
        <v>78793</v>
      </c>
      <c r="AC640" t="s">
        <v>4016</v>
      </c>
      <c r="AD640">
        <v>46.11</v>
      </c>
      <c r="AE640" t="s">
        <v>4695</v>
      </c>
      <c r="AF640" t="s">
        <v>5338</v>
      </c>
      <c r="AG640">
        <v>6485</v>
      </c>
      <c r="AH640">
        <v>953</v>
      </c>
      <c r="AI640">
        <v>409</v>
      </c>
      <c r="AJ640">
        <v>0.79</v>
      </c>
    </row>
    <row r="641" spans="1:36">
      <c r="A641" s="1" t="s">
        <v>675</v>
      </c>
      <c r="B641" t="s">
        <v>1354</v>
      </c>
      <c r="C641">
        <f>HYPERLINK("https://finance.naver.com/item/coinfo.nhn?code=042500", "A042500")</f>
        <v>0</v>
      </c>
      <c r="D641">
        <f>HYPERLINK("http://comp.fnguide.com/SVO2/ASP/SVD_Consensus.asp?pGB=1&amp;gicode=A042500&amp;cID=&amp;MenuYn=Y&amp;ReportGB=&amp;NewMenuID=108&amp;stkGb=701", "링네트")</f>
        <v>0</v>
      </c>
      <c r="E641">
        <v>1</v>
      </c>
      <c r="F641">
        <v>6260</v>
      </c>
      <c r="G641">
        <v>0</v>
      </c>
      <c r="H641">
        <v>14.62</v>
      </c>
      <c r="I641">
        <v>7289</v>
      </c>
      <c r="J641">
        <v>6108</v>
      </c>
      <c r="K641">
        <v>5764</v>
      </c>
      <c r="L641">
        <v>-16.44</v>
      </c>
      <c r="M641">
        <v>2.43</v>
      </c>
      <c r="N641">
        <v>7.92</v>
      </c>
      <c r="O641">
        <v>11.3</v>
      </c>
      <c r="P641" t="b">
        <v>1</v>
      </c>
      <c r="Q641">
        <v>0</v>
      </c>
      <c r="R641">
        <v>498</v>
      </c>
      <c r="U641" t="s">
        <v>2033</v>
      </c>
      <c r="V641" t="s">
        <v>2712</v>
      </c>
      <c r="W641">
        <v>0</v>
      </c>
      <c r="X641">
        <v>6.8</v>
      </c>
      <c r="Y641" t="s">
        <v>3343</v>
      </c>
      <c r="Z641">
        <v>13.95022928268739</v>
      </c>
      <c r="AA641">
        <v>961</v>
      </c>
      <c r="AB641">
        <v>105156</v>
      </c>
      <c r="AC641" t="s">
        <v>4017</v>
      </c>
      <c r="AD641">
        <v>24.81</v>
      </c>
      <c r="AE641" t="s">
        <v>4696</v>
      </c>
      <c r="AF641" t="s">
        <v>5339</v>
      </c>
      <c r="AG641">
        <v>1495</v>
      </c>
      <c r="AH641">
        <v>74</v>
      </c>
      <c r="AI641">
        <v>2396471</v>
      </c>
    </row>
    <row r="642" spans="1:36">
      <c r="A642" s="1" t="s">
        <v>676</v>
      </c>
      <c r="B642" t="s">
        <v>1355</v>
      </c>
      <c r="C642">
        <f>HYPERLINK("https://finance.naver.com/item/coinfo.nhn?code=090460", "A090460")</f>
        <v>0</v>
      </c>
      <c r="D642">
        <f>HYPERLINK("http://comp.fnguide.com/SVO2/ASP/SVD_Consensus.asp?pGB=1&amp;gicode=A090460&amp;cID=&amp;MenuYn=Y&amp;ReportGB=&amp;NewMenuID=108&amp;stkGb=701", "비에이치")</f>
        <v>0</v>
      </c>
      <c r="E642">
        <v>1</v>
      </c>
      <c r="F642">
        <v>16500</v>
      </c>
      <c r="G642">
        <v>-1.71</v>
      </c>
      <c r="H642">
        <v>28.36</v>
      </c>
      <c r="I642">
        <v>25576</v>
      </c>
      <c r="J642">
        <v>16438</v>
      </c>
      <c r="K642">
        <v>13776</v>
      </c>
      <c r="L642">
        <v>-55.01</v>
      </c>
      <c r="M642">
        <v>0.38</v>
      </c>
      <c r="N642">
        <v>16.51</v>
      </c>
      <c r="O642">
        <v>20.63</v>
      </c>
      <c r="P642" t="b">
        <v>1</v>
      </c>
      <c r="Q642">
        <v>1</v>
      </c>
      <c r="R642">
        <v>774</v>
      </c>
      <c r="S642">
        <v>1556</v>
      </c>
      <c r="T642">
        <v>101</v>
      </c>
      <c r="U642" t="s">
        <v>2034</v>
      </c>
      <c r="V642" t="s">
        <v>2713</v>
      </c>
      <c r="W642">
        <v>-16.54174747566411</v>
      </c>
      <c r="X642">
        <v>-55.3</v>
      </c>
      <c r="Y642" t="s">
        <v>3344</v>
      </c>
      <c r="Z642">
        <v>-19.48137745500871</v>
      </c>
      <c r="AA642">
        <v>5559</v>
      </c>
      <c r="AB642">
        <v>177673</v>
      </c>
      <c r="AC642" t="s">
        <v>4018</v>
      </c>
      <c r="AD642">
        <v>22.27</v>
      </c>
      <c r="AE642" t="s">
        <v>4697</v>
      </c>
      <c r="AF642" t="s">
        <v>5340</v>
      </c>
      <c r="AG642">
        <v>7214</v>
      </c>
      <c r="AH642">
        <v>340</v>
      </c>
      <c r="AI642">
        <v>2586488</v>
      </c>
      <c r="AJ642">
        <v>1.14</v>
      </c>
    </row>
    <row r="643" spans="1:36">
      <c r="A643" s="1" t="s">
        <v>677</v>
      </c>
      <c r="B643" t="s">
        <v>1356</v>
      </c>
      <c r="C643">
        <f>HYPERLINK("https://finance.naver.com/item/coinfo.nhn?code=267980", "A267980")</f>
        <v>0</v>
      </c>
      <c r="D643">
        <f>HYPERLINK("http://comp.fnguide.com/SVO2/ASP/SVD_Consensus.asp?pGB=1&amp;gicode=A267980&amp;cID=&amp;MenuYn=Y&amp;ReportGB=&amp;NewMenuID=108&amp;stkGb=701", "매일유업")</f>
        <v>0</v>
      </c>
      <c r="E643">
        <v>1</v>
      </c>
      <c r="F643">
        <v>79200</v>
      </c>
      <c r="G643">
        <v>1.37</v>
      </c>
      <c r="H643">
        <v>9.51</v>
      </c>
      <c r="I643">
        <v>109927</v>
      </c>
      <c r="J643">
        <v>79009</v>
      </c>
      <c r="K643">
        <v>70003</v>
      </c>
      <c r="L643">
        <v>-38.8</v>
      </c>
      <c r="M643">
        <v>0.24</v>
      </c>
      <c r="N643">
        <v>11.61</v>
      </c>
      <c r="O643">
        <v>15.61</v>
      </c>
      <c r="P643" t="b">
        <v>1</v>
      </c>
      <c r="Q643">
        <v>1</v>
      </c>
      <c r="R643">
        <v>7350</v>
      </c>
      <c r="S643">
        <v>9218</v>
      </c>
      <c r="T643">
        <v>25.4</v>
      </c>
      <c r="U643" t="s">
        <v>2035</v>
      </c>
      <c r="V643" t="s">
        <v>2714</v>
      </c>
      <c r="W643">
        <v>6.95747505137938</v>
      </c>
      <c r="X643">
        <v>-10.4</v>
      </c>
      <c r="Y643" t="s">
        <v>3345</v>
      </c>
      <c r="Z643">
        <v>0</v>
      </c>
      <c r="AA643">
        <v>6212</v>
      </c>
      <c r="AB643">
        <v>26747</v>
      </c>
      <c r="AC643" t="s">
        <v>4019</v>
      </c>
      <c r="AD643">
        <v>56.27</v>
      </c>
      <c r="AE643" t="s">
        <v>4698</v>
      </c>
      <c r="AF643" t="s">
        <v>5341</v>
      </c>
      <c r="AG643">
        <v>14631</v>
      </c>
      <c r="AH643">
        <v>865</v>
      </c>
      <c r="AI643">
        <v>239111</v>
      </c>
      <c r="AJ643">
        <v>1.14</v>
      </c>
    </row>
    <row r="644" spans="1:36">
      <c r="A644" s="1" t="s">
        <v>678</v>
      </c>
      <c r="B644" t="s">
        <v>1357</v>
      </c>
      <c r="C644">
        <f>HYPERLINK("https://finance.naver.com/item/coinfo.nhn?code=337930", "A337930")</f>
        <v>0</v>
      </c>
      <c r="D644">
        <f>HYPERLINK("http://comp.fnguide.com/SVO2/ASP/SVD_Consensus.asp?pGB=1&amp;gicode=A337930&amp;cID=&amp;MenuYn=Y&amp;ReportGB=&amp;NewMenuID=108&amp;stkGb=701", "브랜드엑스코퍼레이션")</f>
        <v>0</v>
      </c>
      <c r="E644">
        <v>1</v>
      </c>
      <c r="F644">
        <v>12250</v>
      </c>
      <c r="G644">
        <v>0.5</v>
      </c>
      <c r="H644">
        <v>27</v>
      </c>
      <c r="I644">
        <v>15038</v>
      </c>
      <c r="J644">
        <v>8086</v>
      </c>
      <c r="K644">
        <v>6061</v>
      </c>
      <c r="L644">
        <v>-22.76</v>
      </c>
      <c r="M644">
        <v>33.99</v>
      </c>
      <c r="N644">
        <v>50.52</v>
      </c>
      <c r="O644">
        <v>37.08</v>
      </c>
      <c r="P644" t="b">
        <v>1</v>
      </c>
      <c r="Q644">
        <v>1</v>
      </c>
      <c r="R644">
        <v>396</v>
      </c>
      <c r="S644">
        <v>929</v>
      </c>
      <c r="T644">
        <v>134.6</v>
      </c>
      <c r="U644" t="s">
        <v>2036</v>
      </c>
      <c r="V644" t="s">
        <v>2715</v>
      </c>
      <c r="W644">
        <v>54.49289907771182</v>
      </c>
      <c r="X644">
        <v>-4</v>
      </c>
      <c r="Y644" t="s">
        <v>3346</v>
      </c>
      <c r="Z644">
        <v>0</v>
      </c>
      <c r="AA644">
        <v>2335</v>
      </c>
      <c r="AB644">
        <v>115966</v>
      </c>
      <c r="AC644" t="s">
        <v>4020</v>
      </c>
      <c r="AD644">
        <v>49.28</v>
      </c>
      <c r="AE644" t="s">
        <v>4699</v>
      </c>
      <c r="AF644" t="s">
        <v>5342</v>
      </c>
      <c r="AG644">
        <v>1397</v>
      </c>
      <c r="AH644">
        <v>81</v>
      </c>
      <c r="AI644">
        <v>193613</v>
      </c>
      <c r="AJ644">
        <v>1.03</v>
      </c>
    </row>
    <row r="645" spans="1:36">
      <c r="A645" s="1" t="s">
        <v>679</v>
      </c>
      <c r="B645" t="s">
        <v>1358</v>
      </c>
      <c r="C645">
        <f>HYPERLINK("https://finance.naver.com/item/coinfo.nhn?code=064550", "A064550")</f>
        <v>0</v>
      </c>
      <c r="D645">
        <f>HYPERLINK("http://comp.fnguide.com/SVO2/ASP/SVD_Consensus.asp?pGB=1&amp;gicode=A064550&amp;cID=&amp;MenuYn=Y&amp;ReportGB=&amp;NewMenuID=108&amp;stkGb=701", "바이오니아")</f>
        <v>0</v>
      </c>
      <c r="E645">
        <v>1</v>
      </c>
      <c r="F645">
        <v>17500</v>
      </c>
      <c r="G645">
        <v>0</v>
      </c>
      <c r="H645">
        <v>7.72</v>
      </c>
      <c r="I645">
        <v>23156</v>
      </c>
      <c r="J645">
        <v>12843</v>
      </c>
      <c r="K645">
        <v>9839</v>
      </c>
      <c r="L645">
        <v>-32.32</v>
      </c>
      <c r="M645">
        <v>26.61</v>
      </c>
      <c r="N645">
        <v>43.78</v>
      </c>
      <c r="O645">
        <v>32.85</v>
      </c>
      <c r="P645" t="b">
        <v>1</v>
      </c>
      <c r="Q645">
        <v>3</v>
      </c>
      <c r="R645">
        <v>2301</v>
      </c>
      <c r="S645">
        <v>3966</v>
      </c>
      <c r="T645">
        <v>72.40000000000001</v>
      </c>
      <c r="U645" t="s">
        <v>2037</v>
      </c>
      <c r="V645" t="s">
        <v>2716</v>
      </c>
      <c r="W645">
        <v>0</v>
      </c>
      <c r="X645">
        <v>0</v>
      </c>
      <c r="Y645" t="s">
        <v>2762</v>
      </c>
      <c r="Z645">
        <v>0</v>
      </c>
      <c r="AA645">
        <v>4398</v>
      </c>
      <c r="AB645">
        <v>200859</v>
      </c>
      <c r="AC645" t="s">
        <v>4021</v>
      </c>
      <c r="AD645">
        <v>16.28</v>
      </c>
      <c r="AE645" t="s">
        <v>4700</v>
      </c>
      <c r="AF645" t="s">
        <v>5343</v>
      </c>
      <c r="AG645">
        <v>2070</v>
      </c>
      <c r="AH645">
        <v>1052</v>
      </c>
    </row>
    <row r="646" spans="1:36">
      <c r="A646" s="1" t="s">
        <v>680</v>
      </c>
      <c r="B646" t="s">
        <v>1359</v>
      </c>
      <c r="C646">
        <f>HYPERLINK("https://finance.naver.com/item/coinfo.nhn?code=068290", "A068290")</f>
        <v>0</v>
      </c>
      <c r="D646">
        <f>HYPERLINK("http://comp.fnguide.com/SVO2/ASP/SVD_Consensus.asp?pGB=1&amp;gicode=A068290&amp;cID=&amp;MenuYn=Y&amp;ReportGB=&amp;NewMenuID=108&amp;stkGb=701", "삼성출판사")</f>
        <v>0</v>
      </c>
      <c r="E646">
        <v>1</v>
      </c>
      <c r="F646">
        <v>41350</v>
      </c>
      <c r="G646">
        <v>0</v>
      </c>
      <c r="H646">
        <v>4.5</v>
      </c>
      <c r="I646">
        <v>42911</v>
      </c>
      <c r="J646">
        <v>25911</v>
      </c>
      <c r="K646">
        <v>20959</v>
      </c>
      <c r="L646">
        <v>-3.77</v>
      </c>
      <c r="M646">
        <v>37.34</v>
      </c>
      <c r="N646">
        <v>49.31</v>
      </c>
      <c r="O646">
        <v>24.68</v>
      </c>
      <c r="P646" t="b">
        <v>1</v>
      </c>
      <c r="Q646">
        <v>0</v>
      </c>
      <c r="R646">
        <v>5322</v>
      </c>
      <c r="U646" t="s">
        <v>2038</v>
      </c>
      <c r="V646" t="s">
        <v>2717</v>
      </c>
      <c r="W646">
        <v>0</v>
      </c>
      <c r="X646">
        <v>992.7</v>
      </c>
      <c r="Y646" t="s">
        <v>3347</v>
      </c>
      <c r="Z646">
        <v>70.42117334103463</v>
      </c>
      <c r="AA646">
        <v>4135</v>
      </c>
      <c r="AB646">
        <v>215245</v>
      </c>
      <c r="AC646" t="s">
        <v>4022</v>
      </c>
      <c r="AD646">
        <v>64.48999999999999</v>
      </c>
      <c r="AE646" t="s">
        <v>4701</v>
      </c>
      <c r="AF646" t="s">
        <v>5344</v>
      </c>
      <c r="AG646">
        <v>1671</v>
      </c>
      <c r="AH646">
        <v>-45</v>
      </c>
      <c r="AJ646">
        <v>0.84</v>
      </c>
    </row>
    <row r="647" spans="1:36">
      <c r="A647" s="1" t="s">
        <v>681</v>
      </c>
      <c r="B647" t="s">
        <v>1360</v>
      </c>
      <c r="C647">
        <f>HYPERLINK("https://finance.naver.com/item/coinfo.nhn?code=214180", "A214180")</f>
        <v>0</v>
      </c>
      <c r="D647">
        <f>HYPERLINK("http://comp.fnguide.com/SVO2/ASP/SVD_Consensus.asp?pGB=1&amp;gicode=A214180&amp;cID=&amp;MenuYn=Y&amp;ReportGB=&amp;NewMenuID=108&amp;stkGb=701", "민앤지")</f>
        <v>0</v>
      </c>
      <c r="E647">
        <v>1</v>
      </c>
      <c r="F647">
        <v>17600</v>
      </c>
      <c r="G647">
        <v>0.52</v>
      </c>
      <c r="H647">
        <v>11.62</v>
      </c>
      <c r="I647">
        <v>21665</v>
      </c>
      <c r="J647">
        <v>15555</v>
      </c>
      <c r="K647">
        <v>13776</v>
      </c>
      <c r="L647">
        <v>-23.1</v>
      </c>
      <c r="M647">
        <v>11.62</v>
      </c>
      <c r="N647">
        <v>21.73</v>
      </c>
      <c r="O647">
        <v>15.65</v>
      </c>
      <c r="P647" t="b">
        <v>1</v>
      </c>
      <c r="Q647">
        <v>3</v>
      </c>
      <c r="R647">
        <v>1532</v>
      </c>
      <c r="S647">
        <v>1953</v>
      </c>
      <c r="T647">
        <v>27.5</v>
      </c>
      <c r="U647" t="s">
        <v>2039</v>
      </c>
      <c r="V647" t="s">
        <v>2718</v>
      </c>
      <c r="W647">
        <v>22.15757208384172</v>
      </c>
      <c r="X647">
        <v>15.2</v>
      </c>
      <c r="Y647" t="s">
        <v>3348</v>
      </c>
      <c r="Z647">
        <v>12.88314521207285</v>
      </c>
      <c r="AA647">
        <v>2176</v>
      </c>
      <c r="AB647">
        <v>31069</v>
      </c>
      <c r="AC647" t="s">
        <v>4023</v>
      </c>
      <c r="AD647">
        <v>25.94</v>
      </c>
      <c r="AE647" t="s">
        <v>4702</v>
      </c>
      <c r="AF647" t="s">
        <v>5345</v>
      </c>
      <c r="AG647">
        <v>1709</v>
      </c>
      <c r="AH647">
        <v>282</v>
      </c>
      <c r="AI647">
        <v>998795</v>
      </c>
      <c r="AJ647">
        <v>1.91</v>
      </c>
    </row>
    <row r="648" spans="1:36">
      <c r="A648" s="1" t="s">
        <v>682</v>
      </c>
      <c r="B648" t="s">
        <v>1361</v>
      </c>
      <c r="C648">
        <f>HYPERLINK("https://finance.naver.com/item/coinfo.nhn?code=255440", "A255440")</f>
        <v>0</v>
      </c>
      <c r="D648">
        <f>HYPERLINK("http://comp.fnguide.com/SVO2/ASP/SVD_Consensus.asp?pGB=1&amp;gicode=A255440&amp;cID=&amp;MenuYn=Y&amp;ReportGB=&amp;NewMenuID=108&amp;stkGb=701", "야스")</f>
        <v>0</v>
      </c>
      <c r="E648">
        <v>1</v>
      </c>
      <c r="F648">
        <v>15100</v>
      </c>
      <c r="G648">
        <v>0</v>
      </c>
      <c r="H648">
        <v>14.93</v>
      </c>
      <c r="I648">
        <v>18557</v>
      </c>
      <c r="J648">
        <v>14867</v>
      </c>
      <c r="K648">
        <v>13792</v>
      </c>
      <c r="L648">
        <v>-22.89</v>
      </c>
      <c r="M648">
        <v>1.54</v>
      </c>
      <c r="N648">
        <v>8.66</v>
      </c>
      <c r="O648">
        <v>12.36</v>
      </c>
      <c r="P648" t="b">
        <v>1</v>
      </c>
      <c r="Q648">
        <v>0</v>
      </c>
      <c r="R648">
        <v>894</v>
      </c>
      <c r="U648" t="s">
        <v>2040</v>
      </c>
      <c r="V648" t="s">
        <v>2719</v>
      </c>
      <c r="W648">
        <v>0</v>
      </c>
      <c r="X648">
        <v>-28.4</v>
      </c>
      <c r="Y648" t="s">
        <v>3349</v>
      </c>
      <c r="Z648">
        <v>55.54131750871662</v>
      </c>
      <c r="AA648">
        <v>1972</v>
      </c>
      <c r="AB648">
        <v>35644</v>
      </c>
      <c r="AC648" t="s">
        <v>4024</v>
      </c>
      <c r="AD648">
        <v>46.59</v>
      </c>
      <c r="AE648" t="s">
        <v>4703</v>
      </c>
      <c r="AF648" t="s">
        <v>5346</v>
      </c>
      <c r="AG648">
        <v>551</v>
      </c>
      <c r="AH648">
        <v>23</v>
      </c>
      <c r="AI648">
        <v>64180</v>
      </c>
      <c r="AJ648">
        <v>0.75</v>
      </c>
    </row>
    <row r="649" spans="1:36">
      <c r="A649" s="1" t="s">
        <v>683</v>
      </c>
      <c r="B649" t="s">
        <v>1362</v>
      </c>
      <c r="C649">
        <f>HYPERLINK("https://finance.naver.com/item/coinfo.nhn?code=267320", "A267320")</f>
        <v>0</v>
      </c>
      <c r="D649">
        <f>HYPERLINK("http://comp.fnguide.com/SVO2/ASP/SVD_Consensus.asp?pGB=1&amp;gicode=A267320&amp;cID=&amp;MenuYn=Y&amp;ReportGB=&amp;NewMenuID=108&amp;stkGb=701", "나인테크")</f>
        <v>0</v>
      </c>
      <c r="E649">
        <v>1</v>
      </c>
      <c r="F649">
        <v>4320</v>
      </c>
      <c r="G649">
        <v>0</v>
      </c>
      <c r="I649">
        <v>8520</v>
      </c>
      <c r="J649">
        <v>3891</v>
      </c>
      <c r="K649">
        <v>2542</v>
      </c>
      <c r="L649">
        <v>-97.23</v>
      </c>
      <c r="M649">
        <v>9.94</v>
      </c>
      <c r="N649">
        <v>41.16</v>
      </c>
      <c r="O649">
        <v>96.51000000000001</v>
      </c>
      <c r="P649" t="b">
        <v>0</v>
      </c>
      <c r="Q649">
        <v>0</v>
      </c>
      <c r="R649">
        <v>-31</v>
      </c>
      <c r="U649" t="s">
        <v>2041</v>
      </c>
      <c r="V649" t="s">
        <v>2720</v>
      </c>
      <c r="W649">
        <v>0</v>
      </c>
      <c r="X649">
        <v>0</v>
      </c>
      <c r="Y649" t="s">
        <v>3350</v>
      </c>
      <c r="Z649">
        <v>106.5</v>
      </c>
      <c r="AA649">
        <v>1702</v>
      </c>
      <c r="AB649">
        <v>144841</v>
      </c>
      <c r="AC649" t="s">
        <v>4025</v>
      </c>
      <c r="AD649">
        <v>33.2</v>
      </c>
      <c r="AE649" t="s">
        <v>4704</v>
      </c>
      <c r="AF649" t="s">
        <v>4741</v>
      </c>
      <c r="AG649">
        <v>659</v>
      </c>
      <c r="AH649">
        <v>33</v>
      </c>
      <c r="AI649">
        <v>261560</v>
      </c>
    </row>
    <row r="650" spans="1:36">
      <c r="A650" s="1" t="s">
        <v>684</v>
      </c>
      <c r="B650" t="s">
        <v>1363</v>
      </c>
      <c r="C650">
        <f>HYPERLINK("https://finance.naver.com/item/coinfo.nhn?code=077500", "A077500")</f>
        <v>0</v>
      </c>
      <c r="D650">
        <f>HYPERLINK("http://comp.fnguide.com/SVO2/ASP/SVD_Consensus.asp?pGB=1&amp;gicode=A077500&amp;cID=&amp;MenuYn=Y&amp;ReportGB=&amp;NewMenuID=108&amp;stkGb=701", "유니퀘스트")</f>
        <v>0</v>
      </c>
      <c r="E650">
        <v>1</v>
      </c>
      <c r="F650">
        <v>11100</v>
      </c>
      <c r="G650">
        <v>0</v>
      </c>
      <c r="H650">
        <v>16.75</v>
      </c>
      <c r="I650">
        <v>11220</v>
      </c>
      <c r="J650">
        <v>9666</v>
      </c>
      <c r="K650">
        <v>9214</v>
      </c>
      <c r="L650">
        <v>-1.08</v>
      </c>
      <c r="M650">
        <v>12.92</v>
      </c>
      <c r="N650">
        <v>16.99</v>
      </c>
      <c r="O650">
        <v>10.72</v>
      </c>
      <c r="P650" t="b">
        <v>1</v>
      </c>
      <c r="Q650">
        <v>0</v>
      </c>
      <c r="R650">
        <v>878</v>
      </c>
      <c r="U650" t="s">
        <v>2042</v>
      </c>
      <c r="V650" t="s">
        <v>2721</v>
      </c>
      <c r="W650">
        <v>0</v>
      </c>
      <c r="X650">
        <v>-6.1</v>
      </c>
      <c r="Y650" t="s">
        <v>3351</v>
      </c>
      <c r="Z650">
        <v>50.052169288809</v>
      </c>
      <c r="AA650">
        <v>3033</v>
      </c>
      <c r="AB650">
        <v>231820</v>
      </c>
      <c r="AC650" t="s">
        <v>4026</v>
      </c>
      <c r="AD650">
        <v>44.81</v>
      </c>
      <c r="AE650" t="s">
        <v>4705</v>
      </c>
      <c r="AF650" t="s">
        <v>5347</v>
      </c>
      <c r="AG650">
        <v>4028</v>
      </c>
      <c r="AH650">
        <v>90</v>
      </c>
      <c r="AI650">
        <v>586113</v>
      </c>
      <c r="AJ650">
        <v>0.85</v>
      </c>
    </row>
    <row r="651" spans="1:36">
      <c r="A651" s="1" t="s">
        <v>685</v>
      </c>
      <c r="B651" t="s">
        <v>1364</v>
      </c>
      <c r="C651">
        <f>HYPERLINK("https://finance.naver.com/item/coinfo.nhn?code=104830", "A104830")</f>
        <v>0</v>
      </c>
      <c r="D651">
        <f>HYPERLINK("http://comp.fnguide.com/SVO2/ASP/SVD_Consensus.asp?pGB=1&amp;gicode=A104830&amp;cID=&amp;MenuYn=Y&amp;ReportGB=&amp;NewMenuID=108&amp;stkGb=701", "원익머트리얼즈")</f>
        <v>0</v>
      </c>
      <c r="E651">
        <v>1</v>
      </c>
      <c r="F651">
        <v>35200</v>
      </c>
      <c r="G651">
        <v>-8.1</v>
      </c>
      <c r="H651">
        <v>13.34</v>
      </c>
      <c r="I651">
        <v>36020</v>
      </c>
      <c r="J651">
        <v>30577</v>
      </c>
      <c r="K651">
        <v>28991</v>
      </c>
      <c r="L651">
        <v>-2.33</v>
      </c>
      <c r="M651">
        <v>13.13</v>
      </c>
      <c r="N651">
        <v>17.64</v>
      </c>
      <c r="O651">
        <v>11.03</v>
      </c>
      <c r="P651" t="b">
        <v>1</v>
      </c>
      <c r="Q651">
        <v>2</v>
      </c>
      <c r="R651">
        <v>2628</v>
      </c>
      <c r="S651">
        <v>3175</v>
      </c>
      <c r="T651">
        <v>20.8</v>
      </c>
      <c r="U651" t="s">
        <v>2043</v>
      </c>
      <c r="V651" t="s">
        <v>2722</v>
      </c>
      <c r="W651">
        <v>-1.647425193409924</v>
      </c>
      <c r="X651">
        <v>17.9</v>
      </c>
      <c r="Y651" t="s">
        <v>3352</v>
      </c>
      <c r="Z651">
        <v>8.321821610319024</v>
      </c>
      <c r="AA651">
        <v>4438</v>
      </c>
      <c r="AB651">
        <v>43390</v>
      </c>
      <c r="AC651" t="s">
        <v>4027</v>
      </c>
      <c r="AD651">
        <v>45.69</v>
      </c>
      <c r="AE651" t="s">
        <v>4706</v>
      </c>
      <c r="AF651" t="s">
        <v>5348</v>
      </c>
      <c r="AG651">
        <v>2768</v>
      </c>
      <c r="AH651">
        <v>459</v>
      </c>
      <c r="AJ651">
        <v>0.57</v>
      </c>
    </row>
    <row r="652" spans="1:36">
      <c r="A652" s="1" t="s">
        <v>686</v>
      </c>
      <c r="B652" t="s">
        <v>1365</v>
      </c>
      <c r="C652">
        <f>HYPERLINK("https://finance.naver.com/item/coinfo.nhn?code=010050", "A010050")</f>
        <v>0</v>
      </c>
      <c r="D652">
        <f>HYPERLINK("http://comp.fnguide.com/SVO2/ASP/SVD_Consensus.asp?pGB=1&amp;gicode=A010050&amp;cID=&amp;MenuYn=Y&amp;ReportGB=&amp;NewMenuID=108&amp;stkGb=701", "우리종금")</f>
        <v>0</v>
      </c>
      <c r="E652">
        <v>1</v>
      </c>
      <c r="F652">
        <v>867</v>
      </c>
      <c r="G652">
        <v>0</v>
      </c>
      <c r="H652">
        <v>6.06</v>
      </c>
      <c r="I652">
        <v>1037</v>
      </c>
      <c r="J652">
        <v>780</v>
      </c>
      <c r="K652">
        <v>706</v>
      </c>
      <c r="L652">
        <v>-19.61</v>
      </c>
      <c r="M652">
        <v>9.98</v>
      </c>
      <c r="N652">
        <v>18.6</v>
      </c>
      <c r="O652">
        <v>14.09</v>
      </c>
      <c r="P652" t="b">
        <v>1</v>
      </c>
      <c r="Q652">
        <v>0</v>
      </c>
      <c r="R652">
        <v>89</v>
      </c>
      <c r="U652" t="s">
        <v>2044</v>
      </c>
      <c r="V652" t="s">
        <v>2723</v>
      </c>
      <c r="W652">
        <v>0</v>
      </c>
      <c r="Y652" t="s">
        <v>2823</v>
      </c>
      <c r="Z652">
        <v>0</v>
      </c>
      <c r="AA652">
        <v>7579</v>
      </c>
      <c r="AB652">
        <v>6034450</v>
      </c>
      <c r="AC652" t="s">
        <v>4028</v>
      </c>
      <c r="AD652">
        <v>58.75</v>
      </c>
      <c r="AE652" t="s">
        <v>4707</v>
      </c>
      <c r="AF652" t="s">
        <v>5349</v>
      </c>
      <c r="AG652">
        <v>2563</v>
      </c>
      <c r="AH652">
        <v>687</v>
      </c>
      <c r="AI652">
        <v>69076</v>
      </c>
      <c r="AJ652">
        <v>1.86</v>
      </c>
    </row>
    <row r="653" spans="1:36">
      <c r="A653" s="1" t="s">
        <v>687</v>
      </c>
      <c r="B653" t="s">
        <v>1366</v>
      </c>
      <c r="C653">
        <f>HYPERLINK("https://finance.naver.com/item/coinfo.nhn?code=094970", "A094970")</f>
        <v>0</v>
      </c>
      <c r="D653">
        <f>HYPERLINK("http://comp.fnguide.com/SVO2/ASP/SVD_Consensus.asp?pGB=1&amp;gicode=A094970&amp;cID=&amp;MenuYn=Y&amp;ReportGB=&amp;NewMenuID=108&amp;stkGb=701", "제이엠티")</f>
        <v>0</v>
      </c>
      <c r="E653">
        <v>1</v>
      </c>
      <c r="F653">
        <v>3640</v>
      </c>
      <c r="G653">
        <v>0</v>
      </c>
      <c r="H653">
        <v>9.15</v>
      </c>
      <c r="I653">
        <v>3743</v>
      </c>
      <c r="J653">
        <v>3574</v>
      </c>
      <c r="K653">
        <v>3525</v>
      </c>
      <c r="L653">
        <v>-2.84</v>
      </c>
      <c r="M653">
        <v>1.81</v>
      </c>
      <c r="N653">
        <v>3.16</v>
      </c>
      <c r="O653">
        <v>8.9</v>
      </c>
      <c r="P653" t="b">
        <v>1</v>
      </c>
      <c r="Q653">
        <v>0</v>
      </c>
      <c r="R653">
        <v>317</v>
      </c>
      <c r="U653" t="s">
        <v>2045</v>
      </c>
      <c r="V653" t="s">
        <v>2724</v>
      </c>
      <c r="W653">
        <v>0</v>
      </c>
      <c r="X653">
        <v>454.8</v>
      </c>
      <c r="Y653" t="s">
        <v>3353</v>
      </c>
      <c r="Z653">
        <v>64.56395694326891</v>
      </c>
      <c r="AA653">
        <v>610</v>
      </c>
      <c r="AB653">
        <v>193801</v>
      </c>
      <c r="AC653" t="s">
        <v>4029</v>
      </c>
      <c r="AD653">
        <v>43.98</v>
      </c>
      <c r="AE653" t="s">
        <v>4708</v>
      </c>
      <c r="AF653" t="s">
        <v>5350</v>
      </c>
      <c r="AG653">
        <v>794</v>
      </c>
      <c r="AH653">
        <v>108</v>
      </c>
      <c r="AI653">
        <v>36106</v>
      </c>
      <c r="AJ653">
        <v>1.72</v>
      </c>
    </row>
    <row r="654" spans="1:36">
      <c r="A654" s="1" t="s">
        <v>688</v>
      </c>
      <c r="B654" t="s">
        <v>1367</v>
      </c>
      <c r="C654">
        <f>HYPERLINK("https://finance.naver.com/item/coinfo.nhn?code=122310", "A122310")</f>
        <v>0</v>
      </c>
      <c r="D654">
        <f>HYPERLINK("http://comp.fnguide.com/SVO2/ASP/SVD_Consensus.asp?pGB=1&amp;gicode=A122310&amp;cID=&amp;MenuYn=Y&amp;ReportGB=&amp;NewMenuID=108&amp;stkGb=701", "제노레이")</f>
        <v>0</v>
      </c>
      <c r="E654">
        <v>1</v>
      </c>
      <c r="F654">
        <v>10400</v>
      </c>
      <c r="G654">
        <v>0</v>
      </c>
      <c r="H654">
        <v>13.95</v>
      </c>
      <c r="I654">
        <v>11923</v>
      </c>
      <c r="J654">
        <v>7605</v>
      </c>
      <c r="K654">
        <v>6347</v>
      </c>
      <c r="L654">
        <v>-14.65</v>
      </c>
      <c r="M654">
        <v>26.88</v>
      </c>
      <c r="N654">
        <v>38.97</v>
      </c>
      <c r="O654">
        <v>21.07</v>
      </c>
      <c r="P654" t="b">
        <v>1</v>
      </c>
      <c r="Q654">
        <v>0</v>
      </c>
      <c r="R654">
        <v>699</v>
      </c>
      <c r="U654" t="s">
        <v>2046</v>
      </c>
      <c r="V654" t="s">
        <v>2725</v>
      </c>
      <c r="W654">
        <v>0</v>
      </c>
      <c r="X654">
        <v>-26.5</v>
      </c>
      <c r="Y654" t="s">
        <v>3354</v>
      </c>
      <c r="Z654">
        <v>27.26124389042188</v>
      </c>
      <c r="AA654">
        <v>1514</v>
      </c>
      <c r="AB654">
        <v>63641</v>
      </c>
      <c r="AC654" t="s">
        <v>4030</v>
      </c>
      <c r="AD654">
        <v>28.5</v>
      </c>
      <c r="AE654" t="s">
        <v>4709</v>
      </c>
      <c r="AF654" t="s">
        <v>5351</v>
      </c>
      <c r="AG654">
        <v>617</v>
      </c>
      <c r="AH654">
        <v>111</v>
      </c>
      <c r="AI654">
        <v>260000</v>
      </c>
      <c r="AJ654">
        <v>1.23</v>
      </c>
    </row>
    <row r="655" spans="1:36">
      <c r="A655" s="1" t="s">
        <v>689</v>
      </c>
      <c r="B655" t="s">
        <v>1368</v>
      </c>
      <c r="C655">
        <f>HYPERLINK("https://finance.naver.com/item/coinfo.nhn?code=006060", "A006060")</f>
        <v>0</v>
      </c>
      <c r="D655">
        <f>HYPERLINK("http://comp.fnguide.com/SVO2/ASP/SVD_Consensus.asp?pGB=1&amp;gicode=A006060&amp;cID=&amp;MenuYn=Y&amp;ReportGB=&amp;NewMenuID=108&amp;stkGb=701", "화승인더")</f>
        <v>0</v>
      </c>
      <c r="E655">
        <v>1</v>
      </c>
      <c r="F655">
        <v>8700</v>
      </c>
      <c r="G655">
        <v>0</v>
      </c>
      <c r="H655">
        <v>10.56</v>
      </c>
      <c r="I655">
        <v>10835</v>
      </c>
      <c r="J655">
        <v>8363</v>
      </c>
      <c r="K655">
        <v>7643</v>
      </c>
      <c r="L655">
        <v>-24.54</v>
      </c>
      <c r="M655">
        <v>3.87</v>
      </c>
      <c r="N655">
        <v>12.15</v>
      </c>
      <c r="O655">
        <v>13.35</v>
      </c>
      <c r="P655" t="b">
        <v>1</v>
      </c>
      <c r="Q655">
        <v>0</v>
      </c>
      <c r="R655">
        <v>675</v>
      </c>
      <c r="U655" t="s">
        <v>2047</v>
      </c>
      <c r="V655" t="s">
        <v>2726</v>
      </c>
      <c r="W655">
        <v>0</v>
      </c>
      <c r="X655">
        <v>-36.7</v>
      </c>
      <c r="Y655" t="s">
        <v>3355</v>
      </c>
      <c r="Z655">
        <v>11.60816601872177</v>
      </c>
      <c r="AA655">
        <v>4813</v>
      </c>
      <c r="AB655">
        <v>720185</v>
      </c>
      <c r="AC655" t="s">
        <v>4031</v>
      </c>
      <c r="AD655">
        <v>33.59</v>
      </c>
      <c r="AE655" t="s">
        <v>4710</v>
      </c>
      <c r="AF655" t="s">
        <v>5352</v>
      </c>
      <c r="AG655">
        <v>12988</v>
      </c>
      <c r="AH655">
        <v>824</v>
      </c>
      <c r="AI655">
        <v>2482393</v>
      </c>
      <c r="AJ655">
        <v>2.64</v>
      </c>
    </row>
    <row r="656" spans="1:36">
      <c r="A656" s="1" t="s">
        <v>690</v>
      </c>
      <c r="B656" t="s">
        <v>1369</v>
      </c>
      <c r="C656">
        <f>HYPERLINK("https://finance.naver.com/item/coinfo.nhn?code=244920", "A244920")</f>
        <v>0</v>
      </c>
      <c r="D656">
        <f>HYPERLINK("http://comp.fnguide.com/SVO2/ASP/SVD_Consensus.asp?pGB=1&amp;gicode=A244920&amp;cID=&amp;MenuYn=Y&amp;ReportGB=&amp;NewMenuID=108&amp;stkGb=701", "에이플러스에셋")</f>
        <v>0</v>
      </c>
      <c r="E656">
        <v>1</v>
      </c>
      <c r="F656">
        <v>8670</v>
      </c>
      <c r="G656">
        <v>2.77</v>
      </c>
      <c r="H656">
        <v>5.68</v>
      </c>
      <c r="I656">
        <v>13461</v>
      </c>
      <c r="J656">
        <v>7938</v>
      </c>
      <c r="K656">
        <v>6329</v>
      </c>
      <c r="L656">
        <v>-55.26</v>
      </c>
      <c r="M656">
        <v>8.44</v>
      </c>
      <c r="N656">
        <v>27</v>
      </c>
      <c r="O656">
        <v>26.58</v>
      </c>
      <c r="P656" t="b">
        <v>1</v>
      </c>
      <c r="Q656">
        <v>0</v>
      </c>
      <c r="R656">
        <v>977</v>
      </c>
      <c r="S656">
        <v>725</v>
      </c>
      <c r="T656">
        <v>-25.8</v>
      </c>
      <c r="U656" t="s">
        <v>2048</v>
      </c>
      <c r="V656" t="s">
        <v>2727</v>
      </c>
      <c r="W656">
        <v>2.047251463797495</v>
      </c>
      <c r="X656">
        <v>60</v>
      </c>
      <c r="Y656" t="s">
        <v>3356</v>
      </c>
      <c r="Z656">
        <v>41.29079536216713</v>
      </c>
      <c r="AA656">
        <v>1960</v>
      </c>
      <c r="AB656">
        <v>186692</v>
      </c>
      <c r="AC656" t="s">
        <v>4032</v>
      </c>
      <c r="AD656">
        <v>34.41</v>
      </c>
      <c r="AE656" t="s">
        <v>4711</v>
      </c>
      <c r="AF656" t="s">
        <v>5353</v>
      </c>
      <c r="AG656">
        <v>2851</v>
      </c>
      <c r="AH656">
        <v>232</v>
      </c>
      <c r="AJ656">
        <v>6.31</v>
      </c>
    </row>
    <row r="657" spans="1:36">
      <c r="A657" s="1" t="s">
        <v>691</v>
      </c>
      <c r="B657" t="s">
        <v>1370</v>
      </c>
      <c r="C657">
        <f>HYPERLINK("https://finance.naver.com/item/coinfo.nhn?code=102710", "A102710")</f>
        <v>0</v>
      </c>
      <c r="D657">
        <f>HYPERLINK("http://comp.fnguide.com/SVO2/ASP/SVD_Consensus.asp?pGB=1&amp;gicode=A102710&amp;cID=&amp;MenuYn=Y&amp;ReportGB=&amp;NewMenuID=108&amp;stkGb=701", "이엔에프테크놀로지")</f>
        <v>0</v>
      </c>
      <c r="E657">
        <v>1</v>
      </c>
      <c r="F657">
        <v>37650</v>
      </c>
      <c r="G657">
        <v>0.98</v>
      </c>
      <c r="H657">
        <v>14.68</v>
      </c>
      <c r="I657">
        <v>43934</v>
      </c>
      <c r="J657">
        <v>30705</v>
      </c>
      <c r="K657">
        <v>26852</v>
      </c>
      <c r="L657">
        <v>-16.69</v>
      </c>
      <c r="M657">
        <v>18.45</v>
      </c>
      <c r="N657">
        <v>28.68</v>
      </c>
      <c r="O657">
        <v>16.67</v>
      </c>
      <c r="P657" t="b">
        <v>1</v>
      </c>
      <c r="Q657">
        <v>0</v>
      </c>
      <c r="R657">
        <v>3245</v>
      </c>
      <c r="S657">
        <v>3080</v>
      </c>
      <c r="T657">
        <v>-5.1</v>
      </c>
      <c r="U657" t="s">
        <v>2049</v>
      </c>
      <c r="V657" t="s">
        <v>2728</v>
      </c>
      <c r="W657">
        <v>14.99019203057925</v>
      </c>
      <c r="X657">
        <v>0.2</v>
      </c>
      <c r="Y657" t="s">
        <v>3357</v>
      </c>
      <c r="Z657">
        <v>8.900642721080043</v>
      </c>
      <c r="AA657">
        <v>5379</v>
      </c>
      <c r="AB657">
        <v>128372</v>
      </c>
      <c r="AC657" t="s">
        <v>4033</v>
      </c>
      <c r="AD657">
        <v>35.58</v>
      </c>
      <c r="AE657" t="s">
        <v>4712</v>
      </c>
      <c r="AF657" t="s">
        <v>5354</v>
      </c>
      <c r="AG657">
        <v>4866</v>
      </c>
      <c r="AH657">
        <v>682</v>
      </c>
      <c r="AJ657">
        <v>0.31</v>
      </c>
    </row>
    <row r="658" spans="1:36">
      <c r="A658" s="1" t="s">
        <v>692</v>
      </c>
      <c r="B658" t="s">
        <v>1371</v>
      </c>
      <c r="C658">
        <f>HYPERLINK("https://finance.naver.com/item/coinfo.nhn?code=339770", "A339770")</f>
        <v>0</v>
      </c>
      <c r="D658">
        <f>HYPERLINK("http://comp.fnguide.com/SVO2/ASP/SVD_Consensus.asp?pGB=1&amp;gicode=A339770&amp;cID=&amp;MenuYn=Y&amp;ReportGB=&amp;NewMenuID=108&amp;stkGb=701", "교촌에프앤비")</f>
        <v>0</v>
      </c>
      <c r="E658">
        <v>1</v>
      </c>
      <c r="F658">
        <v>20300</v>
      </c>
      <c r="G658">
        <v>0</v>
      </c>
      <c r="H658">
        <v>17.57</v>
      </c>
      <c r="I658">
        <v>21897</v>
      </c>
      <c r="J658">
        <v>12541</v>
      </c>
      <c r="K658">
        <v>9815</v>
      </c>
      <c r="L658">
        <v>-7.87</v>
      </c>
      <c r="M658">
        <v>38.22</v>
      </c>
      <c r="N658">
        <v>51.65</v>
      </c>
      <c r="O658">
        <v>29.3</v>
      </c>
      <c r="P658" t="b">
        <v>1</v>
      </c>
      <c r="Q658">
        <v>0</v>
      </c>
      <c r="R658">
        <v>1107</v>
      </c>
      <c r="U658" t="s">
        <v>2050</v>
      </c>
      <c r="V658" t="s">
        <v>2729</v>
      </c>
      <c r="W658">
        <v>0</v>
      </c>
      <c r="X658">
        <v>-2</v>
      </c>
      <c r="Y658" t="s">
        <v>3358</v>
      </c>
      <c r="Z658">
        <v>-49.44565027874371</v>
      </c>
      <c r="AA658">
        <v>5071</v>
      </c>
      <c r="AB658">
        <v>168480</v>
      </c>
      <c r="AC658" t="s">
        <v>4034</v>
      </c>
      <c r="AD658">
        <v>74.09999999999999</v>
      </c>
      <c r="AE658" t="s">
        <v>4713</v>
      </c>
      <c r="AF658" t="s">
        <v>5355</v>
      </c>
      <c r="AG658">
        <v>4476</v>
      </c>
      <c r="AH658">
        <v>410</v>
      </c>
      <c r="AJ658">
        <v>1.03</v>
      </c>
    </row>
    <row r="659" spans="1:36">
      <c r="A659" s="1" t="s">
        <v>693</v>
      </c>
      <c r="B659" t="s">
        <v>1372</v>
      </c>
      <c r="C659">
        <f>HYPERLINK("https://finance.naver.com/item/coinfo.nhn?code=011780", "A011780")</f>
        <v>0</v>
      </c>
      <c r="D659">
        <f>HYPERLINK("http://comp.fnguide.com/SVO2/ASP/SVD_Consensus.asp?pGB=1&amp;gicode=A011780&amp;cID=&amp;MenuYn=Y&amp;ReportGB=&amp;NewMenuID=108&amp;stkGb=701", "금호석유")</f>
        <v>0</v>
      </c>
      <c r="E659">
        <v>1</v>
      </c>
      <c r="F659">
        <v>244000</v>
      </c>
      <c r="G659">
        <v>0.16</v>
      </c>
      <c r="H659">
        <v>8.33</v>
      </c>
      <c r="I659">
        <v>276292</v>
      </c>
      <c r="J659">
        <v>187357</v>
      </c>
      <c r="K659">
        <v>161451</v>
      </c>
      <c r="L659">
        <v>-13.23</v>
      </c>
      <c r="M659">
        <v>23.21</v>
      </c>
      <c r="N659">
        <v>33.83</v>
      </c>
      <c r="O659">
        <v>17.94</v>
      </c>
      <c r="P659" t="b">
        <v>1</v>
      </c>
      <c r="Q659">
        <v>2</v>
      </c>
      <c r="R659">
        <v>17405</v>
      </c>
      <c r="S659">
        <v>51468</v>
      </c>
      <c r="T659">
        <v>195.7</v>
      </c>
      <c r="U659" t="s">
        <v>2051</v>
      </c>
      <c r="V659" t="s">
        <v>2730</v>
      </c>
      <c r="W659">
        <v>51.99038778088756</v>
      </c>
      <c r="X659">
        <v>97.90000000000001</v>
      </c>
      <c r="Y659" t="s">
        <v>3359</v>
      </c>
      <c r="Z659">
        <v>37.44806255615794</v>
      </c>
      <c r="AA659">
        <v>74341</v>
      </c>
      <c r="AB659">
        <v>683359</v>
      </c>
      <c r="AC659" t="s">
        <v>4035</v>
      </c>
      <c r="AD659">
        <v>25.06</v>
      </c>
      <c r="AE659" t="s">
        <v>4714</v>
      </c>
      <c r="AF659" t="s">
        <v>5356</v>
      </c>
      <c r="AG659">
        <v>48095</v>
      </c>
      <c r="AH659">
        <v>7422</v>
      </c>
      <c r="AI659">
        <v>5592528</v>
      </c>
      <c r="AJ659">
        <v>2.9</v>
      </c>
    </row>
    <row r="660" spans="1:36">
      <c r="A660" s="1" t="s">
        <v>694</v>
      </c>
      <c r="B660" t="s">
        <v>1373</v>
      </c>
      <c r="C660">
        <f>HYPERLINK("https://finance.naver.com/item/coinfo.nhn?code=013700", "A013700")</f>
        <v>0</v>
      </c>
      <c r="D660">
        <f>HYPERLINK("http://comp.fnguide.com/SVO2/ASP/SVD_Consensus.asp?pGB=1&amp;gicode=A013700&amp;cID=&amp;MenuYn=Y&amp;ReportGB=&amp;NewMenuID=108&amp;stkGb=701", "까뮤이앤씨")</f>
        <v>0</v>
      </c>
      <c r="E660">
        <v>1</v>
      </c>
      <c r="F660">
        <v>2505</v>
      </c>
      <c r="G660">
        <v>0</v>
      </c>
      <c r="H660">
        <v>14.69</v>
      </c>
      <c r="I660">
        <v>3040</v>
      </c>
      <c r="J660">
        <v>2344</v>
      </c>
      <c r="K660">
        <v>2141</v>
      </c>
      <c r="L660">
        <v>-21.34</v>
      </c>
      <c r="M660">
        <v>6.42</v>
      </c>
      <c r="N660">
        <v>14.51</v>
      </c>
      <c r="O660">
        <v>13.37</v>
      </c>
      <c r="P660" t="b">
        <v>0</v>
      </c>
      <c r="Q660">
        <v>0</v>
      </c>
      <c r="R660">
        <v>204</v>
      </c>
      <c r="U660" t="s">
        <v>2052</v>
      </c>
      <c r="V660" t="s">
        <v>2731</v>
      </c>
      <c r="W660">
        <v>0</v>
      </c>
      <c r="X660">
        <v>-31.8</v>
      </c>
      <c r="Y660" t="s">
        <v>3360</v>
      </c>
      <c r="Z660">
        <v>12.22133948500304</v>
      </c>
      <c r="AA660">
        <v>1131</v>
      </c>
      <c r="AB660">
        <v>575185</v>
      </c>
      <c r="AC660" t="s">
        <v>4036</v>
      </c>
      <c r="AD660">
        <v>35.06</v>
      </c>
      <c r="AE660" t="s">
        <v>4715</v>
      </c>
      <c r="AF660" t="s">
        <v>5357</v>
      </c>
      <c r="AG660">
        <v>1617</v>
      </c>
      <c r="AH660">
        <v>28</v>
      </c>
      <c r="AI660">
        <v>840000</v>
      </c>
      <c r="AJ660">
        <v>0.67</v>
      </c>
    </row>
    <row r="661" spans="1:36">
      <c r="A661" s="1" t="s">
        <v>695</v>
      </c>
      <c r="B661" t="s">
        <v>1374</v>
      </c>
      <c r="C661">
        <f>HYPERLINK("https://finance.naver.com/item/coinfo.nhn?code=004540", "A004540")</f>
        <v>0</v>
      </c>
      <c r="D661">
        <f>HYPERLINK("http://comp.fnguide.com/SVO2/ASP/SVD_Consensus.asp?pGB=1&amp;gicode=A004540&amp;cID=&amp;MenuYn=Y&amp;ReportGB=&amp;NewMenuID=108&amp;stkGb=701", "깨끗한나라")</f>
        <v>0</v>
      </c>
      <c r="E661">
        <v>1</v>
      </c>
      <c r="F661">
        <v>6800</v>
      </c>
      <c r="G661">
        <v>0</v>
      </c>
      <c r="H661">
        <v>4.25</v>
      </c>
      <c r="I661">
        <v>7157</v>
      </c>
      <c r="J661">
        <v>6364</v>
      </c>
      <c r="K661">
        <v>6133</v>
      </c>
      <c r="L661">
        <v>-5.25</v>
      </c>
      <c r="M661">
        <v>6.41</v>
      </c>
      <c r="N661">
        <v>9.81</v>
      </c>
      <c r="O661">
        <v>10.11</v>
      </c>
      <c r="P661" t="b">
        <v>1</v>
      </c>
      <c r="Q661">
        <v>0</v>
      </c>
      <c r="R661">
        <v>1013</v>
      </c>
      <c r="U661" t="s">
        <v>2053</v>
      </c>
      <c r="V661" t="s">
        <v>2732</v>
      </c>
      <c r="W661">
        <v>0</v>
      </c>
      <c r="X661">
        <v>0</v>
      </c>
      <c r="Y661" t="s">
        <v>2762</v>
      </c>
      <c r="Z661">
        <v>0</v>
      </c>
      <c r="AA661">
        <v>2532</v>
      </c>
      <c r="AB661">
        <v>1176092</v>
      </c>
      <c r="AC661" t="s">
        <v>4037</v>
      </c>
      <c r="AD661">
        <v>40.04</v>
      </c>
      <c r="AE661" t="s">
        <v>4716</v>
      </c>
      <c r="AF661" t="s">
        <v>5358</v>
      </c>
      <c r="AG661">
        <v>5916</v>
      </c>
      <c r="AH661">
        <v>521</v>
      </c>
      <c r="AI661">
        <v>1446</v>
      </c>
      <c r="AJ661">
        <v>2.32</v>
      </c>
    </row>
    <row r="662" spans="1:36">
      <c r="A662" s="1" t="s">
        <v>696</v>
      </c>
      <c r="B662" t="s">
        <v>1375</v>
      </c>
      <c r="C662">
        <f>HYPERLINK("https://finance.naver.com/item/coinfo.nhn?code=136540", "A136540")</f>
        <v>0</v>
      </c>
      <c r="D662">
        <f>HYPERLINK("http://comp.fnguide.com/SVO2/ASP/SVD_Consensus.asp?pGB=1&amp;gicode=A136540&amp;cID=&amp;MenuYn=Y&amp;ReportGB=&amp;NewMenuID=108&amp;stkGb=701", "윈스")</f>
        <v>0</v>
      </c>
      <c r="E662">
        <v>1</v>
      </c>
      <c r="F662">
        <v>16850</v>
      </c>
      <c r="G662">
        <v>0.75</v>
      </c>
      <c r="H662">
        <v>12.54</v>
      </c>
      <c r="I662">
        <v>19892</v>
      </c>
      <c r="J662">
        <v>14943</v>
      </c>
      <c r="K662">
        <v>13502</v>
      </c>
      <c r="L662">
        <v>-18.05</v>
      </c>
      <c r="M662">
        <v>11.31</v>
      </c>
      <c r="N662">
        <v>19.87</v>
      </c>
      <c r="O662">
        <v>14.14</v>
      </c>
      <c r="P662" t="b">
        <v>1</v>
      </c>
      <c r="Q662">
        <v>3</v>
      </c>
      <c r="R662">
        <v>1499</v>
      </c>
      <c r="S662">
        <v>1548</v>
      </c>
      <c r="T662">
        <v>3.3</v>
      </c>
      <c r="U662" t="s">
        <v>2054</v>
      </c>
      <c r="V662" t="s">
        <v>2733</v>
      </c>
      <c r="W662">
        <v>16.64439430979714</v>
      </c>
      <c r="X662">
        <v>24.2</v>
      </c>
      <c r="Y662" t="s">
        <v>3361</v>
      </c>
      <c r="Z662">
        <v>10.61431861656588</v>
      </c>
      <c r="AA662">
        <v>2058</v>
      </c>
      <c r="AB662">
        <v>48763</v>
      </c>
      <c r="AC662" t="s">
        <v>4038</v>
      </c>
      <c r="AD662">
        <v>37.8</v>
      </c>
      <c r="AE662" t="s">
        <v>4717</v>
      </c>
      <c r="AF662" t="s">
        <v>5359</v>
      </c>
      <c r="AG662">
        <v>939</v>
      </c>
      <c r="AH662">
        <v>187</v>
      </c>
      <c r="AI662">
        <v>1217675</v>
      </c>
      <c r="AJ662">
        <v>2.13</v>
      </c>
    </row>
    <row r="663" spans="1:36">
      <c r="A663" s="1" t="s">
        <v>697</v>
      </c>
      <c r="B663" t="s">
        <v>1376</v>
      </c>
      <c r="C663">
        <f>HYPERLINK("https://finance.naver.com/item/coinfo.nhn?code=044340", "A044340")</f>
        <v>0</v>
      </c>
      <c r="D663">
        <f>HYPERLINK("http://comp.fnguide.com/SVO2/ASP/SVD_Consensus.asp?pGB=1&amp;gicode=A044340&amp;cID=&amp;MenuYn=Y&amp;ReportGB=&amp;NewMenuID=108&amp;stkGb=701", "위닉스")</f>
        <v>0</v>
      </c>
      <c r="E663">
        <v>1</v>
      </c>
      <c r="F663">
        <v>22800</v>
      </c>
      <c r="G663">
        <v>0</v>
      </c>
      <c r="H663">
        <v>9.99</v>
      </c>
      <c r="I663">
        <v>36367</v>
      </c>
      <c r="J663">
        <v>21779</v>
      </c>
      <c r="K663">
        <v>17530</v>
      </c>
      <c r="L663">
        <v>-59.5</v>
      </c>
      <c r="M663">
        <v>4.48</v>
      </c>
      <c r="N663">
        <v>23.12</v>
      </c>
      <c r="O663">
        <v>25.32</v>
      </c>
      <c r="P663" t="b">
        <v>1</v>
      </c>
      <c r="Q663">
        <v>0</v>
      </c>
      <c r="R663">
        <v>2373</v>
      </c>
      <c r="U663" t="s">
        <v>2055</v>
      </c>
      <c r="V663" t="s">
        <v>2734</v>
      </c>
      <c r="W663">
        <v>0</v>
      </c>
      <c r="X663">
        <v>4.7</v>
      </c>
      <c r="Y663" t="s">
        <v>3362</v>
      </c>
      <c r="Z663">
        <v>50.7915403674424</v>
      </c>
      <c r="AA663">
        <v>4075</v>
      </c>
      <c r="AB663">
        <v>111177</v>
      </c>
      <c r="AC663" t="s">
        <v>4039</v>
      </c>
      <c r="AD663">
        <v>47.92</v>
      </c>
      <c r="AE663" t="s">
        <v>4718</v>
      </c>
      <c r="AF663" t="s">
        <v>5360</v>
      </c>
      <c r="AG663">
        <v>3823</v>
      </c>
      <c r="AH663">
        <v>520</v>
      </c>
      <c r="AI663">
        <v>1966696</v>
      </c>
      <c r="AJ663">
        <v>2.11</v>
      </c>
    </row>
    <row r="664" spans="1:36">
      <c r="A664" s="1" t="s">
        <v>698</v>
      </c>
      <c r="B664" t="s">
        <v>1377</v>
      </c>
      <c r="C664">
        <f>HYPERLINK("https://finance.naver.com/item/coinfo.nhn?code=058110", "A058110")</f>
        <v>0</v>
      </c>
      <c r="D664">
        <f>HYPERLINK("http://comp.fnguide.com/SVO2/ASP/SVD_Consensus.asp?pGB=1&amp;gicode=A058110&amp;cID=&amp;MenuYn=Y&amp;ReportGB=&amp;NewMenuID=108&amp;stkGb=701", "멕아이씨에스")</f>
        <v>0</v>
      </c>
      <c r="E664">
        <v>1</v>
      </c>
      <c r="F664">
        <v>15800</v>
      </c>
      <c r="G664">
        <v>0</v>
      </c>
      <c r="H664">
        <v>10.51</v>
      </c>
      <c r="I664">
        <v>16562</v>
      </c>
      <c r="J664">
        <v>8153</v>
      </c>
      <c r="K664">
        <v>5704</v>
      </c>
      <c r="L664">
        <v>-4.82</v>
      </c>
      <c r="M664">
        <v>48.4</v>
      </c>
      <c r="N664">
        <v>63.9</v>
      </c>
      <c r="O664">
        <v>56.61</v>
      </c>
      <c r="P664" t="b">
        <v>1</v>
      </c>
      <c r="Q664">
        <v>0</v>
      </c>
      <c r="R664">
        <v>1751</v>
      </c>
      <c r="U664" t="s">
        <v>2056</v>
      </c>
      <c r="V664" t="s">
        <v>2735</v>
      </c>
      <c r="W664">
        <v>0</v>
      </c>
      <c r="X664">
        <v>0</v>
      </c>
      <c r="Y664" t="s">
        <v>2762</v>
      </c>
      <c r="Z664">
        <v>0</v>
      </c>
      <c r="AA664">
        <v>2536</v>
      </c>
      <c r="AB664">
        <v>269405</v>
      </c>
      <c r="AC664" t="s">
        <v>4040</v>
      </c>
      <c r="AD664">
        <v>27.82</v>
      </c>
      <c r="AE664" t="s">
        <v>4719</v>
      </c>
      <c r="AF664" t="s">
        <v>5361</v>
      </c>
      <c r="AG664">
        <v>681</v>
      </c>
      <c r="AH664">
        <v>303</v>
      </c>
      <c r="AJ664">
        <v>0.39</v>
      </c>
    </row>
    <row r="665" spans="1:36">
      <c r="A665" s="1" t="s">
        <v>699</v>
      </c>
      <c r="B665" t="s">
        <v>1378</v>
      </c>
      <c r="C665">
        <f>HYPERLINK("https://finance.naver.com/item/coinfo.nhn?code=053080", "A053080")</f>
        <v>0</v>
      </c>
      <c r="D665">
        <f>HYPERLINK("http://comp.fnguide.com/SVO2/ASP/SVD_Consensus.asp?pGB=1&amp;gicode=A053080&amp;cID=&amp;MenuYn=Y&amp;ReportGB=&amp;NewMenuID=108&amp;stkGb=701", "원방테크")</f>
        <v>0</v>
      </c>
      <c r="E665">
        <v>1</v>
      </c>
      <c r="F665">
        <v>45550</v>
      </c>
      <c r="G665">
        <v>0</v>
      </c>
      <c r="H665">
        <v>14.61</v>
      </c>
      <c r="I665">
        <v>48392</v>
      </c>
      <c r="J665">
        <v>38448</v>
      </c>
      <c r="K665">
        <v>35551</v>
      </c>
      <c r="L665">
        <v>-6.24</v>
      </c>
      <c r="M665">
        <v>15.59</v>
      </c>
      <c r="N665">
        <v>21.95</v>
      </c>
      <c r="O665">
        <v>12.57</v>
      </c>
      <c r="P665" t="b">
        <v>1</v>
      </c>
      <c r="Q665">
        <v>0</v>
      </c>
      <c r="R665">
        <v>3361</v>
      </c>
      <c r="U665" t="s">
        <v>2057</v>
      </c>
      <c r="V665" t="s">
        <v>2736</v>
      </c>
      <c r="W665">
        <v>0</v>
      </c>
      <c r="X665">
        <v>-5.2</v>
      </c>
      <c r="Y665" t="s">
        <v>3363</v>
      </c>
      <c r="Z665">
        <v>3.791790285938879</v>
      </c>
      <c r="AA665">
        <v>1956</v>
      </c>
      <c r="AB665">
        <v>11628</v>
      </c>
      <c r="AC665" t="s">
        <v>4041</v>
      </c>
      <c r="AD665">
        <v>56.35</v>
      </c>
      <c r="AE665" t="s">
        <v>4720</v>
      </c>
      <c r="AF665" t="s">
        <v>5362</v>
      </c>
      <c r="AG665">
        <v>3269</v>
      </c>
      <c r="AH665">
        <v>217</v>
      </c>
      <c r="AI665">
        <v>41311</v>
      </c>
      <c r="AJ665">
        <v>1.89</v>
      </c>
    </row>
    <row r="666" spans="1:36">
      <c r="A666" s="1" t="s">
        <v>700</v>
      </c>
      <c r="B666" t="s">
        <v>1379</v>
      </c>
      <c r="C666">
        <f>HYPERLINK("https://finance.naver.com/item/coinfo.nhn?code=056190", "A056190")</f>
        <v>0</v>
      </c>
      <c r="D666">
        <f>HYPERLINK("http://comp.fnguide.com/SVO2/ASP/SVD_Consensus.asp?pGB=1&amp;gicode=A056190&amp;cID=&amp;MenuYn=Y&amp;ReportGB=&amp;NewMenuID=108&amp;stkGb=701", "에스에프에이")</f>
        <v>0</v>
      </c>
      <c r="E666">
        <v>1</v>
      </c>
      <c r="F666">
        <v>41900</v>
      </c>
      <c r="G666">
        <v>-3.06</v>
      </c>
      <c r="H666">
        <v>12.8</v>
      </c>
      <c r="I666">
        <v>50301</v>
      </c>
      <c r="J666">
        <v>37556</v>
      </c>
      <c r="K666">
        <v>33844</v>
      </c>
      <c r="L666">
        <v>-20.05</v>
      </c>
      <c r="M666">
        <v>10.37</v>
      </c>
      <c r="N666">
        <v>19.23</v>
      </c>
      <c r="O666">
        <v>14.33</v>
      </c>
      <c r="P666" t="b">
        <v>1</v>
      </c>
      <c r="Q666">
        <v>1</v>
      </c>
      <c r="R666">
        <v>3015</v>
      </c>
      <c r="S666">
        <v>3868</v>
      </c>
      <c r="T666">
        <v>28.3</v>
      </c>
      <c r="U666" t="s">
        <v>2058</v>
      </c>
      <c r="V666" t="s">
        <v>2737</v>
      </c>
      <c r="W666">
        <v>-4.188950939008407</v>
      </c>
      <c r="X666">
        <v>-18</v>
      </c>
      <c r="Y666" t="s">
        <v>3364</v>
      </c>
      <c r="Z666">
        <v>28.55223633732617</v>
      </c>
      <c r="AA666">
        <v>15046</v>
      </c>
      <c r="AB666">
        <v>301361</v>
      </c>
      <c r="AC666" t="s">
        <v>4042</v>
      </c>
      <c r="AD666">
        <v>54.03</v>
      </c>
      <c r="AE666" t="s">
        <v>4721</v>
      </c>
      <c r="AF666" t="s">
        <v>5363</v>
      </c>
      <c r="AG666">
        <v>15512</v>
      </c>
      <c r="AH666">
        <v>1673</v>
      </c>
      <c r="AI666">
        <v>8470</v>
      </c>
      <c r="AJ666">
        <v>2.46</v>
      </c>
    </row>
    <row r="667" spans="1:36">
      <c r="A667" s="1" t="s">
        <v>701</v>
      </c>
      <c r="B667" t="s">
        <v>1380</v>
      </c>
      <c r="C667">
        <f>HYPERLINK("https://finance.naver.com/item/coinfo.nhn?code=241790", "A241790")</f>
        <v>0</v>
      </c>
      <c r="D667">
        <f>HYPERLINK("http://comp.fnguide.com/SVO2/ASP/SVD_Consensus.asp?pGB=1&amp;gicode=A241790&amp;cID=&amp;MenuYn=Y&amp;ReportGB=&amp;NewMenuID=108&amp;stkGb=701", "오션브릿지")</f>
        <v>0</v>
      </c>
      <c r="E667">
        <v>1</v>
      </c>
      <c r="F667">
        <v>17850</v>
      </c>
      <c r="G667">
        <v>0</v>
      </c>
      <c r="H667">
        <v>12.73</v>
      </c>
      <c r="I667">
        <v>19601</v>
      </c>
      <c r="J667">
        <v>12534</v>
      </c>
      <c r="K667">
        <v>10475</v>
      </c>
      <c r="L667">
        <v>-9.81</v>
      </c>
      <c r="M667">
        <v>29.78</v>
      </c>
      <c r="N667">
        <v>41.31</v>
      </c>
      <c r="O667">
        <v>20.92</v>
      </c>
      <c r="P667" t="b">
        <v>1</v>
      </c>
      <c r="Q667">
        <v>0</v>
      </c>
      <c r="R667">
        <v>1422</v>
      </c>
      <c r="U667" t="s">
        <v>2059</v>
      </c>
      <c r="V667" t="s">
        <v>2738</v>
      </c>
      <c r="W667">
        <v>0</v>
      </c>
      <c r="X667">
        <v>38.9</v>
      </c>
      <c r="Y667" t="s">
        <v>3365</v>
      </c>
      <c r="Z667">
        <v>18.63998851723685</v>
      </c>
      <c r="AA667">
        <v>1785</v>
      </c>
      <c r="AB667">
        <v>59568</v>
      </c>
      <c r="AC667" t="s">
        <v>4043</v>
      </c>
      <c r="AD667">
        <v>33.4</v>
      </c>
      <c r="AE667" t="s">
        <v>4722</v>
      </c>
      <c r="AF667" t="s">
        <v>5364</v>
      </c>
      <c r="AG667">
        <v>916</v>
      </c>
      <c r="AH667">
        <v>154</v>
      </c>
      <c r="AI667">
        <v>123197</v>
      </c>
      <c r="AJ667">
        <v>1.77</v>
      </c>
    </row>
    <row r="668" spans="1:36">
      <c r="A668" s="1" t="s">
        <v>702</v>
      </c>
      <c r="B668" t="s">
        <v>1381</v>
      </c>
      <c r="C668">
        <f>HYPERLINK("https://finance.naver.com/item/coinfo.nhn?code=053980", "A053980")</f>
        <v>0</v>
      </c>
      <c r="D668">
        <f>HYPERLINK("http://comp.fnguide.com/SVO2/ASP/SVD_Consensus.asp?pGB=1&amp;gicode=A053980&amp;cID=&amp;MenuYn=Y&amp;ReportGB=&amp;NewMenuID=108&amp;stkGb=701", "오상자이엘")</f>
        <v>0</v>
      </c>
      <c r="E668">
        <v>1</v>
      </c>
      <c r="F668">
        <v>7170</v>
      </c>
      <c r="G668">
        <v>0</v>
      </c>
      <c r="H668">
        <v>7.51</v>
      </c>
      <c r="I668">
        <v>9877</v>
      </c>
      <c r="J668">
        <v>6101</v>
      </c>
      <c r="K668">
        <v>5002</v>
      </c>
      <c r="L668">
        <v>-37.76</v>
      </c>
      <c r="M668">
        <v>14.9</v>
      </c>
      <c r="N668">
        <v>30.24</v>
      </c>
      <c r="O668">
        <v>23.07</v>
      </c>
      <c r="P668" t="b">
        <v>1</v>
      </c>
      <c r="Q668">
        <v>0</v>
      </c>
      <c r="R668">
        <v>1299</v>
      </c>
      <c r="U668" t="s">
        <v>2060</v>
      </c>
      <c r="V668" t="s">
        <v>2739</v>
      </c>
      <c r="W668">
        <v>0</v>
      </c>
      <c r="X668">
        <v>0</v>
      </c>
      <c r="Y668" t="s">
        <v>2762</v>
      </c>
      <c r="Z668">
        <v>0</v>
      </c>
      <c r="AA668">
        <v>1273</v>
      </c>
      <c r="AB668">
        <v>57614</v>
      </c>
      <c r="AC668" t="s">
        <v>4044</v>
      </c>
      <c r="AD668">
        <v>36.14</v>
      </c>
      <c r="AE668" t="s">
        <v>4723</v>
      </c>
      <c r="AF668" t="s">
        <v>5365</v>
      </c>
      <c r="AG668">
        <v>690</v>
      </c>
      <c r="AH668">
        <v>-58</v>
      </c>
      <c r="AI668">
        <v>106437</v>
      </c>
    </row>
    <row r="669" spans="1:36">
      <c r="A669" s="1" t="s">
        <v>703</v>
      </c>
      <c r="B669" t="s">
        <v>1382</v>
      </c>
      <c r="C669">
        <f>HYPERLINK("https://finance.naver.com/item/coinfo.nhn?code=035600", "A035600")</f>
        <v>0</v>
      </c>
      <c r="D669">
        <f>HYPERLINK("http://comp.fnguide.com/SVO2/ASP/SVD_Consensus.asp?pGB=1&amp;gicode=A035600&amp;cID=&amp;MenuYn=Y&amp;ReportGB=&amp;NewMenuID=108&amp;stkGb=701", "KG이니시스")</f>
        <v>0</v>
      </c>
      <c r="E669">
        <v>1</v>
      </c>
      <c r="F669">
        <v>19800</v>
      </c>
      <c r="G669">
        <v>0.71</v>
      </c>
      <c r="H669">
        <v>13.25</v>
      </c>
      <c r="I669">
        <v>24974</v>
      </c>
      <c r="J669">
        <v>17009</v>
      </c>
      <c r="K669">
        <v>14688</v>
      </c>
      <c r="L669">
        <v>-26.13</v>
      </c>
      <c r="M669">
        <v>14.1</v>
      </c>
      <c r="N669">
        <v>25.82</v>
      </c>
      <c r="O669">
        <v>17.75</v>
      </c>
      <c r="P669" t="b">
        <v>1</v>
      </c>
      <c r="Q669">
        <v>1</v>
      </c>
      <c r="R669">
        <v>1521</v>
      </c>
      <c r="S669">
        <v>2107</v>
      </c>
      <c r="T669">
        <v>38.5</v>
      </c>
      <c r="U669" t="s">
        <v>2061</v>
      </c>
      <c r="V669" t="s">
        <v>2740</v>
      </c>
      <c r="W669">
        <v>18.60780980698993</v>
      </c>
      <c r="X669">
        <v>-15.1</v>
      </c>
      <c r="Y669" t="s">
        <v>3366</v>
      </c>
      <c r="Z669">
        <v>9.721556678712862</v>
      </c>
      <c r="AA669">
        <v>5525</v>
      </c>
      <c r="AB669">
        <v>122958</v>
      </c>
      <c r="AC669" t="s">
        <v>4045</v>
      </c>
      <c r="AD669">
        <v>41.04</v>
      </c>
      <c r="AE669" t="s">
        <v>4724</v>
      </c>
      <c r="AF669" t="s">
        <v>5366</v>
      </c>
      <c r="AG669">
        <v>8102</v>
      </c>
      <c r="AH669">
        <v>980</v>
      </c>
      <c r="AI669">
        <v>1285946</v>
      </c>
      <c r="AJ669">
        <v>1.74</v>
      </c>
    </row>
    <row r="670" spans="1:36">
      <c r="A670" s="1" t="s">
        <v>704</v>
      </c>
      <c r="B670" t="s">
        <v>1383</v>
      </c>
      <c r="C670">
        <f>HYPERLINK("https://finance.naver.com/item/coinfo.nhn?code=060850", "A060850")</f>
        <v>0</v>
      </c>
      <c r="D670">
        <f>HYPERLINK("http://comp.fnguide.com/SVO2/ASP/SVD_Consensus.asp?pGB=1&amp;gicode=A060850&amp;cID=&amp;MenuYn=Y&amp;ReportGB=&amp;NewMenuID=108&amp;stkGb=701", "영림원소프트랩")</f>
        <v>0</v>
      </c>
      <c r="E670">
        <v>1</v>
      </c>
      <c r="F670">
        <v>12850</v>
      </c>
      <c r="G670">
        <v>0</v>
      </c>
      <c r="H670">
        <v>20.62</v>
      </c>
      <c r="I670">
        <v>15859</v>
      </c>
      <c r="J670">
        <v>8901</v>
      </c>
      <c r="K670">
        <v>6874</v>
      </c>
      <c r="L670">
        <v>-23.42</v>
      </c>
      <c r="M670">
        <v>30.73</v>
      </c>
      <c r="N670">
        <v>46.5</v>
      </c>
      <c r="O670">
        <v>31.45</v>
      </c>
      <c r="P670" t="b">
        <v>1</v>
      </c>
      <c r="Q670">
        <v>1</v>
      </c>
      <c r="R670">
        <v>686</v>
      </c>
      <c r="S670">
        <v>701</v>
      </c>
      <c r="T670">
        <v>2.2</v>
      </c>
      <c r="U670" t="s">
        <v>2062</v>
      </c>
      <c r="V670" t="s">
        <v>2741</v>
      </c>
      <c r="W670">
        <v>0</v>
      </c>
      <c r="X670">
        <v>0</v>
      </c>
      <c r="Y670" t="s">
        <v>3367</v>
      </c>
      <c r="Z670">
        <v>-4.050117248638607</v>
      </c>
      <c r="AA670">
        <v>1045</v>
      </c>
      <c r="AB670">
        <v>18390</v>
      </c>
      <c r="AC670" t="s">
        <v>4046</v>
      </c>
      <c r="AD670">
        <v>20.01</v>
      </c>
      <c r="AE670" t="s">
        <v>4725</v>
      </c>
      <c r="AF670" t="s">
        <v>5367</v>
      </c>
      <c r="AG670">
        <v>439</v>
      </c>
      <c r="AH670">
        <v>43</v>
      </c>
      <c r="AJ670">
        <v>0.57</v>
      </c>
    </row>
    <row r="671" spans="1:36">
      <c r="A671" s="1" t="s">
        <v>705</v>
      </c>
      <c r="B671" t="s">
        <v>1384</v>
      </c>
      <c r="C671">
        <f>HYPERLINK("https://finance.naver.com/item/coinfo.nhn?code=097520", "A097520")</f>
        <v>0</v>
      </c>
      <c r="D671">
        <f>HYPERLINK("http://comp.fnguide.com/SVO2/ASP/SVD_Consensus.asp?pGB=1&amp;gicode=A097520&amp;cID=&amp;MenuYn=Y&amp;ReportGB=&amp;NewMenuID=108&amp;stkGb=701", "엠씨넥스")</f>
        <v>0</v>
      </c>
      <c r="E671">
        <v>1</v>
      </c>
      <c r="F671">
        <v>46400</v>
      </c>
      <c r="G671">
        <v>0.5</v>
      </c>
      <c r="H671">
        <v>18.77</v>
      </c>
      <c r="I671">
        <v>49409</v>
      </c>
      <c r="J671">
        <v>28581</v>
      </c>
      <c r="K671">
        <v>22514</v>
      </c>
      <c r="L671">
        <v>-6.49</v>
      </c>
      <c r="M671">
        <v>38.4</v>
      </c>
      <c r="N671">
        <v>51.48</v>
      </c>
      <c r="O671">
        <v>28.32</v>
      </c>
      <c r="P671" t="b">
        <v>1</v>
      </c>
      <c r="Q671">
        <v>1</v>
      </c>
      <c r="R671">
        <v>2152</v>
      </c>
      <c r="S671">
        <v>4522</v>
      </c>
      <c r="T671">
        <v>110.1</v>
      </c>
      <c r="U671" t="s">
        <v>2063</v>
      </c>
      <c r="V671" t="s">
        <v>2742</v>
      </c>
      <c r="W671">
        <v>37.72909493112928</v>
      </c>
      <c r="X671">
        <v>-54.5</v>
      </c>
      <c r="Y671" t="s">
        <v>3368</v>
      </c>
      <c r="Z671">
        <v>11.51300372602291</v>
      </c>
      <c r="AA671">
        <v>8289</v>
      </c>
      <c r="AB671">
        <v>125690</v>
      </c>
      <c r="AC671" t="s">
        <v>4047</v>
      </c>
      <c r="AD671">
        <v>28.05</v>
      </c>
      <c r="AE671" t="s">
        <v>4726</v>
      </c>
      <c r="AF671" t="s">
        <v>5368</v>
      </c>
      <c r="AG671">
        <v>13113</v>
      </c>
      <c r="AH671">
        <v>592</v>
      </c>
      <c r="AI671">
        <v>230000</v>
      </c>
      <c r="AJ671">
        <v>1.24</v>
      </c>
    </row>
    <row r="672" spans="1:36">
      <c r="A672" s="1" t="s">
        <v>706</v>
      </c>
      <c r="B672" t="s">
        <v>1385</v>
      </c>
      <c r="C672">
        <f>HYPERLINK("https://finance.naver.com/item/coinfo.nhn?code=950180", "A950180")</f>
        <v>0</v>
      </c>
      <c r="D672">
        <f>HYPERLINK("http://comp.fnguide.com/SVO2/ASP/SVD_Consensus.asp?pGB=1&amp;gicode=A950180&amp;cID=&amp;MenuYn=Y&amp;ReportGB=&amp;NewMenuID=108&amp;stkGb=701", "SNK")</f>
        <v>0</v>
      </c>
      <c r="E672">
        <v>1</v>
      </c>
      <c r="F672">
        <v>21800</v>
      </c>
      <c r="G672">
        <v>0</v>
      </c>
      <c r="H672">
        <v>12.95</v>
      </c>
      <c r="I672">
        <v>27779</v>
      </c>
      <c r="J672">
        <v>20886</v>
      </c>
      <c r="K672">
        <v>18878</v>
      </c>
      <c r="L672">
        <v>-27.43</v>
      </c>
      <c r="M672">
        <v>4.19</v>
      </c>
      <c r="N672">
        <v>13.4</v>
      </c>
      <c r="O672">
        <v>14.12</v>
      </c>
      <c r="P672" t="b">
        <v>0</v>
      </c>
      <c r="Q672">
        <v>0</v>
      </c>
      <c r="R672">
        <v>1035</v>
      </c>
      <c r="U672" t="s">
        <v>2064</v>
      </c>
      <c r="V672" t="s">
        <v>2743</v>
      </c>
      <c r="W672">
        <v>0</v>
      </c>
      <c r="X672">
        <v>0</v>
      </c>
      <c r="Y672" t="s">
        <v>3369</v>
      </c>
      <c r="Z672">
        <v>0</v>
      </c>
      <c r="AA672">
        <v>4591</v>
      </c>
      <c r="AB672">
        <v>57159</v>
      </c>
      <c r="AC672" t="s">
        <v>4048</v>
      </c>
      <c r="AD672">
        <v>33.3</v>
      </c>
      <c r="AE672" t="s">
        <v>4727</v>
      </c>
      <c r="AF672" t="s">
        <v>5369</v>
      </c>
      <c r="AG672">
        <v>860</v>
      </c>
      <c r="AH672">
        <v>239</v>
      </c>
      <c r="AI672">
        <v>528203</v>
      </c>
    </row>
    <row r="673" spans="1:36">
      <c r="A673" s="1" t="s">
        <v>707</v>
      </c>
      <c r="B673" t="s">
        <v>1386</v>
      </c>
      <c r="C673">
        <f>HYPERLINK("https://finance.naver.com/item/coinfo.nhn?code=134790", "A134790")</f>
        <v>0</v>
      </c>
      <c r="D673">
        <f>HYPERLINK("http://comp.fnguide.com/SVO2/ASP/SVD_Consensus.asp?pGB=1&amp;gicode=A134790&amp;cID=&amp;MenuYn=Y&amp;ReportGB=&amp;NewMenuID=108&amp;stkGb=701", "시디즈")</f>
        <v>0</v>
      </c>
      <c r="E673">
        <v>1</v>
      </c>
      <c r="F673">
        <v>84000</v>
      </c>
      <c r="G673">
        <v>0</v>
      </c>
      <c r="H673">
        <v>6.4</v>
      </c>
      <c r="I673">
        <v>118201</v>
      </c>
      <c r="J673">
        <v>65258</v>
      </c>
      <c r="K673">
        <v>49837</v>
      </c>
      <c r="L673">
        <v>-40.72</v>
      </c>
      <c r="M673">
        <v>22.31</v>
      </c>
      <c r="N673">
        <v>40.67</v>
      </c>
      <c r="O673">
        <v>33.43</v>
      </c>
      <c r="P673" t="b">
        <v>1</v>
      </c>
      <c r="Q673">
        <v>0</v>
      </c>
      <c r="R673">
        <v>8672</v>
      </c>
      <c r="U673" t="s">
        <v>2065</v>
      </c>
      <c r="V673" t="s">
        <v>2744</v>
      </c>
      <c r="W673">
        <v>0</v>
      </c>
      <c r="X673">
        <v>122</v>
      </c>
      <c r="Y673" t="s">
        <v>3370</v>
      </c>
      <c r="Z673">
        <v>237.3024791204165</v>
      </c>
      <c r="AA673">
        <v>1680</v>
      </c>
      <c r="AB673">
        <v>13269</v>
      </c>
      <c r="AC673" t="s">
        <v>4049</v>
      </c>
      <c r="AD673">
        <v>60.72</v>
      </c>
      <c r="AE673" t="s">
        <v>4728</v>
      </c>
      <c r="AF673" t="s">
        <v>5370</v>
      </c>
      <c r="AG673">
        <v>2275</v>
      </c>
      <c r="AH673">
        <v>197</v>
      </c>
      <c r="AI673">
        <v>321042</v>
      </c>
      <c r="AJ673">
        <v>0.54</v>
      </c>
    </row>
    <row r="674" spans="1:36">
      <c r="A674" s="1" t="s">
        <v>708</v>
      </c>
      <c r="B674" t="s">
        <v>1387</v>
      </c>
      <c r="C674">
        <f>HYPERLINK("https://finance.naver.com/item/coinfo.nhn?code=239610", "A239610")</f>
        <v>0</v>
      </c>
      <c r="D674">
        <f>HYPERLINK("http://comp.fnguide.com/SVO2/ASP/SVD_Consensus.asp?pGB=1&amp;gicode=A239610&amp;cID=&amp;MenuYn=Y&amp;ReportGB=&amp;NewMenuID=108&amp;stkGb=701", "에이치엘사이언스")</f>
        <v>0</v>
      </c>
      <c r="E674">
        <v>1</v>
      </c>
      <c r="F674">
        <v>39000</v>
      </c>
      <c r="G674">
        <v>0</v>
      </c>
      <c r="H674">
        <v>12.34</v>
      </c>
      <c r="I674">
        <v>51819</v>
      </c>
      <c r="J674">
        <v>31880</v>
      </c>
      <c r="K674">
        <v>26072</v>
      </c>
      <c r="L674">
        <v>-32.87</v>
      </c>
      <c r="M674">
        <v>18.26</v>
      </c>
      <c r="N674">
        <v>33.15</v>
      </c>
      <c r="O674">
        <v>23.34</v>
      </c>
      <c r="P674" t="b">
        <v>1</v>
      </c>
      <c r="Q674">
        <v>0</v>
      </c>
      <c r="R674">
        <v>3643</v>
      </c>
      <c r="U674" t="s">
        <v>2066</v>
      </c>
      <c r="V674" t="s">
        <v>2745</v>
      </c>
      <c r="W674">
        <v>0</v>
      </c>
      <c r="X674">
        <v>-0.5</v>
      </c>
      <c r="Y674" t="s">
        <v>3371</v>
      </c>
      <c r="Z674">
        <v>18.60166602485842</v>
      </c>
      <c r="AA674">
        <v>2103</v>
      </c>
      <c r="AB674">
        <v>114103</v>
      </c>
      <c r="AC674" t="s">
        <v>4050</v>
      </c>
      <c r="AD674">
        <v>63.27</v>
      </c>
      <c r="AE674" t="s">
        <v>4729</v>
      </c>
      <c r="AF674" t="s">
        <v>5371</v>
      </c>
      <c r="AG674">
        <v>1430</v>
      </c>
      <c r="AH674">
        <v>236</v>
      </c>
      <c r="AI674">
        <v>142792</v>
      </c>
      <c r="AJ674">
        <v>0.85</v>
      </c>
    </row>
    <row r="675" spans="1:36">
      <c r="A675" s="1" t="s">
        <v>709</v>
      </c>
      <c r="B675" t="s">
        <v>1388</v>
      </c>
      <c r="C675">
        <f>HYPERLINK("https://finance.naver.com/item/coinfo.nhn?code=049720", "A049720")</f>
        <v>0</v>
      </c>
      <c r="D675">
        <f>HYPERLINK("http://comp.fnguide.com/SVO2/ASP/SVD_Consensus.asp?pGB=1&amp;gicode=A049720&amp;cID=&amp;MenuYn=Y&amp;ReportGB=&amp;NewMenuID=108&amp;stkGb=701", "고려신용정보")</f>
        <v>0</v>
      </c>
      <c r="E675">
        <v>1</v>
      </c>
      <c r="F675">
        <v>7310</v>
      </c>
      <c r="G675">
        <v>0</v>
      </c>
      <c r="H675">
        <v>8.289999999999999</v>
      </c>
      <c r="I675">
        <v>8880</v>
      </c>
      <c r="J675">
        <v>4853</v>
      </c>
      <c r="K675">
        <v>3680</v>
      </c>
      <c r="L675">
        <v>-21.48</v>
      </c>
      <c r="M675">
        <v>33.61</v>
      </c>
      <c r="N675">
        <v>49.65</v>
      </c>
      <c r="O675">
        <v>34.75</v>
      </c>
      <c r="P675" t="b">
        <v>1</v>
      </c>
      <c r="Q675">
        <v>0</v>
      </c>
      <c r="R675">
        <v>720</v>
      </c>
      <c r="U675" t="s">
        <v>2067</v>
      </c>
      <c r="V675" t="s">
        <v>2746</v>
      </c>
      <c r="W675">
        <v>0</v>
      </c>
      <c r="X675">
        <v>55.5</v>
      </c>
      <c r="Y675" t="s">
        <v>3372</v>
      </c>
      <c r="Z675">
        <v>20.80100607971669</v>
      </c>
      <c r="AA675">
        <v>1045</v>
      </c>
      <c r="AB675">
        <v>49068</v>
      </c>
      <c r="AC675" t="s">
        <v>4051</v>
      </c>
      <c r="AD675">
        <v>49.02</v>
      </c>
      <c r="AE675" t="s">
        <v>4730</v>
      </c>
      <c r="AF675" t="s">
        <v>5372</v>
      </c>
      <c r="AG675">
        <v>1332</v>
      </c>
      <c r="AH675">
        <v>105</v>
      </c>
      <c r="AI675">
        <v>398734</v>
      </c>
      <c r="AJ675">
        <v>4.61</v>
      </c>
    </row>
    <row r="676" spans="1:36">
      <c r="A676" s="1" t="s">
        <v>710</v>
      </c>
      <c r="B676" t="s">
        <v>1389</v>
      </c>
      <c r="C676">
        <f>HYPERLINK("https://finance.naver.com/item/coinfo.nhn?code=047040", "A047040")</f>
        <v>0</v>
      </c>
      <c r="D676">
        <f>HYPERLINK("http://comp.fnguide.com/SVO2/ASP/SVD_Consensus.asp?pGB=1&amp;gicode=A047040&amp;cID=&amp;MenuYn=Y&amp;ReportGB=&amp;NewMenuID=108&amp;stkGb=701", "대우건설")</f>
        <v>0</v>
      </c>
      <c r="E676">
        <v>1</v>
      </c>
      <c r="F676">
        <v>7400</v>
      </c>
      <c r="G676">
        <v>0.39</v>
      </c>
      <c r="H676">
        <v>7.3</v>
      </c>
      <c r="I676">
        <v>8444</v>
      </c>
      <c r="J676">
        <v>7294</v>
      </c>
      <c r="K676">
        <v>6960</v>
      </c>
      <c r="L676">
        <v>-14.1</v>
      </c>
      <c r="M676">
        <v>1.43</v>
      </c>
      <c r="N676">
        <v>5.95</v>
      </c>
      <c r="O676">
        <v>10.66</v>
      </c>
      <c r="P676" t="b">
        <v>0</v>
      </c>
      <c r="Q676">
        <v>2</v>
      </c>
      <c r="R676">
        <v>683</v>
      </c>
      <c r="S676">
        <v>1210</v>
      </c>
      <c r="T676">
        <v>77.2</v>
      </c>
      <c r="U676" t="s">
        <v>2068</v>
      </c>
      <c r="V676" t="s">
        <v>2747</v>
      </c>
      <c r="W676">
        <v>18.95766250421111</v>
      </c>
      <c r="X676">
        <v>36.1</v>
      </c>
      <c r="Y676" t="s">
        <v>3373</v>
      </c>
      <c r="Z676">
        <v>3.11134507563644</v>
      </c>
      <c r="AA676">
        <v>30756</v>
      </c>
      <c r="AB676">
        <v>1792547</v>
      </c>
      <c r="AC676" t="s">
        <v>4052</v>
      </c>
      <c r="AD676">
        <v>50.76</v>
      </c>
      <c r="AE676" t="s">
        <v>4731</v>
      </c>
      <c r="AF676" t="s">
        <v>5373</v>
      </c>
      <c r="AG676">
        <v>81367</v>
      </c>
      <c r="AH676">
        <v>5583</v>
      </c>
      <c r="AI676">
        <v>4736918</v>
      </c>
    </row>
    <row r="677" spans="1:36">
      <c r="A677" s="1" t="s">
        <v>711</v>
      </c>
      <c r="B677" t="s">
        <v>1390</v>
      </c>
      <c r="C677">
        <f>HYPERLINK("https://finance.naver.com/item/coinfo.nhn?code=050760", "A050760")</f>
        <v>0</v>
      </c>
      <c r="D677">
        <f>HYPERLINK("http://comp.fnguide.com/SVO2/ASP/SVD_Consensus.asp?pGB=1&amp;gicode=A050760&amp;cID=&amp;MenuYn=Y&amp;ReportGB=&amp;NewMenuID=108&amp;stkGb=701", "에스폴리텍")</f>
        <v>0</v>
      </c>
      <c r="E677">
        <v>1</v>
      </c>
      <c r="F677">
        <v>5240</v>
      </c>
      <c r="G677">
        <v>0</v>
      </c>
      <c r="H677">
        <v>12.16</v>
      </c>
      <c r="I677">
        <v>6897</v>
      </c>
      <c r="J677">
        <v>5185</v>
      </c>
      <c r="K677">
        <v>4686</v>
      </c>
      <c r="L677">
        <v>-31.61</v>
      </c>
      <c r="M677">
        <v>1.05</v>
      </c>
      <c r="N677">
        <v>10.57</v>
      </c>
      <c r="O677">
        <v>14.12</v>
      </c>
      <c r="P677" t="b">
        <v>1</v>
      </c>
      <c r="Q677">
        <v>0</v>
      </c>
      <c r="R677">
        <v>473</v>
      </c>
      <c r="U677" t="s">
        <v>2069</v>
      </c>
      <c r="V677" t="s">
        <v>2748</v>
      </c>
      <c r="W677">
        <v>0</v>
      </c>
      <c r="X677">
        <v>-28.1</v>
      </c>
      <c r="Y677" t="s">
        <v>3374</v>
      </c>
      <c r="Z677">
        <v>125.9243457443221</v>
      </c>
      <c r="AA677">
        <v>856</v>
      </c>
      <c r="AB677">
        <v>91817</v>
      </c>
      <c r="AC677" t="s">
        <v>4053</v>
      </c>
      <c r="AD677">
        <v>32.18</v>
      </c>
      <c r="AE677" t="s">
        <v>4732</v>
      </c>
      <c r="AF677" t="s">
        <v>5374</v>
      </c>
      <c r="AG677">
        <v>1352</v>
      </c>
      <c r="AH677">
        <v>142</v>
      </c>
      <c r="AI677">
        <v>891909</v>
      </c>
      <c r="AJ677">
        <v>0.87</v>
      </c>
    </row>
    <row r="678" spans="1:36">
      <c r="A678" s="1" t="s">
        <v>712</v>
      </c>
      <c r="B678" t="s">
        <v>1391</v>
      </c>
      <c r="C678">
        <f>HYPERLINK("https://finance.naver.com/item/coinfo.nhn?code=041910", "A041910")</f>
        <v>0</v>
      </c>
      <c r="D678">
        <f>HYPERLINK("http://comp.fnguide.com/SVO2/ASP/SVD_Consensus.asp?pGB=1&amp;gicode=A041910&amp;cID=&amp;MenuYn=Y&amp;ReportGB=&amp;NewMenuID=108&amp;stkGb=701", "에스텍파마")</f>
        <v>0</v>
      </c>
      <c r="E678">
        <v>1</v>
      </c>
      <c r="F678">
        <v>12500</v>
      </c>
      <c r="G678">
        <v>0</v>
      </c>
      <c r="H678">
        <v>13.74</v>
      </c>
      <c r="I678">
        <v>13554</v>
      </c>
      <c r="J678">
        <v>11169</v>
      </c>
      <c r="K678">
        <v>10474</v>
      </c>
      <c r="L678">
        <v>-8.43</v>
      </c>
      <c r="M678">
        <v>10.65</v>
      </c>
      <c r="N678">
        <v>16.21</v>
      </c>
      <c r="O678">
        <v>11.68</v>
      </c>
      <c r="P678" t="b">
        <v>1</v>
      </c>
      <c r="Q678">
        <v>0</v>
      </c>
      <c r="R678">
        <v>921</v>
      </c>
      <c r="U678" t="s">
        <v>2070</v>
      </c>
      <c r="V678" t="s">
        <v>2749</v>
      </c>
      <c r="W678">
        <v>0</v>
      </c>
      <c r="X678">
        <v>-28.1</v>
      </c>
      <c r="Y678" t="s">
        <v>3375</v>
      </c>
      <c r="Z678">
        <v>26.05828601683065</v>
      </c>
      <c r="AA678">
        <v>1487</v>
      </c>
      <c r="AB678">
        <v>300454</v>
      </c>
      <c r="AC678" t="s">
        <v>4054</v>
      </c>
      <c r="AD678">
        <v>24.9</v>
      </c>
      <c r="AE678" t="s">
        <v>4733</v>
      </c>
      <c r="AF678" t="s">
        <v>5375</v>
      </c>
      <c r="AG678">
        <v>613</v>
      </c>
      <c r="AH678">
        <v>80</v>
      </c>
      <c r="AI678">
        <v>218257</v>
      </c>
      <c r="AJ678">
        <v>0.79</v>
      </c>
    </row>
    <row r="679" spans="1:36">
      <c r="A679" s="1" t="s">
        <v>713</v>
      </c>
      <c r="B679" t="s">
        <v>1392</v>
      </c>
      <c r="C679">
        <f>HYPERLINK("https://finance.naver.com/item/coinfo.nhn?code=306040", "A306040")</f>
        <v>0</v>
      </c>
      <c r="D679">
        <f>HYPERLINK("http://comp.fnguide.com/SVO2/ASP/SVD_Consensus.asp?pGB=1&amp;gicode=A306040&amp;cID=&amp;MenuYn=Y&amp;ReportGB=&amp;NewMenuID=108&amp;stkGb=701", "에스제이그룹")</f>
        <v>0</v>
      </c>
      <c r="E679">
        <v>1</v>
      </c>
      <c r="F679">
        <v>29050</v>
      </c>
      <c r="G679">
        <v>0.18</v>
      </c>
      <c r="H679">
        <v>9.9</v>
      </c>
      <c r="I679">
        <v>29171</v>
      </c>
      <c r="J679">
        <v>16851</v>
      </c>
      <c r="K679">
        <v>13262</v>
      </c>
      <c r="L679">
        <v>-0.42</v>
      </c>
      <c r="M679">
        <v>41.99</v>
      </c>
      <c r="N679">
        <v>54.35</v>
      </c>
      <c r="O679">
        <v>28.45</v>
      </c>
      <c r="P679" t="b">
        <v>1</v>
      </c>
      <c r="Q679">
        <v>1</v>
      </c>
      <c r="R679">
        <v>1587</v>
      </c>
      <c r="S679">
        <v>2243</v>
      </c>
      <c r="T679">
        <v>41.3</v>
      </c>
      <c r="U679" t="s">
        <v>2071</v>
      </c>
      <c r="V679" t="s">
        <v>2750</v>
      </c>
      <c r="W679">
        <v>55.61629070145923</v>
      </c>
      <c r="X679">
        <v>72.40000000000001</v>
      </c>
      <c r="Y679" t="s">
        <v>3376</v>
      </c>
      <c r="Z679">
        <v>149.0163274915392</v>
      </c>
      <c r="AA679">
        <v>2866</v>
      </c>
      <c r="AB679">
        <v>128968</v>
      </c>
      <c r="AC679" t="s">
        <v>4055</v>
      </c>
      <c r="AD679">
        <v>51.79</v>
      </c>
      <c r="AE679" t="s">
        <v>4734</v>
      </c>
      <c r="AF679" t="s">
        <v>5376</v>
      </c>
      <c r="AG679">
        <v>1071</v>
      </c>
      <c r="AH679">
        <v>180</v>
      </c>
      <c r="AI679">
        <v>78094</v>
      </c>
      <c r="AJ679">
        <v>0.89</v>
      </c>
    </row>
    <row r="680" spans="1:36">
      <c r="A680" s="1" t="s">
        <v>714</v>
      </c>
      <c r="B680" t="s">
        <v>1393</v>
      </c>
      <c r="C680">
        <f>HYPERLINK("https://finance.naver.com/item/coinfo.nhn?code=238490", "A238490")</f>
        <v>0</v>
      </c>
      <c r="D680">
        <f>HYPERLINK("http://comp.fnguide.com/SVO2/ASP/SVD_Consensus.asp?pGB=1&amp;gicode=A238490&amp;cID=&amp;MenuYn=Y&amp;ReportGB=&amp;NewMenuID=108&amp;stkGb=701", "힘스")</f>
        <v>0</v>
      </c>
      <c r="E680">
        <v>1</v>
      </c>
      <c r="F680">
        <v>11050</v>
      </c>
      <c r="G680">
        <v>0</v>
      </c>
      <c r="H680">
        <v>8.42</v>
      </c>
      <c r="I680">
        <v>14717</v>
      </c>
      <c r="J680">
        <v>10108</v>
      </c>
      <c r="K680">
        <v>8766</v>
      </c>
      <c r="L680">
        <v>-33.18</v>
      </c>
      <c r="M680">
        <v>8.52</v>
      </c>
      <c r="N680">
        <v>20.67</v>
      </c>
      <c r="O680">
        <v>17.39</v>
      </c>
      <c r="P680" t="b">
        <v>1</v>
      </c>
      <c r="Q680">
        <v>0</v>
      </c>
      <c r="R680">
        <v>1521</v>
      </c>
      <c r="U680" t="s">
        <v>2072</v>
      </c>
      <c r="V680" t="s">
        <v>2751</v>
      </c>
      <c r="W680">
        <v>0</v>
      </c>
      <c r="X680">
        <v>103.8</v>
      </c>
      <c r="Y680" t="s">
        <v>3377</v>
      </c>
      <c r="Z680">
        <v>111.0220367639361</v>
      </c>
      <c r="AA680">
        <v>1250</v>
      </c>
      <c r="AB680">
        <v>779662</v>
      </c>
      <c r="AC680" t="s">
        <v>4056</v>
      </c>
      <c r="AD680">
        <v>33.94</v>
      </c>
      <c r="AE680" t="s">
        <v>4735</v>
      </c>
      <c r="AF680" t="s">
        <v>5377</v>
      </c>
      <c r="AG680">
        <v>1062</v>
      </c>
      <c r="AH680">
        <v>250</v>
      </c>
      <c r="AI680">
        <v>144857</v>
      </c>
      <c r="AJ680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3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605</v>
      </c>
      <c r="B2" t="s">
        <v>1284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102500</v>
      </c>
      <c r="G2">
        <v>0</v>
      </c>
      <c r="H2">
        <v>3.45</v>
      </c>
      <c r="I2">
        <v>269061</v>
      </c>
      <c r="J2">
        <v>266888</v>
      </c>
      <c r="K2">
        <v>266255</v>
      </c>
      <c r="L2">
        <v>-162.5</v>
      </c>
      <c r="M2">
        <v>-160.38</v>
      </c>
      <c r="N2">
        <v>-159.76</v>
      </c>
      <c r="O2">
        <v>8.33</v>
      </c>
      <c r="P2" t="b">
        <v>1</v>
      </c>
      <c r="Q2">
        <v>0</v>
      </c>
      <c r="R2">
        <v>26203</v>
      </c>
      <c r="U2" t="s">
        <v>1963</v>
      </c>
      <c r="V2" t="s">
        <v>2642</v>
      </c>
      <c r="W2">
        <v>0</v>
      </c>
      <c r="X2">
        <v>349</v>
      </c>
      <c r="Y2" t="s">
        <v>3275</v>
      </c>
      <c r="Z2">
        <v>24.08455644986234</v>
      </c>
      <c r="AA2">
        <v>5125</v>
      </c>
      <c r="AB2">
        <v>1644</v>
      </c>
      <c r="AC2" t="s">
        <v>3947</v>
      </c>
      <c r="AD2">
        <v>63.53</v>
      </c>
      <c r="AE2" t="s">
        <v>4626</v>
      </c>
      <c r="AF2" t="s">
        <v>5271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370</v>
      </c>
      <c r="B3" t="s">
        <v>1049</v>
      </c>
      <c r="C3">
        <f>HYPERLINK("https://finance.naver.com/item/coinfo.nhn?code=008110", "A008110")</f>
        <v>0</v>
      </c>
      <c r="D3">
        <f>HYPERLINK("http://comp.fnguide.com/SVO2/ASP/SVD_Consensus.asp?pGB=1&amp;gicode=A008110&amp;cID=&amp;MenuYn=Y&amp;ReportGB=&amp;NewMenuID=108&amp;stkGb=701", "대동전자")</f>
        <v>0</v>
      </c>
      <c r="E3">
        <v>3</v>
      </c>
      <c r="F3">
        <v>8620</v>
      </c>
      <c r="G3">
        <v>0</v>
      </c>
      <c r="H3">
        <v>7.36</v>
      </c>
      <c r="I3">
        <v>5309</v>
      </c>
      <c r="J3">
        <v>12268</v>
      </c>
      <c r="K3">
        <v>14295</v>
      </c>
      <c r="L3">
        <v>38.41</v>
      </c>
      <c r="M3">
        <v>-42.32</v>
      </c>
      <c r="N3">
        <v>-65.83</v>
      </c>
      <c r="O3">
        <v>2.56</v>
      </c>
      <c r="P3" t="b">
        <v>1</v>
      </c>
      <c r="Q3">
        <v>0</v>
      </c>
      <c r="R3">
        <v>419</v>
      </c>
      <c r="U3" t="s">
        <v>1728</v>
      </c>
      <c r="V3" t="s">
        <v>2407</v>
      </c>
      <c r="W3">
        <v>0</v>
      </c>
      <c r="X3">
        <v>-65.8</v>
      </c>
      <c r="Y3" t="s">
        <v>3053</v>
      </c>
      <c r="Z3">
        <v>-4.313865404922613</v>
      </c>
      <c r="AA3">
        <v>904</v>
      </c>
      <c r="AB3">
        <v>29692</v>
      </c>
      <c r="AC3" t="s">
        <v>3712</v>
      </c>
      <c r="AD3">
        <v>60.4</v>
      </c>
      <c r="AE3" t="s">
        <v>4391</v>
      </c>
      <c r="AF3" t="s">
        <v>5043</v>
      </c>
      <c r="AG3">
        <v>450</v>
      </c>
      <c r="AH3">
        <v>17</v>
      </c>
      <c r="AI3">
        <v>2320000</v>
      </c>
      <c r="AJ3">
        <v>16.21</v>
      </c>
    </row>
    <row r="4" spans="1:36">
      <c r="A4" s="1" t="s">
        <v>407</v>
      </c>
      <c r="B4" t="s">
        <v>1086</v>
      </c>
      <c r="C4">
        <f>HYPERLINK("https://finance.naver.com/item/coinfo.nhn?code=138040", "A138040")</f>
        <v>0</v>
      </c>
      <c r="D4">
        <f>HYPERLINK("http://comp.fnguide.com/SVO2/ASP/SVD_Consensus.asp?pGB=1&amp;gicode=A138040&amp;cID=&amp;MenuYn=Y&amp;ReportGB=&amp;NewMenuID=108&amp;stkGb=701", "메리츠금융지주")</f>
        <v>0</v>
      </c>
      <c r="E4">
        <v>3</v>
      </c>
      <c r="F4">
        <v>19600</v>
      </c>
      <c r="G4">
        <v>0</v>
      </c>
      <c r="H4">
        <v>2.74</v>
      </c>
      <c r="I4">
        <v>48420</v>
      </c>
      <c r="J4">
        <v>34983</v>
      </c>
      <c r="K4">
        <v>31069</v>
      </c>
      <c r="L4">
        <v>-147.04</v>
      </c>
      <c r="M4">
        <v>-78.48999999999999</v>
      </c>
      <c r="N4">
        <v>-58.52</v>
      </c>
      <c r="O4">
        <v>15.43</v>
      </c>
      <c r="P4" t="b">
        <v>1</v>
      </c>
      <c r="Q4">
        <v>0</v>
      </c>
      <c r="R4">
        <v>3587</v>
      </c>
      <c r="U4" t="s">
        <v>1765</v>
      </c>
      <c r="V4" t="s">
        <v>2444</v>
      </c>
      <c r="W4">
        <v>0</v>
      </c>
      <c r="X4">
        <v>4.7</v>
      </c>
      <c r="Y4" t="s">
        <v>3088</v>
      </c>
      <c r="Z4">
        <v>4.519455476415923</v>
      </c>
      <c r="AA4">
        <v>26266</v>
      </c>
      <c r="AB4">
        <v>418958</v>
      </c>
      <c r="AC4" t="s">
        <v>3749</v>
      </c>
      <c r="AD4">
        <v>72.25</v>
      </c>
      <c r="AE4" t="s">
        <v>4428</v>
      </c>
      <c r="AF4" t="s">
        <v>5080</v>
      </c>
      <c r="AG4">
        <v>18245</v>
      </c>
      <c r="AH4">
        <v>13721</v>
      </c>
      <c r="AI4">
        <v>4185670</v>
      </c>
      <c r="AJ4">
        <v>9.17</v>
      </c>
    </row>
    <row r="5" spans="1:36">
      <c r="A5" s="1" t="s">
        <v>387</v>
      </c>
      <c r="B5" t="s">
        <v>1066</v>
      </c>
      <c r="C5">
        <f>HYPERLINK("https://finance.naver.com/item/coinfo.nhn?code=000060", "A000060")</f>
        <v>0</v>
      </c>
      <c r="D5">
        <f>HYPERLINK("http://comp.fnguide.com/SVO2/ASP/SVD_Consensus.asp?pGB=1&amp;gicode=A000060&amp;cID=&amp;MenuYn=Y&amp;ReportGB=&amp;NewMenuID=108&amp;stkGb=701", "메리츠화재")</f>
        <v>0</v>
      </c>
      <c r="E5">
        <v>3</v>
      </c>
      <c r="F5">
        <v>21150</v>
      </c>
      <c r="G5">
        <v>0.19</v>
      </c>
      <c r="H5">
        <v>3.88</v>
      </c>
      <c r="I5">
        <v>40880</v>
      </c>
      <c r="J5">
        <v>30252</v>
      </c>
      <c r="K5">
        <v>27157</v>
      </c>
      <c r="L5">
        <v>-93.29000000000001</v>
      </c>
      <c r="M5">
        <v>-43.04</v>
      </c>
      <c r="N5">
        <v>-28.4</v>
      </c>
      <c r="O5">
        <v>14.62</v>
      </c>
      <c r="P5" t="b">
        <v>1</v>
      </c>
      <c r="Q5">
        <v>0</v>
      </c>
      <c r="R5">
        <v>3762</v>
      </c>
      <c r="S5">
        <v>3631</v>
      </c>
      <c r="T5">
        <v>-3.5</v>
      </c>
      <c r="U5" t="s">
        <v>1745</v>
      </c>
      <c r="V5" t="s">
        <v>2424</v>
      </c>
      <c r="W5">
        <v>20.24175498841949</v>
      </c>
      <c r="X5">
        <v>16.9</v>
      </c>
      <c r="Y5" t="s">
        <v>3069</v>
      </c>
      <c r="Z5">
        <v>15.73781380795656</v>
      </c>
      <c r="AA5">
        <v>25512</v>
      </c>
      <c r="AB5">
        <v>284189</v>
      </c>
      <c r="AC5" t="s">
        <v>3729</v>
      </c>
      <c r="AD5">
        <v>56.3</v>
      </c>
      <c r="AE5" t="s">
        <v>4408</v>
      </c>
      <c r="AF5" t="s">
        <v>5060</v>
      </c>
      <c r="AG5">
        <v>91806</v>
      </c>
      <c r="AH5">
        <v>6080</v>
      </c>
      <c r="AI5">
        <v>4264022</v>
      </c>
      <c r="AJ5">
        <v>8.77</v>
      </c>
    </row>
    <row r="6" spans="1:36">
      <c r="A6" s="1" t="s">
        <v>348</v>
      </c>
      <c r="B6" t="s">
        <v>1027</v>
      </c>
      <c r="C6">
        <f>HYPERLINK("https://finance.naver.com/item/coinfo.nhn?code=282690", "A282690")</f>
        <v>0</v>
      </c>
      <c r="D6">
        <f>HYPERLINK("http://comp.fnguide.com/SVO2/ASP/SVD_Consensus.asp?pGB=1&amp;gicode=A282690&amp;cID=&amp;MenuYn=Y&amp;ReportGB=&amp;NewMenuID=108&amp;stkGb=701", "동아타이어")</f>
        <v>0</v>
      </c>
      <c r="E6">
        <v>3</v>
      </c>
      <c r="F6">
        <v>13050</v>
      </c>
      <c r="G6">
        <v>0</v>
      </c>
      <c r="H6">
        <v>10.17</v>
      </c>
      <c r="I6">
        <v>16307</v>
      </c>
      <c r="J6">
        <v>22492</v>
      </c>
      <c r="K6">
        <v>24293</v>
      </c>
      <c r="L6">
        <v>-24.96</v>
      </c>
      <c r="M6">
        <v>-72.34999999999999</v>
      </c>
      <c r="N6">
        <v>-86.16</v>
      </c>
      <c r="O6">
        <v>5.02</v>
      </c>
      <c r="P6" t="b">
        <v>1</v>
      </c>
      <c r="Q6">
        <v>0</v>
      </c>
      <c r="R6">
        <v>971</v>
      </c>
      <c r="U6" t="s">
        <v>1706</v>
      </c>
      <c r="V6" t="s">
        <v>2385</v>
      </c>
      <c r="W6">
        <v>0</v>
      </c>
      <c r="X6">
        <v>-46</v>
      </c>
      <c r="Y6" t="s">
        <v>3033</v>
      </c>
      <c r="Z6">
        <v>0</v>
      </c>
      <c r="AA6">
        <v>1792</v>
      </c>
      <c r="AB6">
        <v>52330</v>
      </c>
      <c r="AC6" t="s">
        <v>3690</v>
      </c>
      <c r="AD6">
        <v>64.94</v>
      </c>
      <c r="AE6" t="s">
        <v>4369</v>
      </c>
      <c r="AF6" t="s">
        <v>5022</v>
      </c>
      <c r="AG6">
        <v>1432</v>
      </c>
      <c r="AH6">
        <v>170</v>
      </c>
      <c r="AI6">
        <v>1598</v>
      </c>
      <c r="AJ6">
        <v>8.1</v>
      </c>
    </row>
    <row r="7" spans="1:36">
      <c r="A7" s="1" t="s">
        <v>315</v>
      </c>
      <c r="B7" t="s">
        <v>994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8640</v>
      </c>
      <c r="G7">
        <v>0.1</v>
      </c>
      <c r="H7">
        <v>3.53</v>
      </c>
      <c r="I7">
        <v>27206</v>
      </c>
      <c r="J7">
        <v>19775</v>
      </c>
      <c r="K7">
        <v>17610</v>
      </c>
      <c r="L7">
        <v>-214.88</v>
      </c>
      <c r="M7">
        <v>-128.87</v>
      </c>
      <c r="N7">
        <v>-103.82</v>
      </c>
      <c r="O7">
        <v>15.22</v>
      </c>
      <c r="P7" t="b">
        <v>1</v>
      </c>
      <c r="Q7">
        <v>3</v>
      </c>
      <c r="R7">
        <v>1921</v>
      </c>
      <c r="S7">
        <v>2037</v>
      </c>
      <c r="T7">
        <v>6</v>
      </c>
      <c r="U7" t="s">
        <v>1673</v>
      </c>
      <c r="V7" t="s">
        <v>2352</v>
      </c>
      <c r="W7">
        <v>34.27824673492801</v>
      </c>
      <c r="X7">
        <v>20.1</v>
      </c>
      <c r="Y7" t="s">
        <v>3003</v>
      </c>
      <c r="Z7">
        <v>11.24571298867068</v>
      </c>
      <c r="AA7">
        <v>4794</v>
      </c>
      <c r="AB7">
        <v>335513</v>
      </c>
      <c r="AC7" t="s">
        <v>3657</v>
      </c>
      <c r="AD7">
        <v>62.45</v>
      </c>
      <c r="AE7" t="s">
        <v>4336</v>
      </c>
      <c r="AF7" t="s">
        <v>4994</v>
      </c>
      <c r="AG7">
        <v>3409</v>
      </c>
      <c r="AH7">
        <v>1535</v>
      </c>
      <c r="AI7">
        <v>5075498</v>
      </c>
      <c r="AJ7">
        <v>8.1</v>
      </c>
    </row>
    <row r="8" spans="1:36">
      <c r="A8" s="1" t="s">
        <v>405</v>
      </c>
      <c r="B8" t="s">
        <v>1084</v>
      </c>
      <c r="C8">
        <f>HYPERLINK("https://finance.naver.com/item/coinfo.nhn?code=007340", "A007340")</f>
        <v>0</v>
      </c>
      <c r="D8">
        <f>HYPERLINK("http://comp.fnguide.com/SVO2/ASP/SVD_Consensus.asp?pGB=1&amp;gicode=A007340&amp;cID=&amp;MenuYn=Y&amp;ReportGB=&amp;NewMenuID=108&amp;stkGb=701", "디티알오토모티브")</f>
        <v>0</v>
      </c>
      <c r="E8">
        <v>3</v>
      </c>
      <c r="F8">
        <v>37250</v>
      </c>
      <c r="G8">
        <v>0</v>
      </c>
      <c r="H8">
        <v>5.6</v>
      </c>
      <c r="I8">
        <v>82810</v>
      </c>
      <c r="J8">
        <v>76789</v>
      </c>
      <c r="K8">
        <v>75035</v>
      </c>
      <c r="L8">
        <v>-122.31</v>
      </c>
      <c r="M8">
        <v>-106.14</v>
      </c>
      <c r="N8">
        <v>-101.44</v>
      </c>
      <c r="O8">
        <v>9.369999999999999</v>
      </c>
      <c r="P8" t="b">
        <v>1</v>
      </c>
      <c r="Q8">
        <v>0</v>
      </c>
      <c r="R8">
        <v>4596</v>
      </c>
      <c r="U8" t="s">
        <v>1763</v>
      </c>
      <c r="V8" t="s">
        <v>2442</v>
      </c>
      <c r="W8">
        <v>0</v>
      </c>
      <c r="X8">
        <v>-30.2</v>
      </c>
      <c r="Y8" t="s">
        <v>3087</v>
      </c>
      <c r="Z8">
        <v>8.441833832548751</v>
      </c>
      <c r="AA8">
        <v>3723</v>
      </c>
      <c r="AB8">
        <v>27892</v>
      </c>
      <c r="AC8" t="s">
        <v>3747</v>
      </c>
      <c r="AD8">
        <v>50.89</v>
      </c>
      <c r="AE8" t="s">
        <v>4426</v>
      </c>
      <c r="AF8" t="s">
        <v>5078</v>
      </c>
      <c r="AG8">
        <v>8239</v>
      </c>
      <c r="AH8">
        <v>714</v>
      </c>
      <c r="AI8">
        <v>1375880</v>
      </c>
      <c r="AJ8">
        <v>7.77</v>
      </c>
    </row>
    <row r="9" spans="1:36">
      <c r="A9" s="1" t="s">
        <v>338</v>
      </c>
      <c r="B9" t="s">
        <v>1017</v>
      </c>
      <c r="C9">
        <f>HYPERLINK("https://finance.naver.com/item/coinfo.nhn?code=005960", "A005960")</f>
        <v>0</v>
      </c>
      <c r="D9">
        <f>HYPERLINK("http://comp.fnguide.com/SVO2/ASP/SVD_Consensus.asp?pGB=1&amp;gicode=A005960&amp;cID=&amp;MenuYn=Y&amp;ReportGB=&amp;NewMenuID=108&amp;stkGb=701", "동부건설")</f>
        <v>0</v>
      </c>
      <c r="E9">
        <v>3</v>
      </c>
      <c r="F9">
        <v>12750</v>
      </c>
      <c r="G9">
        <v>0</v>
      </c>
      <c r="H9">
        <v>6.87</v>
      </c>
      <c r="I9">
        <v>34069</v>
      </c>
      <c r="J9">
        <v>25845</v>
      </c>
      <c r="K9">
        <v>23449</v>
      </c>
      <c r="L9">
        <v>-167.21</v>
      </c>
      <c r="M9">
        <v>-102.71</v>
      </c>
      <c r="N9">
        <v>-83.92</v>
      </c>
      <c r="O9">
        <v>13.85</v>
      </c>
      <c r="P9" t="b">
        <v>1</v>
      </c>
      <c r="Q9">
        <v>0</v>
      </c>
      <c r="R9">
        <v>1973</v>
      </c>
      <c r="U9" t="s">
        <v>1696</v>
      </c>
      <c r="V9" t="s">
        <v>2375</v>
      </c>
      <c r="W9">
        <v>0</v>
      </c>
      <c r="X9">
        <v>-29.6</v>
      </c>
      <c r="Y9" t="s">
        <v>3023</v>
      </c>
      <c r="Z9">
        <v>-25.24102432923998</v>
      </c>
      <c r="AA9">
        <v>2898</v>
      </c>
      <c r="AB9">
        <v>114565</v>
      </c>
      <c r="AC9" t="s">
        <v>3680</v>
      </c>
      <c r="AD9">
        <v>56.84</v>
      </c>
      <c r="AE9" t="s">
        <v>4359</v>
      </c>
      <c r="AF9" t="s">
        <v>5012</v>
      </c>
      <c r="AG9">
        <v>12146</v>
      </c>
      <c r="AH9">
        <v>521</v>
      </c>
      <c r="AI9">
        <v>4291</v>
      </c>
      <c r="AJ9">
        <v>6.64</v>
      </c>
    </row>
    <row r="10" spans="1:36">
      <c r="A10" s="1" t="s">
        <v>250</v>
      </c>
      <c r="B10" t="s">
        <v>929</v>
      </c>
      <c r="C10">
        <f>HYPERLINK("https://finance.naver.com/item/coinfo.nhn?code=007330", "A007330")</f>
        <v>0</v>
      </c>
      <c r="D10">
        <f>HYPERLINK("http://comp.fnguide.com/SVO2/ASP/SVD_Consensus.asp?pGB=1&amp;gicode=A007330&amp;cID=&amp;MenuYn=Y&amp;ReportGB=&amp;NewMenuID=108&amp;stkGb=701", "푸른저축은행")</f>
        <v>0</v>
      </c>
      <c r="E10">
        <v>3</v>
      </c>
      <c r="F10">
        <v>20000</v>
      </c>
      <c r="G10">
        <v>0</v>
      </c>
      <c r="H10">
        <v>5.7</v>
      </c>
      <c r="I10">
        <v>25416</v>
      </c>
      <c r="J10">
        <v>24218</v>
      </c>
      <c r="K10">
        <v>23869</v>
      </c>
      <c r="L10">
        <v>-27.08</v>
      </c>
      <c r="M10">
        <v>-21.09</v>
      </c>
      <c r="N10">
        <v>-19.35</v>
      </c>
      <c r="O10">
        <v>8.93</v>
      </c>
      <c r="P10" t="b">
        <v>1</v>
      </c>
      <c r="Q10">
        <v>0</v>
      </c>
      <c r="R10">
        <v>1452</v>
      </c>
      <c r="U10" t="s">
        <v>1608</v>
      </c>
      <c r="V10" t="s">
        <v>2287</v>
      </c>
      <c r="W10">
        <v>0</v>
      </c>
      <c r="Y10" t="s">
        <v>2823</v>
      </c>
      <c r="Z10">
        <v>22.30597717771892</v>
      </c>
      <c r="AA10">
        <v>3017</v>
      </c>
      <c r="AB10">
        <v>935697</v>
      </c>
      <c r="AC10" t="s">
        <v>3592</v>
      </c>
      <c r="AD10">
        <v>62.31</v>
      </c>
      <c r="AE10" t="s">
        <v>4271</v>
      </c>
      <c r="AF10" t="s">
        <v>4935</v>
      </c>
      <c r="AG10">
        <v>520</v>
      </c>
      <c r="AH10">
        <v>254</v>
      </c>
      <c r="AI10">
        <v>3214891</v>
      </c>
      <c r="AJ10">
        <v>6.64</v>
      </c>
    </row>
    <row r="11" spans="1:36">
      <c r="A11" s="1" t="s">
        <v>161</v>
      </c>
      <c r="B11" t="s">
        <v>840</v>
      </c>
      <c r="C11">
        <f>HYPERLINK("https://finance.naver.com/item/coinfo.nhn?code=004800", "A004800")</f>
        <v>0</v>
      </c>
      <c r="D11">
        <f>HYPERLINK("http://comp.fnguide.com/SVO2/ASP/SVD_Consensus.asp?pGB=1&amp;gicode=A004800&amp;cID=&amp;MenuYn=Y&amp;ReportGB=&amp;NewMenuID=108&amp;stkGb=701", "효성")</f>
        <v>0</v>
      </c>
      <c r="E11">
        <v>3</v>
      </c>
      <c r="F11">
        <v>102500</v>
      </c>
      <c r="I11">
        <v>269880</v>
      </c>
      <c r="J11">
        <v>176208</v>
      </c>
      <c r="K11">
        <v>148923</v>
      </c>
      <c r="L11">
        <v>-163.3</v>
      </c>
      <c r="M11">
        <v>-71.91</v>
      </c>
      <c r="N11">
        <v>-45.29</v>
      </c>
      <c r="O11">
        <v>19.78</v>
      </c>
      <c r="P11" t="b">
        <v>0</v>
      </c>
      <c r="Q11">
        <v>1</v>
      </c>
      <c r="R11">
        <v>-2504</v>
      </c>
      <c r="S11">
        <v>12790</v>
      </c>
      <c r="T11">
        <v>-610.8</v>
      </c>
      <c r="U11" t="s">
        <v>1519</v>
      </c>
      <c r="V11" t="s">
        <v>2198</v>
      </c>
      <c r="W11">
        <v>-55.45326661907222</v>
      </c>
      <c r="X11">
        <v>0</v>
      </c>
      <c r="Y11" t="s">
        <v>2867</v>
      </c>
      <c r="Z11">
        <v>-22.86830861630861</v>
      </c>
      <c r="AA11">
        <v>21598</v>
      </c>
      <c r="AB11">
        <v>60951</v>
      </c>
      <c r="AC11" t="s">
        <v>3503</v>
      </c>
      <c r="AD11">
        <v>55.13</v>
      </c>
      <c r="AE11" t="s">
        <v>4182</v>
      </c>
      <c r="AF11" t="s">
        <v>4854</v>
      </c>
      <c r="AG11">
        <v>27826</v>
      </c>
      <c r="AH11">
        <v>1388</v>
      </c>
      <c r="AI11">
        <v>1161621</v>
      </c>
      <c r="AJ11">
        <v>6.54</v>
      </c>
    </row>
    <row r="12" spans="1:36">
      <c r="A12" s="1" t="s">
        <v>351</v>
      </c>
      <c r="B12" t="s">
        <v>1030</v>
      </c>
      <c r="C12">
        <f>HYPERLINK("https://finance.naver.com/item/coinfo.nhn?code=082640", "A082640")</f>
        <v>0</v>
      </c>
      <c r="D12">
        <f>HYPERLINK("http://comp.fnguide.com/SVO2/ASP/SVD_Consensus.asp?pGB=1&amp;gicode=A082640&amp;cID=&amp;MenuYn=Y&amp;ReportGB=&amp;NewMenuID=108&amp;stkGb=701", "동양생명")</f>
        <v>0</v>
      </c>
      <c r="E12">
        <v>3</v>
      </c>
      <c r="F12">
        <v>5720</v>
      </c>
      <c r="G12">
        <v>0.08</v>
      </c>
      <c r="H12">
        <v>4.42</v>
      </c>
      <c r="I12">
        <v>10126</v>
      </c>
      <c r="J12">
        <v>15897</v>
      </c>
      <c r="K12">
        <v>17578</v>
      </c>
      <c r="L12">
        <v>-77.03</v>
      </c>
      <c r="M12">
        <v>-177.92</v>
      </c>
      <c r="N12">
        <v>-207.3</v>
      </c>
      <c r="O12">
        <v>4.2</v>
      </c>
      <c r="P12" t="b">
        <v>1</v>
      </c>
      <c r="Q12">
        <v>3</v>
      </c>
      <c r="R12">
        <v>797</v>
      </c>
      <c r="S12">
        <v>1134</v>
      </c>
      <c r="T12">
        <v>42.3</v>
      </c>
      <c r="U12" t="s">
        <v>1709</v>
      </c>
      <c r="V12" t="s">
        <v>2388</v>
      </c>
      <c r="W12">
        <v>53.73580924747623</v>
      </c>
      <c r="X12">
        <v>4.5</v>
      </c>
      <c r="Y12" t="s">
        <v>3036</v>
      </c>
      <c r="Z12">
        <v>4.020417957999745</v>
      </c>
      <c r="AA12">
        <v>9230</v>
      </c>
      <c r="AB12">
        <v>1170885</v>
      </c>
      <c r="AC12" t="s">
        <v>3693</v>
      </c>
      <c r="AD12">
        <v>75.37</v>
      </c>
      <c r="AE12" t="s">
        <v>4372</v>
      </c>
      <c r="AF12" t="s">
        <v>5025</v>
      </c>
      <c r="AG12">
        <v>49109</v>
      </c>
      <c r="AH12">
        <v>1776</v>
      </c>
      <c r="AI12">
        <v>5500000</v>
      </c>
      <c r="AJ12">
        <v>6.25</v>
      </c>
    </row>
    <row r="13" spans="1:36">
      <c r="A13" s="1" t="s">
        <v>300</v>
      </c>
      <c r="B13" t="s">
        <v>979</v>
      </c>
      <c r="C13">
        <f>HYPERLINK("https://finance.naver.com/item/coinfo.nhn?code=031330", "A031330")</f>
        <v>0</v>
      </c>
      <c r="D13">
        <f>HYPERLINK("http://comp.fnguide.com/SVO2/ASP/SVD_Consensus.asp?pGB=1&amp;gicode=A031330&amp;cID=&amp;MenuYn=Y&amp;ReportGB=&amp;NewMenuID=108&amp;stkGb=701", "에스에이엠티")</f>
        <v>0</v>
      </c>
      <c r="E13">
        <v>3</v>
      </c>
      <c r="F13">
        <v>2955</v>
      </c>
      <c r="G13">
        <v>0</v>
      </c>
      <c r="H13">
        <v>5.58</v>
      </c>
      <c r="I13">
        <v>5358</v>
      </c>
      <c r="J13">
        <v>3719</v>
      </c>
      <c r="K13">
        <v>3241</v>
      </c>
      <c r="L13">
        <v>-81.31999999999999</v>
      </c>
      <c r="M13">
        <v>-25.84</v>
      </c>
      <c r="N13">
        <v>-9.69</v>
      </c>
      <c r="O13">
        <v>16.95</v>
      </c>
      <c r="P13" t="b">
        <v>1</v>
      </c>
      <c r="Q13">
        <v>0</v>
      </c>
      <c r="R13">
        <v>434</v>
      </c>
      <c r="U13" t="s">
        <v>1658</v>
      </c>
      <c r="V13" t="s">
        <v>2337</v>
      </c>
      <c r="W13">
        <v>0</v>
      </c>
      <c r="X13">
        <v>15.4</v>
      </c>
      <c r="Y13" t="s">
        <v>2988</v>
      </c>
      <c r="Z13">
        <v>1.574563430316478</v>
      </c>
      <c r="AA13">
        <v>2955</v>
      </c>
      <c r="AB13">
        <v>296886</v>
      </c>
      <c r="AC13" t="s">
        <v>3642</v>
      </c>
      <c r="AD13">
        <v>50.02</v>
      </c>
      <c r="AE13" t="s">
        <v>4321</v>
      </c>
      <c r="AF13" t="s">
        <v>4979</v>
      </c>
      <c r="AG13">
        <v>12405</v>
      </c>
      <c r="AH13">
        <v>341</v>
      </c>
      <c r="AI13">
        <v>2000000</v>
      </c>
      <c r="AJ13">
        <v>6.2</v>
      </c>
    </row>
    <row r="14" spans="1:36">
      <c r="A14" s="1" t="s">
        <v>599</v>
      </c>
      <c r="B14" t="s">
        <v>1278</v>
      </c>
      <c r="C14">
        <f>HYPERLINK("https://finance.naver.com/item/coinfo.nhn?code=100250", "A100250")</f>
        <v>0</v>
      </c>
      <c r="D14">
        <f>HYPERLINK("http://comp.fnguide.com/SVO2/ASP/SVD_Consensus.asp?pGB=1&amp;gicode=A100250&amp;cID=&amp;MenuYn=Y&amp;ReportGB=&amp;NewMenuID=108&amp;stkGb=701", "진양홀딩스")</f>
        <v>0</v>
      </c>
      <c r="E14">
        <v>3</v>
      </c>
      <c r="F14">
        <v>3130</v>
      </c>
      <c r="G14">
        <v>0</v>
      </c>
      <c r="H14">
        <v>6.04</v>
      </c>
      <c r="I14">
        <v>4210</v>
      </c>
      <c r="J14">
        <v>5232</v>
      </c>
      <c r="K14">
        <v>5530</v>
      </c>
      <c r="L14">
        <v>-34.51</v>
      </c>
      <c r="M14">
        <v>-67.17</v>
      </c>
      <c r="N14">
        <v>-76.68000000000001</v>
      </c>
      <c r="O14">
        <v>5.84</v>
      </c>
      <c r="P14" t="b">
        <v>1</v>
      </c>
      <c r="Q14">
        <v>0</v>
      </c>
      <c r="R14">
        <v>466</v>
      </c>
      <c r="U14" t="s">
        <v>1957</v>
      </c>
      <c r="V14" t="s">
        <v>2636</v>
      </c>
      <c r="W14">
        <v>0</v>
      </c>
      <c r="X14">
        <v>72.09999999999999</v>
      </c>
      <c r="Y14" t="s">
        <v>3269</v>
      </c>
      <c r="Z14">
        <v>25.05943319036847</v>
      </c>
      <c r="AA14">
        <v>1750</v>
      </c>
      <c r="AB14">
        <v>122912</v>
      </c>
      <c r="AC14" t="s">
        <v>3941</v>
      </c>
      <c r="AD14">
        <v>62.94</v>
      </c>
      <c r="AE14" t="s">
        <v>4620</v>
      </c>
      <c r="AF14" t="s">
        <v>5265</v>
      </c>
      <c r="AG14">
        <v>2115</v>
      </c>
      <c r="AH14">
        <v>116</v>
      </c>
      <c r="AI14">
        <v>1100000</v>
      </c>
      <c r="AJ14">
        <v>6.04</v>
      </c>
    </row>
    <row r="15" spans="1:36">
      <c r="A15" s="1" t="s">
        <v>528</v>
      </c>
      <c r="B15" t="s">
        <v>1207</v>
      </c>
      <c r="C15">
        <f>HYPERLINK("https://finance.naver.com/item/coinfo.nhn?code=019440", "A019440")</f>
        <v>0</v>
      </c>
      <c r="D15">
        <f>HYPERLINK("http://comp.fnguide.com/SVO2/ASP/SVD_Consensus.asp?pGB=1&amp;gicode=A019440&amp;cID=&amp;MenuYn=Y&amp;ReportGB=&amp;NewMenuID=108&amp;stkGb=701", "세아특수강")</f>
        <v>0</v>
      </c>
      <c r="E15">
        <v>3</v>
      </c>
      <c r="F15">
        <v>16950</v>
      </c>
      <c r="G15">
        <v>0</v>
      </c>
      <c r="I15">
        <v>7771</v>
      </c>
      <c r="J15">
        <v>24836</v>
      </c>
      <c r="K15">
        <v>29807</v>
      </c>
      <c r="L15">
        <v>54.15</v>
      </c>
      <c r="M15">
        <v>-46.52</v>
      </c>
      <c r="N15">
        <v>-75.84999999999999</v>
      </c>
      <c r="O15">
        <v>1.75</v>
      </c>
      <c r="P15" t="b">
        <v>0</v>
      </c>
      <c r="Q15">
        <v>0</v>
      </c>
      <c r="R15">
        <v>-515</v>
      </c>
      <c r="U15" t="s">
        <v>1886</v>
      </c>
      <c r="V15" t="s">
        <v>2565</v>
      </c>
      <c r="W15">
        <v>0</v>
      </c>
      <c r="X15">
        <v>0</v>
      </c>
      <c r="Y15" t="s">
        <v>3204</v>
      </c>
      <c r="Z15">
        <v>-13.23831839952583</v>
      </c>
      <c r="AA15">
        <v>1453</v>
      </c>
      <c r="AB15">
        <v>77869</v>
      </c>
      <c r="AC15" t="s">
        <v>3870</v>
      </c>
      <c r="AD15">
        <v>68.73</v>
      </c>
      <c r="AE15" t="s">
        <v>4549</v>
      </c>
      <c r="AF15" t="s">
        <v>5197</v>
      </c>
      <c r="AG15">
        <v>6550</v>
      </c>
      <c r="AH15">
        <v>9</v>
      </c>
      <c r="AI15">
        <v>225131</v>
      </c>
      <c r="AJ15">
        <v>5.93</v>
      </c>
    </row>
    <row r="16" spans="1:36">
      <c r="A16" s="1" t="s">
        <v>471</v>
      </c>
      <c r="B16" t="s">
        <v>1150</v>
      </c>
      <c r="C16">
        <f>HYPERLINK("https://finance.naver.com/item/coinfo.nhn?code=030610", "A030610")</f>
        <v>0</v>
      </c>
      <c r="D16">
        <f>HYPERLINK("http://comp.fnguide.com/SVO2/ASP/SVD_Consensus.asp?pGB=1&amp;gicode=A030610&amp;cID=&amp;MenuYn=Y&amp;ReportGB=&amp;NewMenuID=108&amp;stkGb=701", "교보증권")</f>
        <v>0</v>
      </c>
      <c r="E16">
        <v>3</v>
      </c>
      <c r="F16">
        <v>8950</v>
      </c>
      <c r="G16">
        <v>0</v>
      </c>
      <c r="H16">
        <v>3.73</v>
      </c>
      <c r="I16">
        <v>22278</v>
      </c>
      <c r="J16">
        <v>20851</v>
      </c>
      <c r="K16">
        <v>20435</v>
      </c>
      <c r="L16">
        <v>-148.91</v>
      </c>
      <c r="M16">
        <v>-132.97</v>
      </c>
      <c r="N16">
        <v>-128.33</v>
      </c>
      <c r="O16">
        <v>9.210000000000001</v>
      </c>
      <c r="P16" t="b">
        <v>1</v>
      </c>
      <c r="Q16">
        <v>0</v>
      </c>
      <c r="R16">
        <v>2046</v>
      </c>
      <c r="U16" t="s">
        <v>1829</v>
      </c>
      <c r="V16" t="s">
        <v>2508</v>
      </c>
      <c r="W16">
        <v>0</v>
      </c>
      <c r="X16">
        <v>9.4</v>
      </c>
      <c r="Y16" t="s">
        <v>3152</v>
      </c>
      <c r="Z16">
        <v>9.139695521446356</v>
      </c>
      <c r="AA16">
        <v>5786</v>
      </c>
      <c r="AB16">
        <v>211318</v>
      </c>
      <c r="AC16" t="s">
        <v>3813</v>
      </c>
      <c r="AD16">
        <v>73.16</v>
      </c>
      <c r="AE16" t="s">
        <v>4492</v>
      </c>
      <c r="AF16" t="s">
        <v>5144</v>
      </c>
      <c r="AG16">
        <v>3494</v>
      </c>
      <c r="AH16">
        <v>1366</v>
      </c>
      <c r="AI16">
        <v>1093598</v>
      </c>
      <c r="AJ16">
        <v>5.89</v>
      </c>
    </row>
    <row r="17" spans="1:36">
      <c r="A17" s="1" t="s">
        <v>144</v>
      </c>
      <c r="B17" t="s">
        <v>823</v>
      </c>
      <c r="C17">
        <f>HYPERLINK("https://finance.naver.com/item/coinfo.nhn?code=123890", "A123890")</f>
        <v>0</v>
      </c>
      <c r="D17">
        <f>HYPERLINK("http://comp.fnguide.com/SVO2/ASP/SVD_Consensus.asp?pGB=1&amp;gicode=A123890&amp;cID=&amp;MenuYn=Y&amp;ReportGB=&amp;NewMenuID=108&amp;stkGb=701", "한국자산신탁")</f>
        <v>0</v>
      </c>
      <c r="E17">
        <v>3</v>
      </c>
      <c r="F17">
        <v>4975</v>
      </c>
      <c r="G17">
        <v>0.73</v>
      </c>
      <c r="H17">
        <v>3.76</v>
      </c>
      <c r="I17">
        <v>12914</v>
      </c>
      <c r="J17">
        <v>8976</v>
      </c>
      <c r="K17">
        <v>7829</v>
      </c>
      <c r="L17">
        <v>-159.57</v>
      </c>
      <c r="M17">
        <v>-80.41</v>
      </c>
      <c r="N17">
        <v>-57.36</v>
      </c>
      <c r="O17">
        <v>16.89</v>
      </c>
      <c r="P17" t="b">
        <v>1</v>
      </c>
      <c r="Q17">
        <v>0</v>
      </c>
      <c r="R17">
        <v>1049</v>
      </c>
      <c r="S17">
        <v>960</v>
      </c>
      <c r="T17">
        <v>-8.5</v>
      </c>
      <c r="U17" t="s">
        <v>1502</v>
      </c>
      <c r="V17" t="s">
        <v>2181</v>
      </c>
      <c r="W17">
        <v>5.137893658647141</v>
      </c>
      <c r="Y17" t="s">
        <v>2823</v>
      </c>
      <c r="Z17">
        <v>-0.3882915195786651</v>
      </c>
      <c r="AA17">
        <v>6168</v>
      </c>
      <c r="AB17">
        <v>690364</v>
      </c>
      <c r="AC17" t="s">
        <v>3486</v>
      </c>
      <c r="AD17">
        <v>53.62</v>
      </c>
      <c r="AE17" t="s">
        <v>4165</v>
      </c>
      <c r="AF17" t="s">
        <v>4839</v>
      </c>
      <c r="AG17">
        <v>2401</v>
      </c>
      <c r="AH17">
        <v>1787</v>
      </c>
      <c r="AI17">
        <v>1610697</v>
      </c>
      <c r="AJ17">
        <v>5.58</v>
      </c>
    </row>
    <row r="18" spans="1:36">
      <c r="A18" s="1" t="s">
        <v>591</v>
      </c>
      <c r="B18" t="s">
        <v>1270</v>
      </c>
      <c r="C18">
        <f>HYPERLINK("https://finance.naver.com/item/coinfo.nhn?code=029780", "A029780")</f>
        <v>0</v>
      </c>
      <c r="D18">
        <f>HYPERLINK("http://comp.fnguide.com/SVO2/ASP/SVD_Consensus.asp?pGB=1&amp;gicode=A029780&amp;cID=&amp;MenuYn=Y&amp;ReportGB=&amp;NewMenuID=108&amp;stkGb=701", "삼성카드")</f>
        <v>0</v>
      </c>
      <c r="E18">
        <v>3</v>
      </c>
      <c r="F18">
        <v>33600</v>
      </c>
      <c r="G18">
        <v>0.99</v>
      </c>
      <c r="H18">
        <v>9.44</v>
      </c>
      <c r="I18">
        <v>43545</v>
      </c>
      <c r="J18">
        <v>57309</v>
      </c>
      <c r="K18">
        <v>61318</v>
      </c>
      <c r="L18">
        <v>-29.6</v>
      </c>
      <c r="M18">
        <v>-70.56</v>
      </c>
      <c r="N18">
        <v>-82.48999999999999</v>
      </c>
      <c r="O18">
        <v>5.36</v>
      </c>
      <c r="P18" t="b">
        <v>0</v>
      </c>
      <c r="Q18">
        <v>2</v>
      </c>
      <c r="R18">
        <v>3442</v>
      </c>
      <c r="S18">
        <v>3913</v>
      </c>
      <c r="T18">
        <v>13.7</v>
      </c>
      <c r="U18" t="s">
        <v>1949</v>
      </c>
      <c r="V18" t="s">
        <v>2628</v>
      </c>
      <c r="W18">
        <v>9.52493892048385</v>
      </c>
      <c r="Y18" t="s">
        <v>2823</v>
      </c>
      <c r="Z18">
        <v>70.42117334103463</v>
      </c>
      <c r="AA18">
        <v>38929</v>
      </c>
      <c r="AB18">
        <v>178362</v>
      </c>
      <c r="AC18" t="s">
        <v>3933</v>
      </c>
      <c r="AD18">
        <v>71.90000000000001</v>
      </c>
      <c r="AE18" t="s">
        <v>4612</v>
      </c>
      <c r="AF18" t="s">
        <v>5257</v>
      </c>
      <c r="AG18">
        <v>24222</v>
      </c>
      <c r="AH18">
        <v>5343</v>
      </c>
      <c r="AI18">
        <v>9148196</v>
      </c>
      <c r="AJ18">
        <v>5.54</v>
      </c>
    </row>
    <row r="19" spans="1:36">
      <c r="A19" s="1" t="s">
        <v>192</v>
      </c>
      <c r="B19" t="s">
        <v>871</v>
      </c>
      <c r="C19">
        <f>HYPERLINK("https://finance.naver.com/item/coinfo.nhn?code=190650", "A190650")</f>
        <v>0</v>
      </c>
      <c r="D19">
        <f>HYPERLINK("http://comp.fnguide.com/SVO2/ASP/SVD_Consensus.asp?pGB=1&amp;gicode=A190650&amp;cID=&amp;MenuYn=Y&amp;ReportGB=&amp;NewMenuID=108&amp;stkGb=701", "코리아에셋투자증권")</f>
        <v>0</v>
      </c>
      <c r="E19">
        <v>3</v>
      </c>
      <c r="F19">
        <v>11650</v>
      </c>
      <c r="G19">
        <v>0</v>
      </c>
      <c r="H19">
        <v>4.5</v>
      </c>
      <c r="I19">
        <v>15108</v>
      </c>
      <c r="J19">
        <v>12606</v>
      </c>
      <c r="K19">
        <v>11877</v>
      </c>
      <c r="L19">
        <v>-29.68</v>
      </c>
      <c r="M19">
        <v>-8.210000000000001</v>
      </c>
      <c r="N19">
        <v>-1.95</v>
      </c>
      <c r="O19">
        <v>11.4</v>
      </c>
      <c r="P19" t="b">
        <v>1</v>
      </c>
      <c r="Q19">
        <v>0</v>
      </c>
      <c r="R19">
        <v>1207</v>
      </c>
      <c r="U19" t="s">
        <v>1550</v>
      </c>
      <c r="V19" t="s">
        <v>2229</v>
      </c>
      <c r="W19">
        <v>0</v>
      </c>
      <c r="X19">
        <v>15</v>
      </c>
      <c r="Y19" t="s">
        <v>2896</v>
      </c>
      <c r="Z19">
        <v>12.8292520656804</v>
      </c>
      <c r="AA19">
        <v>744</v>
      </c>
      <c r="AB19">
        <v>50867</v>
      </c>
      <c r="AC19" t="s">
        <v>3534</v>
      </c>
      <c r="AD19">
        <v>51.42</v>
      </c>
      <c r="AE19" t="s">
        <v>4213</v>
      </c>
      <c r="AF19" t="s">
        <v>4885</v>
      </c>
      <c r="AG19">
        <v>560</v>
      </c>
      <c r="AH19">
        <v>94</v>
      </c>
      <c r="AJ19">
        <v>5.52</v>
      </c>
    </row>
    <row r="20" spans="1:36">
      <c r="A20" s="1" t="s">
        <v>498</v>
      </c>
      <c r="B20" t="s">
        <v>1177</v>
      </c>
      <c r="C20">
        <f>HYPERLINK("https://finance.naver.com/item/coinfo.nhn?code=004970", "A004970")</f>
        <v>0</v>
      </c>
      <c r="D20">
        <f>HYPERLINK("http://comp.fnguide.com/SVO2/ASP/SVD_Consensus.asp?pGB=1&amp;gicode=A004970&amp;cID=&amp;MenuYn=Y&amp;ReportGB=&amp;NewMenuID=108&amp;stkGb=701", "신라교역")</f>
        <v>0</v>
      </c>
      <c r="E20">
        <v>3</v>
      </c>
      <c r="F20">
        <v>12250</v>
      </c>
      <c r="G20">
        <v>0</v>
      </c>
      <c r="H20">
        <v>19.08</v>
      </c>
      <c r="I20">
        <v>10914</v>
      </c>
      <c r="J20">
        <v>23657</v>
      </c>
      <c r="K20">
        <v>27369</v>
      </c>
      <c r="L20">
        <v>10.9</v>
      </c>
      <c r="M20">
        <v>-93.12</v>
      </c>
      <c r="N20">
        <v>-123.42</v>
      </c>
      <c r="O20">
        <v>2.77</v>
      </c>
      <c r="P20" t="b">
        <v>0</v>
      </c>
      <c r="Q20">
        <v>0</v>
      </c>
      <c r="R20">
        <v>479</v>
      </c>
      <c r="U20" t="s">
        <v>1856</v>
      </c>
      <c r="V20" t="s">
        <v>2535</v>
      </c>
      <c r="W20">
        <v>0</v>
      </c>
      <c r="X20">
        <v>-25.7</v>
      </c>
      <c r="Y20" t="s">
        <v>3177</v>
      </c>
      <c r="Z20">
        <v>-14.49206130811981</v>
      </c>
      <c r="AA20">
        <v>1960</v>
      </c>
      <c r="AB20">
        <v>26409</v>
      </c>
      <c r="AC20" t="s">
        <v>3840</v>
      </c>
      <c r="AD20">
        <v>66.17</v>
      </c>
      <c r="AE20" t="s">
        <v>4519</v>
      </c>
      <c r="AF20" t="s">
        <v>5169</v>
      </c>
      <c r="AG20">
        <v>3723</v>
      </c>
      <c r="AH20">
        <v>-49</v>
      </c>
      <c r="AJ20">
        <v>5.47</v>
      </c>
    </row>
    <row r="21" spans="1:36">
      <c r="A21" s="1" t="s">
        <v>417</v>
      </c>
      <c r="B21" t="s">
        <v>1096</v>
      </c>
      <c r="C21">
        <f>HYPERLINK("https://finance.naver.com/item/coinfo.nhn?code=024110", "A024110")</f>
        <v>0</v>
      </c>
      <c r="D21">
        <f>HYPERLINK("http://comp.fnguide.com/SVO2/ASP/SVD_Consensus.asp?pGB=1&amp;gicode=A024110&amp;cID=&amp;MenuYn=Y&amp;ReportGB=&amp;NewMenuID=108&amp;stkGb=701", "기업은행")</f>
        <v>0</v>
      </c>
      <c r="E21">
        <v>3</v>
      </c>
      <c r="F21">
        <v>10700</v>
      </c>
      <c r="G21">
        <v>-0.7</v>
      </c>
      <c r="H21">
        <v>4.41</v>
      </c>
      <c r="I21">
        <v>29074</v>
      </c>
      <c r="J21">
        <v>31770</v>
      </c>
      <c r="K21">
        <v>32555</v>
      </c>
      <c r="L21">
        <v>-171.72</v>
      </c>
      <c r="M21">
        <v>-196.92</v>
      </c>
      <c r="N21">
        <v>-204.26</v>
      </c>
      <c r="O21">
        <v>7.11</v>
      </c>
      <c r="P21" t="b">
        <v>0</v>
      </c>
      <c r="Q21">
        <v>1</v>
      </c>
      <c r="R21">
        <v>2006</v>
      </c>
      <c r="S21">
        <v>2191</v>
      </c>
      <c r="T21">
        <v>9.199999999999999</v>
      </c>
      <c r="U21" t="s">
        <v>1775</v>
      </c>
      <c r="V21" t="s">
        <v>2454</v>
      </c>
      <c r="W21">
        <v>-6.334210545344021</v>
      </c>
      <c r="X21">
        <v>2.5</v>
      </c>
      <c r="Y21" t="s">
        <v>3098</v>
      </c>
      <c r="Z21">
        <v>2.85981313209418</v>
      </c>
      <c r="AA21">
        <v>79037</v>
      </c>
      <c r="AB21">
        <v>2646200</v>
      </c>
      <c r="AC21" t="s">
        <v>3759</v>
      </c>
      <c r="AD21">
        <v>63.47</v>
      </c>
      <c r="AE21" t="s">
        <v>4438</v>
      </c>
      <c r="AF21" t="s">
        <v>5090</v>
      </c>
      <c r="AG21">
        <v>86539</v>
      </c>
      <c r="AH21">
        <v>21255</v>
      </c>
      <c r="AI21">
        <v>2</v>
      </c>
      <c r="AJ21">
        <v>5.33</v>
      </c>
    </row>
    <row r="22" spans="1:36">
      <c r="A22" s="1" t="s">
        <v>437</v>
      </c>
      <c r="B22" t="s">
        <v>1116</v>
      </c>
      <c r="C22">
        <f>HYPERLINK("https://finance.naver.com/item/coinfo.nhn?code=092440", "A092440")</f>
        <v>0</v>
      </c>
      <c r="D22">
        <f>HYPERLINK("http://comp.fnguide.com/SVO2/ASP/SVD_Consensus.asp?pGB=1&amp;gicode=A092440&amp;cID=&amp;MenuYn=Y&amp;ReportGB=&amp;NewMenuID=108&amp;stkGb=701", "기신정기")</f>
        <v>0</v>
      </c>
      <c r="E22">
        <v>3</v>
      </c>
      <c r="F22">
        <v>5230</v>
      </c>
      <c r="G22">
        <v>0</v>
      </c>
      <c r="H22">
        <v>9.66</v>
      </c>
      <c r="I22">
        <v>4640</v>
      </c>
      <c r="J22">
        <v>6709</v>
      </c>
      <c r="K22">
        <v>7312</v>
      </c>
      <c r="L22">
        <v>11.29</v>
      </c>
      <c r="M22">
        <v>-28.28</v>
      </c>
      <c r="N22">
        <v>-39.8</v>
      </c>
      <c r="O22">
        <v>4.7</v>
      </c>
      <c r="P22" t="b">
        <v>0</v>
      </c>
      <c r="Q22">
        <v>0</v>
      </c>
      <c r="R22">
        <v>298</v>
      </c>
      <c r="U22" t="s">
        <v>1795</v>
      </c>
      <c r="V22" t="s">
        <v>2474</v>
      </c>
      <c r="W22">
        <v>0</v>
      </c>
      <c r="X22">
        <v>0.4</v>
      </c>
      <c r="Y22" t="s">
        <v>3118</v>
      </c>
      <c r="Z22">
        <v>3.550967360475132</v>
      </c>
      <c r="AA22">
        <v>1527</v>
      </c>
      <c r="AB22">
        <v>77139</v>
      </c>
      <c r="AC22" t="s">
        <v>3779</v>
      </c>
      <c r="AD22">
        <v>71.81</v>
      </c>
      <c r="AE22" t="s">
        <v>4458</v>
      </c>
      <c r="AF22" t="s">
        <v>5110</v>
      </c>
      <c r="AG22">
        <v>1246</v>
      </c>
      <c r="AH22">
        <v>93</v>
      </c>
      <c r="AJ22">
        <v>5.22</v>
      </c>
    </row>
    <row r="23" spans="1:36">
      <c r="A23" s="1" t="s">
        <v>518</v>
      </c>
      <c r="B23" t="s">
        <v>1197</v>
      </c>
      <c r="C23">
        <f>HYPERLINK("https://finance.naver.com/item/coinfo.nhn?code=000480", "A000480")</f>
        <v>0</v>
      </c>
      <c r="D23">
        <f>HYPERLINK("http://comp.fnguide.com/SVO2/ASP/SVD_Consensus.asp?pGB=1&amp;gicode=A000480&amp;cID=&amp;MenuYn=Y&amp;ReportGB=&amp;NewMenuID=108&amp;stkGb=701", "조선내화")</f>
        <v>0</v>
      </c>
      <c r="E23">
        <v>3</v>
      </c>
      <c r="F23">
        <v>91500</v>
      </c>
      <c r="G23">
        <v>0</v>
      </c>
      <c r="H23">
        <v>9.609999999999999</v>
      </c>
      <c r="I23">
        <v>133472</v>
      </c>
      <c r="J23">
        <v>168755</v>
      </c>
      <c r="K23">
        <v>179032</v>
      </c>
      <c r="L23">
        <v>-45.87</v>
      </c>
      <c r="M23">
        <v>-84.43000000000001</v>
      </c>
      <c r="N23">
        <v>-95.66</v>
      </c>
      <c r="O23">
        <v>5.69</v>
      </c>
      <c r="P23" t="b">
        <v>1</v>
      </c>
      <c r="Q23">
        <v>0</v>
      </c>
      <c r="R23">
        <v>8391</v>
      </c>
      <c r="U23" t="s">
        <v>1876</v>
      </c>
      <c r="V23" t="s">
        <v>2555</v>
      </c>
      <c r="W23">
        <v>0</v>
      </c>
      <c r="X23">
        <v>37.8</v>
      </c>
      <c r="Y23" t="s">
        <v>3195</v>
      </c>
      <c r="Z23">
        <v>16.5508767509948</v>
      </c>
      <c r="AA23">
        <v>3660</v>
      </c>
      <c r="AB23">
        <v>3316</v>
      </c>
      <c r="AC23" t="s">
        <v>3860</v>
      </c>
      <c r="AD23">
        <v>60.87</v>
      </c>
      <c r="AE23" t="s">
        <v>4539</v>
      </c>
      <c r="AF23" t="s">
        <v>5188</v>
      </c>
      <c r="AG23">
        <v>7052</v>
      </c>
      <c r="AH23">
        <v>229</v>
      </c>
      <c r="AI23">
        <v>800000</v>
      </c>
      <c r="AJ23">
        <v>5.21</v>
      </c>
    </row>
    <row r="24" spans="1:36">
      <c r="A24" s="1" t="s">
        <v>418</v>
      </c>
      <c r="B24" t="s">
        <v>1097</v>
      </c>
      <c r="C24">
        <f>HYPERLINK("https://finance.naver.com/item/coinfo.nhn?code=092230", "A092230")</f>
        <v>0</v>
      </c>
      <c r="D24">
        <f>HYPERLINK("http://comp.fnguide.com/SVO2/ASP/SVD_Consensus.asp?pGB=1&amp;gicode=A092230&amp;cID=&amp;MenuYn=Y&amp;ReportGB=&amp;NewMenuID=108&amp;stkGb=701", "KPX홀딩스")</f>
        <v>0</v>
      </c>
      <c r="E24">
        <v>3</v>
      </c>
      <c r="F24">
        <v>76600</v>
      </c>
      <c r="G24">
        <v>0</v>
      </c>
      <c r="H24">
        <v>1.82</v>
      </c>
      <c r="I24">
        <v>280494</v>
      </c>
      <c r="J24">
        <v>228492</v>
      </c>
      <c r="K24">
        <v>213344</v>
      </c>
      <c r="L24">
        <v>-266.18</v>
      </c>
      <c r="M24">
        <v>-198.29</v>
      </c>
      <c r="N24">
        <v>-178.52</v>
      </c>
      <c r="O24">
        <v>11.95</v>
      </c>
      <c r="P24" t="b">
        <v>1</v>
      </c>
      <c r="Q24">
        <v>0</v>
      </c>
      <c r="R24">
        <v>33268</v>
      </c>
      <c r="U24" t="s">
        <v>1776</v>
      </c>
      <c r="V24" t="s">
        <v>2455</v>
      </c>
      <c r="W24">
        <v>0</v>
      </c>
      <c r="X24">
        <v>309.2</v>
      </c>
      <c r="Y24" t="s">
        <v>3099</v>
      </c>
      <c r="Z24">
        <v>32.75120038140729</v>
      </c>
      <c r="AA24">
        <v>3236</v>
      </c>
      <c r="AB24">
        <v>42798</v>
      </c>
      <c r="AC24" t="s">
        <v>3760</v>
      </c>
      <c r="AD24">
        <v>74.84</v>
      </c>
      <c r="AE24" t="s">
        <v>4439</v>
      </c>
      <c r="AF24" t="s">
        <v>5091</v>
      </c>
      <c r="AG24">
        <v>9532</v>
      </c>
      <c r="AH24">
        <v>791</v>
      </c>
      <c r="AI24">
        <v>212049</v>
      </c>
      <c r="AJ24">
        <v>5.13</v>
      </c>
    </row>
    <row r="25" spans="1:36">
      <c r="A25" s="1" t="s">
        <v>492</v>
      </c>
      <c r="B25" t="s">
        <v>1171</v>
      </c>
      <c r="C25">
        <f>HYPERLINK("https://finance.naver.com/item/coinfo.nhn?code=100840", "A100840")</f>
        <v>0</v>
      </c>
      <c r="D25">
        <f>HYPERLINK("http://comp.fnguide.com/SVO2/ASP/SVD_Consensus.asp?pGB=1&amp;gicode=A100840&amp;cID=&amp;MenuYn=Y&amp;ReportGB=&amp;NewMenuID=108&amp;stkGb=701", "SNT에너지")</f>
        <v>0</v>
      </c>
      <c r="E25">
        <v>3</v>
      </c>
      <c r="F25">
        <v>18500</v>
      </c>
      <c r="G25">
        <v>0</v>
      </c>
      <c r="H25">
        <v>12</v>
      </c>
      <c r="I25">
        <v>19464</v>
      </c>
      <c r="J25">
        <v>29859</v>
      </c>
      <c r="K25">
        <v>32887</v>
      </c>
      <c r="L25">
        <v>-5.21</v>
      </c>
      <c r="M25">
        <v>-61.4</v>
      </c>
      <c r="N25">
        <v>-77.77</v>
      </c>
      <c r="O25">
        <v>4.33</v>
      </c>
      <c r="P25" t="b">
        <v>0</v>
      </c>
      <c r="Q25">
        <v>0</v>
      </c>
      <c r="R25">
        <v>1304</v>
      </c>
      <c r="U25" t="s">
        <v>1850</v>
      </c>
      <c r="V25" t="s">
        <v>2529</v>
      </c>
      <c r="W25">
        <v>0</v>
      </c>
      <c r="X25">
        <v>-13.9</v>
      </c>
      <c r="Y25" t="s">
        <v>3172</v>
      </c>
      <c r="Z25">
        <v>38.35557401847858</v>
      </c>
      <c r="AA25">
        <v>1389</v>
      </c>
      <c r="AB25">
        <v>16415</v>
      </c>
      <c r="AC25" t="s">
        <v>3834</v>
      </c>
      <c r="AD25">
        <v>55.93</v>
      </c>
      <c r="AE25" t="s">
        <v>4513</v>
      </c>
      <c r="AF25" t="s">
        <v>5163</v>
      </c>
      <c r="AG25">
        <v>2374</v>
      </c>
      <c r="AH25">
        <v>231</v>
      </c>
      <c r="AI25">
        <v>1127687</v>
      </c>
      <c r="AJ25">
        <v>5.11</v>
      </c>
    </row>
    <row r="26" spans="1:36">
      <c r="A26" s="1" t="s">
        <v>454</v>
      </c>
      <c r="B26" t="s">
        <v>1133</v>
      </c>
      <c r="C26">
        <f>HYPERLINK("https://finance.naver.com/item/coinfo.nhn?code=078930", "A078930")</f>
        <v>0</v>
      </c>
      <c r="D26">
        <f>HYPERLINK("http://comp.fnguide.com/SVO2/ASP/SVD_Consensus.asp?pGB=1&amp;gicode=A078930&amp;cID=&amp;MenuYn=Y&amp;ReportGB=&amp;NewMenuID=108&amp;stkGb=701", "GS")</f>
        <v>0</v>
      </c>
      <c r="E26">
        <v>3</v>
      </c>
      <c r="F26">
        <v>48250</v>
      </c>
      <c r="I26">
        <v>43140</v>
      </c>
      <c r="J26">
        <v>70930</v>
      </c>
      <c r="K26">
        <v>79024</v>
      </c>
      <c r="L26">
        <v>10.59</v>
      </c>
      <c r="M26">
        <v>-47</v>
      </c>
      <c r="N26">
        <v>-63.78</v>
      </c>
      <c r="O26">
        <v>3.94</v>
      </c>
      <c r="P26" t="b">
        <v>0</v>
      </c>
      <c r="Q26">
        <v>1</v>
      </c>
      <c r="R26">
        <v>-2563</v>
      </c>
      <c r="S26">
        <v>8658</v>
      </c>
      <c r="T26">
        <v>-437.8</v>
      </c>
      <c r="U26" t="s">
        <v>1812</v>
      </c>
      <c r="V26" t="s">
        <v>2491</v>
      </c>
      <c r="W26">
        <v>-3.20260605108067</v>
      </c>
      <c r="X26">
        <v>0</v>
      </c>
      <c r="Y26" t="s">
        <v>3135</v>
      </c>
      <c r="Z26">
        <v>2.525174121884355</v>
      </c>
      <c r="AA26">
        <v>44832</v>
      </c>
      <c r="AB26">
        <v>342821</v>
      </c>
      <c r="AC26" t="s">
        <v>3796</v>
      </c>
      <c r="AD26">
        <v>52</v>
      </c>
      <c r="AE26" t="s">
        <v>4475</v>
      </c>
      <c r="AF26" t="s">
        <v>5127</v>
      </c>
      <c r="AG26">
        <v>154442</v>
      </c>
      <c r="AH26">
        <v>9206</v>
      </c>
      <c r="AI26">
        <v>19883</v>
      </c>
      <c r="AJ26">
        <v>5.06</v>
      </c>
    </row>
    <row r="27" spans="1:36">
      <c r="A27" s="1" t="s">
        <v>425</v>
      </c>
      <c r="B27" t="s">
        <v>1104</v>
      </c>
      <c r="C27">
        <f>HYPERLINK("https://finance.naver.com/item/coinfo.nhn?code=025000", "A025000")</f>
        <v>0</v>
      </c>
      <c r="D27">
        <f>HYPERLINK("http://comp.fnguide.com/SVO2/ASP/SVD_Consensus.asp?pGB=1&amp;gicode=A025000&amp;cID=&amp;MenuYn=Y&amp;ReportGB=&amp;NewMenuID=108&amp;stkGb=701", "KPX케미칼")</f>
        <v>0</v>
      </c>
      <c r="E27">
        <v>3</v>
      </c>
      <c r="F27">
        <v>73400</v>
      </c>
      <c r="G27">
        <v>0</v>
      </c>
      <c r="H27">
        <v>4.2</v>
      </c>
      <c r="I27">
        <v>131697</v>
      </c>
      <c r="J27">
        <v>118863</v>
      </c>
      <c r="K27">
        <v>115125</v>
      </c>
      <c r="L27">
        <v>-79.42</v>
      </c>
      <c r="M27">
        <v>-61.94</v>
      </c>
      <c r="N27">
        <v>-56.85</v>
      </c>
      <c r="O27">
        <v>9.83</v>
      </c>
      <c r="P27" t="b">
        <v>1</v>
      </c>
      <c r="Q27">
        <v>0</v>
      </c>
      <c r="R27">
        <v>13074</v>
      </c>
      <c r="U27" t="s">
        <v>1783</v>
      </c>
      <c r="V27" t="s">
        <v>2462</v>
      </c>
      <c r="W27">
        <v>0</v>
      </c>
      <c r="X27">
        <v>51.9</v>
      </c>
      <c r="Y27" t="s">
        <v>3106</v>
      </c>
      <c r="Z27">
        <v>13.37966378552256</v>
      </c>
      <c r="AA27">
        <v>3553</v>
      </c>
      <c r="AB27">
        <v>14612</v>
      </c>
      <c r="AC27" t="s">
        <v>3767</v>
      </c>
      <c r="AD27">
        <v>64.40000000000001</v>
      </c>
      <c r="AE27" t="s">
        <v>4446</v>
      </c>
      <c r="AF27" t="s">
        <v>5098</v>
      </c>
      <c r="AG27">
        <v>7467</v>
      </c>
      <c r="AH27">
        <v>641</v>
      </c>
      <c r="AI27">
        <v>84779</v>
      </c>
      <c r="AJ27">
        <v>5.01</v>
      </c>
    </row>
    <row r="28" spans="1:36">
      <c r="A28" s="1" t="s">
        <v>555</v>
      </c>
      <c r="B28" t="s">
        <v>1234</v>
      </c>
      <c r="C28">
        <f>HYPERLINK("https://finance.naver.com/item/coinfo.nhn?code=034590", "A034590")</f>
        <v>0</v>
      </c>
      <c r="D28">
        <f>HYPERLINK("http://comp.fnguide.com/SVO2/ASP/SVD_Consensus.asp?pGB=1&amp;gicode=A034590&amp;cID=&amp;MenuYn=Y&amp;ReportGB=&amp;NewMenuID=108&amp;stkGb=701", "인천도시가스")</f>
        <v>0</v>
      </c>
      <c r="E28">
        <v>3</v>
      </c>
      <c r="F28">
        <v>27500</v>
      </c>
      <c r="G28">
        <v>0</v>
      </c>
      <c r="H28">
        <v>9.609999999999999</v>
      </c>
      <c r="I28">
        <v>36851</v>
      </c>
      <c r="J28">
        <v>42586</v>
      </c>
      <c r="K28">
        <v>44256</v>
      </c>
      <c r="L28">
        <v>-34</v>
      </c>
      <c r="M28">
        <v>-54.86</v>
      </c>
      <c r="N28">
        <v>-60.93</v>
      </c>
      <c r="O28">
        <v>6.51</v>
      </c>
      <c r="P28" t="b">
        <v>1</v>
      </c>
      <c r="Q28">
        <v>0</v>
      </c>
      <c r="R28">
        <v>2603</v>
      </c>
      <c r="U28" t="s">
        <v>1913</v>
      </c>
      <c r="V28" t="s">
        <v>2592</v>
      </c>
      <c r="W28">
        <v>0</v>
      </c>
      <c r="X28">
        <v>6.3</v>
      </c>
      <c r="Y28" t="s">
        <v>3226</v>
      </c>
      <c r="Z28">
        <v>9.723447921385354</v>
      </c>
      <c r="AA28">
        <v>1203</v>
      </c>
      <c r="AB28">
        <v>2267</v>
      </c>
      <c r="AC28" t="s">
        <v>3897</v>
      </c>
      <c r="AD28">
        <v>68.45999999999999</v>
      </c>
      <c r="AE28" t="s">
        <v>4576</v>
      </c>
      <c r="AF28" t="s">
        <v>5222</v>
      </c>
      <c r="AG28">
        <v>5045</v>
      </c>
      <c r="AH28">
        <v>108</v>
      </c>
      <c r="AI28">
        <v>252755</v>
      </c>
      <c r="AJ28">
        <v>5</v>
      </c>
    </row>
    <row r="29" spans="1:36">
      <c r="A29" s="1" t="s">
        <v>532</v>
      </c>
      <c r="B29" t="s">
        <v>1211</v>
      </c>
      <c r="C29">
        <f>HYPERLINK("https://finance.naver.com/item/coinfo.nhn?code=001800", "A001800")</f>
        <v>0</v>
      </c>
      <c r="D29">
        <f>HYPERLINK("http://comp.fnguide.com/SVO2/ASP/SVD_Consensus.asp?pGB=1&amp;gicode=A001800&amp;cID=&amp;MenuYn=Y&amp;ReportGB=&amp;NewMenuID=108&amp;stkGb=701", "오리온홀딩스")</f>
        <v>0</v>
      </c>
      <c r="E29">
        <v>3</v>
      </c>
      <c r="F29">
        <v>17950</v>
      </c>
      <c r="G29">
        <v>0</v>
      </c>
      <c r="H29">
        <v>10.67</v>
      </c>
      <c r="I29">
        <v>13289</v>
      </c>
      <c r="J29">
        <v>24811</v>
      </c>
      <c r="K29">
        <v>28167</v>
      </c>
      <c r="L29">
        <v>25.97</v>
      </c>
      <c r="M29">
        <v>-38.22</v>
      </c>
      <c r="N29">
        <v>-56.92</v>
      </c>
      <c r="O29">
        <v>3.34</v>
      </c>
      <c r="P29" t="b">
        <v>0</v>
      </c>
      <c r="Q29">
        <v>0</v>
      </c>
      <c r="R29">
        <v>1237</v>
      </c>
      <c r="U29" t="s">
        <v>1890</v>
      </c>
      <c r="V29" t="s">
        <v>2569</v>
      </c>
      <c r="W29">
        <v>0</v>
      </c>
      <c r="X29">
        <v>60.2</v>
      </c>
      <c r="Y29" t="s">
        <v>3208</v>
      </c>
      <c r="Z29">
        <v>-14.3115497615617</v>
      </c>
      <c r="AA29">
        <v>11245</v>
      </c>
      <c r="AB29">
        <v>185828</v>
      </c>
      <c r="AC29" t="s">
        <v>3874</v>
      </c>
      <c r="AD29">
        <v>63.85</v>
      </c>
      <c r="AE29" t="s">
        <v>4553</v>
      </c>
      <c r="AF29" t="s">
        <v>5201</v>
      </c>
      <c r="AG29">
        <v>22805</v>
      </c>
      <c r="AH29">
        <v>3086</v>
      </c>
      <c r="AI29">
        <v>2488769</v>
      </c>
      <c r="AJ29">
        <v>4.92</v>
      </c>
    </row>
    <row r="30" spans="1:36">
      <c r="A30" s="1" t="s">
        <v>126</v>
      </c>
      <c r="B30" t="s">
        <v>805</v>
      </c>
      <c r="C30">
        <f>HYPERLINK("https://finance.naver.com/item/coinfo.nhn?code=300720", "A300720")</f>
        <v>0</v>
      </c>
      <c r="D30">
        <f>HYPERLINK("http://comp.fnguide.com/SVO2/ASP/SVD_Consensus.asp?pGB=1&amp;gicode=A300720&amp;cID=&amp;MenuYn=Y&amp;ReportGB=&amp;NewMenuID=108&amp;stkGb=701", "한일시멘트")</f>
        <v>0</v>
      </c>
      <c r="E30">
        <v>3</v>
      </c>
      <c r="F30">
        <v>161500</v>
      </c>
      <c r="G30">
        <v>0.61</v>
      </c>
      <c r="H30">
        <v>5.85</v>
      </c>
      <c r="I30">
        <v>139637</v>
      </c>
      <c r="J30">
        <v>172545</v>
      </c>
      <c r="K30">
        <v>182130</v>
      </c>
      <c r="L30">
        <v>13.54</v>
      </c>
      <c r="M30">
        <v>-6.84</v>
      </c>
      <c r="N30">
        <v>-12.77</v>
      </c>
      <c r="O30">
        <v>5.89</v>
      </c>
      <c r="P30" t="b">
        <v>1</v>
      </c>
      <c r="Q30">
        <v>0</v>
      </c>
      <c r="R30">
        <v>17953</v>
      </c>
      <c r="S30">
        <v>17037</v>
      </c>
      <c r="T30">
        <v>-5.1</v>
      </c>
      <c r="U30" t="s">
        <v>1484</v>
      </c>
      <c r="V30" t="s">
        <v>2163</v>
      </c>
      <c r="W30">
        <v>9.542396570968116</v>
      </c>
      <c r="X30">
        <v>83.7</v>
      </c>
      <c r="Y30" t="s">
        <v>2836</v>
      </c>
      <c r="Z30">
        <v>0</v>
      </c>
      <c r="AA30">
        <v>11186</v>
      </c>
      <c r="AB30">
        <v>15664</v>
      </c>
      <c r="AC30" t="s">
        <v>3468</v>
      </c>
      <c r="AD30">
        <v>73.31999999999999</v>
      </c>
      <c r="AE30" t="s">
        <v>4147</v>
      </c>
      <c r="AF30" t="s">
        <v>4822</v>
      </c>
      <c r="AG30">
        <v>9743</v>
      </c>
      <c r="AH30">
        <v>1328</v>
      </c>
      <c r="AI30">
        <v>257810</v>
      </c>
      <c r="AJ30">
        <v>4.86</v>
      </c>
    </row>
    <row r="31" spans="1:36">
      <c r="A31" s="1" t="s">
        <v>230</v>
      </c>
      <c r="B31" t="s">
        <v>909</v>
      </c>
      <c r="C31">
        <f>HYPERLINK("https://finance.naver.com/item/coinfo.nhn?code=046110", "A046110")</f>
        <v>0</v>
      </c>
      <c r="D31">
        <f>HYPERLINK("http://comp.fnguide.com/SVO2/ASP/SVD_Consensus.asp?pGB=1&amp;gicode=A046110&amp;cID=&amp;MenuYn=Y&amp;ReportGB=&amp;NewMenuID=108&amp;stkGb=701", "한일네트웍스")</f>
        <v>0</v>
      </c>
      <c r="E31">
        <v>3</v>
      </c>
      <c r="F31">
        <v>5760</v>
      </c>
      <c r="G31">
        <v>0</v>
      </c>
      <c r="H31">
        <v>7.82</v>
      </c>
      <c r="I31">
        <v>8043</v>
      </c>
      <c r="J31">
        <v>7072</v>
      </c>
      <c r="K31">
        <v>6789</v>
      </c>
      <c r="L31">
        <v>-39.64</v>
      </c>
      <c r="M31">
        <v>-22.78</v>
      </c>
      <c r="N31">
        <v>-17.86</v>
      </c>
      <c r="O31">
        <v>10.32</v>
      </c>
      <c r="P31" t="b">
        <v>1</v>
      </c>
      <c r="Q31">
        <v>0</v>
      </c>
      <c r="R31">
        <v>636</v>
      </c>
      <c r="U31" t="s">
        <v>1588</v>
      </c>
      <c r="V31" t="s">
        <v>2267</v>
      </c>
      <c r="W31">
        <v>0</v>
      </c>
      <c r="X31">
        <v>8</v>
      </c>
      <c r="Y31" t="s">
        <v>2929</v>
      </c>
      <c r="Z31">
        <v>27.41072674361213</v>
      </c>
      <c r="AA31">
        <v>689</v>
      </c>
      <c r="AB31">
        <v>61150</v>
      </c>
      <c r="AC31" t="s">
        <v>3572</v>
      </c>
      <c r="AD31">
        <v>50.1</v>
      </c>
      <c r="AE31" t="s">
        <v>4251</v>
      </c>
      <c r="AF31" t="s">
        <v>4917</v>
      </c>
      <c r="AG31">
        <v>1174</v>
      </c>
      <c r="AH31">
        <v>100</v>
      </c>
      <c r="AJ31">
        <v>4.83</v>
      </c>
    </row>
    <row r="32" spans="1:36">
      <c r="A32" s="1" t="s">
        <v>133</v>
      </c>
      <c r="B32" t="s">
        <v>812</v>
      </c>
      <c r="C32">
        <f>HYPERLINK("https://finance.naver.com/item/coinfo.nhn?code=047050", "A047050")</f>
        <v>0</v>
      </c>
      <c r="D32">
        <f>HYPERLINK("http://comp.fnguide.com/SVO2/ASP/SVD_Consensus.asp?pGB=1&amp;gicode=A047050&amp;cID=&amp;MenuYn=Y&amp;ReportGB=&amp;NewMenuID=108&amp;stkGb=701", "포스코인터내셔널")</f>
        <v>0</v>
      </c>
      <c r="E32">
        <v>3</v>
      </c>
      <c r="F32">
        <v>22000</v>
      </c>
      <c r="G32">
        <v>0.3</v>
      </c>
      <c r="H32">
        <v>7.52</v>
      </c>
      <c r="I32">
        <v>22131</v>
      </c>
      <c r="J32">
        <v>24190</v>
      </c>
      <c r="K32">
        <v>24790</v>
      </c>
      <c r="L32">
        <v>-0.59</v>
      </c>
      <c r="M32">
        <v>-9.949999999999999</v>
      </c>
      <c r="N32">
        <v>-12.68</v>
      </c>
      <c r="O32">
        <v>7.11</v>
      </c>
      <c r="P32" t="b">
        <v>1</v>
      </c>
      <c r="Q32">
        <v>3</v>
      </c>
      <c r="R32">
        <v>1934</v>
      </c>
      <c r="S32">
        <v>2461</v>
      </c>
      <c r="T32">
        <v>27.2</v>
      </c>
      <c r="U32" t="s">
        <v>1491</v>
      </c>
      <c r="V32" t="s">
        <v>2170</v>
      </c>
      <c r="W32">
        <v>25.06466883110203</v>
      </c>
      <c r="X32">
        <v>13.9</v>
      </c>
      <c r="Y32" t="s">
        <v>2843</v>
      </c>
      <c r="Z32">
        <v>11.3043596606607</v>
      </c>
      <c r="AA32">
        <v>27143</v>
      </c>
      <c r="AB32">
        <v>643011</v>
      </c>
      <c r="AC32" t="s">
        <v>3475</v>
      </c>
      <c r="AD32">
        <v>63.36</v>
      </c>
      <c r="AE32" t="s">
        <v>4154</v>
      </c>
      <c r="AF32" t="s">
        <v>4828</v>
      </c>
      <c r="AG32">
        <v>214724</v>
      </c>
      <c r="AH32">
        <v>4745</v>
      </c>
      <c r="AI32">
        <v>258</v>
      </c>
      <c r="AJ32">
        <v>4.81</v>
      </c>
    </row>
    <row r="33" spans="1:36">
      <c r="A33" s="1" t="s">
        <v>461</v>
      </c>
      <c r="B33" t="s">
        <v>1140</v>
      </c>
      <c r="C33">
        <f>HYPERLINK("https://finance.naver.com/item/coinfo.nhn?code=267290", "A267290")</f>
        <v>0</v>
      </c>
      <c r="D33">
        <f>HYPERLINK("http://comp.fnguide.com/SVO2/ASP/SVD_Consensus.asp?pGB=1&amp;gicode=A267290&amp;cID=&amp;MenuYn=Y&amp;ReportGB=&amp;NewMenuID=108&amp;stkGb=701", "경동도시가스")</f>
        <v>0</v>
      </c>
      <c r="E33">
        <v>3</v>
      </c>
      <c r="F33">
        <v>23700</v>
      </c>
      <c r="G33">
        <v>0</v>
      </c>
      <c r="H33">
        <v>5.77</v>
      </c>
      <c r="I33">
        <v>52003</v>
      </c>
      <c r="J33">
        <v>57053</v>
      </c>
      <c r="K33">
        <v>58524</v>
      </c>
      <c r="L33">
        <v>-119.42</v>
      </c>
      <c r="M33">
        <v>-140.73</v>
      </c>
      <c r="N33">
        <v>-146.94</v>
      </c>
      <c r="O33">
        <v>7.07</v>
      </c>
      <c r="P33" t="b">
        <v>1</v>
      </c>
      <c r="Q33">
        <v>0</v>
      </c>
      <c r="R33">
        <v>3221</v>
      </c>
      <c r="U33" t="s">
        <v>1819</v>
      </c>
      <c r="V33" t="s">
        <v>2498</v>
      </c>
      <c r="W33">
        <v>0</v>
      </c>
      <c r="X33">
        <v>-22.6</v>
      </c>
      <c r="Y33" t="s">
        <v>3142</v>
      </c>
      <c r="Z33">
        <v>0</v>
      </c>
      <c r="AA33">
        <v>1397</v>
      </c>
      <c r="AB33">
        <v>17454</v>
      </c>
      <c r="AC33" t="s">
        <v>3803</v>
      </c>
      <c r="AD33">
        <v>52.28</v>
      </c>
      <c r="AE33" t="s">
        <v>4482</v>
      </c>
      <c r="AF33" t="s">
        <v>5134</v>
      </c>
      <c r="AG33">
        <v>10868</v>
      </c>
      <c r="AH33">
        <v>181</v>
      </c>
      <c r="AI33">
        <v>4979</v>
      </c>
      <c r="AJ33">
        <v>4.7</v>
      </c>
    </row>
    <row r="34" spans="1:36">
      <c r="A34" s="1" t="s">
        <v>367</v>
      </c>
      <c r="B34" t="s">
        <v>1046</v>
      </c>
      <c r="C34">
        <f>HYPERLINK("https://finance.naver.com/item/coinfo.nhn?code=117580", "A117580")</f>
        <v>0</v>
      </c>
      <c r="D34">
        <f>HYPERLINK("http://comp.fnguide.com/SVO2/ASP/SVD_Consensus.asp?pGB=1&amp;gicode=A117580&amp;cID=&amp;MenuYn=Y&amp;ReportGB=&amp;NewMenuID=108&amp;stkGb=701", "대성에너지")</f>
        <v>0</v>
      </c>
      <c r="E34">
        <v>3</v>
      </c>
      <c r="F34">
        <v>5920</v>
      </c>
      <c r="G34">
        <v>0</v>
      </c>
      <c r="H34">
        <v>10.37</v>
      </c>
      <c r="I34">
        <v>6141</v>
      </c>
      <c r="J34">
        <v>9284</v>
      </c>
      <c r="K34">
        <v>10200</v>
      </c>
      <c r="L34">
        <v>-3.73</v>
      </c>
      <c r="M34">
        <v>-56.82</v>
      </c>
      <c r="N34">
        <v>-72.29000000000001</v>
      </c>
      <c r="O34">
        <v>4.42</v>
      </c>
      <c r="P34" t="b">
        <v>0</v>
      </c>
      <c r="Q34">
        <v>0</v>
      </c>
      <c r="R34">
        <v>514</v>
      </c>
      <c r="U34" t="s">
        <v>1725</v>
      </c>
      <c r="V34" t="s">
        <v>2404</v>
      </c>
      <c r="W34">
        <v>0</v>
      </c>
      <c r="X34">
        <v>8.4</v>
      </c>
      <c r="Y34" t="s">
        <v>3050</v>
      </c>
      <c r="Z34">
        <v>0.5818855309012161</v>
      </c>
      <c r="AA34">
        <v>1628</v>
      </c>
      <c r="AB34">
        <v>85379</v>
      </c>
      <c r="AC34" t="s">
        <v>3709</v>
      </c>
      <c r="AD34">
        <v>72.73</v>
      </c>
      <c r="AE34" t="s">
        <v>4388</v>
      </c>
      <c r="AF34" t="s">
        <v>5040</v>
      </c>
      <c r="AG34">
        <v>7432</v>
      </c>
      <c r="AH34">
        <v>263</v>
      </c>
      <c r="AJ34">
        <v>4.69</v>
      </c>
    </row>
    <row r="35" spans="1:36">
      <c r="A35" s="1" t="s">
        <v>128</v>
      </c>
      <c r="B35" t="s">
        <v>807</v>
      </c>
      <c r="C35">
        <f>HYPERLINK("https://finance.naver.com/item/coinfo.nhn?code=003300", "A003300")</f>
        <v>0</v>
      </c>
      <c r="D35">
        <f>HYPERLINK("http://comp.fnguide.com/SVO2/ASP/SVD_Consensus.asp?pGB=1&amp;gicode=A003300&amp;cID=&amp;MenuYn=Y&amp;ReportGB=&amp;NewMenuID=108&amp;stkGb=701", "한일홀딩스")</f>
        <v>0</v>
      </c>
      <c r="E35">
        <v>3</v>
      </c>
      <c r="F35">
        <v>14800</v>
      </c>
      <c r="G35">
        <v>0</v>
      </c>
      <c r="H35">
        <v>6.6</v>
      </c>
      <c r="I35">
        <v>52275</v>
      </c>
      <c r="J35">
        <v>48679</v>
      </c>
      <c r="K35">
        <v>47632</v>
      </c>
      <c r="L35">
        <v>-253.21</v>
      </c>
      <c r="M35">
        <v>-228.91</v>
      </c>
      <c r="N35">
        <v>-221.84</v>
      </c>
      <c r="O35">
        <v>9.300000000000001</v>
      </c>
      <c r="P35" t="b">
        <v>1</v>
      </c>
      <c r="Q35">
        <v>0</v>
      </c>
      <c r="R35">
        <v>1652</v>
      </c>
      <c r="U35" t="s">
        <v>1486</v>
      </c>
      <c r="V35" t="s">
        <v>2165</v>
      </c>
      <c r="W35">
        <v>0</v>
      </c>
      <c r="X35">
        <v>258.7</v>
      </c>
      <c r="Y35" t="s">
        <v>2838</v>
      </c>
      <c r="Z35">
        <v>1.23530873022355</v>
      </c>
      <c r="AA35">
        <v>4265</v>
      </c>
      <c r="AB35">
        <v>13534</v>
      </c>
      <c r="AC35" t="s">
        <v>3470</v>
      </c>
      <c r="AD35">
        <v>68.73999999999999</v>
      </c>
      <c r="AE35" t="s">
        <v>4149</v>
      </c>
      <c r="AF35" t="s">
        <v>4823</v>
      </c>
      <c r="AG35">
        <v>15334</v>
      </c>
      <c r="AH35">
        <v>1571</v>
      </c>
      <c r="AI35">
        <v>0</v>
      </c>
      <c r="AJ35">
        <v>4.68</v>
      </c>
    </row>
    <row r="36" spans="1:36">
      <c r="A36" s="1" t="s">
        <v>667</v>
      </c>
      <c r="B36" t="s">
        <v>1346</v>
      </c>
      <c r="C36">
        <f>HYPERLINK("https://finance.naver.com/item/coinfo.nhn?code=065710", "A065710")</f>
        <v>0</v>
      </c>
      <c r="D36">
        <f>HYPERLINK("http://comp.fnguide.com/SVO2/ASP/SVD_Consensus.asp?pGB=1&amp;gicode=A065710&amp;cID=&amp;MenuYn=Y&amp;ReportGB=&amp;NewMenuID=108&amp;stkGb=701", "서호전기")</f>
        <v>0</v>
      </c>
      <c r="E36">
        <v>1</v>
      </c>
      <c r="F36">
        <v>20900</v>
      </c>
      <c r="G36">
        <v>0</v>
      </c>
      <c r="H36">
        <v>16.48</v>
      </c>
      <c r="I36">
        <v>23478</v>
      </c>
      <c r="J36">
        <v>18025</v>
      </c>
      <c r="K36">
        <v>16436</v>
      </c>
      <c r="L36">
        <v>-12.33</v>
      </c>
      <c r="M36">
        <v>13.76</v>
      </c>
      <c r="N36">
        <v>21.36</v>
      </c>
      <c r="O36">
        <v>13.5</v>
      </c>
      <c r="P36" t="b">
        <v>1</v>
      </c>
      <c r="Q36">
        <v>0</v>
      </c>
      <c r="R36">
        <v>1317</v>
      </c>
      <c r="U36" t="s">
        <v>2025</v>
      </c>
      <c r="V36" t="s">
        <v>2704</v>
      </c>
      <c r="W36">
        <v>0</v>
      </c>
      <c r="X36">
        <v>-55.7</v>
      </c>
      <c r="Y36" t="s">
        <v>3335</v>
      </c>
      <c r="Z36">
        <v>18.45852762695062</v>
      </c>
      <c r="AA36">
        <v>1076</v>
      </c>
      <c r="AB36">
        <v>9845</v>
      </c>
      <c r="AC36" t="s">
        <v>4009</v>
      </c>
      <c r="AD36">
        <v>58.01</v>
      </c>
      <c r="AE36" t="s">
        <v>4688</v>
      </c>
      <c r="AF36" t="s">
        <v>5331</v>
      </c>
      <c r="AG36">
        <v>657</v>
      </c>
      <c r="AH36">
        <v>113</v>
      </c>
      <c r="AI36">
        <v>9078</v>
      </c>
      <c r="AJ36">
        <v>4.61</v>
      </c>
    </row>
    <row r="37" spans="1:36">
      <c r="A37" s="1" t="s">
        <v>187</v>
      </c>
      <c r="B37" t="s">
        <v>866</v>
      </c>
      <c r="C37">
        <f>HYPERLINK("https://finance.naver.com/item/coinfo.nhn?code=093920", "A093920")</f>
        <v>0</v>
      </c>
      <c r="D37">
        <f>HYPERLINK("http://comp.fnguide.com/SVO2/ASP/SVD_Consensus.asp?pGB=1&amp;gicode=A093920&amp;cID=&amp;MenuYn=Y&amp;ReportGB=&amp;NewMenuID=108&amp;stkGb=701", "서원인텍")</f>
        <v>0</v>
      </c>
      <c r="E37">
        <v>3</v>
      </c>
      <c r="F37">
        <v>7780</v>
      </c>
      <c r="G37">
        <v>0</v>
      </c>
      <c r="H37">
        <v>8.550000000000001</v>
      </c>
      <c r="I37">
        <v>9238</v>
      </c>
      <c r="J37">
        <v>9237</v>
      </c>
      <c r="K37">
        <v>9237</v>
      </c>
      <c r="L37">
        <v>-18.75</v>
      </c>
      <c r="M37">
        <v>-18.73</v>
      </c>
      <c r="N37">
        <v>-18.73</v>
      </c>
      <c r="O37">
        <v>8.220000000000001</v>
      </c>
      <c r="P37" t="b">
        <v>1</v>
      </c>
      <c r="Q37">
        <v>0</v>
      </c>
      <c r="R37">
        <v>901</v>
      </c>
      <c r="U37" t="s">
        <v>1545</v>
      </c>
      <c r="V37" t="s">
        <v>2224</v>
      </c>
      <c r="W37">
        <v>0</v>
      </c>
      <c r="X37">
        <v>34</v>
      </c>
      <c r="Y37" t="s">
        <v>2891</v>
      </c>
      <c r="Z37">
        <v>-7.431521783881411</v>
      </c>
      <c r="AA37">
        <v>1447</v>
      </c>
      <c r="AB37">
        <v>41537</v>
      </c>
      <c r="AC37" t="s">
        <v>3529</v>
      </c>
      <c r="AD37">
        <v>52.41</v>
      </c>
      <c r="AE37" t="s">
        <v>4208</v>
      </c>
      <c r="AF37" t="s">
        <v>4880</v>
      </c>
      <c r="AG37">
        <v>3156</v>
      </c>
      <c r="AH37">
        <v>185</v>
      </c>
      <c r="AJ37">
        <v>4.55</v>
      </c>
    </row>
    <row r="38" spans="1:36">
      <c r="A38" s="1" t="s">
        <v>145</v>
      </c>
      <c r="B38" t="s">
        <v>824</v>
      </c>
      <c r="C38">
        <f>HYPERLINK("https://finance.naver.com/item/coinfo.nhn?code=015760", "A015760")</f>
        <v>0</v>
      </c>
      <c r="D38">
        <f>HYPERLINK("http://comp.fnguide.com/SVO2/ASP/SVD_Consensus.asp?pGB=1&amp;gicode=A015760&amp;cID=&amp;MenuYn=Y&amp;ReportGB=&amp;NewMenuID=108&amp;stkGb=701", "한국전력")</f>
        <v>0</v>
      </c>
      <c r="E38">
        <v>3</v>
      </c>
      <c r="F38">
        <v>23900</v>
      </c>
      <c r="G38">
        <v>0</v>
      </c>
      <c r="H38">
        <v>8.83</v>
      </c>
      <c r="I38">
        <v>19107</v>
      </c>
      <c r="J38">
        <v>71873</v>
      </c>
      <c r="K38">
        <v>87243</v>
      </c>
      <c r="L38">
        <v>20.05</v>
      </c>
      <c r="M38">
        <v>-200.73</v>
      </c>
      <c r="N38">
        <v>-265.03</v>
      </c>
      <c r="O38">
        <v>1.46</v>
      </c>
      <c r="P38" t="b">
        <v>1</v>
      </c>
      <c r="Q38">
        <v>0</v>
      </c>
      <c r="R38">
        <v>3102</v>
      </c>
      <c r="S38">
        <v>311</v>
      </c>
      <c r="T38">
        <v>-90</v>
      </c>
      <c r="U38" t="s">
        <v>1503</v>
      </c>
      <c r="V38" t="s">
        <v>2182</v>
      </c>
      <c r="W38">
        <v>0</v>
      </c>
      <c r="X38">
        <v>0</v>
      </c>
      <c r="Y38" t="s">
        <v>2854</v>
      </c>
      <c r="Z38">
        <v>-68.77180760914906</v>
      </c>
      <c r="AA38">
        <v>153429</v>
      </c>
      <c r="AB38">
        <v>2631245</v>
      </c>
      <c r="AC38" t="s">
        <v>3487</v>
      </c>
      <c r="AD38">
        <v>51.14</v>
      </c>
      <c r="AE38" t="s">
        <v>4166</v>
      </c>
      <c r="AF38" t="s">
        <v>4840</v>
      </c>
      <c r="AG38">
        <v>585693</v>
      </c>
      <c r="AH38">
        <v>40863</v>
      </c>
      <c r="AJ38">
        <v>4.44</v>
      </c>
    </row>
    <row r="39" spans="1:36">
      <c r="A39" s="1" t="s">
        <v>478</v>
      </c>
      <c r="B39" t="s">
        <v>1157</v>
      </c>
      <c r="C39">
        <f>HYPERLINK("https://finance.naver.com/item/coinfo.nhn?code=036530", "A036530")</f>
        <v>0</v>
      </c>
      <c r="D39">
        <f>HYPERLINK("http://comp.fnguide.com/SVO2/ASP/SVD_Consensus.asp?pGB=1&amp;gicode=A036530&amp;cID=&amp;MenuYn=Y&amp;ReportGB=&amp;NewMenuID=108&amp;stkGb=701", "SNT홀딩스")</f>
        <v>0</v>
      </c>
      <c r="E39">
        <v>3</v>
      </c>
      <c r="F39">
        <v>20050</v>
      </c>
      <c r="G39">
        <v>0</v>
      </c>
      <c r="H39">
        <v>6.5</v>
      </c>
      <c r="I39">
        <v>42812</v>
      </c>
      <c r="J39">
        <v>52434</v>
      </c>
      <c r="K39">
        <v>55237</v>
      </c>
      <c r="L39">
        <v>-113.52</v>
      </c>
      <c r="M39">
        <v>-161.52</v>
      </c>
      <c r="N39">
        <v>-175.5</v>
      </c>
      <c r="O39">
        <v>5.96</v>
      </c>
      <c r="P39" t="b">
        <v>1</v>
      </c>
      <c r="Q39">
        <v>0</v>
      </c>
      <c r="R39">
        <v>2294</v>
      </c>
      <c r="U39" t="s">
        <v>1836</v>
      </c>
      <c r="V39" t="s">
        <v>2515</v>
      </c>
      <c r="W39">
        <v>0</v>
      </c>
      <c r="X39">
        <v>138.8</v>
      </c>
      <c r="Y39" t="s">
        <v>3158</v>
      </c>
      <c r="Z39">
        <v>100.5450441440937</v>
      </c>
      <c r="AA39">
        <v>3269</v>
      </c>
      <c r="AB39">
        <v>79884</v>
      </c>
      <c r="AC39" t="s">
        <v>3820</v>
      </c>
      <c r="AD39">
        <v>63.31</v>
      </c>
      <c r="AE39" t="s">
        <v>4499</v>
      </c>
      <c r="AF39" t="s">
        <v>5149</v>
      </c>
      <c r="AG39">
        <v>14358</v>
      </c>
      <c r="AH39">
        <v>1271</v>
      </c>
      <c r="AI39">
        <v>1844224</v>
      </c>
      <c r="AJ39">
        <v>4.36</v>
      </c>
    </row>
    <row r="40" spans="1:36">
      <c r="A40" s="1" t="s">
        <v>332</v>
      </c>
      <c r="B40" t="s">
        <v>1011</v>
      </c>
      <c r="C40">
        <f>HYPERLINK("https://finance.naver.com/item/coinfo.nhn?code=036560", "A036560")</f>
        <v>0</v>
      </c>
      <c r="D40">
        <f>HYPERLINK("http://comp.fnguide.com/SVO2/ASP/SVD_Consensus.asp?pGB=1&amp;gicode=A036560&amp;cID=&amp;MenuYn=Y&amp;ReportGB=&amp;NewMenuID=108&amp;stkGb=701", "영풍정밀")</f>
        <v>0</v>
      </c>
      <c r="E40">
        <v>3</v>
      </c>
      <c r="F40">
        <v>8930</v>
      </c>
      <c r="G40">
        <v>0</v>
      </c>
      <c r="H40">
        <v>9.56</v>
      </c>
      <c r="I40">
        <v>9698</v>
      </c>
      <c r="J40">
        <v>14550</v>
      </c>
      <c r="K40">
        <v>15963</v>
      </c>
      <c r="L40">
        <v>-8.6</v>
      </c>
      <c r="M40">
        <v>-62.93</v>
      </c>
      <c r="N40">
        <v>-78.76000000000001</v>
      </c>
      <c r="O40">
        <v>4.46</v>
      </c>
      <c r="P40" t="b">
        <v>1</v>
      </c>
      <c r="Q40">
        <v>0</v>
      </c>
      <c r="R40">
        <v>847</v>
      </c>
      <c r="U40" t="s">
        <v>1690</v>
      </c>
      <c r="V40" t="s">
        <v>2369</v>
      </c>
      <c r="W40">
        <v>0</v>
      </c>
      <c r="X40">
        <v>6</v>
      </c>
      <c r="Y40" t="s">
        <v>3017</v>
      </c>
      <c r="Z40">
        <v>7.93673649024611</v>
      </c>
      <c r="AA40">
        <v>1406</v>
      </c>
      <c r="AB40">
        <v>111477</v>
      </c>
      <c r="AC40" t="s">
        <v>3674</v>
      </c>
      <c r="AD40">
        <v>51.07</v>
      </c>
      <c r="AE40" t="s">
        <v>4353</v>
      </c>
      <c r="AF40" t="s">
        <v>5007</v>
      </c>
      <c r="AG40">
        <v>908</v>
      </c>
      <c r="AH40">
        <v>103</v>
      </c>
      <c r="AJ40">
        <v>4.33</v>
      </c>
    </row>
    <row r="41" spans="1:36">
      <c r="A41" s="1" t="s">
        <v>227</v>
      </c>
      <c r="B41" t="s">
        <v>906</v>
      </c>
      <c r="C41">
        <f>HYPERLINK("https://finance.naver.com/item/coinfo.nhn?code=023760", "A023760")</f>
        <v>0</v>
      </c>
      <c r="D41">
        <f>HYPERLINK("http://comp.fnguide.com/SVO2/ASP/SVD_Consensus.asp?pGB=1&amp;gicode=A023760&amp;cID=&amp;MenuYn=Y&amp;ReportGB=&amp;NewMenuID=108&amp;stkGb=701", "한국캐피탈")</f>
        <v>0</v>
      </c>
      <c r="E41">
        <v>3</v>
      </c>
      <c r="F41">
        <v>812</v>
      </c>
      <c r="G41">
        <v>0</v>
      </c>
      <c r="H41">
        <v>5.7</v>
      </c>
      <c r="I41">
        <v>1107</v>
      </c>
      <c r="J41">
        <v>1032</v>
      </c>
      <c r="K41">
        <v>1011</v>
      </c>
      <c r="L41">
        <v>-36.29</v>
      </c>
      <c r="M41">
        <v>-27.15</v>
      </c>
      <c r="N41">
        <v>-24.49</v>
      </c>
      <c r="O41">
        <v>9.27</v>
      </c>
      <c r="P41" t="b">
        <v>1</v>
      </c>
      <c r="Q41">
        <v>0</v>
      </c>
      <c r="R41">
        <v>102</v>
      </c>
      <c r="U41" t="s">
        <v>1585</v>
      </c>
      <c r="V41" t="s">
        <v>2264</v>
      </c>
      <c r="W41">
        <v>0</v>
      </c>
      <c r="Y41" t="s">
        <v>2823</v>
      </c>
      <c r="Z41">
        <v>-12.89710838341679</v>
      </c>
      <c r="AA41">
        <v>2563</v>
      </c>
      <c r="AB41">
        <v>3175256</v>
      </c>
      <c r="AC41" t="s">
        <v>3569</v>
      </c>
      <c r="AD41">
        <v>80.41</v>
      </c>
      <c r="AE41" t="s">
        <v>4248</v>
      </c>
      <c r="AF41" t="s">
        <v>4914</v>
      </c>
      <c r="AG41">
        <v>762</v>
      </c>
      <c r="AH41">
        <v>420</v>
      </c>
      <c r="AI41">
        <v>3193001</v>
      </c>
      <c r="AJ41">
        <v>4.32</v>
      </c>
    </row>
    <row r="42" spans="1:36">
      <c r="A42" s="1" t="s">
        <v>335</v>
      </c>
      <c r="B42" t="s">
        <v>1014</v>
      </c>
      <c r="C42">
        <f>HYPERLINK("https://finance.naver.com/item/coinfo.nhn?code=010770", "A010770")</f>
        <v>0</v>
      </c>
      <c r="D42">
        <f>HYPERLINK("http://comp.fnguide.com/SVO2/ASP/SVD_Consensus.asp?pGB=1&amp;gicode=A010770&amp;cID=&amp;MenuYn=Y&amp;ReportGB=&amp;NewMenuID=108&amp;stkGb=701", "평화홀딩스")</f>
        <v>0</v>
      </c>
      <c r="E42">
        <v>3</v>
      </c>
      <c r="F42">
        <v>4240</v>
      </c>
      <c r="G42">
        <v>0</v>
      </c>
      <c r="I42">
        <v>0</v>
      </c>
      <c r="J42">
        <v>4921</v>
      </c>
      <c r="K42">
        <v>6354</v>
      </c>
      <c r="L42">
        <v>100</v>
      </c>
      <c r="M42">
        <v>-16.05</v>
      </c>
      <c r="N42">
        <v>-49.86</v>
      </c>
      <c r="O42">
        <v>0</v>
      </c>
      <c r="P42" t="b">
        <v>0</v>
      </c>
      <c r="Q42">
        <v>0</v>
      </c>
      <c r="R42">
        <v>-212</v>
      </c>
      <c r="U42" t="s">
        <v>1693</v>
      </c>
      <c r="V42" t="s">
        <v>2372</v>
      </c>
      <c r="W42">
        <v>0</v>
      </c>
      <c r="X42">
        <v>0</v>
      </c>
      <c r="Y42" t="s">
        <v>3020</v>
      </c>
      <c r="Z42">
        <v>1028.4</v>
      </c>
      <c r="AA42">
        <v>620</v>
      </c>
      <c r="AB42">
        <v>44079</v>
      </c>
      <c r="AC42" t="s">
        <v>3677</v>
      </c>
      <c r="AD42">
        <v>52.34</v>
      </c>
      <c r="AE42" t="s">
        <v>4356</v>
      </c>
      <c r="AF42" t="s">
        <v>4741</v>
      </c>
      <c r="AG42">
        <v>5211</v>
      </c>
      <c r="AH42">
        <v>-31</v>
      </c>
      <c r="AI42">
        <v>768387</v>
      </c>
      <c r="AJ42">
        <v>4.25</v>
      </c>
    </row>
    <row r="43" spans="1:36">
      <c r="A43" s="1" t="s">
        <v>523</v>
      </c>
      <c r="B43" t="s">
        <v>1202</v>
      </c>
      <c r="C43">
        <f>HYPERLINK("https://finance.naver.com/item/coinfo.nhn?code=003470", "A003470")</f>
        <v>0</v>
      </c>
      <c r="D43">
        <f>HYPERLINK("http://comp.fnguide.com/SVO2/ASP/SVD_Consensus.asp?pGB=1&amp;gicode=A003470&amp;cID=&amp;MenuYn=Y&amp;ReportGB=&amp;NewMenuID=108&amp;stkGb=701", "유안타증권")</f>
        <v>0</v>
      </c>
      <c r="E43">
        <v>3</v>
      </c>
      <c r="F43">
        <v>4450</v>
      </c>
      <c r="G43">
        <v>0</v>
      </c>
      <c r="H43">
        <v>6.18</v>
      </c>
      <c r="I43">
        <v>6730</v>
      </c>
      <c r="J43">
        <v>7008</v>
      </c>
      <c r="K43">
        <v>7089</v>
      </c>
      <c r="L43">
        <v>-51.23</v>
      </c>
      <c r="M43">
        <v>-57.49</v>
      </c>
      <c r="N43">
        <v>-59.31</v>
      </c>
      <c r="O43">
        <v>7.68</v>
      </c>
      <c r="P43" t="b">
        <v>0</v>
      </c>
      <c r="Q43">
        <v>0</v>
      </c>
      <c r="R43">
        <v>494</v>
      </c>
      <c r="U43" t="s">
        <v>1881</v>
      </c>
      <c r="V43" t="s">
        <v>2560</v>
      </c>
      <c r="W43">
        <v>0</v>
      </c>
      <c r="X43">
        <v>7.9</v>
      </c>
      <c r="Y43" t="s">
        <v>3200</v>
      </c>
      <c r="Z43">
        <v>6.660454888783418</v>
      </c>
      <c r="AA43">
        <v>8882</v>
      </c>
      <c r="AB43">
        <v>654596</v>
      </c>
      <c r="AC43" t="s">
        <v>3865</v>
      </c>
      <c r="AD43">
        <v>57.43</v>
      </c>
      <c r="AE43" t="s">
        <v>4544</v>
      </c>
      <c r="AF43" t="s">
        <v>5193</v>
      </c>
      <c r="AG43">
        <v>4919</v>
      </c>
      <c r="AH43">
        <v>1226</v>
      </c>
      <c r="AI43">
        <v>6916471</v>
      </c>
      <c r="AJ43">
        <v>4.09</v>
      </c>
    </row>
    <row r="44" spans="1:36">
      <c r="A44" s="1" t="s">
        <v>585</v>
      </c>
      <c r="B44" t="s">
        <v>1264</v>
      </c>
      <c r="C44">
        <f>HYPERLINK("https://finance.naver.com/item/coinfo.nhn?code=015890", "A015890")</f>
        <v>0</v>
      </c>
      <c r="D44">
        <f>HYPERLINK("http://comp.fnguide.com/SVO2/ASP/SVD_Consensus.asp?pGB=1&amp;gicode=A015890&amp;cID=&amp;MenuYn=Y&amp;ReportGB=&amp;NewMenuID=108&amp;stkGb=701", "태경산업")</f>
        <v>0</v>
      </c>
      <c r="E44">
        <v>3</v>
      </c>
      <c r="F44">
        <v>7000</v>
      </c>
      <c r="G44">
        <v>0</v>
      </c>
      <c r="H44">
        <v>46.07</v>
      </c>
      <c r="I44">
        <v>4705</v>
      </c>
      <c r="J44">
        <v>6762</v>
      </c>
      <c r="K44">
        <v>7361</v>
      </c>
      <c r="L44">
        <v>32.79</v>
      </c>
      <c r="M44">
        <v>3.41</v>
      </c>
      <c r="N44">
        <v>-5.15</v>
      </c>
      <c r="O44">
        <v>4.74</v>
      </c>
      <c r="P44" t="b">
        <v>1</v>
      </c>
      <c r="Q44">
        <v>0</v>
      </c>
      <c r="R44">
        <v>128</v>
      </c>
      <c r="U44" t="s">
        <v>1943</v>
      </c>
      <c r="V44" t="s">
        <v>2622</v>
      </c>
      <c r="W44">
        <v>0</v>
      </c>
      <c r="X44">
        <v>-81.90000000000001</v>
      </c>
      <c r="Y44" t="s">
        <v>3256</v>
      </c>
      <c r="Z44">
        <v>10.90503621711822</v>
      </c>
      <c r="AA44">
        <v>2046</v>
      </c>
      <c r="AB44">
        <v>58975</v>
      </c>
      <c r="AC44" t="s">
        <v>3927</v>
      </c>
      <c r="AD44">
        <v>62.99</v>
      </c>
      <c r="AE44" t="s">
        <v>4606</v>
      </c>
      <c r="AF44" t="s">
        <v>5252</v>
      </c>
      <c r="AG44">
        <v>4306</v>
      </c>
      <c r="AH44">
        <v>159</v>
      </c>
      <c r="AI44">
        <v>713753</v>
      </c>
      <c r="AJ44">
        <v>4.07</v>
      </c>
    </row>
    <row r="45" spans="1:36">
      <c r="A45" s="1" t="s">
        <v>318</v>
      </c>
      <c r="B45" t="s">
        <v>997</v>
      </c>
      <c r="C45">
        <f>HYPERLINK("https://finance.naver.com/item/coinfo.nhn?code=010470", "A010470")</f>
        <v>0</v>
      </c>
      <c r="D45">
        <f>HYPERLINK("http://comp.fnguide.com/SVO2/ASP/SVD_Consensus.asp?pGB=1&amp;gicode=A010470&amp;cID=&amp;MenuYn=Y&amp;ReportGB=&amp;NewMenuID=108&amp;stkGb=701", "오리콤")</f>
        <v>0</v>
      </c>
      <c r="E45">
        <v>3</v>
      </c>
      <c r="F45">
        <v>6270</v>
      </c>
      <c r="G45">
        <v>0</v>
      </c>
      <c r="H45">
        <v>83</v>
      </c>
      <c r="I45">
        <v>4256</v>
      </c>
      <c r="J45">
        <v>5978</v>
      </c>
      <c r="K45">
        <v>6479</v>
      </c>
      <c r="L45">
        <v>32.12</v>
      </c>
      <c r="M45">
        <v>4.66</v>
      </c>
      <c r="N45">
        <v>-3.34</v>
      </c>
      <c r="O45">
        <v>4.89</v>
      </c>
      <c r="P45" t="b">
        <v>1</v>
      </c>
      <c r="Q45">
        <v>0</v>
      </c>
      <c r="R45">
        <v>65</v>
      </c>
      <c r="U45" t="s">
        <v>1676</v>
      </c>
      <c r="V45" t="s">
        <v>2355</v>
      </c>
      <c r="W45">
        <v>0</v>
      </c>
      <c r="X45">
        <v>-87.3</v>
      </c>
      <c r="Y45" t="s">
        <v>3006</v>
      </c>
      <c r="Z45">
        <v>-23.79303931950564</v>
      </c>
      <c r="AA45">
        <v>743</v>
      </c>
      <c r="AB45">
        <v>394417</v>
      </c>
      <c r="AC45" t="s">
        <v>3660</v>
      </c>
      <c r="AD45">
        <v>62.12</v>
      </c>
      <c r="AE45" t="s">
        <v>4339</v>
      </c>
      <c r="AF45" t="s">
        <v>4997</v>
      </c>
      <c r="AG45">
        <v>1323</v>
      </c>
      <c r="AH45">
        <v>10</v>
      </c>
      <c r="AI45">
        <v>370315</v>
      </c>
      <c r="AJ45">
        <v>4.05</v>
      </c>
    </row>
    <row r="46" spans="1:36">
      <c r="A46" s="1" t="s">
        <v>673</v>
      </c>
      <c r="B46" t="s">
        <v>1352</v>
      </c>
      <c r="C46">
        <f>HYPERLINK("https://finance.naver.com/item/coinfo.nhn?code=134380", "A134380")</f>
        <v>0</v>
      </c>
      <c r="D46">
        <f>HYPERLINK("http://comp.fnguide.com/SVO2/ASP/SVD_Consensus.asp?pGB=1&amp;gicode=A134380&amp;cID=&amp;MenuYn=Y&amp;ReportGB=&amp;NewMenuID=108&amp;stkGb=701", "미원화학")</f>
        <v>0</v>
      </c>
      <c r="E46">
        <v>1</v>
      </c>
      <c r="F46">
        <v>76100</v>
      </c>
      <c r="G46">
        <v>0</v>
      </c>
      <c r="H46">
        <v>9.880000000000001</v>
      </c>
      <c r="I46">
        <v>84360</v>
      </c>
      <c r="J46">
        <v>67169</v>
      </c>
      <c r="K46">
        <v>62161</v>
      </c>
      <c r="L46">
        <v>-10.85</v>
      </c>
      <c r="M46">
        <v>11.74</v>
      </c>
      <c r="N46">
        <v>18.32</v>
      </c>
      <c r="O46">
        <v>12.51</v>
      </c>
      <c r="P46" t="b">
        <v>1</v>
      </c>
      <c r="Q46">
        <v>0</v>
      </c>
      <c r="R46">
        <v>6264</v>
      </c>
      <c r="U46" t="s">
        <v>2031</v>
      </c>
      <c r="V46" t="s">
        <v>2710</v>
      </c>
      <c r="W46">
        <v>0</v>
      </c>
      <c r="X46">
        <v>-30</v>
      </c>
      <c r="Y46" t="s">
        <v>3341</v>
      </c>
      <c r="Z46">
        <v>-6.03871649379405</v>
      </c>
      <c r="AA46">
        <v>1674</v>
      </c>
      <c r="AB46">
        <v>423</v>
      </c>
      <c r="AC46" t="s">
        <v>4015</v>
      </c>
      <c r="AD46">
        <v>56.21</v>
      </c>
      <c r="AE46" t="s">
        <v>4694</v>
      </c>
      <c r="AF46" t="s">
        <v>5337</v>
      </c>
      <c r="AG46">
        <v>1602</v>
      </c>
      <c r="AH46">
        <v>162</v>
      </c>
      <c r="AI46">
        <v>161958</v>
      </c>
      <c r="AJ46">
        <v>4.04</v>
      </c>
    </row>
    <row r="47" spans="1:36">
      <c r="A47" s="1" t="s">
        <v>578</v>
      </c>
      <c r="B47" t="s">
        <v>1257</v>
      </c>
      <c r="C47">
        <f>HYPERLINK("https://finance.naver.com/item/coinfo.nhn?code=023000", "A023000")</f>
        <v>0</v>
      </c>
      <c r="D47">
        <f>HYPERLINK("http://comp.fnguide.com/SVO2/ASP/SVD_Consensus.asp?pGB=1&amp;gicode=A023000&amp;cID=&amp;MenuYn=Y&amp;ReportGB=&amp;NewMenuID=108&amp;stkGb=701", "삼원강재")</f>
        <v>0</v>
      </c>
      <c r="E47">
        <v>3</v>
      </c>
      <c r="F47">
        <v>3850</v>
      </c>
      <c r="G47">
        <v>0</v>
      </c>
      <c r="H47">
        <v>12.98</v>
      </c>
      <c r="I47">
        <v>2991</v>
      </c>
      <c r="J47">
        <v>4395</v>
      </c>
      <c r="K47">
        <v>4804</v>
      </c>
      <c r="L47">
        <v>22.31</v>
      </c>
      <c r="M47">
        <v>-14.16</v>
      </c>
      <c r="N47">
        <v>-24.78</v>
      </c>
      <c r="O47">
        <v>4.59</v>
      </c>
      <c r="P47" t="b">
        <v>1</v>
      </c>
      <c r="Q47">
        <v>0</v>
      </c>
      <c r="R47">
        <v>203</v>
      </c>
      <c r="U47" t="s">
        <v>1936</v>
      </c>
      <c r="V47" t="s">
        <v>2615</v>
      </c>
      <c r="W47">
        <v>0</v>
      </c>
      <c r="X47">
        <v>-22.2</v>
      </c>
      <c r="Y47" t="s">
        <v>3249</v>
      </c>
      <c r="Z47">
        <v>-12.52361359392411</v>
      </c>
      <c r="AA47">
        <v>1540</v>
      </c>
      <c r="AB47">
        <v>298708</v>
      </c>
      <c r="AC47" t="s">
        <v>3920</v>
      </c>
      <c r="AD47">
        <v>61.11</v>
      </c>
      <c r="AE47" t="s">
        <v>4599</v>
      </c>
      <c r="AF47" t="s">
        <v>5245</v>
      </c>
      <c r="AG47">
        <v>2460</v>
      </c>
      <c r="AH47">
        <v>100</v>
      </c>
      <c r="AI47">
        <v>260044</v>
      </c>
      <c r="AJ47">
        <v>3.98</v>
      </c>
    </row>
    <row r="48" spans="1:36">
      <c r="A48" s="1" t="s">
        <v>495</v>
      </c>
      <c r="B48" t="s">
        <v>1174</v>
      </c>
      <c r="C48">
        <f>HYPERLINK("https://finance.naver.com/item/coinfo.nhn?code=071840", "A071840")</f>
        <v>0</v>
      </c>
      <c r="D48">
        <f>HYPERLINK("http://comp.fnguide.com/SVO2/ASP/SVD_Consensus.asp?pGB=1&amp;gicode=A071840&amp;cID=&amp;MenuYn=Y&amp;ReportGB=&amp;NewMenuID=108&amp;stkGb=701", "롯데하이마트")</f>
        <v>0</v>
      </c>
      <c r="E48">
        <v>3</v>
      </c>
      <c r="F48">
        <v>40050</v>
      </c>
      <c r="G48">
        <v>0</v>
      </c>
      <c r="H48">
        <v>25.6</v>
      </c>
      <c r="I48">
        <v>14336</v>
      </c>
      <c r="J48">
        <v>54373</v>
      </c>
      <c r="K48">
        <v>66035</v>
      </c>
      <c r="L48">
        <v>64.2</v>
      </c>
      <c r="M48">
        <v>-35.76</v>
      </c>
      <c r="N48">
        <v>-64.88</v>
      </c>
      <c r="O48">
        <v>1.44</v>
      </c>
      <c r="P48" t="b">
        <v>1</v>
      </c>
      <c r="Q48">
        <v>0</v>
      </c>
      <c r="R48">
        <v>1217</v>
      </c>
      <c r="U48" t="s">
        <v>1853</v>
      </c>
      <c r="V48" t="s">
        <v>2532</v>
      </c>
      <c r="W48">
        <v>0</v>
      </c>
      <c r="X48">
        <v>0</v>
      </c>
      <c r="Y48" t="s">
        <v>3175</v>
      </c>
      <c r="Z48">
        <v>-7.1021197236382</v>
      </c>
      <c r="AA48">
        <v>9455</v>
      </c>
      <c r="AB48">
        <v>64385</v>
      </c>
      <c r="AC48" t="s">
        <v>3837</v>
      </c>
      <c r="AD48">
        <v>65.39</v>
      </c>
      <c r="AE48" t="s">
        <v>4516</v>
      </c>
      <c r="AF48" t="s">
        <v>5166</v>
      </c>
      <c r="AG48">
        <v>40517</v>
      </c>
      <c r="AH48">
        <v>1611</v>
      </c>
      <c r="AI48">
        <v>45904</v>
      </c>
      <c r="AJ48">
        <v>3.85</v>
      </c>
    </row>
    <row r="49" spans="1:36">
      <c r="A49" s="1" t="s">
        <v>487</v>
      </c>
      <c r="B49" t="s">
        <v>1166</v>
      </c>
      <c r="C49">
        <f>HYPERLINK("https://finance.naver.com/item/coinfo.nhn?code=018670", "A018670")</f>
        <v>0</v>
      </c>
      <c r="D49">
        <f>HYPERLINK("http://comp.fnguide.com/SVO2/ASP/SVD_Consensus.asp?pGB=1&amp;gicode=A018670&amp;cID=&amp;MenuYn=Y&amp;ReportGB=&amp;NewMenuID=108&amp;stkGb=701", "SK가스")</f>
        <v>0</v>
      </c>
      <c r="E49">
        <v>3</v>
      </c>
      <c r="F49">
        <v>105000</v>
      </c>
      <c r="G49">
        <v>0.1</v>
      </c>
      <c r="H49">
        <v>3.64</v>
      </c>
      <c r="I49">
        <v>294474</v>
      </c>
      <c r="J49">
        <v>245814</v>
      </c>
      <c r="K49">
        <v>231640</v>
      </c>
      <c r="L49">
        <v>-180.45</v>
      </c>
      <c r="M49">
        <v>-134.11</v>
      </c>
      <c r="N49">
        <v>-120.61</v>
      </c>
      <c r="O49">
        <v>11.39</v>
      </c>
      <c r="P49" t="b">
        <v>1</v>
      </c>
      <c r="Q49">
        <v>0</v>
      </c>
      <c r="R49">
        <v>28748</v>
      </c>
      <c r="S49">
        <v>16013</v>
      </c>
      <c r="T49">
        <v>-44.3</v>
      </c>
      <c r="U49" t="s">
        <v>1845</v>
      </c>
      <c r="V49" t="s">
        <v>2524</v>
      </c>
      <c r="W49">
        <v>35.23735491538962</v>
      </c>
      <c r="X49">
        <v>67</v>
      </c>
      <c r="Y49" t="s">
        <v>3167</v>
      </c>
      <c r="Z49">
        <v>30.80623242028771</v>
      </c>
      <c r="AA49">
        <v>9692</v>
      </c>
      <c r="AB49">
        <v>9219</v>
      </c>
      <c r="AC49" t="s">
        <v>3829</v>
      </c>
      <c r="AD49">
        <v>72.34999999999999</v>
      </c>
      <c r="AE49" t="s">
        <v>4508</v>
      </c>
      <c r="AF49" t="s">
        <v>5158</v>
      </c>
      <c r="AG49">
        <v>44123</v>
      </c>
      <c r="AH49">
        <v>1902</v>
      </c>
      <c r="AI49">
        <v>297248</v>
      </c>
      <c r="AJ49">
        <v>3.83</v>
      </c>
    </row>
    <row r="50" spans="1:36">
      <c r="A50" s="1" t="s">
        <v>189</v>
      </c>
      <c r="B50" t="s">
        <v>868</v>
      </c>
      <c r="C50">
        <f>HYPERLINK("https://finance.naver.com/item/coinfo.nhn?code=221980", "A221980")</f>
        <v>0</v>
      </c>
      <c r="D50">
        <f>HYPERLINK("http://comp.fnguide.com/SVO2/ASP/SVD_Consensus.asp?pGB=1&amp;gicode=A221980&amp;cID=&amp;MenuYn=Y&amp;ReportGB=&amp;NewMenuID=108&amp;stkGb=701", "케이디켐")</f>
        <v>0</v>
      </c>
      <c r="E50">
        <v>3</v>
      </c>
      <c r="F50">
        <v>17250</v>
      </c>
      <c r="G50">
        <v>0</v>
      </c>
      <c r="H50">
        <v>7.6</v>
      </c>
      <c r="I50">
        <v>24550</v>
      </c>
      <c r="J50">
        <v>22760</v>
      </c>
      <c r="K50">
        <v>22239</v>
      </c>
      <c r="L50">
        <v>-42.32</v>
      </c>
      <c r="M50">
        <v>-31.94</v>
      </c>
      <c r="N50">
        <v>-28.92</v>
      </c>
      <c r="O50">
        <v>9.369999999999999</v>
      </c>
      <c r="P50" t="b">
        <v>1</v>
      </c>
      <c r="Q50">
        <v>0</v>
      </c>
      <c r="R50">
        <v>1743</v>
      </c>
      <c r="U50" t="s">
        <v>1547</v>
      </c>
      <c r="V50" t="s">
        <v>2226</v>
      </c>
      <c r="W50">
        <v>0</v>
      </c>
      <c r="X50">
        <v>-6.1</v>
      </c>
      <c r="Y50" t="s">
        <v>2893</v>
      </c>
      <c r="Z50">
        <v>-10.7250651491767</v>
      </c>
      <c r="AA50">
        <v>696</v>
      </c>
      <c r="AB50">
        <v>20524</v>
      </c>
      <c r="AC50" t="s">
        <v>3531</v>
      </c>
      <c r="AD50">
        <v>71.06999999999999</v>
      </c>
      <c r="AE50" t="s">
        <v>4210</v>
      </c>
      <c r="AF50" t="s">
        <v>4882</v>
      </c>
      <c r="AG50">
        <v>475</v>
      </c>
      <c r="AH50">
        <v>62</v>
      </c>
      <c r="AI50">
        <v>213443</v>
      </c>
      <c r="AJ50">
        <v>3.77</v>
      </c>
    </row>
    <row r="51" spans="1:36">
      <c r="A51" s="1" t="s">
        <v>93</v>
      </c>
      <c r="B51" t="s">
        <v>772</v>
      </c>
      <c r="C51">
        <f>HYPERLINK("https://finance.naver.com/item/coinfo.nhn?code=013120", "A013120")</f>
        <v>0</v>
      </c>
      <c r="D51">
        <f>HYPERLINK("http://comp.fnguide.com/SVO2/ASP/SVD_Consensus.asp?pGB=1&amp;gicode=A013120&amp;cID=&amp;MenuYn=Y&amp;ReportGB=&amp;NewMenuID=108&amp;stkGb=701", "동원개발")</f>
        <v>0</v>
      </c>
      <c r="E51">
        <v>3</v>
      </c>
      <c r="F51">
        <v>6370</v>
      </c>
      <c r="G51">
        <v>0</v>
      </c>
      <c r="H51">
        <v>3.18</v>
      </c>
      <c r="I51">
        <v>18828</v>
      </c>
      <c r="J51">
        <v>13537</v>
      </c>
      <c r="K51">
        <v>11996</v>
      </c>
      <c r="L51">
        <v>-195.57</v>
      </c>
      <c r="M51">
        <v>-112.51</v>
      </c>
      <c r="N51">
        <v>-88.31</v>
      </c>
      <c r="O51">
        <v>15.6</v>
      </c>
      <c r="P51" t="b">
        <v>1</v>
      </c>
      <c r="Q51">
        <v>0</v>
      </c>
      <c r="R51">
        <v>1590</v>
      </c>
      <c r="U51" t="s">
        <v>1451</v>
      </c>
      <c r="V51" t="s">
        <v>2130</v>
      </c>
      <c r="W51">
        <v>0</v>
      </c>
      <c r="X51">
        <v>70.5</v>
      </c>
      <c r="Y51" t="s">
        <v>2806</v>
      </c>
      <c r="Z51">
        <v>9.901180924559117</v>
      </c>
      <c r="AA51">
        <v>5784</v>
      </c>
      <c r="AB51">
        <v>135905</v>
      </c>
      <c r="AC51" t="s">
        <v>3435</v>
      </c>
      <c r="AD51">
        <v>60.94</v>
      </c>
      <c r="AE51" t="s">
        <v>4114</v>
      </c>
      <c r="AF51" t="s">
        <v>4791</v>
      </c>
      <c r="AG51">
        <v>6306</v>
      </c>
      <c r="AH51">
        <v>1876</v>
      </c>
      <c r="AJ51">
        <v>3.66</v>
      </c>
    </row>
    <row r="52" spans="1:36">
      <c r="A52" s="1" t="s">
        <v>164</v>
      </c>
      <c r="B52" t="s">
        <v>843</v>
      </c>
      <c r="C52">
        <f>HYPERLINK("https://finance.naver.com/item/coinfo.nhn?code=079980", "A079980")</f>
        <v>0</v>
      </c>
      <c r="D52">
        <f>HYPERLINK("http://comp.fnguide.com/SVO2/ASP/SVD_Consensus.asp?pGB=1&amp;gicode=A079980&amp;cID=&amp;MenuYn=Y&amp;ReportGB=&amp;NewMenuID=108&amp;stkGb=701", "휴비스")</f>
        <v>0</v>
      </c>
      <c r="E52">
        <v>3</v>
      </c>
      <c r="F52">
        <v>11050</v>
      </c>
      <c r="G52">
        <v>0</v>
      </c>
      <c r="H52">
        <v>3.46</v>
      </c>
      <c r="I52">
        <v>17886</v>
      </c>
      <c r="J52">
        <v>15766</v>
      </c>
      <c r="K52">
        <v>15149</v>
      </c>
      <c r="L52">
        <v>-61.86</v>
      </c>
      <c r="M52">
        <v>-42.68</v>
      </c>
      <c r="N52">
        <v>-37.1</v>
      </c>
      <c r="O52">
        <v>10.27</v>
      </c>
      <c r="P52" t="b">
        <v>1</v>
      </c>
      <c r="Q52">
        <v>0</v>
      </c>
      <c r="R52">
        <v>2382</v>
      </c>
      <c r="U52" t="s">
        <v>1522</v>
      </c>
      <c r="V52" t="s">
        <v>2201</v>
      </c>
      <c r="W52">
        <v>0</v>
      </c>
      <c r="X52">
        <v>0</v>
      </c>
      <c r="Y52" t="s">
        <v>2870</v>
      </c>
      <c r="Z52">
        <v>-4.067104186694537</v>
      </c>
      <c r="AA52">
        <v>3812</v>
      </c>
      <c r="AB52">
        <v>428784</v>
      </c>
      <c r="AC52" t="s">
        <v>3506</v>
      </c>
      <c r="AD52">
        <v>51</v>
      </c>
      <c r="AE52" t="s">
        <v>4185</v>
      </c>
      <c r="AF52" t="s">
        <v>4857</v>
      </c>
      <c r="AG52">
        <v>9203</v>
      </c>
      <c r="AH52">
        <v>399</v>
      </c>
      <c r="AI52">
        <v>1589680</v>
      </c>
      <c r="AJ52">
        <v>3.64</v>
      </c>
    </row>
    <row r="53" spans="1:36">
      <c r="A53" s="1" t="s">
        <v>89</v>
      </c>
      <c r="B53" t="s">
        <v>768</v>
      </c>
      <c r="C53">
        <f>HYPERLINK("https://finance.naver.com/item/coinfo.nhn?code=017480", "A017480")</f>
        <v>0</v>
      </c>
      <c r="D53">
        <f>HYPERLINK("http://comp.fnguide.com/SVO2/ASP/SVD_Consensus.asp?pGB=1&amp;gicode=A017480&amp;cID=&amp;MenuYn=Y&amp;ReportGB=&amp;NewMenuID=108&amp;stkGb=701", "삼현철강")</f>
        <v>0</v>
      </c>
      <c r="E53">
        <v>3</v>
      </c>
      <c r="F53">
        <v>7750</v>
      </c>
      <c r="G53">
        <v>0</v>
      </c>
      <c r="H53">
        <v>8.44</v>
      </c>
      <c r="I53">
        <v>5928</v>
      </c>
      <c r="J53">
        <v>8345</v>
      </c>
      <c r="K53">
        <v>9050</v>
      </c>
      <c r="L53">
        <v>23.52</v>
      </c>
      <c r="M53">
        <v>-7.68</v>
      </c>
      <c r="N53">
        <v>-16.77</v>
      </c>
      <c r="O53">
        <v>4.87</v>
      </c>
      <c r="P53" t="b">
        <v>1</v>
      </c>
      <c r="Q53">
        <v>0</v>
      </c>
      <c r="R53">
        <v>492</v>
      </c>
      <c r="U53" t="s">
        <v>1447</v>
      </c>
      <c r="V53" t="s">
        <v>2126</v>
      </c>
      <c r="W53">
        <v>0</v>
      </c>
      <c r="X53">
        <v>18</v>
      </c>
      <c r="Y53" t="s">
        <v>2802</v>
      </c>
      <c r="Z53">
        <v>-5.472768048513266</v>
      </c>
      <c r="AA53">
        <v>1217</v>
      </c>
      <c r="AB53">
        <v>486199</v>
      </c>
      <c r="AC53" t="s">
        <v>3431</v>
      </c>
      <c r="AD53">
        <v>58.27</v>
      </c>
      <c r="AE53" t="s">
        <v>4110</v>
      </c>
      <c r="AF53" t="s">
        <v>4787</v>
      </c>
      <c r="AG53">
        <v>2249</v>
      </c>
      <c r="AH53">
        <v>86</v>
      </c>
      <c r="AI53">
        <v>260000</v>
      </c>
      <c r="AJ53">
        <v>3.61</v>
      </c>
    </row>
    <row r="54" spans="1:36">
      <c r="A54" s="1" t="s">
        <v>379</v>
      </c>
      <c r="B54" t="s">
        <v>1058</v>
      </c>
      <c r="C54">
        <f>HYPERLINK("https://finance.naver.com/item/coinfo.nhn?code=009580", "A009580")</f>
        <v>0</v>
      </c>
      <c r="D54">
        <f>HYPERLINK("http://comp.fnguide.com/SVO2/ASP/SVD_Consensus.asp?pGB=1&amp;gicode=A009580&amp;cID=&amp;MenuYn=Y&amp;ReportGB=&amp;NewMenuID=108&amp;stkGb=701", "무림P&amp;P")</f>
        <v>0</v>
      </c>
      <c r="E54">
        <v>3</v>
      </c>
      <c r="F54">
        <v>5770</v>
      </c>
      <c r="I54">
        <v>2917</v>
      </c>
      <c r="J54">
        <v>6840</v>
      </c>
      <c r="K54">
        <v>7983</v>
      </c>
      <c r="L54">
        <v>49.44</v>
      </c>
      <c r="M54">
        <v>-18.54</v>
      </c>
      <c r="N54">
        <v>-38.35</v>
      </c>
      <c r="O54">
        <v>2.52</v>
      </c>
      <c r="P54" t="b">
        <v>0</v>
      </c>
      <c r="Q54">
        <v>1</v>
      </c>
      <c r="R54">
        <v>-139</v>
      </c>
      <c r="S54">
        <v>465</v>
      </c>
      <c r="T54">
        <v>-434.5</v>
      </c>
      <c r="U54" t="s">
        <v>1737</v>
      </c>
      <c r="V54" t="s">
        <v>2416</v>
      </c>
      <c r="W54">
        <v>-25.34071884717396</v>
      </c>
      <c r="X54">
        <v>0</v>
      </c>
      <c r="Y54" t="s">
        <v>3061</v>
      </c>
      <c r="Z54">
        <v>-47.33264768378801</v>
      </c>
      <c r="AA54">
        <v>3599</v>
      </c>
      <c r="AB54">
        <v>713755</v>
      </c>
      <c r="AC54" t="s">
        <v>3721</v>
      </c>
      <c r="AD54">
        <v>66.97</v>
      </c>
      <c r="AE54" t="s">
        <v>4400</v>
      </c>
      <c r="AF54" t="s">
        <v>5052</v>
      </c>
      <c r="AG54">
        <v>5279</v>
      </c>
      <c r="AH54">
        <v>63</v>
      </c>
      <c r="AI54">
        <v>4546</v>
      </c>
      <c r="AJ54">
        <v>3.45</v>
      </c>
    </row>
    <row r="55" spans="1:36">
      <c r="A55" s="1" t="s">
        <v>519</v>
      </c>
      <c r="B55" t="s">
        <v>1198</v>
      </c>
      <c r="C55">
        <f>HYPERLINK("https://finance.naver.com/item/coinfo.nhn?code=002600", "A002600")</f>
        <v>0</v>
      </c>
      <c r="D55">
        <f>HYPERLINK("http://comp.fnguide.com/SVO2/ASP/SVD_Consensus.asp?pGB=1&amp;gicode=A002600&amp;cID=&amp;MenuYn=Y&amp;ReportGB=&amp;NewMenuID=108&amp;stkGb=701", "조흥")</f>
        <v>0</v>
      </c>
      <c r="E55">
        <v>3</v>
      </c>
      <c r="F55">
        <v>190000</v>
      </c>
      <c r="G55">
        <v>0</v>
      </c>
      <c r="H55">
        <v>13.97</v>
      </c>
      <c r="I55">
        <v>162044</v>
      </c>
      <c r="J55">
        <v>197656</v>
      </c>
      <c r="K55">
        <v>208029</v>
      </c>
      <c r="L55">
        <v>14.71</v>
      </c>
      <c r="M55">
        <v>-4.03</v>
      </c>
      <c r="N55">
        <v>-9.49</v>
      </c>
      <c r="O55">
        <v>6</v>
      </c>
      <c r="P55" t="b">
        <v>0</v>
      </c>
      <c r="Q55">
        <v>0</v>
      </c>
      <c r="R55">
        <v>12528</v>
      </c>
      <c r="U55" t="s">
        <v>1877</v>
      </c>
      <c r="V55" t="s">
        <v>2556</v>
      </c>
      <c r="W55">
        <v>0</v>
      </c>
      <c r="X55">
        <v>-4.2</v>
      </c>
      <c r="Y55" t="s">
        <v>3196</v>
      </c>
      <c r="Z55">
        <v>2.491465466001319</v>
      </c>
      <c r="AA55">
        <v>1140</v>
      </c>
      <c r="AB55">
        <v>556</v>
      </c>
      <c r="AC55" t="s">
        <v>3861</v>
      </c>
      <c r="AD55">
        <v>67.23</v>
      </c>
      <c r="AE55" t="s">
        <v>4540</v>
      </c>
      <c r="AF55" t="s">
        <v>5189</v>
      </c>
      <c r="AG55">
        <v>2226</v>
      </c>
      <c r="AH55">
        <v>118</v>
      </c>
      <c r="AJ55">
        <v>3.43</v>
      </c>
    </row>
    <row r="56" spans="1:36">
      <c r="A56" s="1" t="s">
        <v>143</v>
      </c>
      <c r="B56" t="s">
        <v>822</v>
      </c>
      <c r="C56">
        <f>HYPERLINK("https://finance.naver.com/item/coinfo.nhn?code=000240", "A000240")</f>
        <v>0</v>
      </c>
      <c r="D56">
        <f>HYPERLINK("http://comp.fnguide.com/SVO2/ASP/SVD_Consensus.asp?pGB=1&amp;gicode=A000240&amp;cID=&amp;MenuYn=Y&amp;ReportGB=&amp;NewMenuID=108&amp;stkGb=701", "한국앤컴퍼니")</f>
        <v>0</v>
      </c>
      <c r="E56">
        <v>3</v>
      </c>
      <c r="F56">
        <v>18800</v>
      </c>
      <c r="G56">
        <v>-2.71</v>
      </c>
      <c r="H56">
        <v>8.039999999999999</v>
      </c>
      <c r="I56">
        <v>22737</v>
      </c>
      <c r="J56">
        <v>30437</v>
      </c>
      <c r="K56">
        <v>32681</v>
      </c>
      <c r="L56">
        <v>-20.94</v>
      </c>
      <c r="M56">
        <v>-61.9</v>
      </c>
      <c r="N56">
        <v>-73.83</v>
      </c>
      <c r="O56">
        <v>5.24</v>
      </c>
      <c r="P56" t="b">
        <v>0</v>
      </c>
      <c r="Q56">
        <v>2</v>
      </c>
      <c r="R56">
        <v>1822</v>
      </c>
      <c r="S56">
        <v>2033</v>
      </c>
      <c r="T56">
        <v>11.6</v>
      </c>
      <c r="U56" t="s">
        <v>1501</v>
      </c>
      <c r="V56" t="s">
        <v>2180</v>
      </c>
      <c r="W56">
        <v>-2.963930231556045</v>
      </c>
      <c r="X56">
        <v>12</v>
      </c>
      <c r="Y56" t="s">
        <v>2853</v>
      </c>
      <c r="Z56">
        <v>-0.3882915195786651</v>
      </c>
      <c r="AA56">
        <v>17848</v>
      </c>
      <c r="AB56">
        <v>235950</v>
      </c>
      <c r="AC56" t="s">
        <v>3485</v>
      </c>
      <c r="AD56">
        <v>72.43000000000001</v>
      </c>
      <c r="AE56" t="s">
        <v>4164</v>
      </c>
      <c r="AF56" t="s">
        <v>4838</v>
      </c>
      <c r="AG56">
        <v>8209</v>
      </c>
      <c r="AH56">
        <v>1565</v>
      </c>
      <c r="AI56">
        <v>1190</v>
      </c>
      <c r="AJ56">
        <v>3.41</v>
      </c>
    </row>
    <row r="57" spans="1:36">
      <c r="A57" s="1" t="s">
        <v>310</v>
      </c>
      <c r="B57" t="s">
        <v>989</v>
      </c>
      <c r="C57">
        <f>HYPERLINK("https://finance.naver.com/item/coinfo.nhn?code=054930", "A054930")</f>
        <v>0</v>
      </c>
      <c r="D57">
        <f>HYPERLINK("http://comp.fnguide.com/SVO2/ASP/SVD_Consensus.asp?pGB=1&amp;gicode=A054930&amp;cID=&amp;MenuYn=Y&amp;ReportGB=&amp;NewMenuID=108&amp;stkGb=701", "유신")</f>
        <v>0</v>
      </c>
      <c r="E57">
        <v>3</v>
      </c>
      <c r="F57">
        <v>20350</v>
      </c>
      <c r="G57">
        <v>0</v>
      </c>
      <c r="H57">
        <v>14.67</v>
      </c>
      <c r="I57">
        <v>6195</v>
      </c>
      <c r="J57">
        <v>18909</v>
      </c>
      <c r="K57">
        <v>22612</v>
      </c>
      <c r="L57">
        <v>69.56</v>
      </c>
      <c r="M57">
        <v>7.08</v>
      </c>
      <c r="N57">
        <v>-11.12</v>
      </c>
      <c r="O57">
        <v>1.84</v>
      </c>
      <c r="P57" t="b">
        <v>1</v>
      </c>
      <c r="Q57">
        <v>0</v>
      </c>
      <c r="R57">
        <v>1009</v>
      </c>
      <c r="U57" t="s">
        <v>1668</v>
      </c>
      <c r="V57" t="s">
        <v>2347</v>
      </c>
      <c r="W57">
        <v>0</v>
      </c>
      <c r="X57">
        <v>0</v>
      </c>
      <c r="Y57" t="s">
        <v>2998</v>
      </c>
      <c r="Z57">
        <v>22.49448967198484</v>
      </c>
      <c r="AA57">
        <v>611</v>
      </c>
      <c r="AB57">
        <v>17290</v>
      </c>
      <c r="AC57" t="s">
        <v>3652</v>
      </c>
      <c r="AD57">
        <v>50.51</v>
      </c>
      <c r="AE57" t="s">
        <v>4331</v>
      </c>
      <c r="AF57" t="s">
        <v>4989</v>
      </c>
      <c r="AG57">
        <v>2123</v>
      </c>
      <c r="AH57">
        <v>26</v>
      </c>
      <c r="AJ57">
        <v>3.38</v>
      </c>
    </row>
    <row r="58" spans="1:36">
      <c r="A58" s="1" t="s">
        <v>563</v>
      </c>
      <c r="B58" t="s">
        <v>1242</v>
      </c>
      <c r="C58">
        <f>HYPERLINK("https://finance.naver.com/item/coinfo.nhn?code=003030", "A003030")</f>
        <v>0</v>
      </c>
      <c r="D58">
        <f>HYPERLINK("http://comp.fnguide.com/SVO2/ASP/SVD_Consensus.asp?pGB=1&amp;gicode=A003030&amp;cID=&amp;MenuYn=Y&amp;ReportGB=&amp;NewMenuID=108&amp;stkGb=701", "세아제강지주")</f>
        <v>0</v>
      </c>
      <c r="E58">
        <v>3</v>
      </c>
      <c r="F58">
        <v>74000</v>
      </c>
      <c r="G58">
        <v>0</v>
      </c>
      <c r="H58">
        <v>10.8</v>
      </c>
      <c r="I58">
        <v>168122</v>
      </c>
      <c r="J58">
        <v>211725</v>
      </c>
      <c r="K58">
        <v>224425</v>
      </c>
      <c r="L58">
        <v>-127.19</v>
      </c>
      <c r="M58">
        <v>-186.11</v>
      </c>
      <c r="N58">
        <v>-203.28</v>
      </c>
      <c r="O58">
        <v>5.72</v>
      </c>
      <c r="P58" t="b">
        <v>0</v>
      </c>
      <c r="Q58">
        <v>0</v>
      </c>
      <c r="R58">
        <v>4124</v>
      </c>
      <c r="U58" t="s">
        <v>1921</v>
      </c>
      <c r="V58" t="s">
        <v>2600</v>
      </c>
      <c r="W58">
        <v>0</v>
      </c>
      <c r="X58">
        <v>0</v>
      </c>
      <c r="Y58" t="s">
        <v>3234</v>
      </c>
      <c r="Z58">
        <v>101.4650773688678</v>
      </c>
      <c r="AA58">
        <v>3065</v>
      </c>
      <c r="AB58">
        <v>23978</v>
      </c>
      <c r="AC58" t="s">
        <v>3905</v>
      </c>
      <c r="AD58">
        <v>64.76000000000001</v>
      </c>
      <c r="AE58" t="s">
        <v>4584</v>
      </c>
      <c r="AF58" t="s">
        <v>5230</v>
      </c>
      <c r="AG58">
        <v>23064</v>
      </c>
      <c r="AH58">
        <v>671</v>
      </c>
      <c r="AI58">
        <v>101196</v>
      </c>
      <c r="AJ58">
        <v>3.37</v>
      </c>
    </row>
    <row r="59" spans="1:36">
      <c r="A59" s="1" t="s">
        <v>74</v>
      </c>
      <c r="B59" t="s">
        <v>753</v>
      </c>
      <c r="C59">
        <f>HYPERLINK("https://finance.naver.com/item/coinfo.nhn?code=016800", "A016800")</f>
        <v>0</v>
      </c>
      <c r="D59">
        <f>HYPERLINK("http://comp.fnguide.com/SVO2/ASP/SVD_Consensus.asp?pGB=1&amp;gicode=A016800&amp;cID=&amp;MenuYn=Y&amp;ReportGB=&amp;NewMenuID=108&amp;stkGb=701", "퍼시스")</f>
        <v>0</v>
      </c>
      <c r="E59">
        <v>3</v>
      </c>
      <c r="F59">
        <v>45750</v>
      </c>
      <c r="G59">
        <v>0</v>
      </c>
      <c r="H59">
        <v>10.01</v>
      </c>
      <c r="I59">
        <v>50552</v>
      </c>
      <c r="J59">
        <v>50377</v>
      </c>
      <c r="K59">
        <v>50326</v>
      </c>
      <c r="L59">
        <v>-10.5</v>
      </c>
      <c r="M59">
        <v>-10.11</v>
      </c>
      <c r="N59">
        <v>-10</v>
      </c>
      <c r="O59">
        <v>8.27</v>
      </c>
      <c r="P59" t="b">
        <v>1</v>
      </c>
      <c r="Q59">
        <v>0</v>
      </c>
      <c r="R59">
        <v>2961</v>
      </c>
      <c r="U59" t="s">
        <v>1432</v>
      </c>
      <c r="V59" t="s">
        <v>2111</v>
      </c>
      <c r="W59">
        <v>0</v>
      </c>
      <c r="X59">
        <v>0.3</v>
      </c>
      <c r="Y59" t="s">
        <v>2788</v>
      </c>
      <c r="Z59">
        <v>2.550477398295703</v>
      </c>
      <c r="AA59">
        <v>5261</v>
      </c>
      <c r="AB59">
        <v>25721</v>
      </c>
      <c r="AC59" t="s">
        <v>3416</v>
      </c>
      <c r="AD59">
        <v>54.71</v>
      </c>
      <c r="AE59" t="s">
        <v>4095</v>
      </c>
      <c r="AF59" t="s">
        <v>4772</v>
      </c>
      <c r="AG59">
        <v>2869</v>
      </c>
      <c r="AH59">
        <v>257</v>
      </c>
      <c r="AI59">
        <v>2329101</v>
      </c>
      <c r="AJ59">
        <v>3.37</v>
      </c>
    </row>
    <row r="60" spans="1:36">
      <c r="A60" s="1" t="s">
        <v>573</v>
      </c>
      <c r="B60" t="s">
        <v>1252</v>
      </c>
      <c r="C60">
        <f>HYPERLINK("https://finance.naver.com/item/coinfo.nhn?code=009770", "A009770")</f>
        <v>0</v>
      </c>
      <c r="D60">
        <f>HYPERLINK("http://comp.fnguide.com/SVO2/ASP/SVD_Consensus.asp?pGB=1&amp;gicode=A009770&amp;cID=&amp;MenuYn=Y&amp;ReportGB=&amp;NewMenuID=108&amp;stkGb=701", "삼정펄프")</f>
        <v>0</v>
      </c>
      <c r="E60">
        <v>3</v>
      </c>
      <c r="F60">
        <v>36600</v>
      </c>
      <c r="G60">
        <v>0</v>
      </c>
      <c r="H60">
        <v>2.78</v>
      </c>
      <c r="I60">
        <v>78480</v>
      </c>
      <c r="J60">
        <v>81997</v>
      </c>
      <c r="K60">
        <v>83021</v>
      </c>
      <c r="L60">
        <v>-114.43</v>
      </c>
      <c r="M60">
        <v>-124.03</v>
      </c>
      <c r="N60">
        <v>-126.83</v>
      </c>
      <c r="O60">
        <v>7.64</v>
      </c>
      <c r="P60" t="b">
        <v>1</v>
      </c>
      <c r="Q60">
        <v>0</v>
      </c>
      <c r="R60">
        <v>10743</v>
      </c>
      <c r="U60" t="s">
        <v>1931</v>
      </c>
      <c r="V60" t="s">
        <v>2610</v>
      </c>
      <c r="W60">
        <v>0</v>
      </c>
      <c r="X60">
        <v>475</v>
      </c>
      <c r="Y60" t="s">
        <v>3244</v>
      </c>
      <c r="Z60">
        <v>96.32354066999793</v>
      </c>
      <c r="AA60">
        <v>915</v>
      </c>
      <c r="AB60">
        <v>4106</v>
      </c>
      <c r="AC60" t="s">
        <v>3915</v>
      </c>
      <c r="AD60">
        <v>74.13</v>
      </c>
      <c r="AE60" t="s">
        <v>4594</v>
      </c>
      <c r="AF60" t="s">
        <v>5240</v>
      </c>
      <c r="AG60">
        <v>1463</v>
      </c>
      <c r="AH60">
        <v>136</v>
      </c>
      <c r="AJ60">
        <v>3.34</v>
      </c>
    </row>
    <row r="61" spans="1:36">
      <c r="A61" s="1" t="s">
        <v>577</v>
      </c>
      <c r="B61" t="s">
        <v>1256</v>
      </c>
      <c r="C61">
        <f>HYPERLINK("https://finance.naver.com/item/coinfo.nhn?code=192400", "A192400")</f>
        <v>0</v>
      </c>
      <c r="D61">
        <f>HYPERLINK("http://comp.fnguide.com/SVO2/ASP/SVD_Consensus.asp?pGB=1&amp;gicode=A192400&amp;cID=&amp;MenuYn=Y&amp;ReportGB=&amp;NewMenuID=108&amp;stkGb=701", "쿠쿠홀딩스")</f>
        <v>0</v>
      </c>
      <c r="E61">
        <v>3</v>
      </c>
      <c r="F61">
        <v>134500</v>
      </c>
      <c r="G61">
        <v>0</v>
      </c>
      <c r="H61">
        <v>6.66</v>
      </c>
      <c r="I61">
        <v>215668</v>
      </c>
      <c r="J61">
        <v>160280</v>
      </c>
      <c r="K61">
        <v>144146</v>
      </c>
      <c r="L61">
        <v>-60.35</v>
      </c>
      <c r="M61">
        <v>-19.17</v>
      </c>
      <c r="N61">
        <v>-7.17</v>
      </c>
      <c r="O61">
        <v>14.48</v>
      </c>
      <c r="P61" t="b">
        <v>1</v>
      </c>
      <c r="Q61">
        <v>0</v>
      </c>
      <c r="R61">
        <v>15003</v>
      </c>
      <c r="U61" t="s">
        <v>1935</v>
      </c>
      <c r="V61" t="s">
        <v>2614</v>
      </c>
      <c r="W61">
        <v>0</v>
      </c>
      <c r="X61">
        <v>34.3</v>
      </c>
      <c r="Y61" t="s">
        <v>3248</v>
      </c>
      <c r="Z61">
        <v>14.50844871280144</v>
      </c>
      <c r="AA61">
        <v>9566</v>
      </c>
      <c r="AB61">
        <v>5312</v>
      </c>
      <c r="AC61" t="s">
        <v>3919</v>
      </c>
      <c r="AD61">
        <v>69.06999999999999</v>
      </c>
      <c r="AE61" t="s">
        <v>4598</v>
      </c>
      <c r="AF61" t="s">
        <v>5244</v>
      </c>
      <c r="AG61">
        <v>5878</v>
      </c>
      <c r="AH61">
        <v>1023</v>
      </c>
      <c r="AI61">
        <v>896760</v>
      </c>
      <c r="AJ61">
        <v>3.3</v>
      </c>
    </row>
    <row r="62" spans="1:36">
      <c r="A62" s="1" t="s">
        <v>485</v>
      </c>
      <c r="B62" t="s">
        <v>1164</v>
      </c>
      <c r="C62">
        <f>HYPERLINK("https://finance.naver.com/item/coinfo.nhn?code=025530", "A025530")</f>
        <v>0</v>
      </c>
      <c r="D62">
        <f>HYPERLINK("http://comp.fnguide.com/SVO2/ASP/SVD_Consensus.asp?pGB=1&amp;gicode=A025530&amp;cID=&amp;MenuYn=Y&amp;ReportGB=&amp;NewMenuID=108&amp;stkGb=701", "SJM홀딩스")</f>
        <v>0</v>
      </c>
      <c r="E62">
        <v>3</v>
      </c>
      <c r="F62">
        <v>4360</v>
      </c>
      <c r="G62">
        <v>0</v>
      </c>
      <c r="H62">
        <v>15.19</v>
      </c>
      <c r="I62">
        <v>3259</v>
      </c>
      <c r="J62">
        <v>7771</v>
      </c>
      <c r="K62">
        <v>9085</v>
      </c>
      <c r="L62">
        <v>25.24</v>
      </c>
      <c r="M62">
        <v>-78.23</v>
      </c>
      <c r="N62">
        <v>-108.36</v>
      </c>
      <c r="O62">
        <v>2.47</v>
      </c>
      <c r="P62" t="b">
        <v>1</v>
      </c>
      <c r="Q62">
        <v>0</v>
      </c>
      <c r="R62">
        <v>201</v>
      </c>
      <c r="U62" t="s">
        <v>1843</v>
      </c>
      <c r="V62" t="s">
        <v>2522</v>
      </c>
      <c r="W62">
        <v>0</v>
      </c>
      <c r="X62">
        <v>-39.1</v>
      </c>
      <c r="Y62" t="s">
        <v>3165</v>
      </c>
      <c r="Z62">
        <v>-23.10137122845472</v>
      </c>
      <c r="AA62">
        <v>651</v>
      </c>
      <c r="AB62">
        <v>54185</v>
      </c>
      <c r="AC62" t="s">
        <v>3827</v>
      </c>
      <c r="AD62">
        <v>63.91</v>
      </c>
      <c r="AE62" t="s">
        <v>4506</v>
      </c>
      <c r="AF62" t="s">
        <v>5156</v>
      </c>
      <c r="AG62">
        <v>1416</v>
      </c>
      <c r="AH62">
        <v>64</v>
      </c>
      <c r="AI62">
        <v>1382017</v>
      </c>
      <c r="AJ62">
        <v>3.28</v>
      </c>
    </row>
    <row r="63" spans="1:36">
      <c r="A63" s="1" t="s">
        <v>121</v>
      </c>
      <c r="B63" t="s">
        <v>800</v>
      </c>
      <c r="C63">
        <f>HYPERLINK("https://finance.naver.com/item/coinfo.nhn?code=016450", "A016450")</f>
        <v>0</v>
      </c>
      <c r="D63">
        <f>HYPERLINK("http://comp.fnguide.com/SVO2/ASP/SVD_Consensus.asp?pGB=1&amp;gicode=A016450&amp;cID=&amp;MenuYn=Y&amp;ReportGB=&amp;NewMenuID=108&amp;stkGb=701", "한세예스24홀딩스")</f>
        <v>0</v>
      </c>
      <c r="E63">
        <v>3</v>
      </c>
      <c r="F63">
        <v>9220</v>
      </c>
      <c r="G63">
        <v>0</v>
      </c>
      <c r="H63">
        <v>5.64</v>
      </c>
      <c r="I63">
        <v>12578</v>
      </c>
      <c r="J63">
        <v>10679</v>
      </c>
      <c r="K63">
        <v>10126</v>
      </c>
      <c r="L63">
        <v>-36.42</v>
      </c>
      <c r="M63">
        <v>-15.82</v>
      </c>
      <c r="N63">
        <v>-9.82</v>
      </c>
      <c r="O63">
        <v>11.02</v>
      </c>
      <c r="P63" t="b">
        <v>1</v>
      </c>
      <c r="Q63">
        <v>0</v>
      </c>
      <c r="R63">
        <v>1359</v>
      </c>
      <c r="U63" t="s">
        <v>1479</v>
      </c>
      <c r="V63" t="s">
        <v>2158</v>
      </c>
      <c r="W63">
        <v>0</v>
      </c>
      <c r="X63">
        <v>169.8</v>
      </c>
      <c r="Y63" t="s">
        <v>2831</v>
      </c>
      <c r="Z63">
        <v>17.30641642875024</v>
      </c>
      <c r="AA63">
        <v>3688</v>
      </c>
      <c r="AB63">
        <v>87496</v>
      </c>
      <c r="AC63" t="s">
        <v>3463</v>
      </c>
      <c r="AD63">
        <v>79.87</v>
      </c>
      <c r="AE63" t="s">
        <v>4142</v>
      </c>
      <c r="AF63" t="s">
        <v>4817</v>
      </c>
      <c r="AG63">
        <v>27979</v>
      </c>
      <c r="AH63">
        <v>817</v>
      </c>
      <c r="AI63">
        <v>738213</v>
      </c>
      <c r="AJ63">
        <v>3.26</v>
      </c>
    </row>
    <row r="64" spans="1:36">
      <c r="A64" s="1" t="s">
        <v>630</v>
      </c>
      <c r="B64" t="s">
        <v>1309</v>
      </c>
      <c r="C64">
        <f>HYPERLINK("https://finance.naver.com/item/coinfo.nhn?code=010640", "A010640")</f>
        <v>0</v>
      </c>
      <c r="D64">
        <f>HYPERLINK("http://comp.fnguide.com/SVO2/ASP/SVD_Consensus.asp?pGB=1&amp;gicode=A010640&amp;cID=&amp;MenuYn=Y&amp;ReportGB=&amp;NewMenuID=108&amp;stkGb=701", "진양폴리")</f>
        <v>0</v>
      </c>
      <c r="E64">
        <v>1</v>
      </c>
      <c r="F64">
        <v>3745</v>
      </c>
      <c r="G64">
        <v>0</v>
      </c>
      <c r="H64">
        <v>24</v>
      </c>
      <c r="I64">
        <v>4880</v>
      </c>
      <c r="J64">
        <v>3579</v>
      </c>
      <c r="K64">
        <v>3200</v>
      </c>
      <c r="L64">
        <v>-30.32</v>
      </c>
      <c r="M64">
        <v>4.42</v>
      </c>
      <c r="N64">
        <v>14.54</v>
      </c>
      <c r="O64">
        <v>14.91</v>
      </c>
      <c r="P64" t="b">
        <v>1</v>
      </c>
      <c r="Q64">
        <v>0</v>
      </c>
      <c r="R64">
        <v>161</v>
      </c>
      <c r="U64" t="s">
        <v>1988</v>
      </c>
      <c r="V64" t="s">
        <v>2667</v>
      </c>
      <c r="W64">
        <v>0</v>
      </c>
      <c r="X64">
        <v>-78.7</v>
      </c>
      <c r="Y64" t="s">
        <v>3299</v>
      </c>
      <c r="Z64">
        <v>-30.88956441206121</v>
      </c>
      <c r="AA64">
        <v>375</v>
      </c>
      <c r="AB64">
        <v>85989</v>
      </c>
      <c r="AC64" t="s">
        <v>3972</v>
      </c>
      <c r="AD64">
        <v>50.5</v>
      </c>
      <c r="AE64" t="s">
        <v>4651</v>
      </c>
      <c r="AF64" t="s">
        <v>5294</v>
      </c>
      <c r="AG64">
        <v>371</v>
      </c>
      <c r="AH64">
        <v>22</v>
      </c>
      <c r="AJ64">
        <v>3.23</v>
      </c>
    </row>
    <row r="65" spans="1:36">
      <c r="A65" s="1" t="s">
        <v>44</v>
      </c>
      <c r="B65" t="s">
        <v>723</v>
      </c>
      <c r="C65">
        <f>HYPERLINK("https://finance.naver.com/item/coinfo.nhn?code=004780", "A004780")</f>
        <v>0</v>
      </c>
      <c r="D65">
        <f>HYPERLINK("http://comp.fnguide.com/SVO2/ASP/SVD_Consensus.asp?pGB=1&amp;gicode=A004780&amp;cID=&amp;MenuYn=Y&amp;ReportGB=&amp;NewMenuID=108&amp;stkGb=701", "대륙제관")</f>
        <v>0</v>
      </c>
      <c r="E65">
        <v>3</v>
      </c>
      <c r="F65">
        <v>6170</v>
      </c>
      <c r="G65">
        <v>0</v>
      </c>
      <c r="H65">
        <v>6.23</v>
      </c>
      <c r="I65">
        <v>6840</v>
      </c>
      <c r="J65">
        <v>7121</v>
      </c>
      <c r="K65">
        <v>7203</v>
      </c>
      <c r="L65">
        <v>-10.86</v>
      </c>
      <c r="M65">
        <v>-15.41</v>
      </c>
      <c r="N65">
        <v>-16.74</v>
      </c>
      <c r="O65">
        <v>7.69</v>
      </c>
      <c r="P65" t="b">
        <v>1</v>
      </c>
      <c r="Q65">
        <v>0</v>
      </c>
      <c r="R65">
        <v>757</v>
      </c>
      <c r="U65" t="s">
        <v>1402</v>
      </c>
      <c r="V65" t="s">
        <v>2081</v>
      </c>
      <c r="W65">
        <v>0</v>
      </c>
      <c r="X65">
        <v>124.6</v>
      </c>
      <c r="Y65" t="s">
        <v>2760</v>
      </c>
      <c r="Z65">
        <v>-1.332847196926379</v>
      </c>
      <c r="AA65">
        <v>981</v>
      </c>
      <c r="AB65">
        <v>96797</v>
      </c>
      <c r="AC65" t="s">
        <v>3386</v>
      </c>
      <c r="AD65">
        <v>55.72</v>
      </c>
      <c r="AE65" t="s">
        <v>4065</v>
      </c>
      <c r="AF65" t="s">
        <v>4744</v>
      </c>
      <c r="AG65">
        <v>2122</v>
      </c>
      <c r="AH65">
        <v>157</v>
      </c>
      <c r="AJ65">
        <v>3.18</v>
      </c>
    </row>
    <row r="66" spans="1:36">
      <c r="A66" s="1" t="s">
        <v>596</v>
      </c>
      <c r="B66" t="s">
        <v>1275</v>
      </c>
      <c r="C66">
        <f>HYPERLINK("https://finance.naver.com/item/coinfo.nhn?code=004450", "A004450")</f>
        <v>0</v>
      </c>
      <c r="D66">
        <f>HYPERLINK("http://comp.fnguide.com/SVO2/ASP/SVD_Consensus.asp?pGB=1&amp;gicode=A004450&amp;cID=&amp;MenuYn=Y&amp;ReportGB=&amp;NewMenuID=108&amp;stkGb=701", "삼화왕관")</f>
        <v>0</v>
      </c>
      <c r="E66">
        <v>3</v>
      </c>
      <c r="F66">
        <v>41800</v>
      </c>
      <c r="G66">
        <v>0</v>
      </c>
      <c r="H66">
        <v>56.76</v>
      </c>
      <c r="I66">
        <v>35374</v>
      </c>
      <c r="J66">
        <v>61338</v>
      </c>
      <c r="K66">
        <v>68900</v>
      </c>
      <c r="L66">
        <v>15.37</v>
      </c>
      <c r="M66">
        <v>-46.74</v>
      </c>
      <c r="N66">
        <v>-64.83</v>
      </c>
      <c r="O66">
        <v>3.68</v>
      </c>
      <c r="P66" t="b">
        <v>0</v>
      </c>
      <c r="Q66">
        <v>0</v>
      </c>
      <c r="R66">
        <v>694</v>
      </c>
      <c r="U66" t="s">
        <v>1954</v>
      </c>
      <c r="V66" t="s">
        <v>2633</v>
      </c>
      <c r="W66">
        <v>0</v>
      </c>
      <c r="X66">
        <v>-82.09999999999999</v>
      </c>
      <c r="Y66" t="s">
        <v>3266</v>
      </c>
      <c r="Z66">
        <v>-31.21998695833197</v>
      </c>
      <c r="AA66">
        <v>901</v>
      </c>
      <c r="AB66">
        <v>1030</v>
      </c>
      <c r="AC66" t="s">
        <v>3938</v>
      </c>
      <c r="AD66">
        <v>51.34</v>
      </c>
      <c r="AE66" t="s">
        <v>4617</v>
      </c>
      <c r="AF66" t="s">
        <v>5262</v>
      </c>
      <c r="AG66">
        <v>1403</v>
      </c>
      <c r="AH66">
        <v>95</v>
      </c>
      <c r="AI66">
        <v>331062</v>
      </c>
      <c r="AJ66">
        <v>3.17</v>
      </c>
    </row>
    <row r="67" spans="1:36">
      <c r="A67" s="1" t="s">
        <v>539</v>
      </c>
      <c r="B67" t="s">
        <v>1218</v>
      </c>
      <c r="C67">
        <f>HYPERLINK("https://finance.naver.com/item/coinfo.nhn?code=010400", "A010400")</f>
        <v>0</v>
      </c>
      <c r="D67">
        <f>HYPERLINK("http://comp.fnguide.com/SVO2/ASP/SVD_Consensus.asp?pGB=1&amp;gicode=A010400&amp;cID=&amp;MenuYn=Y&amp;ReportGB=&amp;NewMenuID=108&amp;stkGb=701", "우진아이엔에스")</f>
        <v>0</v>
      </c>
      <c r="E67">
        <v>3</v>
      </c>
      <c r="F67">
        <v>9300</v>
      </c>
      <c r="G67">
        <v>0</v>
      </c>
      <c r="H67">
        <v>34.87</v>
      </c>
      <c r="I67">
        <v>7505</v>
      </c>
      <c r="J67">
        <v>12010</v>
      </c>
      <c r="K67">
        <v>13322</v>
      </c>
      <c r="L67">
        <v>19.3</v>
      </c>
      <c r="M67">
        <v>-29.14</v>
      </c>
      <c r="N67">
        <v>-43.24</v>
      </c>
      <c r="O67">
        <v>4.09</v>
      </c>
      <c r="P67" t="b">
        <v>0</v>
      </c>
      <c r="Q67">
        <v>0</v>
      </c>
      <c r="R67">
        <v>231</v>
      </c>
      <c r="U67" t="s">
        <v>1897</v>
      </c>
      <c r="V67" t="s">
        <v>2576</v>
      </c>
      <c r="W67">
        <v>0</v>
      </c>
      <c r="X67">
        <v>-17</v>
      </c>
      <c r="Y67" t="s">
        <v>3215</v>
      </c>
      <c r="Z67">
        <v>-39.24072267450425</v>
      </c>
      <c r="AA67">
        <v>709</v>
      </c>
      <c r="AB67">
        <v>140774</v>
      </c>
      <c r="AC67" t="s">
        <v>3881</v>
      </c>
      <c r="AD67">
        <v>53.21</v>
      </c>
      <c r="AE67" t="s">
        <v>4560</v>
      </c>
      <c r="AF67" t="s">
        <v>5208</v>
      </c>
      <c r="AG67">
        <v>1404</v>
      </c>
      <c r="AH67">
        <v>18</v>
      </c>
      <c r="AI67">
        <v>901921</v>
      </c>
      <c r="AJ67">
        <v>3.1</v>
      </c>
    </row>
    <row r="68" spans="1:36">
      <c r="A68" s="1" t="s">
        <v>632</v>
      </c>
      <c r="B68" t="s">
        <v>1311</v>
      </c>
      <c r="C68">
        <f>HYPERLINK("https://finance.naver.com/item/coinfo.nhn?code=010240", "A010240")</f>
        <v>0</v>
      </c>
      <c r="D68">
        <f>HYPERLINK("http://comp.fnguide.com/SVO2/ASP/SVD_Consensus.asp?pGB=1&amp;gicode=A010240&amp;cID=&amp;MenuYn=Y&amp;ReportGB=&amp;NewMenuID=108&amp;stkGb=701", "흥국")</f>
        <v>0</v>
      </c>
      <c r="E68">
        <v>1</v>
      </c>
      <c r="F68">
        <v>9030</v>
      </c>
      <c r="G68">
        <v>0</v>
      </c>
      <c r="H68">
        <v>6.09</v>
      </c>
      <c r="I68">
        <v>11138</v>
      </c>
      <c r="J68">
        <v>8328</v>
      </c>
      <c r="K68">
        <v>7509</v>
      </c>
      <c r="L68">
        <v>-23.35</v>
      </c>
      <c r="M68">
        <v>7.77</v>
      </c>
      <c r="N68">
        <v>16.84</v>
      </c>
      <c r="O68">
        <v>14.29</v>
      </c>
      <c r="P68" t="b">
        <v>1</v>
      </c>
      <c r="Q68">
        <v>0</v>
      </c>
      <c r="R68">
        <v>954</v>
      </c>
      <c r="U68" t="s">
        <v>1990</v>
      </c>
      <c r="V68" t="s">
        <v>2669</v>
      </c>
      <c r="W68">
        <v>0</v>
      </c>
      <c r="X68">
        <v>67.90000000000001</v>
      </c>
      <c r="Y68" t="s">
        <v>3301</v>
      </c>
      <c r="Z68">
        <v>52.81838188033115</v>
      </c>
      <c r="AA68">
        <v>1113</v>
      </c>
      <c r="AB68">
        <v>365080</v>
      </c>
      <c r="AC68" t="s">
        <v>3974</v>
      </c>
      <c r="AD68">
        <v>51.18</v>
      </c>
      <c r="AE68" t="s">
        <v>4653</v>
      </c>
      <c r="AF68" t="s">
        <v>5296</v>
      </c>
      <c r="AG68">
        <v>1191</v>
      </c>
      <c r="AH68">
        <v>156</v>
      </c>
      <c r="AI68">
        <v>772811</v>
      </c>
      <c r="AJ68">
        <v>3.1</v>
      </c>
    </row>
    <row r="69" spans="1:36">
      <c r="A69" s="1" t="s">
        <v>557</v>
      </c>
      <c r="B69" t="s">
        <v>1236</v>
      </c>
      <c r="C69">
        <f>HYPERLINK("https://finance.naver.com/item/coinfo.nhn?code=005850", "A005850")</f>
        <v>0</v>
      </c>
      <c r="D69">
        <f>HYPERLINK("http://comp.fnguide.com/SVO2/ASP/SVD_Consensus.asp?pGB=1&amp;gicode=A005850&amp;cID=&amp;MenuYn=Y&amp;ReportGB=&amp;NewMenuID=108&amp;stkGb=701", "에스엘")</f>
        <v>0</v>
      </c>
      <c r="E69">
        <v>3</v>
      </c>
      <c r="F69">
        <v>26950</v>
      </c>
      <c r="G69">
        <v>0.2</v>
      </c>
      <c r="H69">
        <v>11.93</v>
      </c>
      <c r="I69">
        <v>19373</v>
      </c>
      <c r="J69">
        <v>26044</v>
      </c>
      <c r="K69">
        <v>27987</v>
      </c>
      <c r="L69">
        <v>28.12</v>
      </c>
      <c r="M69">
        <v>3.36</v>
      </c>
      <c r="N69">
        <v>-3.85</v>
      </c>
      <c r="O69">
        <v>5.2</v>
      </c>
      <c r="P69" t="b">
        <v>1</v>
      </c>
      <c r="Q69">
        <v>1</v>
      </c>
      <c r="R69">
        <v>1362</v>
      </c>
      <c r="S69">
        <v>2962</v>
      </c>
      <c r="T69">
        <v>117.5</v>
      </c>
      <c r="U69" t="s">
        <v>1915</v>
      </c>
      <c r="V69" t="s">
        <v>2594</v>
      </c>
      <c r="W69">
        <v>58.55819064359488</v>
      </c>
      <c r="X69">
        <v>-29.1</v>
      </c>
      <c r="Y69" t="s">
        <v>3228</v>
      </c>
      <c r="Z69">
        <v>-8.118206976970743</v>
      </c>
      <c r="AA69">
        <v>12991</v>
      </c>
      <c r="AB69">
        <v>693762</v>
      </c>
      <c r="AC69" t="s">
        <v>3899</v>
      </c>
      <c r="AD69">
        <v>63.48</v>
      </c>
      <c r="AE69" t="s">
        <v>4578</v>
      </c>
      <c r="AF69" t="s">
        <v>5224</v>
      </c>
      <c r="AG69">
        <v>25050</v>
      </c>
      <c r="AH69">
        <v>932</v>
      </c>
      <c r="AI69">
        <v>2147815</v>
      </c>
      <c r="AJ69">
        <v>3.08</v>
      </c>
    </row>
    <row r="70" spans="1:36">
      <c r="A70" s="1" t="s">
        <v>130</v>
      </c>
      <c r="B70" t="s">
        <v>809</v>
      </c>
      <c r="C70">
        <f>HYPERLINK("https://finance.naver.com/item/coinfo.nhn?code=104700", "A104700")</f>
        <v>0</v>
      </c>
      <c r="D70">
        <f>HYPERLINK("http://comp.fnguide.com/SVO2/ASP/SVD_Consensus.asp?pGB=1&amp;gicode=A104700&amp;cID=&amp;MenuYn=Y&amp;ReportGB=&amp;NewMenuID=108&amp;stkGb=701", "한국철강")</f>
        <v>0</v>
      </c>
      <c r="E70">
        <v>3</v>
      </c>
      <c r="F70">
        <v>11150</v>
      </c>
      <c r="G70">
        <v>0</v>
      </c>
      <c r="I70">
        <v>2532</v>
      </c>
      <c r="J70">
        <v>11626</v>
      </c>
      <c r="K70">
        <v>14275</v>
      </c>
      <c r="L70">
        <v>77.29000000000001</v>
      </c>
      <c r="M70">
        <v>-4.27</v>
      </c>
      <c r="N70">
        <v>-28.03</v>
      </c>
      <c r="O70">
        <v>1.17</v>
      </c>
      <c r="P70" t="b">
        <v>0</v>
      </c>
      <c r="Q70">
        <v>0</v>
      </c>
      <c r="R70">
        <v>-184</v>
      </c>
      <c r="U70" t="s">
        <v>1488</v>
      </c>
      <c r="V70" t="s">
        <v>2167</v>
      </c>
      <c r="W70">
        <v>0</v>
      </c>
      <c r="X70">
        <v>0</v>
      </c>
      <c r="Y70" t="s">
        <v>2840</v>
      </c>
      <c r="Z70">
        <v>16.66293327359809</v>
      </c>
      <c r="AA70">
        <v>5135</v>
      </c>
      <c r="AB70">
        <v>279242</v>
      </c>
      <c r="AC70" t="s">
        <v>3472</v>
      </c>
      <c r="AD70">
        <v>52.66</v>
      </c>
      <c r="AE70" t="s">
        <v>4151</v>
      </c>
      <c r="AF70" t="s">
        <v>4825</v>
      </c>
      <c r="AG70">
        <v>6334</v>
      </c>
      <c r="AH70">
        <v>351</v>
      </c>
      <c r="AI70">
        <v>6997892</v>
      </c>
      <c r="AJ70">
        <v>3.06</v>
      </c>
    </row>
    <row r="71" spans="1:36">
      <c r="A71" s="1" t="s">
        <v>503</v>
      </c>
      <c r="B71" t="s">
        <v>1182</v>
      </c>
      <c r="C71">
        <f>HYPERLINK("https://finance.naver.com/item/coinfo.nhn?code=001560", "A001560")</f>
        <v>0</v>
      </c>
      <c r="D71">
        <f>HYPERLINK("http://comp.fnguide.com/SVO2/ASP/SVD_Consensus.asp?pGB=1&amp;gicode=A001560&amp;cID=&amp;MenuYn=Y&amp;ReportGB=&amp;NewMenuID=108&amp;stkGb=701", "제일연마")</f>
        <v>0</v>
      </c>
      <c r="E71">
        <v>3</v>
      </c>
      <c r="F71">
        <v>8780</v>
      </c>
      <c r="G71">
        <v>0</v>
      </c>
      <c r="H71">
        <v>22.12</v>
      </c>
      <c r="I71">
        <v>7912</v>
      </c>
      <c r="J71">
        <v>10015</v>
      </c>
      <c r="K71">
        <v>10628</v>
      </c>
      <c r="L71">
        <v>9.890000000000001</v>
      </c>
      <c r="M71">
        <v>-14.07</v>
      </c>
      <c r="N71">
        <v>-21.05</v>
      </c>
      <c r="O71">
        <v>5.68</v>
      </c>
      <c r="P71" t="b">
        <v>1</v>
      </c>
      <c r="Q71">
        <v>0</v>
      </c>
      <c r="R71">
        <v>326</v>
      </c>
      <c r="U71" t="s">
        <v>1861</v>
      </c>
      <c r="V71" t="s">
        <v>2540</v>
      </c>
      <c r="W71">
        <v>0</v>
      </c>
      <c r="X71">
        <v>-49</v>
      </c>
      <c r="Y71" t="s">
        <v>3182</v>
      </c>
      <c r="Z71">
        <v>4.331444953028907</v>
      </c>
      <c r="AA71">
        <v>878</v>
      </c>
      <c r="AB71">
        <v>16099</v>
      </c>
      <c r="AC71" t="s">
        <v>3845</v>
      </c>
      <c r="AD71">
        <v>50.92</v>
      </c>
      <c r="AE71" t="s">
        <v>4524</v>
      </c>
      <c r="AF71" t="s">
        <v>5174</v>
      </c>
      <c r="AG71">
        <v>732</v>
      </c>
      <c r="AH71">
        <v>36</v>
      </c>
      <c r="AI71">
        <v>2500000</v>
      </c>
      <c r="AJ71">
        <v>3.05</v>
      </c>
    </row>
    <row r="72" spans="1:36">
      <c r="A72" s="1" t="s">
        <v>479</v>
      </c>
      <c r="B72" t="s">
        <v>1158</v>
      </c>
      <c r="C72">
        <f>HYPERLINK("https://finance.naver.com/item/coinfo.nhn?code=004250", "A004250")</f>
        <v>0</v>
      </c>
      <c r="D72">
        <f>HYPERLINK("http://comp.fnguide.com/SVO2/ASP/SVD_Consensus.asp?pGB=1&amp;gicode=A004250&amp;cID=&amp;MenuYn=Y&amp;ReportGB=&amp;NewMenuID=108&amp;stkGb=701", "NPC")</f>
        <v>0</v>
      </c>
      <c r="E72">
        <v>3</v>
      </c>
      <c r="F72">
        <v>4520</v>
      </c>
      <c r="G72">
        <v>0</v>
      </c>
      <c r="H72">
        <v>7.3</v>
      </c>
      <c r="I72">
        <v>5659</v>
      </c>
      <c r="J72">
        <v>7061</v>
      </c>
      <c r="K72">
        <v>7470</v>
      </c>
      <c r="L72">
        <v>-25.2</v>
      </c>
      <c r="M72">
        <v>-56.23</v>
      </c>
      <c r="N72">
        <v>-65.26000000000001</v>
      </c>
      <c r="O72">
        <v>5.8</v>
      </c>
      <c r="P72" t="b">
        <v>1</v>
      </c>
      <c r="Q72">
        <v>0</v>
      </c>
      <c r="R72">
        <v>449</v>
      </c>
      <c r="U72" t="s">
        <v>1837</v>
      </c>
      <c r="V72" t="s">
        <v>2516</v>
      </c>
      <c r="W72">
        <v>0</v>
      </c>
      <c r="X72">
        <v>31</v>
      </c>
      <c r="Y72" t="s">
        <v>3159</v>
      </c>
      <c r="Z72">
        <v>-5.341730678714873</v>
      </c>
      <c r="AA72">
        <v>1660</v>
      </c>
      <c r="AB72">
        <v>1274056</v>
      </c>
      <c r="AC72" t="s">
        <v>3821</v>
      </c>
      <c r="AD72">
        <v>60.2</v>
      </c>
      <c r="AE72" t="s">
        <v>4500</v>
      </c>
      <c r="AF72" t="s">
        <v>5150</v>
      </c>
      <c r="AG72">
        <v>4313</v>
      </c>
      <c r="AH72">
        <v>207</v>
      </c>
      <c r="AJ72">
        <v>3.05</v>
      </c>
    </row>
    <row r="73" spans="1:36">
      <c r="A73" s="1" t="s">
        <v>601</v>
      </c>
      <c r="B73" t="s">
        <v>1280</v>
      </c>
      <c r="C73">
        <f>HYPERLINK("https://finance.naver.com/item/coinfo.nhn?code=003080", "A003080")</f>
        <v>0</v>
      </c>
      <c r="D73">
        <f>HYPERLINK("http://comp.fnguide.com/SVO2/ASP/SVD_Consensus.asp?pGB=1&amp;gicode=A003080&amp;cID=&amp;MenuYn=Y&amp;ReportGB=&amp;NewMenuID=108&amp;stkGb=701", "성보화학")</f>
        <v>0</v>
      </c>
      <c r="E73">
        <v>3</v>
      </c>
      <c r="F73">
        <v>5020</v>
      </c>
      <c r="G73">
        <v>0</v>
      </c>
      <c r="I73">
        <v>548</v>
      </c>
      <c r="J73">
        <v>4351</v>
      </c>
      <c r="K73">
        <v>5459</v>
      </c>
      <c r="L73">
        <v>89.08</v>
      </c>
      <c r="M73">
        <v>13.32</v>
      </c>
      <c r="N73">
        <v>-8.74</v>
      </c>
      <c r="O73">
        <v>0.65</v>
      </c>
      <c r="P73" t="b">
        <v>0</v>
      </c>
      <c r="Q73">
        <v>0</v>
      </c>
      <c r="R73">
        <v>-299</v>
      </c>
      <c r="U73" t="s">
        <v>1959</v>
      </c>
      <c r="V73" t="s">
        <v>2638</v>
      </c>
      <c r="W73">
        <v>0</v>
      </c>
      <c r="X73">
        <v>0</v>
      </c>
      <c r="Y73" t="s">
        <v>3271</v>
      </c>
      <c r="Z73">
        <v>23.56141291526441</v>
      </c>
      <c r="AA73">
        <v>1005</v>
      </c>
      <c r="AB73">
        <v>165546</v>
      </c>
      <c r="AC73" t="s">
        <v>3943</v>
      </c>
      <c r="AD73">
        <v>58.69</v>
      </c>
      <c r="AE73" t="s">
        <v>4622</v>
      </c>
      <c r="AF73" t="s">
        <v>5267</v>
      </c>
      <c r="AG73">
        <v>517</v>
      </c>
      <c r="AH73">
        <v>-37</v>
      </c>
      <c r="AI73">
        <v>353526</v>
      </c>
      <c r="AJ73">
        <v>3.03</v>
      </c>
    </row>
    <row r="74" spans="1:36">
      <c r="A74" s="1" t="s">
        <v>499</v>
      </c>
      <c r="B74" t="s">
        <v>1178</v>
      </c>
      <c r="C74">
        <f>HYPERLINK("https://finance.naver.com/item/coinfo.nhn?code=006220", "A006220")</f>
        <v>0</v>
      </c>
      <c r="D74">
        <f>HYPERLINK("http://comp.fnguide.com/SVO2/ASP/SVD_Consensus.asp?pGB=1&amp;gicode=A006220&amp;cID=&amp;MenuYn=Y&amp;ReportGB=&amp;NewMenuID=108&amp;stkGb=701", "제주은행")</f>
        <v>0</v>
      </c>
      <c r="E74">
        <v>3</v>
      </c>
      <c r="F74">
        <v>7040</v>
      </c>
      <c r="G74">
        <v>0</v>
      </c>
      <c r="H74">
        <v>6.07</v>
      </c>
      <c r="I74">
        <v>9069</v>
      </c>
      <c r="J74">
        <v>13099</v>
      </c>
      <c r="K74">
        <v>14274</v>
      </c>
      <c r="L74">
        <v>-28.82</v>
      </c>
      <c r="M74">
        <v>-86.06999999999999</v>
      </c>
      <c r="N74">
        <v>-102.75</v>
      </c>
      <c r="O74">
        <v>4.7</v>
      </c>
      <c r="P74" t="b">
        <v>0</v>
      </c>
      <c r="Q74">
        <v>0</v>
      </c>
      <c r="R74">
        <v>545</v>
      </c>
      <c r="U74" t="s">
        <v>1857</v>
      </c>
      <c r="V74" t="s">
        <v>2536</v>
      </c>
      <c r="W74">
        <v>0</v>
      </c>
      <c r="X74">
        <v>2.1</v>
      </c>
      <c r="Y74" t="s">
        <v>3178</v>
      </c>
      <c r="Z74">
        <v>2.359890504186613</v>
      </c>
      <c r="AA74">
        <v>2262</v>
      </c>
      <c r="AB74">
        <v>850554</v>
      </c>
      <c r="AC74" t="s">
        <v>3841</v>
      </c>
      <c r="AD74">
        <v>75.31</v>
      </c>
      <c r="AE74" t="s">
        <v>4520</v>
      </c>
      <c r="AF74" t="s">
        <v>5170</v>
      </c>
      <c r="AG74">
        <v>1827</v>
      </c>
      <c r="AH74">
        <v>216</v>
      </c>
      <c r="AJ74">
        <v>3.02</v>
      </c>
    </row>
    <row r="75" spans="1:36">
      <c r="A75" s="1" t="s">
        <v>253</v>
      </c>
      <c r="B75" t="s">
        <v>932</v>
      </c>
      <c r="C75">
        <f>HYPERLINK("https://finance.naver.com/item/coinfo.nhn?code=004590", "A004590")</f>
        <v>0</v>
      </c>
      <c r="D75">
        <f>HYPERLINK("http://comp.fnguide.com/SVO2/ASP/SVD_Consensus.asp?pGB=1&amp;gicode=A004590&amp;cID=&amp;MenuYn=Y&amp;ReportGB=&amp;NewMenuID=108&amp;stkGb=701", "한국가구")</f>
        <v>0</v>
      </c>
      <c r="E75">
        <v>3</v>
      </c>
      <c r="F75">
        <v>7090</v>
      </c>
      <c r="G75">
        <v>0</v>
      </c>
      <c r="H75">
        <v>7.25</v>
      </c>
      <c r="I75">
        <v>7073</v>
      </c>
      <c r="J75">
        <v>7497</v>
      </c>
      <c r="K75">
        <v>7620</v>
      </c>
      <c r="L75">
        <v>0.24</v>
      </c>
      <c r="M75">
        <v>-5.74</v>
      </c>
      <c r="N75">
        <v>-7.48</v>
      </c>
      <c r="O75">
        <v>7.47</v>
      </c>
      <c r="P75" t="b">
        <v>1</v>
      </c>
      <c r="Q75">
        <v>0</v>
      </c>
      <c r="R75">
        <v>617</v>
      </c>
      <c r="U75" t="s">
        <v>1611</v>
      </c>
      <c r="V75" t="s">
        <v>2290</v>
      </c>
      <c r="W75">
        <v>0</v>
      </c>
      <c r="X75">
        <v>52.5</v>
      </c>
      <c r="Y75" t="s">
        <v>2947</v>
      </c>
      <c r="Z75">
        <v>8.991804304820805</v>
      </c>
      <c r="AA75">
        <v>1064</v>
      </c>
      <c r="AB75">
        <v>540190</v>
      </c>
      <c r="AC75" t="s">
        <v>3595</v>
      </c>
      <c r="AD75">
        <v>55.79</v>
      </c>
      <c r="AE75" t="s">
        <v>4274</v>
      </c>
      <c r="AF75" t="s">
        <v>4938</v>
      </c>
      <c r="AG75">
        <v>755</v>
      </c>
      <c r="AH75">
        <v>105</v>
      </c>
      <c r="AJ75">
        <v>3.02</v>
      </c>
    </row>
    <row r="76" spans="1:36">
      <c r="A76" s="1" t="s">
        <v>527</v>
      </c>
      <c r="B76" t="s">
        <v>1206</v>
      </c>
      <c r="C76">
        <f>HYPERLINK("https://finance.naver.com/item/coinfo.nhn?code=058650", "A058650")</f>
        <v>0</v>
      </c>
      <c r="D76">
        <f>HYPERLINK("http://comp.fnguide.com/SVO2/ASP/SVD_Consensus.asp?pGB=1&amp;gicode=A058650&amp;cID=&amp;MenuYn=Y&amp;ReportGB=&amp;NewMenuID=108&amp;stkGb=701", "세아홀딩스")</f>
        <v>0</v>
      </c>
      <c r="E76">
        <v>3</v>
      </c>
      <c r="F76">
        <v>110000</v>
      </c>
      <c r="G76">
        <v>0</v>
      </c>
      <c r="I76">
        <v>46432</v>
      </c>
      <c r="J76">
        <v>297578</v>
      </c>
      <c r="K76">
        <v>370733</v>
      </c>
      <c r="L76">
        <v>57.79</v>
      </c>
      <c r="M76">
        <v>-170.53</v>
      </c>
      <c r="N76">
        <v>-237.03</v>
      </c>
      <c r="O76">
        <v>0.8100000000000001</v>
      </c>
      <c r="P76" t="b">
        <v>0</v>
      </c>
      <c r="Q76">
        <v>0</v>
      </c>
      <c r="R76">
        <v>-40506</v>
      </c>
      <c r="U76" t="s">
        <v>1885</v>
      </c>
      <c r="V76" t="s">
        <v>2564</v>
      </c>
      <c r="W76">
        <v>0</v>
      </c>
      <c r="X76">
        <v>0</v>
      </c>
      <c r="Y76" t="s">
        <v>3203</v>
      </c>
      <c r="Z76">
        <v>-28.1602075304913</v>
      </c>
      <c r="AA76">
        <v>4400</v>
      </c>
      <c r="AB76">
        <v>2234</v>
      </c>
      <c r="AC76" t="s">
        <v>3869</v>
      </c>
      <c r="AD76">
        <v>89.98</v>
      </c>
      <c r="AE76" t="s">
        <v>4548</v>
      </c>
      <c r="AF76" t="s">
        <v>5196</v>
      </c>
      <c r="AG76">
        <v>42574</v>
      </c>
      <c r="AH76">
        <v>131</v>
      </c>
      <c r="AI76">
        <v>41030</v>
      </c>
      <c r="AJ76">
        <v>2.94</v>
      </c>
    </row>
    <row r="77" spans="1:36">
      <c r="A77" s="1" t="s">
        <v>323</v>
      </c>
      <c r="B77" t="s">
        <v>1002</v>
      </c>
      <c r="C77">
        <f>HYPERLINK("https://finance.naver.com/item/coinfo.nhn?code=003800", "A003800")</f>
        <v>0</v>
      </c>
      <c r="D77">
        <f>HYPERLINK("http://comp.fnguide.com/SVO2/ASP/SVD_Consensus.asp?pGB=1&amp;gicode=A003800&amp;cID=&amp;MenuYn=Y&amp;ReportGB=&amp;NewMenuID=108&amp;stkGb=701", "에이스침대")</f>
        <v>0</v>
      </c>
      <c r="E77">
        <v>3</v>
      </c>
      <c r="F77">
        <v>44150</v>
      </c>
      <c r="G77">
        <v>0</v>
      </c>
      <c r="H77">
        <v>8.57</v>
      </c>
      <c r="I77">
        <v>57474</v>
      </c>
      <c r="J77">
        <v>52705</v>
      </c>
      <c r="K77">
        <v>51316</v>
      </c>
      <c r="L77">
        <v>-30.18</v>
      </c>
      <c r="M77">
        <v>-19.38</v>
      </c>
      <c r="N77">
        <v>-16.23</v>
      </c>
      <c r="O77">
        <v>9.550000000000001</v>
      </c>
      <c r="P77" t="b">
        <v>1</v>
      </c>
      <c r="Q77">
        <v>0</v>
      </c>
      <c r="R77">
        <v>4448</v>
      </c>
      <c r="U77" t="s">
        <v>1681</v>
      </c>
      <c r="V77" t="s">
        <v>2360</v>
      </c>
      <c r="W77">
        <v>0</v>
      </c>
      <c r="X77">
        <v>11.6</v>
      </c>
      <c r="Y77" t="s">
        <v>3010</v>
      </c>
      <c r="Z77">
        <v>10.12465428540645</v>
      </c>
      <c r="AA77">
        <v>4896</v>
      </c>
      <c r="AB77">
        <v>4250</v>
      </c>
      <c r="AC77" t="s">
        <v>3665</v>
      </c>
      <c r="AD77">
        <v>79.56</v>
      </c>
      <c r="AE77" t="s">
        <v>4344</v>
      </c>
      <c r="AF77" t="s">
        <v>5000</v>
      </c>
      <c r="AG77">
        <v>2895</v>
      </c>
      <c r="AH77">
        <v>493</v>
      </c>
      <c r="AI77">
        <v>838055</v>
      </c>
      <c r="AJ77">
        <v>2.89</v>
      </c>
    </row>
    <row r="78" spans="1:36">
      <c r="A78" s="1" t="s">
        <v>615</v>
      </c>
      <c r="B78" t="s">
        <v>1294</v>
      </c>
      <c r="C78">
        <f>HYPERLINK("https://finance.naver.com/item/coinfo.nhn?code=264900", "A264900")</f>
        <v>0</v>
      </c>
      <c r="D78">
        <f>HYPERLINK("http://comp.fnguide.com/SVO2/ASP/SVD_Consensus.asp?pGB=1&amp;gicode=A264900&amp;cID=&amp;MenuYn=Y&amp;ReportGB=&amp;NewMenuID=108&amp;stkGb=701", "크라운제과")</f>
        <v>0</v>
      </c>
      <c r="E78">
        <v>2</v>
      </c>
      <c r="F78">
        <v>14300</v>
      </c>
      <c r="G78">
        <v>0</v>
      </c>
      <c r="H78">
        <v>7.29</v>
      </c>
      <c r="I78">
        <v>18559</v>
      </c>
      <c r="J78">
        <v>15084</v>
      </c>
      <c r="K78">
        <v>14071</v>
      </c>
      <c r="L78">
        <v>-29.79</v>
      </c>
      <c r="M78">
        <v>-5.48</v>
      </c>
      <c r="N78">
        <v>1.6</v>
      </c>
      <c r="O78">
        <v>12.01</v>
      </c>
      <c r="P78" t="b">
        <v>1</v>
      </c>
      <c r="Q78">
        <v>0</v>
      </c>
      <c r="R78">
        <v>1219</v>
      </c>
      <c r="U78" t="s">
        <v>1973</v>
      </c>
      <c r="V78" t="s">
        <v>2652</v>
      </c>
      <c r="W78">
        <v>0</v>
      </c>
      <c r="X78">
        <v>-14.4</v>
      </c>
      <c r="Y78" t="s">
        <v>3284</v>
      </c>
      <c r="Z78">
        <v>0</v>
      </c>
      <c r="AA78">
        <v>1791</v>
      </c>
      <c r="AB78">
        <v>131181</v>
      </c>
      <c r="AC78" t="s">
        <v>3957</v>
      </c>
      <c r="AD78">
        <v>61.68</v>
      </c>
      <c r="AE78" t="s">
        <v>4636</v>
      </c>
      <c r="AF78" t="s">
        <v>5279</v>
      </c>
      <c r="AG78">
        <v>3815</v>
      </c>
      <c r="AH78">
        <v>235</v>
      </c>
      <c r="AI78">
        <v>507681</v>
      </c>
      <c r="AJ78">
        <v>2.82</v>
      </c>
    </row>
    <row r="79" spans="1:36">
      <c r="A79" s="1" t="s">
        <v>360</v>
      </c>
      <c r="B79" t="s">
        <v>1039</v>
      </c>
      <c r="C79">
        <f>HYPERLINK("https://finance.naver.com/item/coinfo.nhn?code=090350", "A090350")</f>
        <v>0</v>
      </c>
      <c r="D79">
        <f>HYPERLINK("http://comp.fnguide.com/SVO2/ASP/SVD_Consensus.asp?pGB=1&amp;gicode=A090350&amp;cID=&amp;MenuYn=Y&amp;ReportGB=&amp;NewMenuID=108&amp;stkGb=701", "노루페인트")</f>
        <v>0</v>
      </c>
      <c r="E79">
        <v>3</v>
      </c>
      <c r="F79">
        <v>13400</v>
      </c>
      <c r="G79">
        <v>0</v>
      </c>
      <c r="H79">
        <v>11.28</v>
      </c>
      <c r="I79">
        <v>11049</v>
      </c>
      <c r="J79">
        <v>14402</v>
      </c>
      <c r="K79">
        <v>15379</v>
      </c>
      <c r="L79">
        <v>17.55</v>
      </c>
      <c r="M79">
        <v>-7.48</v>
      </c>
      <c r="N79">
        <v>-14.77</v>
      </c>
      <c r="O79">
        <v>5.44</v>
      </c>
      <c r="P79" t="b">
        <v>1</v>
      </c>
      <c r="Q79">
        <v>0</v>
      </c>
      <c r="R79">
        <v>879</v>
      </c>
      <c r="U79" t="s">
        <v>1718</v>
      </c>
      <c r="V79" t="s">
        <v>2397</v>
      </c>
      <c r="W79">
        <v>0</v>
      </c>
      <c r="X79">
        <v>-4.9</v>
      </c>
      <c r="Y79" t="s">
        <v>3044</v>
      </c>
      <c r="Z79">
        <v>-11.3077183043575</v>
      </c>
      <c r="AA79">
        <v>2680</v>
      </c>
      <c r="AB79">
        <v>675964</v>
      </c>
      <c r="AC79" t="s">
        <v>3702</v>
      </c>
      <c r="AD79">
        <v>51.91</v>
      </c>
      <c r="AE79" t="s">
        <v>4381</v>
      </c>
      <c r="AF79" t="s">
        <v>5034</v>
      </c>
      <c r="AG79">
        <v>6429</v>
      </c>
      <c r="AH79">
        <v>323</v>
      </c>
      <c r="AJ79">
        <v>2.77</v>
      </c>
    </row>
    <row r="80" spans="1:36">
      <c r="A80" s="1" t="s">
        <v>600</v>
      </c>
      <c r="B80" t="s">
        <v>1279</v>
      </c>
      <c r="C80">
        <f>HYPERLINK("https://finance.naver.com/item/coinfo.nhn?code=306200", "A306200")</f>
        <v>0</v>
      </c>
      <c r="D80">
        <f>HYPERLINK("http://comp.fnguide.com/SVO2/ASP/SVD_Consensus.asp?pGB=1&amp;gicode=A306200&amp;cID=&amp;MenuYn=Y&amp;ReportGB=&amp;NewMenuID=108&amp;stkGb=701", "세아제강")</f>
        <v>0</v>
      </c>
      <c r="E80">
        <v>3</v>
      </c>
      <c r="F80">
        <v>115000</v>
      </c>
      <c r="G80">
        <v>0</v>
      </c>
      <c r="H80">
        <v>7.76</v>
      </c>
      <c r="I80">
        <v>111429</v>
      </c>
      <c r="J80">
        <v>171521</v>
      </c>
      <c r="K80">
        <v>189024</v>
      </c>
      <c r="L80">
        <v>3.1</v>
      </c>
      <c r="M80">
        <v>-49.15</v>
      </c>
      <c r="N80">
        <v>-64.37</v>
      </c>
      <c r="O80">
        <v>4.31</v>
      </c>
      <c r="P80" t="b">
        <v>1</v>
      </c>
      <c r="Q80">
        <v>0</v>
      </c>
      <c r="R80">
        <v>11656</v>
      </c>
      <c r="U80" t="s">
        <v>1958</v>
      </c>
      <c r="V80" t="s">
        <v>2637</v>
      </c>
      <c r="W80">
        <v>0</v>
      </c>
      <c r="X80">
        <v>33</v>
      </c>
      <c r="Y80" t="s">
        <v>3270</v>
      </c>
      <c r="Z80">
        <v>0</v>
      </c>
      <c r="AA80">
        <v>3262</v>
      </c>
      <c r="AB80">
        <v>37167</v>
      </c>
      <c r="AC80" t="s">
        <v>3942</v>
      </c>
      <c r="AD80">
        <v>59.9</v>
      </c>
      <c r="AE80" t="s">
        <v>4621</v>
      </c>
      <c r="AF80" t="s">
        <v>5266</v>
      </c>
      <c r="AG80">
        <v>11505</v>
      </c>
      <c r="AH80">
        <v>536</v>
      </c>
      <c r="AI80">
        <v>36200</v>
      </c>
      <c r="AJ80">
        <v>2.76</v>
      </c>
    </row>
    <row r="81" spans="1:36">
      <c r="A81" s="1" t="s">
        <v>406</v>
      </c>
      <c r="B81" t="s">
        <v>1085</v>
      </c>
      <c r="C81">
        <f>HYPERLINK("https://finance.naver.com/item/coinfo.nhn?code=023530", "A023530")</f>
        <v>0</v>
      </c>
      <c r="D81">
        <f>HYPERLINK("http://comp.fnguide.com/SVO2/ASP/SVD_Consensus.asp?pGB=1&amp;gicode=A023530&amp;cID=&amp;MenuYn=Y&amp;ReportGB=&amp;NewMenuID=108&amp;stkGb=701", "롯데쇼핑")</f>
        <v>0</v>
      </c>
      <c r="E81">
        <v>3</v>
      </c>
      <c r="F81">
        <v>114500</v>
      </c>
      <c r="G81">
        <v>0</v>
      </c>
      <c r="I81">
        <v>0</v>
      </c>
      <c r="J81">
        <v>205930</v>
      </c>
      <c r="K81">
        <v>265914</v>
      </c>
      <c r="L81">
        <v>100</v>
      </c>
      <c r="M81">
        <v>-79.84999999999999</v>
      </c>
      <c r="N81">
        <v>-132.24</v>
      </c>
      <c r="O81">
        <v>0</v>
      </c>
      <c r="P81" t="b">
        <v>0</v>
      </c>
      <c r="Q81">
        <v>2</v>
      </c>
      <c r="R81">
        <v>-27783</v>
      </c>
      <c r="S81">
        <v>3547</v>
      </c>
      <c r="T81">
        <v>-112.8</v>
      </c>
      <c r="U81" t="s">
        <v>1764</v>
      </c>
      <c r="V81" t="s">
        <v>2443</v>
      </c>
      <c r="W81">
        <v>0</v>
      </c>
      <c r="X81">
        <v>0</v>
      </c>
      <c r="Y81" t="s">
        <v>2762</v>
      </c>
      <c r="Z81">
        <v>0</v>
      </c>
      <c r="AA81">
        <v>32391</v>
      </c>
      <c r="AB81">
        <v>141795</v>
      </c>
      <c r="AC81" t="s">
        <v>3748</v>
      </c>
      <c r="AD81">
        <v>61.89</v>
      </c>
      <c r="AE81" t="s">
        <v>4427</v>
      </c>
      <c r="AF81" t="s">
        <v>5079</v>
      </c>
      <c r="AG81">
        <v>161844</v>
      </c>
      <c r="AH81">
        <v>3461</v>
      </c>
      <c r="AI81">
        <v>18115</v>
      </c>
      <c r="AJ81">
        <v>2.73</v>
      </c>
    </row>
    <row r="82" spans="1:36">
      <c r="A82" s="1" t="s">
        <v>639</v>
      </c>
      <c r="B82" t="s">
        <v>1318</v>
      </c>
      <c r="C82">
        <f>HYPERLINK("https://finance.naver.com/item/coinfo.nhn?code=251970", "A251970")</f>
        <v>0</v>
      </c>
      <c r="D82">
        <f>HYPERLINK("http://comp.fnguide.com/SVO2/ASP/SVD_Consensus.asp?pGB=1&amp;gicode=A251970&amp;cID=&amp;MenuYn=Y&amp;ReportGB=&amp;NewMenuID=108&amp;stkGb=701", "펌텍코리아")</f>
        <v>0</v>
      </c>
      <c r="E82">
        <v>1</v>
      </c>
      <c r="F82">
        <v>22100</v>
      </c>
      <c r="G82">
        <v>3.95</v>
      </c>
      <c r="H82">
        <v>9.98</v>
      </c>
      <c r="I82">
        <v>30169</v>
      </c>
      <c r="J82">
        <v>20959</v>
      </c>
      <c r="K82">
        <v>18276</v>
      </c>
      <c r="L82">
        <v>-36.51</v>
      </c>
      <c r="M82">
        <v>5.16</v>
      </c>
      <c r="N82">
        <v>17.3</v>
      </c>
      <c r="O82">
        <v>16.91</v>
      </c>
      <c r="P82" t="b">
        <v>1</v>
      </c>
      <c r="Q82">
        <v>1</v>
      </c>
      <c r="R82">
        <v>1577</v>
      </c>
      <c r="S82">
        <v>1839</v>
      </c>
      <c r="T82">
        <v>16.6</v>
      </c>
      <c r="U82" t="s">
        <v>1997</v>
      </c>
      <c r="V82" t="s">
        <v>2676</v>
      </c>
      <c r="W82">
        <v>2.527705887344922</v>
      </c>
      <c r="X82">
        <v>-5</v>
      </c>
      <c r="Y82" t="s">
        <v>3308</v>
      </c>
      <c r="Z82">
        <v>-5.209706925712199</v>
      </c>
      <c r="AA82">
        <v>2740</v>
      </c>
      <c r="AB82">
        <v>66875</v>
      </c>
      <c r="AC82" t="s">
        <v>3981</v>
      </c>
      <c r="AD82">
        <v>61.4</v>
      </c>
      <c r="AE82" t="s">
        <v>4660</v>
      </c>
      <c r="AF82" t="s">
        <v>5303</v>
      </c>
      <c r="AG82">
        <v>1968</v>
      </c>
      <c r="AH82">
        <v>274</v>
      </c>
      <c r="AI82">
        <v>287382</v>
      </c>
      <c r="AJ82">
        <v>2.73</v>
      </c>
    </row>
    <row r="83" spans="1:36">
      <c r="A83" s="1" t="s">
        <v>358</v>
      </c>
      <c r="B83" t="s">
        <v>1037</v>
      </c>
      <c r="C83">
        <f>HYPERLINK("https://finance.naver.com/item/coinfo.nhn?code=019680", "A019680")</f>
        <v>0</v>
      </c>
      <c r="D83">
        <f>HYPERLINK("http://comp.fnguide.com/SVO2/ASP/SVD_Consensus.asp?pGB=1&amp;gicode=A019680&amp;cID=&amp;MenuYn=Y&amp;ReportGB=&amp;NewMenuID=108&amp;stkGb=701", "대교")</f>
        <v>0</v>
      </c>
      <c r="E83">
        <v>3</v>
      </c>
      <c r="F83">
        <v>4470</v>
      </c>
      <c r="I83">
        <v>1379</v>
      </c>
      <c r="J83">
        <v>5335</v>
      </c>
      <c r="K83">
        <v>6488</v>
      </c>
      <c r="L83">
        <v>69.15000000000001</v>
      </c>
      <c r="M83">
        <v>-19.36</v>
      </c>
      <c r="N83">
        <v>-45.14</v>
      </c>
      <c r="O83">
        <v>1.41</v>
      </c>
      <c r="P83" t="b">
        <v>0</v>
      </c>
      <c r="Q83">
        <v>1</v>
      </c>
      <c r="R83">
        <v>-169</v>
      </c>
      <c r="S83">
        <v>61</v>
      </c>
      <c r="T83">
        <v>-136.1</v>
      </c>
      <c r="U83" t="s">
        <v>1716</v>
      </c>
      <c r="V83" t="s">
        <v>2395</v>
      </c>
      <c r="W83">
        <v>-30.41138677440091</v>
      </c>
      <c r="X83">
        <v>0</v>
      </c>
      <c r="Y83" t="s">
        <v>3042</v>
      </c>
      <c r="Z83">
        <v>-21.64106572821695</v>
      </c>
      <c r="AA83">
        <v>3786</v>
      </c>
      <c r="AB83">
        <v>198439</v>
      </c>
      <c r="AC83" t="s">
        <v>3700</v>
      </c>
      <c r="AD83">
        <v>66.62</v>
      </c>
      <c r="AE83" t="s">
        <v>4379</v>
      </c>
      <c r="AF83" t="s">
        <v>5032</v>
      </c>
      <c r="AG83">
        <v>6270</v>
      </c>
      <c r="AH83">
        <v>-280</v>
      </c>
      <c r="AI83">
        <v>15634584</v>
      </c>
      <c r="AJ83">
        <v>2.71</v>
      </c>
    </row>
    <row r="84" spans="1:36">
      <c r="A84" s="1" t="s">
        <v>665</v>
      </c>
      <c r="B84" t="s">
        <v>1344</v>
      </c>
      <c r="C84">
        <f>HYPERLINK("https://finance.naver.com/item/coinfo.nhn?code=290120", "A290120")</f>
        <v>0</v>
      </c>
      <c r="D84">
        <f>HYPERLINK("http://comp.fnguide.com/SVO2/ASP/SVD_Consensus.asp?pGB=1&amp;gicode=A290120&amp;cID=&amp;MenuYn=Y&amp;ReportGB=&amp;NewMenuID=108&amp;stkGb=701", "대유에이피")</f>
        <v>0</v>
      </c>
      <c r="E84">
        <v>1</v>
      </c>
      <c r="F84">
        <v>7980</v>
      </c>
      <c r="G84">
        <v>0</v>
      </c>
      <c r="H84">
        <v>14.1</v>
      </c>
      <c r="I84">
        <v>8995</v>
      </c>
      <c r="J84">
        <v>6381</v>
      </c>
      <c r="K84">
        <v>5619</v>
      </c>
      <c r="L84">
        <v>-12.72</v>
      </c>
      <c r="M84">
        <v>20.04</v>
      </c>
      <c r="N84">
        <v>29.58</v>
      </c>
      <c r="O84">
        <v>16.1</v>
      </c>
      <c r="P84" t="b">
        <v>1</v>
      </c>
      <c r="Q84">
        <v>0</v>
      </c>
      <c r="R84">
        <v>530</v>
      </c>
      <c r="U84" t="s">
        <v>2023</v>
      </c>
      <c r="V84" t="s">
        <v>2702</v>
      </c>
      <c r="W84">
        <v>0</v>
      </c>
      <c r="X84">
        <v>-27.8</v>
      </c>
      <c r="Y84" t="s">
        <v>3333</v>
      </c>
      <c r="Z84">
        <v>0</v>
      </c>
      <c r="AA84">
        <v>869</v>
      </c>
      <c r="AB84">
        <v>73767</v>
      </c>
      <c r="AC84" t="s">
        <v>4007</v>
      </c>
      <c r="AD84">
        <v>73.5</v>
      </c>
      <c r="AE84" t="s">
        <v>4686</v>
      </c>
      <c r="AF84" t="s">
        <v>5329</v>
      </c>
      <c r="AG84">
        <v>1718</v>
      </c>
      <c r="AH84">
        <v>141</v>
      </c>
      <c r="AJ84">
        <v>2.68</v>
      </c>
    </row>
    <row r="85" spans="1:36">
      <c r="A85" s="1" t="s">
        <v>138</v>
      </c>
      <c r="B85" t="s">
        <v>817</v>
      </c>
      <c r="C85">
        <f>HYPERLINK("https://finance.naver.com/item/coinfo.nhn?code=000140", "A000140")</f>
        <v>0</v>
      </c>
      <c r="D85">
        <f>HYPERLINK("http://comp.fnguide.com/SVO2/ASP/SVD_Consensus.asp?pGB=1&amp;gicode=A000140&amp;cID=&amp;MenuYn=Y&amp;ReportGB=&amp;NewMenuID=108&amp;stkGb=701", "하이트진로홀딩스")</f>
        <v>0</v>
      </c>
      <c r="E85">
        <v>3</v>
      </c>
      <c r="F85">
        <v>17500</v>
      </c>
      <c r="G85">
        <v>0</v>
      </c>
      <c r="H85">
        <v>5.53</v>
      </c>
      <c r="I85">
        <v>19492</v>
      </c>
      <c r="J85">
        <v>21618</v>
      </c>
      <c r="K85">
        <v>22237</v>
      </c>
      <c r="L85">
        <v>-11.38</v>
      </c>
      <c r="M85">
        <v>-23.53</v>
      </c>
      <c r="N85">
        <v>-27.07</v>
      </c>
      <c r="O85">
        <v>6.95</v>
      </c>
      <c r="P85" t="b">
        <v>1</v>
      </c>
      <c r="Q85">
        <v>0</v>
      </c>
      <c r="R85">
        <v>2722</v>
      </c>
      <c r="U85" t="s">
        <v>1496</v>
      </c>
      <c r="V85" t="s">
        <v>2175</v>
      </c>
      <c r="W85">
        <v>0</v>
      </c>
      <c r="X85">
        <v>0</v>
      </c>
      <c r="Y85" t="s">
        <v>2848</v>
      </c>
      <c r="Z85">
        <v>52.09999999999999</v>
      </c>
      <c r="AA85">
        <v>4061</v>
      </c>
      <c r="AB85">
        <v>90300</v>
      </c>
      <c r="AC85" t="s">
        <v>3480</v>
      </c>
      <c r="AD85">
        <v>65.91</v>
      </c>
      <c r="AE85" t="s">
        <v>4159</v>
      </c>
      <c r="AF85" t="s">
        <v>4833</v>
      </c>
      <c r="AG85">
        <v>22470</v>
      </c>
      <c r="AH85">
        <v>2105</v>
      </c>
      <c r="AI85">
        <v>1841887</v>
      </c>
      <c r="AJ85">
        <v>2.66</v>
      </c>
    </row>
    <row r="86" spans="1:36">
      <c r="A86" s="1" t="s">
        <v>49</v>
      </c>
      <c r="B86" t="s">
        <v>728</v>
      </c>
      <c r="C86">
        <f>HYPERLINK("https://finance.naver.com/item/coinfo.nhn?code=007680", "A007680")</f>
        <v>0</v>
      </c>
      <c r="D86">
        <f>HYPERLINK("http://comp.fnguide.com/SVO2/ASP/SVD_Consensus.asp?pGB=1&amp;gicode=A007680&amp;cID=&amp;MenuYn=Y&amp;ReportGB=&amp;NewMenuID=108&amp;stkGb=701", "대원")</f>
        <v>0</v>
      </c>
      <c r="E86">
        <v>3</v>
      </c>
      <c r="F86">
        <v>10200</v>
      </c>
      <c r="G86">
        <v>0</v>
      </c>
      <c r="I86">
        <v>8291</v>
      </c>
      <c r="J86">
        <v>16510</v>
      </c>
      <c r="K86">
        <v>18904</v>
      </c>
      <c r="L86">
        <v>18.71</v>
      </c>
      <c r="M86">
        <v>-61.86</v>
      </c>
      <c r="N86">
        <v>-85.33</v>
      </c>
      <c r="O86">
        <v>3.08</v>
      </c>
      <c r="P86" t="b">
        <v>0</v>
      </c>
      <c r="Q86">
        <v>0</v>
      </c>
      <c r="R86">
        <v>-850</v>
      </c>
      <c r="U86" t="s">
        <v>1407</v>
      </c>
      <c r="V86" t="s">
        <v>2086</v>
      </c>
      <c r="W86">
        <v>0</v>
      </c>
      <c r="X86">
        <v>0</v>
      </c>
      <c r="Y86" t="s">
        <v>2765</v>
      </c>
      <c r="Z86">
        <v>-12.86896034985508</v>
      </c>
      <c r="AA86">
        <v>1256</v>
      </c>
      <c r="AB86">
        <v>47747</v>
      </c>
      <c r="AC86" t="s">
        <v>3391</v>
      </c>
      <c r="AD86">
        <v>74.81999999999999</v>
      </c>
      <c r="AE86" t="s">
        <v>4070</v>
      </c>
      <c r="AF86" t="s">
        <v>4749</v>
      </c>
      <c r="AG86">
        <v>2101</v>
      </c>
      <c r="AH86">
        <v>34</v>
      </c>
      <c r="AI86">
        <v>160000</v>
      </c>
      <c r="AJ86">
        <v>2.62</v>
      </c>
    </row>
    <row r="87" spans="1:36">
      <c r="A87" s="1" t="s">
        <v>544</v>
      </c>
      <c r="B87" t="s">
        <v>1223</v>
      </c>
      <c r="C87">
        <f>HYPERLINK("https://finance.naver.com/item/coinfo.nhn?code=033660", "A033660")</f>
        <v>0</v>
      </c>
      <c r="D87">
        <f>HYPERLINK("http://comp.fnguide.com/SVO2/ASP/SVD_Consensus.asp?pGB=1&amp;gicode=A033660&amp;cID=&amp;MenuYn=Y&amp;ReportGB=&amp;NewMenuID=108&amp;stkGb=701", "우리금융캐피탈")</f>
        <v>0</v>
      </c>
      <c r="E87">
        <v>3</v>
      </c>
      <c r="F87">
        <v>11900</v>
      </c>
      <c r="G87">
        <v>0</v>
      </c>
      <c r="H87">
        <v>11.9</v>
      </c>
      <c r="I87">
        <v>18121</v>
      </c>
      <c r="J87">
        <v>16204</v>
      </c>
      <c r="K87">
        <v>15645</v>
      </c>
      <c r="L87">
        <v>-52.28</v>
      </c>
      <c r="M87">
        <v>-36.17</v>
      </c>
      <c r="N87">
        <v>-31.47</v>
      </c>
      <c r="O87">
        <v>10</v>
      </c>
      <c r="P87" t="b">
        <v>0</v>
      </c>
      <c r="Q87">
        <v>0</v>
      </c>
      <c r="R87">
        <v>1025</v>
      </c>
      <c r="U87" t="s">
        <v>1902</v>
      </c>
      <c r="V87" t="s">
        <v>2581</v>
      </c>
      <c r="W87">
        <v>0</v>
      </c>
      <c r="Y87" t="s">
        <v>2823</v>
      </c>
      <c r="Z87">
        <v>0</v>
      </c>
      <c r="AA87">
        <v>6848</v>
      </c>
      <c r="AB87">
        <v>41139</v>
      </c>
      <c r="AC87" t="s">
        <v>3886</v>
      </c>
      <c r="AD87">
        <v>86.89</v>
      </c>
      <c r="AE87" t="s">
        <v>4565</v>
      </c>
      <c r="AF87" t="s">
        <v>5212</v>
      </c>
      <c r="AG87">
        <v>2431</v>
      </c>
      <c r="AH87">
        <v>1381</v>
      </c>
      <c r="AI87">
        <v>2064059</v>
      </c>
      <c r="AJ87">
        <v>2.62</v>
      </c>
    </row>
    <row r="88" spans="1:36">
      <c r="A88" s="1" t="s">
        <v>284</v>
      </c>
      <c r="B88" t="s">
        <v>963</v>
      </c>
      <c r="C88">
        <f>HYPERLINK("https://finance.naver.com/item/coinfo.nhn?code=035890", "A035890")</f>
        <v>0</v>
      </c>
      <c r="D88">
        <f>HYPERLINK("http://comp.fnguide.com/SVO2/ASP/SVD_Consensus.asp?pGB=1&amp;gicode=A035890&amp;cID=&amp;MenuYn=Y&amp;ReportGB=&amp;NewMenuID=108&amp;stkGb=701", "서희건설")</f>
        <v>0</v>
      </c>
      <c r="E88">
        <v>3</v>
      </c>
      <c r="F88">
        <v>2060</v>
      </c>
      <c r="G88">
        <v>0.06</v>
      </c>
      <c r="H88">
        <v>2.84</v>
      </c>
      <c r="I88">
        <v>6401</v>
      </c>
      <c r="J88">
        <v>4000</v>
      </c>
      <c r="K88">
        <v>3300</v>
      </c>
      <c r="L88">
        <v>-210.74</v>
      </c>
      <c r="M88">
        <v>-94.16</v>
      </c>
      <c r="N88">
        <v>-60.2</v>
      </c>
      <c r="O88">
        <v>22.31</v>
      </c>
      <c r="P88" t="b">
        <v>1</v>
      </c>
      <c r="Q88">
        <v>3</v>
      </c>
      <c r="R88">
        <v>539</v>
      </c>
      <c r="S88">
        <v>635</v>
      </c>
      <c r="T88">
        <v>17.8</v>
      </c>
      <c r="U88" t="s">
        <v>1642</v>
      </c>
      <c r="V88" t="s">
        <v>2321</v>
      </c>
      <c r="W88">
        <v>46.46153548374943</v>
      </c>
      <c r="X88">
        <v>83.5</v>
      </c>
      <c r="Y88" t="s">
        <v>2974</v>
      </c>
      <c r="Z88">
        <v>48.83626987787675</v>
      </c>
      <c r="AA88">
        <v>4734</v>
      </c>
      <c r="AB88">
        <v>2133924</v>
      </c>
      <c r="AC88" t="s">
        <v>3626</v>
      </c>
      <c r="AD88">
        <v>54.12</v>
      </c>
      <c r="AE88" t="s">
        <v>4305</v>
      </c>
      <c r="AF88" t="s">
        <v>4965</v>
      </c>
      <c r="AG88">
        <v>12783</v>
      </c>
      <c r="AH88">
        <v>1744</v>
      </c>
      <c r="AI88">
        <v>9575559</v>
      </c>
      <c r="AJ88">
        <v>2.61</v>
      </c>
    </row>
    <row r="89" spans="1:36">
      <c r="A89" s="1" t="s">
        <v>95</v>
      </c>
      <c r="B89" t="s">
        <v>774</v>
      </c>
      <c r="C89">
        <f>HYPERLINK("https://finance.naver.com/item/coinfo.nhn?code=109860", "A109860")</f>
        <v>0</v>
      </c>
      <c r="D89">
        <f>HYPERLINK("http://comp.fnguide.com/SVO2/ASP/SVD_Consensus.asp?pGB=1&amp;gicode=A109860&amp;cID=&amp;MenuYn=Y&amp;ReportGB=&amp;NewMenuID=108&amp;stkGb=701", "동일금속")</f>
        <v>0</v>
      </c>
      <c r="E89">
        <v>3</v>
      </c>
      <c r="F89">
        <v>14100</v>
      </c>
      <c r="G89">
        <v>0</v>
      </c>
      <c r="H89">
        <v>12.17</v>
      </c>
      <c r="I89">
        <v>21014</v>
      </c>
      <c r="J89">
        <v>20525</v>
      </c>
      <c r="K89">
        <v>20383</v>
      </c>
      <c r="L89">
        <v>-49.04</v>
      </c>
      <c r="M89">
        <v>-45.57</v>
      </c>
      <c r="N89">
        <v>-44.56</v>
      </c>
      <c r="O89">
        <v>8.550000000000001</v>
      </c>
      <c r="P89" t="b">
        <v>1</v>
      </c>
      <c r="Q89">
        <v>0</v>
      </c>
      <c r="R89">
        <v>949</v>
      </c>
      <c r="U89" t="s">
        <v>1453</v>
      </c>
      <c r="V89" t="s">
        <v>2132</v>
      </c>
      <c r="W89">
        <v>0</v>
      </c>
      <c r="X89">
        <v>-57.3</v>
      </c>
      <c r="Y89" t="s">
        <v>2808</v>
      </c>
      <c r="Z89">
        <v>-3.300128209877351</v>
      </c>
      <c r="AA89">
        <v>987</v>
      </c>
      <c r="AB89">
        <v>11502</v>
      </c>
      <c r="AC89" t="s">
        <v>3437</v>
      </c>
      <c r="AD89">
        <v>57.72</v>
      </c>
      <c r="AE89" t="s">
        <v>4116</v>
      </c>
      <c r="AF89" t="s">
        <v>4793</v>
      </c>
      <c r="AG89">
        <v>586</v>
      </c>
      <c r="AH89">
        <v>33</v>
      </c>
      <c r="AI89">
        <v>635894</v>
      </c>
      <c r="AJ89">
        <v>2.6</v>
      </c>
    </row>
    <row r="90" spans="1:36">
      <c r="A90" s="1" t="s">
        <v>363</v>
      </c>
      <c r="B90" t="s">
        <v>1042</v>
      </c>
      <c r="C90">
        <f>HYPERLINK("https://finance.naver.com/item/coinfo.nhn?code=072710", "A072710")</f>
        <v>0</v>
      </c>
      <c r="D90">
        <f>HYPERLINK("http://comp.fnguide.com/SVO2/ASP/SVD_Consensus.asp?pGB=1&amp;gicode=A072710&amp;cID=&amp;MenuYn=Y&amp;ReportGB=&amp;NewMenuID=108&amp;stkGb=701", "농심홀딩스")</f>
        <v>0</v>
      </c>
      <c r="E90">
        <v>3</v>
      </c>
      <c r="F90">
        <v>87700</v>
      </c>
      <c r="G90">
        <v>0</v>
      </c>
      <c r="H90">
        <v>5.25</v>
      </c>
      <c r="I90">
        <v>149028</v>
      </c>
      <c r="J90">
        <v>184995</v>
      </c>
      <c r="K90">
        <v>195472</v>
      </c>
      <c r="L90">
        <v>-69.93000000000001</v>
      </c>
      <c r="M90">
        <v>-110.94</v>
      </c>
      <c r="N90">
        <v>-122.89</v>
      </c>
      <c r="O90">
        <v>5.84</v>
      </c>
      <c r="P90" t="b">
        <v>1</v>
      </c>
      <c r="Q90">
        <v>0</v>
      </c>
      <c r="R90">
        <v>14746</v>
      </c>
      <c r="U90" t="s">
        <v>1721</v>
      </c>
      <c r="V90" t="s">
        <v>2400</v>
      </c>
      <c r="W90">
        <v>0</v>
      </c>
      <c r="X90">
        <v>87</v>
      </c>
      <c r="Y90" t="s">
        <v>3047</v>
      </c>
      <c r="Z90">
        <v>7.522995250930142</v>
      </c>
      <c r="AA90">
        <v>4067</v>
      </c>
      <c r="AB90">
        <v>73687</v>
      </c>
      <c r="AC90" t="s">
        <v>3705</v>
      </c>
      <c r="AD90">
        <v>66.59999999999999</v>
      </c>
      <c r="AE90" t="s">
        <v>4384</v>
      </c>
      <c r="AF90" t="s">
        <v>5037</v>
      </c>
      <c r="AG90">
        <v>5836</v>
      </c>
      <c r="AH90">
        <v>740</v>
      </c>
      <c r="AJ90">
        <v>2.58</v>
      </c>
    </row>
    <row r="91" spans="1:36">
      <c r="A91" s="1" t="s">
        <v>700</v>
      </c>
      <c r="B91" t="s">
        <v>1379</v>
      </c>
      <c r="C91">
        <f>HYPERLINK("https://finance.naver.com/item/coinfo.nhn?code=056190", "A056190")</f>
        <v>0</v>
      </c>
      <c r="D91">
        <f>HYPERLINK("http://comp.fnguide.com/SVO2/ASP/SVD_Consensus.asp?pGB=1&amp;gicode=A056190&amp;cID=&amp;MenuYn=Y&amp;ReportGB=&amp;NewMenuID=108&amp;stkGb=701", "에스에프에이")</f>
        <v>0</v>
      </c>
      <c r="E91">
        <v>1</v>
      </c>
      <c r="F91">
        <v>41900</v>
      </c>
      <c r="G91">
        <v>-3.06</v>
      </c>
      <c r="H91">
        <v>12.8</v>
      </c>
      <c r="I91">
        <v>50301</v>
      </c>
      <c r="J91">
        <v>37556</v>
      </c>
      <c r="K91">
        <v>33844</v>
      </c>
      <c r="L91">
        <v>-20.05</v>
      </c>
      <c r="M91">
        <v>10.37</v>
      </c>
      <c r="N91">
        <v>19.23</v>
      </c>
      <c r="O91">
        <v>14.33</v>
      </c>
      <c r="P91" t="b">
        <v>1</v>
      </c>
      <c r="Q91">
        <v>1</v>
      </c>
      <c r="R91">
        <v>3015</v>
      </c>
      <c r="S91">
        <v>3868</v>
      </c>
      <c r="T91">
        <v>28.3</v>
      </c>
      <c r="U91" t="s">
        <v>2058</v>
      </c>
      <c r="V91" t="s">
        <v>2737</v>
      </c>
      <c r="W91">
        <v>-4.188950939008407</v>
      </c>
      <c r="X91">
        <v>-18</v>
      </c>
      <c r="Y91" t="s">
        <v>3364</v>
      </c>
      <c r="Z91">
        <v>28.55223633732617</v>
      </c>
      <c r="AA91">
        <v>15046</v>
      </c>
      <c r="AB91">
        <v>301361</v>
      </c>
      <c r="AC91" t="s">
        <v>4042</v>
      </c>
      <c r="AD91">
        <v>54.03</v>
      </c>
      <c r="AE91" t="s">
        <v>4721</v>
      </c>
      <c r="AF91" t="s">
        <v>5363</v>
      </c>
      <c r="AG91">
        <v>15512</v>
      </c>
      <c r="AH91">
        <v>1673</v>
      </c>
      <c r="AI91">
        <v>8470</v>
      </c>
      <c r="AJ91">
        <v>2.46</v>
      </c>
    </row>
    <row r="92" spans="1:36">
      <c r="A92" s="1" t="s">
        <v>579</v>
      </c>
      <c r="B92" t="s">
        <v>1258</v>
      </c>
      <c r="C92">
        <f>HYPERLINK("https://finance.naver.com/item/coinfo.nhn?code=005680", "A005680")</f>
        <v>0</v>
      </c>
      <c r="D92">
        <f>HYPERLINK("http://comp.fnguide.com/SVO2/ASP/SVD_Consensus.asp?pGB=1&amp;gicode=A005680&amp;cID=&amp;MenuYn=Y&amp;ReportGB=&amp;NewMenuID=108&amp;stkGb=701", "삼영전자")</f>
        <v>0</v>
      </c>
      <c r="E92">
        <v>3</v>
      </c>
      <c r="F92">
        <v>12450</v>
      </c>
      <c r="G92">
        <v>-14.4</v>
      </c>
      <c r="H92">
        <v>17.86</v>
      </c>
      <c r="I92">
        <v>6838</v>
      </c>
      <c r="J92">
        <v>17355</v>
      </c>
      <c r="K92">
        <v>20419</v>
      </c>
      <c r="L92">
        <v>45.08</v>
      </c>
      <c r="M92">
        <v>-39.4</v>
      </c>
      <c r="N92">
        <v>-64.01000000000001</v>
      </c>
      <c r="O92">
        <v>2.29</v>
      </c>
      <c r="P92" t="b">
        <v>1</v>
      </c>
      <c r="Q92">
        <v>2</v>
      </c>
      <c r="R92">
        <v>571</v>
      </c>
      <c r="S92">
        <v>730</v>
      </c>
      <c r="T92">
        <v>27.8</v>
      </c>
      <c r="U92" t="s">
        <v>1937</v>
      </c>
      <c r="V92" t="s">
        <v>2616</v>
      </c>
      <c r="W92">
        <v>-1.240614938865459</v>
      </c>
      <c r="X92">
        <v>33.6</v>
      </c>
      <c r="Y92" t="s">
        <v>3250</v>
      </c>
      <c r="Z92">
        <v>-3.757838949966097</v>
      </c>
      <c r="AA92">
        <v>2490</v>
      </c>
      <c r="AB92">
        <v>360824</v>
      </c>
      <c r="AC92" t="s">
        <v>3921</v>
      </c>
      <c r="AD92">
        <v>53.59</v>
      </c>
      <c r="AE92" t="s">
        <v>4600</v>
      </c>
      <c r="AF92" t="s">
        <v>5246</v>
      </c>
      <c r="AG92">
        <v>2006</v>
      </c>
      <c r="AH92">
        <v>92</v>
      </c>
      <c r="AJ92">
        <v>2.45</v>
      </c>
    </row>
    <row r="93" spans="1:36">
      <c r="A93" s="1" t="s">
        <v>504</v>
      </c>
      <c r="B93" t="s">
        <v>1183</v>
      </c>
      <c r="C93">
        <f>HYPERLINK("https://finance.naver.com/item/coinfo.nhn?code=006880", "A006880")</f>
        <v>0</v>
      </c>
      <c r="D93">
        <f>HYPERLINK("http://comp.fnguide.com/SVO2/ASP/SVD_Consensus.asp?pGB=1&amp;gicode=A006880&amp;cID=&amp;MenuYn=Y&amp;ReportGB=&amp;NewMenuID=108&amp;stkGb=701", "신송홀딩스")</f>
        <v>0</v>
      </c>
      <c r="E93">
        <v>3</v>
      </c>
      <c r="F93">
        <v>5730</v>
      </c>
      <c r="G93">
        <v>0</v>
      </c>
      <c r="H93">
        <v>17.68</v>
      </c>
      <c r="I93">
        <v>1485</v>
      </c>
      <c r="J93">
        <v>5372</v>
      </c>
      <c r="K93">
        <v>6504</v>
      </c>
      <c r="L93">
        <v>74.09</v>
      </c>
      <c r="M93">
        <v>6.26</v>
      </c>
      <c r="N93">
        <v>-13.5</v>
      </c>
      <c r="O93">
        <v>1.52</v>
      </c>
      <c r="P93" t="b">
        <v>1</v>
      </c>
      <c r="Q93">
        <v>0</v>
      </c>
      <c r="R93">
        <v>231</v>
      </c>
      <c r="U93" t="s">
        <v>1862</v>
      </c>
      <c r="V93" t="s">
        <v>2541</v>
      </c>
      <c r="W93">
        <v>0</v>
      </c>
      <c r="X93">
        <v>0</v>
      </c>
      <c r="Y93" t="s">
        <v>2762</v>
      </c>
      <c r="Z93">
        <v>0</v>
      </c>
      <c r="AA93">
        <v>678</v>
      </c>
      <c r="AB93">
        <v>139289</v>
      </c>
      <c r="AC93" t="s">
        <v>3846</v>
      </c>
      <c r="AD93">
        <v>58.95</v>
      </c>
      <c r="AE93" t="s">
        <v>4525</v>
      </c>
      <c r="AF93" t="s">
        <v>5175</v>
      </c>
      <c r="AG93">
        <v>2059</v>
      </c>
      <c r="AH93">
        <v>52</v>
      </c>
      <c r="AI93">
        <v>631470</v>
      </c>
      <c r="AJ93">
        <v>2.45</v>
      </c>
    </row>
    <row r="94" spans="1:36">
      <c r="A94" s="1" t="s">
        <v>538</v>
      </c>
      <c r="B94" t="s">
        <v>1217</v>
      </c>
      <c r="C94">
        <f>HYPERLINK("https://finance.naver.com/item/coinfo.nhn?code=005820", "A005820")</f>
        <v>0</v>
      </c>
      <c r="D94">
        <f>HYPERLINK("http://comp.fnguide.com/SVO2/ASP/SVD_Consensus.asp?pGB=1&amp;gicode=A005820&amp;cID=&amp;MenuYn=Y&amp;ReportGB=&amp;NewMenuID=108&amp;stkGb=701", "원림")</f>
        <v>0</v>
      </c>
      <c r="E94">
        <v>3</v>
      </c>
      <c r="F94">
        <v>24550</v>
      </c>
      <c r="G94">
        <v>0</v>
      </c>
      <c r="H94">
        <v>2.83</v>
      </c>
      <c r="I94">
        <v>57907</v>
      </c>
      <c r="J94">
        <v>54028</v>
      </c>
      <c r="K94">
        <v>52898</v>
      </c>
      <c r="L94">
        <v>-135.88</v>
      </c>
      <c r="M94">
        <v>-120.07</v>
      </c>
      <c r="N94">
        <v>-115.47</v>
      </c>
      <c r="O94">
        <v>9.26</v>
      </c>
      <c r="P94" t="b">
        <v>1</v>
      </c>
      <c r="Q94">
        <v>0</v>
      </c>
      <c r="R94">
        <v>6961</v>
      </c>
      <c r="U94" t="s">
        <v>1896</v>
      </c>
      <c r="V94" t="s">
        <v>2575</v>
      </c>
      <c r="W94">
        <v>0</v>
      </c>
      <c r="X94">
        <v>439.3</v>
      </c>
      <c r="Y94" t="s">
        <v>3214</v>
      </c>
      <c r="Z94">
        <v>91.09548399603062</v>
      </c>
      <c r="AA94">
        <v>564</v>
      </c>
      <c r="AB94">
        <v>20318</v>
      </c>
      <c r="AC94" t="s">
        <v>3880</v>
      </c>
      <c r="AD94">
        <v>60.52</v>
      </c>
      <c r="AE94" t="s">
        <v>4559</v>
      </c>
      <c r="AF94" t="s">
        <v>5207</v>
      </c>
      <c r="AG94">
        <v>684</v>
      </c>
      <c r="AH94">
        <v>54</v>
      </c>
      <c r="AI94">
        <v>240590</v>
      </c>
      <c r="AJ94">
        <v>2.44</v>
      </c>
    </row>
    <row r="95" spans="1:36">
      <c r="A95" s="1" t="s">
        <v>595</v>
      </c>
      <c r="B95" t="s">
        <v>1274</v>
      </c>
      <c r="C95">
        <f>HYPERLINK("https://finance.naver.com/item/coinfo.nhn?code=075180", "A075180")</f>
        <v>0</v>
      </c>
      <c r="D95">
        <f>HYPERLINK("http://comp.fnguide.com/SVO2/ASP/SVD_Consensus.asp?pGB=1&amp;gicode=A075180&amp;cID=&amp;MenuYn=Y&amp;ReportGB=&amp;NewMenuID=108&amp;stkGb=701", "새론오토모티브")</f>
        <v>0</v>
      </c>
      <c r="E95">
        <v>3</v>
      </c>
      <c r="F95">
        <v>5980</v>
      </c>
      <c r="G95">
        <v>0</v>
      </c>
      <c r="H95">
        <v>19.28</v>
      </c>
      <c r="I95">
        <v>2745</v>
      </c>
      <c r="J95">
        <v>7856</v>
      </c>
      <c r="K95">
        <v>9344</v>
      </c>
      <c r="L95">
        <v>54.09</v>
      </c>
      <c r="M95">
        <v>-31.36</v>
      </c>
      <c r="N95">
        <v>-56.26</v>
      </c>
      <c r="O95">
        <v>1.99</v>
      </c>
      <c r="P95" t="b">
        <v>1</v>
      </c>
      <c r="Q95">
        <v>0</v>
      </c>
      <c r="R95">
        <v>321</v>
      </c>
      <c r="U95" t="s">
        <v>1953</v>
      </c>
      <c r="V95" t="s">
        <v>2632</v>
      </c>
      <c r="W95">
        <v>0</v>
      </c>
      <c r="X95">
        <v>0</v>
      </c>
      <c r="Y95" t="s">
        <v>3265</v>
      </c>
      <c r="Z95">
        <v>-33.20284413366619</v>
      </c>
      <c r="AA95">
        <v>1148</v>
      </c>
      <c r="AB95">
        <v>4798</v>
      </c>
      <c r="AC95" t="s">
        <v>3937</v>
      </c>
      <c r="AD95">
        <v>65.01000000000001</v>
      </c>
      <c r="AE95" t="s">
        <v>4616</v>
      </c>
      <c r="AF95" t="s">
        <v>5261</v>
      </c>
      <c r="AG95">
        <v>1357</v>
      </c>
      <c r="AH95">
        <v>-27</v>
      </c>
      <c r="AJ95">
        <v>2.43</v>
      </c>
    </row>
    <row r="96" spans="1:36">
      <c r="A96" s="1" t="s">
        <v>483</v>
      </c>
      <c r="B96" t="s">
        <v>1162</v>
      </c>
      <c r="C96">
        <f>HYPERLINK("https://finance.naver.com/item/coinfo.nhn?code=009160", "A009160")</f>
        <v>0</v>
      </c>
      <c r="D96">
        <f>HYPERLINK("http://comp.fnguide.com/SVO2/ASP/SVD_Consensus.asp?pGB=1&amp;gicode=A009160&amp;cID=&amp;MenuYn=Y&amp;ReportGB=&amp;NewMenuID=108&amp;stkGb=701", "SIMPAC")</f>
        <v>0</v>
      </c>
      <c r="E96">
        <v>3</v>
      </c>
      <c r="F96">
        <v>4800</v>
      </c>
      <c r="G96">
        <v>0</v>
      </c>
      <c r="H96">
        <v>4.73</v>
      </c>
      <c r="I96">
        <v>7990</v>
      </c>
      <c r="J96">
        <v>8178</v>
      </c>
      <c r="K96">
        <v>8233</v>
      </c>
      <c r="L96">
        <v>-66.45</v>
      </c>
      <c r="M96">
        <v>-70.37</v>
      </c>
      <c r="N96">
        <v>-71.51000000000001</v>
      </c>
      <c r="O96">
        <v>7.91</v>
      </c>
      <c r="P96" t="b">
        <v>0</v>
      </c>
      <c r="Q96">
        <v>0</v>
      </c>
      <c r="R96">
        <v>522</v>
      </c>
      <c r="U96" t="s">
        <v>1841</v>
      </c>
      <c r="V96" t="s">
        <v>2520</v>
      </c>
      <c r="W96">
        <v>0</v>
      </c>
      <c r="X96">
        <v>259.8</v>
      </c>
      <c r="Y96" t="s">
        <v>3163</v>
      </c>
      <c r="Z96">
        <v>-1.600102915036328</v>
      </c>
      <c r="AA96">
        <v>3141</v>
      </c>
      <c r="AB96">
        <v>492367</v>
      </c>
      <c r="AC96" t="s">
        <v>3825</v>
      </c>
      <c r="AD96">
        <v>60.01</v>
      </c>
      <c r="AE96" t="s">
        <v>4504</v>
      </c>
      <c r="AF96" t="s">
        <v>5154</v>
      </c>
      <c r="AG96">
        <v>3659</v>
      </c>
      <c r="AH96">
        <v>78</v>
      </c>
      <c r="AI96">
        <v>9568873</v>
      </c>
      <c r="AJ96">
        <v>2.43</v>
      </c>
    </row>
    <row r="97" spans="1:36">
      <c r="A97" s="1" t="s">
        <v>254</v>
      </c>
      <c r="B97" t="s">
        <v>933</v>
      </c>
      <c r="C97">
        <f>HYPERLINK("https://finance.naver.com/item/coinfo.nhn?code=031980", "A031980")</f>
        <v>0</v>
      </c>
      <c r="D97">
        <f>HYPERLINK("http://comp.fnguide.com/SVO2/ASP/SVD_Consensus.asp?pGB=1&amp;gicode=A031980&amp;cID=&amp;MenuYn=Y&amp;ReportGB=&amp;NewMenuID=108&amp;stkGb=701", "피에스케이홀딩스")</f>
        <v>0</v>
      </c>
      <c r="E97">
        <v>3</v>
      </c>
      <c r="F97">
        <v>11300</v>
      </c>
      <c r="G97">
        <v>0</v>
      </c>
      <c r="H97">
        <v>2.82</v>
      </c>
      <c r="I97">
        <v>28599</v>
      </c>
      <c r="J97">
        <v>17253</v>
      </c>
      <c r="K97">
        <v>13948</v>
      </c>
      <c r="L97">
        <v>-153.09</v>
      </c>
      <c r="M97">
        <v>-52.68</v>
      </c>
      <c r="N97">
        <v>-23.44</v>
      </c>
      <c r="O97">
        <v>24.75</v>
      </c>
      <c r="P97" t="b">
        <v>1</v>
      </c>
      <c r="Q97">
        <v>0</v>
      </c>
      <c r="R97">
        <v>2942</v>
      </c>
      <c r="U97" t="s">
        <v>1612</v>
      </c>
      <c r="V97" t="s">
        <v>2291</v>
      </c>
      <c r="W97">
        <v>0</v>
      </c>
      <c r="X97">
        <v>114.7</v>
      </c>
      <c r="Y97" t="s">
        <v>2948</v>
      </c>
      <c r="Z97">
        <v>34.47419789559669</v>
      </c>
      <c r="AA97">
        <v>2437</v>
      </c>
      <c r="AB97">
        <v>415139</v>
      </c>
      <c r="AC97" t="s">
        <v>3596</v>
      </c>
      <c r="AD97">
        <v>74.23</v>
      </c>
      <c r="AE97" t="s">
        <v>4275</v>
      </c>
      <c r="AF97" t="s">
        <v>4939</v>
      </c>
      <c r="AG97">
        <v>398</v>
      </c>
      <c r="AH97">
        <v>-25</v>
      </c>
      <c r="AI97">
        <v>766431</v>
      </c>
      <c r="AJ97">
        <v>2.41</v>
      </c>
    </row>
    <row r="98" spans="1:36">
      <c r="A98" s="1" t="s">
        <v>313</v>
      </c>
      <c r="B98" t="s">
        <v>992</v>
      </c>
      <c r="C98">
        <f>HYPERLINK("https://finance.naver.com/item/coinfo.nhn?code=039020", "A039020")</f>
        <v>0</v>
      </c>
      <c r="D98">
        <f>HYPERLINK("http://comp.fnguide.com/SVO2/ASP/SVD_Consensus.asp?pGB=1&amp;gicode=A039020&amp;cID=&amp;MenuYn=Y&amp;ReportGB=&amp;NewMenuID=108&amp;stkGb=701", "이건홀딩스")</f>
        <v>0</v>
      </c>
      <c r="E98">
        <v>3</v>
      </c>
      <c r="F98">
        <v>5090</v>
      </c>
      <c r="G98">
        <v>0</v>
      </c>
      <c r="I98">
        <v>2485</v>
      </c>
      <c r="J98">
        <v>5029</v>
      </c>
      <c r="K98">
        <v>5770</v>
      </c>
      <c r="L98">
        <v>51.17</v>
      </c>
      <c r="M98">
        <v>1.19</v>
      </c>
      <c r="N98">
        <v>-13.37</v>
      </c>
      <c r="O98">
        <v>3.02</v>
      </c>
      <c r="P98" t="b">
        <v>0</v>
      </c>
      <c r="Q98">
        <v>0</v>
      </c>
      <c r="R98">
        <v>-8</v>
      </c>
      <c r="U98" t="s">
        <v>1671</v>
      </c>
      <c r="V98" t="s">
        <v>2350</v>
      </c>
      <c r="W98">
        <v>0</v>
      </c>
      <c r="X98">
        <v>0</v>
      </c>
      <c r="Y98" t="s">
        <v>3001</v>
      </c>
      <c r="Z98">
        <v>-12.79730968797443</v>
      </c>
      <c r="AA98">
        <v>1150</v>
      </c>
      <c r="AB98">
        <v>501702</v>
      </c>
      <c r="AC98" t="s">
        <v>3655</v>
      </c>
      <c r="AD98">
        <v>53.15</v>
      </c>
      <c r="AE98" t="s">
        <v>4334</v>
      </c>
      <c r="AF98" t="s">
        <v>4992</v>
      </c>
      <c r="AG98">
        <v>4135</v>
      </c>
      <c r="AH98">
        <v>75</v>
      </c>
      <c r="AI98">
        <v>925488</v>
      </c>
      <c r="AJ98">
        <v>2.39</v>
      </c>
    </row>
    <row r="99" spans="1:36">
      <c r="A99" s="1" t="s">
        <v>505</v>
      </c>
      <c r="B99" t="s">
        <v>1184</v>
      </c>
      <c r="C99">
        <f>HYPERLINK("https://finance.naver.com/item/coinfo.nhn?code=071320", "A071320")</f>
        <v>0</v>
      </c>
      <c r="D99">
        <f>HYPERLINK("http://comp.fnguide.com/SVO2/ASP/SVD_Consensus.asp?pGB=1&amp;gicode=A071320&amp;cID=&amp;MenuYn=Y&amp;ReportGB=&amp;NewMenuID=108&amp;stkGb=701", "지역난방공사")</f>
        <v>0</v>
      </c>
      <c r="E99">
        <v>3</v>
      </c>
      <c r="F99">
        <v>42800</v>
      </c>
      <c r="G99">
        <v>0</v>
      </c>
      <c r="H99">
        <v>16.72</v>
      </c>
      <c r="I99">
        <v>15919</v>
      </c>
      <c r="J99">
        <v>98989</v>
      </c>
      <c r="K99">
        <v>123186</v>
      </c>
      <c r="L99">
        <v>62.81</v>
      </c>
      <c r="M99">
        <v>-131.28</v>
      </c>
      <c r="N99">
        <v>-187.82</v>
      </c>
      <c r="O99">
        <v>0.84</v>
      </c>
      <c r="P99" t="b">
        <v>0</v>
      </c>
      <c r="Q99">
        <v>3</v>
      </c>
      <c r="R99">
        <v>2413</v>
      </c>
      <c r="S99">
        <v>5644</v>
      </c>
      <c r="T99">
        <v>133.9</v>
      </c>
      <c r="U99" t="s">
        <v>1863</v>
      </c>
      <c r="V99" t="s">
        <v>2542</v>
      </c>
      <c r="W99">
        <v>0</v>
      </c>
      <c r="X99">
        <v>0</v>
      </c>
      <c r="Y99" t="s">
        <v>3183</v>
      </c>
      <c r="Z99">
        <v>-22.36019062362402</v>
      </c>
      <c r="AA99">
        <v>4956</v>
      </c>
      <c r="AB99">
        <v>13003</v>
      </c>
      <c r="AC99" t="s">
        <v>3847</v>
      </c>
      <c r="AD99">
        <v>75</v>
      </c>
      <c r="AE99" t="s">
        <v>4526</v>
      </c>
      <c r="AF99" t="s">
        <v>5176</v>
      </c>
      <c r="AG99">
        <v>20989</v>
      </c>
      <c r="AH99">
        <v>1329</v>
      </c>
      <c r="AJ99">
        <v>2.39</v>
      </c>
    </row>
    <row r="100" spans="1:36">
      <c r="A100" s="1" t="s">
        <v>112</v>
      </c>
      <c r="B100" t="s">
        <v>791</v>
      </c>
      <c r="C100">
        <f>HYPERLINK("https://finance.naver.com/item/coinfo.nhn?code=023460", "A023460")</f>
        <v>0</v>
      </c>
      <c r="D100">
        <f>HYPERLINK("http://comp.fnguide.com/SVO2/ASP/SVD_Consensus.asp?pGB=1&amp;gicode=A023460&amp;cID=&amp;MenuYn=Y&amp;ReportGB=&amp;NewMenuID=108&amp;stkGb=701", "CNH")</f>
        <v>0</v>
      </c>
      <c r="E100">
        <v>3</v>
      </c>
      <c r="F100">
        <v>3670</v>
      </c>
      <c r="G100">
        <v>0</v>
      </c>
      <c r="H100">
        <v>2.72</v>
      </c>
      <c r="I100">
        <v>7862</v>
      </c>
      <c r="J100">
        <v>5382</v>
      </c>
      <c r="K100">
        <v>4659</v>
      </c>
      <c r="L100">
        <v>-114.22</v>
      </c>
      <c r="M100">
        <v>-46.64</v>
      </c>
      <c r="N100">
        <v>-26.95</v>
      </c>
      <c r="O100">
        <v>17.53</v>
      </c>
      <c r="P100" t="b">
        <v>1</v>
      </c>
      <c r="Q100">
        <v>0</v>
      </c>
      <c r="R100">
        <v>785</v>
      </c>
      <c r="U100" t="s">
        <v>1470</v>
      </c>
      <c r="V100" t="s">
        <v>2149</v>
      </c>
      <c r="W100">
        <v>0</v>
      </c>
      <c r="Y100" t="s">
        <v>2823</v>
      </c>
      <c r="Z100">
        <v>-34.40012823114699</v>
      </c>
      <c r="AA100">
        <v>1365</v>
      </c>
      <c r="AB100">
        <v>91411</v>
      </c>
      <c r="AC100" t="s">
        <v>3454</v>
      </c>
      <c r="AD100">
        <v>65.61</v>
      </c>
      <c r="AE100" t="s">
        <v>4133</v>
      </c>
      <c r="AF100" t="s">
        <v>4808</v>
      </c>
      <c r="AG100">
        <v>885</v>
      </c>
      <c r="AH100">
        <v>556</v>
      </c>
      <c r="AI100">
        <v>2418619</v>
      </c>
      <c r="AJ100">
        <v>2.34</v>
      </c>
    </row>
    <row r="101" spans="1:36">
      <c r="A101" s="1" t="s">
        <v>470</v>
      </c>
      <c r="B101" t="s">
        <v>1149</v>
      </c>
      <c r="C101">
        <f>HYPERLINK("https://finance.naver.com/item/coinfo.nhn?code=037710", "A037710")</f>
        <v>0</v>
      </c>
      <c r="D101">
        <f>HYPERLINK("http://comp.fnguide.com/SVO2/ASP/SVD_Consensus.asp?pGB=1&amp;gicode=A037710&amp;cID=&amp;MenuYn=Y&amp;ReportGB=&amp;NewMenuID=108&amp;stkGb=701", "광주신세계")</f>
        <v>0</v>
      </c>
      <c r="E101">
        <v>3</v>
      </c>
      <c r="F101">
        <v>189500</v>
      </c>
      <c r="G101">
        <v>0</v>
      </c>
      <c r="H101">
        <v>5.67</v>
      </c>
      <c r="I101">
        <v>368768</v>
      </c>
      <c r="J101">
        <v>410356</v>
      </c>
      <c r="K101">
        <v>422470</v>
      </c>
      <c r="L101">
        <v>-94.59999999999999</v>
      </c>
      <c r="M101">
        <v>-116.55</v>
      </c>
      <c r="N101">
        <v>-122.94</v>
      </c>
      <c r="O101">
        <v>6.91</v>
      </c>
      <c r="P101" t="b">
        <v>1</v>
      </c>
      <c r="Q101">
        <v>0</v>
      </c>
      <c r="R101">
        <v>26975</v>
      </c>
      <c r="U101" t="s">
        <v>1828</v>
      </c>
      <c r="V101" t="s">
        <v>2507</v>
      </c>
      <c r="W101">
        <v>0</v>
      </c>
      <c r="X101">
        <v>-9.5</v>
      </c>
      <c r="Y101" t="s">
        <v>3151</v>
      </c>
      <c r="Z101">
        <v>-1.259553191421658</v>
      </c>
      <c r="AA101">
        <v>3032</v>
      </c>
      <c r="AB101">
        <v>3893</v>
      </c>
      <c r="AC101" t="s">
        <v>3812</v>
      </c>
      <c r="AD101">
        <v>62.5</v>
      </c>
      <c r="AE101" t="s">
        <v>4491</v>
      </c>
      <c r="AF101" t="s">
        <v>5143</v>
      </c>
      <c r="AG101">
        <v>1475</v>
      </c>
      <c r="AH101">
        <v>483</v>
      </c>
      <c r="AI101">
        <v>8562</v>
      </c>
      <c r="AJ101">
        <v>2.29</v>
      </c>
    </row>
    <row r="102" spans="1:36">
      <c r="A102" s="1" t="s">
        <v>567</v>
      </c>
      <c r="B102" t="s">
        <v>1246</v>
      </c>
      <c r="C102">
        <f>HYPERLINK("https://finance.naver.com/item/coinfo.nhn?code=002020", "A002020")</f>
        <v>0</v>
      </c>
      <c r="D102">
        <f>HYPERLINK("http://comp.fnguide.com/SVO2/ASP/SVD_Consensus.asp?pGB=1&amp;gicode=A002020&amp;cID=&amp;MenuYn=Y&amp;ReportGB=&amp;NewMenuID=108&amp;stkGb=701", "코오롱")</f>
        <v>0</v>
      </c>
      <c r="E102">
        <v>3</v>
      </c>
      <c r="F102">
        <v>32800</v>
      </c>
      <c r="G102">
        <v>0</v>
      </c>
      <c r="H102">
        <v>2</v>
      </c>
      <c r="I102">
        <v>79009</v>
      </c>
      <c r="J102">
        <v>65992</v>
      </c>
      <c r="K102">
        <v>62201</v>
      </c>
      <c r="L102">
        <v>-140.88</v>
      </c>
      <c r="M102">
        <v>-101.2</v>
      </c>
      <c r="N102">
        <v>-89.64</v>
      </c>
      <c r="O102">
        <v>11.38</v>
      </c>
      <c r="P102" t="b">
        <v>1</v>
      </c>
      <c r="Q102">
        <v>0</v>
      </c>
      <c r="R102">
        <v>10892</v>
      </c>
      <c r="U102" t="s">
        <v>1925</v>
      </c>
      <c r="V102" t="s">
        <v>2604</v>
      </c>
      <c r="W102">
        <v>0</v>
      </c>
      <c r="X102">
        <v>0</v>
      </c>
      <c r="Y102" t="s">
        <v>3238</v>
      </c>
      <c r="Z102">
        <v>321.4</v>
      </c>
      <c r="AA102">
        <v>4141</v>
      </c>
      <c r="AB102">
        <v>56104</v>
      </c>
      <c r="AC102" t="s">
        <v>3909</v>
      </c>
      <c r="AD102">
        <v>52.22</v>
      </c>
      <c r="AE102" t="s">
        <v>4588</v>
      </c>
      <c r="AF102" t="s">
        <v>5234</v>
      </c>
      <c r="AG102">
        <v>48902</v>
      </c>
      <c r="AH102">
        <v>2714</v>
      </c>
      <c r="AJ102">
        <v>2.29</v>
      </c>
    </row>
    <row r="103" spans="1:36">
      <c r="A103" s="1" t="s">
        <v>474</v>
      </c>
      <c r="B103" t="s">
        <v>1153</v>
      </c>
      <c r="C103">
        <f>HYPERLINK("https://finance.naver.com/item/coinfo.nhn?code=008870", "A008870")</f>
        <v>0</v>
      </c>
      <c r="D103">
        <f>HYPERLINK("http://comp.fnguide.com/SVO2/ASP/SVD_Consensus.asp?pGB=1&amp;gicode=A008870&amp;cID=&amp;MenuYn=Y&amp;ReportGB=&amp;NewMenuID=108&amp;stkGb=701", "금비")</f>
        <v>0</v>
      </c>
      <c r="E103">
        <v>3</v>
      </c>
      <c r="F103">
        <v>80300</v>
      </c>
      <c r="G103">
        <v>0</v>
      </c>
      <c r="I103">
        <v>50169</v>
      </c>
      <c r="J103">
        <v>93451</v>
      </c>
      <c r="K103">
        <v>106058</v>
      </c>
      <c r="L103">
        <v>37.52</v>
      </c>
      <c r="M103">
        <v>-16.38</v>
      </c>
      <c r="N103">
        <v>-32.08</v>
      </c>
      <c r="O103">
        <v>3.35</v>
      </c>
      <c r="P103" t="b">
        <v>0</v>
      </c>
      <c r="Q103">
        <v>0</v>
      </c>
      <c r="R103">
        <v>-3454</v>
      </c>
      <c r="U103" t="s">
        <v>1832</v>
      </c>
      <c r="V103" t="s">
        <v>2511</v>
      </c>
      <c r="W103">
        <v>0</v>
      </c>
      <c r="X103">
        <v>1351.1</v>
      </c>
      <c r="Y103" t="s">
        <v>3155</v>
      </c>
      <c r="Z103">
        <v>77.79664127259171</v>
      </c>
      <c r="AA103">
        <v>803</v>
      </c>
      <c r="AB103">
        <v>3626</v>
      </c>
      <c r="AC103" t="s">
        <v>3816</v>
      </c>
      <c r="AD103">
        <v>56.48</v>
      </c>
      <c r="AE103" t="s">
        <v>4495</v>
      </c>
      <c r="AF103" t="s">
        <v>5147</v>
      </c>
      <c r="AG103">
        <v>2193</v>
      </c>
      <c r="AH103">
        <v>66</v>
      </c>
      <c r="AI103">
        <v>190500</v>
      </c>
      <c r="AJ103">
        <v>2.27</v>
      </c>
    </row>
    <row r="104" spans="1:36">
      <c r="A104" s="1" t="s">
        <v>460</v>
      </c>
      <c r="B104" t="s">
        <v>1139</v>
      </c>
      <c r="C104">
        <f>HYPERLINK("https://finance.naver.com/item/coinfo.nhn?code=000860", "A000860")</f>
        <v>0</v>
      </c>
      <c r="D104">
        <f>HYPERLINK("http://comp.fnguide.com/SVO2/ASP/SVD_Consensus.asp?pGB=1&amp;gicode=A000860&amp;cID=&amp;MenuYn=Y&amp;ReportGB=&amp;NewMenuID=108&amp;stkGb=701", "강남제비스코")</f>
        <v>0</v>
      </c>
      <c r="E104">
        <v>3</v>
      </c>
      <c r="F104">
        <v>29800</v>
      </c>
      <c r="G104">
        <v>0</v>
      </c>
      <c r="H104">
        <v>6.14</v>
      </c>
      <c r="I104">
        <v>44861</v>
      </c>
      <c r="J104">
        <v>68126</v>
      </c>
      <c r="K104">
        <v>74903</v>
      </c>
      <c r="L104">
        <v>-50.54</v>
      </c>
      <c r="M104">
        <v>-128.61</v>
      </c>
      <c r="N104">
        <v>-151.35</v>
      </c>
      <c r="O104">
        <v>4.39</v>
      </c>
      <c r="P104" t="b">
        <v>1</v>
      </c>
      <c r="Q104">
        <v>0</v>
      </c>
      <c r="R104">
        <v>3583</v>
      </c>
      <c r="U104" t="s">
        <v>1818</v>
      </c>
      <c r="V104" t="s">
        <v>2497</v>
      </c>
      <c r="W104">
        <v>0</v>
      </c>
      <c r="X104">
        <v>59.3</v>
      </c>
      <c r="Y104" t="s">
        <v>3141</v>
      </c>
      <c r="Z104">
        <v>-10.34142121327194</v>
      </c>
      <c r="AA104">
        <v>1937</v>
      </c>
      <c r="AB104">
        <v>16671</v>
      </c>
      <c r="AC104" t="s">
        <v>3802</v>
      </c>
      <c r="AD104">
        <v>50.74</v>
      </c>
      <c r="AE104" t="s">
        <v>4481</v>
      </c>
      <c r="AF104" t="s">
        <v>5133</v>
      </c>
      <c r="AG104">
        <v>3408</v>
      </c>
      <c r="AH104">
        <v>27</v>
      </c>
      <c r="AJ104">
        <v>2.27</v>
      </c>
    </row>
    <row r="105" spans="1:36">
      <c r="A105" s="1" t="s">
        <v>50</v>
      </c>
      <c r="B105" t="s">
        <v>729</v>
      </c>
      <c r="C105">
        <f>HYPERLINK("https://finance.naver.com/item/coinfo.nhn?code=005710", "A005710")</f>
        <v>0</v>
      </c>
      <c r="D105">
        <f>HYPERLINK("http://comp.fnguide.com/SVO2/ASP/SVD_Consensus.asp?pGB=1&amp;gicode=A005710&amp;cID=&amp;MenuYn=Y&amp;ReportGB=&amp;NewMenuID=108&amp;stkGb=701", "대원산업")</f>
        <v>0</v>
      </c>
      <c r="E105">
        <v>3</v>
      </c>
      <c r="F105">
        <v>8270</v>
      </c>
      <c r="G105">
        <v>0</v>
      </c>
      <c r="H105">
        <v>6.13</v>
      </c>
      <c r="I105">
        <v>18201</v>
      </c>
      <c r="J105">
        <v>17241</v>
      </c>
      <c r="K105">
        <v>16961</v>
      </c>
      <c r="L105">
        <v>-120.09</v>
      </c>
      <c r="M105">
        <v>-108.47</v>
      </c>
      <c r="N105">
        <v>-105.09</v>
      </c>
      <c r="O105">
        <v>9.02</v>
      </c>
      <c r="P105" t="b">
        <v>1</v>
      </c>
      <c r="Q105">
        <v>0</v>
      </c>
      <c r="R105">
        <v>902</v>
      </c>
      <c r="U105" t="s">
        <v>1408</v>
      </c>
      <c r="V105" t="s">
        <v>2087</v>
      </c>
      <c r="W105">
        <v>0</v>
      </c>
      <c r="X105">
        <v>-53.8</v>
      </c>
      <c r="Y105" t="s">
        <v>2766</v>
      </c>
      <c r="Z105">
        <v>23.12287626922349</v>
      </c>
      <c r="AA105">
        <v>1657</v>
      </c>
      <c r="AB105">
        <v>57683</v>
      </c>
      <c r="AC105" t="s">
        <v>3392</v>
      </c>
      <c r="AD105">
        <v>61.55</v>
      </c>
      <c r="AE105" t="s">
        <v>4071</v>
      </c>
      <c r="AF105" t="s">
        <v>4750</v>
      </c>
      <c r="AG105">
        <v>6426</v>
      </c>
      <c r="AH105">
        <v>281</v>
      </c>
      <c r="AJ105">
        <v>2.26</v>
      </c>
    </row>
    <row r="106" spans="1:36">
      <c r="A106" s="1" t="s">
        <v>390</v>
      </c>
      <c r="B106" t="s">
        <v>1069</v>
      </c>
      <c r="C106">
        <f>HYPERLINK("https://finance.naver.com/item/coinfo.nhn?code=100220", "A100220")</f>
        <v>0</v>
      </c>
      <c r="D106">
        <f>HYPERLINK("http://comp.fnguide.com/SVO2/ASP/SVD_Consensus.asp?pGB=1&amp;gicode=A100220&amp;cID=&amp;MenuYn=Y&amp;ReportGB=&amp;NewMenuID=108&amp;stkGb=701", "비상교육")</f>
        <v>0</v>
      </c>
      <c r="E106">
        <v>3</v>
      </c>
      <c r="F106">
        <v>8490</v>
      </c>
      <c r="G106">
        <v>0</v>
      </c>
      <c r="I106">
        <v>3855</v>
      </c>
      <c r="J106">
        <v>11063</v>
      </c>
      <c r="K106">
        <v>13162</v>
      </c>
      <c r="L106">
        <v>54.6</v>
      </c>
      <c r="M106">
        <v>-30.3</v>
      </c>
      <c r="N106">
        <v>-55.03</v>
      </c>
      <c r="O106">
        <v>1.98</v>
      </c>
      <c r="P106" t="b">
        <v>0</v>
      </c>
      <c r="Q106">
        <v>0</v>
      </c>
      <c r="R106">
        <v>-1142</v>
      </c>
      <c r="U106" t="s">
        <v>1748</v>
      </c>
      <c r="V106" t="s">
        <v>2427</v>
      </c>
      <c r="W106">
        <v>0</v>
      </c>
      <c r="X106">
        <v>0</v>
      </c>
      <c r="Y106" t="s">
        <v>3072</v>
      </c>
      <c r="Z106">
        <v>-9.520795333315357</v>
      </c>
      <c r="AA106">
        <v>1103</v>
      </c>
      <c r="AB106">
        <v>1855718</v>
      </c>
      <c r="AC106" t="s">
        <v>3732</v>
      </c>
      <c r="AD106">
        <v>54.44</v>
      </c>
      <c r="AE106" t="s">
        <v>4411</v>
      </c>
      <c r="AF106" t="s">
        <v>5063</v>
      </c>
      <c r="AG106">
        <v>1723</v>
      </c>
      <c r="AH106">
        <v>-149</v>
      </c>
      <c r="AI106">
        <v>745226</v>
      </c>
      <c r="AJ106">
        <v>2.26</v>
      </c>
    </row>
    <row r="107" spans="1:36">
      <c r="A107" s="1" t="s">
        <v>148</v>
      </c>
      <c r="B107" t="s">
        <v>827</v>
      </c>
      <c r="C107">
        <f>HYPERLINK("https://finance.naver.com/item/coinfo.nhn?code=027410", "A027410")</f>
        <v>0</v>
      </c>
      <c r="D107">
        <f>HYPERLINK("http://comp.fnguide.com/SVO2/ASP/SVD_Consensus.asp?pGB=1&amp;gicode=A027410&amp;cID=&amp;MenuYn=Y&amp;ReportGB=&amp;NewMenuID=108&amp;stkGb=701", "BGF")</f>
        <v>0</v>
      </c>
      <c r="E107">
        <v>3</v>
      </c>
      <c r="F107">
        <v>6930</v>
      </c>
      <c r="G107">
        <v>-1.99</v>
      </c>
      <c r="H107">
        <v>17.2</v>
      </c>
      <c r="I107">
        <v>4301</v>
      </c>
      <c r="J107">
        <v>11120</v>
      </c>
      <c r="K107">
        <v>13107</v>
      </c>
      <c r="L107">
        <v>37.94</v>
      </c>
      <c r="M107">
        <v>-60.47</v>
      </c>
      <c r="N107">
        <v>-89.13</v>
      </c>
      <c r="O107">
        <v>2.24</v>
      </c>
      <c r="P107" t="b">
        <v>0</v>
      </c>
      <c r="Q107">
        <v>2</v>
      </c>
      <c r="R107">
        <v>285</v>
      </c>
      <c r="S107">
        <v>439</v>
      </c>
      <c r="T107">
        <v>54</v>
      </c>
      <c r="U107" t="s">
        <v>1506</v>
      </c>
      <c r="V107" t="s">
        <v>2185</v>
      </c>
      <c r="W107">
        <v>-8.660317157527263</v>
      </c>
      <c r="X107">
        <v>1.2</v>
      </c>
      <c r="Y107" t="s">
        <v>2856</v>
      </c>
      <c r="Z107">
        <v>-37.36030599958705</v>
      </c>
      <c r="AA107">
        <v>6633</v>
      </c>
      <c r="AB107">
        <v>231169</v>
      </c>
      <c r="AC107" t="s">
        <v>3490</v>
      </c>
      <c r="AD107">
        <v>69.7</v>
      </c>
      <c r="AE107" t="s">
        <v>4169</v>
      </c>
      <c r="AF107" t="s">
        <v>4842</v>
      </c>
      <c r="AG107">
        <v>1544</v>
      </c>
      <c r="AH107">
        <v>146</v>
      </c>
      <c r="AI107">
        <v>8024</v>
      </c>
      <c r="AJ107">
        <v>2.25</v>
      </c>
    </row>
    <row r="108" spans="1:36">
      <c r="A108" s="1" t="s">
        <v>354</v>
      </c>
      <c r="B108" t="s">
        <v>1033</v>
      </c>
      <c r="C108">
        <f>HYPERLINK("https://finance.naver.com/item/coinfo.nhn?code=006040", "A006040")</f>
        <v>0</v>
      </c>
      <c r="D108">
        <f>HYPERLINK("http://comp.fnguide.com/SVO2/ASP/SVD_Consensus.asp?pGB=1&amp;gicode=A006040&amp;cID=&amp;MenuYn=Y&amp;ReportGB=&amp;NewMenuID=108&amp;stkGb=701", "동원산업")</f>
        <v>0</v>
      </c>
      <c r="E108">
        <v>3</v>
      </c>
      <c r="F108">
        <v>294000</v>
      </c>
      <c r="G108">
        <v>0.14</v>
      </c>
      <c r="H108">
        <v>3.4</v>
      </c>
      <c r="I108">
        <v>589439</v>
      </c>
      <c r="J108">
        <v>457134</v>
      </c>
      <c r="K108">
        <v>418596</v>
      </c>
      <c r="L108">
        <v>-100.49</v>
      </c>
      <c r="M108">
        <v>-55.49</v>
      </c>
      <c r="N108">
        <v>-42.38</v>
      </c>
      <c r="O108">
        <v>13.21</v>
      </c>
      <c r="P108" t="b">
        <v>0</v>
      </c>
      <c r="Q108">
        <v>0</v>
      </c>
      <c r="R108">
        <v>65430</v>
      </c>
      <c r="S108">
        <v>39427</v>
      </c>
      <c r="T108">
        <v>-39.7</v>
      </c>
      <c r="U108" t="s">
        <v>1712</v>
      </c>
      <c r="V108" t="s">
        <v>2391</v>
      </c>
      <c r="W108">
        <v>24.3103805298277</v>
      </c>
      <c r="X108">
        <v>418</v>
      </c>
      <c r="Y108" t="s">
        <v>3038</v>
      </c>
      <c r="Z108">
        <v>80.12767240121019</v>
      </c>
      <c r="AA108">
        <v>10812</v>
      </c>
      <c r="AB108">
        <v>5003</v>
      </c>
      <c r="AC108" t="s">
        <v>3696</v>
      </c>
      <c r="AD108">
        <v>63.3</v>
      </c>
      <c r="AE108" t="s">
        <v>4375</v>
      </c>
      <c r="AF108" t="s">
        <v>5028</v>
      </c>
      <c r="AG108">
        <v>28573</v>
      </c>
      <c r="AH108">
        <v>3065</v>
      </c>
      <c r="AI108">
        <v>266581</v>
      </c>
      <c r="AJ108">
        <v>2.25</v>
      </c>
    </row>
    <row r="109" spans="1:36">
      <c r="A109" s="1" t="s">
        <v>373</v>
      </c>
      <c r="B109" t="s">
        <v>1052</v>
      </c>
      <c r="C109">
        <f>HYPERLINK("https://finance.naver.com/item/coinfo.nhn?code=084690", "A084690")</f>
        <v>0</v>
      </c>
      <c r="D109">
        <f>HYPERLINK("http://comp.fnguide.com/SVO2/ASP/SVD_Consensus.asp?pGB=1&amp;gicode=A084690&amp;cID=&amp;MenuYn=Y&amp;ReportGB=&amp;NewMenuID=108&amp;stkGb=701", "대상홀딩스")</f>
        <v>0</v>
      </c>
      <c r="E109">
        <v>3</v>
      </c>
      <c r="F109">
        <v>13150</v>
      </c>
      <c r="G109">
        <v>0</v>
      </c>
      <c r="H109">
        <v>4.32</v>
      </c>
      <c r="I109">
        <v>26829</v>
      </c>
      <c r="J109">
        <v>21604</v>
      </c>
      <c r="K109">
        <v>20082</v>
      </c>
      <c r="L109">
        <v>-104.02</v>
      </c>
      <c r="M109">
        <v>-64.29000000000001</v>
      </c>
      <c r="N109">
        <v>-52.72</v>
      </c>
      <c r="O109">
        <v>12.23</v>
      </c>
      <c r="P109" t="b">
        <v>1</v>
      </c>
      <c r="Q109">
        <v>0</v>
      </c>
      <c r="R109">
        <v>2360</v>
      </c>
      <c r="U109" t="s">
        <v>1731</v>
      </c>
      <c r="V109" t="s">
        <v>2410</v>
      </c>
      <c r="W109">
        <v>0</v>
      </c>
      <c r="X109">
        <v>21.3</v>
      </c>
      <c r="Y109" t="s">
        <v>3056</v>
      </c>
      <c r="Z109">
        <v>29.13118606169656</v>
      </c>
      <c r="AA109">
        <v>4762</v>
      </c>
      <c r="AB109">
        <v>341945</v>
      </c>
      <c r="AC109" t="s">
        <v>3715</v>
      </c>
      <c r="AD109">
        <v>67.3</v>
      </c>
      <c r="AE109" t="s">
        <v>4394</v>
      </c>
      <c r="AF109" t="s">
        <v>5046</v>
      </c>
      <c r="AG109">
        <v>37543</v>
      </c>
      <c r="AH109">
        <v>2070</v>
      </c>
      <c r="AJ109">
        <v>2.16</v>
      </c>
    </row>
    <row r="110" spans="1:36">
      <c r="A110" s="1" t="s">
        <v>633</v>
      </c>
      <c r="B110" t="s">
        <v>1312</v>
      </c>
      <c r="C110">
        <f>HYPERLINK("https://finance.naver.com/item/coinfo.nhn?code=033290", "A033290")</f>
        <v>0</v>
      </c>
      <c r="D110">
        <f>HYPERLINK("http://comp.fnguide.com/SVO2/ASP/SVD_Consensus.asp?pGB=1&amp;gicode=A033290&amp;cID=&amp;MenuYn=Y&amp;ReportGB=&amp;NewMenuID=108&amp;stkGb=701", "코웰패션")</f>
        <v>0</v>
      </c>
      <c r="E110">
        <v>1</v>
      </c>
      <c r="F110">
        <v>6760</v>
      </c>
      <c r="G110">
        <v>0.9</v>
      </c>
      <c r="H110">
        <v>8.289999999999999</v>
      </c>
      <c r="I110">
        <v>9601</v>
      </c>
      <c r="J110">
        <v>5891</v>
      </c>
      <c r="K110">
        <v>4810</v>
      </c>
      <c r="L110">
        <v>-42.03</v>
      </c>
      <c r="M110">
        <v>12.86</v>
      </c>
      <c r="N110">
        <v>28.85</v>
      </c>
      <c r="O110">
        <v>23.53</v>
      </c>
      <c r="P110" t="b">
        <v>1</v>
      </c>
      <c r="Q110">
        <v>3</v>
      </c>
      <c r="R110">
        <v>684</v>
      </c>
      <c r="S110">
        <v>724</v>
      </c>
      <c r="T110">
        <v>5.8</v>
      </c>
      <c r="U110" t="s">
        <v>1991</v>
      </c>
      <c r="V110" t="s">
        <v>2670</v>
      </c>
      <c r="W110">
        <v>9.226813177137405</v>
      </c>
      <c r="X110">
        <v>20.5</v>
      </c>
      <c r="Y110" t="s">
        <v>3302</v>
      </c>
      <c r="Z110">
        <v>40.76396215499487</v>
      </c>
      <c r="AA110">
        <v>5983</v>
      </c>
      <c r="AB110">
        <v>375555</v>
      </c>
      <c r="AC110" t="s">
        <v>3975</v>
      </c>
      <c r="AD110">
        <v>70.83</v>
      </c>
      <c r="AE110" t="s">
        <v>4654</v>
      </c>
      <c r="AF110" t="s">
        <v>5297</v>
      </c>
      <c r="AG110">
        <v>4264</v>
      </c>
      <c r="AH110">
        <v>801</v>
      </c>
      <c r="AI110">
        <v>3171107</v>
      </c>
      <c r="AJ110">
        <v>2.12</v>
      </c>
    </row>
    <row r="111" spans="1:36">
      <c r="A111" s="1" t="s">
        <v>70</v>
      </c>
      <c r="B111" t="s">
        <v>749</v>
      </c>
      <c r="C111">
        <f>HYPERLINK("https://finance.naver.com/item/coinfo.nhn?code=121440", "A121440")</f>
        <v>0</v>
      </c>
      <c r="D111">
        <f>HYPERLINK("http://comp.fnguide.com/SVO2/ASP/SVD_Consensus.asp?pGB=1&amp;gicode=A121440&amp;cID=&amp;MenuYn=Y&amp;ReportGB=&amp;NewMenuID=108&amp;stkGb=701", "골프존뉴딘홀딩스")</f>
        <v>0</v>
      </c>
      <c r="E111">
        <v>3</v>
      </c>
      <c r="F111">
        <v>9040</v>
      </c>
      <c r="G111">
        <v>0</v>
      </c>
      <c r="H111">
        <v>8.42</v>
      </c>
      <c r="I111">
        <v>4116</v>
      </c>
      <c r="J111">
        <v>8186</v>
      </c>
      <c r="K111">
        <v>9372</v>
      </c>
      <c r="L111">
        <v>54.46</v>
      </c>
      <c r="M111">
        <v>9.44</v>
      </c>
      <c r="N111">
        <v>-3.67</v>
      </c>
      <c r="O111">
        <v>3.08</v>
      </c>
      <c r="P111" t="b">
        <v>1</v>
      </c>
      <c r="Q111">
        <v>0</v>
      </c>
      <c r="R111">
        <v>658</v>
      </c>
      <c r="U111" t="s">
        <v>1428</v>
      </c>
      <c r="V111" t="s">
        <v>2107</v>
      </c>
      <c r="W111">
        <v>0</v>
      </c>
      <c r="X111">
        <v>0</v>
      </c>
      <c r="Y111" t="s">
        <v>2784</v>
      </c>
      <c r="Z111">
        <v>-99.59999999999999</v>
      </c>
      <c r="AA111">
        <v>3872</v>
      </c>
      <c r="AB111">
        <v>1020138</v>
      </c>
      <c r="AC111" t="s">
        <v>3412</v>
      </c>
      <c r="AD111">
        <v>56.89</v>
      </c>
      <c r="AE111" t="s">
        <v>4091</v>
      </c>
      <c r="AF111" t="s">
        <v>4768</v>
      </c>
      <c r="AG111">
        <v>2920</v>
      </c>
      <c r="AH111">
        <v>300</v>
      </c>
      <c r="AI111">
        <v>77616</v>
      </c>
      <c r="AJ111">
        <v>2.11</v>
      </c>
    </row>
    <row r="112" spans="1:36">
      <c r="A112" s="1" t="s">
        <v>381</v>
      </c>
      <c r="B112" t="s">
        <v>1060</v>
      </c>
      <c r="C112">
        <f>HYPERLINK("https://finance.naver.com/item/coinfo.nhn?code=033920", "A033920")</f>
        <v>0</v>
      </c>
      <c r="D112">
        <f>HYPERLINK("http://comp.fnguide.com/SVO2/ASP/SVD_Consensus.asp?pGB=1&amp;gicode=A033920&amp;cID=&amp;MenuYn=Y&amp;ReportGB=&amp;NewMenuID=108&amp;stkGb=701", "무학")</f>
        <v>0</v>
      </c>
      <c r="E112">
        <v>3</v>
      </c>
      <c r="F112">
        <v>9190</v>
      </c>
      <c r="G112">
        <v>0</v>
      </c>
      <c r="H112">
        <v>15.44</v>
      </c>
      <c r="I112">
        <v>6626</v>
      </c>
      <c r="J112">
        <v>14156</v>
      </c>
      <c r="K112">
        <v>16349</v>
      </c>
      <c r="L112">
        <v>27.9</v>
      </c>
      <c r="M112">
        <v>-54.04</v>
      </c>
      <c r="N112">
        <v>-77.90000000000001</v>
      </c>
      <c r="O112">
        <v>2.82</v>
      </c>
      <c r="P112" t="b">
        <v>0</v>
      </c>
      <c r="Q112">
        <v>0</v>
      </c>
      <c r="R112">
        <v>465</v>
      </c>
      <c r="U112" t="s">
        <v>1739</v>
      </c>
      <c r="V112" t="s">
        <v>2418</v>
      </c>
      <c r="W112">
        <v>0</v>
      </c>
      <c r="X112">
        <v>-44.1</v>
      </c>
      <c r="Y112" t="s">
        <v>3063</v>
      </c>
      <c r="Z112">
        <v>-0.01149372100560653</v>
      </c>
      <c r="AA112">
        <v>2619</v>
      </c>
      <c r="AB112">
        <v>57406</v>
      </c>
      <c r="AC112" t="s">
        <v>3723</v>
      </c>
      <c r="AD112">
        <v>61.46</v>
      </c>
      <c r="AE112" t="s">
        <v>4402</v>
      </c>
      <c r="AF112" t="s">
        <v>5054</v>
      </c>
      <c r="AG112">
        <v>1394</v>
      </c>
      <c r="AH112">
        <v>20</v>
      </c>
      <c r="AI112">
        <v>1313132</v>
      </c>
      <c r="AJ112">
        <v>2.09</v>
      </c>
    </row>
    <row r="113" spans="1:36">
      <c r="A113" s="1" t="s">
        <v>61</v>
      </c>
      <c r="B113" t="s">
        <v>740</v>
      </c>
      <c r="C113">
        <f>HYPERLINK("https://finance.naver.com/item/coinfo.nhn?code=021320", "A021320")</f>
        <v>0</v>
      </c>
      <c r="D113">
        <f>HYPERLINK("http://comp.fnguide.com/SVO2/ASP/SVD_Consensus.asp?pGB=1&amp;gicode=A021320&amp;cID=&amp;MenuYn=Y&amp;ReportGB=&amp;NewMenuID=108&amp;stkGb=701", "KCC건설")</f>
        <v>0</v>
      </c>
      <c r="E113">
        <v>3</v>
      </c>
      <c r="F113">
        <v>10800</v>
      </c>
      <c r="G113">
        <v>0</v>
      </c>
      <c r="H113">
        <v>4.92</v>
      </c>
      <c r="I113">
        <v>20947</v>
      </c>
      <c r="J113">
        <v>20432</v>
      </c>
      <c r="K113">
        <v>20282</v>
      </c>
      <c r="L113">
        <v>-93.95</v>
      </c>
      <c r="M113">
        <v>-89.18000000000001</v>
      </c>
      <c r="N113">
        <v>-87.8</v>
      </c>
      <c r="O113">
        <v>8.58</v>
      </c>
      <c r="P113" t="b">
        <v>1</v>
      </c>
      <c r="Q113">
        <v>0</v>
      </c>
      <c r="R113">
        <v>1759</v>
      </c>
      <c r="U113" t="s">
        <v>1419</v>
      </c>
      <c r="V113" t="s">
        <v>2098</v>
      </c>
      <c r="W113">
        <v>0</v>
      </c>
      <c r="X113">
        <v>33.3</v>
      </c>
      <c r="Y113" t="s">
        <v>2776</v>
      </c>
      <c r="Z113">
        <v>22.60147004924522</v>
      </c>
      <c r="AA113">
        <v>2311</v>
      </c>
      <c r="AB113">
        <v>36378</v>
      </c>
      <c r="AC113" t="s">
        <v>3403</v>
      </c>
      <c r="AD113">
        <v>66.26000000000001</v>
      </c>
      <c r="AE113" t="s">
        <v>4082</v>
      </c>
      <c r="AF113" t="s">
        <v>4760</v>
      </c>
      <c r="AG113">
        <v>11016</v>
      </c>
      <c r="AH113">
        <v>543</v>
      </c>
      <c r="AI113">
        <v>1454564</v>
      </c>
      <c r="AJ113">
        <v>2.08</v>
      </c>
    </row>
    <row r="114" spans="1:36">
      <c r="A114" s="1" t="s">
        <v>167</v>
      </c>
      <c r="B114" t="s">
        <v>846</v>
      </c>
      <c r="C114">
        <f>HYPERLINK("https://finance.naver.com/item/coinfo.nhn?code=126560", "A126560")</f>
        <v>0</v>
      </c>
      <c r="D114">
        <f>HYPERLINK("http://comp.fnguide.com/SVO2/ASP/SVD_Consensus.asp?pGB=1&amp;gicode=A126560&amp;cID=&amp;MenuYn=Y&amp;ReportGB=&amp;NewMenuID=108&amp;stkGb=701", "현대퓨처넷")</f>
        <v>0</v>
      </c>
      <c r="E114">
        <v>3</v>
      </c>
      <c r="F114">
        <v>4360</v>
      </c>
      <c r="G114">
        <v>0</v>
      </c>
      <c r="I114">
        <v>2054</v>
      </c>
      <c r="J114">
        <v>4560</v>
      </c>
      <c r="K114">
        <v>5290</v>
      </c>
      <c r="L114">
        <v>52.89</v>
      </c>
      <c r="M114">
        <v>-4.59</v>
      </c>
      <c r="N114">
        <v>-21.33</v>
      </c>
      <c r="O114">
        <v>2.69</v>
      </c>
      <c r="P114" t="b">
        <v>0</v>
      </c>
      <c r="Q114">
        <v>0</v>
      </c>
      <c r="R114">
        <v>-261</v>
      </c>
      <c r="U114" t="s">
        <v>1525</v>
      </c>
      <c r="V114" t="s">
        <v>2204</v>
      </c>
      <c r="W114">
        <v>0</v>
      </c>
      <c r="X114">
        <v>0</v>
      </c>
      <c r="Y114" t="s">
        <v>2873</v>
      </c>
      <c r="Z114">
        <v>-0.5797369747711834</v>
      </c>
      <c r="AA114">
        <v>4921</v>
      </c>
      <c r="AB114">
        <v>305851</v>
      </c>
      <c r="AC114" t="s">
        <v>3509</v>
      </c>
      <c r="AD114">
        <v>66.20999999999999</v>
      </c>
      <c r="AE114" t="s">
        <v>4188</v>
      </c>
      <c r="AF114" t="s">
        <v>4860</v>
      </c>
      <c r="AG114">
        <v>3080</v>
      </c>
      <c r="AH114">
        <v>219</v>
      </c>
      <c r="AI114">
        <v>2723241</v>
      </c>
      <c r="AJ114">
        <v>2.08</v>
      </c>
    </row>
    <row r="115" spans="1:36">
      <c r="A115" s="1" t="s">
        <v>586</v>
      </c>
      <c r="B115" t="s">
        <v>1265</v>
      </c>
      <c r="C115">
        <f>HYPERLINK("https://finance.naver.com/item/coinfo.nhn?code=145990", "A145990")</f>
        <v>0</v>
      </c>
      <c r="D115">
        <f>HYPERLINK("http://comp.fnguide.com/SVO2/ASP/SVD_Consensus.asp?pGB=1&amp;gicode=A145990&amp;cID=&amp;MenuYn=Y&amp;ReportGB=&amp;NewMenuID=108&amp;stkGb=701", "삼양사")</f>
        <v>0</v>
      </c>
      <c r="E115">
        <v>3</v>
      </c>
      <c r="F115">
        <v>65700</v>
      </c>
      <c r="G115">
        <v>0</v>
      </c>
      <c r="H115">
        <v>11.19</v>
      </c>
      <c r="I115">
        <v>62351</v>
      </c>
      <c r="J115">
        <v>97087</v>
      </c>
      <c r="K115">
        <v>107204</v>
      </c>
      <c r="L115">
        <v>5.1</v>
      </c>
      <c r="M115">
        <v>-47.77</v>
      </c>
      <c r="N115">
        <v>-63.17</v>
      </c>
      <c r="O115">
        <v>4.24</v>
      </c>
      <c r="P115" t="b">
        <v>1</v>
      </c>
      <c r="Q115">
        <v>0</v>
      </c>
      <c r="R115">
        <v>5396</v>
      </c>
      <c r="U115" t="s">
        <v>1944</v>
      </c>
      <c r="V115" t="s">
        <v>2623</v>
      </c>
      <c r="W115">
        <v>0</v>
      </c>
      <c r="X115">
        <v>70.09999999999999</v>
      </c>
      <c r="Y115" t="s">
        <v>3257</v>
      </c>
      <c r="Z115">
        <v>-6.468021598201701</v>
      </c>
      <c r="AA115">
        <v>6776</v>
      </c>
      <c r="AB115">
        <v>77480</v>
      </c>
      <c r="AC115" t="s">
        <v>3928</v>
      </c>
      <c r="AD115">
        <v>64.14</v>
      </c>
      <c r="AE115" t="s">
        <v>4607</v>
      </c>
      <c r="AF115" t="s">
        <v>5253</v>
      </c>
      <c r="AG115">
        <v>20518</v>
      </c>
      <c r="AH115">
        <v>1116</v>
      </c>
      <c r="AI115">
        <v>647125</v>
      </c>
      <c r="AJ115">
        <v>2.07</v>
      </c>
    </row>
    <row r="116" spans="1:36">
      <c r="A116" s="1" t="s">
        <v>643</v>
      </c>
      <c r="B116" t="s">
        <v>1322</v>
      </c>
      <c r="C116">
        <f>HYPERLINK("https://finance.naver.com/item/coinfo.nhn?code=003070", "A003070")</f>
        <v>0</v>
      </c>
      <c r="D116">
        <f>HYPERLINK("http://comp.fnguide.com/SVO2/ASP/SVD_Consensus.asp?pGB=1&amp;gicode=A003070&amp;cID=&amp;MenuYn=Y&amp;ReportGB=&amp;NewMenuID=108&amp;stkGb=701", "코오롱글로벌")</f>
        <v>0</v>
      </c>
      <c r="E116">
        <v>1</v>
      </c>
      <c r="F116">
        <v>26500</v>
      </c>
      <c r="G116">
        <v>0.06</v>
      </c>
      <c r="H116">
        <v>5.96</v>
      </c>
      <c r="I116">
        <v>27966</v>
      </c>
      <c r="J116">
        <v>22553</v>
      </c>
      <c r="K116">
        <v>20976</v>
      </c>
      <c r="L116">
        <v>-5.53</v>
      </c>
      <c r="M116">
        <v>14.89</v>
      </c>
      <c r="N116">
        <v>20.84</v>
      </c>
      <c r="O116">
        <v>12.19</v>
      </c>
      <c r="P116" t="b">
        <v>1</v>
      </c>
      <c r="Q116">
        <v>3</v>
      </c>
      <c r="R116">
        <v>3238</v>
      </c>
      <c r="S116">
        <v>5079</v>
      </c>
      <c r="T116">
        <v>56.9</v>
      </c>
      <c r="U116" t="s">
        <v>2001</v>
      </c>
      <c r="V116" t="s">
        <v>2680</v>
      </c>
      <c r="W116">
        <v>99.58821809350344</v>
      </c>
      <c r="X116">
        <v>129.5</v>
      </c>
      <c r="Y116" t="s">
        <v>3312</v>
      </c>
      <c r="Z116">
        <v>82.84561079676547</v>
      </c>
      <c r="AA116">
        <v>6681</v>
      </c>
      <c r="AB116">
        <v>111706</v>
      </c>
      <c r="AC116" t="s">
        <v>3985</v>
      </c>
      <c r="AD116">
        <v>76.65000000000001</v>
      </c>
      <c r="AE116" t="s">
        <v>4664</v>
      </c>
      <c r="AF116" t="s">
        <v>5307</v>
      </c>
      <c r="AG116">
        <v>39282</v>
      </c>
      <c r="AH116">
        <v>1763</v>
      </c>
      <c r="AI116">
        <v>84095</v>
      </c>
      <c r="AJ116">
        <v>2.07</v>
      </c>
    </row>
    <row r="117" spans="1:36">
      <c r="A117" s="1" t="s">
        <v>147</v>
      </c>
      <c r="B117" t="s">
        <v>826</v>
      </c>
      <c r="C117">
        <f>HYPERLINK("https://finance.naver.com/item/coinfo.nhn?code=023350", "A023350")</f>
        <v>0</v>
      </c>
      <c r="D117">
        <f>HYPERLINK("http://comp.fnguide.com/SVO2/ASP/SVD_Consensus.asp?pGB=1&amp;gicode=A023350&amp;cID=&amp;MenuYn=Y&amp;ReportGB=&amp;NewMenuID=108&amp;stkGb=701", "한국종합기술")</f>
        <v>0</v>
      </c>
      <c r="E117">
        <v>3</v>
      </c>
      <c r="F117">
        <v>8850</v>
      </c>
      <c r="G117">
        <v>0</v>
      </c>
      <c r="H117">
        <v>8.33</v>
      </c>
      <c r="I117">
        <v>4116</v>
      </c>
      <c r="J117">
        <v>9521</v>
      </c>
      <c r="K117">
        <v>11096</v>
      </c>
      <c r="L117">
        <v>53.49</v>
      </c>
      <c r="M117">
        <v>-7.58</v>
      </c>
      <c r="N117">
        <v>-25.37</v>
      </c>
      <c r="O117">
        <v>2.56</v>
      </c>
      <c r="P117" t="b">
        <v>1</v>
      </c>
      <c r="Q117">
        <v>0</v>
      </c>
      <c r="R117">
        <v>591</v>
      </c>
      <c r="U117" t="s">
        <v>1505</v>
      </c>
      <c r="V117" t="s">
        <v>2184</v>
      </c>
      <c r="W117">
        <v>0</v>
      </c>
      <c r="X117">
        <v>0</v>
      </c>
      <c r="Y117" t="s">
        <v>2855</v>
      </c>
      <c r="Z117">
        <v>159.4</v>
      </c>
      <c r="AA117">
        <v>969</v>
      </c>
      <c r="AB117">
        <v>563699</v>
      </c>
      <c r="AC117" t="s">
        <v>3489</v>
      </c>
      <c r="AD117">
        <v>53.63</v>
      </c>
      <c r="AE117" t="s">
        <v>4168</v>
      </c>
      <c r="AF117" t="s">
        <v>4841</v>
      </c>
      <c r="AG117">
        <v>2882</v>
      </c>
      <c r="AH117">
        <v>46</v>
      </c>
      <c r="AI117">
        <v>546085</v>
      </c>
      <c r="AJ117">
        <v>2.03</v>
      </c>
    </row>
    <row r="118" spans="1:36">
      <c r="A118" s="1" t="s">
        <v>553</v>
      </c>
      <c r="B118" t="s">
        <v>1232</v>
      </c>
      <c r="C118">
        <f>HYPERLINK("https://finance.naver.com/item/coinfo.nhn?code=014440", "A014440")</f>
        <v>0</v>
      </c>
      <c r="D118">
        <f>HYPERLINK("http://comp.fnguide.com/SVO2/ASP/SVD_Consensus.asp?pGB=1&amp;gicode=A014440&amp;cID=&amp;MenuYn=Y&amp;ReportGB=&amp;NewMenuID=108&amp;stkGb=701", "영보화학")</f>
        <v>0</v>
      </c>
      <c r="E118">
        <v>3</v>
      </c>
      <c r="F118">
        <v>4950</v>
      </c>
      <c r="G118">
        <v>0</v>
      </c>
      <c r="H118">
        <v>26.07</v>
      </c>
      <c r="I118">
        <v>2609</v>
      </c>
      <c r="J118">
        <v>5552</v>
      </c>
      <c r="K118">
        <v>6409</v>
      </c>
      <c r="L118">
        <v>47.3</v>
      </c>
      <c r="M118">
        <v>-12.16</v>
      </c>
      <c r="N118">
        <v>-29.48</v>
      </c>
      <c r="O118">
        <v>2.84</v>
      </c>
      <c r="P118" t="b">
        <v>1</v>
      </c>
      <c r="Q118">
        <v>0</v>
      </c>
      <c r="R118">
        <v>142</v>
      </c>
      <c r="U118" t="s">
        <v>1911</v>
      </c>
      <c r="V118" t="s">
        <v>2590</v>
      </c>
      <c r="W118">
        <v>0</v>
      </c>
      <c r="X118">
        <v>-44.5</v>
      </c>
      <c r="Y118" t="s">
        <v>3225</v>
      </c>
      <c r="Z118">
        <v>-20.79683405786</v>
      </c>
      <c r="AA118">
        <v>990</v>
      </c>
      <c r="AB118">
        <v>471696</v>
      </c>
      <c r="AC118" t="s">
        <v>3895</v>
      </c>
      <c r="AD118">
        <v>51</v>
      </c>
      <c r="AE118" t="s">
        <v>4574</v>
      </c>
      <c r="AF118" t="s">
        <v>5220</v>
      </c>
      <c r="AG118">
        <v>1074</v>
      </c>
      <c r="AH118">
        <v>44</v>
      </c>
      <c r="AI118">
        <v>500000</v>
      </c>
      <c r="AJ118">
        <v>2.02</v>
      </c>
    </row>
    <row r="119" spans="1:36">
      <c r="A119" s="1" t="s">
        <v>624</v>
      </c>
      <c r="B119" t="s">
        <v>1303</v>
      </c>
      <c r="C119">
        <f>HYPERLINK("https://finance.naver.com/item/coinfo.nhn?code=036670", "A036670")</f>
        <v>0</v>
      </c>
      <c r="D119">
        <f>HYPERLINK("http://comp.fnguide.com/SVO2/ASP/SVD_Consensus.asp?pGB=1&amp;gicode=A036670&amp;cID=&amp;MenuYn=Y&amp;ReportGB=&amp;NewMenuID=108&amp;stkGb=701", "KCI")</f>
        <v>0</v>
      </c>
      <c r="E119">
        <v>2</v>
      </c>
      <c r="F119">
        <v>9810</v>
      </c>
      <c r="G119">
        <v>0</v>
      </c>
      <c r="H119">
        <v>10.62</v>
      </c>
      <c r="I119">
        <v>14040</v>
      </c>
      <c r="J119">
        <v>9819</v>
      </c>
      <c r="K119">
        <v>8589</v>
      </c>
      <c r="L119">
        <v>-43.12</v>
      </c>
      <c r="M119">
        <v>-0.09</v>
      </c>
      <c r="N119">
        <v>12.45</v>
      </c>
      <c r="O119">
        <v>16.65</v>
      </c>
      <c r="P119" t="b">
        <v>1</v>
      </c>
      <c r="Q119">
        <v>0</v>
      </c>
      <c r="R119">
        <v>942</v>
      </c>
      <c r="U119" t="s">
        <v>1982</v>
      </c>
      <c r="V119" t="s">
        <v>2661</v>
      </c>
      <c r="W119">
        <v>0</v>
      </c>
      <c r="X119">
        <v>-7</v>
      </c>
      <c r="Y119" t="s">
        <v>3293</v>
      </c>
      <c r="Z119">
        <v>14.24402259634179</v>
      </c>
      <c r="AA119">
        <v>1106</v>
      </c>
      <c r="AB119">
        <v>33463</v>
      </c>
      <c r="AC119" t="s">
        <v>3966</v>
      </c>
      <c r="AD119">
        <v>50.02</v>
      </c>
      <c r="AE119" t="s">
        <v>4645</v>
      </c>
      <c r="AF119" t="s">
        <v>5288</v>
      </c>
      <c r="AG119">
        <v>733</v>
      </c>
      <c r="AH119">
        <v>141</v>
      </c>
      <c r="AI119">
        <v>509800</v>
      </c>
      <c r="AJ119">
        <v>2</v>
      </c>
    </row>
    <row r="120" spans="1:36">
      <c r="A120" s="1" t="s">
        <v>583</v>
      </c>
      <c r="B120" t="s">
        <v>1262</v>
      </c>
      <c r="C120">
        <f>HYPERLINK("https://finance.naver.com/item/coinfo.nhn?code=002170", "A002170")</f>
        <v>0</v>
      </c>
      <c r="D120">
        <f>HYPERLINK("http://comp.fnguide.com/SVO2/ASP/SVD_Consensus.asp?pGB=1&amp;gicode=A002170&amp;cID=&amp;MenuYn=Y&amp;ReportGB=&amp;NewMenuID=108&amp;stkGb=701", "삼양통상")</f>
        <v>0</v>
      </c>
      <c r="E120">
        <v>3</v>
      </c>
      <c r="F120">
        <v>87000</v>
      </c>
      <c r="G120">
        <v>0</v>
      </c>
      <c r="H120">
        <v>3.77</v>
      </c>
      <c r="I120">
        <v>213573</v>
      </c>
      <c r="J120">
        <v>165012</v>
      </c>
      <c r="K120">
        <v>150868</v>
      </c>
      <c r="L120">
        <v>-145.49</v>
      </c>
      <c r="M120">
        <v>-89.67</v>
      </c>
      <c r="N120">
        <v>-73.41</v>
      </c>
      <c r="O120">
        <v>13.32</v>
      </c>
      <c r="P120" t="b">
        <v>1</v>
      </c>
      <c r="Q120">
        <v>0</v>
      </c>
      <c r="R120">
        <v>16637</v>
      </c>
      <c r="U120" t="s">
        <v>1941</v>
      </c>
      <c r="V120" t="s">
        <v>2620</v>
      </c>
      <c r="W120">
        <v>0</v>
      </c>
      <c r="X120">
        <v>12.9</v>
      </c>
      <c r="Y120" t="s">
        <v>3254</v>
      </c>
      <c r="Z120">
        <v>36.51723785450231</v>
      </c>
      <c r="AA120">
        <v>2610</v>
      </c>
      <c r="AB120">
        <v>3209</v>
      </c>
      <c r="AC120" t="s">
        <v>3925</v>
      </c>
      <c r="AD120">
        <v>55.32</v>
      </c>
      <c r="AE120" t="s">
        <v>4604</v>
      </c>
      <c r="AF120" t="s">
        <v>5250</v>
      </c>
      <c r="AG120">
        <v>1984</v>
      </c>
      <c r="AH120">
        <v>577</v>
      </c>
      <c r="AI120">
        <v>150575</v>
      </c>
      <c r="AJ120">
        <v>1.99</v>
      </c>
    </row>
    <row r="121" spans="1:36">
      <c r="A121" s="1" t="s">
        <v>389</v>
      </c>
      <c r="B121" t="s">
        <v>1068</v>
      </c>
      <c r="C121">
        <f>HYPERLINK("https://finance.naver.com/item/coinfo.nhn?code=015350", "A015350")</f>
        <v>0</v>
      </c>
      <c r="D121">
        <f>HYPERLINK("http://comp.fnguide.com/SVO2/ASP/SVD_Consensus.asp?pGB=1&amp;gicode=A015350&amp;cID=&amp;MenuYn=Y&amp;ReportGB=&amp;NewMenuID=108&amp;stkGb=701", "부산가스")</f>
        <v>0</v>
      </c>
      <c r="E121">
        <v>3</v>
      </c>
      <c r="F121">
        <v>64400</v>
      </c>
      <c r="G121">
        <v>0</v>
      </c>
      <c r="H121">
        <v>3.13</v>
      </c>
      <c r="I121">
        <v>164026</v>
      </c>
      <c r="J121">
        <v>118068</v>
      </c>
      <c r="K121">
        <v>104682</v>
      </c>
      <c r="L121">
        <v>-154.7</v>
      </c>
      <c r="M121">
        <v>-83.34</v>
      </c>
      <c r="N121">
        <v>-62.55</v>
      </c>
      <c r="O121">
        <v>15.56</v>
      </c>
      <c r="P121" t="b">
        <v>1</v>
      </c>
      <c r="Q121">
        <v>0</v>
      </c>
      <c r="R121">
        <v>16307</v>
      </c>
      <c r="U121" t="s">
        <v>1747</v>
      </c>
      <c r="V121" t="s">
        <v>2426</v>
      </c>
      <c r="W121">
        <v>0</v>
      </c>
      <c r="X121">
        <v>266.6</v>
      </c>
      <c r="Y121" t="s">
        <v>3071</v>
      </c>
      <c r="Z121">
        <v>33.9957762222032</v>
      </c>
      <c r="AA121">
        <v>7084</v>
      </c>
      <c r="AB121">
        <v>11687</v>
      </c>
      <c r="AC121" t="s">
        <v>3731</v>
      </c>
      <c r="AD121">
        <v>67.31999999999999</v>
      </c>
      <c r="AE121" t="s">
        <v>4410</v>
      </c>
      <c r="AF121" t="s">
        <v>5062</v>
      </c>
      <c r="AG121">
        <v>9221</v>
      </c>
      <c r="AH121">
        <v>351</v>
      </c>
      <c r="AI121">
        <v>999000</v>
      </c>
      <c r="AJ121">
        <v>1.96</v>
      </c>
    </row>
    <row r="122" spans="1:36">
      <c r="A122" s="1" t="s">
        <v>256</v>
      </c>
      <c r="B122" t="s">
        <v>935</v>
      </c>
      <c r="C122">
        <f>HYPERLINK("https://finance.naver.com/item/coinfo.nhn?code=043370", "A043370")</f>
        <v>0</v>
      </c>
      <c r="D122">
        <f>HYPERLINK("http://comp.fnguide.com/SVO2/ASP/SVD_Consensus.asp?pGB=1&amp;gicode=A043370&amp;cID=&amp;MenuYn=Y&amp;ReportGB=&amp;NewMenuID=108&amp;stkGb=701", "피에이치에이")</f>
        <v>0</v>
      </c>
      <c r="E122">
        <v>3</v>
      </c>
      <c r="F122">
        <v>10550</v>
      </c>
      <c r="G122">
        <v>-3.41</v>
      </c>
      <c r="H122">
        <v>24.3</v>
      </c>
      <c r="I122">
        <v>13834</v>
      </c>
      <c r="J122">
        <v>22560</v>
      </c>
      <c r="K122">
        <v>25101</v>
      </c>
      <c r="L122">
        <v>-31.13</v>
      </c>
      <c r="M122">
        <v>-113.84</v>
      </c>
      <c r="N122">
        <v>-137.93</v>
      </c>
      <c r="O122">
        <v>3.99</v>
      </c>
      <c r="P122" t="b">
        <v>1</v>
      </c>
      <c r="Q122">
        <v>1</v>
      </c>
      <c r="R122">
        <v>377</v>
      </c>
      <c r="S122">
        <v>1714</v>
      </c>
      <c r="T122">
        <v>354.6</v>
      </c>
      <c r="U122" t="s">
        <v>1614</v>
      </c>
      <c r="V122" t="s">
        <v>2293</v>
      </c>
      <c r="W122">
        <v>-7.120574803564084</v>
      </c>
      <c r="X122">
        <v>-74.90000000000001</v>
      </c>
      <c r="Y122" t="s">
        <v>2950</v>
      </c>
      <c r="Z122">
        <v>1.509108765619205</v>
      </c>
      <c r="AA122">
        <v>2216</v>
      </c>
      <c r="AB122">
        <v>155277</v>
      </c>
      <c r="AC122" t="s">
        <v>3598</v>
      </c>
      <c r="AD122">
        <v>54.63</v>
      </c>
      <c r="AE122" t="s">
        <v>4277</v>
      </c>
      <c r="AF122" t="s">
        <v>4941</v>
      </c>
      <c r="AG122">
        <v>9491</v>
      </c>
      <c r="AH122">
        <v>143</v>
      </c>
      <c r="AI122">
        <v>463438</v>
      </c>
      <c r="AJ122">
        <v>1.96</v>
      </c>
    </row>
    <row r="123" spans="1:36">
      <c r="A123" s="1" t="s">
        <v>662</v>
      </c>
      <c r="B123" t="s">
        <v>1341</v>
      </c>
      <c r="C123">
        <f>HYPERLINK("https://finance.naver.com/item/coinfo.nhn?code=049770", "A049770")</f>
        <v>0</v>
      </c>
      <c r="D123">
        <f>HYPERLINK("http://comp.fnguide.com/SVO2/ASP/SVD_Consensus.asp?pGB=1&amp;gicode=A049770&amp;cID=&amp;MenuYn=Y&amp;ReportGB=&amp;NewMenuID=108&amp;stkGb=701", "동원F&amp;B")</f>
        <v>0</v>
      </c>
      <c r="E123">
        <v>1</v>
      </c>
      <c r="F123">
        <v>234000</v>
      </c>
      <c r="G123">
        <v>0.59</v>
      </c>
      <c r="H123">
        <v>8.859999999999999</v>
      </c>
      <c r="I123">
        <v>243261</v>
      </c>
      <c r="J123">
        <v>213729</v>
      </c>
      <c r="K123">
        <v>205127</v>
      </c>
      <c r="L123">
        <v>-3.96</v>
      </c>
      <c r="M123">
        <v>8.66</v>
      </c>
      <c r="N123">
        <v>12.34</v>
      </c>
      <c r="O123">
        <v>10.33</v>
      </c>
      <c r="P123" t="b">
        <v>1</v>
      </c>
      <c r="Q123">
        <v>3</v>
      </c>
      <c r="R123">
        <v>20194</v>
      </c>
      <c r="S123">
        <v>22406</v>
      </c>
      <c r="T123">
        <v>11</v>
      </c>
      <c r="U123" t="s">
        <v>2020</v>
      </c>
      <c r="V123" t="s">
        <v>2699</v>
      </c>
      <c r="W123">
        <v>15.1226431981885</v>
      </c>
      <c r="X123">
        <v>18.7</v>
      </c>
      <c r="Y123" t="s">
        <v>3330</v>
      </c>
      <c r="Z123">
        <v>6.517134076483311</v>
      </c>
      <c r="AA123">
        <v>9030</v>
      </c>
      <c r="AB123">
        <v>20534</v>
      </c>
      <c r="AC123" t="s">
        <v>4004</v>
      </c>
      <c r="AD123">
        <v>74.40000000000001</v>
      </c>
      <c r="AE123" t="s">
        <v>4683</v>
      </c>
      <c r="AF123" t="s">
        <v>5326</v>
      </c>
      <c r="AG123">
        <v>31703</v>
      </c>
      <c r="AH123">
        <v>1163</v>
      </c>
      <c r="AJ123">
        <v>1.96</v>
      </c>
    </row>
    <row r="124" spans="1:36">
      <c r="A124" s="1" t="s">
        <v>42</v>
      </c>
      <c r="B124" t="s">
        <v>721</v>
      </c>
      <c r="C124">
        <f>HYPERLINK("https://finance.naver.com/item/coinfo.nhn?code=032190", "A032190")</f>
        <v>0</v>
      </c>
      <c r="D124">
        <f>HYPERLINK("http://comp.fnguide.com/SVO2/ASP/SVD_Consensus.asp?pGB=1&amp;gicode=A032190&amp;cID=&amp;MenuYn=Y&amp;ReportGB=&amp;NewMenuID=108&amp;stkGb=701", "다우데이타")</f>
        <v>0</v>
      </c>
      <c r="E124">
        <v>3</v>
      </c>
      <c r="F124">
        <v>14200</v>
      </c>
      <c r="G124">
        <v>0</v>
      </c>
      <c r="H124">
        <v>5.1</v>
      </c>
      <c r="I124">
        <v>30120</v>
      </c>
      <c r="J124">
        <v>23851</v>
      </c>
      <c r="K124">
        <v>22026</v>
      </c>
      <c r="L124">
        <v>-112.11</v>
      </c>
      <c r="M124">
        <v>-67.97</v>
      </c>
      <c r="N124">
        <v>-55.11</v>
      </c>
      <c r="O124">
        <v>12.65</v>
      </c>
      <c r="P124" t="b">
        <v>1</v>
      </c>
      <c r="Q124">
        <v>0</v>
      </c>
      <c r="R124">
        <v>2510</v>
      </c>
      <c r="U124" t="s">
        <v>1400</v>
      </c>
      <c r="V124" t="s">
        <v>2079</v>
      </c>
      <c r="W124">
        <v>0</v>
      </c>
      <c r="X124">
        <v>40.8</v>
      </c>
      <c r="Y124" t="s">
        <v>2758</v>
      </c>
      <c r="Z124">
        <v>0.6283258597342467</v>
      </c>
      <c r="AA124">
        <v>5439</v>
      </c>
      <c r="AB124">
        <v>211302</v>
      </c>
      <c r="AC124" t="s">
        <v>3384</v>
      </c>
      <c r="AD124">
        <v>67.67</v>
      </c>
      <c r="AE124" t="s">
        <v>4063</v>
      </c>
      <c r="AF124" t="s">
        <v>4742</v>
      </c>
      <c r="AG124">
        <v>50939</v>
      </c>
      <c r="AH124">
        <v>10553</v>
      </c>
      <c r="AJ124">
        <v>1.95</v>
      </c>
    </row>
    <row r="125" spans="1:36">
      <c r="A125" s="1" t="s">
        <v>663</v>
      </c>
      <c r="B125" t="s">
        <v>1342</v>
      </c>
      <c r="C125">
        <f>HYPERLINK("https://finance.naver.com/item/coinfo.nhn?code=119860", "A119860")</f>
        <v>0</v>
      </c>
      <c r="D125">
        <f>HYPERLINK("http://comp.fnguide.com/SVO2/ASP/SVD_Consensus.asp?pGB=1&amp;gicode=A119860&amp;cID=&amp;MenuYn=Y&amp;ReportGB=&amp;NewMenuID=108&amp;stkGb=701", "다나와")</f>
        <v>0</v>
      </c>
      <c r="E125">
        <v>1</v>
      </c>
      <c r="F125">
        <v>29650</v>
      </c>
      <c r="G125">
        <v>0.46</v>
      </c>
      <c r="H125">
        <v>13</v>
      </c>
      <c r="I125">
        <v>30449</v>
      </c>
      <c r="J125">
        <v>18633</v>
      </c>
      <c r="K125">
        <v>15191</v>
      </c>
      <c r="L125">
        <v>-2.7</v>
      </c>
      <c r="M125">
        <v>37.16</v>
      </c>
      <c r="N125">
        <v>48.76</v>
      </c>
      <c r="O125">
        <v>23.71</v>
      </c>
      <c r="P125" t="b">
        <v>1</v>
      </c>
      <c r="Q125">
        <v>3</v>
      </c>
      <c r="R125">
        <v>2366</v>
      </c>
      <c r="S125">
        <v>2654</v>
      </c>
      <c r="T125">
        <v>12.2</v>
      </c>
      <c r="U125" t="s">
        <v>2021</v>
      </c>
      <c r="V125" t="s">
        <v>2700</v>
      </c>
      <c r="W125">
        <v>28.36929419770928</v>
      </c>
      <c r="X125">
        <v>31.2</v>
      </c>
      <c r="Y125" t="s">
        <v>3331</v>
      </c>
      <c r="Z125">
        <v>38.50733258623564</v>
      </c>
      <c r="AA125">
        <v>3877</v>
      </c>
      <c r="AB125">
        <v>50574</v>
      </c>
      <c r="AC125" t="s">
        <v>4005</v>
      </c>
      <c r="AD125">
        <v>51.35</v>
      </c>
      <c r="AE125" t="s">
        <v>4684</v>
      </c>
      <c r="AF125" t="s">
        <v>5327</v>
      </c>
      <c r="AG125">
        <v>2320</v>
      </c>
      <c r="AH125">
        <v>378</v>
      </c>
      <c r="AI125">
        <v>115000</v>
      </c>
      <c r="AJ125">
        <v>1.95</v>
      </c>
    </row>
    <row r="126" spans="1:36">
      <c r="A126" s="1" t="s">
        <v>40</v>
      </c>
      <c r="B126" t="s">
        <v>719</v>
      </c>
      <c r="C126">
        <f>HYPERLINK("https://finance.naver.com/item/coinfo.nhn?code=054050", "A054050")</f>
        <v>0</v>
      </c>
      <c r="D126">
        <f>HYPERLINK("http://comp.fnguide.com/SVO2/ASP/SVD_Consensus.asp?pGB=1&amp;gicode=A054050&amp;cID=&amp;MenuYn=Y&amp;ReportGB=&amp;NewMenuID=108&amp;stkGb=701", "농우바이오")</f>
        <v>0</v>
      </c>
      <c r="E126">
        <v>3</v>
      </c>
      <c r="F126">
        <v>13200</v>
      </c>
      <c r="G126">
        <v>0</v>
      </c>
      <c r="H126">
        <v>17.82</v>
      </c>
      <c r="I126">
        <v>9696</v>
      </c>
      <c r="J126">
        <v>12685</v>
      </c>
      <c r="K126">
        <v>13556</v>
      </c>
      <c r="L126">
        <v>26.54</v>
      </c>
      <c r="M126">
        <v>3.9</v>
      </c>
      <c r="N126">
        <v>-2.69</v>
      </c>
      <c r="O126">
        <v>5.41</v>
      </c>
      <c r="P126" t="b">
        <v>0</v>
      </c>
      <c r="Q126">
        <v>0</v>
      </c>
      <c r="R126">
        <v>586</v>
      </c>
      <c r="U126" t="s">
        <v>1398</v>
      </c>
      <c r="V126" t="s">
        <v>2077</v>
      </c>
      <c r="W126">
        <v>0</v>
      </c>
      <c r="X126">
        <v>34.6</v>
      </c>
      <c r="Y126" t="s">
        <v>2756</v>
      </c>
      <c r="Z126">
        <v>-3.465880857696879</v>
      </c>
      <c r="AA126">
        <v>2116</v>
      </c>
      <c r="AB126">
        <v>236842</v>
      </c>
      <c r="AC126" t="s">
        <v>3382</v>
      </c>
      <c r="AD126">
        <v>57.91</v>
      </c>
      <c r="AE126" t="s">
        <v>4061</v>
      </c>
      <c r="AF126" t="s">
        <v>4740</v>
      </c>
      <c r="AG126">
        <v>1300</v>
      </c>
      <c r="AH126">
        <v>42</v>
      </c>
      <c r="AJ126">
        <v>1.91</v>
      </c>
    </row>
    <row r="127" spans="1:36">
      <c r="A127" s="1" t="s">
        <v>652</v>
      </c>
      <c r="B127" t="s">
        <v>1331</v>
      </c>
      <c r="C127">
        <f>HYPERLINK("https://finance.naver.com/item/coinfo.nhn?code=086280", "A086280")</f>
        <v>0</v>
      </c>
      <c r="D127">
        <f>HYPERLINK("http://comp.fnguide.com/SVO2/ASP/SVD_Consensus.asp?pGB=1&amp;gicode=A086280&amp;cID=&amp;MenuYn=Y&amp;ReportGB=&amp;NewMenuID=108&amp;stkGb=701", "현대글로비스")</f>
        <v>0</v>
      </c>
      <c r="E127">
        <v>1</v>
      </c>
      <c r="F127">
        <v>186000</v>
      </c>
      <c r="G127">
        <v>0.91</v>
      </c>
      <c r="H127">
        <v>11.38</v>
      </c>
      <c r="I127">
        <v>192948</v>
      </c>
      <c r="J127">
        <v>158575</v>
      </c>
      <c r="K127">
        <v>148563</v>
      </c>
      <c r="L127">
        <v>-3.74</v>
      </c>
      <c r="M127">
        <v>14.74</v>
      </c>
      <c r="N127">
        <v>20.13</v>
      </c>
      <c r="O127">
        <v>11.74</v>
      </c>
      <c r="P127" t="b">
        <v>0</v>
      </c>
      <c r="Q127">
        <v>3</v>
      </c>
      <c r="R127">
        <v>16165</v>
      </c>
      <c r="S127">
        <v>16582</v>
      </c>
      <c r="T127">
        <v>2.6</v>
      </c>
      <c r="U127" t="s">
        <v>2010</v>
      </c>
      <c r="V127" t="s">
        <v>2689</v>
      </c>
      <c r="W127">
        <v>12.47557443053098</v>
      </c>
      <c r="X127">
        <v>20.7</v>
      </c>
      <c r="Y127" t="s">
        <v>3320</v>
      </c>
      <c r="Z127">
        <v>9.98726983691467</v>
      </c>
      <c r="AA127">
        <v>69750</v>
      </c>
      <c r="AB127">
        <v>208071</v>
      </c>
      <c r="AC127" t="s">
        <v>3994</v>
      </c>
      <c r="AD127">
        <v>50.34</v>
      </c>
      <c r="AE127" t="s">
        <v>4673</v>
      </c>
      <c r="AF127" t="s">
        <v>5316</v>
      </c>
      <c r="AG127">
        <v>165199</v>
      </c>
      <c r="AH127">
        <v>6622</v>
      </c>
      <c r="AJ127">
        <v>1.9</v>
      </c>
    </row>
    <row r="128" spans="1:36">
      <c r="A128" s="1" t="s">
        <v>598</v>
      </c>
      <c r="B128" t="s">
        <v>1277</v>
      </c>
      <c r="C128">
        <f>HYPERLINK("https://finance.naver.com/item/coinfo.nhn?code=001430", "A001430")</f>
        <v>0</v>
      </c>
      <c r="D128">
        <f>HYPERLINK("http://comp.fnguide.com/SVO2/ASP/SVD_Consensus.asp?pGB=1&amp;gicode=A001430&amp;cID=&amp;MenuYn=Y&amp;ReportGB=&amp;NewMenuID=108&amp;stkGb=701", "세아베스틸")</f>
        <v>0</v>
      </c>
      <c r="E128">
        <v>3</v>
      </c>
      <c r="F128">
        <v>31100</v>
      </c>
      <c r="I128">
        <v>2774</v>
      </c>
      <c r="J128">
        <v>28212</v>
      </c>
      <c r="K128">
        <v>35622</v>
      </c>
      <c r="L128">
        <v>91.08</v>
      </c>
      <c r="M128">
        <v>9.279999999999999</v>
      </c>
      <c r="N128">
        <v>-14.54</v>
      </c>
      <c r="O128">
        <v>0.5</v>
      </c>
      <c r="P128" t="b">
        <v>0</v>
      </c>
      <c r="Q128">
        <v>1</v>
      </c>
      <c r="R128">
        <v>-6857</v>
      </c>
      <c r="S128">
        <v>3286</v>
      </c>
      <c r="T128">
        <v>-147.9</v>
      </c>
      <c r="U128" t="s">
        <v>1956</v>
      </c>
      <c r="V128" t="s">
        <v>2635</v>
      </c>
      <c r="W128">
        <v>77.76774842342506</v>
      </c>
      <c r="X128">
        <v>0</v>
      </c>
      <c r="Y128" t="s">
        <v>3268</v>
      </c>
      <c r="Z128">
        <v>-41.84556056347471</v>
      </c>
      <c r="AA128">
        <v>11153</v>
      </c>
      <c r="AB128">
        <v>1110201</v>
      </c>
      <c r="AC128" t="s">
        <v>3940</v>
      </c>
      <c r="AD128">
        <v>62.66</v>
      </c>
      <c r="AE128" t="s">
        <v>4619</v>
      </c>
      <c r="AF128" t="s">
        <v>5264</v>
      </c>
      <c r="AG128">
        <v>25358</v>
      </c>
      <c r="AH128">
        <v>-33</v>
      </c>
      <c r="AI128">
        <v>315689</v>
      </c>
      <c r="AJ128">
        <v>1.89</v>
      </c>
    </row>
    <row r="129" spans="1:36">
      <c r="A129" s="1" t="s">
        <v>510</v>
      </c>
      <c r="B129" t="s">
        <v>1189</v>
      </c>
      <c r="C129">
        <f>HYPERLINK("https://finance.naver.com/item/coinfo.nhn?code=103590", "A103590")</f>
        <v>0</v>
      </c>
      <c r="D129">
        <f>HYPERLINK("http://comp.fnguide.com/SVO2/ASP/SVD_Consensus.asp?pGB=1&amp;gicode=A103590&amp;cID=&amp;MenuYn=Y&amp;ReportGB=&amp;NewMenuID=108&amp;stkGb=701", "일진전기")</f>
        <v>0</v>
      </c>
      <c r="E129">
        <v>3</v>
      </c>
      <c r="F129">
        <v>4035</v>
      </c>
      <c r="G129">
        <v>0</v>
      </c>
      <c r="H129">
        <v>24.39</v>
      </c>
      <c r="I129">
        <v>1198</v>
      </c>
      <c r="J129">
        <v>5435</v>
      </c>
      <c r="K129">
        <v>6670</v>
      </c>
      <c r="L129">
        <v>70.31</v>
      </c>
      <c r="M129">
        <v>-34.71</v>
      </c>
      <c r="N129">
        <v>-65.3</v>
      </c>
      <c r="O129">
        <v>1.18</v>
      </c>
      <c r="P129" t="b">
        <v>0</v>
      </c>
      <c r="Q129">
        <v>0</v>
      </c>
      <c r="R129">
        <v>130</v>
      </c>
      <c r="U129" t="s">
        <v>1868</v>
      </c>
      <c r="V129" t="s">
        <v>2547</v>
      </c>
      <c r="W129">
        <v>0</v>
      </c>
      <c r="X129">
        <v>33.7</v>
      </c>
      <c r="Y129" t="s">
        <v>3187</v>
      </c>
      <c r="Z129">
        <v>-52.32505899321952</v>
      </c>
      <c r="AA129">
        <v>1496</v>
      </c>
      <c r="AB129">
        <v>128296</v>
      </c>
      <c r="AC129" t="s">
        <v>3852</v>
      </c>
      <c r="AD129">
        <v>59.73</v>
      </c>
      <c r="AE129" t="s">
        <v>4531</v>
      </c>
      <c r="AF129" t="s">
        <v>5181</v>
      </c>
      <c r="AG129">
        <v>7079</v>
      </c>
      <c r="AH129">
        <v>138</v>
      </c>
      <c r="AI129">
        <v>8121</v>
      </c>
      <c r="AJ129">
        <v>1.89</v>
      </c>
    </row>
    <row r="130" spans="1:36">
      <c r="A130" s="1" t="s">
        <v>699</v>
      </c>
      <c r="B130" t="s">
        <v>1378</v>
      </c>
      <c r="C130">
        <f>HYPERLINK("https://finance.naver.com/item/coinfo.nhn?code=053080", "A053080")</f>
        <v>0</v>
      </c>
      <c r="D130">
        <f>HYPERLINK("http://comp.fnguide.com/SVO2/ASP/SVD_Consensus.asp?pGB=1&amp;gicode=A053080&amp;cID=&amp;MenuYn=Y&amp;ReportGB=&amp;NewMenuID=108&amp;stkGb=701", "원방테크")</f>
        <v>0</v>
      </c>
      <c r="E130">
        <v>1</v>
      </c>
      <c r="F130">
        <v>45550</v>
      </c>
      <c r="G130">
        <v>0</v>
      </c>
      <c r="H130">
        <v>14.61</v>
      </c>
      <c r="I130">
        <v>48392</v>
      </c>
      <c r="J130">
        <v>38448</v>
      </c>
      <c r="K130">
        <v>35551</v>
      </c>
      <c r="L130">
        <v>-6.24</v>
      </c>
      <c r="M130">
        <v>15.59</v>
      </c>
      <c r="N130">
        <v>21.95</v>
      </c>
      <c r="O130">
        <v>12.57</v>
      </c>
      <c r="P130" t="b">
        <v>1</v>
      </c>
      <c r="Q130">
        <v>0</v>
      </c>
      <c r="R130">
        <v>3361</v>
      </c>
      <c r="U130" t="s">
        <v>2057</v>
      </c>
      <c r="V130" t="s">
        <v>2736</v>
      </c>
      <c r="W130">
        <v>0</v>
      </c>
      <c r="X130">
        <v>-5.2</v>
      </c>
      <c r="Y130" t="s">
        <v>3363</v>
      </c>
      <c r="Z130">
        <v>3.791790285938879</v>
      </c>
      <c r="AA130">
        <v>1956</v>
      </c>
      <c r="AB130">
        <v>11628</v>
      </c>
      <c r="AC130" t="s">
        <v>4041</v>
      </c>
      <c r="AD130">
        <v>56.35</v>
      </c>
      <c r="AE130" t="s">
        <v>4720</v>
      </c>
      <c r="AF130" t="s">
        <v>5362</v>
      </c>
      <c r="AG130">
        <v>3269</v>
      </c>
      <c r="AH130">
        <v>217</v>
      </c>
      <c r="AI130">
        <v>41311</v>
      </c>
      <c r="AJ130">
        <v>1.89</v>
      </c>
    </row>
    <row r="131" spans="1:36">
      <c r="A131" s="1" t="s">
        <v>530</v>
      </c>
      <c r="B131" t="s">
        <v>1209</v>
      </c>
      <c r="C131">
        <f>HYPERLINK("https://finance.naver.com/item/coinfo.nhn?code=003200", "A003200")</f>
        <v>0</v>
      </c>
      <c r="D131">
        <f>HYPERLINK("http://comp.fnguide.com/SVO2/ASP/SVD_Consensus.asp?pGB=1&amp;gicode=A003200&amp;cID=&amp;MenuYn=Y&amp;ReportGB=&amp;NewMenuID=108&amp;stkGb=701", "일신방직")</f>
        <v>0</v>
      </c>
      <c r="E131">
        <v>3</v>
      </c>
      <c r="F131">
        <v>108500</v>
      </c>
      <c r="G131">
        <v>0</v>
      </c>
      <c r="H131">
        <v>19.16</v>
      </c>
      <c r="I131">
        <v>59243</v>
      </c>
      <c r="J131">
        <v>210265</v>
      </c>
      <c r="K131">
        <v>254255</v>
      </c>
      <c r="L131">
        <v>45.4</v>
      </c>
      <c r="M131">
        <v>-93.79000000000001</v>
      </c>
      <c r="N131">
        <v>-134.34</v>
      </c>
      <c r="O131">
        <v>1.55</v>
      </c>
      <c r="P131" t="b">
        <v>1</v>
      </c>
      <c r="Q131">
        <v>0</v>
      </c>
      <c r="R131">
        <v>4181</v>
      </c>
      <c r="U131" t="s">
        <v>1888</v>
      </c>
      <c r="V131" t="s">
        <v>2567</v>
      </c>
      <c r="W131">
        <v>0</v>
      </c>
      <c r="X131">
        <v>42.2</v>
      </c>
      <c r="Y131" t="s">
        <v>3206</v>
      </c>
      <c r="Z131">
        <v>-12.21203092157996</v>
      </c>
      <c r="AA131">
        <v>2604</v>
      </c>
      <c r="AB131">
        <v>2919</v>
      </c>
      <c r="AC131" t="s">
        <v>3872</v>
      </c>
      <c r="AD131">
        <v>50.29</v>
      </c>
      <c r="AE131" t="s">
        <v>4551</v>
      </c>
      <c r="AF131" t="s">
        <v>5199</v>
      </c>
      <c r="AG131">
        <v>4649</v>
      </c>
      <c r="AH131">
        <v>135</v>
      </c>
      <c r="AI131">
        <v>135919</v>
      </c>
      <c r="AJ131">
        <v>1.87</v>
      </c>
    </row>
    <row r="132" spans="1:36">
      <c r="A132" s="1" t="s">
        <v>551</v>
      </c>
      <c r="B132" t="s">
        <v>1230</v>
      </c>
      <c r="C132">
        <f>HYPERLINK("https://finance.naver.com/item/coinfo.nhn?code=000670", "A000670")</f>
        <v>0</v>
      </c>
      <c r="D132">
        <f>HYPERLINK("http://comp.fnguide.com/SVO2/ASP/SVD_Consensus.asp?pGB=1&amp;gicode=A000670&amp;cID=&amp;MenuYn=Y&amp;ReportGB=&amp;NewMenuID=108&amp;stkGb=701", "영풍")</f>
        <v>0</v>
      </c>
      <c r="E132">
        <v>3</v>
      </c>
      <c r="F132">
        <v>701000</v>
      </c>
      <c r="G132">
        <v>0.23</v>
      </c>
      <c r="H132">
        <v>7.47</v>
      </c>
      <c r="I132">
        <v>1197146</v>
      </c>
      <c r="J132">
        <v>1632897</v>
      </c>
      <c r="K132">
        <v>1759824</v>
      </c>
      <c r="L132">
        <v>-70.78</v>
      </c>
      <c r="M132">
        <v>-132.94</v>
      </c>
      <c r="N132">
        <v>-151.04</v>
      </c>
      <c r="O132">
        <v>5.1</v>
      </c>
      <c r="P132" t="b">
        <v>1</v>
      </c>
      <c r="Q132">
        <v>1</v>
      </c>
      <c r="R132">
        <v>72005</v>
      </c>
      <c r="S132">
        <v>138976</v>
      </c>
      <c r="T132">
        <v>93</v>
      </c>
      <c r="U132" t="s">
        <v>1909</v>
      </c>
      <c r="V132" t="s">
        <v>2588</v>
      </c>
      <c r="W132">
        <v>32.22306654541176</v>
      </c>
      <c r="X132">
        <v>-43.1</v>
      </c>
      <c r="Y132" t="s">
        <v>3223</v>
      </c>
      <c r="Z132">
        <v>0.5820100049172439</v>
      </c>
      <c r="AA132">
        <v>12913</v>
      </c>
      <c r="AB132">
        <v>3681</v>
      </c>
      <c r="AC132" t="s">
        <v>3893</v>
      </c>
      <c r="AD132">
        <v>78.33</v>
      </c>
      <c r="AE132" t="s">
        <v>4572</v>
      </c>
      <c r="AF132" t="s">
        <v>5218</v>
      </c>
      <c r="AG132">
        <v>31834</v>
      </c>
      <c r="AH132">
        <v>467</v>
      </c>
      <c r="AI132">
        <v>121906</v>
      </c>
      <c r="AJ132">
        <v>1.86</v>
      </c>
    </row>
    <row r="133" spans="1:36">
      <c r="A133" s="1" t="s">
        <v>686</v>
      </c>
      <c r="B133" t="s">
        <v>1365</v>
      </c>
      <c r="C133">
        <f>HYPERLINK("https://finance.naver.com/item/coinfo.nhn?code=010050", "A010050")</f>
        <v>0</v>
      </c>
      <c r="D133">
        <f>HYPERLINK("http://comp.fnguide.com/SVO2/ASP/SVD_Consensus.asp?pGB=1&amp;gicode=A010050&amp;cID=&amp;MenuYn=Y&amp;ReportGB=&amp;NewMenuID=108&amp;stkGb=701", "우리종금")</f>
        <v>0</v>
      </c>
      <c r="E133">
        <v>1</v>
      </c>
      <c r="F133">
        <v>867</v>
      </c>
      <c r="G133">
        <v>0</v>
      </c>
      <c r="H133">
        <v>6.06</v>
      </c>
      <c r="I133">
        <v>1037</v>
      </c>
      <c r="J133">
        <v>780</v>
      </c>
      <c r="K133">
        <v>706</v>
      </c>
      <c r="L133">
        <v>-19.61</v>
      </c>
      <c r="M133">
        <v>9.98</v>
      </c>
      <c r="N133">
        <v>18.6</v>
      </c>
      <c r="O133">
        <v>14.09</v>
      </c>
      <c r="P133" t="b">
        <v>1</v>
      </c>
      <c r="Q133">
        <v>0</v>
      </c>
      <c r="R133">
        <v>89</v>
      </c>
      <c r="U133" t="s">
        <v>2044</v>
      </c>
      <c r="V133" t="s">
        <v>2723</v>
      </c>
      <c r="W133">
        <v>0</v>
      </c>
      <c r="Y133" t="s">
        <v>2823</v>
      </c>
      <c r="Z133">
        <v>0</v>
      </c>
      <c r="AA133">
        <v>7579</v>
      </c>
      <c r="AB133">
        <v>6034450</v>
      </c>
      <c r="AC133" t="s">
        <v>4028</v>
      </c>
      <c r="AD133">
        <v>58.75</v>
      </c>
      <c r="AE133" t="s">
        <v>4707</v>
      </c>
      <c r="AF133" t="s">
        <v>5349</v>
      </c>
      <c r="AG133">
        <v>2563</v>
      </c>
      <c r="AH133">
        <v>687</v>
      </c>
      <c r="AI133">
        <v>69076</v>
      </c>
      <c r="AJ133">
        <v>1.86</v>
      </c>
    </row>
    <row r="134" spans="1:36">
      <c r="A134" s="1" t="s">
        <v>380</v>
      </c>
      <c r="B134" t="s">
        <v>1059</v>
      </c>
      <c r="C134">
        <f>HYPERLINK("https://finance.naver.com/item/coinfo.nhn?code=009200", "A009200")</f>
        <v>0</v>
      </c>
      <c r="D134">
        <f>HYPERLINK("http://comp.fnguide.com/SVO2/ASP/SVD_Consensus.asp?pGB=1&amp;gicode=A009200&amp;cID=&amp;MenuYn=Y&amp;ReportGB=&amp;NewMenuID=108&amp;stkGb=701", "무림페이퍼")</f>
        <v>0</v>
      </c>
      <c r="E134">
        <v>3</v>
      </c>
      <c r="F134">
        <v>3090</v>
      </c>
      <c r="G134">
        <v>0</v>
      </c>
      <c r="I134">
        <v>1564</v>
      </c>
      <c r="J134">
        <v>6321</v>
      </c>
      <c r="K134">
        <v>7706</v>
      </c>
      <c r="L134">
        <v>49.37</v>
      </c>
      <c r="M134">
        <v>-104.56</v>
      </c>
      <c r="N134">
        <v>-149.39</v>
      </c>
      <c r="O134">
        <v>1.34</v>
      </c>
      <c r="P134" t="b">
        <v>0</v>
      </c>
      <c r="Q134">
        <v>0</v>
      </c>
      <c r="R134">
        <v>-925</v>
      </c>
      <c r="U134" t="s">
        <v>1738</v>
      </c>
      <c r="V134" t="s">
        <v>2417</v>
      </c>
      <c r="W134">
        <v>0</v>
      </c>
      <c r="X134">
        <v>0</v>
      </c>
      <c r="Y134" t="s">
        <v>3062</v>
      </c>
      <c r="Z134">
        <v>1135.00526314668</v>
      </c>
      <c r="AA134">
        <v>1286</v>
      </c>
      <c r="AB134">
        <v>155299</v>
      </c>
      <c r="AC134" t="s">
        <v>3722</v>
      </c>
      <c r="AD134">
        <v>54.07</v>
      </c>
      <c r="AE134" t="s">
        <v>4401</v>
      </c>
      <c r="AF134" t="s">
        <v>5053</v>
      </c>
      <c r="AG134">
        <v>9497</v>
      </c>
      <c r="AH134">
        <v>273</v>
      </c>
      <c r="AJ134">
        <v>1.85</v>
      </c>
    </row>
    <row r="135" spans="1:36">
      <c r="A135" s="1" t="s">
        <v>415</v>
      </c>
      <c r="B135" t="s">
        <v>1094</v>
      </c>
      <c r="C135">
        <f>HYPERLINK("https://finance.naver.com/item/coinfo.nhn?code=005720", "A005720")</f>
        <v>0</v>
      </c>
      <c r="D135">
        <f>HYPERLINK("http://comp.fnguide.com/SVO2/ASP/SVD_Consensus.asp?pGB=1&amp;gicode=A005720&amp;cID=&amp;MenuYn=Y&amp;ReportGB=&amp;NewMenuID=108&amp;stkGb=701", "넥센")</f>
        <v>0</v>
      </c>
      <c r="E135">
        <v>3</v>
      </c>
      <c r="F135">
        <v>5080</v>
      </c>
      <c r="G135">
        <v>0</v>
      </c>
      <c r="H135">
        <v>24.31</v>
      </c>
      <c r="I135">
        <v>8924</v>
      </c>
      <c r="J135">
        <v>15671</v>
      </c>
      <c r="K135">
        <v>17636</v>
      </c>
      <c r="L135">
        <v>-75.67</v>
      </c>
      <c r="M135">
        <v>-208.48</v>
      </c>
      <c r="N135">
        <v>-247.17</v>
      </c>
      <c r="O135">
        <v>3.62</v>
      </c>
      <c r="P135" t="b">
        <v>1</v>
      </c>
      <c r="Q135">
        <v>0</v>
      </c>
      <c r="R135">
        <v>190</v>
      </c>
      <c r="U135" t="s">
        <v>1773</v>
      </c>
      <c r="V135" t="s">
        <v>2452</v>
      </c>
      <c r="W135">
        <v>0</v>
      </c>
      <c r="X135">
        <v>-81.59999999999999</v>
      </c>
      <c r="Y135" t="s">
        <v>3096</v>
      </c>
      <c r="Z135">
        <v>-33.14927703165379</v>
      </c>
      <c r="AA135">
        <v>2720</v>
      </c>
      <c r="AB135">
        <v>37925</v>
      </c>
      <c r="AC135" t="s">
        <v>3757</v>
      </c>
      <c r="AD135">
        <v>59.37</v>
      </c>
      <c r="AE135" t="s">
        <v>4436</v>
      </c>
      <c r="AF135" t="s">
        <v>5088</v>
      </c>
      <c r="AG135">
        <v>19685</v>
      </c>
      <c r="AH135">
        <v>623</v>
      </c>
      <c r="AI135">
        <v>1702839</v>
      </c>
      <c r="AJ135">
        <v>1.84</v>
      </c>
    </row>
    <row r="136" spans="1:36">
      <c r="A136" s="1" t="s">
        <v>475</v>
      </c>
      <c r="B136" t="s">
        <v>1154</v>
      </c>
      <c r="C136">
        <f>HYPERLINK("https://finance.naver.com/item/coinfo.nhn?code=024070", "A024070")</f>
        <v>0</v>
      </c>
      <c r="D136">
        <f>HYPERLINK("http://comp.fnguide.com/SVO2/ASP/SVD_Consensus.asp?pGB=1&amp;gicode=A024070&amp;cID=&amp;MenuYn=Y&amp;ReportGB=&amp;NewMenuID=108&amp;stkGb=701", "WISCOM")</f>
        <v>0</v>
      </c>
      <c r="E136">
        <v>3</v>
      </c>
      <c r="F136">
        <v>4500</v>
      </c>
      <c r="G136">
        <v>0</v>
      </c>
      <c r="I136">
        <v>414</v>
      </c>
      <c r="J136">
        <v>4691</v>
      </c>
      <c r="K136">
        <v>5936</v>
      </c>
      <c r="L136">
        <v>90.81</v>
      </c>
      <c r="M136">
        <v>-4.24</v>
      </c>
      <c r="N136">
        <v>-31.92</v>
      </c>
      <c r="O136">
        <v>0.45</v>
      </c>
      <c r="P136" t="b">
        <v>0</v>
      </c>
      <c r="Q136">
        <v>0</v>
      </c>
      <c r="R136">
        <v>-65</v>
      </c>
      <c r="U136" t="s">
        <v>1833</v>
      </c>
      <c r="V136" t="s">
        <v>2512</v>
      </c>
      <c r="W136">
        <v>0</v>
      </c>
      <c r="X136">
        <v>0</v>
      </c>
      <c r="Y136" t="s">
        <v>3156</v>
      </c>
      <c r="Z136">
        <v>-21.94619591913617</v>
      </c>
      <c r="AA136">
        <v>690</v>
      </c>
      <c r="AB136">
        <v>1203959</v>
      </c>
      <c r="AC136" t="s">
        <v>3817</v>
      </c>
      <c r="AD136">
        <v>50.95</v>
      </c>
      <c r="AE136" t="s">
        <v>4496</v>
      </c>
      <c r="AF136" t="s">
        <v>5148</v>
      </c>
      <c r="AG136">
        <v>1025</v>
      </c>
      <c r="AH136">
        <v>-17</v>
      </c>
      <c r="AJ136">
        <v>1.83</v>
      </c>
    </row>
    <row r="137" spans="1:36">
      <c r="A137" s="1" t="s">
        <v>71</v>
      </c>
      <c r="B137" t="s">
        <v>750</v>
      </c>
      <c r="C137">
        <f>HYPERLINK("https://finance.naver.com/item/coinfo.nhn?code=066620", "A066620")</f>
        <v>0</v>
      </c>
      <c r="D137">
        <f>HYPERLINK("http://comp.fnguide.com/SVO2/ASP/SVD_Consensus.asp?pGB=1&amp;gicode=A066620&amp;cID=&amp;MenuYn=Y&amp;ReportGB=&amp;NewMenuID=108&amp;stkGb=701", "국보디자인")</f>
        <v>0</v>
      </c>
      <c r="E137">
        <v>3</v>
      </c>
      <c r="F137">
        <v>23950</v>
      </c>
      <c r="G137">
        <v>0</v>
      </c>
      <c r="H137">
        <v>7.18</v>
      </c>
      <c r="I137">
        <v>38679</v>
      </c>
      <c r="J137">
        <v>30051</v>
      </c>
      <c r="K137">
        <v>27538</v>
      </c>
      <c r="L137">
        <v>-61.5</v>
      </c>
      <c r="M137">
        <v>-25.48</v>
      </c>
      <c r="N137">
        <v>-14.98</v>
      </c>
      <c r="O137">
        <v>13.16</v>
      </c>
      <c r="P137" t="b">
        <v>0</v>
      </c>
      <c r="Q137">
        <v>0</v>
      </c>
      <c r="R137">
        <v>2452</v>
      </c>
      <c r="U137" t="s">
        <v>1429</v>
      </c>
      <c r="V137" t="s">
        <v>2108</v>
      </c>
      <c r="W137">
        <v>0</v>
      </c>
      <c r="X137">
        <v>15.3</v>
      </c>
      <c r="Y137" t="s">
        <v>2785</v>
      </c>
      <c r="Z137">
        <v>11.27558493479162</v>
      </c>
      <c r="AA137">
        <v>1796</v>
      </c>
      <c r="AB137">
        <v>21845</v>
      </c>
      <c r="AC137" t="s">
        <v>3413</v>
      </c>
      <c r="AD137">
        <v>53.09</v>
      </c>
      <c r="AE137" t="s">
        <v>4092</v>
      </c>
      <c r="AF137" t="s">
        <v>4769</v>
      </c>
      <c r="AG137">
        <v>2881</v>
      </c>
      <c r="AH137">
        <v>257</v>
      </c>
      <c r="AI137">
        <v>627314</v>
      </c>
      <c r="AJ137">
        <v>1.82</v>
      </c>
    </row>
    <row r="138" spans="1:36">
      <c r="A138" s="1" t="s">
        <v>85</v>
      </c>
      <c r="B138" t="s">
        <v>764</v>
      </c>
      <c r="C138">
        <f>HYPERLINK("https://finance.naver.com/item/coinfo.nhn?code=009300", "A009300")</f>
        <v>0</v>
      </c>
      <c r="D138">
        <f>HYPERLINK("http://comp.fnguide.com/SVO2/ASP/SVD_Consensus.asp?pGB=1&amp;gicode=A009300&amp;cID=&amp;MenuYn=Y&amp;ReportGB=&amp;NewMenuID=108&amp;stkGb=701", "삼아제약")</f>
        <v>0</v>
      </c>
      <c r="E138">
        <v>3</v>
      </c>
      <c r="F138">
        <v>15650</v>
      </c>
      <c r="G138">
        <v>0</v>
      </c>
      <c r="H138">
        <v>851.21</v>
      </c>
      <c r="I138">
        <v>10033</v>
      </c>
      <c r="J138">
        <v>20258</v>
      </c>
      <c r="K138">
        <v>23236</v>
      </c>
      <c r="L138">
        <v>35.89</v>
      </c>
      <c r="M138">
        <v>-29.44</v>
      </c>
      <c r="N138">
        <v>-48.47</v>
      </c>
      <c r="O138">
        <v>3.03</v>
      </c>
      <c r="P138" t="b">
        <v>0</v>
      </c>
      <c r="Q138">
        <v>0</v>
      </c>
      <c r="R138">
        <v>19</v>
      </c>
      <c r="U138" t="s">
        <v>1443</v>
      </c>
      <c r="V138" t="s">
        <v>2122</v>
      </c>
      <c r="W138">
        <v>0</v>
      </c>
      <c r="X138">
        <v>-98.8</v>
      </c>
      <c r="Y138" t="s">
        <v>2798</v>
      </c>
      <c r="Z138">
        <v>-55.68248898754948</v>
      </c>
      <c r="AA138">
        <v>997</v>
      </c>
      <c r="AB138">
        <v>5521</v>
      </c>
      <c r="AC138" t="s">
        <v>3427</v>
      </c>
      <c r="AD138">
        <v>65.58</v>
      </c>
      <c r="AE138" t="s">
        <v>4106</v>
      </c>
      <c r="AF138" t="s">
        <v>4783</v>
      </c>
      <c r="AG138">
        <v>537</v>
      </c>
      <c r="AH138">
        <v>39</v>
      </c>
      <c r="AI138">
        <v>266658</v>
      </c>
      <c r="AJ138">
        <v>1.81</v>
      </c>
    </row>
    <row r="139" spans="1:36">
      <c r="A139" s="1" t="s">
        <v>449</v>
      </c>
      <c r="B139" t="s">
        <v>1128</v>
      </c>
      <c r="C139">
        <f>HYPERLINK("https://finance.naver.com/item/coinfo.nhn?code=001880", "A001880")</f>
        <v>0</v>
      </c>
      <c r="D139">
        <f>HYPERLINK("http://comp.fnguide.com/SVO2/ASP/SVD_Consensus.asp?pGB=1&amp;gicode=A001880&amp;cID=&amp;MenuYn=Y&amp;ReportGB=&amp;NewMenuID=108&amp;stkGb=701", "DL건설")</f>
        <v>0</v>
      </c>
      <c r="E139">
        <v>3</v>
      </c>
      <c r="F139">
        <v>35900</v>
      </c>
      <c r="G139">
        <v>0</v>
      </c>
      <c r="H139">
        <v>3.94</v>
      </c>
      <c r="I139">
        <v>100203</v>
      </c>
      <c r="J139">
        <v>62284</v>
      </c>
      <c r="K139">
        <v>51239</v>
      </c>
      <c r="L139">
        <v>-179.12</v>
      </c>
      <c r="M139">
        <v>-73.48999999999999</v>
      </c>
      <c r="N139">
        <v>-42.73</v>
      </c>
      <c r="O139">
        <v>22.65</v>
      </c>
      <c r="P139" t="b">
        <v>1</v>
      </c>
      <c r="Q139">
        <v>0</v>
      </c>
      <c r="R139">
        <v>7759</v>
      </c>
      <c r="U139" t="s">
        <v>1807</v>
      </c>
      <c r="V139" t="s">
        <v>2486</v>
      </c>
      <c r="W139">
        <v>0</v>
      </c>
      <c r="X139">
        <v>23.9</v>
      </c>
      <c r="Y139" t="s">
        <v>3130</v>
      </c>
      <c r="Z139">
        <v>24.07852728405353</v>
      </c>
      <c r="AA139">
        <v>7917</v>
      </c>
      <c r="AB139">
        <v>56137</v>
      </c>
      <c r="AC139" t="s">
        <v>3791</v>
      </c>
      <c r="AD139">
        <v>66.36</v>
      </c>
      <c r="AE139" t="s">
        <v>4470</v>
      </c>
      <c r="AF139" t="s">
        <v>5122</v>
      </c>
      <c r="AG139">
        <v>17346</v>
      </c>
      <c r="AH139">
        <v>2034</v>
      </c>
      <c r="AI139">
        <v>371</v>
      </c>
      <c r="AJ139">
        <v>1.8</v>
      </c>
    </row>
    <row r="140" spans="1:36">
      <c r="A140" s="1" t="s">
        <v>508</v>
      </c>
      <c r="B140" t="s">
        <v>1187</v>
      </c>
      <c r="C140">
        <f>HYPERLINK("https://finance.naver.com/item/coinfo.nhn?code=015860", "A015860")</f>
        <v>0</v>
      </c>
      <c r="D140">
        <f>HYPERLINK("http://comp.fnguide.com/SVO2/ASP/SVD_Consensus.asp?pGB=1&amp;gicode=A015860&amp;cID=&amp;MenuYn=Y&amp;ReportGB=&amp;NewMenuID=108&amp;stkGb=701", "일진홀딩스")</f>
        <v>0</v>
      </c>
      <c r="E140">
        <v>3</v>
      </c>
      <c r="F140">
        <v>5330</v>
      </c>
      <c r="G140">
        <v>0</v>
      </c>
      <c r="H140">
        <v>27.13</v>
      </c>
      <c r="I140">
        <v>2500</v>
      </c>
      <c r="J140">
        <v>4757</v>
      </c>
      <c r="K140">
        <v>5414</v>
      </c>
      <c r="L140">
        <v>53.1</v>
      </c>
      <c r="M140">
        <v>10.75</v>
      </c>
      <c r="N140">
        <v>-1.58</v>
      </c>
      <c r="O140">
        <v>3.26</v>
      </c>
      <c r="P140" t="b">
        <v>0</v>
      </c>
      <c r="Q140">
        <v>0</v>
      </c>
      <c r="R140">
        <v>205</v>
      </c>
      <c r="S140">
        <v>203</v>
      </c>
      <c r="T140">
        <v>-1</v>
      </c>
      <c r="U140" t="s">
        <v>1866</v>
      </c>
      <c r="V140" t="s">
        <v>2545</v>
      </c>
      <c r="W140">
        <v>0</v>
      </c>
      <c r="X140">
        <v>-19.7</v>
      </c>
      <c r="Y140" t="s">
        <v>3186</v>
      </c>
      <c r="Z140">
        <v>-19.70000000000001</v>
      </c>
      <c r="AA140">
        <v>2630</v>
      </c>
      <c r="AB140">
        <v>146162</v>
      </c>
      <c r="AC140" t="s">
        <v>3850</v>
      </c>
      <c r="AD140">
        <v>55.97</v>
      </c>
      <c r="AE140" t="s">
        <v>4529</v>
      </c>
      <c r="AF140" t="s">
        <v>5179</v>
      </c>
      <c r="AG140">
        <v>9340</v>
      </c>
      <c r="AH140">
        <v>273</v>
      </c>
      <c r="AI140">
        <v>3361946</v>
      </c>
      <c r="AJ140">
        <v>1.8</v>
      </c>
    </row>
    <row r="141" spans="1:36">
      <c r="A141" s="1" t="s">
        <v>466</v>
      </c>
      <c r="B141" t="s">
        <v>1145</v>
      </c>
      <c r="C141">
        <f>HYPERLINK("https://finance.naver.com/item/coinfo.nhn?code=002240", "A002240")</f>
        <v>0</v>
      </c>
      <c r="D141">
        <f>HYPERLINK("http://comp.fnguide.com/SVO2/ASP/SVD_Consensus.asp?pGB=1&amp;gicode=A002240&amp;cID=&amp;MenuYn=Y&amp;ReportGB=&amp;NewMenuID=108&amp;stkGb=701", "고려제강")</f>
        <v>0</v>
      </c>
      <c r="E141">
        <v>3</v>
      </c>
      <c r="F141">
        <v>27200</v>
      </c>
      <c r="G141">
        <v>0</v>
      </c>
      <c r="H141">
        <v>40.15</v>
      </c>
      <c r="I141">
        <v>2525</v>
      </c>
      <c r="J141">
        <v>36077</v>
      </c>
      <c r="K141">
        <v>45851</v>
      </c>
      <c r="L141">
        <v>90.72</v>
      </c>
      <c r="M141">
        <v>-32.64</v>
      </c>
      <c r="N141">
        <v>-68.56999999999999</v>
      </c>
      <c r="O141">
        <v>0.35</v>
      </c>
      <c r="P141" t="b">
        <v>0</v>
      </c>
      <c r="Q141">
        <v>0</v>
      </c>
      <c r="R141">
        <v>366</v>
      </c>
      <c r="U141" t="s">
        <v>1824</v>
      </c>
      <c r="V141" t="s">
        <v>2503</v>
      </c>
      <c r="W141">
        <v>0</v>
      </c>
      <c r="X141">
        <v>0</v>
      </c>
      <c r="Y141" t="s">
        <v>3147</v>
      </c>
      <c r="Z141">
        <v>-44.09433569622101</v>
      </c>
      <c r="AA141">
        <v>6256</v>
      </c>
      <c r="AB141">
        <v>127233</v>
      </c>
      <c r="AC141" t="s">
        <v>3808</v>
      </c>
      <c r="AD141">
        <v>67.48999999999999</v>
      </c>
      <c r="AE141" t="s">
        <v>4487</v>
      </c>
      <c r="AF141" t="s">
        <v>5139</v>
      </c>
      <c r="AG141">
        <v>13974</v>
      </c>
      <c r="AH141">
        <v>98</v>
      </c>
      <c r="AI141">
        <v>5616</v>
      </c>
      <c r="AJ141">
        <v>1.77</v>
      </c>
    </row>
    <row r="142" spans="1:36">
      <c r="A142" s="1" t="s">
        <v>203</v>
      </c>
      <c r="B142" t="s">
        <v>882</v>
      </c>
      <c r="C142">
        <f>HYPERLINK("https://finance.naver.com/item/coinfo.nhn?code=053620", "A053620")</f>
        <v>0</v>
      </c>
      <c r="D142">
        <f>HYPERLINK("http://comp.fnguide.com/SVO2/ASP/SVD_Consensus.asp?pGB=1&amp;gicode=A053620&amp;cID=&amp;MenuYn=Y&amp;ReportGB=&amp;NewMenuID=108&amp;stkGb=701", "태양")</f>
        <v>0</v>
      </c>
      <c r="E142">
        <v>3</v>
      </c>
      <c r="F142">
        <v>11100</v>
      </c>
      <c r="G142">
        <v>0</v>
      </c>
      <c r="H142">
        <v>10.39</v>
      </c>
      <c r="I142">
        <v>9934</v>
      </c>
      <c r="J142">
        <v>16277</v>
      </c>
      <c r="K142">
        <v>18125</v>
      </c>
      <c r="L142">
        <v>10.5</v>
      </c>
      <c r="M142">
        <v>-46.64</v>
      </c>
      <c r="N142">
        <v>-63.28</v>
      </c>
      <c r="O142">
        <v>3.96</v>
      </c>
      <c r="P142" t="b">
        <v>1</v>
      </c>
      <c r="Q142">
        <v>0</v>
      </c>
      <c r="R142">
        <v>815</v>
      </c>
      <c r="U142" t="s">
        <v>1561</v>
      </c>
      <c r="V142" t="s">
        <v>2240</v>
      </c>
      <c r="W142">
        <v>0</v>
      </c>
      <c r="X142">
        <v>-4.9</v>
      </c>
      <c r="Y142" t="s">
        <v>2907</v>
      </c>
      <c r="Z142">
        <v>16.12382073057634</v>
      </c>
      <c r="AA142">
        <v>955</v>
      </c>
      <c r="AB142">
        <v>17929</v>
      </c>
      <c r="AC142" t="s">
        <v>3545</v>
      </c>
      <c r="AD142">
        <v>62.47</v>
      </c>
      <c r="AE142" t="s">
        <v>4224</v>
      </c>
      <c r="AF142" t="s">
        <v>4894</v>
      </c>
      <c r="AG142">
        <v>1415</v>
      </c>
      <c r="AH142">
        <v>93</v>
      </c>
      <c r="AI142">
        <v>638969</v>
      </c>
      <c r="AJ142">
        <v>1.77</v>
      </c>
    </row>
    <row r="143" spans="1:36">
      <c r="A143" s="1" t="s">
        <v>267</v>
      </c>
      <c r="B143" t="s">
        <v>946</v>
      </c>
      <c r="C143">
        <f>HYPERLINK("https://finance.naver.com/item/coinfo.nhn?code=037760", "A037760")</f>
        <v>0</v>
      </c>
      <c r="D143">
        <f>HYPERLINK("http://comp.fnguide.com/SVO2/ASP/SVD_Consensus.asp?pGB=1&amp;gicode=A037760&amp;cID=&amp;MenuYn=Y&amp;ReportGB=&amp;NewMenuID=108&amp;stkGb=701", "쎄니트")</f>
        <v>0</v>
      </c>
      <c r="E143">
        <v>3</v>
      </c>
      <c r="F143">
        <v>2005</v>
      </c>
      <c r="G143">
        <v>0</v>
      </c>
      <c r="H143">
        <v>6.67</v>
      </c>
      <c r="I143">
        <v>2223</v>
      </c>
      <c r="J143">
        <v>2324</v>
      </c>
      <c r="K143">
        <v>2353</v>
      </c>
      <c r="L143">
        <v>-10.88</v>
      </c>
      <c r="M143">
        <v>-15.91</v>
      </c>
      <c r="N143">
        <v>-17.37</v>
      </c>
      <c r="O143">
        <v>7.64</v>
      </c>
      <c r="P143" t="b">
        <v>1</v>
      </c>
      <c r="Q143">
        <v>0</v>
      </c>
      <c r="R143">
        <v>260</v>
      </c>
      <c r="U143" t="s">
        <v>1625</v>
      </c>
      <c r="V143" t="s">
        <v>2304</v>
      </c>
      <c r="W143">
        <v>0</v>
      </c>
      <c r="X143">
        <v>318.8</v>
      </c>
      <c r="Y143" t="s">
        <v>2959</v>
      </c>
      <c r="Z143">
        <v>1.176167322338761</v>
      </c>
      <c r="AA143">
        <v>678</v>
      </c>
      <c r="AB143">
        <v>85079</v>
      </c>
      <c r="AC143" t="s">
        <v>3609</v>
      </c>
      <c r="AD143">
        <v>55.01</v>
      </c>
      <c r="AE143" t="s">
        <v>4288</v>
      </c>
      <c r="AF143" t="s">
        <v>4950</v>
      </c>
      <c r="AG143">
        <v>939</v>
      </c>
      <c r="AH143">
        <v>-10</v>
      </c>
      <c r="AI143">
        <v>2030000</v>
      </c>
      <c r="AJ143">
        <v>1.73</v>
      </c>
    </row>
    <row r="144" spans="1:36">
      <c r="A144" s="1" t="s">
        <v>561</v>
      </c>
      <c r="B144" t="s">
        <v>1240</v>
      </c>
      <c r="C144">
        <f>HYPERLINK("https://finance.naver.com/item/coinfo.nhn?code=183190", "A183190")</f>
        <v>0</v>
      </c>
      <c r="D144">
        <f>HYPERLINK("http://comp.fnguide.com/SVO2/ASP/SVD_Consensus.asp?pGB=1&amp;gicode=A183190&amp;cID=&amp;MenuYn=Y&amp;ReportGB=&amp;NewMenuID=108&amp;stkGb=701", "아세아시멘트")</f>
        <v>0</v>
      </c>
      <c r="E144">
        <v>3</v>
      </c>
      <c r="F144">
        <v>138000</v>
      </c>
      <c r="G144">
        <v>0.34</v>
      </c>
      <c r="H144">
        <v>11.9</v>
      </c>
      <c r="I144">
        <v>75981</v>
      </c>
      <c r="J144">
        <v>155058</v>
      </c>
      <c r="K144">
        <v>178092</v>
      </c>
      <c r="L144">
        <v>44.94</v>
      </c>
      <c r="M144">
        <v>-12.36</v>
      </c>
      <c r="N144">
        <v>-29.05</v>
      </c>
      <c r="O144">
        <v>2.99</v>
      </c>
      <c r="P144" t="b">
        <v>1</v>
      </c>
      <c r="Q144">
        <v>1</v>
      </c>
      <c r="R144">
        <v>6093</v>
      </c>
      <c r="S144">
        <v>9754</v>
      </c>
      <c r="T144">
        <v>60.1</v>
      </c>
      <c r="U144" t="s">
        <v>1919</v>
      </c>
      <c r="V144" t="s">
        <v>2598</v>
      </c>
      <c r="W144">
        <v>34.56693842845635</v>
      </c>
      <c r="X144">
        <v>-14.3</v>
      </c>
      <c r="Y144" t="s">
        <v>3232</v>
      </c>
      <c r="Z144">
        <v>-14.44311013468912</v>
      </c>
      <c r="AA144">
        <v>5376</v>
      </c>
      <c r="AB144">
        <v>22241</v>
      </c>
      <c r="AC144" t="s">
        <v>3903</v>
      </c>
      <c r="AD144">
        <v>61.25</v>
      </c>
      <c r="AE144" t="s">
        <v>4582</v>
      </c>
      <c r="AF144" t="s">
        <v>5228</v>
      </c>
      <c r="AG144">
        <v>7875</v>
      </c>
      <c r="AH144">
        <v>753</v>
      </c>
      <c r="AI144">
        <v>1327</v>
      </c>
      <c r="AJ144">
        <v>1.72</v>
      </c>
    </row>
    <row r="145" spans="1:36">
      <c r="A145" s="1" t="s">
        <v>359</v>
      </c>
      <c r="B145" t="s">
        <v>1038</v>
      </c>
      <c r="C145">
        <f>HYPERLINK("https://finance.naver.com/item/coinfo.nhn?code=002350", "A002350")</f>
        <v>0</v>
      </c>
      <c r="D145">
        <f>HYPERLINK("http://comp.fnguide.com/SVO2/ASP/SVD_Consensus.asp?pGB=1&amp;gicode=A002350&amp;cID=&amp;MenuYn=Y&amp;ReportGB=&amp;NewMenuID=108&amp;stkGb=701", "넥센타이어")</f>
        <v>0</v>
      </c>
      <c r="E145">
        <v>3</v>
      </c>
      <c r="F145">
        <v>8590</v>
      </c>
      <c r="I145">
        <v>7607</v>
      </c>
      <c r="J145">
        <v>12620</v>
      </c>
      <c r="K145">
        <v>14080</v>
      </c>
      <c r="L145">
        <v>11.45</v>
      </c>
      <c r="M145">
        <v>-46.91</v>
      </c>
      <c r="N145">
        <v>-63.91</v>
      </c>
      <c r="O145">
        <v>3.9</v>
      </c>
      <c r="P145" t="b">
        <v>0</v>
      </c>
      <c r="Q145">
        <v>1</v>
      </c>
      <c r="R145">
        <v>-161</v>
      </c>
      <c r="S145">
        <v>737</v>
      </c>
      <c r="T145">
        <v>-557.8</v>
      </c>
      <c r="U145" t="s">
        <v>1717</v>
      </c>
      <c r="V145" t="s">
        <v>2396</v>
      </c>
      <c r="W145">
        <v>-9.452441304977288</v>
      </c>
      <c r="X145">
        <v>0</v>
      </c>
      <c r="Y145" t="s">
        <v>3043</v>
      </c>
      <c r="Z145">
        <v>-1.72560887448977</v>
      </c>
      <c r="AA145">
        <v>8390</v>
      </c>
      <c r="AB145">
        <v>171275</v>
      </c>
      <c r="AC145" t="s">
        <v>3701</v>
      </c>
      <c r="AD145">
        <v>66.95</v>
      </c>
      <c r="AE145" t="s">
        <v>4380</v>
      </c>
      <c r="AF145" t="s">
        <v>5033</v>
      </c>
      <c r="AG145">
        <v>16981</v>
      </c>
      <c r="AH145">
        <v>394</v>
      </c>
      <c r="AI145">
        <v>1504451</v>
      </c>
      <c r="AJ145">
        <v>1.7</v>
      </c>
    </row>
    <row r="146" spans="1:36">
      <c r="A146" s="1" t="s">
        <v>105</v>
      </c>
      <c r="B146" t="s">
        <v>784</v>
      </c>
      <c r="C146">
        <f>HYPERLINK("https://finance.naver.com/item/coinfo.nhn?code=005990", "A005990")</f>
        <v>0</v>
      </c>
      <c r="D146">
        <f>HYPERLINK("http://comp.fnguide.com/SVO2/ASP/SVD_Consensus.asp?pGB=1&amp;gicode=A005990&amp;cID=&amp;MenuYn=Y&amp;ReportGB=&amp;NewMenuID=108&amp;stkGb=701", "매일홀딩스")</f>
        <v>0</v>
      </c>
      <c r="E146">
        <v>3</v>
      </c>
      <c r="F146">
        <v>11050</v>
      </c>
      <c r="G146">
        <v>0</v>
      </c>
      <c r="H146">
        <v>58.79</v>
      </c>
      <c r="I146">
        <v>12709</v>
      </c>
      <c r="J146">
        <v>18582</v>
      </c>
      <c r="K146">
        <v>20292</v>
      </c>
      <c r="L146">
        <v>-15.02</v>
      </c>
      <c r="M146">
        <v>-68.16</v>
      </c>
      <c r="N146">
        <v>-83.64</v>
      </c>
      <c r="O146">
        <v>4.62</v>
      </c>
      <c r="P146" t="b">
        <v>1</v>
      </c>
      <c r="Q146">
        <v>0</v>
      </c>
      <c r="R146">
        <v>144</v>
      </c>
      <c r="U146" t="s">
        <v>1463</v>
      </c>
      <c r="V146" t="s">
        <v>2142</v>
      </c>
      <c r="W146">
        <v>0</v>
      </c>
      <c r="X146">
        <v>-91.3</v>
      </c>
      <c r="Y146" t="s">
        <v>2816</v>
      </c>
      <c r="Z146">
        <v>-41.31977885446234</v>
      </c>
      <c r="AA146">
        <v>1516</v>
      </c>
      <c r="AB146">
        <v>528753</v>
      </c>
      <c r="AC146" t="s">
        <v>3447</v>
      </c>
      <c r="AD146">
        <v>65.98999999999999</v>
      </c>
      <c r="AE146" t="s">
        <v>4126</v>
      </c>
      <c r="AF146" t="s">
        <v>4801</v>
      </c>
      <c r="AG146">
        <v>16617</v>
      </c>
      <c r="AH146">
        <v>834</v>
      </c>
      <c r="AI146">
        <v>1017013</v>
      </c>
      <c r="AJ146">
        <v>1.66</v>
      </c>
    </row>
    <row r="147" spans="1:36">
      <c r="A147" s="1" t="s">
        <v>462</v>
      </c>
      <c r="B147" t="s">
        <v>1141</v>
      </c>
      <c r="C147">
        <f>HYPERLINK("https://finance.naver.com/item/coinfo.nhn?code=012320", "A012320")</f>
        <v>0</v>
      </c>
      <c r="D147">
        <f>HYPERLINK("http://comp.fnguide.com/SVO2/ASP/SVD_Consensus.asp?pGB=1&amp;gicode=A012320&amp;cID=&amp;MenuYn=Y&amp;ReportGB=&amp;NewMenuID=108&amp;stkGb=701", "경동인베스트")</f>
        <v>0</v>
      </c>
      <c r="E147">
        <v>3</v>
      </c>
      <c r="F147">
        <v>45450</v>
      </c>
      <c r="G147">
        <v>0</v>
      </c>
      <c r="H147">
        <v>4.84</v>
      </c>
      <c r="I147">
        <v>90316</v>
      </c>
      <c r="J147">
        <v>151604</v>
      </c>
      <c r="K147">
        <v>169456</v>
      </c>
      <c r="L147">
        <v>-98.72</v>
      </c>
      <c r="M147">
        <v>-233.56</v>
      </c>
      <c r="N147">
        <v>-272.84</v>
      </c>
      <c r="O147">
        <v>3.84</v>
      </c>
      <c r="P147" t="b">
        <v>1</v>
      </c>
      <c r="Q147">
        <v>0</v>
      </c>
      <c r="R147">
        <v>6446</v>
      </c>
      <c r="U147" t="s">
        <v>1820</v>
      </c>
      <c r="V147" t="s">
        <v>2499</v>
      </c>
      <c r="W147">
        <v>0</v>
      </c>
      <c r="X147">
        <v>67.40000000000001</v>
      </c>
      <c r="Y147" t="s">
        <v>3143</v>
      </c>
      <c r="Z147">
        <v>5.765234640109251</v>
      </c>
      <c r="AA147">
        <v>1075</v>
      </c>
      <c r="AB147">
        <v>5555</v>
      </c>
      <c r="AC147" t="s">
        <v>3804</v>
      </c>
      <c r="AD147">
        <v>54.29</v>
      </c>
      <c r="AE147" t="s">
        <v>4483</v>
      </c>
      <c r="AF147" t="s">
        <v>5135</v>
      </c>
      <c r="AG147">
        <v>3105</v>
      </c>
      <c r="AH147">
        <v>207</v>
      </c>
      <c r="AI147">
        <v>184671</v>
      </c>
      <c r="AJ147">
        <v>1.6</v>
      </c>
    </row>
    <row r="148" spans="1:36">
      <c r="A148" s="1" t="s">
        <v>36</v>
      </c>
      <c r="B148" t="s">
        <v>715</v>
      </c>
      <c r="C148">
        <f>HYPERLINK("https://finance.naver.com/item/coinfo.nhn?code=006840", "A006840")</f>
        <v>0</v>
      </c>
      <c r="D148">
        <f>HYPERLINK("http://comp.fnguide.com/SVO2/ASP/SVD_Consensus.asp?pGB=1&amp;gicode=A006840&amp;cID=&amp;MenuYn=Y&amp;ReportGB=&amp;NewMenuID=108&amp;stkGb=701", "AK홀딩스")</f>
        <v>0</v>
      </c>
      <c r="E148">
        <v>3</v>
      </c>
      <c r="F148">
        <v>33500</v>
      </c>
      <c r="G148">
        <v>0</v>
      </c>
      <c r="I148">
        <v>21386</v>
      </c>
      <c r="J148">
        <v>39125</v>
      </c>
      <c r="K148">
        <v>44292</v>
      </c>
      <c r="L148">
        <v>36.16</v>
      </c>
      <c r="M148">
        <v>-16.79</v>
      </c>
      <c r="N148">
        <v>-32.21</v>
      </c>
      <c r="O148">
        <v>3.43</v>
      </c>
      <c r="P148" t="b">
        <v>0</v>
      </c>
      <c r="Q148">
        <v>0</v>
      </c>
      <c r="R148">
        <v>-11615</v>
      </c>
      <c r="U148" t="s">
        <v>1394</v>
      </c>
      <c r="V148" t="s">
        <v>2073</v>
      </c>
      <c r="W148">
        <v>0</v>
      </c>
      <c r="X148">
        <v>0</v>
      </c>
      <c r="Y148" t="s">
        <v>2752</v>
      </c>
      <c r="Z148">
        <v>-26.8108708549855</v>
      </c>
      <c r="AA148">
        <v>4438</v>
      </c>
      <c r="AB148">
        <v>92685</v>
      </c>
      <c r="AC148" t="s">
        <v>3378</v>
      </c>
      <c r="AD148">
        <v>64.91</v>
      </c>
      <c r="AE148" t="s">
        <v>4057</v>
      </c>
      <c r="AF148" t="s">
        <v>4736</v>
      </c>
      <c r="AG148">
        <v>26200</v>
      </c>
      <c r="AH148">
        <v>-2216</v>
      </c>
      <c r="AI148">
        <v>202066</v>
      </c>
      <c r="AJ148">
        <v>1.59</v>
      </c>
    </row>
    <row r="149" spans="1:36">
      <c r="A149" s="1" t="s">
        <v>409</v>
      </c>
      <c r="B149" t="s">
        <v>1088</v>
      </c>
      <c r="C149">
        <f>HYPERLINK("https://finance.naver.com/item/coinfo.nhn?code=280360", "A280360")</f>
        <v>0</v>
      </c>
      <c r="D149">
        <f>HYPERLINK("http://comp.fnguide.com/SVO2/ASP/SVD_Consensus.asp?pGB=1&amp;gicode=A280360&amp;cID=&amp;MenuYn=Y&amp;ReportGB=&amp;NewMenuID=108&amp;stkGb=701", "롯데제과")</f>
        <v>0</v>
      </c>
      <c r="E149">
        <v>3</v>
      </c>
      <c r="F149">
        <v>154000</v>
      </c>
      <c r="G149">
        <v>0.2</v>
      </c>
      <c r="H149">
        <v>15.97</v>
      </c>
      <c r="I149">
        <v>66007</v>
      </c>
      <c r="J149">
        <v>136791</v>
      </c>
      <c r="K149">
        <v>157410</v>
      </c>
      <c r="L149">
        <v>57.14</v>
      </c>
      <c r="M149">
        <v>11.17</v>
      </c>
      <c r="N149">
        <v>-2.21</v>
      </c>
      <c r="O149">
        <v>2.93</v>
      </c>
      <c r="P149" t="b">
        <v>0</v>
      </c>
      <c r="Q149">
        <v>3</v>
      </c>
      <c r="R149">
        <v>6387</v>
      </c>
      <c r="S149">
        <v>12353</v>
      </c>
      <c r="T149">
        <v>93.40000000000001</v>
      </c>
      <c r="U149" t="s">
        <v>1767</v>
      </c>
      <c r="V149" t="s">
        <v>2446</v>
      </c>
      <c r="W149">
        <v>78.0302189783564</v>
      </c>
      <c r="X149">
        <v>7.7</v>
      </c>
      <c r="Y149" t="s">
        <v>3090</v>
      </c>
      <c r="Z149">
        <v>0</v>
      </c>
      <c r="AA149">
        <v>9882</v>
      </c>
      <c r="AB149">
        <v>21727</v>
      </c>
      <c r="AC149" t="s">
        <v>3751</v>
      </c>
      <c r="AD149">
        <v>76.98999999999999</v>
      </c>
      <c r="AE149" t="s">
        <v>4430</v>
      </c>
      <c r="AF149" t="s">
        <v>5082</v>
      </c>
      <c r="AG149">
        <v>20760</v>
      </c>
      <c r="AH149">
        <v>1126</v>
      </c>
      <c r="AI149">
        <v>4578</v>
      </c>
      <c r="AJ149">
        <v>1.57</v>
      </c>
    </row>
    <row r="150" spans="1:36">
      <c r="A150" s="1" t="s">
        <v>484</v>
      </c>
      <c r="B150" t="s">
        <v>1163</v>
      </c>
      <c r="C150">
        <f>HYPERLINK("https://finance.naver.com/item/coinfo.nhn?code=123700", "A123700")</f>
        <v>0</v>
      </c>
      <c r="D150">
        <f>HYPERLINK("http://comp.fnguide.com/SVO2/ASP/SVD_Consensus.asp?pGB=1&amp;gicode=A123700&amp;cID=&amp;MenuYn=Y&amp;ReportGB=&amp;NewMenuID=108&amp;stkGb=701", "SJM")</f>
        <v>0</v>
      </c>
      <c r="E150">
        <v>3</v>
      </c>
      <c r="F150">
        <v>5650</v>
      </c>
      <c r="G150">
        <v>0</v>
      </c>
      <c r="H150">
        <v>19.19</v>
      </c>
      <c r="I150">
        <v>3388</v>
      </c>
      <c r="J150">
        <v>7591</v>
      </c>
      <c r="K150">
        <v>8816</v>
      </c>
      <c r="L150">
        <v>40.03</v>
      </c>
      <c r="M150">
        <v>-34.36</v>
      </c>
      <c r="N150">
        <v>-56.03</v>
      </c>
      <c r="O150">
        <v>2.66</v>
      </c>
      <c r="P150" t="b">
        <v>1</v>
      </c>
      <c r="Q150">
        <v>0</v>
      </c>
      <c r="R150">
        <v>172</v>
      </c>
      <c r="U150" t="s">
        <v>1842</v>
      </c>
      <c r="V150" t="s">
        <v>2521</v>
      </c>
      <c r="W150">
        <v>0</v>
      </c>
      <c r="X150">
        <v>-60.8</v>
      </c>
      <c r="Y150" t="s">
        <v>3164</v>
      </c>
      <c r="Z150">
        <v>-34.30464874008469</v>
      </c>
      <c r="AA150">
        <v>882</v>
      </c>
      <c r="AB150">
        <v>279991</v>
      </c>
      <c r="AC150" t="s">
        <v>3826</v>
      </c>
      <c r="AD150">
        <v>53.03</v>
      </c>
      <c r="AE150" t="s">
        <v>4505</v>
      </c>
      <c r="AF150" t="s">
        <v>5155</v>
      </c>
      <c r="AG150">
        <v>1387</v>
      </c>
      <c r="AH150">
        <v>68</v>
      </c>
      <c r="AJ150">
        <v>1.52</v>
      </c>
    </row>
    <row r="151" spans="1:36">
      <c r="A151" s="1" t="s">
        <v>494</v>
      </c>
      <c r="B151" t="s">
        <v>1173</v>
      </c>
      <c r="C151">
        <f>HYPERLINK("https://finance.naver.com/item/coinfo.nhn?code=006090", "A006090")</f>
        <v>0</v>
      </c>
      <c r="D151">
        <f>HYPERLINK("http://comp.fnguide.com/SVO2/ASP/SVD_Consensus.asp?pGB=1&amp;gicode=A006090&amp;cID=&amp;MenuYn=Y&amp;ReportGB=&amp;NewMenuID=108&amp;stkGb=701", "사조오양")</f>
        <v>0</v>
      </c>
      <c r="E151">
        <v>3</v>
      </c>
      <c r="F151">
        <v>11400</v>
      </c>
      <c r="G151">
        <v>0</v>
      </c>
      <c r="H151">
        <v>5.02</v>
      </c>
      <c r="I151">
        <v>21087</v>
      </c>
      <c r="J151">
        <v>20211</v>
      </c>
      <c r="K151">
        <v>19956</v>
      </c>
      <c r="L151">
        <v>-84.98</v>
      </c>
      <c r="M151">
        <v>-77.29000000000001</v>
      </c>
      <c r="N151">
        <v>-75.05</v>
      </c>
      <c r="O151">
        <v>8.84</v>
      </c>
      <c r="P151" t="b">
        <v>1</v>
      </c>
      <c r="Q151">
        <v>0</v>
      </c>
      <c r="R151">
        <v>1959</v>
      </c>
      <c r="U151" t="s">
        <v>1852</v>
      </c>
      <c r="V151" t="s">
        <v>2531</v>
      </c>
      <c r="W151">
        <v>0</v>
      </c>
      <c r="X151">
        <v>39.7</v>
      </c>
      <c r="Y151" t="s">
        <v>3174</v>
      </c>
      <c r="Z151">
        <v>7.874876036324818</v>
      </c>
      <c r="AA151">
        <v>1074</v>
      </c>
      <c r="AB151">
        <v>113977</v>
      </c>
      <c r="AC151" t="s">
        <v>3836</v>
      </c>
      <c r="AD151">
        <v>60.53</v>
      </c>
      <c r="AE151" t="s">
        <v>4515</v>
      </c>
      <c r="AF151" t="s">
        <v>5165</v>
      </c>
      <c r="AG151">
        <v>3276</v>
      </c>
      <c r="AH151">
        <v>267</v>
      </c>
      <c r="AI151">
        <v>3</v>
      </c>
      <c r="AJ151">
        <v>1.52</v>
      </c>
    </row>
    <row r="152" spans="1:36">
      <c r="A152" s="1" t="s">
        <v>157</v>
      </c>
      <c r="B152" t="s">
        <v>836</v>
      </c>
      <c r="C152">
        <f>HYPERLINK("https://finance.naver.com/item/coinfo.nhn?code=010690", "A010690")</f>
        <v>0</v>
      </c>
      <c r="D152">
        <f>HYPERLINK("http://comp.fnguide.com/SVO2/ASP/SVD_Consensus.asp?pGB=1&amp;gicode=A010690&amp;cID=&amp;MenuYn=Y&amp;ReportGB=&amp;NewMenuID=108&amp;stkGb=701", "화신")</f>
        <v>0</v>
      </c>
      <c r="E152">
        <v>3</v>
      </c>
      <c r="F152">
        <v>5700</v>
      </c>
      <c r="G152">
        <v>0</v>
      </c>
      <c r="I152">
        <v>705</v>
      </c>
      <c r="J152">
        <v>4899</v>
      </c>
      <c r="K152">
        <v>6121</v>
      </c>
      <c r="L152">
        <v>87.62</v>
      </c>
      <c r="M152">
        <v>14.05</v>
      </c>
      <c r="N152">
        <v>-7.38</v>
      </c>
      <c r="O152">
        <v>0.75</v>
      </c>
      <c r="P152" t="b">
        <v>0</v>
      </c>
      <c r="Q152">
        <v>0</v>
      </c>
      <c r="R152">
        <v>-1553</v>
      </c>
      <c r="U152" t="s">
        <v>1515</v>
      </c>
      <c r="V152" t="s">
        <v>2194</v>
      </c>
      <c r="W152">
        <v>0</v>
      </c>
      <c r="X152">
        <v>0</v>
      </c>
      <c r="Y152" t="s">
        <v>2762</v>
      </c>
      <c r="Z152">
        <v>0</v>
      </c>
      <c r="AA152">
        <v>1990</v>
      </c>
      <c r="AB152">
        <v>7649737</v>
      </c>
      <c r="AC152" t="s">
        <v>3499</v>
      </c>
      <c r="AD152">
        <v>50.41</v>
      </c>
      <c r="AE152" t="s">
        <v>4178</v>
      </c>
      <c r="AF152" t="s">
        <v>4851</v>
      </c>
      <c r="AG152">
        <v>10855</v>
      </c>
      <c r="AH152">
        <v>-113</v>
      </c>
      <c r="AI152">
        <v>1995600</v>
      </c>
      <c r="AJ152">
        <v>1.48</v>
      </c>
    </row>
    <row r="153" spans="1:36">
      <c r="A153" s="1" t="s">
        <v>234</v>
      </c>
      <c r="B153" t="s">
        <v>913</v>
      </c>
      <c r="C153">
        <f>HYPERLINK("https://finance.naver.com/item/coinfo.nhn?code=034810", "A034810")</f>
        <v>0</v>
      </c>
      <c r="D153">
        <f>HYPERLINK("http://comp.fnguide.com/SVO2/ASP/SVD_Consensus.asp?pGB=1&amp;gicode=A034810&amp;cID=&amp;MenuYn=Y&amp;ReportGB=&amp;NewMenuID=108&amp;stkGb=701", "해성산업")</f>
        <v>0</v>
      </c>
      <c r="E153">
        <v>3</v>
      </c>
      <c r="F153">
        <v>15000</v>
      </c>
      <c r="G153">
        <v>0</v>
      </c>
      <c r="H153">
        <v>0.49</v>
      </c>
      <c r="I153">
        <v>135124</v>
      </c>
      <c r="J153">
        <v>68870</v>
      </c>
      <c r="K153">
        <v>49571</v>
      </c>
      <c r="L153">
        <v>-800.83</v>
      </c>
      <c r="M153">
        <v>-359.13</v>
      </c>
      <c r="N153">
        <v>-230.47</v>
      </c>
      <c r="O153">
        <v>47.11</v>
      </c>
      <c r="P153" t="b">
        <v>1</v>
      </c>
      <c r="Q153">
        <v>0</v>
      </c>
      <c r="R153">
        <v>24709</v>
      </c>
      <c r="U153" t="s">
        <v>1592</v>
      </c>
      <c r="V153" t="s">
        <v>2271</v>
      </c>
      <c r="W153">
        <v>0</v>
      </c>
      <c r="X153">
        <v>10295</v>
      </c>
      <c r="Y153" t="s">
        <v>2933</v>
      </c>
      <c r="Z153">
        <v>129.8987905818248</v>
      </c>
      <c r="AA153">
        <v>3953</v>
      </c>
      <c r="AB153">
        <v>36971</v>
      </c>
      <c r="AC153" t="s">
        <v>3576</v>
      </c>
      <c r="AD153">
        <v>63.91</v>
      </c>
      <c r="AE153" t="s">
        <v>4255</v>
      </c>
      <c r="AF153" t="s">
        <v>4921</v>
      </c>
      <c r="AG153">
        <v>4794</v>
      </c>
      <c r="AH153">
        <v>231</v>
      </c>
      <c r="AI153">
        <v>764637</v>
      </c>
      <c r="AJ153">
        <v>1.43</v>
      </c>
    </row>
    <row r="154" spans="1:36">
      <c r="A154" s="1" t="s">
        <v>316</v>
      </c>
      <c r="B154" t="s">
        <v>995</v>
      </c>
      <c r="C154">
        <f>HYPERLINK("https://finance.naver.com/item/coinfo.nhn?code=080010", "A080010")</f>
        <v>0</v>
      </c>
      <c r="D154">
        <f>HYPERLINK("http://comp.fnguide.com/SVO2/ASP/SVD_Consensus.asp?pGB=1&amp;gicode=A080010&amp;cID=&amp;MenuYn=Y&amp;ReportGB=&amp;NewMenuID=108&amp;stkGb=701", "이상네트웍스")</f>
        <v>0</v>
      </c>
      <c r="E154">
        <v>3</v>
      </c>
      <c r="F154">
        <v>7430</v>
      </c>
      <c r="G154">
        <v>0</v>
      </c>
      <c r="H154">
        <v>10.22</v>
      </c>
      <c r="I154">
        <v>10840</v>
      </c>
      <c r="J154">
        <v>11063</v>
      </c>
      <c r="K154">
        <v>11128</v>
      </c>
      <c r="L154">
        <v>-45.89</v>
      </c>
      <c r="M154">
        <v>-48.89</v>
      </c>
      <c r="N154">
        <v>-49.77</v>
      </c>
      <c r="O154">
        <v>7.95</v>
      </c>
      <c r="P154" t="b">
        <v>1</v>
      </c>
      <c r="Q154">
        <v>0</v>
      </c>
      <c r="R154">
        <v>690</v>
      </c>
      <c r="U154" t="s">
        <v>1674</v>
      </c>
      <c r="V154" t="s">
        <v>2353</v>
      </c>
      <c r="W154">
        <v>0</v>
      </c>
      <c r="X154">
        <v>-31.1</v>
      </c>
      <c r="Y154" t="s">
        <v>3004</v>
      </c>
      <c r="Z154">
        <v>17.42329152753586</v>
      </c>
      <c r="AA154">
        <v>670</v>
      </c>
      <c r="AB154">
        <v>42773</v>
      </c>
      <c r="AC154" t="s">
        <v>3658</v>
      </c>
      <c r="AD154">
        <v>50.05</v>
      </c>
      <c r="AE154" t="s">
        <v>4337</v>
      </c>
      <c r="AF154" t="s">
        <v>4995</v>
      </c>
      <c r="AG154">
        <v>442</v>
      </c>
      <c r="AH154">
        <v>31</v>
      </c>
      <c r="AI154">
        <v>98424</v>
      </c>
      <c r="AJ154">
        <v>1.42</v>
      </c>
    </row>
    <row r="155" spans="1:36">
      <c r="A155" s="1" t="s">
        <v>621</v>
      </c>
      <c r="B155" t="s">
        <v>1300</v>
      </c>
      <c r="C155">
        <f>HYPERLINK("https://finance.naver.com/item/coinfo.nhn?code=210980", "A210980")</f>
        <v>0</v>
      </c>
      <c r="D155">
        <f>HYPERLINK("http://comp.fnguide.com/SVO2/ASP/SVD_Consensus.asp?pGB=1&amp;gicode=A210980&amp;cID=&amp;MenuYn=Y&amp;ReportGB=&amp;NewMenuID=108&amp;stkGb=701", "SK디앤디")</f>
        <v>0</v>
      </c>
      <c r="E155">
        <v>2</v>
      </c>
      <c r="F155">
        <v>36050</v>
      </c>
      <c r="G155">
        <v>-2.05</v>
      </c>
      <c r="H155">
        <v>14.51</v>
      </c>
      <c r="I155">
        <v>48853</v>
      </c>
      <c r="J155">
        <v>36239</v>
      </c>
      <c r="K155">
        <v>32564</v>
      </c>
      <c r="L155">
        <v>-35.51</v>
      </c>
      <c r="M155">
        <v>-0.52</v>
      </c>
      <c r="N155">
        <v>9.67</v>
      </c>
      <c r="O155">
        <v>14.54</v>
      </c>
      <c r="P155" t="b">
        <v>1</v>
      </c>
      <c r="Q155">
        <v>0</v>
      </c>
      <c r="R155">
        <v>2974</v>
      </c>
      <c r="S155">
        <v>2594</v>
      </c>
      <c r="T155">
        <v>-12.8</v>
      </c>
      <c r="U155" t="s">
        <v>1979</v>
      </c>
      <c r="V155" t="s">
        <v>2658</v>
      </c>
      <c r="W155">
        <v>-7.095196807177717</v>
      </c>
      <c r="X155">
        <v>25.8</v>
      </c>
      <c r="Y155" t="s">
        <v>3290</v>
      </c>
      <c r="Z155">
        <v>15.71707973614926</v>
      </c>
      <c r="AA155">
        <v>6846</v>
      </c>
      <c r="AB155">
        <v>64843</v>
      </c>
      <c r="AC155" t="s">
        <v>3963</v>
      </c>
      <c r="AD155">
        <v>58.67</v>
      </c>
      <c r="AE155" t="s">
        <v>4642</v>
      </c>
      <c r="AF155" t="s">
        <v>5285</v>
      </c>
      <c r="AG155">
        <v>6998</v>
      </c>
      <c r="AH155">
        <v>1398</v>
      </c>
      <c r="AI155">
        <v>640</v>
      </c>
      <c r="AJ155">
        <v>1.39</v>
      </c>
    </row>
    <row r="156" spans="1:36">
      <c r="A156" s="1" t="s">
        <v>610</v>
      </c>
      <c r="B156" t="s">
        <v>1289</v>
      </c>
      <c r="C156">
        <f>HYPERLINK("https://finance.naver.com/item/coinfo.nhn?code=200880", "A200880")</f>
        <v>0</v>
      </c>
      <c r="D156">
        <f>HYPERLINK("http://comp.fnguide.com/SVO2/ASP/SVD_Consensus.asp?pGB=1&amp;gicode=A200880&amp;cID=&amp;MenuYn=Y&amp;ReportGB=&amp;NewMenuID=108&amp;stkGb=701", "서연이화")</f>
        <v>0</v>
      </c>
      <c r="E156">
        <v>3</v>
      </c>
      <c r="F156">
        <v>9060</v>
      </c>
      <c r="G156">
        <v>0</v>
      </c>
      <c r="I156">
        <v>0</v>
      </c>
      <c r="J156">
        <v>13252</v>
      </c>
      <c r="K156">
        <v>17112</v>
      </c>
      <c r="L156">
        <v>100</v>
      </c>
      <c r="M156">
        <v>-46.27</v>
      </c>
      <c r="N156">
        <v>-88.87</v>
      </c>
      <c r="O156">
        <v>0</v>
      </c>
      <c r="P156" t="b">
        <v>0</v>
      </c>
      <c r="Q156">
        <v>0</v>
      </c>
      <c r="R156">
        <v>-1527</v>
      </c>
      <c r="U156" t="s">
        <v>1968</v>
      </c>
      <c r="V156" t="s">
        <v>2647</v>
      </c>
      <c r="W156">
        <v>0</v>
      </c>
      <c r="X156">
        <v>0</v>
      </c>
      <c r="Y156" t="s">
        <v>3280</v>
      </c>
      <c r="Z156">
        <v>-34.47504292256271</v>
      </c>
      <c r="AA156">
        <v>2449</v>
      </c>
      <c r="AB156">
        <v>134825</v>
      </c>
      <c r="AC156" t="s">
        <v>3952</v>
      </c>
      <c r="AD156">
        <v>57.06</v>
      </c>
      <c r="AE156" t="s">
        <v>4631</v>
      </c>
      <c r="AF156" t="s">
        <v>4741</v>
      </c>
      <c r="AG156">
        <v>19624</v>
      </c>
      <c r="AH156">
        <v>485</v>
      </c>
      <c r="AI156">
        <v>5686</v>
      </c>
      <c r="AJ156">
        <v>1.37</v>
      </c>
    </row>
    <row r="157" spans="1:36">
      <c r="A157" s="1" t="s">
        <v>285</v>
      </c>
      <c r="B157" t="s">
        <v>964</v>
      </c>
      <c r="C157">
        <f>HYPERLINK("https://finance.naver.com/item/coinfo.nhn?code=003100", "A003100")</f>
        <v>0</v>
      </c>
      <c r="D157">
        <f>HYPERLINK("http://comp.fnguide.com/SVO2/ASP/SVD_Consensus.asp?pGB=1&amp;gicode=A003100&amp;cID=&amp;MenuYn=Y&amp;ReportGB=&amp;NewMenuID=108&amp;stkGb=701", "선광")</f>
        <v>0</v>
      </c>
      <c r="E157">
        <v>3</v>
      </c>
      <c r="F157">
        <v>39850</v>
      </c>
      <c r="G157">
        <v>0</v>
      </c>
      <c r="H157">
        <v>26.21</v>
      </c>
      <c r="I157">
        <v>12640</v>
      </c>
      <c r="J157">
        <v>36352</v>
      </c>
      <c r="K157">
        <v>43259</v>
      </c>
      <c r="L157">
        <v>68.28</v>
      </c>
      <c r="M157">
        <v>8.779999999999999</v>
      </c>
      <c r="N157">
        <v>-8.56</v>
      </c>
      <c r="O157">
        <v>1.98</v>
      </c>
      <c r="P157" t="b">
        <v>0</v>
      </c>
      <c r="Q157">
        <v>0</v>
      </c>
      <c r="R157">
        <v>1028</v>
      </c>
      <c r="U157" t="s">
        <v>1643</v>
      </c>
      <c r="V157" t="s">
        <v>2322</v>
      </c>
      <c r="W157">
        <v>0</v>
      </c>
      <c r="X157">
        <v>161</v>
      </c>
      <c r="Y157" t="s">
        <v>2975</v>
      </c>
      <c r="Z157">
        <v>4.564694989959373</v>
      </c>
      <c r="AA157">
        <v>2630</v>
      </c>
      <c r="AB157">
        <v>11861</v>
      </c>
      <c r="AC157" t="s">
        <v>3627</v>
      </c>
      <c r="AD157">
        <v>52.5</v>
      </c>
      <c r="AE157" t="s">
        <v>4306</v>
      </c>
      <c r="AF157" t="s">
        <v>4966</v>
      </c>
      <c r="AG157">
        <v>1517</v>
      </c>
      <c r="AH157">
        <v>286</v>
      </c>
      <c r="AI157">
        <v>825910</v>
      </c>
      <c r="AJ157">
        <v>1.3</v>
      </c>
    </row>
    <row r="158" spans="1:36">
      <c r="A158" s="1" t="s">
        <v>411</v>
      </c>
      <c r="B158" t="s">
        <v>1090</v>
      </c>
      <c r="C158">
        <f>HYPERLINK("https://finance.naver.com/item/coinfo.nhn?code=011170", "A011170")</f>
        <v>0</v>
      </c>
      <c r="D158">
        <f>HYPERLINK("http://comp.fnguide.com/SVO2/ASP/SVD_Consensus.asp?pGB=1&amp;gicode=A011170&amp;cID=&amp;MenuYn=Y&amp;ReportGB=&amp;NewMenuID=108&amp;stkGb=701", "롯데케미칼")</f>
        <v>0</v>
      </c>
      <c r="E158">
        <v>3</v>
      </c>
      <c r="F158">
        <v>282500</v>
      </c>
      <c r="G158">
        <v>44.21</v>
      </c>
      <c r="H158">
        <v>59.7</v>
      </c>
      <c r="I158">
        <v>210655</v>
      </c>
      <c r="J158">
        <v>308152</v>
      </c>
      <c r="K158">
        <v>336552</v>
      </c>
      <c r="L158">
        <v>25.43</v>
      </c>
      <c r="M158">
        <v>-9.08</v>
      </c>
      <c r="N158">
        <v>-19.13</v>
      </c>
      <c r="O158">
        <v>4.62</v>
      </c>
      <c r="P158" t="b">
        <v>1</v>
      </c>
      <c r="Q158">
        <v>1</v>
      </c>
      <c r="R158">
        <v>4623</v>
      </c>
      <c r="S158">
        <v>47858</v>
      </c>
      <c r="T158">
        <v>935.2</v>
      </c>
      <c r="U158" t="s">
        <v>1769</v>
      </c>
      <c r="V158" t="s">
        <v>2448</v>
      </c>
      <c r="W158">
        <v>1.350325213071724</v>
      </c>
      <c r="X158">
        <v>-77.8</v>
      </c>
      <c r="Y158" t="s">
        <v>3092</v>
      </c>
      <c r="Z158">
        <v>-30.68083000345774</v>
      </c>
      <c r="AA158">
        <v>96828</v>
      </c>
      <c r="AB158">
        <v>221417</v>
      </c>
      <c r="AC158" t="s">
        <v>3753</v>
      </c>
      <c r="AD158">
        <v>54.92</v>
      </c>
      <c r="AE158" t="s">
        <v>4432</v>
      </c>
      <c r="AF158" t="s">
        <v>5084</v>
      </c>
      <c r="AG158">
        <v>122230</v>
      </c>
      <c r="AH158">
        <v>3569</v>
      </c>
      <c r="AJ158">
        <v>1.3</v>
      </c>
    </row>
    <row r="159" spans="1:36">
      <c r="A159" s="1" t="s">
        <v>47</v>
      </c>
      <c r="B159" t="s">
        <v>726</v>
      </c>
      <c r="C159">
        <f>HYPERLINK("https://finance.naver.com/item/coinfo.nhn?code=108380", "A108380")</f>
        <v>0</v>
      </c>
      <c r="D159">
        <f>HYPERLINK("http://comp.fnguide.com/SVO2/ASP/SVD_Consensus.asp?pGB=1&amp;gicode=A108380&amp;cID=&amp;MenuYn=Y&amp;ReportGB=&amp;NewMenuID=108&amp;stkGb=701", "대양전기공업")</f>
        <v>0</v>
      </c>
      <c r="E159">
        <v>3</v>
      </c>
      <c r="F159">
        <v>20250</v>
      </c>
      <c r="G159">
        <v>0</v>
      </c>
      <c r="H159">
        <v>10.69</v>
      </c>
      <c r="I159">
        <v>18411</v>
      </c>
      <c r="J159">
        <v>21481</v>
      </c>
      <c r="K159">
        <v>22375</v>
      </c>
      <c r="L159">
        <v>9.08</v>
      </c>
      <c r="M159">
        <v>-6.08</v>
      </c>
      <c r="N159">
        <v>-10.49</v>
      </c>
      <c r="O159">
        <v>6.42</v>
      </c>
      <c r="P159" t="b">
        <v>1</v>
      </c>
      <c r="Q159">
        <v>0</v>
      </c>
      <c r="R159">
        <v>1446</v>
      </c>
      <c r="U159" t="s">
        <v>1405</v>
      </c>
      <c r="V159" t="s">
        <v>2084</v>
      </c>
      <c r="W159">
        <v>0</v>
      </c>
      <c r="X159">
        <v>10.7</v>
      </c>
      <c r="Y159" t="s">
        <v>2763</v>
      </c>
      <c r="Z159">
        <v>-4.182341359690856</v>
      </c>
      <c r="AA159">
        <v>1937</v>
      </c>
      <c r="AB159">
        <v>111697</v>
      </c>
      <c r="AC159" t="s">
        <v>3389</v>
      </c>
      <c r="AD159">
        <v>59.85</v>
      </c>
      <c r="AE159" t="s">
        <v>4068</v>
      </c>
      <c r="AF159" t="s">
        <v>4747</v>
      </c>
      <c r="AG159">
        <v>1892</v>
      </c>
      <c r="AH159">
        <v>163</v>
      </c>
      <c r="AI159">
        <v>279488</v>
      </c>
      <c r="AJ159">
        <v>1.29</v>
      </c>
    </row>
    <row r="160" spans="1:36">
      <c r="A160" s="1" t="s">
        <v>48</v>
      </c>
      <c r="B160" t="s">
        <v>727</v>
      </c>
      <c r="C160">
        <f>HYPERLINK("https://finance.naver.com/item/coinfo.nhn?code=006580", "A006580")</f>
        <v>0</v>
      </c>
      <c r="D160">
        <f>HYPERLINK("http://comp.fnguide.com/SVO2/ASP/SVD_Consensus.asp?pGB=1&amp;gicode=A006580&amp;cID=&amp;MenuYn=Y&amp;ReportGB=&amp;NewMenuID=108&amp;stkGb=701", "대양제지")</f>
        <v>0</v>
      </c>
      <c r="E160">
        <v>3</v>
      </c>
      <c r="F160">
        <v>3260</v>
      </c>
      <c r="G160">
        <v>0</v>
      </c>
      <c r="H160">
        <v>25.68</v>
      </c>
      <c r="I160">
        <v>9996</v>
      </c>
      <c r="J160">
        <v>7903</v>
      </c>
      <c r="K160">
        <v>7294</v>
      </c>
      <c r="L160">
        <v>-206.63</v>
      </c>
      <c r="M160">
        <v>-142.43</v>
      </c>
      <c r="N160">
        <v>-123.73</v>
      </c>
      <c r="O160">
        <v>12.69</v>
      </c>
      <c r="P160" t="b">
        <v>1</v>
      </c>
      <c r="Q160">
        <v>0</v>
      </c>
      <c r="R160">
        <v>123</v>
      </c>
      <c r="U160" t="s">
        <v>1406</v>
      </c>
      <c r="V160" t="s">
        <v>2085</v>
      </c>
      <c r="W160">
        <v>0</v>
      </c>
      <c r="X160">
        <v>-86</v>
      </c>
      <c r="Y160" t="s">
        <v>2764</v>
      </c>
      <c r="Z160">
        <v>-67.06066181599878</v>
      </c>
      <c r="AA160">
        <v>875</v>
      </c>
      <c r="AB160">
        <v>0</v>
      </c>
      <c r="AC160" t="s">
        <v>3390</v>
      </c>
      <c r="AD160">
        <v>66.31999999999999</v>
      </c>
      <c r="AE160" t="s">
        <v>4069</v>
      </c>
      <c r="AF160" t="s">
        <v>4748</v>
      </c>
      <c r="AG160">
        <v>2140</v>
      </c>
      <c r="AH160">
        <v>101</v>
      </c>
      <c r="AI160">
        <v>6193269</v>
      </c>
      <c r="AJ160">
        <v>1.27</v>
      </c>
    </row>
    <row r="161" spans="1:36">
      <c r="A161" s="1" t="s">
        <v>160</v>
      </c>
      <c r="B161" t="s">
        <v>839</v>
      </c>
      <c r="C161">
        <f>HYPERLINK("https://finance.naver.com/item/coinfo.nhn?code=032560", "A032560")</f>
        <v>0</v>
      </c>
      <c r="D161">
        <f>HYPERLINK("http://comp.fnguide.com/SVO2/ASP/SVD_Consensus.asp?pGB=1&amp;gicode=A032560&amp;cID=&amp;MenuYn=Y&amp;ReportGB=&amp;NewMenuID=108&amp;stkGb=701", "황금에스티")</f>
        <v>0</v>
      </c>
      <c r="E161">
        <v>3</v>
      </c>
      <c r="F161">
        <v>10050</v>
      </c>
      <c r="G161">
        <v>0</v>
      </c>
      <c r="H161">
        <v>6.75</v>
      </c>
      <c r="I161">
        <v>15672</v>
      </c>
      <c r="J161">
        <v>16503</v>
      </c>
      <c r="K161">
        <v>16745</v>
      </c>
      <c r="L161">
        <v>-55.94</v>
      </c>
      <c r="M161">
        <v>-64.20999999999999</v>
      </c>
      <c r="N161">
        <v>-66.62</v>
      </c>
      <c r="O161">
        <v>7.55</v>
      </c>
      <c r="P161" t="b">
        <v>1</v>
      </c>
      <c r="Q161">
        <v>0</v>
      </c>
      <c r="R161">
        <v>1047</v>
      </c>
      <c r="U161" t="s">
        <v>1518</v>
      </c>
      <c r="V161" t="s">
        <v>2197</v>
      </c>
      <c r="W161">
        <v>0</v>
      </c>
      <c r="X161">
        <v>-30.4</v>
      </c>
      <c r="Y161" t="s">
        <v>2866</v>
      </c>
      <c r="Z161">
        <v>31.09656064101931</v>
      </c>
      <c r="AA161">
        <v>1608</v>
      </c>
      <c r="AB161">
        <v>761403</v>
      </c>
      <c r="AC161" t="s">
        <v>3502</v>
      </c>
      <c r="AD161">
        <v>54.12</v>
      </c>
      <c r="AE161" t="s">
        <v>4181</v>
      </c>
      <c r="AF161" t="s">
        <v>4853</v>
      </c>
      <c r="AG161">
        <v>2582</v>
      </c>
      <c r="AH161">
        <v>237</v>
      </c>
      <c r="AI161">
        <v>1861</v>
      </c>
      <c r="AJ161">
        <v>1.24</v>
      </c>
    </row>
    <row r="162" spans="1:36">
      <c r="A162" s="1" t="s">
        <v>75</v>
      </c>
      <c r="B162" t="s">
        <v>754</v>
      </c>
      <c r="C162">
        <f>HYPERLINK("https://finance.naver.com/item/coinfo.nhn?code=213090", "A213090")</f>
        <v>0</v>
      </c>
      <c r="D162">
        <f>HYPERLINK("http://comp.fnguide.com/SVO2/ASP/SVD_Consensus.asp?pGB=1&amp;gicode=A213090&amp;cID=&amp;MenuYn=Y&amp;ReportGB=&amp;NewMenuID=108&amp;stkGb=701", "미래테크놀로지")</f>
        <v>0</v>
      </c>
      <c r="E162">
        <v>3</v>
      </c>
      <c r="F162">
        <v>8820</v>
      </c>
      <c r="G162">
        <v>0</v>
      </c>
      <c r="H162">
        <v>19.19</v>
      </c>
      <c r="I162">
        <v>5408</v>
      </c>
      <c r="J162">
        <v>8622</v>
      </c>
      <c r="K162">
        <v>9559</v>
      </c>
      <c r="L162">
        <v>38.69</v>
      </c>
      <c r="M162">
        <v>2.24</v>
      </c>
      <c r="N162">
        <v>-8.380000000000001</v>
      </c>
      <c r="O162">
        <v>4.11</v>
      </c>
      <c r="P162" t="b">
        <v>1</v>
      </c>
      <c r="Q162">
        <v>0</v>
      </c>
      <c r="R162">
        <v>429</v>
      </c>
      <c r="U162" t="s">
        <v>1433</v>
      </c>
      <c r="V162" t="s">
        <v>2112</v>
      </c>
      <c r="W162">
        <v>0</v>
      </c>
      <c r="X162">
        <v>-18.7</v>
      </c>
      <c r="Y162" t="s">
        <v>2789</v>
      </c>
      <c r="Z162">
        <v>-11.51543797645344</v>
      </c>
      <c r="AA162">
        <v>540</v>
      </c>
      <c r="AB162">
        <v>13414</v>
      </c>
      <c r="AC162" t="s">
        <v>3417</v>
      </c>
      <c r="AD162">
        <v>66.15000000000001</v>
      </c>
      <c r="AE162" t="s">
        <v>4096</v>
      </c>
      <c r="AF162" t="s">
        <v>4773</v>
      </c>
      <c r="AG162">
        <v>306</v>
      </c>
      <c r="AH162">
        <v>10</v>
      </c>
      <c r="AI162">
        <v>335171</v>
      </c>
      <c r="AJ162">
        <v>1.22</v>
      </c>
    </row>
    <row r="163" spans="1:36">
      <c r="A163" s="1" t="s">
        <v>330</v>
      </c>
      <c r="B163" t="s">
        <v>1009</v>
      </c>
      <c r="C163">
        <f>HYPERLINK("https://finance.naver.com/item/coinfo.nhn?code=009780", "A009780")</f>
        <v>0</v>
      </c>
      <c r="D163">
        <f>HYPERLINK("http://comp.fnguide.com/SVO2/ASP/SVD_Consensus.asp?pGB=1&amp;gicode=A009780&amp;cID=&amp;MenuYn=Y&amp;ReportGB=&amp;NewMenuID=108&amp;stkGb=701", "엠에스씨")</f>
        <v>0</v>
      </c>
      <c r="E163">
        <v>3</v>
      </c>
      <c r="F163">
        <v>5470</v>
      </c>
      <c r="G163">
        <v>0</v>
      </c>
      <c r="H163">
        <v>9.859999999999999</v>
      </c>
      <c r="I163">
        <v>8012</v>
      </c>
      <c r="J163">
        <v>6651</v>
      </c>
      <c r="K163">
        <v>6255</v>
      </c>
      <c r="L163">
        <v>-46.46</v>
      </c>
      <c r="M163">
        <v>-21.6</v>
      </c>
      <c r="N163">
        <v>-14.36</v>
      </c>
      <c r="O163">
        <v>11.51</v>
      </c>
      <c r="P163" t="b">
        <v>1</v>
      </c>
      <c r="Q163">
        <v>0</v>
      </c>
      <c r="R163">
        <v>508</v>
      </c>
      <c r="U163" t="s">
        <v>1688</v>
      </c>
      <c r="V163" t="s">
        <v>2367</v>
      </c>
      <c r="W163">
        <v>0</v>
      </c>
      <c r="X163">
        <v>-23</v>
      </c>
      <c r="Y163" t="s">
        <v>3015</v>
      </c>
      <c r="Z163">
        <v>11.64611390990344</v>
      </c>
      <c r="AA163">
        <v>963</v>
      </c>
      <c r="AB163">
        <v>264163</v>
      </c>
      <c r="AC163" t="s">
        <v>3672</v>
      </c>
      <c r="AD163">
        <v>73.22</v>
      </c>
      <c r="AE163" t="s">
        <v>4351</v>
      </c>
      <c r="AF163" t="s">
        <v>5005</v>
      </c>
      <c r="AG163">
        <v>1464</v>
      </c>
      <c r="AH163">
        <v>129</v>
      </c>
      <c r="AJ163">
        <v>1.2</v>
      </c>
    </row>
    <row r="164" spans="1:36">
      <c r="A164" s="1" t="s">
        <v>277</v>
      </c>
      <c r="B164" t="s">
        <v>956</v>
      </c>
      <c r="C164">
        <f>HYPERLINK("https://finance.naver.com/item/coinfo.nhn?code=042110", "A042110")</f>
        <v>0</v>
      </c>
      <c r="D164">
        <f>HYPERLINK("http://comp.fnguide.com/SVO2/ASP/SVD_Consensus.asp?pGB=1&amp;gicode=A042110&amp;cID=&amp;MenuYn=Y&amp;ReportGB=&amp;NewMenuID=108&amp;stkGb=701", "에스씨디")</f>
        <v>0</v>
      </c>
      <c r="E164">
        <v>3</v>
      </c>
      <c r="F164">
        <v>1820</v>
      </c>
      <c r="G164">
        <v>0</v>
      </c>
      <c r="H164">
        <v>21.63</v>
      </c>
      <c r="I164">
        <v>819</v>
      </c>
      <c r="J164">
        <v>1603</v>
      </c>
      <c r="K164">
        <v>1832</v>
      </c>
      <c r="L164">
        <v>55.02</v>
      </c>
      <c r="M164">
        <v>11.92</v>
      </c>
      <c r="N164">
        <v>-0.64</v>
      </c>
      <c r="O164">
        <v>3.15</v>
      </c>
      <c r="P164" t="b">
        <v>1</v>
      </c>
      <c r="Q164">
        <v>0</v>
      </c>
      <c r="R164">
        <v>78</v>
      </c>
      <c r="U164" t="s">
        <v>1635</v>
      </c>
      <c r="V164" t="s">
        <v>2314</v>
      </c>
      <c r="W164">
        <v>0</v>
      </c>
      <c r="X164">
        <v>0</v>
      </c>
      <c r="Y164" t="s">
        <v>2969</v>
      </c>
      <c r="Z164">
        <v>-12.27308616184509</v>
      </c>
      <c r="AA164">
        <v>880</v>
      </c>
      <c r="AB164">
        <v>1396521</v>
      </c>
      <c r="AC164" t="s">
        <v>3619</v>
      </c>
      <c r="AD164">
        <v>51.42</v>
      </c>
      <c r="AE164" t="s">
        <v>4298</v>
      </c>
      <c r="AF164" t="s">
        <v>4959</v>
      </c>
      <c r="AG164">
        <v>1908</v>
      </c>
      <c r="AH164">
        <v>52</v>
      </c>
      <c r="AJ164">
        <v>1.19</v>
      </c>
    </row>
    <row r="165" spans="1:36">
      <c r="A165" s="1" t="s">
        <v>640</v>
      </c>
      <c r="B165" t="s">
        <v>1319</v>
      </c>
      <c r="C165">
        <f>HYPERLINK("https://finance.naver.com/item/coinfo.nhn?code=007700", "A007700")</f>
        <v>0</v>
      </c>
      <c r="D165">
        <f>HYPERLINK("http://comp.fnguide.com/SVO2/ASP/SVD_Consensus.asp?pGB=1&amp;gicode=A007700&amp;cID=&amp;MenuYn=Y&amp;ReportGB=&amp;NewMenuID=108&amp;stkGb=701", "F&amp;F")</f>
        <v>0</v>
      </c>
      <c r="E165">
        <v>1</v>
      </c>
      <c r="F165">
        <v>180000</v>
      </c>
      <c r="G165">
        <v>0.55</v>
      </c>
      <c r="H165">
        <v>15.15</v>
      </c>
      <c r="I165">
        <v>192175</v>
      </c>
      <c r="J165">
        <v>120786</v>
      </c>
      <c r="K165">
        <v>99991</v>
      </c>
      <c r="L165">
        <v>-6.76</v>
      </c>
      <c r="M165">
        <v>32.9</v>
      </c>
      <c r="N165">
        <v>44.45</v>
      </c>
      <c r="O165">
        <v>21.95</v>
      </c>
      <c r="P165" t="b">
        <v>1</v>
      </c>
      <c r="Q165">
        <v>1</v>
      </c>
      <c r="R165">
        <v>5571</v>
      </c>
      <c r="S165">
        <v>14675</v>
      </c>
      <c r="T165">
        <v>163.4</v>
      </c>
      <c r="U165" t="s">
        <v>1998</v>
      </c>
      <c r="V165" t="s">
        <v>2677</v>
      </c>
      <c r="W165">
        <v>27.45243334447169</v>
      </c>
      <c r="X165">
        <v>-22.2</v>
      </c>
      <c r="Y165" t="s">
        <v>3309</v>
      </c>
      <c r="Z165">
        <v>47.10658492935175</v>
      </c>
      <c r="AA165">
        <v>27720</v>
      </c>
      <c r="AB165">
        <v>0</v>
      </c>
      <c r="AC165" t="s">
        <v>3982</v>
      </c>
      <c r="AD165">
        <v>58.82</v>
      </c>
      <c r="AE165" t="s">
        <v>4661</v>
      </c>
      <c r="AF165" t="s">
        <v>5304</v>
      </c>
      <c r="AG165">
        <v>8376</v>
      </c>
      <c r="AH165">
        <v>1226</v>
      </c>
      <c r="AI165">
        <v>79896</v>
      </c>
      <c r="AJ165">
        <v>1.18</v>
      </c>
    </row>
    <row r="166" spans="1:36">
      <c r="A166" s="1" t="s">
        <v>677</v>
      </c>
      <c r="B166" t="s">
        <v>1356</v>
      </c>
      <c r="C166">
        <f>HYPERLINK("https://finance.naver.com/item/coinfo.nhn?code=267980", "A267980")</f>
        <v>0</v>
      </c>
      <c r="D166">
        <f>HYPERLINK("http://comp.fnguide.com/SVO2/ASP/SVD_Consensus.asp?pGB=1&amp;gicode=A267980&amp;cID=&amp;MenuYn=Y&amp;ReportGB=&amp;NewMenuID=108&amp;stkGb=701", "매일유업")</f>
        <v>0</v>
      </c>
      <c r="E166">
        <v>1</v>
      </c>
      <c r="F166">
        <v>79200</v>
      </c>
      <c r="G166">
        <v>1.37</v>
      </c>
      <c r="H166">
        <v>9.51</v>
      </c>
      <c r="I166">
        <v>109927</v>
      </c>
      <c r="J166">
        <v>79009</v>
      </c>
      <c r="K166">
        <v>70003</v>
      </c>
      <c r="L166">
        <v>-38.8</v>
      </c>
      <c r="M166">
        <v>0.24</v>
      </c>
      <c r="N166">
        <v>11.61</v>
      </c>
      <c r="O166">
        <v>15.61</v>
      </c>
      <c r="P166" t="b">
        <v>1</v>
      </c>
      <c r="Q166">
        <v>1</v>
      </c>
      <c r="R166">
        <v>7350</v>
      </c>
      <c r="S166">
        <v>9218</v>
      </c>
      <c r="T166">
        <v>25.4</v>
      </c>
      <c r="U166" t="s">
        <v>2035</v>
      </c>
      <c r="V166" t="s">
        <v>2714</v>
      </c>
      <c r="W166">
        <v>6.95747505137938</v>
      </c>
      <c r="X166">
        <v>-10.4</v>
      </c>
      <c r="Y166" t="s">
        <v>3345</v>
      </c>
      <c r="Z166">
        <v>0</v>
      </c>
      <c r="AA166">
        <v>6212</v>
      </c>
      <c r="AB166">
        <v>26747</v>
      </c>
      <c r="AC166" t="s">
        <v>4019</v>
      </c>
      <c r="AD166">
        <v>56.27</v>
      </c>
      <c r="AE166" t="s">
        <v>4698</v>
      </c>
      <c r="AF166" t="s">
        <v>5341</v>
      </c>
      <c r="AG166">
        <v>14631</v>
      </c>
      <c r="AH166">
        <v>865</v>
      </c>
      <c r="AI166">
        <v>239111</v>
      </c>
      <c r="AJ166">
        <v>1.14</v>
      </c>
    </row>
    <row r="167" spans="1:36">
      <c r="A167" s="1" t="s">
        <v>43</v>
      </c>
      <c r="B167" t="s">
        <v>722</v>
      </c>
      <c r="C167">
        <f>HYPERLINK("https://finance.naver.com/item/coinfo.nhn?code=008830", "A008830")</f>
        <v>0</v>
      </c>
      <c r="D167">
        <f>HYPERLINK("http://comp.fnguide.com/SVO2/ASP/SVD_Consensus.asp?pGB=1&amp;gicode=A008830&amp;cID=&amp;MenuYn=Y&amp;ReportGB=&amp;NewMenuID=108&amp;stkGb=701", "대동기어")</f>
        <v>0</v>
      </c>
      <c r="E167">
        <v>3</v>
      </c>
      <c r="F167">
        <v>4870</v>
      </c>
      <c r="G167">
        <v>0</v>
      </c>
      <c r="H167">
        <v>13.45</v>
      </c>
      <c r="I167">
        <v>1731</v>
      </c>
      <c r="J167">
        <v>4985</v>
      </c>
      <c r="K167">
        <v>5933</v>
      </c>
      <c r="L167">
        <v>64.45999999999999</v>
      </c>
      <c r="M167">
        <v>-2.37</v>
      </c>
      <c r="N167">
        <v>-21.83</v>
      </c>
      <c r="O167">
        <v>1.97</v>
      </c>
      <c r="P167" t="b">
        <v>1</v>
      </c>
      <c r="Q167">
        <v>0</v>
      </c>
      <c r="R167">
        <v>260</v>
      </c>
      <c r="U167" t="s">
        <v>1401</v>
      </c>
      <c r="V167" t="s">
        <v>2080</v>
      </c>
      <c r="W167">
        <v>0</v>
      </c>
      <c r="X167">
        <v>0</v>
      </c>
      <c r="Y167" t="s">
        <v>2759</v>
      </c>
      <c r="Z167">
        <v>194.2</v>
      </c>
      <c r="AA167">
        <v>438</v>
      </c>
      <c r="AB167">
        <v>40987</v>
      </c>
      <c r="AC167" t="s">
        <v>3385</v>
      </c>
      <c r="AD167">
        <v>60.23</v>
      </c>
      <c r="AE167" t="s">
        <v>4064</v>
      </c>
      <c r="AF167" t="s">
        <v>4743</v>
      </c>
      <c r="AG167">
        <v>1564</v>
      </c>
      <c r="AH167">
        <v>50</v>
      </c>
      <c r="AJ167">
        <v>1.14</v>
      </c>
    </row>
    <row r="168" spans="1:36">
      <c r="A168" s="1" t="s">
        <v>597</v>
      </c>
      <c r="B168" t="s">
        <v>1276</v>
      </c>
      <c r="C168">
        <f>HYPERLINK("https://finance.naver.com/item/coinfo.nhn?code=044820", "A044820")</f>
        <v>0</v>
      </c>
      <c r="D168">
        <f>HYPERLINK("http://comp.fnguide.com/SVO2/ASP/SVD_Consensus.asp?pGB=1&amp;gicode=A044820&amp;cID=&amp;MenuYn=Y&amp;ReportGB=&amp;NewMenuID=108&amp;stkGb=701", "코스맥스비티아이")</f>
        <v>0</v>
      </c>
      <c r="E168">
        <v>3</v>
      </c>
      <c r="F168">
        <v>18200</v>
      </c>
      <c r="G168">
        <v>0</v>
      </c>
      <c r="I168">
        <v>2156</v>
      </c>
      <c r="J168">
        <v>18971</v>
      </c>
      <c r="K168">
        <v>23869</v>
      </c>
      <c r="L168">
        <v>88.15000000000001</v>
      </c>
      <c r="M168">
        <v>-4.24</v>
      </c>
      <c r="N168">
        <v>-31.15</v>
      </c>
      <c r="O168">
        <v>0.58</v>
      </c>
      <c r="P168" t="b">
        <v>0</v>
      </c>
      <c r="Q168">
        <v>0</v>
      </c>
      <c r="R168">
        <v>-670</v>
      </c>
      <c r="U168" t="s">
        <v>1955</v>
      </c>
      <c r="V168" t="s">
        <v>2634</v>
      </c>
      <c r="W168">
        <v>0</v>
      </c>
      <c r="X168">
        <v>0</v>
      </c>
      <c r="Y168" t="s">
        <v>3267</v>
      </c>
      <c r="Z168">
        <v>-52.75800981437509</v>
      </c>
      <c r="AA168">
        <v>1748</v>
      </c>
      <c r="AB168">
        <v>30725</v>
      </c>
      <c r="AC168" t="s">
        <v>3939</v>
      </c>
      <c r="AD168">
        <v>61.04</v>
      </c>
      <c r="AE168" t="s">
        <v>4618</v>
      </c>
      <c r="AF168" t="s">
        <v>5263</v>
      </c>
      <c r="AG168">
        <v>5259</v>
      </c>
      <c r="AH168">
        <v>12</v>
      </c>
      <c r="AI168">
        <v>49082</v>
      </c>
      <c r="AJ168">
        <v>1.14</v>
      </c>
    </row>
    <row r="169" spans="1:36">
      <c r="A169" s="1" t="s">
        <v>566</v>
      </c>
      <c r="B169" t="s">
        <v>1245</v>
      </c>
      <c r="C169">
        <f>HYPERLINK("https://finance.naver.com/item/coinfo.nhn?code=005740", "A005740")</f>
        <v>0</v>
      </c>
      <c r="D169">
        <f>HYPERLINK("http://comp.fnguide.com/SVO2/ASP/SVD_Consensus.asp?pGB=1&amp;gicode=A005740&amp;cID=&amp;MenuYn=Y&amp;ReportGB=&amp;NewMenuID=108&amp;stkGb=701", "크라운해태홀딩스")</f>
        <v>0</v>
      </c>
      <c r="E169">
        <v>3</v>
      </c>
      <c r="F169">
        <v>12700</v>
      </c>
      <c r="G169">
        <v>0</v>
      </c>
      <c r="H169">
        <v>5.93</v>
      </c>
      <c r="I169">
        <v>10670</v>
      </c>
      <c r="J169">
        <v>15982</v>
      </c>
      <c r="K169">
        <v>17530</v>
      </c>
      <c r="L169">
        <v>15.99</v>
      </c>
      <c r="M169">
        <v>-25.84</v>
      </c>
      <c r="N169">
        <v>-38.03</v>
      </c>
      <c r="O169">
        <v>4.47</v>
      </c>
      <c r="P169" t="b">
        <v>1</v>
      </c>
      <c r="Q169">
        <v>0</v>
      </c>
      <c r="R169">
        <v>1485</v>
      </c>
      <c r="U169" t="s">
        <v>1924</v>
      </c>
      <c r="V169" t="s">
        <v>2603</v>
      </c>
      <c r="W169">
        <v>0</v>
      </c>
      <c r="X169">
        <v>0</v>
      </c>
      <c r="Y169" t="s">
        <v>3237</v>
      </c>
      <c r="Z169">
        <v>-51.38502214426048</v>
      </c>
      <c r="AA169">
        <v>1886</v>
      </c>
      <c r="AB169">
        <v>196376</v>
      </c>
      <c r="AC169" t="s">
        <v>3908</v>
      </c>
      <c r="AD169">
        <v>55.02</v>
      </c>
      <c r="AE169" t="s">
        <v>4587</v>
      </c>
      <c r="AF169" t="s">
        <v>5233</v>
      </c>
      <c r="AG169">
        <v>9232</v>
      </c>
      <c r="AH169">
        <v>543</v>
      </c>
      <c r="AI169">
        <v>464612</v>
      </c>
      <c r="AJ169">
        <v>1.14</v>
      </c>
    </row>
    <row r="170" spans="1:36">
      <c r="A170" s="1" t="s">
        <v>377</v>
      </c>
      <c r="B170" t="s">
        <v>1056</v>
      </c>
      <c r="C170">
        <f>HYPERLINK("https://finance.naver.com/item/coinfo.nhn?code=006660", "A006660")</f>
        <v>0</v>
      </c>
      <c r="D170">
        <f>HYPERLINK("http://comp.fnguide.com/SVO2/ASP/SVD_Consensus.asp?pGB=1&amp;gicode=A006660&amp;cID=&amp;MenuYn=Y&amp;ReportGB=&amp;NewMenuID=108&amp;stkGb=701", "삼성공조")</f>
        <v>0</v>
      </c>
      <c r="E170">
        <v>3</v>
      </c>
      <c r="F170">
        <v>16050</v>
      </c>
      <c r="G170">
        <v>0</v>
      </c>
      <c r="H170">
        <v>10.87</v>
      </c>
      <c r="I170">
        <v>8265</v>
      </c>
      <c r="J170">
        <v>19725</v>
      </c>
      <c r="K170">
        <v>23063</v>
      </c>
      <c r="L170">
        <v>48.51</v>
      </c>
      <c r="M170">
        <v>-22.9</v>
      </c>
      <c r="N170">
        <v>-43.7</v>
      </c>
      <c r="O170">
        <v>2.46</v>
      </c>
      <c r="P170" t="b">
        <v>1</v>
      </c>
      <c r="Q170">
        <v>0</v>
      </c>
      <c r="R170">
        <v>664</v>
      </c>
      <c r="U170" t="s">
        <v>1735</v>
      </c>
      <c r="V170" t="s">
        <v>2414</v>
      </c>
      <c r="W170">
        <v>0</v>
      </c>
      <c r="X170">
        <v>13.5</v>
      </c>
      <c r="Y170" t="s">
        <v>3059</v>
      </c>
      <c r="Z170">
        <v>-8.951503312136088</v>
      </c>
      <c r="AA170">
        <v>1304</v>
      </c>
      <c r="AB170">
        <v>171398</v>
      </c>
      <c r="AC170" t="s">
        <v>3719</v>
      </c>
      <c r="AD170">
        <v>51.41</v>
      </c>
      <c r="AE170" t="s">
        <v>4398</v>
      </c>
      <c r="AF170" t="s">
        <v>5050</v>
      </c>
      <c r="AG170">
        <v>638</v>
      </c>
      <c r="AH170">
        <v>-13</v>
      </c>
      <c r="AI170">
        <v>107310</v>
      </c>
      <c r="AJ170">
        <v>1.11</v>
      </c>
    </row>
    <row r="171" spans="1:36">
      <c r="A171" s="1" t="s">
        <v>84</v>
      </c>
      <c r="B171" t="s">
        <v>763</v>
      </c>
      <c r="C171">
        <f>HYPERLINK("https://finance.naver.com/item/coinfo.nhn?code=023600", "A023600")</f>
        <v>0</v>
      </c>
      <c r="D171">
        <f>HYPERLINK("http://comp.fnguide.com/SVO2/ASP/SVD_Consensus.asp?pGB=1&amp;gicode=A023600&amp;cID=&amp;MenuYn=Y&amp;ReportGB=&amp;NewMenuID=108&amp;stkGb=701", "삼보판지")</f>
        <v>0</v>
      </c>
      <c r="E171">
        <v>3</v>
      </c>
      <c r="F171">
        <v>16800</v>
      </c>
      <c r="G171">
        <v>0</v>
      </c>
      <c r="H171">
        <v>5.36</v>
      </c>
      <c r="I171">
        <v>32213</v>
      </c>
      <c r="J171">
        <v>27654</v>
      </c>
      <c r="K171">
        <v>26326</v>
      </c>
      <c r="L171">
        <v>-91.75</v>
      </c>
      <c r="M171">
        <v>-64.61</v>
      </c>
      <c r="N171">
        <v>-56.7</v>
      </c>
      <c r="O171">
        <v>10.79</v>
      </c>
      <c r="P171" t="b">
        <v>1</v>
      </c>
      <c r="Q171">
        <v>0</v>
      </c>
      <c r="R171">
        <v>2241</v>
      </c>
      <c r="U171" t="s">
        <v>1442</v>
      </c>
      <c r="V171" t="s">
        <v>2121</v>
      </c>
      <c r="W171">
        <v>0</v>
      </c>
      <c r="X171">
        <v>26</v>
      </c>
      <c r="Y171" t="s">
        <v>2797</v>
      </c>
      <c r="Z171">
        <v>4.002549989601012</v>
      </c>
      <c r="AA171">
        <v>2717</v>
      </c>
      <c r="AB171">
        <v>91781</v>
      </c>
      <c r="AC171" t="s">
        <v>3426</v>
      </c>
      <c r="AD171">
        <v>63.47</v>
      </c>
      <c r="AE171" t="s">
        <v>4105</v>
      </c>
      <c r="AF171" t="s">
        <v>4782</v>
      </c>
      <c r="AG171">
        <v>4034</v>
      </c>
      <c r="AH171">
        <v>469</v>
      </c>
      <c r="AI171">
        <v>202211</v>
      </c>
      <c r="AJ171">
        <v>1.04</v>
      </c>
    </row>
    <row r="172" spans="1:36">
      <c r="A172" s="1" t="s">
        <v>352</v>
      </c>
      <c r="B172" t="s">
        <v>1031</v>
      </c>
      <c r="C172">
        <f>HYPERLINK("https://finance.naver.com/item/coinfo.nhn?code=092780", "A092780")</f>
        <v>0</v>
      </c>
      <c r="D172">
        <f>HYPERLINK("http://comp.fnguide.com/SVO2/ASP/SVD_Consensus.asp?pGB=1&amp;gicode=A092780&amp;cID=&amp;MenuYn=Y&amp;ReportGB=&amp;NewMenuID=108&amp;stkGb=701", "동양피스톤")</f>
        <v>0</v>
      </c>
      <c r="E172">
        <v>3</v>
      </c>
      <c r="F172">
        <v>5760</v>
      </c>
      <c r="G172">
        <v>0</v>
      </c>
      <c r="I172">
        <v>4883</v>
      </c>
      <c r="J172">
        <v>6408</v>
      </c>
      <c r="K172">
        <v>6853</v>
      </c>
      <c r="L172">
        <v>15.23</v>
      </c>
      <c r="M172">
        <v>-11.26</v>
      </c>
      <c r="N172">
        <v>-18.97</v>
      </c>
      <c r="O172">
        <v>5.39</v>
      </c>
      <c r="P172" t="b">
        <v>0</v>
      </c>
      <c r="Q172">
        <v>0</v>
      </c>
      <c r="R172">
        <v>-552</v>
      </c>
      <c r="U172" t="s">
        <v>1710</v>
      </c>
      <c r="V172" t="s">
        <v>2389</v>
      </c>
      <c r="W172">
        <v>0</v>
      </c>
      <c r="X172">
        <v>0</v>
      </c>
      <c r="Y172" t="s">
        <v>3037</v>
      </c>
      <c r="Z172">
        <v>2.307316731176723</v>
      </c>
      <c r="AA172">
        <v>759</v>
      </c>
      <c r="AB172">
        <v>27174</v>
      </c>
      <c r="AC172" t="s">
        <v>3694</v>
      </c>
      <c r="AD172">
        <v>55.79</v>
      </c>
      <c r="AE172" t="s">
        <v>4373</v>
      </c>
      <c r="AF172" t="s">
        <v>5026</v>
      </c>
      <c r="AG172">
        <v>3215</v>
      </c>
      <c r="AH172">
        <v>17</v>
      </c>
      <c r="AI172">
        <v>647132</v>
      </c>
      <c r="AJ172">
        <v>1.04</v>
      </c>
    </row>
    <row r="173" spans="1:36">
      <c r="A173" s="1" t="s">
        <v>692</v>
      </c>
      <c r="B173" t="s">
        <v>1371</v>
      </c>
      <c r="C173">
        <f>HYPERLINK("https://finance.naver.com/item/coinfo.nhn?code=339770", "A339770")</f>
        <v>0</v>
      </c>
      <c r="D173">
        <f>HYPERLINK("http://comp.fnguide.com/SVO2/ASP/SVD_Consensus.asp?pGB=1&amp;gicode=A339770&amp;cID=&amp;MenuYn=Y&amp;ReportGB=&amp;NewMenuID=108&amp;stkGb=701", "교촌에프앤비")</f>
        <v>0</v>
      </c>
      <c r="E173">
        <v>1</v>
      </c>
      <c r="F173">
        <v>20300</v>
      </c>
      <c r="G173">
        <v>0</v>
      </c>
      <c r="H173">
        <v>17.57</v>
      </c>
      <c r="I173">
        <v>21897</v>
      </c>
      <c r="J173">
        <v>12541</v>
      </c>
      <c r="K173">
        <v>9815</v>
      </c>
      <c r="L173">
        <v>-7.87</v>
      </c>
      <c r="M173">
        <v>38.22</v>
      </c>
      <c r="N173">
        <v>51.65</v>
      </c>
      <c r="O173">
        <v>29.3</v>
      </c>
      <c r="P173" t="b">
        <v>1</v>
      </c>
      <c r="Q173">
        <v>0</v>
      </c>
      <c r="R173">
        <v>1107</v>
      </c>
      <c r="U173" t="s">
        <v>2050</v>
      </c>
      <c r="V173" t="s">
        <v>2729</v>
      </c>
      <c r="W173">
        <v>0</v>
      </c>
      <c r="X173">
        <v>-2</v>
      </c>
      <c r="Y173" t="s">
        <v>3358</v>
      </c>
      <c r="Z173">
        <v>-49.44565027874371</v>
      </c>
      <c r="AA173">
        <v>5071</v>
      </c>
      <c r="AB173">
        <v>168480</v>
      </c>
      <c r="AC173" t="s">
        <v>4034</v>
      </c>
      <c r="AD173">
        <v>74.09999999999999</v>
      </c>
      <c r="AE173" t="s">
        <v>4713</v>
      </c>
      <c r="AF173" t="s">
        <v>5355</v>
      </c>
      <c r="AG173">
        <v>4476</v>
      </c>
      <c r="AH173">
        <v>410</v>
      </c>
      <c r="AJ173">
        <v>1.03</v>
      </c>
    </row>
    <row r="174" spans="1:36">
      <c r="A174" s="1" t="s">
        <v>522</v>
      </c>
      <c r="B174" t="s">
        <v>1201</v>
      </c>
      <c r="C174">
        <f>HYPERLINK("https://finance.naver.com/item/coinfo.nhn?code=067830", "A067830")</f>
        <v>0</v>
      </c>
      <c r="D174">
        <f>HYPERLINK("http://comp.fnguide.com/SVO2/ASP/SVD_Consensus.asp?pGB=1&amp;gicode=A067830&amp;cID=&amp;MenuYn=Y&amp;ReportGB=&amp;NewMenuID=108&amp;stkGb=701", "세이브존I&amp;C")</f>
        <v>0</v>
      </c>
      <c r="E174">
        <v>3</v>
      </c>
      <c r="F174">
        <v>4080</v>
      </c>
      <c r="G174">
        <v>0</v>
      </c>
      <c r="H174">
        <v>12.2</v>
      </c>
      <c r="I174">
        <v>5546</v>
      </c>
      <c r="J174">
        <v>9363</v>
      </c>
      <c r="K174">
        <v>10474</v>
      </c>
      <c r="L174">
        <v>-35.94</v>
      </c>
      <c r="M174">
        <v>-129.48</v>
      </c>
      <c r="N174">
        <v>-156.72</v>
      </c>
      <c r="O174">
        <v>3.81</v>
      </c>
      <c r="P174" t="b">
        <v>1</v>
      </c>
      <c r="Q174">
        <v>0</v>
      </c>
      <c r="R174">
        <v>241</v>
      </c>
      <c r="U174" t="s">
        <v>1880</v>
      </c>
      <c r="V174" t="s">
        <v>2559</v>
      </c>
      <c r="W174">
        <v>0</v>
      </c>
      <c r="X174">
        <v>-55.5</v>
      </c>
      <c r="Y174" t="s">
        <v>3199</v>
      </c>
      <c r="Z174">
        <v>-17.6186340793334</v>
      </c>
      <c r="AA174">
        <v>1674</v>
      </c>
      <c r="AB174">
        <v>83074</v>
      </c>
      <c r="AC174" t="s">
        <v>3864</v>
      </c>
      <c r="AD174">
        <v>53.22</v>
      </c>
      <c r="AE174" t="s">
        <v>4543</v>
      </c>
      <c r="AF174" t="s">
        <v>5192</v>
      </c>
      <c r="AG174">
        <v>1347</v>
      </c>
      <c r="AH174">
        <v>146</v>
      </c>
      <c r="AI174">
        <v>3276263</v>
      </c>
      <c r="AJ174">
        <v>1.02</v>
      </c>
    </row>
    <row r="175" spans="1:36">
      <c r="A175" s="1" t="s">
        <v>463</v>
      </c>
      <c r="B175" t="s">
        <v>1142</v>
      </c>
      <c r="C175">
        <f>HYPERLINK("https://finance.naver.com/item/coinfo.nhn?code=000050", "A000050")</f>
        <v>0</v>
      </c>
      <c r="D175">
        <f>HYPERLINK("http://comp.fnguide.com/SVO2/ASP/SVD_Consensus.asp?pGB=1&amp;gicode=A000050&amp;cID=&amp;MenuYn=Y&amp;ReportGB=&amp;NewMenuID=108&amp;stkGb=701", "경방")</f>
        <v>0</v>
      </c>
      <c r="E175">
        <v>3</v>
      </c>
      <c r="F175">
        <v>14700</v>
      </c>
      <c r="G175">
        <v>0</v>
      </c>
      <c r="H175">
        <v>26.09</v>
      </c>
      <c r="I175">
        <v>11802</v>
      </c>
      <c r="J175">
        <v>21932</v>
      </c>
      <c r="K175">
        <v>24883</v>
      </c>
      <c r="L175">
        <v>19.72</v>
      </c>
      <c r="M175">
        <v>-49.2</v>
      </c>
      <c r="N175">
        <v>-69.27</v>
      </c>
      <c r="O175">
        <v>3.36</v>
      </c>
      <c r="P175" t="b">
        <v>1</v>
      </c>
      <c r="Q175">
        <v>0</v>
      </c>
      <c r="R175">
        <v>475</v>
      </c>
      <c r="U175" t="s">
        <v>1821</v>
      </c>
      <c r="V175" t="s">
        <v>2500</v>
      </c>
      <c r="W175">
        <v>0</v>
      </c>
      <c r="X175">
        <v>-70.09999999999999</v>
      </c>
      <c r="Y175" t="s">
        <v>3144</v>
      </c>
      <c r="Z175">
        <v>-4.803202460615374</v>
      </c>
      <c r="AA175">
        <v>4030</v>
      </c>
      <c r="AB175">
        <v>114592</v>
      </c>
      <c r="AC175" t="s">
        <v>3805</v>
      </c>
      <c r="AD175">
        <v>59.89</v>
      </c>
      <c r="AE175" t="s">
        <v>4484</v>
      </c>
      <c r="AF175" t="s">
        <v>5136</v>
      </c>
      <c r="AG175">
        <v>3292</v>
      </c>
      <c r="AH175">
        <v>219</v>
      </c>
      <c r="AI175">
        <v>1703000</v>
      </c>
      <c r="AJ175">
        <v>1.01</v>
      </c>
    </row>
    <row r="176" spans="1:36">
      <c r="A176" s="1" t="s">
        <v>357</v>
      </c>
      <c r="B176" t="s">
        <v>1036</v>
      </c>
      <c r="C176">
        <f>HYPERLINK("https://finance.naver.com/item/coinfo.nhn?code=163560", "A163560")</f>
        <v>0</v>
      </c>
      <c r="D176">
        <f>HYPERLINK("http://comp.fnguide.com/SVO2/ASP/SVD_Consensus.asp?pGB=1&amp;gicode=A163560&amp;cID=&amp;MenuYn=Y&amp;ReportGB=&amp;NewMenuID=108&amp;stkGb=701", "동일고무벨트")</f>
        <v>0</v>
      </c>
      <c r="E176">
        <v>3</v>
      </c>
      <c r="F176">
        <v>9990</v>
      </c>
      <c r="G176">
        <v>0</v>
      </c>
      <c r="H176">
        <v>18.83</v>
      </c>
      <c r="I176">
        <v>7421</v>
      </c>
      <c r="J176">
        <v>11555</v>
      </c>
      <c r="K176">
        <v>12759</v>
      </c>
      <c r="L176">
        <v>25.72</v>
      </c>
      <c r="M176">
        <v>-15.67</v>
      </c>
      <c r="N176">
        <v>-27.72</v>
      </c>
      <c r="O176">
        <v>4.24</v>
      </c>
      <c r="P176" t="b">
        <v>1</v>
      </c>
      <c r="Q176">
        <v>0</v>
      </c>
      <c r="R176">
        <v>524</v>
      </c>
      <c r="U176" t="s">
        <v>1715</v>
      </c>
      <c r="V176" t="s">
        <v>2394</v>
      </c>
      <c r="W176">
        <v>0</v>
      </c>
      <c r="X176">
        <v>-12.1</v>
      </c>
      <c r="Y176" t="s">
        <v>3041</v>
      </c>
      <c r="Z176">
        <v>-17.77814608891366</v>
      </c>
      <c r="AA176">
        <v>1389</v>
      </c>
      <c r="AB176">
        <v>54458</v>
      </c>
      <c r="AC176" t="s">
        <v>3699</v>
      </c>
      <c r="AD176">
        <v>69.76000000000001</v>
      </c>
      <c r="AE176" t="s">
        <v>4378</v>
      </c>
      <c r="AF176" t="s">
        <v>5031</v>
      </c>
      <c r="AG176">
        <v>2432</v>
      </c>
      <c r="AH176">
        <v>148</v>
      </c>
      <c r="AJ176">
        <v>0.99</v>
      </c>
    </row>
    <row r="177" spans="1:36">
      <c r="A177" s="1" t="s">
        <v>53</v>
      </c>
      <c r="B177" t="s">
        <v>732</v>
      </c>
      <c r="C177">
        <f>HYPERLINK("https://finance.naver.com/item/coinfo.nhn?code=212560", "A212560")</f>
        <v>0</v>
      </c>
      <c r="D177">
        <f>HYPERLINK("http://comp.fnguide.com/SVO2/ASP/SVD_Consensus.asp?pGB=1&amp;gicode=A212560&amp;cID=&amp;MenuYn=Y&amp;ReportGB=&amp;NewMenuID=108&amp;stkGb=701", "네오오토")</f>
        <v>0</v>
      </c>
      <c r="E177">
        <v>3</v>
      </c>
      <c r="F177">
        <v>8200</v>
      </c>
      <c r="G177">
        <v>0</v>
      </c>
      <c r="H177">
        <v>11.18</v>
      </c>
      <c r="I177">
        <v>5792</v>
      </c>
      <c r="J177">
        <v>8590</v>
      </c>
      <c r="K177">
        <v>9405</v>
      </c>
      <c r="L177">
        <v>29.37</v>
      </c>
      <c r="M177">
        <v>-4.75</v>
      </c>
      <c r="N177">
        <v>-14.69</v>
      </c>
      <c r="O177">
        <v>4.53</v>
      </c>
      <c r="P177" t="b">
        <v>1</v>
      </c>
      <c r="Q177">
        <v>0</v>
      </c>
      <c r="R177">
        <v>450</v>
      </c>
      <c r="U177" t="s">
        <v>1411</v>
      </c>
      <c r="V177" t="s">
        <v>2090</v>
      </c>
      <c r="W177">
        <v>0</v>
      </c>
      <c r="X177">
        <v>41.9</v>
      </c>
      <c r="Y177" t="s">
        <v>2769</v>
      </c>
      <c r="Z177">
        <v>-17.1720381231807</v>
      </c>
      <c r="AA177">
        <v>646</v>
      </c>
      <c r="AB177">
        <v>63549</v>
      </c>
      <c r="AC177" t="s">
        <v>3395</v>
      </c>
      <c r="AD177">
        <v>51.43</v>
      </c>
      <c r="AE177" t="s">
        <v>4074</v>
      </c>
      <c r="AF177" t="s">
        <v>4753</v>
      </c>
      <c r="AG177">
        <v>1175</v>
      </c>
      <c r="AH177">
        <v>30</v>
      </c>
      <c r="AI177">
        <v>406</v>
      </c>
      <c r="AJ177">
        <v>0.99</v>
      </c>
    </row>
    <row r="178" spans="1:36">
      <c r="A178" s="1" t="s">
        <v>513</v>
      </c>
      <c r="B178" t="s">
        <v>1192</v>
      </c>
      <c r="C178">
        <f>HYPERLINK("https://finance.naver.com/item/coinfo.nhn?code=016590", "A016590")</f>
        <v>0</v>
      </c>
      <c r="D178">
        <f>HYPERLINK("http://comp.fnguide.com/SVO2/ASP/SVD_Consensus.asp?pGB=1&amp;gicode=A016590&amp;cID=&amp;MenuYn=Y&amp;ReportGB=&amp;NewMenuID=108&amp;stkGb=701", "신대양제지")</f>
        <v>0</v>
      </c>
      <c r="E178">
        <v>3</v>
      </c>
      <c r="F178">
        <v>86400</v>
      </c>
      <c r="G178">
        <v>0</v>
      </c>
      <c r="H178">
        <v>6.06</v>
      </c>
      <c r="I178">
        <v>199127</v>
      </c>
      <c r="J178">
        <v>151585</v>
      </c>
      <c r="K178">
        <v>137737</v>
      </c>
      <c r="L178">
        <v>-130.47</v>
      </c>
      <c r="M178">
        <v>-75.45</v>
      </c>
      <c r="N178">
        <v>-59.42</v>
      </c>
      <c r="O178">
        <v>13.74</v>
      </c>
      <c r="P178" t="b">
        <v>1</v>
      </c>
      <c r="Q178">
        <v>0</v>
      </c>
      <c r="R178">
        <v>10529</v>
      </c>
      <c r="U178" t="s">
        <v>1871</v>
      </c>
      <c r="V178" t="s">
        <v>2550</v>
      </c>
      <c r="W178">
        <v>0</v>
      </c>
      <c r="X178">
        <v>-24</v>
      </c>
      <c r="Y178" t="s">
        <v>3190</v>
      </c>
      <c r="Z178">
        <v>27.150932699998</v>
      </c>
      <c r="AA178">
        <v>3482</v>
      </c>
      <c r="AB178">
        <v>15420</v>
      </c>
      <c r="AC178" t="s">
        <v>3855</v>
      </c>
      <c r="AD178">
        <v>54.34</v>
      </c>
      <c r="AE178" t="s">
        <v>4534</v>
      </c>
      <c r="AF178" t="s">
        <v>5183</v>
      </c>
      <c r="AG178">
        <v>6092</v>
      </c>
      <c r="AH178">
        <v>646</v>
      </c>
      <c r="AI178">
        <v>211500</v>
      </c>
      <c r="AJ178">
        <v>0.98</v>
      </c>
    </row>
    <row r="179" spans="1:36">
      <c r="A179" s="1" t="s">
        <v>713</v>
      </c>
      <c r="B179" t="s">
        <v>1392</v>
      </c>
      <c r="C179">
        <f>HYPERLINK("https://finance.naver.com/item/coinfo.nhn?code=306040", "A306040")</f>
        <v>0</v>
      </c>
      <c r="D179">
        <f>HYPERLINK("http://comp.fnguide.com/SVO2/ASP/SVD_Consensus.asp?pGB=1&amp;gicode=A306040&amp;cID=&amp;MenuYn=Y&amp;ReportGB=&amp;NewMenuID=108&amp;stkGb=701", "에스제이그룹")</f>
        <v>0</v>
      </c>
      <c r="E179">
        <v>1</v>
      </c>
      <c r="F179">
        <v>29050</v>
      </c>
      <c r="G179">
        <v>0.18</v>
      </c>
      <c r="H179">
        <v>9.9</v>
      </c>
      <c r="I179">
        <v>29171</v>
      </c>
      <c r="J179">
        <v>16851</v>
      </c>
      <c r="K179">
        <v>13262</v>
      </c>
      <c r="L179">
        <v>-0.42</v>
      </c>
      <c r="M179">
        <v>41.99</v>
      </c>
      <c r="N179">
        <v>54.35</v>
      </c>
      <c r="O179">
        <v>28.45</v>
      </c>
      <c r="P179" t="b">
        <v>1</v>
      </c>
      <c r="Q179">
        <v>1</v>
      </c>
      <c r="R179">
        <v>1587</v>
      </c>
      <c r="S179">
        <v>2243</v>
      </c>
      <c r="T179">
        <v>41.3</v>
      </c>
      <c r="U179" t="s">
        <v>2071</v>
      </c>
      <c r="V179" t="s">
        <v>2750</v>
      </c>
      <c r="W179">
        <v>55.61629070145923</v>
      </c>
      <c r="X179">
        <v>72.40000000000001</v>
      </c>
      <c r="Y179" t="s">
        <v>3376</v>
      </c>
      <c r="Z179">
        <v>149.0163274915392</v>
      </c>
      <c r="AA179">
        <v>2866</v>
      </c>
      <c r="AB179">
        <v>128968</v>
      </c>
      <c r="AC179" t="s">
        <v>4055</v>
      </c>
      <c r="AD179">
        <v>51.79</v>
      </c>
      <c r="AE179" t="s">
        <v>4734</v>
      </c>
      <c r="AF179" t="s">
        <v>5376</v>
      </c>
      <c r="AG179">
        <v>1071</v>
      </c>
      <c r="AH179">
        <v>180</v>
      </c>
      <c r="AI179">
        <v>78094</v>
      </c>
      <c r="AJ179">
        <v>0.89</v>
      </c>
    </row>
    <row r="180" spans="1:36">
      <c r="A180" s="1" t="s">
        <v>602</v>
      </c>
      <c r="B180" t="s">
        <v>1281</v>
      </c>
      <c r="C180">
        <f>HYPERLINK("https://finance.naver.com/item/coinfo.nhn?code=136490", "A136490")</f>
        <v>0</v>
      </c>
      <c r="D180">
        <f>HYPERLINK("http://comp.fnguide.com/SVO2/ASP/SVD_Consensus.asp?pGB=1&amp;gicode=A136490&amp;cID=&amp;MenuYn=Y&amp;ReportGB=&amp;NewMenuID=108&amp;stkGb=701", "선진")</f>
        <v>0</v>
      </c>
      <c r="E180">
        <v>3</v>
      </c>
      <c r="F180">
        <v>18400</v>
      </c>
      <c r="G180">
        <v>0</v>
      </c>
      <c r="H180">
        <v>3.21</v>
      </c>
      <c r="I180">
        <v>28962</v>
      </c>
      <c r="J180">
        <v>21001</v>
      </c>
      <c r="K180">
        <v>18683</v>
      </c>
      <c r="L180">
        <v>-57.4</v>
      </c>
      <c r="M180">
        <v>-14.14</v>
      </c>
      <c r="N180">
        <v>-1.54</v>
      </c>
      <c r="O180">
        <v>15.3</v>
      </c>
      <c r="P180" t="b">
        <v>1</v>
      </c>
      <c r="Q180">
        <v>0</v>
      </c>
      <c r="R180">
        <v>3516</v>
      </c>
      <c r="U180" t="s">
        <v>1960</v>
      </c>
      <c r="V180" t="s">
        <v>2639</v>
      </c>
      <c r="W180">
        <v>0</v>
      </c>
      <c r="X180">
        <v>291.2</v>
      </c>
      <c r="Y180" t="s">
        <v>3272</v>
      </c>
      <c r="Z180">
        <v>25.74322327801326</v>
      </c>
      <c r="AA180">
        <v>4375</v>
      </c>
      <c r="AB180">
        <v>1254387</v>
      </c>
      <c r="AC180" t="s">
        <v>3944</v>
      </c>
      <c r="AD180">
        <v>50.04</v>
      </c>
      <c r="AE180" t="s">
        <v>4623</v>
      </c>
      <c r="AF180" t="s">
        <v>5268</v>
      </c>
      <c r="AG180">
        <v>13481</v>
      </c>
      <c r="AH180">
        <v>1076</v>
      </c>
      <c r="AI180">
        <v>396</v>
      </c>
      <c r="AJ180">
        <v>0.88</v>
      </c>
    </row>
    <row r="181" spans="1:36">
      <c r="A181" s="1" t="s">
        <v>708</v>
      </c>
      <c r="B181" t="s">
        <v>1387</v>
      </c>
      <c r="C181">
        <f>HYPERLINK("https://finance.naver.com/item/coinfo.nhn?code=239610", "A239610")</f>
        <v>0</v>
      </c>
      <c r="D181">
        <f>HYPERLINK("http://comp.fnguide.com/SVO2/ASP/SVD_Consensus.asp?pGB=1&amp;gicode=A239610&amp;cID=&amp;MenuYn=Y&amp;ReportGB=&amp;NewMenuID=108&amp;stkGb=701", "에이치엘사이언스")</f>
        <v>0</v>
      </c>
      <c r="E181">
        <v>1</v>
      </c>
      <c r="F181">
        <v>39000</v>
      </c>
      <c r="G181">
        <v>0</v>
      </c>
      <c r="H181">
        <v>12.34</v>
      </c>
      <c r="I181">
        <v>51819</v>
      </c>
      <c r="J181">
        <v>31880</v>
      </c>
      <c r="K181">
        <v>26072</v>
      </c>
      <c r="L181">
        <v>-32.87</v>
      </c>
      <c r="M181">
        <v>18.26</v>
      </c>
      <c r="N181">
        <v>33.15</v>
      </c>
      <c r="O181">
        <v>23.34</v>
      </c>
      <c r="P181" t="b">
        <v>1</v>
      </c>
      <c r="Q181">
        <v>0</v>
      </c>
      <c r="R181">
        <v>3643</v>
      </c>
      <c r="U181" t="s">
        <v>2066</v>
      </c>
      <c r="V181" t="s">
        <v>2745</v>
      </c>
      <c r="W181">
        <v>0</v>
      </c>
      <c r="X181">
        <v>-0.5</v>
      </c>
      <c r="Y181" t="s">
        <v>3371</v>
      </c>
      <c r="Z181">
        <v>18.60166602485842</v>
      </c>
      <c r="AA181">
        <v>2103</v>
      </c>
      <c r="AB181">
        <v>114103</v>
      </c>
      <c r="AC181" t="s">
        <v>4050</v>
      </c>
      <c r="AD181">
        <v>63.27</v>
      </c>
      <c r="AE181" t="s">
        <v>4729</v>
      </c>
      <c r="AF181" t="s">
        <v>5371</v>
      </c>
      <c r="AG181">
        <v>1430</v>
      </c>
      <c r="AH181">
        <v>236</v>
      </c>
      <c r="AI181">
        <v>142792</v>
      </c>
      <c r="AJ181">
        <v>0.85</v>
      </c>
    </row>
    <row r="182" spans="1:36">
      <c r="A182" s="1" t="s">
        <v>442</v>
      </c>
      <c r="B182" t="s">
        <v>1121</v>
      </c>
      <c r="C182">
        <f>HYPERLINK("https://finance.naver.com/item/coinfo.nhn?code=000590", "A000590")</f>
        <v>0</v>
      </c>
      <c r="D182">
        <f>HYPERLINK("http://comp.fnguide.com/SVO2/ASP/SVD_Consensus.asp?pGB=1&amp;gicode=A000590&amp;cID=&amp;MenuYn=Y&amp;ReportGB=&amp;NewMenuID=108&amp;stkGb=701", "CS홀딩스")</f>
        <v>0</v>
      </c>
      <c r="E182">
        <v>3</v>
      </c>
      <c r="F182">
        <v>78200</v>
      </c>
      <c r="G182">
        <v>0</v>
      </c>
      <c r="H182">
        <v>8.92</v>
      </c>
      <c r="I182">
        <v>93639</v>
      </c>
      <c r="J182">
        <v>163562</v>
      </c>
      <c r="K182">
        <v>183929</v>
      </c>
      <c r="L182">
        <v>-19.74</v>
      </c>
      <c r="M182">
        <v>-109.16</v>
      </c>
      <c r="N182">
        <v>-135.2</v>
      </c>
      <c r="O182">
        <v>3.64</v>
      </c>
      <c r="P182" t="b">
        <v>0</v>
      </c>
      <c r="Q182">
        <v>0</v>
      </c>
      <c r="R182">
        <v>6616</v>
      </c>
      <c r="U182" t="s">
        <v>1800</v>
      </c>
      <c r="V182" t="s">
        <v>2479</v>
      </c>
      <c r="W182">
        <v>0</v>
      </c>
      <c r="X182">
        <v>-28.1</v>
      </c>
      <c r="Y182" t="s">
        <v>3123</v>
      </c>
      <c r="Z182">
        <v>-18.79179295159047</v>
      </c>
      <c r="AA182">
        <v>903</v>
      </c>
      <c r="AB182">
        <v>7335</v>
      </c>
      <c r="AC182" t="s">
        <v>3784</v>
      </c>
      <c r="AD182">
        <v>73.37</v>
      </c>
      <c r="AE182" t="s">
        <v>4463</v>
      </c>
      <c r="AF182" t="s">
        <v>5115</v>
      </c>
      <c r="AG182">
        <v>1316</v>
      </c>
      <c r="AH182">
        <v>159</v>
      </c>
      <c r="AI182">
        <v>7161</v>
      </c>
      <c r="AJ182">
        <v>0.85</v>
      </c>
    </row>
    <row r="183" spans="1:36">
      <c r="A183" s="1" t="s">
        <v>680</v>
      </c>
      <c r="B183" t="s">
        <v>1359</v>
      </c>
      <c r="C183">
        <f>HYPERLINK("https://finance.naver.com/item/coinfo.nhn?code=068290", "A068290")</f>
        <v>0</v>
      </c>
      <c r="D183">
        <f>HYPERLINK("http://comp.fnguide.com/SVO2/ASP/SVD_Consensus.asp?pGB=1&amp;gicode=A068290&amp;cID=&amp;MenuYn=Y&amp;ReportGB=&amp;NewMenuID=108&amp;stkGb=701", "삼성출판사")</f>
        <v>0</v>
      </c>
      <c r="E183">
        <v>1</v>
      </c>
      <c r="F183">
        <v>41350</v>
      </c>
      <c r="G183">
        <v>0</v>
      </c>
      <c r="H183">
        <v>4.5</v>
      </c>
      <c r="I183">
        <v>42911</v>
      </c>
      <c r="J183">
        <v>25911</v>
      </c>
      <c r="K183">
        <v>20959</v>
      </c>
      <c r="L183">
        <v>-3.77</v>
      </c>
      <c r="M183">
        <v>37.34</v>
      </c>
      <c r="N183">
        <v>49.31</v>
      </c>
      <c r="O183">
        <v>24.68</v>
      </c>
      <c r="P183" t="b">
        <v>1</v>
      </c>
      <c r="Q183">
        <v>0</v>
      </c>
      <c r="R183">
        <v>5322</v>
      </c>
      <c r="U183" t="s">
        <v>2038</v>
      </c>
      <c r="V183" t="s">
        <v>2717</v>
      </c>
      <c r="W183">
        <v>0</v>
      </c>
      <c r="X183">
        <v>992.7</v>
      </c>
      <c r="Y183" t="s">
        <v>3347</v>
      </c>
      <c r="Z183">
        <v>70.42117334103463</v>
      </c>
      <c r="AA183">
        <v>4135</v>
      </c>
      <c r="AB183">
        <v>215245</v>
      </c>
      <c r="AC183" t="s">
        <v>4022</v>
      </c>
      <c r="AD183">
        <v>64.48999999999999</v>
      </c>
      <c r="AE183" t="s">
        <v>4701</v>
      </c>
      <c r="AF183" t="s">
        <v>5344</v>
      </c>
      <c r="AG183">
        <v>1671</v>
      </c>
      <c r="AH183">
        <v>-45</v>
      </c>
      <c r="AJ183">
        <v>0.84</v>
      </c>
    </row>
    <row r="184" spans="1:36">
      <c r="A184" s="1" t="s">
        <v>452</v>
      </c>
      <c r="B184" t="s">
        <v>1131</v>
      </c>
      <c r="C184">
        <f>HYPERLINK("https://finance.naver.com/item/coinfo.nhn?code=069730", "A069730")</f>
        <v>0</v>
      </c>
      <c r="D184">
        <f>HYPERLINK("http://comp.fnguide.com/SVO2/ASP/SVD_Consensus.asp?pGB=1&amp;gicode=A069730&amp;cID=&amp;MenuYn=Y&amp;ReportGB=&amp;NewMenuID=108&amp;stkGb=701", "DSR제강")</f>
        <v>0</v>
      </c>
      <c r="E184">
        <v>3</v>
      </c>
      <c r="F184">
        <v>6320</v>
      </c>
      <c r="G184">
        <v>0</v>
      </c>
      <c r="H184">
        <v>13.32</v>
      </c>
      <c r="I184">
        <v>5407</v>
      </c>
      <c r="J184">
        <v>8230</v>
      </c>
      <c r="K184">
        <v>9052</v>
      </c>
      <c r="L184">
        <v>14.44</v>
      </c>
      <c r="M184">
        <v>-30.22</v>
      </c>
      <c r="N184">
        <v>-43.23</v>
      </c>
      <c r="O184">
        <v>4.38</v>
      </c>
      <c r="P184" t="b">
        <v>1</v>
      </c>
      <c r="Q184">
        <v>0</v>
      </c>
      <c r="R184">
        <v>367</v>
      </c>
      <c r="U184" t="s">
        <v>1810</v>
      </c>
      <c r="V184" t="s">
        <v>2489</v>
      </c>
      <c r="W184">
        <v>0</v>
      </c>
      <c r="X184">
        <v>-21.9</v>
      </c>
      <c r="Y184" t="s">
        <v>3133</v>
      </c>
      <c r="Z184">
        <v>-11.77601470903878</v>
      </c>
      <c r="AA184">
        <v>910</v>
      </c>
      <c r="AB184">
        <v>352620</v>
      </c>
      <c r="AC184" t="s">
        <v>3794</v>
      </c>
      <c r="AD184">
        <v>57.18</v>
      </c>
      <c r="AE184" t="s">
        <v>4473</v>
      </c>
      <c r="AF184" t="s">
        <v>5125</v>
      </c>
      <c r="AG184">
        <v>1762</v>
      </c>
      <c r="AH184">
        <v>35</v>
      </c>
      <c r="AJ184">
        <v>0.82</v>
      </c>
    </row>
    <row r="185" spans="1:36">
      <c r="A185" s="1" t="s">
        <v>451</v>
      </c>
      <c r="B185" t="s">
        <v>1130</v>
      </c>
      <c r="C185">
        <f>HYPERLINK("https://finance.naver.com/item/coinfo.nhn?code=155660", "A155660")</f>
        <v>0</v>
      </c>
      <c r="D185">
        <f>HYPERLINK("http://comp.fnguide.com/SVO2/ASP/SVD_Consensus.asp?pGB=1&amp;gicode=A155660&amp;cID=&amp;MenuYn=Y&amp;ReportGB=&amp;NewMenuID=108&amp;stkGb=701", "DSR")</f>
        <v>0</v>
      </c>
      <c r="E185">
        <v>3</v>
      </c>
      <c r="F185">
        <v>6980</v>
      </c>
      <c r="G185">
        <v>0</v>
      </c>
      <c r="H185">
        <v>11.2</v>
      </c>
      <c r="I185">
        <v>6997</v>
      </c>
      <c r="J185">
        <v>8833</v>
      </c>
      <c r="K185">
        <v>9367</v>
      </c>
      <c r="L185">
        <v>-0.24</v>
      </c>
      <c r="M185">
        <v>-26.54</v>
      </c>
      <c r="N185">
        <v>-34.2</v>
      </c>
      <c r="O185">
        <v>5.7</v>
      </c>
      <c r="P185" t="b">
        <v>1</v>
      </c>
      <c r="Q185">
        <v>0</v>
      </c>
      <c r="R185">
        <v>558</v>
      </c>
      <c r="U185" t="s">
        <v>1809</v>
      </c>
      <c r="V185" t="s">
        <v>2488</v>
      </c>
      <c r="W185">
        <v>0</v>
      </c>
      <c r="X185">
        <v>2.2</v>
      </c>
      <c r="Y185" t="s">
        <v>3132</v>
      </c>
      <c r="Z185">
        <v>-2.13331883758594</v>
      </c>
      <c r="AA185">
        <v>1117</v>
      </c>
      <c r="AB185">
        <v>232278</v>
      </c>
      <c r="AC185" t="s">
        <v>3793</v>
      </c>
      <c r="AD185">
        <v>70.2</v>
      </c>
      <c r="AE185" t="s">
        <v>4472</v>
      </c>
      <c r="AF185" t="s">
        <v>5124</v>
      </c>
      <c r="AG185">
        <v>2310</v>
      </c>
      <c r="AH185">
        <v>121</v>
      </c>
      <c r="AJ185">
        <v>0.8</v>
      </c>
    </row>
    <row r="186" spans="1:36">
      <c r="A186" s="1" t="s">
        <v>45</v>
      </c>
      <c r="B186" t="s">
        <v>724</v>
      </c>
      <c r="C186">
        <f>HYPERLINK("https://finance.naver.com/item/coinfo.nhn?code=017650", "A017650")</f>
        <v>0</v>
      </c>
      <c r="D186">
        <f>HYPERLINK("http://comp.fnguide.com/SVO2/ASP/SVD_Consensus.asp?pGB=1&amp;gicode=A017650&amp;cID=&amp;MenuYn=Y&amp;ReportGB=&amp;NewMenuID=108&amp;stkGb=701", "대림제지")</f>
        <v>0</v>
      </c>
      <c r="E186">
        <v>3</v>
      </c>
      <c r="F186">
        <v>15350</v>
      </c>
      <c r="G186">
        <v>0</v>
      </c>
      <c r="H186">
        <v>6.5</v>
      </c>
      <c r="I186">
        <v>14839</v>
      </c>
      <c r="J186">
        <v>18239</v>
      </c>
      <c r="K186">
        <v>19229</v>
      </c>
      <c r="L186">
        <v>3.33</v>
      </c>
      <c r="M186">
        <v>-18.82</v>
      </c>
      <c r="N186">
        <v>-25.27</v>
      </c>
      <c r="O186">
        <v>5.93</v>
      </c>
      <c r="P186" t="b">
        <v>1</v>
      </c>
      <c r="Q186">
        <v>0</v>
      </c>
      <c r="R186">
        <v>1453</v>
      </c>
      <c r="U186" t="s">
        <v>1403</v>
      </c>
      <c r="V186" t="s">
        <v>2082</v>
      </c>
      <c r="W186">
        <v>0</v>
      </c>
      <c r="X186">
        <v>420.9</v>
      </c>
      <c r="Y186" t="s">
        <v>2761</v>
      </c>
      <c r="Z186">
        <v>0.7846714535499011</v>
      </c>
      <c r="AA186">
        <v>1382</v>
      </c>
      <c r="AB186">
        <v>61368</v>
      </c>
      <c r="AC186" t="s">
        <v>3387</v>
      </c>
      <c r="AD186">
        <v>61.89</v>
      </c>
      <c r="AE186" t="s">
        <v>4066</v>
      </c>
      <c r="AF186" t="s">
        <v>4745</v>
      </c>
      <c r="AG186">
        <v>1287</v>
      </c>
      <c r="AH186">
        <v>164</v>
      </c>
      <c r="AI186">
        <v>-1441</v>
      </c>
      <c r="AJ186">
        <v>0.79</v>
      </c>
    </row>
    <row r="187" spans="1:36">
      <c r="A187" s="1" t="s">
        <v>94</v>
      </c>
      <c r="B187" t="s">
        <v>773</v>
      </c>
      <c r="C187">
        <f>HYPERLINK("https://finance.naver.com/item/coinfo.nhn?code=001810", "A001810")</f>
        <v>0</v>
      </c>
      <c r="D187">
        <f>HYPERLINK("http://comp.fnguide.com/SVO2/ASP/SVD_Consensus.asp?pGB=1&amp;gicode=A001810&amp;cID=&amp;MenuYn=Y&amp;ReportGB=&amp;NewMenuID=108&amp;stkGb=701", "무림SP")</f>
        <v>0</v>
      </c>
      <c r="E187">
        <v>3</v>
      </c>
      <c r="F187">
        <v>3570</v>
      </c>
      <c r="G187">
        <v>0</v>
      </c>
      <c r="H187">
        <v>39.63</v>
      </c>
      <c r="I187">
        <v>1787</v>
      </c>
      <c r="J187">
        <v>6218</v>
      </c>
      <c r="K187">
        <v>7508</v>
      </c>
      <c r="L187">
        <v>49.95</v>
      </c>
      <c r="M187">
        <v>-74.17</v>
      </c>
      <c r="N187">
        <v>-110.32</v>
      </c>
      <c r="O187">
        <v>1.59</v>
      </c>
      <c r="P187" t="b">
        <v>1</v>
      </c>
      <c r="Q187">
        <v>0</v>
      </c>
      <c r="R187">
        <v>79</v>
      </c>
      <c r="U187" t="s">
        <v>1452</v>
      </c>
      <c r="V187" t="s">
        <v>2131</v>
      </c>
      <c r="W187">
        <v>0</v>
      </c>
      <c r="X187">
        <v>29.9</v>
      </c>
      <c r="Y187" t="s">
        <v>2807</v>
      </c>
      <c r="Z187">
        <v>0.969701980930604</v>
      </c>
      <c r="AA187">
        <v>790</v>
      </c>
      <c r="AB187">
        <v>138493</v>
      </c>
      <c r="AC187" t="s">
        <v>3436</v>
      </c>
      <c r="AD187">
        <v>61.41</v>
      </c>
      <c r="AE187" t="s">
        <v>4115</v>
      </c>
      <c r="AF187" t="s">
        <v>4792</v>
      </c>
      <c r="AG187">
        <v>1254</v>
      </c>
      <c r="AH187">
        <v>66</v>
      </c>
      <c r="AJ187">
        <v>0.79</v>
      </c>
    </row>
    <row r="188" spans="1:36">
      <c r="A188" s="1" t="s">
        <v>450</v>
      </c>
      <c r="B188" t="s">
        <v>1129</v>
      </c>
      <c r="C188">
        <f>HYPERLINK("https://finance.naver.com/item/coinfo.nhn?code=004840", "A004840")</f>
        <v>0</v>
      </c>
      <c r="D188">
        <f>HYPERLINK("http://comp.fnguide.com/SVO2/ASP/SVD_Consensus.asp?pGB=1&amp;gicode=A004840&amp;cID=&amp;MenuYn=Y&amp;ReportGB=&amp;NewMenuID=108&amp;stkGb=701", "DRB동일")</f>
        <v>0</v>
      </c>
      <c r="E188">
        <v>3</v>
      </c>
      <c r="F188">
        <v>7160</v>
      </c>
      <c r="G188">
        <v>0</v>
      </c>
      <c r="H188">
        <v>58.97</v>
      </c>
      <c r="I188">
        <v>3300</v>
      </c>
      <c r="J188">
        <v>12213</v>
      </c>
      <c r="K188">
        <v>14809</v>
      </c>
      <c r="L188">
        <v>53.92</v>
      </c>
      <c r="M188">
        <v>-70.56999999999999</v>
      </c>
      <c r="N188">
        <v>-106.83</v>
      </c>
      <c r="O188">
        <v>1.48</v>
      </c>
      <c r="P188" t="b">
        <v>1</v>
      </c>
      <c r="Q188">
        <v>0</v>
      </c>
      <c r="R188">
        <v>117</v>
      </c>
      <c r="U188" t="s">
        <v>1808</v>
      </c>
      <c r="V188" t="s">
        <v>2487</v>
      </c>
      <c r="W188">
        <v>0</v>
      </c>
      <c r="X188">
        <v>-73.8</v>
      </c>
      <c r="Y188" t="s">
        <v>3131</v>
      </c>
      <c r="Z188">
        <v>-43.75295446858165</v>
      </c>
      <c r="AA188">
        <v>1427</v>
      </c>
      <c r="AB188">
        <v>19847</v>
      </c>
      <c r="AC188" t="s">
        <v>3792</v>
      </c>
      <c r="AD188">
        <v>69.75</v>
      </c>
      <c r="AE188" t="s">
        <v>4471</v>
      </c>
      <c r="AF188" t="s">
        <v>5123</v>
      </c>
      <c r="AG188">
        <v>4966</v>
      </c>
      <c r="AH188">
        <v>210</v>
      </c>
      <c r="AI188">
        <v>657636</v>
      </c>
      <c r="AJ188">
        <v>0.73</v>
      </c>
    </row>
    <row r="189" spans="1:36">
      <c r="A189" s="1" t="s">
        <v>185</v>
      </c>
      <c r="B189" t="s">
        <v>864</v>
      </c>
      <c r="C189">
        <f>HYPERLINK("https://finance.naver.com/item/coinfo.nhn?code=006730", "A006730")</f>
        <v>0</v>
      </c>
      <c r="D189">
        <f>HYPERLINK("http://comp.fnguide.com/SVO2/ASP/SVD_Consensus.asp?pGB=1&amp;gicode=A006730&amp;cID=&amp;MenuYn=Y&amp;ReportGB=&amp;NewMenuID=108&amp;stkGb=701", "서부T&amp;D")</f>
        <v>0</v>
      </c>
      <c r="E189">
        <v>3</v>
      </c>
      <c r="F189">
        <v>8120</v>
      </c>
      <c r="G189">
        <v>0</v>
      </c>
      <c r="I189">
        <v>4</v>
      </c>
      <c r="J189">
        <v>6519</v>
      </c>
      <c r="K189">
        <v>8417</v>
      </c>
      <c r="L189">
        <v>99.95</v>
      </c>
      <c r="M189">
        <v>19.72</v>
      </c>
      <c r="N189">
        <v>-3.65</v>
      </c>
      <c r="O189">
        <v>0</v>
      </c>
      <c r="P189" t="b">
        <v>0</v>
      </c>
      <c r="Q189">
        <v>0</v>
      </c>
      <c r="R189">
        <v>-585</v>
      </c>
      <c r="U189" t="s">
        <v>1543</v>
      </c>
      <c r="V189" t="s">
        <v>2222</v>
      </c>
      <c r="W189">
        <v>0</v>
      </c>
      <c r="X189">
        <v>0</v>
      </c>
      <c r="Y189" t="s">
        <v>2762</v>
      </c>
      <c r="Z189">
        <v>0</v>
      </c>
      <c r="AA189">
        <v>4812</v>
      </c>
      <c r="AB189">
        <v>176928</v>
      </c>
      <c r="AC189" t="s">
        <v>3527</v>
      </c>
      <c r="AD189">
        <v>53.92</v>
      </c>
      <c r="AE189" t="s">
        <v>4206</v>
      </c>
      <c r="AF189" t="s">
        <v>4878</v>
      </c>
      <c r="AG189">
        <v>848</v>
      </c>
      <c r="AH189">
        <v>-227</v>
      </c>
      <c r="AI189">
        <v>2216091</v>
      </c>
      <c r="AJ189">
        <v>0.65</v>
      </c>
    </row>
    <row r="190" spans="1:36">
      <c r="A190" s="1" t="s">
        <v>393</v>
      </c>
      <c r="B190" t="s">
        <v>1072</v>
      </c>
      <c r="C190">
        <f>HYPERLINK("https://finance.naver.com/item/coinfo.nhn?code=007160", "A007160")</f>
        <v>0</v>
      </c>
      <c r="D190">
        <f>HYPERLINK("http://comp.fnguide.com/SVO2/ASP/SVD_Consensus.asp?pGB=1&amp;gicode=A007160&amp;cID=&amp;MenuYn=Y&amp;ReportGB=&amp;NewMenuID=108&amp;stkGb=701", "사조산업")</f>
        <v>0</v>
      </c>
      <c r="E190">
        <v>3</v>
      </c>
      <c r="F190">
        <v>50400</v>
      </c>
      <c r="G190">
        <v>0</v>
      </c>
      <c r="H190">
        <v>21.09</v>
      </c>
      <c r="I190">
        <v>23622</v>
      </c>
      <c r="J190">
        <v>57481</v>
      </c>
      <c r="K190">
        <v>67343</v>
      </c>
      <c r="L190">
        <v>53.13</v>
      </c>
      <c r="M190">
        <v>-14.05</v>
      </c>
      <c r="N190">
        <v>-33.62</v>
      </c>
      <c r="O190">
        <v>2.41</v>
      </c>
      <c r="P190" t="b">
        <v>0</v>
      </c>
      <c r="Q190">
        <v>0</v>
      </c>
      <c r="R190">
        <v>1480</v>
      </c>
      <c r="U190" t="s">
        <v>1751</v>
      </c>
      <c r="V190" t="s">
        <v>2430</v>
      </c>
      <c r="W190">
        <v>0</v>
      </c>
      <c r="X190">
        <v>0</v>
      </c>
      <c r="Y190" t="s">
        <v>3075</v>
      </c>
      <c r="Z190">
        <v>23.07475289426602</v>
      </c>
      <c r="AA190">
        <v>2520</v>
      </c>
      <c r="AB190">
        <v>13653</v>
      </c>
      <c r="AC190" t="s">
        <v>3735</v>
      </c>
      <c r="AD190">
        <v>56.17</v>
      </c>
      <c r="AE190" t="s">
        <v>4414</v>
      </c>
      <c r="AF190" t="s">
        <v>5066</v>
      </c>
      <c r="AG190">
        <v>6219</v>
      </c>
      <c r="AH190">
        <v>219</v>
      </c>
      <c r="AI190">
        <v>55000</v>
      </c>
      <c r="AJ190">
        <v>0.64</v>
      </c>
    </row>
    <row r="191" spans="1:36">
      <c r="A191" s="1" t="s">
        <v>550</v>
      </c>
      <c r="B191" t="s">
        <v>1229</v>
      </c>
      <c r="C191">
        <f>HYPERLINK("https://finance.naver.com/item/coinfo.nhn?code=006740", "A006740")</f>
        <v>0</v>
      </c>
      <c r="D191">
        <f>HYPERLINK("http://comp.fnguide.com/SVO2/ASP/SVD_Consensus.asp?pGB=1&amp;gicode=A006740&amp;cID=&amp;MenuYn=Y&amp;ReportGB=&amp;NewMenuID=108&amp;stkGb=701", "영풍제지")</f>
        <v>0</v>
      </c>
      <c r="E191">
        <v>3</v>
      </c>
      <c r="F191">
        <v>6700</v>
      </c>
      <c r="G191">
        <v>0</v>
      </c>
      <c r="H191">
        <v>16.59</v>
      </c>
      <c r="I191">
        <v>7386</v>
      </c>
      <c r="J191">
        <v>7271</v>
      </c>
      <c r="K191">
        <v>7238</v>
      </c>
      <c r="L191">
        <v>-10.23</v>
      </c>
      <c r="M191">
        <v>-8.529999999999999</v>
      </c>
      <c r="N191">
        <v>-8.029999999999999</v>
      </c>
      <c r="O191">
        <v>8.44</v>
      </c>
      <c r="P191" t="b">
        <v>0</v>
      </c>
      <c r="Q191">
        <v>0</v>
      </c>
      <c r="R191">
        <v>384</v>
      </c>
      <c r="U191" t="s">
        <v>1908</v>
      </c>
      <c r="V191" t="s">
        <v>2587</v>
      </c>
      <c r="W191">
        <v>0</v>
      </c>
      <c r="X191">
        <v>-8.1</v>
      </c>
      <c r="Y191" t="s">
        <v>3222</v>
      </c>
      <c r="Z191">
        <v>11.63439610045196</v>
      </c>
      <c r="AA191">
        <v>1487</v>
      </c>
      <c r="AB191">
        <v>73645</v>
      </c>
      <c r="AC191" t="s">
        <v>3892</v>
      </c>
      <c r="AD191">
        <v>54.44</v>
      </c>
      <c r="AE191" t="s">
        <v>4571</v>
      </c>
      <c r="AF191" t="s">
        <v>5217</v>
      </c>
      <c r="AG191">
        <v>982</v>
      </c>
      <c r="AH191">
        <v>102</v>
      </c>
      <c r="AI191">
        <v>4627676</v>
      </c>
      <c r="AJ191">
        <v>0.63</v>
      </c>
    </row>
    <row r="192" spans="1:36">
      <c r="A192" s="1" t="s">
        <v>258</v>
      </c>
      <c r="B192" t="s">
        <v>937</v>
      </c>
      <c r="C192">
        <f>HYPERLINK("https://finance.naver.com/item/coinfo.nhn?code=003380", "A003380")</f>
        <v>0</v>
      </c>
      <c r="D192">
        <f>HYPERLINK("http://comp.fnguide.com/SVO2/ASP/SVD_Consensus.asp?pGB=1&amp;gicode=A003380&amp;cID=&amp;MenuYn=Y&amp;ReportGB=&amp;NewMenuID=108&amp;stkGb=701", "하림지주")</f>
        <v>0</v>
      </c>
      <c r="E192">
        <v>3</v>
      </c>
      <c r="F192">
        <v>11650</v>
      </c>
      <c r="G192">
        <v>-2.86</v>
      </c>
      <c r="H192">
        <v>15.27</v>
      </c>
      <c r="I192">
        <v>10179</v>
      </c>
      <c r="J192">
        <v>17456</v>
      </c>
      <c r="K192">
        <v>19576</v>
      </c>
      <c r="L192">
        <v>12.63</v>
      </c>
      <c r="M192">
        <v>-49.84</v>
      </c>
      <c r="N192">
        <v>-68.04000000000001</v>
      </c>
      <c r="O192">
        <v>3.73</v>
      </c>
      <c r="P192" t="b">
        <v>0</v>
      </c>
      <c r="Q192">
        <v>1</v>
      </c>
      <c r="R192">
        <v>590</v>
      </c>
      <c r="S192">
        <v>996</v>
      </c>
      <c r="T192">
        <v>68.8</v>
      </c>
      <c r="U192" t="s">
        <v>1616</v>
      </c>
      <c r="V192" t="s">
        <v>2295</v>
      </c>
      <c r="W192">
        <v>-5.341982914635979</v>
      </c>
      <c r="X192">
        <v>-0.7</v>
      </c>
      <c r="Y192" t="s">
        <v>2951</v>
      </c>
      <c r="Z192">
        <v>-14.04877077663684</v>
      </c>
      <c r="AA192">
        <v>10758</v>
      </c>
      <c r="AB192">
        <v>716286</v>
      </c>
      <c r="AC192" t="s">
        <v>3600</v>
      </c>
      <c r="AD192">
        <v>51.5</v>
      </c>
      <c r="AE192" t="s">
        <v>4279</v>
      </c>
      <c r="AF192" t="s">
        <v>4943</v>
      </c>
      <c r="AG192">
        <v>77233</v>
      </c>
      <c r="AH192">
        <v>3540</v>
      </c>
      <c r="AI192">
        <v>16832117</v>
      </c>
      <c r="AJ192">
        <v>0.55</v>
      </c>
    </row>
    <row r="193" spans="1:36">
      <c r="A193" s="1" t="s">
        <v>707</v>
      </c>
      <c r="B193" t="s">
        <v>1386</v>
      </c>
      <c r="C193">
        <f>HYPERLINK("https://finance.naver.com/item/coinfo.nhn?code=134790", "A134790")</f>
        <v>0</v>
      </c>
      <c r="D193">
        <f>HYPERLINK("http://comp.fnguide.com/SVO2/ASP/SVD_Consensus.asp?pGB=1&amp;gicode=A134790&amp;cID=&amp;MenuYn=Y&amp;ReportGB=&amp;NewMenuID=108&amp;stkGb=701", "시디즈")</f>
        <v>0</v>
      </c>
      <c r="E193">
        <v>1</v>
      </c>
      <c r="F193">
        <v>84000</v>
      </c>
      <c r="G193">
        <v>0</v>
      </c>
      <c r="H193">
        <v>6.4</v>
      </c>
      <c r="I193">
        <v>118201</v>
      </c>
      <c r="J193">
        <v>65258</v>
      </c>
      <c r="K193">
        <v>49837</v>
      </c>
      <c r="L193">
        <v>-40.72</v>
      </c>
      <c r="M193">
        <v>22.31</v>
      </c>
      <c r="N193">
        <v>40.67</v>
      </c>
      <c r="O193">
        <v>33.43</v>
      </c>
      <c r="P193" t="b">
        <v>1</v>
      </c>
      <c r="Q193">
        <v>0</v>
      </c>
      <c r="R193">
        <v>8672</v>
      </c>
      <c r="U193" t="s">
        <v>2065</v>
      </c>
      <c r="V193" t="s">
        <v>2744</v>
      </c>
      <c r="W193">
        <v>0</v>
      </c>
      <c r="X193">
        <v>122</v>
      </c>
      <c r="Y193" t="s">
        <v>3370</v>
      </c>
      <c r="Z193">
        <v>237.3024791204165</v>
      </c>
      <c r="AA193">
        <v>1680</v>
      </c>
      <c r="AB193">
        <v>13269</v>
      </c>
      <c r="AC193" t="s">
        <v>4049</v>
      </c>
      <c r="AD193">
        <v>60.72</v>
      </c>
      <c r="AE193" t="s">
        <v>4728</v>
      </c>
      <c r="AF193" t="s">
        <v>5370</v>
      </c>
      <c r="AG193">
        <v>2275</v>
      </c>
      <c r="AH193">
        <v>197</v>
      </c>
      <c r="AI193">
        <v>321042</v>
      </c>
      <c r="AJ193">
        <v>0.54</v>
      </c>
    </row>
    <row r="194" spans="1:36">
      <c r="A194" s="1" t="s">
        <v>276</v>
      </c>
      <c r="B194" t="s">
        <v>955</v>
      </c>
      <c r="C194">
        <f>HYPERLINK("https://finance.naver.com/item/coinfo.nhn?code=030960", "A030960")</f>
        <v>0</v>
      </c>
      <c r="D194">
        <f>HYPERLINK("http://comp.fnguide.com/SVO2/ASP/SVD_Consensus.asp?pGB=1&amp;gicode=A030960&amp;cID=&amp;MenuYn=Y&amp;ReportGB=&amp;NewMenuID=108&amp;stkGb=701", "양지사")</f>
        <v>0</v>
      </c>
      <c r="E194">
        <v>3</v>
      </c>
      <c r="F194">
        <v>13200</v>
      </c>
      <c r="G194">
        <v>0</v>
      </c>
      <c r="H194">
        <v>1.28</v>
      </c>
      <c r="I194">
        <v>81601</v>
      </c>
      <c r="J194">
        <v>41301</v>
      </c>
      <c r="K194">
        <v>29563</v>
      </c>
      <c r="L194">
        <v>-518.1900000000001</v>
      </c>
      <c r="M194">
        <v>-212.89</v>
      </c>
      <c r="N194">
        <v>-123.96</v>
      </c>
      <c r="O194">
        <v>48.77</v>
      </c>
      <c r="P194" t="b">
        <v>1</v>
      </c>
      <c r="Q194">
        <v>0</v>
      </c>
      <c r="R194">
        <v>7553</v>
      </c>
      <c r="U194" t="s">
        <v>1634</v>
      </c>
      <c r="V194" t="s">
        <v>2313</v>
      </c>
      <c r="W194">
        <v>0</v>
      </c>
      <c r="X194">
        <v>-95.90000000000001</v>
      </c>
      <c r="Y194" t="s">
        <v>2968</v>
      </c>
      <c r="Z194">
        <v>11.7330467586956</v>
      </c>
      <c r="AA194">
        <v>2109</v>
      </c>
      <c r="AB194">
        <v>218297</v>
      </c>
      <c r="AC194" t="s">
        <v>3618</v>
      </c>
      <c r="AD194">
        <v>75.53</v>
      </c>
      <c r="AE194" t="s">
        <v>4297</v>
      </c>
      <c r="AF194" t="s">
        <v>4958</v>
      </c>
      <c r="AG194">
        <v>489</v>
      </c>
      <c r="AH194">
        <v>17</v>
      </c>
      <c r="AI194">
        <v>2243930</v>
      </c>
      <c r="AJ194">
        <v>0.52</v>
      </c>
    </row>
    <row r="195" spans="1:36">
      <c r="A195" s="1" t="s">
        <v>137</v>
      </c>
      <c r="B195" t="s">
        <v>816</v>
      </c>
      <c r="C195">
        <f>HYPERLINK("https://finance.naver.com/item/coinfo.nhn?code=071090", "A071090")</f>
        <v>0</v>
      </c>
      <c r="D195">
        <f>HYPERLINK("http://comp.fnguide.com/SVO2/ASP/SVD_Consensus.asp?pGB=1&amp;gicode=A071090&amp;cID=&amp;MenuYn=Y&amp;ReportGB=&amp;NewMenuID=108&amp;stkGb=701", "하이스틸")</f>
        <v>0</v>
      </c>
      <c r="E195">
        <v>3</v>
      </c>
      <c r="F195">
        <v>3790</v>
      </c>
      <c r="G195">
        <v>0</v>
      </c>
      <c r="I195">
        <v>5</v>
      </c>
      <c r="J195">
        <v>3746</v>
      </c>
      <c r="K195">
        <v>4835</v>
      </c>
      <c r="L195">
        <v>99.87</v>
      </c>
      <c r="M195">
        <v>1.17</v>
      </c>
      <c r="N195">
        <v>-27.58</v>
      </c>
      <c r="O195">
        <v>0.01</v>
      </c>
      <c r="P195" t="b">
        <v>0</v>
      </c>
      <c r="Q195">
        <v>0</v>
      </c>
      <c r="R195">
        <v>-63</v>
      </c>
      <c r="U195" t="s">
        <v>1495</v>
      </c>
      <c r="V195" t="s">
        <v>2174</v>
      </c>
      <c r="W195">
        <v>0</v>
      </c>
      <c r="X195">
        <v>0</v>
      </c>
      <c r="Y195" t="s">
        <v>2847</v>
      </c>
      <c r="Z195">
        <v>114.7</v>
      </c>
      <c r="AA195">
        <v>758</v>
      </c>
      <c r="AB195">
        <v>1320468</v>
      </c>
      <c r="AC195" t="s">
        <v>3479</v>
      </c>
      <c r="AD195">
        <v>53.05</v>
      </c>
      <c r="AE195" t="s">
        <v>4158</v>
      </c>
      <c r="AF195" t="s">
        <v>4832</v>
      </c>
      <c r="AG195">
        <v>1617</v>
      </c>
      <c r="AH195">
        <v>3</v>
      </c>
      <c r="AI195">
        <v>7920</v>
      </c>
      <c r="AJ195">
        <v>0.52</v>
      </c>
    </row>
    <row r="196" spans="1:36">
      <c r="A196" s="1" t="s">
        <v>309</v>
      </c>
      <c r="B196" t="s">
        <v>988</v>
      </c>
      <c r="C196">
        <f>HYPERLINK("https://finance.naver.com/item/coinfo.nhn?code=024800", "A024800")</f>
        <v>0</v>
      </c>
      <c r="D196">
        <f>HYPERLINK("http://comp.fnguide.com/SVO2/ASP/SVD_Consensus.asp?pGB=1&amp;gicode=A024800&amp;cID=&amp;MenuYn=Y&amp;ReportGB=&amp;NewMenuID=108&amp;stkGb=701", "유성티엔에스")</f>
        <v>0</v>
      </c>
      <c r="E196">
        <v>3</v>
      </c>
      <c r="F196">
        <v>4060</v>
      </c>
      <c r="G196">
        <v>0</v>
      </c>
      <c r="H196">
        <v>1.65</v>
      </c>
      <c r="I196">
        <v>17497</v>
      </c>
      <c r="J196">
        <v>12396</v>
      </c>
      <c r="K196">
        <v>10910</v>
      </c>
      <c r="L196">
        <v>-330.96</v>
      </c>
      <c r="M196">
        <v>-205.31</v>
      </c>
      <c r="N196">
        <v>-168.71</v>
      </c>
      <c r="O196">
        <v>16.14</v>
      </c>
      <c r="P196" t="b">
        <v>1</v>
      </c>
      <c r="Q196">
        <v>0</v>
      </c>
      <c r="R196">
        <v>1793</v>
      </c>
      <c r="U196" t="s">
        <v>1667</v>
      </c>
      <c r="V196" t="s">
        <v>2346</v>
      </c>
      <c r="W196">
        <v>0</v>
      </c>
      <c r="X196">
        <v>130.1</v>
      </c>
      <c r="Y196" t="s">
        <v>2997</v>
      </c>
      <c r="Z196">
        <v>46.83788542053991</v>
      </c>
      <c r="AA196">
        <v>1105</v>
      </c>
      <c r="AB196">
        <v>245208</v>
      </c>
      <c r="AC196" t="s">
        <v>3651</v>
      </c>
      <c r="AD196">
        <v>60.18</v>
      </c>
      <c r="AE196" t="s">
        <v>4330</v>
      </c>
      <c r="AF196" t="s">
        <v>4988</v>
      </c>
      <c r="AG196">
        <v>2941</v>
      </c>
      <c r="AH196">
        <v>35</v>
      </c>
      <c r="AI196">
        <v>3652884</v>
      </c>
      <c r="AJ196">
        <v>0.51</v>
      </c>
    </row>
    <row r="197" spans="1:36">
      <c r="A197" s="1" t="s">
        <v>233</v>
      </c>
      <c r="B197" t="s">
        <v>912</v>
      </c>
      <c r="C197">
        <f>HYPERLINK("https://finance.naver.com/item/coinfo.nhn?code=007770", "A007770")</f>
        <v>0</v>
      </c>
      <c r="D197">
        <f>HYPERLINK("http://comp.fnguide.com/SVO2/ASP/SVD_Consensus.asp?pGB=1&amp;gicode=A007770&amp;cID=&amp;MenuYn=Y&amp;ReportGB=&amp;NewMenuID=108&amp;stkGb=701", "한일화학")</f>
        <v>0</v>
      </c>
      <c r="E197">
        <v>3</v>
      </c>
      <c r="F197">
        <v>18000</v>
      </c>
      <c r="G197">
        <v>0</v>
      </c>
      <c r="I197">
        <v>3547</v>
      </c>
      <c r="J197">
        <v>16924</v>
      </c>
      <c r="K197">
        <v>20820</v>
      </c>
      <c r="L197">
        <v>80.3</v>
      </c>
      <c r="M197">
        <v>5.98</v>
      </c>
      <c r="N197">
        <v>-15.67</v>
      </c>
      <c r="O197">
        <v>1.12</v>
      </c>
      <c r="P197" t="b">
        <v>0</v>
      </c>
      <c r="Q197">
        <v>0</v>
      </c>
      <c r="R197">
        <v>-374</v>
      </c>
      <c r="U197" t="s">
        <v>1591</v>
      </c>
      <c r="V197" t="s">
        <v>2270</v>
      </c>
      <c r="W197">
        <v>0</v>
      </c>
      <c r="X197">
        <v>0</v>
      </c>
      <c r="Y197" t="s">
        <v>2932</v>
      </c>
      <c r="Z197">
        <v>1.202552273344848</v>
      </c>
      <c r="AA197">
        <v>632</v>
      </c>
      <c r="AB197">
        <v>47497</v>
      </c>
      <c r="AC197" t="s">
        <v>3575</v>
      </c>
      <c r="AD197">
        <v>65.90000000000001</v>
      </c>
      <c r="AE197" t="s">
        <v>4254</v>
      </c>
      <c r="AF197" t="s">
        <v>4920</v>
      </c>
      <c r="AG197">
        <v>868</v>
      </c>
      <c r="AH197">
        <v>15</v>
      </c>
      <c r="AJ197">
        <v>0.49</v>
      </c>
    </row>
    <row r="198" spans="1:36">
      <c r="A198" s="1" t="s">
        <v>292</v>
      </c>
      <c r="B198" t="s">
        <v>971</v>
      </c>
      <c r="C198">
        <f>HYPERLINK("https://finance.naver.com/item/coinfo.nhn?code=024830", "A024830")</f>
        <v>0</v>
      </c>
      <c r="D198">
        <f>HYPERLINK("http://comp.fnguide.com/SVO2/ASP/SVD_Consensus.asp?pGB=1&amp;gicode=A024830&amp;cID=&amp;MenuYn=Y&amp;ReportGB=&amp;NewMenuID=108&amp;stkGb=701", "세원물산")</f>
        <v>0</v>
      </c>
      <c r="E198">
        <v>3</v>
      </c>
      <c r="F198">
        <v>6280</v>
      </c>
      <c r="G198">
        <v>0</v>
      </c>
      <c r="H198">
        <v>2.86</v>
      </c>
      <c r="I198">
        <v>22819</v>
      </c>
      <c r="J198">
        <v>23983</v>
      </c>
      <c r="K198">
        <v>24322</v>
      </c>
      <c r="L198">
        <v>-263.36</v>
      </c>
      <c r="M198">
        <v>-281.89</v>
      </c>
      <c r="N198">
        <v>-287.29</v>
      </c>
      <c r="O198">
        <v>7.57</v>
      </c>
      <c r="P198" t="b">
        <v>1</v>
      </c>
      <c r="Q198">
        <v>0</v>
      </c>
      <c r="R198">
        <v>2199</v>
      </c>
      <c r="U198" t="s">
        <v>1650</v>
      </c>
      <c r="V198" t="s">
        <v>2329</v>
      </c>
      <c r="W198">
        <v>0</v>
      </c>
      <c r="X198">
        <v>39.9</v>
      </c>
      <c r="Y198" t="s">
        <v>2982</v>
      </c>
      <c r="Z198">
        <v>15.98594455944644</v>
      </c>
      <c r="AA198">
        <v>524</v>
      </c>
      <c r="AB198">
        <v>0</v>
      </c>
      <c r="AC198" t="s">
        <v>3634</v>
      </c>
      <c r="AD198">
        <v>78.43000000000001</v>
      </c>
      <c r="AE198" t="s">
        <v>4313</v>
      </c>
      <c r="AF198" t="s">
        <v>4973</v>
      </c>
      <c r="AG198">
        <v>1558</v>
      </c>
      <c r="AH198">
        <v>140</v>
      </c>
      <c r="AJ198">
        <v>0.4</v>
      </c>
    </row>
    <row r="199" spans="1:36">
      <c r="A199" s="1" t="s">
        <v>343</v>
      </c>
      <c r="B199" t="s">
        <v>1022</v>
      </c>
      <c r="C199">
        <f>HYPERLINK("https://finance.naver.com/item/coinfo.nhn?code=003830", "A003830")</f>
        <v>0</v>
      </c>
      <c r="D199">
        <f>HYPERLINK("http://comp.fnguide.com/SVO2/ASP/SVD_Consensus.asp?pGB=1&amp;gicode=A003830&amp;cID=&amp;MenuYn=Y&amp;ReportGB=&amp;NewMenuID=108&amp;stkGb=701", "대한화섬")</f>
        <v>0</v>
      </c>
      <c r="E199">
        <v>3</v>
      </c>
      <c r="F199">
        <v>140000</v>
      </c>
      <c r="G199">
        <v>0</v>
      </c>
      <c r="H199">
        <v>8.359999999999999</v>
      </c>
      <c r="I199">
        <v>289235</v>
      </c>
      <c r="J199">
        <v>438505</v>
      </c>
      <c r="K199">
        <v>481985</v>
      </c>
      <c r="L199">
        <v>-106.6</v>
      </c>
      <c r="M199">
        <v>-213.22</v>
      </c>
      <c r="N199">
        <v>-244.28</v>
      </c>
      <c r="O199">
        <v>4.4</v>
      </c>
      <c r="P199" t="b">
        <v>1</v>
      </c>
      <c r="Q199">
        <v>0</v>
      </c>
      <c r="R199">
        <v>12201</v>
      </c>
      <c r="U199" t="s">
        <v>1701</v>
      </c>
      <c r="V199" t="s">
        <v>2380</v>
      </c>
      <c r="W199">
        <v>0</v>
      </c>
      <c r="X199">
        <v>-28.1</v>
      </c>
      <c r="Y199" t="s">
        <v>3028</v>
      </c>
      <c r="Z199">
        <v>1.372697128493283</v>
      </c>
      <c r="AA199">
        <v>1859</v>
      </c>
      <c r="AB199">
        <v>388</v>
      </c>
      <c r="AC199" t="s">
        <v>3685</v>
      </c>
      <c r="AD199">
        <v>61</v>
      </c>
      <c r="AE199" t="s">
        <v>4364</v>
      </c>
      <c r="AF199" t="s">
        <v>5017</v>
      </c>
      <c r="AG199">
        <v>869</v>
      </c>
      <c r="AH199">
        <v>30</v>
      </c>
      <c r="AI199">
        <v>204695</v>
      </c>
      <c r="AJ199">
        <v>0.4</v>
      </c>
    </row>
    <row r="200" spans="1:36">
      <c r="A200" s="1" t="s">
        <v>440</v>
      </c>
      <c r="B200" t="s">
        <v>1119</v>
      </c>
      <c r="C200">
        <f>HYPERLINK("https://finance.naver.com/item/coinfo.nhn?code=001460", "A001460")</f>
        <v>0</v>
      </c>
      <c r="D200">
        <f>HYPERLINK("http://comp.fnguide.com/SVO2/ASP/SVD_Consensus.asp?pGB=1&amp;gicode=A001460&amp;cID=&amp;MenuYn=Y&amp;ReportGB=&amp;NewMenuID=108&amp;stkGb=701", "BYC")</f>
        <v>0</v>
      </c>
      <c r="E200">
        <v>3</v>
      </c>
      <c r="F200">
        <v>390000</v>
      </c>
      <c r="G200">
        <v>0</v>
      </c>
      <c r="H200">
        <v>13.16</v>
      </c>
      <c r="I200">
        <v>408825</v>
      </c>
      <c r="J200">
        <v>596488</v>
      </c>
      <c r="K200">
        <v>651151</v>
      </c>
      <c r="L200">
        <v>-4.83</v>
      </c>
      <c r="M200">
        <v>-52.95</v>
      </c>
      <c r="N200">
        <v>-66.95999999999999</v>
      </c>
      <c r="O200">
        <v>4.64</v>
      </c>
      <c r="P200" t="b">
        <v>1</v>
      </c>
      <c r="Q200">
        <v>0</v>
      </c>
      <c r="R200">
        <v>21775</v>
      </c>
      <c r="U200" t="s">
        <v>1798</v>
      </c>
      <c r="V200" t="s">
        <v>2477</v>
      </c>
      <c r="W200">
        <v>0</v>
      </c>
      <c r="X200">
        <v>-34.1</v>
      </c>
      <c r="Y200" t="s">
        <v>3121</v>
      </c>
      <c r="Z200">
        <v>6.749160707396951</v>
      </c>
      <c r="AA200">
        <v>2436</v>
      </c>
      <c r="AB200">
        <v>347</v>
      </c>
      <c r="AC200" t="s">
        <v>3782</v>
      </c>
      <c r="AD200">
        <v>61.29</v>
      </c>
      <c r="AE200" t="s">
        <v>4461</v>
      </c>
      <c r="AF200" t="s">
        <v>5113</v>
      </c>
      <c r="AG200">
        <v>1619</v>
      </c>
      <c r="AH200">
        <v>229</v>
      </c>
      <c r="AI200">
        <v>8</v>
      </c>
      <c r="AJ200">
        <v>0.38</v>
      </c>
    </row>
    <row r="201" spans="1:36">
      <c r="A201" s="1" t="s">
        <v>612</v>
      </c>
      <c r="B201" t="s">
        <v>1291</v>
      </c>
      <c r="C201">
        <f>HYPERLINK("https://finance.naver.com/item/coinfo.nhn?code=248170", "A248170")</f>
        <v>0</v>
      </c>
      <c r="D201">
        <f>HYPERLINK("http://comp.fnguide.com/SVO2/ASP/SVD_Consensus.asp?pGB=1&amp;gicode=A248170&amp;cID=&amp;MenuYn=Y&amp;ReportGB=&amp;NewMenuID=108&amp;stkGb=701", "샘표식품")</f>
        <v>0</v>
      </c>
      <c r="E201">
        <v>2</v>
      </c>
      <c r="F201">
        <v>59500</v>
      </c>
      <c r="G201">
        <v>0</v>
      </c>
      <c r="H201">
        <v>6.67</v>
      </c>
      <c r="I201">
        <v>97003</v>
      </c>
      <c r="J201">
        <v>64386</v>
      </c>
      <c r="K201">
        <v>54885</v>
      </c>
      <c r="L201">
        <v>-63.03</v>
      </c>
      <c r="M201">
        <v>-8.210000000000001</v>
      </c>
      <c r="N201">
        <v>7.76</v>
      </c>
      <c r="O201">
        <v>18.94</v>
      </c>
      <c r="P201" t="b">
        <v>1</v>
      </c>
      <c r="Q201">
        <v>0</v>
      </c>
      <c r="R201">
        <v>7892</v>
      </c>
      <c r="U201" t="s">
        <v>1970</v>
      </c>
      <c r="V201" t="s">
        <v>2649</v>
      </c>
      <c r="W201">
        <v>0</v>
      </c>
      <c r="X201">
        <v>34.4</v>
      </c>
      <c r="Y201" t="s">
        <v>3282</v>
      </c>
      <c r="Z201">
        <v>0</v>
      </c>
      <c r="AA201">
        <v>2718</v>
      </c>
      <c r="AB201">
        <v>155025</v>
      </c>
      <c r="AC201" t="s">
        <v>3954</v>
      </c>
      <c r="AD201">
        <v>60.02</v>
      </c>
      <c r="AE201" t="s">
        <v>4633</v>
      </c>
      <c r="AF201" t="s">
        <v>5276</v>
      </c>
      <c r="AG201">
        <v>3189</v>
      </c>
      <c r="AH201">
        <v>428</v>
      </c>
      <c r="AI201">
        <v>1690</v>
      </c>
      <c r="AJ201">
        <v>0.38</v>
      </c>
    </row>
    <row r="202" spans="1:36">
      <c r="A202" s="1" t="s">
        <v>416</v>
      </c>
      <c r="B202" t="s">
        <v>1095</v>
      </c>
      <c r="C202">
        <f>HYPERLINK("https://finance.naver.com/item/coinfo.nhn?code=003920", "A003920")</f>
        <v>0</v>
      </c>
      <c r="D202">
        <f>HYPERLINK("http://comp.fnguide.com/SVO2/ASP/SVD_Consensus.asp?pGB=1&amp;gicode=A003920&amp;cID=&amp;MenuYn=Y&amp;ReportGB=&amp;NewMenuID=108&amp;stkGb=701", "남양유업")</f>
        <v>0</v>
      </c>
      <c r="E202">
        <v>3</v>
      </c>
      <c r="F202">
        <v>383500</v>
      </c>
      <c r="G202">
        <v>0</v>
      </c>
      <c r="I202">
        <v>172790</v>
      </c>
      <c r="J202">
        <v>822277</v>
      </c>
      <c r="K202">
        <v>1011462</v>
      </c>
      <c r="L202">
        <v>54.94</v>
      </c>
      <c r="M202">
        <v>-114.41</v>
      </c>
      <c r="N202">
        <v>-163.74</v>
      </c>
      <c r="O202">
        <v>1.12</v>
      </c>
      <c r="P202" t="b">
        <v>0</v>
      </c>
      <c r="Q202">
        <v>0</v>
      </c>
      <c r="R202">
        <v>-60339</v>
      </c>
      <c r="U202" t="s">
        <v>1774</v>
      </c>
      <c r="V202" t="s">
        <v>2453</v>
      </c>
      <c r="W202">
        <v>0</v>
      </c>
      <c r="X202">
        <v>0</v>
      </c>
      <c r="Y202" t="s">
        <v>3097</v>
      </c>
      <c r="Z202">
        <v>2.303977827402326</v>
      </c>
      <c r="AA202">
        <v>2761</v>
      </c>
      <c r="AB202">
        <v>8163</v>
      </c>
      <c r="AC202" t="s">
        <v>3758</v>
      </c>
      <c r="AD202">
        <v>53.08</v>
      </c>
      <c r="AE202" t="s">
        <v>4437</v>
      </c>
      <c r="AF202" t="s">
        <v>5089</v>
      </c>
      <c r="AG202">
        <v>9489</v>
      </c>
      <c r="AH202">
        <v>-771</v>
      </c>
      <c r="AI202">
        <v>40288</v>
      </c>
      <c r="AJ202">
        <v>0.35</v>
      </c>
    </row>
    <row r="203" spans="1:36">
      <c r="A203" s="1" t="s">
        <v>587</v>
      </c>
      <c r="B203" t="s">
        <v>1266</v>
      </c>
      <c r="C203">
        <f>HYPERLINK("https://finance.naver.com/item/coinfo.nhn?code=003240", "A003240")</f>
        <v>0</v>
      </c>
      <c r="D203">
        <f>HYPERLINK("http://comp.fnguide.com/SVO2/ASP/SVD_Consensus.asp?pGB=1&amp;gicode=A003240&amp;cID=&amp;MenuYn=Y&amp;ReportGB=&amp;NewMenuID=108&amp;stkGb=701", "태광산업")</f>
        <v>0</v>
      </c>
      <c r="E203">
        <v>3</v>
      </c>
      <c r="F203">
        <v>1208000</v>
      </c>
      <c r="G203">
        <v>0</v>
      </c>
      <c r="H203">
        <v>8.43</v>
      </c>
      <c r="I203">
        <v>2058883</v>
      </c>
      <c r="J203">
        <v>3169191</v>
      </c>
      <c r="K203">
        <v>3492605</v>
      </c>
      <c r="L203">
        <v>-70.44</v>
      </c>
      <c r="M203">
        <v>-162.35</v>
      </c>
      <c r="N203">
        <v>-189.12</v>
      </c>
      <c r="O203">
        <v>4.31</v>
      </c>
      <c r="P203" t="b">
        <v>1</v>
      </c>
      <c r="Q203">
        <v>0</v>
      </c>
      <c r="R203">
        <v>95038</v>
      </c>
      <c r="U203" t="s">
        <v>1945</v>
      </c>
      <c r="V203" t="s">
        <v>2624</v>
      </c>
      <c r="W203">
        <v>0</v>
      </c>
      <c r="X203">
        <v>-22.2</v>
      </c>
      <c r="Y203" t="s">
        <v>3258</v>
      </c>
      <c r="Z203">
        <v>7.053414399053759</v>
      </c>
      <c r="AA203">
        <v>13450</v>
      </c>
      <c r="AB203">
        <v>1708</v>
      </c>
      <c r="AC203" t="s">
        <v>3929</v>
      </c>
      <c r="AD203">
        <v>54.79</v>
      </c>
      <c r="AE203" t="s">
        <v>4608</v>
      </c>
      <c r="AF203" t="s">
        <v>5254</v>
      </c>
      <c r="AG203">
        <v>17406</v>
      </c>
      <c r="AH203">
        <v>535</v>
      </c>
      <c r="AI203">
        <v>271769</v>
      </c>
      <c r="AJ203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2021-05-15T03:03:04Z</dcterms:created>
  <dcterms:modified xsi:type="dcterms:W3CDTF">2021-05-15T03:03:04Z</dcterms:modified>
</cp:coreProperties>
</file>