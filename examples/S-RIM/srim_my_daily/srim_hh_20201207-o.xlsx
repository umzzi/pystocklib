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<sst xmlns="http://schemas.openxmlformats.org/spreadsheetml/2006/main" count="13396" uniqueCount="10256">
  <si>
    <t>0.15</t>
  </si>
  <si>
    <t>0.96</t>
  </si>
  <si>
    <t>-951</t>
  </si>
  <si>
    <t>-2966</t>
  </si>
  <si>
    <t>-4384</t>
  </si>
  <si>
    <t>-537</t>
  </si>
  <si>
    <t>-2694</t>
  </si>
  <si>
    <t>10838</t>
  </si>
  <si>
    <t>-8476</t>
  </si>
  <si>
    <t>5201</t>
  </si>
  <si>
    <t>-315</t>
  </si>
  <si>
    <t>-197</t>
  </si>
  <si>
    <t>-426</t>
  </si>
  <si>
    <t>-1853</t>
  </si>
  <si>
    <t>-3725</t>
  </si>
  <si>
    <t>[320.0, 24.0, 982.0, nan]</t>
  </si>
  <si>
    <t>[-4722.0, 306.0, 1025.0, nan]</t>
  </si>
  <si>
    <t>[579.0, 310.0, -3391.0, nan]</t>
  </si>
  <si>
    <t>[120.0, 175.0, 154.0, nan]</t>
  </si>
  <si>
    <t>[1812.0, 1715.0, 1681.0, nan]</t>
  </si>
  <si>
    <t>[-1164.0, -826.0, 536.0, nan]</t>
  </si>
  <si>
    <t>[6602.0, 14008.0, 6210.0, nan]</t>
  </si>
  <si>
    <t>[144.0, 103.0, 50.0, nan]</t>
  </si>
  <si>
    <t>[370.0, 351.0, 1672.0, nan]</t>
  </si>
  <si>
    <t>[416.0, 60.0, -386.0, nan]</t>
  </si>
  <si>
    <t>[473.0, -334.0, -478.0, nan]</t>
  </si>
  <si>
    <t>[7574.0, 86991.0, 2304.0, nan]</t>
  </si>
  <si>
    <t>[-3555.0, 3619.0, -247.0, 1074.0]</t>
  </si>
  <si>
    <t>[4140.0, 4784.0, 919.0, 4153.0]</t>
  </si>
  <si>
    <t>[862.0, 594.0, 436.0, nan]</t>
  </si>
  <si>
    <t>[673.0, 478.0, 116.0, 327.0]</t>
  </si>
  <si>
    <t>[1553.0, 700.0, -567.0, nan]</t>
  </si>
  <si>
    <t>[1646.0, 1685.0, 1857.0, nan]</t>
  </si>
  <si>
    <t>[-913.0, 619.0, 2555.0, 2016.0]</t>
  </si>
  <si>
    <t>[313.0, 409.0, 505.0, nan]</t>
  </si>
  <si>
    <t>[1069.0, 192.0, 314.0, nan]</t>
  </si>
  <si>
    <t>[1810.0, 3424.0, 3656.0, 2843.0]</t>
  </si>
  <si>
    <t>[3122.0, 4565.0, 164.0, 1065.0]</t>
  </si>
  <si>
    <t>[1161.0, 1056.0, 561.0, 866.0]</t>
  </si>
  <si>
    <t>[2111.0, 1893.0, 948.0, 1532.0]</t>
  </si>
  <si>
    <t>[16109.0, 19403.0, 23867.0, 18159.0]</t>
  </si>
  <si>
    <t>[2187.0, 2940.0, 3462.0, 3348.0]</t>
  </si>
  <si>
    <t>[824.0, 638.0, 2038.0, 1214.0]</t>
  </si>
  <si>
    <t>[10841.0, 10211.0, 8296.0, 4992.0]</t>
  </si>
  <si>
    <t>[37660.0, -7255.0, 2318.0, 1260.0]</t>
  </si>
  <si>
    <t>[-608.0, -115.0, -903.0, nan]</t>
  </si>
  <si>
    <t>[-13055.0, 5518.0, 420.0, -839.0]</t>
  </si>
  <si>
    <t>[7067.0, 5949.0, 5136.0, nan]</t>
  </si>
  <si>
    <t>[8285.0, 8599.0, 13724.0, 11500.0]</t>
  </si>
  <si>
    <t>[509.0, 313.0, 187.0, nan]</t>
  </si>
  <si>
    <t>[4783.0, 3803.0, 3062.0, nan]</t>
  </si>
  <si>
    <t>[14847.0, 6717.0, -11586.0, nan]</t>
  </si>
  <si>
    <t>[-1318.0, 4323.0, 4505.0, nan]</t>
  </si>
  <si>
    <t>[1013.0, 826.0, 723.0, 993.0]</t>
  </si>
  <si>
    <t>[2023.0, -2048.0, -3654.0, 2457.0]</t>
  </si>
  <si>
    <t>[94.0, -5.0, -266.0, nan]</t>
  </si>
  <si>
    <t>[-714.0, -606.0, -325.0, nan]</t>
  </si>
  <si>
    <t>[3982.0, 1214.0, 3918.0, 3151.0]</t>
  </si>
  <si>
    <t>[-418.0, -895.0, -1199.0, nan]</t>
  </si>
  <si>
    <t>[520.0, 288.0, 552.0, nan]</t>
  </si>
  <si>
    <t>[-942.0, 264.0, 414.0, nan]</t>
  </si>
  <si>
    <t>[-1180.0, -100.0, -416.0, nan]</t>
  </si>
  <si>
    <t>[1674.0, 3362.0, 2236.0, nan]</t>
  </si>
  <si>
    <t>[4836.0, 4216.0, 3387.0, 3042.0]</t>
  </si>
  <si>
    <t>[2506.0, 2226.0, 1627.0, 1304.0]</t>
  </si>
  <si>
    <t>[662.0, 662.0, 428.0, 363.0]</t>
  </si>
  <si>
    <t>[-708.0, 49.0, 373.0, nan]</t>
  </si>
  <si>
    <t>[812.0, 438.0, -151.0, nan]</t>
  </si>
  <si>
    <t>[994.0, -248.0, 51.0, 1527.0]</t>
  </si>
  <si>
    <t>[10939.0, 2128.0, 1333.0, 1707.0]</t>
  </si>
  <si>
    <t>[1301.0, 1280.0, 1434.0, nan]</t>
  </si>
  <si>
    <t>[6881.0, 7458.0, 7966.0, 8291.0]</t>
  </si>
  <si>
    <t>[1051.0, 1127.0, 1319.0, nan]</t>
  </si>
  <si>
    <t>[42257.0, 58.0, -130.0, nan]</t>
  </si>
  <si>
    <t>[21054.0, 11549.0, 4754.0, 5938.0]</t>
  </si>
  <si>
    <t>[551.0, 404.0, 2328.0, nan]</t>
  </si>
  <si>
    <t>[78.0, 20.0, 414.0, nan]</t>
  </si>
  <si>
    <t>[784.0, 964.0, 766.0, nan]</t>
  </si>
  <si>
    <t>[15680.0, 20419.0, 16696.0, 18829.0]</t>
  </si>
  <si>
    <t>[168.0, 194.0, 143.0, nan]</t>
  </si>
  <si>
    <t>[1714.0, -1571.0, -8212.0, nan]</t>
  </si>
  <si>
    <t>[979.0, 303.0, -301.0, nan]</t>
  </si>
  <si>
    <t>[201.0, 136.0, 195.0, nan]</t>
  </si>
  <si>
    <t>[1068.0, 1109.0, 930.0, nan]</t>
  </si>
  <si>
    <t>[-1428.0, -1081.0, 606.0, nan]</t>
  </si>
  <si>
    <t>[533.0, 2281.0, -1646.0, nan]</t>
  </si>
  <si>
    <t>[326.0, 313.0, 2716.0, nan]</t>
  </si>
  <si>
    <t>[-297.0, -297.0, -1108.0, nan]</t>
  </si>
  <si>
    <t>[61.0, -302.0, 49.0, nan]</t>
  </si>
  <si>
    <t>[144.0, 120.0, 542.0, nan]</t>
  </si>
  <si>
    <t>[396.0, 590.0, 466.0, nan]</t>
  </si>
  <si>
    <t>[374.0, 722.0, 1311.0, nan]</t>
  </si>
  <si>
    <t>[-283.0, 385.0, 26.0, nan]</t>
  </si>
  <si>
    <t>[418.0, 290.0, 277.0, nan]</t>
  </si>
  <si>
    <t>[-25.0, -96.0, 40.0, nan]</t>
  </si>
  <si>
    <t>[466.0, 640.0, 57.0, nan]</t>
  </si>
  <si>
    <t>[-220.0, 15.0, -2026.0, nan]</t>
  </si>
  <si>
    <t>[1309.0, 774.0, 590.0, nan]</t>
  </si>
  <si>
    <t>[649.0, 536.0, -8.0, 957.0]</t>
  </si>
  <si>
    <t>[1888.0, -666.0, 1236.0, 2598.0]</t>
  </si>
  <si>
    <t>[157.0, -23.0, 365.0, nan]</t>
  </si>
  <si>
    <t>[518.0, 490.0, 448.0, nan]</t>
  </si>
  <si>
    <t>[-2317.0, -2043.0, 2030.0, 4606.0]</t>
  </si>
  <si>
    <t>[234.0, 73.0, -346.0, nan]</t>
  </si>
  <si>
    <t>[5366.0, 2988.0, 128.0, -1141.0]</t>
  </si>
  <si>
    <t>[67660.0, 16493.0, 10636.0, -11918.0]</t>
  </si>
  <si>
    <t>[14127.0, 5352.0, 10761.0, 6555.0]</t>
  </si>
  <si>
    <t>[1711.0, 1724.0, 2324.0, nan]</t>
  </si>
  <si>
    <t>[1330.0, 490.0, 1129.0, 1978.0]</t>
  </si>
  <si>
    <t>[386.0, 354.0, 335.0, nan]</t>
  </si>
  <si>
    <t>[5195.0, 4178.0, 3011.0, 4329.0]</t>
  </si>
  <si>
    <t>[10205.0, 13881.0, 7162.0, 12135.0]</t>
  </si>
  <si>
    <t>[548.0, 555.0, 327.0, -671.0]</t>
  </si>
  <si>
    <t>[1248.0, 1876.0, 564.0, nan]</t>
  </si>
  <si>
    <t>[3586.0, 3954.0, 616.0, nan]</t>
  </si>
  <si>
    <t>[-655.0, -521.0, 357.0, nan]</t>
  </si>
  <si>
    <t>[659.0, 367.0, 1066.0, nan]</t>
  </si>
  <si>
    <t>[-868.0, -1635.0, 190.0, nan]</t>
  </si>
  <si>
    <t>[26.0, -31.0, -279.0, nan]</t>
  </si>
  <si>
    <t>[3961.0, 5753.0, 3388.0, nan]</t>
  </si>
  <si>
    <t>[1461.0, 1157.0, 1005.0, 1344.0]</t>
  </si>
  <si>
    <t>[1434.0, 1038.0, 1794.0, nan]</t>
  </si>
  <si>
    <t>[9271.0, 145922.0, 4921.0, 1136.0]</t>
  </si>
  <si>
    <t>[nan, 204.0, 1409.0, 643.0]</t>
  </si>
  <si>
    <t>[842.0, -316.0, -703.0, nan]</t>
  </si>
  <si>
    <t>[4185.0, -3581.0, 16.0, nan]</t>
  </si>
  <si>
    <t>[8555.0, 4469.0, 3063.0, nan]</t>
  </si>
  <si>
    <t>[120.0, -114.0, 64.0, nan]</t>
  </si>
  <si>
    <t>[-766.0, -384.0, -1615.0, nan]</t>
  </si>
  <si>
    <t>[333.0, 493.0, 381.0, nan]</t>
  </si>
  <si>
    <t>[81.0, -530.0, -164.0, nan]</t>
  </si>
  <si>
    <t>[579.0, 480.0, 427.0, nan]</t>
  </si>
  <si>
    <t>[106.0, 81.0, 84.0, nan]</t>
  </si>
  <si>
    <t>[570.0, 564.0, 71.0, nan]</t>
  </si>
  <si>
    <t>[336.0, -79.0, -100.0, nan]</t>
  </si>
  <si>
    <t>[22101.0, 16150.0, 8391.0, 19416.0]</t>
  </si>
  <si>
    <t>[773.0, 1175.0, 1319.0, nan]</t>
  </si>
  <si>
    <t>[-43.0, -97.0, 256.0, nan]</t>
  </si>
  <si>
    <t>[75.0, -1357.0, 522.0, nan]</t>
  </si>
  <si>
    <t>[42.0, 103.0, 95.0, nan]</t>
  </si>
  <si>
    <t>[3138.0, 3686.0, 2448.0, nan]</t>
  </si>
  <si>
    <t>[240.0, 142.0, 670.0, nan]</t>
  </si>
  <si>
    <t>[202.0, -454.0, -902.0, nan]</t>
  </si>
  <si>
    <t>[-152.0, 166.0, -617.0, nan]</t>
  </si>
  <si>
    <t>[-222.0, 45.0, 34.0, nan]</t>
  </si>
  <si>
    <t>[988.0, 1107.0, 2526.0, nan]</t>
  </si>
  <si>
    <t>[6655.0, 8865.0, 2940.0, nan]</t>
  </si>
  <si>
    <t>[-4752.0, -5725.0, -11334.0, nan]</t>
  </si>
  <si>
    <t>[-298.0, -1633.0, -1690.0, nan]</t>
  </si>
  <si>
    <t>[807.0, 214.0, 857.0, nan]</t>
  </si>
  <si>
    <t>[-56.0, -390.0, 97.0, nan]</t>
  </si>
  <si>
    <t>[-398.0, -29.0, 255.0, 243.0]</t>
  </si>
  <si>
    <t>[-612.0, 380.0, 408.0, 79.0]</t>
  </si>
  <si>
    <t>[-163.0, 346.0, 156.0, nan]</t>
  </si>
  <si>
    <t>[115.0, 180.0, 223.0, nan]</t>
  </si>
  <si>
    <t>[-7169.0, -13840.0, -23962.0, nan]</t>
  </si>
  <si>
    <t>[160.0, 280.0, -217.0, nan]</t>
  </si>
  <si>
    <t>[310.0, 696.0, 1611.0, 29.0]</t>
  </si>
  <si>
    <t>[-1544.0, -655.0, -511.0, nan]</t>
  </si>
  <si>
    <t>[-230.0, -347.0, -79.0, nan]</t>
  </si>
  <si>
    <t>[1464.0, 287.0, 256.0, nan]</t>
  </si>
  <si>
    <t>[2453.0, 2551.0, 3753.0, 4054.0]</t>
  </si>
  <si>
    <t>[5251.0, 6325.0, 8870.0, nan]</t>
  </si>
  <si>
    <t>[132786.0, 60108.0, 126504.0, 119976.0]</t>
  </si>
  <si>
    <t>[175.0, 645.0, 418.0, nan]</t>
  </si>
  <si>
    <t>[280.0, 235.0, 389.0, nan]</t>
  </si>
  <si>
    <t>[-49.0, -61.0, 12.0, nan]</t>
  </si>
  <si>
    <t>[3772.0, -6546.0, 3278.0, nan]</t>
  </si>
  <si>
    <t>[127.0, 87.0, 91.0, nan]</t>
  </si>
  <si>
    <t>[1134.0, 565.0, -294.0, 125.0]</t>
  </si>
  <si>
    <t>[222.0, 311.0, 104.0, nan]</t>
  </si>
  <si>
    <t>[35070.0, 899.0, 772.0, nan]</t>
  </si>
  <si>
    <t>[352.0, 212.0, -287.0, nan]</t>
  </si>
  <si>
    <t>[nan, nan, 2701.0, 1993.0]</t>
  </si>
  <si>
    <t>[-380.0, -2094.0, 139.0, nan]</t>
  </si>
  <si>
    <t>[38.0, -134.0, 386.0, nan]</t>
  </si>
  <si>
    <t>[-43.0, -217.0, 316.0, nan]</t>
  </si>
  <si>
    <t>[2761.0, 2172.0, 279.0, nan]</t>
  </si>
  <si>
    <t>[619.0, 551.0, -1187.0, 106.0]</t>
  </si>
  <si>
    <t>[1685.0, -405.0, 1348.0, nan]</t>
  </si>
  <si>
    <t>[4454.0, 4062.0, 7600.0, 8695.0]</t>
  </si>
  <si>
    <t>[854.0, 1049.0, 2259.0, nan]</t>
  </si>
  <si>
    <t>[434.0, 439.0, 615.0, nan]</t>
  </si>
  <si>
    <t>[5372.0, 2212.0, 629.0, 2402.0]</t>
  </si>
  <si>
    <t>[1050.0, 1353.0, 1581.0, nan]</t>
  </si>
  <si>
    <t>[460.0, 324.0, 143.0, -158.0]</t>
  </si>
  <si>
    <t>[47436.0, 13106.0, 11168.0, nan]</t>
  </si>
  <si>
    <t>[1038.0, 1029.0, 1424.0, nan]</t>
  </si>
  <si>
    <t>[13860.0, 304.0, -1342.0, nan]</t>
  </si>
  <si>
    <t>[206.0, 142.0, 148.0, nan]</t>
  </si>
  <si>
    <t>[283.0, 412.0, 706.0, nan]</t>
  </si>
  <si>
    <t>[124662.0, 192300.0, 122200.0, nan]</t>
  </si>
  <si>
    <t>[-102.0, -134.0, -553.0, nan]</t>
  </si>
  <si>
    <t>[1143.0, 2398.0, 1152.0, nan]</t>
  </si>
  <si>
    <t>[199.0, 202.0, 225.0, -415.0]</t>
  </si>
  <si>
    <t>[546.0, 654.0, 441.0, 350.0]</t>
  </si>
  <si>
    <t>[176.0, 280.0, 959.0, nan]</t>
  </si>
  <si>
    <t>[6562.0, -353.0, -1244.0, nan]</t>
  </si>
  <si>
    <t>[744.0, 599.0, -582.0, -1711.0]</t>
  </si>
  <si>
    <t>[419.0, 329.0, -385.0, nan]</t>
  </si>
  <si>
    <t>[72.0, 144.0, 206.0, nan]</t>
  </si>
  <si>
    <t>[1079.0, 102.0, -225.0, nan]</t>
  </si>
  <si>
    <t>[268.0, 285.0, 284.0, 277.0]</t>
  </si>
  <si>
    <t>[203.0, -91.0, -35.0, nan]</t>
  </si>
  <si>
    <t>[1918.0, 3956.0, 2953.0, nan]</t>
  </si>
  <si>
    <t>[1183.0, 1195.0, 1207.0, nan]</t>
  </si>
  <si>
    <t>[-137.0, -2706.0, -942.0, nan]</t>
  </si>
  <si>
    <t>[2999.0, 1891.0, 446.0, nan]</t>
  </si>
  <si>
    <t>[1444.0, 1258.0, 1697.0, 2195.0]</t>
  </si>
  <si>
    <t>[4830.0, 2250.0, 1092.0, 5615.0]</t>
  </si>
  <si>
    <t>[665.0, 633.0, 2107.0, nan]</t>
  </si>
  <si>
    <t>[400.0, 522.0, 640.0, nan]</t>
  </si>
  <si>
    <t>[6035.0, -19564.0, -2209.0, 4478.0]</t>
  </si>
  <si>
    <t>[59088.0, 1223.0, -5676.0, nan]</t>
  </si>
  <si>
    <t>[1136.0, 1171.0, 869.0, nan]</t>
  </si>
  <si>
    <t>[336.0, -305.0, -181.0, nan]</t>
  </si>
  <si>
    <t>[3312.0, 2053.0, 2181.0, nan]</t>
  </si>
  <si>
    <t>[3431.0, 13184.0, 6088.0, nan]</t>
  </si>
  <si>
    <t>[12222.0, 9348.0, 10187.0, nan]</t>
  </si>
  <si>
    <t>[-26.0, -150.0, -1093.0, nan]</t>
  </si>
  <si>
    <t>[18830.0, 13393.0, 13076.0, nan]</t>
  </si>
  <si>
    <t>[419.0, 371.0, 334.0, nan]</t>
  </si>
  <si>
    <t>[3372.0, 3234.0, 2119.0, 3098.0]</t>
  </si>
  <si>
    <t>[601.0, 7.0, 143.0, nan]</t>
  </si>
  <si>
    <t>[705.0, 922.0, 921.0, nan]</t>
  </si>
  <si>
    <t>[400.0, 990.0, 42.0, nan]</t>
  </si>
  <si>
    <t>[762.0, 449.0, -219.0, nan]</t>
  </si>
  <si>
    <t>[179.0, 19.0, 271.0, nan]</t>
  </si>
  <si>
    <t>[85.0, -99.0, 36.0, nan]</t>
  </si>
  <si>
    <t>[274.0, 229.0, 424.0, 459.0]</t>
  </si>
  <si>
    <t>[-988.0, -180.0, -32.0, nan]</t>
  </si>
  <si>
    <t>[2439.0, 14365.0, 3722.0, 4722.0]</t>
  </si>
  <si>
    <t>[1394.0, 2250.0, 1975.0, nan]</t>
  </si>
  <si>
    <t>[612.0, 791.0, 469.0, nan]</t>
  </si>
  <si>
    <t>[2238.0, 2167.0, 1651.0, nan]</t>
  </si>
  <si>
    <t>[1105.0, 855.0, 1568.0, nan]</t>
  </si>
  <si>
    <t>[441.0, 1456.0, 2120.0, 659.0]</t>
  </si>
  <si>
    <t>[5079.0, 552.0, 107.0, nan]</t>
  </si>
  <si>
    <t>[827.0, 323.0, 255.0, nan]</t>
  </si>
  <si>
    <t>[2032.0, 1657.0, 952.0, 1414.0]</t>
  </si>
  <si>
    <t>[-33.0, 60.0, -38.0, nan]</t>
  </si>
  <si>
    <t>[911.0, 1382.0, 1601.0, nan]</t>
  </si>
  <si>
    <t>[134.0, 108.0, 269.0, nan]</t>
  </si>
  <si>
    <t>[122.0, 159.0, 204.0, nan]</t>
  </si>
  <si>
    <t>[214.0, 250.0, 265.0, nan]</t>
  </si>
  <si>
    <t>[1659.0, 822.0, 849.0, nan]</t>
  </si>
  <si>
    <t>[461.0, 266.0, 2019.0, nan]</t>
  </si>
  <si>
    <t>[-398.0, -501.0, -31.0, nan]</t>
  </si>
  <si>
    <t>[338.0, -40.0, 173.0, 224.0]</t>
  </si>
  <si>
    <t>[400.0, 461.0, 417.0, nan]</t>
  </si>
  <si>
    <t>[1744.0, 2377.0, 2254.0, nan]</t>
  </si>
  <si>
    <t>[336.0, 177.0, 72.0, nan]</t>
  </si>
  <si>
    <t>[-154.0, -178.0, 1.0, nan]</t>
  </si>
  <si>
    <t>[446.0, 271.0, -909.0, nan]</t>
  </si>
  <si>
    <t>[195.0, -39.0, -60.0, nan]</t>
  </si>
  <si>
    <t>[18.0, 77.0, 45.0, nan]</t>
  </si>
  <si>
    <t>[-24.0, -65.0, 58.0, nan]</t>
  </si>
  <si>
    <t>[164.0, 260.0, 672.0, nan]</t>
  </si>
  <si>
    <t>[288.0, 347.0, 138.0, nan]</t>
  </si>
  <si>
    <t>[-562.0, -833.0, -768.0, nan]</t>
  </si>
  <si>
    <t>[541.0, 546.0, 43.0, nan]</t>
  </si>
  <si>
    <t>[768.0, 417.0, 98.0, nan]</t>
  </si>
  <si>
    <t>[180.0, 202.0, 294.0, 522.0]</t>
  </si>
  <si>
    <t>[897.0, 1569.0, 758.0, nan]</t>
  </si>
  <si>
    <t>[1229.0, 573.0, 794.0, nan]</t>
  </si>
  <si>
    <t>[442.0, 3650.0, 1779.0, nan]</t>
  </si>
  <si>
    <t>[2389.0, 2690.0, 932.0, nan]</t>
  </si>
  <si>
    <t>[1430.0, 1127.0, -4159.0, nan]</t>
  </si>
  <si>
    <t>[-323.0, 1223.0, -267.0, nan]</t>
  </si>
  <si>
    <t>[1195.0, 553.0, 350.0, 743.0]</t>
  </si>
  <si>
    <t>[472.0, 505.0, 61.0, nan]</t>
  </si>
  <si>
    <t>[337.0, 295.0, 182.0, nan]</t>
  </si>
  <si>
    <t>[-348.0, -731.0, -460.0, nan]</t>
  </si>
  <si>
    <t>[426.0, 261.0, 36.0, nan]</t>
  </si>
  <si>
    <t>[463.0, 452.0, 442.0, nan]</t>
  </si>
  <si>
    <t>[760.0, 774.0, 559.0, nan]</t>
  </si>
  <si>
    <t>[851.0, 735.0, -708.0, nan]</t>
  </si>
  <si>
    <t>[889.0, -22.0, 528.0, nan]</t>
  </si>
  <si>
    <t>[581.0, 719.0, 799.0, nan]</t>
  </si>
  <si>
    <t>[-2200.0, 236.0, 450.0, nan]</t>
  </si>
  <si>
    <t>[2051.0, 1162.0, 324.0, nan]</t>
  </si>
  <si>
    <t>[354.0, 17.0, 54.0, nan]</t>
  </si>
  <si>
    <t>[126.0, 214.0, 213.0, nan]</t>
  </si>
  <si>
    <t>[638.0, 608.0, 668.0, nan]</t>
  </si>
  <si>
    <t>[-37.0, 49.0, 74.0, nan]</t>
  </si>
  <si>
    <t>[1066.0, 747.0, 1249.0, nan]</t>
  </si>
  <si>
    <t>[43.0, 37.0, -156.0, nan]</t>
  </si>
  <si>
    <t>[552.0, 355.0, 416.0, nan]</t>
  </si>
  <si>
    <t>[164.0, 106.0, 101.0, nan]</t>
  </si>
  <si>
    <t>[1005.0, 2021.0, 396.0, nan]</t>
  </si>
  <si>
    <t>[177.0, -595.0, 332.0, nan]</t>
  </si>
  <si>
    <t>[1085.0, 758.0, 499.0, nan]</t>
  </si>
  <si>
    <t>[585.0, 284.0, 319.0, nan]</t>
  </si>
  <si>
    <t>[-571.0, -291.0, 216.0, 59.0]</t>
  </si>
  <si>
    <t>[467.0, 548.0, -383.0, nan]</t>
  </si>
  <si>
    <t>[662.0, 879.0, 1924.0, nan]</t>
  </si>
  <si>
    <t>[-136.0, -472.0, -481.0, nan]</t>
  </si>
  <si>
    <t>[560.0, 356.0, 271.0, nan]</t>
  </si>
  <si>
    <t>[-82.0, -176.0, 325.0, nan]</t>
  </si>
  <si>
    <t>[655.0, -75.0, -196.0, nan]</t>
  </si>
  <si>
    <t>[163.0, 145.0, 7553.0, nan]</t>
  </si>
  <si>
    <t>[1390.0, 2775.0, 1250.0, nan]</t>
  </si>
  <si>
    <t>[1151.0, 1649.0, 1461.0, nan]</t>
  </si>
  <si>
    <t>[180.0, 89.0, 62.0, nan]</t>
  </si>
  <si>
    <t>[-660.0, -1314.0, 1833.0, nan]</t>
  </si>
  <si>
    <t>[1449.0, 1201.0, 1404.0, nan]</t>
  </si>
  <si>
    <t>[-670.0, -640.0, -892.0, nan]</t>
  </si>
  <si>
    <t>[1899.0, 788.0, 765.0, nan]</t>
  </si>
  <si>
    <t>[-22293.0, -9421.0, -6233.0, nan]</t>
  </si>
  <si>
    <t>[1376.0, 1170.0, 1338.0, nan]</t>
  </si>
  <si>
    <t>[-53.0, 1592.0, 1225.0, nan]</t>
  </si>
  <si>
    <t>[925.0, 495.0, 464.0, nan]</t>
  </si>
  <si>
    <t>[577.0, 1967.0, -381.0, 120.0]</t>
  </si>
  <si>
    <t>[167.0, 28.0, 56.0, nan]</t>
  </si>
  <si>
    <t>[99.0, 257.0, -33.0, nan]</t>
  </si>
  <si>
    <t>[360.0, 1138.0, 146.0, nan]</t>
  </si>
  <si>
    <t>[1129.0, 2178.0, -1078.0, nan]</t>
  </si>
  <si>
    <t>[606.0, -412.0, 378.0, nan]</t>
  </si>
  <si>
    <t>[-18.0, 188.0, 226.0, nan]</t>
  </si>
  <si>
    <t>[-999.0, 123.0, 399.0, nan]</t>
  </si>
  <si>
    <t>[-1216.0, -1249.0, -79.0, nan]</t>
  </si>
  <si>
    <t>[982.0, 566.0, 65.0, nan]</t>
  </si>
  <si>
    <t>[-582.0, -1419.0, -383.0, nan]</t>
  </si>
  <si>
    <t>[617.0, 571.0, 481.0, nan]</t>
  </si>
  <si>
    <t>[-1200.0, -1512.0, -857.0, nan]</t>
  </si>
  <si>
    <t>[529.0, 344.0, 491.0, nan]</t>
  </si>
  <si>
    <t>[241.0, 236.0, 224.0, nan]</t>
  </si>
  <si>
    <t>[2245.0, 2065.0, -770.0, nan]</t>
  </si>
  <si>
    <t>[-133.0, -168.0, -109.0, nan]</t>
  </si>
  <si>
    <t>[776.0, 696.0, 1572.0, nan]</t>
  </si>
  <si>
    <t>[-91.0, -69.0, 120.0, nan]</t>
  </si>
  <si>
    <t>[-200.0, -165.0, -1483.0, -1766.0]</t>
  </si>
  <si>
    <t>[2387.0, 2733.0, 3987.0, 3968.0]</t>
  </si>
  <si>
    <t>[-11.0, -24.0, 262.0, nan]</t>
  </si>
  <si>
    <t>[-194.0, -308.0, -325.0, nan]</t>
  </si>
  <si>
    <t>[908.0, 1829.0, 1576.0, 852.0]</t>
  </si>
  <si>
    <t>[2467.0, 5722.0, 6737.0, nan]</t>
  </si>
  <si>
    <t>[180.0, 154.0, 45.0, nan]</t>
  </si>
  <si>
    <t>[-551.0, -230.0, -242.0, nan]</t>
  </si>
  <si>
    <t>[449.0, 668.0, 763.0, nan]</t>
  </si>
  <si>
    <t>[13.0, -62.0, -603.0, nan]</t>
  </si>
  <si>
    <t>[-324.0, -431.0, -720.0, nan]</t>
  </si>
  <si>
    <t>[267.0, 245.0, 355.0, nan]</t>
  </si>
  <si>
    <t>[295.0, 319.0, 376.0, nan]</t>
  </si>
  <si>
    <t>[-796.0, -1189.0, -750.0, nan]</t>
  </si>
  <si>
    <t>[-1024.0, 832.0, -973.0, nan]</t>
  </si>
  <si>
    <t>[446.0, 1294.0, -96.0, nan]</t>
  </si>
  <si>
    <t>[934.0, 72.0, 765.0, nan]</t>
  </si>
  <si>
    <t>[19.0, -73.0, -233.0, nan]</t>
  </si>
  <si>
    <t>[-1368.0, -460.0, -397.0, nan]</t>
  </si>
  <si>
    <t>[356.0, 777.0, 515.0, nan]</t>
  </si>
  <si>
    <t>[108.0, 16.0, -35.0, nan]</t>
  </si>
  <si>
    <t>[615.0, 5.0, 31.0, nan]</t>
  </si>
  <si>
    <t>[-1935.0, -747.0, -538.0, nan]</t>
  </si>
  <si>
    <t>[29.0, 32.0, 29.0, nan]</t>
  </si>
  <si>
    <t>[885.0, 758.0, 1001.0, nan]</t>
  </si>
  <si>
    <t>[960.0, 841.0, 1020.0, nan]</t>
  </si>
  <si>
    <t>[651.0, 1851.0, 436.0, nan]</t>
  </si>
  <si>
    <t>[-1285.0, 675.0, -48.0, nan]</t>
  </si>
  <si>
    <t>[512.0, -529.0, -443.0, nan]</t>
  </si>
  <si>
    <t>[21163.0, -3162.0, -1246.0, nan]</t>
  </si>
  <si>
    <t>[935.0, 863.0, 1782.0, nan]</t>
  </si>
  <si>
    <t>[349.0, 359.0, 0.0, nan]</t>
  </si>
  <si>
    <t>[8.0, 23.0, -62.0, nan]</t>
  </si>
  <si>
    <t>[605.0, 228.0, 337.0, nan]</t>
  </si>
  <si>
    <t>[530.0, 547.0, 100.0, nan]</t>
  </si>
  <si>
    <t>[362.0, 1430.0, 279.0, nan]</t>
  </si>
  <si>
    <t>[111.0, -42.0, 633.0, nan]</t>
  </si>
  <si>
    <t>[277.0, 475.0, 235.0, nan]</t>
  </si>
  <si>
    <t>[391.0, 791.0, 187.0, nan]</t>
  </si>
  <si>
    <t>[200.0, 865.0, 179.0, nan]</t>
  </si>
  <si>
    <t>[1601.0, 24.0, -666.0, nan]</t>
  </si>
  <si>
    <t>[1237.0, 1326.0, 1306.0, nan]</t>
  </si>
  <si>
    <t>[-8.0, 1131.0, 876.0, nan]</t>
  </si>
  <si>
    <t>[2249.0, 2723.0, 842.0, nan]</t>
  </si>
  <si>
    <t>[1695.0, 1404.0, 1950.0, nan]</t>
  </si>
  <si>
    <t>[99.0, -578.0, -35.0, nan]</t>
  </si>
  <si>
    <t>[3441.0, 3023.0, 830.0, nan]</t>
  </si>
  <si>
    <t>[-581.0, 2230.0, 2345.0, nan]</t>
  </si>
  <si>
    <t>[4139.0, 4753.0, 4694.0, nan]</t>
  </si>
  <si>
    <t>[3398.0, 3022.0, 2817.0, nan]</t>
  </si>
  <si>
    <t>[251.0, 190.0, 174.0, nan]</t>
  </si>
  <si>
    <t>[502.0, 347.0, 1200.0, nan]</t>
  </si>
  <si>
    <t>[170.0, 215.0, 186.0, nan]</t>
  </si>
  <si>
    <t>[318.0, 232.0, 214.0, nan]</t>
  </si>
  <si>
    <t>[968.0, 1050.0, 781.0, nan]</t>
  </si>
  <si>
    <t>[-504.0, -166.0, -751.0, 591.0]</t>
  </si>
  <si>
    <t>[604.0, -255.0, -317.0, nan]</t>
  </si>
  <si>
    <t>[1112.0, -189.0, -903.0, nan]</t>
  </si>
  <si>
    <t>[69.0, 260.0, 127.0, nan]</t>
  </si>
  <si>
    <t>[1779.0, 1850.0, 2126.0, nan]</t>
  </si>
  <si>
    <t>[542.0, -152.0, -285.0, nan]</t>
  </si>
  <si>
    <t>[460.0, 283.0, 89.0, nan]</t>
  </si>
  <si>
    <t>[525.0, 736.0, 317.0, nan]</t>
  </si>
  <si>
    <t>[-6.0, -8.0, 31.0, nan]</t>
  </si>
  <si>
    <t>[162.0, 282.0, 235.0, nan]</t>
  </si>
  <si>
    <t>[3441.0, 6615.0, 4614.0, 5517.0]</t>
  </si>
  <si>
    <t>[-1223.0, -148.0, -81.0, nan]</t>
  </si>
  <si>
    <t>[1059.0, 1869.0, 1083.0, nan]</t>
  </si>
  <si>
    <t>[98.0, -271.0, -352.0, -790.0]</t>
  </si>
  <si>
    <t>[967.0, 1314.0, 2073.0, 1510.0]</t>
  </si>
  <si>
    <t>[57.0, 266.0, 111.0, nan]</t>
  </si>
  <si>
    <t>[17.0, -4.0, 0.0, nan]</t>
  </si>
  <si>
    <t>[3669.0, 3057.0, 3011.0, 2790.0]</t>
  </si>
  <si>
    <t>[10344.0, 12762.0, 6923.0, nan]</t>
  </si>
  <si>
    <t>[1122.0, 303.0, 257.0, nan]</t>
  </si>
  <si>
    <t>[685.0, 431.0, 380.0, nan]</t>
  </si>
  <si>
    <t>[469.0, 308.0, 65.0, nan]</t>
  </si>
  <si>
    <t>[506.0, 403.0, 437.0, nan]</t>
  </si>
  <si>
    <t>[87.0, 88.0, 72.0, nan]</t>
  </si>
  <si>
    <t>[-33.0, -79.0, -352.0, nan]</t>
  </si>
  <si>
    <t>[1046.0, -5063.0, 2577.0, nan]</t>
  </si>
  <si>
    <t>[-1058.0, -886.0, -773.0, nan]</t>
  </si>
  <si>
    <t>[-149.0, 313.0, -49.0, nan]</t>
  </si>
  <si>
    <t>[996.0, 1639.0, 2589.0, nan]</t>
  </si>
  <si>
    <t>[-218.0, -575.0, 48.0, nan]</t>
  </si>
  <si>
    <t>[881.0, 948.0, 885.0, 485.0]</t>
  </si>
  <si>
    <t>[382.0, 391.0, 61.0, nan]</t>
  </si>
  <si>
    <t>[146.0, 102.0, 10.0, nan]</t>
  </si>
  <si>
    <t>[306.0, 129.0, 24.0, nan]</t>
  </si>
  <si>
    <t>[117.0, 57.0, -11.0, nan]</t>
  </si>
  <si>
    <t>[931.0, 984.0, 429.0, nan]</t>
  </si>
  <si>
    <t>[7522.0, 8070.0, 2135.0, nan]</t>
  </si>
  <si>
    <t>[1354.0, 1196.0, 1531.0, nan]</t>
  </si>
  <si>
    <t>[1186.0, 700.0, 44.0, nan]</t>
  </si>
  <si>
    <t>[58.0, 1852.0, 1646.0, nan]</t>
  </si>
  <si>
    <t>[-140.0, -76.0, -238.0, nan]</t>
  </si>
  <si>
    <t>[566.0, 576.0, 296.0, nan]</t>
  </si>
  <si>
    <t>[-138.0, 1905.0, 1064.0, nan]</t>
  </si>
  <si>
    <t>[155.0, 78.0, 463.0, 23.0]</t>
  </si>
  <si>
    <t>[507.0, 270.0, 2877.0, nan]</t>
  </si>
  <si>
    <t>[3721.0, 2883.0, 819.0, nan]</t>
  </si>
  <si>
    <t>[20.0, -154.0, -537.0, nan]</t>
  </si>
  <si>
    <t>[54.0, -105.0, 108.0, nan]</t>
  </si>
  <si>
    <t>[1635.0, 1526.0, 2259.0, nan]</t>
  </si>
  <si>
    <t>[357.0, 535.0, 495.0, nan]</t>
  </si>
  <si>
    <t>[727.0, 702.0, 102.0, nan]</t>
  </si>
  <si>
    <t>[218.0, 214.0, 37.0, nan]</t>
  </si>
  <si>
    <t>[510.0, -2471.0, -2050.0, nan]</t>
  </si>
  <si>
    <t>[494.0, 433.0, 780.0, nan]</t>
  </si>
  <si>
    <t>[-799.0, 503.0, 805.0, nan]</t>
  </si>
  <si>
    <t>[140.0, 1278.0, 1998.0, 943.0]</t>
  </si>
  <si>
    <t>[364.0, 194.0, 250.0, nan]</t>
  </si>
  <si>
    <t>[137.0, 158.0, 121.0, nan]</t>
  </si>
  <si>
    <t>[1036.0, 1542.0, 1086.0, nan]</t>
  </si>
  <si>
    <t>[317.0, -24.0, 195.0, nan]</t>
  </si>
  <si>
    <t>[666.0, 622.0, 3043.0, nan]</t>
  </si>
  <si>
    <t>[412.0, -319.0, -762.0, nan]</t>
  </si>
  <si>
    <t>[1108.0, 1343.0, 933.0, nan]</t>
  </si>
  <si>
    <t>[190.0, 171.0, 166.0, nan]</t>
  </si>
  <si>
    <t>[535.0, 1348.0, 2226.0, nan]</t>
  </si>
  <si>
    <t>[1108.0, -36.0, 727.0, nan]</t>
  </si>
  <si>
    <t>[-533.0, -1835.0, 527.0, nan]</t>
  </si>
  <si>
    <t>[559.0, 646.0, 236.0, nan]</t>
  </si>
  <si>
    <t>[392.0, 649.0, -622.0, nan]</t>
  </si>
  <si>
    <t>[252.0, 160.0, 289.0, nan]</t>
  </si>
  <si>
    <t>[733.0, 452.0, 697.0, nan]</t>
  </si>
  <si>
    <t>[232.0, 330.0, 44.0, nan]</t>
  </si>
  <si>
    <t>[-220.0, -108.0, 44.0, nan]</t>
  </si>
  <si>
    <t>[-57.0, -2.0, -16.0, nan]</t>
  </si>
  <si>
    <t>[60.0, -66.0, -374.0, nan]</t>
  </si>
  <si>
    <t>[2870.0, 743.0, 1921.0, 1343.0]</t>
  </si>
  <si>
    <t>[358.0, 694.0, -63.0, nan]</t>
  </si>
  <si>
    <t>[373.0, 505.0, -1217.0, 269.0]</t>
  </si>
  <si>
    <t>[-89.0, -316.0, -1675.0, nan]</t>
  </si>
  <si>
    <t>[1594.0, -4779.0, 18218.0, -10643.0]</t>
  </si>
  <si>
    <t>[2731.0, 2638.0, 2714.0, 2002.0]</t>
  </si>
  <si>
    <t>[716.0, 1184.0, 1153.0, 856.0]</t>
  </si>
  <si>
    <t>[6786.0, -5313.0, 1157.0, 5822.0]</t>
  </si>
  <si>
    <t>[1728.0, 848.0, 947.0, 764.0]</t>
  </si>
  <si>
    <t>[172.0, 307.0, 283.0, nan]</t>
  </si>
  <si>
    <t>[457.0, 426.0, 366.0, nan]</t>
  </si>
  <si>
    <t>[2532.0, 1173.0, 594.0, 1024.0]</t>
  </si>
  <si>
    <t>[1113.0, 570.0, 2005.0, nan]</t>
  </si>
  <si>
    <t>[582.0, 330.0, 21.0, nan]</t>
  </si>
  <si>
    <t>[85.0, 29.0, 95.0, nan]</t>
  </si>
  <si>
    <t>[366.0, 493.0, 405.0, nan]</t>
  </si>
  <si>
    <t>[790.0, 227.0, 623.0, nan]</t>
  </si>
  <si>
    <t>[2765.0, 2310.0, 1728.0, nan]</t>
  </si>
  <si>
    <t>[1253.0, 1103.0, 1005.0, 1730.0]</t>
  </si>
  <si>
    <t>[2299.0, 5581.0, 6584.0, nan]</t>
  </si>
  <si>
    <t>[635.0, 554.0, 302.0, nan]</t>
  </si>
  <si>
    <t>[556.0, 680.0, -301.0, nan]</t>
  </si>
  <si>
    <t>[-4437.0, -19327.0, -31685.0, -9473.0]</t>
  </si>
  <si>
    <t>[3459.0, 8330.0, 6526.0, 6381.0]</t>
  </si>
  <si>
    <t>[1553.0, -1815.0, 737.0, 7396.0]</t>
  </si>
  <si>
    <t>[482.0, 2190.0, 5932.0, nan]</t>
  </si>
  <si>
    <t>[91.0, 9.0, 74.0, nan]</t>
  </si>
  <si>
    <t>[9627.0, 6455.0, 1547.0, nan]</t>
  </si>
  <si>
    <t>[80.0, 754.0, 606.0, nan]</t>
  </si>
  <si>
    <t>[1278.0, 369.0, 1305.0, nan]</t>
  </si>
  <si>
    <t>[216.0, -71.0, 124.0, nan]</t>
  </si>
  <si>
    <t>[979.0, 1094.0, 2492.0, 3224.0]</t>
  </si>
  <si>
    <t>[610.0, 243.0, 2058.0, nan]</t>
  </si>
  <si>
    <t>[32001.0, 19391.0, 21048.0, 16120.0]</t>
  </si>
  <si>
    <t>[1487.0, 1630.0, 1656.0, 522.0]</t>
  </si>
  <si>
    <t>[9849.0, 4352.0, -33308.0, -3183.0]</t>
  </si>
  <si>
    <t>[280.0, 282.0, 343.0, nan]</t>
  </si>
  <si>
    <t>[386.0, 357.0, 224.0, nan]</t>
  </si>
  <si>
    <t>[1166.0, 1202.0, 1584.0, 1982.0]</t>
  </si>
  <si>
    <t>[1772.0, 1977.0, 1236.0, nan]</t>
  </si>
  <si>
    <t>[15.0, 1178.0, 1799.0, nan]</t>
  </si>
  <si>
    <t>[68.0, 14.0, -2.0, nan]</t>
  </si>
  <si>
    <t>[-522.0, 446.0, 11314.0, nan]</t>
  </si>
  <si>
    <t>[345.0, 432.0, 146.0, nan]</t>
  </si>
  <si>
    <t>[1278.0, 312.0, 714.0, nan]</t>
  </si>
  <si>
    <t>[906.0, 873.0, 738.0, nan]</t>
  </si>
  <si>
    <t>[261.0, 207.0, -877.0, nan]</t>
  </si>
  <si>
    <t>[13313.0, 14699.0, 17015.0, 18768.0]</t>
  </si>
  <si>
    <t>[-311.0, -487.0, 350.0, nan]</t>
  </si>
  <si>
    <t>[49609.0, 20549.0, 12632.0, 46361.0]</t>
  </si>
  <si>
    <t>[9219.0, 12551.0, 787.0, 3552.0]</t>
  </si>
  <si>
    <t>[10602.0, 1746.0, -3395.0, -1067.0]</t>
  </si>
  <si>
    <t>[10766.0, -5480.0, -16243.0, 3815.0]</t>
  </si>
  <si>
    <t>[65466.0, 46074.0, 20860.0, 7334.0]</t>
  </si>
  <si>
    <t>[697.0, 1372.0, 2409.0, nan]</t>
  </si>
  <si>
    <t>[362.0, 270.0, 7569.0, nan]</t>
  </si>
  <si>
    <t>[7171.0, 6163.0, 10189.0, nan]</t>
  </si>
  <si>
    <t>[166.0, 71.0, 133.0, 119.0]</t>
  </si>
  <si>
    <t>[141.0, 497.0, 357.0, nan]</t>
  </si>
  <si>
    <t>[371.0, 631.0, 282.0, nan]</t>
  </si>
  <si>
    <t>[158.0, 115.0, -40.0, nan]</t>
  </si>
  <si>
    <t>[394.0, 473.0, 326.0, nan]</t>
  </si>
  <si>
    <t>[2797.0, 2170.0, 2055.0, nan]</t>
  </si>
  <si>
    <t>[116.0, 104.0, 92.0, nan]</t>
  </si>
  <si>
    <t>[4092.0, 4476.0, 4448.0, nan]</t>
  </si>
  <si>
    <t>[600.0, -16.0, 129.0, nan]</t>
  </si>
  <si>
    <t>[1391.0, 188.0, 868.0, nan]</t>
  </si>
  <si>
    <t>[229.0, 571.0, 364.0, nan]</t>
  </si>
  <si>
    <t>[297.0, 240.0, 238.0, nan]</t>
  </si>
  <si>
    <t>[3006.0, 3472.0, 4168.0, 5109.0]</t>
  </si>
  <si>
    <t>[4813.0, 1663.0, 10553.0, nan]</t>
  </si>
  <si>
    <t>[323.0, 113.0, 6.0, nan]</t>
  </si>
  <si>
    <t>[8750.0, 7123.0, -2557.0, nan]</t>
  </si>
  <si>
    <t>[1124.0, 733.0, -328.0, nan]</t>
  </si>
  <si>
    <t>[2546.0, 845.0, 1402.0, nan]</t>
  </si>
  <si>
    <t>[585.0, 359.0, 428.0, nan]</t>
  </si>
  <si>
    <t>[-271.0, -1164.0, -752.0, nan]</t>
  </si>
  <si>
    <t>[1330.0, 553.0, 553.0, nan]</t>
  </si>
  <si>
    <t>[5038.0, -579.0, -7908.0, -1618.0]</t>
  </si>
  <si>
    <t>[5475.0, 2284.0, 8420.0, 10816.0]</t>
  </si>
  <si>
    <t>[72204.0, 37584.0, 33151.0, 66026.0]</t>
  </si>
  <si>
    <t>[13623.0, 10598.0, 6141.0, 9130.0]</t>
  </si>
  <si>
    <t>[6288.0, 3620.0, -4232.0, nan]</t>
  </si>
  <si>
    <t>[2519.0, 2846.0, 2313.0, 1623.0]</t>
  </si>
  <si>
    <t>[240.0, 227.0, 264.0, nan]</t>
  </si>
  <si>
    <t>[644.0, 257.0, 306.0, nan]</t>
  </si>
  <si>
    <t>[2590.0, 2230.0, 2841.0, nan]</t>
  </si>
  <si>
    <t>[559.0, 602.0, 789.0, 714.0]</t>
  </si>
  <si>
    <t>[3479.0, 2088.0, 2643.0, 3364.0]</t>
  </si>
  <si>
    <t>[167.0, 265.0, 174.0, nan]</t>
  </si>
  <si>
    <t>[509.0, 478.0, 710.0, nan]</t>
  </si>
  <si>
    <t>[385.0, 263.0, 344.0, nan]</t>
  </si>
  <si>
    <t>[1826.0, 2637.0, 2371.0, 2672.0]</t>
  </si>
  <si>
    <t>[585.0, 1119.0, 162.0, -128.0]</t>
  </si>
  <si>
    <t>[641.0, 833.0, -231.0, nan]</t>
  </si>
  <si>
    <t>[1807.0, -711.0, 832.0, nan]</t>
  </si>
  <si>
    <t>[1108.0, 898.0, 1001.0, nan]</t>
  </si>
  <si>
    <t>[494.0, 243.0, 116.0, nan]</t>
  </si>
  <si>
    <t>[9548.0, 871.0, 8130.0, nan]</t>
  </si>
  <si>
    <t>[-28.0, -84.0, 108.0, nan]</t>
  </si>
  <si>
    <t>[740.0, 576.0, 811.0, 991.0]</t>
  </si>
  <si>
    <t>[-930.0, 596.0, 501.0, nan]</t>
  </si>
  <si>
    <t>[417.0, 1683.0, 3835.0, nan]</t>
  </si>
  <si>
    <t>[3344.0, 8953.0, 5489.0, 5829.0]</t>
  </si>
  <si>
    <t>[14905.0, 13858.0, 11672.0, 21970.0]</t>
  </si>
  <si>
    <t>[1490.0, 1088.0, 1037.0, nan]</t>
  </si>
  <si>
    <t>[1208.0, 994.0, 1135.0, 292.0]</t>
  </si>
  <si>
    <t>[989.0, 683.0, 920.0, 725.0]</t>
  </si>
  <si>
    <t>[109.0, 20.0, 1903.0, nan]</t>
  </si>
  <si>
    <t>[1439.0, 623.0, 924.0, nan]</t>
  </si>
  <si>
    <t>[3567.0, 5942.0, 2250.0, nan]</t>
  </si>
  <si>
    <t>[336.0, 23.0, 1314.0, nan]</t>
  </si>
  <si>
    <t>[3162.0, -607.0, 339.0, 371.0]</t>
  </si>
  <si>
    <t>[16.0, -665.0, -264.0, nan]</t>
  </si>
  <si>
    <t>[-2.0, -376.0, 472.0, nan]</t>
  </si>
  <si>
    <t>[8765.0, 10077.0, 7887.0, nan]</t>
  </si>
  <si>
    <t>[532.0, 627.0, 653.0, nan]</t>
  </si>
  <si>
    <t>[1211.0, 1179.0, 123.0, nan]</t>
  </si>
  <si>
    <t>[2554.0, 2460.0, 4130.0, nan]</t>
  </si>
  <si>
    <t>[401.0, 181.0, 162.0, -163.0]</t>
  </si>
  <si>
    <t>[-1521.0, -2758.0, -1837.0, nan]</t>
  </si>
  <si>
    <t>[4.0, 69.0, 70.0, nan]</t>
  </si>
  <si>
    <t>[67.0, 425.0, 219.0, nan]</t>
  </si>
  <si>
    <t>[730.0, 5152.0, 794.0, nan]</t>
  </si>
  <si>
    <t>[nan, -1.0, 65.0, nan]</t>
  </si>
  <si>
    <t>[405.0, 52.0, 131.0, nan]</t>
  </si>
  <si>
    <t>[51.0, 310.0, 419.0, nan]</t>
  </si>
  <si>
    <t>[5663.0, 2273.0, 32968.0, nan]</t>
  </si>
  <si>
    <t>[232.0, 273.0, 226.0, nan]</t>
  </si>
  <si>
    <t>[2282.0, 2666.0, 2393.0, 1875.0]</t>
  </si>
  <si>
    <t>[2388.0, 2852.0, 4506.0, 3470.0]</t>
  </si>
  <si>
    <t>[50.0, 113.0, 60.0, nan]</t>
  </si>
  <si>
    <t>[29904.0, 28183.0, 29793.0, nan]</t>
  </si>
  <si>
    <t>[2037.0, 2148.0, 2319.0, nan]</t>
  </si>
  <si>
    <t>[1348.0, 427.0, 589.0, nan]</t>
  </si>
  <si>
    <t>[7070.0, 7743.0, 5958.0, nan]</t>
  </si>
  <si>
    <t>[1916.0, 4228.0, 1641.0, nan]</t>
  </si>
  <si>
    <t>[-149.0, -39.0, 106.0, nan]</t>
  </si>
  <si>
    <t>[1185.0, 169.0, 499.0, nan]</t>
  </si>
  <si>
    <t>[255.0, 281.0, 4.0, nan]</t>
  </si>
  <si>
    <t>[5856.0, 9987.0, 8013.0, nan]</t>
  </si>
  <si>
    <t>[433.0, 467.0, 412.0, nan]</t>
  </si>
  <si>
    <t>[-1897.0, -433.0, 155.0, nan]</t>
  </si>
  <si>
    <t>[960.0, 580.0, -359.0, nan]</t>
  </si>
  <si>
    <t>[3516.0, 6869.0, 6547.0, -1347.0]</t>
  </si>
  <si>
    <t>[952.0, 810.0, 475.0, nan]</t>
  </si>
  <si>
    <t>[923.0, 737.0, 1591.0, nan]</t>
  </si>
  <si>
    <t>[2653.0, -13.0, 323.0, 1236.0]</t>
  </si>
  <si>
    <t>[19751.0, 11862.0, 3850.0, nan]</t>
  </si>
  <si>
    <t>[182.0, 219.0, 375.0, nan]</t>
  </si>
  <si>
    <t>[3015.0, 5785.0, 4163.0, nan]</t>
  </si>
  <si>
    <t>[299.0, 516.0, 298.0, nan]</t>
  </si>
  <si>
    <t>[422.0, 252.0, 132.0, nan]</t>
  </si>
  <si>
    <t>[12707.0, 16746.0, 17228.0, 21296.0]</t>
  </si>
  <si>
    <t>[-285.0, -74.0, -765.0, nan]</t>
  </si>
  <si>
    <t>[25.0, -283.0, 93.0, nan]</t>
  </si>
  <si>
    <t>[140.0, 108.0, 56.0, nan]</t>
  </si>
  <si>
    <t>[32972.0, 39602.0, 16360.0, 20529.0]</t>
  </si>
  <si>
    <t>[363.0, 267.0, 438.0, nan]</t>
  </si>
  <si>
    <t>[1251.0, -695.0, 1223.0, 3775.0]</t>
  </si>
  <si>
    <t>[1103.0, 1012.0, 1533.0, nan]</t>
  </si>
  <si>
    <t>[30206.0, 30457.0, 10055.0, nan]</t>
  </si>
  <si>
    <t>[932.0, 1327.0, 1472.0, nan]</t>
  </si>
  <si>
    <t>[443.0, 1463.0, 145.0, nan]</t>
  </si>
  <si>
    <t>[494.0, 313.0, 371.0, 83.0]</t>
  </si>
  <si>
    <t>[15370.0, 33318.0, 16958.0, nan]</t>
  </si>
  <si>
    <t>[276.0, 331.0, 376.0, nan]</t>
  </si>
  <si>
    <t>[4648.0, 5462.0, 5806.0, 6339.0]</t>
  </si>
  <si>
    <t>[401.0, 310.0, 407.0, nan]</t>
  </si>
  <si>
    <t>[8.0, 72.0, 17.0, nan]</t>
  </si>
  <si>
    <t>[158.0, 271.0, 106.0, nan]</t>
  </si>
  <si>
    <t>[-32.0, 33.0, 48.0, nan]</t>
  </si>
  <si>
    <t>[47.0, -3121.0, -718.0, -145.0]</t>
  </si>
  <si>
    <t>[34.0, 81.0, -753.0, nan]</t>
  </si>
  <si>
    <t>[824.0, 267.0, 1079.0, -3295.0]</t>
  </si>
  <si>
    <t>[435.0, 450.0, 473.0, nan]</t>
  </si>
  <si>
    <t>[4571.0, 3507.0, 2803.0, 2611.0]</t>
  </si>
  <si>
    <t>[-151.0, 27.0, 106.0, nan]</t>
  </si>
  <si>
    <t>[38.0, 65.0, 104.0, nan]</t>
  </si>
  <si>
    <t>[1464.0, 1801.0, 2976.0, 3751.0]</t>
  </si>
  <si>
    <t>[1025.0, 206.0, 329.0, nan]</t>
  </si>
  <si>
    <t>[699.0, 632.0, 1946.0, nan]</t>
  </si>
  <si>
    <t>[-48.0, -2764.0, -3711.0, nan]</t>
  </si>
  <si>
    <t>[3762.0, -198.0, -1390.0, nan]</t>
  </si>
  <si>
    <t>[-242.0, 1009.0, 737.0, nan]</t>
  </si>
  <si>
    <t>[540.0, 469.0, 474.0, nan]</t>
  </si>
  <si>
    <t>[-35.0, -116.0, -182.0, nan]</t>
  </si>
  <si>
    <t>[36.0, 96.0, 109.0, nan]</t>
  </si>
  <si>
    <t>[1336.0, 1623.0, 1092.0, nan]</t>
  </si>
  <si>
    <t>[32198.0, 38738.0, 11021.0, 17148.0]</t>
  </si>
  <si>
    <t>[56.0, 40.0, 66.0, nan]</t>
  </si>
  <si>
    <t>[22449.0, 17619.0, -381.0, -21485.0]</t>
  </si>
  <si>
    <t>[623.0, 719.0, 502.0, 590.0]</t>
  </si>
  <si>
    <t>[-687.0, -494.0, -408.0, nan]</t>
  </si>
  <si>
    <t>[28731.0, 3941.0, 8844.0, nan]</t>
  </si>
  <si>
    <t>[135.0, 29.0, -530.0, 446.0]</t>
  </si>
  <si>
    <t>[7457.0, 3219.0, -434.0, 2634.0]</t>
  </si>
  <si>
    <t>[11060.0, 6474.0, 17212.0, 29439.0]</t>
  </si>
  <si>
    <t>[351.0, 281.0, 258.0, nan]</t>
  </si>
  <si>
    <t>[-167.0, -1080.0, 223.0, nan]</t>
  </si>
  <si>
    <t>[23650.0, 31767.0, 10113.0, 1815.0]</t>
  </si>
  <si>
    <t>[-3270.0, -2204.0, -146.0, nan]</t>
  </si>
  <si>
    <t>[1379.0, 771.0, 585.0, nan]</t>
  </si>
  <si>
    <t>[-45.0, 60.0, 185.0, nan]</t>
  </si>
  <si>
    <t>[12306.0, 11384.0, -6293.0, nan]</t>
  </si>
  <si>
    <t>[1708.0, 1833.0, 793.0, nan]</t>
  </si>
  <si>
    <t>[18513.0, 24274.0, 53472.0, -4919.0]</t>
  </si>
  <si>
    <t>[4172.0, -70.0, 1868.0, nan]</t>
  </si>
  <si>
    <t>[156.0, -67.0, -57.0, nan]</t>
  </si>
  <si>
    <t>[5169.0, 17009.0, 4295.0, nan]</t>
  </si>
  <si>
    <t>[2966.0, 754.0, 899.0, nan]</t>
  </si>
  <si>
    <t>[-563.0, -623.0, -2973.0, nan]</t>
  </si>
  <si>
    <t>[1443.0, 1473.0, -358.0, 781.0]</t>
  </si>
  <si>
    <t>[346.0, -578.0, 211.0, nan]</t>
  </si>
  <si>
    <t>[-59.0, 153.0, 151.0, nan]</t>
  </si>
  <si>
    <t>[180.0, 46.0, 156.0, nan]</t>
  </si>
  <si>
    <t>[1327.0, 1705.0, 1661.0, nan]</t>
  </si>
  <si>
    <t>[1787.0, 2253.0, 1936.0, 1843.0]</t>
  </si>
  <si>
    <t>[463.0, 306.0, -143.0, nan]</t>
  </si>
  <si>
    <t>[484.0, 660.0, 690.0, nan]</t>
  </si>
  <si>
    <t>[973.0, 266.0, 413.0, nan]</t>
  </si>
  <si>
    <t>[nan, 5231.0, 9415.0, 3695.0]</t>
  </si>
  <si>
    <t>[-157.0, -179.0, -203.0, nan]</t>
  </si>
  <si>
    <t>[275.0, 298.0, 261.0, nan]</t>
  </si>
  <si>
    <t>[987.0, -655.0, -250.0, nan]</t>
  </si>
  <si>
    <t>[60.0, -113.0, -156.0, nan]</t>
  </si>
  <si>
    <t>[529.0, 757.0, 428.0, 580.0]</t>
  </si>
  <si>
    <t>[3549.0, 2135.0, 1506.0, 486.0]</t>
  </si>
  <si>
    <t>[10414.0, 9537.0, 5744.0, -359.0]</t>
  </si>
  <si>
    <t>[14658.0, 8726.0, 8445.0, 6458.0]</t>
  </si>
  <si>
    <t>[348.0, 513.0, 469.0, nan]</t>
  </si>
  <si>
    <t>[92.0, -45.0, -119.0, nan]</t>
  </si>
  <si>
    <t>[-8165.0, -11628.0, -3655.0, nan]</t>
  </si>
  <si>
    <t>[260.0, 450.0, 3109.0, nan]</t>
  </si>
  <si>
    <t>[1073.0, 382.0, 189.0, nan]</t>
  </si>
  <si>
    <t>[-189.0, 325.0, -255.0, nan]</t>
  </si>
  <si>
    <t>[1237.0, 1540.0, 1725.0, 1558.0]</t>
  </si>
  <si>
    <t>[19967.0, 22849.0, 22002.0, nan]</t>
  </si>
  <si>
    <t>[-2349.0, 7328.0, 5535.0, 5295.0]</t>
  </si>
  <si>
    <t>[256.0, 249.0, -207.0, nan]</t>
  </si>
  <si>
    <t>[2247.0, 2521.0, 2325.0, nan]</t>
  </si>
  <si>
    <t>[-623.0, -757.0, -2554.0, nan]</t>
  </si>
  <si>
    <t>[1263.0, -245.0, -1721.0, nan]</t>
  </si>
  <si>
    <t>[16742.0, 4002.0, 7157.0, nan]</t>
  </si>
  <si>
    <t>[2789.0, 4470.0, 4195.0, nan]</t>
  </si>
  <si>
    <t>[691.0, 385.0, -433.0, nan]</t>
  </si>
  <si>
    <t>[7265.0, 8276.0, 5836.0, nan]</t>
  </si>
  <si>
    <t>[1200.0, 1079.0, 1141.0, 1379.0]</t>
  </si>
  <si>
    <t>[-78.0, -195.0, -93.0, nan]</t>
  </si>
  <si>
    <t>[75.0, 29.0, 143.0, nan]</t>
  </si>
  <si>
    <t>[1475.0, 1587.0, 1448.0, 1158.0]</t>
  </si>
  <si>
    <t>[82.0, 111.0, 16.0, nan]</t>
  </si>
  <si>
    <t>[1386.0, 1616.0, 1631.0, nan]</t>
  </si>
  <si>
    <t>[561.0, 8785.0, 6860.0, nan]</t>
  </si>
  <si>
    <t>[7379.0, 10833.0, 33063.0, nan]</t>
  </si>
  <si>
    <t>[3892.0, 4567.0, 3876.0, nan]</t>
  </si>
  <si>
    <t>[9338.0, 7522.0, 5334.0, 7592.0]</t>
  </si>
  <si>
    <t>[859.0, 832.0, 863.0, nan]</t>
  </si>
  <si>
    <t>[3259.0, 7905.0, 9327.0, 5779.0]</t>
  </si>
  <si>
    <t>[1544.0, 1564.0, 1941.0, nan]</t>
  </si>
  <si>
    <t>[61.0, -271.0, -344.0, nan]</t>
  </si>
  <si>
    <t>[4248.0, 7890.0, 3481.0, nan]</t>
  </si>
  <si>
    <t>[-1324.0, -1969.0, 820.0, nan]</t>
  </si>
  <si>
    <t>[1191.0, 1464.0, 1736.0, 1763.0]</t>
  </si>
  <si>
    <t>[1966.0, 1507.0, 1998.0, nan]</t>
  </si>
  <si>
    <t>[1657.0, 2525.0, 645.0, nan]</t>
  </si>
  <si>
    <t>[564.0, 675.0, 568.0, nan]</t>
  </si>
  <si>
    <t>[-150.0, -76.0, 17.0, nan]</t>
  </si>
  <si>
    <t>[214.0, 343.0, 447.0, nan]</t>
  </si>
  <si>
    <t>[-2558.0, 10.0, 5025.0, nan]</t>
  </si>
  <si>
    <t>[-106.0, 148.0, 264.0, nan]</t>
  </si>
  <si>
    <t>[-2313.0, -1092.0, 464.0, nan]</t>
  </si>
  <si>
    <t>[5323.0, 2198.0, 1124.0, -86.0]</t>
  </si>
  <si>
    <t>[-5.0, -20.0, 22.0, nan]</t>
  </si>
  <si>
    <t>[33604.0, 8191.0, 7705.0, nan]</t>
  </si>
  <si>
    <t>[3114.0, 3741.0, 4388.0, 5488.0]</t>
  </si>
  <si>
    <t>[3143.0, 3476.0, 1437.0, nan]</t>
  </si>
  <si>
    <t>[4498.0, 4510.0, 1255.0, nan]</t>
  </si>
  <si>
    <t>[7920.0, 7321.0, 7923.0, 8218.0]</t>
  </si>
  <si>
    <t>[5107.0, 5435.0, 8382.0, nan]</t>
  </si>
  <si>
    <t>[10140.0, 3010.0, 4238.0, nan]</t>
  </si>
  <si>
    <t>[-650.0, -837.0, 760.0, nan]</t>
  </si>
  <si>
    <t>[703.0, 619.0, 542.0, nan]</t>
  </si>
  <si>
    <t>[3958.0, -2233.0, -21079.0, 4476.0]</t>
  </si>
  <si>
    <t>[5831.0, 8322.0, 4887.0, 5685.0]</t>
  </si>
  <si>
    <t>[-371.0, -937.0, 247.0, nan]</t>
  </si>
  <si>
    <t>[904.0, 1581.0, 1765.0, 1998.0]</t>
  </si>
  <si>
    <t>[104.0, 1280.0, 1144.0, nan]</t>
  </si>
  <si>
    <t>[7032.0, 19674.0, 13849.0, nan]</t>
  </si>
  <si>
    <t>[74962.0, 576.0, 281.0, 272.0]</t>
  </si>
  <si>
    <t>[20819.0, 21119.0, 12716.0, 15346.0]</t>
  </si>
  <si>
    <t>[1362.0, 1888.0, 240.0, nan]</t>
  </si>
  <si>
    <t>[4754.0, 6897.0, 5597.0, nan]</t>
  </si>
  <si>
    <t>[8310.0, 8432.0, 14733.0, nan]</t>
  </si>
  <si>
    <t>[262.0, 597.0, 663.0, -290.0]</t>
  </si>
  <si>
    <t>[3533.0, 585.0, 480.0, 254.0]</t>
  </si>
  <si>
    <t>[3330.0, 4219.0, 3173.0, nan]</t>
  </si>
  <si>
    <t>[692.0, 494.0, 546.0, nan]</t>
  </si>
  <si>
    <t>[902.0, 313.0, 445.0, nan]</t>
  </si>
  <si>
    <t>[7256.0, 10769.0, 4379.0, nan]</t>
  </si>
  <si>
    <t>[nan, 2479.0, 8762.0, nan]</t>
  </si>
  <si>
    <t>[6155.0, 6657.0, 7004.0, 6790.0]</t>
  </si>
  <si>
    <t>[266.0, 284.0, 264.0, nan]</t>
  </si>
  <si>
    <t>[-697.0, -1176.0, -2905.0, nan]</t>
  </si>
  <si>
    <t>[3338.0, 2980.0, 2970.0, 3414.0]</t>
  </si>
  <si>
    <t>[2766.0, 1302.0, 1280.0, nan]</t>
  </si>
  <si>
    <t>[-449.0, 183.0, -12.0, nan]</t>
  </si>
  <si>
    <t>[4248.0, 62348.0, -742.0, nan]</t>
  </si>
  <si>
    <t>[1642.0, 1033.0, 1918.0, nan]</t>
  </si>
  <si>
    <t>[1416.0, 1242.0, 673.0, 707.0]</t>
  </si>
  <si>
    <t>[26.0, 250.0, 562.0, nan]</t>
  </si>
  <si>
    <t>[5324.0, 1835.0, 2281.0, 1270.0]</t>
  </si>
  <si>
    <t>[341.0, 2355.0, 1138.0, nan]</t>
  </si>
  <si>
    <t>[187.0, 39.0, 299.0, nan]</t>
  </si>
  <si>
    <t>[4710.0, 7530.0, 8202.0, 8124.0]</t>
  </si>
  <si>
    <t>[1784.0, 1246.0, 1347.0, nan]</t>
  </si>
  <si>
    <t>[666.0, 575.0, 883.0, nan]</t>
  </si>
  <si>
    <t>[-127.0, 437.0, 32.0, nan]</t>
  </si>
  <si>
    <t>[1477.0, 1701.0, 1035.0, 1268.0]</t>
  </si>
  <si>
    <t>[25537.0, 54191.0, 9312.0, 49008.0]</t>
  </si>
  <si>
    <t>[653.0, 621.0, 1167.0, nan]</t>
  </si>
  <si>
    <t>[5767.0, 17009.0, 6196.0, nan]</t>
  </si>
  <si>
    <t>[1928.0, 1878.0, 1203.0, 670.0]</t>
  </si>
  <si>
    <t>[184.0, 145.0, 222.0, nan]</t>
  </si>
  <si>
    <t>[885.0, 731.0, 1635.0, nan]</t>
  </si>
  <si>
    <t>[54.0, 96.0, 755.0, nan]</t>
  </si>
  <si>
    <t>[nan, 6393.0, 27530.0, 3648.0]</t>
  </si>
  <si>
    <t>[4256.0, 4251.0, 6265.0, nan]</t>
  </si>
  <si>
    <t>[6377.0, 14667.0, 8796.0, 15613.0]</t>
  </si>
  <si>
    <t>[777.0, 604.0, 881.0, nan]</t>
  </si>
  <si>
    <t>[3021.0, 3585.0, 3407.0, 2622.0]</t>
  </si>
  <si>
    <t>[6204.0, 3373.0, 6167.0, nan]</t>
  </si>
  <si>
    <t>[14617.0, 21346.0, 2766.0, 5032.0]</t>
  </si>
  <si>
    <t>[8476.0, 6567.0, 7549.0, 7956.0]</t>
  </si>
  <si>
    <t>[2617.0, 2572.0, 3502.0, nan]</t>
  </si>
  <si>
    <t>[33336.0, 27950.0, 33541.0, 32569.0]</t>
  </si>
  <si>
    <t>[1922.0, 1293.0, 1466.0, nan]</t>
  </si>
  <si>
    <t>[6540.0, 6870.0, 6489.0, 11043.0]</t>
  </si>
  <si>
    <t>[428.0, 372.0, 531.0, nan]</t>
  </si>
  <si>
    <t>[2517.0, 3938.0, 5870.0, nan]</t>
  </si>
  <si>
    <t>[5484.0, 4399.0, 3676.0, 3241.0]</t>
  </si>
  <si>
    <t>[287.0, 346.0, 854.0, nan]</t>
  </si>
  <si>
    <t>[560.0, 2461.0, 3163.0, nan]</t>
  </si>
  <si>
    <t>[98.0, 542.0, 1691.0, 1521.0]</t>
  </si>
  <si>
    <t>[1549.0, 2060.0, 2438.0, 2118.0]</t>
  </si>
  <si>
    <t>[1963.0, 2077.0, 2421.0, 2739.0]</t>
  </si>
  <si>
    <t>[1284.0, 1608.0, 3643.0, nan]</t>
  </si>
  <si>
    <t>[2027.0, 4869.0, 6040.0, 7020.0]</t>
  </si>
  <si>
    <t>[813.0, 976.0, 733.0, nan]</t>
  </si>
  <si>
    <t>[1075.0, 1072.0, 1329.0, nan]</t>
  </si>
  <si>
    <t>[-108.0, 36.0, 133.0, nan]</t>
  </si>
  <si>
    <t>[2243.0, 1974.0, 1747.0, nan]</t>
  </si>
  <si>
    <t>[397.0, 1624.0, 4925.0, nan]</t>
  </si>
  <si>
    <t>[3332.0, 4154.0, 6591.0, nan]</t>
  </si>
  <si>
    <t>[-66.0, 1731.0, 4731.0, 3028.0]</t>
  </si>
  <si>
    <t>[1165.0, 1438.0, 1466.0, nan]</t>
  </si>
  <si>
    <t>[39.0, 49.0, 78.0, nan]</t>
  </si>
  <si>
    <t>[692.0, 1056.0, 2266.0, nan]</t>
  </si>
  <si>
    <t>[605.0, 241.0, 194.0, nan]</t>
  </si>
  <si>
    <t>[474.0, 682.0, 610.0, nan]</t>
  </si>
  <si>
    <t>[12.0, 491.0, 631.0, 676.0]</t>
  </si>
  <si>
    <t>[-246.0, 969.0, 1974.0, 2483.0]</t>
  </si>
  <si>
    <t>[-459.0, -1052.0, 1086.0, nan]</t>
  </si>
  <si>
    <t>[1185.0, 320.0, 79.0, nan]</t>
  </si>
  <si>
    <t>[556.0, 1633.0, 397.0, nan]</t>
  </si>
  <si>
    <t>[832.0, 1031.0, 442.0, nan]</t>
  </si>
  <si>
    <t>[973.0, 1471.0, 1024.0, nan]</t>
  </si>
  <si>
    <t>[71.0, 595.0, 1785.0, 1622.0]</t>
  </si>
  <si>
    <t>[1936.0, 2062.0, 769.0, nan]</t>
  </si>
  <si>
    <t>[1627.0, 3336.0, 2229.0, 2316.0]</t>
  </si>
  <si>
    <t>[6331.0, 7947.0, 2138.0, 3644.0]</t>
  </si>
  <si>
    <t>[2911.0, 2337.0, -258.0, nan]</t>
  </si>
  <si>
    <t>[5421.0, 6024.0, 3166.0, 4067.0]</t>
  </si>
  <si>
    <t>[2221.0, -277.0, 965.0, 1251.0]</t>
  </si>
  <si>
    <t>[672.0, 404.0, 451.0, nan]</t>
  </si>
  <si>
    <t>[1806.0, 2957.0, 1343.0, nan]</t>
  </si>
  <si>
    <t>[-91.0, 180.0, 380.0, nan]</t>
  </si>
  <si>
    <t>[1483.0, 2677.0, 1732.0, 1904.0]</t>
  </si>
  <si>
    <t>[2716.0, 3095.0, 1336.0, 1971.0]</t>
  </si>
  <si>
    <t>[475.0, 776.0, 950.0, 1031.0]</t>
  </si>
  <si>
    <t>[1472.0, 1789.0, 639.0, 2621.0]</t>
  </si>
  <si>
    <t>[421.0, 1064.0, 1180.0, 1647.0]</t>
  </si>
  <si>
    <t>[46.0, 219.0, 794.0, nan]</t>
  </si>
  <si>
    <t>[42.0, -332.0, 1408.0, nan]</t>
  </si>
  <si>
    <t>[726.0, 964.0, 676.0, nan]</t>
  </si>
  <si>
    <t>[1839.0, 3208.0, 3635.0, 3094.0]</t>
  </si>
  <si>
    <t>[1030.0, 2349.0, 4365.0, 3197.0]</t>
  </si>
  <si>
    <t>[831.0, 3502.0, 3985.0, 2206.0]</t>
  </si>
  <si>
    <t>[-58.0, 55.0, 114.0, nan]</t>
  </si>
  <si>
    <t>[2391.0, 2905.0, 2174.0, nan]</t>
  </si>
  <si>
    <t>[-336.0, 41.0, 253.0, nan]</t>
  </si>
  <si>
    <t>[412.0, 101.0, 328.0, nan]</t>
  </si>
  <si>
    <t>[1785.0, 2411.0, 1581.0, 598.0]</t>
  </si>
  <si>
    <t>[483.0, 555.0, 568.0, 645.0]</t>
  </si>
  <si>
    <t>[1098.0, 1892.0, 1409.0, nan]</t>
  </si>
  <si>
    <t>[396.0, 444.0, 586.0, nan]</t>
  </si>
  <si>
    <t>[1192.0, 1054.0, 2973.0, nan]</t>
  </si>
  <si>
    <t>[273.0, 257.0, 1107.0, nan]</t>
  </si>
  <si>
    <t>[446.0, 965.0, 979.0, 678.0]</t>
  </si>
  <si>
    <t>[4863.0, 7089.0, 7156.0, 5285.0]</t>
  </si>
  <si>
    <t>[-485.0, 974.0, 736.0, 382.0]</t>
  </si>
  <si>
    <t>[769.0, 732.0, 718.0, 828.0]</t>
  </si>
  <si>
    <t>[1493.0, 5945.0, 2852.0, 2357.0]</t>
  </si>
  <si>
    <t>[1143.0, 2478.0, 1208.0, 532.0]</t>
  </si>
  <si>
    <t>[644.0, 950.0, 415.0, nan]</t>
  </si>
  <si>
    <t>[731.0, 1262.0, 1356.0, nan]</t>
  </si>
  <si>
    <t>[2805.0, 2161.0, 2355.0, 2347.0]</t>
  </si>
  <si>
    <t>[1412.0, 1438.0, 1493.0, 1096.0]</t>
  </si>
  <si>
    <t>[961.0, 2113.0, 3839.0, nan]</t>
  </si>
  <si>
    <t>[2798.0, 2556.0, 1721.0, 1832.0]</t>
  </si>
  <si>
    <t>[2475.0, 1951.0, 2351.0, 4312.0]</t>
  </si>
  <si>
    <t>[1374.0, 1498.0, 562.0, 924.0]</t>
  </si>
  <si>
    <t>[602.0, 1070.0, 602.0, nan]</t>
  </si>
  <si>
    <t>[1655.0, 1253.0, 1503.0, 1700.0]</t>
  </si>
  <si>
    <t>[376.0, 212.0, 132.0, nan]</t>
  </si>
  <si>
    <t>[642.0, 644.0, 634.0, nan]</t>
  </si>
  <si>
    <t>[-292.0, 3408.0, 2013.0, 241.0]</t>
  </si>
  <si>
    <t>[746.0, 1054.0, 655.0, 1014.0]</t>
  </si>
  <si>
    <t>[871.0, 906.0, 534.0, -456.0]</t>
  </si>
  <si>
    <t>[2356.0, 536.0, 2179.0, nan]</t>
  </si>
  <si>
    <t>[2066.0, 2928.0, 3143.0, nan]</t>
  </si>
  <si>
    <t>[353.0, 793.0, 1013.0, nan]</t>
  </si>
  <si>
    <t>[18147.0, 11663.0, 13395.0, 14885.0]</t>
  </si>
  <si>
    <t>[227.0, 443.0, 605.0, nan]</t>
  </si>
  <si>
    <t>[10870.0, 7753.0, 14287.0, 21949.0]</t>
  </si>
  <si>
    <t>[626.0, 544.0, 371.0, nan]</t>
  </si>
  <si>
    <t>[611.0, 768.0, 1092.0, nan]</t>
  </si>
  <si>
    <t>[33.0, 163.0, 157.0, nan]</t>
  </si>
  <si>
    <t>[3549.0, 4578.0, 3867.0, 4569.0]</t>
  </si>
  <si>
    <t>[811.0, 253.0, 318.0, nan]</t>
  </si>
  <si>
    <t>[4065.0, 537.0, 99.0, nan]</t>
  </si>
  <si>
    <t>[-1632.0, 966.0, 306.0, nan]</t>
  </si>
  <si>
    <t>[-357.0, 1695.0, 2850.0, 5864.0]</t>
  </si>
  <si>
    <t>[nan, nan, 11.0, nan]</t>
  </si>
  <si>
    <t>[1359.0, -63.0, -2132.0, nan]</t>
  </si>
  <si>
    <t>[489.0, 131.0, 1041.0, nan]</t>
  </si>
  <si>
    <t>[52.0, 154.0, -232.0, nan]</t>
  </si>
  <si>
    <t>[nan, nan, -15.0, nan]</t>
  </si>
  <si>
    <t>[171.0, -72.0, -833.0, nan]</t>
  </si>
  <si>
    <t>[348.0, 77.0, 238.0, nan]</t>
  </si>
  <si>
    <t>[-27.0, -73.0, 77.0, nan]</t>
  </si>
  <si>
    <t>[-20.0, -123.0, -34.0, nan]</t>
  </si>
  <si>
    <t>[52.0, 94.0, 162.0, 8.0]</t>
  </si>
  <si>
    <t>[120.0, 181.0, 147.0, 246.0]</t>
  </si>
  <si>
    <t>[34.0, 126.0, 265.0, nan]</t>
  </si>
  <si>
    <t>[57.0, -114.0, -457.0, nan]</t>
  </si>
  <si>
    <t>[134.0, 144.0, 42.0, nan]</t>
  </si>
  <si>
    <t>[199.0, 1361.0, -390.0, -163.0]</t>
  </si>
  <si>
    <t>[138.0, 158.0, 553.0, nan]</t>
  </si>
  <si>
    <t>[-300.0, -792.0, 101.0, nan]</t>
  </si>
  <si>
    <t>[121.0, 107.0, 137.0, nan]</t>
  </si>
  <si>
    <t>[42.0, 167.0, 339.0, nan]</t>
  </si>
  <si>
    <t>[552.0, 1138.0, 2219.0, 1659.0]</t>
  </si>
  <si>
    <t>[-77.0, -182.0, -36.0, nan]</t>
  </si>
  <si>
    <t>[39.0, -96.0, -112.0, nan]</t>
  </si>
  <si>
    <t>[40.0, 117.0, 127.0, nan]</t>
  </si>
  <si>
    <t>[539.0, 293.0, 242.0, nan]</t>
  </si>
  <si>
    <t>[70.0, -19.0, 21.0, nan]</t>
  </si>
  <si>
    <t>[-17771.0, -19288.0, -951.0, nan]</t>
  </si>
  <si>
    <t>[-427.0, -48.0, -317.0, nan]</t>
  </si>
  <si>
    <t>[581.0, -251.0, -523.0, nan]</t>
  </si>
  <si>
    <t>[1289.0, 1338.0, 802.0, 767.0]</t>
  </si>
  <si>
    <t>[91.0, 43.0, 76.0, nan]</t>
  </si>
  <si>
    <t>[288.0, 269.0, -873.0, nan]</t>
  </si>
  <si>
    <t>[150.0, -53.0, -15.0, nan]</t>
  </si>
  <si>
    <t>[-582.0, 40.0, 97.0, nan]</t>
  </si>
  <si>
    <t>[48.0, 9.0, -60.0, nan]</t>
  </si>
  <si>
    <t>[210.0, 59.0, 11.0, nan]</t>
  </si>
  <si>
    <t>[28.0, 328.0, 283.0, nan]</t>
  </si>
  <si>
    <t>[-26.0, -88.0, 793.0, nan]</t>
  </si>
  <si>
    <t>[110.0, -1436.0, -1357.0, nan]</t>
  </si>
  <si>
    <t>[-1174.0, -443.0, -176.0, nan]</t>
  </si>
  <si>
    <t>[-810.0, -467.0, 28.0, nan]</t>
  </si>
  <si>
    <t>[1080.0, 67.0, 1187.0, nan]</t>
  </si>
  <si>
    <t>[931.0, 911.0, -1118.0, 489.0]</t>
  </si>
  <si>
    <t>[-219.0, -293.0, -122.0, nan]</t>
  </si>
  <si>
    <t>[-216.0, 123.0, -771.0, 276.0]</t>
  </si>
  <si>
    <t>[39.0, -43.0, 50.0, nan]</t>
  </si>
  <si>
    <t>[-496.0, -538.0, 40.0, nan]</t>
  </si>
  <si>
    <t>[1626.0, 2281.0, 1912.0, nan]</t>
  </si>
  <si>
    <t>[708.0, 888.0, -1138.0, 5265.0]</t>
  </si>
  <si>
    <t>[71.0, 75.0, 144.0, nan]</t>
  </si>
  <si>
    <t>[-198.0, 259.0, 4614.0, 1649.0]</t>
  </si>
  <si>
    <t>[626.0, 1014.0, 194.0, nan]</t>
  </si>
  <si>
    <t>[-164.0, 19.0, 33.0, nan]</t>
  </si>
  <si>
    <t>[1348.0, 1894.0, 2990.0, 3217.0]</t>
  </si>
  <si>
    <t>[230.0, 1305.0, -3109.0, nan]</t>
  </si>
  <si>
    <t>[1413.0, 964.0, 694.0, nan]</t>
  </si>
  <si>
    <t>[1061.0, 681.0, -2950.0, nan]</t>
  </si>
  <si>
    <t>[-400.0, -740.0, -356.0, nan]</t>
  </si>
  <si>
    <t>[-256.0, -264.0, -1717.0, nan]</t>
  </si>
  <si>
    <t>[1487.0, -2150.0, -2966.0, nan]</t>
  </si>
  <si>
    <t>[-555.0, -667.0, -1102.0, nan]</t>
  </si>
  <si>
    <t>[626.0, 435.0, 240.0, nan]</t>
  </si>
  <si>
    <t>[207.0, 156.0, 444.0, 418.0]</t>
  </si>
  <si>
    <t>[302.0, 492.0, 503.0, nan]</t>
  </si>
  <si>
    <t>[41.0, -182.0, -541.0, nan]</t>
  </si>
  <si>
    <t>[-132.0, -49.0, -46.0, nan]</t>
  </si>
  <si>
    <t>[233.0, 499.0, -177.0, nan]</t>
  </si>
  <si>
    <t>[632.0, 496.0, 1012.0, nan]</t>
  </si>
  <si>
    <t>[841.0, 805.0, -81.0, nan]</t>
  </si>
  <si>
    <t>[479.0, 495.0, 886.0, 1137.0]</t>
  </si>
  <si>
    <t>[383.0, 113.0, 16.0, nan]</t>
  </si>
  <si>
    <t>[-695.0, -827.0, -402.0, -1090.0]</t>
  </si>
  <si>
    <t>[-5.0, -305.0, 0.0, nan]</t>
  </si>
  <si>
    <t>[-257.0, -361.0, 11.0, nan]</t>
  </si>
  <si>
    <t>[6613.0, 5466.0, 3246.0, 3820.0]</t>
  </si>
  <si>
    <t>[nan, nan, nan, nan]</t>
  </si>
  <si>
    <t>[-284.0, 472.0, 766.0, nan]</t>
  </si>
  <si>
    <t>[-260.0, -353.0, -512.0, nan]</t>
  </si>
  <si>
    <t>[-245.0, -221.0, 16.0, nan]</t>
  </si>
  <si>
    <t>[41.0, 137.0, 50.0, nan]</t>
  </si>
  <si>
    <t>[88.0, 279.0, 377.0, nan]</t>
  </si>
  <si>
    <t>[-56.0, 58.0, 144.0, nan]</t>
  </si>
  <si>
    <t>[185.0, 352.0, 221.0, nan]</t>
  </si>
  <si>
    <t>[655.0, 279.0, -808.0, 112.0]</t>
  </si>
  <si>
    <t>[-1648.0, -695.0, -1187.0, nan]</t>
  </si>
  <si>
    <t>[56.0, 34.0, -64.0, nan]</t>
  </si>
  <si>
    <t>[108.0, -4.0, -612.0, nan]</t>
  </si>
  <si>
    <t>[-738.0, -2413.0, -16577.0, nan]</t>
  </si>
  <si>
    <t>[-531.0, -623.0, -305.0, nan]</t>
  </si>
  <si>
    <t>[1563.0, 739.0, 777.0, nan]</t>
  </si>
  <si>
    <t>[72.0, 162.0, -21.0, nan]</t>
  </si>
  <si>
    <t>[508.0, 792.0, 609.0, 991.0]</t>
  </si>
  <si>
    <t>[-1856.0, -1527.0, -1458.0, nan]</t>
  </si>
  <si>
    <t>[-117.0, -61.0, 178.0, nan]</t>
  </si>
  <si>
    <t>[-2034.0, -243.0, 614.0, nan]</t>
  </si>
  <si>
    <t>[238.0, 474.0, 974.0, 1808.0]</t>
  </si>
  <si>
    <t>[-232.0, -3216.0, -638.0, nan]</t>
  </si>
  <si>
    <t>[295.0, 39.0, 86.0, -751.0]</t>
  </si>
  <si>
    <t>[-666.0, -160.0, -2.0, nan]</t>
  </si>
  <si>
    <t>[1647.0, 575.0, 475.0, nan]</t>
  </si>
  <si>
    <t>[-1148.0, 1504.0, 1385.0, nan]</t>
  </si>
  <si>
    <t>[243.0, 142.0, -261.0, nan]</t>
  </si>
  <si>
    <t>[49.0, 844.0, 239.0, nan]</t>
  </si>
  <si>
    <t>[98.0, 57.0, -137.0, nan]</t>
  </si>
  <si>
    <t>[-746.0, -426.0, -23.0, nan]</t>
  </si>
  <si>
    <t>[182.0, 146.0, 141.0, nan]</t>
  </si>
  <si>
    <t>[-455.0, -519.0, 34.0, nan]</t>
  </si>
  <si>
    <t>[-280.0, -5327.0, -4384.0, nan]</t>
  </si>
  <si>
    <t>[-33.0, 185.0, -90.0, 182.0]</t>
  </si>
  <si>
    <t>[227.0, -574.0, -597.0, nan]</t>
  </si>
  <si>
    <t>[295.0, 533.0, 179.0, nan]</t>
  </si>
  <si>
    <t>[678.0, 316.0, 259.0, nan]</t>
  </si>
  <si>
    <t>[-187.0, 93.0, 658.0, nan]</t>
  </si>
  <si>
    <t>[2412.0, -497.0, -993.0, -300.0]</t>
  </si>
  <si>
    <t>[-618.0, -391.0, -430.0, nan]</t>
  </si>
  <si>
    <t>[-35.0, -41.0, -28.0, nan]</t>
  </si>
  <si>
    <t>[233.0, 554.0, 1280.0, nan]</t>
  </si>
  <si>
    <t>[9.0, 28.0, -7.0, nan]</t>
  </si>
  <si>
    <t>[4948.0, 123.0, 187.0, nan]</t>
  </si>
  <si>
    <t>[33.0, -274.0, -117.0, nan]</t>
  </si>
  <si>
    <t>[214.0, 220.0, -187.0, nan]</t>
  </si>
  <si>
    <t>[-179.0, -31.0, -44.0, nan]</t>
  </si>
  <si>
    <t>[11.0, 62.0, -564.0, nan]</t>
  </si>
  <si>
    <t>[-99.0, 76.0, 229.0, nan]</t>
  </si>
  <si>
    <t>[-155.0, 372.0, 356.0, nan]</t>
  </si>
  <si>
    <t>[1198.0, 923.0, 1045.0, nan]</t>
  </si>
  <si>
    <t>[-25.0, -55.0, -173.0, nan]</t>
  </si>
  <si>
    <t>[-265.0, -958.0, -606.0, nan]</t>
  </si>
  <si>
    <t>[283.0, -105.0, -161.0, nan]</t>
  </si>
  <si>
    <t>[-403.0, 577.0, -979.0, -741.0]</t>
  </si>
  <si>
    <t>[-30.0, 3.0, -25.0, nan]</t>
  </si>
  <si>
    <t>[13.0, 524.0, 886.0, 1328.0]</t>
  </si>
  <si>
    <t>[159.0, 234.0, 512.0, nan]</t>
  </si>
  <si>
    <t>[457.0, 216.0, 188.0, nan]</t>
  </si>
  <si>
    <t>[-266.0, -1441.0, -3.0, nan]</t>
  </si>
  <si>
    <t>[27.0, -262.0, -410.0, nan]</t>
  </si>
  <si>
    <t>[-334.0, 314.0, -143.0, nan]</t>
  </si>
  <si>
    <t>[-1866.0, 91.0, -237.0, nan]</t>
  </si>
  <si>
    <t>[-158.0, -112.0, -237.0, nan]</t>
  </si>
  <si>
    <t>[-3850.0, -3801.0, -818.0, nan]</t>
  </si>
  <si>
    <t>[-1542.0, -1386.0, 339.0, nan]</t>
  </si>
  <si>
    <t>[18.0, 857.0, 809.0, nan]</t>
  </si>
  <si>
    <t>[-311.0, 1781.0, 964.0, 2315.0]</t>
  </si>
  <si>
    <t>[978.0, 2345.0, 1744.0, 2418.0]</t>
  </si>
  <si>
    <t>[463.0, 357.0, 455.0, 2425.0]</t>
  </si>
  <si>
    <t>[1811.0, 1218.0, 138.0, 618.0]</t>
  </si>
  <si>
    <t>[137.0, 139.0, 406.0, nan]</t>
  </si>
  <si>
    <t>[71.0, -325.0, -1248.0, nan]</t>
  </si>
  <si>
    <t>[-188.0, 111.0, 101.0, nan]</t>
  </si>
  <si>
    <t>[70.0, 39.0, 13.0, nan]</t>
  </si>
  <si>
    <t>[-824.0, -422.0, -713.0, nan]</t>
  </si>
  <si>
    <t>[-1008.0, -1126.0, -537.0, nan]</t>
  </si>
  <si>
    <t>[-3980.0, -484.0, -635.0, nan]</t>
  </si>
  <si>
    <t>[-1672.0, -179.0, -959.0, nan]</t>
  </si>
  <si>
    <t>[91.0, -1430.0, -1325.0, nan]</t>
  </si>
  <si>
    <t>[-1446.0, -319.0, -892.0, -175.0]</t>
  </si>
  <si>
    <t>[811.0, 786.0, -363.0, 91.0]</t>
  </si>
  <si>
    <t>[-3.0, 60.0, -55.0, nan]</t>
  </si>
  <si>
    <t>[230.0, 276.0, 331.0, 343.0]</t>
  </si>
  <si>
    <t>[-2303.0, 8.0, -132.0, nan]</t>
  </si>
  <si>
    <t>[400.0, 262.0, 511.0, nan]</t>
  </si>
  <si>
    <t>[-296.0, -264.0, -26.0, 311.0]</t>
  </si>
  <si>
    <t>[-575.0, -1027.0, -351.0, nan]</t>
  </si>
  <si>
    <t>[196.0, 347.0, -84.0, -355.0]</t>
  </si>
  <si>
    <t>[-582.0, -1124.0, -701.0, nan]</t>
  </si>
  <si>
    <t>[1218.0, 729.0, -278.0, nan]</t>
  </si>
  <si>
    <t>[-260.0, -1034.0, -69.0, nan]</t>
  </si>
  <si>
    <t>[-167.0, 29.0, -339.0, nan]</t>
  </si>
  <si>
    <t>[189.0, -611.0, 714.0, 649.0]</t>
  </si>
  <si>
    <t>[628.0, 594.0, 1355.0, 873.0]</t>
  </si>
  <si>
    <t>[565.0, 156.0, 196.0, nan]</t>
  </si>
  <si>
    <t>[86.0, 14.0, 120.0, nan]</t>
  </si>
  <si>
    <t>[176.0, 185.0, 189.0, nan]</t>
  </si>
  <si>
    <t>[704.0, 633.0, 800.0, nan]</t>
  </si>
  <si>
    <t>[-1788.0, -659.0, -1056.0, nan]</t>
  </si>
  <si>
    <t>[-161.0, -395.0, -1090.0, nan]</t>
  </si>
  <si>
    <t>[-498.0, 129.0, 527.0, nan]</t>
  </si>
  <si>
    <t>[123.0, 152.0, 129.0, nan]</t>
  </si>
  <si>
    <t>[182.0, 349.0, 744.0, 507.0]</t>
  </si>
  <si>
    <t>[-564.0, 64.0, -209.0, nan]</t>
  </si>
  <si>
    <t>[123.0, -14.0, -44.0, nan]</t>
  </si>
  <si>
    <t>[-1574.0, 464.0, 198.0, nan]</t>
  </si>
  <si>
    <t>[756.0, -668.0, 175.0, nan]</t>
  </si>
  <si>
    <t>[-14.0, 180.0, 139.0, nan]</t>
  </si>
  <si>
    <t>[69.0, 137.0, -77.0, nan]</t>
  </si>
  <si>
    <t>[37.0, 78.0, 22.0, nan]</t>
  </si>
  <si>
    <t>[-240.0, -157.0, -602.0, nan]</t>
  </si>
  <si>
    <t>[-133.0, -127.0, -11.0, nan]</t>
  </si>
  <si>
    <t>[-485.0, -89.0, -485.0, -272.0]</t>
  </si>
  <si>
    <t>[-250.0, -303.0, -627.0, nan]</t>
  </si>
  <si>
    <t>[501.0, 838.0, 903.0, 1087.0]</t>
  </si>
  <si>
    <t>[799.0, 1003.0, 723.0, nan]</t>
  </si>
  <si>
    <t>[186.0, 62.0, -684.0, nan]</t>
  </si>
  <si>
    <t>[-239.0, -140.0, -149.0, nan]</t>
  </si>
  <si>
    <t>[1224.0, -100.0, 528.0, nan]</t>
  </si>
  <si>
    <t>[211.0, -204.0, -13.0, nan]</t>
  </si>
  <si>
    <t>[-492.0, -425.0, -328.0, nan]</t>
  </si>
  <si>
    <t>[919.0, 375.0, -519.0, 1004.0]</t>
  </si>
  <si>
    <t>[406.0, 66.0, 267.0, nan]</t>
  </si>
  <si>
    <t>[340.0, 114.0, 155.0, nan]</t>
  </si>
  <si>
    <t>[-597.0, -896.0, -370.0, nan]</t>
  </si>
  <si>
    <t>[102.0, 329.0, 439.0, nan]</t>
  </si>
  <si>
    <t>[-620.0, -175.0, -255.0, nan]</t>
  </si>
  <si>
    <t>[nan, -21.0, 17.0, nan]</t>
  </si>
  <si>
    <t>[nan, nan, 17.0, nan]</t>
  </si>
  <si>
    <t>[472.0, 362.0, 924.0, nan]</t>
  </si>
  <si>
    <t>[-259.0, -1146.0, -4150.0, nan]</t>
  </si>
  <si>
    <t>[2.0, -103.0, -816.0, nan]</t>
  </si>
  <si>
    <t>[-830.0, -1905.0, -2097.0, nan]</t>
  </si>
  <si>
    <t>[184.0, 286.0, 225.0, nan]</t>
  </si>
  <si>
    <t>[-512.0, 339.0, 295.0, nan]</t>
  </si>
  <si>
    <t>[-895.0, 66.0, -141.0, nan]</t>
  </si>
  <si>
    <t>[173.0, 191.0, 323.0, nan]</t>
  </si>
  <si>
    <t>[2697.0, 3219.0, 3545.0, 6325.0]</t>
  </si>
  <si>
    <t>[119.0, 72.0, 50.0, nan]</t>
  </si>
  <si>
    <t>[-2369.0, -3225.0, -591.0, nan]</t>
  </si>
  <si>
    <t>[280.0, 109.0, -113.0, 1110.0]</t>
  </si>
  <si>
    <t>[46.0, 228.0, 11.0, nan]</t>
  </si>
  <si>
    <t>[-1306.0, 78.0, 1109.0, 906.0]</t>
  </si>
  <si>
    <t>[-25.0, 13.0, 30.0, nan]</t>
  </si>
  <si>
    <t>[-219.0, -1557.0, -920.0, nan]</t>
  </si>
  <si>
    <t>[216.0, 130.0, 85.0, nan]</t>
  </si>
  <si>
    <t>[-1567.0, -749.0, -802.0, nan]</t>
  </si>
  <si>
    <t>[-85.0, 385.0, -356.0, nan]</t>
  </si>
  <si>
    <t>[207.0, 531.0, -27.0, nan]</t>
  </si>
  <si>
    <t>[32.0, 94.0, 252.0, nan]</t>
  </si>
  <si>
    <t>[101.0, -620.0, -42.0, nan]</t>
  </si>
  <si>
    <t>[-263.0, -941.0, 2578.0, 1274.0]</t>
  </si>
  <si>
    <t>[423.0, 440.0, 638.0, nan]</t>
  </si>
  <si>
    <t>[116.0, 79.0, 154.0, nan]</t>
  </si>
  <si>
    <t>[-263.0, 84.0, -878.0, nan]</t>
  </si>
  <si>
    <t>[92.0, 308.0, 339.0, nan]</t>
  </si>
  <si>
    <t>[-2386.0, -1963.0, 45.0, nan]</t>
  </si>
  <si>
    <t>[656.0, 689.0, 951.0, nan]</t>
  </si>
  <si>
    <t>[4.0, -79.0, -56.0, nan]</t>
  </si>
  <si>
    <t>[1940.0, 2632.0, 912.0, nan]</t>
  </si>
  <si>
    <t>[-27.0, -88.0, 42.0, nan]</t>
  </si>
  <si>
    <t>[-70.0, -139.0, -70.0, nan]</t>
  </si>
  <si>
    <t>[190.0, 384.0, 90.0, nan]</t>
  </si>
  <si>
    <t>[89.0, 67.0, 87.0, 193.0]</t>
  </si>
  <si>
    <t>[856.0, 669.0, 730.0, nan]</t>
  </si>
  <si>
    <t>[45.0, 43.0, 15.0, nan]</t>
  </si>
  <si>
    <t>[-796.0, -2995.0, 240.0, nan]</t>
  </si>
  <si>
    <t>[-1218.0, 209.0, -203.0, nan]</t>
  </si>
  <si>
    <t>[-2193.0, -1675.0, -1357.0, nan]</t>
  </si>
  <si>
    <t>[24.0, 165.0, -51.0, nan]</t>
  </si>
  <si>
    <t>[nan, nan, 1014.0, 1957.0]</t>
  </si>
  <si>
    <t>[-2231.0, -1174.0, -446.0, nan]</t>
  </si>
  <si>
    <t>[-2163.0, -645.0, -92.0, nan]</t>
  </si>
  <si>
    <t>[56.0, 92.0, 180.0, nan]</t>
  </si>
  <si>
    <t>[398.0, 411.0, 477.0, nan]</t>
  </si>
  <si>
    <t>[-444.0, -646.0, -881.0, nan]</t>
  </si>
  <si>
    <t>[-60.0, -631.0, -587.0, nan]</t>
  </si>
  <si>
    <t>[515.0, 766.0, 1096.0, 1355.0]</t>
  </si>
  <si>
    <t>[15.0, -22.0, 2.0, nan]</t>
  </si>
  <si>
    <t>[1324.0, 2501.0, 3083.0, 3456.0]</t>
  </si>
  <si>
    <t>[102.0, 223.0, 236.0, nan]</t>
  </si>
  <si>
    <t>[-127.0, -148.0, -147.0, nan]</t>
  </si>
  <si>
    <t>[-70.0, -7.0, 56.0, nan]</t>
  </si>
  <si>
    <t>[2178.0, 352.0, 197.0, 1261.0]</t>
  </si>
  <si>
    <t>[-30.0, -82.0, -78.0, nan]</t>
  </si>
  <si>
    <t>[54.0, -18.0, 206.0, nan]</t>
  </si>
  <si>
    <t>[104.0, 120.0, 132.0, nan]</t>
  </si>
  <si>
    <t>[-242.0, 274.0, 469.0, 394.0]</t>
  </si>
  <si>
    <t>[-191.0, -173.0, 67.0, nan]</t>
  </si>
  <si>
    <t>[-16382.0, -65111.0, -2694.0, nan]</t>
  </si>
  <si>
    <t>[-70.0, 15.0, 38.0, nan]</t>
  </si>
  <si>
    <t>[550.0, 967.0, 1037.0, 1381.0]</t>
  </si>
  <si>
    <t>[1853.0, 2829.0, 2344.0, 2488.0]</t>
  </si>
  <si>
    <t>[-738.0, -976.0, -1316.0, -1813.0]</t>
  </si>
  <si>
    <t>[nan, nan, 5.0, nan]</t>
  </si>
  <si>
    <t>[-908.0, 461.0, 884.0, nan]</t>
  </si>
  <si>
    <t>[-481.0, 78.0, 137.0, nan]</t>
  </si>
  <si>
    <t>[243.0, 312.0, 98.0, nan]</t>
  </si>
  <si>
    <t>[-96.0, -202.0, -65.0, nan]</t>
  </si>
  <si>
    <t>[2107.0, 1869.0, 1959.0, nan]</t>
  </si>
  <si>
    <t>[247.0, -515.0, -418.0, nan]</t>
  </si>
  <si>
    <t>[-210.0, 189.0, -660.0, -394.0]</t>
  </si>
  <si>
    <t>[641.0, -3149.0, 710.0, 708.0]</t>
  </si>
  <si>
    <t>[368.0, -141.0, -459.0, nan]</t>
  </si>
  <si>
    <t>[-154.0, -413.0, -351.0, nan]</t>
  </si>
  <si>
    <t>[1717.0, 1535.0, 2613.0, nan]</t>
  </si>
  <si>
    <t>[-1016.0, -752.0, -601.0, nan]</t>
  </si>
  <si>
    <t>[nan, nan, -22.0, nan]</t>
  </si>
  <si>
    <t>[nan, nan, -13.0, nan]</t>
  </si>
  <si>
    <t>[nan, nan, 10.0, nan]</t>
  </si>
  <si>
    <t>[nan, nan, 13.0, nan]</t>
  </si>
  <si>
    <t>[-209.0, 223.0, -311.0, -130.0]</t>
  </si>
  <si>
    <t>[1089.0, -1594.0, -873.0, 746.0]</t>
  </si>
  <si>
    <t>[nan, 1084.0, 3129.0, nan]</t>
  </si>
  <si>
    <t>[-837.0, -531.0, -755.0, nan]</t>
  </si>
  <si>
    <t>[nan, -8.0, 20.0, nan]</t>
  </si>
  <si>
    <t>[nan, nan, -39.0, nan]</t>
  </si>
  <si>
    <t>[nan, nan, -5.0, nan]</t>
  </si>
  <si>
    <t>[1851.0, 1049.0, 1563.0, 2339.0]</t>
  </si>
  <si>
    <t>[287.0, 62.0, -86.0, nan]</t>
  </si>
  <si>
    <t>[11066.0, 10075.0, 8693.0, 8568.0]</t>
  </si>
  <si>
    <t>[-612.0, 181.0, 29.0, nan]</t>
  </si>
  <si>
    <t>[-208.0, -547.0, -748.0, nan]</t>
  </si>
  <si>
    <t>[488.0, 201.0, 256.0, nan]</t>
  </si>
  <si>
    <t>[2170.0, 3363.0, 2515.0, 2861.0]</t>
  </si>
  <si>
    <t>[-80.0, -224.0, -334.0, nan]</t>
  </si>
  <si>
    <t>[455.0, 169.0, 122.0, nan]</t>
  </si>
  <si>
    <t>[-744.0, -481.0, -927.0, nan]</t>
  </si>
  <si>
    <t>[-652.0, -682.0, -753.0, nan]</t>
  </si>
  <si>
    <t>[3195.0, 4013.0, 4011.0, nan]</t>
  </si>
  <si>
    <t>[-207.0, 92.0, 53.0, nan]</t>
  </si>
  <si>
    <t>[31.0, 34.0, 56.0, nan]</t>
  </si>
  <si>
    <t>[753.0, 485.0, 634.0, nan]</t>
  </si>
  <si>
    <t>[1294.0, 11596.0, 12120.0, 10388.0]</t>
  </si>
  <si>
    <t>[41.0, 62.0, 52.0, nan]</t>
  </si>
  <si>
    <t>[-669.0, -113.0, -265.0, nan]</t>
  </si>
  <si>
    <t>[-1546.0, -1080.0, -772.0, nan]</t>
  </si>
  <si>
    <t>[-309.0, -245.0, -1156.0, nan]</t>
  </si>
  <si>
    <t>[38.0, 327.0, 301.0, nan]</t>
  </si>
  <si>
    <t>[15.0, -103.0, 4.0, nan]</t>
  </si>
  <si>
    <t>[-236.0, -167.0, -619.0, nan]</t>
  </si>
  <si>
    <t>[114.0, 683.0, 616.0, nan]</t>
  </si>
  <si>
    <t>[205.0, 177.0, 186.0, nan]</t>
  </si>
  <si>
    <t>[2065.0, 1066.0, 562.0, 1568.0]</t>
  </si>
  <si>
    <t>[660.0, 1192.0, 1549.0, nan]</t>
  </si>
  <si>
    <t>[2772.0, 2145.0, 493.0, 1379.0]</t>
  </si>
  <si>
    <t>[1501.0, 1456.0, 2277.0, 2549.0]</t>
  </si>
  <si>
    <t>[34.0, 337.0, -1602.0, nan]</t>
  </si>
  <si>
    <t>[-83.0, -38.0, 42.0, 150.0]</t>
  </si>
  <si>
    <t>[-1181.0, -584.0, 7.0, nan]</t>
  </si>
  <si>
    <t>[-357.0, 53.0, 820.0, nan]</t>
  </si>
  <si>
    <t>[68.0, 91.0, -407.0, -12.0]</t>
  </si>
  <si>
    <t>[262.0, 339.0, 617.0, nan]</t>
  </si>
  <si>
    <t>[67.0, 439.0, -1142.0, nan]</t>
  </si>
  <si>
    <t>[-644.0, -588.0, -737.0, nan]</t>
  </si>
  <si>
    <t>[1369.0, 1467.0, 1678.0, 3067.0]</t>
  </si>
  <si>
    <t>[-887.0, -860.0, 13.0, nan]</t>
  </si>
  <si>
    <t>[716.0, 20.0, -1725.0, nan]</t>
  </si>
  <si>
    <t>[-208.0, -231.0, 166.0, -946.0]</t>
  </si>
  <si>
    <t>[1272.0, 1137.0, 1462.0, 2920.0]</t>
  </si>
  <si>
    <t>[-218.0, -129.0, 109.0, nan]</t>
  </si>
  <si>
    <t>[-1931.0, -1228.0, 3.0, nan]</t>
  </si>
  <si>
    <t>[694.0, 844.0, 1277.0, 2400.0]</t>
  </si>
  <si>
    <t>[15.0, 172.0, 1126.0, 478.0]</t>
  </si>
  <si>
    <t>[169.0, -178.0, -2598.0, nan]</t>
  </si>
  <si>
    <t>[-148.0, -117.0, -218.0, nan]</t>
  </si>
  <si>
    <t>[59.0, -24.0, 16.0, nan]</t>
  </si>
  <si>
    <t>[-885.0, -1305.0, -354.0, nan]</t>
  </si>
  <si>
    <t>[37.0, 42.0, -43.0, nan]</t>
  </si>
  <si>
    <t>[-14719.0, -9157.0, -12221.0, nan]</t>
  </si>
  <si>
    <t>[276.0, -225.0, 258.0, 269.0]</t>
  </si>
  <si>
    <t>[321.0, 490.0, 483.0, nan]</t>
  </si>
  <si>
    <t>[-440.0, -132.0, -94.0, nan]</t>
  </si>
  <si>
    <t>[-190.0, -222.0, -169.0, nan]</t>
  </si>
  <si>
    <t>[-592.0, -897.0, -777.0, nan]</t>
  </si>
  <si>
    <t>[1549.0, 1637.0, 1844.0, 2998.0]</t>
  </si>
  <si>
    <t>[-845.0, -690.0, -3.0, nan]</t>
  </si>
  <si>
    <t>[1124.0, 831.0, 618.0, nan]</t>
  </si>
  <si>
    <t>[-1055.0, -530.0, -807.0, nan]</t>
  </si>
  <si>
    <t>[-123.0, -4442.0, -8090.0, nan]</t>
  </si>
  <si>
    <t>[203.0, -890.0, 275.0, nan]</t>
  </si>
  <si>
    <t>[14.0, -200.0, -275.0, nan]</t>
  </si>
  <si>
    <t>[-255.0, -216.0, -329.0, nan]</t>
  </si>
  <si>
    <t>[61.0, -105.0, -239.0, nan]</t>
  </si>
  <si>
    <t>[930.0, 840.0, 456.0, 400.0]</t>
  </si>
  <si>
    <t>[7.0, 42.0, 35.0, nan]</t>
  </si>
  <si>
    <t>[304.0, 369.0, -861.0, -213.0]</t>
  </si>
  <si>
    <t>[-5071.0, -6002.0, -2510.0, nan]</t>
  </si>
  <si>
    <t>[541.0, -1237.0, -4220.0, nan]</t>
  </si>
  <si>
    <t>[-610.0, -1614.0, -713.0, nan]</t>
  </si>
  <si>
    <t>[-1637.0, -2048.0, -2339.0, nan]</t>
  </si>
  <si>
    <t>[-37.0, 41.0, 37.0, nan]</t>
  </si>
  <si>
    <t>[-450.0, -463.0, -327.0, nan]</t>
  </si>
  <si>
    <t>[nan, -636.0, 12.0, nan]</t>
  </si>
  <si>
    <t>[237.0, 339.0, 254.0, nan]</t>
  </si>
  <si>
    <t>[766.0, 228.0, 620.0, nan]</t>
  </si>
  <si>
    <t>[-73.0, -40.0, -45.0, nan]</t>
  </si>
  <si>
    <t>[-765.0, -226.0, 106.0, nan]</t>
  </si>
  <si>
    <t>[171.0, 716.0, 1647.0, 1340.0]</t>
  </si>
  <si>
    <t>[132.0, 204.0, 21.0, nan]</t>
  </si>
  <si>
    <t>[597.0, 344.0, 255.0, nan]</t>
  </si>
  <si>
    <t>[-71.0, -510.0, -485.0, nan]</t>
  </si>
  <si>
    <t>[-317.0, -232.0, 5.0, nan]</t>
  </si>
  <si>
    <t>[91.0, -43.0, 133.0, nan]</t>
  </si>
  <si>
    <t>[436.0, 55.0, 173.0, 659.0]</t>
  </si>
  <si>
    <t>[nan, -299.0, -551.0, nan]</t>
  </si>
  <si>
    <t>[-85.0, 240.0, 534.0, 541.0]</t>
  </si>
  <si>
    <t>[725.0, 1054.0, 1249.0, nan]</t>
  </si>
  <si>
    <t>[-245.0, 180.0, -898.0, nan]</t>
  </si>
  <si>
    <t>[-9433.0, -5064.0, -3106.0, nan]</t>
  </si>
  <si>
    <t>[130.0, 200.0, 91.0, nan]</t>
  </si>
  <si>
    <t>[-59.0, -1902.0, -321.0, nan]</t>
  </si>
  <si>
    <t>[-3741.0, -14620.0, -2387.0, nan]</t>
  </si>
  <si>
    <t>[-184.0, -391.0, -240.0, nan]</t>
  </si>
  <si>
    <t>[2311.0, 2105.0, 885.0, 2682.0]</t>
  </si>
  <si>
    <t>[nan, nan, -18.0, nan]</t>
  </si>
  <si>
    <t>[nan, 75.0, 41.0, 122.0]</t>
  </si>
  <si>
    <t>[39.0, -86.0, -293.0, nan]</t>
  </si>
  <si>
    <t>[113.0, 385.0, -122.0, nan]</t>
  </si>
  <si>
    <t>[-813.0, -648.0, -825.0, nan]</t>
  </si>
  <si>
    <t>[166.0, -162.0, -934.0, 116.0]</t>
  </si>
  <si>
    <t>[-807.0, -130.0, nan, nan]</t>
  </si>
  <si>
    <t>[-36.0, 36.0, 2190.0, 2442.0]</t>
  </si>
  <si>
    <t>[180.0, 747.0, 480.0, nan]</t>
  </si>
  <si>
    <t>[133.0, 86.0, 97.0, nan]</t>
  </si>
  <si>
    <t>[-269.0, -44.0, -14.0, nan]</t>
  </si>
  <si>
    <t>[-256.0, -72.0, -62.0, nan]</t>
  </si>
  <si>
    <t>[-876.0, -1011.0, -1175.0, nan]</t>
  </si>
  <si>
    <t>[775.0, 406.0, 310.0, nan]</t>
  </si>
  <si>
    <t>[-1696.0, -1411.0, -123.0, nan]</t>
  </si>
  <si>
    <t>[1204.0, 838.0, 252.0, 367.0]</t>
  </si>
  <si>
    <t>[nan, nan, -1.0, nan]</t>
  </si>
  <si>
    <t>[nan, nan, 9.0, nan]</t>
  </si>
  <si>
    <t>[-192.0, -30.0, -474.0, nan]</t>
  </si>
  <si>
    <t>[188.0, 48.0, 107.0, nan]</t>
  </si>
  <si>
    <t>[-71.0, -531.0, 560.0, 133.0]</t>
  </si>
  <si>
    <t>[122.0, 350.0, 505.0, nan]</t>
  </si>
  <si>
    <t>[-91.0, 44.0, 20.0, nan]</t>
  </si>
  <si>
    <t>[1958.0, 2026.0, 3239.0, 3932.0]</t>
  </si>
  <si>
    <t>[53.0, 498.0, -251.0, nan]</t>
  </si>
  <si>
    <t>[-297.0, -119.0, 163.0, nan]</t>
  </si>
  <si>
    <t>[-1082.0, -3736.0, -1000.0, -1381.0]</t>
  </si>
  <si>
    <t>[3487.0, 1775.0, 983.0, 3774.0]</t>
  </si>
  <si>
    <t>[372.0, 1564.0, 24.0, 131.0]</t>
  </si>
  <si>
    <t>[-78.0, -65.0, -439.0, nan]</t>
  </si>
  <si>
    <t>[-67250.0, -91857.0, 10838.0, nan]</t>
  </si>
  <si>
    <t>[-561.0, -156.0, 929.0, nan]</t>
  </si>
  <si>
    <t>[-500.0, -332.0, -519.0, nan]</t>
  </si>
  <si>
    <t>[138.0, 114.0, -176.0, nan]</t>
  </si>
  <si>
    <t>[nan, -12.0, 19.0, nan]</t>
  </si>
  <si>
    <t>[197.0, 125.0, 276.0, nan]</t>
  </si>
  <si>
    <t>[-342.0, 166.0, -1146.0, nan]</t>
  </si>
  <si>
    <t>[-400.0, -493.0, -669.0, nan]</t>
  </si>
  <si>
    <t>[nan, nan, 1.0, nan]</t>
  </si>
  <si>
    <t>[-666.0, -962.0, -1045.0, nan]</t>
  </si>
  <si>
    <t>[-852.0, -1907.0, -243.0, nan]</t>
  </si>
  <si>
    <t>[nan, nan, -6.0, nan]</t>
  </si>
  <si>
    <t>[56.0, 59.0, 99.0, nan]</t>
  </si>
  <si>
    <t>[nan, -24.0, 5.0, nan]</t>
  </si>
  <si>
    <t>[702.0, 976.0, 1207.0, nan]</t>
  </si>
  <si>
    <t>[62.0, 88.0, 40.0, nan]</t>
  </si>
  <si>
    <t>[45.0, 257.0, 206.0, -20.0]</t>
  </si>
  <si>
    <t>[40.0, 6.0, 1.0, nan]</t>
  </si>
  <si>
    <t>[341.0, 443.0, 784.0, nan]</t>
  </si>
  <si>
    <t>[580.0, -787.0, -595.0, -274.0]</t>
  </si>
  <si>
    <t>[1390.0, 1185.0, 2969.0, 3067.0]</t>
  </si>
  <si>
    <t>[1096.0, 1118.0, 1037.0, nan]</t>
  </si>
  <si>
    <t>[112.0, -404.0, 130.0, nan]</t>
  </si>
  <si>
    <t>[566.0, 954.0, 1384.0, nan]</t>
  </si>
  <si>
    <t>[857.0, 1426.0, 1207.0, 2434.0]</t>
  </si>
  <si>
    <t>[142.0, -73.0, 9.0, nan]</t>
  </si>
  <si>
    <t>[794.0, 422.0, 1008.0, -549.0]</t>
  </si>
  <si>
    <t>[-54.0, -55.0, -98.0, nan]</t>
  </si>
  <si>
    <t>[-69.0, 212.0, -195.0, nan]</t>
  </si>
  <si>
    <t>[-217.0, 94.0, -1278.0, nan]</t>
  </si>
  <si>
    <t>[38.0, -704.0, -3237.0, nan]</t>
  </si>
  <si>
    <t>[2.0, -93.0, -134.0, nan]</t>
  </si>
  <si>
    <t>[1100.0, 1541.0, 99.0, 1142.0]</t>
  </si>
  <si>
    <t>[48.0, 109.0, 115.0, nan]</t>
  </si>
  <si>
    <t>[301.0, -166.0, -64.0, nan]</t>
  </si>
  <si>
    <t>[427.0, 1115.0, 717.0, nan]</t>
  </si>
  <si>
    <t>[-195.0, 145.0, -32.0, nan]</t>
  </si>
  <si>
    <t>[-8.0, -1.0, 9.0, nan]</t>
  </si>
  <si>
    <t>[59.0, 50.0, 205.0, nan]</t>
  </si>
  <si>
    <t>[-728.0, -612.0, -1126.0, nan]</t>
  </si>
  <si>
    <t>[-299.0, -625.0, -163.0, nan]</t>
  </si>
  <si>
    <t>[299.0, 444.0, 629.0, nan]</t>
  </si>
  <si>
    <t>[5715.0, 481.0, 374.0, nan]</t>
  </si>
  <si>
    <t>[88.0, 119.0, 130.0, nan]</t>
  </si>
  <si>
    <t>[114.0, 71.0, 72.0, nan]</t>
  </si>
  <si>
    <t>[304.0, 389.0, 201.0, nan]</t>
  </si>
  <si>
    <t>[53.0, -350.0, 97.0, nan]</t>
  </si>
  <si>
    <t>[874.0, 282.0, 788.0, 1408.0]</t>
  </si>
  <si>
    <t>[121.0, 95.0, 98.0, nan]</t>
  </si>
  <si>
    <t>[312.0, 618.0, 272.0, nan]</t>
  </si>
  <si>
    <t>[520.0, 469.0, 468.0, nan]</t>
  </si>
  <si>
    <t>[169.0, 119.0, 216.0, nan]</t>
  </si>
  <si>
    <t>[123.0, 243.0, 279.0, nan]</t>
  </si>
  <si>
    <t>[14.0, -150.0, -42.0, nan]</t>
  </si>
  <si>
    <t>[-6448.0, -12938.0, -7081.0, nan]</t>
  </si>
  <si>
    <t>[112.0, 97.0, 226.0, 396.0]</t>
  </si>
  <si>
    <t>[716.0, 774.0, -155.0, nan]</t>
  </si>
  <si>
    <t>[nan, 10.0, 15.0, nan]</t>
  </si>
  <si>
    <t>[218.0, -1256.0, -290.0, nan]</t>
  </si>
  <si>
    <t>[354.0, 118.0, 185.0, nan]</t>
  </si>
  <si>
    <t>[63.0, 14.0, -122.0, nan]</t>
  </si>
  <si>
    <t>[1589.0, 1276.0, 1472.0, nan]</t>
  </si>
  <si>
    <t>[53.0, 69.0, 136.0, nan]</t>
  </si>
  <si>
    <t>[-23.0, 244.0, 367.0, 872.0]</t>
  </si>
  <si>
    <t>[-325.0, -222.0, -164.0, nan]</t>
  </si>
  <si>
    <t>[16.0, -116.0, -245.0, nan]</t>
  </si>
  <si>
    <t>[-1159.0, -602.0, -850.0, nan]</t>
  </si>
  <si>
    <t>[-971.0, -457.0, 324.0, 180.0]</t>
  </si>
  <si>
    <t>[3401.0, 3567.0, 4483.0, nan]</t>
  </si>
  <si>
    <t>[665.0, 494.0, 37.0, nan]</t>
  </si>
  <si>
    <t>[8.0, 219.0, 513.0, nan]</t>
  </si>
  <si>
    <t>[1810.0, 1289.0, 916.0, 1659.0]</t>
  </si>
  <si>
    <t>[-34.0, 182.0, 348.0, nan]</t>
  </si>
  <si>
    <t>[127.0, 68.0, -106.0, nan]</t>
  </si>
  <si>
    <t>[-1615.0, -474.0, 466.0, 142.0]</t>
  </si>
  <si>
    <t>[-1067.0, -2189.0, -1708.0, nan]</t>
  </si>
  <si>
    <t>[174.0, 83.0, -74.0, nan]</t>
  </si>
  <si>
    <t>[71.0, -116.0, -263.0, nan]</t>
  </si>
  <si>
    <t>[156.0, 373.0, -168.0, nan]</t>
  </si>
  <si>
    <t>[-524.0, -1300.0, -1069.0, nan]</t>
  </si>
  <si>
    <t>[-1363.0, -1121.0, -1699.0, nan]</t>
  </si>
  <si>
    <t>[257.0, 143.0, 99.0, nan]</t>
  </si>
  <si>
    <t>[355.0, 418.0, 411.0, 338.0]</t>
  </si>
  <si>
    <t>[-91.0, 66.0, -110.0, nan]</t>
  </si>
  <si>
    <t>[nan, nan, -14.0, nan]</t>
  </si>
  <si>
    <t>[-26.0, 143.0, 14.0, nan]</t>
  </si>
  <si>
    <t>[414.0, 280.0, 329.0, nan]</t>
  </si>
  <si>
    <t>[37.0, 48.0, 208.0, nan]</t>
  </si>
  <si>
    <t>[-72.0, 116.0, 126.0, nan]</t>
  </si>
  <si>
    <t>[-148.0, -158.0, -534.0, nan]</t>
  </si>
  <si>
    <t>[515.0, 368.0, 186.0, nan]</t>
  </si>
  <si>
    <t>[-399.0, -304.0, -2393.0, -51.0]</t>
  </si>
  <si>
    <t>[109.0, 136.0, -443.0, nan]</t>
  </si>
  <si>
    <t>[-323.0, 115.0, -299.0, nan]</t>
  </si>
  <si>
    <t>[-975.0, -660.0, -109.0, 1482.0]</t>
  </si>
  <si>
    <t>[-1259.0, -4513.0, -1638.0, nan]</t>
  </si>
  <si>
    <t>[57.0, 23.0, -32.0, nan]</t>
  </si>
  <si>
    <t>[337.0, 483.0, 359.0, nan]</t>
  </si>
  <si>
    <t>[296.0, 368.0, -595.0, nan]</t>
  </si>
  <si>
    <t>[-10.0, -379.0, 47.0, nan]</t>
  </si>
  <si>
    <t>[281.0, 336.0, -197.0, nan]</t>
  </si>
  <si>
    <t>[-357.0, -97.0, -573.0, nan]</t>
  </si>
  <si>
    <t>[-983.0, -1569.0, -718.0, nan]</t>
  </si>
  <si>
    <t>[39.0, -45.0, -646.0, nan]</t>
  </si>
  <si>
    <t>[-283.0, 282.0, -101.0, nan]</t>
  </si>
  <si>
    <t>[-285.0, -272.0, -840.0, nan]</t>
  </si>
  <si>
    <t>[474.0, 1279.0, 1063.0, 477.0]</t>
  </si>
  <si>
    <t>[-20.0, -546.0, 434.0, 747.0]</t>
  </si>
  <si>
    <t>[596.0, 621.0, 132.0, 316.0]</t>
  </si>
  <si>
    <t>[160.0, 130.0, 78.0, nan]</t>
  </si>
  <si>
    <t>[1676.0, -3546.0, -1212.0, -508.0]</t>
  </si>
  <si>
    <t>[1071.0, 1084.0, 1157.0, 1564.0]</t>
  </si>
  <si>
    <t>[-196.0, -23.0, -21.0, nan]</t>
  </si>
  <si>
    <t>[-2007.0, 34.0, -2910.0, nan]</t>
  </si>
  <si>
    <t>[82.0, 418.0, 434.0, 878.0]</t>
  </si>
  <si>
    <t>[144.0, -39.0, 119.0, nan]</t>
  </si>
  <si>
    <t>[48.0, 246.0, 50.0, nan]</t>
  </si>
  <si>
    <t>[83.0, 24.0, 14.0, nan]</t>
  </si>
  <si>
    <t>[-122.0, 70.0, 359.0, nan]</t>
  </si>
  <si>
    <t>[-10.0, -29.0, -11.0, nan]</t>
  </si>
  <si>
    <t>[177.0, 252.0, 229.0, nan]</t>
  </si>
  <si>
    <t>[905.0, 1040.0, 1134.0, 1179.0]</t>
  </si>
  <si>
    <t>[724.0, 1159.0, 70.0, nan]</t>
  </si>
  <si>
    <t>[189.0, 350.0, 97.0, nan]</t>
  </si>
  <si>
    <t>[60.0, 48.0, -110.0, nan]</t>
  </si>
  <si>
    <t>[-104.0, 304.0, -162.0, nan]</t>
  </si>
  <si>
    <t>[-600.0, -769.0, 368.0, nan]</t>
  </si>
  <si>
    <t>[-741.0, -406.0, -476.0, nan]</t>
  </si>
  <si>
    <t>[-87.0, 131.0, 25.0, nan]</t>
  </si>
  <si>
    <t>[525.0, 227.0, 489.0, 395.0]</t>
  </si>
  <si>
    <t>[443.0, 409.0, 39.0, nan]</t>
  </si>
  <si>
    <t>[78.0, 19.0, 39.0, nan]</t>
  </si>
  <si>
    <t>[-775.0, -806.0, -305.0, nan]</t>
  </si>
  <si>
    <t>[-827.0, 45.0, 83.0, nan]</t>
  </si>
  <si>
    <t>[381.0, -461.0, -2211.0, nan]</t>
  </si>
  <si>
    <t>[-506.0, -276.0, -183.0, nan]</t>
  </si>
  <si>
    <t>[-195.0, 24.0, -28.0, nan]</t>
  </si>
  <si>
    <t>[-4.0, -110.0, 7.0, nan]</t>
  </si>
  <si>
    <t>[-816.0, -286.0, -1910.0, nan]</t>
  </si>
  <si>
    <t>[-2031.0, -265.0, -177.0, nan]</t>
  </si>
  <si>
    <t>[-703.0, -297.0, 114.0, 101.0]</t>
  </si>
  <si>
    <t>[-417.0, -963.0, -210.0, nan]</t>
  </si>
  <si>
    <t>[48.0, 71.0, 105.0, nan]</t>
  </si>
  <si>
    <t>[63.0, 202.0, 297.0, nan]</t>
  </si>
  <si>
    <t>[554.0, 306.0, 46.0, 382.0]</t>
  </si>
  <si>
    <t>[-27.0, -74.0, -200.0, nan]</t>
  </si>
  <si>
    <t>[372.0, 398.0, -247.0, nan]</t>
  </si>
  <si>
    <t>[134.0, -200.0, -156.0, nan]</t>
  </si>
  <si>
    <t>[-160.0, -753.0, -339.0, nan]</t>
  </si>
  <si>
    <t>[1753.0, 2237.0, 1672.0, 555.0]</t>
  </si>
  <si>
    <t>[-199.0, -1106.0, -156.0, nan]</t>
  </si>
  <si>
    <t>[-11670.0, -2098.0, -972.0, nan]</t>
  </si>
  <si>
    <t>[77.0, -760.0, -224.0, nan]</t>
  </si>
  <si>
    <t>[-376.0, -214.0, 73.0, nan]</t>
  </si>
  <si>
    <t>[nan, nan, 214.0, nan]</t>
  </si>
  <si>
    <t>[-312.0, -428.0, -308.0, nan]</t>
  </si>
  <si>
    <t>[1747.0, 1081.0, 1617.0, nan]</t>
  </si>
  <si>
    <t>[109.0, 47.0, 71.0, nan]</t>
  </si>
  <si>
    <t>[0.0, 311.0, 263.0, nan]</t>
  </si>
  <si>
    <t>[141.0, 251.0, 847.0, nan]</t>
  </si>
  <si>
    <t>[-11289.0, -6216.0, -14221.0, nan]</t>
  </si>
  <si>
    <t>[-142.0, 10.0, 166.0, 132.0]</t>
  </si>
  <si>
    <t>[-56.0, -95.0, 15.0, nan]</t>
  </si>
  <si>
    <t>[101.0, 1534.0, 2890.0, 3967.0]</t>
  </si>
  <si>
    <t>[24.0, 136.0, 19.0, nan]</t>
  </si>
  <si>
    <t>[4328.0, 4735.0, 4511.0, 5775.0]</t>
  </si>
  <si>
    <t>[-1270.0, -1619.0, -722.0, nan]</t>
  </si>
  <si>
    <t>[659.0, 639.0, 1911.0, 3658.0]</t>
  </si>
  <si>
    <t>[-24.0, -5.0, 70.0, nan]</t>
  </si>
  <si>
    <t>[1011.0, 530.0, 83.0, 691.0]</t>
  </si>
  <si>
    <t>[1135.0, 753.0, -691.0, -10393.0]</t>
  </si>
  <si>
    <t>[-171.0, -408.0, -171.0, nan]</t>
  </si>
  <si>
    <t>[-2056.0, 130.0, -3223.0, nan]</t>
  </si>
  <si>
    <t>[42.0, 145.0, -57.0, nan]</t>
  </si>
  <si>
    <t>[773.0, -826.0, 230.0, 643.0]</t>
  </si>
  <si>
    <t>[4804.0, 6238.0, 7655.0, 11205.0]</t>
  </si>
  <si>
    <t>[158.0, 74.0, 215.0, nan]</t>
  </si>
  <si>
    <t>[792.0, -398.0, 504.0, 643.0]</t>
  </si>
  <si>
    <t>[1081.0, -1269.0, -6.0, 1051.0]</t>
  </si>
  <si>
    <t>[473.0, -444.0, -2815.0, nan]</t>
  </si>
  <si>
    <t>[4077.0, 3823.0, 1815.0, 2871.0]</t>
  </si>
  <si>
    <t>[5103.0, 2102.0, 4400.0, 460.0]</t>
  </si>
  <si>
    <t>[456.0, 273.0, 466.0, nan]</t>
  </si>
  <si>
    <t>[149.0, 805.0, 337.0, 1126.0]</t>
  </si>
  <si>
    <t>[387.0, 580.0, 2538.0, 1816.0]</t>
  </si>
  <si>
    <t>[557.0, 375.0, 638.0, nan]</t>
  </si>
  <si>
    <t>[978.0, 732.0, -328.0, nan]</t>
  </si>
  <si>
    <t>[251.0, -482.0, -1072.0, nan]</t>
  </si>
  <si>
    <t>[-2413.0, 587.0, 1748.0, 1533.0]</t>
  </si>
  <si>
    <t>[643.0, -310.0, -690.0, nan]</t>
  </si>
  <si>
    <t>[2240.0, 1954.0, 1285.0, 2924.0]</t>
  </si>
  <si>
    <t>[17.0, -68.0, 403.0, 1069.0]</t>
  </si>
  <si>
    <t>[18649.0, 19200.0, 16174.0, nan]</t>
  </si>
  <si>
    <t>[178.0, 312.0, -594.0, 1633.0]</t>
  </si>
  <si>
    <t>[1181.0, -827.0, -729.0, nan]</t>
  </si>
  <si>
    <t>[420.0, 501.0, -264.0, nan]</t>
  </si>
  <si>
    <t>[1876.0, 3246.0, 3167.0, 4330.0]</t>
  </si>
  <si>
    <t>[855.0, -1306.0, 25.0, 804.0]</t>
  </si>
  <si>
    <t>[1037.0, -47.0, -2974.0, nan]</t>
  </si>
  <si>
    <t>[1322.0, -72.0, -16.0, -128.0]</t>
  </si>
  <si>
    <t>[1345.0, 376.0, -215.0, nan]</t>
  </si>
  <si>
    <t>[997.0, 897.0, 1016.0, 1137.0]</t>
  </si>
  <si>
    <t>[620.0, 59.0, -1074.0, -934.0]</t>
  </si>
  <si>
    <t>[647.0, 651.0, 892.0, nan]</t>
  </si>
  <si>
    <t>[321.0, -251.0, 511.0, nan]</t>
  </si>
  <si>
    <t>[2.0, 5.0, 12.0, nan]</t>
  </si>
  <si>
    <t>[7.0, -322.0, -1946.0, nan]</t>
  </si>
  <si>
    <t>[834.0, 534.0, -565.0, 336.0]</t>
  </si>
  <si>
    <t>[-1.0, 197.0, -545.0, nan]</t>
  </si>
  <si>
    <t>[-7.0, -94.0, -262.0, nan]</t>
  </si>
  <si>
    <t>[13.0, 4.0, -55.0, nan]</t>
  </si>
  <si>
    <t>[768.0, 80.0, 354.0, nan]</t>
  </si>
  <si>
    <t>[-580.0, -243.0, -923.0, nan]</t>
  </si>
  <si>
    <t>[6.0, -35.0, 1.0, nan]</t>
  </si>
  <si>
    <t>[212.0, 416.0, -449.0, 1946.0]</t>
  </si>
  <si>
    <t>[-340.0, -164.0, -2207.0, nan]</t>
  </si>
  <si>
    <t>[3074.0, 3842.0, 3681.0, 3439.0]</t>
  </si>
  <si>
    <t>[1101.0, 593.0, 734.0, nan]</t>
  </si>
  <si>
    <t>[1603.0, 845.0, 588.0, 3281.0]</t>
  </si>
  <si>
    <t>[541.0, 1460.0, 78.0, -2861.0]</t>
  </si>
  <si>
    <t>[1105.0, 1128.0, 1200.0, 1247.0]</t>
  </si>
  <si>
    <t>[73.0, 128.0, -720.0, nan]</t>
  </si>
  <si>
    <t>[-924.0, -395.0, -249.0, nan]</t>
  </si>
  <si>
    <t>[563.0, 2741.0, 1858.0, nan]</t>
  </si>
  <si>
    <t>[-13665.0, -14348.0, -8476.0, nan]</t>
  </si>
  <si>
    <t>[309.0, 251.0, -2070.0, nan]</t>
  </si>
  <si>
    <t>[1601.0, 613.0, -3578.0, 5079.0]</t>
  </si>
  <si>
    <t>[-76.0, -154.0, -167.0, nan]</t>
  </si>
  <si>
    <t>[18964.0, -145.0, 506.0, nan]</t>
  </si>
  <si>
    <t>[170.0, 196.0, -381.0, nan]</t>
  </si>
  <si>
    <t>[164.0, 41.0, 139.0, nan]</t>
  </si>
  <si>
    <t>[2537.0, 1382.0, -1760.0, nan]</t>
  </si>
  <si>
    <t>[2954.0, 2689.0, -1257.0, -9847.0]</t>
  </si>
  <si>
    <t>[-28.0, -28.0, -175.0, nan]</t>
  </si>
  <si>
    <t>[128.0, 185.0, 525.0, nan]</t>
  </si>
  <si>
    <t>[-114.0, 51.0, -164.0, nan]</t>
  </si>
  <si>
    <t>[3627.0, 3503.0, 5669.0, 5867.0]</t>
  </si>
  <si>
    <t>[-157.0, -98.0, -88.0, nan]</t>
  </si>
  <si>
    <t>[9583.0, 5481.0, 8988.0, 10779.0]</t>
  </si>
  <si>
    <t>[1461.0, 1450.0, 2236.0, nan]</t>
  </si>
  <si>
    <t>[4943.0, 3895.0, 4950.0, nan]</t>
  </si>
  <si>
    <t>[209.0, 63.0, -25.0, nan]</t>
  </si>
  <si>
    <t>[541.0, 520.0, 597.0, 275.0]</t>
  </si>
  <si>
    <t>[111.0, 63.0, 367.0, 421.0]</t>
  </si>
  <si>
    <t>[558.0, 441.0, 479.0, nan]</t>
  </si>
  <si>
    <t>[-150.0, -180.0, 35.0, nan]</t>
  </si>
  <si>
    <t>[-3.0, 43.0, 138.0, nan]</t>
  </si>
  <si>
    <t>[332.0, 386.0, 377.0, 661.0]</t>
  </si>
  <si>
    <t>[17.0, 16.0, 71.0, nan]</t>
  </si>
  <si>
    <t>[280.0, 1074.0, 837.0, 126.0]</t>
  </si>
  <si>
    <t>[1116.0, 1191.0, 603.0, nan]</t>
  </si>
  <si>
    <t>[81.0, -160.0, -110.0, nan]</t>
  </si>
  <si>
    <t>[505.0, 631.0, 672.0, 741.0]</t>
  </si>
  <si>
    <t>[477.0, 751.0, 1069.0, 1360.0]</t>
  </si>
  <si>
    <t>[-282.0, 321.0, 268.0, nan]</t>
  </si>
  <si>
    <t>[-287.0, -504.0, -309.0, nan]</t>
  </si>
  <si>
    <t>[117.0, 70.0, -51.0, nan]</t>
  </si>
  <si>
    <t>[-259.0, -249.0, 10.0, nan]</t>
  </si>
  <si>
    <t>[376.0, -196.0, 22.0, nan]</t>
  </si>
  <si>
    <t>[90.0, 25.0, 40.0, nan]</t>
  </si>
  <si>
    <t>[148.0, -96.0, 80.0, nan]</t>
  </si>
  <si>
    <t>[72.0, 59.0, 61.0, nan]</t>
  </si>
  <si>
    <t>[-9.0, 99.0, 48.0, nan]</t>
  </si>
  <si>
    <t>[1359.0, 1874.0, 667.0, nan]</t>
  </si>
  <si>
    <t>[-1877.0, -1915.0, -494.0, 166.0]</t>
  </si>
  <si>
    <t>[-14.0, 1263.0, 1792.0, nan]</t>
  </si>
  <si>
    <t>[490.0, 424.0, 601.0, 762.0]</t>
  </si>
  <si>
    <t>[78.0, 47.0, 86.0, nan]</t>
  </si>
  <si>
    <t>[67.0, 89.0, 145.0, nan]</t>
  </si>
  <si>
    <t>[-418.0, -87.0, -343.0, nan]</t>
  </si>
  <si>
    <t>[307.0, 316.0, -303.0, nan]</t>
  </si>
  <si>
    <t>[-939.0, -733.0, -1101.0, nan]</t>
  </si>
  <si>
    <t>[-184.0, -211.0, 47.0, nan]</t>
  </si>
  <si>
    <t>[356.0, 551.0, 790.0, nan]</t>
  </si>
  <si>
    <t>[-5.0, -73.0, 93.0, nan]</t>
  </si>
  <si>
    <t>[-169.0, 23.0, 109.0, nan]</t>
  </si>
  <si>
    <t>[26.0, -31.0, -94.0, nan]</t>
  </si>
  <si>
    <t>[-336.0, -312.0, 20.0, nan]</t>
  </si>
  <si>
    <t>[-1155.0, -70.0, -362.0, nan]</t>
  </si>
  <si>
    <t>[76.0, 185.0, 201.0, nan]</t>
  </si>
  <si>
    <t>[-260.0, -909.0, -237.0, nan]</t>
  </si>
  <si>
    <t>[60.0, -331.0, -672.0, nan]</t>
  </si>
  <si>
    <t>[-200.0, 199.0, -37.0, nan]</t>
  </si>
  <si>
    <t>[136.0, 156.0, -45.0, nan]</t>
  </si>
  <si>
    <t>[20.0, -47.0, -67.0, nan]</t>
  </si>
  <si>
    <t>[-189.0, -19.0, 39.0, nan]</t>
  </si>
  <si>
    <t>[9660.0, 10682.0, 12150.0, 13294.0]</t>
  </si>
  <si>
    <t>[641.0, 399.0, 6.0, nan]</t>
  </si>
  <si>
    <t>[nan, nan, -100.0, nan]</t>
  </si>
  <si>
    <t>[nan, -5.0, -17.0, nan]</t>
  </si>
  <si>
    <t>[nan, -16.0, 18.0, nan]</t>
  </si>
  <si>
    <t>[471.0, 685.0, 883.0, 928.0]</t>
  </si>
  <si>
    <t>[-23.0, -116.0, -305.0, nan]</t>
  </si>
  <si>
    <t>[nan, 12962.0, 9772.0, nan]</t>
  </si>
  <si>
    <t>[1220.0, 945.0, 308.0, 1513.0]</t>
  </si>
  <si>
    <t>[766.0, 605.0, 871.0, nan]</t>
  </si>
  <si>
    <t>[34.0, 66.0, -254.0, nan]</t>
  </si>
  <si>
    <t>[751.0, 284.0, 1031.0, 590.0]</t>
  </si>
  <si>
    <t>[632.0, 2758.0, 4243.0, -4363.0]</t>
  </si>
  <si>
    <t>[-281.0, -376.0, -41.0, nan]</t>
  </si>
  <si>
    <t>[800.0, -7585.0, -10981.0, 2.0]</t>
  </si>
  <si>
    <t>[2600.0, 2614.0, 2673.0, 3046.0]</t>
  </si>
  <si>
    <t>[2534.0, 195.0, 1189.0, 2147.0]</t>
  </si>
  <si>
    <t>[-25588.0, 2373.0, 2791.0, 536.0]</t>
  </si>
  <si>
    <t>[50.0, 29.0, 36.0, nan]</t>
  </si>
  <si>
    <t>[-557.0, -3539.0, -4168.0, 270.0]</t>
  </si>
  <si>
    <t>[256.0, 84.0, -1192.0, nan]</t>
  </si>
  <si>
    <t>[1410.0, 1226.0, 1078.0, 2026.0]</t>
  </si>
  <si>
    <t>[261.0, 556.0, 706.0, 653.0]</t>
  </si>
  <si>
    <t>[4970.0, 1133.0, -1457.0, 3007.0]</t>
  </si>
  <si>
    <t>[198.0, 161.0, 124.0, nan]</t>
  </si>
  <si>
    <t>[34.0, -38.0, -102.0, nan]</t>
  </si>
  <si>
    <t>[3717.0, -561.0, -4070.0, -4377.0]</t>
  </si>
  <si>
    <t>[-19129.0, -88339.0, 5201.0, nan]</t>
  </si>
  <si>
    <t>[849.0, 338.0, 691.0, nan]</t>
  </si>
  <si>
    <t>[3670.0, -1752.0, 2458.0, nan]</t>
  </si>
  <si>
    <t>[nan, -5907.0, -15622.0, -7317.0]</t>
  </si>
  <si>
    <t>[nan, 4909.0, 21510.0, 18758.0]</t>
  </si>
  <si>
    <t>[319.0, 333.0, 87.0, 21.0]</t>
  </si>
  <si>
    <t>[-231.0, -234.0, -271.0, nan]</t>
  </si>
  <si>
    <t>[nan, nan, -43.0, nan]</t>
  </si>
  <si>
    <t>[384.0, -457.0, 60.0, nan]</t>
  </si>
  <si>
    <t>[482.0, 86.0, 40.0, nan]</t>
  </si>
  <si>
    <t>[-205.0, -250.0, -1099.0, nan]</t>
  </si>
  <si>
    <t>[228.0, 41.0, 204.0, nan]</t>
  </si>
  <si>
    <t>[-388.0, -473.0, 10.0, nan]</t>
  </si>
  <si>
    <t>[-84.0, -2192.0, -99.0, nan]</t>
  </si>
  <si>
    <t>[126.0, 303.0, 346.0, nan]</t>
  </si>
  <si>
    <t>[-947.0, -1083.0, -486.0, nan]</t>
  </si>
  <si>
    <t>[171.0, 661.0, 749.0, 1064.0]</t>
  </si>
  <si>
    <t>[nan, nan, 8.0, nan]</t>
  </si>
  <si>
    <t>[-485.0, -24.0, -387.0, nan]</t>
  </si>
  <si>
    <t>[53.0, 218.0, -28.0, nan]</t>
  </si>
  <si>
    <t>[26.0, 55.0, 25.0, nan]</t>
  </si>
  <si>
    <t>[-129.0, 1154.0, 434.0, -2262.0]</t>
  </si>
  <si>
    <t>[4.0, -44.0, 48.0, nan]</t>
  </si>
  <si>
    <t>[1271.0, 1651.0, 618.0, 2032.0]</t>
  </si>
  <si>
    <t>[-33.0, 32.0, -24.0, nan]</t>
  </si>
  <si>
    <t>[607.0, 524.0, 616.0, 431.0]</t>
  </si>
  <si>
    <t>[-485.0, 135.0, -377.0, nan]</t>
  </si>
  <si>
    <t>[361.0, 442.0, 935.0, 557.0]</t>
  </si>
  <si>
    <t>[443.0, 426.0, 440.0, 801.0]</t>
  </si>
  <si>
    <t>[1139.0, 514.0, 1074.0, nan]</t>
  </si>
  <si>
    <t>[61.0, 24.0, -52.0, nan]</t>
  </si>
  <si>
    <t>[-28.0, 99.0, 100.0, nan]</t>
  </si>
  <si>
    <t>[1309.0, 1214.0, 837.0, nan]</t>
  </si>
  <si>
    <t>[875.0, 373.0, 60.0, nan]</t>
  </si>
  <si>
    <t>[4556.0, 2946.0, -311.0, 7537.0]</t>
  </si>
  <si>
    <t>[3900.0, 2227.0, 1823.0, 3223.0]</t>
  </si>
  <si>
    <t>[-40.0, -530.0, -844.0, nan]</t>
  </si>
  <si>
    <t>[541.0, 168.0, 323.0, nan]</t>
  </si>
  <si>
    <t>[37.0, -97.0, -59.0, nan]</t>
  </si>
  <si>
    <t>[197.0, 228.0, 131.0, nan]</t>
  </si>
  <si>
    <t>[173.0, 582.0, 393.0, nan]</t>
  </si>
  <si>
    <t>[-598.0, -899.0, -322.0, nan]</t>
  </si>
  <si>
    <t>[-796.0, -831.0, -151.0, -364.0]</t>
  </si>
  <si>
    <t>[-2645.0, -2600.0, -3537.0, nan]</t>
  </si>
  <si>
    <t>[168.0, 256.0, -1.0, nan]</t>
  </si>
  <si>
    <t>[437.0, 468.0, -247.0, nan]</t>
  </si>
  <si>
    <t>[105.0, 105.0, 233.0, nan]</t>
  </si>
  <si>
    <t>[59.0, 119.0, -259.0, nan]</t>
  </si>
  <si>
    <t>[-198.0, -228.0, -424.0, nan]</t>
  </si>
  <si>
    <t>[-559.0, 175.0, -175.0, nan]</t>
  </si>
  <si>
    <t>[2726.0, -1308.0, 1899.0, nan]</t>
  </si>
  <si>
    <t>[10.0, 18.0, -12.0, nan]</t>
  </si>
  <si>
    <t>[531.0, 1173.0, 1348.0, 1215.0]</t>
  </si>
  <si>
    <t>[-8.0, -232.0, -322.0, nan]</t>
  </si>
  <si>
    <t>[nan, nan, 200.0, nan]</t>
  </si>
  <si>
    <t>[-2336.0, -3983.0, -2139.0, nan]</t>
  </si>
  <si>
    <t>[nan, nan, 137.0, 606.0]</t>
  </si>
  <si>
    <t>[1683.0, 360.0, 337.0, nan]</t>
  </si>
  <si>
    <t>[2753.0, 2064.0, 1474.0, nan]</t>
  </si>
  <si>
    <t>[-327.0, -68.0, 15.0, nan]</t>
  </si>
  <si>
    <t>[-314.0, -105.0, 57.0, nan]</t>
  </si>
  <si>
    <t>[-639.0, 948.0, 8398.0, 5329.0]</t>
  </si>
  <si>
    <t>[5310.0, -26714.0, 3220.0, 6728.0]</t>
  </si>
  <si>
    <t>[1227.0, 1169.0, 1373.0, nan]</t>
  </si>
  <si>
    <t>[859.0, 840.0, 1011.0, nan]</t>
  </si>
  <si>
    <t>[-288.0, 444.0, -243.0, nan]</t>
  </si>
  <si>
    <t>[347.0, 409.0, 516.0, 660.0]</t>
  </si>
  <si>
    <t>[23.0, -6.0, -422.0, nan]</t>
  </si>
  <si>
    <t>[31.0, -118.0, 11.0, nan]</t>
  </si>
  <si>
    <t>[1319.0, 1418.0, 1669.0, 1672.0]</t>
  </si>
  <si>
    <t>[180.0, 28.0, -129.0, nan]</t>
  </si>
  <si>
    <t>[7690.0, -1580.0, -5898.0, -3139.0]</t>
  </si>
  <si>
    <t>[-47.0, -3.0, -14.0, nan]</t>
  </si>
  <si>
    <t>[-1808.0, 2365.0, -2943.0, nan]</t>
  </si>
  <si>
    <t>[16600.0, 2641.0, 1411.0, 1017.0]</t>
  </si>
  <si>
    <t>[205.0, 158.0, 180.0, nan]</t>
  </si>
  <si>
    <t>[168.0, 271.0, 256.0, nan]</t>
  </si>
  <si>
    <t>[89.0, 327.0, 345.0, nan]</t>
  </si>
  <si>
    <t>[-392.0, 203.0, 145.0, 2196.0]</t>
  </si>
  <si>
    <t>[24854.0, 18812.0, 4003.0, 18253.0]</t>
  </si>
  <si>
    <t>[9543.0, 6858.0, 173.0, 10450.0]</t>
  </si>
  <si>
    <t>[7385.0, 6891.0, 4323.0, 12923.0]</t>
  </si>
  <si>
    <t>[34226.0, 38534.0, 43916.0, 46291.0]</t>
  </si>
  <si>
    <t>[-919.0, -662.0, -748.0, nan]</t>
  </si>
  <si>
    <t>[-133954.0, -19372.0, -918.0, nan]</t>
  </si>
  <si>
    <t>[8.0, 13.0, -165.0, nan]</t>
  </si>
  <si>
    <t>[517.0, 320.0, 149.0, nan]</t>
  </si>
  <si>
    <t>[813.0, 349.0, -503.0, nan]</t>
  </si>
  <si>
    <t>[-32.0, 352.0, -1125.0, nan]</t>
  </si>
  <si>
    <t>[1060.0, 999.0, 1385.0, 1705.0]</t>
  </si>
  <si>
    <t>[17.0, -69.0, -453.0, nan]</t>
  </si>
  <si>
    <t>[-149.0, -385.0, -1258.0, 199.0]</t>
  </si>
  <si>
    <t>[-6086.0, -2521.0, -1853.0, 874.0]</t>
  </si>
  <si>
    <t>[1535.0, 1566.0, 1729.0, 2360.0]</t>
  </si>
  <si>
    <t>[1302.0, 1257.0, 1170.0, -879.0]</t>
  </si>
  <si>
    <t>[127.0, 60.0, 51.0, nan]</t>
  </si>
  <si>
    <t>[2050.0, 2309.0, 1741.0, 5212.0]</t>
  </si>
  <si>
    <t>[-62.0, -6169.0, -6695.0, -13474.0]</t>
  </si>
  <si>
    <t>[1619.0, 8921.0, 8758.0, 7534.0]</t>
  </si>
  <si>
    <t>[3503.0, 4385.0, 3462.0, 3245.0]</t>
  </si>
  <si>
    <t>[419.0, 323.0, 523.0, 312.0]</t>
  </si>
  <si>
    <t>[914.0, -81.0, -71.0, nan]</t>
  </si>
  <si>
    <t>[-729.0, 462.0, 807.0, 26329.0]</t>
  </si>
  <si>
    <t>[751.0, 549.0, 221.0, nan]</t>
  </si>
  <si>
    <t>[2074.0, 1943.0, 2186.0, 3570.0]</t>
  </si>
  <si>
    <t>[468.0, 255.0, 209.0, nan]</t>
  </si>
  <si>
    <t>[-214.0, -581.0, -50.0, nan]</t>
  </si>
  <si>
    <t>[2046.0, 1390.0, 1564.0, -1278.0]</t>
  </si>
  <si>
    <t>[-138.0, -2.0, -55.0, nan]</t>
  </si>
  <si>
    <t>[262465.0, -17757.0, -1240.0, nan]</t>
  </si>
  <si>
    <t>[20981.0, 471.0, -1663.0, nan]</t>
  </si>
  <si>
    <t>[4424.0, 4883.0, 2341.0, 338.0]</t>
  </si>
  <si>
    <t>[-1953.0, -2219.0, -1100.0, nan]</t>
  </si>
  <si>
    <t>[4689.0, 3937.0, 3538.0, 5102.0]</t>
  </si>
  <si>
    <t>[440.0, 171.0, 736.0, 575.0]</t>
  </si>
  <si>
    <t>[3362.0, 3237.0, 2365.0, 3790.0]</t>
  </si>
  <si>
    <t>[2931.0, 3213.0, 1591.0, 3231.0]</t>
  </si>
  <si>
    <t>[86.0, 21.0, -26.0, nan]</t>
  </si>
  <si>
    <t>[1064.0, -2379.0, -41.0, nan]</t>
  </si>
  <si>
    <t>[10690.0, 2213.0, 561.0, -7839.0]</t>
  </si>
  <si>
    <t>[3888.0, 3848.0, 166.0, 4785.0]</t>
  </si>
  <si>
    <t>[1299.0, 1588.0, 771.0, 1111.0]</t>
  </si>
  <si>
    <t>[849.0, 4567.0, 631.0, 3873.0]</t>
  </si>
  <si>
    <t>[501.0, 736.0, 406.0, nan]</t>
  </si>
  <si>
    <t>[69.0, -2059.0, -201.0, nan]</t>
  </si>
  <si>
    <t>[-19.0, -209.0, 55.0, nan]</t>
  </si>
  <si>
    <t>[-704.0, 176.0, -2299.0, nan]</t>
  </si>
  <si>
    <t>[36.0, 23.0, -61.0, nan]</t>
  </si>
  <si>
    <t>[172.0, 26.0, -98.0, nan]</t>
  </si>
  <si>
    <t>[1227.0, -964.0, -3518.0, -3830.0]</t>
  </si>
  <si>
    <t>[1940.0, 950.0, -725.0, nan]</t>
  </si>
  <si>
    <t>[5709.0, 4813.0, 3460.0, 1579.0]</t>
  </si>
  <si>
    <t>[2279.0, 1600.0, 1498.0, 555.0]</t>
  </si>
  <si>
    <t>[-22.0, -181.0, 6.0, nan]</t>
  </si>
  <si>
    <t>[2253.0, 343.0, 1846.0, 3638.0]</t>
  </si>
  <si>
    <t>[-727.0, -152.0, -237.0, nan]</t>
  </si>
  <si>
    <t>[-1773.0, -1954.0, -3340.0, nan]</t>
  </si>
  <si>
    <t>[35.0, 126.0, 18.0, nan]</t>
  </si>
  <si>
    <t>[-478.0, -448.0, -2291.0, nan]</t>
  </si>
  <si>
    <t>[613.0, 290.0, 259.0, 290.0]</t>
  </si>
  <si>
    <t>[330.0, 318.0, 213.0, nan]</t>
  </si>
  <si>
    <t>[16.0, 51.0, 96.0, nan]</t>
  </si>
  <si>
    <t>[133.0, 164.0, 61.0, nan]</t>
  </si>
  <si>
    <t>[3371.0, 8052.0, 10361.0, 6216.0]</t>
  </si>
  <si>
    <t>[52.0, 36.0, 51.0, nan]</t>
  </si>
  <si>
    <t>[-226.0, 62.0, 12.0, 88.0]</t>
  </si>
  <si>
    <t>[154.0, 2009.0, 3907.0, nan]</t>
  </si>
  <si>
    <t>[54.0, 123.0, 3.0, nan]</t>
  </si>
  <si>
    <t>[3772.0, 2710.0, 3859.0, 3846.0]</t>
  </si>
  <si>
    <t>[-391.0, -10.0, -14.0, nan]</t>
  </si>
  <si>
    <t>[569.0, 405.0, -1400.0, nan]</t>
  </si>
  <si>
    <t>[1912.0, 3538.0, 5453.0, 7392.0]</t>
  </si>
  <si>
    <t>[323.0, -2440.0, -1012.0, nan]</t>
  </si>
  <si>
    <t>[1719.0, 1954.0, 1907.0, nan]</t>
  </si>
  <si>
    <t>[10.0, -117.0, -598.0, nan]</t>
  </si>
  <si>
    <t>[-573.0, -490.0, -362.0, nan]</t>
  </si>
  <si>
    <t>[118.0, -1398.0, -2212.0, nan]</t>
  </si>
  <si>
    <t>[74.0, -1359.0, -1361.0, nan]</t>
  </si>
  <si>
    <t>[-907.0, -416.0, -587.0, nan]</t>
  </si>
  <si>
    <t>[-135.0, -531.0, -138.0, nan]</t>
  </si>
  <si>
    <t>[383.0, 389.0, 26.0, nan]</t>
  </si>
  <si>
    <t>[-184.0, -242.0, -107.0, nan]</t>
  </si>
  <si>
    <t>[455.0, -478.0, -413.0, nan]</t>
  </si>
  <si>
    <t>[38161.0, 45925.0, 26861.0, 36597.0]</t>
  </si>
  <si>
    <t>[103.0, 23.0, 6.0, nan]</t>
  </si>
  <si>
    <t>[10.0, -33.0, 28.0, nan]</t>
  </si>
  <si>
    <t>[291.0, -869.0, -1016.0, nan]</t>
  </si>
  <si>
    <t>[-99.0, -373.0, -333.0, nan]</t>
  </si>
  <si>
    <t>[1638.0, 1026.0, -226.0, 248.0]</t>
  </si>
  <si>
    <t>[20104.0, 19061.0, 16320.0, 29558.0]</t>
  </si>
  <si>
    <t>[-174.0, -11.0, -47.0, nan]</t>
  </si>
  <si>
    <t>[117.0, -468.0, 80.0, nan]</t>
  </si>
  <si>
    <t>[2858.0, 1952.0, 2211.0, 4421.0]</t>
  </si>
  <si>
    <t>[1443.0, 709.0, 783.0, nan]</t>
  </si>
  <si>
    <t>[187.0, 2207.0, 3679.0, 2555.0]</t>
  </si>
  <si>
    <t>[-1121.0, -1401.0, -174.0, nan]</t>
  </si>
  <si>
    <t>[-533.0, -492.0, 58.0, nan]</t>
  </si>
  <si>
    <t>[925.0, -2559.0, 2601.0, 3084.0]</t>
  </si>
  <si>
    <t>[-55.0, 70.0, 397.0, nan]</t>
  </si>
  <si>
    <t>[-5970.0, -3031.0, -7021.0, nan]</t>
  </si>
  <si>
    <t>[-114.0, -394.0, -150.0, nan]</t>
  </si>
  <si>
    <t>[-356.0, -579.0, -509.0, nan]</t>
  </si>
  <si>
    <t>[2962.0, 2868.0, 3684.0, nan]</t>
  </si>
  <si>
    <t>[167.0, 2188.0, -111.0, nan]</t>
  </si>
  <si>
    <t>[111.0, -289.0, -116.0, nan]</t>
  </si>
  <si>
    <t>[1283.0, 459.0, 729.0, 634.0]</t>
  </si>
  <si>
    <t>[21.0, 18.0, 11.0, nan]</t>
  </si>
  <si>
    <t>[3320.0, 6930.0, 7542.0, nan]</t>
  </si>
  <si>
    <t>[4878.0, 4184.0, 6164.0, nan]</t>
  </si>
  <si>
    <t>[-1034.0, -1004.0, -544.0, nan]</t>
  </si>
  <si>
    <t>[143.0, 32.0, -92.0, nan]</t>
  </si>
  <si>
    <t>[113.0, -50.0, 66.0, nan]</t>
  </si>
  <si>
    <t>[298.0, 38.0, -779.0, nan]</t>
  </si>
  <si>
    <t>[-1783.0, -329.0, -454.0, nan]</t>
  </si>
  <si>
    <t>[102.0, 2250.0, 2354.0, -173.0]</t>
  </si>
  <si>
    <t>[-93.0, -73.0, -109.0, nan]</t>
  </si>
  <si>
    <t>[9338.0, 9962.0, 5066.0, 8264.0]</t>
  </si>
  <si>
    <t>[-1466.0, 3387.0, 3067.0, 3435.0]</t>
  </si>
  <si>
    <t>[6854.0, 8134.0, 9518.0, 6047.0]</t>
  </si>
  <si>
    <t>[1293.0, 845.0, 460.0, nan]</t>
  </si>
  <si>
    <t>[33.0, 31.0, 42.0, 455.0]</t>
  </si>
  <si>
    <t>[-128.0, -277.0, -93.0, nan]</t>
  </si>
  <si>
    <t>[19.0, 22.0, 3.0, nan]</t>
  </si>
  <si>
    <t>[233.0, -849.0, -2309.0, nan]</t>
  </si>
  <si>
    <t>[-154.0, 10.0, -92.0, nan]</t>
  </si>
  <si>
    <t>[1995.0, 2225.0, 2742.0, 4472.0]</t>
  </si>
  <si>
    <t>[39.0, 148.0, 65.0, nan]</t>
  </si>
  <si>
    <t>[1.0, 2.0, -6.0, nan]</t>
  </si>
  <si>
    <t>[-2150.0, -418.0, -302.0, nan]</t>
  </si>
  <si>
    <t>[2575.0, 1790.0, 855.0, nan]</t>
  </si>
  <si>
    <t>[-231.0, 350.0, 1493.0, 1385.0]</t>
  </si>
  <si>
    <t>[-222.0, -1412.0, 121.0, nan]</t>
  </si>
  <si>
    <t>[1345.0, 862.0, 156.0, nan]</t>
  </si>
  <si>
    <t>[-631.0, -203.0, -59.0, nan]</t>
  </si>
  <si>
    <t>[3807.0, 4623.0, 7906.0, 10763.0]</t>
  </si>
  <si>
    <t>[11.0, 252.0, 450.0, nan]</t>
  </si>
  <si>
    <t>[338.0, 33.0, 487.0, nan]</t>
  </si>
  <si>
    <t>[-795.0, -682.0, -2080.0, -1472.0]</t>
  </si>
  <si>
    <t>[-171.0, -39.0, 117.0, nan]</t>
  </si>
  <si>
    <t>[2084.0, 8457.0, 6627.0, 7579.0]</t>
  </si>
  <si>
    <t>[-407.0, 129.0, -1915.0, nan]</t>
  </si>
  <si>
    <t>[122.0, 127.0, 225.0, nan]</t>
  </si>
  <si>
    <t>[1294.0, -896.0, 2057.0, 3389.0]</t>
  </si>
  <si>
    <t>[-1238.0, -4739.0, 114.0, nan]</t>
  </si>
  <si>
    <t>[76.0, 59.0, -232.0, nan]</t>
  </si>
  <si>
    <t>[-733.0, -392.0, -225.0, nan]</t>
  </si>
  <si>
    <t>[267.0, -3.0, 40.0, nan]</t>
  </si>
  <si>
    <t>[5478.0, -1969.0, -784.0, 594.0]</t>
  </si>
  <si>
    <t>[293.0, 1433.0, 2188.0, 1793.0]</t>
  </si>
  <si>
    <t>[-44.0, 35.0, 75.0, nan]</t>
  </si>
  <si>
    <t>[664.0, 308.0, 387.0, nan]</t>
  </si>
  <si>
    <t>[216.0, -14.0, 427.0, nan]</t>
  </si>
  <si>
    <t>[299.0, 401.0, 746.0, nan]</t>
  </si>
  <si>
    <t>[-66846.0, -285043.0, -315.0, nan]</t>
  </si>
  <si>
    <t>[57.0, 714.0, 932.0, 1068.0]</t>
  </si>
  <si>
    <t>[680.0, 555.0, 462.0, nan]</t>
  </si>
  <si>
    <t>[35.0, 14.0, 60.0, nan]</t>
  </si>
  <si>
    <t>[385.0, 856.0, 661.0, nan]</t>
  </si>
  <si>
    <t>[313.0, -1140.0, -569.0, nan]</t>
  </si>
  <si>
    <t>[915.0, 982.0, 685.0, nan]</t>
  </si>
  <si>
    <t>[646.0, -1394.0, 1183.0, nan]</t>
  </si>
  <si>
    <t>[-176.0, -169.0, -305.0, nan]</t>
  </si>
  <si>
    <t>[371.0, 69.0, -8.0, nan]</t>
  </si>
  <si>
    <t>[-1588.0, 625.0, 1057.0, 1663.0]</t>
  </si>
  <si>
    <t>[127.0, -8.0, -538.0, nan]</t>
  </si>
  <si>
    <t>[nan, -8.0, 22.0, nan]</t>
  </si>
  <si>
    <t>[nan, 12.0, 22.0, nan]</t>
  </si>
  <si>
    <t>[357.0, 68.0, -1070.0, nan]</t>
  </si>
  <si>
    <t>[-300.0, 271.0, -122.0, nan]</t>
  </si>
  <si>
    <t>[692.0, 1077.0, 592.0, 660.0]</t>
  </si>
  <si>
    <t>[476.0, 148.0, 147.0, 376.0]</t>
  </si>
  <si>
    <t>[-67.0, -165.0, -257.0, nan]</t>
  </si>
  <si>
    <t>[396.0, -873.0, -257.0, nan]</t>
  </si>
  <si>
    <t>[182.0, 273.0, 173.0, nan]</t>
  </si>
  <si>
    <t>[270.0, 338.0, 1126.0, nan]</t>
  </si>
  <si>
    <t>[-967.0, -99.0, -260.0, nan]</t>
  </si>
  <si>
    <t>[110.0, -260.0, -4013.0, nan]</t>
  </si>
  <si>
    <t>[237.0, 592.0, -155.0, nan]</t>
  </si>
  <si>
    <t>[544.0, 846.0, 813.0, 556.0]</t>
  </si>
  <si>
    <t>[-531.0, 73.0, 23.0, nan]</t>
  </si>
  <si>
    <t>[390.0, 142.0, 176.0, nan]</t>
  </si>
  <si>
    <t>[206.0, 686.0, 380.0, 916.0]</t>
  </si>
  <si>
    <t>[-4933.0, -44725.0, -192.0, nan]</t>
  </si>
  <si>
    <t>[nan, nan, -57.0, nan]</t>
  </si>
  <si>
    <t>[nan, -4.0, 20.0, nan]</t>
  </si>
  <si>
    <t>[-204.0, -991.0, -279.0, nan]</t>
  </si>
  <si>
    <t>[18.0, -72.0, 17.0, nan]</t>
  </si>
  <si>
    <t>[278.0, -1053.0, -584.0, nan]</t>
  </si>
  <si>
    <t>[566.0, 396.0, 473.0, 221.0]</t>
  </si>
  <si>
    <t>[-693.0, 257.0, 96.0, nan]</t>
  </si>
  <si>
    <t>[-304.0, 173.0, -266.0, nan]</t>
  </si>
  <si>
    <t>[-1262.0, -898.0, -220.0, nan]</t>
  </si>
  <si>
    <t>[-18.0, -87.0, 5.0, nan]</t>
  </si>
  <si>
    <t>[296.0, 444.0, 254.0, 367.0]</t>
  </si>
  <si>
    <t>[116.0, 113.0, 491.0, 643.0]</t>
  </si>
  <si>
    <t>[3368.0, 2362.0, 1430.0, nan]</t>
  </si>
  <si>
    <t>[207.0, 486.0, 310.0, nan]</t>
  </si>
  <si>
    <t>[-117.0, 95.0, 55.0, nan]</t>
  </si>
  <si>
    <t>[-881.0, -146.0, -143.0, nan]</t>
  </si>
  <si>
    <t>[156.0, 101.0, 50.0, nan]</t>
  </si>
  <si>
    <t>[818.0, -65.0, -1197.0, nan]</t>
  </si>
  <si>
    <t>[73.0, 59.0, -175.0, nan]</t>
  </si>
  <si>
    <t>[-98.0, -11.0, -18.0, nan]</t>
  </si>
  <si>
    <t>[51.0, 68.0, -89.0, nan]</t>
  </si>
  <si>
    <t>[279.0, 1276.0, -544.0, nan]</t>
  </si>
  <si>
    <t>[1316.0, 664.0, 95.0, -1817.0]</t>
  </si>
  <si>
    <t>[-1484.0, -1454.0, -533.0, nan]</t>
  </si>
  <si>
    <t>[-363.0, -505.0, -267.0, 5617.0]</t>
  </si>
  <si>
    <t>[398.0, 1588.0, 432.0, nan]</t>
  </si>
  <si>
    <t>[-188.0, -49.0, 140.0, nan]</t>
  </si>
  <si>
    <t>[-1819.0, -2198.0, -2681.0, nan]</t>
  </si>
  <si>
    <t>[-2756.0, -847.0, -1233.0, nan]</t>
  </si>
  <si>
    <t>[82.0, 345.0, 356.0, nan]</t>
  </si>
  <si>
    <t>[-92.0, -72.0, 497.0, 1874.0]</t>
  </si>
  <si>
    <t>[-129.0, -223.0, -133.0, nan]</t>
  </si>
  <si>
    <t>[nan, 252.0, 413.0, 1020.0]</t>
  </si>
  <si>
    <t>[107.0, 11.0, 166.0, nan]</t>
  </si>
  <si>
    <t>[-205.0, -130.0, 18.0, nan]</t>
  </si>
  <si>
    <t>[1265.0, 712.0, 493.0, nan]</t>
  </si>
  <si>
    <t>[265.0, 132.0, 175.0, nan]</t>
  </si>
  <si>
    <t>[1466.0, -19760.0, -981.0, nan]</t>
  </si>
  <si>
    <t>[448.0, 114.0, -987.0, nan]</t>
  </si>
  <si>
    <t>[-1740.0, -1627.0, 128.0, nan]</t>
  </si>
  <si>
    <t>[60.0, -735.0, -131.0, nan]</t>
  </si>
  <si>
    <t>[202.0, 303.0, 118.0, nan]</t>
  </si>
  <si>
    <t>[-364.0, -379.0, -779.0, nan]</t>
  </si>
  <si>
    <t>[nan, -1121.0, -197.0, nan]</t>
  </si>
  <si>
    <t>[-211.0, -264.0, -399.0, nan]</t>
  </si>
  <si>
    <t>[96.0, 249.0, -109.0, nan]</t>
  </si>
  <si>
    <t>[-295.0, 199.0, -87.0, nan]</t>
  </si>
  <si>
    <t>[-398.0, -977.0, -1456.0, nan]</t>
  </si>
  <si>
    <t>[-526.0, -408.0, -349.0, nan]</t>
  </si>
  <si>
    <t>[116.0, 174.0, -164.0, nan]</t>
  </si>
  <si>
    <t>[-361.0, 200.0, 268.0, 495.0]</t>
  </si>
  <si>
    <t>[-297490.0, -359916.0, -14326.0, nan]</t>
  </si>
  <si>
    <t>[184.0, 432.0, -395.0, -106.0]</t>
  </si>
  <si>
    <t>[418.0, 1930.0, 2688.0, 24.0]</t>
  </si>
  <si>
    <t>[-420.0, -189.0, -60.0, nan]</t>
  </si>
  <si>
    <t>[581.0, 182.0, 252.0, nan]</t>
  </si>
  <si>
    <t>[-24.0, -191.0, -141.0, nan]</t>
  </si>
  <si>
    <t>[473.0, 300.0, 748.0, 749.0]</t>
  </si>
  <si>
    <t>[-142.0, -156.0, 209.0, nan]</t>
  </si>
  <si>
    <t>[-50.0, -177.0, -4.0, nan]</t>
  </si>
  <si>
    <t>[-628.0, 182.0, 110.0, -214.0]</t>
  </si>
  <si>
    <t>[779.0, 639.0, 984.0, 1445.0]</t>
  </si>
  <si>
    <t>[559.0, 177.0, -1060.0, nan]</t>
  </si>
  <si>
    <t>[61.0, -71.0, -54.0, nan]</t>
  </si>
  <si>
    <t>[-105.0, -342.0, -150.0, nan]</t>
  </si>
  <si>
    <t>[-634.0, -571.0, -735.0, nan]</t>
  </si>
  <si>
    <t>[2060.0, 1226.0, 401.0, 1588.0]</t>
  </si>
  <si>
    <t>[42.0, 18.0, -378.0, nan]</t>
  </si>
  <si>
    <t>[635.0, 188.0, -1426.0, 2384.0]</t>
  </si>
  <si>
    <t>[2894.0, 3010.0, 2370.0, 4913.0]</t>
  </si>
  <si>
    <t>[1002.0, 1468.0, 2439.0, 2640.0]</t>
  </si>
  <si>
    <t>[nan, nan, -80.0, nan]</t>
  </si>
  <si>
    <t>[-712.0, 434.0, -2199.0, nan]</t>
  </si>
  <si>
    <t>[752.0, 524.0, 666.0, nan]</t>
  </si>
  <si>
    <t>[nan, nan, -106.0, nan]</t>
  </si>
  <si>
    <t>[nan, nan, -29.0, nan]</t>
  </si>
  <si>
    <t>[334.0, 278.0, 328.0, nan]</t>
  </si>
  <si>
    <t>[-203.0, 110.0, -159.0, nan]</t>
  </si>
  <si>
    <t>[124.0, 409.0, 1017.0, 18505.0]</t>
  </si>
  <si>
    <t>[927.0, 405.0, 178.0, nan]</t>
  </si>
  <si>
    <t>[-152.0, -605.0, -501.0, nan]</t>
  </si>
  <si>
    <t>[49.0, 24.0, -140.0, nan]</t>
  </si>
  <si>
    <t>[-131.0, -175.0, -280.0, nan]</t>
  </si>
  <si>
    <t>[-37.0, -25.0, 7.0, nan]</t>
  </si>
  <si>
    <t>[1321.0, -514.0, -630.0, nan]</t>
  </si>
  <si>
    <t>[-312.0, -87.0, 0.0, nan]</t>
  </si>
  <si>
    <t>[1381.0, 1395.0, 25.0, nan]</t>
  </si>
  <si>
    <t>[1146.0, 1647.0, 1705.0, nan]</t>
  </si>
  <si>
    <t>[303.0, 433.0, 681.0, nan]</t>
  </si>
  <si>
    <t>[-35.0, 913.0, -1858.0, nan]</t>
  </si>
  <si>
    <t>[-1179.0, -469.0, -711.0, nan]</t>
  </si>
  <si>
    <t>[268.0, -248.0, -440.0, -21.0]</t>
  </si>
  <si>
    <t>[-441.0, -245.0, -935.0, nan]</t>
  </si>
  <si>
    <t>[-247.0, 2093.0, 5.0, 1203.0]</t>
  </si>
  <si>
    <t>[6.0, 91.0, -14.0, nan]</t>
  </si>
  <si>
    <t>[2600.0, 730.0, 37.0, -860.0]</t>
  </si>
  <si>
    <t>[-459.0, -301.0, 109.0, nan]</t>
  </si>
  <si>
    <t>[-505.0, -128.0, -120.0, nan]</t>
  </si>
  <si>
    <t>[32.0, -246.0, -83.0, nan]</t>
  </si>
  <si>
    <t>[67.0, -416.0, -2193.0, nan]</t>
  </si>
  <si>
    <t>[245.0, 191.0, 141.0, nan]</t>
  </si>
  <si>
    <t>[-843.0, -810.0, -1600.0, nan]</t>
  </si>
  <si>
    <t>[1432.0, 1037.0, 310.0, 1776.0]</t>
  </si>
  <si>
    <t>[59.0, -448.0, 182.0, nan]</t>
  </si>
  <si>
    <t>[590.0, 378.0, 935.0, nan]</t>
  </si>
  <si>
    <t>[1173.0, 76.0, 431.0, 1913.0]</t>
  </si>
  <si>
    <t>[76.0, -263.0, 240.0, nan]</t>
  </si>
  <si>
    <t>[-86.0, -1453.0, -224.0, nan]</t>
  </si>
  <si>
    <t>[-176.0, -851.0, -321.0, nan]</t>
  </si>
  <si>
    <t>[-601.0, -1035.0, -2529.0, nan]</t>
  </si>
  <si>
    <t>[-758.0, -1424.0, -266.0, nan]</t>
  </si>
  <si>
    <t>[-339.0, -454.0, -1710.0, nan]</t>
  </si>
  <si>
    <t>[nan, -5067.0, -426.0, nan]</t>
  </si>
  <si>
    <t>[17.0, -111.0, -202.0, nan]</t>
  </si>
  <si>
    <t>[-116.0, -791.0, -534.0, nan]</t>
  </si>
  <si>
    <t>[-142.0, 53.0, 29.0, nan]</t>
  </si>
  <si>
    <t>[-293.0, -283.0, -251.0, nan]</t>
  </si>
  <si>
    <t>[7.0, -1.0, 4.0, nan]</t>
  </si>
  <si>
    <t>[585.0, 603.0, 511.0, nan]</t>
  </si>
  <si>
    <t>[-2.0, 63.0, 69.0, nan]</t>
  </si>
  <si>
    <t>[210.0, 221.0, 216.0, nan]</t>
  </si>
  <si>
    <t>[-1591.0, -1384.0, -1400.0, nan]</t>
  </si>
  <si>
    <t>[-419.0, -209.0, -105.0, nan]</t>
  </si>
  <si>
    <t>[17.0, -55.0, -144.0, nan]</t>
  </si>
  <si>
    <t>[-244.0, -310.0, -30.0, nan]</t>
  </si>
  <si>
    <t>[-106.0, -181.0, -200.0, nan]</t>
  </si>
  <si>
    <t>[nan, -249.0, -1853.0, nan]</t>
  </si>
  <si>
    <t>[-25.0, -18.0, -100.0, nan]</t>
  </si>
  <si>
    <t>[-599.0, -266.0, -853.0, nan]</t>
  </si>
  <si>
    <t>[17.0, 7.0, 9.0, nan]</t>
  </si>
  <si>
    <t>[78.0, 65.0, 129.0, nan]</t>
  </si>
  <si>
    <t>[140.0, 90.0, 37.0, nan]</t>
  </si>
  <si>
    <t>[-214.0, 10.0, 86.0, nan]</t>
  </si>
  <si>
    <t>[-169.0, -24.0, 52.0, nan]</t>
  </si>
  <si>
    <t>[-31.0, -390.0, 632.0, 720.0]</t>
  </si>
  <si>
    <t>[-96.0, 5.0, -187.0, nan]</t>
  </si>
  <si>
    <t>[1051.0, 1278.0, 941.0, 1546.0]</t>
  </si>
  <si>
    <t>[-196.0, -129.0, -52.0, nan]</t>
  </si>
  <si>
    <t>[-868.0, -3598.0, -756.0, nan]</t>
  </si>
  <si>
    <t>[23.0, 117.0, 20.0, nan]</t>
  </si>
  <si>
    <t>[-2645.0, -1274.0, -409.0, nan]</t>
  </si>
  <si>
    <t>[624.0, 462.0, 430.0, nan]</t>
  </si>
  <si>
    <t>[253.0, 70.0, 52.0, nan]</t>
  </si>
  <si>
    <t>[96.0, -75.0, -884.0, nan]</t>
  </si>
  <si>
    <t>[67.0, 21.0, 203.0, nan]</t>
  </si>
  <si>
    <t>[nan, nan, 4756.0, nan]</t>
  </si>
  <si>
    <t>[-206.0, 363.0, 65.0, nan]</t>
  </si>
  <si>
    <t>[1.0, -1133.0, -200.0, nan]</t>
  </si>
  <si>
    <t>[-539.0, 49.0, -80.0, nan]</t>
  </si>
  <si>
    <t>[-9.0, -37.0, -69.0, nan]</t>
  </si>
  <si>
    <t>[-61.0, -129.0, -904.0, nan]</t>
  </si>
  <si>
    <t>[-165.0, -685.0, -28.0, nan]</t>
  </si>
  <si>
    <t>[6.0, 54.0, 27.0, nan]</t>
  </si>
  <si>
    <t>[-351.0, -384.0, -1094.0, nan]</t>
  </si>
  <si>
    <t>[6.0, 111.0, -643.0, nan]</t>
  </si>
  <si>
    <t>[47.0, 417.0, -586.0, nan]</t>
  </si>
  <si>
    <t>[312.0, 431.0, 400.0, nan]</t>
  </si>
  <si>
    <t>[-110.0, -876.0, -1206.0, nan]</t>
  </si>
  <si>
    <t>[61.0, 1176.0, 910.0, nan]</t>
  </si>
  <si>
    <t>[100.0, 95.0, -216.0, nan]</t>
  </si>
  <si>
    <t>[679.0, 515.0, 597.0, nan]</t>
  </si>
  <si>
    <t>[1102.0, 1746.0, 1024.0, 4386.0]</t>
  </si>
  <si>
    <t>[1061.0, 1178.0, 1634.0, 2540.0]</t>
  </si>
  <si>
    <t>[2609.0, 1122.0, -351.0, nan]</t>
  </si>
  <si>
    <t>[-140.0, -528.0, -698.0, nan]</t>
  </si>
  <si>
    <t>[1793.0, -1677.0, -792.0, nan]</t>
  </si>
  <si>
    <t>[-374.0, -711.0, 83.0, nan]</t>
  </si>
  <si>
    <t>[-193.0, -90.0, -975.0, 5463.0]</t>
  </si>
  <si>
    <t>[-27.0, -111.0, -77.0, nan]</t>
  </si>
  <si>
    <t>[-77.0, 22.0, -191.0, nan]</t>
  </si>
  <si>
    <t>[572.0, 468.0, 486.0, nan]</t>
  </si>
  <si>
    <t>[nan, nan, 676.0, nan]</t>
  </si>
  <si>
    <t>[302.0, 1094.0, 1325.0, -752.0]</t>
  </si>
  <si>
    <t>[-8.0, 40.0, 16.0, nan]</t>
  </si>
  <si>
    <t>[-39.0, -73.0, 65.0, nan]</t>
  </si>
  <si>
    <t>[-202.0, -222.0, -52.0, nan]</t>
  </si>
  <si>
    <t>[-741.0, -507.0, -114.0, nan]</t>
  </si>
  <si>
    <t>[410.0, 834.0, 750.0, nan]</t>
  </si>
  <si>
    <t>[496.0, 165.0, 87.0, nan]</t>
  </si>
  <si>
    <t>[99.0, 91.0, 30.0, nan]</t>
  </si>
  <si>
    <t>[22.0, 41.0, 39.0, nan]</t>
  </si>
  <si>
    <t>[nan, nan, -36.0, nan]</t>
  </si>
  <si>
    <t>[nan, -37.0, -7.0, nan]</t>
  </si>
  <si>
    <t>[76.0, 95.0, 39.0, nan]</t>
  </si>
  <si>
    <t>[13.0, 40.0, -4.0, nan]</t>
  </si>
  <si>
    <t>[-41.0, -28.0, -99.0, nan]</t>
  </si>
  <si>
    <t>[644.0, 561.0, 517.0, nan]</t>
  </si>
  <si>
    <t>[336.0, 311.0, 1056.0, 2094.0]</t>
  </si>
  <si>
    <t>[756.0, 628.0, 593.0, nan]</t>
  </si>
  <si>
    <t>[261.0, 305.0, 158.0, nan]</t>
  </si>
  <si>
    <t>[-62.0, -893.0, 50.0, 69.0]</t>
  </si>
  <si>
    <t>[-636.0, -514.0, 53.0, nan]</t>
  </si>
  <si>
    <t>[196.0, 51.0, 410.0, 280.0]</t>
  </si>
  <si>
    <t>[1033.0, 1255.0, 1804.0, 2222.0]</t>
  </si>
  <si>
    <t>[197.0, 342.0, -455.0, nan]</t>
  </si>
  <si>
    <t>[-333.0, -185.0, -322.0, nan]</t>
  </si>
  <si>
    <t>[457.0, 322.0, 133.0, nan]</t>
  </si>
  <si>
    <t>[-970.0, -359.0, -57.0, nan]</t>
  </si>
  <si>
    <t>[-524.0, -926.0, -1205.0, nan]</t>
  </si>
  <si>
    <t>[1209.0, 1492.0, 855.0, nan]</t>
  </si>
  <si>
    <t>[-663.0, 276.0, 123.0, nan]</t>
  </si>
  <si>
    <t>[268.0, 340.0, 315.0, 376.0]</t>
  </si>
  <si>
    <t>[15.0, -19.0, -312.0, nan]</t>
  </si>
  <si>
    <t>[269.0, 91.0, -9.0, nan]</t>
  </si>
  <si>
    <t>[41.0, -10.0, 31.0, nan]</t>
  </si>
  <si>
    <t>[nan, -32.0, 10.0, nan]</t>
  </si>
  <si>
    <t>[-309.0, -261.0, 210.0, nan]</t>
  </si>
  <si>
    <t>[85.0, 42.0, -153.0, nan]</t>
  </si>
  <si>
    <t>[-307.0, -466.0, -121.0, nan]</t>
  </si>
  <si>
    <t>[12639.0, 3254.0, 2584.0, 6358.0]</t>
  </si>
  <si>
    <t>[-129.0, -375.0, -996.0, nan]</t>
  </si>
  <si>
    <t>[1950.0, 3091.0, 2159.0, 1478.0]</t>
  </si>
  <si>
    <t>[nan, -785.0, -3725.0, -1316.0]</t>
  </si>
  <si>
    <t>[426.0, 597.0, 354.0, nan]</t>
  </si>
  <si>
    <t>[251.0, 327.0, 463.0, nan]</t>
  </si>
  <si>
    <t>[33.0, 145.0, 106.0, nan]</t>
  </si>
  <si>
    <t>[-1152.0, -776.0, -1992.0, nan]</t>
  </si>
  <si>
    <t>[771.0, 197.0, 758.0, nan]</t>
  </si>
  <si>
    <t>[-7078.0, -4663.0, -417.0, nan]</t>
  </si>
  <si>
    <t>[-309.0, 327.0, -286.0, nan]</t>
  </si>
  <si>
    <t>[-63.0, 225.0, 156.0, nan]</t>
  </si>
  <si>
    <t>[-308.0, 62.0, -321.0, nan]</t>
  </si>
  <si>
    <t>[40.0, -1476.0, -474.0, nan]</t>
  </si>
  <si>
    <t>[734.0, 278.0, 311.0, nan]</t>
  </si>
  <si>
    <t>[272.0, 821.0, 164.0, nan]</t>
  </si>
  <si>
    <t>[-70.0, 1462.0, 1104.0, 2466.0]</t>
  </si>
  <si>
    <t>[nan, 171.0, -42.0, nan]</t>
  </si>
  <si>
    <t>[13.0, -72.0, -240.0, nan]</t>
  </si>
  <si>
    <t>[-438.0, -944.0, -649.0, nan]</t>
  </si>
  <si>
    <t>[683.0, 50.0, 424.0, nan]</t>
  </si>
  <si>
    <t>[488.0, 236.0, 150.0, nan]</t>
  </si>
  <si>
    <t>[417.0, 604.0, 686.0, 760.0]</t>
  </si>
  <si>
    <t>[-397.0, -605.0, -320.0, nan]</t>
  </si>
  <si>
    <t>[33.0, -242.0, 121.0, nan]</t>
  </si>
  <si>
    <t>[-29.0, -426.0, -863.0, -214.0]</t>
  </si>
  <si>
    <t>[-5982.0, 593.0, -55.0, 160.0]</t>
  </si>
  <si>
    <t>[151.0, 260.0, 76.0, nan]</t>
  </si>
  <si>
    <t>[-407.0, 52.0, -634.0, nan]</t>
  </si>
  <si>
    <t>[-85.0, 126.0, 217.0, nan]</t>
  </si>
  <si>
    <t>[625.0, 702.0, 530.0, nan]</t>
  </si>
  <si>
    <t>[-189.0, -123.0, -114.0, nan]</t>
  </si>
  <si>
    <t>[-1048.0, 218.0, -183.0, nan]</t>
  </si>
  <si>
    <t>[-3.0, -37.0, 18.0, nan]</t>
  </si>
  <si>
    <t>[-327.0, -225.0, 228.0, nan]</t>
  </si>
  <si>
    <t>[910.0, 838.0, 543.0, nan]</t>
  </si>
  <si>
    <t>[77.0, 48.0, 51.0, nan]</t>
  </si>
  <si>
    <t>[11728.0, 11705.0, 4384.0, -1372.0]</t>
  </si>
  <si>
    <t>[325.0, 260.0, 662.0, 534.0]</t>
  </si>
  <si>
    <t>[236.0, 241.0, 221.0, nan]</t>
  </si>
  <si>
    <t>[973.0, -131.0, -463.0, nan]</t>
  </si>
  <si>
    <t>[-68.0, 144.0, 61.0, nan]</t>
  </si>
  <si>
    <t>[132.0, 33.0, 27.0, nan]</t>
  </si>
  <si>
    <t>[216.0, 960.0, 1909.0, 1691.0]</t>
  </si>
  <si>
    <t>[457.0, -90.0, -305.0, nan]</t>
  </si>
  <si>
    <t>[-716.0, -3065.0, -5826.0, nan]</t>
  </si>
  <si>
    <t>[-650.0, -1201.0, 566.0, nan]</t>
  </si>
  <si>
    <t>[202.0, 1.0, 132.0, nan]</t>
  </si>
  <si>
    <t>[-398.0, -414.0, 94.0, nan]</t>
  </si>
  <si>
    <t>[81.0, 131.0, 273.0, nan]</t>
  </si>
  <si>
    <t>[-802.0, -570.0, 18.0, nan]</t>
  </si>
  <si>
    <t>[-412.0, -3078.0, 252.0, nan]</t>
  </si>
  <si>
    <t>[201.0, 100.0, 567.0, nan]</t>
  </si>
  <si>
    <t>[21.0, -47.0, -159.0, nan]</t>
  </si>
  <si>
    <t>[745.0, 772.0, 987.0, nan]</t>
  </si>
  <si>
    <t>[106.0, 117.0, 66.0, nan]</t>
  </si>
  <si>
    <t>[171.0, 85.0, -16.0, nan]</t>
  </si>
  <si>
    <t>[387.0, 151.0, -331.0, nan]</t>
  </si>
  <si>
    <t>[245.0, 569.0, 365.0, nan]</t>
  </si>
  <si>
    <t>[62.0, 680.0, 1028.0, nan]</t>
  </si>
  <si>
    <t>[71.0, 79.0, -106.0, nan]</t>
  </si>
  <si>
    <t>[225.0, -89.0, 78.0, nan]</t>
  </si>
  <si>
    <t>[66.0, -672.0, -1310.0, nan]</t>
  </si>
  <si>
    <t>[-7.0, -339.0, -944.0, nan]</t>
  </si>
  <si>
    <t>[-78.0, -83.0, -75.0, nan]</t>
  </si>
  <si>
    <t>[364.0, 375.0, 780.0, nan]</t>
  </si>
  <si>
    <t>[-340.0, -2723.0, -783.0, nan]</t>
  </si>
  <si>
    <t>[-126.0, 50.0, 18.0, nan]</t>
  </si>
  <si>
    <t>[369.0, 1112.0, 158.0, nan]</t>
  </si>
  <si>
    <t>[-89.0, 74.0, -347.0, nan]</t>
  </si>
  <si>
    <t>[1017.0, 250.0, -330.0, nan]</t>
  </si>
  <si>
    <t>[514.0, -172.0, -429.0, nan]</t>
  </si>
  <si>
    <t>[-430.0, -529.0, 106.0, nan]</t>
  </si>
  <si>
    <t>[-342.0, -738.0, -1561.0, nan]</t>
  </si>
  <si>
    <t>[-247.0, -574.0, -433.0, 106.0]</t>
  </si>
  <si>
    <t>[183.0, 529.0, 337.0, nan]</t>
  </si>
  <si>
    <t>[277.0, 219.0, 65.0, nan]</t>
  </si>
  <si>
    <t>[317.0, 234.0, 466.0, nan]</t>
  </si>
  <si>
    <t>[232.0, 281.0, 313.0, nan]</t>
  </si>
  <si>
    <t>[-123.0, -151.0, -134.0, nan]</t>
  </si>
  <si>
    <t>[73.0, -1503.0, 832.0, 834.0]</t>
  </si>
  <si>
    <t>[-328.0, -470.0, -3046.0, nan]</t>
  </si>
  <si>
    <t>[2648.0, 3191.0, 3463.0, nan]</t>
  </si>
  <si>
    <t>[-1108.0, 586.0, 64.0, nan]</t>
  </si>
  <si>
    <t>[142.0, 139.0, 92.0, nan]</t>
  </si>
  <si>
    <t>[-871.0, -796.0, -122.0, nan]</t>
  </si>
  <si>
    <t>[-551.0, 27.0, -59.0, 403.0]</t>
  </si>
  <si>
    <t>[332.0, 176.0, 174.0, nan]</t>
  </si>
  <si>
    <t>[-1147.0, -453.0, 625.0, 1222.0]</t>
  </si>
  <si>
    <t>[-272.0, -175.0, -72.0, nan]</t>
  </si>
  <si>
    <t>[891.0, 1048.0, 1245.0, 1501.0]</t>
  </si>
  <si>
    <t>[127.0, -116.0, 167.0, 123.0]</t>
  </si>
  <si>
    <t>[1462.0, 486.0, 1572.0, nan]</t>
  </si>
  <si>
    <t>[-48.0, 11.0, 7.0, nan]</t>
  </si>
  <si>
    <t>[-1552.0, 114.0, -313.0, nan]</t>
  </si>
  <si>
    <t>[-429.0, -36.0, -259.0, nan]</t>
  </si>
  <si>
    <t>[66.0, -256.0, -43.0, nan]</t>
  </si>
  <si>
    <t>[-1686.0, -1613.0, -1188.0, nan]</t>
  </si>
  <si>
    <t>[1023.0, -95.0, 551.0, nan]</t>
  </si>
  <si>
    <t>[699.0, 784.0, 798.0, nan]</t>
  </si>
  <si>
    <t>[-3795.0, -1969.0, -7769.0, nan]</t>
  </si>
  <si>
    <t>[91.0, 158.0, 129.0, nan]</t>
  </si>
  <si>
    <t>[694.0, 365.0, 578.0, nan]</t>
  </si>
  <si>
    <t>[56.0, 28.0, 9.0, nan]</t>
  </si>
  <si>
    <t>[-1434.0, 171.0, 1062.0, nan]</t>
  </si>
  <si>
    <t>[-98.0, -139.0, -106.0, nan]</t>
  </si>
  <si>
    <t>[255.0, 312.0, -159.0, nan]</t>
  </si>
  <si>
    <t>[142.0, 242.0, 165.0, nan]</t>
  </si>
  <si>
    <t>[-153.0, -111.0, -33.0, nan]</t>
  </si>
  <si>
    <t>[1273.0, 117.0, 100.0, nan]</t>
  </si>
  <si>
    <t>[576.0, 403.0, 634.0, nan]</t>
  </si>
  <si>
    <t>[-229.0, -564.0, 441.0, nan]</t>
  </si>
  <si>
    <t>[442.0, 408.0, 403.0, 883.0]</t>
  </si>
  <si>
    <t>[-311.0, -350.0, -91.0, nan]</t>
  </si>
  <si>
    <t>[988.0, 163.0, -1262.0, nan]</t>
  </si>
  <si>
    <t>[343.0, -1262.0, -580.0, -252.0]</t>
  </si>
  <si>
    <t>[564.0, 360.0, 1400.0, 1139.0]</t>
  </si>
  <si>
    <t>[-931.0, 131.0, -385.0, nan]</t>
  </si>
  <si>
    <t>[1230.0, 1312.0, 207.0, nan]</t>
  </si>
  <si>
    <t>[31.0, -350.0, -1143.0, nan]</t>
  </si>
  <si>
    <t>[177.0, -2012.0, -1852.0, nan]</t>
  </si>
  <si>
    <t>[181.0, -1087.0, -280.0, nan]</t>
  </si>
  <si>
    <t>[-44.0, 28.0, 20.0, nan]</t>
  </si>
  <si>
    <t>[900.0, 928.0, 1138.0, nan]</t>
  </si>
  <si>
    <t>[413.0, 466.0, 483.0, nan]</t>
  </si>
  <si>
    <t>[1319.0, 1980.0, 661.0, nan]</t>
  </si>
  <si>
    <t>[67.0, 73.0, 38.0, nan]</t>
  </si>
  <si>
    <t>[-389.0, -420.0, -844.0, nan]</t>
  </si>
  <si>
    <t>[-278.0, 849.0, 1032.0, 1146.0]</t>
  </si>
  <si>
    <t>[-42.0, 80.0, 62.0, nan]</t>
  </si>
  <si>
    <t>[-655.0, -543.0, -359.0, nan]</t>
  </si>
  <si>
    <t>[110.0, -270.0, -238.0, nan]</t>
  </si>
  <si>
    <t>[1694.0, 1736.0, 1371.0, 1094.0]</t>
  </si>
  <si>
    <t>[1305.0, -91.0, 746.0, nan]</t>
  </si>
  <si>
    <t>[-39.7, 11.1, -92.4, 3956.3, 0]</t>
  </si>
  <si>
    <t>[0, 0, 0, 234.8, -95.0]</t>
  </si>
  <si>
    <t>[34.6, 49.2, -46.4, 0, 0]</t>
  </si>
  <si>
    <t>[-33.0, 146.6, 45.2, -11.8, 12.0]</t>
  </si>
  <si>
    <t>[64.5, -22.5, -5.4, -2.0, 101.9]</t>
  </si>
  <si>
    <t>[0, 0, 0, 0, -10.1]</t>
  </si>
  <si>
    <t>[25.6, 153.2, 112.2, -55.7, 6.7]</t>
  </si>
  <si>
    <t>[-2.1, -24.1, -28.6, -51.7, 85.5]</t>
  </si>
  <si>
    <t>[2.6, 1.8, 1.7, 7.9, 16.4]</t>
  </si>
  <si>
    <t>[0, 675.7, -85.7, 0, 104.3]</t>
  </si>
  <si>
    <t>[0, 89.6, 0, 0, 0]</t>
  </si>
  <si>
    <t>[40.4, -29.3, 1048.6, -97.4, 113.1]</t>
  </si>
  <si>
    <t>[-60.5, 0, 0, 0, 0]</t>
  </si>
  <si>
    <t>[0, -32.0, 15.6, -80.8, 57.0]</t>
  </si>
  <si>
    <t>[-59.8, 189.4, -31.1, -26.6, 0]</t>
  </si>
  <si>
    <t>[9.3, 6.5, 4.2, 0.9, 2.9]</t>
  </si>
  <si>
    <t>[12.8, 14.3, 6.3, -4.7, 6.2]</t>
  </si>
  <si>
    <t>[-33.7, -19.2, 2.3, 10.2, 5.4]</t>
  </si>
  <si>
    <t>[5917.1, 0, 0, 313.1, -46.9]</t>
  </si>
  <si>
    <t>[-20.2, 6.6, 8.0, 9.4, 4.6]</t>
  </si>
  <si>
    <t>[53.6, -49.3, -82.0, 63.2, -54.1]</t>
  </si>
  <si>
    <t>[35.9, -64.8, 89.2, 6.8, -43.1]</t>
  </si>
  <si>
    <t>[nan, nan, 46.2, -96.4, -64.7]</t>
  </si>
  <si>
    <t>[4.5, 19.5, -9.0, -46.9, -15.1]</t>
  </si>
  <si>
    <t>[15.0, 9.9, -10.3, -49.9, 28.2]</t>
  </si>
  <si>
    <t>[-0.6, -48.4, 20.5, 23.0, -42.2]</t>
  </si>
  <si>
    <t>[-24.1, -4.6, 34.5, 17.7, -2.0]</t>
  </si>
  <si>
    <t>[15.8, -3.8, -22.7, 219.8, -68.9]</t>
  </si>
  <si>
    <t>[14.5, -8.0, -5.8, -18.8, -60.1]</t>
  </si>
  <si>
    <t>[0, 455.8, 0, 0, -75.4]</t>
  </si>
  <si>
    <t>[52.1, 0, 0, 0, 0]</t>
  </si>
  <si>
    <t>[0, 0, 0, -92.4, 0]</t>
  </si>
  <si>
    <t>[97.5, 28.3, -15.8, -13.7, 0]</t>
  </si>
  <si>
    <t>[6.1, 4.5, -0.5, -0.7, 0.0]</t>
  </si>
  <si>
    <t>[10.6, 103.2, -38.6, -40.1, -97.1]</t>
  </si>
  <si>
    <t>[-2.5, -25.9, -20.5, -19.5, 76.2]</t>
  </si>
  <si>
    <t>[-18.8, -18.8, -54.8, 0, 31.0]</t>
  </si>
  <si>
    <t>[0, 0, 0, 4.2, -42.1]</t>
  </si>
  <si>
    <t>[-12.7, -11.0, 3.0, -15.8, 16.9]</t>
  </si>
  <si>
    <t>[-47.0, -81.6, 0, 0, 0]</t>
  </si>
  <si>
    <t>[0, 0, 0, 0, -70.3]</t>
  </si>
  <si>
    <t>[159.4, 0, 0, 0, -53.2]</t>
  </si>
  <si>
    <t>[0.2, -42.9, -69.5, 222.8, -38.7]</t>
  </si>
  <si>
    <t>[0, 0, 0, 0, 0]</t>
  </si>
  <si>
    <t>[96.9, -51.4, -44.7, 91.7, -36.3]</t>
  </si>
  <si>
    <t>[-13.2, 0, 0, 56.8, 63.0]</t>
  </si>
  <si>
    <t>[0, -23.5, 100.9, -33.5, 19.0]</t>
  </si>
  <si>
    <t>[33.2, -31.4, -12.8, -19.7, -41.5]</t>
  </si>
  <si>
    <t>[51.4, -10.9, -11.2, -26.9, -28.6]</t>
  </si>
  <si>
    <t>[7.3, 0, 0, 656.1, -35.3]</t>
  </si>
  <si>
    <t>[-22.5, 8.3, -43.6, 0, 1967.7]</t>
  </si>
  <si>
    <t>[0, 329.8, 0, 0, 0]</t>
  </si>
  <si>
    <t>[-9.5, 1163.8, -80.5, -37.4, -11.3]</t>
  </si>
  <si>
    <t>[475.1, -9.7, -1.6, 12.0, -23.1]</t>
  </si>
  <si>
    <t>[2.0, 2.1, 2.2, 2.0, 1.9]</t>
  </si>
  <si>
    <t>[0, 35.0, 7.4, 16.9, 12.8]</t>
  </si>
  <si>
    <t>[169.4, 4160.9, -99.9, 0, 0]</t>
  </si>
  <si>
    <t>[-72.4, 458.6, -45.2, -58.8, -33.6]</t>
  </si>
  <si>
    <t>[-86.5, 172.6, -26.6, 475.5, -11.1]</t>
  </si>
  <si>
    <t>[0, 208.4, 113.8, -54.7, -17.0]</t>
  </si>
  <si>
    <t>[-46.5, 1.2, 22.9, -20.5, -31.0]</t>
  </si>
  <si>
    <t>[34.4, -2.7, 30.2, -18.2, 10.2]</t>
  </si>
  <si>
    <t>[8.3, -17.9, 15.5, -26.0, -23.4]</t>
  </si>
  <si>
    <t>[14.6, 1.0, 0, 0, 0]</t>
  </si>
  <si>
    <t>[-75.2, 64.6, -69.1, 0, 0]</t>
  </si>
  <si>
    <t>[0, 42.6, -32.1, 43.4, 573.5]</t>
  </si>
  <si>
    <t>[164.2, -14.0, 3.9, -16.1, -77.2]</t>
  </si>
  <si>
    <t>[-54.9, 0, 0, 0, 0]</t>
  </si>
  <si>
    <t>[0, 0, 328.2, 0, 0]</t>
  </si>
  <si>
    <t>[-75.6, 137.7, -3.9, 767.9, 94.1]</t>
  </si>
  <si>
    <t>[6.0, -86.6, 0, 0, 0]</t>
  </si>
  <si>
    <t>[32.9, -18.2, -16.6, 352.9, -48.0]</t>
  </si>
  <si>
    <t>[-52.1, 59.6, 49.3, -21.1, 0]</t>
  </si>
  <si>
    <t>[47.5, 14.0, 93.0, 81.6, 0]</t>
  </si>
  <si>
    <t>[-48.6, 0, 0, -93.3, 99.5]</t>
  </si>
  <si>
    <t>[9.5, 33.6, -30.7, -4.2, 0]</t>
  </si>
  <si>
    <t>[146.0, 0, 0, 0, 179.4]</t>
  </si>
  <si>
    <t>[0, 981.0, 37.4, -91.1, -30.3]</t>
  </si>
  <si>
    <t>[6.3, 0, 0, 0, 0]</t>
  </si>
  <si>
    <t>[6.5, 14.4, 7.7, 5.5, 2.6]</t>
  </si>
  <si>
    <t>[-58.0, 154.8, -17.5, 0, 2506.1]</t>
  </si>
  <si>
    <t>[-91.8, 213.9, 0, 0, 50.2]</t>
  </si>
  <si>
    <t>[0, 112.0, 0, 0, -58.7]</t>
  </si>
  <si>
    <t>[-99.9, -53.6, -5.4, -8.5, -22.9]</t>
  </si>
  <si>
    <t>[-60.0, 0, 0, 0, 176.5]</t>
  </si>
  <si>
    <t>[-24.5, -61.1, -68.8, 0, 0]</t>
  </si>
  <si>
    <t>[8.6, -15.8, -44.3, -95.7, 0]</t>
  </si>
  <si>
    <t>[nan, nan, -75.6, -35.5, 0]</t>
  </si>
  <si>
    <t>[-15.8, -25.4, -62.1, 101.1, -83.7]</t>
  </si>
  <si>
    <t>[5.2, 6.0, 6.1, 7.9, 12.1]</t>
  </si>
  <si>
    <t>[-64.7, 88.6, -63.2, 130.4, 41.2]</t>
  </si>
  <si>
    <t>[20.2, -6.4, -8.3, -5.3, -14.8]</t>
  </si>
  <si>
    <t>[15.3, 15.6, 10.3, 6.2, 9.5]</t>
  </si>
  <si>
    <t>[16.5, -5.4, 36.0, -48.4, 3.7]</t>
  </si>
  <si>
    <t>[-46.4, -76.4, 1.3, -41.2, 0]</t>
  </si>
  <si>
    <t>[1235.4, -7.6, 50.3, -69.9, 0]</t>
  </si>
  <si>
    <t>[38.6, 32.6, 10.3, -84.4, 0]</t>
  </si>
  <si>
    <t>[-24.3, 0, 0, 0, 0]</t>
  </si>
  <si>
    <t>[106.4, -18.0, -44.3, 190.2, -53.6]</t>
  </si>
  <si>
    <t>[-55.3, 21.9, 45.2, -41.1, -42.7]</t>
  </si>
  <si>
    <t>[-20.1, 65.7, -20.8, -13.1, 19.8]</t>
  </si>
  <si>
    <t>[378.3, -3.1, -27.6, 73.0, -59.8]</t>
  </si>
  <si>
    <t>[-7.5, -28.5, 1474.0, -96.6, 0]</t>
  </si>
  <si>
    <t>[nan, nan, nan, 592.1, 0]</t>
  </si>
  <si>
    <t>[7006.6, 23.6, 0, 0, 0]</t>
  </si>
  <si>
    <t>[0, 114.7, 0, 0, 0]</t>
  </si>
  <si>
    <t>[71.0, 10.1, -47.8, -31.5, -43.6]</t>
  </si>
  <si>
    <t>[-57.8, 93.8, 0, 0, 0]</t>
  </si>
  <si>
    <t>[3.1, 6.6, 9.2, 6.6, 6.4]</t>
  </si>
  <si>
    <t>[7.2, 8.2, 6.4, 5.4, 9.5]</t>
  </si>
  <si>
    <t>[1.7, 1.7, 1.3, 1.4, 1.6]</t>
  </si>
  <si>
    <t>[-62.1, 734.0, -0.9, -87.4, 57.3]</t>
  </si>
  <si>
    <t>[0, 150.0, 0, 0, 0]</t>
  </si>
  <si>
    <t>[-17.3, 63.8, -26.9, -48.1, 212.0]</t>
  </si>
  <si>
    <t>[-33.4, -20.6, 51.9, 12.3, -99.8]</t>
  </si>
  <si>
    <t>[0, 0, 0, 0, -98.0]</t>
  </si>
  <si>
    <t>[0, 81.0, 147.3, -7.5, 0]</t>
  </si>
  <si>
    <t>[20.0, 59.8, 17.5, -33.6, -7.3]</t>
  </si>
  <si>
    <t>[-26.9, -28.8, -41.0, 372.8, -91.3]</t>
  </si>
  <si>
    <t>[-38.3, -23.9, 0, 0, 0]</t>
  </si>
  <si>
    <t>[-11.7, 0, 0, 0, 0]</t>
  </si>
  <si>
    <t>[-44.3, 0, 0, -23.7, 7.8]</t>
  </si>
  <si>
    <t>[-97.0, -12.9, 12.1, 128.1, -64.8]</t>
  </si>
  <si>
    <t>[3.0, -19.5, 33.2, -66.8, -70.7]</t>
  </si>
  <si>
    <t>[-55.5, 0, 0, 0, 0]</t>
  </si>
  <si>
    <t>[78.1, 0, 0, 0, 0]</t>
  </si>
  <si>
    <t>[288.1, -46.0, -73.5, 299.8, 28.2]</t>
  </si>
  <si>
    <t>[-83.0, 0, 0, 0, -56.9]</t>
  </si>
  <si>
    <t>[0, 0, 0, 0, -18.3]</t>
  </si>
  <si>
    <t>[-50.1, 0, 0, 7.5, -76.2]</t>
  </si>
  <si>
    <t>[0, 0, 0, -54.8, 147.5]</t>
  </si>
  <si>
    <t>[0, 226.7, 56.0, 24.0, -38.8]</t>
  </si>
  <si>
    <t>[19.3, -68.1, 74.8, 0, 0]</t>
  </si>
  <si>
    <t>[32.0, 48.9, 124.3, 131.5, 0]</t>
  </si>
  <si>
    <t>[19.5, 168.5, -80.4, -10.7, -76.5]</t>
  </si>
  <si>
    <t>[-15.3, -1.2, 4.0, 47.1, -1.7]</t>
  </si>
  <si>
    <t>[-18.3, 3.5, 20.5, 40.2, -7.8]</t>
  </si>
  <si>
    <t>[25.9, 50.7, -54.7, 110.5, -26.0]</t>
  </si>
  <si>
    <t>[0, -29.4, 269.4, -35.2, -4.8]</t>
  </si>
  <si>
    <t>[136.6, 24.1, -16.0, 65.3, 69.1]</t>
  </si>
  <si>
    <t>[-93.5, 0, 0, 0, 0]</t>
  </si>
  <si>
    <t>[121.8, -35.4, 0, 0, 0]</t>
  </si>
  <si>
    <t>[61.3, 69.4, -31.7, 5.4, 55.4]</t>
  </si>
  <si>
    <t>[0, 0, -50.2, 0, 0]</t>
  </si>
  <si>
    <t>[-36.8, 161.1, 40.0, -66.4, 0]</t>
  </si>
  <si>
    <t>[45.5, 787.4, -97.4, -14.1, 50.8]</t>
  </si>
  <si>
    <t>[5.9, 8.8, -39.9, 0, 0]</t>
  </si>
  <si>
    <t>[nan, nan, nan, nan, 2.1]</t>
  </si>
  <si>
    <t>[0, 29.7, 0, 0, 0]</t>
  </si>
  <si>
    <t>[-43.6, 0, 0, 0, 0]</t>
  </si>
  <si>
    <t>[0, 63.0, -21.3, -87.2, 0]</t>
  </si>
  <si>
    <t>[77.7, 6.5, -11.0, 0, -84.3]</t>
  </si>
  <si>
    <t>[146.0, -47.4, 0, 0, 1328.8]</t>
  </si>
  <si>
    <t>[-34.3, -20.6, -8.8, 87.1, 4.3]</t>
  </si>
  <si>
    <t>[-7.7, 30.8, 22.8, 115.3, 0]</t>
  </si>
  <si>
    <t>[-50.1, -45.5, 1.3, 40.2, -30.0]</t>
  </si>
  <si>
    <t>[166.8, 9.4, -58.8, -71.6, 289.6]</t>
  </si>
  <si>
    <t>[4.4, -25.5, 28.8, 16.8, -23.1]</t>
  </si>
  <si>
    <t>[71.5, -10.8, -29.7, -55.8, 0]</t>
  </si>
  <si>
    <t>[8.7, 473.5, -72.4, -14.8, 38.0]</t>
  </si>
  <si>
    <t>[nan, nan, -0.9, 38.4, 12.5]</t>
  </si>
  <si>
    <t>[-13.0, 500.3, -97.8, 0, 696.5]</t>
  </si>
  <si>
    <t>[48.5, 38.6, -31.0, 3.8, 5.9]</t>
  </si>
  <si>
    <t>[0, 235.0, 45.4, 71.6, -95.1]</t>
  </si>
  <si>
    <t>[-81.0, 870.8, 54.3, -36.5, -18.2]</t>
  </si>
  <si>
    <t>[146.8, 0, 0, 0, 0]</t>
  </si>
  <si>
    <t>[-90.1, 59514.4, 109.8, -52.0, 412.5]</t>
  </si>
  <si>
    <t>[0, 0, 1.4, 11.1, 0]</t>
  </si>
  <si>
    <t>[-42.2, 17.7, 19.7, -32.5, -84.0]</t>
  </si>
  <si>
    <t>[0, -78.8, 59.1, 242.8, 0]</t>
  </si>
  <si>
    <t>[0, 321.4, 0, 0, 3715.7]</t>
  </si>
  <si>
    <t>[-27.7, 1898.5, -19.4, 0, 0]</t>
  </si>
  <si>
    <t>[42.6, 728.0, -21.5, 0, 0]</t>
  </si>
  <si>
    <t>[-20.3, -82.1, 98.7, 43.1, 0]</t>
  </si>
  <si>
    <t>[142.4, 48.5, -90.6, 0, 0]</t>
  </si>
  <si>
    <t>[47.3, 45.5, 6.5, -0.4, -13.6]</t>
  </si>
  <si>
    <t>[-6.1, 322.9, 0, 0, 0]</t>
  </si>
  <si>
    <t>[-22.7, -4.9, 106.2, -25.4, 11.3]</t>
  </si>
  <si>
    <t>[14.3, 12.3, 11.7, 10.9, 17.4]</t>
  </si>
  <si>
    <t>[1028.4, 0, 0, 0, 0]</t>
  </si>
  <si>
    <t>[229.6, -42.2, -36.9, -76.4, 47.4]</t>
  </si>
  <si>
    <t>[-13.7, 47.8, -12.9, 35.0, 6.9]</t>
  </si>
  <si>
    <t>[0, -20.9, -53.4, -51.5, 235.8]</t>
  </si>
  <si>
    <t>[-28.7, -1.6, -4.8, 233.0, -71.9]</t>
  </si>
  <si>
    <t>[76.5, -14.1, 30.4, 22.6, -43.5]</t>
  </si>
  <si>
    <t>[9.4, -44.9, 0, 0, 0]</t>
  </si>
  <si>
    <t>[-35.4, 13809.4, -97.9, 0, 39.4]</t>
  </si>
  <si>
    <t>[2.4, 2.5, 2.5, 2.3, 2.0]</t>
  </si>
  <si>
    <t>[-5.7, -76.4, 0, 0, 589.0]</t>
  </si>
  <si>
    <t>[201.8, 0.4, -38.0, 6.3, 43.8]</t>
  </si>
  <si>
    <t>[-13.2, 1.3, 284.2, -53.8, 79.3]</t>
  </si>
  <si>
    <t>[-0.7, 6.3, -23.5, 9.0, -12.9]</t>
  </si>
  <si>
    <t>[22.3, 39.1, -28.9, -2.4, 27.5]</t>
  </si>
  <si>
    <t>[-15.3, 6.9, -11.4, -10.0, 9.2]</t>
  </si>
  <si>
    <t>[0, 18.5, -4.1, -34.5, 45.2]</t>
  </si>
  <si>
    <t>[58.9, -38.8, -98.9, 2002.5, 0]</t>
  </si>
  <si>
    <t>[28.8, -21.9, 30.9, -0.1, 0]</t>
  </si>
  <si>
    <t>[91.9, -75.0, 147.2, -95.8, 97.1]</t>
  </si>
  <si>
    <t>[122.7, 14.3, -41.1, 0, 0]</t>
  </si>
  <si>
    <t>[93.3, -39.4, -89.1, 1292.1, 210.2]</t>
  </si>
  <si>
    <t>[2.4, -47.0, 0, 0, -88.7]</t>
  </si>
  <si>
    <t>[11.3, -56.6, -16.3, 85.1, 11.0]</t>
  </si>
  <si>
    <t>[229.5, 0, 0, 0, 0]</t>
  </si>
  <si>
    <t>[11.8, 69.9, 488.9, -74.1, 14.7]</t>
  </si>
  <si>
    <t>[43.0, -42.5, 61.4, -12.2, -94.4]</t>
  </si>
  <si>
    <t>[-0.9, 48.5, 29.4, -40.8, -22.1]</t>
  </si>
  <si>
    <t>[26.5, 6.1, -3.2, -23.8, 0.1]</t>
  </si>
  <si>
    <t>[7.8, 6.2, 4.7, 8.0, 7.1]</t>
  </si>
  <si>
    <t>[nan, 23.0, 230.5, 44.2, -92.5]</t>
  </si>
  <si>
    <t>[155.6, 525.4, -89.1, -80.6, 0]</t>
  </si>
  <si>
    <t>[90.3, -5.0, -60.9, -21.2, 205.6]</t>
  </si>
  <si>
    <t>[89.7, 21.1, -18.5, -42.5, -2.5]</t>
  </si>
  <si>
    <t>[37.8, -41.2, 51.7, 15.9, -95.8]</t>
  </si>
  <si>
    <t>[184.5, -35.6, -19.4, 148.9, 342.3]</t>
  </si>
  <si>
    <t>[-87.6, -22.2, 30.1, 28.3, 0]</t>
  </si>
  <si>
    <t>[-78.3, 282.9, 16.7, 6.3, -29.9]</t>
  </si>
  <si>
    <t>[32.3, 19.7, -50.5, 3.3, 98.5]</t>
  </si>
  <si>
    <t>[13.1, -52.3, -42.3, 659.6, -35.1]</t>
  </si>
  <si>
    <t>[-7.8, 0, 0, 0, 0]</t>
  </si>
  <si>
    <t>[0, -27.9, 0, 0, -45.4]</t>
  </si>
  <si>
    <t>[0, -35.1, 15.2, -9.5, -5.4]</t>
  </si>
  <si>
    <t>[114.2, 44.5, 36.4, -5.2, -54.9]</t>
  </si>
  <si>
    <t>[92.3, -81.4, -47.3, -59.2, 0]</t>
  </si>
  <si>
    <t>[-7.9, -64.6, -39.2, 0, 0]</t>
  </si>
  <si>
    <t>[-2.5, -55.6, 0, 0, 0]</t>
  </si>
  <si>
    <t>[1184.0, -78.6, 328.0, -42.1, -29.4]</t>
  </si>
  <si>
    <t>[-22.5, -84.0, 58.0, 158.9, 11.7]</t>
  </si>
  <si>
    <t>[3528.0, 101.2, 20.7, -60.3, 0]</t>
  </si>
  <si>
    <t>[-45.4, 0, 0, 0, 0]</t>
  </si>
  <si>
    <t>[46.9, 7.8, 0.9, -92.2, 5632.2]</t>
  </si>
  <si>
    <t>[100.4, 19.8, -45.6, -76.6, 131.1]</t>
  </si>
  <si>
    <t>[126.2, 8.0, 11.9, 45.6, 188.0]</t>
  </si>
  <si>
    <t>[278.6, -71.2, 75.0, -51.7, 88.6]</t>
  </si>
  <si>
    <t>[0, -61.0, -53.4, 38.5, 92.9]</t>
  </si>
  <si>
    <t>[0, -76.9, 725.4, -51.3, -5.3]</t>
  </si>
  <si>
    <t>[-0.9, -22.8, 12.6, -65.4, 0]</t>
  </si>
  <si>
    <t>[185.9, -4.8, -21.2, 0, 77.8]</t>
  </si>
  <si>
    <t>[8.4, 91.0, -53.7, -36.7, -36.8]</t>
  </si>
  <si>
    <t>[54.3, 304.4, 7.0, -87.9, 18.9]</t>
  </si>
  <si>
    <t>[10.2, -60.7, -12.7, -38.2, -78.1]</t>
  </si>
  <si>
    <t>[66.0, 860.7, -38.8, -86.2, 0]</t>
  </si>
  <si>
    <t>[134.6, 12.7, -2.4, -2.1, 6.7]</t>
  </si>
  <si>
    <t>[-8.9, 1.3, 1.9, -27.8, -58.5]</t>
  </si>
  <si>
    <t>[132.7, 263.5, -13.7, 0, 0]</t>
  </si>
  <si>
    <t>[-29.4, 20.7, 0, 0, -47.8]</t>
  </si>
  <si>
    <t>[-22.7, 30.1, 23.7, 11.1, 8.5]</t>
  </si>
  <si>
    <t>[-45.5, 0, 0, 90.7, 0]</t>
  </si>
  <si>
    <t>[-77.6, 36.6, -43.3, -72.1, -10.6]</t>
  </si>
  <si>
    <t>[-22.1, -13.1, -95.2, 222.5, 0]</t>
  </si>
  <si>
    <t>[19.8, -46.8, 69.3, -0.4, 0]</t>
  </si>
  <si>
    <t>[92.5, 13.3, -4.8, 9.9, -3.9]</t>
  </si>
  <si>
    <t>[-64.4, 0, 0, 53.1, 487.3]</t>
  </si>
  <si>
    <t>[0, 0, -29.9, 67.1, 0]</t>
  </si>
  <si>
    <t>[-97.8, -77.1, -13.9, 0, 0]</t>
  </si>
  <si>
    <t>[24.2, -26.1, -35.6, 16.9, 70.3]</t>
  </si>
  <si>
    <t>[-24.6, -86.5, -35.2, -5.3, 0]</t>
  </si>
  <si>
    <t>[73.4, -9.8, 101.2, -80.4, 139.1]</t>
  </si>
  <si>
    <t>[0, -83.6, 0, 0, 0]</t>
  </si>
  <si>
    <t>[-26.6, 46.4, -30.1, -34.2, -33.6]</t>
  </si>
  <si>
    <t>[4.5, 21.3, -51.4, 12.1, -44.4]</t>
  </si>
  <si>
    <t>[-76.6, 0, 0, 0, -68.8]</t>
  </si>
  <si>
    <t>[11.8, -43.7, 17.4, 0, 0]</t>
  </si>
  <si>
    <t>[7.4, -49.6, 32.8, 119.0, 0]</t>
  </si>
  <si>
    <t>[870.5, 0, 0, 0, 0]</t>
  </si>
  <si>
    <t>[-77.8, 385.8, -36.5, -23.8, 0]</t>
  </si>
  <si>
    <t>[0, 0, 0, 0, -52.5]</t>
  </si>
  <si>
    <t>[0, 1377.3, 0, 0, 0]</t>
  </si>
  <si>
    <t>[26.0, -27.3, -11.0, 5109.9, -25.1]</t>
  </si>
  <si>
    <t>[1119.3, 16.1, 99.6, -55.0, -32.1]</t>
  </si>
  <si>
    <t>[-75.2, 723.9, 43.2, -11.4, -71.4]</t>
  </si>
  <si>
    <t>[-16.0, -12.7, -50.4, -30.4, 142.1]</t>
  </si>
  <si>
    <t>[0, 0, 0, 0, -13.7]</t>
  </si>
  <si>
    <t>[49.0, 44.4, -17.1, 16.9, -25.5]</t>
  </si>
  <si>
    <t>[-98.6, 0, 0, 0, 0]</t>
  </si>
  <si>
    <t>[56.2, -42.9, -58.5, -3.0, -95.3]</t>
  </si>
  <si>
    <t>[0, 520.2, -14.4, 24.2, -93.7]</t>
  </si>
  <si>
    <t>[40.8, 0, 0, -23.1, -1.2]</t>
  </si>
  <si>
    <t>[6.4, 79.4, -46.5, -6.3, -30.8]</t>
  </si>
  <si>
    <t>[8.9, -24.5, 241.3, 0, 0]</t>
  </si>
  <si>
    <t>[6.9, -29.2, -83.1, 97.6, 0]</t>
  </si>
  <si>
    <t>[179.0, -80.7, 159.5, 0, 0]</t>
  </si>
  <si>
    <t>[-9.0, 73.3, 216.0, -87.2, 196.3]</t>
  </si>
  <si>
    <t>[-89.2, 596.9, 92.9, 0, -42.6]</t>
  </si>
  <si>
    <t>[-38.6, -37.2, 0, 0, -71.6]</t>
  </si>
  <si>
    <t>[-3.3, 0, 0, 20.2, -60.3]</t>
  </si>
  <si>
    <t>[0, 0, 0, 224.8, 0]</t>
  </si>
  <si>
    <t>[16.4, 24.5, -42.4, -88.6, -21.1]</t>
  </si>
  <si>
    <t>[19876.6, 68.5, -7.5, -15.7, -41.8]</t>
  </si>
  <si>
    <t>[41.6, -22.2, -35.0, 42.8, 0]</t>
  </si>
  <si>
    <t>[-21.8, 16.3, -1.8, -5.1, -33.3]</t>
  </si>
  <si>
    <t>[6.6, 66.6, -8.0, 0, -30.5]</t>
  </si>
  <si>
    <t>[-56.9, 71.8, -10.3, 125.9, 14.6]</t>
  </si>
  <si>
    <t>[29.7, 0, 0, 0, 6.1]</t>
  </si>
  <si>
    <t>[-4.3, 0, 0, 0, 0]</t>
  </si>
  <si>
    <t>[-0.6, -12.6, 14.5, 45.9, -7.7]</t>
  </si>
  <si>
    <t>[-27.9, 0, 0, 0, 0]</t>
  </si>
  <si>
    <t>[4.0, -32.8, 101.4, -13.8, -42.3]</t>
  </si>
  <si>
    <t>[-7.5, -45.4, 131.9, 17.8, 1311.5]</t>
  </si>
  <si>
    <t>[-10.7, -33.4, -14.5, -71.1, 0]</t>
  </si>
  <si>
    <t>[-52.6, 8.7, 48.9, 14.2, -4.3]</t>
  </si>
  <si>
    <t>[-42.1, -85.2, 0, 0, 0]</t>
  </si>
  <si>
    <t>[-40.6, 65.1, -8.3, 45.0, -55.3]</t>
  </si>
  <si>
    <t>[6.3, -30.9, 8.1, 18.0, -1.0]</t>
  </si>
  <si>
    <t>[-54.2, -14.0, 190.3, 0, 191.9]</t>
  </si>
  <si>
    <t>[0, 0, -92.3, 967.6, -11.6]</t>
  </si>
  <si>
    <t>[1.1, 0, 0, 0, 0]</t>
  </si>
  <si>
    <t>[37.9, 1.4, 118.3, -33.7, 0]</t>
  </si>
  <si>
    <t>[0, 33.1, -84.8, 0, 0]</t>
  </si>
  <si>
    <t>[0, 42.3, -99.2, 567.6, 0]</t>
  </si>
  <si>
    <t>[0, 0, 10.9, -9.4, 0]</t>
  </si>
  <si>
    <t>[108.0, 37.7, -14.3, 32.0, -14.3]</t>
  </si>
  <si>
    <t>[6.6, 10.2, 8.6, 11.2, 19.4]</t>
  </si>
  <si>
    <t>[0, 0, 184.4, -76.5, 30.7]</t>
  </si>
  <si>
    <t>[-92.6, 0, 0, 0, 854.3]</t>
  </si>
  <si>
    <t>[-15.6, -0.4, 0, 0, -72.3]</t>
  </si>
  <si>
    <t>[-31.4, 3643.3, 0, 0, 83.8]</t>
  </si>
  <si>
    <t>[-75.7, 58.3, -7.7, 106.4, 79.2]</t>
  </si>
  <si>
    <t>[0, 0, 2.8, -99.9, 201.8]</t>
  </si>
  <si>
    <t>[0, 0, 194.2, 0, 841.7]</t>
  </si>
  <si>
    <t>[12.7, -33.7, -62.3, 47.8, 144.9]</t>
  </si>
  <si>
    <t>[-0.6, 21.3, 3.4, -81.8, 309.1]</t>
  </si>
  <si>
    <t>[0, 0, 0, -80.5, 89.6]</t>
  </si>
  <si>
    <t>[-2.6, 0, 71.8, -50.6, -57.8]</t>
  </si>
  <si>
    <t>[0, 12.9, 102.3, -76.4, 0]</t>
  </si>
  <si>
    <t>[0, -26.0, 332.9, -79.3, 0]</t>
  </si>
  <si>
    <t>[0, 0, -98.5, 0, 0]</t>
  </si>
  <si>
    <t>[-4.3, -27.8, 7.2, -1.5, -21.9]</t>
  </si>
  <si>
    <t>[0, 0, 0, -22.5, -26.9]</t>
  </si>
  <si>
    <t>[159.3, -40.6, 21.1, -69.1, -68.5]</t>
  </si>
  <si>
    <t>[571.5, -20.7, -17.2, 38.9, 0]</t>
  </si>
  <si>
    <t>[250.2, 28.0, -12.2, -72.6, 137.1]</t>
  </si>
  <si>
    <t>[0, 0, 0, 5.2, 117.0]</t>
  </si>
  <si>
    <t>[28.2, 40.6, 14.8, -1.2, -9.4]</t>
  </si>
  <si>
    <t>[11.8, -2.5, -11.1, -6.8, -20.8]</t>
  </si>
  <si>
    <t>[0, 10.9, -24.4, -8.4, 55.5]</t>
  </si>
  <si>
    <t>[79.0, -61.8, -30.8, 245.5, -72.6]</t>
  </si>
  <si>
    <t>[-89.7, 406.9, 26.4, -13.7, -32.4]</t>
  </si>
  <si>
    <t>[-37.0, -18.2, -27.1, -7.6, -40.4]</t>
  </si>
  <si>
    <t>[127.7, 119.1, 8.5, -25.7, 19.0]</t>
  </si>
  <si>
    <t>[-99.6, 0, 0, 0, 0]</t>
  </si>
  <si>
    <t>[120.7, -56.9, 0, 0, 0]</t>
  </si>
  <si>
    <t>[-36.9, -43.8, 279.1, -51.2, 0]</t>
  </si>
  <si>
    <t>[-0.3, 24.2, 4.0, 14.9, 21.4]</t>
  </si>
  <si>
    <t>[-39.6, 124.2, -38.5, -68.4, 21.7]</t>
  </si>
  <si>
    <t>[-13.4, -47.5, 40.2, -56.9, 58.6]</t>
  </si>
  <si>
    <t>[1577.7, 0, 0, 0, 0]</t>
  </si>
  <si>
    <t>[-16.6, -47.0, 74.3, -16.6, -9.9]</t>
  </si>
  <si>
    <t>[5.6, -13.7, 92.3, -30.3, 19.9]</t>
  </si>
  <si>
    <t>[nan, 0, 76.4, -42.1, -27.4]</t>
  </si>
  <si>
    <t>[-89.6, 584.8, 0, 0, 0]</t>
  </si>
  <si>
    <t>[14.5, -22.5, 35.9, 57.7, -32.8]</t>
  </si>
  <si>
    <t>[109.3, -63.0, 369.0, -58.4, 39.4]</t>
  </si>
  <si>
    <t>[-0.7, 21.0, -16.7, -1.5, -16.8]</t>
  </si>
  <si>
    <t>[51.0, -19.6, 23.4, -45.8, -14.2]</t>
  </si>
  <si>
    <t>[390.6, 37.7, -73.0, -15.2, 26.8]</t>
  </si>
  <si>
    <t>[23.4, -5.9, -37.1, -11.9, 0]</t>
  </si>
  <si>
    <t>[6.9, 16.6, -34.3, -78.9, -2.8]</t>
  </si>
  <si>
    <t>[-35.1, 7.3, -20.3, 8.4, -74.9]</t>
  </si>
  <si>
    <t>[-26.7, -38.3, 1.1, -18.2, -86.0]</t>
  </si>
  <si>
    <t>[0, -83.1, 0, 0, 0]</t>
  </si>
  <si>
    <t>[0, 0, 0, nan, 0]</t>
  </si>
  <si>
    <t>[-73.7, 0, 0, 0, 0]</t>
  </si>
  <si>
    <t>[-17.6, -25.0, 64.5, 57.9, -33.0]</t>
  </si>
  <si>
    <t>[0, 0, 0, 0, 613.0]</t>
  </si>
  <si>
    <t>[-17.6, -7.0, 7.6, -6.6, -68.4]</t>
  </si>
  <si>
    <t>[-47.8, 88.3, 2.4, -84.5, 24.2]</t>
  </si>
  <si>
    <t>[-75.4, -66.0, -30.0, -90.7, -53.5]</t>
  </si>
  <si>
    <t>[-22.5, -19.2, -57.8, -81.8, 0]</t>
  </si>
  <si>
    <t>[-81.1, 68.7, -51.4, 0, 0]</t>
  </si>
  <si>
    <t>[292.3, -69.1, 5.7, -56.4, 51.8]</t>
  </si>
  <si>
    <t>[0, 38.4, 7.3, -73.6, 0]</t>
  </si>
  <si>
    <t>[-19.2, 9.8, -11.7, 28.0, 7.4]</t>
  </si>
  <si>
    <t>[24.6, 85.9, -41.0, -93.7, 0]</t>
  </si>
  <si>
    <t>[48.1, -98.1, 3100.5, -11.2, 0]</t>
  </si>
  <si>
    <t>[-64.9, 446.1, 1.7, -48.6, 54.4]</t>
  </si>
  <si>
    <t>[0, 0, 0, -44.2, 15.1]</t>
  </si>
  <si>
    <t>[-66.9, 149.4, -49.3, 490.6, -97.5]</t>
  </si>
  <si>
    <t>[-51.8, 122.4, -46.9, 967.2, 0]</t>
  </si>
  <si>
    <t>[-37.3, 896.5, -22.5, -71.6, -98.4]</t>
  </si>
  <si>
    <t>[-24.1, -94.9, 0, 0, 0]</t>
  </si>
  <si>
    <t>[32.3, -24.5, 0, 0, 0]</t>
  </si>
  <si>
    <t>[12.2, 38.2, -6.7, 48.0, -28.2]</t>
  </si>
  <si>
    <t>[0, 0, 49.7, -7.5, 53.9]</t>
  </si>
  <si>
    <t>[55.6, 28.5, -3.5, -85.5, 0]</t>
  </si>
  <si>
    <t>[0, 0, -1.7, -82.7, 0]</t>
  </si>
  <si>
    <t>[65.8, -9.5, 0, 0, 0]</t>
  </si>
  <si>
    <t>[11.6, 68.3, -12.2, 79.9, 61.8]</t>
  </si>
  <si>
    <t>[0, 0, 0, 60.1, 51.4]</t>
  </si>
  <si>
    <t>[0, 0, 810.0, 56.4, -73.7]</t>
  </si>
  <si>
    <t>[11.4, -13.2, -46.6, 28.9, -37.2]</t>
  </si>
  <si>
    <t>[0, 39.5, 14.9, -23.2, 13.0]</t>
  </si>
  <si>
    <t>[141.3, -53.0, 48.8, -29.5, -17.5]</t>
  </si>
  <si>
    <t>[0, -27.5, 0, 0, -22.2]</t>
  </si>
  <si>
    <t>[-12.3, -66.2, -6.7, 389.6, 16.5]</t>
  </si>
  <si>
    <t>[-3.2, -72.5, 0, 0, 0]</t>
  </si>
  <si>
    <t>[8.7, 2.7, 21.2, -30.5, 43.1]</t>
  </si>
  <si>
    <t>[-11.8, -57.1, -10.1, -2.9, 98.9]</t>
  </si>
  <si>
    <t>[-54.2, 4.0, 151.8, 65.1, -57.9]</t>
  </si>
  <si>
    <t>[41.1, 27.4, 0, 0, -51.8]</t>
  </si>
  <si>
    <t>[nan, -99.0, 15.6, -63.4, -29.5]</t>
  </si>
  <si>
    <t>[-75.3, 139.5, 65.5, 0, 85.8]</t>
  </si>
  <si>
    <t>[-73.5, 18.6, -36.4, 80.0, -11.7]</t>
  </si>
  <si>
    <t>[0, 11.2, -38.4, 54.3, 0]</t>
  </si>
  <si>
    <t>[-68.0, 116.0, 42.3, -86.7, 135.5]</t>
  </si>
  <si>
    <t>[-40.8, 0, 0, 0, 0]</t>
  </si>
  <si>
    <t>[67.7, -17.8, -74.1, 158.7, -61.8]</t>
  </si>
  <si>
    <t>[154.5, 40.3, 93.9, 0, 0]</t>
  </si>
  <si>
    <t>[-64.0, 34.3, 35.9, 0, 79.0]</t>
  </si>
  <si>
    <t>[-57.1, 0, 0, 0, 0]</t>
  </si>
  <si>
    <t>[0, -78.4, 0, 0, 0]</t>
  </si>
  <si>
    <t>[15.4, 53.5, -3.4, 2.9, -37.7]</t>
  </si>
  <si>
    <t>[0, 135.1, 65.3, -2.7, -35.0]</t>
  </si>
  <si>
    <t>[4.7, -9.7, 0, 0, 61.0]</t>
  </si>
  <si>
    <t>[-29.6, -22.2, -50.9, 11.7, -26.1]</t>
  </si>
  <si>
    <t>[-2.1, -14.6, 78.6, -7.7, -66.4]</t>
  </si>
  <si>
    <t>[-44.7, -8.6, -6.8, -14.2, -58.7]</t>
  </si>
  <si>
    <t>[176.6, -27.1, -53.7, -49.4, 10.8]</t>
  </si>
  <si>
    <t>[266.2, -24.9, -41.8, 226.4, -6.4]</t>
  </si>
  <si>
    <t>[-29.1, 1725.6, -43.2, -93.8, 0]</t>
  </si>
  <si>
    <t>[-12.4, -18.7, -65.7, 225.2, 9.1]</t>
  </si>
  <si>
    <t>[-4.6, -4.5, 35.0, -18.0, 16.0]</t>
  </si>
  <si>
    <t>[-30.6, 39.7, -71.3, 175.1, -50.7]</t>
  </si>
  <si>
    <t>[470.8, 218.0, -16.5, -25.2, -7.8]</t>
  </si>
  <si>
    <t>[40.2, 11.1, -12.0, -8.9, 105.3]</t>
  </si>
  <si>
    <t>[10.0, -31.8, 142.7, 18.0, -27.4]</t>
  </si>
  <si>
    <t>[275.1, -25.7, -12.8, -45.4, -25.8]</t>
  </si>
  <si>
    <t>[6.2, 14.2, 16.4, -6.7, 9.3]</t>
  </si>
  <si>
    <t>[0, 0, 140.9, -21.7, 2.1]</t>
  </si>
  <si>
    <t>[0, 3.6, 0, 0, 65.7]</t>
  </si>
  <si>
    <t>[nan, nan, 354.7, 170.9, -8.7]</t>
  </si>
  <si>
    <t>[-45.2, -71.1, -90.1, 724.7, 0]</t>
  </si>
  <si>
    <t>[219.7, 73.8, -32.9, -76.0, -15.8]</t>
  </si>
  <si>
    <t>[-7.0, -93.9, 837.3, -19.6, -13.8]</t>
  </si>
  <si>
    <t>[0, 501.4, -71.1, 253.3, -65.2]</t>
  </si>
  <si>
    <t>[66.1, -73.8, 0, 0, 58.5]</t>
  </si>
  <si>
    <t>[30.6, -61.6, 11.7, 127.9, 13.6]</t>
  </si>
  <si>
    <t>[-93.9, 176.1, -60.2, 746.5, 5.4]</t>
  </si>
  <si>
    <t>[654.7, 104.7, -39.4, 8.6, -49.5]</t>
  </si>
  <si>
    <t>[149.0, 50.4, 9.6, 1.6, -74.1]</t>
  </si>
  <si>
    <t>[141.4, -3.0, -55.8, 0, 0]</t>
  </si>
  <si>
    <t>[63.5, -71.0, 0.7, 21.5, 2.1]</t>
  </si>
  <si>
    <t>[44.0, 7.4, -7.6, -37.1, 19.2]</t>
  </si>
  <si>
    <t>[5.1, 7.4, 7.3, 9.1, 12.0]</t>
  </si>
  <si>
    <t>[19.9, 45.3, 11.5, -37.5, -21.7]</t>
  </si>
  <si>
    <t>[nan, nan, 7960.5, 52.7, -50.1]</t>
  </si>
  <si>
    <t>[-96.1, -33.1, -79.6, 0, 0]</t>
  </si>
  <si>
    <t>[-55.6, 0, 0, 2435.7, 0]</t>
  </si>
  <si>
    <t>[4782.8, 34.4, 25.0, -66.1, 0]</t>
  </si>
  <si>
    <t>[0.3, 8.8, 2.0, 6.3, 5.1]</t>
  </si>
  <si>
    <t>[37.8, -2.3, -3.7, -15.5, 0]</t>
  </si>
  <si>
    <t>[0, 0, -20.9, 0, 0]</t>
  </si>
  <si>
    <t>[-11.5, 2.1, 10.4, 15.8, 10.3]</t>
  </si>
  <si>
    <t>[546.2, 122.5, -58.6, -38.5, 161.1]</t>
  </si>
  <si>
    <t>[0, 76.5, 36.1, -93.7, -27.8]</t>
  </si>
  <si>
    <t>[-7.2, 439.7, -83.5, 0, -91.1]</t>
  </si>
  <si>
    <t>[-30.4, 110.8, 0, 0, 0]</t>
  </si>
  <si>
    <t>[85.0, 22.2, -29.6, -54.7, -87.8]</t>
  </si>
  <si>
    <t>[5.0, -71.9, 97.0, 75.5, 16.4]</t>
  </si>
  <si>
    <t>[-24.9, -67.6, -25.6, 2708.3, -75.4]</t>
  </si>
  <si>
    <t>[22.4, -59.4, -14.1, 65.3, 11.9]</t>
  </si>
  <si>
    <t>[-24.7, 39.3, -57.3, 88.7, -11.5]</t>
  </si>
  <si>
    <t>[0, 167.6, 252.3, -28.2, -46.5]</t>
  </si>
  <si>
    <t>[41.6, -58.9, 70.0, -55.4, 0]</t>
  </si>
  <si>
    <t>[-19.6, -51.9, -26.8, 0, 0]</t>
  </si>
  <si>
    <t>[22.2, -23.4, 19.9, -31.1, -16.7]</t>
  </si>
  <si>
    <t>[6.3, 8.0, 6.2, 5.8, 12.0]</t>
  </si>
  <si>
    <t>[2911.1, -26.8, -10.3, -11.6, -65.5]</t>
  </si>
  <si>
    <t>[19.6, -9.4, 9.4, -0.6, 388.3]</t>
  </si>
  <si>
    <t>[-54.9, 153.2, 0, 0, 0]</t>
  </si>
  <si>
    <t>[52.2, -29.4, -86.5, 362.0, 0]</t>
  </si>
  <si>
    <t>[-65.7, 9.9, 149.6, -36.2, 0]</t>
  </si>
  <si>
    <t>[-8.2, 9.7, -19.3, -0.9, 22.6]</t>
  </si>
  <si>
    <t>[16.1, 3.1, 15.5, 20.1, 22.2]</t>
  </si>
  <si>
    <t>[-44.1, 319.6, -65.5, 534.6, -73.1]</t>
  </si>
  <si>
    <t>[0, 385.2, -65.2, -94.3, 0]</t>
  </si>
  <si>
    <t>[38.3, 65.6, -18.6, 0, 28.8]</t>
  </si>
  <si>
    <t>[25.1, 156.2, -34.8, 0, 19.5]</t>
  </si>
  <si>
    <t>[-10.3, 111.4, -66.8, 66.1, 80.6]</t>
  </si>
  <si>
    <t>[-23.2, -39.3, -38.7, 19.3, -28.1]</t>
  </si>
  <si>
    <t>[4.2, 11.3, 5.2, 5.0, 5.7]</t>
  </si>
  <si>
    <t>[-6.2, 98.8, 0, 0, 0]</t>
  </si>
  <si>
    <t>[-2.7, -19.3, -58.3, 268.6, 46.0]</t>
  </si>
  <si>
    <t>[15.7, 70.0, -48.0, -11.8, 99.1]</t>
  </si>
  <si>
    <t>[13.8, 122.9, -22.2, -42.1, 12.8]</t>
  </si>
  <si>
    <t>[13.9, 22.2, -42.4, 0, 38.3]</t>
  </si>
  <si>
    <t>[1.5, 42.6, 13.0, -18.7, -60.5]</t>
  </si>
  <si>
    <t>[-33.6, -16.6, -5.2, 16.5, 8.1]</t>
  </si>
  <si>
    <t>[4.1, -36.0, -60.1, 19.2, -79.7]</t>
  </si>
  <si>
    <t>[4.6, 4.9, 3.9, 4.5, 4.8]</t>
  </si>
  <si>
    <t>[14.1, 13.8, 13.0, 15.1, 13.2]</t>
  </si>
  <si>
    <t>[15.2, 22.5, 11.6, 12.8, 16.5]</t>
  </si>
  <si>
    <t>[-38.7, -6.8, 59.2, -34.4, 25.0]</t>
  </si>
  <si>
    <t>[8.3, 7.7, 6.7, 9.2, 8.1]</t>
  </si>
  <si>
    <t>[135.9, -41.6, -31.6, 30.8, -21.0]</t>
  </si>
  <si>
    <t>[28.6, -33.0, 44.4, -10.1, -1.1]</t>
  </si>
  <si>
    <t>[0, 0, 91.3, -85.5, -98.3]</t>
  </si>
  <si>
    <t>[0, 11632.6, 30.0, 0, -80.8]</t>
  </si>
  <si>
    <t>[113.4, -16.2, 0, 0, 0]</t>
  </si>
  <si>
    <t>[-42.8, 94.1, -19.0, 11.5, 34.9]</t>
  </si>
  <si>
    <t>[29.3, 36.6, -50.9, -52.4, 84.5]</t>
  </si>
  <si>
    <t>[-13.0, 36.4, -90.9, 833.0, 94.9]</t>
  </si>
  <si>
    <t>[0, 0, 0, 0, 836.0]</t>
  </si>
  <si>
    <t>[0.8, 7.2, 5.8, 7.6, 9.1]</t>
  </si>
  <si>
    <t>[0, 0, 0, -16.0, -32.6]</t>
  </si>
  <si>
    <t>[-91.6, 146.9, 303.7, 127.9, -29.3]</t>
  </si>
  <si>
    <t>[-96.9, 496.0, 167.7, -38.7, 12.8]</t>
  </si>
  <si>
    <t>[69.8, -54.5, -7.0, -15.8, 129.6]</t>
  </si>
  <si>
    <t>[27.8, -18.3, -27.0, -4.8, -79.0]</t>
  </si>
  <si>
    <t>[38.8, -28.5, -17.7, 14.2, 0]</t>
  </si>
  <si>
    <t>[-5.3, -12.8, -30.9, 34.7, -63.1]</t>
  </si>
  <si>
    <t>[0, 0, -81.4, 9247.3, 2490.9]</t>
  </si>
  <si>
    <t>[-71.0, 209.9, -56.7, 48.3, -1.2]</t>
  </si>
  <si>
    <t>[-13.9, -33.1, 66.6, -62.1, 11.1]</t>
  </si>
  <si>
    <t>[35.5, -48.8, -93.2, 5678.9, 72.3]</t>
  </si>
  <si>
    <t>[-83.1, 290.8, 0, 0, 26.2]</t>
  </si>
  <si>
    <t>[-14.6, 0, 0, 0, -94.9]</t>
  </si>
  <si>
    <t>[66.7, -48.8, 15.0, -21.7, 102.2]</t>
  </si>
  <si>
    <t>[32.4, 1.7, 17.7, 4.2, 17.8]</t>
  </si>
  <si>
    <t>[32.0, 44.2, -2.7, -89.6, 0]</t>
  </si>
  <si>
    <t>[-5.4, 17.5, -3.7, 67.9, 71.3]</t>
  </si>
  <si>
    <t>[-5.0, -1.9, -54.8, -10.5, 0]</t>
  </si>
  <si>
    <t>[-32.2, -96.6, 1515.0, 2.4, 0]</t>
  </si>
  <si>
    <t>[0, -89.4, 538.0, -48.3, -98.3]</t>
  </si>
  <si>
    <t>[-23.6, 52.4, 606.0, -84.6, 354.2]</t>
  </si>
  <si>
    <t>[nan, nan, nan, nan, nan]</t>
  </si>
  <si>
    <t>[0, 0, -87.2, 152.8, 13.9]</t>
  </si>
  <si>
    <t>[0, -70.1, 505.9, 35.3, 0]</t>
  </si>
  <si>
    <t>[39.5, -86.5, -59.9, 1350.5, 0]</t>
  </si>
  <si>
    <t>[0, -40.6, 17.9, -17.3, 65.7]</t>
  </si>
  <si>
    <t>[2.9, 2.9, 3.1, 2.9, 2.5]</t>
  </si>
  <si>
    <t>[4.7, -64.9, 19.4, 58.0, -64.5]</t>
  </si>
  <si>
    <t>[0, 45.9, 126.8, -47.4, -97.7]</t>
  </si>
  <si>
    <t>[-0.8, 5.0, -5.8, 5.7, -14.9]</t>
  </si>
  <si>
    <t>[8.7, 9.4, 9.1, 9.1, 9.1]</t>
  </si>
  <si>
    <t>[95.4, 263.7, -68.3, 38.0, 13.6]</t>
  </si>
  <si>
    <t>[-53.3, 57.5, 9.5, -23.1, -10.1]</t>
  </si>
  <si>
    <t>[21.2, -34.1, 120.7, -61.2, 46.9]</t>
  </si>
  <si>
    <t>[15.7, 0, 0, 0, 0]</t>
  </si>
  <si>
    <t>[106.4, -40.8, -85.7, 195.0, 0]</t>
  </si>
  <si>
    <t>[77.2, -48.9, 10.0, -98.7, 235.3]</t>
  </si>
  <si>
    <t>[6.3, 214.1, 70.5, -19.8, 34.8]</t>
  </si>
  <si>
    <t>[-3.5, 8.0, 7.9, -11.9, -19.3]</t>
  </si>
  <si>
    <t>[121.1, 0, 0, 0, 0]</t>
  </si>
  <si>
    <t>[470.7, -22.1, -39.6, 0, 728.3]</t>
  </si>
  <si>
    <t>[93.9, -63.0, 95.3, -4.7, -90.9]</t>
  </si>
  <si>
    <t>[99.8, 5.1, -14.9, -41.3, 0]</t>
  </si>
  <si>
    <t>[76.6, -14.1, -20.2, 116.0, 33.6]</t>
  </si>
  <si>
    <t>[0, 159.8, 0, 0, 2758.5]</t>
  </si>
  <si>
    <t>[0, 282.7, -39.9, -67.5, -35.1]</t>
  </si>
  <si>
    <t>[-41.0, -48.2, 20.3, 71.2, -17.5]</t>
  </si>
  <si>
    <t>[nan, nan, 91.8, -28.0, -37.8]</t>
  </si>
  <si>
    <t>[-96.0, 2878.6, 72.5, -42.3, -29.5]</t>
  </si>
  <si>
    <t>[-5.8, -15.4, -40.4, -47.5, 0]</t>
  </si>
  <si>
    <t>[28.3, 84.9, 31.8, 2.9, 12.4]</t>
  </si>
  <si>
    <t>[0, 38.4, -22.8, -48.5, -7.3]</t>
  </si>
  <si>
    <t>[35.7, -21.3, 20.1, -58.7, -18.4]</t>
  </si>
  <si>
    <t>[-31.4, -62.3, -26.4, 64.0, -46.5]</t>
  </si>
  <si>
    <t>[11.3, -22.9, 0, 0, 174.7]</t>
  </si>
  <si>
    <t>[0, -53.0, -8.3, 51.5, 94.0]</t>
  </si>
  <si>
    <t>[-20.2, 87.3, 0.8, -67.0, 59.9]</t>
  </si>
  <si>
    <t>[65.4, -33.1, 42.4, 10.9, 61.6]</t>
  </si>
  <si>
    <t>[-1.5, -20.3, 229.9, -90.1, -46.8]</t>
  </si>
  <si>
    <t>[-23.5, 305.0, -36.6, 18.4, -96.3]</t>
  </si>
  <si>
    <t>[0, 33.1, 116.8, -49.1, -15.8]</t>
  </si>
  <si>
    <t>[465.8, -73.4, 20.1, 13.5, -40.0]</t>
  </si>
  <si>
    <t>[-7.2, -16.1, 17.5, 6.3, -5.9]</t>
  </si>
  <si>
    <t>[-6.7, -8.3, -22.6, 31.2, -50.5]</t>
  </si>
  <si>
    <t>[0, 0, 781.3, -76.8, 0]</t>
  </si>
  <si>
    <t>[-49.5, 55.8, 70.8, -60.7, 9.3]</t>
  </si>
  <si>
    <t>[0, 0, 0, 44.7, 0]</t>
  </si>
  <si>
    <t>[0, -92.6, 0, 0, 0]</t>
  </si>
  <si>
    <t>[-44.0, -61.9, 136.1, 0, 0]</t>
  </si>
  <si>
    <t>[0, 0, -67.6, 304.5, 0]</t>
  </si>
  <si>
    <t>[3.0, 0.8, 3.6, 5.0, 8.3]</t>
  </si>
  <si>
    <t>[0, -27.6, -23.3, -20.1, 21.8]</t>
  </si>
  <si>
    <t>[0, 0, 0, 298.1, 0]</t>
  </si>
  <si>
    <t>[-38.3, -78.1, 68.0, 60.8, -94.7]</t>
  </si>
  <si>
    <t>[10.9, -18.4, 23.0, 65.2, 53.0]</t>
  </si>
  <si>
    <t>[-49.2, 170.1, -79.9, 60.1, -37.2]</t>
  </si>
  <si>
    <t>[17.6, -9.6, -9.6, 208.0, 125.2]</t>
  </si>
  <si>
    <t>[0, 0, 0, -27.0, 0]</t>
  </si>
  <si>
    <t>[1.9, 6.2, -13.2, 1.1, 24.5]</t>
  </si>
  <si>
    <t>[-78.1, 0, 0, 0, 0]</t>
  </si>
  <si>
    <t>[26.7, -10.9, 0.3, -1.6, -31.7]</t>
  </si>
  <si>
    <t>[4.2, 6.4, 7.3, 4.8, 6.1]</t>
  </si>
  <si>
    <t>[10.4, 55.1, 20.3, -71.6, 22.5]</t>
  </si>
  <si>
    <t>[2.8, 4.4, 2.9, 5.6, 1.1]</t>
  </si>
  <si>
    <t>[105.1, 25.9, -21.5, 0, 0]</t>
  </si>
  <si>
    <t>[0, 0, 15.4, -30.2, -8.6]</t>
  </si>
  <si>
    <t>[-33.8, 0, 0, 0, 0]</t>
  </si>
  <si>
    <t>[33.1, 843.1, -86.3, 124.4, 115.9]</t>
  </si>
  <si>
    <t>[0, 0, -78.3, 0, 245.3]</t>
  </si>
  <si>
    <t>[0, 0, -56.8, 0, 500.4]</t>
  </si>
  <si>
    <t>[146.2, -40.1, -41.5, 165.8, 1015.5]</t>
  </si>
  <si>
    <t>[103.2, -43.3, -20.0, -8.0, 0]</t>
  </si>
  <si>
    <t>[-88.5, 119.1, 34.3, -68.2, -67.9]</t>
  </si>
  <si>
    <t>[-10.7, 45.5, -44.1, -24.1, -64.7]</t>
  </si>
  <si>
    <t>[53.1, 0, 0, 207.1, 3.6]</t>
  </si>
  <si>
    <t>[0, 0, -7.5, 0, 0]</t>
  </si>
  <si>
    <t>[-70.2, 259.9, 7.3, -56.7, -82.4]</t>
  </si>
  <si>
    <t>[-43.5, -19.8, 31.1, 120.3, 0]</t>
  </si>
  <si>
    <t>[143.7, -46.0, 0, 0, 395.8]</t>
  </si>
  <si>
    <t>[392.2, -11.8, 0, 0, 0.2]</t>
  </si>
  <si>
    <t>[41.5, 27.0, 229.1, -74.8, -71.9]</t>
  </si>
  <si>
    <t>[64.1, 61.6, -74.6, 19.3, 869.3]</t>
  </si>
  <si>
    <t>[103.2, 0, 0, 0, 0]</t>
  </si>
  <si>
    <t>[3.1, 26.0, 2.0, 0, 5.6]</t>
  </si>
  <si>
    <t>[-9.2, -88.7, 0, 0, 0]</t>
  </si>
  <si>
    <t>[-23.7, 0, 0, -1.3, -72.3]</t>
  </si>
  <si>
    <t>[nan, nan, -74.3, 237.6, 2.8]</t>
  </si>
  <si>
    <t>[0, -32.1, 28.5, -2.6, -3.2]</t>
  </si>
  <si>
    <t>[2.9, 3.0, 3.1, 2.9, 2.7]</t>
  </si>
  <si>
    <t>[2198.1, -87.6, -33.8, 0, 74.9]</t>
  </si>
  <si>
    <t>[0, -3.8, 36.5, 4.6, 0]</t>
  </si>
  <si>
    <t>[14.0, -39.3, -72.6, 55.0, 5.7]</t>
  </si>
  <si>
    <t>[nan, nan, nan, 80.0, -69.2]</t>
  </si>
  <si>
    <t>[-10.3, -22.6, 8.5, -12.6, -30.3]</t>
  </si>
  <si>
    <t>[737.9, -80.4, 0, 0, 0]</t>
  </si>
  <si>
    <t>[-4.5, -19.9, 43.0, -43.5, 29.5]</t>
  </si>
  <si>
    <t>[623.7, 39.8, -39.8, -29.5, -87.9]</t>
  </si>
  <si>
    <t>[63.7, 22.4, -8.4, -39.8, 0]</t>
  </si>
  <si>
    <t>[8.2, 107.8, -40.5, -3.2, -27.0]</t>
  </si>
  <si>
    <t>[-12.0, -42.3, 47.3, -8.5, -19.6]</t>
  </si>
  <si>
    <t>[-48.8, -23.2, 0, 0, 0]</t>
  </si>
  <si>
    <t>[-70.0, 0, 0, 0, 0]</t>
  </si>
  <si>
    <t>[147.0, 69.0, 73.2, 590.7, -90.7]</t>
  </si>
  <si>
    <t>[-25.8, 18.4, -64.4, -50.5, 0]</t>
  </si>
  <si>
    <t>[-32.2, 0, 0, 0, 0]</t>
  </si>
  <si>
    <t>[2.8, 2.9, 3.2, 2.9, 2.7]</t>
  </si>
  <si>
    <t>[449.2, 25.7, 14.4, -3.7, -33.1]</t>
  </si>
  <si>
    <t>[0, 0, 0, -24.5, -31.2]</t>
  </si>
  <si>
    <t>[0, -5.9, -2.9, 0, 3.3]</t>
  </si>
  <si>
    <t>[1887.1, -95.3, 12.2, -7.8, 35.9]</t>
  </si>
  <si>
    <t>[88.1, 0, 0, 0, 0]</t>
  </si>
  <si>
    <t>[14.8, -62.6, 0, 0, 0]</t>
  </si>
  <si>
    <t>[-5.6, 33.5, -76.1, 78.8, -53.8]</t>
  </si>
  <si>
    <t>[-87.7, 620.5, 60.2, -6.1, 57.2]</t>
  </si>
  <si>
    <t>[-9.0, -41.2, -44.3, 0, 0]</t>
  </si>
  <si>
    <t>[-47.9, 56.6, 13.9, -29.5, 417.4]</t>
  </si>
  <si>
    <t>[-5.6, -16.4, -10.1, 5.7, 22.8]</t>
  </si>
  <si>
    <t>[-3.0, -3.3, -8.3, -6.4, 2.6]</t>
  </si>
  <si>
    <t>[-47.0, -87.2, -61.9, 397.3, 72.0]</t>
  </si>
  <si>
    <t>[45.2, -18.1, 7.6, -8.7, -14.5]</t>
  </si>
  <si>
    <t>[-37.1, 43.2, -69.4, 35.0, -85.6]</t>
  </si>
  <si>
    <t>[0, 96.5, 54.3, -54.5, -65.1]</t>
  </si>
  <si>
    <t>[0, -75.8, 1466.7, -21.9, -29.4]</t>
  </si>
  <si>
    <t>[33.0, -64.7, 46.8, 205.2, -47.7]</t>
  </si>
  <si>
    <t>[2.1, -15.5, 17.4, -15.1, 0]</t>
  </si>
  <si>
    <t>[13.1, 15.0, 11.0, 6.8, 10.6]</t>
  </si>
  <si>
    <t>[92.4, 33.7, -3.2, 3.7, -29.7]</t>
  </si>
  <si>
    <t>[-6.9, -61.7, 142.5, 18.0, -50.2]</t>
  </si>
  <si>
    <t>[29.1, 16.4, 1.3, 24.1, -13.2]</t>
  </si>
  <si>
    <t>[-51.4, 66.6, 85.7, -55.9, 22.3]</t>
  </si>
  <si>
    <t>[-79.7, 0, 0, 0, 0]</t>
  </si>
  <si>
    <t>[3.3, 3.3, 3.5, 3.5, 3.4]</t>
  </si>
  <si>
    <t>[110.8, 15.4, -23.3, 32.5, 54.4]</t>
  </si>
  <si>
    <t>[65.6, -4.4, 52.4, -74.5, -47.2]</t>
  </si>
  <si>
    <t>[156.6, 92.1, 19.6, -15.8, 60.8]</t>
  </si>
  <si>
    <t>[-37.1, -70.5, 59.9, 30.4, 0.1]</t>
  </si>
  <si>
    <t>[0, 0, 0, 51525.4, 11.8]</t>
  </si>
  <si>
    <t>[62.3, 0, 0, 78.2, 5.8]</t>
  </si>
  <si>
    <t>[113.7, 44.3, -58.7, -48.9, 0]</t>
  </si>
  <si>
    <t>[0, 0, 0, 0, 49.1]</t>
  </si>
  <si>
    <t>[-22.3, 49.3, -75.6, -5.9, -71.2]</t>
  </si>
  <si>
    <t>[4.7, 6.6, 7.4, 8.2, 10.0]</t>
  </si>
  <si>
    <t>[239.8, -0.4, 10.6, -58.7, 0]</t>
  </si>
  <si>
    <t>[5.9, 6.7, 6.5, 1.8, 15.2]</t>
  </si>
  <si>
    <t>[2.4, 2.7, 2.6, 2.5, 2.5]</t>
  </si>
  <si>
    <t>[-57.3, -36.1, 6.4, 54.2, -6.8]</t>
  </si>
  <si>
    <t>[52.7, -47.3, -70.3, 40.8, 91.8]</t>
  </si>
  <si>
    <t>[-93.1, 0, 0, 0, 0]</t>
  </si>
  <si>
    <t>[5.3, 6.5, -11.9, -12.4, -58.1]</t>
  </si>
  <si>
    <t>[-17.3, -72.6, 0, 0, 0]</t>
  </si>
  <si>
    <t>[8.2, 4.2, 5.7, 3.0, 3.6]</t>
  </si>
  <si>
    <t>[-36.0, 0, 0, 0, 0]</t>
  </si>
  <si>
    <t>[85.2, -8.4, 25.5, -73.1, 126.3]</t>
  </si>
  <si>
    <t>[0.0, 0.7, 8.6, 7.2, 9.6]</t>
  </si>
  <si>
    <t>[0, 74.6, 179.8, -29.6, -17.0]</t>
  </si>
  <si>
    <t>[20.6, 1924.0, -99.2, -51.2, -5.5]</t>
  </si>
  <si>
    <t>[8.2, 9.2, 8.8, 4.8, 5.9]</t>
  </si>
  <si>
    <t>[-2.1, -25.5, 38.7, -87.3, -8.7]</t>
  </si>
  <si>
    <t>[-20.3, 6.0, 45.1, -18.9, -6.4]</t>
  </si>
  <si>
    <t>[117.1, 9.1, 1.5, 74.7, 4.1]</t>
  </si>
  <si>
    <t>[62.0, -71.9, 127.9, 11.1, 0]</t>
  </si>
  <si>
    <t>[-41.2, 42.9, -83.4, -18.0, -86.4]</t>
  </si>
  <si>
    <t>[12.1, -60.6, 26.7, -24.8, 75.6]</t>
  </si>
  <si>
    <t>[8.1, 3.0, -28.6, 10.5, 0.2]</t>
  </si>
  <si>
    <t>[-4.5, -54.4, -65.3, 42.2, -54.6]</t>
  </si>
  <si>
    <t>[136.7, -23.2, 48.4, -59.3, -58.1]</t>
  </si>
  <si>
    <t>[nan, nan, nan, 253.5, 8.4]</t>
  </si>
  <si>
    <t>[2.5, 2.6, 2.7, 2.7, 2.5]</t>
  </si>
  <si>
    <t>[-41.2, 72.4, 6.9, -7.0, -0.3]</t>
  </si>
  <si>
    <t>[51.4, -39.7, -90.3, 1385.6, -28.9]</t>
  </si>
  <si>
    <t>[21.9, 0.4, -52.9, -1.7, 0]</t>
  </si>
  <si>
    <t>[42.5, -60.9, 1367.6, 0, -17.2]</t>
  </si>
  <si>
    <t>[-23.2, 278.2, -37.1, 85.7, 8.8]</t>
  </si>
  <si>
    <t>[9.6, 696.3, -12.3, -45.8, -15.6]</t>
  </si>
  <si>
    <t>[0, -30.9, 843.1, 124.8, 0]</t>
  </si>
  <si>
    <t>[16.3, 219.3, -65.5, 24.3, -65.0]</t>
  </si>
  <si>
    <t>[91.9, 11.6, 591.0, -51.7, nan]</t>
  </si>
  <si>
    <t>[-37.0, 159.1, -79.4, 676.1, -13.9]</t>
  </si>
  <si>
    <t>[nan, nan, 59.9, 8.9, -14.5]</t>
  </si>
  <si>
    <t>[21.9, 11.7, -30.2, 8.1, -80.2]</t>
  </si>
  <si>
    <t>[-18.6, 13.2, -13.7, 53.6, 0]</t>
  </si>
  <si>
    <t>[0, 0, 0, -92.3, 0]</t>
  </si>
  <si>
    <t>[nan, nan, -16.7, 15.1, -39.2]</t>
  </si>
  <si>
    <t>[45.7, 34.1, 112.2, -82.8, 1077.9]</t>
  </si>
  <si>
    <t>[175.9, -48.7, -4.8, 87.8, -87.5]</t>
  </si>
  <si>
    <t>[-62.6, 289.5, 195.0, -63.6, 953.9]</t>
  </si>
  <si>
    <t>[11.4, 33.6, -2.6, -35.9, -76.7]</t>
  </si>
  <si>
    <t>[0, 70.8, -21.2, 53.4, -71.0]</t>
  </si>
  <si>
    <t>[19.7, 79.5, -17.4, 123.6, 0]</t>
  </si>
  <si>
    <t>[0, -92.4, 78.7, 688.6, -78.2]</t>
  </si>
  <si>
    <t>[nan, nan, nan, 330.6, 0]</t>
  </si>
  <si>
    <t>[87.0, -13.8, -0.1, 47.4, 22.6]</t>
  </si>
  <si>
    <t>[-38.4, 191.6, 130.0, -40.0, 35.0]</t>
  </si>
  <si>
    <t>[11.6, 12.0, -22.3, 45.9, 1.6]</t>
  </si>
  <si>
    <t>[-48.1, 54.0, 18.7, -5.0, -31.8]</t>
  </si>
  <si>
    <t>[19.5, 3.5, -45.6, 82.9, 14.7]</t>
  </si>
  <si>
    <t>[-31.7, 260.3, 46.0, -87.0, 40.2]</t>
  </si>
  <si>
    <t>[18.8, -5.5, -22.5, 15.0, -5.7]</t>
  </si>
  <si>
    <t>[20.2, 94.9, -1.7, 36.2, -83.2]</t>
  </si>
  <si>
    <t>[16.3, 6.2, -16.2, 20.0, -14.7]</t>
  </si>
  <si>
    <t>[61.0, 50.6, -32.7, 13.4, -39.9]</t>
  </si>
  <si>
    <t>[3.4, 5.5, 5.0, -5.5, 72.8]</t>
  </si>
  <si>
    <t>[61.5, 5.7, -13.2, 42.8, -15.9]</t>
  </si>
  <si>
    <t>[nan, 99.9, 56.5, 49.1, 48.1]</t>
  </si>
  <si>
    <t>[153.7, 151.7, -19.8, -16.4, -9.0]</t>
  </si>
  <si>
    <t>[0, 0, 20.6, 146.7, 0]</t>
  </si>
  <si>
    <t>[nan, nan, 339.8, 28.5, 13.6]</t>
  </si>
  <si>
    <t>[111.1, -85.1, 455.2, 211.9, 87.1]</t>
  </si>
  <si>
    <t>[127.2, 49.3, 33.0, 18.4, -8.8]</t>
  </si>
  <si>
    <t>[69.7, -27.2, 5.8, 16.6, 3.2]</t>
  </si>
  <si>
    <t>[nan, -18.3, 25.3, 126.6, -50.8]</t>
  </si>
  <si>
    <t>[12.7, -28.8, 140.2, 24.1, -4.4]</t>
  </si>
  <si>
    <t>[nan, 347.6, 20.0, -24.9, 196.1]</t>
  </si>
  <si>
    <t>[6.1, 21.3, -0.3, 24.0, -8.1]</t>
  </si>
  <si>
    <t>[157.0, -30.2, 2.0, 191.3, 61.6]</t>
  </si>
  <si>
    <t>[0, -0.3, -12.0, -11.5, -11.0]</t>
  </si>
  <si>
    <t>[90.8, -78.9, 309.0, 203.3, 61.1]</t>
  </si>
  <si>
    <t>[14.6, -31.2, 24.7, 58.7, 19.0]</t>
  </si>
  <si>
    <t>[0, 0, 0, 173.3, -43.1]</t>
  </si>
  <si>
    <t>[2.4, 80.0, 23.4, 1.9, -18.0]</t>
  </si>
  <si>
    <t>[0, 0, 52.6, 114.6, -3.0]</t>
  </si>
  <si>
    <t>[nan, 2909.2, -60.1, -19.5, 0]</t>
  </si>
  <si>
    <t>[31.4, 108.1, 43.8, -10.5, 27.4]</t>
  </si>
  <si>
    <t>[-14.5, 0, 4041.8, 28.5, -3.2]</t>
  </si>
  <si>
    <t>[-84.2, 0, 0, 103.8, 3.2]</t>
  </si>
  <si>
    <t>[109.2, 0, 0, 0, 502.3]</t>
  </si>
  <si>
    <t>[0, 24.7, -73.0, -75.3, 0]</t>
  </si>
  <si>
    <t>[nan, nan, 193.7, -75.7, -72.7]</t>
  </si>
  <si>
    <t>[243.5, 16.1, 23.8, -57.2, -6.9]</t>
  </si>
  <si>
    <t>[51.6, 6.0, 51.3, -30.4, 8.5]</t>
  </si>
  <si>
    <t>[nan, 0, 736.0, 200.1, -14.7]</t>
  </si>
  <si>
    <t>[5.7, -1.6, 6.5, -62.7, -22.4]</t>
  </si>
  <si>
    <t>[-29.0, 30.1, 105.0, -33.2, 6.9]</t>
  </si>
  <si>
    <t>[0, 0, -19.7, 0, 0]</t>
  </si>
  <si>
    <t>[24.5, 98.2, 11.1, -47.5, 20.7]</t>
  </si>
  <si>
    <t>[0, 453.9, 0, 0, 52.1]</t>
  </si>
  <si>
    <t>[36.6, 5.9, -39.9, 11.8, -58.9]</t>
  </si>
  <si>
    <t>[-3.4, -3.8, 63.8, -54.6, -4.2]</t>
  </si>
  <si>
    <t>[0, 0, 0, 111.0, 54.3]</t>
  </si>
  <si>
    <t>[0, 0, 80.5, -35.3, -45.5]</t>
  </si>
  <si>
    <t>[36.7, 51.9, 13.9, -56.8, -62.0]</t>
  </si>
  <si>
    <t>[61.5, 40.4, 63.5, 22.5, -8.3]</t>
  </si>
  <si>
    <t>[0, 133.9, 21.6, -64.3, 626.3]</t>
  </si>
  <si>
    <t>[0, 1154.0, 152.7, 10.9, 39.7]</t>
  </si>
  <si>
    <t>[0, 0, 371.3, 263.2, -43.8]</t>
  </si>
  <si>
    <t>[0, -47.4, 0, 0, 0]</t>
  </si>
  <si>
    <t>[-2.5, 0, 32.7, -29.9, -3.3]</t>
  </si>
  <si>
    <t>[nan, nan, 74.5, 13.3, -26.5]</t>
  </si>
  <si>
    <t>[0, -81.9, 128.0, 85.9, -39.0]</t>
  </si>
  <si>
    <t>[-60.6, 206.2, 321.3, 13.8, -49.7]</t>
  </si>
  <si>
    <t>[0, 0, 0, 106.5, 0]</t>
  </si>
  <si>
    <t>[nan, nan, 21.5, -25.2, 61.7]</t>
  </si>
  <si>
    <t>[0, 0, 0, 519.0, 7.8]</t>
  </si>
  <si>
    <t>[0, 242.2, -75.4, 223.7, 0]</t>
  </si>
  <si>
    <t>[20.9, 76.7, 35.1, -34.4, -70.1]</t>
  </si>
  <si>
    <t>[73.8, 124.7, 14.8, 2.3, 22.4]</t>
  </si>
  <si>
    <t>[14.9, 80.1, 72.3, -25.5, 16.0]</t>
  </si>
  <si>
    <t>[58.4, -22.3, 12.2, 32.0, -44.5]</t>
  </si>
  <si>
    <t>[203.8, -30.5, -11.6, 182.1, -53.1]</t>
  </si>
  <si>
    <t>[-81.7, 652.2, -5.8, 330.5, -95.3]</t>
  </si>
  <si>
    <t>[-26.9, 1.0, 116.5, 1.5, -43.2]</t>
  </si>
  <si>
    <t>[143.0, 147.7, 45.8, 0.9, -38.7]</t>
  </si>
  <si>
    <t>[46.2, 0, 0, -24.5, 187.4]</t>
  </si>
  <si>
    <t>[97.5, 266.7, -4.8, -1.9, 61.0]</t>
  </si>
  <si>
    <t>[109.9, 177.2, 298.2, -52.0, -28.4]</t>
  </si>
  <si>
    <t>[-70.5, 177.8, 116.8, -51.3, 0]</t>
  </si>
  <si>
    <t>[87.1, 3.9, 47.5, -56.3, -16.6]</t>
  </si>
  <si>
    <t>[0, -6.9, 72.7, 7.4, 44.7]</t>
  </si>
  <si>
    <t>[17.5, 98.5, -23.0, 9.0, 6.9]</t>
  </si>
  <si>
    <t>[-1.9, 13.8, 1.8, 3.9, -34.6]</t>
  </si>
  <si>
    <t>[-11.9, -33.0, 119.9, 81.7, -4.4]</t>
  </si>
  <si>
    <t>[17.7, 165.3, -8.7, -32.7, -32.1]</t>
  </si>
  <si>
    <t>[-30.3, 24.7, -21.2, 20.5, 65.5]</t>
  </si>
  <si>
    <t>[-46.5, 304.9, 9.0, -62.5, -0.3]</t>
  </si>
  <si>
    <t>[nan, 0, 77.6, -43.7, -74.0]</t>
  </si>
  <si>
    <t>[53.3, -0.4, -24.3, 20.0, -10.2]</t>
  </si>
  <si>
    <t>[0, 113.1, -43.6, -37.7, -71.7]</t>
  </si>
  <si>
    <t>[-47.4, 0, 0, -41.0, 0]</t>
  </si>
  <si>
    <t>[nan, 33.3, 41.2, -37.8, 34.0]</t>
  </si>
  <si>
    <t>[323.0, 28.9, 4.0, -41.0, 0]</t>
  </si>
  <si>
    <t>[nan, 148.8, -77.2, 306.5, -94.0]</t>
  </si>
  <si>
    <t>[23.2, -4.4, 41.7, 7.3, -62.0]</t>
  </si>
  <si>
    <t>[23.3, -40.9, 124.7, 27.8, 8.8]</t>
  </si>
  <si>
    <t>[34.1, 34.6, -35.7, 14.9, 60.4]</t>
  </si>
  <si>
    <t>[11.3, -6.2, -9.0, -13.7, -21.1]</t>
  </si>
  <si>
    <t>[15.3, 17.4, 10.8, 17.0, 27.1]</t>
  </si>
  <si>
    <t>[0, 0, -13.2, -31.8, 21.3]</t>
  </si>
  <si>
    <t>[-11.9, 0, 25.7, 42.2, -46.9]</t>
  </si>
  <si>
    <t>[0, 821.1, 400.4, -3.7, 0]</t>
  </si>
  <si>
    <t>[nan, 128.7, 29.0, -15.5, 16.8]</t>
  </si>
  <si>
    <t>[0, 0, -68.8, 25.3, 0]</t>
  </si>
  <si>
    <t>[94.8, 479.0, -86.8, -81.5, 302.1]</t>
  </si>
  <si>
    <t>[-49.9, 0, 0, -68.4, 0]</t>
  </si>
  <si>
    <t>[nan, 0, 0, 68.1, 0]</t>
  </si>
  <si>
    <t>[-70.7, 478.8, 0, 0, 0]</t>
  </si>
  <si>
    <t>[258.6, 21.6, -73.2, 695.2, 7.6]</t>
  </si>
  <si>
    <t>[79.6, 0, 196.8, 0, 0]</t>
  </si>
  <si>
    <t>[0, 0, 0, 0, 7643.5]</t>
  </si>
  <si>
    <t>[66.7, -45.9, -77.7, 207.2, 23660.7]</t>
  </si>
  <si>
    <t>[0, 0, 81.7, 71.8, 0]</t>
  </si>
  <si>
    <t>[44.7, 18.8, 50.3, -18.5, 33.5]</t>
  </si>
  <si>
    <t>[0, 0, 274.8, 110.4, 153.5]</t>
  </si>
  <si>
    <t>[0, 14.0, 0, 0, 0]</t>
  </si>
  <si>
    <t>[98.1, 2.4, 7.3, -70.9, 0]</t>
  </si>
  <si>
    <t>[-83.9, 17.6, 584.1, 0, 0]</t>
  </si>
  <si>
    <t>[-25.7, -5.2, 14.8, 249.9, -89.0]</t>
  </si>
  <si>
    <t>[0, 0, 0, 0, 351.7]</t>
  </si>
  <si>
    <t>[0, 0, 106.2, 95.1, -71.3]</t>
  </si>
  <si>
    <t>[132.3, 0, 296.6, 102.7, -45.0]</t>
  </si>
  <si>
    <t>[-90.4, 0, 0, 0, 0]</t>
  </si>
  <si>
    <t>[0, -39.8, 0, 0, 0]</t>
  </si>
  <si>
    <t>[-51.7, 26.2, -45.7, -17.3, 0]</t>
  </si>
  <si>
    <t>[-90.5, 0, 0, 0, 0]</t>
  </si>
  <si>
    <t>[132.3, 44.8, 0, 0, 0]</t>
  </si>
  <si>
    <t>[27.5, -10.6, 3.9, -40.1, -38.8]</t>
  </si>
  <si>
    <t>[0, 112.2, -52.8, 76.9, 0]</t>
  </si>
  <si>
    <t>[0, 4.6, -6.5, 0, 0]</t>
  </si>
  <si>
    <t>[-20.7, 0.9, 0, 0, 0]</t>
  </si>
  <si>
    <t>[0, 0, 0, 140.2, -46.3]</t>
  </si>
  <si>
    <t>[0, -26.1, -81.1, 0, 0]</t>
  </si>
  <si>
    <t>[99.3, -18.8, -71.7, -80.8, 0]</t>
  </si>
  <si>
    <t>[0, 0, 1063.4, -13.7, 105.4]</t>
  </si>
  <si>
    <t>[-24.1, 0, 0, 0, 27.2]</t>
  </si>
  <si>
    <t>[-8.6, 0, 0, 0, 0]</t>
  </si>
  <si>
    <t>[-17.6, 0, 0, 0, 0]</t>
  </si>
  <si>
    <t>[9.1, -23.5, -93.8, 1678.0, 19.6]</t>
  </si>
  <si>
    <t>[-35.7, -14.9, -2.2, 0, 0]</t>
  </si>
  <si>
    <t>[36.0, -77.7, 0, 0, 0]</t>
  </si>
  <si>
    <t>[103.1, 0, 0, 0, 0]</t>
  </si>
  <si>
    <t>[22.6, 11.4, 40.3, -16.2, 6.2]</t>
  </si>
  <si>
    <t>[30.9, -57.0, 25.6, 0, 0]</t>
  </si>
  <si>
    <t>[-57.2, -21.7, 5.4, 92.1, -41.1]</t>
  </si>
  <si>
    <t>[226.0, 0, 0, 1680.7, -78.2]</t>
  </si>
  <si>
    <t>[-81.7, 375.7, 62.0, -80.8, 0]</t>
  </si>
  <si>
    <t>[0, 0, 0, 69.8, -2.0]</t>
  </si>
  <si>
    <t>[101.3, 40.1, 40.6, 57.8, -0.9]</t>
  </si>
  <si>
    <t>[nan, nan, 468.4, 0, -38.1]</t>
  </si>
  <si>
    <t>[389.5, 74.5, -31.8, -27.9, -57.9]</t>
  </si>
  <si>
    <t>[0, 41.9, -35.8, 0, 0]</t>
  </si>
  <si>
    <t>[-19.1, 356.5, -30.5, -45.0, 71.5]</t>
  </si>
  <si>
    <t>[219.1, -22.9, -24.4, 183.8, -36.2]</t>
  </si>
  <si>
    <t>[8.0, -26.9, 62.7, 2.3, -36.5]</t>
  </si>
  <si>
    <t>[0, 8.8, 0, 0, 0]</t>
  </si>
  <si>
    <t>[-36.3, 72.8, 114.2, 0, 0]</t>
  </si>
  <si>
    <t>[42.6, 75.3, -21.5, 104.0, 55.6]</t>
  </si>
  <si>
    <t>[344.5, 79.7, -4.3, 0, 0]</t>
  </si>
  <si>
    <t>[53.2, -23.5, 3.4, 79.1, 9.9]</t>
  </si>
  <si>
    <t>[88.4, -15.9, -70.6, -85.5, 0]</t>
  </si>
  <si>
    <t>[-63.4, 0, 0, 0, 0]</t>
  </si>
  <si>
    <t>[0, 0, 0, 0, -30.3]</t>
  </si>
  <si>
    <t>[0.7, 47.2, -17.4, -40.6, -8.3]</t>
  </si>
  <si>
    <t>[6.7, 0, 0, 62.2, 108.5]</t>
  </si>
  <si>
    <t>[-51.0, 0, 0, 0, 0]</t>
  </si>
  <si>
    <t>[-10.5, -81.3, 233.3, -63.4, 0]</t>
  </si>
  <si>
    <t>[0, 0, 217.1, 34.9, 0]</t>
  </si>
  <si>
    <t>[0, 0, 0, 147.0, 27.7]</t>
  </si>
  <si>
    <t>[17.0, -58.2, 90.5, -37.3, -1.9]</t>
  </si>
  <si>
    <t>[16.6, -45.0, -57.4, 0, 0]</t>
  </si>
  <si>
    <t>[0, 0, -38.6, 0, 350.2]</t>
  </si>
  <si>
    <t>[47.3, 48.9, 0, 0, 0]</t>
  </si>
  <si>
    <t>[52.9, 0, 0, 0, 0]</t>
  </si>
  <si>
    <t>[18.4, 75.0, -52.7, 5.2, 26.3]</t>
  </si>
  <si>
    <t>[-39.5, -50.6, 125.9, 0, 0]</t>
  </si>
  <si>
    <t>[0, -33.5, 55.9, -23.0, -0.5]</t>
  </si>
  <si>
    <t>[0, 0, 0, 0, -12.9]</t>
  </si>
  <si>
    <t>[-32.1, 4.9, 99.6, 105.4, 85.6]</t>
  </si>
  <si>
    <t>[-80.2, 0, 0, 0, 0]</t>
  </si>
  <si>
    <t>[80.7, -55.7, -86.8, 122.6, 0]</t>
  </si>
  <si>
    <t>[-17.5, 1095.6, -65.1, -17.5, -4.3]</t>
  </si>
  <si>
    <t>[0, 0, 0, -7.9, -46.7]</t>
  </si>
  <si>
    <t>[-6.5, 206.6, -41.5, 0, 0]</t>
  </si>
  <si>
    <t>[0, 0, 1617.3, -71.7, -20.7]</t>
  </si>
  <si>
    <t>[0, 0, -42.3, 0, 0]</t>
  </si>
  <si>
    <t>[255.8, 0, 0, 0, 0]</t>
  </si>
  <si>
    <t>[52.3, -61.9, 0, 0, 0]</t>
  </si>
  <si>
    <t>[324.8, 0, 81.0, -66.3, -69.3]</t>
  </si>
  <si>
    <t>[nan, 116.5, -53.5, -18.1, 159.8]</t>
  </si>
  <si>
    <t>[0, 0, 0, 609.9, 10.5]</t>
  </si>
  <si>
    <t>[107.2, -35.4, 0, 0, 0]</t>
  </si>
  <si>
    <t>[0, -36.2, 138.3, 131.0, -30.2]</t>
  </si>
  <si>
    <t>[-4.9, -65.7, 224.9, 0, -85.0]</t>
  </si>
  <si>
    <t>[nan, 23.1, -97.5, 52.2, 0]</t>
  </si>
  <si>
    <t>[-18.7, 45.6, 0, 0, 0]</t>
  </si>
  <si>
    <t>[107.2, 31.7, 3.1, 0, 0]</t>
  </si>
  <si>
    <t>[-84.6, -87.3, 477.5, 0, 0]</t>
  </si>
  <si>
    <t>[0, 0, 0, 203.2, -84.4]</t>
  </si>
  <si>
    <t>[207.9, 0, 0, -4.4, 27.3]</t>
  </si>
  <si>
    <t>[-16.5, 16.2, -22.9, 13.2, 12.6]</t>
  </si>
  <si>
    <t>[-14.2, 0, 0, 0, 0]</t>
  </si>
  <si>
    <t>[346.3, 0, 0, 0, 0]</t>
  </si>
  <si>
    <t>[-49.6, -98.6, 4020.0, 69.0, 43.0]</t>
  </si>
  <si>
    <t>[6.5, -65.1, 47.6, 118.5, 19.1]</t>
  </si>
  <si>
    <t>[4.2, -26.5, -52.8, -13.1, 0]</t>
  </si>
  <si>
    <t>[0, -80.2, 0, 0, 0]</t>
  </si>
  <si>
    <t>[-45.7, 0, 0, 0, 0]</t>
  </si>
  <si>
    <t>[-99.9, 0, 0, 0, 0]</t>
  </si>
  <si>
    <t>[nan, 0, 0, 0, 0]</t>
  </si>
  <si>
    <t>[0, 0, 4739.7, -5.5, -32.2]</t>
  </si>
  <si>
    <t>[0, 0, 0, -45.9, 62.4]</t>
  </si>
  <si>
    <t>[nan, 101.1, 139.8, -25.6, 1.3]</t>
  </si>
  <si>
    <t>[nan, 47.5, 0, 27.5, 480.3]</t>
  </si>
  <si>
    <t>[0.4, 196.8, -32.8, -88.7, 229.4]</t>
  </si>
  <si>
    <t>[177.7, 23.4, 0, 0, 0]</t>
  </si>
  <si>
    <t>[0, 0, 0, -8.5, 63.9]</t>
  </si>
  <si>
    <t>[-30.9, -12.8, -44.7, -65.5, 0]</t>
  </si>
  <si>
    <t>[-78.2, 0, 0, 0, 0]</t>
  </si>
  <si>
    <t>[0, 209.4, -3.0, 0, 0]</t>
  </si>
  <si>
    <t>[18650.7, 0, 0, 0, 0]</t>
  </si>
  <si>
    <t>[61.8, 82.0, 19.9, 19.9, -1.5]</t>
  </si>
  <si>
    <t>[0, 0, 0, 0, 331.7]</t>
  </si>
  <si>
    <t>[33.5, 289.0, -34.4, 94.5, nan]</t>
  </si>
  <si>
    <t>[-86.8, 0, 0, 0, 0]</t>
  </si>
  <si>
    <t>[61.6, -62.2, 76.9, 0, 0]</t>
  </si>
  <si>
    <t>[-73.3, 0, 0, 0, 0]</t>
  </si>
  <si>
    <t>[105.3, -4.4, -40.1, 0, 0]</t>
  </si>
  <si>
    <t>[997.1, 0, 0, 0, 464.7]</t>
  </si>
  <si>
    <t>[-52.9, 0, 0, 0, 0]</t>
  </si>
  <si>
    <t>[105.5, -4.2, 0, 0, 4.3]</t>
  </si>
  <si>
    <t>[15.1, -62.8, -5.5, 128.2, -41.6]</t>
  </si>
  <si>
    <t>[0, -34.7, -72.5, 26.2, 37.5]</t>
  </si>
  <si>
    <t>[0, 2.0, -83.3, 736.8, 61.7]</t>
  </si>
  <si>
    <t>[-18.4, -17.0, 4.9, 2.6, -52.0]</t>
  </si>
  <si>
    <t>[-3.4, 77.5, 0, 26.4, 68.5]</t>
  </si>
  <si>
    <t>[0, 0, 0, 309.9, 0]</t>
  </si>
  <si>
    <t>[-34.1, -40.2, 24.2, -15.3, 157.8]</t>
  </si>
  <si>
    <t>[0, -41.0, 91.7, 113.2, -39.8]</t>
  </si>
  <si>
    <t>[0, -7.8, 0, 0, 0]</t>
  </si>
  <si>
    <t>[196.2, 0, 0, -57.4, 0]</t>
  </si>
  <si>
    <t>[0, 0, 0, -22.8, 219.3]</t>
  </si>
  <si>
    <t>[0, 0, 99.7, 0, 0]</t>
  </si>
  <si>
    <t>[0, 0, 107.6, -71.4, 0]</t>
  </si>
  <si>
    <t>[-76.0, 0, 0, 0, 0]</t>
  </si>
  <si>
    <t>[-36.1, 0, 0, 0, 337.4]</t>
  </si>
  <si>
    <t>[-26.3, 63.8, 67.1, 7.9, 18.7]</t>
  </si>
  <si>
    <t>[15.2, -3.6, 25.6, -27.9, -70.3]</t>
  </si>
  <si>
    <t>[0, 0, -66.7, 0, 0]</t>
  </si>
  <si>
    <t>[57.2, 59.5, 0, 0, 0]</t>
  </si>
  <si>
    <t>[2.4, -54.4, 0, 0, 0]</t>
  </si>
  <si>
    <t>[-33.3, 58.2, -59.3, 0, 0]</t>
  </si>
  <si>
    <t>[0.9, -59.8, -83.7, 302.9, 139.5]</t>
  </si>
  <si>
    <t>[0, 185.9, -66.4, 35.4, 0]</t>
  </si>
  <si>
    <t>[-51.2, -52.1, 224.0, 33.6, -30.3]</t>
  </si>
  <si>
    <t>[nan, 1.3, -23.2, 155.0, -16.9]</t>
  </si>
  <si>
    <t>[-85.0, -95.0, 0, 0, 0]</t>
  </si>
  <si>
    <t>[0, 0, 55.7, -21.4, 10.7]</t>
  </si>
  <si>
    <t>[0, 0, 0, -13.0, 228.2]</t>
  </si>
  <si>
    <t>[-15.8, 69.4, 10.3, 69.1, -27.0]</t>
  </si>
  <si>
    <t>[-6.8, 0, 19.3, 10.1, 26.1]</t>
  </si>
  <si>
    <t>[28.8, 31.2, -39.1, -30.5, 81.6]</t>
  </si>
  <si>
    <t>[0, 0, 0, 0, 90.6]</t>
  </si>
  <si>
    <t>[0, 45.0, -61.1, 0, 60.0]</t>
  </si>
  <si>
    <t>[79.2, -69.9, 395.9, -95.2, 0]</t>
  </si>
  <si>
    <t>[0, 0, 0, 1324.5, -40.7]</t>
  </si>
  <si>
    <t>[-37.7, 0, 0, 128.6, 26.5]</t>
  </si>
  <si>
    <t>[-66.9, 0, 0, 0, 0]</t>
  </si>
  <si>
    <t>[-58.0, 118.9, -39.8, -34.5, 233.1]</t>
  </si>
  <si>
    <t>[0, -44.5, 155.9, 0, 0]</t>
  </si>
  <si>
    <t>[0, -91.4, 190.8, 168.7, 57.4]</t>
  </si>
  <si>
    <t>[-20.2, 1.3, 0, 0, 917.9]</t>
  </si>
  <si>
    <t>[0, 0, 0, 0, -77.3]</t>
  </si>
  <si>
    <t>[-45.1, 20.2, 3.8, 45.1, 534.8]</t>
  </si>
  <si>
    <t>[-34.6, 73.4, -31.3, 94.2, -2.8]</t>
  </si>
  <si>
    <t>[-11.8, 9.2, 236.0, 10.0, 0]</t>
  </si>
  <si>
    <t>[0, 0, 0, 0, -19.3]</t>
  </si>
  <si>
    <t>[nan, nan, 4.9, 38.1, 25.2]</t>
  </si>
  <si>
    <t>[0, -76.9, 0, 0, 0]</t>
  </si>
  <si>
    <t>[44.2, 100.9, 35.7, -65.4, 136.6]</t>
  </si>
  <si>
    <t>[-2.9, -30.7, 102.6, -76.6, 0]</t>
  </si>
  <si>
    <t>[0, 50.2, -24.5, 28.9, 241.0]</t>
  </si>
  <si>
    <t>[-6.5, 145.0, -21.9, 9.1, -88.5]</t>
  </si>
  <si>
    <t>[-34.4, -55.6, -4.6, -65.8, 0]</t>
  </si>
  <si>
    <t>[0, 0, 0, 0, 12.5]</t>
  </si>
  <si>
    <t>[0, 0, 592.0, 0, 0]</t>
  </si>
  <si>
    <t>[nan, nan, nan, nan, 195.1]</t>
  </si>
  <si>
    <t>[0, 43.8, 62.8, 96.5, -48.0]</t>
  </si>
  <si>
    <t>[603.6, 130.0, 3.1, 16.2, 99.9]</t>
  </si>
  <si>
    <t>[9.0, 0, 0, 0, 0]</t>
  </si>
  <si>
    <t>[134.1, 51.8, 48.8, 43.1, 49.5]</t>
  </si>
  <si>
    <t>[26.6, 12.0, 89.0, 23.3, 11.8]</t>
  </si>
  <si>
    <t>[6.7, 18.5, 118.1, 5.8, -47.3]</t>
  </si>
  <si>
    <t>[-35.2, 0, 0, 0, 85.5]</t>
  </si>
  <si>
    <t>[0, 521.5, -83.9, -44.0, 386.4]</t>
  </si>
  <si>
    <t>[-74.8, 5.8, 0, 0, -61.7]</t>
  </si>
  <si>
    <t>[0, 0, 15.4, 10.5, 0]</t>
  </si>
  <si>
    <t>[4.3, 0, 0, 71.1, -31.4]</t>
  </si>
  <si>
    <t>[-35.9, 0, 0, 145.9, 0]</t>
  </si>
  <si>
    <t>[0, 0, 75.7, 7.3, -36.2]</t>
  </si>
  <si>
    <t>[0, 16.7, 52.7, -17.1, -3.6]</t>
  </si>
  <si>
    <t>[0, 0, 0, 91.9, 0]</t>
  </si>
  <si>
    <t>[0, 0, 0, 76.5, 47.3]</t>
  </si>
  <si>
    <t>[44.6, -23.7, 28.4, -68.4, 7.6]</t>
  </si>
  <si>
    <t>[2.1, -11.6, -11.3, 4.9, 47.2]</t>
  </si>
  <si>
    <t>[435.7, 50.2, 0, 0, 0]</t>
  </si>
  <si>
    <t>[0, 0, 0, 0, -40.2]</t>
  </si>
  <si>
    <t>[0, 12.6, 0, 0, 0]</t>
  </si>
  <si>
    <t>[-21.4, 59.0, -10.6, 70.2, 1.4]</t>
  </si>
  <si>
    <t>[260.0, 0, 0, 0, 0]</t>
  </si>
  <si>
    <t>[0, -2.6, 0, 0, 0]</t>
  </si>
  <si>
    <t>[nan, nan, nan, 188.6, -35.2]</t>
  </si>
  <si>
    <t>[0, 0, -78.6, 0, 0]</t>
  </si>
  <si>
    <t>[nan, 200.6, 0, 48.9, -44.9]</t>
  </si>
  <si>
    <t>[0, 0, 0, -83.7, -72.1]</t>
  </si>
  <si>
    <t>[54.1, -17.9, -58.8, 27.4, -46.2]</t>
  </si>
  <si>
    <t>[48.2, 43.2, 55.0, -25.2, 2.9]</t>
  </si>
  <si>
    <t>[9.2, 38.1, -62.8, -28.2, 19.1]</t>
  </si>
  <si>
    <t>[72.7, 64.0, 25.6, -0.1, 28.5]</t>
  </si>
  <si>
    <t>[0, 0, 0, -41.9, -60.0]</t>
  </si>
  <si>
    <t>[-27.0, 15.7, 10.3, 64.6, -13.5]</t>
  </si>
  <si>
    <t>[nan, nan, -35.7, 30.8, 0]</t>
  </si>
  <si>
    <t>[138.9, 108.2, 134.1, 4.5, -14.6]</t>
  </si>
  <si>
    <t>[0, 0, 50.6, -15.7, 104.6]</t>
  </si>
  <si>
    <t>[0, -68.5, 756.4, -8.0, 9.0]</t>
  </si>
  <si>
    <t>[7.6, -83.7, 0, 0, 0]</t>
  </si>
  <si>
    <t>[420.7, -85.3, 498.1, -9.8, 0]</t>
  </si>
  <si>
    <t>[117.2, 30.8, -13.8, 5.3, -16.0]</t>
  </si>
  <si>
    <t>[-13.2, 145.4, -48.4, -47.3, 0]</t>
  </si>
  <si>
    <t>[0, 1115.4, 80.5, 30.0, -4.7]</t>
  </si>
  <si>
    <t>[124.5, 58.1, -22.6, -77.0, 235.8]</t>
  </si>
  <si>
    <t>[10.2, 15.4, 0, 56.4, 14.8]</t>
  </si>
  <si>
    <t>[0, -89.7, 844.0, 0, nan]</t>
  </si>
  <si>
    <t>[0, 0, 0, 0, 230.7]</t>
  </si>
  <si>
    <t>[-80.9, 0, 0, 0, -54.2]</t>
  </si>
  <si>
    <t>[0, 0, 0, 1449.2, 228.9]</t>
  </si>
  <si>
    <t>[0, 0, 33.1, 0, 0]</t>
  </si>
  <si>
    <t>[-51.7, 29.1, 29.4, 82.0, 69.9]</t>
  </si>
  <si>
    <t>[0, -79.4, 553.3, 0, 0]</t>
  </si>
  <si>
    <t>[-5.4, -6.9, 7.2, 14.4, 83.2]</t>
  </si>
  <si>
    <t>[-65.6, 0, 0, 0, 0]</t>
  </si>
  <si>
    <t>[26.1, 247.3, -97.2, 0, 0]</t>
  </si>
  <si>
    <t>[-15.5, 0, 0, 0, 0]</t>
  </si>
  <si>
    <t>[0, 0, -10.6, 28.6, 164.6]</t>
  </si>
  <si>
    <t>[0, 0, 0, 0, 15.3]</t>
  </si>
  <si>
    <t>[-14.2, 21.3, 21.6, 51.3, 696.7]</t>
  </si>
  <si>
    <t>[-45.3, -96.2, 1023.6, 556.3, -72.4]</t>
  </si>
  <si>
    <t>[-14.0, -55.4, 0, 0, 0]</t>
  </si>
  <si>
    <t>[nan, nan, 0, 0, 0]</t>
  </si>
  <si>
    <t>[-34.9, -5.3, 13.1, 0, -56.2]</t>
  </si>
  <si>
    <t>[0, 13.6, 0, 0, -10.0]</t>
  </si>
  <si>
    <t>[111.4, 2.4, 70.3, -1.5, -3.8]</t>
  </si>
  <si>
    <t>[2528.8, 54.1, 5.6, 12.7, 51.0]</t>
  </si>
  <si>
    <t>[17.5, 57.6, -26.1, -25.6, -1.2]</t>
  </si>
  <si>
    <t>[1393.3, 0, 0, 0, 0]</t>
  </si>
  <si>
    <t>[42.1, -84.2, 0, 0, 0]</t>
  </si>
  <si>
    <t>[114.9, -31.1, -9.7, -45.8, -51.9]</t>
  </si>
  <si>
    <t>[0, 0, 458.7, -16.4, -96.5]</t>
  </si>
  <si>
    <t>[62.7, -63.6, 21.5, 0, 0]</t>
  </si>
  <si>
    <t>[0, 0, 0, -10.5, -24.2]</t>
  </si>
  <si>
    <t>[-88.5, 217.0, 42.7, -25.0, -9.8]</t>
  </si>
  <si>
    <t>[-51.3, 204.3, -70.2, 172.3, 0]</t>
  </si>
  <si>
    <t>[-47.6, 0, 0, 0, 174.2]</t>
  </si>
  <si>
    <t>[2.3, 0, 320.0, 130.0, -35.3]</t>
  </si>
  <si>
    <t>[0, 90.6, 53.9, -89.6, 307.0]</t>
  </si>
  <si>
    <t>[-68.4, 316.5, -42.4, -25.7, 994.6]</t>
  </si>
  <si>
    <t>[10.0, -67.8, -87.4, 215.6, 18.4]</t>
  </si>
  <si>
    <t>[nan, nan, nan, 0, 0]</t>
  </si>
  <si>
    <t>[50.8, 0, 0, 122.8, 3.8]</t>
  </si>
  <si>
    <t>[0.5, 31.2, 45.4, 18.5, 104.9]</t>
  </si>
  <si>
    <t>[-97.2, 0, 0, 0, 0]</t>
  </si>
  <si>
    <t>[nan, 323.5, -8.9, -57.9, 327.3]</t>
  </si>
  <si>
    <t>[nan, nan, nan, -45.4, -19.7]</t>
  </si>
  <si>
    <t>[279.0, -81.3, 241.0, 0, 0]</t>
  </si>
  <si>
    <t>[69.0, -79.7, 0, 0, 0]</t>
  </si>
  <si>
    <t>[0, 0, nan, nan, 0]</t>
  </si>
  <si>
    <t>[0, 0, 0, 5938.2, 1.1]</t>
  </si>
  <si>
    <t>[nan, -62.9, 314.9, -35.8, -100.0]</t>
  </si>
  <si>
    <t>[115.8, -30.4, -35.2, 12.8, 59.9]</t>
  </si>
  <si>
    <t>[353.8, 0, 0, 0, 0]</t>
  </si>
  <si>
    <t>[0, -22.0, -47.6, -23.7, -99.1]</t>
  </si>
  <si>
    <t>[58.3, -14.7, -30.4, -70.0, -69.6]</t>
  </si>
  <si>
    <t>[13.4, 26.7, -74.4, 123.5, 101.4]</t>
  </si>
  <si>
    <t>[-19.6, 0, 0, 0, 0]</t>
  </si>
  <si>
    <t>[-83.6, -18.0, 186.2, 44.4, -15.8]</t>
  </si>
  <si>
    <t>[0, 0, 0, -54.6, -62.9]</t>
  </si>
  <si>
    <t>[-17.9, 12.5, 3.5, 59.9, 13.8]</t>
  </si>
  <si>
    <t>[70.4, -92.9, 844.4, 0, 0]</t>
  </si>
  <si>
    <t>[-21.2, 123.9, -49.1, -44.7, 138.3]</t>
  </si>
  <si>
    <t>[-5.3, -54.5, 320.8, -98.5, 0]</t>
  </si>
  <si>
    <t>[0, 0, 0, 0, 80.9]</t>
  </si>
  <si>
    <t>[67.1, -38.5, -17.2, 0, 0]</t>
  </si>
  <si>
    <t>[-46.2, 9.6, -36.2, 119.9, 157.4]</t>
  </si>
  <si>
    <t>[-11.5, 0, 0, 0, 0]</t>
  </si>
  <si>
    <t>[nan, nan, 6.1, 66.7, 0]</t>
  </si>
  <si>
    <t>[-14.1, -9.8, 39.0, 23.8, 61.6]</t>
  </si>
  <si>
    <t>[5.8, -8.7, 40.7, -54.9, 0]</t>
  </si>
  <si>
    <t>[nan, 0, 467.9, -19.8, 0]</t>
  </si>
  <si>
    <t>[55.6, -7.7, -83.9, -78.5, 1723.0]</t>
  </si>
  <si>
    <t>[-36.3, 53.6, 29.7, 77.1, 276.2]</t>
  </si>
  <si>
    <t>[-69.3, 149.9, 0, 150.6, -33.0]</t>
  </si>
  <si>
    <t>[9.8, 0, 15.8, 2.0, -7.2]</t>
  </si>
  <si>
    <t>[-82.5, 35.4, 0, 0, 0]</t>
  </si>
  <si>
    <t>[-81.3, 649.4, 62.1, 45.0, 19.5]</t>
  </si>
  <si>
    <t>[-25.3, -33.0, 66.3, -15.4, 67.1]</t>
  </si>
  <si>
    <t>[0, 373.3, 0, 0, 0]</t>
  </si>
  <si>
    <t>[-5.8, 69.3, -46.9, 138.9, -78.9]</t>
  </si>
  <si>
    <t>[183.8, -33.7, 40.1, -93.6, 0]</t>
  </si>
  <si>
    <t>[53.1, -1.0, 127.5, 5.9, 0]</t>
  </si>
  <si>
    <t>[16.9, -36.6, 0, -35.7, -68.5]</t>
  </si>
  <si>
    <t>[-8.3, -67.5, -15.7, 312.2, 96.2]</t>
  </si>
  <si>
    <t>[0, 0, 48.5, 41.6, -51.5]</t>
  </si>
  <si>
    <t>[-18.9, 406.4, -91.6, -22.1, 81.9]</t>
  </si>
  <si>
    <t>[-18.3, -29.8, 34.9, 9.2, 25.7]</t>
  </si>
  <si>
    <t>[329.5, -7.4, -37.6, 1.9, 35.6]</t>
  </si>
  <si>
    <t>[-14.5, -64.2, 28.0, -48.4, 217.2]</t>
  </si>
  <si>
    <t>[0, 0, 0, 0, 261.1]</t>
  </si>
  <si>
    <t>[-37.9, 35.3, -67.7, 179.2, 104.6]</t>
  </si>
  <si>
    <t>[17.0, -41.6, -21.1, 2.9, 20.9]</t>
  </si>
  <si>
    <t>[1.1, -57.8, 98.3, -56.0, 39.5]</t>
  </si>
  <si>
    <t>[12.5, -51.0, -9.9, -0.1, 84.1]</t>
  </si>
  <si>
    <t>[9.8, -58.5, -29.6, 81.8, 0]</t>
  </si>
  <si>
    <t>[150.6, -73.0, 97.6, 14.9, -47.3]</t>
  </si>
  <si>
    <t>[0, 0, -13.5, 132.8, 42.2]</t>
  </si>
  <si>
    <t>[10.4, -3.8, 8.1, 0, 0]</t>
  </si>
  <si>
    <t>[15.0, 643.6, 0, 0, 0]</t>
  </si>
  <si>
    <t>[3.3, 10.6, -66.6, 57.0, 219.5]</t>
  </si>
  <si>
    <t>[0, 0, -78.3, 0, 0]</t>
  </si>
  <si>
    <t>[51.8, 0, -19.7, 15.4, 31.3]</t>
  </si>
  <si>
    <t>[-3.9, -22.2, 31.8, 96.4, -68.3]</t>
  </si>
  <si>
    <t>[0, 0, 0, 50.2, -1.9]</t>
  </si>
  <si>
    <t>[26.7, 15.6, 4.9, 25.7, -4.0]</t>
  </si>
  <si>
    <t>[336.1, 193.4, -25.8, -92.5, 4396.7]</t>
  </si>
  <si>
    <t>[217.4, -98.8, 2642.7, 134.0, -54.7]</t>
  </si>
  <si>
    <t>[112.8, 3.3, -28.8, -28.9, 25.5]</t>
  </si>
  <si>
    <t>[0, 0, 0, 90.9, 5.0]</t>
  </si>
  <si>
    <t>[-15.0, -54.1, -46.4, 0, 152.3]</t>
  </si>
  <si>
    <t>[0, 0, 0, 0, -83.8]</t>
  </si>
  <si>
    <t>[-58.1, 0, 0, 0, 0]</t>
  </si>
  <si>
    <t>[2.0, 545.3, -52.4, 0, nan]</t>
  </si>
  <si>
    <t>[22.1, -20.0, 0, 0, 0]</t>
  </si>
  <si>
    <t>[0, 0, 138.9, 0, 170.1]</t>
  </si>
  <si>
    <t>[0, 0, 0, 0, nan]</t>
  </si>
  <si>
    <t>[22.0, 51.1, -44.3, -30.9, -75.8]</t>
  </si>
  <si>
    <t>[8.7, -13.7, 17.7, -1.5, -51.1]</t>
  </si>
  <si>
    <t>[0, 0, 0, -90.5, 371.6]</t>
  </si>
  <si>
    <t>[6.6, -17.3, -32.4, 17.5, -4.1]</t>
  </si>
  <si>
    <t>[0, 0, 28.4, 333.6, 0]</t>
  </si>
  <si>
    <t>[143.5, 0, 0, 8.5, 51.3]</t>
  </si>
  <si>
    <t>[90.8, -26.3, -28.5, -49.5, 193.7]</t>
  </si>
  <si>
    <t>[1604.7, 60.3, 24.8, 0, 0]</t>
  </si>
  <si>
    <t>[-83.9, 895.2, -60.5, 0, 0]</t>
  </si>
  <si>
    <t>[-56.5, -15.6, 43.4, -25.6, 18.7]</t>
  </si>
  <si>
    <t>[-19.3, -60.2, 24.2, 0, 0]</t>
  </si>
  <si>
    <t>[-80.2, 0, 0, 0, 330.6]</t>
  </si>
  <si>
    <t>[23.9, 0, 19.9, 0, 0]</t>
  </si>
  <si>
    <t>[0, 0, 0, 0, 8199.0]</t>
  </si>
  <si>
    <t>[7.6, -54.1, 169.8, -16.9, -93.9]</t>
  </si>
  <si>
    <t>[0, 0, 0, 0, 51.9]</t>
  </si>
  <si>
    <t>[39.8, 16.7, 4.2, -78.7, -38.2]</t>
  </si>
  <si>
    <t>[38.1, -28.6, -18.6, -40.3, -9.1]</t>
  </si>
  <si>
    <t>[0, 13.9, 1.2, 6.8, 31.8]</t>
  </si>
  <si>
    <t>[0, 533.2, 407.2, 3.8, 147.9]</t>
  </si>
  <si>
    <t>[0, 142.7, 0, 0, 33.4]</t>
  </si>
  <si>
    <t>[588.3, -86.7, 413.3, -79.5, 0]</t>
  </si>
  <si>
    <t>[-4.7, 16.1, -71.0, -43.4, 0]</t>
  </si>
  <si>
    <t>[0, 0, 0, 414.1, -85.7]</t>
  </si>
  <si>
    <t>[17.4, -15.1, 42.5, -9.1, 37.2]</t>
  </si>
  <si>
    <t>[26.3, 10.8, 14.9, 9.0, 5.2]</t>
  </si>
  <si>
    <t>[0, -31.2, 60.2, -94.0, 0]</t>
  </si>
  <si>
    <t>[43.0, 3.9, 85.0, -72.4, 5.2]</t>
  </si>
  <si>
    <t>[-68.1, 454.5, -19.6, 0, 0]</t>
  </si>
  <si>
    <t>[-86.2, 0, 0, 0, 0]</t>
  </si>
  <si>
    <t>[-34.4, 0, 0, -80.9, 0]</t>
  </si>
  <si>
    <t>[37.7, 13.1, -56.7, 115.2, -33.6]</t>
  </si>
  <si>
    <t>[0, 0, -7.7, -90.4, 0]</t>
  </si>
  <si>
    <t>[-16.0, -39.9, -75.6, 106.1, 2.5]</t>
  </si>
  <si>
    <t>[0, 0, 0, 84.6, 0]</t>
  </si>
  <si>
    <t>[-46.8, -58.1, 0, 0, 0]</t>
  </si>
  <si>
    <t>[-28.3, 0, 0, 0, 0]</t>
  </si>
  <si>
    <t>[0, 0, 0, 0, 18.6]</t>
  </si>
  <si>
    <t>[0, 0, 0, 0, -17.2]</t>
  </si>
  <si>
    <t>[-26.9, 0, 0, 0, 0]</t>
  </si>
  <si>
    <t>[5.3, -21.8, 50.2, 47.2, -16.2]</t>
  </si>
  <si>
    <t>[25.6, -78.3, 219.2, 47.0, -56.8]</t>
  </si>
  <si>
    <t>[21.0, 41.7, -44.7, -84.8, 244.4]</t>
  </si>
  <si>
    <t>[-77.9, 37.4, 7.0, 0, 0]</t>
  </si>
  <si>
    <t>[80.1, -36.5, 0, 0, 0]</t>
  </si>
  <si>
    <t>[26.4, 137.0, 27.6, -25.3, -84.3]</t>
  </si>
  <si>
    <t>[-40.5, 0, 0, 0, 0]</t>
  </si>
  <si>
    <t>[0, 0, 0, 0, 128.8]</t>
  </si>
  <si>
    <t>[-11.4, 0, 0, 0, 0]</t>
  </si>
  <si>
    <t>[-93.6, 1419.3, -38.1, 49.6, 153.7]</t>
  </si>
  <si>
    <t>[111.6, -42.2, -56.9, 51.3, 0]</t>
  </si>
  <si>
    <t>[0, 0, 398532.4, -15.5, -96.9]</t>
  </si>
  <si>
    <t>[-28.8, -57.1, 77.3, 238.0, 51.4]</t>
  </si>
  <si>
    <t>[0, 0, 0, 1640.2, 300.4]</t>
  </si>
  <si>
    <t>[0, 0, 0, 0, -60.3]</t>
  </si>
  <si>
    <t>[nan, nan, 1424.9, 88.4, 24.2]</t>
  </si>
  <si>
    <t>[132.5, -78.7, 476.9, -86.0, 0]</t>
  </si>
  <si>
    <t>[-28.8, 36.6, 9.4, -4.7, 7.7]</t>
  </si>
  <si>
    <t>[0, 127.5, -3.0, 199.0, 111.1]</t>
  </si>
  <si>
    <t>[-8.5, 107.1, -47.6, -84.4, 111.1]</t>
  </si>
  <si>
    <t>[-74.7, 64.1, -33.6, 0, 0]</t>
  </si>
  <si>
    <t>[394.0, -56.9, 246.8, 0, 380.7]</t>
  </si>
  <si>
    <t>[0, 0, 0, 0, 4.5]</t>
  </si>
  <si>
    <t>[63.5, -2.8, 29.9, 22.7, 42.5]</t>
  </si>
  <si>
    <t>[-87.4, -21.0, -52.9, 188.9, 54.2]</t>
  </si>
  <si>
    <t>[-70.7, 104.2, 0, 0, -16.2]</t>
  </si>
  <si>
    <t>[-54.6, -7.9, 0, 0, 24.0]</t>
  </si>
  <si>
    <t>[0, 0, 0, 0, 4257.2]</t>
  </si>
  <si>
    <t>[11.2, -24.8, -6.2, -52.5, 118.6]</t>
  </si>
  <si>
    <t>[-84.9, 159.1, -58.8, 109.4, 0]</t>
  </si>
  <si>
    <t>[-95.6, 278.8, -40.1, 70.6, -69.6]</t>
  </si>
  <si>
    <t>[44.3, -69.8, 439.0, -58.2, 220.6]</t>
  </si>
  <si>
    <t>[0, 0, 50.2, 337.2, -19.3]</t>
  </si>
  <si>
    <t>[3.4, -0.7, -32.6, 69.9, 37.1]</t>
  </si>
  <si>
    <t>[384.4, -53.9, -25.1, 0, 0]</t>
  </si>
  <si>
    <t>[0, -72.4, 0, 0, 0]</t>
  </si>
  <si>
    <t>[2.2, 0, 0, 198.0, -21.9]</t>
  </si>
  <si>
    <t>[0, 16.2, 0, 0, 0]</t>
  </si>
  <si>
    <t>[16.7, -11.0, -12.8, -34.3, 7.3]</t>
  </si>
  <si>
    <t>[-31.4, -95.5, 0, 0, 723.2]</t>
  </si>
  <si>
    <t>[-28.0, -67.0, 75.4, 0, 0]</t>
  </si>
  <si>
    <t>[0, 380.4, 19.3, 0, 0]</t>
  </si>
  <si>
    <t>[63.4, -50.1, 73.0, -2.5, 39.7]</t>
  </si>
  <si>
    <t>[0, 0, 0, 0, 180.8]</t>
  </si>
  <si>
    <t>[0, 35.6, 0, 0, 0]</t>
  </si>
  <si>
    <t>[-27.2, 63.7, 0, 0, 0]</t>
  </si>
  <si>
    <t>[-61.0, -33.9, -72.1, 0, 0]</t>
  </si>
  <si>
    <t>[0, 3.0, -10.1, 13.3, -6.3]</t>
  </si>
  <si>
    <t>[0, 0, -90.6, 0, 0]</t>
  </si>
  <si>
    <t>[-56.7, 63.0, 0.7, 37.0, -47.2]</t>
  </si>
  <si>
    <t>[61.6, 7.1, 0, 0, 5.7]</t>
  </si>
  <si>
    <t>[0, 0, 144.5, 120.0, 34.7]</t>
  </si>
  <si>
    <t>[1695.1, -100.0, 0, 0, 0]</t>
  </si>
  <si>
    <t>[nan, 57.7, -35.9, 0, -17.0]</t>
  </si>
  <si>
    <t>[-14.1, 0, 0, 0, 0]</t>
  </si>
  <si>
    <t>[0, 0, 0, 0, -64.5]</t>
  </si>
  <si>
    <t>[0, 0, -70.4, 0, 0]</t>
  </si>
  <si>
    <t>[-5.6, 20.4, -89.6, 342.5, -59.2]</t>
  </si>
  <si>
    <t>[183.3, 0, 0, 0, 0]</t>
  </si>
  <si>
    <t>[0, -67.5, 96.0, 0, 96.5]</t>
  </si>
  <si>
    <t>[-76.2, 0, 0, 0, 0]</t>
  </si>
  <si>
    <t>[-11.6, -5.9, 25.0, -4.2, -18.2]</t>
  </si>
  <si>
    <t>[49.6, 30.5, -46.1, 23.8, 33.3]</t>
  </si>
  <si>
    <t>[27.9, -32.4, -47.3, -30.4, 409.3]</t>
  </si>
  <si>
    <t>[40.2, -66.5, 169.7, -94.7, 0]</t>
  </si>
  <si>
    <t>[11.0, 44.1, 2.0, 6.4, -2.3]</t>
  </si>
  <si>
    <t>[nan, nan, 76.9, 0, 96.6]</t>
  </si>
  <si>
    <t>[nan, nan, 386.8, -32.2, 15.8]</t>
  </si>
  <si>
    <t>[0, 0, -18.7, 0, 0]</t>
  </si>
  <si>
    <t>[-31.2, 83.3, -61.7, 0, 168.8]</t>
  </si>
  <si>
    <t>[-46.0, 984.5, 0, 0, 0]</t>
  </si>
  <si>
    <t>[0, 39.4, 15.3, 0, 0]</t>
  </si>
  <si>
    <t>[0, 0, -74.8, 235.7, -65.4]</t>
  </si>
  <si>
    <t>[73.3, 86.8, -45.5, 0, 0]</t>
  </si>
  <si>
    <t>[-0.8, 44.9, -9.0, 0, 0]</t>
  </si>
  <si>
    <t>[-48.9, 0, 0, 0, 0]</t>
  </si>
  <si>
    <t>[-74.7, 24.0, 44.9, 182.9, 15.8]</t>
  </si>
  <si>
    <t>[nan, -27.9, -3.4, 61.8, -16.9]</t>
  </si>
  <si>
    <t>[70.8, 53.9, -42.8, 64.0, 32.0]</t>
  </si>
  <si>
    <t>[41.8, -15.0, -0.8, 54.2, -18.2]</t>
  </si>
  <si>
    <t>[0, 31.4, -21.2, 27.1, 111.6]</t>
  </si>
  <si>
    <t>[-47.1, 4.9, -69.7, 0, 0]</t>
  </si>
  <si>
    <t>[26.7, -1.2, -3.8, 14.7, -88.0]</t>
  </si>
  <si>
    <t>[0, 186.0, -43.2, 481.0, 4.2]</t>
  </si>
  <si>
    <t>[-31.1, 22.2, -20.9, 8.5, -1.4]</t>
  </si>
  <si>
    <t>[0, 0, 0, 221.5, 22.7]</t>
  </si>
  <si>
    <t>[-9.4, 82.4, 16.5, -2.3, 5.4]</t>
  </si>
  <si>
    <t>[24.5, 9.8, 283.4, -22.0, 0]</t>
  </si>
  <si>
    <t>[23.5, 56.3, 6.7, -49.4, 109.9]</t>
  </si>
  <si>
    <t>[79.8, 4.2, 0, 0, 0]</t>
  </si>
  <si>
    <t>[27.4, 8.3, 24.9, 6.5, 15.0]</t>
  </si>
  <si>
    <t>[6.1, 4.1, 57.5, 42.2, -2.5]</t>
  </si>
  <si>
    <t>[0, 0, 0, -16.5, -92.2]</t>
  </si>
  <si>
    <t>[217.6, 0, 0, 0, 0]</t>
  </si>
  <si>
    <t>[32.0, -18.9, -40.0, 0, 0]</t>
  </si>
  <si>
    <t>[24.2, 60.2, 0, 0, 1892.2]</t>
  </si>
  <si>
    <t>[-40.8, -25.0, -72.7, 61.8, 0]</t>
  </si>
  <si>
    <t>[-16.4, -50.6, 0, 0, 0]</t>
  </si>
  <si>
    <t>[-1.4, 39.8, -18.5, 3.1, -51.2]</t>
  </si>
  <si>
    <t>[195.9, 0, 0, -51.8, 20.5]</t>
  </si>
  <si>
    <t>[155.8, 14.1, 37.9, -64.4, 61.5]</t>
  </si>
  <si>
    <t>[0, 0, 0, 0, -88.0]</t>
  </si>
  <si>
    <t>[0, 0, 0, 41.8, -20.2]</t>
  </si>
  <si>
    <t>[34.7, -0.4, -13.6, 41.7, -23.4]</t>
  </si>
  <si>
    <t>[0, 0, -39.9, 84.3, 43.5]</t>
  </si>
  <si>
    <t>[0, 40.5, 32.9, 62.3, -36.3]</t>
  </si>
  <si>
    <t>[0, 0, 2.8, 0, 0]</t>
  </si>
  <si>
    <t>[-3.6, -12.6, 54.6, 43.5, 20.1]</t>
  </si>
  <si>
    <t>[62.6, 0, 0, 0, -61.2]</t>
  </si>
  <si>
    <t>[0, 0, 0, 382.4, 0]</t>
  </si>
  <si>
    <t>[74.0, -72.6, 0, 0, 0]</t>
  </si>
  <si>
    <t>[-30.7, -42.6, 0, 0, 0]</t>
  </si>
  <si>
    <t>[0, 0, 0, 0, -58.8]</t>
  </si>
  <si>
    <t>[64.3, -6.2, 10.6, 13.7, -5.8]</t>
  </si>
  <si>
    <t>[0, 0, -37.8, -98.4, 188.4]</t>
  </si>
  <si>
    <t>[162.7, 91.2, 45.5, 28.9, -5.1]</t>
  </si>
  <si>
    <t>[nan, nan, nan, -24.6, 62.6]</t>
  </si>
  <si>
    <t>[-11.9, 75.5, -22.5, -67.5, 0]</t>
  </si>
  <si>
    <t>[-1.2, 30.0, -21.0, 43.9, 36.0]</t>
  </si>
  <si>
    <t>[-37.4, 46.0, 91.1, 0, 0]</t>
  </si>
  <si>
    <t>[0, -3.2, -62.2, 263.5, -53.3]</t>
  </si>
  <si>
    <t>[50.6, -9.2, 336.3, 53.9, 0]</t>
  </si>
  <si>
    <t>[20.6, -16.7, 0.6, 2.3, 3.3]</t>
  </si>
  <si>
    <t>[0, -27.3, -92.3, 510.0, 145.5]</t>
  </si>
  <si>
    <t>[nan, 0, 0, 17.6, 0]</t>
  </si>
  <si>
    <t>[-12.4, 4.4, -42.3, 24.3, 97.8]</t>
  </si>
  <si>
    <t>[31.0, -72.4, -67.3, 0, 663.1]</t>
  </si>
  <si>
    <t>[20.0, 20.1, -13.1, -12.1, 115.6]</t>
  </si>
  <si>
    <t>[-3.3, -42.5, 113.4, 26.9, -13.4]</t>
  </si>
  <si>
    <t>[295.6, 8.9, -77.2, 0, 58.6]</t>
  </si>
  <si>
    <t>[375.3, -26.7, -18.6, -23.4, 30.6]</t>
  </si>
  <si>
    <t>[415.4, -66.4, 0, 0, 0]</t>
  </si>
  <si>
    <t>[0, 0, 0, 0, -65.6]</t>
  </si>
  <si>
    <t>[50.5, 43.6, -60.1, 104.1, -18.9]</t>
  </si>
  <si>
    <t>[0, 0, 0, 0, 35.6]</t>
  </si>
  <si>
    <t>[nan, nan, nan, 338.2, -13.9]</t>
  </si>
  <si>
    <t>[315.8, -51.5, 4.4, -73.7, -90.8]</t>
  </si>
  <si>
    <t>[-4.9, 58.4, 0, 0, 10085.5]</t>
  </si>
  <si>
    <t>[329.0, 26.4, -82.1, -53.4, 5574.9]</t>
  </si>
  <si>
    <t>[-15.3, 0, 0, 0, 0]</t>
  </si>
  <si>
    <t>[15.4, -27.9, -82.2, 402.5, -78.3]</t>
  </si>
  <si>
    <t>[206.7, -89.4, 287.5, 13.3, -6.4]</t>
  </si>
  <si>
    <t>[0, 0, 309.5, 0, 0]</t>
  </si>
  <si>
    <t>[0, 0, 0, -62.4, 0]</t>
  </si>
  <si>
    <t>[-48.9, -99.1, 0, 0, -31.2]</t>
  </si>
  <si>
    <t>[nan, nan, 29.9, -62.5, 227.1]</t>
  </si>
  <si>
    <t>[0, -23.1, -13.6, 17.5, -51.9]</t>
  </si>
  <si>
    <t>[-99.1, 34666.1, 22.3, 111.7, -52.8]</t>
  </si>
  <si>
    <t>[-19.9, -17.3, -3.7, 3.2, 153.2]</t>
  </si>
  <si>
    <t>[-48.7, 234.1, -54.9, 109.1, -22.5]</t>
  </si>
  <si>
    <t>[22.6, 30.9, -61.8, 0, 0]</t>
  </si>
  <si>
    <t>[0, 0, 0, 0.8, -67.6]</t>
  </si>
  <si>
    <t>[-26.2, 48.4, -7.3, -31.1, 356.5]</t>
  </si>
  <si>
    <t>[-27.9, -8.1, -57.4, -84.0, 0]</t>
  </si>
  <si>
    <t>[-33.7, -15.4, -35.3, 0, 247.3]</t>
  </si>
  <si>
    <t>[32.6, 43.5, -42.9, -18.1, 35.0]</t>
  </si>
  <si>
    <t>[-29.1, 84.1, -68.7, 92.1, 121.1]</t>
  </si>
  <si>
    <t>[0, -0.4, 0, 0, 0]</t>
  </si>
  <si>
    <t>[37.1, 6.6, 16.0, -42.6, -28.5]</t>
  </si>
  <si>
    <t>[0, 0, 235.3, -32.4, 91.7]</t>
  </si>
  <si>
    <t>[-34.3, -47.8, 51.8, 0, 0]</t>
  </si>
  <si>
    <t>[0, 0, 7.1, 0, 0]</t>
  </si>
  <si>
    <t>[-18.7, -12.2, -0.4, 122.1, 187.0]</t>
  </si>
  <si>
    <t>[0, 41.3, 100.7, 0, 0]</t>
  </si>
  <si>
    <t>[-5.8, 0, 0, 0, 0]</t>
  </si>
  <si>
    <t>[-37.2, 17.1, 0, 0, 0]</t>
  </si>
  <si>
    <t>[-43.4, -65.9, 80.8, 0, 48.0]</t>
  </si>
  <si>
    <t>[14.4, -46.9, 121.0, 14.9, -17.2]</t>
  </si>
  <si>
    <t>[368.1, 79.1, -78.6, -6.6, 1329.8]</t>
  </si>
  <si>
    <t>[86.5, 15.9, -25.0, -28.6, 21.9]</t>
  </si>
  <si>
    <t>[0, 0, 0, 0, 583.8]</t>
  </si>
  <si>
    <t>[4.6, 0, 0, 0, 6.0]</t>
  </si>
  <si>
    <t>[-79.5, 0, 0, 785.4, -13.1]</t>
  </si>
  <si>
    <t>[183.8, -81.3, 0, 0, 21.8]</t>
  </si>
  <si>
    <t>[-2.1, 2.8, -4.7, 17.5, 1.5]</t>
  </si>
  <si>
    <t>[-11.3, -12.0, -2.2, 20.3, -7.7]</t>
  </si>
  <si>
    <t>[0, 0, 0, 0, 42.0]</t>
  </si>
  <si>
    <t>[-92.9, 827.3, 17.8, 26.0, 35.3]</t>
  </si>
  <si>
    <t>[463.1, -82.2, 0, 0, 0]</t>
  </si>
  <si>
    <t>[31.8, 39.0, 7.5, 17.7, -4.9]</t>
  </si>
  <si>
    <t>[0, 0, -84.4, 0, 0]</t>
  </si>
  <si>
    <t>[87.8, 0, -84.1, -46.6, -48.6]</t>
  </si>
  <si>
    <t>[23.7, -26.5, -22.9, 13.7, 194.7]</t>
  </si>
  <si>
    <t>[-13.4, -41.7, 61.5, -5.4, 77.8]</t>
  </si>
  <si>
    <t>[171.5, -30.2, 269.6, 5.4, 0]</t>
  </si>
  <si>
    <t>[-13.4, 0, 0, -28.6, 162.6]</t>
  </si>
  <si>
    <t>[11.1, 43.4, -24.3, -78.7, 134.1]</t>
  </si>
  <si>
    <t>[-38.2, 2144.8, -28.1, -97.5, 88.4]</t>
  </si>
  <si>
    <t>[-94.8, 3428.8, -6.7, -37.3, 32.5]</t>
  </si>
  <si>
    <t>[23.4, 6.7, 12.6, 14.0, 2.0]</t>
  </si>
  <si>
    <t>[-71.7, 127.4, 53.6, 0, 0]</t>
  </si>
  <si>
    <t>[0, 584.3, -38.1, -53.6, 0]</t>
  </si>
  <si>
    <t>[0, 0, -57.1, 0, 0]</t>
  </si>
  <si>
    <t>[17.9, 10.7, -5.7, 38.7, 35.9]</t>
  </si>
  <si>
    <t>[-27.2, -42.9, 0, 0, 0]</t>
  </si>
  <si>
    <t>[67.0, -56.9, 2.1, 10.4, 28.4]</t>
  </si>
  <si>
    <t>[24.7, -29.6, -3.5, -6.9, 0]</t>
  </si>
  <si>
    <t>[110.5, -14.6, -53.1, -15.2, 315.4]</t>
  </si>
  <si>
    <t>[21.4, -16.2, 12.6, -24.6, 1894.7]</t>
  </si>
  <si>
    <t>[-76.3, 0, 0, 0, 0]</t>
  </si>
  <si>
    <t>[nan, nan, 451.0, -1.8, -17.5]</t>
  </si>
  <si>
    <t>[14.8, 30.2, 25.2, -21.1, -28.7]</t>
  </si>
  <si>
    <t>[21.6, -3.9, -22.8, 61.9, -51.6]</t>
  </si>
  <si>
    <t>[4.7, -17.2, 0, 0, 122.4]</t>
  </si>
  <si>
    <t>[nan, nan, 0, 74.5, 3087.8]</t>
  </si>
  <si>
    <t>[-53.7, 41.4, -27.0, -59.7, 27.7]</t>
  </si>
  <si>
    <t>[122.2, -28.4, -6.3, 12.5, 55.8]</t>
  </si>
  <si>
    <t>[-3.6, 55.7, -45.5, -18.0, 55.7]</t>
  </si>
  <si>
    <t>[2.9, -3.7, -32.1, 12.6, 0]</t>
  </si>
  <si>
    <t>[0, 0, -97.8, 0, 0]</t>
  </si>
  <si>
    <t>[31.8, -22.9, 10.4, -52.1, 0]</t>
  </si>
  <si>
    <t>[44.5, 3.2, -16.1, -10.1, 73.2]</t>
  </si>
  <si>
    <t>[-54.4, 22.1, -61.1, 330.1, -15.7]</t>
  </si>
  <si>
    <t>[17.5, 99.4, -3.7, -26.9, 873.0]</t>
  </si>
  <si>
    <t>[-84.5, 155.0, 9.6, -50.5, 46.0]</t>
  </si>
  <si>
    <t>[42.4, -46.6, -75.9, 0, 0]</t>
  </si>
  <si>
    <t>[-22.9, -70.6, 0, 0, 738.0]</t>
  </si>
  <si>
    <t>[90.9, 3.4, -79.3, -74.6, 0]</t>
  </si>
  <si>
    <t>[-60.8, 69.4, -1.0, -95.7, 0]</t>
  </si>
  <si>
    <t>[87.1, -5.8, 22.2, -51.4, -55.1]</t>
  </si>
  <si>
    <t>[-92.7, 32.7, 438.2, -86.2, 39.5]</t>
  </si>
  <si>
    <t>[0, 0, 47.1, -44.9, -46.0]</t>
  </si>
  <si>
    <t>[0, 118.2, 0, 0, 0]</t>
  </si>
  <si>
    <t>[31.1, 0, 0, 0, -95.4]</t>
  </si>
  <si>
    <t>[-78.0, 15.5, -37.3, 0, 0]</t>
  </si>
  <si>
    <t>[2.2, -46.2, -84.9, 0, 0]</t>
  </si>
  <si>
    <t>[0, 389.7, 0, 0, 0]</t>
  </si>
  <si>
    <t>[-2.8, 48.6, -15.3, -75.0, 0]</t>
  </si>
  <si>
    <t>[10.7, -38.4, -15.7, -28.1, -68.0]</t>
  </si>
  <si>
    <t>[152.7, -40.8, -29.8, -6.4, -70.4]</t>
  </si>
  <si>
    <t>[-7.6, 0, 0, 0, 453.3]</t>
  </si>
  <si>
    <t>[0, 0, -84.8, 438.6, 76.7]</t>
  </si>
  <si>
    <t>[-53.0, -7.2, 265.9, -85.6, 422.4]</t>
  </si>
  <si>
    <t>[110.9, 53.1, -52.8, -10.4, -5.3]</t>
  </si>
  <si>
    <t>[-60.9, 174.2, -3.6, -33.1, 683.6]</t>
  </si>
  <si>
    <t>[0, 0, 209.9, 89.9, 7.6]</t>
  </si>
  <si>
    <t>[0, 151.0, 23.3, -63.1, 12.3]</t>
  </si>
  <si>
    <t>[-17.8, 38.6, 138.9, 28.7, -52.5]</t>
  </si>
  <si>
    <t>[479.4, -4.9, -30.8, 40.2, 0]</t>
  </si>
  <si>
    <t>[30.5, 0, 0, -80.5, 0]</t>
  </si>
  <si>
    <t>[0, 130.0, 1203.4, 94.5, 102.1]</t>
  </si>
  <si>
    <t>[140.0, 4.5, 129.8, -97.8, -3.1]</t>
  </si>
  <si>
    <t>[-8.5, 2.0, -28.2, 42.4, -1.9]</t>
  </si>
  <si>
    <t>[-0.8, -0.2, -28.8, 0, 0]</t>
  </si>
  <si>
    <t>[nan, nan, 85.0, 54.1, 37.5]</t>
  </si>
  <si>
    <t>[0, 4153.6, 0, 0, 0]</t>
  </si>
  <si>
    <t>[-10.2, 42.8, 13.7, -2.4, -3.6]</t>
  </si>
  <si>
    <t>[-3.4, -85.2, 0, 0, 0]</t>
  </si>
  <si>
    <t>[0, -95.0, 0, 0, 0]</t>
  </si>
  <si>
    <t>[56.6, 11.5, 1.6, -93.4, 124.1]</t>
  </si>
  <si>
    <t>[15.6, -54.7, 0, 0, 0]</t>
  </si>
  <si>
    <t>[31.7, -4.5, 20.4, -41.5, 11.8]</t>
  </si>
  <si>
    <t>[-24.1, -49.6, -77.9, -74.4, 0]</t>
  </si>
  <si>
    <t>[24.1, -56.8, 0, 0, -71.3]</t>
  </si>
  <si>
    <t>[-9.6, -65.4, 0, 0, 0]</t>
  </si>
  <si>
    <t>[-25.7, 9.7, -37.4, 0, 0]</t>
  </si>
  <si>
    <t>[64.6, 61.9, -5.2, -14.4, 66.7]</t>
  </si>
  <si>
    <t>[-48.7, -20.6, 0, 0, 0]</t>
  </si>
  <si>
    <t>[14.7, 114.5, -31.7, 13.3, 103.7]</t>
  </si>
  <si>
    <t>[0, 269.7, -50.8, 10.4, 0]</t>
  </si>
  <si>
    <t>[nan, nan, 1079.1, 66.7, -47.6]</t>
  </si>
  <si>
    <t>[nan, 151.8, 0, 0, -19.5]</t>
  </si>
  <si>
    <t>[0, 0, 0, 468.6, 0]</t>
  </si>
  <si>
    <t>[15.7, -44.4, -3.2, 28.5, -35.2]</t>
  </si>
  <si>
    <t>[-37.2, -29.9, 1213.5, 0, 0]</t>
  </si>
  <si>
    <t>[0, 0, 0, 0, -61.1]</t>
  </si>
  <si>
    <t>[-72.4, 909.9, -64.2, 58.7, -19.7]</t>
  </si>
  <si>
    <t>[0, -59.2, -10.8, -41.3, -31.1]</t>
  </si>
  <si>
    <t>[nan, nan, 108.7, 8.8, -10.7]</t>
  </si>
  <si>
    <t>[55.1, 28.1, -14.2, 47.3, 46.3]</t>
  </si>
  <si>
    <t>[7.9, -51.9, -77.5, 0, 0]</t>
  </si>
  <si>
    <t>[11.9, -24.2, 0, 0, 361.3]</t>
  </si>
  <si>
    <t>[0, 6.5, -87.3, 0, 0]</t>
  </si>
  <si>
    <t>[58.6, -97.6, 2109.2, 4.6, 0]</t>
  </si>
  <si>
    <t>[307.5, 199.6, 6.7, -49.2, -36.9]</t>
  </si>
  <si>
    <t>[0, 0, 0, -9.5, 0]</t>
  </si>
  <si>
    <t>[5.7, 14.3, 18.7, 17.0, -43.9]</t>
  </si>
  <si>
    <t>[0, 1060.9, -34.7, -45.6, -48.2]</t>
  </si>
  <si>
    <t>[-33.4, -86.8, -5.3, 33.9, -35.3]</t>
  </si>
  <si>
    <t>[31.1, 0, 0, 0, 693.2]</t>
  </si>
  <si>
    <t>[19.6, -15.5, 11.5, 23.3, 47.6]</t>
  </si>
  <si>
    <t>[0, -69.4, 282.4, -55.9, -91.7]</t>
  </si>
  <si>
    <t>[-74.5, -36.1, 228.7, 0, 0]</t>
  </si>
  <si>
    <t>[11.6, 18.6, -30.5, -52.3, 130.9]</t>
  </si>
  <si>
    <t>[0, 0, 0, 326.1, -15.2]</t>
  </si>
  <si>
    <t>[50.7, 0, 0, 0, 5.7]</t>
  </si>
  <si>
    <t>[-7.1, 70.7, -35.9, -82.0, 495.3]</t>
  </si>
  <si>
    <t>[0, 56.6, 21.4, 71.0, 36.5]</t>
  </si>
  <si>
    <t>[0, -87.7, 2128.0, 78.9, -28.2]</t>
  </si>
  <si>
    <t>[31.5, 999.7, 305.7, -21.6, -25.2]</t>
  </si>
  <si>
    <t>[128.8, 9.0, 4.5, 77.0, -3.1]</t>
  </si>
  <si>
    <t>[28.0, -68.3, 0, 0, 34.3]</t>
  </si>
  <si>
    <t>[12.8, -50.4, -23.1, 0, 0]</t>
  </si>
  <si>
    <t>[38.5, -56.7, 0, 0, -31.1]</t>
  </si>
  <si>
    <t>[-63.7, 2584.0, 0, 0, 0]</t>
  </si>
  <si>
    <t>[19.9, -67.3, 388.8, 52.7, -23.3]</t>
  </si>
  <si>
    <t>[0, 0, 0, 116.5, 48.3]</t>
  </si>
  <si>
    <t>[-34.4, 2.2, -53.6, 25.4, 0]</t>
  </si>
  <si>
    <t>[-10.2, -13.9, 0, 0, -23.2]</t>
  </si>
  <si>
    <t>[0, 0, -82.1, 149.9, 20.7]</t>
  </si>
  <si>
    <t>[-17.8, 0, 0, 0, -97.1]</t>
  </si>
  <si>
    <t>[40.2, 16.9, -7.0, 30.6, -16.3]</t>
  </si>
  <si>
    <t>[-31.4, 96.6, -18.5, -16.7, -65.3]</t>
  </si>
  <si>
    <t>[298.9, -14.8, -59.4, 323.9, nan]</t>
  </si>
  <si>
    <t>[0, 0, 122.6, -22.8, 52.9]</t>
  </si>
  <si>
    <t>[0, -20.0, 0, 0, 0]</t>
  </si>
  <si>
    <t>[2.1, 24.3, 7.3, -30.2, -15.5]</t>
  </si>
  <si>
    <t>[162.8, 58.2, 0, 0, 38.1]</t>
  </si>
  <si>
    <t>[-59.4, -11.7, -81.4, 0, 0]</t>
  </si>
  <si>
    <t>[-5.4, 0, 0, 184.0, nan]</t>
  </si>
  <si>
    <t>[216.2, -97.1, 0, 0, 0]</t>
  </si>
  <si>
    <t>[43.6, -53.3, -53.5, 0, 0]</t>
  </si>
  <si>
    <t>[113.5, 11.4, 55.7, -45.1, -34.7]</t>
  </si>
  <si>
    <t>[-56.8, 73.1, -68.8, -1.3, 64.8]</t>
  </si>
  <si>
    <t>[-33.2, 145.6, 49.8, -36.5, -68.2]</t>
  </si>
  <si>
    <t>[120.4, -50.2, 25.3, 233.2, -58.4]</t>
  </si>
  <si>
    <t>[8.6, -68.9, 0, 0, 0]</t>
  </si>
  <si>
    <t>[98.2, -73.1, 150.0, 0, 0]</t>
  </si>
  <si>
    <t>[-33.4, 31.2, 55.4, -3.8, -66.8]</t>
  </si>
  <si>
    <t>[0, 0, 0, -68.2, -72.1]</t>
  </si>
  <si>
    <t>[60.7, -15.9, -63.7, 24.1, -23.5]</t>
  </si>
  <si>
    <t>[0, 0, 232.3, -44.6, 5.2]</t>
  </si>
  <si>
    <t>[74.4, 0, 0, 0, 0]</t>
  </si>
  <si>
    <t>[0, -90.1, 0, 0, 0]</t>
  </si>
  <si>
    <t>[-39.2, -51.4, 0, 0, 0]</t>
  </si>
  <si>
    <t>[-26.0, 38.9, -30.1, 19.4, 0]</t>
  </si>
  <si>
    <t>[0, 0, 0, -62.7, -28.5]</t>
  </si>
  <si>
    <t>[25.2, 0, 0, 0, 0]</t>
  </si>
  <si>
    <t>[0, 0, 0, 0, 764.6]</t>
  </si>
  <si>
    <t>[-59.2, 0, 0, 0, 0]</t>
  </si>
  <si>
    <t>[-48.2, 512.6, 50.2, -42.7, 7.4]</t>
  </si>
  <si>
    <t>[0, -28.7, -2.0, 333.7, 16.8]</t>
  </si>
  <si>
    <t>[120.7, 284.8, -29.9, -39.4, 0]</t>
  </si>
  <si>
    <t>[192.9, 0, 0, -42.0, 11.2]</t>
  </si>
  <si>
    <t>[-50.3, 0, 0, 0, nan]</t>
  </si>
  <si>
    <t>[-47.3, 36.4, -35.0, -50.9, 0]</t>
  </si>
  <si>
    <t>[0, -19.8, 0, 0, 0]</t>
  </si>
  <si>
    <t>[0, -54.7, -19.8, 0, 0]</t>
  </si>
  <si>
    <t>[-28.1, 0, 0, 0, 0]</t>
  </si>
  <si>
    <t>[90.9, -71.2, 32.9, 0, 0]</t>
  </si>
  <si>
    <t>[70.5, 1144.3, 357.1, 0, -11.0]</t>
  </si>
  <si>
    <t>[26.6, 48.4, -49.5, -85.8, 0]</t>
  </si>
  <si>
    <t>[nan, nan, 299.4, -72.8, 0]</t>
  </si>
  <si>
    <t>[-25.1, 0, 0, 0, 0]</t>
  </si>
  <si>
    <t>[-45.0, -34.9, 321.3, 3.4, 18.8]</t>
  </si>
  <si>
    <t>[0, 0, 0, 0, 230.9]</t>
  </si>
  <si>
    <t>[nan, nan, nan, 64.1, 48.1]</t>
  </si>
  <si>
    <t>[0, 378.5, -89.9, 1439.2, 0]</t>
  </si>
  <si>
    <t>[-31.9, 0, 0, 0, 29.4]</t>
  </si>
  <si>
    <t>[591.9, -18.1, -43.8, -30.7, -50.9]</t>
  </si>
  <si>
    <t>[-27.1, -10.7, -49.9, 31.9, -2.8]</t>
  </si>
  <si>
    <t>[-49.7, 18.3, -74.4, 0, 0]</t>
  </si>
  <si>
    <t>[0, 0, 50.0, -61.1, 0]</t>
  </si>
  <si>
    <t>[0, 32.7, 159.2, 0, 0]</t>
  </si>
  <si>
    <t>[0, 0, 49.3, 0, 0]</t>
  </si>
  <si>
    <t>[0, 0, 0, 33.8, 92.4]</t>
  </si>
  <si>
    <t>[-69.7, 0, 0, 0, 0]</t>
  </si>
  <si>
    <t>[-52.5, -49.3, 134.6, 0, 0]</t>
  </si>
  <si>
    <t>[-23.1, -79.5, 361.8, 39.3, 0]</t>
  </si>
  <si>
    <t>[-77.2, 775.2, -68.8, 38.8, -37.2]</t>
  </si>
  <si>
    <t>[221.2, -66.4, -36.5, 149.0, -39.3]</t>
  </si>
  <si>
    <t>[415.3, 0, 0, 0, 0]</t>
  </si>
  <si>
    <t>[0, 0, 0, -39.5, 0]</t>
  </si>
  <si>
    <t>[-21.6, 73.6, -18.0, 54.0, 44.1]</t>
  </si>
  <si>
    <t>[737.1, 74.1, -68.4, 0, 0]</t>
  </si>
  <si>
    <t>[-47.9, -20.9, 0, 0, 0]</t>
  </si>
  <si>
    <t>[248.2, 163.3, -40.5, -67.3, 1025.7]</t>
  </si>
  <si>
    <t>[-95.8, -77.7, -58.6, 0, 0]</t>
  </si>
  <si>
    <t>[146.6, -47.5, -70.4, 0, 0]</t>
  </si>
  <si>
    <t>[4.6, -7.1, 4.0, -21.3, 192.3]</t>
  </si>
  <si>
    <t>[257.3, 16.6, 46.5, 66.1, 31.7]</t>
  </si>
  <si>
    <t>[6.8, -12.4, -30.3, 27.0, 20.6]</t>
  </si>
  <si>
    <t>[12.4, -36.7, -22.2, -26.2, -19.2]</t>
  </si>
  <si>
    <t>[-51.4, 29.8, -16.8, 18.1, -7.3]</t>
  </si>
  <si>
    <t>[5.1, -54.3, 229.4, 148.6, 1401.4]</t>
  </si>
  <si>
    <t>[0, 0, -56.3, -55.9, 0]</t>
  </si>
  <si>
    <t>[0, 0, -51.4, 0, 0]</t>
  </si>
  <si>
    <t>[34.8, 0, 0, 0, 107.3]</t>
  </si>
  <si>
    <t>[0, 1785.1, 0, 0, 0]</t>
  </si>
  <si>
    <t>[-60.4, 0, 0, 0, 0]</t>
  </si>
  <si>
    <t>[1.2, 24.9, 1.0, -98.2, 35.3]</t>
  </si>
  <si>
    <t>[18.9, -10.5, 43.7, 3.6, -22.8]</t>
  </si>
  <si>
    <t>[nan, -39.5, 42.9, 57.2, -53.2]</t>
  </si>
  <si>
    <t>[384.7, 0, 0, 0, 0]</t>
  </si>
  <si>
    <t>[-26.0, 0, 0, -99.8, 0]</t>
  </si>
  <si>
    <t>[0, 0, 1375.0, 0, -18.3]</t>
  </si>
  <si>
    <t>[4.6, 55.0, -71.9, -94.9, 0]</t>
  </si>
  <si>
    <t>[-49.7, -90.4, 0, 0, 0]</t>
  </si>
  <si>
    <t>[-26.3, -8.8, -27.6, -70.1, 132.4]</t>
  </si>
  <si>
    <t>[0, -34.0, 0, 0, 0]</t>
  </si>
  <si>
    <t>[0, 34.3, -35.9, 147.3, 0]</t>
  </si>
  <si>
    <t>[212.8, 47.1, -93.5, 468.6, 749.8]</t>
  </si>
  <si>
    <t>[-66.0, -19.7, 0, 0, 133.9]</t>
  </si>
  <si>
    <t>[0, nan, nan, 0, 0]</t>
  </si>
  <si>
    <t>[-27.1, 0, 0, 0, 0]</t>
  </si>
  <si>
    <t>[239.6, 0, 0, -46.1, 125.5]</t>
  </si>
  <si>
    <t>[0, 0, 0, 0, 532.9]</t>
  </si>
  <si>
    <t>[51.6, -18.9, 3.2, -15.3, -79.4]</t>
  </si>
  <si>
    <t>[-1.8, 0, 0, 8.4, 243.1]</t>
  </si>
  <si>
    <t>[172.4, 9.9, 5.4, -2.0, 7.0]</t>
  </si>
  <si>
    <t>[0, -30.2, 0, 0, 0]</t>
  </si>
  <si>
    <t>[19.5, 0, 0, 0, 70.4]</t>
  </si>
  <si>
    <t>[0, 59.7, -58.1, 32.8, 54.2]</t>
  </si>
  <si>
    <t>[6.6, 109.8, -16.5, 98.1, 52.1]</t>
  </si>
  <si>
    <t>[119.6, 2.7, -35.3, -59.1, -24.5]</t>
  </si>
  <si>
    <t>[0, 0, 0, 785.5, 0]</t>
  </si>
  <si>
    <t>[-43.9, 0, 0, 0, 1.7]</t>
  </si>
  <si>
    <t>[nan, 171.2, 21.6, -26.3, 15.6]</t>
  </si>
  <si>
    <t>[0, 0, 0, -83.1, -27.3]</t>
  </si>
  <si>
    <t>[16.3, 0, 0, 0, 0]</t>
  </si>
  <si>
    <t>[11.1, -34.6, -25.9, -7.0, 54.1]</t>
  </si>
  <si>
    <t>[16.7, 18.5, -72.5, -25.1, 0]</t>
  </si>
  <si>
    <t>[-44.2, 0, -69.2, 879.6, 0]</t>
  </si>
  <si>
    <t>[-74.0, 0, 0, -82.1, 0]</t>
  </si>
  <si>
    <t>[-81.0, 0, 0, 0, 0]</t>
  </si>
  <si>
    <t>[0, -64.6, 779.1, -49.8, 0]</t>
  </si>
  <si>
    <t>[67.5, 0, 0, 0, 0]</t>
  </si>
  <si>
    <t>[390.5, -98.8, 1721.0, 0, 66.6]</t>
  </si>
  <si>
    <t>[0, 0, 792.1, 0, -73.4]</t>
  </si>
  <si>
    <t>[233.4, 14.2, 38.3, -7.2, -54.1]</t>
  </si>
  <si>
    <t>[0, 0, 1815.6, -22.6, -79.9]</t>
  </si>
  <si>
    <t>[-11.5, -58.7, -5.2, 0, 0]</t>
  </si>
  <si>
    <t>[270.8, 68.9, -24.1, 15.9, 121.3]</t>
  </si>
  <si>
    <t>[nan, -29.9, 58.4, -41.4, 151.7]</t>
  </si>
  <si>
    <t>[-4.9, -11.9, 11.1, 38.6, 79.9]</t>
  </si>
  <si>
    <t>[-3.1, 154.8, -57.0, 0, 0]</t>
  </si>
  <si>
    <t>[444.2, 0, 0, 0, 0]</t>
  </si>
  <si>
    <t>[-36.2, 0, 0, 0, 0]</t>
  </si>
  <si>
    <t>[977.7, -67.7, -18.2, 3.8, -88.9]</t>
  </si>
  <si>
    <t>[nan, nan, nan, nan, -84.4]</t>
  </si>
  <si>
    <t>[0, -64.3, 262.3, 21.2, 0]</t>
  </si>
  <si>
    <t>[0, 0, 0, -60.9, 0]</t>
  </si>
  <si>
    <t>[-34.8, 0, 0, 0, 0]</t>
  </si>
  <si>
    <t>[-1.2, -65.4, 103.5, -10.1, -17.9]</t>
  </si>
  <si>
    <t>[0, 0, -66.6, -47.1, 135.6]</t>
  </si>
  <si>
    <t>[103.9, -33.4, -8.6, -66.5, -25.0]</t>
  </si>
  <si>
    <t>[20.6, -48.6, 83.6, -3.6, 0]</t>
  </si>
  <si>
    <t>[-6.7, -46.2, 25.5, -59.0, -30.8]</t>
  </si>
  <si>
    <t>[-23.6, 0, 0, 0, 0]</t>
  </si>
  <si>
    <t>[17.3, -14.9, -12.8, -8.0, 19.9]</t>
  </si>
  <si>
    <t>[nan, 570.2, -7.4, 239.6, 128.8]</t>
  </si>
  <si>
    <t>[nan, 204.8, -16.8, -5.7, 0]</t>
  </si>
  <si>
    <t>[-30.2, -11.4, 16.9, -48.3, 12.2]</t>
  </si>
  <si>
    <t>[0, 0, -74.2, 709.6, -64.9]</t>
  </si>
  <si>
    <t>[47.3, 51.2, 21.4, 43.7, 26.4]</t>
  </si>
  <si>
    <t>[0, 0, 74.2, 0, 0]</t>
  </si>
  <si>
    <t>[27.4, 31.6, -29.7, -58.7, 230.9]</t>
  </si>
  <si>
    <t>[-62.5, 0, 0, 0, 0]</t>
  </si>
  <si>
    <t>[-3.1, -2.8, 23.4, -42.7, -1.9]</t>
  </si>
  <si>
    <t>[0, 0, 0, -55.5, -24.2]</t>
  </si>
  <si>
    <t>[-45.8, 0, 27.2, -7.6, 20.1]</t>
  </si>
  <si>
    <t>[-42.4, 678.2, -66.0, 0, 0]</t>
  </si>
  <si>
    <t>[0, 259.8, 0, 0, 0]</t>
  </si>
  <si>
    <t>[124.4, 0, 0, 0, -5.1]</t>
  </si>
  <si>
    <t>[0, 0, -50.8, 0, 0]</t>
  </si>
  <si>
    <t>[0.0, 117.1, -74.3, -20.6, 49.9]</t>
  </si>
  <si>
    <t>[25.8, -10.3, 58.6, -30.2, -58.4]</t>
  </si>
  <si>
    <t>[184.7, -7.3, 40.1, -40.6, 2064.1]</t>
  </si>
  <si>
    <t>[-7.1, -3.7, 30.5, 41.7, 31.2]</t>
  </si>
  <si>
    <t>[-38.7, -87.6, 341.1, -26.9, -19.1]</t>
  </si>
  <si>
    <t>[-23.8, 0, 0, 0, 0]</t>
  </si>
  <si>
    <t>[24.6, 16.3, -74.4, 283.9, -48.8]</t>
  </si>
  <si>
    <t>[-93.9, 0, 0, 0, 0]</t>
  </si>
  <si>
    <t>[52.5, 0, 0, -30.8, 0]</t>
  </si>
  <si>
    <t>[nan, 0, 202.4, -80.1, -17.3]</t>
  </si>
  <si>
    <t>[0, 0, 0, -24.5, 91.8]</t>
  </si>
  <si>
    <t>[105.8, nan, nan, 0, 0]</t>
  </si>
  <si>
    <t>[173.0, 40.8, -92.6, 741.9, 10.9]</t>
  </si>
  <si>
    <t>[-4.6, 20.5, -51.6, -36.7, 13.1]</t>
  </si>
  <si>
    <t>[29.5, 13.7, 45.0, 13.6, 9.1]</t>
  </si>
  <si>
    <t>[0, -50.9, 0, 0, 0]</t>
  </si>
  <si>
    <t>[-34.3, -14.8, 72.0, -70.7, 79.8]</t>
  </si>
  <si>
    <t>[0, 0, 0, 0, -92.6]</t>
  </si>
  <si>
    <t>[0, 0, 0, 72.2, -51.0]</t>
  </si>
  <si>
    <t>[-22.7, 14.5, 12.4, -24.6, -77.6]</t>
  </si>
  <si>
    <t>[30.4, 33.4, -7.9, -35.2, -1.6]</t>
  </si>
  <si>
    <t>[40.4, 40.0, -37.9, 7.5, 380.8]</t>
  </si>
  <si>
    <t>[40.1, 18.4, -0.2, -62.5, 0]</t>
  </si>
  <si>
    <t>[33.9, 2.9, -19.9, 154.7, -27.2]</t>
  </si>
  <si>
    <t>[-47.8, 93.3, 2.0, -8.2, 0]</t>
  </si>
  <si>
    <t>[-29.7, 12.7, 0, 0, 0]</t>
  </si>
  <si>
    <t>[-3.7, 0, 0, -57.3, 0]</t>
  </si>
  <si>
    <t>[0, 0, -74.8, -18.9, 0]</t>
  </si>
  <si>
    <t>[624.6, -36.7, 344.2, 98.9, -58.1]</t>
  </si>
  <si>
    <t>[289.1, 129.8, -99.4, 10059.2, 12.9]</t>
  </si>
  <si>
    <t>[-55.8, 0, 0, 0, 4234.5]</t>
  </si>
  <si>
    <t>[0, 0, 61.6, 108.2, -57.8]</t>
  </si>
  <si>
    <t>[-95.4, 0, 0, 0, 0]</t>
  </si>
  <si>
    <t>[-6.8, -77.1, -50.4, 469.5, 23.3]</t>
  </si>
  <si>
    <t>[2933.1, -92.4, 0, 0, 0]</t>
  </si>
  <si>
    <t>[nan, nan, 3.7, 27.8, 0]</t>
  </si>
  <si>
    <t>[147.4, 96.8, 10.8, -43.8, 0]</t>
  </si>
  <si>
    <t>[nan, nan, -50.3, 0, 0]</t>
  </si>
  <si>
    <t>[-34.6, 60.2, -60.9, 0, 0]</t>
  </si>
  <si>
    <t>[0, 0, 132.6, -35.8, 79.0]</t>
  </si>
  <si>
    <t>[-35.3, -81.4, 1000.4, 51.1, -56.8]</t>
  </si>
  <si>
    <t>[-16.0, 14.0, 11.6, 0, 0]</t>
  </si>
  <si>
    <t>[134.9, -30.6, 0, 0, 911.8]</t>
  </si>
  <si>
    <t>[-71.4, 0, 0, 0, 0]</t>
  </si>
  <si>
    <t>[12.3, -60.4, 2.9, 108.1, 81.6]</t>
  </si>
  <si>
    <t>[-82.6, 0, 0, -63.1, 96.5]</t>
  </si>
  <si>
    <t>[0, 120.6, 201.7, -85.8, 11.9]</t>
  </si>
  <si>
    <t>[-58.0, 111.1, -75.5, 0, 0]</t>
  </si>
  <si>
    <t>[99.6, -4.0, 0, 0, 0]</t>
  </si>
  <si>
    <t>[0, 0, 0, 0, 379.7]</t>
  </si>
  <si>
    <t>[-8.0, 0, 0, 0, 0]</t>
  </si>
  <si>
    <t>[0, 150.9, 188.7, -36.3, -24.7]</t>
  </si>
  <si>
    <t>[0, 46.2, -20.9, -70.2, 146.2]</t>
  </si>
  <si>
    <t>[-11.0, 37.4, -26.3, 99.6, -20.0]</t>
  </si>
  <si>
    <t>[nan, -25.6, 0, 0, 2.3]</t>
  </si>
  <si>
    <t>[-69.2, 0, 0, 0, 0]</t>
  </si>
  <si>
    <t>[8.5, 14.0, 20.5, 8.5, 22.4]</t>
  </si>
  <si>
    <t>[-27.7, 0, 0, -89.0, 0]</t>
  </si>
  <si>
    <t>[-6.9, 13.7, -2.4, -34.0, -20.2]</t>
  </si>
  <si>
    <t>[-24.4, 170.5, -46.8, -1.1, 0]</t>
  </si>
  <si>
    <t>[-31.0, 0, 0, 0, 176.5]</t>
  </si>
  <si>
    <t>[48.3, -2.6, 17.6, 18.8, 18.1]</t>
  </si>
  <si>
    <t>[-32.1, -54.9, 0, 0, -14.6]</t>
  </si>
  <si>
    <t>[167.2, -9.3, -66.7, 223.4, 187.9]</t>
  </si>
  <si>
    <t>[142.7, 0, 0, -36.5, 0]</t>
  </si>
  <si>
    <t>[-20.9, 0, 0, 0, 0]</t>
  </si>
  <si>
    <t>[244.2, -79.5, 0, 0, 0]</t>
  </si>
  <si>
    <t>[-0.5, 14.3, 0, 0, 133.3]</t>
  </si>
  <si>
    <t>[115.6, 258.8, 12.2, 1.8, 92.0]</t>
  </si>
  <si>
    <t>[nan, nan, 0, -18.0, nan]</t>
  </si>
  <si>
    <t>[-4.6, 239.3, -47.5, 58.6, 0]</t>
  </si>
  <si>
    <t>[124.5, -40.9, -51.0, -67.4, 0]</t>
  </si>
  <si>
    <t>[0, 0, 0, 520.9, -35.4]</t>
  </si>
  <si>
    <t>[0, 0, 22.1, 0, 0]</t>
  </si>
  <si>
    <t>[0, -44.2, 70.4, -32.1, 21.3]</t>
  </si>
  <si>
    <t>[62.0, 84.4, -90.8, -14.7, -56.8]</t>
  </si>
  <si>
    <t>[235.2, -39.3, -30.0, 57.3, -80.6]</t>
  </si>
  <si>
    <t>[-84.5, 0, 0, 0, 0]</t>
  </si>
  <si>
    <t>[41.5, 22.8, -7.6, -1.4, 78.4]</t>
  </si>
  <si>
    <t>[11.1, 0, 0, 0, 0]</t>
  </si>
  <si>
    <t>[nan, -67.1, -83.5, 0, 0]</t>
  </si>
  <si>
    <t>[111.5, -58.3, -36.3, 289.4, -50.0]</t>
  </si>
  <si>
    <t>[-39.6, 26.8, 6.7, -84.2, 330.5]</t>
  </si>
  <si>
    <t>[17.6, -73.2, 0, 0, 0]</t>
  </si>
  <si>
    <t>[0, 0, 0, -29.9, 0]</t>
  </si>
  <si>
    <t>[24.1, 63.7, 3.1, 22.7, 52.1]</t>
  </si>
  <si>
    <t>[-80.0, 733.2, 13.0, 3.6, 459.5]</t>
  </si>
  <si>
    <t>[253.7, 65.7, 50.1, -66.6, 0]</t>
  </si>
  <si>
    <t>[277.2, -40.5, 9.2, -48.2, 0]</t>
  </si>
  <si>
    <t>[0, 0, 0, 21.5, -13.4]</t>
  </si>
  <si>
    <t>[28.1, 0, 0, -22.5, 0]</t>
  </si>
  <si>
    <t>[38.8, 0.3, 2.5, -21.0, 14.2]</t>
  </si>
  <si>
    <t>[0, 118.5, 0, 0, 121.7]</t>
  </si>
  <si>
    <t>325</t>
  </si>
  <si>
    <t>3866</t>
  </si>
  <si>
    <t>4409</t>
  </si>
  <si>
    <t>2129</t>
  </si>
  <si>
    <t>488</t>
  </si>
  <si>
    <t>355</t>
  </si>
  <si>
    <t>539</t>
  </si>
  <si>
    <t>6903</t>
  </si>
  <si>
    <t>1279</t>
  </si>
  <si>
    <t>9110</t>
  </si>
  <si>
    <t>2225</t>
  </si>
  <si>
    <t>3738</t>
  </si>
  <si>
    <t>6154</t>
  </si>
  <si>
    <t>[2888.0, 2871.0, 3185.0, nan]</t>
  </si>
  <si>
    <t>[3313.0, 3403.0, 3336.0, nan]</t>
  </si>
  <si>
    <t>[1586.0, 1485.0, 1006.0, nan]</t>
  </si>
  <si>
    <t>[359.0, 385.0, 411.0, nan]</t>
  </si>
  <si>
    <t>[5231.0, 5663.0, 5906.0, nan]</t>
  </si>
  <si>
    <t>[4670.0, 4090.0, 4339.0, nan]</t>
  </si>
  <si>
    <t>[3460.0, 4393.0, 5057.0, nan]</t>
  </si>
  <si>
    <t>[781.0, 798.0, 810.0, nan]</t>
  </si>
  <si>
    <t>[2689.0, 2699.0, 2947.0, nan]</t>
  </si>
  <si>
    <t>[584.0, 591.0, 522.0, nan]</t>
  </si>
  <si>
    <t>[1612.0, 1588.0, 1470.0, nan]</t>
  </si>
  <si>
    <t>[15337.0, 10002.0, 10010.0, nan]</t>
  </si>
  <si>
    <t>[7172.0, 9165.0, 9097.0, 10426.0]</t>
  </si>
  <si>
    <t>[45413.0, 41854.0, 44253.0, 48315.0]</t>
  </si>
  <si>
    <t>[1385.0, 1484.0, 1618.0, nan]</t>
  </si>
  <si>
    <t>[93516.0, 103069.0, 126859.0, 135810.0]</t>
  </si>
  <si>
    <t>[11843.0, 14156.0, 14188.0, nan]</t>
  </si>
  <si>
    <t>[671.0, 723.0, 773.0, nan]</t>
  </si>
  <si>
    <t>[21794.0, 23696.0, 24861.0, 25817.0]</t>
  </si>
  <si>
    <t>[8753.0, 9485.0, 11549.0, nan]</t>
  </si>
  <si>
    <t>[3232.0, 3203.0, 3237.0, nan]</t>
  </si>
  <si>
    <t>[64676.0, 62741.0, 66626.0, 69111.0]</t>
  </si>
  <si>
    <t>[11717.0, 12360.0, 12107.0, 12400.0]</t>
  </si>
  <si>
    <t>[16739.0, 17082.0, 17172.0, 17333.0]</t>
  </si>
  <si>
    <t>[4136.0, 4474.0, 4580.0, 4864.0]</t>
  </si>
  <si>
    <t>[292954.0, 306305.0, 323300.0, 337608.0]</t>
  </si>
  <si>
    <t>[9255.0, 9907.0, 10456.0, 11126.0]</t>
  </si>
  <si>
    <t>[993.0, 983.0, 1181.0, nan]</t>
  </si>
  <si>
    <t>[39554.0, 41325.0, 42420.0, 43248.0]</t>
  </si>
  <si>
    <t>[111214.0, 118822.0, 115669.0, 116130.0]</t>
  </si>
  <si>
    <t>[4973.0, 4842.0, 4356.0, nan]</t>
  </si>
  <si>
    <t>[78133.0, 81928.0, 78533.0, 77095.0]</t>
  </si>
  <si>
    <t>[3158.0, 3191.0, 3230.0, nan]</t>
  </si>
  <si>
    <t>[38561.0, 43166.0, 50037.0, 54253.0]</t>
  </si>
  <si>
    <t>[1232.0, 1294.0, 1405.0, nan]</t>
  </si>
  <si>
    <t>[6756.0, 6909.0, 7101.0, nan]</t>
  </si>
  <si>
    <t>[1469.0, 1479.0, 1390.0, nan]</t>
  </si>
  <si>
    <t>[2169.0, 2320.0, 2478.0, nan]</t>
  </si>
  <si>
    <t>[5120.0, 5931.0, 6620.0, 7759.0]</t>
  </si>
  <si>
    <t>[716814.0, 697439.0, 674963.0, 687636.0]</t>
  </si>
  <si>
    <t>[1194.0, 1182.0, 1072.0, nan]</t>
  </si>
  <si>
    <t>[1144.0, 1016.0, 955.0, nan]</t>
  </si>
  <si>
    <t>[9337.0, 8652.0, 8861.0, 8936.0]</t>
  </si>
  <si>
    <t>[563.0, 452.0, 322.0, nan]</t>
  </si>
  <si>
    <t>[2552.0, 2618.0, 2695.0, nan]</t>
  </si>
  <si>
    <t>[7183.0, 7173.0, 7249.0, nan]</t>
  </si>
  <si>
    <t>[205.0, 254.0, 360.0, nan]</t>
  </si>
  <si>
    <t>[2938.0, 3814.0, 4485.0, nan]</t>
  </si>
  <si>
    <t>[63587.0, 67655.0, 71568.0, 74812.0]</t>
  </si>
  <si>
    <t>[29846.0, 31493.0, 32807.0, 33734.0]</t>
  </si>
  <si>
    <t>[7155.0, 8210.0, 8777.0, 9776.0]</t>
  </si>
  <si>
    <t>[2080.0, 2081.0, 2160.0, nan]</t>
  </si>
  <si>
    <t>[318.0, 322.0, 329.0, nan]</t>
  </si>
  <si>
    <t>[3827.0, 2554.0, 2611.0, 3303.0]</t>
  </si>
  <si>
    <t>[22168.0, 22896.0, 23175.0, 23482.0]</t>
  </si>
  <si>
    <t>[3650.0, 3820.0, 4030.0, nan]</t>
  </si>
  <si>
    <t>[238737.0, 264292.0, 281245.0, 304861.0]</t>
  </si>
  <si>
    <t>[3383.0, 3537.0, 3775.0, nan]</t>
  </si>
  <si>
    <t>[1818.0, 2338.0, 2148.0, nan]</t>
  </si>
  <si>
    <t>[10283.0, 27632.0, 29465.0, 31043.0]</t>
  </si>
  <si>
    <t>[1092.0, 1059.0, 1244.0, nan]</t>
  </si>
  <si>
    <t>[1024.0, 971.0, 1046.0, nan]</t>
  </si>
  <si>
    <t>[3425.0, 4721.0, 5281.0, nan]</t>
  </si>
  <si>
    <t>[10631.0, 10884.0, 11462.0, 12387.0]</t>
  </si>
  <si>
    <t>[627.0, 664.0, 691.0, nan]</t>
  </si>
  <si>
    <t>[1112.0, 1104.0, 474.0, nan]</t>
  </si>
  <si>
    <t>[1440.0, 2346.0, 2397.0, nan]</t>
  </si>
  <si>
    <t>[768.0, 799.0, 901.0, nan]</t>
  </si>
  <si>
    <t>[851.0, 947.0, 1025.0, nan]</t>
  </si>
  <si>
    <t>[393.0, 220.0, 321.0, nan]</t>
  </si>
  <si>
    <t>[3769.0, 4060.0, 3966.0, nan]</t>
  </si>
  <si>
    <t>[1471.0, 1501.0, 2424.0, nan]</t>
  </si>
  <si>
    <t>[785.0, 1071.0, 767.0, nan]</t>
  </si>
  <si>
    <t>[555.0, 570.0, 575.0, nan]</t>
  </si>
  <si>
    <t>[321.0, 331.0, 383.0, nan]</t>
  </si>
  <si>
    <t>[705.0, 742.0, 761.0, nan]</t>
  </si>
  <si>
    <t>[687.0, 727.0, 888.0, nan]</t>
  </si>
  <si>
    <t>[1484.0, 1561.0, 1553.0, nan]</t>
  </si>
  <si>
    <t>[370.0, 595.0, 707.0, nan]</t>
  </si>
  <si>
    <t>[2512.0, 2470.0, 2392.0, nan]</t>
  </si>
  <si>
    <t>[438.0, 550.0, 553.0, nan]</t>
  </si>
  <si>
    <t>[720.0, 714.0, 453.0, nan]</t>
  </si>
  <si>
    <t>[6293.0, 6820.0, 7120.0, nan]</t>
  </si>
  <si>
    <t>[4016.0, 4052.0, 3935.0, nan]</t>
  </si>
  <si>
    <t>[3618.0, 3048.0, 3403.0, 3777.0]</t>
  </si>
  <si>
    <t>[1005.0, 999.0, 1041.0, nan]</t>
  </si>
  <si>
    <t>[1091.0, 1321.0, 1583.0, nan]</t>
  </si>
  <si>
    <t>[31401.0, 30369.0, 30918.0, 32049.0]</t>
  </si>
  <si>
    <t>[1071.0, 1259.0, 1217.0, nan]</t>
  </si>
  <si>
    <t>[167155.0, 166960.0, 168984.0, 165982.0]</t>
  </si>
  <si>
    <t>[74884.0, 77275.0, 79920.0, 75734.0]</t>
  </si>
  <si>
    <t>[691035.0, 679740.0, 700658.0, 708620.0]</t>
  </si>
  <si>
    <t>[8454.0, 8224.0, 9892.0, nan]</t>
  </si>
  <si>
    <t>[1781.0, 1676.0, 1793.0, 1940.0]</t>
  </si>
  <si>
    <t>[6691.0, 7140.0, 7415.0, nan]</t>
  </si>
  <si>
    <t>[31037.0, 41314.0, 45104.0, 47130.0]</t>
  </si>
  <si>
    <t>[15444.0, 16845.0, 17318.0, 18369.0]</t>
  </si>
  <si>
    <t>[1211.0, 1260.0, 1240.0, nan]</t>
  </si>
  <si>
    <t>[1096.0, 1086.0, 1158.0, nan]</t>
  </si>
  <si>
    <t>[3487.0, 3748.0, 3710.0, nan]</t>
  </si>
  <si>
    <t>[2694.0, 2175.0, 2612.0, nan]</t>
  </si>
  <si>
    <t>[2423.0, 2694.0, 3304.0, nan]</t>
  </si>
  <si>
    <t>[3527.0, 2932.0, 2997.0, nan]</t>
  </si>
  <si>
    <t>[1231.0, 1243.0, 1246.0, nan]</t>
  </si>
  <si>
    <t>[2774.0, 2881.0, 2967.0, nan]</t>
  </si>
  <si>
    <t>[2431.0, 2596.0, 2738.0, 2950.0]</t>
  </si>
  <si>
    <t>[2174.0, 2313.0, 2601.0, nan]</t>
  </si>
  <si>
    <t>[36535.0, 24426.0, 24404.0, 24055.0]</t>
  </si>
  <si>
    <t>[nan, 9045.0, 9082.0, 9140.0]</t>
  </si>
  <si>
    <t>[1047.0, 946.0, 899.0, nan]</t>
  </si>
  <si>
    <t>[1361.0, 1284.0, 1277.0, nan]</t>
  </si>
  <si>
    <t>[6724.0, 7033.0, 7125.0, nan]</t>
  </si>
  <si>
    <t>[810.0, 779.0, 786.0, nan]</t>
  </si>
  <si>
    <t>[1077.0, 1063.0, 1017.0, nan]</t>
  </si>
  <si>
    <t>[10994.0, 11895.0, 12638.0, nan]</t>
  </si>
  <si>
    <t>[1263.0, 1075.0, 1155.0, nan]</t>
  </si>
  <si>
    <t>[7080.0, 7517.0, 7896.0, nan]</t>
  </si>
  <si>
    <t>[4594.0, 4560.0, 4585.0, nan]</t>
  </si>
  <si>
    <t>[1523.0, 1791.0, 1785.0, nan]</t>
  </si>
  <si>
    <t>[1104.0, 1047.0, 1012.0, nan]</t>
  </si>
  <si>
    <t>[82417.0, 81723.0, 88087.0, 91685.0]</t>
  </si>
  <si>
    <t>[1658.0, 1773.0, 1940.0, nan]</t>
  </si>
  <si>
    <t>[413.0, 369.0, 489.0, nan]</t>
  </si>
  <si>
    <t>[250.0, 223.0, 270.0, nan]</t>
  </si>
  <si>
    <t>[1317.0, 1640.0, 3870.0, nan]</t>
  </si>
  <si>
    <t>[1710.0, 1801.0, 1850.0, nan]</t>
  </si>
  <si>
    <t>[2650.0, 2614.0, 2760.0, nan]</t>
  </si>
  <si>
    <t>[2210.0, 2024.0, 1755.0, nan]</t>
  </si>
  <si>
    <t>[1008.0, 1024.0, 938.0, nan]</t>
  </si>
  <si>
    <t>[843.0, 902.0, 912.0, nan]</t>
  </si>
  <si>
    <t>[3228.0, 3243.0, 3455.0, nan]</t>
  </si>
  <si>
    <t>[6870.0, 7045.0, 7037.0, nan]</t>
  </si>
  <si>
    <t>[509.0, 429.0, 295.0, nan]</t>
  </si>
  <si>
    <t>[6287.0, 6030.0, 5682.0, nan]</t>
  </si>
  <si>
    <t>[1507.0, 1518.0, 1585.0, nan]</t>
  </si>
  <si>
    <t>[3180.0, 3003.0, 3037.0, nan]</t>
  </si>
  <si>
    <t>[2684.0, 2710.0, 2869.0, 2960.0]</t>
  </si>
  <si>
    <t>[4192.0, 4240.0, 4314.0, 4328.0]</t>
  </si>
  <si>
    <t>[1935.0, 2187.0, 2266.0, nan]</t>
  </si>
  <si>
    <t>[349.0, 586.0, 833.0, nan]</t>
  </si>
  <si>
    <t>[1489.0, 1250.0, 845.0, nan]</t>
  </si>
  <si>
    <t>[549.0, 592.0, 585.0, nan]</t>
  </si>
  <si>
    <t>[1591.0, 1830.0, 2403.0, 2393.0]</t>
  </si>
  <si>
    <t>[548.0, 667.0, 584.0, nan]</t>
  </si>
  <si>
    <t>[480.0, 427.0, 414.0, nan]</t>
  </si>
  <si>
    <t>[1397.0, 1419.0, 1455.0, nan]</t>
  </si>
  <si>
    <t>[12295.0, 15446.0, 18435.0, 19987.0]</t>
  </si>
  <si>
    <t>[8878.0, 11452.0, 13758.0, nan]</t>
  </si>
  <si>
    <t>[29658.0, 30412.0, 32565.0, 34630.0]</t>
  </si>
  <si>
    <t>[977.0, 1111.0, 1195.0, nan]</t>
  </si>
  <si>
    <t>[1438.0, 1453.0, 1487.0, nan]</t>
  </si>
  <si>
    <t>[1669.0, 1663.0, 1662.0, nan]</t>
  </si>
  <si>
    <t>[6392.0, 5394.0, 5509.0, nan]</t>
  </si>
  <si>
    <t>[822.0, 838.0, 980.0, nan]</t>
  </si>
  <si>
    <t>[133.0, 324.0, 297.0, nan]</t>
  </si>
  <si>
    <t>[2529.0, 2596.0, 2717.0, nan]</t>
  </si>
  <si>
    <t>[18479.0, 18761.0, 19261.0, nan]</t>
  </si>
  <si>
    <t>[4082.0, 4142.0, 3958.0, nan]</t>
  </si>
  <si>
    <t>[nan, nan, 215104.0, 226141.0]</t>
  </si>
  <si>
    <t>[902.0, 656.0, 713.0, nan]</t>
  </si>
  <si>
    <t>[1656.0, 1594.0, 1734.0, nan]</t>
  </si>
  <si>
    <t>[1170.0, 1094.0, 1140.0, nan]</t>
  </si>
  <si>
    <t>[770.0, 1091.0, 1070.0, nan]</t>
  </si>
  <si>
    <t>[3003.0, 3162.0, 4781.0, 3870.0]</t>
  </si>
  <si>
    <t>[892.0, 877.0, 905.0, nan]</t>
  </si>
  <si>
    <t>[6515.0, 6576.0, 7110.0, nan]</t>
  </si>
  <si>
    <t>[1578.0, 1724.0, 2123.0, nan]</t>
  </si>
  <si>
    <t>[1563.0, 1551.0, 1568.0, nan]</t>
  </si>
  <si>
    <t>[13071.0, 13772.0, 13818.0, 14497.0]</t>
  </si>
  <si>
    <t>[1193.0, 1284.0, 1405.0, nan]</t>
  </si>
  <si>
    <t>[1943.0, 1972.0, 1976.0, 1910.0]</t>
  </si>
  <si>
    <t>[3578.0, 6095.0, 6737.0, nan]</t>
  </si>
  <si>
    <t>[1208.0, 1282.0, 1420.0, nan]</t>
  </si>
  <si>
    <t>[2875.0, 2895.0, 2640.0, nan]</t>
  </si>
  <si>
    <t>[1148.0, 1306.0, 1337.0, nan]</t>
  </si>
  <si>
    <t>[1861.0, 2271.0, 2364.0, nan]</t>
  </si>
  <si>
    <t>[27063.0, 30863.0, 31790.0, nan]</t>
  </si>
  <si>
    <t>[1032.0, 971.0, 709.0, nan]</t>
  </si>
  <si>
    <t>[9569.0, 10144.0, 11552.0, nan]</t>
  </si>
  <si>
    <t>[1345.0, 1483.0, 1726.0, nan]</t>
  </si>
  <si>
    <t>[1078.0, 1107.0, 1111.0, 1115.0]</t>
  </si>
  <si>
    <t>[378.0, 401.0, 630.0, nan]</t>
  </si>
  <si>
    <t>[7547.0, 7078.0, 6007.0, nan]</t>
  </si>
  <si>
    <t>[365.0, 2257.0, 1889.0, 1044.0]</t>
  </si>
  <si>
    <t>[835.0, 1852.0, 1612.0, nan]</t>
  </si>
  <si>
    <t>[1162.0, 1149.0, 1195.0, nan]</t>
  </si>
  <si>
    <t>[3159.0, 3058.0, 2930.0, nan]</t>
  </si>
  <si>
    <t>[23890.0, 26438.0, 28864.0, 31048.0]</t>
  </si>
  <si>
    <t>[331.0, 311.0, 302.0, nan]</t>
  </si>
  <si>
    <t>[3844.0, 4206.0, 4439.0, nan]</t>
  </si>
  <si>
    <t>[478.0, 492.0, 696.0, nan]</t>
  </si>
  <si>
    <t>[1650.0, 1317.0, 1166.0, nan]</t>
  </si>
  <si>
    <t>[2139.0, 2191.0, 2175.0, nan]</t>
  </si>
  <si>
    <t>[28098.0, 28873.0, 30477.0, 32328.0]</t>
  </si>
  <si>
    <t>[21833.0, 20965.0, 20158.0, 21013.0]</t>
  </si>
  <si>
    <t>[943.0, 996.0, 1186.0, nan]</t>
  </si>
  <si>
    <t>[726.0, 793.0, 840.0, nan]</t>
  </si>
  <si>
    <t>[18297.0, 15602.0, 15294.0, 15806.0]</t>
  </si>
  <si>
    <t>[2030.0, 4903.0, 3935.0, nan]</t>
  </si>
  <si>
    <t>[4048.0, 4730.0, 4977.0, nan]</t>
  </si>
  <si>
    <t>[1818.0, 1740.0, 1727.0, nan]</t>
  </si>
  <si>
    <t>[2257.0, 2373.0, 2750.0, nan]</t>
  </si>
  <si>
    <t>[5573.0, 5873.0, 5918.0, nan]</t>
  </si>
  <si>
    <t>[975.0, 1026.0, 1105.0, nan]</t>
  </si>
  <si>
    <t>[1951.0, 1868.0, 1135.0, nan]</t>
  </si>
  <si>
    <t>[1204.0, 1255.0, 1295.0, nan]</t>
  </si>
  <si>
    <t>[2157.0, 2382.0, 2648.0, nan]</t>
  </si>
  <si>
    <t>[1218.0, 2049.0, 2170.0, 2487.0]</t>
  </si>
  <si>
    <t>[2291.0, 2227.0, 2262.0, nan]</t>
  </si>
  <si>
    <t>[1219.0, 1304.0, 1429.0, nan]</t>
  </si>
  <si>
    <t>[2888.0, 2990.0, 3079.0, nan]</t>
  </si>
  <si>
    <t>[1025.0, 1047.0, 1001.0, nan]</t>
  </si>
  <si>
    <t>[3053.0, 2999.0, 3078.0, nan]</t>
  </si>
  <si>
    <t>[1139.0, 1052.0, 1118.0, nan]</t>
  </si>
  <si>
    <t>[981.0, 1017.0, 1091.0, nan]</t>
  </si>
  <si>
    <t>[1758.0, 1741.0, 1760.0, nan]</t>
  </si>
  <si>
    <t>[2127.0, 3650.0, 4498.0, nan]</t>
  </si>
  <si>
    <t>[2614.0, 2898.0, 3179.0, nan]</t>
  </si>
  <si>
    <t>[1023.0, 1131.0, 1179.0, nan]</t>
  </si>
  <si>
    <t>[3182.0, 3450.0, 3609.0, nan]</t>
  </si>
  <si>
    <t>[21630.0, 22376.0, 24560.0, nan]</t>
  </si>
  <si>
    <t>[108.0, 211.0, 1034.0, nan]</t>
  </si>
  <si>
    <t>[1291.0, 1298.0, 1300.0, nan]</t>
  </si>
  <si>
    <t>[531.0, 553.0, 568.0, nan]</t>
  </si>
  <si>
    <t>[3042.0, 3450.0, 3632.0, nan]</t>
  </si>
  <si>
    <t>[1148.0, 2175.0, 2105.0, nan]</t>
  </si>
  <si>
    <t>[1561.0, 1609.0, 1681.0, nan]</t>
  </si>
  <si>
    <t>[748.0, 754.0, 775.0, nan]</t>
  </si>
  <si>
    <t>[607.0, 626.0, 649.0, nan]</t>
  </si>
  <si>
    <t>[543.0, 568.0, 588.0, nan]</t>
  </si>
  <si>
    <t>[1647.0, 1876.0, 2017.0, nan]</t>
  </si>
  <si>
    <t>[633.0, 647.0, 766.0, nan]</t>
  </si>
  <si>
    <t>[1226.0, 1106.0, 1097.0, nan]</t>
  </si>
  <si>
    <t>[6323.0, 6209.0, 6351.0, 6540.0]</t>
  </si>
  <si>
    <t>[1403.0, 1449.0, 1491.0, nan]</t>
  </si>
  <si>
    <t>[2942.0, 4261.0, 5257.0, nan]</t>
  </si>
  <si>
    <t>[360.0, 652.0, 663.0, nan]</t>
  </si>
  <si>
    <t>[6659.0, 6484.0, 6724.0, nan]</t>
  </si>
  <si>
    <t>[1916.0, 1976.0, 1939.0, nan]</t>
  </si>
  <si>
    <t>[734.0, 734.0, 705.0, nan]</t>
  </si>
  <si>
    <t>[463.0, 479.0, 489.0, nan]</t>
  </si>
  <si>
    <t>[375.0, 341.0, 935.0, nan]</t>
  </si>
  <si>
    <t>[1536.0, 1531.0, 1606.0, nan]</t>
  </si>
  <si>
    <t>[337.0, 369.0, 378.0, nan]</t>
  </si>
  <si>
    <t>[1108.0, 1017.0, 876.0, nan]</t>
  </si>
  <si>
    <t>[1081.0, 1232.0, 1234.0, nan]</t>
  </si>
  <si>
    <t>[2864.0, 2984.0, 3021.0, nan]</t>
  </si>
  <si>
    <t>[2541.0, 2804.0, 3782.0, nan]</t>
  </si>
  <si>
    <t>[3022.0, 3029.0, 3052.0, nan]</t>
  </si>
  <si>
    <t>[908.0, 839.0, 906.0, nan]</t>
  </si>
  <si>
    <t>[2748.0, 3320.0, 3553.0, nan]</t>
  </si>
  <si>
    <t>[3222.0, 3303.0, 3423.0, nan]</t>
  </si>
  <si>
    <t>[1857.0, 2001.0, 1390.0, nan]</t>
  </si>
  <si>
    <t>[198.0, 925.0, 762.0, nan]</t>
  </si>
  <si>
    <t>[976.0, 1022.0, 1062.0, nan]</t>
  </si>
  <si>
    <t>[1934.0, 2039.0, 2037.0, nan]</t>
  </si>
  <si>
    <t>[1141.0, 1179.0, 1175.0, nan]</t>
  </si>
  <si>
    <t>[183.0, 234.0, 169.0, nan]</t>
  </si>
  <si>
    <t>[1450.0, 1445.0, 1540.0, nan]</t>
  </si>
  <si>
    <t>[573.0, 735.0, 796.0, nan]</t>
  </si>
  <si>
    <t>[2083.0, 2452.0, 2766.0, nan]</t>
  </si>
  <si>
    <t>[1084.0, 1835.0, 1682.0, nan]</t>
  </si>
  <si>
    <t>[571.0, 556.0, 569.0, nan]</t>
  </si>
  <si>
    <t>[3117.0, 2847.0, 2844.0, nan]</t>
  </si>
  <si>
    <t>[211.0, 367.0, 419.0, nan]</t>
  </si>
  <si>
    <t>[2996.0, 2987.0, 3051.0, nan]</t>
  </si>
  <si>
    <t>[1189.0, 1344.0, 1360.0, nan]</t>
  </si>
  <si>
    <t>[423.0, 464.0, 561.0, nan]</t>
  </si>
  <si>
    <t>[708.0, 806.0, 903.0, nan]</t>
  </si>
  <si>
    <t>[2075.0, 2517.0, 2578.0, nan]</t>
  </si>
  <si>
    <t>[1136.0, 1180.0, 1244.0, nan]</t>
  </si>
  <si>
    <t>[1598.0, 1612.0, 1826.0, nan]</t>
  </si>
  <si>
    <t>[692.0, 710.0, 737.0, nan]</t>
  </si>
  <si>
    <t>[1652.0, 1662.0, 1668.0, nan]</t>
  </si>
  <si>
    <t>[1085.0, 1293.0, 1327.0, nan]</t>
  </si>
  <si>
    <t>[1495.0, 1329.0, 1409.0, nan]</t>
  </si>
  <si>
    <t>[1379.0, 1457.0, 1465.0, nan]</t>
  </si>
  <si>
    <t>[534.0, 546.0, 559.0, nan]</t>
  </si>
  <si>
    <t>[4504.0, 4360.0, 4393.0, 4375.0]</t>
  </si>
  <si>
    <t>[1033.0, 1100.0, 1023.0, nan]</t>
  </si>
  <si>
    <t>[2054.0, 2246.0, 2689.0, nan]</t>
  </si>
  <si>
    <t>[1671.0, 1511.0, 1350.0, nan]</t>
  </si>
  <si>
    <t>[674.0, 695.0, 711.0, nan]</t>
  </si>
  <si>
    <t>[928.0, 871.0, 966.0, nan]</t>
  </si>
  <si>
    <t>[526.0, 513.0, 489.0, nan]</t>
  </si>
  <si>
    <t>[668.0, 681.0, 1889.0, nan]</t>
  </si>
  <si>
    <t>[1067.0, 1403.0, 1506.0, nan]</t>
  </si>
  <si>
    <t>[271.0, 630.0, 760.0, nan]</t>
  </si>
  <si>
    <t>[679.0, 701.0, 725.0, nan]</t>
  </si>
  <si>
    <t>[1071.0, 922.0, 1181.0, nan]</t>
  </si>
  <si>
    <t>[260.0, 565.0, 674.0, nan]</t>
  </si>
  <si>
    <t>[5234.0, 4475.0, 3534.0, nan]</t>
  </si>
  <si>
    <t>[1716.0, 1685.0, 1726.0, nan]</t>
  </si>
  <si>
    <t>[225.0, 250.0, 190.0, nan]</t>
  </si>
  <si>
    <t>[637.0, 757.0, 871.0, nan]</t>
  </si>
  <si>
    <t>[1049.0, 1192.0, 1304.0, nan]</t>
  </si>
  <si>
    <t>[1375.0, 1370.0, 1361.0, nan]</t>
  </si>
  <si>
    <t>[882.0, 1100.0, 1024.0, 1012.0]</t>
  </si>
  <si>
    <t>[996.0, 984.0, 986.0, nan]</t>
  </si>
  <si>
    <t>[990.0, 1041.0, 1894.0, nan]</t>
  </si>
  <si>
    <t>[785.0, 1063.0, 1032.0, nan]</t>
  </si>
  <si>
    <t>[1994.0, 2209.0, 2099.0, nan]</t>
  </si>
  <si>
    <t>[1439.0, 1688.0, 2013.0, nan]</t>
  </si>
  <si>
    <t>[877.0, 907.0, 954.0, nan]</t>
  </si>
  <si>
    <t>[538.0, 555.0, 826.0, nan]</t>
  </si>
  <si>
    <t>[226.0, 22.0, 173.0, nan]</t>
  </si>
  <si>
    <t>[1835.0, 1919.0, 1899.0, nan]</t>
  </si>
  <si>
    <t>[524.0, 422.0, 390.0, nan]</t>
  </si>
  <si>
    <t>[422.0, 462.0, 503.0, nan]</t>
  </si>
  <si>
    <t>[133.0, 131.0, 133.0, nan]</t>
  </si>
  <si>
    <t>[9595.0, 10443.0, 10843.0, nan]</t>
  </si>
  <si>
    <t>[658.0, 692.0, 714.0, nan]</t>
  </si>
  <si>
    <t>[1384.0, 1610.0, 1501.0, nan]</t>
  </si>
  <si>
    <t>[175.0, 286.0, 505.0, nan]</t>
  </si>
  <si>
    <t>[1862.0, 1757.0, 1891.0, nan]</t>
  </si>
  <si>
    <t>[789.0, 785.0, 809.0, nan]</t>
  </si>
  <si>
    <t>[1295.0, 1278.0, 1093.0, 970.0]</t>
  </si>
  <si>
    <t>[3925.0, 4316.0, 4685.0, 5050.0]</t>
  </si>
  <si>
    <t>[337.0, 330.0, 351.0, nan]</t>
  </si>
  <si>
    <t>[465.0, 514.0, 327.0, nan]</t>
  </si>
  <si>
    <t>[1245.0, 1390.0, 1540.0, 1637.0]</t>
  </si>
  <si>
    <t>[6450.0, 7255.0, 8313.0, nan]</t>
  </si>
  <si>
    <t>[4075.0, 4256.0, 4398.0, nan]</t>
  </si>
  <si>
    <t>[472.0, 541.0, 558.0, nan]</t>
  </si>
  <si>
    <t>[1212.0, 1301.0, 1459.0, nan]</t>
  </si>
  <si>
    <t>[960.0, 964.0, 966.0, nan]</t>
  </si>
  <si>
    <t>[394.0, 319.0, 200.0, nan]</t>
  </si>
  <si>
    <t>[704.0, 768.0, 844.0, nan]</t>
  </si>
  <si>
    <t>[1925.0, 2141.0, 2383.0, nan]</t>
  </si>
  <si>
    <t>[198.0, 200.0, 293.0, nan]</t>
  </si>
  <si>
    <t>[659.0, 712.0, 645.0, nan]</t>
  </si>
  <si>
    <t>[1346.0, 1421.0, 1405.0, nan]</t>
  </si>
  <si>
    <t>[955.0, 945.0, 1083.0, nan]</t>
  </si>
  <si>
    <t>[1677.0, 1473.0, 1395.0, nan]</t>
  </si>
  <si>
    <t>[1266.0, 1227.0, 1527.0, nan]</t>
  </si>
  <si>
    <t>[727.0, 783.0, 829.0, nan]</t>
  </si>
  <si>
    <t>[1905.0, 1881.0, 1852.0, nan]</t>
  </si>
  <si>
    <t>[648.0, 617.0, 611.0, nan]</t>
  </si>
  <si>
    <t>[133.0, 358.0, 351.0, nan]</t>
  </si>
  <si>
    <t>[1898.0, 1918.0, 1984.0, nan]</t>
  </si>
  <si>
    <t>[769.0, 849.0, 948.0, nan]</t>
  </si>
  <si>
    <t>[3897.0, 4037.0, 5140.0, nan]</t>
  </si>
  <si>
    <t>[1738.0, 2277.0, 2308.0, nan]</t>
  </si>
  <si>
    <t>[2046.0, 2102.0, 2050.0, nan]</t>
  </si>
  <si>
    <t>[1343.0, 1239.0, 1159.0, nan]</t>
  </si>
  <si>
    <t>[1636.0, 1325.0, 1199.0, nan]</t>
  </si>
  <si>
    <t>[4729.0, 4354.0, 6084.0, nan]</t>
  </si>
  <si>
    <t>[276.0, 331.0, 346.0, nan]</t>
  </si>
  <si>
    <t>[603.0, 589.0, 574.0, nan]</t>
  </si>
  <si>
    <t>[1001.0, 1036.0, 1069.0, nan]</t>
  </si>
  <si>
    <t>[3458.0, 3790.0, 4181.0, nan]</t>
  </si>
  <si>
    <t>[1302.0, 1522.0, 1534.0, nan]</t>
  </si>
  <si>
    <t>[1064.0, 1030.0, 1656.0, nan]</t>
  </si>
  <si>
    <t>[317.0, 336.0, 434.0, nan]</t>
  </si>
  <si>
    <t>[414.0, 483.0, 483.0, nan]</t>
  </si>
  <si>
    <t>[986.0, 1382.0, 1498.0, nan]</t>
  </si>
  <si>
    <t>[287.0, 441.0, 369.0, nan]</t>
  </si>
  <si>
    <t>[1837.0, 1955.0, 2080.0, nan]</t>
  </si>
  <si>
    <t>[846.0, 1129.0, 1345.0, nan]</t>
  </si>
  <si>
    <t>[2410.0, 2727.0, 2798.0, nan]</t>
  </si>
  <si>
    <t>[2524.0, 2752.0, 3114.0, nan]</t>
  </si>
  <si>
    <t>[1112.0, 962.0, 937.0, nan]</t>
  </si>
  <si>
    <t>[536.0, 665.0, 699.0, nan]</t>
  </si>
  <si>
    <t>[2901.0, 3087.0, 3238.0, nan]</t>
  </si>
  <si>
    <t>[1159.0, 1404.0, 1668.0, nan]</t>
  </si>
  <si>
    <t>[730.0, 786.0, 849.0, nan]</t>
  </si>
  <si>
    <t>[700.0, 707.0, 712.0, nan]</t>
  </si>
  <si>
    <t>[1249.0, 1394.0, 1579.0, nan]</t>
  </si>
  <si>
    <t>[811.0, 845.0, 872.0, nan]</t>
  </si>
  <si>
    <t>[1125.0, 1706.0, 2163.0, nan]</t>
  </si>
  <si>
    <t>[780.0, 894.0, 960.0, nan]</t>
  </si>
  <si>
    <t>[5009.0, 4846.0, 4487.0, 4693.0]</t>
  </si>
  <si>
    <t>[1277.0, 1228.0, 1190.0, nan]</t>
  </si>
  <si>
    <t>[1447.0, 1421.0, 1328.0, nan]</t>
  </si>
  <si>
    <t>[550.0, 680.0, 717.0, nan]</t>
  </si>
  <si>
    <t>[993.0, 1086.0, 1234.0, nan]</t>
  </si>
  <si>
    <t>[2171.0, 2120.0, 2003.0, nan]</t>
  </si>
  <si>
    <t>[556.0, 743.0, 741.0, nan]</t>
  </si>
  <si>
    <t>[725.0, 775.0, 794.0, nan]</t>
  </si>
  <si>
    <t>[821.0, 801.0, 825.0, nan]</t>
  </si>
  <si>
    <t>[1079.0, 1095.0, 1105.0, nan]</t>
  </si>
  <si>
    <t>[1827.0, 2204.0, 2394.0, 2649.0]</t>
  </si>
  <si>
    <t>[3161.0, 3038.0, 2926.0, nan]</t>
  </si>
  <si>
    <t>[519.0, 628.0, 767.0, nan]</t>
  </si>
  <si>
    <t>[820.0, 739.0, 648.0, nan]</t>
  </si>
  <si>
    <t>[3820.0, 4030.0, 4356.0, 4554.0]</t>
  </si>
  <si>
    <t>[1398.0, 1471.0, 1677.0, nan]</t>
  </si>
  <si>
    <t>[1042.0, 1894.0, 2096.0, nan]</t>
  </si>
  <si>
    <t>[1797.0, 2039.0, 2301.0, 2541.0]</t>
  </si>
  <si>
    <t>[2601.0, 2838.0, 2970.0, nan]</t>
  </si>
  <si>
    <t>[7284.0, 7566.0, 7676.0, nan]</t>
  </si>
  <si>
    <t>[1742.0, 1679.0, 1691.0, nan]</t>
  </si>
  <si>
    <t>[2846.0, 3442.0, 3444.0, nan]</t>
  </si>
  <si>
    <t>[722.0, 736.0, 753.0, nan]</t>
  </si>
  <si>
    <t>[567.0, 575.0, 576.0, nan]</t>
  </si>
  <si>
    <t>[689.0, 758.0, 883.0, nan]</t>
  </si>
  <si>
    <t>[1390.0, 670.0, 1145.0, nan]</t>
  </si>
  <si>
    <t>[212.0, 168.0, 143.0, nan]</t>
  </si>
  <si>
    <t>[849.0, 884.0, 868.0, nan]</t>
  </si>
  <si>
    <t>[1397.0, 1488.0, 1639.0, nan]</t>
  </si>
  <si>
    <t>[806.0, 704.0, 697.0, nan]</t>
  </si>
  <si>
    <t>[1766.0, 1819.0, 1943.0, 2000.0]</t>
  </si>
  <si>
    <t>[1598.0, 1801.0, 1831.0, nan]</t>
  </si>
  <si>
    <t>[1366.0, 1370.0, 1291.0, nan]</t>
  </si>
  <si>
    <t>[1989.0, 2088.0, 2569.0, nan]</t>
  </si>
  <si>
    <t>[725.0, 750.0, 750.0, nan]</t>
  </si>
  <si>
    <t>[6701.0, 7338.0, 7684.0, nan]</t>
  </si>
  <si>
    <t>[7015.0, 8452.0, 8273.0, nan]</t>
  </si>
  <si>
    <t>[3173.0, 3334.0, 3683.0, nan]</t>
  </si>
  <si>
    <t>[3168.0, 3308.0, 3264.0, nan]</t>
  </si>
  <si>
    <t>[2525.0, 2727.0, 2913.0, nan]</t>
  </si>
  <si>
    <t>[341.0, 686.0, 552.0, nan]</t>
  </si>
  <si>
    <t>[474.0, 522.0, 528.0, nan]</t>
  </si>
  <si>
    <t>[2392.0, 2587.0, 2666.0, nan]</t>
  </si>
  <si>
    <t>[723.0, 755.0, 946.0, nan]</t>
  </si>
  <si>
    <t>[472.0, 499.0, 841.0, nan]</t>
  </si>
  <si>
    <t>[1176.0, 1382.0, 1413.0, nan]</t>
  </si>
  <si>
    <t>[1283.0, 1234.0, 1097.0, nan]</t>
  </si>
  <si>
    <t>[779.0, 750.0, 806.0, nan]</t>
  </si>
  <si>
    <t>[1032.0, 1086.0, 1180.0, nan]</t>
  </si>
  <si>
    <t>[1802.0, 1939.0, 2023.0, nan]</t>
  </si>
  <si>
    <t>[1714.0, 1886.0, 1900.0, nan]</t>
  </si>
  <si>
    <t>[623.0, 721.0, 727.0, nan]</t>
  </si>
  <si>
    <t>[907.0, 872.0, 814.0, nan]</t>
  </si>
  <si>
    <t>[1615.0, 1717.0, 1938.0, nan]</t>
  </si>
  <si>
    <t>[681.0, 678.0, 736.0, nan]</t>
  </si>
  <si>
    <t>[1466.0, 1796.0, 2480.0, nan]</t>
  </si>
  <si>
    <t>[3700.0, 3759.0, 3826.0, nan]</t>
  </si>
  <si>
    <t>[727.0, 739.0, 748.0, nan]</t>
  </si>
  <si>
    <t>[1485.0, 1554.0, 1648.0, nan]</t>
  </si>
  <si>
    <t>[525.0, 509.0, 515.0, nan]</t>
  </si>
  <si>
    <t>[1912.0, 1929.0, 2163.0, nan]</t>
  </si>
  <si>
    <t>[1469.0, 1375.0, 1222.0, nan]</t>
  </si>
  <si>
    <t>[5948.0, 7033.0, 7711.0, nan]</t>
  </si>
  <si>
    <t>[755.0, 745.0, 735.0, nan]</t>
  </si>
  <si>
    <t>[1015.0, 1098.0, 1242.0, nan]</t>
  </si>
  <si>
    <t>[634.0, 551.0, 521.0, nan]</t>
  </si>
  <si>
    <t>[413.0, 512.0, 543.0, nan]</t>
  </si>
  <si>
    <t>[449.0, 840.0, 1001.0, nan]</t>
  </si>
  <si>
    <t>[519.0, 572.0, 523.0, nan]</t>
  </si>
  <si>
    <t>[1484.0, 1491.0, 1496.0, nan]</t>
  </si>
  <si>
    <t>[1225.0, 1629.0, 1724.0, nan]</t>
  </si>
  <si>
    <t>[952.0, 1029.0, 1006.0, nan]</t>
  </si>
  <si>
    <t>[456.0, 392.0, 755.0, nan]</t>
  </si>
  <si>
    <t>[390.0, 390.0, 389.0, nan]</t>
  </si>
  <si>
    <t>[487.0, 474.0, 456.0, nan]</t>
  </si>
  <si>
    <t>[10079.0, 10056.0, 13605.0, 13967.0]</t>
  </si>
  <si>
    <t>[752.0, 904.0, 880.0, nan]</t>
  </si>
  <si>
    <t>[9871.0, 10527.0, 9513.0, 9658.0]</t>
  </si>
  <si>
    <t>[1624.0, 1522.0, 1543.0, nan]</t>
  </si>
  <si>
    <t>[24741.0, 20115.0, 15625.0, 12525.0]</t>
  </si>
  <si>
    <t>[34275.0, 37396.0, 39791.0, 41504.0]</t>
  </si>
  <si>
    <t>[15937.0, 19169.0, 22226.0, 25479.0]</t>
  </si>
  <si>
    <t>[9856.0, 9167.0, 9142.0, 9728.0]</t>
  </si>
  <si>
    <t>[3280.0, 3354.0, 3415.0, 3453.0]</t>
  </si>
  <si>
    <t>[556.0, 628.0, 727.0, nan]</t>
  </si>
  <si>
    <t>[1502.0, 1596.0, 1727.0, nan]</t>
  </si>
  <si>
    <t>[13472.0, 16839.0, 17437.0, 18880.0]</t>
  </si>
  <si>
    <t>[1546.0, 1562.0, 1747.0, nan]</t>
  </si>
  <si>
    <t>[1293.0, 1355.0, 1341.0, nan]</t>
  </si>
  <si>
    <t>[803.0, 767.0, 806.0, nan]</t>
  </si>
  <si>
    <t>[930.0, 994.0, 1038.0, nan]</t>
  </si>
  <si>
    <t>[3410.0, 3397.0, 3540.0, nan]</t>
  </si>
  <si>
    <t>[1281.0, 1502.0, 1670.0, nan]</t>
  </si>
  <si>
    <t>[52329.0, 68532.0, 70809.0, 76585.0]</t>
  </si>
  <si>
    <t>[4941.0, 5425.0, 6020.0, nan]</t>
  </si>
  <si>
    <t>[6385.0, 6604.0, 6839.0, nan]</t>
  </si>
  <si>
    <t>[5473.0, 5633.0, 9658.0, nan]</t>
  </si>
  <si>
    <t>[126586.0, 117054.0, 106136.0, 101999.0]</t>
  </si>
  <si>
    <t>[11927.0, 13779.0, 14931.0, 16068.0]</t>
  </si>
  <si>
    <t>[11944.0, 11285.0, 11715.0, 14373.0]</t>
  </si>
  <si>
    <t>[8247.0, 11748.0, 12096.0, nan]</t>
  </si>
  <si>
    <t>[1313.0, 1309.0, 1305.0, nan]</t>
  </si>
  <si>
    <t>[3447.0, 3549.0, 3538.0, nan]</t>
  </si>
  <si>
    <t>[1768.0, 1871.0, 1935.0, nan]</t>
  </si>
  <si>
    <t>[395.0, 446.0, 509.0, nan]</t>
  </si>
  <si>
    <t>[2956.0, 2828.0, 2817.0, nan]</t>
  </si>
  <si>
    <t>[1017.0, 1058.0, 1172.0, nan]</t>
  </si>
  <si>
    <t>[2338.0, 2313.0, 2450.0, nan]</t>
  </si>
  <si>
    <t>[437329.0, 433713.0, 444719.0, 451167.0]</t>
  </si>
  <si>
    <t>[1562.0, 1748.0, 1939.0, 2010.0]</t>
  </si>
  <si>
    <t>[33523.0, 34294.0, 26357.0, 25413.0]</t>
  </si>
  <si>
    <t>[2506.0, 2610.0, 2833.0, nan]</t>
  </si>
  <si>
    <t>[981.0, 1063.0, 1109.0, nan]</t>
  </si>
  <si>
    <t>[48306.0, 50476.0, 53851.0, 58113.0]</t>
  </si>
  <si>
    <t>[600.0, 752.0, 815.0, nan]</t>
  </si>
  <si>
    <t>[3234.0, 3401.0, 3569.0, nan]</t>
  </si>
  <si>
    <t>[8523.0, 8349.0, 8218.0, nan]</t>
  </si>
  <si>
    <t>[1228.0, 1123.0, 1318.0, nan]</t>
  </si>
  <si>
    <t>[679.0, 713.0, 755.0, nan]</t>
  </si>
  <si>
    <t>[24163.0, 22666.0, 26012.0, nan]</t>
  </si>
  <si>
    <t>[847.0, 937.0, 1061.0, nan]</t>
  </si>
  <si>
    <t>[6229.0, 6381.0, 5194.0, nan]</t>
  </si>
  <si>
    <t>[5931.0, 6325.0, 6812.0, 7412.0]</t>
  </si>
  <si>
    <t>[654.0, 395.0, 637.0, nan]</t>
  </si>
  <si>
    <t>[9061.0, 9750.0, 10398.0, 12140.0]</t>
  </si>
  <si>
    <t>[27217.0, 31636.0, 31662.0, 32442.0]</t>
  </si>
  <si>
    <t>[61148.0, 71130.0, 66998.0, 66787.0]</t>
  </si>
  <si>
    <t>[13128.0, 12273.0, 12121.0, 12075.0]</t>
  </si>
  <si>
    <t>[114896.0, 127347.0, 132044.0, 133062.0]</t>
  </si>
  <si>
    <t>[7601.0, 7789.0, 8175.0, nan]</t>
  </si>
  <si>
    <t>[2433.0, 2472.0, 3411.0, nan]</t>
  </si>
  <si>
    <t>[2479.0, 2501.0, 2579.0, nan]</t>
  </si>
  <si>
    <t>[1848.0, 1857.0, 1894.0, nan]</t>
  </si>
  <si>
    <t>[1302.0, 1539.0, 1673.0, nan]</t>
  </si>
  <si>
    <t>[1250.0, 1369.0, 1416.0, nan]</t>
  </si>
  <si>
    <t>[2327.0, 2374.0, 2324.0, nan]</t>
  </si>
  <si>
    <t>[1005.0, 1049.0, 1070.0, nan]</t>
  </si>
  <si>
    <t>[4780.0, 4617.0, 4853.0, nan]</t>
  </si>
  <si>
    <t>[1125.0, 1123.0, 1125.0, nan]</t>
  </si>
  <si>
    <t>[5809.0, 6236.0, 6697.0, nan]</t>
  </si>
  <si>
    <t>[1443.0, 1432.0, 1432.0, nan]</t>
  </si>
  <si>
    <t>[2092.0, 2070.0, 2144.0, nan]</t>
  </si>
  <si>
    <t>[1621.0, 1748.0, 1794.0, nan]</t>
  </si>
  <si>
    <t>[1827.0, 1883.0, 1923.0, nan]</t>
  </si>
  <si>
    <t>[5288.0, 5451.0, 5711.0, 6067.0]</t>
  </si>
  <si>
    <t>[2123.0, 2226.0, 3176.0, nan]</t>
  </si>
  <si>
    <t>[1627.0, 1781.0, 1967.0, nan]</t>
  </si>
  <si>
    <t>[3823.0, 4176.0, 3996.0, nan]</t>
  </si>
  <si>
    <t>[2095.0, 2197.0, 2043.0, nan]</t>
  </si>
  <si>
    <t>[1487.0, 1557.0, 1676.0, nan]</t>
  </si>
  <si>
    <t>[552.0, 576.0, 596.0, nan]</t>
  </si>
  <si>
    <t>[965.0, 852.0, 778.0, nan]</t>
  </si>
  <si>
    <t>[20516.0, 20650.0, 23365.0, nan]</t>
  </si>
  <si>
    <t>[143735.0, 139792.0, 113405.0, 109680.0]</t>
  </si>
  <si>
    <t>[4346.0, 4350.0, 4664.0, 5071.0]</t>
  </si>
  <si>
    <t>[6654.0, 6825.0, 7075.0, 7634.0]</t>
  </si>
  <si>
    <t>[160026.0, 179987.0, 188270.0, 202320.0]</t>
  </si>
  <si>
    <t>[20258.0, 20619.0, 19219.0, nan]</t>
  </si>
  <si>
    <t>[10925.0, 11733.0, 12213.0, 12459.0]</t>
  </si>
  <si>
    <t>[1612.0, 1602.0, 1683.0, nan]</t>
  </si>
  <si>
    <t>[2301.0, 2304.0, 2323.0, nan]</t>
  </si>
  <si>
    <t>[20576.0, 24734.0, 27485.0, nan]</t>
  </si>
  <si>
    <t>[32129.0, 33734.0, 39195.0, 44740.0]</t>
  </si>
  <si>
    <t>[17732.0, 22765.0, 24324.0, 26480.0]</t>
  </si>
  <si>
    <t>[1541.0, 1563.0, 1586.0, nan]</t>
  </si>
  <si>
    <t>[4844.0, 5196.0, 5717.0, nan]</t>
  </si>
  <si>
    <t>[3957.0, 4030.0, 4079.0, nan]</t>
  </si>
  <si>
    <t>[118188.0, 132027.0, 136668.0, 141403.0]</t>
  </si>
  <si>
    <t>[5631.0, 6168.0, 6138.0, 5950.0]</t>
  </si>
  <si>
    <t>[4105.0, 4491.0, 4381.0, nan]</t>
  </si>
  <si>
    <t>[5358.0, 5064.0, 5149.0, nan]</t>
  </si>
  <si>
    <t>[2274.0, 2494.0, 2788.0, nan]</t>
  </si>
  <si>
    <t>[1018.0, 1100.0, 1113.0, nan]</t>
  </si>
  <si>
    <t>[6127.0, 6058.0, 6315.0, nan]</t>
  </si>
  <si>
    <t>[656.0, 551.0, 695.0, nan]</t>
  </si>
  <si>
    <t>[73567.0, 83136.0, 91278.0, 96983.0]</t>
  </si>
  <si>
    <t>[6045.0, 6075.0, 6171.0, nan]</t>
  </si>
  <si>
    <t>[5997.0, 6586.0, 7662.0, nan]</t>
  </si>
  <si>
    <t>[225568.0, 199466.0, 240961.0, 244117.0]</t>
  </si>
  <si>
    <t>[18284.0, 18851.0, 19279.0, 20387.0]</t>
  </si>
  <si>
    <t>[9171.0, 9592.0, 10302.0, nan]</t>
  </si>
  <si>
    <t>[13355.0, 14248.0, 15543.0, 15779.0]</t>
  </si>
  <si>
    <t>[995.0, 1079.0, 1123.0, 1189.0]</t>
  </si>
  <si>
    <t>[532.0, 602.0, 1243.0, nan]</t>
  </si>
  <si>
    <t>[2990.0, 3078.0, 3224.0, nan]</t>
  </si>
  <si>
    <t>[4849.0, 5174.0, 5266.0, nan]</t>
  </si>
  <si>
    <t>[2589.0, 2592.0, 2567.0, nan]</t>
  </si>
  <si>
    <t>[3812.0, 3653.0, 3653.0, 3680.0]</t>
  </si>
  <si>
    <t>[385.0, 427.0, 378.0, nan]</t>
  </si>
  <si>
    <t>[947.0, 865.0, 940.0, nan]</t>
  </si>
  <si>
    <t>[8620.0, 8946.0, 9207.0, nan]</t>
  </si>
  <si>
    <t>[946.0, 1089.0, 1219.0, nan]</t>
  </si>
  <si>
    <t>[1208.0, 1267.0, 1233.0, nan]</t>
  </si>
  <si>
    <t>[10570.0, 11999.0, 13362.0, nan]</t>
  </si>
  <si>
    <t>[6706.0, 6127.0, 6090.0, 5473.0]</t>
  </si>
  <si>
    <t>[3389.0, 2990.0, 2747.0, nan]</t>
  </si>
  <si>
    <t>[1165.0, 1172.0, 1180.0, nan]</t>
  </si>
  <si>
    <t>[1006.0, 1119.0, 1165.0, nan]</t>
  </si>
  <si>
    <t>[5201.0, 9839.0, 10397.0, nan]</t>
  </si>
  <si>
    <t>[nan, 6508.0, 6535.0, nan]</t>
  </si>
  <si>
    <t>[2133.0, 2119.0, 2140.0, nan]</t>
  </si>
  <si>
    <t>[1220.0, 1303.0, 1391.0, nan]</t>
  </si>
  <si>
    <t>[8950.0, 8888.0, 9122.0, nan]</t>
  </si>
  <si>
    <t>[518.0, 526.0, 525.0, nan]</t>
  </si>
  <si>
    <t>[196974.0, 209829.0, 226618.0, 245711.0]</t>
  </si>
  <si>
    <t>[268612.0, 272435.0, 289781.0, 299615.0]</t>
  </si>
  <si>
    <t>[2061.0, 2225.0, 2205.0, nan]</t>
  </si>
  <si>
    <t>[5794.0, 6207.0, 6612.0, nan]</t>
  </si>
  <si>
    <t>[8158.0, 8814.0, 9609.0, nan]</t>
  </si>
  <si>
    <t>[573.0, 624.0, 674.0, nan]</t>
  </si>
  <si>
    <t>[4582.0, 4886.0, 5166.0, nan]</t>
  </si>
  <si>
    <t>[2380.0, 3054.0, 3274.0, nan]</t>
  </si>
  <si>
    <t>[887.0, 1049.0, 1105.0, nan]</t>
  </si>
  <si>
    <t>[13656.0, 13640.0, 13766.0, nan]</t>
  </si>
  <si>
    <t>[1824.0, 1874.0, 1845.0, nan]</t>
  </si>
  <si>
    <t>[3380.0, 3914.0, 4534.0, nan]</t>
  </si>
  <si>
    <t>[1484.0, 1599.0, 1682.0, nan]</t>
  </si>
  <si>
    <t>[561.0, 546.0, 545.0, nan]</t>
  </si>
  <si>
    <t>[2725.0, 2848.0, 2717.0, nan]</t>
  </si>
  <si>
    <t>[936.0, 985.0, 1035.0, nan]</t>
  </si>
  <si>
    <t>[904.0, 922.0, 934.0, nan]</t>
  </si>
  <si>
    <t>[6992.0, 7088.0, 7416.0, nan]</t>
  </si>
  <si>
    <t>[3927.0, 3563.0, 3765.0, 4199.0]</t>
  </si>
  <si>
    <t>[3529.0, 3994.0, 4067.0, nan]</t>
  </si>
  <si>
    <t>[735.0, 765.0, 809.0, nan]</t>
  </si>
  <si>
    <t>[2938.0, 3201.0, 3392.0, nan]</t>
  </si>
  <si>
    <t>[2243.0, 2336.0, 2372.0, nan]</t>
  </si>
  <si>
    <t>[1596.0, 1608.0, 1602.0, nan]</t>
  </si>
  <si>
    <t>[50643.0, 53900.0, 59373.0, 66725.0]</t>
  </si>
  <si>
    <t>[1106.0, 1064.0, 914.0, nan]</t>
  </si>
  <si>
    <t>[1231.0, 969.0, 1106.0, nan]</t>
  </si>
  <si>
    <t>[1610.0, 1835.0, 1844.0, nan]</t>
  </si>
  <si>
    <t>[14732.0, 17011.0, 17786.0, 18916.0]</t>
  </si>
  <si>
    <t>[1604.0, 1577.0, 1657.0, nan]</t>
  </si>
  <si>
    <t>[4602.0, 4351.0, 4600.0, 5460.0]</t>
  </si>
  <si>
    <t>[4513.0, 4515.0, 4642.0, nan]</t>
  </si>
  <si>
    <t>[7104.0, 7490.0, 7598.0, nan]</t>
  </si>
  <si>
    <t>[2531.0, 2941.0, 3279.0, nan]</t>
  </si>
  <si>
    <t>[2408.0, 4350.0, 4412.0, nan]</t>
  </si>
  <si>
    <t>[6488.0, 7496.0, 8291.0, 8620.0]</t>
  </si>
  <si>
    <t>[4688.0, 4985.0, 5334.0, nan]</t>
  </si>
  <si>
    <t>[1730.0, 1856.0, 1992.0, nan]</t>
  </si>
  <si>
    <t>[2631.0, 3138.0, 3672.0, nan]</t>
  </si>
  <si>
    <t>[2181.0, 2408.0, 2779.0, nan]</t>
  </si>
  <si>
    <t>[1241.0, 1271.0, 1301.0, nan]</t>
  </si>
  <si>
    <t>[835.0, 878.0, 890.0, nan]</t>
  </si>
  <si>
    <t>[1928.0, 1969.0, 2049.0, nan]</t>
  </si>
  <si>
    <t>[22540.0, 19257.0, 18497.0, 19037.0]</t>
  </si>
  <si>
    <t>[6932.0, 7065.0, 5823.0, nan]</t>
  </si>
  <si>
    <t>[5554.0, 5600.0, 5804.0, 5193.0]</t>
  </si>
  <si>
    <t>[1293.0, 1325.0, 1366.0, nan]</t>
  </si>
  <si>
    <t>[3041.0, 3619.0, 4203.0, 4666.0]</t>
  </si>
  <si>
    <t>[761.0, 872.0, 1028.0, nan]</t>
  </si>
  <si>
    <t>[724.0, 748.0, 794.0, nan]</t>
  </si>
  <si>
    <t>[8710.0, 9151.0, 10048.0, 11226.0]</t>
  </si>
  <si>
    <t>[1451.0, 1463.0, 1503.0, nan]</t>
  </si>
  <si>
    <t>[5088.0, 5227.0, 5830.0, nan]</t>
  </si>
  <si>
    <t>[1477.0, 1834.0, 1077.0, nan]</t>
  </si>
  <si>
    <t>[4303.0, 4762.0, 4125.0, nan]</t>
  </si>
  <si>
    <t>[993.0, 2212.0, 2375.0, nan]</t>
  </si>
  <si>
    <t>[3002.0, 3020.0, 3065.0, nan]</t>
  </si>
  <si>
    <t>[1132.0, 1253.0, 1118.0, nan]</t>
  </si>
  <si>
    <t>[2009.0, 2557.0, 2831.0, nan]</t>
  </si>
  <si>
    <t>[18677.0, 19692.0, 19845.0, nan]</t>
  </si>
  <si>
    <t>[178421.0, 224708.0, 229568.0, 237811.0]</t>
  </si>
  <si>
    <t>[4370.0, 5415.0, 5701.0, nan]</t>
  </si>
  <si>
    <t>[180858.0, 181226.0, 174681.0, 150641.0]</t>
  </si>
  <si>
    <t>[22426.0, 22819.0, 24587.0, 27128.0]</t>
  </si>
  <si>
    <t>[551.0, 469.0, 606.0, nan]</t>
  </si>
  <si>
    <t>[10936.0, 14495.0, 16827.0, nan]</t>
  </si>
  <si>
    <t>[23702.0, 23366.0, 21634.0, 21655.0]</t>
  </si>
  <si>
    <t>[33934.0, 38402.0, 37549.0, 40448.0]</t>
  </si>
  <si>
    <t>[14973.0, 15662.0, 16608.0, 18902.0]</t>
  </si>
  <si>
    <t>[4572.0, 4655.0, 4801.0, nan]</t>
  </si>
  <si>
    <t>[488.0, 388.0, 403.0, nan]</t>
  </si>
  <si>
    <t>[136601.0, 166275.0, 166858.0, 167599.0]</t>
  </si>
  <si>
    <t>[778.0, 575.0, 568.0, nan]</t>
  </si>
  <si>
    <t>[2069.0, 2125.0, 2171.0, nan]</t>
  </si>
  <si>
    <t>[881.0, 901.0, 977.0, nan]</t>
  </si>
  <si>
    <t>[11743.0, 12381.0, 11407.0, nan]</t>
  </si>
  <si>
    <t>[321.0, 340.0, 342.0, nan]</t>
  </si>
  <si>
    <t>[34218.0, 34691.0, 39265.0, 35727.0]</t>
  </si>
  <si>
    <t>[1834.0, 1803.0, 1846.0, nan]</t>
  </si>
  <si>
    <t>[1544.0, 1487.0, 1620.0, nan]</t>
  </si>
  <si>
    <t>[28034.0, 19217.0, 21585.0, nan]</t>
  </si>
  <si>
    <t>[3227.0, 3165.0, 3196.0, nan]</t>
  </si>
  <si>
    <t>[2631.0, 2544.0, 2188.0, nan]</t>
  </si>
  <si>
    <t>[1968.0, 2076.0, 1686.0, 1686.0]</t>
  </si>
  <si>
    <t>[2855.0, 2765.0, 2788.0, nan]</t>
  </si>
  <si>
    <t>[2145.0, 2112.0, 2243.0, nan]</t>
  </si>
  <si>
    <t>[181.0, 316.0, 393.0, nan]</t>
  </si>
  <si>
    <t>[618.0, 821.0, 1444.0, nan]</t>
  </si>
  <si>
    <t>[39052.0, 43369.0, 46170.0, 49653.0]</t>
  </si>
  <si>
    <t>[1614.0, 1537.0, 1466.0, nan]</t>
  </si>
  <si>
    <t>[3737.0, 3868.0, 4003.0, nan]</t>
  </si>
  <si>
    <t>[2798.0, 2823.0, 2835.0, nan]</t>
  </si>
  <si>
    <t>[nan, 18444.0, 22317.0, 26859.0]</t>
  </si>
  <si>
    <t>[856.0, 755.0, 643.0, nan]</t>
  </si>
  <si>
    <t>[1950.0, 2047.0, 2099.0, nan]</t>
  </si>
  <si>
    <t>[3019.0, 2040.0, 1659.0, nan]</t>
  </si>
  <si>
    <t>[5017.0, 4892.0, 5252.0, nan]</t>
  </si>
  <si>
    <t>[4708.0, 4805.0, 4844.0, 4728.0]</t>
  </si>
  <si>
    <t>[5065.0, 5431.0, 5765.0, 5829.0]</t>
  </si>
  <si>
    <t>[77302.0, 84904.0, 88778.0, 86592.0]</t>
  </si>
  <si>
    <t>[39298.0, 40587.0, 45096.0, 46990.0]</t>
  </si>
  <si>
    <t>[1301.0, 1361.0, 1419.0, nan]</t>
  </si>
  <si>
    <t>[900.0, 837.0, 863.0, nan]</t>
  </si>
  <si>
    <t>[104.0, 6.0, 310.0, nan]</t>
  </si>
  <si>
    <t>[439.0, 471.0, 768.0, nan]</t>
  </si>
  <si>
    <t>[1663.0, 1678.0, 1701.0, nan]</t>
  </si>
  <si>
    <t>[888.0, 932.0, 826.0, nan]</t>
  </si>
  <si>
    <t>[70576.0, 76270.0, 82837.0, 87237.0]</t>
  </si>
  <si>
    <t>[6800.0, 7364.0, 7771.0, nan]</t>
  </si>
  <si>
    <t>[31673.0, 35485.0, 39747.0, 42753.0]</t>
  </si>
  <si>
    <t>[3674.0, 3826.0, 3591.0, nan]</t>
  </si>
  <si>
    <t>[3411.0, 3622.0, 3785.0, nan]</t>
  </si>
  <si>
    <t>[5070.0, 4789.0, 4224.0, nan]</t>
  </si>
  <si>
    <t>[6669.0, 6545.0, 6111.0, nan]</t>
  </si>
  <si>
    <t>[6925.0, 7792.0, 7982.0, nan]</t>
  </si>
  <si>
    <t>[1415.0, 1500.0, 1615.0, nan]</t>
  </si>
  <si>
    <t>[2196.0, 2224.0, 2130.0, nan]</t>
  </si>
  <si>
    <t>[9124.0, 9436.0, 9640.0, nan]</t>
  </si>
  <si>
    <t>[5778.0, 6613.0, 6991.0, 7440.0]</t>
  </si>
  <si>
    <t>[1387.0, 986.0, 1525.0, nan]</t>
  </si>
  <si>
    <t>[2918.0, 2809.0, 2809.0, nan]</t>
  </si>
  <si>
    <t>[3809.0, 4119.0, 4316.0, nan]</t>
  </si>
  <si>
    <t>[600.0, 609.0, 608.0, nan]</t>
  </si>
  <si>
    <t>[2312.0, 2476.0, 2654.0, nan]</t>
  </si>
  <si>
    <t>[4607.0, 5335.0, 5849.0, nan]</t>
  </si>
  <si>
    <t>[3994.0, 4074.0, 4343.0, nan]</t>
  </si>
  <si>
    <t>[1342.0, 1389.0, 1451.0, nan]</t>
  </si>
  <si>
    <t>[46280.0, 50978.0, 59490.0, 64900.0]</t>
  </si>
  <si>
    <t>[1645.0, 1797.0, 1906.0, nan]</t>
  </si>
  <si>
    <t>[12396.0, 12577.0, 12843.0, 12908.0]</t>
  </si>
  <si>
    <t>[3090.0, 3338.0, 3607.0, nan]</t>
  </si>
  <si>
    <t>[304.0, 339.0, 367.0, nan]</t>
  </si>
  <si>
    <t>[13735.0, 14116.0, 14196.0, nan]</t>
  </si>
  <si>
    <t>[4323.0, 3799.0, 3984.0, nan]</t>
  </si>
  <si>
    <t>[24295.0, 31317.0, 34699.0, 37399.0]</t>
  </si>
  <si>
    <t>[2458.0, 2654.0, 2862.0, nan]</t>
  </si>
  <si>
    <t>[4796.0, 5098.0, 5180.0, nan]</t>
  </si>
  <si>
    <t>[553.0, 617.0, 675.0, nan]</t>
  </si>
  <si>
    <t>[1693.0, 1836.0, 2020.0, nan]</t>
  </si>
  <si>
    <t>[3785.0, 3795.0, 3661.0, nan]</t>
  </si>
  <si>
    <t>[4854.0, 4806.0, 4917.0, nan]</t>
  </si>
  <si>
    <t>[683.0, 672.0, 669.0, nan]</t>
  </si>
  <si>
    <t>[1650.0, 1497.0, 1531.0, nan]</t>
  </si>
  <si>
    <t>[3151.0, 3169.0, 3151.0, 3107.0]</t>
  </si>
  <si>
    <t>[1391.0, 1376.0, 2110.0, nan]</t>
  </si>
  <si>
    <t>[18678.0, 19386.0, 19656.0, nan]</t>
  </si>
  <si>
    <t>[44096.0, 46621.0, 49493.0, 52684.0]</t>
  </si>
  <si>
    <t>[8558.0, 8716.0, 8706.0, nan]</t>
  </si>
  <si>
    <t>[11189.0, 11524.0, 11390.0, nan]</t>
  </si>
  <si>
    <t>[340387.0, 357039.0, 385339.0, 414637.0]</t>
  </si>
  <si>
    <t>[2162.0, 2187.0, 2258.0, nan]</t>
  </si>
  <si>
    <t>[3048.0, 3083.0, 3094.0, nan]</t>
  </si>
  <si>
    <t>[4228.0, 4073.0, 4154.0, nan]</t>
  </si>
  <si>
    <t>[3898.0, 4346.0, 4479.0, nan]</t>
  </si>
  <si>
    <t>[58552.0, 57300.0, 44519.0, 44381.0]</t>
  </si>
  <si>
    <t>[293589.0, 289021.0, 356670.0, 369922.0]</t>
  </si>
  <si>
    <t>[3779.0, 3584.0, 3734.0, nan]</t>
  </si>
  <si>
    <t>[7032.0, 7524.0, 8140.0, 8520.0]</t>
  </si>
  <si>
    <t>[6096.0, 6577.0, 6997.0, nan]</t>
  </si>
  <si>
    <t>[2753.0, 3644.0, 4184.0, nan]</t>
  </si>
  <si>
    <t>[7082.0, 14991.0, 15026.0, 15180.0]</t>
  </si>
  <si>
    <t>[119912.0, 123465.0, 142999.0, 148795.0]</t>
  </si>
  <si>
    <t>[7746.0, 8136.0, 8164.0, nan]</t>
  </si>
  <si>
    <t>[8897.0, 9820.0, 10542.0, nan]</t>
  </si>
  <si>
    <t>[2716.0, 2928.0, 3287.0, nan]</t>
  </si>
  <si>
    <t>[787.0, 839.0, 880.0, nan]</t>
  </si>
  <si>
    <t>[18363.0, 18596.0, 18473.0, 18583.0]</t>
  </si>
  <si>
    <t>[10825.0, 10947.0, 11094.0, nan]</t>
  </si>
  <si>
    <t>[1395.0, 1460.0, 1538.0, nan]</t>
  </si>
  <si>
    <t>[3383.0, 3444.0, 3542.0, nan]</t>
  </si>
  <si>
    <t>[1597.0, 1956.0, 1976.0, nan]</t>
  </si>
  <si>
    <t>[nan, 5535.0, 5712.0, nan]</t>
  </si>
  <si>
    <t>[328202.0, 357256.0, 391779.0, 440529.0]</t>
  </si>
  <si>
    <t>[516.0, 517.0, 533.0, nan]</t>
  </si>
  <si>
    <t>[1391.0, 1244.0, 900.0, nan]</t>
  </si>
  <si>
    <t>[69229.0, 67713.0, 68964.0, 55107.0]</t>
  </si>
  <si>
    <t>[3116.0, 3154.0, 3172.0, nan]</t>
  </si>
  <si>
    <t>[868.0, 854.0, 861.0, nan]</t>
  </si>
  <si>
    <t>[12370.0, 9413.0, 9649.0, nan]</t>
  </si>
  <si>
    <t>[740.0, 810.0, 993.0, nan]</t>
  </si>
  <si>
    <t>[428.0, 614.0, 1452.0, 1582.0]</t>
  </si>
  <si>
    <t>[443.0, 525.0, 693.0, nan]</t>
  </si>
  <si>
    <t>[1960.0, 2191.0, 2485.0, 2675.0]</t>
  </si>
  <si>
    <t>[89.0, 183.0, 303.0, nan]</t>
  </si>
  <si>
    <t>[591.0, 596.0, 709.0, nan]</t>
  </si>
  <si>
    <t>[2875.0, 3470.0, 4036.0, 4551.0]</t>
  </si>
  <si>
    <t>[357.0, 361.0, 393.0, nan]</t>
  </si>
  <si>
    <t>[126.0, 385.0, 458.0, nan]</t>
  </si>
  <si>
    <t>[266.0, 441.0, 443.0, nan]</t>
  </si>
  <si>
    <t>[876.0, 3034.0, 3321.0, 2794.0]</t>
  </si>
  <si>
    <t>[33749.0, 47828.0, 48809.0, 57052.0]</t>
  </si>
  <si>
    <t>[242.0, 307.0, 482.0, nan]</t>
  </si>
  <si>
    <t>[1663.0, 1923.0, 1992.0, nan]</t>
  </si>
  <si>
    <t>[2196.0, 2597.0, 3409.0, 3544.0]</t>
  </si>
  <si>
    <t>[639.0, 716.0, 830.0, nan]</t>
  </si>
  <si>
    <t>[735.0, 832.0, 967.0, nan]</t>
  </si>
  <si>
    <t>[182.0, 190.0, 266.0, nan]</t>
  </si>
  <si>
    <t>[nan, 3672.0, 4547.0, 4568.0]</t>
  </si>
  <si>
    <t>[3226.0, 3676.0, 4578.0, nan]</t>
  </si>
  <si>
    <t>[18427.0, 23473.0, 26286.0, 30864.0]</t>
  </si>
  <si>
    <t>[866.0, 949.0, 1077.0, nan]</t>
  </si>
  <si>
    <t>[9051.0, 9841.0, 10634.0, 11076.0]</t>
  </si>
  <si>
    <t>[833.0, 898.0, 1021.0, nan]</t>
  </si>
  <si>
    <t>[338153.0, 468457.0, 479284.0, 509327.0]</t>
  </si>
  <si>
    <t>[77721.0, 80793.0, 86506.0, 90820.0]</t>
  </si>
  <si>
    <t>[1457.0, 1655.0, 2068.0, nan]</t>
  </si>
  <si>
    <t>[59603.0, 62500.0, 67154.0, 70977.0]</t>
  </si>
  <si>
    <t>[859.0, 1513.0, 1670.0, nan]</t>
  </si>
  <si>
    <t>[2214.0, 2613.0, 2945.0, 3561.0]</t>
  </si>
  <si>
    <t>[713.0, 754.0, 858.0, nan]</t>
  </si>
  <si>
    <t>[1151.0, 1317.0, 1570.0, nan]</t>
  </si>
  <si>
    <t>[7773.0, 7849.0, 8754.0, 9490.0]</t>
  </si>
  <si>
    <t>[50.0, 71.0, 268.0, nan]</t>
  </si>
  <si>
    <t>[12.0, 295.0, 441.0, nan]</t>
  </si>
  <si>
    <t>[1795.0, 2049.0, 2923.0, 4419.0]</t>
  </si>
  <si>
    <t>[476.0, 593.0, 1057.0, 1181.0]</t>
  </si>
  <si>
    <t>[1262.0, 1408.0, 1614.0, 1780.0]</t>
  </si>
  <si>
    <t>[972.0, 1086.0, 1364.0, nan]</t>
  </si>
  <si>
    <t>[4046.0, 5183.0, 6472.0, 7618.0]</t>
  </si>
  <si>
    <t>[243.0, 413.0, 467.0, nan]</t>
  </si>
  <si>
    <t>[936.0, 1017.0, 1265.0, nan]</t>
  </si>
  <si>
    <t>[221.0, 284.0, 377.0, nan]</t>
  </si>
  <si>
    <t>[809.0, 2054.0, 2203.0, nan]</t>
  </si>
  <si>
    <t>[512.0, 615.0, 745.0, nan]</t>
  </si>
  <si>
    <t>[1223.0, 1319.0, 1468.0, nan]</t>
  </si>
  <si>
    <t>[980.0, 1297.0, 2246.0, 2714.0]</t>
  </si>
  <si>
    <t>[403.0, 551.0, 1106.0, nan]</t>
  </si>
  <si>
    <t>[2848.0, 3152.0, 3673.0, nan]</t>
  </si>
  <si>
    <t>[975.0, 1187.0, 1527.0, nan]</t>
  </si>
  <si>
    <t>[91.0, 232.0, 247.0, nan]</t>
  </si>
  <si>
    <t>[561.0, 705.0, 519.0, nan]</t>
  </si>
  <si>
    <t>[155.0, 214.0, 412.0, 517.0]</t>
  </si>
  <si>
    <t>[535.0, 489.0, 686.0, nan]</t>
  </si>
  <si>
    <t>[87.0, 42.0, 181.0, nan]</t>
  </si>
  <si>
    <t>[140.0, 377.0, 383.0, nan]</t>
  </si>
  <si>
    <t>[112.0, 201.0, 387.0, nan]</t>
  </si>
  <si>
    <t>[613.0, 770.0, 817.0, nan]</t>
  </si>
  <si>
    <t>[401.0, 512.0, 646.0, nan]</t>
  </si>
  <si>
    <t>[70.0, 106.0, 694.0, 835.0]</t>
  </si>
  <si>
    <t>[902.0, 1056.0, 1036.0, nan]</t>
  </si>
  <si>
    <t>[2359.0, 2810.0, 3075.0, 3356.0]</t>
  </si>
  <si>
    <t>[10647.0, 10667.0, 10983.0, 11688.0]</t>
  </si>
  <si>
    <t>[1399.0, 2423.0, 2491.0, nan]</t>
  </si>
  <si>
    <t>[2072134.0, 2400690.0, 2549155.0, 2743787.0]</t>
  </si>
  <si>
    <t>[143.0, 284.0, 583.0, 686.0]</t>
  </si>
  <si>
    <t>[317.0, 474.0, 531.0, nan]</t>
  </si>
  <si>
    <t>[1812.0, 2100.0, 2239.0, nan]</t>
  </si>
  <si>
    <t>[186.0, 268.0, 379.0, nan]</t>
  </si>
  <si>
    <t>[1528.0, 1879.0, 2795.0, 3499.0]</t>
  </si>
  <si>
    <t>[1619.0, 1941.0, 2069.0, 2291.0]</t>
  </si>
  <si>
    <t>[243.0, 450.0, 596.0, 727.0]</t>
  </si>
  <si>
    <t>[1341.0, 1314.0, 1471.0, 1915.0]</t>
  </si>
  <si>
    <t>[533.0, 711.0, 897.0, nan]</t>
  </si>
  <si>
    <t>[432.0, 501.0, 700.0, nan]</t>
  </si>
  <si>
    <t>[869.0, 809.0, 1359.0, nan]</t>
  </si>
  <si>
    <t>[282.0, 382.0, 1451.0, nan]</t>
  </si>
  <si>
    <t>[1253.0, 1467.0, 1806.0, 2090.0]</t>
  </si>
  <si>
    <t>[7990.0, 9917.0, 12497.0, 14379.0]</t>
  </si>
  <si>
    <t>[1786.0, 2132.0, 2468.0, 2629.0]</t>
  </si>
  <si>
    <t>[-11.0, 20.0, 99.0, nan]</t>
  </si>
  <si>
    <t>[678.0, 801.0, 882.0, nan]</t>
  </si>
  <si>
    <t>[332.0, 372.0, 470.0, nan]</t>
  </si>
  <si>
    <t>[395.0, 434.0, 549.0, nan]</t>
  </si>
  <si>
    <t>[1178.0, 3091.0, 3385.0, 3393.0]</t>
  </si>
  <si>
    <t>[1665.0, 2085.0, 2439.0, 2855.0]</t>
  </si>
  <si>
    <t>[855.0, 1197.0, 1454.0, nan]</t>
  </si>
  <si>
    <t>[470.0, 502.0, 541.0, nan]</t>
  </si>
  <si>
    <t>[599.0, 623.0, 748.0, nan]</t>
  </si>
  <si>
    <t>[648.0, 805.0, 1055.0, nan]</t>
  </si>
  <si>
    <t>[1030.0, 1206.0, 1397.0, 1519.0]</t>
  </si>
  <si>
    <t>[2960.0, 3941.0, 4830.0, 5444.0]</t>
  </si>
  <si>
    <t>[492.0, 609.0, 683.0, nan]</t>
  </si>
  <si>
    <t>[891.0, 1084.0, 1287.0, nan]</t>
  </si>
  <si>
    <t>[681.0, 1264.0, 1528.0, 1740.0]</t>
  </si>
  <si>
    <t>[927.0, 1403.0, 1594.0, 1640.0]</t>
  </si>
  <si>
    <t>[337.0, 489.0, 745.0, nan]</t>
  </si>
  <si>
    <t>[120.0, 159.0, 312.0, nan]</t>
  </si>
  <si>
    <t>[1196.0, 1321.0, 1415.0, 1591.0]</t>
  </si>
  <si>
    <t>[1065.0, 1244.0, 1397.0, 1480.0]</t>
  </si>
  <si>
    <t>[531.0, 630.0, 812.0, nan]</t>
  </si>
  <si>
    <t>[5809.0, 6474.0, 6528.0, 6879.0]</t>
  </si>
  <si>
    <t>[4558.0, 5584.0, 6447.0, 8167.0]</t>
  </si>
  <si>
    <t>[971.0, 1170.0, 1240.0, 1370.0]</t>
  </si>
  <si>
    <t>[128.0, 215.0, 727.0, nan]</t>
  </si>
  <si>
    <t>[1024.0, 1213.0, 1315.0, 1470.0]</t>
  </si>
  <si>
    <t>[260.0, 317.0, 667.0, nan]</t>
  </si>
  <si>
    <t>[1674.0, 1845.0, 2022.0, nan]</t>
  </si>
  <si>
    <t>[497.0, 880.0, 1382.0, 1392.0]</t>
  </si>
  <si>
    <t>[68.0, 480.0, 507.0, 568.0]</t>
  </si>
  <si>
    <t>[1884.0, 2051.0, 2428.0, 2155.0]</t>
  </si>
  <si>
    <t>[246.0, 308.0, 474.0, nan]</t>
  </si>
  <si>
    <t>[841.0, 952.0, 1097.0, nan]</t>
  </si>
  <si>
    <t>[490.0, 556.0, 651.0, nan]</t>
  </si>
  <si>
    <t>[39893.0, 42602.0, 46703.0, 50752.0]</t>
  </si>
  <si>
    <t>[253.0, 232.0, 512.0, nan]</t>
  </si>
  <si>
    <t>[15246.0, 20415.0, 22340.0, 26954.0]</t>
  </si>
  <si>
    <t>[144.0, 210.0, 271.0, nan]</t>
  </si>
  <si>
    <t>[191.0, 269.0, 554.0, nan]</t>
  </si>
  <si>
    <t>[26.0, 96.0, 159.0, nan]</t>
  </si>
  <si>
    <t>[1227.0, 1633.0, 1945.0, 2323.0]</t>
  </si>
  <si>
    <t>[383.0, 424.0, 441.0, nan]</t>
  </si>
  <si>
    <t>[3280.0, 3347.0, 3341.0, nan]</t>
  </si>
  <si>
    <t>[792.0, 1057.0, 1126.0, nan]</t>
  </si>
  <si>
    <t>[26.0, 161.0, 754.0, 1117.0]</t>
  </si>
  <si>
    <t>[nan, nan, 81.0, nan]</t>
  </si>
  <si>
    <t>[551.0, 556.0, 569.0, nan]</t>
  </si>
  <si>
    <t>[199.0, 615.0, 713.0, nan]</t>
  </si>
  <si>
    <t>[24.0, 70.0, 165.0, nan]</t>
  </si>
  <si>
    <t>[nan, nan, 90.0, nan]</t>
  </si>
  <si>
    <t>[499.0, 495.0, 378.0, nan]</t>
  </si>
  <si>
    <t>[1431.0, 1424.0, 1395.0, nan]</t>
  </si>
  <si>
    <t>[116.0, 127.0, 314.0, nan]</t>
  </si>
  <si>
    <t>[346.0, 543.0, 497.0, nan]</t>
  </si>
  <si>
    <t>[492.0, 539.0, 620.0, 614.0]</t>
  </si>
  <si>
    <t>[569.0, 720.0, 816.0, 1110.0]</t>
  </si>
  <si>
    <t>[763.0, 1324.0, 1743.0, nan]</t>
  </si>
  <si>
    <t>[466.0, 561.0, 684.0, nan]</t>
  </si>
  <si>
    <t>[598.0, 678.0, 685.0, nan]</t>
  </si>
  <si>
    <t>[3443.0, 4242.0, 4442.0, 4430.0]</t>
  </si>
  <si>
    <t>[698.0, 704.0, 770.0, nan]</t>
  </si>
  <si>
    <t>[1300.0, 880.0, 934.0, nan]</t>
  </si>
  <si>
    <t>[1313.0, 1559.0, 1676.0, nan]</t>
  </si>
  <si>
    <t>[-41.0, 336.0, 464.0, nan]</t>
  </si>
  <si>
    <t>[482.0, 1008.0, 2664.0, 3045.0]</t>
  </si>
  <si>
    <t>[732.0, 673.0, 667.0, nan]</t>
  </si>
  <si>
    <t>[376.0, 331.0, 336.0, nan]</t>
  </si>
  <si>
    <t>[588.0, 654.0, 755.0, nan]</t>
  </si>
  <si>
    <t>[506.0, 534.0, 719.0, nan]</t>
  </si>
  <si>
    <t>[354.0, 325.0, 305.0, nan]</t>
  </si>
  <si>
    <t>[2.0, -97.0, 51.0, nan]</t>
  </si>
  <si>
    <t>[323.0, 343.0, 292.0, nan]</t>
  </si>
  <si>
    <t>[1040.0, 1304.0, 1013.0, nan]</t>
  </si>
  <si>
    <t>[987.0, 1088.0, 1139.0, 1190.0]</t>
  </si>
  <si>
    <t>[142.0, 162.0, 198.0, nan]</t>
  </si>
  <si>
    <t>[261.0, 374.0, 501.0, nan]</t>
  </si>
  <si>
    <t>[347.0, 331.0, 323.0, nan]</t>
  </si>
  <si>
    <t>[540.0, 561.0, 610.0, nan]</t>
  </si>
  <si>
    <t>[646.0, 620.0, 618.0, nan]</t>
  </si>
  <si>
    <t>[592.0, 596.0, 603.0, nan]</t>
  </si>
  <si>
    <t>[141.0, 181.0, 335.0, nan]</t>
  </si>
  <si>
    <t>[589.0, 619.0, 832.0, nan]</t>
  </si>
  <si>
    <t>[175.0, 847.0, 975.0, nan]</t>
  </si>
  <si>
    <t>[332.0, 300.0, 287.0, nan]</t>
  </si>
  <si>
    <t>[183.0, 206.0, 267.0, nan]</t>
  </si>
  <si>
    <t>[1814.0, 1804.0, 1897.0, nan]</t>
  </si>
  <si>
    <t>[3428.0, 3598.0, 3368.0, 3452.0]</t>
  </si>
  <si>
    <t>[788.0, 655.0, 717.0, nan]</t>
  </si>
  <si>
    <t>[212.0, 463.0, 513.0, 598.0]</t>
  </si>
  <si>
    <t>[644.0, 634.0, 648.0, nan]</t>
  </si>
  <si>
    <t>[74.0, 285.0, 290.0, nan]</t>
  </si>
  <si>
    <t>[1839.0, 1944.0, 2057.0, nan]</t>
  </si>
  <si>
    <t>[1130.0, 1086.0, 800.0, 1500.0]</t>
  </si>
  <si>
    <t>[574.0, 597.0, 641.0, nan]</t>
  </si>
  <si>
    <t>[669.0, 680.0, 1393.0, 1500.0]</t>
  </si>
  <si>
    <t>[1370.0, 1468.0, 1482.0, nan]</t>
  </si>
  <si>
    <t>[238.0, 234.0, 256.0, nan]</t>
  </si>
  <si>
    <t>[697.0, 924.0, 1189.0, 1499.0]</t>
  </si>
  <si>
    <t>[56.0, 106.0, 454.0, nan]</t>
  </si>
  <si>
    <t>[1246.0, 1390.0, 1430.0, nan]</t>
  </si>
  <si>
    <t>[166.0, 302.0, 177.0, nan]</t>
  </si>
  <si>
    <t>[461.0, 314.0, 286.0, nan]</t>
  </si>
  <si>
    <t>[94.0, 63.0, 139.0, nan]</t>
  </si>
  <si>
    <t>[-423.0, -348.0, 193.0, nan]</t>
  </si>
  <si>
    <t>[187.0, 549.0, 418.0, nan]</t>
  </si>
  <si>
    <t>[394.0, 434.0, 434.0, nan]</t>
  </si>
  <si>
    <t>[947.0, 972.0, 1072.0, 1230.0]</t>
  </si>
  <si>
    <t>[330.0, 354.0, 379.0, nan]</t>
  </si>
  <si>
    <t>[476.0, 444.0, 327.0, nan]</t>
  </si>
  <si>
    <t>[128.0, 354.0, 356.0, nan]</t>
  </si>
  <si>
    <t>[810.0, 1081.0, 977.0, nan]</t>
  </si>
  <si>
    <t>[1076.0, 1166.0, 1348.0, nan]</t>
  </si>
  <si>
    <t>[739.0, 853.0, 808.0, nan]</t>
  </si>
  <si>
    <t>[583.0, 638.0, 773.0, 1035.0]</t>
  </si>
  <si>
    <t>[393.0, 395.0, 392.0, nan]</t>
  </si>
  <si>
    <t>[399.0, 349.0, 1075.0, 710.0]</t>
  </si>
  <si>
    <t>[751.0, 671.0, 639.0, nan]</t>
  </si>
  <si>
    <t>[276.0, 172.0, 347.0, nan]</t>
  </si>
  <si>
    <t>[6957.0, 7277.0, 6995.0, 7501.0]</t>
  </si>
  <si>
    <t>[739.0, 789.0, 903.0, nan]</t>
  </si>
  <si>
    <t>[230.0, 265.0, 273.0, nan]</t>
  </si>
  <si>
    <t>[226.0, 209.0, 210.0, nan]</t>
  </si>
  <si>
    <t>[409.0, 412.0, 401.0, nan]</t>
  </si>
  <si>
    <t>[662.0, 692.0, 719.0, nan]</t>
  </si>
  <si>
    <t>[664.0, 680.0, 701.0, nan]</t>
  </si>
  <si>
    <t>[982.0, 1012.0, 1194.0, nan]</t>
  </si>
  <si>
    <t>[1047.0, 1088.0, 907.0, nan]</t>
  </si>
  <si>
    <t>[140.0, 168.0, 92.0, nan]</t>
  </si>
  <si>
    <t>[1371.0, 2254.0, 2212.0, nan]</t>
  </si>
  <si>
    <t>[757.0, 779.0, 452.0, nan]</t>
  </si>
  <si>
    <t>[125.0, 285.0, 28.0, nan]</t>
  </si>
  <si>
    <t>[955.0, 758.0, 699.0, nan]</t>
  </si>
  <si>
    <t>[659.0, 699.0, 755.0, nan]</t>
  </si>
  <si>
    <t>[973.0, 1025.0, 1007.0, nan]</t>
  </si>
  <si>
    <t>[239.0, 534.0, 595.0, nan]</t>
  </si>
  <si>
    <t>[39.0, 564.0, -87.0, nan]</t>
  </si>
  <si>
    <t>[174.0, 187.0, 354.0, nan]</t>
  </si>
  <si>
    <t>[493.0, 556.0, 622.0, nan]</t>
  </si>
  <si>
    <t>[712.0, 867.0, 1067.0, 1455.0]</t>
  </si>
  <si>
    <t>[488.0, 180.0, 130.0, nan]</t>
  </si>
  <si>
    <t>[522.0, 793.0, 816.0, nan]</t>
  </si>
  <si>
    <t>[265.0, 209.0, 226.0, nan]</t>
  </si>
  <si>
    <t>[381.0, 471.0, 489.0, nan]</t>
  </si>
  <si>
    <t>[-94.0, 78.0, 212.0, nan]</t>
  </si>
  <si>
    <t>[258.0, 284.0, 236.0, nan]</t>
  </si>
  <si>
    <t>[408.0, 566.0, 607.0, nan]</t>
  </si>
  <si>
    <t>[317.0, 370.0, 367.0, nan]</t>
  </si>
  <si>
    <t>[1050.0, 808.0, 795.0, nan]</t>
  </si>
  <si>
    <t>[710.0, 754.0, 797.0, nan]</t>
  </si>
  <si>
    <t>[168.0, 170.0, 179.0, nan]</t>
  </si>
  <si>
    <t>[-87.0, -446.0, 169.0, nan]</t>
  </si>
  <si>
    <t>[89.0, 148.0, 360.0, nan]</t>
  </si>
  <si>
    <t>[441.0, 403.0, 309.0, nan]</t>
  </si>
  <si>
    <t>[147.0, 197.0, 304.0, nan]</t>
  </si>
  <si>
    <t>[60.0, 301.0, 320.0, nan]</t>
  </si>
  <si>
    <t>[448.0, 460.0, 560.0, nan]</t>
  </si>
  <si>
    <t>[3511.0, 3316.0, 3010.0, 2959.0]</t>
  </si>
  <si>
    <t>[191.0, 387.0, 288.0, nan]</t>
  </si>
  <si>
    <t>[308.0, 279.0, 273.0, nan]</t>
  </si>
  <si>
    <t>[824.0, 893.0, 1027.0, nan]</t>
  </si>
  <si>
    <t>[286.0, 301.0, 277.0, nan]</t>
  </si>
  <si>
    <t>[96.0, 223.0, 238.0, nan]</t>
  </si>
  <si>
    <t>[246.0, 254.0, 284.0, nan]</t>
  </si>
  <si>
    <t>[858.0, 1000.0, 903.0, nan]</t>
  </si>
  <si>
    <t>[156.0, 161.0, 152.0, nan]</t>
  </si>
  <si>
    <t>[1063.0, 1117.0, 1094.0, nan]</t>
  </si>
  <si>
    <t>[756.0, 756.0, 785.0, nan]</t>
  </si>
  <si>
    <t>[984.0, 1258.0, 1323.0, nan]</t>
  </si>
  <si>
    <t>[1079.0, 1061.0, 1121.0, nan]</t>
  </si>
  <si>
    <t>[193.0, 207.0, 115.0, nan]</t>
  </si>
  <si>
    <t>[1009.0, 1052.0, 993.0, nan]</t>
  </si>
  <si>
    <t>[528.0, 2191.0, 3338.0, nan]</t>
  </si>
  <si>
    <t>[772.0, 1747.0, 1849.0, 1490.0]</t>
  </si>
  <si>
    <t>[495.0, 501.0, 595.0, nan]</t>
  </si>
  <si>
    <t>[428.0, 452.0, 497.0, nan]</t>
  </si>
  <si>
    <t>[784.0, 797.0, 886.0, nan]</t>
  </si>
  <si>
    <t>[600.0, 618.0, 603.0, nan]</t>
  </si>
  <si>
    <t>[331.0, 426.0, 433.0, nan]</t>
  </si>
  <si>
    <t>[323.0, 255.0, 300.0, nan]</t>
  </si>
  <si>
    <t>[105.0, 128.0, 386.0, nan]</t>
  </si>
  <si>
    <t>[623.0, 782.0, 884.0, nan]</t>
  </si>
  <si>
    <t>[976.0, 1069.0, 1292.0, nan]</t>
  </si>
  <si>
    <t>[-860.0, 1570.0, 1320.0, nan]</t>
  </si>
  <si>
    <t>[827.0, 825.0, 1054.0, nan]</t>
  </si>
  <si>
    <t>[386.0, 489.0, 557.0, nan]</t>
  </si>
  <si>
    <t>[1466.0, 1809.0, 2752.0, 3198.0]</t>
  </si>
  <si>
    <t>[1152.0, 1605.0, 3702.0, 4243.0]</t>
  </si>
  <si>
    <t>[54.0, 56.0, 102.0, nan]</t>
  </si>
  <si>
    <t>[1062.0, 1215.0, 1253.0, 1648.0]</t>
  </si>
  <si>
    <t>[345.0, 324.0, 401.0, nan]</t>
  </si>
  <si>
    <t>[928.0, 863.0, 622.0, nan]</t>
  </si>
  <si>
    <t>[856.0, 871.0, 873.0, nan]</t>
  </si>
  <si>
    <t>[761.0, 755.0, 741.0, nan]</t>
  </si>
  <si>
    <t>[441.0, 480.0, 624.0, nan]</t>
  </si>
  <si>
    <t>[-150.0, -183.0, 69.0, nan]</t>
  </si>
  <si>
    <t>[-315.0, 183.0, 752.0, nan]</t>
  </si>
  <si>
    <t>[303.0, 281.0, 159.0, nan]</t>
  </si>
  <si>
    <t>[239.0, 214.0, 150.0, nan]</t>
  </si>
  <si>
    <t>[375.0, 393.0, 290.0, 267.0]</t>
  </si>
  <si>
    <t>[1214.0, 1406.0, 1294.0, 1841.0]</t>
  </si>
  <si>
    <t>[35.0, 51.0, 37.0, nan]</t>
  </si>
  <si>
    <t>[168.0, 525.0, 582.0, 639.0]</t>
  </si>
  <si>
    <t>[224.0, 358.0, 421.0, nan]</t>
  </si>
  <si>
    <t>[102.0, 101.0, 226.0, nan]</t>
  </si>
  <si>
    <t>[398.0, 666.0, 700.0, 787.0]</t>
  </si>
  <si>
    <t>[476.0, 331.0, 425.0, nan]</t>
  </si>
  <si>
    <t>[1184.0, 1215.0, 1328.0, 1223.0]</t>
  </si>
  <si>
    <t>[319.0, 294.0, 556.0, nan]</t>
  </si>
  <si>
    <t>[468.0, 475.0, 453.0, nan]</t>
  </si>
  <si>
    <t>[351.0, 82.0, 178.0, nan]</t>
  </si>
  <si>
    <t>[520.0, 527.0, 499.0, nan]</t>
  </si>
  <si>
    <t>[81.0, 41.0, 101.0, nan]</t>
  </si>
  <si>
    <t>[1864.0, 1916.0, 2096.0, 2197.0]</t>
  </si>
  <si>
    <t>[334.0, 391.0, 416.0, nan]</t>
  </si>
  <si>
    <t>[187.0, 448.0, 483.0, nan]</t>
  </si>
  <si>
    <t>[485.0, 515.0, 559.0, nan]</t>
  </si>
  <si>
    <t>[326.0, 360.0, 372.0, nan]</t>
  </si>
  <si>
    <t>[264.0, 593.0, 306.0, nan]</t>
  </si>
  <si>
    <t>[225.0, 184.0, 225.0, nan]</t>
  </si>
  <si>
    <t>[883.0, 825.0, 1639.0, nan]</t>
  </si>
  <si>
    <t>[214.0, 221.0, 317.0, nan]</t>
  </si>
  <si>
    <t>[1004.0, 1166.0, 1497.0, nan]</t>
  </si>
  <si>
    <t>[109.0, 113.0, 99.0, nan]</t>
  </si>
  <si>
    <t>[426.0, 408.0, 403.0, nan]</t>
  </si>
  <si>
    <t>[382.0, 424.0, 459.0, nan]</t>
  </si>
  <si>
    <t>[273.0, 220.0, 233.0, nan]</t>
  </si>
  <si>
    <t>[436.0, 595.0, 663.0, nan]</t>
  </si>
  <si>
    <t>[335.0, 350.0, 462.0, nan]</t>
  </si>
  <si>
    <t>[309.0, 405.0, 470.0, nan]</t>
  </si>
  <si>
    <t>[441.0, 374.0, 246.0, nan]</t>
  </si>
  <si>
    <t>[566.0, 522.0, 521.0, nan]</t>
  </si>
  <si>
    <t>[679.0, 647.0, 664.0, 714.0]</t>
  </si>
  <si>
    <t>[137.0, 124.0, 454.0, nan]</t>
  </si>
  <si>
    <t>[796.0, 955.0, 1132.0, 1336.0]</t>
  </si>
  <si>
    <t>[1378.0, 1489.0, 1557.0, nan]</t>
  </si>
  <si>
    <t>[460.0, 619.0, 278.0, nan]</t>
  </si>
  <si>
    <t>[345.0, 330.0, 313.0, nan]</t>
  </si>
  <si>
    <t>[487.0, 568.0, 595.0, nan]</t>
  </si>
  <si>
    <t>[805.0, 846.0, 1112.0, nan]</t>
  </si>
  <si>
    <t>[135.0, 121.0, 202.0, nan]</t>
  </si>
  <si>
    <t>[753.0, 804.0, 747.0, nan]</t>
  </si>
  <si>
    <t>[975.0, 979.0, 1019.0, nan]</t>
  </si>
  <si>
    <t>[39.0, 57.0, 216.0, nan]</t>
  </si>
  <si>
    <t>[157.0, 58.0, 157.0, nan]</t>
  </si>
  <si>
    <t>[239.0, 271.0, 322.0, nan]</t>
  </si>
  <si>
    <t>[204.0, 184.0, 227.0, nan]</t>
  </si>
  <si>
    <t>[nan, 65.0, 65.0, nan]</t>
  </si>
  <si>
    <t>[nan, nan, 167.0, nan]</t>
  </si>
  <si>
    <t>[102.0, 128.0, 201.0, nan]</t>
  </si>
  <si>
    <t>[1645.0, 1339.0, 1956.0, nan]</t>
  </si>
  <si>
    <t>[94.0, 106.0, 96.0, nan]</t>
  </si>
  <si>
    <t>[246.0, 588.0, 740.0, nan]</t>
  </si>
  <si>
    <t>[952.0, 1077.0, 1154.0, nan]</t>
  </si>
  <si>
    <t>[387.0, 407.0, 421.0, nan]</t>
  </si>
  <si>
    <t>[414.0, 430.0, 453.0, nan]</t>
  </si>
  <si>
    <t>[436.0, 521.0, 583.0, nan]</t>
  </si>
  <si>
    <t>[1025.0, 1153.0, 991.0, 1487.0]</t>
  </si>
  <si>
    <t>[404.0, 391.0, 369.0, nan]</t>
  </si>
  <si>
    <t>[1380.0, 917.0, 826.0, nan]</t>
  </si>
  <si>
    <t>[642.0, 760.0, 790.0, 1247.0]</t>
  </si>
  <si>
    <t>[301.0, 357.0, 445.0, nan]</t>
  </si>
  <si>
    <t>[747.0, 782.0, 964.0, 1060.0]</t>
  </si>
  <si>
    <t>[331.0, 341.0, 371.0, nan]</t>
  </si>
  <si>
    <t>[152.0, -132.0, 337.0, nan]</t>
  </si>
  <si>
    <t>[404.0, 409.0, 405.0, nan]</t>
  </si>
  <si>
    <t>[17.0, 54.0, 27.0, nan]</t>
  </si>
  <si>
    <t>[765.0, 1273.0, 1072.0, nan]</t>
  </si>
  <si>
    <t>[257.0, 309.0, 303.0, nan]</t>
  </si>
  <si>
    <t>[1334.0, 1435.0, 1528.0, nan]</t>
  </si>
  <si>
    <t>[149.0, 238.0, 242.0, nan]</t>
  </si>
  <si>
    <t>[513.0, 862.0, 2168.0, 2714.0]</t>
  </si>
  <si>
    <t>[717.0, 771.0, 837.0, nan]</t>
  </si>
  <si>
    <t>[338.0, 353.0, 363.0, nan]</t>
  </si>
  <si>
    <t>[375.0, 396.0, 335.0, nan]</t>
  </si>
  <si>
    <t>[110.0, 131.0, 224.0, nan]</t>
  </si>
  <si>
    <t>[82.0, 211.0, 228.0, nan]</t>
  </si>
  <si>
    <t>[124.0, 160.0, 245.0, nan]</t>
  </si>
  <si>
    <t>[145.0, 118.0, 108.0, nan]</t>
  </si>
  <si>
    <t>[2283.0, 2716.0, 888.0, nan]</t>
  </si>
  <si>
    <t>[553.0, 563.0, 655.0, nan]</t>
  </si>
  <si>
    <t>[392.0, 319.0, 284.0, nan]</t>
  </si>
  <si>
    <t>[433.0, 454.0, 455.0, nan]</t>
  </si>
  <si>
    <t>[426.0, 1304.0, 1920.0, 2041.0]</t>
  </si>
  <si>
    <t>[282.0, 342.0, 404.0, nan]</t>
  </si>
  <si>
    <t>[778.0, 781.0, 781.0, nan]</t>
  </si>
  <si>
    <t>[538.0, 241.0, 299.0, nan]</t>
  </si>
  <si>
    <t>[258.0, 322.0, 504.0, nan]</t>
  </si>
  <si>
    <t>[-112.0, -146.0, 241.0, nan]</t>
  </si>
  <si>
    <t>[243.0, 295.0, 360.0, nan]</t>
  </si>
  <si>
    <t>[nan, 90.0, 1873.0, 2115.0]</t>
  </si>
  <si>
    <t>[220.0, 320.0, 282.0, nan]</t>
  </si>
  <si>
    <t>[46.0, 44.0, 210.0, nan]</t>
  </si>
  <si>
    <t>[281.0, 347.0, 416.0, nan]</t>
  </si>
  <si>
    <t>[299.0, 332.0, 361.0, nan]</t>
  </si>
  <si>
    <t>[154.0, 97.0, 58.0, nan]</t>
  </si>
  <si>
    <t>[1045.0, 528.0, 294.0, nan]</t>
  </si>
  <si>
    <t>[543.0, 651.0, 785.0, 1071.0]</t>
  </si>
  <si>
    <t>[197.0, 190.0, 204.0, nan]</t>
  </si>
  <si>
    <t>[567.0, 681.0, 816.0, 1110.0]</t>
  </si>
  <si>
    <t>[182.0, 194.0, 207.0, nan]</t>
  </si>
  <si>
    <t>[59.0, 78.0, 24.0, nan]</t>
  </si>
  <si>
    <t>[457.0, 500.0, 544.0, nan]</t>
  </si>
  <si>
    <t>[1938.0, 4186.0, 4156.0, 8770.0]</t>
  </si>
  <si>
    <t>[61.0, 80.0, 50.0, nan]</t>
  </si>
  <si>
    <t>[399.0, 378.0, 407.0, nan]</t>
  </si>
  <si>
    <t>[371.0, 408.0, 423.0, nan]</t>
  </si>
  <si>
    <t>[265.0, 285.0, 321.0, 348.0]</t>
  </si>
  <si>
    <t>[816.0, 911.0, 1063.0, nan]</t>
  </si>
  <si>
    <t>[219.0, -131.0, 112.0, nan]</t>
  </si>
  <si>
    <t>[204.0, 214.0, 220.0, nan]</t>
  </si>
  <si>
    <t>[598.0, 662.0, 658.0, 722.0]</t>
  </si>
  <si>
    <t>[770.0, 1076.0, 2106.0, 2303.0]</t>
  </si>
  <si>
    <t>[132.0, 108.0, 309.0, 240.0]</t>
  </si>
  <si>
    <t>[nan, nan, 85.0, nan]</t>
  </si>
  <si>
    <t>[2307.0, 3270.0, 3772.0, nan]</t>
  </si>
  <si>
    <t>[424.0, 420.0, 437.0, nan]</t>
  </si>
  <si>
    <t>[405.0, 480.0, 469.0, nan]</t>
  </si>
  <si>
    <t>[111.0, 108.0, 152.0, nan]</t>
  </si>
  <si>
    <t>[903.0, 1004.0, 784.0, nan]</t>
  </si>
  <si>
    <t>[118.0, 197.0, 145.0, nan]</t>
  </si>
  <si>
    <t>[384.0, 687.0, 639.0, nan]</t>
  </si>
  <si>
    <t>[137.0, 1099.0, 1167.0, 1235.0]</t>
  </si>
  <si>
    <t>[3087.0, 2960.0, 2543.0, nan]</t>
  </si>
  <si>
    <t>[62.0, 24.0, 178.0, nan]</t>
  </si>
  <si>
    <t>[2070.0, 2048.0, 2170.0, nan]</t>
  </si>
  <si>
    <t>[179.0, 220.0, 244.0, nan]</t>
  </si>
  <si>
    <t>[nan, nan, 6.0, nan]</t>
  </si>
  <si>
    <t>[nan, nan, 82.0, nan]</t>
  </si>
  <si>
    <t>[nan, nan, 153.0, nan]</t>
  </si>
  <si>
    <t>[nan, nan, 104.0, nan]</t>
  </si>
  <si>
    <t>[523.0, 568.0, 441.0, nan]</t>
  </si>
  <si>
    <t>[973.0, 662.0, 582.0, 730.0]</t>
  </si>
  <si>
    <t>[nan, 38.0, 149.0, nan]</t>
  </si>
  <si>
    <t>[238.0, 233.0, 190.0, nan]</t>
  </si>
  <si>
    <t>[nan, 82.0, 83.0, nan]</t>
  </si>
  <si>
    <t>[nan, nan, 83.0, nan]</t>
  </si>
  <si>
    <t>[nan, nan, 3.0, nan]</t>
  </si>
  <si>
    <t>[68.0, 73.0, 162.0, nan]</t>
  </si>
  <si>
    <t>[1317.0, 1339.0, 1450.0, nan]</t>
  </si>
  <si>
    <t>[7609.0, 8440.0, 9197.0, 10082.0]</t>
  </si>
  <si>
    <t>[645.0, 770.0, 1007.0, nan]</t>
  </si>
  <si>
    <t>[298.0, 244.0, 244.0, nan]</t>
  </si>
  <si>
    <t>[635.0, 660.0, 693.0, nan]</t>
  </si>
  <si>
    <t>[697.0, 941.0, 1157.0, 1616.0]</t>
  </si>
  <si>
    <t>[1013.0, 934.0, 733.0, nan]</t>
  </si>
  <si>
    <t>[346.0, 355.0, 352.0, nan]</t>
  </si>
  <si>
    <t>[313.0, 269.0, 184.0, nan]</t>
  </si>
  <si>
    <t>[91.0, 303.0, 248.0, nan]</t>
  </si>
  <si>
    <t>[1455.0, 1841.0, 2205.0, nan]</t>
  </si>
  <si>
    <t>[94.0, 316.0, 360.0, nan]</t>
  </si>
  <si>
    <t>[1043.0, 1066.0, 1107.0, nan]</t>
  </si>
  <si>
    <t>[48.0, 71.0, 284.0, nan]</t>
  </si>
  <si>
    <t>[2752.0, 4080.0, 5890.0, 7217.0]</t>
  </si>
  <si>
    <t>[652.0, 853.0, 865.0, nan]</t>
  </si>
  <si>
    <t>[173.0, 220.0, 248.0, nan]</t>
  </si>
  <si>
    <t>[463.0, 590.0, 475.0, nan]</t>
  </si>
  <si>
    <t>[489.0, 451.0, 281.0, nan]</t>
  </si>
  <si>
    <t>[62.0, 89.0, 112.0, nan]</t>
  </si>
  <si>
    <t>[206.0, 174.0, 227.0, nan]</t>
  </si>
  <si>
    <t>[1077.0, 1540.0, 1140.0, nan]</t>
  </si>
  <si>
    <t>[820.0, 970.0, 1030.0, nan]</t>
  </si>
  <si>
    <t>[418.0, 434.0, 447.0, nan]</t>
  </si>
  <si>
    <t>[1509.0, 1635.0, 1753.0, 2027.0]</t>
  </si>
  <si>
    <t>[670.0, 814.0, 1633.0, nan]</t>
  </si>
  <si>
    <t>[1896.0, 2124.0, 2149.0, 2364.0]</t>
  </si>
  <si>
    <t>[205.0, 272.0, 332.0, nan]</t>
  </si>
  <si>
    <t>[50.0, 70.0, 244.0, nan]</t>
  </si>
  <si>
    <t>[473.0, 465.0, 478.0, 411.0]</t>
  </si>
  <si>
    <t>[620.0, 464.0, 569.0, nan]</t>
  </si>
  <si>
    <t>[333.0, 335.0, 387.0, nan]</t>
  </si>
  <si>
    <t>[143.0, 210.0, 167.0, nan]</t>
  </si>
  <si>
    <t>[682.0, 700.0, 758.0, nan]</t>
  </si>
  <si>
    <t>[518.0, 566.0, 455.0, nan]</t>
  </si>
  <si>
    <t>[23.0, 654.0, 678.0, nan]</t>
  </si>
  <si>
    <t>[1789.0, 1976.0, 2091.0, 2379.0]</t>
  </si>
  <si>
    <t>[599.0, 336.0, 456.0, nan]</t>
  </si>
  <si>
    <t>[855.0, 841.0, 533.0, nan]</t>
  </si>
  <si>
    <t>[9942.0, 12722.0, 12663.0, 11688.0]</t>
  </si>
  <si>
    <t>[1335.0, 1487.0, 1644.0, 1947.0]</t>
  </si>
  <si>
    <t>[198.0, 163.0, 202.0, nan]</t>
  </si>
  <si>
    <t>[414.0, 277.0, 626.0, nan]</t>
  </si>
  <si>
    <t>[306.0, 361.0, 444.0, 592.0]</t>
  </si>
  <si>
    <t>[3042.0, 2981.0, 3537.0, 3663.0]</t>
  </si>
  <si>
    <t>[443.0, 421.0, 130.0, nan]</t>
  </si>
  <si>
    <t>[475.0, 392.0, 235.0, nan]</t>
  </si>
  <si>
    <t>[285.0, 328.0, 430.0, nan]</t>
  </si>
  <si>
    <t>[-71.0, 287.0, 925.0, nan]</t>
  </si>
  <si>
    <t>[571.0, 590.0, 565.0, nan]</t>
  </si>
  <si>
    <t>[328.0, 280.0, -33.0, nan]</t>
  </si>
  <si>
    <t>[3997.0, 3386.0, 3652.0, 3924.0]</t>
  </si>
  <si>
    <t>[1255.0, 1487.0, 1528.0, nan]</t>
  </si>
  <si>
    <t>[250.0, 174.0, 219.0, nan]</t>
  </si>
  <si>
    <t>[748.0, 643.0, 472.0, nan]</t>
  </si>
  <si>
    <t>[707.0, 700.0, 440.0, nan]</t>
  </si>
  <si>
    <t>[1688.0, 2047.0, 2524.0, 3342.0]</t>
  </si>
  <si>
    <t>[225.0, 155.0, 192.0, nan]</t>
  </si>
  <si>
    <t>[1189.0, 1283.0, 1337.0, nan]</t>
  </si>
  <si>
    <t>[1601.0, 1373.0, 936.0, nan]</t>
  </si>
  <si>
    <t>[5454.0, 4461.0, 1010.0, nan]</t>
  </si>
  <si>
    <t>[1090.0, 965.0, 1200.0, nan]</t>
  </si>
  <si>
    <t>[173.0, 182.0, 222.0, nan]</t>
  </si>
  <si>
    <t>[656.0, 622.0, 577.0, nan]</t>
  </si>
  <si>
    <t>[707.0, 1089.0, 1058.0, nan]</t>
  </si>
  <si>
    <t>[1135.0, 1250.0, 1277.0, 1323.0]</t>
  </si>
  <si>
    <t>[227.0, 396.0, 566.0, nan]</t>
  </si>
  <si>
    <t>[849.0, 909.0, 704.0, 671.0]</t>
  </si>
  <si>
    <t>[613.0, 136.0, 135.0, nan]</t>
  </si>
  <si>
    <t>[293.0, 221.0, 32.0, nan]</t>
  </si>
  <si>
    <t>[272.0, 165.0, 112.0, nan]</t>
  </si>
  <si>
    <t>[145.0, 394.0, 174.0, nan]</t>
  </si>
  <si>
    <t>[158.0, 167.0, 176.0, nan]</t>
  </si>
  <si>
    <t>[104.0, 54.0, 116.0, nan]</t>
  </si>
  <si>
    <t>[nan, 71.0, 71.0, nan]</t>
  </si>
  <si>
    <t>[827.0, 883.0, 900.0, nan]</t>
  </si>
  <si>
    <t>[491.0, 502.0, 544.0, nan]</t>
  </si>
  <si>
    <t>[106.0, 244.0, 266.0, nan]</t>
  </si>
  <si>
    <t>[357.0, 467.0, 478.0, nan]</t>
  </si>
  <si>
    <t>[235.0, 268.0, 371.0, nan]</t>
  </si>
  <si>
    <t>[378.0, 492.0, 664.0, nan]</t>
  </si>
  <si>
    <t>[396.0, 418.0, 437.0, nan]</t>
  </si>
  <si>
    <t>[484.0, 513.0, 436.0, nan]</t>
  </si>
  <si>
    <t>[135.0, 124.0, 125.0, nan]</t>
  </si>
  <si>
    <t>[526.0, 515.0, 545.0, nan]</t>
  </si>
  <si>
    <t>[1447.0, 1411.0, 1453.0, 1544.0]</t>
  </si>
  <si>
    <t>[nan, 45.0, 50.0, nan]</t>
  </si>
  <si>
    <t>[351.0, 510.0, 879.0, 1197.0]</t>
  </si>
  <si>
    <t>[318.0, 367.0, 422.0, nan]</t>
  </si>
  <si>
    <t>[916.0, 1845.0, 1490.0, nan]</t>
  </si>
  <si>
    <t>[852.0, 855.0, 439.0, nan]</t>
  </si>
  <si>
    <t>[241.0, 264.0, 286.0, nan]</t>
  </si>
  <si>
    <t>[319.0, 240.0, 160.0, nan]</t>
  </si>
  <si>
    <t>[656.0, 90.0, 3.0, nan]</t>
  </si>
  <si>
    <t>[1500.0, 1154.0, 913.0, nan]</t>
  </si>
  <si>
    <t>[3135.0, 3692.0, 5666.0, 7099.0]</t>
  </si>
  <si>
    <t>[nan, nan, 133.0, nan]</t>
  </si>
  <si>
    <t>[nan, 137.0, 242.0, 284.0]</t>
  </si>
  <si>
    <t>[77.0, 191.0, 158.0, nan]</t>
  </si>
  <si>
    <t>[229.0, 242.0, 331.0, nan]</t>
  </si>
  <si>
    <t>[31.0, 95.0, 151.0, nan]</t>
  </si>
  <si>
    <t>[607.0, 597.0, 371.0, nan]</t>
  </si>
  <si>
    <t>[285.0, 272.0, nan, nan]</t>
  </si>
  <si>
    <t>[661.0, 671.0, 809.0, 1080.0]</t>
  </si>
  <si>
    <t>[63.0, 484.0, 523.0, nan]</t>
  </si>
  <si>
    <t>[319.0, 345.0, 355.0, nan]</t>
  </si>
  <si>
    <t>[226.0, 324.0, 550.0, nan]</t>
  </si>
  <si>
    <t>[216.0, 251.0, 229.0, nan]</t>
  </si>
  <si>
    <t>[511.0, 775.0, 628.0, nan]</t>
  </si>
  <si>
    <t>[552.0, 595.0, 619.0, nan]</t>
  </si>
  <si>
    <t>[141.0, 148.0, 221.0, nan]</t>
  </si>
  <si>
    <t>[2300.0, 2340.0, 2376.0, 2415.0]</t>
  </si>
  <si>
    <t>[nan, nan, 75.0, nan]</t>
  </si>
  <si>
    <t>[nan, nan, 68.0, nan]</t>
  </si>
  <si>
    <t>[707.0, 700.0, 519.0, nan]</t>
  </si>
  <si>
    <t>[355.0, 438.0, 464.0, nan]</t>
  </si>
  <si>
    <t>[1534.0, 1410.0, 1645.0, 1624.0]</t>
  </si>
  <si>
    <t>[93.0, 113.0, 143.0, nan]</t>
  </si>
  <si>
    <t>[183.0, 341.0, 345.0, nan]</t>
  </si>
  <si>
    <t>[1881.0, 2217.0, 2659.0, 3190.0]</t>
  </si>
  <si>
    <t>[346.0, 381.0, 359.0, nan]</t>
  </si>
  <si>
    <t>[94.0, 85.0, 197.0, nan]</t>
  </si>
  <si>
    <t>[-101.0, 61.0, 35.0, 148.0]</t>
  </si>
  <si>
    <t>[3567.0, 3739.0, 3892.0, 4352.0]</t>
  </si>
  <si>
    <t>[1438.0, 1882.0, 1796.0, 1803.0]</t>
  </si>
  <si>
    <t>[765.0, 858.0, 754.0, nan]</t>
  </si>
  <si>
    <t>[148.0, -315.0, 45.0, nan]</t>
  </si>
  <si>
    <t>[30.0, 43.0, 105.0, nan]</t>
  </si>
  <si>
    <t>[362.0, 255.0, 122.0, nan]</t>
  </si>
  <si>
    <t>[361.0, 398.0, 403.0, nan]</t>
  </si>
  <si>
    <t>[nan, 64.0, 64.0, nan]</t>
  </si>
  <si>
    <t>[432.0, 438.0, 448.0, nan]</t>
  </si>
  <si>
    <t>[231.0, 240.0, 379.0, nan]</t>
  </si>
  <si>
    <t>[621.0, 597.0, 552.0, nan]</t>
  </si>
  <si>
    <t>[nan, nan, 62.0, nan]</t>
  </si>
  <si>
    <t>[266.0, 194.0, 117.0, nan]</t>
  </si>
  <si>
    <t>[543.0, 392.0, 380.0, nan]</t>
  </si>
  <si>
    <t>[nan, nan, 114.0, nan]</t>
  </si>
  <si>
    <t>[89.0, 128.0, 182.0, nan]</t>
  </si>
  <si>
    <t>[nan, 7.0, 87.0, nan]</t>
  </si>
  <si>
    <t>[903.0, 1020.0, 1129.0, nan]</t>
  </si>
  <si>
    <t>[606.0, 663.0, 749.0, nan]</t>
  </si>
  <si>
    <t>[56.0, 441.0, 567.0, nan]</t>
  </si>
  <si>
    <t>[407.0, 405.0, 400.0, nan]</t>
  </si>
  <si>
    <t>[70.0, 85.0, 111.0, nan]</t>
  </si>
  <si>
    <t>[2961.0, 2596.0, 2370.0, 2200.0]</t>
  </si>
  <si>
    <t>[372.0, 373.0, 509.0, 895.0]</t>
  </si>
  <si>
    <t>[441.0, 524.0, 768.0, nan]</t>
  </si>
  <si>
    <t>[1007.0, 718.0, 861.0, nan]</t>
  </si>
  <si>
    <t>[165.0, 223.0, 542.0, nan]</t>
  </si>
  <si>
    <t>[2692.0, 3135.0, 3554.0, 4401.0]</t>
  </si>
  <si>
    <t>[125.0, 167.0, 192.0, nan]</t>
  </si>
  <si>
    <t>[537.0, 653.0, 749.0, nan]</t>
  </si>
  <si>
    <t>[667.0, 661.0, 651.0, nan]</t>
  </si>
  <si>
    <t>[487.0, 591.0, 611.0, nan]</t>
  </si>
  <si>
    <t>[396.0, 406.0, 289.0, nan]</t>
  </si>
  <si>
    <t>[418.0, 427.0, 149.0, nan]</t>
  </si>
  <si>
    <t>[302.0, 244.0, 456.0, nan]</t>
  </si>
  <si>
    <t>[1709.0, 2104.0, 2130.0, 2423.0]</t>
  </si>
  <si>
    <t>[109.0, 126.0, 141.0, nan]</t>
  </si>
  <si>
    <t>[277.0, 252.0, 237.0, nan]</t>
  </si>
  <si>
    <t>[175.0, 211.0, 362.0, nan]</t>
  </si>
  <si>
    <t>[182.0, 255.0, 350.0, nan]</t>
  </si>
  <si>
    <t>[8.0, 77.0, 77.0, nan]</t>
  </si>
  <si>
    <t>[496.0, 546.0, 572.0, nan]</t>
  </si>
  <si>
    <t>[357.0, 284.0, 153.0, nan]</t>
  </si>
  <si>
    <t>[301.0, 214.0, 256.0, nan]</t>
  </si>
  <si>
    <t>[178.0, 222.0, 266.0, nan]</t>
  </si>
  <si>
    <t>[1557.0, 1960.0, 2003.0, nan]</t>
  </si>
  <si>
    <t>[465.0, 1017.0, 1026.0, nan]</t>
  </si>
  <si>
    <t>[417.0, 428.0, 398.0, nan]</t>
  </si>
  <si>
    <t>[1035.0, 1080.0, 1077.0, nan]</t>
  </si>
  <si>
    <t>[217.0, 124.0, 149.0, nan]</t>
  </si>
  <si>
    <t>[1851.0, 1988.0, 2354.0, 2772.0]</t>
  </si>
  <si>
    <t>[370.0, 358.0, 351.0, nan]</t>
  </si>
  <si>
    <t>[322.0, 371.0, 429.0, nan]</t>
  </si>
  <si>
    <t>[552.0, 629.0, 655.0, nan]</t>
  </si>
  <si>
    <t>[889.0, 896.0, 1002.0, nan]</t>
  </si>
  <si>
    <t>[315.0, 325.0, 346.0, nan]</t>
  </si>
  <si>
    <t>[448.0, 720.0, 712.0, nan]</t>
  </si>
  <si>
    <t>[317.0, 170.0, -63.0, nan]</t>
  </si>
  <si>
    <t>[250.0, 277.0, 363.0, 510.0]</t>
  </si>
  <si>
    <t>[287.0, 461.0, 415.0, nan]</t>
  </si>
  <si>
    <t>[nan, 93.0, 93.0, nan]</t>
  </si>
  <si>
    <t>[366.0, 146.0, 134.0, nan]</t>
  </si>
  <si>
    <t>[818.0, 807.0, 828.0, nan]</t>
  </si>
  <si>
    <t>[593.0, 596.0, 610.0, nan]</t>
  </si>
  <si>
    <t>[384.0, 506.0, 635.0, nan]</t>
  </si>
  <si>
    <t>[304.0, 297.0, 316.0, nan]</t>
  </si>
  <si>
    <t>[152.0, 222.0, 267.0, 360.0]</t>
  </si>
  <si>
    <t>[67.0, 103.0, 128.0, nan]</t>
  </si>
  <si>
    <t>[458.0, 426.0, 355.0, nan]</t>
  </si>
  <si>
    <t>[-86.0, 61.0, 363.0, nan]</t>
  </si>
  <si>
    <t>[571.0, 520.0, 870.0, 912.0]</t>
  </si>
  <si>
    <t>[879.0, 871.0, 1071.0, nan]</t>
  </si>
  <si>
    <t>[778.0, 856.0, 853.0, nan]</t>
  </si>
  <si>
    <t>[671.0, 714.0, 938.0, nan]</t>
  </si>
  <si>
    <t>[1211.0, 1232.0, 1236.0, 1312.0]</t>
  </si>
  <si>
    <t>[492.0, 513.0, 561.0, nan]</t>
  </si>
  <si>
    <t>[282.0, 276.0, 275.0, nan]</t>
  </si>
  <si>
    <t>[279.0, 633.0, 728.0, nan]</t>
  </si>
  <si>
    <t>[543.0, 389.0, 271.0, nan]</t>
  </si>
  <si>
    <t>[40.0, 88.0, 26.0, nan]</t>
  </si>
  <si>
    <t>[642.0, 602.0, 521.0, nan]</t>
  </si>
  <si>
    <t>[515.0, 751.0, 696.0, nan]</t>
  </si>
  <si>
    <t>[38.0, -50.0, 339.0, nan]</t>
  </si>
  <si>
    <t>[62.0, 92.0, 2.0, nan]</t>
  </si>
  <si>
    <t>[452.0, 453.0, 451.0, nan]</t>
  </si>
  <si>
    <t>[662.0, 744.0, 806.0, nan]</t>
  </si>
  <si>
    <t>[67.0, 82.0, 83.0, nan]</t>
  </si>
  <si>
    <t>[nan, nan, 92.0, nan]</t>
  </si>
  <si>
    <t>[116.0, 169.0, 286.0, nan]</t>
  </si>
  <si>
    <t>[319.0, 320.0, 339.0, nan]</t>
  </si>
  <si>
    <t>[734.0, 738.0, 765.0, nan]</t>
  </si>
  <si>
    <t>[910.0, 1454.0, 1527.0, nan]</t>
  </si>
  <si>
    <t>[83.0, 111.0, 1089.0, 930.0]</t>
  </si>
  <si>
    <t>[647.0, 850.0, 864.0, nan]</t>
  </si>
  <si>
    <t>[669.0, 1138.0, 950.0, 940.0]</t>
  </si>
  <si>
    <t>[83.0, 115.0, 262.0, nan]</t>
  </si>
  <si>
    <t>[711.0, 870.0, 770.0, nan]</t>
  </si>
  <si>
    <t>[339.0, 266.0, 258.0, 480.0]</t>
  </si>
  <si>
    <t>[594.0, 223.0, 77.0, nan]</t>
  </si>
  <si>
    <t>[542.0, 540.0, 531.0, nan]</t>
  </si>
  <si>
    <t>[513.0, 543.0, 567.0, nan]</t>
  </si>
  <si>
    <t>[1022.0, 1033.0, 986.0, nan]</t>
  </si>
  <si>
    <t>[298.0, 1112.0, 1326.0, nan]</t>
  </si>
  <si>
    <t>[89.0, 110.0, 257.0, nan]</t>
  </si>
  <si>
    <t>[142.0, 330.0, 255.0, nan]</t>
  </si>
  <si>
    <t>[1139.0, 3205.0, 2969.0, nan]</t>
  </si>
  <si>
    <t>[482.0, 513.0, 564.0, nan]</t>
  </si>
  <si>
    <t>[302.0, 391.0, 650.0, nan]</t>
  </si>
  <si>
    <t>[109.0, 152.0, 158.0, nan]</t>
  </si>
  <si>
    <t>[645.0, 745.0, 850.0, nan]</t>
  </si>
  <si>
    <t>[183.0, 164.0, 217.0, 300.0]</t>
  </si>
  <si>
    <t>[1210.0, 1575.0, 1564.0, 1650.0]</t>
  </si>
  <si>
    <t>[332.0, 349.0, 405.0, nan]</t>
  </si>
  <si>
    <t>[3246.0, 2443.0, 2178.0, 2075.0]</t>
  </si>
  <si>
    <t>[619.0, 629.0, 657.0, 747.0]</t>
  </si>
  <si>
    <t>[427.0, 400.0, 383.0, nan]</t>
  </si>
  <si>
    <t>[216.0, 217.0, 115.0, nan]</t>
  </si>
  <si>
    <t>[1643.0, 1824.0, 2058.0, nan]</t>
  </si>
  <si>
    <t>[133.0, 241.0, 306.0, nan]</t>
  </si>
  <si>
    <t>[432.0, 455.0, 451.0, nan]</t>
  </si>
  <si>
    <t>[425.0, 429.0, 427.0, nan]</t>
  </si>
  <si>
    <t>[165.0, 169.0, 184.0, nan]</t>
  </si>
  <si>
    <t>[487.0, 446.0, 654.0, nan]</t>
  </si>
  <si>
    <t>[741.0, 799.0, 852.0, nan]</t>
  </si>
  <si>
    <t>[420.0, 481.0, 537.0, 590.0]</t>
  </si>
  <si>
    <t>[233.0, 578.0, 580.0, nan]</t>
  </si>
  <si>
    <t>[522.0, 529.0, 524.0, nan]</t>
  </si>
  <si>
    <t>[94.0, 112.0, 276.0, nan]</t>
  </si>
  <si>
    <t>[566.0, 660.0, 668.0, nan]</t>
  </si>
  <si>
    <t>[227.0, 183.0, 209.0, nan]</t>
  </si>
  <si>
    <t>[183.0, 92.0, 15.0, nan]</t>
  </si>
  <si>
    <t>[348.0, 385.0, 387.0, nan]</t>
  </si>
  <si>
    <t>[643.0, 618.0, 640.0, 649.0]</t>
  </si>
  <si>
    <t>[393.0, 486.0, 498.0, nan]</t>
  </si>
  <si>
    <t>[762.0, 698.0, 699.0, nan]</t>
  </si>
  <si>
    <t>[2.0, 39.0, 29.0, nan]</t>
  </si>
  <si>
    <t>[151.0, 408.0, 542.0, nan]</t>
  </si>
  <si>
    <t>[851.0, 822.0, 517.0, nan]</t>
  </si>
  <si>
    <t>[367.0, 374.0, 279.0, nan]</t>
  </si>
  <si>
    <t>[292.0, 301.0, 444.0, nan]</t>
  </si>
  <si>
    <t>[358.0, 248.0, 254.0, nan]</t>
  </si>
  <si>
    <t>[22.0, 16.0, 150.0, nan]</t>
  </si>
  <si>
    <t>[434.0, 394.0, 360.0, nan]</t>
  </si>
  <si>
    <t>[603.0, 567.0, 611.0, nan]</t>
  </si>
  <si>
    <t>[209.0, 139.0, 106.0, nan]</t>
  </si>
  <si>
    <t>[352.0, 357.0, 402.0, nan]</t>
  </si>
  <si>
    <t>[708.0, 773.0, 846.0, nan]</t>
  </si>
  <si>
    <t>[235.0, 597.0, 623.0, nan]</t>
  </si>
  <si>
    <t>[145.0, 202.0, 220.0, nan]</t>
  </si>
  <si>
    <t>[1222.0, 1267.0, 1220.0, nan]</t>
  </si>
  <si>
    <t>[931.0, 1595.0, 2721.0, nan]</t>
  </si>
  <si>
    <t>[213.0, 387.0, 593.0, nan]</t>
  </si>
  <si>
    <t>[6445.0, 7496.0, 9975.0, 10836.0]</t>
  </si>
  <si>
    <t>[682.0, 221.0, 335.0, nan]</t>
  </si>
  <si>
    <t>[557.0, 278.0, 130.0, nan]</t>
  </si>
  <si>
    <t>[761.0, 395.0, 273.0, nan]</t>
  </si>
  <si>
    <t>[541.0, 475.0, 515.0, nan]</t>
  </si>
  <si>
    <t>[nan, nan, 7459.0, nan]</t>
  </si>
  <si>
    <t>[1142.0, 1052.0, 988.0, nan]</t>
  </si>
  <si>
    <t>[880.0, 931.0, 1007.0, nan]</t>
  </si>
  <si>
    <t>[326.0, 322.0, 322.0, nan]</t>
  </si>
  <si>
    <t>[3075.0, 3261.0, 3062.0, nan]</t>
  </si>
  <si>
    <t>[975.0, 1080.0, 1185.0, nan]</t>
  </si>
  <si>
    <t>[510.0, 518.0, -73.0, nan]</t>
  </si>
  <si>
    <t>[165.0, 166.0, 206.0, 230.0]</t>
  </si>
  <si>
    <t>[758.0, 696.0, 934.0, nan]</t>
  </si>
  <si>
    <t>[3516.0, 3717.0, 4336.0, 5340.0]</t>
  </si>
  <si>
    <t>[576.0, 770.0, 949.0, nan]</t>
  </si>
  <si>
    <t>[9822.0, 10881.0, 10783.0, 14183.0]</t>
  </si>
  <si>
    <t>[1289.0, 522.0, 706.0, nan]</t>
  </si>
  <si>
    <t>[4654.0, 4426.0, 4660.0, 5443.0]</t>
  </si>
  <si>
    <t>[235.0, 232.0, 251.0, nan]</t>
  </si>
  <si>
    <t>[2678.0, 3367.0, 3970.0, 3968.0]</t>
  </si>
  <si>
    <t>[2089.0, 1999.0, 1808.0, 1640.0]</t>
  </si>
  <si>
    <t>[696.0, 885.0, 1033.0, nan]</t>
  </si>
  <si>
    <t>[327.0, 343.0, 171.0, nan]</t>
  </si>
  <si>
    <t>[1520.0, 1616.0, 1542.0, nan]</t>
  </si>
  <si>
    <t>[2131.0, 2015.0, 2615.0, 2845.0]</t>
  </si>
  <si>
    <t>[3207.0, 3798.0, 4486.0, 5559.0]</t>
  </si>
  <si>
    <t>[472.0, 563.0, 471.0, nan]</t>
  </si>
  <si>
    <t>[2853.0, 2604.0, 2715.0, nan]</t>
  </si>
  <si>
    <t>[4757.0, 4122.0, 3978.0, 4152.0]</t>
  </si>
  <si>
    <t>[561.0, 540.0, 499.0, nan]</t>
  </si>
  <si>
    <t>[5075.0, 5744.0, 5934.0, 6295.0]</t>
  </si>
  <si>
    <t>[7117.0, 7032.0, 7238.0, 7030.0]</t>
  </si>
  <si>
    <t>[6652.0, 6531.0, 6457.0, nan]</t>
  </si>
  <si>
    <t>[2062.0, 2156.0, 2197.0, 2627.0]</t>
  </si>
  <si>
    <t>[2843.0, 3074.0, 3407.0, 3620.0]</t>
  </si>
  <si>
    <t>[1084.0, 1124.0, 1203.0, nan]</t>
  </si>
  <si>
    <t>[475.0, 503.0, 480.0, nan]</t>
  </si>
  <si>
    <t>[593.0, 528.0, 352.0, nan]</t>
  </si>
  <si>
    <t>[11404.0, 10094.0, 11419.0, 12480.0]</t>
  </si>
  <si>
    <t>[618.0, 947.0, 675.0, nan]</t>
  </si>
  <si>
    <t>[3051.0, 4384.0, 4714.0, 5627.0]</t>
  </si>
  <si>
    <t>[3103.0, 3037.0, 3127.0, 3548.0]</t>
  </si>
  <si>
    <t>[994.0, 996.0, 979.0, nan]</t>
  </si>
  <si>
    <t>[12168.0, 11617.0, 10325.0, 10909.0]</t>
  </si>
  <si>
    <t>[1057.0, 988.0, 1397.0, nan]</t>
  </si>
  <si>
    <t>[741.0, 883.0, 1470.0, nan]</t>
  </si>
  <si>
    <t>[2181.0, 2654.0, 3435.0, 3714.0]</t>
  </si>
  <si>
    <t>[3671.0, 3316.0, 3330.0, 3550.0]</t>
  </si>
  <si>
    <t>[1270.0, 1264.0, 541.0, nan]</t>
  </si>
  <si>
    <t>[2836.0, 2770.0, 2786.0, 2760.0]</t>
  </si>
  <si>
    <t>[4373.0, 4349.0, 4120.0, nan]</t>
  </si>
  <si>
    <t>[5304.0, 5284.0, 5713.0, 6200.0]</t>
  </si>
  <si>
    <t>[827.0, 810.0, 503.0, 221.0]</t>
  </si>
  <si>
    <t>[966.0, 1018.0, 1798.0, nan]</t>
  </si>
  <si>
    <t>[1919.0, 1875.0, 1969.0, nan]</t>
  </si>
  <si>
    <t>[507.0, 510.0, 519.0, nan]</t>
  </si>
  <si>
    <t>[1727.0, 1637.0, 1376.0, nan]</t>
  </si>
  <si>
    <t>[2843.0, 2768.0, 2529.0, 2610.0]</t>
  </si>
  <si>
    <t>[1921.0, 1903.0, 1794.0, nan]</t>
  </si>
  <si>
    <t>[346.0, 309.0, 252.0, nan]</t>
  </si>
  <si>
    <t>[665.0, 663.0, 627.0, nan]</t>
  </si>
  <si>
    <t>[2197.0, 2235.0, 2202.0, nan]</t>
  </si>
  <si>
    <t>[135.0, 325.0, 458.0, nan]</t>
  </si>
  <si>
    <t>[686.0, 734.0, 1375.0, nan]</t>
  </si>
  <si>
    <t>[2816.0, 3086.0, 3037.0, nan]</t>
  </si>
  <si>
    <t>[1727.0, 1776.0, 760.0, nan]</t>
  </si>
  <si>
    <t>[6723.0, 7275.0, 7637.0, 8052.0]</t>
  </si>
  <si>
    <t>[3357.0, 3360.0, 3420.0, nan]</t>
  </si>
  <si>
    <t>[16000.0, 16417.0, 16463.0, 18513.0]</t>
  </si>
  <si>
    <t>[1584.0, 3370.0, 3188.0, 2870.0]</t>
  </si>
  <si>
    <t>[8461.0, 8826.0, 9466.0, 10089.0]</t>
  </si>
  <si>
    <t>[1780.0, 1849.0, 1700.0, nan]</t>
  </si>
  <si>
    <t>[365.0, 294.0, 241.0, nan]</t>
  </si>
  <si>
    <t>[2050.0, 2570.0, 2885.0, nan]</t>
  </si>
  <si>
    <t>[60.0, 3.0, -32.0, nan]</t>
  </si>
  <si>
    <t>[2636.0, 2697.0, 1845.0, nan]</t>
  </si>
  <si>
    <t>[40291.0, 51369.0, 52254.0, 58685.0]</t>
  </si>
  <si>
    <t>[285.0, 267.0, 229.0, nan]</t>
  </si>
  <si>
    <t>[471.0, 619.0, 510.0, nan]</t>
  </si>
  <si>
    <t>[480.0, 628.0, 526.0, nan]</t>
  </si>
  <si>
    <t>[759.0, 788.0, 974.0, nan]</t>
  </si>
  <si>
    <t>[2318.0, 2662.0, 1917.0, nan]</t>
  </si>
  <si>
    <t>[3314.0, 3824.0, 3251.0, 1678.0]</t>
  </si>
  <si>
    <t>[293.0, 288.0, 267.0, nan]</t>
  </si>
  <si>
    <t>[342.0, 354.0, 411.0, nan]</t>
  </si>
  <si>
    <t>[196.0, 268.0, 203.0, nan]</t>
  </si>
  <si>
    <t>[1315.0, 1762.0, 3741.0, 4528.0]</t>
  </si>
  <si>
    <t>[474.0, 435.0, 389.0, nan]</t>
  </si>
  <si>
    <t>[4089.0, 4293.0, 4689.0, 5160.0]</t>
  </si>
  <si>
    <t>[1420.0, 1477.0, 1585.0, nan]</t>
  </si>
  <si>
    <t>[4017.0, 4287.0, 4735.0, nan]</t>
  </si>
  <si>
    <t>[464.0, 483.0, 480.0, nan]</t>
  </si>
  <si>
    <t>[19787.0, 20367.0, 22168.0, 22217.0]</t>
  </si>
  <si>
    <t>[1112.0, 1169.0, 1404.0, 1749.0]</t>
  </si>
  <si>
    <t>[629.0, 669.0, 715.0, nan]</t>
  </si>
  <si>
    <t>[368.0, 335.0, 661.0, nan]</t>
  </si>
  <si>
    <t>[136.0, 168.0, 217.0, nan]</t>
  </si>
  <si>
    <t>[256.0, 378.0, 464.0, 561.0]</t>
  </si>
  <si>
    <t>[853.0, 833.0, 945.0, nan]</t>
  </si>
  <si>
    <t>[1231.0, 1566.0, 1991.0, 1971.0]</t>
  </si>
  <si>
    <t>[2482.0, 2587.0, 2513.0, nan]</t>
  </si>
  <si>
    <t>[173.0, 261.0, 247.0, nan]</t>
  </si>
  <si>
    <t>[1715.0, 1984.0, 2242.0, 2580.0]</t>
  </si>
  <si>
    <t>[1045.0, 1159.0, 1272.0, 1542.0]</t>
  </si>
  <si>
    <t>[630.0, 631.0, 676.0, nan]</t>
  </si>
  <si>
    <t>[1277.0, 1179.0, 1110.0, nan]</t>
  </si>
  <si>
    <t>[385.0, 293.0, 305.0, nan]</t>
  </si>
  <si>
    <t>[243.0, 181.0, 204.0, nan]</t>
  </si>
  <si>
    <t>[1087.0, 1032.0, 1025.0, nan]</t>
  </si>
  <si>
    <t>[2053.0, 2069.0, 2050.0, nan]</t>
  </si>
  <si>
    <t>[621.0, 591.0, 604.0, nan]</t>
  </si>
  <si>
    <t>[1850.0, 1906.0, 1959.0, nan]</t>
  </si>
  <si>
    <t>[519.0, 656.0, 637.0, nan]</t>
  </si>
  <si>
    <t>[1485.0, 2044.0, 2189.0, nan]</t>
  </si>
  <si>
    <t>[2093.0, 1753.0, 1855.0, 1927.0]</t>
  </si>
  <si>
    <t>[1869.0, 2133.0, 2494.0, nan]</t>
  </si>
  <si>
    <t>[2056.0, 2137.0, 2255.0, 2614.0]</t>
  </si>
  <si>
    <t>[536.0, 669.0, 760.0, nan]</t>
  </si>
  <si>
    <t>[2502.0, 2668.0, 2940.0, nan]</t>
  </si>
  <si>
    <t>[450.0, 407.0, 279.0, nan]</t>
  </si>
  <si>
    <t>[269.0, 295.0, 273.0, nan]</t>
  </si>
  <si>
    <t>[235.0, 477.0, 707.0, nan]</t>
  </si>
  <si>
    <t>[313.0, 263.0, 274.0, nan]</t>
  </si>
  <si>
    <t>[558.0, 628.0, 732.0, nan]</t>
  </si>
  <si>
    <t>[514.0, 502.0, 522.0, nan]</t>
  </si>
  <si>
    <t>[431.0, 421.0, 421.0, nan]</t>
  </si>
  <si>
    <t>[837.0, 898.0, 870.0, nan]</t>
  </si>
  <si>
    <t>[230.0, 338.0, 382.0, nan]</t>
  </si>
  <si>
    <t>[38.0, 95.0, 368.0, nan]</t>
  </si>
  <si>
    <t>[243.0, 282.0, 321.0, nan]</t>
  </si>
  <si>
    <t>[444.0, 321.0, 288.0, nan]</t>
  </si>
  <si>
    <t>[483.0, 377.0, 182.0, nan]</t>
  </si>
  <si>
    <t>[359.0, 255.0, 656.0, nan]</t>
  </si>
  <si>
    <t>[233.0, 594.0, 536.0, nan]</t>
  </si>
  <si>
    <t>[415.0, 501.0, 488.0, nan]</t>
  </si>
  <si>
    <t>[1149.0, 1125.0, 1164.0, nan]</t>
  </si>
  <si>
    <t>[3857.0, 3762.0, 4718.0, 5778.0]</t>
  </si>
  <si>
    <t>[717.0, 954.0, 959.0, nan]</t>
  </si>
  <si>
    <t>[nan, nan, 4.0, nan]</t>
  </si>
  <si>
    <t>[nan, 4.0, 83.0, nan]</t>
  </si>
  <si>
    <t>[nan, 91.0, 92.0, nan]</t>
  </si>
  <si>
    <t>[849.0, 1268.0, 1589.0, 1867.0]</t>
  </si>
  <si>
    <t>[172.0, 148.0, 98.0, nan]</t>
  </si>
  <si>
    <t>[nan, 8682.0, 8871.0, nan]</t>
  </si>
  <si>
    <t>[1605.0, 1684.0, 1699.0, 1885.0]</t>
  </si>
  <si>
    <t>[624.0, 478.0, 517.0, nan]</t>
  </si>
  <si>
    <t>[996.0, 1008.0, 921.0, nan]</t>
  </si>
  <si>
    <t>[2580.0, 2798.0, 3486.0, 4239.0]</t>
  </si>
  <si>
    <t>[6675.0, 7644.0, 9192.0, 7263.0]</t>
  </si>
  <si>
    <t>[591.0, 633.0, 625.0, nan]</t>
  </si>
  <si>
    <t>[10398.0, 8510.0, 7000.0, 6977.0]</t>
  </si>
  <si>
    <t>[4115.0, 4461.0, 5094.0, 5607.0]</t>
  </si>
  <si>
    <t>[8363.0, 9211.0, 9366.0, 9754.0]</t>
  </si>
  <si>
    <t>[2210.0, 2376.0, 3179.0, 3090.0]</t>
  </si>
  <si>
    <t>[981.0, 1070.0, 876.0, nan]</t>
  </si>
  <si>
    <t>[13440.0, 10440.0, 8240.0, 12051.0]</t>
  </si>
  <si>
    <t>[2882.0, 2863.0, 2434.0, nan]</t>
  </si>
  <si>
    <t>[1809.0, 1963.0, 2085.0, 2367.0]</t>
  </si>
  <si>
    <t>[3168.0, 8210.0, 9684.0, 10027.0]</t>
  </si>
  <si>
    <t>[60151.0, 60900.0, 57282.0, 61804.0]</t>
  </si>
  <si>
    <t>[702.0, 771.0, 859.0, nan]</t>
  </si>
  <si>
    <t>[388.0, 312.0, 263.0, nan]</t>
  </si>
  <si>
    <t>[15214.0, 15206.0, 12468.0, 14135.0]</t>
  </si>
  <si>
    <t>[5779.0, -7077.0, 2451.0, nan]</t>
  </si>
  <si>
    <t>[4570.0, 4614.0, 4922.0, nan]</t>
  </si>
  <si>
    <t>[2093.0, 1764.0, 2046.0, nan]</t>
  </si>
  <si>
    <t>[nan, 3858.0, 3234.0, 2858.0]</t>
  </si>
  <si>
    <t>[nan, 4037.0, 4890.0, 5652.0]</t>
  </si>
  <si>
    <t>[1765.0, 2080.0, 2125.0, nan]</t>
  </si>
  <si>
    <t>[108.0, 447.0, 394.0, nan]</t>
  </si>
  <si>
    <t>[nan, nan, 60.0, nan]</t>
  </si>
  <si>
    <t>[804.0, 716.0, 732.0, nan]</t>
  </si>
  <si>
    <t>[1561.0, 1548.0, 1600.0, nan]</t>
  </si>
  <si>
    <t>[449.0, 498.0, 310.0, nan]</t>
  </si>
  <si>
    <t>[468.0, 398.0, 429.0, nan]</t>
  </si>
  <si>
    <t>[382.0, 300.0, 302.0, nan]</t>
  </si>
  <si>
    <t>[507.0, 339.0, 332.0, nan]</t>
  </si>
  <si>
    <t>[242.0, 300.0, 363.0, nan]</t>
  </si>
  <si>
    <t>[1360.0, 731.0, 309.0, nan]</t>
  </si>
  <si>
    <t>[1352.0, 1515.0, 1660.0, 1907.0]</t>
  </si>
  <si>
    <t>[237.0, 236.0, 165.0, nan]</t>
  </si>
  <si>
    <t>[189.0, 226.0, 218.0, nan]</t>
  </si>
  <si>
    <t>[979.0, 1040.0, 1802.0, nan]</t>
  </si>
  <si>
    <t>[1802.0, 1958.0, 2014.0, 1697.0]</t>
  </si>
  <si>
    <t>[821.0, 815.0, 823.0, nan]</t>
  </si>
  <si>
    <t>[895.0, 1064.0, 1141.0, 1438.0]</t>
  </si>
  <si>
    <t>[308.0, 344.0, 334.0, nan]</t>
  </si>
  <si>
    <t>[820.0, 858.0, 887.0, 910.0]</t>
  </si>
  <si>
    <t>[405.0, 416.0, 362.0, nan]</t>
  </si>
  <si>
    <t>[1777.0, 1881.0, 2133.0, nan]</t>
  </si>
  <si>
    <t>[3919.0, 4053.0, 4230.0, 4620.0]</t>
  </si>
  <si>
    <t>[5446.0, 5696.0, 6276.0, nan]</t>
  </si>
  <si>
    <t>[381.0, 393.0, 369.0, nan]</t>
  </si>
  <si>
    <t>[1292.0, 1403.0, 1505.0, nan]</t>
  </si>
  <si>
    <t>[4021.0, 4129.0, 4186.0, nan]</t>
  </si>
  <si>
    <t>[8128.0, 8043.0, 8128.0, nan]</t>
  </si>
  <si>
    <t>[10402.0, 10596.0, 10487.0, 10979.0]</t>
  </si>
  <si>
    <t>[43295.0, 43744.0, 44518.0, 49941.0]</t>
  </si>
  <si>
    <t>[628.0, 688.0, 757.0, nan]</t>
  </si>
  <si>
    <t>[4212.0, 4247.0, 4340.0, nan]</t>
  </si>
  <si>
    <t>[876.0, 831.0, 862.0, nan]</t>
  </si>
  <si>
    <t>[1478.0, 1687.0, 1791.0, nan]</t>
  </si>
  <si>
    <t>[433.0, 491.0, 529.0, nan]</t>
  </si>
  <si>
    <t>[1861.0, 1727.0, 1602.0, nan]</t>
  </si>
  <si>
    <t>[8953.0, 13417.0, 12926.0, 12020.0]</t>
  </si>
  <si>
    <t>[623.0, 493.0, 318.0, nan]</t>
  </si>
  <si>
    <t>[908.0, 1249.0, 1726.0, nan]</t>
  </si>
  <si>
    <t>[569.0, 788.0, 676.0, nan]</t>
  </si>
  <si>
    <t>[1097.0, 1072.0, 1085.0, nan]</t>
  </si>
  <si>
    <t>[677.0, 687.0, 609.0, nan]</t>
  </si>
  <si>
    <t>[178.0, 136.0, 320.0, nan]</t>
  </si>
  <si>
    <t>[426.0, 479.0, 645.0, nan]</t>
  </si>
  <si>
    <t>[5194.0, 4941.0, 5193.0, nan]</t>
  </si>
  <si>
    <t>[803.0, 814.0, 804.0, nan]</t>
  </si>
  <si>
    <t>[1680.0, 1835.0, 2049.0, 2214.0]</t>
  </si>
  <si>
    <t>[643.0, 575.0, 701.0, nan]</t>
  </si>
  <si>
    <t>[nan, nan, 1668.0, nan]</t>
  </si>
  <si>
    <t>[33868.0, 28048.0, 25621.0, nan]</t>
  </si>
  <si>
    <t>[nan, nan, 1406.0, 1657.0]</t>
  </si>
  <si>
    <t>[2969.0, 2971.0, 3009.0, nan]</t>
  </si>
  <si>
    <t>[3866.0, 4245.0, 4537.0, nan]</t>
  </si>
  <si>
    <t>[530.0, 791.0, 798.0, nan]</t>
  </si>
  <si>
    <t>[610.0, 665.0, 1111.0, nan]</t>
  </si>
  <si>
    <t>[5812.0, 5794.0, 6459.0, 6810.0]</t>
  </si>
  <si>
    <t>[9128.0, 7342.0, 7451.0, 7770.0]</t>
  </si>
  <si>
    <t>[12202.0, 12641.0, 13379.0, nan]</t>
  </si>
  <si>
    <t>[1639.0, 1740.0, 1818.0, nan]</t>
  </si>
  <si>
    <t>[1036.0, 1050.0, 902.0, nan]</t>
  </si>
  <si>
    <t>[2358.0, 2487.0, 2526.0, 2650.0]</t>
  </si>
  <si>
    <t>[594.0, 575.0, 469.0, nan]</t>
  </si>
  <si>
    <t>[653.0, 628.0, 630.0, nan]</t>
  </si>
  <si>
    <t>[1810.0, 1794.0, 3597.0, 3977.0]</t>
  </si>
  <si>
    <t>[269.0, 292.0, 264.0, nan]</t>
  </si>
  <si>
    <t>[36294.0, 30395.0, 26562.0, 32513.0]</t>
  </si>
  <si>
    <t>[3210.0, 3053.0, 2957.0, nan]</t>
  </si>
  <si>
    <t>[1685.0, 1770.0, 1266.0, nan]</t>
  </si>
  <si>
    <t>[295.0, 549.0, 802.0, nan]</t>
  </si>
  <si>
    <t>[888.0, 926.0, 958.0, nan]</t>
  </si>
  <si>
    <t>[1366.0, 1455.0, 1544.0, nan]</t>
  </si>
  <si>
    <t>[1944.0, 2068.0, 2185.0, nan]</t>
  </si>
  <si>
    <t>[6040.0, 6501.0, 6340.0, 6613.0]</t>
  </si>
  <si>
    <t>[161685.0, 170830.0, 170050.0, 182412.0]</t>
  </si>
  <si>
    <t>[132243.0, 142533.0, 143301.0, 160268.0]</t>
  </si>
  <si>
    <t>[19508.0, 21182.0, 22046.0, 25009.0]</t>
  </si>
  <si>
    <t>[29962.0, 35121.0, 41467.0, 47869.0]</t>
  </si>
  <si>
    <t>[419.0, 529.0, 185.0, nan]</t>
  </si>
  <si>
    <t>[411.0, 61.0, 8891.0, nan]</t>
  </si>
  <si>
    <t>[2174.0, 2196.0, 2079.0, nan]</t>
  </si>
  <si>
    <t>[762.0, 780.0, 755.0, nan]</t>
  </si>
  <si>
    <t>[1661.0, 1818.0, 1496.0, nan]</t>
  </si>
  <si>
    <t>[2708.0, 2601.0, 2301.0, nan]</t>
  </si>
  <si>
    <t>[1021.0, 1093.0, 1226.0, 1410.0]</t>
  </si>
  <si>
    <t>[2261.0, 2028.0, 1364.0, nan]</t>
  </si>
  <si>
    <t>[5432.0, 2310.0, 1885.0, 1971.0]</t>
  </si>
  <si>
    <t>[8948.0, 10385.0, 10890.0, 16634.0]</t>
  </si>
  <si>
    <t>[20304.0, 20879.0, 21738.0, 22924.0]</t>
  </si>
  <si>
    <t>[5321.0, 5621.0, 5852.0, 4976.0]</t>
  </si>
  <si>
    <t>[601.0, 618.0, 644.0, nan]</t>
  </si>
  <si>
    <t>[23487.0, 26541.0, 29918.0, 31485.0]</t>
  </si>
  <si>
    <t>[3080.0, 2597.0, 2704.0, 790.0]</t>
  </si>
  <si>
    <t>[3886.0, 5217.0, 6226.0, 7241.0]</t>
  </si>
  <si>
    <t>[11457.0, 12945.0, 13606.0, 14171.0]</t>
  </si>
  <si>
    <t>[1171.0, 1249.0, 1406.0, 1479.0]</t>
  </si>
  <si>
    <t>[659.0, 623.0, 574.0, nan]</t>
  </si>
  <si>
    <t>[6966.0, 6918.0, 7156.0, 10500.0]</t>
  </si>
  <si>
    <t>[1415.0, 1490.0, 1492.0, nan]</t>
  </si>
  <si>
    <t>[2565.0, 2799.0, 3008.0, 3430.0]</t>
  </si>
  <si>
    <t>[1769.0, 1830.0, 1840.0, nan]</t>
  </si>
  <si>
    <t>[405.0, 265.0, 218.0, nan]</t>
  </si>
  <si>
    <t>[35011.0, 35867.0, 37177.0, 32212.0]</t>
  </si>
  <si>
    <t>[958.0, 961.0, 922.0, nan]</t>
  </si>
  <si>
    <t>[1456.0, 1705.0, 1352.0, nan]</t>
  </si>
  <si>
    <t>[426.0, 638.0, 565.0, nan]</t>
  </si>
  <si>
    <t>[2802.0, 3141.0, 3228.0, 3233.0]</t>
  </si>
  <si>
    <t>[472.0, 586.0, -130.0, nan]</t>
  </si>
  <si>
    <t>[47623.0, 52403.0, 58052.0, 67885.0]</t>
  </si>
  <si>
    <t>[2413.0, 2469.0, 3447.0, 4670.0]</t>
  </si>
  <si>
    <t>[2586.0, 3478.0, 3614.0, 5409.0]</t>
  </si>
  <si>
    <t>[14500.0, 15327.0, 15593.0, 18367.0]</t>
  </si>
  <si>
    <t>[1056.0, 1035.0, 974.0, nan]</t>
  </si>
  <si>
    <t>[2915.0, 2790.0, 2735.0, nan]</t>
  </si>
  <si>
    <t>[68426.0, 64692.0, 64966.0, 55607.0]</t>
  </si>
  <si>
    <t>[7205.0, 7276.0, 7360.0, 7800.0]</t>
  </si>
  <si>
    <t>[5579.0, 6443.0, 6857.0, 7064.0]</t>
  </si>
  <si>
    <t>[15066.0, 15823.0, 15788.0, 16611.0]</t>
  </si>
  <si>
    <t>[1089.0, 1421.0, 2211.0, nan]</t>
  </si>
  <si>
    <t>[1707.0, 2836.0, 3012.0, nan]</t>
  </si>
  <si>
    <t>[908.0, 782.0, 859.0, nan]</t>
  </si>
  <si>
    <t>[236.0, 242.0, 69.0, nan]</t>
  </si>
  <si>
    <t>[597.0, 591.0, 542.0, nan]</t>
  </si>
  <si>
    <t>[2069.0, 2045.0, 2054.0, nan]</t>
  </si>
  <si>
    <t>[11458.0, 9392.0, 7929.0, 7697.0]</t>
  </si>
  <si>
    <t>[1370.0, 1546.0, 1414.0, nan]</t>
  </si>
  <si>
    <t>[41538.0, 44220.0, 44895.0, 45284.0]</t>
  </si>
  <si>
    <t>[29973.0, 31188.0, 33673.0, 33328.0]</t>
  </si>
  <si>
    <t>[693.0, 556.0, 577.0, nan]</t>
  </si>
  <si>
    <t>[3017.0, 3021.0, 3410.0, 3991.0]</t>
  </si>
  <si>
    <t>[223.0, 231.0, 306.0, nan]</t>
  </si>
  <si>
    <t>[74.0, 36.0, 32.0, nan]</t>
  </si>
  <si>
    <t>[383.0, 421.0, 539.0, nan]</t>
  </si>
  <si>
    <t>[7752.0, 6933.0, 4031.0, nan]</t>
  </si>
  <si>
    <t>[19604.0, 19349.0, 18025.0, 17256.0]</t>
  </si>
  <si>
    <t>[864.0, 873.0, 880.0, nan]</t>
  </si>
  <si>
    <t>[2098.0, 2065.0, 2082.0, nan]</t>
  </si>
  <si>
    <t>[567.0, 666.0, 695.0, nan]</t>
  </si>
  <si>
    <t>[4943.0, 5428.0, 5973.0, 6323.0]</t>
  </si>
  <si>
    <t>[2303.0, 2308.0, 2374.0, nan]</t>
  </si>
  <si>
    <t>[819.0, 1141.0, 1222.0, nan]</t>
  </si>
  <si>
    <t>[218.0, 251.0, 320.0, nan]</t>
  </si>
  <si>
    <t>[924.0, 990.0, 1004.0, nan]</t>
  </si>
  <si>
    <t>[12078.0, 12623.0, 13276.0, 13865.0]</t>
  </si>
  <si>
    <t>[228.0, 246.0, 249.0, nan]</t>
  </si>
  <si>
    <t>[1222.0, 1523.0, 1081.0, nan]</t>
  </si>
  <si>
    <t>[13082.0, 14055.0, 16226.0, 18845.0]</t>
  </si>
  <si>
    <t>[1489.0, 1125.0, 992.0, nan]</t>
  </si>
  <si>
    <t>[2017.0, 2285.0, 2551.0, nan]</t>
  </si>
  <si>
    <t>[1339.0, 1342.0, 1039.0, nan]</t>
  </si>
  <si>
    <t>[255.0, 747.0, 763.0, nan]</t>
  </si>
  <si>
    <t>[3429.0, 2369.0, 728.0, nan]</t>
  </si>
  <si>
    <t>[811.0, 667.0, 526.0, nan]</t>
  </si>
  <si>
    <t>[1158.0, 1110.0, 1152.0, nan]</t>
  </si>
  <si>
    <t>[185.0, 184.0, 358.0, nan]</t>
  </si>
  <si>
    <t>[510.0, 567.0, 561.0, nan]</t>
  </si>
  <si>
    <t>[527.0, 648.0, 520.0, nan]</t>
  </si>
  <si>
    <t>[3034.0, 3188.0, 2471.0, nan]</t>
  </si>
  <si>
    <t>[10980.0, 12080.0, 12776.0, 13768.0]</t>
  </si>
  <si>
    <t>[702.0, 696.0, 707.0, nan]</t>
  </si>
  <si>
    <t>[1196.0, 1116.0, 1158.0, nan]</t>
  </si>
  <si>
    <t>[3988.0, 3581.0, 3182.0, nan]</t>
  </si>
  <si>
    <t>[1509.0, 1209.0, 897.0, nan]</t>
  </si>
  <si>
    <t>[4169.0, 4412.0, 4249.0, 4265.0]</t>
  </si>
  <si>
    <t>[27212.0, 23677.0, 24992.0, 30446.0]</t>
  </si>
  <si>
    <t>[768.0, 1505.0, 2463.0, nan]</t>
  </si>
  <si>
    <t>[1496.0, 1955.0, 3033.0, nan]</t>
  </si>
  <si>
    <t>[23089.0, 25240.0, 27942.0, 34140.0]</t>
  </si>
  <si>
    <t>[617.0, 808.0, 977.0, nan]</t>
  </si>
  <si>
    <t>[1968.0, 3488.0, 3904.0, 4183.0]</t>
  </si>
  <si>
    <t>[673.0, 272.0, 211.0, nan]</t>
  </si>
  <si>
    <t>[2361.0, 1972.0, 2084.0, nan]</t>
  </si>
  <si>
    <t>[405.0, 873.0, 1742.0, 8712.0]</t>
  </si>
  <si>
    <t>[113.0, 234.0, 660.0, nan]</t>
  </si>
  <si>
    <t>[781.0, 884.0, 395.0, nan]</t>
  </si>
  <si>
    <t>[1147.0, 1064.0, 1033.0, nan]</t>
  </si>
  <si>
    <t>[667.0, 524.0, 301.0, nan]</t>
  </si>
  <si>
    <t>[500.0, 523.0, 558.0, nan]</t>
  </si>
  <si>
    <t>[2113.0, 4134.0, 3262.0, nan]</t>
  </si>
  <si>
    <t>[996.0, 694.0, 800.0, nan]</t>
  </si>
  <si>
    <t>[2497.0, 2561.0, 2830.0, 3380.0]</t>
  </si>
  <si>
    <t>[432.0, 438.0, 439.0, nan]</t>
  </si>
  <si>
    <t>[1853.0, 2203.0, 2493.0, nan]</t>
  </si>
  <si>
    <t>[1811.0, 1977.0, 2246.0, nan]</t>
  </si>
  <si>
    <t>[606.0, 476.0, 651.0, nan]</t>
  </si>
  <si>
    <t>[732.0, 722.0, 732.0, nan]</t>
  </si>
  <si>
    <t>[700.0, 645.0, 651.0, nan]</t>
  </si>
  <si>
    <t>[895.0, 463.0, 794.0, nan]</t>
  </si>
  <si>
    <t>[977.0, 897.0, 765.0, nan]</t>
  </si>
  <si>
    <t>[303.0, 675.0, 569.0, nan]</t>
  </si>
  <si>
    <t>[13517.0, 14158.0, 15117.0, 14816.0]</t>
  </si>
  <si>
    <t>[866.0, 1029.0, 879.0, nan]</t>
  </si>
  <si>
    <t>[112573.0, 119340.0, 123249.0, 128871.0]</t>
  </si>
  <si>
    <t>[39765.0, 41555.0, 43545.0, 42590.0]</t>
  </si>
  <si>
    <t>[55583.0, 59825.0, 65458.0, 68260.0]</t>
  </si>
  <si>
    <t>[358.0, 424.0, 441.0, nan]</t>
  </si>
  <si>
    <t>[1570.0, 1554.0, 1572.0, 1779.0]</t>
  </si>
  <si>
    <t>[1907.0, 1678.0, 1766.0, nan]</t>
  </si>
  <si>
    <t>[322.0, 327.0, 398.0, nan]</t>
  </si>
  <si>
    <t>[237.0, 233.0, 224.0, nan]</t>
  </si>
  <si>
    <t>[291.0, 292.0, 272.0, nan]</t>
  </si>
  <si>
    <t>[2699.0, 2736.0, 2956.0, 3448.0]</t>
  </si>
  <si>
    <t>[881.0, 1003.0, 1025.0, nan]</t>
  </si>
  <si>
    <t>[267.0, 275.0, 250.0, nan]</t>
  </si>
  <si>
    <t>[-39.0, 149.0, 118.0, nan]</t>
  </si>
  <si>
    <t>[1935.0, 1979.0, 1975.0, nan]</t>
  </si>
  <si>
    <t>[10262.0, 10550.0, 13228.0, 16018.0]</t>
  </si>
  <si>
    <t>[512.0, 561.0, 623.0, nan]</t>
  </si>
  <si>
    <t>[1813.0, 1881.0, 1883.0, nan]</t>
  </si>
  <si>
    <t>[531.0, 459.0, 437.0, nan]</t>
  </si>
  <si>
    <t>[2001.0, 2309.0, 2837.0, 3579.0]</t>
  </si>
  <si>
    <t>[1043.0, 1057.0, 1088.0, nan]</t>
  </si>
  <si>
    <t>[877.0, 869.0, 907.0, nan]</t>
  </si>
  <si>
    <t>[57896.0, 67384.0, 52452.0, 44429.0]</t>
  </si>
  <si>
    <t>[939.0, 1317.0, 1428.0, nan]</t>
  </si>
  <si>
    <t>[42316.0, 48210.0, 52850.0, 58122.0]</t>
  </si>
  <si>
    <t>[461.0, 483.0, 211.0, nan]</t>
  </si>
  <si>
    <t>[650.0, 842.0, 920.0, nan]</t>
  </si>
  <si>
    <t>[2432.0, 2388.0, 2513.0, 2739.0]</t>
  </si>
  <si>
    <t>[-108.0, -459.0, 750.0, nan]</t>
  </si>
  <si>
    <t>[841.0, 846.0, 1157.0, nan]</t>
  </si>
  <si>
    <t>[286.0, 195.0, 248.0, nan]</t>
  </si>
  <si>
    <t>[701.0, 690.0, 719.0, nan]</t>
  </si>
  <si>
    <t>[1615.0, 1492.0, 1345.0, 1567.0]</t>
  </si>
  <si>
    <t>[757.0, 896.0, 1113.0, 1260.0]</t>
  </si>
  <si>
    <t>[341.0, 357.0, 401.0, nan]</t>
  </si>
  <si>
    <t>[185.0, 447.0, 463.0, nan]</t>
  </si>
  <si>
    <t>[424.0, 421.0, 490.0, nan]</t>
  </si>
  <si>
    <t>[1314.0, 1385.0, 1550.0, nan]</t>
  </si>
  <si>
    <t>[495.0, -871.0, -872.0, nan]</t>
  </si>
  <si>
    <t>[1080.0, 1204.0, 1414.0, nan]</t>
  </si>
  <si>
    <t>[320.0, 354.0, 373.0, nan]</t>
  </si>
  <si>
    <t>[48.0, 59.0, 93.0, nan]</t>
  </si>
  <si>
    <t>[587.0, 674.0, 703.0, nan]</t>
  </si>
  <si>
    <t>[1119.0, 840.0, 698.0, nan]</t>
  </si>
  <si>
    <t>[812.0, 901.0, 972.0, nan]</t>
  </si>
  <si>
    <t>[200.0, 13.0, 280.0, nan]</t>
  </si>
  <si>
    <t>[161.0, 684.0, 1090.0, nan]</t>
  </si>
  <si>
    <t>[317.0, 339.0, 307.0, nan]</t>
  </si>
  <si>
    <t>[64.0, 101.0, 188.0, nan]</t>
  </si>
  <si>
    <t>[220.0, 219.0, 624.0, nan]</t>
  </si>
  <si>
    <t>[nan, 83.0, 84.0, nan]</t>
  </si>
  <si>
    <t>[nan, 140.0, 141.0, nan]</t>
  </si>
  <si>
    <t>[851.0, 832.0, 752.0, nan]</t>
  </si>
  <si>
    <t>[268.0, 445.0, 449.0, nan]</t>
  </si>
  <si>
    <t>[5945.0, 6485.0, 6611.0, 6941.0]</t>
  </si>
  <si>
    <t>[1537.0, 1548.0, 1593.0, 1889.0]</t>
  </si>
  <si>
    <t>[366.0, 478.0, 507.0, nan]</t>
  </si>
  <si>
    <t>[774.0, 685.0, 654.0, nan]</t>
  </si>
  <si>
    <t>[572.0, 600.0, 616.0, nan]</t>
  </si>
  <si>
    <t>[515.0, 537.0, 597.0, nan]</t>
  </si>
  <si>
    <t>[49.0, 71.0, 60.0, nan]</t>
  </si>
  <si>
    <t>[417.0, 395.0, 90.0, nan]</t>
  </si>
  <si>
    <t>[705.0, 783.0, 801.0, nan]</t>
  </si>
  <si>
    <t>[1095.0, 1192.0, 1438.0, 1499.0]</t>
  </si>
  <si>
    <t>[884.0, 917.0, 923.0, nan]</t>
  </si>
  <si>
    <t>[309.0, 324.0, 345.0, nan]</t>
  </si>
  <si>
    <t>[382.0, 574.0, 621.0, 740.0]</t>
  </si>
  <si>
    <t>[579.0, 287.0, 247.0, nan]</t>
  </si>
  <si>
    <t>[nan, nan, 71.0, nan]</t>
  </si>
  <si>
    <t>[nan, 88.0, 89.0, nan]</t>
  </si>
  <si>
    <t>[456.0, 199.0, 294.0, nan]</t>
  </si>
  <si>
    <t>[386.0, 345.0, 349.0, nan]</t>
  </si>
  <si>
    <t>[1026.0, 889.0, 795.0, nan]</t>
  </si>
  <si>
    <t>[1413.0, 1485.0, 1579.0, 1720.0]</t>
  </si>
  <si>
    <t>[257.0, 534.0, 605.0, nan]</t>
  </si>
  <si>
    <t>[431.0, 394.0, 329.0, nan]</t>
  </si>
  <si>
    <t>[371.0, 303.0, 285.0, nan]</t>
  </si>
  <si>
    <t>[1076.0, 1014.0, 981.0, nan]</t>
  </si>
  <si>
    <t>[637.0, 852.0, 925.0, 1029.0]</t>
  </si>
  <si>
    <t>[288.0, 321.0, 429.0, 577.0]</t>
  </si>
  <si>
    <t>[988.0, 1034.0, 1129.0, nan]</t>
  </si>
  <si>
    <t>[927.0, 1186.0, 1537.0, nan]</t>
  </si>
  <si>
    <t>[nan, nan, 126.0, nan]</t>
  </si>
  <si>
    <t>[247.0, 284.0, 297.0, nan]</t>
  </si>
  <si>
    <t>[89.0, 87.0, 180.0, nan]</t>
  </si>
  <si>
    <t>[206.0, 220.0, 226.0, nan]</t>
  </si>
  <si>
    <t>[1362.0, 1266.0, 897.0, nan]</t>
  </si>
  <si>
    <t>[738.0, 751.0, 741.0, nan]</t>
  </si>
  <si>
    <t>[170.0, 242.0, 259.0, nan]</t>
  </si>
  <si>
    <t>[264.0, 313.0, 282.0, nan]</t>
  </si>
  <si>
    <t>[296.0, 328.0, 311.0, nan]</t>
  </si>
  <si>
    <t>[1362.0, 1333.0, 1241.0, 875.0]</t>
  </si>
  <si>
    <t>[691.0, 378.0, 301.0, nan]</t>
  </si>
  <si>
    <t>[79.0, 51.0, 40.0, nan]</t>
  </si>
  <si>
    <t>[69.0, 131.0, 257.0, nan]</t>
  </si>
  <si>
    <t>[460.0, 500.0, 533.0, nan]</t>
  </si>
  <si>
    <t>[532.0, 573.0, 428.0, nan]</t>
  </si>
  <si>
    <t>[24.0, 57.0, 10.0, nan]</t>
  </si>
  <si>
    <t>[564.0, 694.0, 704.0, nan]</t>
  </si>
  <si>
    <t>[679.0, 653.0, 735.0, 1164.0]</t>
  </si>
  <si>
    <t>[96.0, 104.0, 163.0, nan]</t>
  </si>
  <si>
    <t>[nan, 39.0, 142.0, 303.0]</t>
  </si>
  <si>
    <t>[92.0, 248.0, 340.0, nan]</t>
  </si>
  <si>
    <t>[842.0, 784.0, 799.0, nan]</t>
  </si>
  <si>
    <t>[472.0, 511.0, 552.0, nan]</t>
  </si>
  <si>
    <t>[585.0, 576.0, 677.0, nan]</t>
  </si>
  <si>
    <t>[11.0, 906.0, 839.0, nan]</t>
  </si>
  <si>
    <t>[453.0, 305.0, 195.0, nan]</t>
  </si>
  <si>
    <t>[133.0, 68.0, 338.0, nan]</t>
  </si>
  <si>
    <t>[214.0, 157.0, 412.0, nan]</t>
  </si>
  <si>
    <t>[342.0, 397.0, 410.0, nan]</t>
  </si>
  <si>
    <t>[374.0, 340.0, 490.0, nan]</t>
  </si>
  <si>
    <t>[nan, -122.0, 91.0, nan]</t>
  </si>
  <si>
    <t>[331.0, 466.0, 336.0, nan]</t>
  </si>
  <si>
    <t>[266.0, 313.0, 302.0, nan]</t>
  </si>
  <si>
    <t>[44.0, 491.0, 481.0, nan]</t>
  </si>
  <si>
    <t>[352.0, 235.0, 238.0, nan]</t>
  </si>
  <si>
    <t>[271.0, 390.0, 306.0, nan]</t>
  </si>
  <si>
    <t>[42.0, 154.0, 149.0, nan]</t>
  </si>
  <si>
    <t>[1288.0, 1494.0, 1605.0, 1823.0]</t>
  </si>
  <si>
    <t>[417.0, 153.0, 394.0, nan]</t>
  </si>
  <si>
    <t>[704.0, 759.0, 686.0, nan]</t>
  </si>
  <si>
    <t>[1187.0, 2169.0, 2635.0, 2922.0]</t>
  </si>
  <si>
    <t>[247.0, 192.0, 177.0, nan]</t>
  </si>
  <si>
    <t>[1168.0, 1169.0, 1282.0, nan]</t>
  </si>
  <si>
    <t>[124.0, 153.0, 128.0, nan]</t>
  </si>
  <si>
    <t>[217.0, 277.0, 452.0, 509.0]</t>
  </si>
  <si>
    <t>[463.0, 378.0, 497.0, nan]</t>
  </si>
  <si>
    <t>[288.0, 244.0, 271.0, nan]</t>
  </si>
  <si>
    <t>[830.0, 1086.0, 1226.0, 1120.0]</t>
  </si>
  <si>
    <t>[548.0, 580.0, 638.0, 736.0]</t>
  </si>
  <si>
    <t>[325.0, 322.0, 262.0, nan]</t>
  </si>
  <si>
    <t>[389.0, 366.0, 349.0, nan]</t>
  </si>
  <si>
    <t>[271.0, 92.0, 256.0, nan]</t>
  </si>
  <si>
    <t>[47.0, 220.0, 179.0, nan]</t>
  </si>
  <si>
    <t>[983.0, 1030.0, 1029.0, 1207.0]</t>
  </si>
  <si>
    <t>[1276.0, 1293.0, 1158.0, nan]</t>
  </si>
  <si>
    <t>[2090.0, 2128.0, 1625.0, 2765.0]</t>
  </si>
  <si>
    <t>[4122.0, 4466.0, 4722.0, 5393.0]</t>
  </si>
  <si>
    <t>[698.0, 839.0, 1015.0, 1185.0]</t>
  </si>
  <si>
    <t>[nan, nan, 91.0, nan]</t>
  </si>
  <si>
    <t>[-28.0, 16.0, 461.0, nan]</t>
  </si>
  <si>
    <t>[909.0, 952.0, 1012.0, nan]</t>
  </si>
  <si>
    <t>[nan, nan, 2.0, nan]</t>
  </si>
  <si>
    <t>[nan, nan, 69.0, nan]</t>
  </si>
  <si>
    <t>[432.0, 416.0, 387.0, nan]</t>
  </si>
  <si>
    <t>[421.0, 475.0, 504.0, nan]</t>
  </si>
  <si>
    <t>[1170.0, 1280.0, 1525.0, 6309.0]</t>
  </si>
  <si>
    <t>[1519.0, 1518.0, 1524.0, nan]</t>
  </si>
  <si>
    <t>[473.0, 469.0, 325.0, nan]</t>
  </si>
  <si>
    <t>[-3.0, 25.0, 122.0, nan]</t>
  </si>
  <si>
    <t>[104.0, 60.0, 77.0, nan]</t>
  </si>
  <si>
    <t>[331.0, 420.0, 594.0, nan]</t>
  </si>
  <si>
    <t>[756.0, 624.0, 499.0, nan]</t>
  </si>
  <si>
    <t>[173.0, 140.0, 148.0, nan]</t>
  </si>
  <si>
    <t>[637.0, 708.0, 690.0, nan]</t>
  </si>
  <si>
    <t>[1628.0, 1809.0, 1986.0, nan]</t>
  </si>
  <si>
    <t>[149.0, 166.0, 233.0, nan]</t>
  </si>
  <si>
    <t>[459.0, 536.0, 341.0, nan]</t>
  </si>
  <si>
    <t>[740.0, 869.0, 747.0, nan]</t>
  </si>
  <si>
    <t>[167.0, 188.0, 147.0, nan]</t>
  </si>
  <si>
    <t>[144.0, 297.0, 148.0, nan]</t>
  </si>
  <si>
    <t>[892.0, 1273.0, 1220.0, 1449.0]</t>
  </si>
  <si>
    <t>[451.0, 532.0, 519.0, nan]</t>
  </si>
  <si>
    <t>[1918.0, 1974.0, 1989.0, 1920.0]</t>
  </si>
  <si>
    <t>[58.0, 16.0, 382.0, nan]</t>
  </si>
  <si>
    <t>[21.0, 61.0, 42.0, nan]</t>
  </si>
  <si>
    <t>[3307.0, 3212.0, 3767.0, nan]</t>
  </si>
  <si>
    <t>[760.0, 693.0, 552.0, nan]</t>
  </si>
  <si>
    <t>[521.0, 545.0, 564.0, nan]</t>
  </si>
  <si>
    <t>[2019.0, 1651.0, 610.0, nan]</t>
  </si>
  <si>
    <t>[1273.0, 1370.0, 1368.0, 1530.0]</t>
  </si>
  <si>
    <t>[159.0, 145.0, 159.0, nan]</t>
  </si>
  <si>
    <t>[124.0, 147.0, 203.0, nan]</t>
  </si>
  <si>
    <t>[17075.0, 16355.0, 16659.0, 19500.0]</t>
  </si>
  <si>
    <t>[2936.0, 2700.0, 2800.0, nan]</t>
  </si>
  <si>
    <t>[278.0, 146.0, 241.0, nan]</t>
  </si>
  <si>
    <t>[457.0, 327.0, 304.0, nan]</t>
  </si>
  <si>
    <t>[56.0, 358.0, 273.0, nan]</t>
  </si>
  <si>
    <t>[-55.0, 135.0, 513.0, nan]</t>
  </si>
  <si>
    <t>[373.0, 264.0, 52.0, nan]</t>
  </si>
  <si>
    <t>[nan, -302.0, 52.0, nan]</t>
  </si>
  <si>
    <t>[130.0, 141.0, 245.0, nan]</t>
  </si>
  <si>
    <t>[105.0, -39.0, 125.0, nan]</t>
  </si>
  <si>
    <t>[237.0, 259.0, 261.0, nan]</t>
  </si>
  <si>
    <t>[416.0, 393.0, 375.0, nan]</t>
  </si>
  <si>
    <t>[3314.0, 3318.0, 3347.0, nan]</t>
  </si>
  <si>
    <t>[217.0, 431.0, 462.0, nan]</t>
  </si>
  <si>
    <t>[223.0, 346.0, 362.0, nan]</t>
  </si>
  <si>
    <t>[777.0, 863.0, 952.0, nan]</t>
  </si>
  <si>
    <t>[165.0, 313.0, 262.0, nan]</t>
  </si>
  <si>
    <t>[208.0, 217.0, 189.0, nan]</t>
  </si>
  <si>
    <t>[395.0, 423.0, 412.0, nan]</t>
  </si>
  <si>
    <t>[413.0, 382.0, 379.0, nan]</t>
  </si>
  <si>
    <t>[344.0, 262.0, 215.0, nan]</t>
  </si>
  <si>
    <t>[nan, -34.0, -189.0, nan]</t>
  </si>
  <si>
    <t>[342.0, 361.0, 329.0, nan]</t>
  </si>
  <si>
    <t>[313.0, 335.0, 151.0, nan]</t>
  </si>
  <si>
    <t>[141.0, 142.0, 145.0, nan]</t>
  </si>
  <si>
    <t>[243.0, 266.0, 314.0, nan]</t>
  </si>
  <si>
    <t>[320.0, 361.0, 390.0, nan]</t>
  </si>
  <si>
    <t>[547.0, 685.0, 828.0, nan]</t>
  </si>
  <si>
    <t>[309.0, 538.0, 751.0, nan]</t>
  </si>
  <si>
    <t>[399.0, 274.0, 383.0, 506.0]</t>
  </si>
  <si>
    <t>[442.0, 443.0, 392.0, nan]</t>
  </si>
  <si>
    <t>[3684.0, 4013.0, 4283.0, 4984.0]</t>
  </si>
  <si>
    <t>[277.0, 382.0, 380.0, nan]</t>
  </si>
  <si>
    <t>[167.0, 155.0, 243.0, nan]</t>
  </si>
  <si>
    <t>[52.0, 2.0, 95.0, nan]</t>
  </si>
  <si>
    <t>[171.0, 149.0, 163.0, nan]</t>
  </si>
  <si>
    <t>[701.0, 727.0, 761.0, nan]</t>
  </si>
  <si>
    <t>[1389.0, 1407.0, 1407.0, nan]</t>
  </si>
  <si>
    <t>[85.0, 209.0, 108.0, nan]</t>
  </si>
  <si>
    <t>[-2.0, 268.0, 387.0, nan]</t>
  </si>
  <si>
    <t>[nan, nan, 4705.0, nan]</t>
  </si>
  <si>
    <t>[1275.0, 1388.0, 1403.0, nan]</t>
  </si>
  <si>
    <t>[721.0, 629.0, 639.0, nan]</t>
  </si>
  <si>
    <t>[191.0, 202.0, 244.0, nan]</t>
  </si>
  <si>
    <t>[415.0, 374.0, 310.0, nan]</t>
  </si>
  <si>
    <t>[1044.0, 1268.0, 1116.0, nan]</t>
  </si>
  <si>
    <t>[210.0, 291.0, 447.0, nan]</t>
  </si>
  <si>
    <t>[141.0, 160.0, 170.0, nan]</t>
  </si>
  <si>
    <t>[525.0, 582.0, 623.0, nan]</t>
  </si>
  <si>
    <t>[209.0, 220.0, 236.0, nan]</t>
  </si>
  <si>
    <t>[487.0, 767.0, 686.0, nan]</t>
  </si>
  <si>
    <t>[248.0, 288.0, 832.0, nan]</t>
  </si>
  <si>
    <t>[232.0, 153.0, 496.0, nan]</t>
  </si>
  <si>
    <t>[482.0, 671.0, 846.0, nan]</t>
  </si>
  <si>
    <t>[483.0, 477.0, 440.0, nan]</t>
  </si>
  <si>
    <t>[160.0, 207.0, 419.0, nan]</t>
  </si>
  <si>
    <t>[159.0, 311.0, 285.0, nan]</t>
  </si>
  <si>
    <t>[519.0, 789.0, 918.0, 1130.0]</t>
  </si>
  <si>
    <t>[357.0, 402.0, 562.0, nan]</t>
  </si>
  <si>
    <t>[295.0, 187.0, 382.0, nan]</t>
  </si>
  <si>
    <t>[850.0, 725.0, 688.0, nan]</t>
  </si>
  <si>
    <t>[1240.0, 1028.0, 1075.0, nan]</t>
  </si>
  <si>
    <t>[-81.0, 33.0, 14.0, nan]</t>
  </si>
  <si>
    <t>[673.0, 828.0, 793.0, nan]</t>
  </si>
  <si>
    <t>[202.0, 599.0, 455.0, nan]</t>
  </si>
  <si>
    <t>[918.0, 955.0, 1002.0, nan]</t>
  </si>
  <si>
    <t>[nan, nan, 316.0, nan]</t>
  </si>
  <si>
    <t>[1312.0, 1615.0, 2090.0, 1865.0]</t>
  </si>
  <si>
    <t>[395.0, 431.0, 819.0, nan]</t>
  </si>
  <si>
    <t>[165.0, 187.0, 276.0, nan]</t>
  </si>
  <si>
    <t>[147.0, 143.0, 270.0, nan]</t>
  </si>
  <si>
    <t>[378.0, 318.0, 671.0, nan]</t>
  </si>
  <si>
    <t>[303.0, 330.0, 351.0, nan]</t>
  </si>
  <si>
    <t>[637.0, 805.0, 785.0, nan]</t>
  </si>
  <si>
    <t>[883.0, 918.0, 944.0, nan]</t>
  </si>
  <si>
    <t>[240.0, 249.0, 260.0, nan]</t>
  </si>
  <si>
    <t>[nan, nan, 106.0, nan]</t>
  </si>
  <si>
    <t>[nan, nan, 103.0, nan]</t>
  </si>
  <si>
    <t>[nan, 96.0, 96.0, nan]</t>
  </si>
  <si>
    <t>[487.0, 516.0, 530.0, nan]</t>
  </si>
  <si>
    <t>[479.0, 502.0, 500.0, nan]</t>
  </si>
  <si>
    <t>[468.0, 434.0, 385.0, nan]</t>
  </si>
  <si>
    <t>[692.0, 746.0, 808.0, nan]</t>
  </si>
  <si>
    <t>[69.0, 490.0, 574.0, 740.0]</t>
  </si>
  <si>
    <t>[72.0, 297.0, 352.0, nan]</t>
  </si>
  <si>
    <t>[1736.0, 1955.0, 2107.0, nan]</t>
  </si>
  <si>
    <t>[1305.0, 1296.0, 1605.0, 1656.0]</t>
  </si>
  <si>
    <t>[41.0, 85.0, 212.0, nan]</t>
  </si>
  <si>
    <t>[1794.0, 1674.0, 1957.0, 2149.0]</t>
  </si>
  <si>
    <t>[768.0, 899.0, 1097.0, 1322.0]</t>
  </si>
  <si>
    <t>[456.0, 599.0, 487.0, nan]</t>
  </si>
  <si>
    <t>[510.0, 598.0, 342.0, nan]</t>
  </si>
  <si>
    <t>[1200.0, 1293.0, 1349.0, nan]</t>
  </si>
  <si>
    <t>[267.0, 244.0, 240.0, nan]</t>
  </si>
  <si>
    <t>[-172.0, 283.0, 124.0, nan]</t>
  </si>
  <si>
    <t>[982.0, 1145.0, 1213.0, nan]</t>
  </si>
  <si>
    <t>[453.0, 437.0, 427.0, nan]</t>
  </si>
  <si>
    <t>[132.0, 231.0, 365.0, 402.0]</t>
  </si>
  <si>
    <t>[577.0, 557.0, 440.0, nan]</t>
  </si>
  <si>
    <t>[411.0, 412.0, 473.0, nan]</t>
  </si>
  <si>
    <t>[526.0, 517.0, 528.0, nan]</t>
  </si>
  <si>
    <t>[nan, nan, 73.0, nan]</t>
  </si>
  <si>
    <t>[nan, 68.0, 68.0, nan]</t>
  </si>
  <si>
    <t>[396.0, 347.0, 417.0, nan]</t>
  </si>
  <si>
    <t>[290.0, 291.0, 281.0, nan]</t>
  </si>
  <si>
    <t>[936.0, 768.0, 783.0, nan]</t>
  </si>
  <si>
    <t>[1893.0, 1949.0, 2000.0, 2231.0]</t>
  </si>
  <si>
    <t>[54.0, 201.0, 211.0, nan]</t>
  </si>
  <si>
    <t>[1613.0, 2259.0, 2437.0, 2576.0]</t>
  </si>
  <si>
    <t>[nan, -119.0, -536.0, -710.0]</t>
  </si>
  <si>
    <t>[570.0, 628.0, 650.0, nan]</t>
  </si>
  <si>
    <t>[173.0, 192.0, 225.0, nan]</t>
  </si>
  <si>
    <t>[774.0, 865.0, 884.0, nan]</t>
  </si>
  <si>
    <t>[1570.0, 1427.0, 764.0, nan]</t>
  </si>
  <si>
    <t>[2210.0, 2117.0, 2267.0, nan]</t>
  </si>
  <si>
    <t>[142.0, 301.0, 316.0, nan]</t>
  </si>
  <si>
    <t>[153.0, 289.0, 612.0, nan]</t>
  </si>
  <si>
    <t>[640.0, 739.0, 728.0, nan]</t>
  </si>
  <si>
    <t>[239.0, 280.0, 208.0, nan]</t>
  </si>
  <si>
    <t>[273.0, 173.0, 209.0, nan]</t>
  </si>
  <si>
    <t>[500.0, 686.0, 704.0, nan]</t>
  </si>
  <si>
    <t>[84.0, 231.0, 377.0, nan]</t>
  </si>
  <si>
    <t>[2626.0, 2985.0, 3230.0, 3799.0]</t>
  </si>
  <si>
    <t>[204.0, 261.0, 375.0, nan]</t>
  </si>
  <si>
    <t>[197.0, 202.0, 174.0, nan]</t>
  </si>
  <si>
    <t>[476.0, 331.0, 209.0, nan]</t>
  </si>
  <si>
    <t>[1287.0, 1285.0, 1327.0, nan]</t>
  </si>
  <si>
    <t>[1177.0, 1327.0, 1350.0, nan]</t>
  </si>
  <si>
    <t>[385.0, 452.0, 545.0, 655.0]</t>
  </si>
  <si>
    <t>[124.0, 106.0, 274.0, nan]</t>
  </si>
  <si>
    <t>[64.0, 126.0, 173.0, nan]</t>
  </si>
  <si>
    <t>[871.0, 671.0, 275.0, nan]</t>
  </si>
  <si>
    <t>[307.0, 360.0, 443.0, 454.0]</t>
  </si>
  <si>
    <t>[772.0, 787.0, 795.0, nan]</t>
  </si>
  <si>
    <t>[551.0, 652.0, 589.0, nan]</t>
  </si>
  <si>
    <t>[237.0, 352.0, 410.0, nan]</t>
  </si>
  <si>
    <t>[829.0, 889.0, 938.0, nan]</t>
  </si>
  <si>
    <t>[339.0, 287.0, 374.0, nan]</t>
  </si>
  <si>
    <t>[7.0, 15.0, 141.0, nan]</t>
  </si>
  <si>
    <t>[356.0, 467.0, 504.0, nan]</t>
  </si>
  <si>
    <t>[324.0, 291.0, 320.0, nan]</t>
  </si>
  <si>
    <t>[293.0, 609.0, 633.0, nan]</t>
  </si>
  <si>
    <t>[505.0, 510.0, 521.0, nan]</t>
  </si>
  <si>
    <t>[1917.0, 2526.0, 2591.0, 3767.0]</t>
  </si>
  <si>
    <t>[694.0, 683.0, 833.0, nan]</t>
  </si>
  <si>
    <t>[359.0, 615.0, 614.0, nan]</t>
  </si>
  <si>
    <t>[503.0, 1028.0, 964.0, nan]</t>
  </si>
  <si>
    <t>[217.0, 252.0, 246.0, nan]</t>
  </si>
  <si>
    <t>[241.0, 263.0, 279.0, nan]</t>
  </si>
  <si>
    <t>[147.0, 263.0, 575.0, 687.0]</t>
  </si>
  <si>
    <t>[14.0, 260.0, 189.0, nan]</t>
  </si>
  <si>
    <t>[1437.0, 1014.0, 65.0, nan]</t>
  </si>
  <si>
    <t>[482.0, 1017.0, 1137.0, nan]</t>
  </si>
  <si>
    <t>[189.0, 328.0, 402.0, nan]</t>
  </si>
  <si>
    <t>[223.0, 301.0, 304.0, nan]</t>
  </si>
  <si>
    <t>[176.0, 189.0, 356.0, nan]</t>
  </si>
  <si>
    <t>[237.0, 201.0, 478.0, nan]</t>
  </si>
  <si>
    <t>[410.0, 360.0, 379.0, nan]</t>
  </si>
  <si>
    <t>[1076.0, 1022.0, 1090.0, nan]</t>
  </si>
  <si>
    <t>[728.0, 683.0, 554.0, nan]</t>
  </si>
  <si>
    <t>[196.0, 259.0, 628.0, nan]</t>
  </si>
  <si>
    <t>[158.0, 195.0, 217.0, nan]</t>
  </si>
  <si>
    <t>[39.0, 45.0, 177.0, nan]</t>
  </si>
  <si>
    <t>[742.0, 768.0, 847.0, nan]</t>
  </si>
  <si>
    <t>[368.0, 481.0, 515.0, nan]</t>
  </si>
  <si>
    <t>[771.0, 847.0, 929.0, nan]</t>
  </si>
  <si>
    <t>[162.0, 168.0, 157.0, nan]</t>
  </si>
  <si>
    <t>[673.0, 646.0, 654.0, nan]</t>
  </si>
  <si>
    <t>[2100.0, 1791.0, 1173.0, nan]</t>
  </si>
  <si>
    <t>[4.0, 89.0, 178.0, nan]</t>
  </si>
  <si>
    <t>[165.0, 212.0, 212.0, nan]</t>
  </si>
  <si>
    <t>[438.0, 494.0, 569.0, nan]</t>
  </si>
  <si>
    <t>[-103.0, 46.0, 787.0, nan]</t>
  </si>
  <si>
    <t>[581.0, 581.0, 574.0, nan]</t>
  </si>
  <si>
    <t>[385.0, 679.0, 710.0, nan]</t>
  </si>
  <si>
    <t>[337.0, 352.0, 282.0, nan]</t>
  </si>
  <si>
    <t>[943.0, 1180.0, 1133.0, nan]</t>
  </si>
  <si>
    <t>[480.0, 460.0, 411.0, nan]</t>
  </si>
  <si>
    <t>[367.0, 319.0, 328.0, nan]</t>
  </si>
  <si>
    <t>[99.0, 204.0, 30.0, nan]</t>
  </si>
  <si>
    <t>[1343.0, 1312.0, 1163.0, 1180.0]</t>
  </si>
  <si>
    <t>[196.0, 235.0, 367.0, nan]</t>
  </si>
  <si>
    <t>[133.0, 308.0, 340.0, nan]</t>
  </si>
  <si>
    <t>[549.0, 523.0, 580.0, nan]</t>
  </si>
  <si>
    <t>[163.0, 415.0, 453.0, nan]</t>
  </si>
  <si>
    <t>[136.0, 96.0, 222.0, nan]</t>
  </si>
  <si>
    <t>[39.0, 109.0, 246.0, 296.0]</t>
  </si>
  <si>
    <t>[810.0, 764.0, 289.0, nan]</t>
  </si>
  <si>
    <t>[2279.0, 2628.0, 3002.0, nan]</t>
  </si>
  <si>
    <t>[597.0, 660.0, 737.0, nan]</t>
  </si>
  <si>
    <t>[693.0, 733.0, 768.0, nan]</t>
  </si>
  <si>
    <t>[568.0, 353.0, 479.0, nan]</t>
  </si>
  <si>
    <t>[532.0, 822.0, 806.0, 893.0]</t>
  </si>
  <si>
    <t>[160.0, 249.0, 291.0, nan]</t>
  </si>
  <si>
    <t>[863.0, 739.0, 949.0, 1177.0]</t>
  </si>
  <si>
    <t>[304.0, 289.0, 285.0, nan]</t>
  </si>
  <si>
    <t>[2639.0, 3130.0, 3629.0, 4107.0]</t>
  </si>
  <si>
    <t>[2658.0, 2563.0, 2618.0, 2630.0]</t>
  </si>
  <si>
    <t>[377.0, 721.0, 857.0, nan]</t>
  </si>
  <si>
    <t>[133.0, 171.0, 348.0, nan]</t>
  </si>
  <si>
    <t>[408.0, 632.0, 553.0, nan]</t>
  </si>
  <si>
    <t>[305.0, 303.0, 206.0, nan]</t>
  </si>
  <si>
    <t>[293.0, 258.0, 256.0, nan]</t>
  </si>
  <si>
    <t>[1348.0, 1170.0, 1030.0, nan]</t>
  </si>
  <si>
    <t>[847.0, 811.0, 889.0, nan]</t>
  </si>
  <si>
    <t>[1225.0, 1409.0, 1599.0, nan]</t>
  </si>
  <si>
    <t>[133.0, 138.0, 12.0, nan]</t>
  </si>
  <si>
    <t>[28.0, 67.0, 124.0, nan]</t>
  </si>
  <si>
    <t>[768.0, 769.0, 793.0, nan]</t>
  </si>
  <si>
    <t>[690.0, 724.0, 722.0, nan]</t>
  </si>
  <si>
    <t>[517.0, 431.0, 611.0, nan]</t>
  </si>
  <si>
    <t>[140.0, 143.0, 220.0, nan]</t>
  </si>
  <si>
    <t>[966.0, 1911.0, 1794.0, nan]</t>
  </si>
  <si>
    <t>[240.0, 256.0, 282.0, nan]</t>
  </si>
  <si>
    <t>[562.0, 504.0, 661.0, nan]</t>
  </si>
  <si>
    <t>[871.0, 873.0, 873.0, nan]</t>
  </si>
  <si>
    <t>[959.0, 982.0, 1079.0, nan]</t>
  </si>
  <si>
    <t>[265.0, 206.0, 247.0, nan]</t>
  </si>
  <si>
    <t>[320.0, 365.0, 415.0, 524.0]</t>
  </si>
  <si>
    <t>[183.0, 220.0, 195.0, nan]</t>
  </si>
  <si>
    <t>[78.0, 154.0, 122.0, nan]</t>
  </si>
  <si>
    <t>[282.0, 177.0, 181.0, 147.0]</t>
  </si>
  <si>
    <t>[1104.0, 1137.0, 1424.0, 1610.0]</t>
  </si>
  <si>
    <t>[275.0, 289.0, 245.0, nan]</t>
  </si>
  <si>
    <t>[815.0, 901.0, 903.0, nan]</t>
  </si>
  <si>
    <t>[237.0, 196.0, 97.0, nan]</t>
  </si>
  <si>
    <t>[433.0, 770.0, 657.0, nan]</t>
  </si>
  <si>
    <t>[161.0, 70.0, 41.0, nan]</t>
  </si>
  <si>
    <t>[265.0, 313.0, 374.0, nan]</t>
  </si>
  <si>
    <t>[2640.0, 3021.0, 3563.0, nan]</t>
  </si>
  <si>
    <t>[157.0, 287.0, 325.0, nan]</t>
  </si>
  <si>
    <t>[489.0, 608.0, 635.0, nan]</t>
  </si>
  <si>
    <t>[313.0, 332.0, 328.0, nan]</t>
  </si>
  <si>
    <t>[1137.0, 1599.0, 1179.0, nan]</t>
  </si>
  <si>
    <t>[28.0, 65.0, 107.0, nan]</t>
  </si>
  <si>
    <t>[198.0, 241.0, 643.0, nan]</t>
  </si>
  <si>
    <t>[215.0, 181.0, 124.0, nan]</t>
  </si>
  <si>
    <t>[334.0, 303.0, 274.0, nan]</t>
  </si>
  <si>
    <t>[4824.0, 5164.0, 5297.0, 5734.0]</t>
  </si>
  <si>
    <t>[522.0, 526.0, 608.0, nan]</t>
  </si>
  <si>
    <t>[5.27, 0.39, 15.18, nan]</t>
  </si>
  <si>
    <t>[-33.57, 2.69, 8.98, nan]</t>
  </si>
  <si>
    <t>[4.75, 2.61, -35.15, nan]</t>
  </si>
  <si>
    <t>[7.11, 9.62, 7.94, nan]</t>
  </si>
  <si>
    <t>[8.81, 7.49, 6.92, nan]</t>
  </si>
  <si>
    <t>[-11.11, -8.9, 6.0, nan]</t>
  </si>
  <si>
    <t>[23.63, 41.29, 15.21, nan]</t>
  </si>
  <si>
    <t>[6.03, 4.24, 2.01, nan]</t>
  </si>
  <si>
    <t>[1.83, 1.73, 7.85, nan]</t>
  </si>
  <si>
    <t>[12.24, 1.7, -11.61, nan]</t>
  </si>
  <si>
    <t>[6.16, -4.66, -6.98, nan]</t>
  </si>
  <si>
    <t>[3.79, 40.39, 1.38, nan]</t>
  </si>
  <si>
    <t>[-6.1, 5.6, -0.34, 1.43]</t>
  </si>
  <si>
    <t>[9.06, 10.73, 2.09, 8.78]</t>
  </si>
  <si>
    <t>[9.48, 6.51, 4.91, nan]</t>
  </si>
  <si>
    <t>[6.54, 4.22, 0.87, 2.16]</t>
  </si>
  <si>
    <t>[14.27, 6.29, -4.67, nan]</t>
  </si>
  <si>
    <t>[10.14, 9.75, 10.02, nan]</t>
  </si>
  <si>
    <t>[-2.14, 1.42, 5.45, 4.04]</t>
  </si>
  <si>
    <t>[6.57, 7.95, 9.36, nan]</t>
  </si>
  <si>
    <t>[7.45, 1.31, 2.13, nan]</t>
  </si>
  <si>
    <t>[3.15, 5.99, 6.3, 4.67]</t>
  </si>
  <si>
    <t>[nan, 7.47, 0.26, 1.71]</t>
  </si>
  <si>
    <t>[7.12, 6.1, 3.2, 4.91]</t>
  </si>
  <si>
    <t>[10.69, 9.03, 4.3, 6.66]</t>
  </si>
  <si>
    <t>[5.43, 6.3, 7.28, 5.22]</t>
  </si>
  <si>
    <t>[5.96, 7.56, 8.37, 7.64]</t>
  </si>
  <si>
    <t>[9.08, 7.06, 20.64, 11.26]</t>
  </si>
  <si>
    <t>[6.63, 5.91, 4.64, 2.73]</t>
  </si>
  <si>
    <t>[18.17, -4.25, 1.4, 0.77]</t>
  </si>
  <si>
    <t>[-2.8, -0.55, -4.65, nan]</t>
  </si>
  <si>
    <t>[-14.03, 6.36, 0.48, -1.0]</t>
  </si>
  <si>
    <t>[7.49, 5.93, 5.07, nan]</t>
  </si>
  <si>
    <t>[14.11, 12.96, 18.14, 13.58]</t>
  </si>
  <si>
    <t>[10.07, 5.66, 3.18, nan]</t>
  </si>
  <si>
    <t>[7.72, 5.8, 4.55, nan]</t>
  </si>
  <si>
    <t>[6.8, 2.99, -5.29, nan]</t>
  </si>
  <si>
    <t>[-2.39, 7.7, 7.51, nan]</t>
  </si>
  <si>
    <t>[27.12, 18.52, 14.28, 17.13]</t>
  </si>
  <si>
    <t>[1.81, -1.86, -3.42, 2.32]</t>
  </si>
  <si>
    <t>[3.72, -0.2, -11.06, nan]</t>
  </si>
  <si>
    <t>[-6.6, -6.14, -3.61, nan]</t>
  </si>
  <si>
    <t>[4.64, 1.46, 4.69, 3.71]</t>
  </si>
  <si>
    <t>[-7.94, -19.94, -35.06, nan]</t>
  </si>
  <si>
    <t>[4.71, 2.54, 4.73, nan]</t>
  </si>
  <si>
    <t>[-5.83, 1.7, 2.65, nan]</t>
  </si>
  <si>
    <t>[-266.81, -26.38, -162.33, nan]</t>
  </si>
  <si>
    <t>[10.26, 18.57, 10.51, nan]</t>
  </si>
  <si>
    <t>[9.73, 7.96, 6.03, 5.15]</t>
  </si>
  <si>
    <t>[8.05, 6.75, 4.71, 3.64]</t>
  </si>
  <si>
    <t>[25.66, 21.75, 12.72, 9.89]</t>
  </si>
  <si>
    <t>[-9.81, 0.72, 5.35, nan]</t>
  </si>
  <si>
    <t>[13.64, 6.92, -2.35, nan]</t>
  </si>
  <si>
    <t>[12.8, -3.82, 0.97, 25.33]</t>
  </si>
  <si>
    <t>[20.05, 3.77, 2.31, 2.92]</t>
  </si>
  <si>
    <t>[5.55, 5.2, 5.55, nan]</t>
  </si>
  <si>
    <t>[8.79, 8.88, 8.77, 8.49]</t>
  </si>
  <si>
    <t>[6.93, 6.97, 7.72, nan]</t>
  </si>
  <si>
    <t>[348.19, 0.59, -1.22, nan]</t>
  </si>
  <si>
    <t>[13.45, 8.58, 3.65, 4.3]</t>
  </si>
  <si>
    <t>[4.55, 3.46, 18.58, nan]</t>
  </si>
  <si>
    <t>[2.9, 0.74, 15.27, nan]</t>
  </si>
  <si>
    <t>[16.67, 15.94, 10.32, nan]</t>
  </si>
  <si>
    <t>[10.1, 12.46, 9.81, 10.36]</t>
  </si>
  <si>
    <t>[8.4, 8.99, 6.34, nan]</t>
  </si>
  <si>
    <t>[14.07, -12.36, -102.75, nan]</t>
  </si>
  <si>
    <t>[18.52, 5.47, -4.44, nan]</t>
  </si>
  <si>
    <t>[9.9, 5.43, 7.57, nan]</t>
  </si>
  <si>
    <t>[15.18, 14.18, 10.84, nan]</t>
  </si>
  <si>
    <t>[-42.05, -53.58, 35.12, nan]</t>
  </si>
  <si>
    <t>[0.97, 4.39, -3.13, nan]</t>
  </si>
  <si>
    <t>[8.21, 7.58, 49.82, nan]</t>
  </si>
  <si>
    <t>[-17.42, -14.25, -77.64, nan]</t>
  </si>
  <si>
    <t>[1.3, -7.76, 1.26, nan]</t>
  </si>
  <si>
    <t>[4.55, 3.67, 15.19, nan]</t>
  </si>
  <si>
    <t>[5.19, 7.34, 5.58, nan]</t>
  </si>
  <si>
    <t>[5.92, 11.94, 19.0, nan]</t>
  </si>
  <si>
    <t>[-3.99, 5.42, 0.36, nan]</t>
  </si>
  <si>
    <t>[38.96, 21.35, 15.65, nan]</t>
  </si>
  <si>
    <t>[-0.33, -1.31, 0.56, nan]</t>
  </si>
  <si>
    <t>[19.27, 21.73, 1.74, nan]</t>
  </si>
  <si>
    <t>[-4.79, 0.34, -57.29, nan]</t>
  </si>
  <si>
    <t>[14.44, 7.69, 5.51, nan]</t>
  </si>
  <si>
    <t>[5.64, 4.58, -0.07, 8.39]</t>
  </si>
  <si>
    <t>[6.29, -2.64, 5.07, 9.58]</t>
  </si>
  <si>
    <t>[1.99, -0.3, 4.55, nan]</t>
  </si>
  <si>
    <t>[31.54, 21.94, 16.67, nan]</t>
  </si>
  <si>
    <t>[-1.97, -1.8, 1.8, 3.98]</t>
  </si>
  <si>
    <t>[2.67, 0.92, -4.63, nan]</t>
  </si>
  <si>
    <t>[4.35, 2.39, 0.1, -0.91]</t>
  </si>
  <si>
    <t>[nan, 3.53, 2.2, -2.44]</t>
  </si>
  <si>
    <t>[5.92, 2.2, 4.32, 2.58]</t>
  </si>
  <si>
    <t>[6.04, 6.06, 7.93, nan]</t>
  </si>
  <si>
    <t>[6.62, 2.58, 5.93, 9.64]</t>
  </si>
  <si>
    <t>[6.71, 5.77, 5.19, nan]</t>
  </si>
  <si>
    <t>[15.61, 10.33, 6.23, 8.39]</t>
  </si>
  <si>
    <t>[8.16, 10.32, 5.03, 8.16]</t>
  </si>
  <si>
    <t>[4.29, 3.88, 2.26, -4.68]</t>
  </si>
  <si>
    <t>[17.42, 24.28, 7.1, nan]</t>
  </si>
  <si>
    <t>[13.5, 13.61, 2.06, nan]</t>
  </si>
  <si>
    <t>[-14.23, -13.82, 9.62, nan]</t>
  </si>
  <si>
    <t>[15.42, 7.94, 19.66, nan]</t>
  </si>
  <si>
    <t>[-8.13, -17.68, 2.24, nan]</t>
  </si>
  <si>
    <t>[0.47, -0.55, -4.93, nan]</t>
  </si>
  <si>
    <t>[3.18, 4.48, 2.55, nan]</t>
  </si>
  <si>
    <t>[11.73, 8.56, 7.01, 8.79]</t>
  </si>
  <si>
    <t>[9.66, 6.48, 10.23, nan]</t>
  </si>
  <si>
    <t>[8.95, 110.16, 4.25, 0.99]</t>
  </si>
  <si>
    <t>[nan, nan, 1.45, 0.66]</t>
  </si>
  <si>
    <t>[24.63, -8.83, -21.23, nan]</t>
  </si>
  <si>
    <t>[6.39, -5.41, 0.02, nan]</t>
  </si>
  <si>
    <t>[10.27, 5.09, 3.39, nan]</t>
  </si>
  <si>
    <t>[2.07, -2.0, 1.15, nan]</t>
  </si>
  <si>
    <t>[-1.97, -1.0, -4.35, nan]</t>
  </si>
  <si>
    <t>[6.63, 9.15, 6.6, nan]</t>
  </si>
  <si>
    <t>[4.44, -25.65, -8.52, nan]</t>
  </si>
  <si>
    <t>[8.18, 6.37, 5.36, nan]</t>
  </si>
  <si>
    <t>[1.72, 1.31, 1.36, nan]</t>
  </si>
  <si>
    <t>[3.41, 3.73, 0.44, nan]</t>
  </si>
  <si>
    <t>[10.64, -2.45, -3.26, nan]</t>
  </si>
  <si>
    <t>[7.73, 5.49, 2.75, 6.02]</t>
  </si>
  <si>
    <t>[8.06, 11.45, 11.88, nan]</t>
  </si>
  <si>
    <t>[-4.42, -10.62, 25.52, nan]</t>
  </si>
  <si>
    <t>[2.11, -52.2, 19.28, nan]</t>
  </si>
  <si>
    <t>[2.89, 6.29, 4.67, nan]</t>
  </si>
  <si>
    <t>[8.22, 9.19, 5.87, nan]</t>
  </si>
  <si>
    <t>[2.37, 1.4, 6.47, nan]</t>
  </si>
  <si>
    <t>[2.88, -6.38, -14.2, nan]</t>
  </si>
  <si>
    <t>[-1.47, 1.63, -6.29, nan]</t>
  </si>
  <si>
    <t>[-13.21, 2.79, 2.05, nan]</t>
  </si>
  <si>
    <t>[0.82, 0.91, 2.01, nan]</t>
  </si>
  <si>
    <t>[2.34, 3.06, 1.0, nan]</t>
  </si>
  <si>
    <t>[-10.39, -14.65, -37.57, nan]</t>
  </si>
  <si>
    <t>[-0.94, -5.31, -5.77, nan]</t>
  </si>
  <si>
    <t>[4.69, 1.22, 4.75, nan]</t>
  </si>
  <si>
    <t>[-0.65, -4.67, 1.19, nan]</t>
  </si>
  <si>
    <t>[-7.14, -0.53, 4.52, 4.12]</t>
  </si>
  <si>
    <t>[-3.8, 2.39, 2.53, 0.49]</t>
  </si>
  <si>
    <t>[-2.11, 4.37, 1.83, nan]</t>
  </si>
  <si>
    <t>[18.54, 23.1, 21.11, nan]</t>
  </si>
  <si>
    <t>[-7.76, -16.98, -38.44, nan]</t>
  </si>
  <si>
    <t>[2.8, 4.63, -3.81, nan]</t>
  </si>
  <si>
    <t>[6.91, 13.95, 26.19, 0.42]</t>
  </si>
  <si>
    <t>[-20.12, -12.17, -9.67, nan]</t>
  </si>
  <si>
    <t>[-14.67, -31.09, -7.77, nan]</t>
  </si>
  <si>
    <t>[23.16, 4.07, 3.56, nan]</t>
  </si>
  <si>
    <t>[8.78, 8.15, 9.82, 9.35]</t>
  </si>
  <si>
    <t>[8.2, 8.49, 9.6, nan]</t>
  </si>
  <si>
    <t>[8.6, 3.69, 7.4, 6.58]</t>
  </si>
  <si>
    <t>[4.04, 13.72, 8.05, nan]</t>
  </si>
  <si>
    <t>[2.05, 1.7, 2.76, nan]</t>
  </si>
  <si>
    <t>[-2.47, -3.13, 0.64, nan]</t>
  </si>
  <si>
    <t>[3.61, -6.66, 3.61, nan]</t>
  </si>
  <si>
    <t>[3.62, 2.54, 2.44, nan]</t>
  </si>
  <si>
    <t>[668.93, 22.72, -10.37, 4.71]</t>
  </si>
  <si>
    <t>[8.08, 11.04, 3.57, nan]</t>
  </si>
  <si>
    <t>[85.88, 3.03, 2.54, nan]</t>
  </si>
  <si>
    <t>[4.21, 2.48, -3.41, nan]</t>
  </si>
  <si>
    <t>[nan, nan, nan, 6.53]</t>
  </si>
  <si>
    <t>[-3.84, -26.55, 2.0, nan]</t>
  </si>
  <si>
    <t>[0.71, -2.54, 7.16, nan]</t>
  </si>
  <si>
    <t>[-0.66, -3.51, 5.18, nan]</t>
  </si>
  <si>
    <t>[24.62, 15.52, 1.97, nan]</t>
  </si>
  <si>
    <t>[8.61, 7.2, -35.62, 3.01]</t>
  </si>
  <si>
    <t>[4.23, -1.01, 3.33, nan]</t>
  </si>
  <si>
    <t>[6.19, 5.52, 9.87, 10.87]</t>
  </si>
  <si>
    <t>[8.72, 10.15, 18.76, nan]</t>
  </si>
  <si>
    <t>[3.71, 3.76, 5.26, nan]</t>
  </si>
  <si>
    <t>[11.86, 4.62, 1.28, 4.76]</t>
  </si>
  <si>
    <t>[8.19, 9.88, 10.64, nan]</t>
  </si>
  <si>
    <t>[9.48, 6.28, 2.75, -3.09]</t>
  </si>
  <si>
    <t>[96.96, 17.49, 12.38, nan]</t>
  </si>
  <si>
    <t>[nan, 10.99, 14.02, nan]</t>
  </si>
  <si>
    <t>[58.11, 1.63, -7.49, nan]</t>
  </si>
  <si>
    <t>[5.02, 3.2, 3.08, nan]</t>
  </si>
  <si>
    <t>[4.56, 5.82, 8.91, nan]</t>
  </si>
  <si>
    <t>[5.29, 7.39, 4.34, nan]</t>
  </si>
  <si>
    <t>[-3.89, -5.35, -26.3, nan]</t>
  </si>
  <si>
    <t>[10.12, 19.21, 8.38, nan]</t>
  </si>
  <si>
    <t>[7.86, 7.14, 6.99, -11.64]</t>
  </si>
  <si>
    <t>[4.97, 5.8, 3.86, 3.05]</t>
  </si>
  <si>
    <t>[8.6, 12.93, 33.47, nan]</t>
  </si>
  <si>
    <t>[12.73, -0.64, -2.61, nan]</t>
  </si>
  <si>
    <t>[227.62, 28.89, -20.84, -92.11]</t>
  </si>
  <si>
    <t>[45.49, 18.49, -17.06, nan]</t>
  </si>
  <si>
    <t>[1.71, 3.47, 4.89, nan]</t>
  </si>
  <si>
    <t>[13.07, 1.2, -2.77, nan]</t>
  </si>
  <si>
    <t>[5.8, 6.06, 5.49, 4.94]</t>
  </si>
  <si>
    <t>[12.23, -5.38, -2.17, nan]</t>
  </si>
  <si>
    <t>[5.86, 11.3, 7.86, nan]</t>
  </si>
  <si>
    <t>[12.36, 11.68, 10.89, nan]</t>
  </si>
  <si>
    <t>[-1.32, -26.68, -11.1, nan]</t>
  </si>
  <si>
    <t>[8.6, 5.24, 1.23, nan]</t>
  </si>
  <si>
    <t>[6.61, 5.45, 7.06, 8.62]</t>
  </si>
  <si>
    <t>[6.49, 3.04, 1.58, 8.11]</t>
  </si>
  <si>
    <t>[7.13, 6.39, 18.91, nan]</t>
  </si>
  <si>
    <t>[5.6, 6.87, 7.84, nan]</t>
  </si>
  <si>
    <t>[3.85, -13.36, -1.66, 3.33]</t>
  </si>
  <si>
    <t>[230.26, 2.04, -20.52, nan]</t>
  </si>
  <si>
    <t>[6.79, 6.25, 5.76, nan]</t>
  </si>
  <si>
    <t>[2.36, -2.19, -1.33, nan]</t>
  </si>
  <si>
    <t>[10.22, 5.9, 5.66, nan]</t>
  </si>
  <si>
    <t>[2.5, 9.22, 4.13, nan]</t>
  </si>
  <si>
    <t>[16.58, 11.75, 12.02, nan]</t>
  </si>
  <si>
    <t>[-0.93, -5.45, -51.1, nan]</t>
  </si>
  <si>
    <t>[9.67, 6.54, 6.15, nan]</t>
  </si>
  <si>
    <t>[13.58, 11.08, 9.0, nan]</t>
  </si>
  <si>
    <t>[32.15, 20.69, 11.77, 15.59]</t>
  </si>
  <si>
    <t>[5.08, 0.06, 1.22, nan]</t>
  </si>
  <si>
    <t>[8.71, 12.11, 11.17, nan]</t>
  </si>
  <si>
    <t>[1.33, 3.23, 0.13, nan]</t>
  </si>
  <si>
    <t>[9.59, 5.4, -2.67, nan]</t>
  </si>
  <si>
    <t>[3.3, 0.36, 4.98, nan]</t>
  </si>
  <si>
    <t>[10.98, -12.7, 4.69, nan]</t>
  </si>
  <si>
    <t>[6.01, 4.85, 8.5, 8.89]</t>
  </si>
  <si>
    <t>[-19.04, -5.48, -1.19, nan]</t>
  </si>
  <si>
    <t>[27.73, 67.41, 12.38, 14.23]</t>
  </si>
  <si>
    <t>[8.61, 12.72, 10.12, nan]</t>
  </si>
  <si>
    <t>[10.92, 12.88, 7.12, nan]</t>
  </si>
  <si>
    <t>[14.98, 13.07, 9.36, nan]</t>
  </si>
  <si>
    <t>[6.22, 4.68, 8.04, nan]</t>
  </si>
  <si>
    <t>[25.64, 64.78, 27.52, 5.9]</t>
  </si>
  <si>
    <t>[79.98, 6.22, 1.21, nan]</t>
  </si>
  <si>
    <t>[16.76, 5.96, 4.54, nan]</t>
  </si>
  <si>
    <t>[23.22, 16.36, 8.62, 12.47]</t>
  </si>
  <si>
    <t>[-5.35, 5.26, -3.16, nan]</t>
  </si>
  <si>
    <t>[3.8, 5.55, 6.2, nan]</t>
  </si>
  <si>
    <t>[2.36, 1.87, 4.57, nan]</t>
  </si>
  <si>
    <t>[3.29, 4.18, 5.18, nan]</t>
  </si>
  <si>
    <t>[4.95, 5.57, 5.69, nan]</t>
  </si>
  <si>
    <t>[17.28, 7.62, 7.12, nan]</t>
  </si>
  <si>
    <t>[4.38, 2.49, 17.15, nan]</t>
  </si>
  <si>
    <t>[-7.18, -10.52, -0.73, nan]</t>
  </si>
  <si>
    <t>[5.9, -0.69, 2.96, 3.74]</t>
  </si>
  <si>
    <t>[4.54, 5.07, 4.45, nan]</t>
  </si>
  <si>
    <t>[40.99, 37.93, 26.51, nan]</t>
  </si>
  <si>
    <t>[8.04, 3.59, 1.6, nan]</t>
  </si>
  <si>
    <t>[-1.52, -1.58, 0.01, nan]</t>
  </si>
  <si>
    <t>[3.39, 2.08, -7.4, nan]</t>
  </si>
  <si>
    <t>[5.43, -1.05, -1.67, nan]</t>
  </si>
  <si>
    <t>[0.72, 3.03, 1.71, nan]</t>
  </si>
  <si>
    <t>[-4.23, -11.67, 6.35, nan]</t>
  </si>
  <si>
    <t>[1.92, 3.15, 7.97, nan]</t>
  </si>
  <si>
    <t>[8.58, 9.55, 3.58, nan]</t>
  </si>
  <si>
    <t>[-9.16, -15.79, -16.33, nan]</t>
  </si>
  <si>
    <t>[24.19, 17.46, 1.28, nan]</t>
  </si>
  <si>
    <t>[31.06, 14.41, 3.28, nan]</t>
  </si>
  <si>
    <t>[13.36, 13.22, 18.62, 31.99]</t>
  </si>
  <si>
    <t>[1.97, 3.42, 1.65, nan]</t>
  </si>
  <si>
    <t>[14.45, 5.9, 8.19, nan]</t>
  </si>
  <si>
    <t>[2.65, 19.45, 8.37, nan]</t>
  </si>
  <si>
    <t>[11.49, 12.12, 4.07, nan]</t>
  </si>
  <si>
    <t>[12.4, 9.04, -37.95, nan]</t>
  </si>
  <si>
    <t>[-82.89, 153.19, -22.31, nan]</t>
  </si>
  <si>
    <t>[13.73, 5.96, 3.62, 7.53]</t>
  </si>
  <si>
    <t>[5.55, 5.63, 0.66, nan]</t>
  </si>
  <si>
    <t>[3.45, 2.98, 1.82, nan]</t>
  </si>
  <si>
    <t>[-36.99, -102.28, -102.2, nan]</t>
  </si>
  <si>
    <t>[7.07, 4.19, 0.56, nan]</t>
  </si>
  <si>
    <t>[10.7, 9.59, 9.79, nan]</t>
  </si>
  <si>
    <t>[22.32, 19.43, 12.19, nan]</t>
  </si>
  <si>
    <t>[19.68, 11.59, -9.28, nan]</t>
  </si>
  <si>
    <t>[9.5, -0.24, 5.74, nan]</t>
  </si>
  <si>
    <t>[2.99, 3.8, 4.42, nan]</t>
  </si>
  <si>
    <t>[-57.87, 8.92, 14.69, nan]</t>
  </si>
  <si>
    <t>[16.27, 8.47, 2.34, nan]</t>
  </si>
  <si>
    <t>[9.45, 0.47, 1.49, nan]</t>
  </si>
  <si>
    <t>[8.77, 13.28, 11.98, nan]</t>
  </si>
  <si>
    <t>[17.21, 14.13, 13.76, nan]</t>
  </si>
  <si>
    <t>[-0.86, 1.02, 1.41, nan]</t>
  </si>
  <si>
    <t>[8.46, 5.74, 9.17, nan]</t>
  </si>
  <si>
    <t>[1.29, 1.1, -4.69, nan]</t>
  </si>
  <si>
    <t>[6.86, 4.26, 4.83, nan]</t>
  </si>
  <si>
    <t>[1.86, 1.16, 1.09, nan]</t>
  </si>
  <si>
    <t>[11.73, 20.6, 3.66, nan]</t>
  </si>
  <si>
    <t>[3.34, -12.11, 7.06, nan]</t>
  </si>
  <si>
    <t>[16.24, 10.29, 6.57, nan]</t>
  </si>
  <si>
    <t>[6.76, 3.16, 3.46, nan]</t>
  </si>
  <si>
    <t>[-3.55, -1.88, 1.41, 0.39]</t>
  </si>
  <si>
    <t>[7.1, 7.97, -5.59, nan]</t>
  </si>
  <si>
    <t>[7.73, 9.79, 18.68, nan]</t>
  </si>
  <si>
    <t>[-2.65, -9.76, -11.05, nan]</t>
  </si>
  <si>
    <t>[7.74, 4.66, 3.46, nan]</t>
  </si>
  <si>
    <t>[-2.52, -5.7, 10.31, nan]</t>
  </si>
  <si>
    <t>[13.54, -1.46, -3.96, nan]</t>
  </si>
  <si>
    <t>[3.95, 3.44, 93.94, nan]</t>
  </si>
  <si>
    <t>[20.84, 29.17, 11.22, nan]</t>
  </si>
  <si>
    <t>[43.0, 30.38, 21.0, nan]</t>
  </si>
  <si>
    <t>[9.5, 4.37, 2.95, nan]</t>
  </si>
  <si>
    <t>[-6.72, -14.94, 19.76, nan]</t>
  </si>
  <si>
    <t>[40.14, 24.08, 19.05, nan]</t>
  </si>
  <si>
    <t>[-13.29, -14.55, -24.58, nan]</t>
  </si>
  <si>
    <t>[14.74, 4.69, 4.54, nan]</t>
  </si>
  <si>
    <t>[-73.83, -47.35, -34.27, nan]</t>
  </si>
  <si>
    <t>[24.51, 16.89, 16.55, nan]</t>
  </si>
  <si>
    <t>[-0.82, 22.73, 15.7, nan]</t>
  </si>
  <si>
    <t>[11.2, 5.63, 5.3, nan]</t>
  </si>
  <si>
    <t>[8.93, 26.39, -4.76, 1.57]</t>
  </si>
  <si>
    <t>[3.05, 0.5, 1.0, nan]</t>
  </si>
  <si>
    <t>[1.65, 3.94, -0.5, nan]</t>
  </si>
  <si>
    <t>[13.14, 31.09, 3.55, nan]</t>
  </si>
  <si>
    <t>[6.13, 10.72, -5.18, nan]</t>
  </si>
  <si>
    <t>[7.79, -7.17, 7.47, nan]</t>
  </si>
  <si>
    <t>[-0.42, 4.4, 5.12, nan]</t>
  </si>
  <si>
    <t>[-25.05, 3.6, 9.34, nan]</t>
  </si>
  <si>
    <t>[-67.84, -204.95, -28.32, nan]</t>
  </si>
  <si>
    <t>[10.03, 5.4, 0.61, nan]</t>
  </si>
  <si>
    <t>[-7.71, -21.59, -6.79, nan]</t>
  </si>
  <si>
    <t>[14.84, 12.14, 9.37, nan]</t>
  </si>
  <si>
    <t>[-52.88, -82.41, -82.93, nan]</t>
  </si>
  <si>
    <t>[3.34, 2.42, 3.69, nan]</t>
  </si>
  <si>
    <t>[5.68, 5.34, 4.87, nan]</t>
  </si>
  <si>
    <t>[18.52, 14.53, -5.21, nan]</t>
  </si>
  <si>
    <t>[-33.45, -40.21, -28.25, nan]</t>
  </si>
  <si>
    <t>[3.49, 3.21, 7.2, nan]</t>
  </si>
  <si>
    <t>[-2.05, -1.58, 2.73, nan]</t>
  </si>
  <si>
    <t>[-1.77, -1.51, -14.76, -21.82]</t>
  </si>
  <si>
    <t>[6.94, 7.36, 9.82, 9.04]</t>
  </si>
  <si>
    <t>[-0.4, -0.89, 9.61, nan]</t>
  </si>
  <si>
    <t>[-21.69, -31.36, -44.62, nan]</t>
  </si>
  <si>
    <t>[7.97, 15.15, 11.74, 5.85]</t>
  </si>
  <si>
    <t>[6.85, 14.53, 15.06, nan]</t>
  </si>
  <si>
    <t>[4.96, 4.27, 1.28, nan]</t>
  </si>
  <si>
    <t>[-42.36, -26.68, -45.34, nan]</t>
  </si>
  <si>
    <t>[3.95, 5.57, 5.79, nan]</t>
  </si>
  <si>
    <t>[0.36, -1.74, -17.61, nan]</t>
  </si>
  <si>
    <t>[-15.21, -20.71, -47.47, nan]</t>
  </si>
  <si>
    <t>[9.89, 8.53, 11.5, nan]</t>
  </si>
  <si>
    <t>[16.27, 15.67, 16.62, nan]</t>
  </si>
  <si>
    <t>[-26.71, -51.66, -34.08, nan]</t>
  </si>
  <si>
    <t>[-9.45, 7.84, -9.26, nan]</t>
  </si>
  <si>
    <t>[2.05, 5.73, -0.41, nan]</t>
  </si>
  <si>
    <t>[21.5, 1.51, 15.13, nan]</t>
  </si>
  <si>
    <t>[0.98, -3.96, -13.91, nan]</t>
  </si>
  <si>
    <t>[-27.13, -10.9, -8.51, nan]</t>
  </si>
  <si>
    <t>[5.74, 11.83, 7.36, nan]</t>
  </si>
  <si>
    <t>[2.43, 0.36, -0.78, nan]</t>
  </si>
  <si>
    <t>[9.97, 0.07, 0.51, nan]</t>
  </si>
  <si>
    <t>[-159.19, -64.65, -69.15, nan]</t>
  </si>
  <si>
    <t>[1.46, 1.81, 1.61, nan]</t>
  </si>
  <si>
    <t>[10.83, 8.45, 10.04, nan]</t>
  </si>
  <si>
    <t>[10.19, 8.58, 11.23, nan]</t>
  </si>
  <si>
    <t>[5.45, 14.28, 3.05, nan]</t>
  </si>
  <si>
    <t>[-7.24, 3.97, -0.28, nan]</t>
  </si>
  <si>
    <t>[7.85, -8.11, -7.31, nan]</t>
  </si>
  <si>
    <t>[115.54, -19.97, -9.23, nan]</t>
  </si>
  <si>
    <t>[7.9, 7.28, 13.08, nan]</t>
  </si>
  <si>
    <t>[3.1, 2.83, 0.0, nan]</t>
  </si>
  <si>
    <t>[0.12, 0.35, -0.96, nan]</t>
  </si>
  <si>
    <t>[9.95, 3.56, 5.1, nan]</t>
  </si>
  <si>
    <t>[9.03, 8.75, 1.45, nan]</t>
  </si>
  <si>
    <t>[2.85, 9.12, 1.64, nan]</t>
  </si>
  <si>
    <t>[10.98, -4.07, 47.51, nan]</t>
  </si>
  <si>
    <t>[0, 9.54, 4.49, nan, 22.12]</t>
  </si>
  <si>
    <t>[10.8, 19.4, 4.26, nan]</t>
  </si>
  <si>
    <t>[2.92, 12.51, 2.8, nan]</t>
  </si>
  <si>
    <t>[59.74, 0.64, -19.27, nan]</t>
  </si>
  <si>
    <t>[6.66, 6.69, 6.19, nan]</t>
  </si>
  <si>
    <t>[-0.25, 30.75, 19.02, nan]</t>
  </si>
  <si>
    <t>[9.93, 11.72, 3.38, nan]</t>
  </si>
  <si>
    <t>[14.33, 10.66, 13.32, nan]</t>
  </si>
  <si>
    <t>[1.65, -11.14, -0.74, nan]</t>
  </si>
  <si>
    <t>[40.41, 24.7, 5.98, nan]</t>
  </si>
  <si>
    <t>[-1.78, 6.6, 6.57, nan]</t>
  </si>
  <si>
    <t>[23.78, 22.26, 18.34, nan]</t>
  </si>
  <si>
    <t>[14.62, 12.72, 11.0, nan]</t>
  </si>
  <si>
    <t>[4.09, 3.07, 2.79, nan]</t>
  </si>
  <si>
    <t>[5.67, 3.89, 12.08, nan]</t>
  </si>
  <si>
    <t>[5.38, 6.49, 5.4, nan]</t>
  </si>
  <si>
    <t>[17.97, 14.99, 11.22, nan]</t>
  </si>
  <si>
    <t>[20.38, 18.93, 12.7, nan]</t>
  </si>
  <si>
    <t>[-4.2, -1.45, -6.89, 5.51]</t>
  </si>
  <si>
    <t>[6.48, -2.75, -3.54, nan]</t>
  </si>
  <si>
    <t>[7.31, -1.24, -6.16, nan]</t>
  </si>
  <si>
    <t>[2.61, 9.65, 4.8, nan]</t>
  </si>
  <si>
    <t>[14.33, 13.35, 13.75, nan]</t>
  </si>
  <si>
    <t>[4.76, -1.26, -2.47, nan]</t>
  </si>
  <si>
    <t>[15.18, 7.9, 2.43, nan]</t>
  </si>
  <si>
    <t>[5.84, 7.73, 3.18, nan]</t>
  </si>
  <si>
    <t>[-0.39, -0.55, 2.07, nan]</t>
  </si>
  <si>
    <t>[2.79, 4.86, 4.0, nan]</t>
  </si>
  <si>
    <t>[11.76, 19.69, 12.04, 13.13]</t>
  </si>
  <si>
    <t>[-20.37, -2.8, -1.6, nan]</t>
  </si>
  <si>
    <t>[13.04, 19.56, 9.85, nan]</t>
  </si>
  <si>
    <t>[2.63, -7.32, -10.69, nan]</t>
  </si>
  <si>
    <t>[4.36, 5.76, 8.5, 5.83]</t>
  </si>
  <si>
    <t>[1.42, 6.61, 2.7, nan]</t>
  </si>
  <si>
    <t>[6.62, -1.34, 0.04, nan]</t>
  </si>
  <si>
    <t>[22.14, 15.94, 13.88, 11.53]</t>
  </si>
  <si>
    <t>[11.73, 13.14, 6.68, nan]</t>
  </si>
  <si>
    <t>[12.44, 3.15, 2.61, nan]</t>
  </si>
  <si>
    <t>[8.79, 5.49, 4.92, nan]</t>
  </si>
  <si>
    <t>[14.03, 7.8, 1.5, nan]</t>
  </si>
  <si>
    <t>[5.13, 3.98, 4.23, nan]</t>
  </si>
  <si>
    <t>[4.55, 4.52, 3.66, nan]</t>
  </si>
  <si>
    <t>[-1.29, -3.23, -16.79, nan]</t>
  </si>
  <si>
    <t>[10.76, -81.71, 50.98, nan]</t>
  </si>
  <si>
    <t>[-51.29, -53.67, -62.7, nan]</t>
  </si>
  <si>
    <t>[-2.34, 4.88, -0.76, nan]</t>
  </si>
  <si>
    <t>[6.21, 9.76, 14.22, nan]</t>
  </si>
  <si>
    <t>[-6.67, -18.99, 1.69, nan]</t>
  </si>
  <si>
    <t>[8.55, 8.77, 7.81, 4.08]</t>
  </si>
  <si>
    <t>[17.99, 15.93, 2.32, nan]</t>
  </si>
  <si>
    <t>[2.1, 1.41, 0.14, nan]</t>
  </si>
  <si>
    <t>[15.57, 6.23, 1.19, nan]</t>
  </si>
  <si>
    <t>[6.89, 3.2, -0.59, nan]</t>
  </si>
  <si>
    <t>[11.35, 10.83, 4.42, nan]</t>
  </si>
  <si>
    <t>[15.08, 13.82, 3.38, nan]</t>
  </si>
  <si>
    <t>[12.03, 9.83, 11.57, nan]</t>
  </si>
  <si>
    <t>[12.03, 6.8, 0.42, nan]</t>
  </si>
  <si>
    <t>[0.18, 9.68, 8.01, nan]</t>
  </si>
  <si>
    <t>[-13.16, -7.78, -23.47, nan]</t>
  </si>
  <si>
    <t>[20.63, 18.7, 9.11, nan]</t>
  </si>
  <si>
    <t>[-0.68, 9.12, 4.83, nan]</t>
  </si>
  <si>
    <t>[9.07, 4.31, 22.13, 1.06]</t>
  </si>
  <si>
    <t>[13.48, 6.55, 50.67, nan]</t>
  </si>
  <si>
    <t>[42.16, 22.5, 5.89, nan]</t>
  </si>
  <si>
    <t>[0.41, -3.19, -11.97, nan]</t>
  </si>
  <si>
    <t>[2.25, -4.87, 4.94, nan]</t>
  </si>
  <si>
    <t>[7.22, 6.34, 8.77, nan]</t>
  </si>
  <si>
    <t>[4.62, 6.49, 5.67, nan]</t>
  </si>
  <si>
    <t>[11.1, 10.07, 1.39, nan]</t>
  </si>
  <si>
    <t>[14.93, 12.75, 2.05, nan]</t>
  </si>
  <si>
    <t>[1.73, -8.33, -7.3, nan]</t>
  </si>
  <si>
    <t>[7.48, 7.08, 11.61, nan]</t>
  </si>
  <si>
    <t>[-8.11, 5.27, 8.11, nan]</t>
  </si>
  <si>
    <t>[3.48, 20.58, 26.2, 10.66]</t>
  </si>
  <si>
    <t>[5.41, 2.82, 3.58, nan]</t>
  </si>
  <si>
    <t>[3.49, 3.96, 2.99, nan]</t>
  </si>
  <si>
    <t>[8.88, 11.19, 7.4, nan]</t>
  </si>
  <si>
    <t>[6.16, -0.47, 3.81, nan]</t>
  </si>
  <si>
    <t>[2.75, 2.54, 11.69, nan]</t>
  </si>
  <si>
    <t>[5.67, -4.48, -11.74, nan]</t>
  </si>
  <si>
    <t>[18.31, 18.79, 11.49, nan]</t>
  </si>
  <si>
    <t>[3.02, 2.73, 2.69, nan]</t>
  </si>
  <si>
    <t>[3.7, 8.93, 13.31, nan]</t>
  </si>
  <si>
    <t>[11.87, -0.4, 5.3, nan]</t>
  </si>
  <si>
    <t>[-9.0, -29.11, 7.33, nan]</t>
  </si>
  <si>
    <t>[44.77, 31.07, 11.11, nan]</t>
  </si>
  <si>
    <t>[7.73, 11.74, -12.11, nan]</t>
  </si>
  <si>
    <t>[3.22, 2.01, 3.61, nan]</t>
  </si>
  <si>
    <t>[9.49, 5.29, 7.85, nan]</t>
  </si>
  <si>
    <t>[5.71, 7.58, 0.98, nan]</t>
  </si>
  <si>
    <t>[-42.35, -22.45, 10.08, nan]</t>
  </si>
  <si>
    <t>[-1.96, -0.06, -0.58, nan]</t>
  </si>
  <si>
    <t>[1.11, -1.23, -7.24, nan]</t>
  </si>
  <si>
    <t>[9.97, 2.5, 7.25, 4.7]</t>
  </si>
  <si>
    <t>[7.75, 13.22, -1.11, nan]</t>
  </si>
  <si>
    <t>[2.96, 3.83, -9.4, 2.17]</t>
  </si>
  <si>
    <t>[-1.32, -4.89, -33.7, nan]</t>
  </si>
  <si>
    <t>[1.67, -5.21, 23.52, -16.19]</t>
  </si>
  <si>
    <t>[8.08, 7.38, 7.05, 4.94]</t>
  </si>
  <si>
    <t>[8.13, 14.04, 11.59, 7.55]</t>
  </si>
  <si>
    <t>[7.06, -5.59, 1.26, 6.17]</t>
  </si>
  <si>
    <t>[7.42, 3.48, 3.81, 3.03]</t>
  </si>
  <si>
    <t>[3.04, 5.02, 4.33, nan]</t>
  </si>
  <si>
    <t>[9.89, 9.1, 7.28, nan]</t>
  </si>
  <si>
    <t>[14.34, 6.36, 3.24, 5.23]</t>
  </si>
  <si>
    <t>[8.6, 4.29, 14.18, nan]</t>
  </si>
  <si>
    <t>[15.19, 7.86, 0.48, nan]</t>
  </si>
  <si>
    <t>[3.81, 1.35, 4.39, nan]</t>
  </si>
  <si>
    <t>[6.27, 7.69, 5.97, nan]</t>
  </si>
  <si>
    <t>[6.19, 1.75, 4.73, nan]</t>
  </si>
  <si>
    <t>[26.71, 18.33, 12.03, nan]</t>
  </si>
  <si>
    <t>[10.88, 7.97, 6.3, 10.25]</t>
  </si>
  <si>
    <t>[7.77, 10.76, 11.5, nan]</t>
  </si>
  <si>
    <t>[5.33, 4.68, 2.44, nan]</t>
  </si>
  <si>
    <t>[14.24, 16.44, -6.69, nan]</t>
  </si>
  <si>
    <t>[-0.94, -4.47, -8.03, -2.57]</t>
  </si>
  <si>
    <t>[7.74, 16.72, 11.73, 10.62]</t>
  </si>
  <si>
    <t>[4.93, -6.06, 2.48, 21.98]</t>
  </si>
  <si>
    <t>[nan, 0.94, 3.19, nan]</t>
  </si>
  <si>
    <t>[1.05, 0.1, 0.85, nan]</t>
  </si>
  <si>
    <t>[6.96, 4.48, 1.06, nan]</t>
  </si>
  <si>
    <t>[0.62, 5.65, 4.35, nan]</t>
  </si>
  <si>
    <t>[14.66, 4.08, 12.71, nan]</t>
  </si>
  <si>
    <t>[3.32, -1.11, 2.0, nan]</t>
  </si>
  <si>
    <t>[5.14, 5.62, 11.92, 14.67]</t>
  </si>
  <si>
    <t>[1.98, 0.78, 6.49, nan]</t>
  </si>
  <si>
    <t>[6.48, 3.88, 4.18, 3.14]</t>
  </si>
  <si>
    <t>[11.19, 11.32, 10.33, 3.04]</t>
  </si>
  <si>
    <t>[7.17, 3.06, -26.19, -2.93]</t>
  </si>
  <si>
    <t>[4.74, 4.63, 5.29, nan]</t>
  </si>
  <si>
    <t>[11.87, 9.98, 5.91, nan]</t>
  </si>
  <si>
    <t>[7.39, 7.31, 9.12, 10.63]</t>
  </si>
  <si>
    <t>[28.9, 25.22, 13.6, nan]</t>
  </si>
  <si>
    <t>[nan, 4.88, 7.09, nan]</t>
  </si>
  <si>
    <t>[1.9, 0.39, -0.05, nan]</t>
  </si>
  <si>
    <t>[-1.41, 1.17, 26.85, nan]</t>
  </si>
  <si>
    <t>[6.68, 8.88, 3.05, nan]</t>
  </si>
  <si>
    <t>[8.99, 2.15, 4.73, nan]</t>
  </si>
  <si>
    <t>[12.68, 12.88, 9.72, nan]</t>
  </si>
  <si>
    <t>[3.36, 2.59, -11.94, nan]</t>
  </si>
  <si>
    <t>[8.98, 9.26, 10.0, 10.18]</t>
  </si>
  <si>
    <t>[-19.25, -43.38, 31.69, nan]</t>
  </si>
  <si>
    <t>[19.65, 7.35, 4.45, 15.13]</t>
  </si>
  <si>
    <t>[11.48, 13.73, 0.8, 3.57]</t>
  </si>
  <si>
    <t>[10.96, 2.8, -5.21, -1.69]</t>
  </si>
  <si>
    <t>[7.36, -3.78, -11.68, 2.82]</t>
  </si>
  <si>
    <t>[21.52, 13.04, 5.51, 1.9]</t>
  </si>
  <si>
    <t>[1.71, 3.29, 5.58, nan]</t>
  </si>
  <si>
    <t>[1.88, 1.37, 32.69, nan]</t>
  </si>
  <si>
    <t>[5.07, 4.31, 6.98, nan]</t>
  </si>
  <si>
    <t>[3.81, 1.61, 3.01, nan]</t>
  </si>
  <si>
    <t>[5.06, 15.71, 9.98, nan]</t>
  </si>
  <si>
    <t>[7.27, 11.66, 4.9, nan]</t>
  </si>
  <si>
    <t>[4.74, 3.37, -1.18, nan]</t>
  </si>
  <si>
    <t>[5.98, 6.9, 4.61, nan]</t>
  </si>
  <si>
    <t>[8.0, 6.18, 5.8, nan]</t>
  </si>
  <si>
    <t>[2.08, 1.85, 1.64, nan]</t>
  </si>
  <si>
    <t>[8.0, 8.17, 7.57, nan]</t>
  </si>
  <si>
    <t>[8.23, -0.22, 1.77, nan]</t>
  </si>
  <si>
    <t>[8.95, 1.17, 5.36, nan]</t>
  </si>
  <si>
    <t>[3.21, 7.6, 4.61, nan]</t>
  </si>
  <si>
    <t>[4.96, 3.88, 3.75, nan]</t>
  </si>
  <si>
    <t>[5.64, 6.37, 7.36, 8.55]</t>
  </si>
  <si>
    <t>[14.53, 4.56, 30.57, nan]</t>
  </si>
  <si>
    <t>[26.41, 9.32, 0.49, nan]</t>
  </si>
  <si>
    <t>[12.18, 8.9, -3.13, nan]</t>
  </si>
  <si>
    <t>[9.85, 5.88, -2.66, nan]</t>
  </si>
  <si>
    <t>[17.32, 5.23, 8.18, nan]</t>
  </si>
  <si>
    <t>[7.14, 4.13, 4.74, nan]</t>
  </si>
  <si>
    <t>[-2.23, -10.46, -7.54, nan]</t>
  </si>
  <si>
    <t>[11.25, 5.18, 4.98, nan]</t>
  </si>
  <si>
    <t>[13.19, -1.46, -22.35, -5.19]</t>
  </si>
  <si>
    <t>[6.19, 2.54, 9.04, 10.75]</t>
  </si>
  <si>
    <t>[11.82, 6.31, 5.4, 10.16]</t>
  </si>
  <si>
    <t>[16.04, 10.96, 5.87, 8.22]</t>
  </si>
  <si>
    <t>[7.57, 4.18, -5.02, nan]</t>
  </si>
  <si>
    <t>[6.87, 7.35, 5.65, 3.85]</t>
  </si>
  <si>
    <t>[5.23, 4.92, 5.6, nan]</t>
  </si>
  <si>
    <t>[1.17, 0.46, 0.55, nan]</t>
  </si>
  <si>
    <t>[19.4, 13.87, 15.26, nan]</t>
  </si>
  <si>
    <t>[13.79, 13.0, 15.06, 12.28]</t>
  </si>
  <si>
    <t>[22.54, 11.55, 12.76, 15.18]</t>
  </si>
  <si>
    <t>[4.67, 7.3, 4.72, nan]</t>
  </si>
  <si>
    <t>[7.66, 6.73, 9.18, nan]</t>
  </si>
  <si>
    <t>[3.22, 2.17, 2.8, nan]</t>
  </si>
  <si>
    <t>[4.1, 5.5, 4.61, 5.02]</t>
  </si>
  <si>
    <t>[6.65, 11.83, 1.64, -1.32]</t>
  </si>
  <si>
    <t>[6.7, 8.06, -2.17, nan]</t>
  </si>
  <si>
    <t>[10.03, -3.89, 4.64, nan]</t>
  </si>
  <si>
    <t>[11.09, 8.73, 8.79, nan]</t>
  </si>
  <si>
    <t>[10.48, 4.7, 2.14, nan]</t>
  </si>
  <si>
    <t>[6.78, 0.6, 5.55, nan]</t>
  </si>
  <si>
    <t>[-4.64, -17.96, 22.51, nan]</t>
  </si>
  <si>
    <t>[7.19, 5.83, 7.56, 8.48]</t>
  </si>
  <si>
    <t>[-4.92, 3.27, 2.72, nan]</t>
  </si>
  <si>
    <t>[1.14, 4.36, 8.78, nan]</t>
  </si>
  <si>
    <t>[3.13, 8.06, 4.77, 4.55]</t>
  </si>
  <si>
    <t>[5.01, 4.54, 3.72, 6.74]</t>
  </si>
  <si>
    <t>[9.42, 6.63, 5.96, nan]</t>
  </si>
  <si>
    <t>[9.88, 7.5, 7.94, 1.94]</t>
  </si>
  <si>
    <t>[8.97, 5.82, 7.38, 5.54]</t>
  </si>
  <si>
    <t>[2.66, 0.5, 36.53, nan]</t>
  </si>
  <si>
    <t>[10.23, 4.2, 6.0, nan]</t>
  </si>
  <si>
    <t>[4.89, 7.71, 2.8, nan]</t>
  </si>
  <si>
    <t>[0.54, 0.04, 2.12, nan]</t>
  </si>
  <si>
    <t>[11.67, -2.19, 1.25, 1.36]</t>
  </si>
  <si>
    <t>[1.64, -46.25, -25.48, nan]</t>
  </si>
  <si>
    <t>[-0.03, -6.67, 8.4, nan]</t>
  </si>
  <si>
    <t>[4.78, 5.32, 4.03, nan]</t>
  </si>
  <si>
    <t>[13.77, 14.16, 13.01, nan]</t>
  </si>
  <si>
    <t>[16.59, 14.67, 1.51, nan]</t>
  </si>
  <si>
    <t>[11.53, 9.78, 14.61, nan]</t>
  </si>
  <si>
    <t>[6.3, 2.94, 2.76, -2.94]</t>
  </si>
  <si>
    <t>[-4.72, -9.36, -6.93, nan]</t>
  </si>
  <si>
    <t>[0.06, 0.9, 0.92, nan]</t>
  </si>
  <si>
    <t>[1.52, 9.19, 4.42, nan]</t>
  </si>
  <si>
    <t>[7.22, 35.2, 6.38, nan]</t>
  </si>
  <si>
    <t>[nan, nan, 2.07, nan]</t>
  </si>
  <si>
    <t>[4.54, 0.58, 1.46, nan]</t>
  </si>
  <si>
    <t>[0.44, 2.58, 3.26, nan]</t>
  </si>
  <si>
    <t>[0.56, 0.23, 3.25, nan]</t>
  </si>
  <si>
    <t>[2.33, 2.72, 2.24, nan]</t>
  </si>
  <si>
    <t>[7.98, 8.62, 7.36, 6.09]</t>
  </si>
  <si>
    <t>[3.62, 4.27, 6.5, 4.77]</t>
  </si>
  <si>
    <t>[1.41, 3.07, 1.56, nan]</t>
  </si>
  <si>
    <t>[8.59, 7.52, 7.44, nan]</t>
  </si>
  <si>
    <t>[9.39, 9.11, 9.06, nan]</t>
  </si>
  <si>
    <t>[32.45, 8.53, 10.85, nan]</t>
  </si>
  <si>
    <t>[9.18, 9.5, 6.89, nan]</t>
  </si>
  <si>
    <t>[15.21, 28.01, 9.33, nan]</t>
  </si>
  <si>
    <t>[-3.13, -1.15, 2.94, nan]</t>
  </si>
  <si>
    <t>[1.72, 0.25, 0.73, nan]</t>
  </si>
  <si>
    <t>[4.84, 5.16, 0.07, nan]</t>
  </si>
  <si>
    <t>[16.7, 24.46, 16.94, nan]</t>
  </si>
  <si>
    <t>[10.48, 10.57, 8.75, nan]</t>
  </si>
  <si>
    <t>[-5.15, -1.23, 0.45, nan]</t>
  </si>
  <si>
    <t>[9.03, 5.18, -3.23, nan]</t>
  </si>
  <si>
    <t>[3.81, 7.15, 6.48, nan]</t>
  </si>
  <si>
    <t>[3.74, 3.11, 1.8, nan]</t>
  </si>
  <si>
    <t>[3.67, 2.87, 6.01, nan]</t>
  </si>
  <si>
    <t>[27.07, -0.13, 3.2, 11.41]</t>
  </si>
  <si>
    <t>[10.99, 7.46, 2.26, nan]</t>
  </si>
  <si>
    <t>[2.68, 3.32, 5.54, nan]</t>
  </si>
  <si>
    <t>[nan, 11.11, 7.45, nan]</t>
  </si>
  <si>
    <t>[3.94, 6.58, 3.69, nan]</t>
  </si>
  <si>
    <t>[4.48, 2.62, 1.37, nan]</t>
  </si>
  <si>
    <t>[10.14, 12.37, 11.74, 13.04]</t>
  </si>
  <si>
    <t>[-3.82, -1.04, -11.77, nan]</t>
  </si>
  <si>
    <t>[2.2, -27.72, 9.75, nan]</t>
  </si>
  <si>
    <t>[8.26, 5.7, 2.75, nan]</t>
  </si>
  <si>
    <t>[15.53, 16.22, 6.11, 7.27]</t>
  </si>
  <si>
    <t>[3.55, 2.62, 4.23, nan]</t>
  </si>
  <si>
    <t>[6.86, -3.83, 6.73, 18.5]</t>
  </si>
  <si>
    <t>[2.35, 2.16, 3.22, nan]</t>
  </si>
  <si>
    <t>[7.44, 7.05, 2.25, nan]</t>
  </si>
  <si>
    <t>[8.18, 10.48, 10.23, nan]</t>
  </si>
  <si>
    <t>[5.36, 20.48, 2.17, nan]</t>
  </si>
  <si>
    <t>[19.23, 10.94, 11.47, 2.39]</t>
  </si>
  <si>
    <t>[4.7, 9.15, 4.36, nan]</t>
  </si>
  <si>
    <t>[7.44, 8.34, 8.65, nan]</t>
  </si>
  <si>
    <t>[17.6, 17.32, 15.6, 15.8]</t>
  </si>
  <si>
    <t>[15.32, 10.82, 12.56, nan]</t>
  </si>
  <si>
    <t>[0.29, 2.59, 0.59, nan]</t>
  </si>
  <si>
    <t>[4.7, 7.74, 2.95, nan]</t>
  </si>
  <si>
    <t>[-3.32, 3.43, 4.81, nan]</t>
  </si>
  <si>
    <t>[0.2, -14.25, -3.63, -0.74]</t>
  </si>
  <si>
    <t>[0.7, 1.62, -16.34, nan]</t>
  </si>
  <si>
    <t>[2.74, 0.87, 3.45, -10.94]</t>
  </si>
  <si>
    <t>[4.63, 4.69, 4.79, nan]</t>
  </si>
  <si>
    <t>[34.56, 22.21, 15.29, 13.25]</t>
  </si>
  <si>
    <t>[-15.9, 3.09, 11.93, nan]</t>
  </si>
  <si>
    <t>[2.21, 3.62, 5.56, nan]</t>
  </si>
  <si>
    <t>[6.13, 7.27, 11.17, 12.7]</t>
  </si>
  <si>
    <t>[11.02, 2.11, 3.32, nan]</t>
  </si>
  <si>
    <t>[5.16, 4.55, 13.07, nan]</t>
  </si>
  <si>
    <t>[-0.56, -34.82, -53.17, nan]</t>
  </si>
  <si>
    <t>[73.02, -1.98, -14.15, nan]</t>
  </si>
  <si>
    <t>[-6.48, 17.41, 8.89, nan]</t>
  </si>
  <si>
    <t>[5.01, 4.28, 4.28, nan]</t>
  </si>
  <si>
    <t>[-1.55, -6.3, -11.32, nan]</t>
  </si>
  <si>
    <t>[3.11, 7.37, 7.81, nan]</t>
  </si>
  <si>
    <t>[6.36, 7.34, 4.79, nan]</t>
  </si>
  <si>
    <t>[15.38, 15.52, 3.92, 5.93]</t>
  </si>
  <si>
    <t>[4.42, 2.85, 5.62, nan]</t>
  </si>
  <si>
    <t>[11.96, 9.12, -0.2, -12.38]</t>
  </si>
  <si>
    <t>[12.12, 13.2, 8.8, 9.48]</t>
  </si>
  <si>
    <t>[-20.23, -18.3, -20.71, nan]</t>
  </si>
  <si>
    <t>[53.52, 5.56, 11.52, nan]</t>
  </si>
  <si>
    <t>[1.39, 0.31, -5.85, 5.11]</t>
  </si>
  <si>
    <t>[28.12, 9.53, -1.22, 7.24]</t>
  </si>
  <si>
    <t>[7.08, 3.9, 9.85, 15.3]</t>
  </si>
  <si>
    <t>[4.8, 3.77, 3.39, nan]</t>
  </si>
  <si>
    <t>[-2.71, -19.77, 4.53, nan]</t>
  </si>
  <si>
    <t>[12.53, 14.88, 4.31, 0.77]</t>
  </si>
  <si>
    <t>[-29.48, -27.39, -2.15, nan]</t>
  </si>
  <si>
    <t>[5.55, 2.99, 2.21, nan]</t>
  </si>
  <si>
    <t>[-2.2, 2.93, 8.53, nan]</t>
  </si>
  <si>
    <t>[7.39, 6.47, -3.63, nan]</t>
  </si>
  <si>
    <t>[5.81, 6.73, 2.82, nan]</t>
  </si>
  <si>
    <t>[5.48, 6.94, 14.24, -1.29]</t>
  </si>
  <si>
    <t>[5.77, -0.1, 2.56, nan]</t>
  </si>
  <si>
    <t>[9.46, -3.93, -3.3, nan]</t>
  </si>
  <si>
    <t>[14.36, 38.82, 12.58, nan]</t>
  </si>
  <si>
    <t>[20.98, 5.61, 6.72, nan]</t>
  </si>
  <si>
    <t>[-2.62, -3.04, -15.84, nan]</t>
  </si>
  <si>
    <t>[12.75, 11.99, -3.13, 7.62]</t>
  </si>
  <si>
    <t>[1.53, -2.62, 0.97, nan]</t>
  </si>
  <si>
    <t>[-2.42, 6.49, 6.27, nan]</t>
  </si>
  <si>
    <t>[26.69, 4.87, 11.69, nan]</t>
  </si>
  <si>
    <t>[30.19, 28.89, 18.07, nan]</t>
  </si>
  <si>
    <t>[7.97, 9.25, 7.31, 6.51]</t>
  </si>
  <si>
    <t>[5.76, 3.89, -1.91, nan]</t>
  </si>
  <si>
    <t>[3.53, 4.38, 4.43, nan]</t>
  </si>
  <si>
    <t>[11.39, 3.02, 4.66, nan]</t>
  </si>
  <si>
    <t>[nan, nan, 20.3, 9.25]</t>
  </si>
  <si>
    <t>[-11.56, -12.64, -16.49, nan]</t>
  </si>
  <si>
    <t>[5.73, 5.97, 5.03, nan]</t>
  </si>
  <si>
    <t>[60.32, -37.66, -19.68, nan]</t>
  </si>
  <si>
    <t>[0.83, -1.6, -2.14, nan]</t>
  </si>
  <si>
    <t>[2.25, 3.18, 1.77, 2.42]</t>
  </si>
  <si>
    <t>[15.06, 8.54, 5.65, 1.76]</t>
  </si>
  <si>
    <t>[13.42, 11.14, 6.26, -0.39]</t>
  </si>
  <si>
    <t>[12.1, 6.91, 6.24, 5.0]</t>
  </si>
  <si>
    <t>[3.91, 5.55, 4.86, nan]</t>
  </si>
  <si>
    <t>[1.94, -0.93, -2.52, nan]</t>
  </si>
  <si>
    <t>[-59.19, -213.8, -62.5, nan]</t>
  </si>
  <si>
    <t>[5.95, 9.89, 50.19, nan]</t>
  </si>
  <si>
    <t>[14.5, 4.91, 2.4, nan]</t>
  </si>
  <si>
    <t>[-2.97, 4.99, -4.06, nan]</t>
  </si>
  <si>
    <t>[5.83, 6.84, 7.07, 5.97]</t>
  </si>
  <si>
    <t>[6.58, 7.07, 6.37, nan]</t>
  </si>
  <si>
    <t>[-5.22, 17.34, 11.79, 10.28]</t>
  </si>
  <si>
    <t>[6.22, 5.48, -4.61, nan]</t>
  </si>
  <si>
    <t>[7.8, 8.22, 7.2, nan]</t>
  </si>
  <si>
    <t>[-2.78, -3.61, -13.31, nan]</t>
  </si>
  <si>
    <t>[5.12, -1.0, -7.35, nan]</t>
  </si>
  <si>
    <t>[8.16, 2.08, 3.53, nan]</t>
  </si>
  <si>
    <t>[6.37, 8.82, 7.75, nan]</t>
  </si>
  <si>
    <t>[6.12, 3.35, -3.82, nan]</t>
  </si>
  <si>
    <t>[4.04, 4.46, 3.06, nan]</t>
  </si>
  <si>
    <t>[10.25, 8.33, 8.02, 9.14]</t>
  </si>
  <si>
    <t>[-3.28, -8.32, -6.42, nan]</t>
  </si>
  <si>
    <t>[0.66, 0.26, 1.34, nan]</t>
  </si>
  <si>
    <t>[9.6, 9.61, 8.24, 6.44]</t>
  </si>
  <si>
    <t>[1.35, 1.81, 0.26, nan]</t>
  </si>
  <si>
    <t>[9.35, 10.18, 9.59, nan]</t>
  </si>
  <si>
    <t>[1.09, 15.83, 10.99, nan]</t>
  </si>
  <si>
    <t>[1.56, 2.26, 6.6, nan]</t>
  </si>
  <si>
    <t>[6.37, 7.21, 5.88, nan]</t>
  </si>
  <si>
    <t>[15.03, 10.95, 6.84, 8.64]</t>
  </si>
  <si>
    <t>[13.77, 12.09, 11.65, nan]</t>
  </si>
  <si>
    <t>[1.07, 2.57, 2.98, 1.82]</t>
  </si>
  <si>
    <t>[9.58, 8.99, 10.32, nan]</t>
  </si>
  <si>
    <t>[13.42, -39.0, -96.01, nan]</t>
  </si>
  <si>
    <t>[2.76, 5.02, 2.18, nan]</t>
  </si>
  <si>
    <t>[-7.02, -11.59, 5.04, nan]</t>
  </si>
  <si>
    <t>[7.86, 8.69, 10.36, 9.63]</t>
  </si>
  <si>
    <t>[12.05, 8.38, 10.29, nan]</t>
  </si>
  <si>
    <t>[5.65, 8.17, 2.01, nan]</t>
  </si>
  <si>
    <t>[13.25, 14.23, 10.84, nan]</t>
  </si>
  <si>
    <t>[-5.44, -3.31, 0.74, nan]</t>
  </si>
  <si>
    <t>[2.0, 3.25, 4.31, nan]</t>
  </si>
  <si>
    <t>[-1.29, 0.0, 2.55, nan]</t>
  </si>
  <si>
    <t>[-1.37, 1.96, 3.53, nan]</t>
  </si>
  <si>
    <t>[-16.25, -8.73, 3.85, nan]</t>
  </si>
  <si>
    <t>[6.73, 2.69, 1.38, -0.11]</t>
  </si>
  <si>
    <t>[-0.66, -2.87, 2.53, nan]</t>
  </si>
  <si>
    <t>[7.5, 1.72, 1.58, nan]</t>
  </si>
  <si>
    <t>[6.6, 7.37, 8.15, 9.59]</t>
  </si>
  <si>
    <t>[3.73, 4.06, 1.66, nan]</t>
  </si>
  <si>
    <t>[6.73, 6.53, 1.8, nan]</t>
  </si>
  <si>
    <t>[10.18, 8.78, 8.92, 8.54]</t>
  </si>
  <si>
    <t>[2.74, 2.89, 4.35, nan]</t>
  </si>
  <si>
    <t>[3.02, 0.88, 1.23, nan]</t>
  </si>
  <si>
    <t>[-1.53, -2.02, 1.85, nan]</t>
  </si>
  <si>
    <t>[7.67, 6.17, 5.04, nan]</t>
  </si>
  <si>
    <t>[0.71, -0.41, -4.37, 0.9]</t>
  </si>
  <si>
    <t>[4.16, 5.71, 3.03, 3.13]</t>
  </si>
  <si>
    <t>[-1.92, -5.2, 1.52, nan]</t>
  </si>
  <si>
    <t>[7.23, 12.5, 12.97, 13.81]</t>
  </si>
  <si>
    <t>[0.73, 8.58, 7.15, nan]</t>
  </si>
  <si>
    <t>[10.37, 24.79, 14.26, nan]</t>
  </si>
  <si>
    <t>[428.57, 4.37, 1.79, 1.72]</t>
  </si>
  <si>
    <t>[9.16, 8.78, 4.83, 5.32]</t>
  </si>
  <si>
    <t>[4.11, 5.47, 0.68, nan]</t>
  </si>
  <si>
    <t>[7.76, 10.32, 7.7, nan]</t>
  </si>
  <si>
    <t>[9.56, 8.96, 14.22, nan]</t>
  </si>
  <si>
    <t>[3.99, 8.72, 9.16, -3.92]</t>
  </si>
  <si>
    <t>[7.09, 1.14, 0.93, 0.49]</t>
  </si>
  <si>
    <t>[3.31, 4.13, 3.07, nan]</t>
  </si>
  <si>
    <t>[8.15, 5.54, 5.83, nan]</t>
  </si>
  <si>
    <t>[5.36, 1.83, 2.54, nan]</t>
  </si>
  <si>
    <t>[20.18, 24.25, 8.91, nan]</t>
  </si>
  <si>
    <t>[nan, nan, 4.42, nan]</t>
  </si>
  <si>
    <t>[9.13, 9.21, 9.09, 8.26]</t>
  </si>
  <si>
    <t>[7.37, 7.66, 7.01, nan]</t>
  </si>
  <si>
    <t>[-5.77, -10.55, -32.05, nan]</t>
  </si>
  <si>
    <t>[5.71, 5.04, 5.04, 6.38]</t>
  </si>
  <si>
    <t>[7.81, 3.56, 3.47, nan]</t>
  </si>
  <si>
    <t>[-5.12, 2.16, -0.14, nan]</t>
  </si>
  <si>
    <t>[2.04, 29.05, -0.32, nan]</t>
  </si>
  <si>
    <t>[23.25, 12.42, 19.83, nan]</t>
  </si>
  <si>
    <t>[67.38, 36.08, 10.78, 8.57]</t>
  </si>
  <si>
    <t>[2.16, 18.04, 32.25, nan]</t>
  </si>
  <si>
    <t>[46.14, 13.13, 14.49, 7.31]</t>
  </si>
  <si>
    <t>[36.5, 125.09, 30.35, nan]</t>
  </si>
  <si>
    <t>[15.31, 2.93, 20.68, nan]</t>
  </si>
  <si>
    <t>[nan, 18.39, 17.14, 14.84]</t>
  </si>
  <si>
    <t>[51.21, 34.73, 35.97, nan]</t>
  </si>
  <si>
    <t>[37.74, 17.2, 16.33, nan]</t>
  </si>
  <si>
    <t>[-18.59, 50.09, 2.96, nan]</t>
  </si>
  <si>
    <t>[32.95, 15.59, 6.86, 8.73]</t>
  </si>
  <si>
    <t>[10.91, 21.46, 3.16, 15.17]</t>
  </si>
  <si>
    <t>[41.0, 31.2, 40.8, nan]</t>
  </si>
  <si>
    <t>[5.98, 16.32, 5.44, nan]</t>
  </si>
  <si>
    <t>[23.62, 18.89, 10.19, 5.43]</t>
  </si>
  <si>
    <t>[16.04, 11.08, 14.9, nan]</t>
  </si>
  <si>
    <t>[18.13, 13.06, 25.44, nan]</t>
  </si>
  <si>
    <t>[2.99, 5.15, 33.12, nan]</t>
  </si>
  <si>
    <t>[nan, nan, 21.37, 2.55]</t>
  </si>
  <si>
    <t>[22.24, 18.7, 23.04, nan]</t>
  </si>
  <si>
    <t>[12.34, 23.45, 11.84, 18.3]</t>
  </si>
  <si>
    <t>[15.92, 11.03, 14.41, nan]</t>
  </si>
  <si>
    <t>[16.04, 17.08, 14.98, 10.87]</t>
  </si>
  <si>
    <t>[15.82, 8.51, 14.07, nan]</t>
  </si>
  <si>
    <t>[36.8, 38.53, 4.25, 7.41]</t>
  </si>
  <si>
    <t>[15.71, 11.38, 12.39, 12.32]</t>
  </si>
  <si>
    <t>[19.78, 16.67, 19.94, nan]</t>
  </si>
  <si>
    <t>[10.96, 8.64, 9.76, 8.9]</t>
  </si>
  <si>
    <t>[33.49, 16.44, 14.59, nan]</t>
  </si>
  <si>
    <t>[19.59, 17.7, 14.52, 21.1]</t>
  </si>
  <si>
    <t>[20.41, 16.51, 21.46, nan]</t>
  </si>
  <si>
    <t>[10.51, 14.58, 18.57, nan]</t>
  </si>
  <si>
    <t>[29.26, 20.22, 15.9, 12.76]</t>
  </si>
  <si>
    <t>[46.48, 28.08, 26.22, nan]</t>
  </si>
  <si>
    <t>[nan, 178.68, 95.79, nan]</t>
  </si>
  <si>
    <t>[3.28, 14.63, 35.27, 23.58]</t>
  </si>
  <si>
    <t>[26.83, 28.76, 23.33, 15.53]</t>
  </si>
  <si>
    <t>[16.6, 15.56, 16.03, 16.15]</t>
  </si>
  <si>
    <t>[9.8, 11.06, 21.18, nan]</t>
  </si>
  <si>
    <t>[9.04, 19.02, 18.93, 18.27]</t>
  </si>
  <si>
    <t>[30.78, 24.53, 18.13, nan]</t>
  </si>
  <si>
    <t>[17.03, 14.79, 15.71, nan]</t>
  </si>
  <si>
    <t>[-25.01, 8.48, 24.26, nan]</t>
  </si>
  <si>
    <t>[35.63, 18.28, 13.3, nan]</t>
  </si>
  <si>
    <t>[2.75, 10.39, 26.23, nan]</t>
  </si>
  <si>
    <t>[7.5, 7.62, 11.03, nan]</t>
  </si>
  <si>
    <t>[-1.1, 26.19, 47.71, 21.81]</t>
  </si>
  <si>
    <t>[26.66, 25.15, 15.54, nan]</t>
  </si>
  <si>
    <t>[8.37, 11.12, 15.63, nan]</t>
  </si>
  <si>
    <t>[11.97, 17.46, 29.85, nan]</t>
  </si>
  <si>
    <t>[43.0, 7.19, 4.69, nan]</t>
  </si>
  <si>
    <t>[24.87, 24.68, 22.86, nan]</t>
  </si>
  <si>
    <t>[0, 39.83, 30.62, 28.4, 42.72]</t>
  </si>
  <si>
    <t>[-4.73, 20.26, 36.0, 38.78]</t>
  </si>
  <si>
    <t>[-28.87, -117.02, 81.43, nan]</t>
  </si>
  <si>
    <t>[59.74, 6.73, 1.33, nan]</t>
  </si>
  <si>
    <t>[nan, 22.67, 3.53, nan]</t>
  </si>
  <si>
    <t>[25.67, 22.1, 8.37, nan]</t>
  </si>
  <si>
    <t>[25.01, 29.43, 17.69, nan]</t>
  </si>
  <si>
    <t>[0, 42.83, 33.03, 20.93, 18.35]</t>
  </si>
  <si>
    <t>[20.88, 19.8, 6.91, nan]</t>
  </si>
  <si>
    <t>[9.06, 16.27, 9.55, 9.08]</t>
  </si>
  <si>
    <t>[19.87, 23.01, 6.1, 9.93]</t>
  </si>
  <si>
    <t>[68.9, 33.48, -3.01, nan]</t>
  </si>
  <si>
    <t>[21.01, 19.63, 8.69, 10.44]</t>
  </si>
  <si>
    <t>[114.7, -7.87, 18.32, 16.23]</t>
  </si>
  <si>
    <t>[23.89, 11.45, 10.78, nan]</t>
  </si>
  <si>
    <t>[10.71, 15.7, 6.43, nan]</t>
  </si>
  <si>
    <t>[-15.84, 23.41, 34.66, nan]</t>
  </si>
  <si>
    <t>[35.84, 49.27, 24.22, 20.25]</t>
  </si>
  <si>
    <t>[26.05, 19.25, 7.37, 10.01]</t>
  </si>
  <si>
    <t>[26.45, 27.35, 25.33, 22.68]</t>
  </si>
  <si>
    <t>[19.84, 22.47, 8.01, 27.76]</t>
  </si>
  <si>
    <t>[13.94, 28.23, 24.22, 30.32]</t>
  </si>
  <si>
    <t>[2.57, 11.62, 32.82, nan]</t>
  </si>
  <si>
    <t>[1.6, -12.18, 40.27, nan]</t>
  </si>
  <si>
    <t>[0, 32.29, 13.56, nan, nan]</t>
  </si>
  <si>
    <t>[nan, 22.4, 21.1, 15.09]</t>
  </si>
  <si>
    <t>[7.53, 16.03, 23.81, 14.47]</t>
  </si>
  <si>
    <t>[5.52, 20.86, 20.45, 10.24]</t>
  </si>
  <si>
    <t>[0, 436.59, 71.24, nan, nan]</t>
  </si>
  <si>
    <t>[nan, 20.13, 13.24, nan]</t>
  </si>
  <si>
    <t>[-24.87, 4.19, 22.07, nan]</t>
  </si>
  <si>
    <t>[17.09, 3.82, 11.21, nan]</t>
  </si>
  <si>
    <t>[37.21, 28.48, 12.86, 4.66]</t>
  </si>
  <si>
    <t>[29.71, 26.8, 22.72, 21.71]</t>
  </si>
  <si>
    <t>[30.56, 35.33, 20.86, nan]</t>
  </si>
  <si>
    <t>[8.43, 9.27, 11.4, nan]</t>
  </si>
  <si>
    <t>[10.47, 8.88, 22.33, nan]</t>
  </si>
  <si>
    <t>[7.79, 7.07, 23.82, nan]</t>
  </si>
  <si>
    <t>[9.9, 19.4, 16.91, 10.46]</t>
  </si>
  <si>
    <t>[28.66, 31.64, 25.13, 15.84]</t>
  </si>
  <si>
    <t>[-11.22, 21.34, 13.73, 6.73]</t>
  </si>
  <si>
    <t>[29.81, 22.72, 18.57, 19.73]</t>
  </si>
  <si>
    <t>[25.71, 63.52, 21.24, 14.99]</t>
  </si>
  <si>
    <t>[29.34, 44.95, 17.03, 6.96]</t>
  </si>
  <si>
    <t>[23.23, 25.56, 8.07, nan]</t>
  </si>
  <si>
    <t>[23.47, 29.83, 20.38, nan]</t>
  </si>
  <si>
    <t>[22.56, 15.03, 15.07, 13.67]</t>
  </si>
  <si>
    <t>[19.44, 17.04, 15.47, 10.43]</t>
  </si>
  <si>
    <t>[9.56, 18.71, 27.38, nan]</t>
  </si>
  <si>
    <t>[21.3, 17.02, 10.82, 11.17]</t>
  </si>
  <si>
    <t>[27.62, 17.12, 17.4, 26.27]</t>
  </si>
  <si>
    <t>[23.24, 20.91, 6.97, 10.58]</t>
  </si>
  <si>
    <t>[0, 50.71, 11.89, nan, nan]</t>
  </si>
  <si>
    <t>[19.97, 13.05, 13.89, 14.26]</t>
  </si>
  <si>
    <t>[46.46, 19.3, 7.06, nan]</t>
  </si>
  <si>
    <t>[15.85, 14.21, 12.7, nan]</t>
  </si>
  <si>
    <t>[-5.35, 46.18, 18.64, 2.02]</t>
  </si>
  <si>
    <t>[73.32, 22.09, 9.03, 12.83]</t>
  </si>
  <si>
    <t>[25.0, 22.21, 11.5, -9.6]</t>
  </si>
  <si>
    <t>[94.76, 12.83, 37.44, nan]</t>
  </si>
  <si>
    <t>[15.29, 19.36, 18.19, nan]</t>
  </si>
  <si>
    <t>[8.29, 17.09, 18.92, nan]</t>
  </si>
  <si>
    <t>[18.23, 10.6, 11.25, 11.46]</t>
  </si>
  <si>
    <t>[0, 25.53, 22.88, nan, nan]</t>
  </si>
  <si>
    <t>[17.36, 10.84, 16.97, 22.66]</t>
  </si>
  <si>
    <t>[112.67, 51.64, 25.95, nan]</t>
  </si>
  <si>
    <t>[0, 21.05, 17.63, nan, 13.26]</t>
  </si>
  <si>
    <t>[53.56, 106.81, 51.13, nan]</t>
  </si>
  <si>
    <t>[32.39, 31.64, 21.36, 21.16]</t>
  </si>
  <si>
    <t>[19.95, 5.04, 6.26, nan]</t>
  </si>
  <si>
    <t>[57.85, 5.96, 1.09, nan]</t>
  </si>
  <si>
    <t>[-42.51, 21.27, 5.7, nan]</t>
  </si>
  <si>
    <t>[0, 91.73, 35.28, 41.72, 37.03]</t>
  </si>
  <si>
    <t>[30.1, -1.25, -54.58, nan]</t>
  </si>
  <si>
    <t>[18.87, 2.99, 15.1, nan]</t>
  </si>
  <si>
    <t>[0, 45.78, -34.19, nan, nan]</t>
  </si>
  <si>
    <t>[6.27, -2.58, -33.88, nan]</t>
  </si>
  <si>
    <t>[2.39, 0.53, 1.65, nan]</t>
  </si>
  <si>
    <t>[-9.38, -25.39, 15.91, nan]</t>
  </si>
  <si>
    <t>[-3.88, -23.52, -7.55, nan]</t>
  </si>
  <si>
    <t>[5.77, 9.73, 14.87, 0.65]</t>
  </si>
  <si>
    <t>[22.49, 26.3, 18.15, 25.97]</t>
  </si>
  <si>
    <t>[1.79, 5.27, 9.68, nan]</t>
  </si>
  <si>
    <t>[1.11, -1.87, -6.51, nan]</t>
  </si>
  <si>
    <t>[5.61, 5.38, 1.47, nan]</t>
  </si>
  <si>
    <t>[1.28, 7.96, -2.1, -0.86]</t>
  </si>
  <si>
    <t>[2.97, 3.38, 11.25, nan]</t>
  </si>
  <si>
    <t>[-9.63, -30.18, 5.0, nan]</t>
  </si>
  <si>
    <t>[nan, 8.19, 10.07, nan]</t>
  </si>
  <si>
    <t>[0, 21.98, 28.33, nan, nan]</t>
  </si>
  <si>
    <t>[17.97, 24.37, 22.69, 13.31]</t>
  </si>
  <si>
    <t>[-1.49, -3.52, -0.72, nan]</t>
  </si>
  <si>
    <t>[9.53, -23.23, -33.29, nan]</t>
  </si>
  <si>
    <t>[5.72, 15.78, 15.11, nan]</t>
  </si>
  <si>
    <t>[6.97, 3.58, 3.09, nan]</t>
  </si>
  <si>
    <t>[3.65, -0.87, 1.06, nan]</t>
  </si>
  <si>
    <t>[-463.17, 0, 0, nan, -94.06, -44.25]</t>
  </si>
  <si>
    <t>[-30.53, -3.53, -26.37, nan]</t>
  </si>
  <si>
    <t>[26.05, -11.33, -25.39, nan]</t>
  </si>
  <si>
    <t>[14.25, 11.78, 6.58, 6.01]</t>
  </si>
  <si>
    <t>[32.58, 13.35, 19.93, nan]</t>
  </si>
  <si>
    <t>[5.98, 4.97, -18.93, nan]</t>
  </si>
  <si>
    <t>[6.2, -2.29, -0.69, nan]</t>
  </si>
  <si>
    <t>[-42.13, 3.66, 8.26, nan]</t>
  </si>
  <si>
    <t>[2.92, 0.56, -3.85, nan]</t>
  </si>
  <si>
    <t>[8.78, 2.47, 0.47, nan]</t>
  </si>
  <si>
    <t>[0, 24.41, 13.26, nan, nan]</t>
  </si>
  <si>
    <t>[-0.65, -2.39, 19.5, nan]</t>
  </si>
  <si>
    <t>[3.13, -15.44, -9.6, nan]</t>
  </si>
  <si>
    <t>[-22.34, -9.91, -4.25, nan]</t>
  </si>
  <si>
    <t>[-49.15, -23.75, 1.18, nan]</t>
  </si>
  <si>
    <t>[6.01, 0.37, 6.37, nan]</t>
  </si>
  <si>
    <t>[5.71, 5.07, -6.18, 2.62]</t>
  </si>
  <si>
    <t>[-12.03, -18.56, -8.33, nan]</t>
  </si>
  <si>
    <t>[-32.96, 10.28, -45.98, 14.94]</t>
  </si>
  <si>
    <t>[2.04, -2.12, 2.46, nan]</t>
  </si>
  <si>
    <t>[-44.44, -36.95, 1.74, nan]</t>
  </si>
  <si>
    <t>[9.15, 12.08, 9.57, nan]</t>
  </si>
  <si>
    <t>[9.3, 11.45, -17.24, 65.4]</t>
  </si>
  <si>
    <t>[4.64, 4.71, 8.57, nan]</t>
  </si>
  <si>
    <t>[-2.92, 3.83, 44.43, 12.11]</t>
  </si>
  <si>
    <t>[6.09, 9.32, 1.72, nan]</t>
  </si>
  <si>
    <t>[-4.2, 0.5, 0.92, nan]</t>
  </si>
  <si>
    <t>[23.24, 26.6, 32.52, 27.51]</t>
  </si>
  <si>
    <t>[nan, 49.67, -40.57, nan]</t>
  </si>
  <si>
    <t>[17.45, 11.25, 7.58, nan]</t>
  </si>
  <si>
    <t>[20.67, 9.77, -49.58, nan]</t>
  </si>
  <si>
    <t>[-28.52, -76.1, -62.79, nan]</t>
  </si>
  <si>
    <t>[-29.72, -39.13, -250.67, nan]</t>
  </si>
  <si>
    <t>[0, 0, 0, nan, -146.35, -270.9, -545.73]</t>
  </si>
  <si>
    <t>[-33.07, -21.03, -29.67, nan]</t>
  </si>
  <si>
    <t>[18.49, 10.87, 5.71, nan]</t>
  </si>
  <si>
    <t>[5.25, 3.67, 9.79, 8.82]</t>
  </si>
  <si>
    <t>[5.28, 8.1, 7.73, nan]</t>
  </si>
  <si>
    <t>[1.8, -8.23, -29.2, nan]</t>
  </si>
  <si>
    <t>[-11.92, -2.51, -1.84, nan]</t>
  </si>
  <si>
    <t>[23.73, 32.6, -10.66, nan]</t>
  </si>
  <si>
    <t>[11.3, 8.06, 14.66, nan]</t>
  </si>
  <si>
    <t>[26.66, 19.93, -1.95, nan]</t>
  </si>
  <si>
    <t>[14.2, 12.01, 18.6, 18.8]</t>
  </si>
  <si>
    <t>[9.86, 2.6, 0.38, nan]</t>
  </si>
  <si>
    <t>[-41.26, -54.66, -16.05, -41.45]</t>
  </si>
  <si>
    <t>[-0.1, -7.38, 0.01, nan]</t>
  </si>
  <si>
    <t>[-53.64, -96.08, 3.56, nan]</t>
  </si>
  <si>
    <t>[15.36, 9.8, 6.25, 6.68]</t>
  </si>
  <si>
    <t>[-6.43, 10.8, 15.8, nan]</t>
  </si>
  <si>
    <t>[-18.55, -26.77, -47.55, nan]</t>
  </si>
  <si>
    <t>[-7.49, -7.3, 0.56, nan]</t>
  </si>
  <si>
    <t>[0.98, 3.25, 1.2, nan]</t>
  </si>
  <si>
    <t>[2.15, 6.63, 8.59, nan]</t>
  </si>
  <si>
    <t>[-0.84, 0.86, 2.08, nan]</t>
  </si>
  <si>
    <t>[2.69, 5.09, 2.89, nan]</t>
  </si>
  <si>
    <t>[17.89, 5.84, -18.15, 2.76]</t>
  </si>
  <si>
    <t>[-49.34, -36.69, -81.49, nan]</t>
  </si>
  <si>
    <t>[6.59, 4.01, -6.43, nan]</t>
  </si>
  <si>
    <t>[12.71, -0.43, -92.9, nan]</t>
  </si>
  <si>
    <t>[-15.77, -37.83, -594.71, nan]</t>
  </si>
  <si>
    <t>[-16.34, -23.5, -13.86, nan]</t>
  </si>
  <si>
    <t>[21.64, 8.99, 8.83, nan]</t>
  </si>
  <si>
    <t>[3.62, 7.83, -0.98, nan]</t>
  </si>
  <si>
    <t>[60.77, 45.18, 25.08, 38.82]</t>
  </si>
  <si>
    <t>[-217.0, -69.86, -282.54, nan]</t>
  </si>
  <si>
    <t>[-10.1, -4.67, 9.49, nan]</t>
  </si>
  <si>
    <t>[-36.15, -5.33, 12.12, nan]</t>
  </si>
  <si>
    <t>[10.94, 19.46, 32.65, 46.49]</t>
  </si>
  <si>
    <t>[-6.03, -129.79, -59.81, nan]</t>
  </si>
  <si>
    <t>[6.43, 0.66, 1.29, -11.02]</t>
  </si>
  <si>
    <t>[-65.59, -26.25, -0.4, nan]</t>
  </si>
  <si>
    <t>[26.08, 7.21, 5.28, nan]</t>
  </si>
  <si>
    <t>[0, 0, 52.43, nan, nan, nan]</t>
  </si>
  <si>
    <t>[18.05, 9.24, -17.65, nan]</t>
  </si>
  <si>
    <t>[2.13, 30.43, 7.14, nan]</t>
  </si>
  <si>
    <t>[22.21, 10.82, -26.47, nan]</t>
  </si>
  <si>
    <t>[-45.91, -38.92, -2.44, nan]</t>
  </si>
  <si>
    <t>[12.87, 9.6, 8.7, nan]</t>
  </si>
  <si>
    <t>[-30.52, -41.77, 2.71, nan]</t>
  </si>
  <si>
    <t>[0, 0, 0, nan, nan, nan, nan]</t>
  </si>
  <si>
    <t>[-11.09, 48.65, -11.74, 16.69]</t>
  </si>
  <si>
    <t>[9.64, -21.35, -26.33, nan]</t>
  </si>
  <si>
    <t>[0, 19.12, 5.22, nan, 7.07]</t>
  </si>
  <si>
    <t>[59.97, 8.22, 4.79, nan]</t>
  </si>
  <si>
    <t>[-6.54, 3.33, 21.06, nan]</t>
  </si>
  <si>
    <t>[13.55, -2.72, -5.86, -1.88]</t>
  </si>
  <si>
    <t>[-68.05, -37.03, -35.69, nan]</t>
  </si>
  <si>
    <t>[-8.09, -9.75, -7.12, nan]</t>
  </si>
  <si>
    <t>[3.41, 7.68, 15.86, nan]</t>
  </si>
  <si>
    <t>[2.19, 6.86, -1.71, nan]</t>
  </si>
  <si>
    <t>[45.38, 6.32, 7.8, nan]</t>
  </si>
  <si>
    <t>[9.16, -76.03, -34.7, nan]</t>
  </si>
  <si>
    <t>[17.11, 15.47, -12.8, nan]</t>
  </si>
  <si>
    <t>[-33.56, -5.38, -7.82, nan]</t>
  </si>
  <si>
    <t>[0.37, 1.61, -14.58, nan]</t>
  </si>
  <si>
    <t>[-3.39, 2.0, 5.96, nan]</t>
  </si>
  <si>
    <t>[-3.22, 6.93, 5.76, nan]</t>
  </si>
  <si>
    <t>[11.0, 8.6, 9.55, nan]</t>
  </si>
  <si>
    <t>[-6.91, -14.67, -68.5, nan]</t>
  </si>
  <si>
    <t>[-3.6, -12.43, -7.92, nan]</t>
  </si>
  <si>
    <t>[19.28, -2.26, -2.75, nan]</t>
  </si>
  <si>
    <t>[-19.92, 20.12, -24.69, -22.76]</t>
  </si>
  <si>
    <t>[-3.88, 0.47, -3.48, nan]</t>
  </si>
  <si>
    <t>[0.21, 8.26, 12.94, 18.5]</t>
  </si>
  <si>
    <t>[4.08, 5.85, 12.0, nan]</t>
  </si>
  <si>
    <t>[6.49, 3.01, 2.61, nan]</t>
  </si>
  <si>
    <t>[-13.73, -89.11, -0.17, nan]</t>
  </si>
  <si>
    <t>[2.3, -24.59, -46.5, nan]</t>
  </si>
  <si>
    <t>[-26.44, 19.9, -4.61, nan]</t>
  </si>
  <si>
    <t>[-61.18, 4.4, -11.08, nan]</t>
  </si>
  <si>
    <t>[-11.22, -10.81, -30.24, nan]</t>
  </si>
  <si>
    <t>[0, -330.2, -25.61, nan, nan]</t>
  </si>
  <si>
    <t>[-9.35, -8.76, 2.49, nan]</t>
  </si>
  <si>
    <t>[0.47, 19.36, 15.31, nan]</t>
  </si>
  <si>
    <t>[-4.71, 24.03, 9.33, 17.19]</t>
  </si>
  <si>
    <t>[14.13, 26.73, 12.99, 12.71]</t>
  </si>
  <si>
    <t>[70.83, 0, 43.92, 186.04, nan]</t>
  </si>
  <si>
    <t>[26.09, 14.45, 1.51, 6.27]</t>
  </si>
  <si>
    <t>[8.55, 8.15, 21.89, nan]</t>
  </si>
  <si>
    <t>[1.6, -7.69, -35.68, nan]</t>
  </si>
  <si>
    <t>[-1.63, 0.96, 0.87, nan]</t>
  </si>
  <si>
    <t>[7.81, 4.31, 1.51, nan]</t>
  </si>
  <si>
    <t>[-22.01, -12.04, -21.13, nan]</t>
  </si>
  <si>
    <t>[0, 0, -13.48, nan, nan, nan]</t>
  </si>
  <si>
    <t>[-51.7, -7.81, -55.55, nan]</t>
  </si>
  <si>
    <t>[1.91, -31.63, -36.52, nan]</t>
  </si>
  <si>
    <t>[-32.34, -9.82, -32.31, -8.26]</t>
  </si>
  <si>
    <t>[19.03, 14.83, -6.66, 1.56]</t>
  </si>
  <si>
    <t>[0, 37.28, -33.34, nan, -109.97]</t>
  </si>
  <si>
    <t>[27.97, 15.03, 13.1, 12.37]</t>
  </si>
  <si>
    <t>[-87.61, 0.42, -5.42, nan]</t>
  </si>
  <si>
    <t>[30.18, 19.16, 23.53, nan]</t>
  </si>
  <si>
    <t>[-17.51, -12.91, -1.03, 11.7]</t>
  </si>
  <si>
    <t>[-16.05, -36.68, -15.64, nan]</t>
  </si>
  <si>
    <t>[3.19, 5.51, -1.42, -8.04]</t>
  </si>
  <si>
    <t>[-12.76, -32.64, -26.36, nan]</t>
  </si>
  <si>
    <t>[14.9, 8.27, -3.2, nan]</t>
  </si>
  <si>
    <t>[-12.25, -84.05, -14.96, nan]</t>
  </si>
  <si>
    <t>[-2.56, 0.45, -5.37, nan]</t>
  </si>
  <si>
    <t>[14.49, 0, 61.06, 45.7, 62.01]</t>
  </si>
  <si>
    <t>[4.26, 3.89, 8.37, 5.04]</t>
  </si>
  <si>
    <t>[22.23, 4.36, 4.97, nan]</t>
  </si>
  <si>
    <t>[11.62, 1.23, 7.88, nan]</t>
  </si>
  <si>
    <t>[8.29, 8.11, 7.75, nan]</t>
  </si>
  <si>
    <t>[17.51, 0, 16.4, nan, nan]</t>
  </si>
  <si>
    <t>[-89.28, -25.53, -81.0, nan]</t>
  </si>
  <si>
    <t>[-13.14, -28.15, -90.55, nan]</t>
  </si>
  <si>
    <t>[-10.9, 4.1, 13.84, nan]</t>
  </si>
  <si>
    <t>[3.66, 4.43, 3.38, nan]</t>
  </si>
  <si>
    <t>[8.19, 14.09, 24.47, 14.83]</t>
  </si>
  <si>
    <t>[-29.57, 3.86, -13.22, nan]</t>
  </si>
  <si>
    <t>[4.94, -0.63, -2.05, nan]</t>
  </si>
  <si>
    <t>[-33.16, 7.96, 3.27, nan]</t>
  </si>
  <si>
    <t>[26.07, -19.99, 5.68, nan]</t>
  </si>
  <si>
    <t>[-1.26, 11.6, 7.47, nan]</t>
  </si>
  <si>
    <t>[3.59, 6.97, -3.4, nan]</t>
  </si>
  <si>
    <t>[4.96, 7.34, 1.75, nan]</t>
  </si>
  <si>
    <t>[-12.78, -10.42, -56.79, nan]</t>
  </si>
  <si>
    <t>[-7.49, -7.75, -0.7, nan]</t>
  </si>
  <si>
    <t>[-9.56, -1.94, -10.62, -5.66]</t>
  </si>
  <si>
    <t>[-44.82, -44.12, -67.56, nan]</t>
  </si>
  <si>
    <t>[14.04, 19.36, 17.52, 17.83]</t>
  </si>
  <si>
    <t>[8.93, 10.5, 7.12, nan]</t>
  </si>
  <si>
    <t>[29.66, 6.87, -99.99, nan]</t>
  </si>
  <si>
    <t>[-7.6, -4.74, -5.28, nan]</t>
  </si>
  <si>
    <t>[12.02, -1.04, 5.58, nan]</t>
  </si>
  <si>
    <t>[10.03, -9.52, -0.64, nan]</t>
  </si>
  <si>
    <t>[-65.97, -87.74, -56.74, nan]</t>
  </si>
  <si>
    <t>[11.24, 4.71, -6.82, 14.05]</t>
  </si>
  <si>
    <t>[6.46, 1.04, 4.1, nan]</t>
  </si>
  <si>
    <t>[52.45, 13.58, 7.25, nan]</t>
  </si>
  <si>
    <t>[-62.43, -164.72, -90.47, nan]</t>
  </si>
  <si>
    <t>[4.21, 12.64, 14.5, nan]</t>
  </si>
  <si>
    <t>[-59.57, -18.67, -29.57, nan]</t>
  </si>
  <si>
    <t>[nan, nan, 0.9, nan]</t>
  </si>
  <si>
    <t>[38.11, 22.19, 39.97, nan]</t>
  </si>
  <si>
    <t>[-3.87, -19.26, -64.98, nan]</t>
  </si>
  <si>
    <t>[0.17, -9.64, -81.16, nan]</t>
  </si>
  <si>
    <t>[-22.0, -34.59, -25.41, nan]</t>
  </si>
  <si>
    <t>[6.22, 9.68, 6.92, nan]</t>
  </si>
  <si>
    <t>[-8.73, 5.89, 4.91, nan]</t>
  </si>
  <si>
    <t>[-41.23, 3.88, -8.43, nan]</t>
  </si>
  <si>
    <t>[9.32, 8.88, 13.02, nan]</t>
  </si>
  <si>
    <t>[0, 14.85, 13.0, 20.44, nan]</t>
  </si>
  <si>
    <t>[5.12, 3.11, 2.26, nan]</t>
  </si>
  <si>
    <t>[-23.43, -43.69, -10.56, nan]</t>
  </si>
  <si>
    <t>[7.32, 2.69, -2.6, 24.15]</t>
  </si>
  <si>
    <t>[4.29, 16.68, 0.7, nan]</t>
  </si>
  <si>
    <t>[-21.41, 1.4, 18.5, 13.3]</t>
  </si>
  <si>
    <t>[-5.22, 2.51, 5.42, nan]</t>
  </si>
  <si>
    <t>[-10.24, -926.72, -73.7, nan]</t>
  </si>
  <si>
    <t>[13.77, 7.93, 5.19, nan]</t>
  </si>
  <si>
    <t>[0, -99.56, -98.6, nan, nan]</t>
  </si>
  <si>
    <t>[-9.12, 33.13, -28.53, nan]</t>
  </si>
  <si>
    <t>[13.71, 24.03, -1.13, nan]</t>
  </si>
  <si>
    <t>[0.57, 1.73, 4.49, nan]</t>
  </si>
  <si>
    <t>[14.19, -63.68, -3.76, nan]</t>
  </si>
  <si>
    <t>[-17.94, -45.51, 67.76, 20.78]</t>
  </si>
  <si>
    <t>[6.14, 6.07, 8.15, nan]</t>
  </si>
  <si>
    <t>[8.54, 5.55, 10.41, nan]</t>
  </si>
  <si>
    <t>[-4.79, 1.56, -17.21, nan]</t>
  </si>
  <si>
    <t>[7.08, 21.13, 15.85, nan]</t>
  </si>
  <si>
    <t>[-41.73, -70.71, 7.47, nan]</t>
  </si>
  <si>
    <t>[nan, 27.4, 26.58, nan]</t>
  </si>
  <si>
    <t>[1.26, -28.72, -24.12, nan]</t>
  </si>
  <si>
    <t>[18.47, 21.41, 4.66, nan]</t>
  </si>
  <si>
    <t>[-9.28, -21.71, 9.95, nan]</t>
  </si>
  <si>
    <t>[-7.52, -17.73, -10.57, nan]</t>
  </si>
  <si>
    <t>[2.66, 5.2, 1.19, nan]</t>
  </si>
  <si>
    <t>[11.22, 5.19, 3.75, 7.41]</t>
  </si>
  <si>
    <t>[31.38, 19.38, 17.67, nan]</t>
  </si>
  <si>
    <t>[2.28, 2.22, 0.76, nan]</t>
  </si>
  <si>
    <t>[-13.79, -76.39, 9.28, nan]</t>
  </si>
  <si>
    <t>[-91.06, 21.65, -21.0, nan]</t>
  </si>
  <si>
    <t>[0, 0, -125.49, nan, -12.75, -23.08]</t>
  </si>
  <si>
    <t>[2.03, 13.15, -3.72, nan]</t>
  </si>
  <si>
    <t>[nan, nan, 15.26, 14.5]</t>
  </si>
  <si>
    <t>[-66.76, -44.39, -22.58, nan]</t>
  </si>
  <si>
    <t>[-171.16, -310.37, -20.98, nan]</t>
  </si>
  <si>
    <t>[7.96, 11.06, 17.88, nan]</t>
  </si>
  <si>
    <t>[10.55, 10.57, 10.89, nan]</t>
  </si>
  <si>
    <t>[-33.8, -45.84, -102.36, nan]</t>
  </si>
  <si>
    <t>[-2.33, -31.33, -55.81, nan]</t>
  </si>
  <si>
    <t>[14.63, 18.33, 21.81, 21.44]</t>
  </si>
  <si>
    <t>[3.06, -4.47, 0.49, nan]</t>
  </si>
  <si>
    <t>[11.75, 19.55, 20.1, 17.52]</t>
  </si>
  <si>
    <t>[6.83, 14.21, 14.1, nan]</t>
  </si>
  <si>
    <t>[-58.42, -77.8, -108.38, nan]</t>
  </si>
  <si>
    <t>[-8.82, -0.93, 7.0, nan]</t>
  </si>
  <si>
    <t>[47.39, 6.2, 2.64, 12.15]</t>
  </si>
  <si>
    <t>[-89.72, -112.15, -121.99, nan]</t>
  </si>
  <si>
    <t>[1.85, -0.67, 7.4, nan]</t>
  </si>
  <si>
    <t>[5.44, 6.59, 7.11, nan]</t>
  </si>
  <si>
    <t>[-8.34, 9.6, 14.91, 11.36]</t>
  </si>
  <si>
    <t>[-17.41, -17.9, 8.35, nan]</t>
  </si>
  <si>
    <t>[-38.1, -1106.35, 0, nan, -68.13]</t>
  </si>
  <si>
    <t>[-2.76, 0.6, 1.42, nan]</t>
  </si>
  <si>
    <t>[6.57, 11.47, 12.06, 15.29]</t>
  </si>
  <si>
    <t>[21.35, 24.53, 14.49, 11.29]</t>
  </si>
  <si>
    <t>[-16.61, -26.19, -20.88, -25.52]</t>
  </si>
  <si>
    <t>[-18.74, 8.75, 13.17, nan]</t>
  </si>
  <si>
    <t>[-12.6, 2.21, 3.84, nan]</t>
  </si>
  <si>
    <t>[5.25, 6.07, 1.78, nan]</t>
  </si>
  <si>
    <t>[-12.49, -28.38, -8.99, nan]</t>
  </si>
  <si>
    <t>[18.23, 14.75, 15.81, nan]</t>
  </si>
  <si>
    <t>[24.72, -36.22, -30.05, nan]</t>
  </si>
  <si>
    <t>[-13.32, 8.54, -24.77, -16.58]</t>
  </si>
  <si>
    <t>[44.88, -45.87, 5.91, 5.56]</t>
  </si>
  <si>
    <t>[8.54, -4.05, -14.52, nan]</t>
  </si>
  <si>
    <t>[0, -51.25, -19.45, nan, -6.27]</t>
  </si>
  <si>
    <t>[8.73, 8.01, 13.31, nan]</t>
  </si>
  <si>
    <t>[-76.94, -102.33, -109.36, nan]</t>
  </si>
  <si>
    <t>[-12.94, 14.37, -21.99, -10.89]</t>
  </si>
  <si>
    <t>[26.63, -33.6, -25.72, 22.86]</t>
  </si>
  <si>
    <t>[nan, nan, 59.19, nan]</t>
  </si>
  <si>
    <t>[-42.32, -25.09, -41.25, nan]</t>
  </si>
  <si>
    <t>[nan, nan, 1.12, nan]</t>
  </si>
  <si>
    <t>[101.64, 0, 36.6, 43.71, nan]</t>
  </si>
  <si>
    <t>[5.09, 1.05, -1.7, nan]</t>
  </si>
  <si>
    <t>[20.4, 16.15, 12.68, 11.44]</t>
  </si>
  <si>
    <t>[-44.98, 14.75, 2.1, nan]</t>
  </si>
  <si>
    <t>[-12.72, -41.92, -70.05, nan]</t>
  </si>
  <si>
    <t>[12.14, 4.66, 5.68, nan]</t>
  </si>
  <si>
    <t>[34.4, 36.03, 21.04, 19.69]</t>
  </si>
  <si>
    <t>[-5.24, -14.7, -25.64, nan]</t>
  </si>
  <si>
    <t>[13.9, 4.7, 3.34, nan]</t>
  </si>
  <si>
    <t>[-21.06, -15.9, -39.4, nan]</t>
  </si>
  <si>
    <t>[-45.29, -23.86, -22.72, nan]</t>
  </si>
  <si>
    <t>[28.75, 28.43, 23.15, nan]</t>
  </si>
  <si>
    <t>[-55.15, 11.41, 5.55, nan]</t>
  </si>
  <si>
    <t>[2.97, 3.21, 5.13, nan]</t>
  </si>
  <si>
    <t>[nan, 25.49, 14.72, nan]</t>
  </si>
  <si>
    <t>[8.33, 42.87, 31.62, 20.72]</t>
  </si>
  <si>
    <t>[0.68, 0.94, 0.91, nan]</t>
  </si>
  <si>
    <t>[-34.4, -6.1, -13.56, nan]</t>
  </si>
  <si>
    <t>[-57.97, -46.43, -37.84, nan]</t>
  </si>
  <si>
    <t>[-8.67, -7.92, -48.42, nan]</t>
  </si>
  <si>
    <t>[5.38, 37.13, 25.64, nan]</t>
  </si>
  <si>
    <t>[3.56, -20.42, 0.76, nan]</t>
  </si>
  <si>
    <t>[-19.05, -10.51, -39.28, nan]</t>
  </si>
  <si>
    <t>[1.9, 10.3, 8.32, nan]</t>
  </si>
  <si>
    <t>[5.99, 4.91, 5.0, nan]</t>
  </si>
  <si>
    <t>[29.18, 12.77, 6.41, 16.03]</t>
  </si>
  <si>
    <t>[14.33, 21.87, 17.5, nan]</t>
  </si>
  <si>
    <t>[32.17, 21.09, 4.56, 12.08]</t>
  </si>
  <si>
    <t>[25.9, 0, 24.1, 25.58, nan]</t>
  </si>
  <si>
    <t>[4.42, 34.92, -77.28, nan]</t>
  </si>
  <si>
    <t>[-3.86, -2.21, 2.4, 9.22]</t>
  </si>
  <si>
    <t>[-49.64, -40.49, 0.59, nan]</t>
  </si>
  <si>
    <t>[-6.99, 1.09, 15.59, nan]</t>
  </si>
  <si>
    <t>[4.01, 4.9, -20.79, -0.78]</t>
  </si>
  <si>
    <t>[5.43, 6.88, 11.86, nan]</t>
  </si>
  <si>
    <t>[1.38, 8.72, -24.24, nan]</t>
  </si>
  <si>
    <t>[-183.03, -20.6, -15.25, nan]</t>
  </si>
  <si>
    <t>[7.39, 7.65, 8.2, 13.68]</t>
  </si>
  <si>
    <t>[-36.29, -54.56, 1.12, nan]</t>
  </si>
  <si>
    <t>[15.3, 0.4, -42.64, nan]</t>
  </si>
  <si>
    <t>[-1.86, -1.86, 1.19, -7.07]</t>
  </si>
  <si>
    <t>[11.15, 8.91, 10.33, 17.99]</t>
  </si>
  <si>
    <t>[-34.0, -22.79, 19.2, nan]</t>
  </si>
  <si>
    <t>[-50.43, -44.57, 0.2, nan]</t>
  </si>
  <si>
    <t>[15.95, 16.78, 21.14, 30.9]</t>
  </si>
  <si>
    <t>[0.26, 3.09, 18.71, 7.19]</t>
  </si>
  <si>
    <t>[4.34, -4.56, -108.24, nan]</t>
  </si>
  <si>
    <t>[-24.08, -19.62, -50.53, nan]</t>
  </si>
  <si>
    <t>[7.35, -3.41, 2.07, nan]</t>
  </si>
  <si>
    <t>[nan, -126.95, -11.7, nan]</t>
  </si>
  <si>
    <t>[2.97, 3.31, -3.42, nan]</t>
  </si>
  <si>
    <t>[-89.5, -77.17, -253.29, nan]</t>
  </si>
  <si>
    <t>[10.83, -9.26, 11.13, 10.79]</t>
  </si>
  <si>
    <t>[13.6, 17.86, 16.01, nan]</t>
  </si>
  <si>
    <t>[-67.56, -37.52, -34.12, nan]</t>
  </si>
  <si>
    <t>[-26.97, -34.81, -33.25, nan]</t>
  </si>
  <si>
    <t>[-23.49, -41.81, -45.47, nan]</t>
  </si>
  <si>
    <t>[30.94, 25.89, 23.84, 30.2]</t>
  </si>
  <si>
    <t>[-36.26, -41.92, -0.21, nan]</t>
  </si>
  <si>
    <t>[12.56, 8.47, 5.95, nan]</t>
  </si>
  <si>
    <t>[-53.8, -21.7, -42.69, nan]</t>
  </si>
  <si>
    <t>[-0.35, -10.22, -33.75, nan]</t>
  </si>
  <si>
    <t>[3.86, -17.54, 5.82, nan]</t>
  </si>
  <si>
    <t>[2.56, -30.52, -39.36, nan]</t>
  </si>
  <si>
    <t>[-6.06, -5.31, -8.62, nan]</t>
  </si>
  <si>
    <t>[1.73, -2.32, -4.95, nan]</t>
  </si>
  <si>
    <t>[9.1, 7.53, 3.85, 3.29]</t>
  </si>
  <si>
    <t>[1.59, 11.12, 6.78, nan]</t>
  </si>
  <si>
    <t>[7.53, 8.67, -22.01, -6.4]</t>
  </si>
  <si>
    <t>[-45.34, -132.04, -213.07, nan]</t>
  </si>
  <si>
    <t>[16.35, -40.18, -447.99, nan]</t>
  </si>
  <si>
    <t>[-15.29, -54.83, -38.87, nan]</t>
  </si>
  <si>
    <t>[-62.74, -60.87, -79.94, nan]</t>
  </si>
  <si>
    <t>[-5.93, 6.78, 5.75, nan]</t>
  </si>
  <si>
    <t>[-46.79, -81.68, -58.9, nan]</t>
  </si>
  <si>
    <t>[nan, nan, 0.6, nan]</t>
  </si>
  <si>
    <t>[12.39, 16.5, 11.87, nan]</t>
  </si>
  <si>
    <t>[13.69, 3.79, 9.79, nan]</t>
  </si>
  <si>
    <t>[-24.73, -11.44, -9.72, nan]</t>
  </si>
  <si>
    <t>[-19.52, -4.43, 1.81, nan]</t>
  </si>
  <si>
    <t>[0, 14.14, 26.62, 19.16, nan]</t>
  </si>
  <si>
    <t>[20.62, 25.04, 1.96, nan]</t>
  </si>
  <si>
    <t>[10.02, 5.34, 3.77, nan]</t>
  </si>
  <si>
    <t>[-2.22, -16.51, -17.44, nan]</t>
  </si>
  <si>
    <t>[-27.29, -24.32, 0.5, nan]</t>
  </si>
  <si>
    <t>[1.43, -0.68, 2.08, nan]</t>
  </si>
  <si>
    <t>[5.55, 0.7, 2.05, 7.54]</t>
  </si>
  <si>
    <t>[nan, nan, -120.54, nan]</t>
  </si>
  <si>
    <t>[-19.95, 34.51, 48.06, 33.72]</t>
  </si>
  <si>
    <t>[16.08, 20.01, 20.57, nan]</t>
  </si>
  <si>
    <t>[-9.81, 5.0, -22.54, nan]</t>
  </si>
  <si>
    <t>[-66.94, -62.85, -70.96, nan]</t>
  </si>
  <si>
    <t>[3.7, 5.2, 2.17, nan]</t>
  </si>
  <si>
    <t>[-2.69, -119.14, -37.34, nan]</t>
  </si>
  <si>
    <t>[-19.88, -158.64, -210.7, nan]</t>
  </si>
  <si>
    <t>[-11.31, -28.91, -22.72, nan]</t>
  </si>
  <si>
    <t>[35.83, 25.45, 9.16, 20.63]</t>
  </si>
  <si>
    <t>[nan, nan, 5.78, 13.31]</t>
  </si>
  <si>
    <t>[9.5, -11.59, -33.18, nan]</t>
  </si>
  <si>
    <t>[4.3, 12.07, -4.14, nan]</t>
  </si>
  <si>
    <t>[-65.69, -40.82, -32.43, nan]</t>
  </si>
  <si>
    <t>[8.25, -6.99, -50.28, 11.33]</t>
  </si>
  <si>
    <t>[-24.14, -4.54, nan, nan]</t>
  </si>
  <si>
    <t>[-0.32, 0.33, 17.76, 17.42]</t>
  </si>
  <si>
    <t>[20.64, 19.21, 9.19, nan]</t>
  </si>
  <si>
    <t>[4.89, 3.14, 3.52, nan]</t>
  </si>
  <si>
    <t>[-43.21, -8.15, -2.29, nan]</t>
  </si>
  <si>
    <t>[-30.47, -10.64, -9.34, nan]</t>
  </si>
  <si>
    <t>[-24.92, -20.58, -24.42, nan]</t>
  </si>
  <si>
    <t>[29.3, 11.24, 8.1, nan]</t>
  </si>
  <si>
    <t>[-92.53, -165.28, -14.84, nan]</t>
  </si>
  <si>
    <t>[12.52, 8.27, 2.45, 3.51]</t>
  </si>
  <si>
    <t>[-9.65, -1.6, -29.14, nan]</t>
  </si>
  <si>
    <t>[12.85, 2.87, 5.64, nan]</t>
  </si>
  <si>
    <t>[-0.92, -7.39, 7.92, 1.96]</t>
  </si>
  <si>
    <t>[7.93, 19.71, 22.96, nan]</t>
  </si>
  <si>
    <t>[-8.88, 3.5, 1.58, nan]</t>
  </si>
  <si>
    <t>[15.9, 14.05, 18.9, 19.15]</t>
  </si>
  <si>
    <t>[1.19, 9.64, -4.78, nan]</t>
  </si>
  <si>
    <t>[-39.38, -18.84, 16.8, nan]</t>
  </si>
  <si>
    <t>[0, 0, -195.25, -153.11, -484.25, -2148.2]</t>
  </si>
  <si>
    <t>[12.7, 5.98, 3.17, 11.28]</t>
  </si>
  <si>
    <t>[3.98, 14.27, 0.21, 1.17]</t>
  </si>
  <si>
    <t>[-2.81, -2.9, -19.8, nan]</t>
  </si>
  <si>
    <t>[-109.8, 0, 0, nan, -57.26, -43.59]</t>
  </si>
  <si>
    <t>[-76.2, -28.38, 83.76, nan]</t>
  </si>
  <si>
    <t>[-43.1, -38.34, -102.33, nan]</t>
  </si>
  <si>
    <t>[12.33, 8.11, -12.17, nan]</t>
  </si>
  <si>
    <t>[nan, nan, 0.99, nan]</t>
  </si>
  <si>
    <t>[6.97, 4.33, 8.72, nan]</t>
  </si>
  <si>
    <t>[-12.67, 6.96, -36.66, nan]</t>
  </si>
  <si>
    <t>[-16.58, -21.33, -31.01, nan]</t>
  </si>
  <si>
    <t>[-17.52, -32.09, -51.59, nan]</t>
  </si>
  <si>
    <t>[-11.55, -31.49, -4.9, nan]</t>
  </si>
  <si>
    <t>[nan, 13.43, 17.41, nan]</t>
  </si>
  <si>
    <t>[nan, nan, 0.45, nan]</t>
  </si>
  <si>
    <t>[9.08, 12.04, 13.61, nan]</t>
  </si>
  <si>
    <t>[8.17, 10.05, 4.2, nan]</t>
  </si>
  <si>
    <t>[18.52, 18.75, 11.1, -1.06]</t>
  </si>
  <si>
    <t>[3.74, 0.62, 0.13, nan]</t>
  </si>
  <si>
    <t>[17.88, 19.45, 27.29, nan]</t>
  </si>
  <si>
    <t>[3.3, -4.76, -4.03, -2.01]</t>
  </si>
  <si>
    <t>[15.77, 0, 26.34, 18.37, nan]</t>
  </si>
  <si>
    <t>[21.4, 17.95, 12.44, nan]</t>
  </si>
  <si>
    <t>[4.05, -16.84, 5.92, nan]</t>
  </si>
  <si>
    <t>[24.05, 28.29, 24.23, nan]</t>
  </si>
  <si>
    <t>[11.91, 17.28, 12.74, 21.61]</t>
  </si>
  <si>
    <t>[55.65, -19.13, 1.95, nan]</t>
  </si>
  <si>
    <t>[15.57, 6.99, 14.2, nan]</t>
  </si>
  <si>
    <t>[-1.53, -1.59, -2.99, nan]</t>
  </si>
  <si>
    <t>[-3.57, 10.1, -9.08, nan]</t>
  </si>
  <si>
    <t>[-5.23, 2.34, -36.77, nan]</t>
  </si>
  <si>
    <t>[1.01, -18.02, -123.91, nan]</t>
  </si>
  <si>
    <t>[0.28, -13.11, -15.58, nan]</t>
  </si>
  <si>
    <t>[18.11, 21.25, 1.23, 13.19]</t>
  </si>
  <si>
    <t>[8.07, 16.62, 15.49, nan]</t>
  </si>
  <si>
    <t>[16.38, -8.72, -3.64, nan]</t>
  </si>
  <si>
    <t>[9.8, 0, 10.78, nan, nan]</t>
  </si>
  <si>
    <t>[-43.77, 17.3, -2.91, nan]</t>
  </si>
  <si>
    <t>[nan, -0.09, 0.52, nan]</t>
  </si>
  <si>
    <t>[1.41, 1.56, 5.99, nan]</t>
  </si>
  <si>
    <t>[-21.78, -22.7, -61.32, nan]</t>
  </si>
  <si>
    <t>[-46.86, -145.7, -51.79, nan]</t>
  </si>
  <si>
    <t>[14.87, 19.12, 22.64, nan]</t>
  </si>
  <si>
    <t>[51.78, 5.12, 3.53, nan]</t>
  </si>
  <si>
    <t>[7.65, 7.78, 6.66, nan]</t>
  </si>
  <si>
    <t>[6.98, 4.2, 4.38, nan]</t>
  </si>
  <si>
    <t>[3.41, 4.23, 2.14, nan]</t>
  </si>
  <si>
    <t>[6.22, -50.96, 17.52, nan]</t>
  </si>
  <si>
    <t>[11.74, 3.39, 8.87, 13.5]</t>
  </si>
  <si>
    <t>[3.76, 3.02, 3.19, nan]</t>
  </si>
  <si>
    <t>[9.64, 17.74, 7.26, nan]</t>
  </si>
  <si>
    <t>[11.82, 9.47, 8.7, nan]</t>
  </si>
  <si>
    <t>[3.78, 2.57, 4.39, nan]</t>
  </si>
  <si>
    <t>[5.7, 11.14, 12.2, nan]</t>
  </si>
  <si>
    <t>[3.29, -24.74, -5.71, nan]</t>
  </si>
  <si>
    <t>[-37.45, -166.14, -441.29, nan]</t>
  </si>
  <si>
    <t>[9.29, 7.43, 15.55, 21.54]</t>
  </si>
  <si>
    <t>[13.11, 10.43, -2.26, nan]</t>
  </si>
  <si>
    <t>[nan, nan, 0.82, nan]</t>
  </si>
  <si>
    <t>[14.11, -134.31, -63.45, nan]</t>
  </si>
  <si>
    <t>[5.69, 1.86, 2.9, nan]</t>
  </si>
  <si>
    <t>[2.81, 0.6, -5.83, nan]</t>
  </si>
  <si>
    <t>[0, 27.54, 24.76, nan, nan]</t>
  </si>
  <si>
    <t>[2.44, 3.46, 6.67, nan]</t>
  </si>
  <si>
    <t>[-1.2, 13.11, 15.51, 28.71]</t>
  </si>
  <si>
    <t>[-44.36, -35.69, -26.42, nan]</t>
  </si>
  <si>
    <t>[1.1, -8.56, -20.42, nan]</t>
  </si>
  <si>
    <t>[0, 0, -50.21, nan, -26.49, -31.54]</t>
  </si>
  <si>
    <t>[-22.49, -14.14, 10.11, 4.69]</t>
  </si>
  <si>
    <t>[17.67, 18.51, 20.96, nan]</t>
  </si>
  <si>
    <t>[17.73, 11.55, 0.83, nan]</t>
  </si>
  <si>
    <t>[0.23, 6.16, 13.79, nan]</t>
  </si>
  <si>
    <t>[9.82, 6.68, 4.7, 8.24]</t>
  </si>
  <si>
    <t>[-1.11, 5.83, 10.4, nan]</t>
  </si>
  <si>
    <t>[4.52, 2.42, -3.84, nan]</t>
  </si>
  <si>
    <t>[-52.23, -14.11, 13.7, 3.91]</t>
  </si>
  <si>
    <t>[-12.85, -32.88, -36.2, nan]</t>
  </si>
  <si>
    <t>[15.54, 4.67, -5.02, nan]</t>
  </si>
  <si>
    <t>[2.23, -3.72, -10.25, nan]</t>
  </si>
  <si>
    <t>[8.93, 16.81, -6.63, nan]</t>
  </si>
  <si>
    <t>[-122.41, 0, -101.92, nan, nan]</t>
  </si>
  <si>
    <t>[-74.36, -73.24, -195.89, nan]</t>
  </si>
  <si>
    <t>[3.5, 1.97, 1.36, nan]</t>
  </si>
  <si>
    <t>[9.12, 9.68, 8.65, 6.83]</t>
  </si>
  <si>
    <t>[-18.82, 12.42, -19.38, nan]</t>
  </si>
  <si>
    <t>[-6.32, 30.07, 1.96, nan]</t>
  </si>
  <si>
    <t>[13.63, 8.27, 9.43, nan]</t>
  </si>
  <si>
    <t>[0.88, 1.15, 4.89, nan]</t>
  </si>
  <si>
    <t>[-4.28, 5.02, 4.91, nan]</t>
  </si>
  <si>
    <t>[-35.83, -25.64, -16.99, nan]</t>
  </si>
  <si>
    <t>[7.32, 4.62, 2.16, nan]</t>
  </si>
  <si>
    <t>[-20.39, -11.85, -88.24, -2.12]</t>
  </si>
  <si>
    <t>[36.86, 32.65, -62.52, nan]</t>
  </si>
  <si>
    <t>[-13.02, 4.58, -12.65, nan]</t>
  </si>
  <si>
    <t>[-29.01, -25.69, -4.91, 57.9]</t>
  </si>
  <si>
    <t>[-16.53, -93.92, -92.94, nan]</t>
  </si>
  <si>
    <t>[3.18, 1.19, -1.69, nan]</t>
  </si>
  <si>
    <t>[6.67, 9.05, 6.4, nan]</t>
  </si>
  <si>
    <t>[2.06, 2.54, -4.18, nan]</t>
  </si>
  <si>
    <t>[-1.45, -33.13, 2.76, nan]</t>
  </si>
  <si>
    <t>[0, 21.41, -7.66, nan, nan]</t>
  </si>
  <si>
    <t>[-74.78, -21.6, -154.82, nan]</t>
  </si>
  <si>
    <t>[-15.84, -15.68, -5.35, nan]</t>
  </si>
  <si>
    <t>[2.08, -2.43, -36.6, nan]</t>
  </si>
  <si>
    <t>[-25.36, 25.13, -6.13, nan]</t>
  </si>
  <si>
    <t>[-33.68, -38.81, -121.92, nan]</t>
  </si>
  <si>
    <t>[5.35, 13.32, 10.05, 4.24]</t>
  </si>
  <si>
    <t>[-1.29, -36.8, 28.49, 36.36]</t>
  </si>
  <si>
    <t>[13.54, 15.11, 2.9, 6.72]</t>
  </si>
  <si>
    <t>[10.6, 8.19, 4.42, nan]</t>
  </si>
  <si>
    <t>[13.39, -29.08, -12.23, -5.57]</t>
  </si>
  <si>
    <t>[15.26, 13.82, 14.48, 17.94]</t>
  </si>
  <si>
    <t>[-9.7, -1.06, -1.01, nan]</t>
  </si>
  <si>
    <t>[-28.94, 0.58, -63.98, nan]</t>
  </si>
  <si>
    <t>[1.91, 8.83, 8.58, 17.13]</t>
  </si>
  <si>
    <t>[27.33, -5.09, 11.45, nan]</t>
  </si>
  <si>
    <t>[2.6, 12.86, 2.57, nan]</t>
  </si>
  <si>
    <t>[3.87, 1.11, 0.63, nan]</t>
  </si>
  <si>
    <t>[-3.47, 2.0, 9.72, nan]</t>
  </si>
  <si>
    <t>[-3.76, -13.36, -5.74, nan]</t>
  </si>
  <si>
    <t>[7.67, 10.19, 8.65, nan]</t>
  </si>
  <si>
    <t>[27.45, 27.8, 26.81, 25.2]</t>
  </si>
  <si>
    <t>[14.2, 14.38, 0.71, nan]</t>
  </si>
  <si>
    <t>[3.22, 5.79, 1.59, nan]</t>
  </si>
  <si>
    <t>[33.11, 22.71, -27.84, nan]</t>
  </si>
  <si>
    <t>[-5.24, 14.99, -7.53, nan]</t>
  </si>
  <si>
    <t>[-20.76, -32.91, 16.48, nan]</t>
  </si>
  <si>
    <t>[-66.29, -66.46, -200.15, nan]</t>
  </si>
  <si>
    <t>[-7.69, 11.51, 2.08, nan]</t>
  </si>
  <si>
    <t>[13.05, 5.65, 12.2, 9.62]</t>
  </si>
  <si>
    <t>[29.03, 20.8, 1.79, nan]</t>
  </si>
  <si>
    <t>[5.29, 1.38, 2.96, nan]</t>
  </si>
  <si>
    <t>[-242.1, -164.16, -42.96, nan]</t>
  </si>
  <si>
    <t>[-134.9, 8.01, 12.79, nan]</t>
  </si>
  <si>
    <t>[6.2, -7.45, -44.68, nan]</t>
  </si>
  <si>
    <t>[-41.78, -26.52, -20.96, nan]</t>
  </si>
  <si>
    <t>[-26.96, 3.01, -3.23, nan]</t>
  </si>
  <si>
    <t>[-0.94, -36.26, 2.67, nan]</t>
  </si>
  <si>
    <t>[0, -30.88, -87.25, nan, 4.03]</t>
  </si>
  <si>
    <t>[-65.57, -10.27, -7.52, nan]</t>
  </si>
  <si>
    <t>[-20.54, -10.08, 3.85, 3.27]</t>
  </si>
  <si>
    <t>[-20.5, -66.83, -27.3, nan]</t>
  </si>
  <si>
    <t>[6.17, 8.91, 12.26, nan]</t>
  </si>
  <si>
    <t>[2.2, 6.66, 8.95, nan]</t>
  </si>
  <si>
    <t>[28.27, 8.54, 0.96, 9.8]</t>
  </si>
  <si>
    <t>[-7.02, -18.8, -52.68, nan]</t>
  </si>
  <si>
    <t>[3.87, 4.29, -2.67, nan]</t>
  </si>
  <si>
    <t>[5.07, -7.95, -5.29, nan]</t>
  </si>
  <si>
    <t>[-18.12, -81.13, -27.04, nan]</t>
  </si>
  <si>
    <t>[17.16, 18.96, 11.57, 3.25]</t>
  </si>
  <si>
    <t>[-12.48, -97.63, -25.93, nan]</t>
  </si>
  <si>
    <t>[-123.19, -91.06, -136.14, nan]</t>
  </si>
  <si>
    <t>[4.93, -61.5, -31.41, nan]</t>
  </si>
  <si>
    <t>[-29.53, -24.96, 8.78, nan]</t>
  </si>
  <si>
    <t>[-4.56, -6.89, -5.33, nan]</t>
  </si>
  <si>
    <t>[9.6, 5.63, 7.87, nan]</t>
  </si>
  <si>
    <t>[2.54, 1.1, 1.67, nan]</t>
  </si>
  <si>
    <t>[0.0, 6.94, 5.88, nan]</t>
  </si>
  <si>
    <t>[1.7, 2.83, 8.67, nan]</t>
  </si>
  <si>
    <t>[-62.45, -51.62, -272.63, nan]</t>
  </si>
  <si>
    <t>[-13.47, 0.91, 14.5, 11.02]</t>
  </si>
  <si>
    <t>[-10.65, -22.37, 3.9, nan]</t>
  </si>
  <si>
    <t>[nan, 9.51, 16.1, 18.4]</t>
  </si>
  <si>
    <t>[1.52, 9.74, 1.22, nan]</t>
  </si>
  <si>
    <t>[30.12, 33.84, 30.74, 34.14]</t>
  </si>
  <si>
    <t>[-36.36, -80.46, -72.97, nan]</t>
  </si>
  <si>
    <t>[3.38, 3.59, 10.74, 18.48]</t>
  </si>
  <si>
    <t>[-3.12, -0.65, 8.97, nan]</t>
  </si>
  <si>
    <t>[14.59, 7.23, 0.95, 7.34]</t>
  </si>
  <si>
    <t>[6.62, 4.28, -4.22, -81.78]</t>
  </si>
  <si>
    <t>[-5.72, -16.58, -9.07, nan]</t>
  </si>
  <si>
    <t>[-29.59, 2.14, -69.31, nan]</t>
  </si>
  <si>
    <t>[2.28, 7.44, -2.89, nan]</t>
  </si>
  <si>
    <t>[8.96, -9.64, 2.79, 7.56]</t>
  </si>
  <si>
    <t>[17.99, 20.12, 20.88, 25.2]</t>
  </si>
  <si>
    <t>[6.29, 2.81, 11.44, nan]</t>
  </si>
  <si>
    <t>[11.52, -5.83, 7.58, 9.47]</t>
  </si>
  <si>
    <t>[9.34, -11.43, -0.06, 10.34]</t>
  </si>
  <si>
    <t>[4.75, -4.78, -33.45, nan]</t>
  </si>
  <si>
    <t>[18.29, 16.63, 7.32, 11.05]</t>
  </si>
  <si>
    <t>[8.81, 3.52, 7.3, 0.76]</t>
  </si>
  <si>
    <t>[4.59, 2.73, 4.73, nan]</t>
  </si>
  <si>
    <t>[4.57, 23.37, 8.85, 24.25]</t>
  </si>
  <si>
    <t>[1.72, 2.7, 10.78, 7.11]</t>
  </si>
  <si>
    <t>[8.29, 5.32, 8.58, nan]</t>
  </si>
  <si>
    <t>[9.68, 6.79, -3.03, nan]</t>
  </si>
  <si>
    <t>[7.01, -13.82, -39.16, nan]</t>
  </si>
  <si>
    <t>[-18.19, 5.32, 15.84, 12.5]</t>
  </si>
  <si>
    <t>[19.22, -7.31, -27.55, nan]</t>
  </si>
  <si>
    <t>[16.44, 11.38, 6.39, 12.94]</t>
  </si>
  <si>
    <t>[0.24, -0.97, 5.74, 14.08]</t>
  </si>
  <si>
    <t>[24.64, 25.09, 21.3, nan]</t>
  </si>
  <si>
    <t>[1.01, 1.87, -3.86, 10.96]</t>
  </si>
  <si>
    <t>[23.85, -15.55, -12.16, nan]</t>
  </si>
  <si>
    <t>[13.11, 12.86, -4.99, nan]</t>
  </si>
  <si>
    <t>[8.79, 13.49, 10.45, 12.17]</t>
  </si>
  <si>
    <t>[6.55, -10.23, 0.21, 6.39]</t>
  </si>
  <si>
    <t>[25.67, -0.98, -93.55, nan]</t>
  </si>
  <si>
    <t>[8.48, -0.46, -0.1, -0.83]</t>
  </si>
  <si>
    <t>[8.42, 1.89, -1.11, nan]</t>
  </si>
  <si>
    <t>[10.33, 7.8, 8.52, 8.81]</t>
  </si>
  <si>
    <t>[23.98, 2.03, -46.32, -73.05]</t>
  </si>
  <si>
    <t>[8.37, 7.71, 8.06, nan]</t>
  </si>
  <si>
    <t>[3.28, -2.58, 5.2, nan]</t>
  </si>
  <si>
    <t>[0.33, 0.81, 1.77, nan]</t>
  </si>
  <si>
    <t>[0.05, -2.21, -14.91, nan]</t>
  </si>
  <si>
    <t>[7.18, 4.53, -5.08, 3.11]</t>
  </si>
  <si>
    <t>[-0.01, 1.56, -4.47, nan]</t>
  </si>
  <si>
    <t>[-1.76, -25.43, -88.74, nan]</t>
  </si>
  <si>
    <t>[1.16, 0.34, -5.02, nan]</t>
  </si>
  <si>
    <t>[6.46, 0.61, 2.68, nan]</t>
  </si>
  <si>
    <t>[-85.82, -29.34, -87.65, nan]</t>
  </si>
  <si>
    <t>[1.49, -9.43, 0.44, nan]</t>
  </si>
  <si>
    <t>[1.21, 2.31, -2.4, 12.74]</t>
  </si>
  <si>
    <t>[-7.59, -3.87, -71.84, nan]</t>
  </si>
  <si>
    <t>[9.27, 10.98, 9.88, 8.77]</t>
  </si>
  <si>
    <t>[8.31, 4.38, 5.37, nan]</t>
  </si>
  <si>
    <t>[7.04, 3.55, 2.43, 12.76]</t>
  </si>
  <si>
    <t>[5.31, 7.45, 0.34, -15.13]</t>
  </si>
  <si>
    <t>[15.8, 15.01, 15.09, 14.67]</t>
  </si>
  <si>
    <t>[nan, 1.04, -5.96, nan]</t>
  </si>
  <si>
    <t>[-65.56, -36.08, -28.5, nan]</t>
  </si>
  <si>
    <t>[nan, 23.54, 13.52, nan]</t>
  </si>
  <si>
    <t>[-129.14, -538.91, 0, nan, 3.76]</t>
  </si>
  <si>
    <t>[4.79, 3.77, -36.47, nan]</t>
  </si>
  <si>
    <t>[2.91, 1.04, -5.81, 8.06]</t>
  </si>
  <si>
    <t>[-6.32, -13.41, -16.17, nan]</t>
  </si>
  <si>
    <t>[63.04, -0.38, 1.28, nan]</t>
  </si>
  <si>
    <t>[18.42, 17.39, -33.98, nan]</t>
  </si>
  <si>
    <t>[66.29, 7.83, 23.08, nan]</t>
  </si>
  <si>
    <t>[47.84, 17.86, -24.74, nan]</t>
  </si>
  <si>
    <t>[25.79, 19.86, -9.36, -125.9]</t>
  </si>
  <si>
    <t>[-1.13, -1.14, -7.57, nan]</t>
  </si>
  <si>
    <t>[4.78, 6.93, 17.84, nan]</t>
  </si>
  <si>
    <t>[-29.09, 12.21, -43.44, nan]</t>
  </si>
  <si>
    <t>[40.13, 28.34, 26.32, 20.44]</t>
  </si>
  <si>
    <t>[-13.9, -10.61, -11.11, nan]</t>
  </si>
  <si>
    <t>[12.48, 6.55, 10.03, 10.97]</t>
  </si>
  <si>
    <t>[5.78, 5.49, 8.01, nan]</t>
  </si>
  <si>
    <t>[14.24, 10.21, 11.94, nan]</t>
  </si>
  <si>
    <t>[2.5, 0.69, -0.27, nan]</t>
  </si>
  <si>
    <t>[15.16, 13.83, 14.98, 6.61]</t>
  </si>
  <si>
    <t>[5.39, 2.89, 14.9, 13.94]</t>
  </si>
  <si>
    <t>[11.15, 8.16, 8.3, nan]</t>
  </si>
  <si>
    <t>[-17.05, -21.36, 2.89, nan]</t>
  </si>
  <si>
    <t>[-0.86, 10.01, 25.42, nan]</t>
  </si>
  <si>
    <t>[28.62, 30.05, 22.1, 31.23]</t>
  </si>
  <si>
    <t>[3.17, 3.11, 12.85, nan]</t>
  </si>
  <si>
    <t>[5.41, 17.22, 11.22, 1.51]</t>
  </si>
  <si>
    <t>[13.75, 13.8, 6.95, nan]</t>
  </si>
  <si>
    <t>[16.44, -30.5, -23.79, nan]</t>
  </si>
  <si>
    <t>[18.77, 20.71, 19.3, 18.65]</t>
  </si>
  <si>
    <t>[10.78, 15.47, 20.2, 22.21]</t>
  </si>
  <si>
    <t>[-7.28, 8.57, 6.9, nan]</t>
  </si>
  <si>
    <t>[-5.98, -11.29, -7.52, nan]</t>
  </si>
  <si>
    <t>[21.71, 11.8, -9.74, nan]</t>
  </si>
  <si>
    <t>[-66.67, -94.99, 4.2, nan]</t>
  </si>
  <si>
    <t>[7.84, -4.05, 0.47, nan]</t>
  </si>
  <si>
    <t>[1.58, 0.43, 0.69, nan]</t>
  </si>
  <si>
    <t>[3.6, -2.38, 2.0, nan]</t>
  </si>
  <si>
    <t>[5.28, 4.16, 4.17, nan]</t>
  </si>
  <si>
    <t>[-0.87, 7.88, 3.45, nan]</t>
  </si>
  <si>
    <t>[20.6, 23.7, 7.13, nan]</t>
  </si>
  <si>
    <t>[-16.29, -20.27, -6.36, 2.08]</t>
  </si>
  <si>
    <t>[-0.21, 17.61, 21.61, nan]</t>
  </si>
  <si>
    <t>[7.8, 6.04, 8.18, 11.71]</t>
  </si>
  <si>
    <t>[5.33, 3.24, 5.59, nan]</t>
  </si>
  <si>
    <t>[3.78, 4.86, 7.34, nan]</t>
  </si>
  <si>
    <t>[-33.42, -9.8, -48.41, nan]</t>
  </si>
  <si>
    <t>[18.5, 14.45, -14.31, nan]</t>
  </si>
  <si>
    <t>[-66.41, -38.36, -41.61, nan]</t>
  </si>
  <si>
    <t>[-11.01, -17.49, 4.18, nan]</t>
  </si>
  <si>
    <t>[8.88, 12.58, 15.73, nan]</t>
  </si>
  <si>
    <t>[-0.21, -3.32, 4.17, nan]</t>
  </si>
  <si>
    <t>[-6.1, 0.87, 4.24, nan]</t>
  </si>
  <si>
    <t>[3.95, -5.13, -20.04, nan]</t>
  </si>
  <si>
    <t>[-58.13, -56.39, 3.89, nan]</t>
  </si>
  <si>
    <t>[-143.26, -13.64, -37.16, nan]</t>
  </si>
  <si>
    <t>[7.54, 15.77, 14.93, nan]</t>
  </si>
  <si>
    <t>[-7.64, -32.76, -10.73, nan]</t>
  </si>
  <si>
    <t>[4.6, -26.05, -88.21, nan]</t>
  </si>
  <si>
    <t>[-40.76, 59.54, -8.82, nan]</t>
  </si>
  <si>
    <t>[29.13, 19.34, -4.26, nan]</t>
  </si>
  <si>
    <t>[1.88, -4.27, -6.08, nan]</t>
  </si>
  <si>
    <t>[-16.54, -1.58, 3.24, nan]</t>
  </si>
  <si>
    <t>[25.25, 29.57, 30.22, 26.72]</t>
  </si>
  <si>
    <t>[75.54, 29.38, 0.42, nan]</t>
  </si>
  <si>
    <t>[nan, nan, -0.68, nan]</t>
  </si>
  <si>
    <t>[21.38, 22.52, 21.91, 19.06]</t>
  </si>
  <si>
    <t>[-2.14, -11.99, -40.71, nan]</t>
  </si>
  <si>
    <t>[nan, nan, 4.62, nan]</t>
  </si>
  <si>
    <t>[11.1, 8.13, 2.57, 11.94]</t>
  </si>
  <si>
    <t>[16.48, 13.65, 21.77, nan]</t>
  </si>
  <si>
    <t>[1.09, 1.97, -7.77, nan]</t>
  </si>
  <si>
    <t>[18.41, 6.39, 19.87, 9.24]</t>
  </si>
  <si>
    <t>[3.81, 15.41, 20.16, -21.21]</t>
  </si>
  <si>
    <t>[-10.25, -15.65, -2.02, nan]</t>
  </si>
  <si>
    <t>[nan, -18.92, -34.08, 0.01]</t>
  </si>
  <si>
    <t>[13.72, 12.59, 11.71, 11.96]</t>
  </si>
  <si>
    <t>[11.59, 0.9, 5.22, 9.43]</t>
  </si>
  <si>
    <t>[-63.29, 8.28, 8.48, 1.91]</t>
  </si>
  <si>
    <t>[1.49, 0.91, 1.19, nan]</t>
  </si>
  <si>
    <t>[-3.46, -25.2, -37.93, 2.91]</t>
  </si>
  <si>
    <t>[2.59, 0.85, -13.11, nan]</t>
  </si>
  <si>
    <t>[14.02, 11.05, 9.06, 15.47]</t>
  </si>
  <si>
    <t>[3.91, 7.25, 8.15, 7.31]</t>
  </si>
  <si>
    <t>[14.6, 3.08, -4.02, 8.16]</t>
  </si>
  <si>
    <t>[18.34, 13.07, 9.05, nan]</t>
  </si>
  <si>
    <t>[3.63, -4.5, -15.0, nan]</t>
  </si>
  <si>
    <t>[17.59, -2.2, -17.56, -19.83]</t>
  </si>
  <si>
    <t>[-37.16, 0, 0, nan, -9.5, 102.02]</t>
  </si>
  <si>
    <t>[7.48, 2.82, 5.54, nan]</t>
  </si>
  <si>
    <t>[34.91, -15.22, 21.69, nan]</t>
  </si>
  <si>
    <t>[nan, nan, -19.74, -10.76]</t>
  </si>
  <si>
    <t>[nan, nan, 20.86, 15.4]</t>
  </si>
  <si>
    <t>[18.23, 16.04, 3.85, 0.89]</t>
  </si>
  <si>
    <t>[-104.38, -27.43, -23.31, nan]</t>
  </si>
  <si>
    <t>[8.1, -9.84, 1.36, nan]</t>
  </si>
  <si>
    <t>[27.22, 4.38, 2.02, nan]</t>
  </si>
  <si>
    <t>[-11.04, -14.04, -91.08, nan]</t>
  </si>
  <si>
    <t>[5.95, 1.03, 5.43, nan]</t>
  </si>
  <si>
    <t>[-27.93, -44.1, 1.07, nan]</t>
  </si>
  <si>
    <t>[-1.23, -38.83, -2.22, nan]</t>
  </si>
  <si>
    <t>[10.97, 19.53, 18.82, nan]</t>
  </si>
  <si>
    <t>[-37.75, -82.76, -98.7, nan]</t>
  </si>
  <si>
    <t>[2.91, 10.61, 10.87, 14.66]</t>
  </si>
  <si>
    <t>[-34.72, -1.97, -38.05, nan]</t>
  </si>
  <si>
    <t>[5.18, 19.77, -2.34, nan]</t>
  </si>
  <si>
    <t>[2.94, 6.01, 2.15, nan]</t>
  </si>
  <si>
    <t>[-0.83, 7.29, 2.59, -14.47]</t>
  </si>
  <si>
    <t>[0.08, -0.81, 0.87, nan]</t>
  </si>
  <si>
    <t>[nan, 25.75, 8.57, 24.08]</t>
  </si>
  <si>
    <t>[-4.78, 4.33, -3.19, nan]</t>
  </si>
  <si>
    <t>[5.71, 4.79, 5.41, 4.45]</t>
  </si>
  <si>
    <t>[-14.67, 4.35, -12.8, nan]</t>
  </si>
  <si>
    <t>[5.48, 6.55, 12.68, 7.13]</t>
  </si>
  <si>
    <t>[6.07, 5.61, 5.57, 9.49]</t>
  </si>
  <si>
    <t>[12.86, 5.36, 10.43, nan]</t>
  </si>
  <si>
    <t>[7.91, 2.98, -6.5, nan]</t>
  </si>
  <si>
    <t>[-2.22, 7.88, 7.42, nan]</t>
  </si>
  <si>
    <t>[5.34, 4.79, 3.24, nan]</t>
  </si>
  <si>
    <t>[5.47, 2.28, 0.37, nan]</t>
  </si>
  <si>
    <t>[5.24, 3.28, -0.35, 8.21]</t>
  </si>
  <si>
    <t>[11.17, 4.36, 3.53, 5.86]</t>
  </si>
  <si>
    <t>[-1.38, -17.16, -31.73, nan]</t>
  </si>
  <si>
    <t>[6.56, 1.97, 3.74, nan]</t>
  </si>
  <si>
    <t>[1.68, -4.11, -2.52, nan]</t>
  </si>
  <si>
    <t>[16.08, 15.94, 8.33, nan]</t>
  </si>
  <si>
    <t>[4.05, 12.37, 7.58, nan]</t>
  </si>
  <si>
    <t>[-11.4, -18.84, -7.29, nan]</t>
  </si>
  <si>
    <t>[-13.0, -16.43, -3.3, -8.38]</t>
  </si>
  <si>
    <t>[-22.42, -32.49, -80.13, nan]</t>
  </si>
  <si>
    <t>[5.57, 7.23, -0.05, nan]</t>
  </si>
  <si>
    <t>[41.19, 29.84, -14.85, nan]</t>
  </si>
  <si>
    <t>[2.24, 2.32, 5.17, nan]</t>
  </si>
  <si>
    <t>[1.62, 3.21, -7.35, nan]</t>
  </si>
  <si>
    <t>[-17.16, -24.45, -36.39, nan]</t>
  </si>
  <si>
    <t>[-19.01, 6.53, -7.06, nan]</t>
  </si>
  <si>
    <t>[6.2, -2.99, 4.34, nan]</t>
  </si>
  <si>
    <t>[0.85, 1.53, -1.01, nan]</t>
  </si>
  <si>
    <t>[6.52, 13.51, 14.05, 11.54]</t>
  </si>
  <si>
    <t>[-0.33, -9.44, -13.14, nan]</t>
  </si>
  <si>
    <t>[-8.51, -16.92, -14.73, nan]</t>
  </si>
  <si>
    <t>[nan, nan, nan, 15.68]</t>
  </si>
  <si>
    <t>[17.1, 3.39, 3.14, nan]</t>
  </si>
  <si>
    <t>[20.8, 13.17, 8.69, nan]</t>
  </si>
  <si>
    <t>[-45.85, -9.96, 2.24, nan]</t>
  </si>
  <si>
    <t>[-30.72, -11.73, 5.07, nan]</t>
  </si>
  <si>
    <t>[-0.92, 1.38, 11.58, 6.78]</t>
  </si>
  <si>
    <t>[3.64, -19.91, 2.67, 5.43]</t>
  </si>
  <si>
    <t>[10.21, 9.39, 10.53, nan]</t>
  </si>
  <si>
    <t>[7.69, 7.11, 8.12, nan]</t>
  </si>
  <si>
    <t>[-9.27, 14.67, -8.33, nan]</t>
  </si>
  <si>
    <t>[5.07, 5.69, 6.93, 8.6]</t>
  </si>
  <si>
    <t>[1.31, -0.35, -26.33, nan]</t>
  </si>
  <si>
    <t>[0.8, -3.15, 0.29, nan]</t>
  </si>
  <si>
    <t>[23.49, 23.36, 18.78, 13.9]</t>
  </si>
  <si>
    <t>[19.82, 2.72, -12.62, nan]</t>
  </si>
  <si>
    <t>[29.37, -5.05, -22.09, -14.68]</t>
  </si>
  <si>
    <t>[-11.73, -0.94, -3.99, nan]</t>
  </si>
  <si>
    <t>[-5.51, 7.25, -10.27, nan]</t>
  </si>
  <si>
    <t>[0, 27.17, 43.7, 27.29, nan]</t>
  </si>
  <si>
    <t>[5.93, 4.34, 4.75, nan]</t>
  </si>
  <si>
    <t>[5.16, 7.99, 7.11, nan]</t>
  </si>
  <si>
    <t>[1.85, 6.59, 6.57, nan]</t>
  </si>
  <si>
    <t>[-1.4, 0.71, 0.5, 7.46]</t>
  </si>
  <si>
    <t>[12.92, 8.86, 1.84, 8.11]</t>
  </si>
  <si>
    <t>[13.69, 9.03, 0.22, 12.45]</t>
  </si>
  <si>
    <t>[9.37, 8.02, 4.73, 13.0]</t>
  </si>
  <si>
    <t>[21.94, 20.98, 20.32, 18.36]</t>
  </si>
  <si>
    <t>[-61.25, -49.31, -113.29, nan]</t>
  </si>
  <si>
    <t>[-323.35, -278.18, -7.44, nan]</t>
  </si>
  <si>
    <t>[0.45, 0.67, -8.99, nan]</t>
  </si>
  <si>
    <t>[9.26, 5.4, 2.52, nan]</t>
  </si>
  <si>
    <t>[38.22, 13.32, -20.18, nan]</t>
  </si>
  <si>
    <t>[-0.27, 3.04, -10.31, nan]</t>
  </si>
  <si>
    <t>[17.45, 14.97, 18.92, 20.48]</t>
  </si>
  <si>
    <t>[1.12, -4.71, -39.04, nan]</t>
  </si>
  <si>
    <t>[-1.92, -4.83, -19.76, 3.4]</t>
  </si>
  <si>
    <t>[-129.27, -81.8, -55.46, 20.48]</t>
  </si>
  <si>
    <t>[5.88, 5.86, 6.25, 8.14]</t>
  </si>
  <si>
    <t>[15.33, 14.21, 12.62, -10.05]</t>
  </si>
  <si>
    <t>[7.96, 3.54, 2.9, nan]</t>
  </si>
  <si>
    <t>[1.99, 2.11, 1.41, 3.87]</t>
  </si>
  <si>
    <t>[-0.41, -49.56, -57.6, -216.3]</t>
  </si>
  <si>
    <t>[nan, 33.88, 26.46, 19.34]</t>
  </si>
  <si>
    <t>[9.51, 10.78, 7.82, 7.01]</t>
  </si>
  <si>
    <t>[10.69, 8.18, 12.07, 6.62]</t>
  </si>
  <si>
    <t>[10.42, -0.93, -0.88, nan]</t>
  </si>
  <si>
    <t>[nan, 0.87, 1.51, 39.37]</t>
  </si>
  <si>
    <t>[13.26, 9.03, 3.55, nan]</t>
  </si>
  <si>
    <t>[10.73, 9.23, 9.59, 14.29]</t>
  </si>
  <si>
    <t>[5.83, 3.08, 2.47, nan]</t>
  </si>
  <si>
    <t>[-13.83, -47.79, -5.7, nan]</t>
  </si>
  <si>
    <t>[12.96, 8.39, 9.16, -7.88]</t>
  </si>
  <si>
    <t>[-8.19, -0.15, -3.48, nan]</t>
  </si>
  <si>
    <t>[0, -65.52, -22.78, nan, -10.95]</t>
  </si>
  <si>
    <t>[0, 17.12, -54.53, nan, 3.23]</t>
  </si>
  <si>
    <t>[13.33, 14.18, 6.34, 0.9]</t>
  </si>
  <si>
    <t>[-100.19, -260.87, -313.65, nan]</t>
  </si>
  <si>
    <t>[18.5, 12.97, 10.56, 13.32]</t>
  </si>
  <si>
    <t>[4.1, 1.55, 5.51, 5.49]</t>
  </si>
  <si>
    <t>[23.14, 17.29, 12.66, 18.62]</t>
  </si>
  <si>
    <t>[7.71, 8.09, 3.86, 7.14]</t>
  </si>
  <si>
    <t>[9.21, 2.21, -2.84, nan]</t>
  </si>
  <si>
    <t>[1.78, -4.05, -0.07, nan]</t>
  </si>
  <si>
    <t>[18.84, 3.88, 1.01, -15.16]</t>
  </si>
  <si>
    <t>[8.12, 7.77, 0.33, 9.23]</t>
  </si>
  <si>
    <t>[9.21, 10.01, 4.39, 6.05]</t>
  </si>
  <si>
    <t>[1.12, 5.79, 0.78, 4.68]</t>
  </si>
  <si>
    <t>[25.88, 29.49, 13.24, nan]</t>
  </si>
  <si>
    <t>[1.99, -47.74, -4.77, nan]</t>
  </si>
  <si>
    <t>[-0.86, -10.41, 2.83, nan]</t>
  </si>
  <si>
    <t>[-22.04, 6.16, -124.59, nan]</t>
  </si>
  <si>
    <t>[3.67, 2.28, -6.42, nan]</t>
  </si>
  <si>
    <t>[6.3, 0.94, -3.55, nan]</t>
  </si>
  <si>
    <t>[24.72, -18.98, -90.67, -109.43]</t>
  </si>
  <si>
    <t>[15.24, 6.6, -5.44, nan]</t>
  </si>
  <si>
    <t>[9.81, 7.75, 5.36, 2.42]</t>
  </si>
  <si>
    <t>[6.95, 4.65, 4.12, 1.59]</t>
  </si>
  <si>
    <t>[-2.47, -22.34, 0.78, nan]</t>
  </si>
  <si>
    <t>[12.98, 1.96, 9.92, 16.99]</t>
  </si>
  <si>
    <t>[-39.07, -10.97, -15.96, nan]</t>
  </si>
  <si>
    <t>[-110.56, -189.98, -724.1, nan]</t>
  </si>
  <si>
    <t>[2.81, 9.42, 1.28, nan]</t>
  </si>
  <si>
    <t>[-8.29, -8.42, -62.27, nan]</t>
  </si>
  <si>
    <t>[16.55, 7.51, 7.01, 8.3]</t>
  </si>
  <si>
    <t>[3.71, 3.52, 2.33, nan]</t>
  </si>
  <si>
    <t>[0.43, 1.35, 2.57, nan]</t>
  </si>
  <si>
    <t>[17.75, 18.87, 6.32, nan]</t>
  </si>
  <si>
    <t>[4.96, 11.09, 12.98, 7.22]</t>
  </si>
  <si>
    <t>[3.31, 2.26, 3.12, nan]</t>
  </si>
  <si>
    <t>[-38.33, 10.92, 1.77, 13.17]</t>
  </si>
  <si>
    <t>[1.42, 17.13, 27.34, nan]</t>
  </si>
  <si>
    <t>[3.15, 6.95, 0.15, nan]</t>
  </si>
  <si>
    <t>[12.42, 8.34, 11.32, 10.77]</t>
  </si>
  <si>
    <t>[-33.33, -1.07, -1.45, nan]</t>
  </si>
  <si>
    <t>[25.25, 14.79, -56.0, nan]</t>
  </si>
  <si>
    <t>[nan, 10.31, 14.24, 16.67]</t>
  </si>
  <si>
    <t>[3.68, -29.15, -14.93, nan]</t>
  </si>
  <si>
    <t>[14.7, 14.73, 12.79, nan]</t>
  </si>
  <si>
    <t>[0.42, -4.97, -30.74, nan]</t>
  </si>
  <si>
    <t>[-29.57, -31.09, -20.27, nan]</t>
  </si>
  <si>
    <t>[2.54, -35.07, -106.55, nan]</t>
  </si>
  <si>
    <t>[0.92, -18.39, -22.8, nan]</t>
  </si>
  <si>
    <t>[-14.17, -6.44, -10.49, nan]</t>
  </si>
  <si>
    <t>[-18.2, -65.25, -17.72, nan]</t>
  </si>
  <si>
    <t>[9.88, 8.3, 0.54, nan]</t>
  </si>
  <si>
    <t>[-23.85, -33.2, -18.64, nan]</t>
  </si>
  <si>
    <t>[3.27, -3.83, -3.94, nan]</t>
  </si>
  <si>
    <t>[12.34, 13.87, 7.79, 10.0]</t>
  </si>
  <si>
    <t>[6.76, 1.48, 0.38, nan]</t>
  </si>
  <si>
    <t>[1.65, -5.28, 4.42, nan]</t>
  </si>
  <si>
    <t>[3.55, -11.73, -15.37, nan]</t>
  </si>
  <si>
    <t>[-4.73, -21.97, -25.29, nan]</t>
  </si>
  <si>
    <t>[13.88, 8.06, -1.76, 1.96]</t>
  </si>
  <si>
    <t>[19.14, 16.44, 14.72, 23.41]</t>
  </si>
  <si>
    <t>[-20.82, -1.07, -4.19, nan]</t>
  </si>
  <si>
    <t>[2.53, -18.61, 4.7, nan]</t>
  </si>
  <si>
    <t>[17.53, 10.84, 11.19, 19.21]</t>
  </si>
  <si>
    <t>[15.87, 6.27, 5.74, nan]</t>
  </si>
  <si>
    <t>[nan, 9.65, 14.77, 9.73]</t>
  </si>
  <si>
    <t>[-39.04, -93.07, -22.79, nan]</t>
  </si>
  <si>
    <t>[-14.52, -23.52, 3.66, nan]</t>
  </si>
  <si>
    <t>[87.57, 0, 56.47, 17.78, nan]</t>
  </si>
  <si>
    <t>[-14.18, 9.6, 29.38, nan]</t>
  </si>
  <si>
    <t>[-33.91, -13.74, -65.09, nan]</t>
  </si>
  <si>
    <t>[-1.45, -5.3, -2.12, nan]</t>
  </si>
  <si>
    <t>[-17.61, -35.79, -52.37, nan]</t>
  </si>
  <si>
    <t>[6.43, 5.92, 7.2, nan]</t>
  </si>
  <si>
    <t>[5.21, 46.64, -2.0, nan]</t>
  </si>
  <si>
    <t>[11.48, -32.98, -19.66, nan]</t>
  </si>
  <si>
    <t>[25.48, 8.03, 11.95, 9.46]</t>
  </si>
  <si>
    <t>[2.88, 2.54, 1.48, nan]</t>
  </si>
  <si>
    <t>[nan, 17.74, 16.85, nan]</t>
  </si>
  <si>
    <t>[14.93, 11.37, 14.74, nan]</t>
  </si>
  <si>
    <t>[-20.43, -24.58, -12.97, nan]</t>
  </si>
  <si>
    <t>[3.69, 0.84, -2.39, nan]</t>
  </si>
  <si>
    <t>[5.95, -2.72, 3.75, nan]</t>
  </si>
  <si>
    <t>[-2.2, 5.07, 53.84, nan]</t>
  </si>
  <si>
    <t>[8.27, 1.05, -24.55, nan]</t>
  </si>
  <si>
    <t>[-141.25, -27.64, -40.07, nan]</t>
  </si>
  <si>
    <t>[0.34, 7.64, 7.55, -0.54]</t>
  </si>
  <si>
    <t>[-12.5, -11.63, -18.14, nan]</t>
  </si>
  <si>
    <t>[5.98, 6.05, 2.94, 4.61]</t>
  </si>
  <si>
    <t>[-2.41, 5.51, 4.77, 5.28]</t>
  </si>
  <si>
    <t>[9.91, 10.91, 11.76, 7.0]</t>
  </si>
  <si>
    <t>[30.16, 14.29, 7.03, nan]</t>
  </si>
  <si>
    <t>[1.18, 1.13, 1.51, 15.43]</t>
  </si>
  <si>
    <t>[-4.0, -9.43, -3.3, nan]</t>
  </si>
  <si>
    <t>[1.39, 1.63, 0.23, nan]</t>
  </si>
  <si>
    <t>[0.4, -1.47, -4.11, nan]</t>
  </si>
  <si>
    <t>[-9.39, 0.7, -6.57, nan]</t>
  </si>
  <si>
    <t>[8.73, 9.47, 11.14, 16.16]</t>
  </si>
  <si>
    <t>[2.09, 7.47, 3.06, nan]</t>
  </si>
  <si>
    <t>[0.71, 2.3, -7.64, nan]</t>
  </si>
  <si>
    <t>[-669.5, -77.53, -23.62, nan]</t>
  </si>
  <si>
    <t>[19.71, 12.72, 6.01, nan]</t>
  </si>
  <si>
    <t>[-4.45, 6.6, 24.61, 18.56]</t>
  </si>
  <si>
    <t>[-2.43, -15.97, 1.33, nan]</t>
  </si>
  <si>
    <t>[16.56, 9.8, 1.74, nan]</t>
  </si>
  <si>
    <t>[-31.2, -13.92, -4.49, nan]</t>
  </si>
  <si>
    <t>[15.28, 16.16, 23.15, 25.28]</t>
  </si>
  <si>
    <t>[0.12, 2.64, 4.62, nan]</t>
  </si>
  <si>
    <t>[3.92, 0.38, 5.49, nan]</t>
  </si>
  <si>
    <t>[-5.62, -6.19, -21.88, -19.15]</t>
  </si>
  <si>
    <t>[-8.56, -1.84, 5.02, nan]</t>
  </si>
  <si>
    <t>[3.82, 14.5, 10.18, 10.6]</t>
  </si>
  <si>
    <t>[-12.58, 4.19, -94.77, nan]</t>
  </si>
  <si>
    <t>[7.36, 6.49, 10.04, nan]</t>
  </si>
  <si>
    <t>[3.56, -2.45, 5.54, 8.51]</t>
  </si>
  <si>
    <t>[0, 0, 9.11, nan, -43.31, -10.02]</t>
  </si>
  <si>
    <t>[4.11, 3.17, -14.38, nan]</t>
  </si>
  <si>
    <t>[-40.14, -36.23, -28.77, nan]</t>
  </si>
  <si>
    <t>[5.92, -0.07, 0.85, nan]</t>
  </si>
  <si>
    <t>[82.89, -29.18, -15.4, 14.3]</t>
  </si>
  <si>
    <t>[4.56, 20.17, 25.35, 17.62]</t>
  </si>
  <si>
    <t>[-3.13, 2.43, 5.22, nan]</t>
  </si>
  <si>
    <t>[14.03, 3.58, 3.48, nan]</t>
  </si>
  <si>
    <t>[8.71, -0.55, 15.57, nan]</t>
  </si>
  <si>
    <t>[5.2, 6.65, 11.37, nan]</t>
  </si>
  <si>
    <t>[-37.73, 0, 0, nan, nan, nan]</t>
  </si>
  <si>
    <t>[1.15, 13.46, 15.34, 16.26]</t>
  </si>
  <si>
    <t>[25.36, 15.7, 12.14, nan]</t>
  </si>
  <si>
    <t>[49.65, 14.49, 43.5, nan]</t>
  </si>
  <si>
    <t>[5.44, 11.06, 7.81, nan]</t>
  </si>
  <si>
    <t>[7.7, -30.25, -19.22, nan]</t>
  </si>
  <si>
    <t>[10.42, 10.13, 6.47, nan]</t>
  </si>
  <si>
    <t>[16.6, 0, 34.14, nan, nan]</t>
  </si>
  <si>
    <t>[-34.33, -20.19, -31.56, nan]</t>
  </si>
  <si>
    <t>[14.77, 2.49, -0.31, nan]</t>
  </si>
  <si>
    <t>[-75.41, 29.7, 30.47, 39.11]</t>
  </si>
  <si>
    <t>[4.2, -0.3, -12.02, nan]</t>
  </si>
  <si>
    <t>[nan, nan, 1.22, nan]</t>
  </si>
  <si>
    <t>[nan, nan, 1.17, nan]</t>
  </si>
  <si>
    <t>[3.72, 0.72, -11.89, nan]</t>
  </si>
  <si>
    <t>[-53.69, 27.06, -11.48, nan]</t>
  </si>
  <si>
    <t>[6.73, 10.1, 5.27, 5.68]</t>
  </si>
  <si>
    <t>[12.31, 3.48, 3.37, 8.19]</t>
  </si>
  <si>
    <t>[-3.69, -9.07, -14.44, nan]</t>
  </si>
  <si>
    <t>[6.04, -13.93, -4.46, nan]</t>
  </si>
  <si>
    <t>[4.07, 5.87, 3.59, nan]</t>
  </si>
  <si>
    <t>[4.12, 4.99, 15.67, nan]</t>
  </si>
  <si>
    <t>[-430.73, -24.06, -64.38, nan]</t>
  </si>
  <si>
    <t>[2.42, -5.08, -132.08, nan]</t>
  </si>
  <si>
    <t>[4.19, 9.9, -2.43, nan]</t>
  </si>
  <si>
    <t>[7.18, 10.55, 9.47, 5.96]</t>
  </si>
  <si>
    <t>[-13.41, 2.03, 0.63, nan]</t>
  </si>
  <si>
    <t>[18.94, 6.21, 7.48, nan]</t>
  </si>
  <si>
    <t>[6.52, 17.57, 8.06, 17.63]</t>
  </si>
  <si>
    <t>[-19.13, -283.57, -43.41, nan]</t>
  </si>
  <si>
    <t>[nan, nan, 1.05, nan]</t>
  </si>
  <si>
    <t>[-11.86, -89.67, -42.03, nan]</t>
  </si>
  <si>
    <t>[1.97, -8.39, 2.08, nan]</t>
  </si>
  <si>
    <t>[3.62, -14.59, -9.2, nan]</t>
  </si>
  <si>
    <t>[9.39, 6.04, 6.82, 3.03]</t>
  </si>
  <si>
    <t>[-48.88, 17.62, 4.98, nan]</t>
  </si>
  <si>
    <t>[-7.89, 5.01, -8.77, nan]</t>
  </si>
  <si>
    <t>[-28.62, -22.61, -6.36, nan]</t>
  </si>
  <si>
    <t>[-2.6, -13.18, 0.85, nan]</t>
  </si>
  <si>
    <t>[14.74, 18.67, 8.96, 11.77]</t>
  </si>
  <si>
    <t>[10.09, 9.04, 32.13, 31.43]</t>
  </si>
  <si>
    <t>[33.11, 19.53, 11.06, nan]</t>
  </si>
  <si>
    <t>[0, 17.59, 10.18, nan, -5.33]</t>
  </si>
  <si>
    <t>[-9.77, 6.69, 3.55, nan]</t>
  </si>
  <si>
    <t>[-30.43, -6.06, -4.11, nan]</t>
  </si>
  <si>
    <t>[8.64, 5.2, 2.44, nan]</t>
  </si>
  <si>
    <t>[20.09, -1.45, -33.13, nan]</t>
  </si>
  <si>
    <t>[1.42, 1.13, -3.36, nan]</t>
  </si>
  <si>
    <t>[-23.52, -1.62, -2.35, nan]</t>
  </si>
  <si>
    <t>[6.5, 7.06, -8.98, nan]</t>
  </si>
  <si>
    <t>[3.09, 13.44, -5.58, nan]</t>
  </si>
  <si>
    <t>[20.76, 9.31, 1.39, -32.45]</t>
  </si>
  <si>
    <t>[-38.47, -57.8, -34.67, nan]</t>
  </si>
  <si>
    <t>[-21.98, -41.83, -31.4, 958.21]</t>
  </si>
  <si>
    <t>[nan, 37.36, 6.17, nan]</t>
  </si>
  <si>
    <t>[-8.41, -2.39, 6.48, nan]</t>
  </si>
  <si>
    <t>[-28.08, -34.17, -46.43, nan]</t>
  </si>
  <si>
    <t>[-362.86, -216.46, -434.64, nan]</t>
  </si>
  <si>
    <t>[4.93, 17.07, 15.94, nan]</t>
  </si>
  <si>
    <t>[-3.0, -2.54, 16.78, 46.33]</t>
  </si>
  <si>
    <t>[-27.86, -67.64, -44.39, nan]</t>
  </si>
  <si>
    <t>[nan, nan, 84.04, 80.84]</t>
  </si>
  <si>
    <t>[45.07, 1.84, 17.13, nan]</t>
  </si>
  <si>
    <t>[-10.59, -7.34, 1.06, nan]</t>
  </si>
  <si>
    <t>[24.34, 9.77, 6.26, nan]</t>
  </si>
  <si>
    <t>[16.14, 7.86, 9.99, nan]</t>
  </si>
  <si>
    <t>[0, -232.18, -8.99, nan, -21.87]</t>
  </si>
  <si>
    <t>[11.44, 3.38, -44.15, nan]</t>
  </si>
  <si>
    <t>[-81.35, -142.88, 9.26, nan]</t>
  </si>
  <si>
    <t>[3.78, -53.47, -10.48, nan]</t>
  </si>
  <si>
    <t>[9.12, 12.49, 4.52, nan]</t>
  </si>
  <si>
    <t>[-13.3, -16.7, -31.81, nan]</t>
  </si>
  <si>
    <t>[nan, nan, 0, nan, nan]</t>
  </si>
  <si>
    <t>[-23.22, -30.15, -52.99, nan]</t>
  </si>
  <si>
    <t>[5.44, 12.53, -5.15, nan]</t>
  </si>
  <si>
    <t>[-34.28, 5.04, -1.44, nan]</t>
  </si>
  <si>
    <t>[-25.26, -58.74, -118.55, nan]</t>
  </si>
  <si>
    <t>[-43.49, -26.67, -22.49, nan]</t>
  </si>
  <si>
    <t>[0, 7.81, -5.13, nan, nan]</t>
  </si>
  <si>
    <t>[-8.39, 4.56, 5.49, 9.16]</t>
  </si>
  <si>
    <t>[-45.04, -100.99, -41.43, nan]</t>
  </si>
  <si>
    <t>[4.39, 10.0, -9.25, -2.63]</t>
  </si>
  <si>
    <t>[5.64, 17.95, 20.25, 0.16]</t>
  </si>
  <si>
    <t>[-45.51, -25.32, -9.65, nan]</t>
  </si>
  <si>
    <t>[11.32, 3.43, 4.79, nan]</t>
  </si>
  <si>
    <t>[-5.15, -52.68, -46.74, nan]</t>
  </si>
  <si>
    <t>[17.8, 9.46, 16.71, 14.83]</t>
  </si>
  <si>
    <t>[-18.41, -19.92, 25.6, nan]</t>
  </si>
  <si>
    <t>[-6.04, -28.29, -0.66, nan]</t>
  </si>
  <si>
    <t>[-27.56, 9.48, 4.97, -9.51]</t>
  </si>
  <si>
    <t>[10.76, 8.23, 11.74, 15.29]</t>
  </si>
  <si>
    <t>[9.79, 2.97, -20.51, nan]</t>
  </si>
  <si>
    <t>[6.35, -7.32, -6.03, nan]</t>
  </si>
  <si>
    <t>[-27.49, -151.21, -76.84, nan]</t>
  </si>
  <si>
    <t>[-100.62, -19.42, -20.72, nan]</t>
  </si>
  <si>
    <t>[23.0, 12.89, 4.12, 15.48]</t>
  </si>
  <si>
    <t>[1.25, 0.53, -12.11, nan]</t>
  </si>
  <si>
    <t>[8.2, 2.36, -19.5, 32.26]</t>
  </si>
  <si>
    <t>[11.87, 11.4, 8.39, 15.8]</t>
  </si>
  <si>
    <t>[9.94, 12.52, 17.28, 16.72]</t>
  </si>
  <si>
    <t>[nan, 0, -96.19, nan, nan]</t>
  </si>
  <si>
    <t>[9.38, 6.14, 7.39, nan]</t>
  </si>
  <si>
    <t>[14.95, 12.31, 15.29, nan]</t>
  </si>
  <si>
    <t>[-7.53, 3.91, -5.95, nan]</t>
  </si>
  <si>
    <t>[2.52, 8.76, 19.01, 123.93]</t>
  </si>
  <si>
    <t>[6.7, 2.86, 1.26, nan]</t>
  </si>
  <si>
    <t>[-7.48, -39.59, -50.93, nan]</t>
  </si>
  <si>
    <t>[0, 42.77, -37.29, nan, nan]</t>
  </si>
  <si>
    <t>[-28.41, -53.13, -113.42, nan]</t>
  </si>
  <si>
    <t>[-20.41, -14.35, 3.34, nan]</t>
  </si>
  <si>
    <t>[60.93, -18.99, -28.72, nan]</t>
  </si>
  <si>
    <t>[-42.83, -17.39, 0.05, nan]</t>
  </si>
  <si>
    <t>[15.71, 14.55, 0.26, nan]</t>
  </si>
  <si>
    <t>[10.07, 13.16, 12.35, nan]</t>
  </si>
  <si>
    <t>[11.37, 14.53, 18.09, nan]</t>
  </si>
  <si>
    <t>[-0.93, 18.33, -42.35, nan]</t>
  </si>
  <si>
    <t>[-25.11, -11.27, -17.0, nan]</t>
  </si>
  <si>
    <t>[14.05, -12.39, -24.64, nan]</t>
  </si>
  <si>
    <t>[-45.63, -11.72, -48.28, nan]</t>
  </si>
  <si>
    <t>[-5.4, 37.11, 0.07, 17.31]</t>
  </si>
  <si>
    <t>[1.21, 16.26, -2.29, nan]</t>
  </si>
  <si>
    <t>[14.2, 3.66, 0.18, -4.29]</t>
  </si>
  <si>
    <t>[0, -105.94, 8.61, nan, nan]</t>
  </si>
  <si>
    <t>[-200.24, -59.84, -53.79, nan]</t>
  </si>
  <si>
    <t>[0.82, -6.21, -2.02, nan]</t>
  </si>
  <si>
    <t>[0.89, -5.8, -35.68, nan]</t>
  </si>
  <si>
    <t>[8.33, 5.43, 3.85, nan]</t>
  </si>
  <si>
    <t>[-27.82, -30.64, -100.14, nan]</t>
  </si>
  <si>
    <t>[11.12, 7.51, 2.16, 11.73]</t>
  </si>
  <si>
    <t>[1.47, -11.79, 4.79, nan]</t>
  </si>
  <si>
    <t>[34.65, 17.32, 33.1, nan]</t>
  </si>
  <si>
    <t>[13.95, 0.68, 3.94, 16.03]</t>
  </si>
  <si>
    <t>[0.85, -3.33, 3.13, nan]</t>
  </si>
  <si>
    <t>[-4.08, -94.26, -17.18, nan]</t>
  </si>
  <si>
    <t>[-8.32, -47.9, -22.41, nan]</t>
  </si>
  <si>
    <t>[-95.94, -32.33, -62.27, nan]</t>
  </si>
  <si>
    <t>[0, -283.29, -7.69, nan, nan]</t>
  </si>
  <si>
    <t>[-17.16, -29.11, -236.04, nan]</t>
  </si>
  <si>
    <t>[2.66, -20.19, -41.23, nan]</t>
  </si>
  <si>
    <t>[-4.53, 0, -56.0, nan, nan]</t>
  </si>
  <si>
    <t>[-14.27, 4.46, 2.29, nan]</t>
  </si>
  <si>
    <t>[-5.71, -5.88, -5.49, nan]</t>
  </si>
  <si>
    <t>[1.19, -0.2, 0.79, nan]</t>
  </si>
  <si>
    <t>[16.02, 11.7, 7.76, nan]</t>
  </si>
  <si>
    <t>[-0.18, 4.62, 4.33, nan]</t>
  </si>
  <si>
    <t>[12.17, 11.79, 10.44, nan]</t>
  </si>
  <si>
    <t>[-61.9, -72.23, -81.56, nan]</t>
  </si>
  <si>
    <t>[-38.8, -19.65, -11.04, nan]</t>
  </si>
  <si>
    <t>[1.21, -4.01, -12.14, nan]</t>
  </si>
  <si>
    <t>[-4.2, -5.7, -0.58, nan]</t>
  </si>
  <si>
    <t>[-20.03, -33.66, -53.13, nan]</t>
  </si>
  <si>
    <t>[-2.35, -1.64, -9.79, nan]</t>
  </si>
  <si>
    <t>[-71.16, -22.22, -102.21, nan]</t>
  </si>
  <si>
    <t>[2.94, 1.21, 1.59, nan]</t>
  </si>
  <si>
    <t>[13.53, 10.22, 17.76, nan]</t>
  </si>
  <si>
    <t>[24.38, 14.15, 5.25, nan]</t>
  </si>
  <si>
    <t>[-22.54, 1.11, 8.27, nan]</t>
  </si>
  <si>
    <t>[-41.83, -3.2, 5.2, nan]</t>
  </si>
  <si>
    <t>[-1.09, -16.96, 28.18, 23.73]</t>
  </si>
  <si>
    <t>[-6.32, 0.32, -12.79, nan]</t>
  </si>
  <si>
    <t>[9.45, 9.31, 6.37, 9.47]</t>
  </si>
  <si>
    <t>[-47.35, -39.66, -16.52, nan]</t>
  </si>
  <si>
    <t>[-66.48, -254.51, -48.09, nan]</t>
  </si>
  <si>
    <t>[10.29, 0, 9.63, nan, 7.95]</t>
  </si>
  <si>
    <t>[-96.54, -90.47, -33.09, nan]</t>
  </si>
  <si>
    <t>[6.12, 4.37, 3.9, nan]</t>
  </si>
  <si>
    <t>[11.95, 3.11, 2.32, nan]</t>
  </si>
  <si>
    <t>[10.29, -5.53, -71.91, nan]</t>
  </si>
  <si>
    <t>[0, 0.58, 2.63, nan, -23.65]</t>
  </si>
  <si>
    <t>[-4.4, 7.46, 1.27, nan]</t>
  </si>
  <si>
    <t>[0.01, -20.28, -4.1, nan]</t>
  </si>
  <si>
    <t>[-48.7, 5.65, -8.59, nan]</t>
  </si>
  <si>
    <t>[-2.28, -9.3, -20.06, nan]</t>
  </si>
  <si>
    <t>[-0.93, -1.74, -11.85, nan]</t>
  </si>
  <si>
    <t>[-6.54, -28.7, -0.99, nan]</t>
  </si>
  <si>
    <t>[1.66, 12.56, 5.75, nan]</t>
  </si>
  <si>
    <t>[-10.83, -13.46, -41.14, nan]</t>
  </si>
  <si>
    <t>[0.14, 2.46, -15.42, nan]</t>
  </si>
  <si>
    <t>[1.46, 9.9, -12.6, nan]</t>
  </si>
  <si>
    <t>[17.84, 21.15, 10.18, nan]</t>
  </si>
  <si>
    <t>[-5.38, -55.53, -49.93, nan]</t>
  </si>
  <si>
    <t>[1.64, 24.18, 14.52, nan]</t>
  </si>
  <si>
    <t>[2.19, 2.09, -4.96, nan]</t>
  </si>
  <si>
    <t>[35.37, 19.36, 13.42, nan]</t>
  </si>
  <si>
    <t>[31.73, 29.21, 16.42, 77.28]</t>
  </si>
  <si>
    <t>[16.8, 14.51, 17.23, 22.33]</t>
  </si>
  <si>
    <t>[35.06, 11.83, -3.44, nan]</t>
  </si>
  <si>
    <t>[-13.77, -52.21, -60.09, nan]</t>
  </si>
  <si>
    <t>[54.16, -42.69, -25.05, nan]</t>
  </si>
  <si>
    <t>[-10.06, -22.17, 2.78, nan]</t>
  </si>
  <si>
    <t>[0, 0, -108.77, 1081.36, nan, nan]</t>
  </si>
  <si>
    <t>[-2.85, -10.14, -7.29, nan]</t>
  </si>
  <si>
    <t>[-13.82, 3.25, -22.43, nan]</t>
  </si>
  <si>
    <t>[7.46, 5.93, 5.89, nan]</t>
  </si>
  <si>
    <t>[5.05, 17.0, 16.52, -8.77]</t>
  </si>
  <si>
    <t>[-1.29, 5.41, 1.44, nan]</t>
  </si>
  <si>
    <t>[-5.67, -10.68, 7.78, nan]</t>
  </si>
  <si>
    <t>[-21.12, -27.13, -5.33, nan]</t>
  </si>
  <si>
    <t>[-25.44, -21.15, -5.44, nan]</t>
  </si>
  <si>
    <t>[5.25, 10.02, 8.37, nan]</t>
  </si>
  <si>
    <t>[10.25, 2.89, 1.38, nan]</t>
  </si>
  <si>
    <t>[8.34, 7.16, 2.32, nan]</t>
  </si>
  <si>
    <t>[3.57, 6.4, 5.91, nan]</t>
  </si>
  <si>
    <t>[nan, nan, -0.35, nan]</t>
  </si>
  <si>
    <t>[4.75, 5.93, 2.33, nan]</t>
  </si>
  <si>
    <t>[1.08, 3.27, -0.35, nan]</t>
  </si>
  <si>
    <t>[-8.52, -6.19, -24.15, nan]</t>
  </si>
  <si>
    <t>[10.8, 8.65, 7.37, nan]</t>
  </si>
  <si>
    <t>[35.57, 7.79, 17.94, 28.91]</t>
  </si>
  <si>
    <t>[77.71, 18.44, 11.79, nan]</t>
  </si>
  <si>
    <t>[4.08, 4.31, 2.09, nan]</t>
  </si>
  <si>
    <t>[-1.3, -20.04, 1.1, 1.41]</t>
  </si>
  <si>
    <t>[-68.4, -57.58, 3.61, nan]</t>
  </si>
  <si>
    <t>[7.02, 1.74, 13.96, 9.4]</t>
  </si>
  <si>
    <t>[19.03, 19.68, 23.63, 24.02]</t>
  </si>
  <si>
    <t>[9.39, 13.73, -17.75, nan]</t>
  </si>
  <si>
    <t>[-59.19, -29.12, -69.05, nan]</t>
  </si>
  <si>
    <t>[16.91, 10.65, 4.15, nan]</t>
  </si>
  <si>
    <t>[-21.21, -9.19, -1.54, nan]</t>
  </si>
  <si>
    <t>[0, -174.14, -77.93, nan, -151.83]</t>
  </si>
  <si>
    <t>[7.95, 9.44, 5.15, nan]</t>
  </si>
  <si>
    <t>[-14.48, 6.83, 3.13, nan]</t>
  </si>
  <si>
    <t>[0, 12.07, 8.37, 9.39, 9.3]</t>
  </si>
  <si>
    <t>[3.14, -3.98, -76.86, nan]</t>
  </si>
  <si>
    <t>[7.49, 2.46, -0.23, nan]</t>
  </si>
  <si>
    <t>[2.78, -0.68, 2.08, nan]</t>
  </si>
  <si>
    <t>[nan, nan, 0.55, nan]</t>
  </si>
  <si>
    <t>[-7.21, -6.78, 5.3, nan]</t>
  </si>
  <si>
    <t>[1.89, 0.92, -3.42, nan]</t>
  </si>
  <si>
    <t>[-15.47, -26.58, -7.84, nan]</t>
  </si>
  <si>
    <t>[51.19, 10.63, 8.21, 18.86]</t>
  </si>
  <si>
    <t>[-26.61, -34.42, -153.58, nan]</t>
  </si>
  <si>
    <t>[16.76, 21.86, 12.59, 8.1]</t>
  </si>
  <si>
    <t>[nan, nan, 0, 28.89, nan]</t>
  </si>
  <si>
    <t>[8.47, 10.96, 6.09, nan]</t>
  </si>
  <si>
    <t>[21.07, 25.63, 31.75, nan]</t>
  </si>
  <si>
    <t>[1.43, 5.67, 3.88, nan]</t>
  </si>
  <si>
    <t>[-23.28, -15.97, -65.12, nan]</t>
  </si>
  <si>
    <t>[9.5, 2.42, 9.18, nan]</t>
  </si>
  <si>
    <t>[-133.0, -109.25, -8.22, nan]</t>
  </si>
  <si>
    <t>[-21.69, 16.85, -10.09, nan]</t>
  </si>
  <si>
    <t>[-4.17, 12.13, 7.91, nan]</t>
  </si>
  <si>
    <t>[-31.77, 6.66, -38.25, nan]</t>
  </si>
  <si>
    <t>[1.08, -44.67, -18.24, nan]</t>
  </si>
  <si>
    <t>[11.46, 3.77, 4.24, nan]</t>
  </si>
  <si>
    <t>[0, 22.58, 3.37, nan, -1.86]</t>
  </si>
  <si>
    <t>[-0.57, 11.42, 7.78, 15.38]</t>
  </si>
  <si>
    <t>[nan, 24.4, -4.94, nan]</t>
  </si>
  <si>
    <t>[0.93, -5.03, -17.92, nan]</t>
  </si>
  <si>
    <t>[-18.67, -48.3, -49.68, nan]</t>
  </si>
  <si>
    <t>[6.41, 0.46, 3.81, nan]</t>
  </si>
  <si>
    <t>[7.53, 3.37, 2.3, nan]</t>
  </si>
  <si>
    <t>[17.75, 22.21, 21.19, 19.5]</t>
  </si>
  <si>
    <t>[-23.13, -36.15, -14.36, nan]</t>
  </si>
  <si>
    <t>[15.07, -69.49, 23.65, nan]</t>
  </si>
  <si>
    <t>[-1.88, -27.86, -95.33, -45.44]</t>
  </si>
  <si>
    <t>[-79.31, 12.19, -0.94, 2.45]</t>
  </si>
  <si>
    <t>[2.8, 4.74, 1.37, nan]</t>
  </si>
  <si>
    <t>[-13.76, 1.79, -26.27, nan]</t>
  </si>
  <si>
    <t>[-8.41, 11.24, 15.1, nan]</t>
  </si>
  <si>
    <t>[8.51, 8.93, 6.35, nan]</t>
  </si>
  <si>
    <t>[-65.07, -42.52, -49.23, nan]</t>
  </si>
  <si>
    <t>[-212.48, 76.09, -9.96, nan]</t>
  </si>
  <si>
    <t>[-0.15, -1.8, 0.95, nan]</t>
  </si>
  <si>
    <t>[-13.79, -10.68, 10.87, nan]</t>
  </si>
  <si>
    <t>[20.14, 13.43, 7.91, nan]</t>
  </si>
  <si>
    <t>[5.47, 3.31, 3.51, nan]</t>
  </si>
  <si>
    <t>[41.32, 31.5, 10.24, -2.58]</t>
  </si>
  <si>
    <t>[10.78, 8.48, 19.7, 14.53]</t>
  </si>
  <si>
    <t>[7.35, 4.87, 4.05, nan]</t>
  </si>
  <si>
    <t>[16.14, -1.48, -4.53, nan]</t>
  </si>
  <si>
    <t>[-6.15, 10.89, 4.38, nan]</t>
  </si>
  <si>
    <t>[43.39, 8.6, 6.49, nan]</t>
  </si>
  <si>
    <t>[8.21, 25.64, 27.58, 17.82]</t>
  </si>
  <si>
    <t>[0, -17.31, -41.22, nan, nan]</t>
  </si>
  <si>
    <t>[-7.35, -37.47, -172.88, nan]</t>
  </si>
  <si>
    <t>[-23.89, -34.39, 12.61, nan]</t>
  </si>
  <si>
    <t>[39.52, 0.16, 11.52, nan]</t>
  </si>
  <si>
    <t>[-14.5, -15.15, 3.18, nan]</t>
  </si>
  <si>
    <t>[5.33, 8.2, 11.64, nan]</t>
  </si>
  <si>
    <t>[-20.34, -17.51, 0.37, nan]</t>
  </si>
  <si>
    <t>[-7.42, -102.48, 9.77, nan]</t>
  </si>
  <si>
    <t>[3.53, 1.79, 10.14, nan]</t>
  </si>
  <si>
    <t>[2.41, -5.54, -21.76, nan]</t>
  </si>
  <si>
    <t>[nan, 27.48, 19.03, nan]</t>
  </si>
  <si>
    <t>[23.82, 21.09, 10.15, nan]</t>
  </si>
  <si>
    <t>[nan, 15.7, -1.19, nan]</t>
  </si>
  <si>
    <t>[5.27, 1.98, -4.49, nan]</t>
  </si>
  <si>
    <t>[4.8, 8.78, 5.68, nan]</t>
  </si>
  <si>
    <t>[0.63, 6.92, 9.57, nan]</t>
  </si>
  <si>
    <t>[4.08, 4.49, -6.13, nan]</t>
  </si>
  <si>
    <t>[5.74, -2.06, 1.84, nan]</t>
  </si>
  <si>
    <t>[1.47, -16.34, -41.78, nan]</t>
  </si>
  <si>
    <t>[-6.45, -35.62, -47.2, nan]</t>
  </si>
  <si>
    <t>[-10.01, -11.8, -9.76, nan]</t>
  </si>
  <si>
    <t>[7.27, 6.95, 12.68, nan]</t>
  </si>
  <si>
    <t>[nan, 0, -32.46, nan, nan]</t>
  </si>
  <si>
    <t>[-4.65, 1.91, 0.72, nan]</t>
  </si>
  <si>
    <t>[12.25, 25.53, 3.36, nan]</t>
  </si>
  <si>
    <t>[-6.67, 5.66, -31.86, nan]</t>
  </si>
  <si>
    <t>[10.78, 2.49, -3.03, nan]</t>
  </si>
  <si>
    <t>[12.21, -3.97, -10.64, nan]</t>
  </si>
  <si>
    <t>[-9.24, -12.82, 2.71, nan]</t>
  </si>
  <si>
    <t>[-44.04, -77.95, -310.39, nan]</t>
  </si>
  <si>
    <t>[-5.37, -11.3, -9.19, 2.39]</t>
  </si>
  <si>
    <t>[7.52, 18.89, 9.78, nan]</t>
  </si>
  <si>
    <t>[23.58, 10.27, 2.26, nan]</t>
  </si>
  <si>
    <t>[8.91, 6.51, 12.73, nan]</t>
  </si>
  <si>
    <t>[15.13, 12.51, 9.73, nan]</t>
  </si>
  <si>
    <t>[-31.04, -42.86, -38.68, nan]</t>
  </si>
  <si>
    <t>[8.37, -99.19, 24.53, 18.44]</t>
  </si>
  <si>
    <t>[-6.9, -10.86, -105.2, nan]</t>
  </si>
  <si>
    <t>[18.82, 19.82, 18.75, nan]</t>
  </si>
  <si>
    <t>[-50.85, 22.56, 2.34, nan]</t>
  </si>
  <si>
    <t>[7.85, 7.24, 4.54, nan]</t>
  </si>
  <si>
    <t>[-41.36, -86.5, -26.37, nan]</t>
  </si>
  <si>
    <t>[-14.52, 0.58, -1.11, 7.3]</t>
  </si>
  <si>
    <t>[16.0, 5.53, 4.72, nan]</t>
  </si>
  <si>
    <t>[-30.05, -15.26, 19.99, 31.61]</t>
  </si>
  <si>
    <t>[-10.87, -7.97, -3.41, nan]</t>
  </si>
  <si>
    <t>[15.8, 16.27, 16.66, 17.55]</t>
  </si>
  <si>
    <t>[2.74, -2.55, 3.69, 2.67]</t>
  </si>
  <si>
    <t>[36.61, 8.32, 19.14, nan]</t>
  </si>
  <si>
    <t>[0, 4.25, 1.7, nan, 2.75]</t>
  </si>
  <si>
    <t>[-57.46, 5.4, -13.02, nan]</t>
  </si>
  <si>
    <t>[-31.99, -3.51, -48.27, nan]</t>
  </si>
  <si>
    <t>[3.77, -14.52, -2.61, nan]</t>
  </si>
  <si>
    <t>[-13.26, -14.33, -12.1, nan]</t>
  </si>
  <si>
    <t>[23.25, -1.85, 10.43, nan]</t>
  </si>
  <si>
    <t>[14.52, 14.28, 12.73, nan]</t>
  </si>
  <si>
    <t>[-59.45, -32.3, -264.62, nan]</t>
  </si>
  <si>
    <t>[nan, 0, 37.09, nan, nan]</t>
  </si>
  <si>
    <t>[17.71, 8.65, 13.49, nan]</t>
  </si>
  <si>
    <t>[7.3, 3.01, 0.96, nan]</t>
  </si>
  <si>
    <t>[-33.49, 5.18, 29.27, nan]</t>
  </si>
  <si>
    <t>[-61.44, -88.48, -55.07, nan]</t>
  </si>
  <si>
    <t>[16.93, 14.97, -6.32, nan]</t>
  </si>
  <si>
    <t>[4.3, 7.19, 4.55, nan]</t>
  </si>
  <si>
    <t>[-19.8, -20.85, -8.25, nan]</t>
  </si>
  <si>
    <t>[13.01, 1.13, 0.96, nan]</t>
  </si>
  <si>
    <t>[9.76, 6.56, 9.72, nan]</t>
  </si>
  <si>
    <t>[-10.53, -33.36, 29.12, nan]</t>
  </si>
  <si>
    <t>[23.42, 14.36, 12.44, 23.08]</t>
  </si>
  <si>
    <t>[-27.56, -49.06, -14.22, nan]</t>
  </si>
  <si>
    <t>[33.19, 3.24, -24.3, nan]</t>
  </si>
  <si>
    <t>[12.53, -49.34, -39.95, -21.33]</t>
  </si>
  <si>
    <t>[7.88, 4.87, 16.97, 11.65]</t>
  </si>
  <si>
    <t>[-33.24, 5.2, -16.18, nan]</t>
  </si>
  <si>
    <t>[17.34, 16.46, 2.47, nan]</t>
  </si>
  <si>
    <t>[2.65, -17.35, -89.64, nan]</t>
  </si>
  <si>
    <t>[2.87, -28.63, -29.14, nan]</t>
  </si>
  <si>
    <t>[11.05, -122.03, -323.28, nan]</t>
  </si>
  <si>
    <t>[-6.75, 4.31, 2.75, nan]</t>
  </si>
  <si>
    <t>[19.73, 16.85, 17.78, nan]</t>
  </si>
  <si>
    <t>[31.7, 20.99, 17.88, nan]</t>
  </si>
  <si>
    <t>[20.12, 25.39, 7.48, nan]</t>
  </si>
  <si>
    <t>[10.73, 8.37, 4.24, nan]</t>
  </si>
  <si>
    <t>[-18.57, -15.58, -34.56, nan]</t>
  </si>
  <si>
    <t>[-33.12, 73.29, 48.11, 53.03]</t>
  </si>
  <si>
    <t>[-10.74, 14.31, 5.72, nan]</t>
  </si>
  <si>
    <t>[-35.84, -43.86, -37.73, nan]</t>
  </si>
  <si>
    <t>[4.05, -10.13, -9.87, nan]</t>
  </si>
  <si>
    <t>[7.26, 7.02, 5.3, 4.01]</t>
  </si>
  <si>
    <t>[32.53, -1.95, 14.9, nan]</t>
  </si>
  <si>
    <t>[21.76, 186.12, 5.06, nan]</t>
  </si>
  <si>
    <t>[nan, 9.57, 2.53, nan]</t>
  </si>
  <si>
    <t>[20.56, 24.83, nan, nan]</t>
  </si>
  <si>
    <t>[11.97, 7.76, 11.26, nan]</t>
  </si>
  <si>
    <t>[7.72, 9.68, 8.59, nan]</t>
  </si>
  <si>
    <t>[nan, nan, 7.81, nan]</t>
  </si>
  <si>
    <t>[3.44, 1.2, 2.38, nan]</t>
  </si>
  <si>
    <t>[26.84, 20.71, 33.55, nan]</t>
  </si>
  <si>
    <t>[20.87, 19.45, 4.69, nan]</t>
  </si>
  <si>
    <t>[5.23, 37.47, nan, nan]</t>
  </si>
  <si>
    <t>[5.59, nan, nan, nan]</t>
  </si>
  <si>
    <t>[11.85, 0.6, 19.06, nan]</t>
  </si>
  <si>
    <t>[nan, 14.16, nan, 41.9]</t>
  </si>
  <si>
    <t>[10.02, 6.55, 27.21, 6.32]</t>
  </si>
  <si>
    <t>[5.65, 7.03, 10.73, nan]</t>
  </si>
  <si>
    <t>[10.26, 8.83, 19.98, 6.9]</t>
  </si>
  <si>
    <t>[5.24, 8.44, nan, nan]</t>
  </si>
  <si>
    <t>[9.69, 7.3, 6.62, nan]</t>
  </si>
  <si>
    <t>[nan, 52.55, 13.72, 13.35]</t>
  </si>
  <si>
    <t>[8.62, 4.98, 4.09, nan]</t>
  </si>
  <si>
    <t>[8.46, 32.33, 21.78, nan]</t>
  </si>
  <si>
    <t>[20.06, 15.95, 11.57, 12.87]</t>
  </si>
  <si>
    <t>[27.16, 9.35, 182.52, 31.51]</t>
  </si>
  <si>
    <t>[12.88, 13.55, 21.13, 9.45]</t>
  </si>
  <si>
    <t>[15.16, 10.59, 14.08, 9.5]</t>
  </si>
  <si>
    <t>[16.33, 9.79, 10.73, 13.57]</t>
  </si>
  <si>
    <t>[14.38, 12.33, 9.11, 8.57]</t>
  </si>
  <si>
    <t>[10.88, 14.93, 4.71, 7.94]</t>
  </si>
  <si>
    <t>[9.64, 8.85, 10.02, 14.94]</t>
  </si>
  <si>
    <t>[2.55, nan, 54.56, 82.92]</t>
  </si>
  <si>
    <t>[nan, 8.74, 90.14, nan]</t>
  </si>
  <si>
    <t>[7.47, 7.18, 8.8, nan]</t>
  </si>
  <si>
    <t>[8.33, 6.92, 5.28, 7.02]</t>
  </si>
  <si>
    <t>[5.92, 17.65, 21.58, nan]</t>
  </si>
  <si>
    <t>[13.99, 10.68, 13.96, nan]</t>
  </si>
  <si>
    <t>[6.5, 20.02, nan, nan]</t>
  </si>
  <si>
    <t>[nan, 4.5, 4.39, nan]</t>
  </si>
  <si>
    <t>[6.05, 4.85, 4.66, 4.07]</t>
  </si>
  <si>
    <t>[18.86, nan, nan, 8.99]</t>
  </si>
  <si>
    <t>[8.55, nan, nan, nan]</t>
  </si>
  <si>
    <t>[15.75, 36.05, 11.72, 12.12]</t>
  </si>
  <si>
    <t>[19.43, 34.17, 12.67, nan]</t>
  </si>
  <si>
    <t>[nan, 20.88, 11.41, nan]</t>
  </si>
  <si>
    <t>[24.38, 8.79, 10.09, nan]</t>
  </si>
  <si>
    <t>[11.29, 9.52, 9.91, 12.0]</t>
  </si>
  <si>
    <t>[7.54, 7.46, 8.85, 12.2]</t>
  </si>
  <si>
    <t>[4.73, 4.08, 4.91, 5.37]</t>
  </si>
  <si>
    <t>[nan, 27.58, 5.9, nan]</t>
  </si>
  <si>
    <t>[7.66, 10.46, nan, nan]</t>
  </si>
  <si>
    <t>[4.1, nan, 58.86, 3.12]</t>
  </si>
  <si>
    <t>[3.61, 28.19, 34.54, 28.53]</t>
  </si>
  <si>
    <t>[8.99, 6.95, 6.28, nan]</t>
  </si>
  <si>
    <t>[7.24, 4.86, 4.63, 4.41]</t>
  </si>
  <si>
    <t>[7.74, 6.27, 4.93, nan]</t>
  </si>
  <si>
    <t>[0.18, 72.75, nan, nan]</t>
  </si>
  <si>
    <t>[10.97, 17.48, 33.57, 23.07]</t>
  </si>
  <si>
    <t>[31.58, 33.01, 5.39, nan]</t>
  </si>
  <si>
    <t>[16.94, 70.47, 4.62, nan]</t>
  </si>
  <si>
    <t>[3.0, 2.15, 1.86, nan]</t>
  </si>
  <si>
    <t>[13.83, 8.8, 8.9, 7.36]</t>
  </si>
  <si>
    <t>[9.91, 7.91, 10.16, nan]</t>
  </si>
  <si>
    <t>[18.49, nan, nan, nan]</t>
  </si>
  <si>
    <t>[nan, 28.77, nan, nan]</t>
  </si>
  <si>
    <t>[12.18, 15.41, 8.62, nan]</t>
  </si>
  <si>
    <t>[6.58, 4.88, 6.65, nan]</t>
  </si>
  <si>
    <t>[nan, nan, 3.49, nan]</t>
  </si>
  <si>
    <t>[29.0, 5.06, nan, nan]</t>
  </si>
  <si>
    <t>[12.77, 10.26, 1.22, nan]</t>
  </si>
  <si>
    <t>[69.15, nan, 66.16, nan]</t>
  </si>
  <si>
    <t>[18.75, 18.75, 4.11, nan]</t>
  </si>
  <si>
    <t>[9.2, 6.49, 9.09, nan]</t>
  </si>
  <si>
    <t>[14.98, 5.03, 6.46, nan]</t>
  </si>
  <si>
    <t>[nan, 12.85, 208.92, nan]</t>
  </si>
  <si>
    <t>[nan, 13.55, 8.06, nan]</t>
  </si>
  <si>
    <t>[nan, nan, 46.47, nan]</t>
  </si>
  <si>
    <t>[14.14, 4.37, 67.05, nan]</t>
  </si>
  <si>
    <t>[nan, 351.03, nan, nan]</t>
  </si>
  <si>
    <t>[4.09, 6.08, 5.2, nan]</t>
  </si>
  <si>
    <t>[15.56, 14.02, nan, 8.59]</t>
  </si>
  <si>
    <t>[10.33, nan, 14.48, 5.73]</t>
  </si>
  <si>
    <t>[22.1, nan, 11.83, nan]</t>
  </si>
  <si>
    <t>[6.13, 3.45, 4.15, nan]</t>
  </si>
  <si>
    <t>[nan, nan, 24.73, 11.07]</t>
  </si>
  <si>
    <t>[18.64, 45.52, nan, nan]</t>
  </si>
  <si>
    <t>[10.92, 15.15, 245.36, nan]</t>
  </si>
  <si>
    <t>[5.63, 20.98, 31.78, nan]</t>
  </si>
  <si>
    <t>[11.04, 22.14, 11.2, 29.98]</t>
  </si>
  <si>
    <t>[6.37, 5.01, 4.32, nan]</t>
  </si>
  <si>
    <t>[10.98, 32.64, 10.58, 5.81]</t>
  </si>
  <si>
    <t>[10.24, 11.48, 10.18, nan]</t>
  </si>
  <si>
    <t>[9.05, 9.83, 8.95, 5.39]</t>
  </si>
  <si>
    <t>[11.81, 7.13, 11.24, 6.51]</t>
  </si>
  <si>
    <t>[23.92, 16.67, 44.41, nan]</t>
  </si>
  <si>
    <t>[9.13, 4.26, 12.89, nan]</t>
  </si>
  <si>
    <t>[4.22, 3.67, 18.9, nan]</t>
  </si>
  <si>
    <t>[nan, nan, 5.93, nan]</t>
  </si>
  <si>
    <t>[15.55, 18.63, 11.17, nan]</t>
  </si>
  <si>
    <t>[nan, nan, 17.19, nan]</t>
  </si>
  <si>
    <t>[81.92, nan, nan, nan]</t>
  </si>
  <si>
    <t>[14.04, 7.14, 11.81, nan]</t>
  </si>
  <si>
    <t>[15.23, 16.55, 15.37, 11.57]</t>
  </si>
  <si>
    <t>[6.28, 7.56, 3.9, nan]</t>
  </si>
  <si>
    <t>[8.9, 0.34, 16.08, 71.4]</t>
  </si>
  <si>
    <t>[nan, 203.06, 18.91, 94.02]</t>
  </si>
  <si>
    <t>[3.94, nan, nan, nan]</t>
  </si>
  <si>
    <t>[5.35, nan, 1214.37, nan]</t>
  </si>
  <si>
    <t>[6.14, 8.22, 11.09, nan]</t>
  </si>
  <si>
    <t>[38.31, nan, 51.51, nan]</t>
  </si>
  <si>
    <t>[11.6, 6.37, 7.52, nan]</t>
  </si>
  <si>
    <t>[57.22, nan, nan, nan]</t>
  </si>
  <si>
    <t>[6.03, 4.95, 5.37, nan]</t>
  </si>
  <si>
    <t>[29.93, 33.11, 29.45, nan]</t>
  </si>
  <si>
    <t>[16.72, 18.16, 104.16, nan]</t>
  </si>
  <si>
    <t>[6.36, nan, nan, nan]</t>
  </si>
  <si>
    <t>[12.26, 11.3, 15.2, 8.03]</t>
  </si>
  <si>
    <t>[10.17, 5.7, 7.14, nan]</t>
  </si>
  <si>
    <t>[nan, nan, 2.77, nan]</t>
  </si>
  <si>
    <t>[39.43, nan, 6.53, nan]</t>
  </si>
  <si>
    <t>[41.78, 24.25, 56.23, nan]</t>
  </si>
  <si>
    <t>[9.48, 8.0, 11.73, nan]</t>
  </si>
  <si>
    <t>[14.81, 20.53, 3.97, nan]</t>
  </si>
  <si>
    <t>[14.93, nan, nan, nan]</t>
  </si>
  <si>
    <t>[nan, 18.77, nan, nan]</t>
  </si>
  <si>
    <t>[nan, 31.31, 36.96, nan]</t>
  </si>
  <si>
    <t>[135.6, 86.33, 32.5, nan]</t>
  </si>
  <si>
    <t>[16.53, 10.83, 24.35, nan]</t>
  </si>
  <si>
    <t>[14.68, 47.14, 9.22, nan]</t>
  </si>
  <si>
    <t>[nan, nan, 31.12, nan]</t>
  </si>
  <si>
    <t>[nan, nan, 19.86, 21.18]</t>
  </si>
  <si>
    <t>[nan, 30.83, 25.0, 85.8]</t>
  </si>
  <si>
    <t>[nan, 18.63, 42.59, nan]</t>
  </si>
  <si>
    <t>[11.42, 8.32, 8.12, nan]</t>
  </si>
  <si>
    <t>[16.89, 9.91, nan, nan]</t>
  </si>
  <si>
    <t>[19.44, 9.1, 6.33, 310.15]</t>
  </si>
  <si>
    <t>[3.33, 13.01, 13.61, nan]</t>
  </si>
  <si>
    <t>[12.84, 15.03, 9.13, 7.7]</t>
  </si>
  <si>
    <t>[10.57, 9.88, 5.43, nan]</t>
  </si>
  <si>
    <t>[8.09, 12.39, 5.1, 4.39]</t>
  </si>
  <si>
    <t>[16.6, 5.27, 7.45, nan]</t>
  </si>
  <si>
    <t>[36.59, 33.15, 18.36, nan]</t>
  </si>
  <si>
    <t>[nan, nan, 92.09, nan]</t>
  </si>
  <si>
    <t>[10.05, nan, 11.41, nan]</t>
  </si>
  <si>
    <t>[13.86, 33.3, 25.7, nan]</t>
  </si>
  <si>
    <t>[nan, 8.38, nan, 54.12]</t>
  </si>
  <si>
    <t>[8.79, 8.9, 21.21, nan]</t>
  </si>
  <si>
    <t>[0.76, 19.02, 23.05, nan]</t>
  </si>
  <si>
    <t>[29.67, 28.77, nan, nan]</t>
  </si>
  <si>
    <t>[nan, nan, 4.29, 5.04]</t>
  </si>
  <si>
    <t>[nan, nan, 35.97, nan]</t>
  </si>
  <si>
    <t>[77.64, nan, 7.62, nan]</t>
  </si>
  <si>
    <t>[nan, nan, 15.8, nan]</t>
  </si>
  <si>
    <t>[nan, 4.58, 30.13, nan]</t>
  </si>
  <si>
    <t>[9.11, 4.82, nan, 26.45]</t>
  </si>
  <si>
    <t>[13.74, nan, 13.46, nan]</t>
  </si>
  <si>
    <t>[10.45, 10.34, 6.15, 5.17]</t>
  </si>
  <si>
    <t>[7.97, 6.74, 4.45, nan]</t>
  </si>
  <si>
    <t>[29.51, 25.05, 20.39, nan]</t>
  </si>
  <si>
    <t>[8.84, 12.36, 37.86, 11.99]</t>
  </si>
  <si>
    <t>[9.29, 5.62, 5.41, nan]</t>
  </si>
  <si>
    <t>[17.03, 17.34, 31.33, nan]</t>
  </si>
  <si>
    <t>[2.69, 9.04, 9.4, nan]</t>
  </si>
  <si>
    <t>[13.54, 9.04, 6.1, nan]</t>
  </si>
  <si>
    <t>[1.09, 37.13, nan, nan]</t>
  </si>
  <si>
    <t>[13.44, 18.28, 29.43, nan]</t>
  </si>
  <si>
    <t>[18.37, 13.56, 8.08, nan]</t>
  </si>
  <si>
    <t>[10.56, 6.86, 8.67, nan]</t>
  </si>
  <si>
    <t>[4.51, 2.37, 5.19, nan]</t>
  </si>
  <si>
    <t>[17.6, 12.68, 11.77, nan]</t>
  </si>
  <si>
    <t>[22.06, 19.5, 30.13, 34.53]</t>
  </si>
  <si>
    <t>[9.72, 8.52, 3.82, nan]</t>
  </si>
  <si>
    <t>[9.36, nan, nan, nan]</t>
  </si>
  <si>
    <t>[nan, 7.31, nan, nan]</t>
  </si>
  <si>
    <t>[8.34, 7.23, nan, nan]</t>
  </si>
  <si>
    <t>[50.15, 19.33, 14.29, nan]</t>
  </si>
  <si>
    <t>[10.75, 76.5, nan, nan]</t>
  </si>
  <si>
    <t>[19.69, 15.59, 16.0, 15.11]</t>
  </si>
  <si>
    <t>[8.04, nan, nan, nan]</t>
  </si>
  <si>
    <t>[17.2, 7.76, 9.99, nan]</t>
  </si>
  <si>
    <t>[nan, nan, 4.5, nan]</t>
  </si>
  <si>
    <t>[9.5, 10.94, 38.3, nan]</t>
  </si>
  <si>
    <t>[12.57, 14.47, 10.99, 6.4]</t>
  </si>
  <si>
    <t>[18.43, 25.47, 45.55, 7.23]</t>
  </si>
  <si>
    <t>[12.26, 11.41, 4.2, nan]</t>
  </si>
  <si>
    <t>[14.74, 11.9, 12.16, nan]</t>
  </si>
  <si>
    <t>[12.1, nan, nan, 8.93]</t>
  </si>
  <si>
    <t>[0.61, 21.09, nan, nan]</t>
  </si>
  <si>
    <t>[6.24, 3.98, 4.66, nan]</t>
  </si>
  <si>
    <t>[30.06, nan, nan, nan]</t>
  </si>
  <si>
    <t>[12.35, 16.78, 17.88, nan]</t>
  </si>
  <si>
    <t>[25.38, 6.33, 14.59, nan]</t>
  </si>
  <si>
    <t>[6.79, 8.45, 8.11, nan]</t>
  </si>
  <si>
    <t>[15.29, 13.63, 11.43, nan]</t>
  </si>
  <si>
    <t>[5.21, 2.79, 5.25, nan]</t>
  </si>
  <si>
    <t>[nan, 7.78, 8.94, 7.1]</t>
  </si>
  <si>
    <t>[13.86, 1213.79, 34.27, nan]</t>
  </si>
  <si>
    <t>[14.62, 8.16, 7.11, nan]</t>
  </si>
  <si>
    <t>[82.19, 19.76, 323.72, nan]</t>
  </si>
  <si>
    <t>[7.02, 10.86, nan, nan]</t>
  </si>
  <si>
    <t>[16.76, 138.65, 9.65, nan]</t>
  </si>
  <si>
    <t>[10.93, nan, 19.22, nan]</t>
  </si>
  <si>
    <t>[17.25, 12.49, 8.78, 9.23]</t>
  </si>
  <si>
    <t>[10.13, 0.82, 5.01, 5.44]</t>
  </si>
  <si>
    <t>[11.73, 6.18, 6.51, nan]</t>
  </si>
  <si>
    <t>[12.98, 8.53, 13.97, nan]</t>
  </si>
  <si>
    <t>[7.51, 5.82, 9.78, nan]</t>
  </si>
  <si>
    <t>[9.95, 10.13, 5.81, nan]</t>
  </si>
  <si>
    <t>[nan, nan, 11.87, 30.79]</t>
  </si>
  <si>
    <t>[3.52, 9.59, 129.11, nan]</t>
  </si>
  <si>
    <t>[9.8, 27.62, 23.18, nan]</t>
  </si>
  <si>
    <t>[8.64, 4.77, 8.61, 6.56]</t>
  </si>
  <si>
    <t>[nan, 12.17, nan, nan]</t>
  </si>
  <si>
    <t>[17.73, 11.44, 9.96, nan]</t>
  </si>
  <si>
    <t>[29.54, 31.34, 13.73, nan]</t>
  </si>
  <si>
    <t>[16.67, 12.47, 9.82, nan]</t>
  </si>
  <si>
    <t>[13.57, 13.44, 13.59, nan]</t>
  </si>
  <si>
    <t>[4.92, 12.02, 11.59, nan]</t>
  </si>
  <si>
    <t>[20.79, 27.16, 5.67, nan]</t>
  </si>
  <si>
    <t>[9.13, nan, 21.9, 18.78]</t>
  </si>
  <si>
    <t>[10.56, 10.01, 9.5, nan]</t>
  </si>
  <si>
    <t>[5.84, 6.24, 3.85, nan]</t>
  </si>
  <si>
    <t>[nan, 20.72, 40.12, nan]</t>
  </si>
  <si>
    <t>[nan, nan, 10740.77, nan]</t>
  </si>
  <si>
    <t>[13.58, 26.94, nan, nan]</t>
  </si>
  <si>
    <t>[20.52, nan, nan, nan]</t>
  </si>
  <si>
    <t>[88.64, 17.28, 32.18, nan]</t>
  </si>
  <si>
    <t>[nan, nan, 17.35, nan]</t>
  </si>
  <si>
    <t>[49.96, 18.14, 10.92, nan]</t>
  </si>
  <si>
    <t>[11.81, 12.34, 27.44, nan]</t>
  </si>
  <si>
    <t>[6.92, 5.61, 55.93, nan]</t>
  </si>
  <si>
    <t>[2.96, 4.46, 12.19, nan]</t>
  </si>
  <si>
    <t>[7.07, 5.9, 3.81, 2.65]</t>
  </si>
  <si>
    <t>[20.8, 10.84, 21.9, nan]</t>
  </si>
  <si>
    <t>[13.63, 13.17, 9.91, nan]</t>
  </si>
  <si>
    <t>[13.74, 2.22, 4.62, nan]</t>
  </si>
  <si>
    <t>[5.04, 4.28, 8.97, nan]</t>
  </si>
  <si>
    <t>[4.78, 4.38, nan, nan]</t>
  </si>
  <si>
    <t>[nan, 1.0, nan, nan]</t>
  </si>
  <si>
    <t>[9.0, 15.46, 38.96, 12.55]</t>
  </si>
  <si>
    <t>[6.11, 5.35, 37.01, nan]</t>
  </si>
  <si>
    <t>[25.04, 19.97, 26.75, nan]</t>
  </si>
  <si>
    <t>[11.51, 12.35, 109.57, nan]</t>
  </si>
  <si>
    <t>[9.78, 7.04, 7.63, nan]</t>
  </si>
  <si>
    <t>[3.99, 3.42, 2.6, nan]</t>
  </si>
  <si>
    <t>[10.87, 7.35, nan, nan]</t>
  </si>
  <si>
    <t>[11.58, nan, 15.54, nan]</t>
  </si>
  <si>
    <t>[15.04, 10.86, 10.64, nan]</t>
  </si>
  <si>
    <t>[nan, 7.82, 3.64, nan]</t>
  </si>
  <si>
    <t>[5.48, 7.24, 23.77, nan]</t>
  </si>
  <si>
    <t>[9.9, 147.65, 40.27, nan]</t>
  </si>
  <si>
    <t>[19.25, 8.59, 8.74, nan]</t>
  </si>
  <si>
    <t>[7.87, 12.34, 7.09, nan]</t>
  </si>
  <si>
    <t>[nan, 36.46, 22.67, nan]</t>
  </si>
  <si>
    <t>[8.83, 8.64, 14.01, nan]</t>
  </si>
  <si>
    <t>[71.66, 54.65, nan, nan]</t>
  </si>
  <si>
    <t>[9.34, 15.59, 13.11, nan]</t>
  </si>
  <si>
    <t>[41.37, 39.19, 33.82, nan]</t>
  </si>
  <si>
    <t>[20.6, 4.95, 27.38, nan]</t>
  </si>
  <si>
    <t>[18.31, nan, 8.35, nan]</t>
  </si>
  <si>
    <t>[6.11, 8.27, 11.2, nan]</t>
  </si>
  <si>
    <t>[10.01, 20.57, 17.1, nan]</t>
  </si>
  <si>
    <t>[nan, nan, 48.0, 119.45]</t>
  </si>
  <si>
    <t>[9.26, 5.21, nan, nan]</t>
  </si>
  <si>
    <t>[8.25, 3.93, 2.2, nan]</t>
  </si>
  <si>
    <t>[12.53, 15.25, 19.99, nan]</t>
  </si>
  <si>
    <t>[nan, nan, 11.93, nan]</t>
  </si>
  <si>
    <t>[7.78, nan, nan, nan]</t>
  </si>
  <si>
    <t>[64.15, 71.39, 1.28, nan]</t>
  </si>
  <si>
    <t>[19.6, 5.62, 15.72, nan]</t>
  </si>
  <si>
    <t>[nan, 4.05, 9.99, nan]</t>
  </si>
  <si>
    <t>[8.76, 22.63, 30.42, nan]</t>
  </si>
  <si>
    <t>[nan, nan, 6.82, nan]</t>
  </si>
  <si>
    <t>[nan, 4.87, 6.3, nan]</t>
  </si>
  <si>
    <t>[20.67, 26.64, 17.46, nan]</t>
  </si>
  <si>
    <t>[4.2, 3.51, 3.14, nan]</t>
  </si>
  <si>
    <t>[nan, 3.67, 5.07, nan]</t>
  </si>
  <si>
    <t>[8.43, 10.79, 16.58, nan]</t>
  </si>
  <si>
    <t>[14.66, 2.85, nan, 60.32]</t>
  </si>
  <si>
    <t>[20.52, 152.31, 51.4, nan]</t>
  </si>
  <si>
    <t>[178.17, 36.54, nan, nan]</t>
  </si>
  <si>
    <t>[8.76, 2.06, 13.51, nan]</t>
  </si>
  <si>
    <t>[13.64, 6.24, nan, nan]</t>
  </si>
  <si>
    <t>[6.25, nan, 6.87, nan]</t>
  </si>
  <si>
    <t>[nan, 9.38, 8.22, nan]</t>
  </si>
  <si>
    <t>[nan, 26.69, 16.24, nan]</t>
  </si>
  <si>
    <t>[9.49, 10.13, 68.41, nan]</t>
  </si>
  <si>
    <t>[6.5, 6.97, 8.79, nan]</t>
  </si>
  <si>
    <t>[11.74, 10.58, 7.63, nan]</t>
  </si>
  <si>
    <t>[23.69, 29.74, 21.64, nan]</t>
  </si>
  <si>
    <t>[5.52, 4.45, nan, nan]</t>
  </si>
  <si>
    <t>[8.75, 7.41, 4.0, nan]</t>
  </si>
  <si>
    <t>[nan, nan, 25.58, nan]</t>
  </si>
  <si>
    <t>[16.38, 8.56, 8.77, 9.99]</t>
  </si>
  <si>
    <t>[nan, nan, 9.05, nan]</t>
  </si>
  <si>
    <t>[12.66, 5.38, 7.39, 11.85]</t>
  </si>
  <si>
    <t>[13.12, 3.99, 6.0, nan]</t>
  </si>
  <si>
    <t>[5.41, 3.66, 9.56, nan]</t>
  </si>
  <si>
    <t>[12.63, 9.43, 7.63, nan]</t>
  </si>
  <si>
    <t>[295.57, nan, nan, nan]</t>
  </si>
  <si>
    <t>[7.16, 7.17, 6.27, nan]</t>
  </si>
  <si>
    <t>[6.67, 5.18, 5.84, nan]</t>
  </si>
  <si>
    <t>[nan, 5.99, nan, nan]</t>
  </si>
  <si>
    <t>[22.04, 6.96, nan, nan]</t>
  </si>
  <si>
    <t>[7.23, 84.96, 6.26, nan]</t>
  </si>
  <si>
    <t>[69.77, nan, nan, nan]</t>
  </si>
  <si>
    <t>[14.24, 6.58, 9.69, nan]</t>
  </si>
  <si>
    <t>[19.39, 127.68, nan, nan]</t>
  </si>
  <si>
    <t>[7.17, 2156.74, 170.5, nan]</t>
  </si>
  <si>
    <t>[18.36, 7.36, 7.99, nan]</t>
  </si>
  <si>
    <t>[9.85, 9.82, 7.11, nan]</t>
  </si>
  <si>
    <t>[11.26, 10.53, 5.49, nan]</t>
  </si>
  <si>
    <t>[25.43, 6.0, 27.2, nan]</t>
  </si>
  <si>
    <t>[nan, 7.96, nan, nan]</t>
  </si>
  <si>
    <t>[13.71, nan, nan, nan]</t>
  </si>
  <si>
    <t>[0.64, nan, nan, nan]</t>
  </si>
  <si>
    <t>[11.02, 10.95, 4.66, nan]</t>
  </si>
  <si>
    <t>[23.02, 27.48, 34191.36, nan]</t>
  </si>
  <si>
    <t>[273.9, 118.51, nan, nan]</t>
  </si>
  <si>
    <t>[10.96, 21.58, 12.48, nan]</t>
  </si>
  <si>
    <t>[12.09, 11.04, 49.77, nan]</t>
  </si>
  <si>
    <t>[13.83, 5.05, 22.49, nan]</t>
  </si>
  <si>
    <t>[29.69, nan, 2.37, nan]</t>
  </si>
  <si>
    <t>[nan, nan, 27.52, nan]</t>
  </si>
  <si>
    <t>[11.71, 5.72, 23.41, nan]</t>
  </si>
  <si>
    <t>[16.27, 3.26, 14.74, nan]</t>
  </si>
  <si>
    <t>[3.5, 138.72, nan, nan]</t>
  </si>
  <si>
    <t>[9.9, 9.09, 10.64, nan]</t>
  </si>
  <si>
    <t>[nan, 2.76, 3.71, nan]</t>
  </si>
  <si>
    <t>[4.76, 4.22, 13.3, nan]</t>
  </si>
  <si>
    <t>[4.61, 3.82, 3.04, nan]</t>
  </si>
  <si>
    <t>[40.68, nan, nan, nan]</t>
  </si>
  <si>
    <t>[8.57, 4.22, 14.4, nan]</t>
  </si>
  <si>
    <t>[nan, 5.09, 6.01, nan]</t>
  </si>
  <si>
    <t>[9.89, 8.07, 6.74, nan]</t>
  </si>
  <si>
    <t>[8.37, 7.58, 7.61, nan]</t>
  </si>
  <si>
    <t>[15.59, 20.82, 21.63, nan]</t>
  </si>
  <si>
    <t>[23.76, 22.56, 6.87, nan]</t>
  </si>
  <si>
    <t>[11.7, 9.28, 9.62, nan]</t>
  </si>
  <si>
    <t>[4.49, 2.82, 1.46, nan]</t>
  </si>
  <si>
    <t>[5.36, 5.48, 6.94, nan]</t>
  </si>
  <si>
    <t>[nan, nan, nan, 9.91]</t>
  </si>
  <si>
    <t>[8.2, nan, nan, nan]</t>
  </si>
  <si>
    <t>[4.05, nan, nan, nan]</t>
  </si>
  <si>
    <t>[28.73, 5.92, 14.32, nan]</t>
  </si>
  <si>
    <t>[10.29, 7.24, 8.02, nan]</t>
  </si>
  <si>
    <t>[10.48, nan, nan, nan]</t>
  </si>
  <si>
    <t>[nan, 12.72, 31.23, nan]</t>
  </si>
  <si>
    <t>[10.57, 5.75, 14.3, nan]</t>
  </si>
  <si>
    <t>[nan, nan, 21.7, nan]</t>
  </si>
  <si>
    <t>[22.72, 13.52, 15.12, nan]</t>
  </si>
  <si>
    <t>[12.47, 4.48, 6.39, 5.37]</t>
  </si>
  <si>
    <t>[nan, nan, 8.68, nan]</t>
  </si>
  <si>
    <t>[33.0, nan, nan, nan]</t>
  </si>
  <si>
    <t>[11.06, 8.75, 6.22, 14.8]</t>
  </si>
  <si>
    <t>[31.17, 6.22, 18.88, nan]</t>
  </si>
  <si>
    <t>[19.35, nan, 1816.46, nan]</t>
  </si>
  <si>
    <t>[6.23, 6.43, 9.52, 9.46]</t>
  </si>
  <si>
    <t>[12.35, 6.31, 10.56, nan]</t>
  </si>
  <si>
    <t>[4.39, 20.61, 19.56, nan]</t>
  </si>
  <si>
    <t>[9.5, 10.34, 13.65, nan]</t>
  </si>
  <si>
    <t>[11.47, 13.31, 47.94, nan]</t>
  </si>
  <si>
    <t>[12.77, 14.19, 12.67, nan]</t>
  </si>
  <si>
    <t>[28.65, 22.14, 24.98, nan]</t>
  </si>
  <si>
    <t>[5.4, nan, 1.64, nan]</t>
  </si>
  <si>
    <t>[nan, 11.79, nan, nan]</t>
  </si>
  <si>
    <t>[15.56, 9.24, 6.05, nan]</t>
  </si>
  <si>
    <t>[nan, nan, 25.67, nan]</t>
  </si>
  <si>
    <t>[20.99, 17.25, 14.97, 23.19]</t>
  </si>
  <si>
    <t>[6.15, 4.03, 33.25, nan]</t>
  </si>
  <si>
    <t>[47.83, 60.66, 314.95, nan]</t>
  </si>
  <si>
    <t>[5.59, 6.95, 19.75, nan]</t>
  </si>
  <si>
    <t>[17.63, 34.04, nan, nan]</t>
  </si>
  <si>
    <t>[8.48, 3.57, 12.71, nan]</t>
  </si>
  <si>
    <t>[9.11, 6.69, 16.21, nan]</t>
  </si>
  <si>
    <t>[4.42, 4.41, 4.64, nan]</t>
  </si>
  <si>
    <t>[12.77, 13.32, 171.77, nan]</t>
  </si>
  <si>
    <t>[267.82, 5.64, 6.44, nan]</t>
  </si>
  <si>
    <t>[7.3, 7.13, 12.7, nan]</t>
  </si>
  <si>
    <t>[nan, 5.18, 11.14, nan]</t>
  </si>
  <si>
    <t>[14.97, 22.53, 4.24, 116.56]</t>
  </si>
  <si>
    <t>[23.86, 34.87, 3.01, nan]</t>
  </si>
  <si>
    <t>[11.41, 4.89, 18.81, nan]</t>
  </si>
  <si>
    <t>[295.07, nan, nan, nan]</t>
  </si>
  <si>
    <t>[34.77, nan, 20.05, nan]</t>
  </si>
  <si>
    <t>[6.04, 6.0, 3.97, nan]</t>
  </si>
  <si>
    <t>[22.36, 8.44, 15.46, nan]</t>
  </si>
  <si>
    <t>[5.61, 5.34, 35.03, nan]</t>
  </si>
  <si>
    <t>[6.96, 7.08, 34.91, nan]</t>
  </si>
  <si>
    <t>[23.43, nan, nan, nan]</t>
  </si>
  <si>
    <t>[7.83, 5.88, 3.62, nan]</t>
  </si>
  <si>
    <t>[nan, 9.82, 8.11, nan]</t>
  </si>
  <si>
    <t>[40.81, 4.02, 3.84, 7.13]</t>
  </si>
  <si>
    <t>[10.82, 12.6, 10.38, nan]</t>
  </si>
  <si>
    <t>[17.29, 14.76, 20.13, nan]</t>
  </si>
  <si>
    <t>[12.54, 5.44, 7.47, nan]</t>
  </si>
  <si>
    <t>[9.8, nan, 15.13, nan]</t>
  </si>
  <si>
    <t>[18.46, 14.88, 5.34, nan]</t>
  </si>
  <si>
    <t>[12.07, nan, nan, nan]</t>
  </si>
  <si>
    <t>[4.49, 2.98, 4.38, nan]</t>
  </si>
  <si>
    <t>[21.05, 19.89, 23.63, nan]</t>
  </si>
  <si>
    <t>[13.79, 7.79, 5.62, nan]</t>
  </si>
  <si>
    <t>[11.57, nan, 17.05, nan]</t>
  </si>
  <si>
    <t>[nan, nan, 6.08, nan]</t>
  </si>
  <si>
    <t>[nan, 2.16, 9.08, nan]</t>
  </si>
  <si>
    <t>[10.35, 6.4, nan, nan]</t>
  </si>
  <si>
    <t>[15.08, 24.27, 12.96, nan]</t>
  </si>
  <si>
    <t>[nan, 14.0, 12.14, nan]</t>
  </si>
  <si>
    <t>[12.65, 8.04, 81.74, nan]</t>
  </si>
  <si>
    <t>[nan, nan, 17.88, nan]</t>
  </si>
  <si>
    <t>[53.49, nan, nan, nan]</t>
  </si>
  <si>
    <t>[6.8, 21.42, 7.53, 12.36]</t>
  </si>
  <si>
    <t>[8.07, 6.68, nan, nan]</t>
  </si>
  <si>
    <t>[19.04, 18.14, nan, 14.55]</t>
  </si>
  <si>
    <t>[55.84, nan, 3.86, nan]</t>
  </si>
  <si>
    <t>[13.11, 11.94, 12.65, 14.93]</t>
  </si>
  <si>
    <t>[12.14, 6.41, 4.82, 9.68]</t>
  </si>
  <si>
    <t>[14.31, nan, 47.3, 12.01]</t>
  </si>
  <si>
    <t>[13.02, 19.4, 20.28, 17.67]</t>
  </si>
  <si>
    <t>[23.7, 34.4, 20.77, nan]</t>
  </si>
  <si>
    <t>[8.9, 6.71, 8.59, nan]</t>
  </si>
  <si>
    <t>[6.66, 9.81, 14.43, 6.95]</t>
  </si>
  <si>
    <t>[11.1, 19.12, 6.06, nan]</t>
  </si>
  <si>
    <t>[8.82, 10.58, 169.79, nan]</t>
  </si>
  <si>
    <t>[14.8, 39.89, 13.48, nan]</t>
  </si>
  <si>
    <t>[9.74, 8.27, 10.33, nan]</t>
  </si>
  <si>
    <t>[8.14, 24.13, 9.03, nan]</t>
  </si>
  <si>
    <t>[6.87, 6.15, 5.84, nan]</t>
  </si>
  <si>
    <t>[11.17, 16.0, 14.13, 6.85]</t>
  </si>
  <si>
    <t>[13.89, 5.73, 4.46, nan]</t>
  </si>
  <si>
    <t>[42.95, 37.39, 47.33, nan]</t>
  </si>
  <si>
    <t>[5.22, 3.88, nan, nan]</t>
  </si>
  <si>
    <t>[18.77, 4.93, 6.92, 9.29]</t>
  </si>
  <si>
    <t>[17.48, nan, 20.41, 2.66]</t>
  </si>
  <si>
    <t>[303.15, 68.96, 25.2, nan]</t>
  </si>
  <si>
    <t>[35.72, 353.9, 33.37, nan]</t>
  </si>
  <si>
    <t>[7.0, 9.0, 37.44, nan]</t>
  </si>
  <si>
    <t>[98.59, 8.22, 9.09, nan]</t>
  </si>
  <si>
    <t>[7.38, 24.38, 7.78, nan]</t>
  </si>
  <si>
    <t>[25.98, nan, 42.1, nan]</t>
  </si>
  <si>
    <t>[16.85, 12.57, 7.3, 5.06]</t>
  </si>
  <si>
    <t>[25.68, 45.44, 9.62, nan]</t>
  </si>
  <si>
    <t>[10.39, 12.53, 11.24, 16.47]</t>
  </si>
  <si>
    <t>[7.87, 10.52, 11.56, 31.05]</t>
  </si>
  <si>
    <t>[13.81, 24.59, nan, nan]</t>
  </si>
  <si>
    <t>[18.63, 13.35, 10.92, nan]</t>
  </si>
  <si>
    <t>[7.59, 6.36, 9.85, nan]</t>
  </si>
  <si>
    <t>[11.92, 10.86, 8.02, 5.95]</t>
  </si>
  <si>
    <t>[5.33, 5.46, 6.49, nan]</t>
  </si>
  <si>
    <t>[694.4, 10.78, 6.86, nan]</t>
  </si>
  <si>
    <t>[29.21, 149.52, nan, nan]</t>
  </si>
  <si>
    <t>[nan, 64.55, 2.41, nan]</t>
  </si>
  <si>
    <t>[9.64, 7.38, 23.34, nan]</t>
  </si>
  <si>
    <t>[5.95, 15.27, 5.6, nan]</t>
  </si>
  <si>
    <t>[4.52, 5.6, 6.53, nan]</t>
  </si>
  <si>
    <t>[11.08, 11.99, nan, nan]</t>
  </si>
  <si>
    <t>[17.58, 19.56, 13.28, 9.46]</t>
  </si>
  <si>
    <t>[nan, nan, 1.42, nan]</t>
  </si>
  <si>
    <t>[6.77, 9.88, 16.74, 4.64]</t>
  </si>
  <si>
    <t>[7.86, 3.91, 60.76, 18.92]</t>
  </si>
  <si>
    <t>[6.14, 30.18, nan, nan]</t>
  </si>
  <si>
    <t>[12.37, nan, nan, 26.61]</t>
  </si>
  <si>
    <t>[5.62, 6.01, 10.74, 38.32]</t>
  </si>
  <si>
    <t>[21.35, 10.02, 5.31, nan]</t>
  </si>
  <si>
    <t>[67.63, 64.56, 1.59, nan]</t>
  </si>
  <si>
    <t>[11.97, 12.41, 7.79, nan]</t>
  </si>
  <si>
    <t>[12.35, 37.07, 14.96, nan]</t>
  </si>
  <si>
    <t>[18.75, 5.01, 6.89, nan]</t>
  </si>
  <si>
    <t>[18.69, 10.04, 31.9, nan]</t>
  </si>
  <si>
    <t>[25.37, 21.23, nan, nan]</t>
  </si>
  <si>
    <t>[13.15, 9.47, 15.81, nan]</t>
  </si>
  <si>
    <t>[8.99, 10.34, 10.14, nan]</t>
  </si>
  <si>
    <t>[24.07, 28.62, 56.89, nan]</t>
  </si>
  <si>
    <t>[8.81, 8.33, 8.03, nan]</t>
  </si>
  <si>
    <t>[8.68, nan, 31.29, nan]</t>
  </si>
  <si>
    <t>[8.55, 33.05, 8.95, nan]</t>
  </si>
  <si>
    <t>[22.73, 6.52, 13.23, nan]</t>
  </si>
  <si>
    <t>[8.61, 11.99, 11.56, nan]</t>
  </si>
  <si>
    <t>[20.99, 20.88, 13.44, 10.82]</t>
  </si>
  <si>
    <t>[5.11, 14.55, 1.52, nan]</t>
  </si>
  <si>
    <t>[4.36, 10.53, 155.66, nan]</t>
  </si>
  <si>
    <t>[7.81, 7.0, nan, nan]</t>
  </si>
  <si>
    <t>[5.5, 8.65, nan, nan]</t>
  </si>
  <si>
    <t>[5.15, 11.52, 5.4, nan]</t>
  </si>
  <si>
    <t>[14.23, 23.43, 12.95, nan]</t>
  </si>
  <si>
    <t>[3.95, 8.34, 7.48, nan]</t>
  </si>
  <si>
    <t>[5.93, nan, nan, nan]</t>
  </si>
  <si>
    <t>[12.77, 22.94, 6.6, 4.98]</t>
  </si>
  <si>
    <t>[7.66, 18.86, 12.46, 4.98]</t>
  </si>
  <si>
    <t>[6.68, 6.6, 12.02, 8.12]</t>
  </si>
  <si>
    <t>[10.96, 12.89, nan, nan]</t>
  </si>
  <si>
    <t>[12.43, 8.73, 8.0, 9.27]</t>
  </si>
  <si>
    <t>[12.61, 10.77, 8.7, nan]</t>
  </si>
  <si>
    <t>[30.5, 75.47, 44.4, nan]</t>
  </si>
  <si>
    <t>[5.81, 5.18, 4.15, nan]</t>
  </si>
  <si>
    <t>[8.18, 7.11, 4.8, 5.27]</t>
  </si>
  <si>
    <t>[6.76, 10.46, 6.75, 4.46]</t>
  </si>
  <si>
    <t>[13.61, 9.36, 12.98, nan]</t>
  </si>
  <si>
    <t>[7.65, 6.19, 3.3, nan]</t>
  </si>
  <si>
    <t>[23.91, 37.98, 25.72, nan]</t>
  </si>
  <si>
    <t>[16.57, 11.3, 11.39, 9.13]</t>
  </si>
  <si>
    <t>[7.75, 5.42, 26.08, nan]</t>
  </si>
  <si>
    <t>[3.82, 3.39, nan, nan]</t>
  </si>
  <si>
    <t>[10.87, nan, 10.21, nan]</t>
  </si>
  <si>
    <t>[8.19, 7.22, 7.72, nan]</t>
  </si>
  <si>
    <t>[5.74, 11.9, 22.13, nan]</t>
  </si>
  <si>
    <t>[6.86, 70.23, 6.69, nan]</t>
  </si>
  <si>
    <t>[12.15, 11.33, 9.31, 10.44]</t>
  </si>
  <si>
    <t>[nan, 12.08, 13.2, nan]</t>
  </si>
  <si>
    <t>[37.78, 7.72, 4.03, nan]</t>
  </si>
  <si>
    <t>[37.68, 11.78, 19.77, 21.19]</t>
  </si>
  <si>
    <t>[23.75, 18.37, 20.61, 13.15]</t>
  </si>
  <si>
    <t>[5.09, 5.05, 5.84, nan]</t>
  </si>
  <si>
    <t>[9.77, 9.22, 8.04, 20.79]</t>
  </si>
  <si>
    <t>[20.38, 21.36, 12.17, 17.59]</t>
  </si>
  <si>
    <t>[31.08, 156.96, 1.46, nan]</t>
  </si>
  <si>
    <t>[6.03, 13.22, 8.82, nan]</t>
  </si>
  <si>
    <t>[10.5, 4.21, 9.05, nan]</t>
  </si>
  <si>
    <t>[68.28, 747.91, 17.74, nan]</t>
  </si>
  <si>
    <t>[5.09, nan, 36.82, 26.41]</t>
  </si>
  <si>
    <t>[168.02, nan, nan, nan]</t>
  </si>
  <si>
    <t>[nan, nan, 6.49, nan]</t>
  </si>
  <si>
    <t>[13.06, 6.94, 9.95, nan]</t>
  </si>
  <si>
    <t>[7.14, 6.2, 7.22, nan]</t>
  </si>
  <si>
    <t>[5.42, 6.95, 56.65, nan]</t>
  </si>
  <si>
    <t>[7.54, 7.66, 4.6, nan]</t>
  </si>
  <si>
    <t>[20.46, 37.01, 37.64, nan]</t>
  </si>
  <si>
    <t>[934.72, 40.12, 37.89, nan]</t>
  </si>
  <si>
    <t>[27.58, 4.57, 12.4, nan]</t>
  </si>
  <si>
    <t>[13.58, 1.77, 13.23, nan]</t>
  </si>
  <si>
    <t>[23.68, 99.9, 43.33, nan]</t>
  </si>
  <si>
    <t>[79.31, 11.17, 7.36, nan]</t>
  </si>
  <si>
    <t>[123.09, 274.54, 13.33, nan]</t>
  </si>
  <si>
    <t>[26.6, 20.18, 24.19, nan]</t>
  </si>
  <si>
    <t>[7.21, 5.27, 4.93, 5.11]</t>
  </si>
  <si>
    <t>[14.03, 11.82, 9.83, 18.85]</t>
  </si>
  <si>
    <t>[55.46, 17.85, 36.08, nan]</t>
  </si>
  <si>
    <t>[7.67, 6.39, 5.5, nan]</t>
  </si>
  <si>
    <t>[4.45, 4.25, 3.98, nan]</t>
  </si>
  <si>
    <t>[4.95, 12.07, 7.53, nan]</t>
  </si>
  <si>
    <t>[8.92, 5.9, 7.9, nan]</t>
  </si>
  <si>
    <t>[7.05, 2.94, 7.5, nan]</t>
  </si>
  <si>
    <t>[nan, nan, 15.68, nan]</t>
  </si>
  <si>
    <t>[27.69, 137.43, 41.18, nan]</t>
  </si>
  <si>
    <t>[17.67, 11.94, 754.05, nan]</t>
  </si>
  <si>
    <t>[2.95, 2.18, 2.53, nan]</t>
  </si>
  <si>
    <t>[7.85, 7.05, 8.37, nan]</t>
  </si>
  <si>
    <t>[nan, nan, 133.14, nan]</t>
  </si>
  <si>
    <t>[5.98, 7.1, nan, nan]</t>
  </si>
  <si>
    <t>[22.04, 9.72, 9.81, nan]</t>
  </si>
  <si>
    <t>[12.61, 12.9, 24.19, nan]</t>
  </si>
  <si>
    <t>[15.05, 14.66, 5.83, nan]</t>
  </si>
  <si>
    <t>[3.59, nan, 35.65, 7.4]</t>
  </si>
  <si>
    <t>[2.16, 3.14, 9.52, nan]</t>
  </si>
  <si>
    <t>[35.92, 31.95, 20.21, nan]</t>
  </si>
  <si>
    <t>[9.63, 4.6, 5.1, nan]</t>
  </si>
  <si>
    <t>[15.34, 7.38, 9.66, nan]</t>
  </si>
  <si>
    <t>[15.11, 18.15, 31.62, nan]</t>
  </si>
  <si>
    <t>[6.48, 6.12, 5.25, 4.0]</t>
  </si>
  <si>
    <t>[42.75, nan, 9.67, nan]</t>
  </si>
  <si>
    <t>[7.55, 8.58, 25.68, nan]</t>
  </si>
  <si>
    <t>[7.99, 3.88, 7.18, 11.84]</t>
  </si>
  <si>
    <t>[13.51, 11.31, 8.77, nan]</t>
  </si>
  <si>
    <t>[7.57, nan, 4.93, 2.65]</t>
  </si>
  <si>
    <t>[22.22, 18.78, 13.02, nan]</t>
  </si>
  <si>
    <t>[5.51, 5.78, 14.67, nan]</t>
  </si>
  <si>
    <t>[7.57, 5.4, 5.11, nan]</t>
  </si>
  <si>
    <t>[9.31, 1.67, 20.31, nan]</t>
  </si>
  <si>
    <t>[4.62, 6.95, 6.21, 38.45]</t>
  </si>
  <si>
    <t>[7.45, 3.17, 5.28, nan]</t>
  </si>
  <si>
    <t>[9.85, 6.96, 6.64, nan]</t>
  </si>
  <si>
    <t>[10.56, 9.52, 8.8, 8.99]</t>
  </si>
  <si>
    <t>[5.37, 3.67, 2.62, nan]</t>
  </si>
  <si>
    <t>[487.62, 40.05, 102.96, nan]</t>
  </si>
  <si>
    <t>[17.62, 10.17, 28.64, nan]</t>
  </si>
  <si>
    <t>[nan, 22.3, 18.93, nan]</t>
  </si>
  <si>
    <t>[231.73, nan, nan, nan]</t>
  </si>
  <si>
    <t>[88.85, 25.13, nan, nan]</t>
  </si>
  <si>
    <t>[31.38, 74.96, 19.27, nan]</t>
  </si>
  <si>
    <t>[16.1, 14.66, 14.53, nan]</t>
  </si>
  <si>
    <t>[2.21, 2.06, 3.05, 5.13]</t>
  </si>
  <si>
    <t>[nan, 31.98, 7.29, nan]</t>
  </si>
  <si>
    <t>[66.98, 28.1, 13.67, nan]</t>
  </si>
  <si>
    <t>[18.82, 13.91, 7.79, 6.77]</t>
  </si>
  <si>
    <t>[4.68, 16.64, 9.82, nan]</t>
  </si>
  <si>
    <t>[14.23, 12.44, 3.46, nan]</t>
  </si>
  <si>
    <t>[1.02, nan, nan, nan]</t>
  </si>
  <si>
    <t>[nan, 6.69, 9.2, nan]</t>
  </si>
  <si>
    <t>[11.17, 11.52, 11.06, nan]</t>
  </si>
  <si>
    <t>[15.48, 5.61, 4.98, nan]</t>
  </si>
  <si>
    <t>[10.78, 6.99, 10.95, nan]</t>
  </si>
  <si>
    <t>[8.29, 6.96, 21.59, 13.97]</t>
  </si>
  <si>
    <t>[19.09, 16.38, 9.26, nan]</t>
  </si>
  <si>
    <t>[9.11, 10.19, nan, nan]</t>
  </si>
  <si>
    <t>[9.5, 7.5, 9.44, 6.9]</t>
  </si>
  <si>
    <t>[1.81, 6.62, 2.96, nan]</t>
  </si>
  <si>
    <t>[49.42, 178.04, nan, 10.85]</t>
  </si>
  <si>
    <t>[1.86, 10.61, nan, 10.61]</t>
  </si>
  <si>
    <t>[8.37, 10.82, 4.92, 3.7]</t>
  </si>
  <si>
    <t>[10.66, 13.8, 13.13, nan]</t>
  </si>
  <si>
    <t>[nan, nan, 13.63, nan]</t>
  </si>
  <si>
    <t>[11.97, 8.18, 25.91, 131.96]</t>
  </si>
  <si>
    <t>[8.3, 11.81, 13.65, nan]</t>
  </si>
  <si>
    <t>[nan, 43.53, 12.33, nan]</t>
  </si>
  <si>
    <t>[4.62, 4.9, nan, nan]</t>
  </si>
  <si>
    <t>[8.96, 9.88, 24.08, nan]</t>
  </si>
  <si>
    <t>[16.2, 10.55, 5.4, nan]</t>
  </si>
  <si>
    <t>[9.96, nan, 17.58, nan]</t>
  </si>
  <si>
    <t>[8.48, nan, nan, nan]</t>
  </si>
  <si>
    <t>[5.55, 1.01, 2.57, nan]</t>
  </si>
  <si>
    <t>[5.19, 15.06, 10.45, nan]</t>
  </si>
  <si>
    <t>[10.11, 6.46, nan, 12.16]</t>
  </si>
  <si>
    <t>[36.75, nan, 36.16, nan]</t>
  </si>
  <si>
    <t>[nan, 11.76, 12.3, nan]</t>
  </si>
  <si>
    <t>[nan, 28.95, 8.16, nan]</t>
  </si>
  <si>
    <t>[nan, nan, 11.08, nan]</t>
  </si>
  <si>
    <t>[5.9, 3.69, 3.68, 4.04]</t>
  </si>
  <si>
    <t>[13.08, 18.67, nan, nan]</t>
  </si>
  <si>
    <t>[11.66, 18.03, 10.11, nan]</t>
  </si>
  <si>
    <t>[6.99, 16.13, 12.13, nan]</t>
  </si>
  <si>
    <t>[nan, 8.54, 2.53, 5.98]</t>
  </si>
  <si>
    <t>[12.13, 9.52, 11.58, nan]</t>
  </si>
  <si>
    <t>[0.99, nan, nan, nan]</t>
  </si>
  <si>
    <t>[43.98, nan, nan, nan]</t>
  </si>
  <si>
    <t>[24.67, 15.66, 21.09, 17.16]</t>
  </si>
  <si>
    <t>[2.96, 3.12, 5.73, 17.54]</t>
  </si>
  <si>
    <t>[5.97, 5.41, 8.98, nan]</t>
  </si>
  <si>
    <t>[11.68, 13.92, 11.44, 12.32]</t>
  </si>
  <si>
    <t>[15.05, 8.38, 9.7, nan]</t>
  </si>
  <si>
    <t>[34.24, nan, nan, nan]</t>
  </si>
  <si>
    <t>[14.98, 10.58, 1.96, nan]</t>
  </si>
  <si>
    <t>[7.08, 11.06, 18.58, nan]</t>
  </si>
  <si>
    <t>[nan, 9.83, nan, nan]</t>
  </si>
  <si>
    <t>[7.62, 4.76, 4.44, 3.78]</t>
  </si>
  <si>
    <t>[5.73, 4.95, 4.7, nan]</t>
  </si>
  <si>
    <t>[nan, 5.97, 5.61, 6.49]</t>
  </si>
  <si>
    <t>[10.9, 9.9, nan, nan]</t>
  </si>
  <si>
    <t>[22.49, 16.69, 15.12, nan]</t>
  </si>
  <si>
    <t>[7.95, nan, nan, nan]</t>
  </si>
  <si>
    <t>[6.57, 25.86, 10.62, nan]</t>
  </si>
  <si>
    <t>[10.83, 7.48, 9.71, nan]</t>
  </si>
  <si>
    <t>[10.85, 15.3, nan, nan]</t>
  </si>
  <si>
    <t>[12.98, 10.32, 12.1, nan]</t>
  </si>
  <si>
    <t>[11.21, 10.65, 7.64, 6.47]</t>
  </si>
  <si>
    <t>[97.82, 240.98, 35.99, nan]</t>
  </si>
  <si>
    <t>[18.31, 12.01, 10.74, 12.82]</t>
  </si>
  <si>
    <t>[40.5, 27.89, 173.62, nan]</t>
  </si>
  <si>
    <t>[5.19, 4.83, 4.8, nan]</t>
  </si>
  <si>
    <t>[32.46, 3.57, 4.37, nan]</t>
  </si>
  <si>
    <t>[41.47, 22.71, 7.15, nan]</t>
  </si>
  <si>
    <t>[13.31, 10.26, 11.75, nan]</t>
  </si>
  <si>
    <t>[7.62, 9.36, 9.81, 5.89]</t>
  </si>
  <si>
    <t>[5.32, 6.06, 5.16, nan]</t>
  </si>
  <si>
    <t>[34.67, 11.51, 9.06, 14.09]</t>
  </si>
  <si>
    <t>[10.24, 8.58, 8.19, nan]</t>
  </si>
  <si>
    <t>[24.33, nan, nan, nan]</t>
  </si>
  <si>
    <t>[28.72, 9.95, 19.25, nan]</t>
  </si>
  <si>
    <t>[nan, nan, 6.34, nan]</t>
  </si>
  <si>
    <t>[5.1, 3.89, 3.16, 3.17]</t>
  </si>
  <si>
    <t>[10.3, 11.15, 7.88, nan]</t>
  </si>
  <si>
    <t>[9.93, 5.11, 18.46, nan]</t>
  </si>
  <si>
    <t>[6.26, 9.48, 7.79, nan]</t>
  </si>
  <si>
    <t>[nan, nan, 110.01, nan]</t>
  </si>
  <si>
    <t>[42.03, 20.2, 23.27, nan]</t>
  </si>
  <si>
    <t>[nan, 6007.43, 14.75, nan]</t>
  </si>
  <si>
    <t>[nan, 29.66, 17.25, nan]</t>
  </si>
  <si>
    <t>[nan, nan, 6.77, nan]</t>
  </si>
  <si>
    <t>[24.89, 38.85, 62.54, nan]</t>
  </si>
  <si>
    <t>[nan, nan, 40.19, nan]</t>
  </si>
  <si>
    <t>[4.52, 11.88, 10.2, nan]</t>
  </si>
  <si>
    <t>[11.75, 8.42, 8.8, 7.66]</t>
  </si>
  <si>
    <t>[20.17, 13.21, 25.67, nan]</t>
  </si>
  <si>
    <t>[12.72, 12.75, 36.69, nan]</t>
  </si>
  <si>
    <t>[8.01, 6.35, 6.01, 5.74]</t>
  </si>
  <si>
    <t>[15.71, 11.76, 6.98, nan]</t>
  </si>
  <si>
    <t>[14.79, 43.52, 23.6, nan]</t>
  </si>
  <si>
    <t>[nan, nan, 10.65, nan]</t>
  </si>
  <si>
    <t>[7.0, 5.55, 6.01, nan]</t>
  </si>
  <si>
    <t>[84.51, nan, nan, 38.31]</t>
  </si>
  <si>
    <t>[21.35, 9.81, 15.24, 12.8]</t>
  </si>
  <si>
    <t>[nan, nan, 18.79, nan]</t>
  </si>
  <si>
    <t>[7.71, 5.4, 7.05, 6.56]</t>
  </si>
  <si>
    <t>[38.34, 3.47, 3.7, nan]</t>
  </si>
  <si>
    <t>[4.96, 3.01, 4.3, nan]</t>
  </si>
  <si>
    <t>[0.2, 14.01, 19.91, 16.27]</t>
  </si>
  <si>
    <t>[12.82, 12.74, 19.15, 12.51]</t>
  </si>
  <si>
    <t>[9.25, 6.35, 47.94, nan]</t>
  </si>
  <si>
    <t>[7.52, 5.21, 6.66, nan]</t>
  </si>
  <si>
    <t>[4.95, 5.06, 4.07, nan]</t>
  </si>
  <si>
    <t>[51.01, 13.49, 12.57, nan]</t>
  </si>
  <si>
    <t>[8.22, 30.24, 31.78, 41.68]</t>
  </si>
  <si>
    <t>[27.87, 13.04, 15.95, nan]</t>
  </si>
  <si>
    <t>[7.47, 8.07, 8.4, nan]</t>
  </si>
  <si>
    <t>[8.52, 20.95, 11.81, nan]</t>
  </si>
  <si>
    <t>[3.62, 2.22, 6.01, nan]</t>
  </si>
  <si>
    <t>[nan, 23.0, 6.95, nan]</t>
  </si>
  <si>
    <t>[8.03, 5.95, 6.19, 5.1]</t>
  </si>
  <si>
    <t>[17.47, 16.27, 16.2, nan]</t>
  </si>
  <si>
    <t>[11.86, 11.59, 13.0, 10.06]</t>
  </si>
  <si>
    <t>[7.27, 11.44, 10.51, nan]</t>
  </si>
  <si>
    <t>[nan, 20.55, nan, nan]</t>
  </si>
  <si>
    <t>[19.31, 0.79, nan, nan]</t>
  </si>
  <si>
    <t>[7.52, 4.3, 5.32, nan]</t>
  </si>
  <si>
    <t>[nan, nan, 28.44, 22.12]</t>
  </si>
  <si>
    <t>[31.03, 5.22, 2.66, nan]</t>
  </si>
  <si>
    <t>[6.4, 11.77, 12.8, 18.46]</t>
  </si>
  <si>
    <t>[5.41, 34.54, 4.25, nan]</t>
  </si>
  <si>
    <t>[14.08, 10.46, 10.5, 8.53]</t>
  </si>
  <si>
    <t>[10.17, 10.35, 9.47, nan]</t>
  </si>
  <si>
    <t>[nan, 17.36, 13.7, nan]</t>
  </si>
  <si>
    <t>[nan, 3.13, 56.74, nan]</t>
  </si>
  <si>
    <t>[nan, 11.05, 12.95, 15.78]</t>
  </si>
  <si>
    <t>[14.33, 6.1, 27.12, 7.28]</t>
  </si>
  <si>
    <t>[14.29, 6.64, 17.35, nan]</t>
  </si>
  <si>
    <t>[7.34, 8.23, 12.55, 23.89]</t>
  </si>
  <si>
    <t>[14.65, 14.65, 9.46, nan]</t>
  </si>
  <si>
    <t>[12.37, 10.78, 4.1, nan]</t>
  </si>
  <si>
    <t>[30.6, 23.44, 5.16, nan]</t>
  </si>
  <si>
    <t>[nan, 22.21, 5.25, 42.49]</t>
  </si>
  <si>
    <t>[3.52, 3.39, 3.17, nan]</t>
  </si>
  <si>
    <t>[15.6, 5.95, 8.81, 8.81]</t>
  </si>
  <si>
    <t>[10.19, 14.34, 8.77, nan]</t>
  </si>
  <si>
    <t>[13.44, 9.26, 11.49, 11.18]</t>
  </si>
  <si>
    <t>[9.48, 12.81, 7.23, nan]</t>
  </si>
  <si>
    <t>[5.23, 2.83, 34.03, 22.85]</t>
  </si>
  <si>
    <t>[13.63, 15.46, 12.42, 10.63]</t>
  </si>
  <si>
    <t>[7.29, 4.68, 4.6, nan]</t>
  </si>
  <si>
    <t>[14.79, 15.47, 12.67, 12.22]</t>
  </si>
  <si>
    <t>[13.99, 7.08, 14.05, nan]</t>
  </si>
  <si>
    <t>[6.94, 7.61, 7.86, 5.93]</t>
  </si>
  <si>
    <t>[9.55, 9.57, 6.6, nan]</t>
  </si>
  <si>
    <t>[13.86, 7.07, 5.79, nan]</t>
  </si>
  <si>
    <t>[7.07, 7.87, 12.58, 11.57]</t>
  </si>
  <si>
    <t>[nan, nan, 13.81, nan]</t>
  </si>
  <si>
    <t>[nan, nan, nan, 7.46]</t>
  </si>
  <si>
    <t>[30.43, 21.85, 19.83, 13.32]</t>
  </si>
  <si>
    <t>[20.84, 15.89, 13.01, 10.91]</t>
  </si>
  <si>
    <t>[18.23, 16.17, 9.29, nan]</t>
  </si>
  <si>
    <t>[25.5, 12.28, 8.25, 8.26]</t>
  </si>
  <si>
    <t>[nan, 5.87, 9.73, nan]</t>
  </si>
  <si>
    <t>[23.34, 16.33, 11.25, nan]</t>
  </si>
  <si>
    <t>[nan, 39.18, 10.46, nan]</t>
  </si>
  <si>
    <t>[nan, 11.4, 12.91, nan]</t>
  </si>
  <si>
    <t>[53.38, 13.63, 5.05, nan]</t>
  </si>
  <si>
    <t>[14.56, 8.32, 6.24, nan]</t>
  </si>
  <si>
    <t>[nan, 7.48, 7.98, 12.12]</t>
  </si>
  <si>
    <t>[nan, nan, 19.71, nan]</t>
  </si>
  <si>
    <t>[12.77, 15.15, 8.01, nan]</t>
  </si>
  <si>
    <t>[19.87, 13.78, 11.5, nan]</t>
  </si>
  <si>
    <t>[nan, 37.28, 31.45, nan]</t>
  </si>
  <si>
    <t>[nan, nan, 8.1, 7.87]</t>
  </si>
  <si>
    <t>[nan, 5.08, 5.98, 7.41]</t>
  </si>
  <si>
    <t>[nan, nan, 8.08, nan]</t>
  </si>
  <si>
    <t>[nan, 54.95, 214.72, nan]</t>
  </si>
  <si>
    <t>[nan, nan, 49.47, nan]</t>
  </si>
  <si>
    <t>[28.51, 9.19, 20.91, nan]</t>
  </si>
  <si>
    <t>[10.38, 5.12, 10.06, nan]</t>
  </si>
  <si>
    <t>[nan, nan, 11.28, 9.8]</t>
  </si>
  <si>
    <t>[20.66, 13.6, 24.63, nan]</t>
  </si>
  <si>
    <t>[21.35, 6.52, 13.61, 13.97]</t>
  </si>
  <si>
    <t>[5.5, 3.86, 15.41, 13.5]</t>
  </si>
  <si>
    <t>[7.5, 3.11, nan, nan]</t>
  </si>
  <si>
    <t>[9.4, 6.42, 17.63, 17.58]</t>
  </si>
  <si>
    <t>[nan, nan, 14.3, 14.74]</t>
  </si>
  <si>
    <t>[4.05, 8.45, 9.33, nan]</t>
  </si>
  <si>
    <t>[9.33, 3.86, 10.13, nan]</t>
  </si>
  <si>
    <t>[nan, 6.52, 5.57, nan]</t>
  </si>
  <si>
    <t>[18.41, 6.28, 12.67, 11.11]</t>
  </si>
  <si>
    <t>[22.94, 18.58, 40.28, 21.69]</t>
  </si>
  <si>
    <t>[nan, 8.46, 7.88, 9.35]</t>
  </si>
  <si>
    <t>[9.34, 3.76, 30.76, 5.99]</t>
  </si>
  <si>
    <t>[15.11, 4.61, 7.02, 9.44]</t>
  </si>
  <si>
    <t>[38.91, 7.04, 4.12, nan]</t>
  </si>
  <si>
    <t>[260.15, nan, 5.95, nan]</t>
  </si>
  <si>
    <t>[nan, nan, 8.45, nan]</t>
  </si>
  <si>
    <t>[43.96, 11.42, 14.72, 14.46]</t>
  </si>
  <si>
    <t>[15.85, 22.78, 12.14, 13.28]</t>
  </si>
  <si>
    <t>[13.72, 7.41, 10.42, 17.4]</t>
  </si>
  <si>
    <t>[10.94, 13.05, 13.06, nan]</t>
  </si>
  <si>
    <t>[nan, 31.21, 7.97, nan]</t>
  </si>
  <si>
    <t>[13.56, 30.37, 16.08, nan]</t>
  </si>
  <si>
    <t>[nan, 19.74, 17.97, 42.18]</t>
  </si>
  <si>
    <t>[11.15, 8.57, 9.93, 8.82]</t>
  </si>
  <si>
    <t>[16.86, 6.37, 13.45, nan]</t>
  </si>
  <si>
    <t>[16.6, 11.96, 14.26, nan]</t>
  </si>
  <si>
    <t>[11.95, 11.15, 7.87, nan]</t>
  </si>
  <si>
    <t>[17.09, 14.61, 3.92, nan]</t>
  </si>
  <si>
    <t>[23.68, 7.77, 7.09, 15.26]</t>
  </si>
  <si>
    <t>[8.63, 5.65, 15.65, 16.12]</t>
  </si>
  <si>
    <t>[nan, 5.77, 7.46, 21.44]</t>
  </si>
  <si>
    <t>[8.17, 4.42, 7.56, 9.1]</t>
  </si>
  <si>
    <t>[28.84, 8.95, 18.34, 24.4]</t>
  </si>
  <si>
    <t>[11.19, 4.24, 11.88, 43.49]</t>
  </si>
  <si>
    <t>[nan, nan, 19.32, nan]</t>
  </si>
  <si>
    <t>[nan, nan, 11.47, nan]</t>
  </si>
  <si>
    <t>[26.56, 13.14, 14.16, 12.72]</t>
  </si>
  <si>
    <t>[28.4, 15.1, 15.84, 16.69]</t>
  </si>
  <si>
    <t>[34.51, 20.4, 14.25, nan]</t>
  </si>
  <si>
    <t>[8.77, 9.43, 12.29, 12.83]</t>
  </si>
  <si>
    <t>[4.85, 5.56, 11.74, 8.1]</t>
  </si>
  <si>
    <t>[9.46, 5.88, 22.26, 13.7]</t>
  </si>
  <si>
    <t>[nan, nan, 21.02, nan]</t>
  </si>
  <si>
    <t>[22.19, 19.14, 17.63, 12.68]</t>
  </si>
  <si>
    <t>[8.51, 17.08, 113.98, nan]</t>
  </si>
  <si>
    <t>[18.93, 14.5, 10.84, nan]</t>
  </si>
  <si>
    <t>[nan, nan, 17.74, 96.67]</t>
  </si>
  <si>
    <t>[nan, 19.17, 25.19, 21.4]</t>
  </si>
  <si>
    <t>[15.62, 7.12, 15.17, nan]</t>
  </si>
  <si>
    <t>[15.95, 15.06, 11.03, nan]</t>
  </si>
  <si>
    <t>[24.35, 9.81, 10.71, nan]</t>
  </si>
  <si>
    <t>[7.49, 11.06, 10.68, 12.5]</t>
  </si>
  <si>
    <t>[nan, nan, 12.85, nan]</t>
  </si>
  <si>
    <t>[8.06, 10.09, 5.56, 6.58]</t>
  </si>
  <si>
    <t>[4.07, 9.49, 23.56, nan]</t>
  </si>
  <si>
    <t>[nan, nan, 10.71, nan]</t>
  </si>
  <si>
    <t>[17.42, 14.22, 13.97, 13.79]</t>
  </si>
  <si>
    <t>[14.74, 25.27, 18.58, nan]</t>
  </si>
  <si>
    <t>[7.01, 14.29, 100.45, nan]</t>
  </si>
  <si>
    <t>[nan, 6.8, 29.75, nan]</t>
  </si>
  <si>
    <t>[nan, nan, nan, 7.32]</t>
  </si>
  <si>
    <t>[nan, nan, 232.69, nan]</t>
  </si>
  <si>
    <t>[15.93, nan, nan, nan]</t>
  </si>
  <si>
    <t>[nan, 94.36, 13.55, nan]</t>
  </si>
  <si>
    <t>[36.54, nan, nan, nan]</t>
  </si>
  <si>
    <t>[35.25, 135.07, 42.91, nan]</t>
  </si>
  <si>
    <t>[nan, nan, 10.39, nan]</t>
  </si>
  <si>
    <t>[54.06, 22.2, 16.45, 2037.28]</t>
  </si>
  <si>
    <t>[18.23, 11.68, 18.92, 12.22]</t>
  </si>
  <si>
    <t>[184.13, 17.07, 9.98, nan]</t>
  </si>
  <si>
    <t>[802.8, nan, nan, nan]</t>
  </si>
  <si>
    <t>[27.29, 31.66, 84.46, nan]</t>
  </si>
  <si>
    <t>[174.42, 38.43, nan, nan]</t>
  </si>
  <si>
    <t>[20.16, 17.12, 9.7, nan]</t>
  </si>
  <si>
    <t>[nan, nan, 11.1, nan]</t>
  </si>
  <si>
    <t>[nan, 10.25, 9.07, nan]</t>
  </si>
  <si>
    <t>[nan, nan, 19.13, 30.86]</t>
  </si>
  <si>
    <t>[15.1, nan, nan, nan]</t>
  </si>
  <si>
    <t>[84.82, 22.19, 19.88, nan]</t>
  </si>
  <si>
    <t>[11.67, 20.9, 43.76, nan]</t>
  </si>
  <si>
    <t>[41.95, nan, 332.97, nan]</t>
  </si>
  <si>
    <t>[4.26, nan, nan, nan]</t>
  </si>
  <si>
    <t>[27.23, 27.16, 25.42, 24.14]</t>
  </si>
  <si>
    <t>[17.9, 49.25, nan, nan]</t>
  </si>
  <si>
    <t>[22.7, nan, nan, nan]</t>
  </si>
  <si>
    <t>[nan, 17.3, 11.09, nan]</t>
  </si>
  <si>
    <t>[41.55, 190.75, nan, nan]</t>
  </si>
  <si>
    <t>[11.6, 62.5, 269.67, nan]</t>
  </si>
  <si>
    <t>[nan, nan, 14.09, nan]</t>
  </si>
  <si>
    <t>[nan, nan, 8.75, nan]</t>
  </si>
  <si>
    <t>[nan, nan, 192.84, nan]</t>
  </si>
  <si>
    <t>[12.08, 119.43, 7.08, nan]</t>
  </si>
  <si>
    <t>[30.98, 52.16, nan, 95.35]</t>
  </si>
  <si>
    <t>[nan, 183.89, nan, 235.2]</t>
  </si>
  <si>
    <t>[85.87, nan, 64.58, nan]</t>
  </si>
  <si>
    <t>[nan, nan, 54.02, nan]</t>
  </si>
  <si>
    <t>[33.03, 20.34, 34.26, nan]</t>
  </si>
  <si>
    <t>[83.53, 60.22, nan, 9.76]</t>
  </si>
  <si>
    <t>[24.37, 17.16, 12.32, nan]</t>
  </si>
  <si>
    <t>[nan, 51.31, 10.72, 33.12]</t>
  </si>
  <si>
    <t>[19.58, 9.77, 55.29, nan]</t>
  </si>
  <si>
    <t>[nan, 134.67, 114.15, nan]</t>
  </si>
  <si>
    <t>[14.24, 20.8, 23.04, 17.6]</t>
  </si>
  <si>
    <t>[7.89, 10.9, 16.85, nan]</t>
  </si>
  <si>
    <t>[4.06, 18.58, nan, nan]</t>
  </si>
  <si>
    <t>[14.45, 11.88, 21.49, nan]</t>
  </si>
  <si>
    <t>[31.46, 28.15, 16.68, 18.68]</t>
  </si>
  <si>
    <t>[21.97, 14.58, 15.47, nan]</t>
  </si>
  <si>
    <t>[45.5, nan, nan, nan]</t>
  </si>
  <si>
    <t>[31.3, 5.4, nan, nan]</t>
  </si>
  <si>
    <t>[6.64, 9.03, 10.32, nan]</t>
  </si>
  <si>
    <t>[18.56, 7.96, nan, nan]</t>
  </si>
  <si>
    <t>[42.04, 16.12, 16.33, 14.91]</t>
  </si>
  <si>
    <t>[65.74, 98.5, 557.3, nan]</t>
  </si>
  <si>
    <t>[nan, nan, 24329.85, nan]</t>
  </si>
  <si>
    <t>[nan, nan, 149.15, nan]</t>
  </si>
  <si>
    <t>[28.86, 23.8, 41.78, 49.21]</t>
  </si>
  <si>
    <t>[nan, 8.92, 9.26, nan]</t>
  </si>
  <si>
    <t>[nan, nan, 417.49, nan]</t>
  </si>
  <si>
    <t>[147.03, 30.14, 69.47, nan]</t>
  </si>
  <si>
    <t>[60.89, 14.52, 18.48, nan]</t>
  </si>
  <si>
    <t>[nan, 134.22, 51.35, nan]</t>
  </si>
  <si>
    <t>[36.82, 18.45, 29.59, nan]</t>
  </si>
  <si>
    <t>[22.44, 31.24, nan, 47.97]</t>
  </si>
  <si>
    <t>[21.0, 29.14, nan, nan]</t>
  </si>
  <si>
    <t>[27.0, nan, nan, nan]</t>
  </si>
  <si>
    <t>[7.01, 10.01, 11.83, nan]</t>
  </si>
  <si>
    <t>[23.86, 6.92, nan, nan]</t>
  </si>
  <si>
    <t>[nan, 7.2, 12.37, 15.13]</t>
  </si>
  <si>
    <t>[nan, nan, 112.65, nan]</t>
  </si>
  <si>
    <t>[nan, nan, 7.29, nan]</t>
  </si>
  <si>
    <t>[18.6, 12.02, 16.52, 13.44]</t>
  </si>
  <si>
    <t>[nan, 292.21, 339.98, nan]</t>
  </si>
  <si>
    <t>[6.34, 13.03, 18.9, nan]</t>
  </si>
  <si>
    <t>[19.53, 41.77, nan, nan]</t>
  </si>
  <si>
    <t>[54.93, 4.73, 26.15, nan]</t>
  </si>
  <si>
    <t>[5.66, 9.69, nan, nan]</t>
  </si>
  <si>
    <t>[13.7, 13.85, 13.8, nan]</t>
  </si>
  <si>
    <t>[nan, nan, 159.09, nan]</t>
  </si>
  <si>
    <t>[nan, 16.84, nan, 13.78]</t>
  </si>
  <si>
    <t>[37.77, nan, nan, nan]</t>
  </si>
  <si>
    <t>[nan, nan, 37.45, nan]</t>
  </si>
  <si>
    <t>[nan, 97.22, 66.66, nan]</t>
  </si>
  <si>
    <t>[nan, 19.91, 8.35, nan]</t>
  </si>
  <si>
    <t>[13.7, nan, nan, nan]</t>
  </si>
  <si>
    <t>[52.47, 14.87, 8.17, nan]</t>
  </si>
  <si>
    <t>[160.99, 34.13, nan, nan]</t>
  </si>
  <si>
    <t>[nan, 29.16, 24.93, nan]</t>
  </si>
  <si>
    <t>[75.12, nan, nan, nan]</t>
  </si>
  <si>
    <t>[10.12, 7.45, nan, nan]</t>
  </si>
  <si>
    <t>[470.11, 73.38, nan, nan]</t>
  </si>
  <si>
    <t>[nan, 114.54, 47.99, nan]</t>
  </si>
  <si>
    <t>[nan, 17.46, 19.89, nan]</t>
  </si>
  <si>
    <t>[33.82, 29.89, 22.15, nan]</t>
  </si>
  <si>
    <t>[27.4, nan, nan, nan]</t>
  </si>
  <si>
    <t>[nan, 122.84, nan, nan]</t>
  </si>
  <si>
    <t>[nan, 173.72, nan, nan]</t>
  </si>
  <si>
    <t>[514.34, 11.25, 11.28, 9.68]</t>
  </si>
  <si>
    <t>[27.16, 16.09, 23.84, nan]</t>
  </si>
  <si>
    <t>[31.72, 40.76, 34.07, nan]</t>
  </si>
  <si>
    <t>[70.8, nan, nan, nan]</t>
  </si>
  <si>
    <t>[nan, 56.32, nan, nan]</t>
  </si>
  <si>
    <t>[nan, nan, 24.69, nan]</t>
  </si>
  <si>
    <t>[513.51, 10.48, 21.14, nan]</t>
  </si>
  <si>
    <t>[nan, 18.53, 23.3, 19.42]</t>
  </si>
  <si>
    <t>[nan, nan, 30.39, 61.78]</t>
  </si>
  <si>
    <t>[nan, nan, nan, 12.44]</t>
  </si>
  <si>
    <t>[8.54, 5.48, 68.97, 26.96]</t>
  </si>
  <si>
    <t>[34.23, 21.31, 8.47, nan]</t>
  </si>
  <si>
    <t>[70.19, nan, nan, nan]</t>
  </si>
  <si>
    <t>[nan, 87.78, 125.0, nan]</t>
  </si>
  <si>
    <t>[31.33, 47.76, 119.65, nan]</t>
  </si>
  <si>
    <t>[293.59, nan, nan, nan]</t>
  </si>
  <si>
    <t>[50.89, 44.63, nan, 569.18]</t>
  </si>
  <si>
    <t>[nan, 23.74, 25.79, 103.11]</t>
  </si>
  <si>
    <t>[nan, 1542.26, nan, nan]</t>
  </si>
  <si>
    <t>[nan, nan, nan, 539.29]</t>
  </si>
  <si>
    <t>[24.74, 19.0, nan, nan]</t>
  </si>
  <si>
    <t>[14.61, 15.56, nan, nan]</t>
  </si>
  <si>
    <t>[nan, 194.72, nan, nan]</t>
  </si>
  <si>
    <t>[nan, nan, nan, 21.94]</t>
  </si>
  <si>
    <t>[47.91, 38.57, 17.23, 21.93]</t>
  </si>
  <si>
    <t>[18.52, 54.76, 44.82, nan]</t>
  </si>
  <si>
    <t>[nan, 224.46, 34.88, nan]</t>
  </si>
  <si>
    <t>[10.25, 10.8, 16.92, nan]</t>
  </si>
  <si>
    <t>[nan, 16.21, 11.42, nan]</t>
  </si>
  <si>
    <t>[67.95, 59.05, 82.12, nan]</t>
  </si>
  <si>
    <t>[15.35, 11.7, 10.48, 21.6]</t>
  </si>
  <si>
    <t>[nan, 41.25, nan, nan]</t>
  </si>
  <si>
    <t>[16.38, nan, nan, nan]</t>
  </si>
  <si>
    <t>[nan, 8.92, 42.96, nan]</t>
  </si>
  <si>
    <t>[7.81, nan, 37.4, nan]</t>
  </si>
  <si>
    <t>[nan, 15.52, 20.35, nan]</t>
  </si>
  <si>
    <t>[29.83, 19.45, nan, nan]</t>
  </si>
  <si>
    <t>[140.92, 69.81, 632.12, nan]</t>
  </si>
  <si>
    <t>[10.86, 4.53, 8.58, 22.07]</t>
  </si>
  <si>
    <t>[25.17, 15.8, 29.1, nan]</t>
  </si>
  <si>
    <t>[14.98, 27.07, nan, nan]</t>
  </si>
  <si>
    <t>[nan, nan, 23.79, nan]</t>
  </si>
  <si>
    <t>[14.85, nan, nan, nan]</t>
  </si>
  <si>
    <t>[17.84, 15.43, nan, 15.09]</t>
  </si>
  <si>
    <t>[9.78, 39.07, 11.34, nan]</t>
  </si>
  <si>
    <t>[nan, nan, 51.79, nan]</t>
  </si>
  <si>
    <t>[87.43, 15.19, 11.5, nan]</t>
  </si>
  <si>
    <t>[nan, nan, 119.11, nan]</t>
  </si>
  <si>
    <t>[nan, nan, 150.38, nan]</t>
  </si>
  <si>
    <t>[3729.27, nan, nan, nan]</t>
  </si>
  <si>
    <t>[21.1, 10.15, 12.09, nan]</t>
  </si>
  <si>
    <t>[nan, 30.72, 31.74, nan]</t>
  </si>
  <si>
    <t>[nan, 31.82, nan, nan]</t>
  </si>
  <si>
    <t>[11.99, 11.3, 10.96, nan]</t>
  </si>
  <si>
    <t>[nan, nan, nan, 6.82]</t>
  </si>
  <si>
    <t>[23.83, 27.3, 47.68, nan]</t>
  </si>
  <si>
    <t>[24.76, 49.85, nan, 20.63]</t>
  </si>
  <si>
    <t>[89.03, 11.19, 286.16, nan]</t>
  </si>
  <si>
    <t>[nan, 79.01, 16.28, 24.55]</t>
  </si>
  <si>
    <t>[nan, 122.55, 45.99, nan]</t>
  </si>
  <si>
    <t>[9.8, 16.54, 31.94, nan]</t>
  </si>
  <si>
    <t>[nan, 2.78, nan, nan]</t>
  </si>
  <si>
    <t>[22.37, 4.93, nan, nan]</t>
  </si>
  <si>
    <t>[88.49, 19.69, 8.6, nan]</t>
  </si>
  <si>
    <t>[nan, nan, 19.82, 57.53]</t>
  </si>
  <si>
    <t>[14.15, 15.04, 11.74, nan]</t>
  </si>
  <si>
    <t>[26.0, 32.62, 14.95, nan]</t>
  </si>
  <si>
    <t>[nan, 38.94, nan, nan]</t>
  </si>
  <si>
    <t>[nan, nan, 28.68, nan]</t>
  </si>
  <si>
    <t>[nan, nan, 38.7, nan]</t>
  </si>
  <si>
    <t>[180.53, nan, nan, nan]</t>
  </si>
  <si>
    <t>[11.25, 3.96, 9.37, nan]</t>
  </si>
  <si>
    <t>[nan, nan, 12.5, nan]</t>
  </si>
  <si>
    <t>[45.33, 16.31, 63.91, nan]</t>
  </si>
  <si>
    <t>[nan, nan, 65.6, 44.55]</t>
  </si>
  <si>
    <t>[148.12, 98.54, 259.25, nan]</t>
  </si>
  <si>
    <t>[nan, nan, 27.95, nan]</t>
  </si>
  <si>
    <t>[nan, 5.45, nan, nan]</t>
  </si>
  <si>
    <t>[83.6, 10.54, nan, nan]</t>
  </si>
  <si>
    <t>[nan, nan, 23.27, 18.88]</t>
  </si>
  <si>
    <t>[50.63, 30.29, 15.64, nan]</t>
  </si>
  <si>
    <t>[10.73, 11.05, 22.52, nan]</t>
  </si>
  <si>
    <t>[19.42, 15.34, 9.9, 14.24]</t>
  </si>
  <si>
    <t>[48.12, nan, 292.24, nan]</t>
  </si>
  <si>
    <t>[10.43, 9.59, 11.82, 20.6]</t>
  </si>
  <si>
    <t>[41.68, 19.09, 19.09, nan]</t>
  </si>
  <si>
    <t>[nan, nan, 19.83, nan]</t>
  </si>
  <si>
    <t>[nan, nan, nan, 39.57]</t>
  </si>
  <si>
    <t>[88.46, nan, 27.18, nan]</t>
  </si>
  <si>
    <t>[14.77, 10.54, 11.09, nan]</t>
  </si>
  <si>
    <t>[nan, 17.94, 15.62, 28.92]</t>
  </si>
  <si>
    <t>[nan, nan, 18.05, nan]</t>
  </si>
  <si>
    <t>[nan, 150.38, 63.68, nan]</t>
  </si>
  <si>
    <t>[29.27, 19.09, 18.08, 14.55]</t>
  </si>
  <si>
    <t>[nan, nan, 26.28, 69.65]</t>
  </si>
  <si>
    <t>[nan, nan, 518.3, nan]</t>
  </si>
  <si>
    <t>[nan, 43.86, 16.35, nan]</t>
  </si>
  <si>
    <t>[nan, 48.35, 32.06, nan]</t>
  </si>
  <si>
    <t>[19.39, 13.05, 57.15, nan]</t>
  </si>
  <si>
    <t>[16.86, 16.22, 15.67, nan]</t>
  </si>
  <si>
    <t>[22.22, nan, nan, nan]</t>
  </si>
  <si>
    <t>[nan, 148.88, nan, nan]</t>
  </si>
  <si>
    <t>[81.93, nan, 72.08, 74.31]</t>
  </si>
  <si>
    <t>[8.47, nan, nan, nan]</t>
  </si>
  <si>
    <t>[39.92, 36.95, 23.42, nan]</t>
  </si>
  <si>
    <t>[nan, nan, 210.65, nan]</t>
  </si>
  <si>
    <t>[nan, nan, 159.77, nan]</t>
  </si>
  <si>
    <t>[nan, 8.35, nan, nan]</t>
  </si>
  <si>
    <t>[10.98, nan, nan, 17.23]</t>
  </si>
  <si>
    <t>[nan, nan, 102.81, nan]</t>
  </si>
  <si>
    <t>[nan, nan, nan, 27.66]</t>
  </si>
  <si>
    <t>[18.67, 61.62, nan, nan]</t>
  </si>
  <si>
    <t>[12.3, 12.8, 12.37, 18.27]</t>
  </si>
  <si>
    <t>[nan, 9.55, 105.48, nan]</t>
  </si>
  <si>
    <t>[13.52, 19.95, 16.57, nan]</t>
  </si>
  <si>
    <t>[11.82, 6.35, 11.09, 16.06]</t>
  </si>
  <si>
    <t>[9.61, 19.99, 27.24, nan]</t>
  </si>
  <si>
    <t>[24.1, 10.07, 16.43, nan]</t>
  </si>
  <si>
    <t>[nan, 18.86, 26.38, nan]</t>
  </si>
  <si>
    <t>[21.03, 17.0, 21.73, nan]</t>
  </si>
  <si>
    <t>[nan, nan, 23.43, nan]</t>
  </si>
  <si>
    <t>[191.31, 17.93, 15.28, 21.74]</t>
  </si>
  <si>
    <t>[82.52, 89.21, 121.93, nan]</t>
  </si>
  <si>
    <t>[87.61, 7.8, 10.54, nan]</t>
  </si>
  <si>
    <t>[103.65, nan, 360.15, nan]</t>
  </si>
  <si>
    <t>[81.15, 12.6, 17.13, nan]</t>
  </si>
  <si>
    <t>[18.39, 20.51, 15.76, nan]</t>
  </si>
  <si>
    <t>[9.95, 8.6, 24.74, 12.72]</t>
  </si>
  <si>
    <t>[10.74, 8.19, 16.56, nan]</t>
  </si>
  <si>
    <t>[13.78, 5.66, 50.68, 20.96]</t>
  </si>
  <si>
    <t>[nan, nan, nan, 16.38]</t>
  </si>
  <si>
    <t>[135.14, 16.6, nan, nan]</t>
  </si>
  <si>
    <t>[nan, nan, 63.23, 29.18]</t>
  </si>
  <si>
    <t>[nan, nan, 583.85, nan]</t>
  </si>
  <si>
    <t>[nan, 82.85, 9.99, nan]</t>
  </si>
  <si>
    <t>[78.59, 35.75, nan, nan]</t>
  </si>
  <si>
    <t>[22.68, 13.62, 14.42, nan]</t>
  </si>
  <si>
    <t>[82.23, 9.92, nan, nan]</t>
  </si>
  <si>
    <t>[43.04, 22.93, 21.69, 18.45]</t>
  </si>
  <si>
    <t>[nan, nan, 160.77, nan]</t>
  </si>
  <si>
    <t>[6.16, 274.77, nan, nan]</t>
  </si>
  <si>
    <t>[nan, nan, 118.91, nan]</t>
  </si>
  <si>
    <t>[13.13, 5.74, 9.44, 20.1]</t>
  </si>
  <si>
    <t>[nan, nan, 21.49, nan]</t>
  </si>
  <si>
    <t>[nan, nan, 791.91, nan]</t>
  </si>
  <si>
    <t>[43.37, 47.75, 31.74, 30.25]</t>
  </si>
  <si>
    <t>[618.26, 47.68, 11.72, 21.22]</t>
  </si>
  <si>
    <t>[56.09, nan, nan, nan]</t>
  </si>
  <si>
    <t>[13.72, nan, 59.17, nan]</t>
  </si>
  <si>
    <t>[36.9, 27.77, nan, nan]</t>
  </si>
  <si>
    <t>[30.3, nan, 20.54, 26.49]</t>
  </si>
  <si>
    <t>[16.53, 15.6, 20.58, nan]</t>
  </si>
  <si>
    <t>[21.01, 12.19, 15.05, 16.41]</t>
  </si>
  <si>
    <t>[12.41, 23.11, 27.1, nan]</t>
  </si>
  <si>
    <t>[25.49, nan, 22.87, nan]</t>
  </si>
  <si>
    <t>[401.72, nan, nan, nan]</t>
  </si>
  <si>
    <t>[182.51, nan, nan, nan]</t>
  </si>
  <si>
    <t>[34.94, 38.69, 24.91, 32.85]</t>
  </si>
  <si>
    <t>[226.85, 30.78, 32.36, nan]</t>
  </si>
  <si>
    <t>[72.05, 44.41, nan, nan]</t>
  </si>
  <si>
    <t>[9.99, nan, nan, nan]</t>
  </si>
  <si>
    <t>[nan, 79.6, 110.7, nan]</t>
  </si>
  <si>
    <t>[nan, nan, 171.74, nan]</t>
  </si>
  <si>
    <t>[9.65, 19.4, 18.82, nan]</t>
  </si>
  <si>
    <t>[8.32, 28.21, 11.99, nan]</t>
  </si>
  <si>
    <t>[nan, nan, 221.48, nan]</t>
  </si>
  <si>
    <t>[nan, nan, nan, 20.82]</t>
  </si>
  <si>
    <t>[nan, nan, 96.37, nan]</t>
  </si>
  <si>
    <t>[10.45, 11.86, 21.45, nan]</t>
  </si>
  <si>
    <t>[nan, nan, 1480.36, nan]</t>
  </si>
  <si>
    <t>[69.07, nan, 101.21, nan]</t>
  </si>
  <si>
    <t>[84.32, 262.98, 126.58, 25.72]</t>
  </si>
  <si>
    <t>[nan, 17.03, 26.49, 27.45]</t>
  </si>
  <si>
    <t>[18.07, 12.14, 22.1, nan]</t>
  </si>
  <si>
    <t>[nan, 96.0, nan, nan]</t>
  </si>
  <si>
    <t>[42.99, 101.32, 174.38, nan]</t>
  </si>
  <si>
    <t>[14.46, 9.55, 40.5, 16.44]</t>
  </si>
  <si>
    <t>[nan, 30.46, 48.82, 19.63]</t>
  </si>
  <si>
    <t>[52.73, 10.5, nan, nan]</t>
  </si>
  <si>
    <t>[48.02, nan, nan, 16.66]</t>
  </si>
  <si>
    <t>[nan, 694.74, 15.16, 25.23]</t>
  </si>
  <si>
    <t>[nan, 16.89, 31.9, nan]</t>
  </si>
  <si>
    <t>[38.64, 43.57, 68.84, nan]</t>
  </si>
  <si>
    <t>[8.35, 13.98, 59.68, nan]</t>
  </si>
  <si>
    <t>[17.52, 12.77, 65.56, 86.48]</t>
  </si>
  <si>
    <t>[nan, nan, 214.32, nan]</t>
  </si>
  <si>
    <t>[nan, 110.4, 31.69, nan]</t>
  </si>
  <si>
    <t>[nan, nan, 9.89, 54.24]</t>
  </si>
  <si>
    <t>[nan, 31.8, 75.55, nan]</t>
  </si>
  <si>
    <t>[13.18, 6.2, 8.83, 10.64]</t>
  </si>
  <si>
    <t>[106.47, 10.67, nan, nan]</t>
  </si>
  <si>
    <t>[nan, nan, 105.79, nan]</t>
  </si>
  <si>
    <t>[31.26, 27.21, 105.13, 27.87]</t>
  </si>
  <si>
    <t>[47.36, 10.93, 353.5, 99.81]</t>
  </si>
  <si>
    <t>[nan, nan, 0.15, nan]</t>
  </si>
  <si>
    <t>[nan, nan, 3.36, nan]</t>
  </si>
  <si>
    <t>[13.44, 25.76, nan, nan]</t>
  </si>
  <si>
    <t>[nan, nan, 110.49, nan]</t>
  </si>
  <si>
    <t>[12.11, 17.77, 14.64, nan]</t>
  </si>
  <si>
    <t>[nan, 37.85, nan, nan]</t>
  </si>
  <si>
    <t>[nan, nan, 2441.19, nan]</t>
  </si>
  <si>
    <t>[33.85, 32.84, nan, nan]</t>
  </si>
  <si>
    <t>[nan, nan, 375.74, nan]</t>
  </si>
  <si>
    <t>[17.6, 11.33, 11.01, nan]</t>
  </si>
  <si>
    <t>[25.04, 12.32, 22.05, nan]</t>
  </si>
  <si>
    <t>[nan, 12.52, 26.11, nan]</t>
  </si>
  <si>
    <t>[35.49, 176.75, 802.52, nan]</t>
  </si>
  <si>
    <t>[nan, 11.3, 16.07, nan]</t>
  </si>
  <si>
    <t>[86.96, nan, nan, nan]</t>
  </si>
  <si>
    <t>[nan, nan, nan, 15.16]</t>
  </si>
  <si>
    <t>[25.29, nan, 22.81, nan]</t>
  </si>
  <si>
    <t>[19.04, 29.68, 30.97, nan]</t>
  </si>
  <si>
    <t>[45.56, 14.94, 13.51, 14.36]</t>
  </si>
  <si>
    <t>[nan, nan, 150.35, nan]</t>
  </si>
  <si>
    <t>[20.27, 74.42, 21.67, nan]</t>
  </si>
  <si>
    <t>[nan, 13.48, nan, nan]</t>
  </si>
  <si>
    <t>[nan, 30.94, nan, nan]</t>
  </si>
  <si>
    <t>[513.99, nan, nan, nan]</t>
  </si>
  <si>
    <t>[1518.05, nan, nan, nan]</t>
  </si>
  <si>
    <t>[15.0, 6.49, 157.36, 16.32]</t>
  </si>
  <si>
    <t>[8.79, nan, nan, nan]</t>
  </si>
  <si>
    <t>[nan, nan, 16.38, nan]</t>
  </si>
  <si>
    <t>[nan, 39.98, nan, nan]</t>
  </si>
  <si>
    <t>[nan, nan, 224.03, nan]</t>
  </si>
  <si>
    <t>[41.39, 46.91, 13.31, nan]</t>
  </si>
  <si>
    <t>[1.21, 16.61, 53.82, nan]</t>
  </si>
  <si>
    <t>[41.31, 36.91, 44.08, nan]</t>
  </si>
  <si>
    <t>[18.97, 26.13, 29.94, nan]</t>
  </si>
  <si>
    <t>[25.8, 15.04, 29.63, nan]</t>
  </si>
  <si>
    <t>[82.45, nan, 35.15, nan]</t>
  </si>
  <si>
    <t>[20.54, 46.04, 12.69, 12.47]</t>
  </si>
  <si>
    <t>[28.7, 26.9, 31.6, nan]</t>
  </si>
  <si>
    <t>[22.26, 7.23, 24.85, nan]</t>
  </si>
  <si>
    <t>[23.27, 30.08, 17.94, nan]</t>
  </si>
  <si>
    <t>[38.57, 56.02, 28.51, nan]</t>
  </si>
  <si>
    <t>[24.52, 10.88, 9.97, nan]</t>
  </si>
  <si>
    <t>[280.7, nan, nan, nan]</t>
  </si>
  <si>
    <t>[24.03, 39.42, 24.31, 28.17]</t>
  </si>
  <si>
    <t>[nan, 34.26, nan, nan]</t>
  </si>
  <si>
    <t>[nan, 196.24, 136.64, nan]</t>
  </si>
  <si>
    <t>[13.31, nan, nan, nan]</t>
  </si>
  <si>
    <t>[13.41, 31.79, 40.45, nan]</t>
  </si>
  <si>
    <t>[17.34, 98.33, nan, nan]</t>
  </si>
  <si>
    <t>[78.78, 54.8, 50.88, nan]</t>
  </si>
  <si>
    <t>[nan, 10.43, 14.71, 11.75]</t>
  </si>
  <si>
    <t>[71.01, nan, nan, nan]</t>
  </si>
  <si>
    <t>[nan, nan, 14.85, 47.41]</t>
  </si>
  <si>
    <t>[15.91, 14.52, 13.05, nan]</t>
  </si>
  <si>
    <t>[13.25, 9.84, 134.37, nan]</t>
  </si>
  <si>
    <t>[509.98, 18.09, 11.7, nan]</t>
  </si>
  <si>
    <t>[31.71, 26.07, 32.31, 22.34]</t>
  </si>
  <si>
    <t>[nan, 45.74, 19.36, nan]</t>
  </si>
  <si>
    <t>[51.71, 82.05, nan, nan]</t>
  </si>
  <si>
    <t>[nan, nan, 22.45, 60.8]</t>
  </si>
  <si>
    <t>[36.19, 66.77, nan, nan]</t>
  </si>
  <si>
    <t>[144.99, nan, nan, nan]</t>
  </si>
  <si>
    <t>[28.21, 9.68, nan, nan]</t>
  </si>
  <si>
    <t>[22.85, 46.88, 81.87, nan]</t>
  </si>
  <si>
    <t>[11.55, 10.65, 10.92, 18.16]</t>
  </si>
  <si>
    <t>[nan, 49.14, nan, nan]</t>
  </si>
  <si>
    <t>[nan, 17.48, 207.08, nan]</t>
  </si>
  <si>
    <t>[15.65, 18.75, 15.59, nan]</t>
  </si>
  <si>
    <t>[190.45, 110.71, 23.7, nan]</t>
  </si>
  <si>
    <t>[nan, 41.45, 28.01, nan]</t>
  </si>
  <si>
    <t>[26.98, 45.08, 96.69, nan]</t>
  </si>
  <si>
    <t>[nan, 32.72, nan, nan]</t>
  </si>
  <si>
    <t>[nan, nan, nan, 13.36]</t>
  </si>
  <si>
    <t>[80.8, 192.74, nan, nan]</t>
  </si>
  <si>
    <t>[14.51, 10.21, 21.23, nan]</t>
  </si>
  <si>
    <t>[39.84, 47.29, nan, nan]</t>
  </si>
  <si>
    <t>[nan, nan, 32.56, nan]</t>
  </si>
  <si>
    <t>[161.23, nan, nan, nan]</t>
  </si>
  <si>
    <t>[nan, 76.51, nan, nan]</t>
  </si>
  <si>
    <t>[30.58, 10.32, 33.73, 77.96]</t>
  </si>
  <si>
    <t>[nan, nan, 11.3, 18.26]</t>
  </si>
  <si>
    <t>[20.81, 14.48, 58.94, 19.38]</t>
  </si>
  <si>
    <t>[40.65, 30.77, 57.61, nan]</t>
  </si>
  <si>
    <t>[26.73, nan, nan, nan]</t>
  </si>
  <si>
    <t>[21.42, 14.58, 21.73, 30.82]</t>
  </si>
  <si>
    <t>[nan, 290.86, nan, nan]</t>
  </si>
  <si>
    <t>[86.89, 15.12, 19.18, 11.44]</t>
  </si>
  <si>
    <t>[nan, nan, 16.13, nan]</t>
  </si>
  <si>
    <t>[89.66, 12.01, 51.13, nan]</t>
  </si>
  <si>
    <t>[54.54, 281.05, 340.35, nan]</t>
  </si>
  <si>
    <t>[nan, 54.1, 17.65, nan]</t>
  </si>
  <si>
    <t>[32.06, 14.99, 16.52, nan]</t>
  </si>
  <si>
    <t>[16.07, 15.1, 16.37, 20.23]</t>
  </si>
  <si>
    <t>[nan, 10.56, 184.4, nan]</t>
  </si>
  <si>
    <t>[47.8, 20.63, 64.04, nan]</t>
  </si>
  <si>
    <t>[nan, 9.51, nan, nan]</t>
  </si>
  <si>
    <t>[nan, nan, 8.26, nan]</t>
  </si>
  <si>
    <t>[nan, 12.99, 69.99, nan]</t>
  </si>
  <si>
    <t>[14.32, 30.69, 15.47, 16.64]</t>
  </si>
  <si>
    <t>[7.14, 6.82, 56.01, nan]</t>
  </si>
  <si>
    <t>[19.25, 132.6, 83.73, nan]</t>
  </si>
  <si>
    <t>[nan, 22.45, 12.82, nan]</t>
  </si>
  <si>
    <t>[18.29, nan, nan, nan]</t>
  </si>
  <si>
    <t>[nan, 63.28, nan, nan]</t>
  </si>
  <si>
    <t>[nan, nan, 44.2, nan]</t>
  </si>
  <si>
    <t>[nan, nan, 38.71, 49.97]</t>
  </si>
  <si>
    <t>[48.74, 24.9, 20.05, nan]</t>
  </si>
  <si>
    <t>[130.12, 29.19, 19.42, nan]</t>
  </si>
  <si>
    <t>[nan, 31.65, 166.19, 22.37]</t>
  </si>
  <si>
    <t>[33.74, 18.82, nan, nan]</t>
  </si>
  <si>
    <t>[23.86, nan, nan, nan]</t>
  </si>
  <si>
    <t>[22.7, 28.47, 29.46, 177.69]</t>
  </si>
  <si>
    <t>[42.71, nan, nan, nan]</t>
  </si>
  <si>
    <t>[nan, nan, 117.1, nan]</t>
  </si>
  <si>
    <t>[18.32, 19.47, 13.6, nan]</t>
  </si>
  <si>
    <t>[31.85, 111.2, 56.86, nan]</t>
  </si>
  <si>
    <t>[31885.49, 12.79, 16.19, nan]</t>
  </si>
  <si>
    <t>[32.31, 18.52, 6.2, nan]</t>
  </si>
  <si>
    <t>[nan, 235.41, 24.31, 64.14]</t>
  </si>
  <si>
    <t>[nan, nan, 50.5, nan]</t>
  </si>
  <si>
    <t>[nan, 23.15, 14.95, 9.55]</t>
  </si>
  <si>
    <t>[40.53, 9.57, 78.96, nan]</t>
  </si>
  <si>
    <t>[22.58, 15.65, 20.64, 12.31]</t>
  </si>
  <si>
    <t>[14.84, 11.15, 5.07, 5.58]</t>
  </si>
  <si>
    <t>[nan, nan, 18.41, nan]</t>
  </si>
  <si>
    <t>[17.01, 15.02, 135.73, 23.45]</t>
  </si>
  <si>
    <t>[90.75, 91.34, nan, nan]</t>
  </si>
  <si>
    <t>[nan, 27.92, nan, nan]</t>
  </si>
  <si>
    <t>[34.01, 9.46, nan, nan]</t>
  </si>
  <si>
    <t>[19.89, nan, 38.81, 15.16]</t>
  </si>
  <si>
    <t>[15.09, 12.42, 13.85, 14.23]</t>
  </si>
  <si>
    <t>[11.01, 17.8, 7.14, nan]</t>
  </si>
  <si>
    <t>[13.57, nan, 14.65, 12.58]</t>
  </si>
  <si>
    <t>[24.92, nan, nan, 15.79]</t>
  </si>
  <si>
    <t>[13.84, nan, nan, nan]</t>
  </si>
  <si>
    <t>[44.15, 17.63, 34.26, 33.57]</t>
  </si>
  <si>
    <t>[110.28, 216.81, 67.39, 804.7]</t>
  </si>
  <si>
    <t>[235.0, 284.2, 82.35, nan]</t>
  </si>
  <si>
    <t>[79.31, 9.66, 24.06, 11.01]</t>
  </si>
  <si>
    <t>[85.37, 52.89, 8.93, 17.87]</t>
  </si>
  <si>
    <t>[7.5, 10.67, 6.67, nan]</t>
  </si>
  <si>
    <t>[49.41, 48.76, nan, nan]</t>
  </si>
  <si>
    <t>[69.0, nan, nan, nan]</t>
  </si>
  <si>
    <t>[nan, 54.37, 19.48, 15.76]</t>
  </si>
  <si>
    <t>[3.29, nan, nan, nan]</t>
  </si>
  <si>
    <t>[36.61, 36.08, 36.78, 15.42]</t>
  </si>
  <si>
    <t>[316.65, nan, 19.45, 11.88]</t>
  </si>
  <si>
    <t>[20.59, 17.53, 19.97, nan]</t>
  </si>
  <si>
    <t>[135.43, 53.17, nan, 19.48]</t>
  </si>
  <si>
    <t>[20.82, nan, nan, nan]</t>
  </si>
  <si>
    <t>[26.65, 31.32, nan, nan]</t>
  </si>
  <si>
    <t>[62.36, 40.05, 25.23, 21.59]</t>
  </si>
  <si>
    <t>[15.43, nan, 475.2, 17.11]</t>
  </si>
  <si>
    <t>[14.42, nan, nan, nan]</t>
  </si>
  <si>
    <t>[20.16, nan, nan, nan]</t>
  </si>
  <si>
    <t>[33.76, 71.46, nan, nan]</t>
  </si>
  <si>
    <t>[38.4, 45.71, 42.09, 41.45]</t>
  </si>
  <si>
    <t>[12.41, 55.3, nan, nan]</t>
  </si>
  <si>
    <t>[30.59, 41.72, 31.33, nan]</t>
  </si>
  <si>
    <t>[119.94, nan, 44.11, nan]</t>
  </si>
  <si>
    <t>[565.88, 428.26, 206.14, nan]</t>
  </si>
  <si>
    <t>[1997.71, nan, nan, nan]</t>
  </si>
  <si>
    <t>[25.57, 36.51, nan, 58.47]</t>
  </si>
  <si>
    <t>[nan, 34.23, nan, nan]</t>
  </si>
  <si>
    <t>[80.61, 591.83, nan, nan]</t>
  </si>
  <si>
    <t>[27.98, 173.58, 45.16, nan]</t>
  </si>
  <si>
    <t>[57.69, nan, 221.15, nan]</t>
  </si>
  <si>
    <t>[65.07, 21.77, nan, 6.83]</t>
  </si>
  <si>
    <t>[23.81, 16.47, 19.26, 17.45]</t>
  </si>
  <si>
    <t>[19.25, 21.74, 19.06, nan]</t>
  </si>
  <si>
    <t>[25.04, 46.35, 80.44, 19.84]</t>
  </si>
  <si>
    <t>[95.93, 30.55, 494.42, nan]</t>
  </si>
  <si>
    <t>[19.18, 19.96, 20.04, 16.92]</t>
  </si>
  <si>
    <t>[611.26, 362.75, nan, nan]</t>
  </si>
  <si>
    <t>[37.84, 3.46, 12.57, nan]</t>
  </si>
  <si>
    <t>[24.55, 17.27, nan, nan]</t>
  </si>
  <si>
    <t>[85.55, 167.97, nan, 76.68]</t>
  </si>
  <si>
    <t>[4.99, nan, 138.47, nan]</t>
  </si>
  <si>
    <t>[15.72, 8.24, nan, nan]</t>
  </si>
  <si>
    <t>[11.67, 49.98, 16.65, nan]</t>
  </si>
  <si>
    <t>[9.4, 12.53, nan, nan]</t>
  </si>
  <si>
    <t>[10.91, 11.38, nan, nan]</t>
  </si>
  <si>
    <t>[22.81, 28.25, 7.6, nan]</t>
  </si>
  <si>
    <t>[nan, 13.35, nan, nan]</t>
  </si>
  <si>
    <t>[25.59, 13.09, 16.37, 17.73]</t>
  </si>
  <si>
    <t>[7.57, 11.4, 11.24, 10.21]</t>
  </si>
  <si>
    <t>[13.93, 13.64, 13.2, nan]</t>
  </si>
  <si>
    <t>[24.32, 24.96, 19.6, nan]</t>
  </si>
  <si>
    <t>[55.14, 367.01, nan, nan]</t>
  </si>
  <si>
    <t>[25.71, 20.76, 18.69, 57.27]</t>
  </si>
  <si>
    <t>[219.27, 573.05, 98.9, 88.87]</t>
  </si>
  <si>
    <t>[7.96, 9.85, 9.21, nan]</t>
  </si>
  <si>
    <t>[nan, nan, 140.29, nan]</t>
  </si>
  <si>
    <t>[nan, 46.73, 18.46, nan]</t>
  </si>
  <si>
    <t>[24.31, 33.78, 18.41, 12.59]</t>
  </si>
  <si>
    <t>[64.83, 42.22, 10.19, nan]</t>
  </si>
  <si>
    <t>[60.0, 22.92, 44.02, 301.27]</t>
  </si>
  <si>
    <t>[42.33, 27.87, 58.01, nan]</t>
  </si>
  <si>
    <t>[10.27, nan, nan, nan]</t>
  </si>
  <si>
    <t>[17.2, 17.36, 20.77, 28.62]</t>
  </si>
  <si>
    <t>[33.65, 15.5, 20.77, 49.25]</t>
  </si>
  <si>
    <t>[nan, 17.31, 21.1, nan]</t>
  </si>
  <si>
    <t>[15.86, 21.31, nan, nan]</t>
  </si>
  <si>
    <t>[nan, nan, 131.29, nan]</t>
  </si>
  <si>
    <t>[11.68, nan, 213.13, nan]</t>
  </si>
  <si>
    <t>[71.21, 195.27, 135.21, nan]</t>
  </si>
  <si>
    <t>[28.69, nan, 77.4, nan]</t>
  </si>
  <si>
    <t>[14.1, 14.13, 19.99, nan]</t>
  </si>
  <si>
    <t>[nan, 9.14, 27.02, nan]</t>
  </si>
  <si>
    <t>[4.77, 4.01, 8.07, nan]</t>
  </si>
  <si>
    <t>[nan, nan, nan, 110.14]</t>
  </si>
  <si>
    <t>[nan, 12.19, 9.49, nan]</t>
  </si>
  <si>
    <t>[16.5, 17.34, 10.2, 13.65]</t>
  </si>
  <si>
    <t>[21.59, 34.73, 34.67, nan]</t>
  </si>
  <si>
    <t>[35.09, 15.27, 29.78, nan]</t>
  </si>
  <si>
    <t>[20.1, 11.91, nan, nan]</t>
  </si>
  <si>
    <t>[nan, nan, 129.6, nan]</t>
  </si>
  <si>
    <t>[16.47, 11.55, 10.48, nan]</t>
  </si>
  <si>
    <t>[nan, nan, 26.06, nan]</t>
  </si>
  <si>
    <t>[nan, 134.33, 35.49, nan]</t>
  </si>
  <si>
    <t>[21.48, nan, nan, nan]</t>
  </si>
  <si>
    <t>[nan, nan, 97.07, nan]</t>
  </si>
  <si>
    <t>[40.59, 12.73, 12.8, nan]</t>
  </si>
  <si>
    <t>[40.83, nan, nan, nan]</t>
  </si>
  <si>
    <t>[nan, 4.23, nan, nan]</t>
  </si>
  <si>
    <t>[nan, 13.61, nan, nan]</t>
  </si>
  <si>
    <t>[59.59, nan, nan, nan]</t>
  </si>
  <si>
    <t>[nan, nan, 38.8, nan]</t>
  </si>
  <si>
    <t>[18.63, 14.14, 15.27, 20.49]</t>
  </si>
  <si>
    <t>[7.67, 6.69, 576.42, nan]</t>
  </si>
  <si>
    <t>[nan, nan, 115.28, nan]</t>
  </si>
  <si>
    <t>[29.21, 44.16, 27.36, 43.81]</t>
  </si>
  <si>
    <t>[nan, 9.07, 9.56, nan]</t>
  </si>
  <si>
    <t>[15.77, 9.12, 31.7, 12.89]</t>
  </si>
  <si>
    <t>[16.44, 17.18, 19.16, nan]</t>
  </si>
  <si>
    <t>[60.12, 40.35, nan, nan]</t>
  </si>
  <si>
    <t>[15.99, 37.53, 16.43, 22.98]</t>
  </si>
  <si>
    <t>[134.31, 27.74, 21.4, nan]</t>
  </si>
  <si>
    <t>[61.68, nan, nan, 7500.0]</t>
  </si>
  <si>
    <t>[nan, nan, 18.85, 30.27]</t>
  </si>
  <si>
    <t>[14.32, 366.08, 38.3, 18.8]</t>
  </si>
  <si>
    <t>[nan, nan, 6.18, 68.88]</t>
  </si>
  <si>
    <t>[74.55, 172.43, 142.28, nan]</t>
  </si>
  <si>
    <t>[nan, nan, nan, 57.68]</t>
  </si>
  <si>
    <t>[60.36, 111.23, nan, nan]</t>
  </si>
  <si>
    <t>[11.7, 10.56, 14.65, 9.77]</t>
  </si>
  <si>
    <t>[nan, nan, 14.66, 18.6]</t>
  </si>
  <si>
    <t>[6.36, 17.83, nan, 15.0]</t>
  </si>
  <si>
    <t>[5.1, 18.41, 24.75, nan]</t>
  </si>
  <si>
    <t>[39.39, nan, nan, nan]</t>
  </si>
  <si>
    <t>[4.92, nan, nan, nan]</t>
  </si>
  <si>
    <t>[nan, nan, 0.96, nan]</t>
  </si>
  <si>
    <t>[28.03, 61.75, 29.03, nan]</t>
  </si>
  <si>
    <t>[4.16, nan, 12.39, nan]</t>
  </si>
  <si>
    <t>[nan, 37.69, 7.18, 10.18]</t>
  </si>
  <si>
    <t>[31.8, 22.27, 93.4, 454.19]</t>
  </si>
  <si>
    <t>[11.08, nan, 44.52, nan]</t>
  </si>
  <si>
    <t>[7.43, 37.09, 74.55, nan]</t>
  </si>
  <si>
    <t>[15.04, 59.87, 15.1, nan]</t>
  </si>
  <si>
    <t>[nan, nan, 274.64, nan]</t>
  </si>
  <si>
    <t>[42.71, 13.4, 9.56, nan]</t>
  </si>
  <si>
    <t>[39.38, 6.94, 7.31, 8.01]</t>
  </si>
  <si>
    <t>[nan, nan, 267.35, nan]</t>
  </si>
  <si>
    <t>[33.98, 8.62, nan, nan]</t>
  </si>
  <si>
    <t>[231.09, 73.36, 170.33, nan]</t>
  </si>
  <si>
    <t>[nan, 22.96, 66.06, nan]</t>
  </si>
  <si>
    <t>[1954.73, nan, 147.9, nan]</t>
  </si>
  <si>
    <t>[27.62, 13.14, 54.33, 11.54]</t>
  </si>
  <si>
    <t>[nan, 75.24, nan, nan]</t>
  </si>
  <si>
    <t>[19.61, 20.02, 18.43, 33.21]</t>
  </si>
  <si>
    <t>[nan, 32.31, nan, nan]</t>
  </si>
  <si>
    <t>[26.75, 14.45, 7.14, 23.68]</t>
  </si>
  <si>
    <t>[19.77, 16.07, 15.12, 12.61]</t>
  </si>
  <si>
    <t>[16.98, 34.66, 12.06, nan]</t>
  </si>
  <si>
    <t>[43.49, 86.44, nan, nan]</t>
  </si>
  <si>
    <t>[nan, 11.24, 11.15, nan]</t>
  </si>
  <si>
    <t>[6.06, 5.24, 9.96, nan]</t>
  </si>
  <si>
    <t>[44.84, 67.34, 372.73, nan]</t>
  </si>
  <si>
    <t>[49.6, 46.16, nan, 47.1]</t>
  </si>
  <si>
    <t>[48.33, 50.08, 50.68, 40.95]</t>
  </si>
  <si>
    <t>[19.8, 68.42, 25.27, nan]</t>
  </si>
  <si>
    <t>[57.73, nan, nan, nan]</t>
  </si>
  <si>
    <t>[5.03, 12.4, 24.65, nan]</t>
  </si>
  <si>
    <t>[34.76, 20.46, 28.74, nan]</t>
  </si>
  <si>
    <t>[9.74, 9.18, nan, nan]</t>
  </si>
  <si>
    <t>[5.67, 4.99, nan, nan]</t>
  </si>
  <si>
    <t>[34.29, 28.65, 14.86, nan]</t>
  </si>
  <si>
    <t>[87.2, 35.83, nan, nan]</t>
  </si>
  <si>
    <t>[nan, 13.1, nan, nan]</t>
  </si>
  <si>
    <t>[60.35, nan, 72.4, nan]</t>
  </si>
  <si>
    <t>[111.0, 89.94, nan, nan]</t>
  </si>
  <si>
    <t>[36.15, 12.99, 12.47, 15.18]</t>
  </si>
  <si>
    <t>[nan, nan, 43.02, nan]</t>
  </si>
  <si>
    <t>[nan, nan, 148.32, 84.43]</t>
  </si>
  <si>
    <t>[5.79, 25.24, 24.69, nan]</t>
  </si>
  <si>
    <t>[17.07, 13.25, 19.94, nan]</t>
  </si>
  <si>
    <t>[nan, nan, 69.5, nan]</t>
  </si>
  <si>
    <t>[nan, nan, 22.47, nan]</t>
  </si>
  <si>
    <t>[nan, 110.18, 14.17, 16.34]</t>
  </si>
  <si>
    <t>[24.11, nan, 33.39, 21.85]</t>
  </si>
  <si>
    <t>[23.71, 15.31, 12.67, nan]</t>
  </si>
  <si>
    <t>[47.98, 35.62, 28.54, nan]</t>
  </si>
  <si>
    <t>[nan, 3.09, nan, nan]</t>
  </si>
  <si>
    <t>[14.24, 21.14, 17.32, 12.05]</t>
  </si>
  <si>
    <t>[60.87, nan, nan, nan]</t>
  </si>
  <si>
    <t>[120.26, nan, 269.69, nan]</t>
  </si>
  <si>
    <t>[25.24, 36.59, 48.53, 60.09]</t>
  </si>
  <si>
    <t>[4.99, 149.03, nan, nan]</t>
  </si>
  <si>
    <t>[3.68, nan, nan, nan]</t>
  </si>
  <si>
    <t>[nan, 6.17, nan, nan]</t>
  </si>
  <si>
    <t>[nan, nan, nan, 20.84]</t>
  </si>
  <si>
    <t>[13.13, 13.74, 18.71, nan]</t>
  </si>
  <si>
    <t>[22.92, 21.11, 20.2, nan]</t>
  </si>
  <si>
    <t>[65.51, 17.73, 22.44, nan]</t>
  </si>
  <si>
    <t>[nan, 182.34, 218.25, 13.27]</t>
  </si>
  <si>
    <t>[16.3, 18.45, 79.31, 46.35]</t>
  </si>
  <si>
    <t>[11.11, 9.08, 416.75, 8.66]</t>
  </si>
  <si>
    <t>[19.5, 12.54, 32.39, 13.19]</t>
  </si>
  <si>
    <t>[34.74, 28.57, 28.71, 32.88]</t>
  </si>
  <si>
    <t>[152.1, 79.44, nan, nan]</t>
  </si>
  <si>
    <t>[9.26, 13.29, 46.11, nan]</t>
  </si>
  <si>
    <t>[9.82, 19.9, nan, nan]</t>
  </si>
  <si>
    <t>[nan, 112.52, nan, nan]</t>
  </si>
  <si>
    <t>[19.86, 21.97, 14.29, 11.11]</t>
  </si>
  <si>
    <t>[146.39, nan, nan, nan]</t>
  </si>
  <si>
    <t>[nan, nan, nan, 40.74]</t>
  </si>
  <si>
    <t>[nan, nan, nan, 14.59]</t>
  </si>
  <si>
    <t>[26.26, 25.86, 22.7, 14.34]</t>
  </si>
  <si>
    <t>[22.46, 19.81, 16.62, nan]</t>
  </si>
  <si>
    <t>[22.63, 38.9, 53.27, nan]</t>
  </si>
  <si>
    <t>[68.28, 72.33, 89.01, 30.99]</t>
  </si>
  <si>
    <t>[129.7, 22.87, 19.35, 16.99]</t>
  </si>
  <si>
    <t>[18.58, 11.17, 15.77, 16.7]</t>
  </si>
  <si>
    <t>[15.02, 17.42, 15.33, 24.28]</t>
  </si>
  <si>
    <t>[6.93, nan, nan, nan]</t>
  </si>
  <si>
    <t>[nan, 151.41, 79.34, 14.89]</t>
  </si>
  <si>
    <t>[16.7, 18.68, 37.36, nan]</t>
  </si>
  <si>
    <t>[24.73, 21.38, 21.31, 14.68]</t>
  </si>
  <si>
    <t>[12.84, 42.32, 54.24, nan]</t>
  </si>
  <si>
    <t>[17.01, 23.03, 18.92, nan]</t>
  </si>
  <si>
    <t>[0.14, nan, nan, nan]</t>
  </si>
  <si>
    <t>[1.38, 24.94, nan, nan]</t>
  </si>
  <si>
    <t>[35.38, 26.11, 37.25, 216.91]</t>
  </si>
  <si>
    <t>[37.16, 30.99, 52.72, 57.62]</t>
  </si>
  <si>
    <t>[22.54, 71.86, 16.03, 15.83]</t>
  </si>
  <si>
    <t>[10.01, 8.27, 12.31, 11.38]</t>
  </si>
  <si>
    <t>[16.03, 11.14, 32.06, 26.8]</t>
  </si>
  <si>
    <t>[16.32, 53.01, nan, nan]</t>
  </si>
  <si>
    <t>[41.07, nan, nan, nan]</t>
  </si>
  <si>
    <t>[10.94, 44.15, 169.84, nan]</t>
  </si>
  <si>
    <t>[12.05, 7.03, 258.23, 10.47]</t>
  </si>
  <si>
    <t>[11.27, 11.31, 27.11, 17.73]</t>
  </si>
  <si>
    <t>[80.61, 12.55, 105.91, 18.62]</t>
  </si>
  <si>
    <t>[nan, nan, 16.46, nan]</t>
  </si>
  <si>
    <t>[141.44, nan, nan, nan]</t>
  </si>
  <si>
    <t>[nan, nan, 42.61, nan]</t>
  </si>
  <si>
    <t>[nan, 16.11, nan, nan]</t>
  </si>
  <si>
    <t>[51.86, 60.82, nan, nan]</t>
  </si>
  <si>
    <t>[19.99, 107.62, nan, nan]</t>
  </si>
  <si>
    <t>[3.7, nan, nan, nan]</t>
  </si>
  <si>
    <t>[nan, 12.27, nan, nan]</t>
  </si>
  <si>
    <t>[53.34, 43.53, 57.8, 122.9]</t>
  </si>
  <si>
    <t>[61.72, 45.32, 55.19, 98.05]</t>
  </si>
  <si>
    <t>[nan, nan, 360.27, nan]</t>
  </si>
  <si>
    <t>[11.63, 80.53, 20.59, 32.99]</t>
  </si>
  <si>
    <t>[81.93, 18.36, 211.21, nan]</t>
  </si>
  <si>
    <t>[6.66, 23.8, 23.95, 23.12]</t>
  </si>
  <si>
    <t>[33.64, 32.38, 44.66, nan]</t>
  </si>
  <si>
    <t>[468.98, 126.16, 75.05, nan]</t>
  </si>
  <si>
    <t>[10.5, 7.97, 30.66, nan]</t>
  </si>
  <si>
    <t>[21.98, 24.16, 21.19, 25.66]</t>
  </si>
  <si>
    <t>[19.86, 29.79, 34.35, nan]</t>
  </si>
  <si>
    <t>[nan, 16.25, 78.78, 43.5]</t>
  </si>
  <si>
    <t>[267.25, 17.97, 11.32, nan]</t>
  </si>
  <si>
    <t>[26.3, 13.39, 939.72, nan]</t>
  </si>
  <si>
    <t>[28.37, 37.09, 24.28, 20.72]</t>
  </si>
  <si>
    <t>[nan, 13.47, nan, nan]</t>
  </si>
  <si>
    <t>[54.66, 33.92, 19.35, 16.37]</t>
  </si>
  <si>
    <t>[12.1, nan, nan, nan]</t>
  </si>
  <si>
    <t>[17.71, 11.74, 9.62, nan]</t>
  </si>
  <si>
    <t>[159.6, nan, nan, nan]</t>
  </si>
  <si>
    <t>[18.96, nan, nan, nan]</t>
  </si>
  <si>
    <t>[115.71, nan, nan, nan]</t>
  </si>
  <si>
    <t>[29.92, 19.04, 246.51, nan]</t>
  </si>
  <si>
    <t>[36.45, nan, nan, nan]</t>
  </si>
  <si>
    <t>[21.12, 15.76, 20.63, 15.14]</t>
  </si>
  <si>
    <t>[13.51, 58.41, 279.64, nan]</t>
  </si>
  <si>
    <t>[858.75, nan, 241.07, nan]</t>
  </si>
  <si>
    <t>[12.88, nan, nan, nan]</t>
  </si>
  <si>
    <t>[9.95, 12.48, nan, 48.43]</t>
  </si>
  <si>
    <t>[22.26, 24.47, 33.15, 29.33]</t>
  </si>
  <si>
    <t>[110.92, nan, 34.09, nan]</t>
  </si>
  <si>
    <t>[72.61, 108.87, 81.86, 85.95]</t>
  </si>
  <si>
    <t>[nan, nan, 20.12, nan]</t>
  </si>
  <si>
    <t>[nan, 16.04, 11.21, 14.3]</t>
  </si>
  <si>
    <t>[nan, nan, 12.37, nan]</t>
  </si>
  <si>
    <t>[nan, nan, nan, 60.81]</t>
  </si>
  <si>
    <t>[nan, 70.14, 7.51, nan]</t>
  </si>
  <si>
    <t>[9.99, 56.84, 39.5, nan]</t>
  </si>
  <si>
    <t>[104.35, 10.84, nan, nan]</t>
  </si>
  <si>
    <t>[8.76, nan, nan, nan]</t>
  </si>
  <si>
    <t>[7.5, 21.72, 22.77, 30.76]</t>
  </si>
  <si>
    <t>[52.22, 111.12, 188.42, nan]</t>
  </si>
  <si>
    <t>[17.59, 9.32, 9.57, nan]</t>
  </si>
  <si>
    <t>[6.77, 9.02, 9.25, nan]</t>
  </si>
  <si>
    <t>[19.99, 81.52, nan, nan]</t>
  </si>
  <si>
    <t>[43.9, nan, 54.61, nan]</t>
  </si>
  <si>
    <t>[18.35, 128.5, nan, nan]</t>
  </si>
  <si>
    <t>[605.78, 12.87, 14.96, nan]</t>
  </si>
  <si>
    <t>[21.9, 21.98, 46.59, 66.68]</t>
  </si>
  <si>
    <t>[nan, 114.11, 141.2, 240.15]</t>
  </si>
  <si>
    <t>[29.18, 25.08, 20.44, 28.86]</t>
  </si>
  <si>
    <t>[14.15, 25.68, 33.51, nan]</t>
  </si>
  <si>
    <t>[57.95, 84.3, 74.33, 14.45]</t>
  </si>
  <si>
    <t>[95.48, 77.37, 689.86, nan]</t>
  </si>
  <si>
    <t>[315.28, nan, nan, nan]</t>
  </si>
  <si>
    <t>[nan, 259.69, nan, nan]</t>
  </si>
  <si>
    <t>[16.39, 10.52, 12.95, 10.66]</t>
  </si>
  <si>
    <t>[29.55, 7.29, 43.26, nan]</t>
  </si>
  <si>
    <t>[460.31, 96.44, nan, nan]</t>
  </si>
  <si>
    <t>[13.92, 22.43, 29.19, nan]</t>
  </si>
  <si>
    <t>[nan, 50.22, 12.86, 10.04]</t>
  </si>
  <si>
    <t>[nan, nan, 174.02, nan]</t>
  </si>
  <si>
    <t>[16.14, 11.33, 74.6, nan]</t>
  </si>
  <si>
    <t>[25.42, 11.25, 11.37, 9.43]</t>
  </si>
  <si>
    <t>[287.29, 16.71, 9.84, nan]</t>
  </si>
  <si>
    <t>[35.39, 338.55, 52.05, nan]</t>
  </si>
  <si>
    <t>[nan, nan, 35.94, nan]</t>
  </si>
  <si>
    <t>[47.98, 12.24, 18.86, 21.44]</t>
  </si>
  <si>
    <t>[nan, 21.29, nan, nan]</t>
  </si>
  <si>
    <t>[45.71, 21.72, 14.93, nan]</t>
  </si>
  <si>
    <t>[71.33, nan, 14.7, 10.74]</t>
  </si>
  <si>
    <t>[nan, nan, 167.61, nan]</t>
  </si>
  <si>
    <t>[30.23, 54.53, nan, nan]</t>
  </si>
  <si>
    <t>[19.02, nan, 235.33, nan]</t>
  </si>
  <si>
    <t>[0.92, nan, nan, 32.43]</t>
  </si>
  <si>
    <t>[72.84, 12.67, 14.17, 14.48]</t>
  </si>
  <si>
    <t>[nan, 65.6, 45.02, nan]</t>
  </si>
  <si>
    <t>[nan, 96.15, 59.85, nan]</t>
  </si>
  <si>
    <t>[25.84, nan, 10.23, nan]</t>
  </si>
  <si>
    <t>[23.47, 13.76, 8.49, nan]</t>
  </si>
  <si>
    <t>[242.49, 13.91, 14.37, 15.45]</t>
  </si>
  <si>
    <t>[14.23, 27.05, 30.62, nan]</t>
  </si>
  <si>
    <t>[15.75, 8.6, 10.26, nan]</t>
  </si>
  <si>
    <t>[12.42, nan, nan, nan]</t>
  </si>
  <si>
    <t>[22.41, 20.88, 21.08, nan]</t>
  </si>
  <si>
    <t>[12.46, 78.04, nan, nan]</t>
  </si>
  <si>
    <t>[nan, 12.8, 16.23, 31.27]</t>
  </si>
  <si>
    <t>[48.28, nan, nan, nan]</t>
  </si>
  <si>
    <t>[nan, nan, 95.41, nan]</t>
  </si>
  <si>
    <t>[nan, 167.96, 92.94, nan]</t>
  </si>
  <si>
    <t>[24.79, 78.42, nan, nan]</t>
  </si>
  <si>
    <t>[nan, 7.65, nan, nan]</t>
  </si>
  <si>
    <t>[40.27, 17.97, 27.47, 28.95]</t>
  </si>
  <si>
    <t>[nan, nan, 86.43, 46.65]</t>
  </si>
  <si>
    <t>[9.01, nan, nan, nan]</t>
  </si>
  <si>
    <t>[17.52, 25.66, 32.59, nan]</t>
  </si>
  <si>
    <t>[38.63, 28.74, 7.85, nan]</t>
  </si>
  <si>
    <t>[73.96, nan, nan, nan]</t>
  </si>
  <si>
    <t>[32.07, 6.92, nan, nan]</t>
  </si>
  <si>
    <t>[26.27, 15.61, 18.75, 75.66]</t>
  </si>
  <si>
    <t>[nan, 28.45, 94.77, nan]</t>
  </si>
  <si>
    <t>[15.39, 27.32, 20.89, nan]</t>
  </si>
  <si>
    <t>[36.93, 18.3, 21.69, 14.08]</t>
  </si>
  <si>
    <t>[nan, nan, 102.46, nan]</t>
  </si>
  <si>
    <t>[75.22, nan, 91.0, nan]</t>
  </si>
  <si>
    <t>[32.61, nan, nan, nan]</t>
  </si>
  <si>
    <t>[27.28, 95.95, 75.3, 283.56]</t>
  </si>
  <si>
    <t>[nan, 32.29, 93.94, nan]</t>
  </si>
  <si>
    <t>[nan, 17.16, nan, nan]</t>
  </si>
  <si>
    <t>[nan, nan, 129.63, nan]</t>
  </si>
  <si>
    <t>[13.57, 10.54, 22.7, 37.85]</t>
  </si>
  <si>
    <t>[28.14, 20.92, 14.85, 16.34]</t>
  </si>
  <si>
    <t>[25.04, 20.44, 24.82, nan]</t>
  </si>
  <si>
    <t>[nan, nan, 10.42, nan]</t>
  </si>
  <si>
    <t>[nan, nan, 440.09, nan]</t>
  </si>
  <si>
    <t>[nan, 31.69, 52.4, nan]</t>
  </si>
  <si>
    <t>[39.24, 54.51, 103.67, nan]</t>
  </si>
  <si>
    <t>[7.55, nan, nan, nan]</t>
  </si>
  <si>
    <t>[61.9, 80.56, nan, nan]</t>
  </si>
  <si>
    <t>[90.73, 38.67, nan, nan]</t>
  </si>
  <si>
    <t>[40.65, 7.69, nan, nan]</t>
  </si>
  <si>
    <t>[23.17, 36.29, 192.37, nan]</t>
  </si>
  <si>
    <t>[nan, nan, nan, 7.74]</t>
  </si>
  <si>
    <t>[nan, nan, 64.92, nan]</t>
  </si>
  <si>
    <t>[nan, nan, 19.86, nan]</t>
  </si>
  <si>
    <t>[97.42, 16.25, 16.14, nan]</t>
  </si>
  <si>
    <t>[nan, nan, 19.43, 14.17]</t>
  </si>
  <si>
    <t>[nan, nan, nan, 11.03]</t>
  </si>
  <si>
    <t>[nan, 186.13, 22.98, nan]</t>
  </si>
  <si>
    <t>[nan, nan, 110.86, nan]</t>
  </si>
  <si>
    <t>[11.18, 8.98, 21.4, nan]</t>
  </si>
  <si>
    <t>[22.83, 29.97, 29.2, nan]</t>
  </si>
  <si>
    <t>[15.05, 36.12, nan, nan]</t>
  </si>
  <si>
    <t>[nan, nan, 27.91, nan]</t>
  </si>
  <si>
    <t>[63.16, nan, nan, nan]</t>
  </si>
  <si>
    <t>[26.21, 9.16, 25.32, nan]</t>
  </si>
  <si>
    <t>[73.03, 33.36, nan, nan]</t>
  </si>
  <si>
    <t>[nan, 163.77, nan, nan]</t>
  </si>
  <si>
    <t>[nan, 45.73, 29.48, 60.56]</t>
  </si>
  <si>
    <t>[48.14, 20.36, nan, nan]</t>
  </si>
  <si>
    <t>[38.24, 8.99, 10.72, 2019.63]</t>
  </si>
  <si>
    <t>[9.74, 18.7, 13.89, nan]</t>
  </si>
  <si>
    <t>[nan, nan, 11.35, 38.71]</t>
  </si>
  <si>
    <t>[nan, nan, 12.57, nan]</t>
  </si>
  <si>
    <t>[nan, 17.89, 49.13, nan]</t>
  </si>
  <si>
    <t>[26.94, 19.52, 19.77, 20.66]</t>
  </si>
  <si>
    <t>[25.38, 41.28, nan, nan]</t>
  </si>
  <si>
    <t>[52.66, nan, nan, nan]</t>
  </si>
  <si>
    <t>[8.28, 6.28, 27.44, 10.26]</t>
  </si>
  <si>
    <t>[54.68, 101.72, nan, nan]</t>
  </si>
  <si>
    <t>[15.8, 34.39, nan, 8.05]</t>
  </si>
  <si>
    <t>[18.28, 11.16, 16.8, 10.5]</t>
  </si>
  <si>
    <t>[23.45, 24.45, 15.72, 17.08]</t>
  </si>
  <si>
    <t>[11.77, 13.41, 10.74, nan]</t>
  </si>
  <si>
    <t>[26.5, 24.18, 16.14, nan]</t>
  </si>
  <si>
    <t>[nan, 20.34, nan, nan]</t>
  </si>
  <si>
    <t>[269.82, 39.13, 30.15, 10.89]</t>
  </si>
  <si>
    <t>[7.92, 52.26, 143.18, nan]</t>
  </si>
  <si>
    <t>[nan, nan, 75.89, nan]</t>
  </si>
  <si>
    <t>[2.8, nan, nan, nan]</t>
  </si>
  <si>
    <t>[nan, nan, 8179.24, nan]</t>
  </si>
  <si>
    <t>[15.93, 11.97, 865.37, nan]</t>
  </si>
  <si>
    <t>[22.08, 13.66, 15.07, nan]</t>
  </si>
  <si>
    <t>[nan, 17.26, nan, nan]</t>
  </si>
  <si>
    <t>[14.31, nan, nan, nan]</t>
  </si>
  <si>
    <t>[nan, 16.29, 5634.65, 27.65]</t>
  </si>
  <si>
    <t>[341.02, 18.84, nan, nan]</t>
  </si>
  <si>
    <t>[18.96, 24.64, 795.0, nan]</t>
  </si>
  <si>
    <t>[nan, nan, 118.27, nan]</t>
  </si>
  <si>
    <t>[180.38, nan, nan, nan]</t>
  </si>
  <si>
    <t>[338.76, nan, nan, nan]</t>
  </si>
  <si>
    <t>[30.57, 38.4, 48.4, nan]</t>
  </si>
  <si>
    <t>[18.75, 17.99, 66.55, 12.13]</t>
  </si>
  <si>
    <t>[94.85, nan, 43.57, nan]</t>
  </si>
  <si>
    <t>[86.6, 947.1, 123.04, 78.26]</t>
  </si>
  <si>
    <t>[765.02, nan, 165.55, nan]</t>
  </si>
  <si>
    <t>[48.76, nan, nan, nan]</t>
  </si>
  <si>
    <t>[nan, 50.2, 101.74, nan]</t>
  </si>
  <si>
    <t>[93.21, nan, 87.06, nan]</t>
  </si>
  <si>
    <t>[nan, 17.73, 14.72, nan]</t>
  </si>
  <si>
    <t>[nan, 37.83, 41.23, nan]</t>
  </si>
  <si>
    <t>[17.42, 17.07, 14.91, nan]</t>
  </si>
  <si>
    <t>[57.55, nan, nan, nan]</t>
  </si>
  <si>
    <t>[153.24, 306.13, 213.43, nan]</t>
  </si>
  <si>
    <t>[20.16, 19.9, 11.35, nan]</t>
  </si>
  <si>
    <t>[8.83, 8.92, 20.79, nan]</t>
  </si>
  <si>
    <t>[nan, 291.58, 31.83, nan]</t>
  </si>
  <si>
    <t>[nan, nan, 41.49, nan]</t>
  </si>
  <si>
    <t>[nan, nan, 6.45, 14.93]</t>
  </si>
  <si>
    <t>[nan, 559.04, nan, nan]</t>
  </si>
  <si>
    <t>[61.86, 72.3, 85.93, 53.43]</t>
  </si>
  <si>
    <t>[nan, nan, 85.78, nan]</t>
  </si>
  <si>
    <t>[14.66, 14.71, 17.32, nan]</t>
  </si>
  <si>
    <t>[21.33, 43.29, 74.52, nan]</t>
  </si>
  <si>
    <t>[37.16, nan, nan, nan]</t>
  </si>
  <si>
    <t>[nan, 12.3, 62.11, nan]</t>
  </si>
  <si>
    <t>[6739.04, nan, nan, nan]</t>
  </si>
  <si>
    <t>[nan, 43.76, nan, nan]</t>
  </si>
  <si>
    <t>[754.06, 58.46, nan, nan]</t>
  </si>
  <si>
    <t>[181.29, 21.69, nan, nan]</t>
  </si>
  <si>
    <t>[nan, nan, 26.35, nan]</t>
  </si>
  <si>
    <t>[793.43, 42.95, 51.61, nan]</t>
  </si>
  <si>
    <t>[499.12, 483.43, nan, nan]</t>
  </si>
  <si>
    <t>[nan, nan, 34.42, nan]</t>
  </si>
  <si>
    <t>[nan, 14.98, 18.9, 16.33]</t>
  </si>
  <si>
    <t>[nan, 13.45, 12.3, 15.24]</t>
  </si>
  <si>
    <t>[8.22, nan, nan, nan]</t>
  </si>
  <si>
    <t>[nan, nan, 83.98, nan]</t>
  </si>
  <si>
    <t>[nan, nan, nan, 18.82]</t>
  </si>
  <si>
    <t>[nan, 68.72, nan, nan]</t>
  </si>
  <si>
    <t>[23.5, 23.7, 21.4, nan]</t>
  </si>
  <si>
    <t>[31.29, 8.97, 18.15, nan]</t>
  </si>
  <si>
    <t>[nan, 281.57, 418.01, nan]</t>
  </si>
  <si>
    <t>[nan, nan, 18.68, nan]</t>
  </si>
  <si>
    <t>[25.91, 21.1, 21.2, nan]</t>
  </si>
  <si>
    <t>[16.68, 60.38, 77.18, nan]</t>
  </si>
  <si>
    <t>[17.89, 90.56, 172.41, nan]</t>
  </si>
  <si>
    <t>[56.21, 33.07, 24.2, nan]</t>
  </si>
  <si>
    <t>[24.91, 17.22, 34.28, nan]</t>
  </si>
  <si>
    <t>[174.72, 42.05, nan, nan]</t>
  </si>
  <si>
    <t>[15.11, 11.26, 13.3, nan]</t>
  </si>
  <si>
    <t>[nan, 39.23, 13.21, 10.55]</t>
  </si>
  <si>
    <t>[nan, 56.6, 37.88, nan]</t>
  </si>
  <si>
    <t>[63.48, 52.15, 100.49, nan]</t>
  </si>
  <si>
    <t>[nan, nan, 163.39, 191.17]</t>
  </si>
  <si>
    <t>[nan, nan, 67.71, nan]</t>
  </si>
  <si>
    <t>[24.6, 69.56, 7.71, 18.79]</t>
  </si>
  <si>
    <t>[13.16, 12.19, 13.22, 12.94]</t>
  </si>
  <si>
    <t>[17.27, 8.38, nan, nan]</t>
  </si>
  <si>
    <t>[11.41, 7.43, 31.85, nan]</t>
  </si>
  <si>
    <t>[10.17, 8.61, 17.49, nan]</t>
  </si>
  <si>
    <t>[nan, 15.4, 30.93, nan]</t>
  </si>
  <si>
    <t>[11.68, 10.77, 18.0, 33.15]</t>
  </si>
  <si>
    <t>[51.26, nan, nan, nan]</t>
  </si>
  <si>
    <t>[11.1, 48.64, nan, nan]</t>
  </si>
  <si>
    <t>[27.38, nan, 62.76, nan]</t>
  </si>
  <si>
    <t>[nan, nan, 220.67, nan]</t>
  </si>
  <si>
    <t>[nan, nan, 16.1, nan]</t>
  </si>
  <si>
    <t>[38.57, 86.24, nan, nan]</t>
  </si>
  <si>
    <t>[3.55, 10.28, 26.67, 10.96]</t>
  </si>
  <si>
    <t>[42.32, 26.69, 48.87, 61.75]</t>
  </si>
  <si>
    <t>[16.56, 12.1, 20.3, nan]</t>
  </si>
  <si>
    <t>[12.11, 11.6, 10.67, nan]</t>
  </si>
  <si>
    <t>[52.23, 17.86, 28.95, nan]</t>
  </si>
  <si>
    <t>[14.49, 57.74, 10.45, nan]</t>
  </si>
  <si>
    <t>[nan, 45.9, nan, nan]</t>
  </si>
  <si>
    <t>[nan, 15.44, 23.94, nan]</t>
  </si>
  <si>
    <t>[nan, 62.0, nan, nan]</t>
  </si>
  <si>
    <t>[134.65, nan, nan, nan]</t>
  </si>
  <si>
    <t>[nan, 15.02, 14.73, nan]</t>
  </si>
  <si>
    <t>[nan, nan, 60.11, nan]</t>
  </si>
  <si>
    <t>[nan, 8.38, 15.36, 8.96]</t>
  </si>
  <si>
    <t>[198.89, nan, nan, nan]</t>
  </si>
  <si>
    <t>[8.34, 217.6, 38.0, nan]</t>
  </si>
  <si>
    <t>[nan, 39.76, 95.92, nan]</t>
  </si>
  <si>
    <t>[19.14, 11.77, 12.04, 13.16]</t>
  </si>
  <si>
    <t>[nan, nan, 23.48, nan]</t>
  </si>
  <si>
    <t>[nan, 16.05, nan, 131.17]</t>
  </si>
  <si>
    <t>[29.84, 20.0, 57.96, nan]</t>
  </si>
  <si>
    <t>[nan, 108.47, nan, nan]</t>
  </si>
  <si>
    <t>[nan, 33.66, 25.93, nan]</t>
  </si>
  <si>
    <t>[27.36, 21.79, 31.54, nan]</t>
  </si>
  <si>
    <t>[nan, nan, 113.44, nan]</t>
  </si>
  <si>
    <t>[nan, nan, 9.18, nan]</t>
  </si>
  <si>
    <t>[nan, 21.54, 21.19, nan]</t>
  </si>
  <si>
    <t>[29.21, 30.52, 27.61, nan]</t>
  </si>
  <si>
    <t>[37.38, 45.88, 65.57, nan]</t>
  </si>
  <si>
    <t>[12.12, 17.16, 11.77, 16.92]</t>
  </si>
  <si>
    <t>[nan, 71.32, 56.01, nan]</t>
  </si>
  <si>
    <t>[18.85, nan, nan, nan]</t>
  </si>
  <si>
    <t>[nan, 13.37, 74.35, nan]</t>
  </si>
  <si>
    <t>[nan, nan, 22.47, 26.52]</t>
  </si>
  <si>
    <t>[nan, nan, 46.7, nan]</t>
  </si>
  <si>
    <t>[nan, 1194.24, 14.85, nan]</t>
  </si>
  <si>
    <t>[nan, nan, 55.01, nan]</t>
  </si>
  <si>
    <t>[50.81, 23.6, 28.05, nan]</t>
  </si>
  <si>
    <t>[nan, nan, 1046.55, nan]</t>
  </si>
  <si>
    <t>[59.4, 79.51, 13.68, nan]</t>
  </si>
  <si>
    <t>[49.33, nan, nan, nan]</t>
  </si>
  <si>
    <t>[nan, nan, 18.85, nan]</t>
  </si>
  <si>
    <t>[27.69, 17.9, 42.59, nan]</t>
  </si>
  <si>
    <t>[22.03, 54.21, nan, nan]</t>
  </si>
  <si>
    <t>[nan, 7.58, 15.88, nan]</t>
  </si>
  <si>
    <t>[77.8, 13.8, 9.34, nan]</t>
  </si>
  <si>
    <t>[51.17, 35.45, nan, nan]</t>
  </si>
  <si>
    <t>[22.85, nan, 68.89, nan]</t>
  </si>
  <si>
    <t>[63.47, nan, nan, nan]</t>
  </si>
  <si>
    <t>[26.9, 16.31, 10.49, nan]</t>
  </si>
  <si>
    <t>[nan, 47.78, 177.22, nan]</t>
  </si>
  <si>
    <t>[nan, 9.31, 55.14, nan]</t>
  </si>
  <si>
    <t>[nan, 16.73, nan, nan]</t>
  </si>
  <si>
    <t>[35.71, 117.43, nan, nan]</t>
  </si>
  <si>
    <t>[17.99, nan, nan, nan]</t>
  </si>
  <si>
    <t>[nan, nan, 45.95, nan]</t>
  </si>
  <si>
    <t>[nan, nan, nan, 97.86]</t>
  </si>
  <si>
    <t>[nan, nan, 24.32, nan]</t>
  </si>
  <si>
    <t>[22.28, 32.81, 118.42, nan]</t>
  </si>
  <si>
    <t>[11.91, 14.59, 8.96, nan]</t>
  </si>
  <si>
    <t>[nan, 17.69, 13.73, nan]</t>
  </si>
  <si>
    <t>[nan, nan, 15.86, 34.96]</t>
  </si>
  <si>
    <t>[21.71, 14.74, 18.57, nan]</t>
  </si>
  <si>
    <t>[nan, 6.09, 78.45, nan]</t>
  </si>
  <si>
    <t>[14.46, 13.84, 23.68, nan]</t>
  </si>
  <si>
    <t>[nan, 654.99, nan, 112.42]</t>
  </si>
  <si>
    <t>[6.94, 21.45, 22.24, nan]</t>
  </si>
  <si>
    <t>[nan, nan, 16.87, 9.57]</t>
  </si>
  <si>
    <t>[14.25, 11.06, 14.33, 17.13]</t>
  </si>
  <si>
    <t>[44.9, nan, 15.41, 67.27]</t>
  </si>
  <si>
    <t>[nan, 39.7, 10.68, nan]</t>
  </si>
  <si>
    <t>[nan, 41.56, nan, nan]</t>
  </si>
  <si>
    <t>[60.73, nan, nan, nan]</t>
  </si>
  <si>
    <t>[8.7, nan, 15.6, nan]</t>
  </si>
  <si>
    <t>[35.22, 18.12, 32.96, nan]</t>
  </si>
  <si>
    <t>[35.64, 54.28, 22.13, nan]</t>
  </si>
  <si>
    <t>[17.33, 35.63, 110.81, nan]</t>
  </si>
  <si>
    <t>[nan, 59.07, 9.8, nan]</t>
  </si>
  <si>
    <t>[24.93, 16.36, nan, nan]</t>
  </si>
  <si>
    <t>[36.91, 19.23, 30.93, nan]</t>
  </si>
  <si>
    <t>[5.92, 49.12, 62.16, nan]</t>
  </si>
  <si>
    <t>[8.22, 9.99, 7.6, nan]</t>
  </si>
  <si>
    <t>[15.94, 34.65, 48.3, 37.37]</t>
  </si>
  <si>
    <t>[nan, 60.46, nan, nan]</t>
  </si>
  <si>
    <t>[12.46, nan, nan, nan]</t>
  </si>
  <si>
    <t>[62.84, 79.97, 30.0, 28.36]</t>
  </si>
  <si>
    <t>[nan, 22.14, nan, nan]</t>
  </si>
  <si>
    <t>[11.79, 5.78, 45.58, nan]</t>
  </si>
  <si>
    <t>[178.64, nan, nan, nan]</t>
  </si>
  <si>
    <t>[67.06, nan, nan, nan]</t>
  </si>
  <si>
    <t>[7.57, nan, nan, nan]</t>
  </si>
  <si>
    <t>[nan, 45.57, 90.2, nan]</t>
  </si>
  <si>
    <t>[24.56, 7.88, 14.71, nan]</t>
  </si>
  <si>
    <t>[nan, 14.68, 17.27, nan]</t>
  </si>
  <si>
    <t>[7.37, 3.91, 18.61, nan]</t>
  </si>
  <si>
    <t>[32.0, 38.0, 51.84, nan]</t>
  </si>
  <si>
    <t>[nan, nan, nan, 16.58]</t>
  </si>
  <si>
    <t>[nan, 38.65, 43.89, nan]</t>
  </si>
  <si>
    <t>[18.83, nan, nan, nan]</t>
  </si>
  <si>
    <t>[13.29, 11.78, 12.36, 39.12]</t>
  </si>
  <si>
    <t>[9.19, nan, 18.26, nan]</t>
  </si>
  <si>
    <t>38</t>
  </si>
  <si>
    <t>17</t>
  </si>
  <si>
    <t>2</t>
  </si>
  <si>
    <t>4</t>
  </si>
  <si>
    <t>132</t>
  </si>
  <si>
    <t>74</t>
  </si>
  <si>
    <t>458</t>
  </si>
  <si>
    <t>16288</t>
  </si>
  <si>
    <t>70</t>
  </si>
  <si>
    <t>0</t>
  </si>
  <si>
    <t>51</t>
  </si>
  <si>
    <t>201</t>
  </si>
  <si>
    <t>6</t>
  </si>
  <si>
    <t>-21</t>
  </si>
  <si>
    <t>-215</t>
  </si>
  <si>
    <t>-122</t>
  </si>
  <si>
    <t>-33</t>
  </si>
  <si>
    <t>-58</t>
  </si>
  <si>
    <t>-32</t>
  </si>
  <si>
    <t>-60</t>
  </si>
  <si>
    <t>838</t>
  </si>
  <si>
    <t>-16</t>
  </si>
  <si>
    <t>-40</t>
  </si>
  <si>
    <t>-51</t>
  </si>
  <si>
    <t>-49</t>
  </si>
  <si>
    <t>-74</t>
  </si>
  <si>
    <t>name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</si>
  <si>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</si>
  <si>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</si>
  <si>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</si>
  <si>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</si>
  <si>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</si>
  <si>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</si>
  <si>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</si>
  <si>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</si>
  <si>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</si>
  <si>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</si>
  <si>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</si>
  <si>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 xml:space="preserve"> &lt; 동종업계per</t>
  </si>
  <si>
    <t>EPS(원)</t>
  </si>
  <si>
    <t>eps</t>
  </si>
  <si>
    <t>eps증가율</t>
  </si>
  <si>
    <t>eps증가율기하평균</t>
  </si>
  <si>
    <t>시가총액(억)</t>
  </si>
  <si>
    <t>거래량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</si>
  <si>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</si>
  <si>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</si>
  <si>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</si>
  <si>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</si>
  <si>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</si>
  <si>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</si>
  <si>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</si>
  <si>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</si>
  <si>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</si>
  <si>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시가총액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</si>
</sst>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36"/>
  <sheetViews>
    <sheetView tabSelected="1" workbookViewId="0"/>
  </sheetViews>
  <sheetFormatPr defaultRowHeight="15"/>
  <sheetData>
    <row r="1" spans="1:28">
      <c r="B1" s="1" t="s">
        <v>10227</v>
      </c>
      <c r="C1" s="1" t="s">
        <v>10228</v>
      </c>
      <c r="D1" s="1" t="s">
        <v>10229</v>
      </c>
      <c r="E1" s="1" t="s">
        <v>10230</v>
      </c>
      <c r="F1" s="1" t="s">
        <v>10231</v>
      </c>
      <c r="G1" s="1" t="s">
        <v>10232</v>
      </c>
      <c r="H1" s="1" t="s">
        <v>10233</v>
      </c>
      <c r="I1" s="1" t="s">
        <v>10234</v>
      </c>
      <c r="J1" s="1" t="s">
        <v>10235</v>
      </c>
      <c r="K1" s="1" t="s">
        <v>10236</v>
      </c>
      <c r="L1" s="1" t="s">
        <v>10237</v>
      </c>
      <c r="M1" s="1" t="s">
        <v>10238</v>
      </c>
      <c r="N1" s="1" t="s">
        <v>10239</v>
      </c>
      <c r="O1" s="1" t="s">
        <v>10240</v>
      </c>
      <c r="P1" s="1" t="s">
        <v>10241</v>
      </c>
      <c r="Q1" s="1" t="s">
        <v>10242</v>
      </c>
      <c r="R1" s="1" t="s">
        <v>10243</v>
      </c>
      <c r="S1" s="1" t="s">
        <v>10255</v>
      </c>
      <c r="T1" s="1" t="s">
        <v>10245</v>
      </c>
      <c r="U1" s="1" t="s">
        <v>10246</v>
      </c>
      <c r="V1" s="1" t="s">
        <v>10247</v>
      </c>
      <c r="W1" s="1" t="s">
        <v>10248</v>
      </c>
      <c r="X1" s="1" t="s">
        <v>10249</v>
      </c>
      <c r="Y1" s="1" t="s">
        <v>10250</v>
      </c>
      <c r="Z1" s="1" t="s">
        <v>10251</v>
      </c>
      <c r="AA1" s="1" t="s">
        <v>10252</v>
      </c>
      <c r="AB1" s="1" t="s">
        <v>10253</v>
      </c>
    </row>
    <row r="2" spans="1:28">
      <c r="A2" s="2">
        <f>HYPERLINK("https://finance.naver.com/item/coinfo.nhn?code=095570", "A095570")</f>
        <v>0</v>
      </c>
      <c r="B2">
        <f>HYPERLINK("http://comp.fnguide.com/SVO2/ASP/SVD_Consensus.asp?pGB=1&amp;gicode=A095570&amp;cID=&amp;MenuYn=Y&amp;ReportGB=&amp;NewMenuID=108&amp;stkGb=701", "AJ네트웍스")</f>
        <v>0</v>
      </c>
      <c r="C2">
        <v>3</v>
      </c>
      <c r="D2">
        <v>4550</v>
      </c>
      <c r="E2">
        <v>0.25</v>
      </c>
      <c r="F2">
        <v>5.06</v>
      </c>
      <c r="G2">
        <v>7546</v>
      </c>
      <c r="H2">
        <v>7214</v>
      </c>
      <c r="I2">
        <v>7120</v>
      </c>
      <c r="J2">
        <v>-65.84</v>
      </c>
      <c r="K2">
        <v>-58.56</v>
      </c>
      <c r="L2">
        <v>-56.48</v>
      </c>
      <c r="M2">
        <v>8.6</v>
      </c>
      <c r="N2" t="b">
        <v>1</v>
      </c>
      <c r="O2">
        <v>982</v>
      </c>
      <c r="P2" t="s">
        <v>15</v>
      </c>
      <c r="Q2" t="s">
        <v>2233</v>
      </c>
      <c r="R2">
        <v>19.87917837256776</v>
      </c>
      <c r="S2">
        <v>2130</v>
      </c>
      <c r="T2">
        <v>222605</v>
      </c>
      <c r="U2" t="s">
        <v>3987</v>
      </c>
      <c r="V2">
        <v>72.18000000000001</v>
      </c>
      <c r="W2" t="s">
        <v>6207</v>
      </c>
      <c r="X2" t="s">
        <v>8393</v>
      </c>
      <c r="Y2">
        <v>12028</v>
      </c>
      <c r="Z2">
        <v>178</v>
      </c>
      <c r="AA2">
        <v>1284859</v>
      </c>
      <c r="AB2">
        <v>6.04</v>
      </c>
    </row>
    <row r="3" spans="1:28">
      <c r="A3" s="2">
        <f>HYPERLINK("https://finance.naver.com/item/coinfo.nhn?code=003480", "A003480")</f>
        <v>0</v>
      </c>
      <c r="B3">
        <f>HYPERLINK("http://comp.fnguide.com/SVO2/ASP/SVD_Consensus.asp?pGB=1&amp;gicode=A003480&amp;cID=&amp;MenuYn=Y&amp;ReportGB=&amp;NewMenuID=108&amp;stkGb=701", "한진중공업홀딩스")</f>
        <v>0</v>
      </c>
      <c r="C3">
        <v>3</v>
      </c>
      <c r="D3">
        <v>4065</v>
      </c>
      <c r="E3">
        <v>-0.04</v>
      </c>
      <c r="F3">
        <v>2.53</v>
      </c>
      <c r="G3">
        <v>8642</v>
      </c>
      <c r="H3">
        <v>11132</v>
      </c>
      <c r="I3">
        <v>11842</v>
      </c>
      <c r="J3">
        <v>-112.6</v>
      </c>
      <c r="K3">
        <v>-173.86</v>
      </c>
      <c r="L3">
        <v>-191.32</v>
      </c>
      <c r="M3">
        <v>5.39</v>
      </c>
      <c r="N3" t="b">
        <v>0</v>
      </c>
      <c r="O3">
        <v>1025</v>
      </c>
      <c r="P3" t="s">
        <v>16</v>
      </c>
      <c r="Q3" t="s">
        <v>2234</v>
      </c>
      <c r="R3">
        <v>-59.08545490904245</v>
      </c>
      <c r="S3">
        <v>1200</v>
      </c>
      <c r="T3">
        <v>72940</v>
      </c>
      <c r="U3" t="s">
        <v>3988</v>
      </c>
      <c r="V3">
        <v>48.37</v>
      </c>
      <c r="W3" t="s">
        <v>6208</v>
      </c>
      <c r="X3" t="s">
        <v>8394</v>
      </c>
      <c r="Y3">
        <v>8776</v>
      </c>
      <c r="Z3">
        <v>384</v>
      </c>
      <c r="AA3">
        <v>3440308</v>
      </c>
    </row>
    <row r="4" spans="1:28">
      <c r="A4" s="2">
        <f>HYPERLINK("https://finance.naver.com/item/coinfo.nhn?code=069640", "A069640")</f>
        <v>0</v>
      </c>
      <c r="B4">
        <f>HYPERLINK("http://comp.fnguide.com/SVO2/ASP/SVD_Consensus.asp?pGB=1&amp;gicode=A069640&amp;cID=&amp;MenuYn=Y&amp;ReportGB=&amp;NewMenuID=108&amp;stkGb=701", "한세엠케이")</f>
        <v>0</v>
      </c>
      <c r="C4">
        <v>3</v>
      </c>
      <c r="D4">
        <v>3350</v>
      </c>
      <c r="G4">
        <v>1919</v>
      </c>
      <c r="H4">
        <v>6297</v>
      </c>
      <c r="I4">
        <v>7545</v>
      </c>
      <c r="J4">
        <v>42.71</v>
      </c>
      <c r="K4">
        <v>-87.98</v>
      </c>
      <c r="L4">
        <v>-125.22</v>
      </c>
      <c r="M4">
        <v>1.66</v>
      </c>
      <c r="N4" t="b">
        <v>0</v>
      </c>
      <c r="O4">
        <v>-3391</v>
      </c>
      <c r="P4" t="s">
        <v>17</v>
      </c>
      <c r="Q4" t="s">
        <v>2235</v>
      </c>
      <c r="R4">
        <v>2.484823515474077</v>
      </c>
      <c r="S4">
        <v>432</v>
      </c>
      <c r="T4">
        <v>45025</v>
      </c>
      <c r="U4" t="s">
        <v>3989</v>
      </c>
      <c r="V4">
        <v>51.82</v>
      </c>
      <c r="W4" t="s">
        <v>6209</v>
      </c>
      <c r="X4" t="s">
        <v>8395</v>
      </c>
      <c r="Y4">
        <v>3075</v>
      </c>
      <c r="Z4">
        <v>-239</v>
      </c>
      <c r="AA4">
        <v>1981657</v>
      </c>
    </row>
    <row r="5" spans="1:28">
      <c r="A5" s="2">
        <f>HYPERLINK("https://finance.naver.com/item/coinfo.nhn?code=010420", "A010420")</f>
        <v>0</v>
      </c>
      <c r="B5">
        <f>HYPERLINK("http://comp.fnguide.com/SVO2/ASP/SVD_Consensus.asp?pGB=1&amp;gicode=A010420&amp;cID=&amp;MenuYn=Y&amp;ReportGB=&amp;NewMenuID=108&amp;stkGb=701", "한솔PNS")</f>
        <v>0</v>
      </c>
      <c r="C5">
        <v>3</v>
      </c>
      <c r="D5">
        <v>1630</v>
      </c>
      <c r="E5">
        <v>0.6</v>
      </c>
      <c r="F5">
        <v>11.26</v>
      </c>
      <c r="G5">
        <v>2104</v>
      </c>
      <c r="H5">
        <v>2045</v>
      </c>
      <c r="I5">
        <v>2028</v>
      </c>
      <c r="J5">
        <v>-29.09</v>
      </c>
      <c r="K5">
        <v>-25.45</v>
      </c>
      <c r="L5">
        <v>-24.42</v>
      </c>
      <c r="M5">
        <v>8.359999999999999</v>
      </c>
      <c r="N5" t="b">
        <v>1</v>
      </c>
      <c r="O5">
        <v>154</v>
      </c>
      <c r="P5" t="s">
        <v>18</v>
      </c>
      <c r="Q5" t="s">
        <v>2236</v>
      </c>
      <c r="R5">
        <v>18.8349587679008</v>
      </c>
      <c r="S5">
        <v>334</v>
      </c>
      <c r="T5">
        <v>140585</v>
      </c>
      <c r="U5" t="s">
        <v>3990</v>
      </c>
      <c r="V5">
        <v>46.07</v>
      </c>
      <c r="W5" t="s">
        <v>6210</v>
      </c>
      <c r="X5" t="s">
        <v>8396</v>
      </c>
      <c r="Y5">
        <v>2339</v>
      </c>
      <c r="Z5">
        <v>40</v>
      </c>
      <c r="AB5">
        <v>1.44</v>
      </c>
    </row>
    <row r="6" spans="1:28">
      <c r="A6" s="2">
        <f>HYPERLINK("https://finance.naver.com/item/coinfo.nhn?code=213500", "A213500")</f>
        <v>0</v>
      </c>
      <c r="B6">
        <f>HYPERLINK("http://comp.fnguide.com/SVO2/ASP/SVD_Consensus.asp?pGB=1&amp;gicode=A213500&amp;cID=&amp;MenuYn=Y&amp;ReportGB=&amp;NewMenuID=108&amp;stkGb=701", "한솔제지")</f>
        <v>0</v>
      </c>
      <c r="C6">
        <v>3</v>
      </c>
      <c r="D6">
        <v>14000</v>
      </c>
      <c r="E6">
        <v>0.45</v>
      </c>
      <c r="F6">
        <v>8.59</v>
      </c>
      <c r="G6">
        <v>23141</v>
      </c>
      <c r="H6">
        <v>24161</v>
      </c>
      <c r="I6">
        <v>24452</v>
      </c>
      <c r="J6">
        <v>-65.29000000000001</v>
      </c>
      <c r="K6">
        <v>-72.58</v>
      </c>
      <c r="L6">
        <v>-74.66</v>
      </c>
      <c r="M6">
        <v>7.42</v>
      </c>
      <c r="N6" t="b">
        <v>1</v>
      </c>
      <c r="O6">
        <v>1681</v>
      </c>
      <c r="P6" t="s">
        <v>19</v>
      </c>
      <c r="Q6" t="s">
        <v>2237</v>
      </c>
      <c r="R6">
        <v>18.9992508034502</v>
      </c>
      <c r="S6">
        <v>3332</v>
      </c>
      <c r="T6">
        <v>242545</v>
      </c>
      <c r="U6" t="s">
        <v>3991</v>
      </c>
      <c r="V6">
        <v>30.59</v>
      </c>
      <c r="W6" t="s">
        <v>6211</v>
      </c>
      <c r="X6" t="s">
        <v>8397</v>
      </c>
      <c r="Y6">
        <v>19126</v>
      </c>
      <c r="Z6">
        <v>1053</v>
      </c>
      <c r="AA6">
        <v>23708</v>
      </c>
      <c r="AB6">
        <v>4.15</v>
      </c>
    </row>
    <row r="7" spans="1:28">
      <c r="A7" s="2">
        <f>HYPERLINK("https://finance.naver.com/item/coinfo.nhn?code=004150", "A004150")</f>
        <v>0</v>
      </c>
      <c r="B7">
        <f>HYPERLINK("http://comp.fnguide.com/SVO2/ASP/SVD_Consensus.asp?pGB=1&amp;gicode=A004150&amp;cID=&amp;MenuYn=Y&amp;ReportGB=&amp;NewMenuID=108&amp;stkGb=701", "한솔홀딩스")</f>
        <v>0</v>
      </c>
      <c r="C7">
        <v>3</v>
      </c>
      <c r="D7">
        <v>3510</v>
      </c>
      <c r="E7">
        <v>-0.77</v>
      </c>
      <c r="F7">
        <v>7.81</v>
      </c>
      <c r="G7">
        <v>3888</v>
      </c>
      <c r="H7">
        <v>7758</v>
      </c>
      <c r="I7">
        <v>8861</v>
      </c>
      <c r="J7">
        <v>-10.77</v>
      </c>
      <c r="K7">
        <v>-121.02</v>
      </c>
      <c r="L7">
        <v>-152.44</v>
      </c>
      <c r="M7">
        <v>3</v>
      </c>
      <c r="N7" t="b">
        <v>1</v>
      </c>
      <c r="O7">
        <v>536</v>
      </c>
      <c r="P7" t="s">
        <v>20</v>
      </c>
      <c r="Q7" t="s">
        <v>2238</v>
      </c>
      <c r="R7">
        <v>-10.1</v>
      </c>
      <c r="S7">
        <v>1475</v>
      </c>
      <c r="T7">
        <v>209859</v>
      </c>
      <c r="U7" t="s">
        <v>3992</v>
      </c>
      <c r="V7">
        <v>30.28</v>
      </c>
      <c r="W7" t="s">
        <v>6212</v>
      </c>
      <c r="X7" t="s">
        <v>8398</v>
      </c>
      <c r="Y7">
        <v>5416</v>
      </c>
      <c r="Z7">
        <v>118</v>
      </c>
    </row>
    <row r="8" spans="1:28">
      <c r="A8" s="2">
        <f>HYPERLINK("https://finance.naver.com/item/coinfo.nhn?code=004960", "A004960")</f>
        <v>0</v>
      </c>
      <c r="B8">
        <f>HYPERLINK("http://comp.fnguide.com/SVO2/ASP/SVD_Consensus.asp?pGB=1&amp;gicode=A004960&amp;cID=&amp;MenuYn=Y&amp;ReportGB=&amp;NewMenuID=108&amp;stkGb=701", "한신공영")</f>
        <v>0</v>
      </c>
      <c r="C8">
        <v>3</v>
      </c>
      <c r="D8">
        <v>15800</v>
      </c>
      <c r="E8">
        <v>0.09</v>
      </c>
      <c r="F8">
        <v>2.38</v>
      </c>
      <c r="G8">
        <v>138775</v>
      </c>
      <c r="H8">
        <v>81654</v>
      </c>
      <c r="I8">
        <v>65377</v>
      </c>
      <c r="J8">
        <v>-778.3200000000001</v>
      </c>
      <c r="K8">
        <v>-416.79</v>
      </c>
      <c r="L8">
        <v>-313.78</v>
      </c>
      <c r="M8">
        <v>25.31</v>
      </c>
      <c r="N8" t="b">
        <v>1</v>
      </c>
      <c r="O8">
        <v>6210</v>
      </c>
      <c r="P8" t="s">
        <v>21</v>
      </c>
      <c r="Q8" t="s">
        <v>2239</v>
      </c>
      <c r="R8">
        <v>26.11111723875887</v>
      </c>
      <c r="S8">
        <v>1828</v>
      </c>
      <c r="T8">
        <v>99442</v>
      </c>
      <c r="U8" t="s">
        <v>3993</v>
      </c>
      <c r="V8">
        <v>36.76</v>
      </c>
      <c r="W8" t="s">
        <v>6213</v>
      </c>
      <c r="X8" t="s">
        <v>8399</v>
      </c>
      <c r="Y8">
        <v>16233</v>
      </c>
      <c r="Z8">
        <v>1245</v>
      </c>
      <c r="AB8">
        <v>2.36</v>
      </c>
    </row>
    <row r="9" spans="1:28">
      <c r="A9" s="2">
        <f>HYPERLINK("https://finance.naver.com/item/coinfo.nhn?code=011700", "A011700")</f>
        <v>0</v>
      </c>
      <c r="B9">
        <f>HYPERLINK("http://comp.fnguide.com/SVO2/ASP/SVD_Consensus.asp?pGB=1&amp;gicode=A011700&amp;cID=&amp;MenuYn=Y&amp;ReportGB=&amp;NewMenuID=108&amp;stkGb=701", "한신기계")</f>
        <v>0</v>
      </c>
      <c r="C9">
        <v>3</v>
      </c>
      <c r="D9">
        <v>1680</v>
      </c>
      <c r="E9">
        <v>-2.43</v>
      </c>
      <c r="F9">
        <v>33.55</v>
      </c>
      <c r="G9">
        <v>1130</v>
      </c>
      <c r="H9">
        <v>2032</v>
      </c>
      <c r="I9">
        <v>2289</v>
      </c>
      <c r="J9">
        <v>32.73</v>
      </c>
      <c r="K9">
        <v>-20.95</v>
      </c>
      <c r="L9">
        <v>-36.24</v>
      </c>
      <c r="M9">
        <v>3.42</v>
      </c>
      <c r="N9" t="b">
        <v>1</v>
      </c>
      <c r="O9">
        <v>50</v>
      </c>
      <c r="P9" t="s">
        <v>22</v>
      </c>
      <c r="Q9" t="s">
        <v>2240</v>
      </c>
      <c r="R9">
        <v>-13.82074312605448</v>
      </c>
      <c r="S9">
        <v>545</v>
      </c>
      <c r="T9">
        <v>463980</v>
      </c>
      <c r="U9" t="s">
        <v>3994</v>
      </c>
      <c r="V9">
        <v>20.94</v>
      </c>
      <c r="W9" t="s">
        <v>6214</v>
      </c>
      <c r="X9" t="s">
        <v>8400</v>
      </c>
      <c r="Y9">
        <v>528</v>
      </c>
      <c r="Z9">
        <v>22</v>
      </c>
      <c r="AA9">
        <v>1660200</v>
      </c>
      <c r="AB9">
        <v>0.9</v>
      </c>
    </row>
    <row r="10" spans="1:28">
      <c r="A10" s="2">
        <f>HYPERLINK("https://finance.naver.com/item/coinfo.nhn?code=001750", "A001750")</f>
        <v>0</v>
      </c>
      <c r="B10">
        <f>HYPERLINK("http://comp.fnguide.com/SVO2/ASP/SVD_Consensus.asp?pGB=1&amp;gicode=A001750&amp;cID=&amp;MenuYn=Y&amp;ReportGB=&amp;NewMenuID=108&amp;stkGb=701", "한양증권")</f>
        <v>0</v>
      </c>
      <c r="C10">
        <v>3</v>
      </c>
      <c r="D10">
        <v>9910</v>
      </c>
      <c r="E10">
        <v>0.79</v>
      </c>
      <c r="F10">
        <v>4.69</v>
      </c>
      <c r="G10">
        <v>13963</v>
      </c>
      <c r="H10">
        <v>19485</v>
      </c>
      <c r="I10">
        <v>21058</v>
      </c>
      <c r="J10">
        <v>-40.9</v>
      </c>
      <c r="K10">
        <v>-96.62</v>
      </c>
      <c r="L10">
        <v>-112.49</v>
      </c>
      <c r="M10">
        <v>4.81</v>
      </c>
      <c r="N10" t="b">
        <v>1</v>
      </c>
      <c r="O10">
        <v>1672</v>
      </c>
      <c r="P10" t="s">
        <v>23</v>
      </c>
      <c r="Q10" t="s">
        <v>2241</v>
      </c>
      <c r="R10">
        <v>5.934666413069656</v>
      </c>
      <c r="S10">
        <v>1261</v>
      </c>
      <c r="T10">
        <v>63613</v>
      </c>
      <c r="U10" t="s">
        <v>3995</v>
      </c>
      <c r="V10">
        <v>41.07</v>
      </c>
      <c r="W10" t="s">
        <v>6215</v>
      </c>
      <c r="X10" t="s">
        <v>8401</v>
      </c>
      <c r="Y10">
        <v>1091</v>
      </c>
      <c r="Z10">
        <v>296</v>
      </c>
      <c r="AB10">
        <v>4.46</v>
      </c>
    </row>
    <row r="11" spans="1:28">
      <c r="A11" s="2">
        <f>HYPERLINK("https://finance.naver.com/item/coinfo.nhn?code=025880", "A025880")</f>
        <v>0</v>
      </c>
      <c r="B11">
        <f>HYPERLINK("http://comp.fnguide.com/SVO2/ASP/SVD_Consensus.asp?pGB=1&amp;gicode=A025880&amp;cID=&amp;MenuYn=Y&amp;ReportGB=&amp;NewMenuID=108&amp;stkGb=701", "케이씨피드")</f>
        <v>0</v>
      </c>
      <c r="C11">
        <v>3</v>
      </c>
      <c r="D11">
        <v>2250</v>
      </c>
      <c r="G11">
        <v>1082</v>
      </c>
      <c r="H11">
        <v>2419</v>
      </c>
      <c r="I11">
        <v>2800</v>
      </c>
      <c r="J11">
        <v>51.93</v>
      </c>
      <c r="K11">
        <v>-7.49</v>
      </c>
      <c r="L11">
        <v>-24.43</v>
      </c>
      <c r="M11">
        <v>2.61</v>
      </c>
      <c r="N11" t="b">
        <v>0</v>
      </c>
      <c r="O11">
        <v>-386</v>
      </c>
      <c r="P11" t="s">
        <v>24</v>
      </c>
      <c r="Q11" t="s">
        <v>2242</v>
      </c>
      <c r="R11">
        <v>31.35080290961028</v>
      </c>
      <c r="S11">
        <v>376</v>
      </c>
      <c r="T11">
        <v>137402</v>
      </c>
      <c r="U11" t="s">
        <v>3996</v>
      </c>
      <c r="V11">
        <v>27.82</v>
      </c>
      <c r="W11" t="s">
        <v>6216</v>
      </c>
      <c r="X11" t="s">
        <v>8402</v>
      </c>
      <c r="Y11">
        <v>643</v>
      </c>
      <c r="Z11">
        <v>-17</v>
      </c>
      <c r="AA11">
        <v>930722</v>
      </c>
      <c r="AB11">
        <v>0.64</v>
      </c>
    </row>
    <row r="12" spans="1:28">
      <c r="A12" s="2">
        <f>HYPERLINK("https://finance.naver.com/item/coinfo.nhn?code=002220", "A002220")</f>
        <v>0</v>
      </c>
      <c r="B12">
        <f>HYPERLINK("http://comp.fnguide.com/SVO2/ASP/SVD_Consensus.asp?pGB=1&amp;gicode=A002220&amp;cID=&amp;MenuYn=Y&amp;ReportGB=&amp;NewMenuID=108&amp;stkGb=701", "한일철강")</f>
        <v>0</v>
      </c>
      <c r="C12">
        <v>3</v>
      </c>
      <c r="D12">
        <v>1775</v>
      </c>
      <c r="G12">
        <v>887</v>
      </c>
      <c r="H12">
        <v>4493</v>
      </c>
      <c r="I12">
        <v>5521</v>
      </c>
      <c r="J12">
        <v>50</v>
      </c>
      <c r="K12">
        <v>-153.15</v>
      </c>
      <c r="L12">
        <v>-211.04</v>
      </c>
      <c r="M12">
        <v>1.03</v>
      </c>
      <c r="N12" t="b">
        <v>0</v>
      </c>
      <c r="O12">
        <v>-478</v>
      </c>
      <c r="P12" t="s">
        <v>25</v>
      </c>
      <c r="Q12" t="s">
        <v>2243</v>
      </c>
      <c r="R12">
        <v>89.59999999999999</v>
      </c>
      <c r="S12">
        <v>420</v>
      </c>
      <c r="T12">
        <v>38659</v>
      </c>
      <c r="U12" t="s">
        <v>3997</v>
      </c>
      <c r="V12">
        <v>51.47</v>
      </c>
      <c r="W12" t="s">
        <v>6217</v>
      </c>
      <c r="X12" t="s">
        <v>8403</v>
      </c>
      <c r="Y12">
        <v>1730</v>
      </c>
      <c r="Z12">
        <v>-73</v>
      </c>
      <c r="AA12">
        <v>2343720</v>
      </c>
    </row>
    <row r="13" spans="1:28">
      <c r="A13" s="2">
        <f>HYPERLINK("https://finance.naver.com/item/coinfo.nhn?code=003300", "A003300")</f>
        <v>0</v>
      </c>
      <c r="B13">
        <f>HYPERLINK("http://comp.fnguide.com/SVO2/ASP/SVD_Consensus.asp?pGB=1&amp;gicode=A003300&amp;cID=&amp;MenuYn=Y&amp;ReportGB=&amp;NewMenuID=108&amp;stkGb=701", "한일홀딩스")</f>
        <v>0</v>
      </c>
      <c r="C13">
        <v>3</v>
      </c>
      <c r="D13">
        <v>58700</v>
      </c>
      <c r="E13">
        <v>-2.17</v>
      </c>
      <c r="F13">
        <v>19.06</v>
      </c>
      <c r="G13">
        <v>322208</v>
      </c>
      <c r="H13">
        <v>232973</v>
      </c>
      <c r="I13">
        <v>207546</v>
      </c>
      <c r="J13">
        <v>-448.91</v>
      </c>
      <c r="K13">
        <v>-296.89</v>
      </c>
      <c r="L13">
        <v>-253.57</v>
      </c>
      <c r="M13">
        <v>14.79</v>
      </c>
      <c r="N13" t="b">
        <v>1</v>
      </c>
      <c r="O13">
        <v>2304</v>
      </c>
      <c r="P13" t="s">
        <v>26</v>
      </c>
      <c r="Q13" t="s">
        <v>2244</v>
      </c>
      <c r="R13">
        <v>-8.777404195095073</v>
      </c>
      <c r="S13">
        <v>3383</v>
      </c>
      <c r="T13">
        <v>6740</v>
      </c>
      <c r="U13" t="s">
        <v>3998</v>
      </c>
      <c r="V13">
        <v>68.73999999999999</v>
      </c>
      <c r="W13" t="s">
        <v>6218</v>
      </c>
      <c r="X13" t="s">
        <v>8404</v>
      </c>
      <c r="Y13">
        <v>16518</v>
      </c>
      <c r="Z13">
        <v>836</v>
      </c>
      <c r="AA13">
        <v>0</v>
      </c>
      <c r="AB13">
        <v>5.24</v>
      </c>
    </row>
    <row r="14" spans="1:28">
      <c r="A14" s="2">
        <f>HYPERLINK("https://finance.naver.com/item/coinfo.nhn?code=002320", "A002320")</f>
        <v>0</v>
      </c>
      <c r="B14">
        <f>HYPERLINK("http://comp.fnguide.com/SVO2/ASP/SVD_Consensus.asp?pGB=1&amp;gicode=A002320&amp;cID=&amp;MenuYn=Y&amp;ReportGB=&amp;NewMenuID=108&amp;stkGb=701", "한진")</f>
        <v>0</v>
      </c>
      <c r="C14">
        <v>3</v>
      </c>
      <c r="D14">
        <v>45000</v>
      </c>
      <c r="G14">
        <v>14254</v>
      </c>
      <c r="H14">
        <v>42256</v>
      </c>
      <c r="I14">
        <v>50235</v>
      </c>
      <c r="J14">
        <v>68.31999999999999</v>
      </c>
      <c r="K14">
        <v>6.1</v>
      </c>
      <c r="L14">
        <v>-11.63</v>
      </c>
      <c r="M14">
        <v>1.87</v>
      </c>
      <c r="N14" t="b">
        <v>0</v>
      </c>
      <c r="O14">
        <v>-247</v>
      </c>
      <c r="P14" t="s">
        <v>27</v>
      </c>
      <c r="Q14" t="s">
        <v>2245</v>
      </c>
      <c r="R14">
        <v>-60.5</v>
      </c>
      <c r="S14">
        <v>6726</v>
      </c>
      <c r="T14">
        <v>217607</v>
      </c>
      <c r="U14" t="s">
        <v>3999</v>
      </c>
      <c r="V14">
        <v>27.44</v>
      </c>
      <c r="W14" t="s">
        <v>6219</v>
      </c>
      <c r="X14" t="s">
        <v>8405</v>
      </c>
      <c r="Y14">
        <v>20623</v>
      </c>
      <c r="Z14">
        <v>907</v>
      </c>
      <c r="AA14">
        <v>2</v>
      </c>
      <c r="AB14">
        <v>1.65</v>
      </c>
    </row>
    <row r="15" spans="1:28">
      <c r="A15" s="2">
        <f>HYPERLINK("https://finance.naver.com/item/coinfo.nhn?code=000880", "A000880")</f>
        <v>0</v>
      </c>
      <c r="B15">
        <f>HYPERLINK("http://comp.fnguide.com/SVO2/ASP/SVD_Consensus.asp?pGB=1&amp;gicode=A000880&amp;cID=&amp;MenuYn=Y&amp;ReportGB=&amp;NewMenuID=108&amp;stkGb=701", "한화")</f>
        <v>0</v>
      </c>
      <c r="C15">
        <v>3</v>
      </c>
      <c r="D15">
        <v>26250</v>
      </c>
      <c r="E15">
        <v>-0.9</v>
      </c>
      <c r="F15">
        <v>27.21</v>
      </c>
      <c r="G15">
        <v>49414</v>
      </c>
      <c r="H15">
        <v>58315</v>
      </c>
      <c r="I15">
        <v>60852</v>
      </c>
      <c r="J15">
        <v>-88.23999999999999</v>
      </c>
      <c r="K15">
        <v>-122.15</v>
      </c>
      <c r="L15">
        <v>-131.82</v>
      </c>
      <c r="M15">
        <v>6.13</v>
      </c>
      <c r="N15" t="b">
        <v>1</v>
      </c>
      <c r="O15">
        <v>919</v>
      </c>
      <c r="P15" t="s">
        <v>28</v>
      </c>
      <c r="Q15" t="s">
        <v>2246</v>
      </c>
      <c r="R15">
        <v>-30.23029174278724</v>
      </c>
      <c r="S15">
        <v>19677</v>
      </c>
      <c r="T15">
        <v>398504</v>
      </c>
      <c r="U15" t="s">
        <v>4000</v>
      </c>
      <c r="V15">
        <v>38.1</v>
      </c>
      <c r="W15" t="s">
        <v>6220</v>
      </c>
      <c r="X15" t="s">
        <v>8406</v>
      </c>
      <c r="Y15">
        <v>504124</v>
      </c>
      <c r="Z15">
        <v>11257</v>
      </c>
      <c r="AA15">
        <v>6060012</v>
      </c>
      <c r="AB15">
        <v>2.8</v>
      </c>
    </row>
    <row r="16" spans="1:28">
      <c r="A16" s="2">
        <f>HYPERLINK("https://finance.naver.com/item/coinfo.nhn?code=024880", "A024880")</f>
        <v>0</v>
      </c>
      <c r="B16">
        <f>HYPERLINK("http://comp.fnguide.com/SVO2/ASP/SVD_Consensus.asp?pGB=1&amp;gicode=A024880&amp;cID=&amp;MenuYn=Y&amp;ReportGB=&amp;NewMenuID=108&amp;stkGb=701", "케이피에프")</f>
        <v>0</v>
      </c>
      <c r="C16">
        <v>3</v>
      </c>
      <c r="D16">
        <v>4705</v>
      </c>
      <c r="E16">
        <v>-0.86</v>
      </c>
      <c r="F16">
        <v>10.73</v>
      </c>
      <c r="G16">
        <v>7688</v>
      </c>
      <c r="H16">
        <v>9002</v>
      </c>
      <c r="I16">
        <v>9376</v>
      </c>
      <c r="J16">
        <v>-63.39</v>
      </c>
      <c r="K16">
        <v>-91.31999999999999</v>
      </c>
      <c r="L16">
        <v>-99.28</v>
      </c>
      <c r="M16">
        <v>6.21</v>
      </c>
      <c r="N16" t="b">
        <v>1</v>
      </c>
      <c r="O16">
        <v>436</v>
      </c>
      <c r="P16" t="s">
        <v>29</v>
      </c>
      <c r="Q16" t="s">
        <v>2247</v>
      </c>
      <c r="R16">
        <v>-12.41898673799782</v>
      </c>
      <c r="S16">
        <v>834</v>
      </c>
      <c r="T16">
        <v>135635</v>
      </c>
      <c r="U16" t="s">
        <v>4001</v>
      </c>
      <c r="V16">
        <v>36.72</v>
      </c>
      <c r="W16" t="s">
        <v>6221</v>
      </c>
      <c r="X16" t="s">
        <v>8407</v>
      </c>
      <c r="Y16">
        <v>3763</v>
      </c>
      <c r="Z16">
        <v>163</v>
      </c>
      <c r="AA16">
        <v>1332412</v>
      </c>
      <c r="AB16">
        <v>3.42</v>
      </c>
    </row>
    <row r="17" spans="1:28">
      <c r="A17" s="2">
        <f>HYPERLINK("https://finance.naver.com/item/coinfo.nhn?code=088350", "A088350")</f>
        <v>0</v>
      </c>
      <c r="B17">
        <f>HYPERLINK("http://comp.fnguide.com/SVO2/ASP/SVD_Consensus.asp?pGB=1&amp;gicode=A088350&amp;cID=&amp;MenuYn=Y&amp;ReportGB=&amp;NewMenuID=108&amp;stkGb=701", "한화생명")</f>
        <v>0</v>
      </c>
      <c r="C17">
        <v>3</v>
      </c>
      <c r="D17">
        <v>2255</v>
      </c>
      <c r="E17">
        <v>4.23</v>
      </c>
      <c r="F17">
        <v>19.98</v>
      </c>
      <c r="G17">
        <v>6210</v>
      </c>
      <c r="H17">
        <v>12623</v>
      </c>
      <c r="I17">
        <v>14450</v>
      </c>
      <c r="J17">
        <v>-175.4</v>
      </c>
      <c r="K17">
        <v>-459.78</v>
      </c>
      <c r="L17">
        <v>-540.8099999999999</v>
      </c>
      <c r="M17">
        <v>2.93</v>
      </c>
      <c r="N17" t="b">
        <v>0</v>
      </c>
      <c r="O17">
        <v>116</v>
      </c>
      <c r="P17" t="s">
        <v>30</v>
      </c>
      <c r="Q17" t="s">
        <v>2248</v>
      </c>
      <c r="R17">
        <v>4.719800442461231</v>
      </c>
      <c r="S17">
        <v>19585</v>
      </c>
      <c r="T17">
        <v>8453532</v>
      </c>
      <c r="U17" t="s">
        <v>4002</v>
      </c>
      <c r="V17">
        <v>45.05</v>
      </c>
      <c r="W17" t="s">
        <v>6222</v>
      </c>
      <c r="X17" t="s">
        <v>8408</v>
      </c>
      <c r="Y17">
        <v>155881</v>
      </c>
      <c r="Z17">
        <v>494</v>
      </c>
      <c r="AA17">
        <v>117139750</v>
      </c>
      <c r="AB17">
        <v>1.3</v>
      </c>
    </row>
    <row r="18" spans="1:28">
      <c r="A18" s="2">
        <f>HYPERLINK("https://finance.naver.com/item/coinfo.nhn?code=000370", "A000370")</f>
        <v>0</v>
      </c>
      <c r="B18">
        <f>HYPERLINK("http://comp.fnguide.com/SVO2/ASP/SVD_Consensus.asp?pGB=1&amp;gicode=A000370&amp;cID=&amp;MenuYn=Y&amp;ReportGB=&amp;NewMenuID=108&amp;stkGb=701", "한화손해보험")</f>
        <v>0</v>
      </c>
      <c r="C18">
        <v>3</v>
      </c>
      <c r="D18">
        <v>4475</v>
      </c>
      <c r="G18">
        <v>6824</v>
      </c>
      <c r="H18">
        <v>10026</v>
      </c>
      <c r="I18">
        <v>10939</v>
      </c>
      <c r="J18">
        <v>-52.49</v>
      </c>
      <c r="K18">
        <v>-124.05</v>
      </c>
      <c r="L18">
        <v>-144.44</v>
      </c>
      <c r="M18">
        <v>4.48</v>
      </c>
      <c r="N18" t="b">
        <v>0</v>
      </c>
      <c r="O18">
        <v>-567</v>
      </c>
      <c r="P18" t="s">
        <v>31</v>
      </c>
      <c r="Q18" t="s">
        <v>2249</v>
      </c>
      <c r="R18">
        <v>6.763106590360923</v>
      </c>
      <c r="S18">
        <v>5224</v>
      </c>
      <c r="T18">
        <v>3459124</v>
      </c>
      <c r="U18" t="s">
        <v>4003</v>
      </c>
      <c r="V18">
        <v>51.49</v>
      </c>
      <c r="W18" t="s">
        <v>6223</v>
      </c>
      <c r="X18" t="s">
        <v>8409</v>
      </c>
      <c r="Y18">
        <v>59810</v>
      </c>
      <c r="Z18">
        <v>-941</v>
      </c>
    </row>
    <row r="19" spans="1:28">
      <c r="A19" s="2">
        <f>HYPERLINK("https://finance.naver.com/item/coinfo.nhn?code=221980", "A221980")</f>
        <v>0</v>
      </c>
      <c r="B19">
        <f>HYPERLINK("http://comp.fnguide.com/SVO2/ASP/SVD_Consensus.asp?pGB=1&amp;gicode=A221980&amp;cID=&amp;MenuYn=Y&amp;ReportGB=&amp;NewMenuID=108&amp;stkGb=701", "케이디켐")</f>
        <v>0</v>
      </c>
      <c r="C19">
        <v>3</v>
      </c>
      <c r="D19">
        <v>13000</v>
      </c>
      <c r="E19">
        <v>-0.77</v>
      </c>
      <c r="F19">
        <v>6.62</v>
      </c>
      <c r="G19">
        <v>25254</v>
      </c>
      <c r="H19">
        <v>22234</v>
      </c>
      <c r="I19">
        <v>21374</v>
      </c>
      <c r="J19">
        <v>-94.26000000000001</v>
      </c>
      <c r="K19">
        <v>-71.03</v>
      </c>
      <c r="L19">
        <v>-64.42</v>
      </c>
      <c r="M19">
        <v>9.949999999999999</v>
      </c>
      <c r="N19" t="b">
        <v>1</v>
      </c>
      <c r="O19">
        <v>1857</v>
      </c>
      <c r="P19" t="s">
        <v>32</v>
      </c>
      <c r="Q19" t="s">
        <v>2250</v>
      </c>
      <c r="R19">
        <v>-8.63822140513677</v>
      </c>
      <c r="S19">
        <v>525</v>
      </c>
      <c r="T19">
        <v>5603</v>
      </c>
      <c r="U19" t="s">
        <v>4004</v>
      </c>
      <c r="V19">
        <v>71.06999999999999</v>
      </c>
      <c r="W19" t="s">
        <v>6224</v>
      </c>
      <c r="X19" t="s">
        <v>8410</v>
      </c>
      <c r="Y19">
        <v>488</v>
      </c>
      <c r="Z19">
        <v>64</v>
      </c>
      <c r="AA19">
        <v>213443</v>
      </c>
      <c r="AB19">
        <v>4.07</v>
      </c>
    </row>
    <row r="20" spans="1:28">
      <c r="A20" s="2">
        <f>HYPERLINK("https://finance.naver.com/item/coinfo.nhn?code=012450", "A012450")</f>
        <v>0</v>
      </c>
      <c r="B20">
        <f>HYPERLINK("http://comp.fnguide.com/SVO2/ASP/SVD_Consensus.asp?pGB=1&amp;gicode=A012450&amp;cID=&amp;MenuYn=Y&amp;ReportGB=&amp;NewMenuID=108&amp;stkGb=701", "한화에어로스페이스")</f>
        <v>0</v>
      </c>
      <c r="C20">
        <v>3</v>
      </c>
      <c r="D20">
        <v>26900</v>
      </c>
      <c r="E20">
        <v>0.03</v>
      </c>
      <c r="F20">
        <v>13.72</v>
      </c>
      <c r="G20">
        <v>19713</v>
      </c>
      <c r="H20">
        <v>37384</v>
      </c>
      <c r="I20">
        <v>42419</v>
      </c>
      <c r="J20">
        <v>26.72</v>
      </c>
      <c r="K20">
        <v>-38.97</v>
      </c>
      <c r="L20">
        <v>-57.69</v>
      </c>
      <c r="M20">
        <v>3.2</v>
      </c>
      <c r="N20" t="b">
        <v>1</v>
      </c>
      <c r="O20">
        <v>2555</v>
      </c>
      <c r="P20" t="s">
        <v>33</v>
      </c>
      <c r="Q20" t="s">
        <v>2251</v>
      </c>
      <c r="R20">
        <v>409.1498831429093</v>
      </c>
      <c r="S20">
        <v>13619</v>
      </c>
      <c r="T20">
        <v>263615</v>
      </c>
      <c r="U20" t="s">
        <v>4005</v>
      </c>
      <c r="V20">
        <v>33.98</v>
      </c>
      <c r="W20" t="s">
        <v>6225</v>
      </c>
      <c r="X20" t="s">
        <v>8411</v>
      </c>
      <c r="Y20">
        <v>52641</v>
      </c>
      <c r="Z20">
        <v>1652</v>
      </c>
      <c r="AA20">
        <v>20438</v>
      </c>
    </row>
    <row r="21" spans="1:28">
      <c r="A21" s="2">
        <f>HYPERLINK("https://finance.naver.com/item/coinfo.nhn?code=003530", "A003530")</f>
        <v>0</v>
      </c>
      <c r="B21">
        <f>HYPERLINK("http://comp.fnguide.com/SVO2/ASP/SVD_Consensus.asp?pGB=1&amp;gicode=A003530&amp;cID=&amp;MenuYn=Y&amp;ReportGB=&amp;NewMenuID=108&amp;stkGb=701", "한화투자증권")</f>
        <v>0</v>
      </c>
      <c r="C21">
        <v>3</v>
      </c>
      <c r="D21">
        <v>2180</v>
      </c>
      <c r="E21">
        <v>4.07</v>
      </c>
      <c r="F21">
        <v>4.09</v>
      </c>
      <c r="G21">
        <v>5708</v>
      </c>
      <c r="H21">
        <v>5523</v>
      </c>
      <c r="I21">
        <v>5470</v>
      </c>
      <c r="J21">
        <v>-161.85</v>
      </c>
      <c r="K21">
        <v>-153.35</v>
      </c>
      <c r="L21">
        <v>-150.93</v>
      </c>
      <c r="M21">
        <v>8.42</v>
      </c>
      <c r="N21" t="b">
        <v>1</v>
      </c>
      <c r="O21">
        <v>505</v>
      </c>
      <c r="P21" t="s">
        <v>34</v>
      </c>
      <c r="Q21" t="s">
        <v>2252</v>
      </c>
      <c r="R21">
        <v>1.005860204630804</v>
      </c>
      <c r="S21">
        <v>4677</v>
      </c>
      <c r="T21">
        <v>2250123</v>
      </c>
      <c r="U21" t="s">
        <v>4006</v>
      </c>
      <c r="V21">
        <v>46.24</v>
      </c>
      <c r="W21" t="s">
        <v>6226</v>
      </c>
      <c r="X21" t="s">
        <v>8412</v>
      </c>
      <c r="Y21">
        <v>3483</v>
      </c>
      <c r="Z21">
        <v>1119</v>
      </c>
      <c r="AA21">
        <v>677387</v>
      </c>
    </row>
    <row r="22" spans="1:28">
      <c r="A22" s="2">
        <f>HYPERLINK("https://finance.naver.com/item/coinfo.nhn?code=143210", "A143210")</f>
        <v>0</v>
      </c>
      <c r="B22">
        <f>HYPERLINK("http://comp.fnguide.com/SVO2/ASP/SVD_Consensus.asp?pGB=1&amp;gicode=A143210&amp;cID=&amp;MenuYn=Y&amp;ReportGB=&amp;NewMenuID=108&amp;stkGb=701", "핸즈코퍼레이션")</f>
        <v>0</v>
      </c>
      <c r="C22">
        <v>3</v>
      </c>
      <c r="D22">
        <v>8500</v>
      </c>
      <c r="E22">
        <v>-0.6</v>
      </c>
      <c r="F22">
        <v>21.78</v>
      </c>
      <c r="G22">
        <v>5187</v>
      </c>
      <c r="H22">
        <v>11124</v>
      </c>
      <c r="I22">
        <v>12816</v>
      </c>
      <c r="J22">
        <v>38.98</v>
      </c>
      <c r="K22">
        <v>-30.87</v>
      </c>
      <c r="L22">
        <v>-50.78</v>
      </c>
      <c r="M22">
        <v>2.74</v>
      </c>
      <c r="N22" t="b">
        <v>0</v>
      </c>
      <c r="O22">
        <v>314</v>
      </c>
      <c r="P22" t="s">
        <v>35</v>
      </c>
      <c r="Q22" t="s">
        <v>2253</v>
      </c>
      <c r="R22">
        <v>-36.28511493561207</v>
      </c>
      <c r="S22">
        <v>1858</v>
      </c>
      <c r="T22">
        <v>252648</v>
      </c>
      <c r="U22" t="s">
        <v>4007</v>
      </c>
      <c r="V22">
        <v>60.27</v>
      </c>
      <c r="W22" t="s">
        <v>6227</v>
      </c>
      <c r="X22" t="s">
        <v>8413</v>
      </c>
      <c r="Y22">
        <v>6177</v>
      </c>
      <c r="Z22">
        <v>187</v>
      </c>
      <c r="AA22">
        <v>382042</v>
      </c>
      <c r="AB22">
        <v>1.9</v>
      </c>
    </row>
    <row r="23" spans="1:28">
      <c r="A23" s="2">
        <f>HYPERLINK("https://finance.naver.com/item/coinfo.nhn?code=000720", "A000720")</f>
        <v>0</v>
      </c>
      <c r="B23">
        <f>HYPERLINK("http://comp.fnguide.com/SVO2/ASP/SVD_Consensus.asp?pGB=1&amp;gicode=A000720&amp;cID=&amp;MenuYn=Y&amp;ReportGB=&amp;NewMenuID=108&amp;stkGb=701", "현대건설")</f>
        <v>0</v>
      </c>
      <c r="C23">
        <v>3</v>
      </c>
      <c r="D23">
        <v>36600</v>
      </c>
      <c r="E23">
        <v>-1.03</v>
      </c>
      <c r="F23">
        <v>11.57</v>
      </c>
      <c r="G23">
        <v>42578</v>
      </c>
      <c r="H23">
        <v>52945</v>
      </c>
      <c r="I23">
        <v>55898</v>
      </c>
      <c r="J23">
        <v>-16.33</v>
      </c>
      <c r="K23">
        <v>-44.66</v>
      </c>
      <c r="L23">
        <v>-52.73</v>
      </c>
      <c r="M23">
        <v>5.67</v>
      </c>
      <c r="N23" t="b">
        <v>0</v>
      </c>
      <c r="O23">
        <v>3656</v>
      </c>
      <c r="P23" t="s">
        <v>36</v>
      </c>
      <c r="Q23" t="s">
        <v>2254</v>
      </c>
      <c r="R23">
        <v>-11.26941307038493</v>
      </c>
      <c r="S23">
        <v>40756</v>
      </c>
      <c r="T23">
        <v>3229954</v>
      </c>
      <c r="U23" t="s">
        <v>4008</v>
      </c>
      <c r="V23">
        <v>34.92</v>
      </c>
      <c r="W23" t="s">
        <v>6228</v>
      </c>
      <c r="X23" t="s">
        <v>8414</v>
      </c>
      <c r="Y23">
        <v>172788</v>
      </c>
      <c r="Z23">
        <v>8597</v>
      </c>
      <c r="AB23">
        <v>1.42</v>
      </c>
    </row>
    <row r="24" spans="1:28">
      <c r="A24" s="2">
        <f>HYPERLINK("https://finance.naver.com/item/coinfo.nhn?code=267270", "A267270")</f>
        <v>0</v>
      </c>
      <c r="B24">
        <f>HYPERLINK("http://comp.fnguide.com/SVO2/ASP/SVD_Consensus.asp?pGB=1&amp;gicode=A267270&amp;cID=&amp;MenuYn=Y&amp;ReportGB=&amp;NewMenuID=108&amp;stkGb=701", "현대건설기계")</f>
        <v>0</v>
      </c>
      <c r="C24">
        <v>3</v>
      </c>
      <c r="D24">
        <v>33550</v>
      </c>
      <c r="E24">
        <v>0</v>
      </c>
      <c r="F24">
        <v>182.52</v>
      </c>
      <c r="G24">
        <v>20885</v>
      </c>
      <c r="H24">
        <v>46508</v>
      </c>
      <c r="I24">
        <v>53809</v>
      </c>
      <c r="J24">
        <v>37.75</v>
      </c>
      <c r="K24">
        <v>-38.62</v>
      </c>
      <c r="L24">
        <v>-60.38</v>
      </c>
      <c r="M24">
        <v>2.62</v>
      </c>
      <c r="N24" t="b">
        <v>0</v>
      </c>
      <c r="O24">
        <v>164</v>
      </c>
      <c r="P24" t="s">
        <v>37</v>
      </c>
      <c r="Q24" t="s">
        <v>2255</v>
      </c>
      <c r="R24">
        <v>0</v>
      </c>
      <c r="S24">
        <v>6610</v>
      </c>
      <c r="T24">
        <v>357231</v>
      </c>
      <c r="U24" t="s">
        <v>4009</v>
      </c>
      <c r="V24">
        <v>36.19</v>
      </c>
      <c r="W24" t="s">
        <v>6229</v>
      </c>
      <c r="X24" t="s">
        <v>8415</v>
      </c>
      <c r="Y24">
        <v>28521</v>
      </c>
      <c r="Z24">
        <v>1578</v>
      </c>
      <c r="AA24">
        <v>643797</v>
      </c>
    </row>
    <row r="25" spans="1:28">
      <c r="A25" s="2">
        <f>HYPERLINK("https://finance.naver.com/item/coinfo.nhn?code=005440", "A005440")</f>
        <v>0</v>
      </c>
      <c r="B25">
        <f>HYPERLINK("http://comp.fnguide.com/SVO2/ASP/SVD_Consensus.asp?pGB=1&amp;gicode=A005440&amp;cID=&amp;MenuYn=Y&amp;ReportGB=&amp;NewMenuID=108&amp;stkGb=701", "현대그린푸드")</f>
        <v>0</v>
      </c>
      <c r="C25">
        <v>3</v>
      </c>
      <c r="D25">
        <v>8190</v>
      </c>
      <c r="E25">
        <v>-1.69</v>
      </c>
      <c r="F25">
        <v>21.13</v>
      </c>
      <c r="G25">
        <v>11895</v>
      </c>
      <c r="H25">
        <v>16566</v>
      </c>
      <c r="I25">
        <v>17896</v>
      </c>
      <c r="J25">
        <v>-45.24</v>
      </c>
      <c r="K25">
        <v>-102.27</v>
      </c>
      <c r="L25">
        <v>-118.52</v>
      </c>
      <c r="M25">
        <v>4.82</v>
      </c>
      <c r="N25" t="b">
        <v>1</v>
      </c>
      <c r="O25">
        <v>561</v>
      </c>
      <c r="P25" t="s">
        <v>38</v>
      </c>
      <c r="Q25" t="s">
        <v>2256</v>
      </c>
      <c r="R25">
        <v>-12.5206474927973</v>
      </c>
      <c r="S25">
        <v>8002</v>
      </c>
      <c r="T25">
        <v>657088</v>
      </c>
      <c r="U25" t="s">
        <v>4010</v>
      </c>
      <c r="V25">
        <v>38.44</v>
      </c>
      <c r="W25" t="s">
        <v>6230</v>
      </c>
      <c r="X25" t="s">
        <v>8416</v>
      </c>
      <c r="Y25">
        <v>31243</v>
      </c>
      <c r="Z25">
        <v>899</v>
      </c>
      <c r="AA25">
        <v>10397555</v>
      </c>
      <c r="AB25">
        <v>1.77</v>
      </c>
    </row>
    <row r="26" spans="1:28">
      <c r="A26" s="2">
        <f>HYPERLINK("https://finance.naver.com/item/coinfo.nhn?code=079430", "A079430")</f>
        <v>0</v>
      </c>
      <c r="B26">
        <f>HYPERLINK("http://comp.fnguide.com/SVO2/ASP/SVD_Consensus.asp?pGB=1&amp;gicode=A079430&amp;cID=&amp;MenuYn=Y&amp;ReportGB=&amp;NewMenuID=108&amp;stkGb=701", "현대리바트")</f>
        <v>0</v>
      </c>
      <c r="C26">
        <v>3</v>
      </c>
      <c r="D26">
        <v>14550</v>
      </c>
      <c r="E26">
        <v>-2.29</v>
      </c>
      <c r="F26">
        <v>14.08</v>
      </c>
      <c r="G26">
        <v>19832</v>
      </c>
      <c r="H26">
        <v>21597</v>
      </c>
      <c r="I26">
        <v>22100</v>
      </c>
      <c r="J26">
        <v>-36.3</v>
      </c>
      <c r="K26">
        <v>-48.43</v>
      </c>
      <c r="L26">
        <v>-51.89</v>
      </c>
      <c r="M26">
        <v>6.94</v>
      </c>
      <c r="N26" t="b">
        <v>1</v>
      </c>
      <c r="O26">
        <v>948</v>
      </c>
      <c r="P26" t="s">
        <v>39</v>
      </c>
      <c r="Q26" t="s">
        <v>2257</v>
      </c>
      <c r="R26">
        <v>-6.148169977500928</v>
      </c>
      <c r="S26">
        <v>2988</v>
      </c>
      <c r="T26">
        <v>128270</v>
      </c>
      <c r="U26" t="s">
        <v>4011</v>
      </c>
      <c r="V26">
        <v>41.16</v>
      </c>
      <c r="W26" t="s">
        <v>6231</v>
      </c>
      <c r="X26" t="s">
        <v>8417</v>
      </c>
      <c r="Y26">
        <v>12376</v>
      </c>
      <c r="Z26">
        <v>239</v>
      </c>
      <c r="AA26">
        <v>421080</v>
      </c>
      <c r="AB26">
        <v>1.12</v>
      </c>
    </row>
    <row r="27" spans="1:28">
      <c r="A27" s="2">
        <f>HYPERLINK("https://finance.naver.com/item/coinfo.nhn?code=012330", "A012330")</f>
        <v>0</v>
      </c>
      <c r="B27">
        <f>HYPERLINK("http://comp.fnguide.com/SVO2/ASP/SVD_Consensus.asp?pGB=1&amp;gicode=A012330&amp;cID=&amp;MenuYn=Y&amp;ReportGB=&amp;NewMenuID=108&amp;stkGb=701", "현대모비스")</f>
        <v>0</v>
      </c>
      <c r="C27">
        <v>3</v>
      </c>
      <c r="D27">
        <v>246500</v>
      </c>
      <c r="E27">
        <v>-0.71</v>
      </c>
      <c r="F27">
        <v>10.73</v>
      </c>
      <c r="G27">
        <v>291067</v>
      </c>
      <c r="H27">
        <v>325938</v>
      </c>
      <c r="I27">
        <v>335875</v>
      </c>
      <c r="J27">
        <v>-18.08</v>
      </c>
      <c r="K27">
        <v>-32.23</v>
      </c>
      <c r="L27">
        <v>-36.26</v>
      </c>
      <c r="M27">
        <v>6.65</v>
      </c>
      <c r="N27" t="b">
        <v>1</v>
      </c>
      <c r="O27">
        <v>23867</v>
      </c>
      <c r="P27" t="s">
        <v>40</v>
      </c>
      <c r="Q27" t="s">
        <v>2258</v>
      </c>
      <c r="R27">
        <v>-15.1657515896895</v>
      </c>
      <c r="S27">
        <v>234310</v>
      </c>
      <c r="T27">
        <v>452558</v>
      </c>
      <c r="U27" t="s">
        <v>4012</v>
      </c>
      <c r="V27">
        <v>31.22</v>
      </c>
      <c r="W27" t="s">
        <v>6232</v>
      </c>
      <c r="X27" t="s">
        <v>8418</v>
      </c>
      <c r="Y27">
        <v>380488</v>
      </c>
      <c r="Z27">
        <v>23593</v>
      </c>
      <c r="AA27">
        <v>2446535</v>
      </c>
      <c r="AB27">
        <v>1.56</v>
      </c>
    </row>
    <row r="28" spans="1:28">
      <c r="A28" s="2">
        <f>HYPERLINK("https://finance.naver.com/item/coinfo.nhn?code=020000", "A020000")</f>
        <v>0</v>
      </c>
      <c r="B28">
        <f>HYPERLINK("http://comp.fnguide.com/SVO2/ASP/SVD_Consensus.asp?pGB=1&amp;gicode=A020000&amp;cID=&amp;MenuYn=Y&amp;ReportGB=&amp;NewMenuID=108&amp;stkGb=701", "한섬")</f>
        <v>0</v>
      </c>
      <c r="C28">
        <v>3</v>
      </c>
      <c r="D28">
        <v>28700</v>
      </c>
      <c r="E28">
        <v>3.87</v>
      </c>
      <c r="F28">
        <v>9.109999999999999</v>
      </c>
      <c r="G28">
        <v>45971</v>
      </c>
      <c r="H28">
        <v>46945</v>
      </c>
      <c r="I28">
        <v>47223</v>
      </c>
      <c r="J28">
        <v>-60.18</v>
      </c>
      <c r="K28">
        <v>-63.57</v>
      </c>
      <c r="L28">
        <v>-64.54000000000001</v>
      </c>
      <c r="M28">
        <v>7.7</v>
      </c>
      <c r="N28" t="b">
        <v>1</v>
      </c>
      <c r="O28">
        <v>3462</v>
      </c>
      <c r="P28" t="s">
        <v>41</v>
      </c>
      <c r="Q28" t="s">
        <v>2259</v>
      </c>
      <c r="R28">
        <v>2.353569913537545</v>
      </c>
      <c r="S28">
        <v>7069</v>
      </c>
      <c r="T28">
        <v>152061</v>
      </c>
      <c r="U28" t="s">
        <v>4013</v>
      </c>
      <c r="V28">
        <v>34.64</v>
      </c>
      <c r="W28" t="s">
        <v>6233</v>
      </c>
      <c r="X28" t="s">
        <v>8419</v>
      </c>
      <c r="Y28">
        <v>12598</v>
      </c>
      <c r="Z28">
        <v>1065</v>
      </c>
      <c r="AA28">
        <v>2660406</v>
      </c>
      <c r="AB28">
        <v>1.43</v>
      </c>
    </row>
    <row r="29" spans="1:28">
      <c r="A29" s="2">
        <f>HYPERLINK("https://finance.naver.com/item/coinfo.nhn?code=053690", "A053690")</f>
        <v>0</v>
      </c>
      <c r="B29">
        <f>HYPERLINK("http://comp.fnguide.com/SVO2/ASP/SVD_Consensus.asp?pGB=1&amp;gicode=A053690&amp;cID=&amp;MenuYn=Y&amp;ReportGB=&amp;NewMenuID=108&amp;stkGb=701", "한미글로벌")</f>
        <v>0</v>
      </c>
      <c r="C29">
        <v>3</v>
      </c>
      <c r="D29">
        <v>9640</v>
      </c>
      <c r="E29">
        <v>-1.54</v>
      </c>
      <c r="F29">
        <v>4.71</v>
      </c>
      <c r="G29">
        <v>21909</v>
      </c>
      <c r="H29">
        <v>16140</v>
      </c>
      <c r="I29">
        <v>14497</v>
      </c>
      <c r="J29">
        <v>-127.27</v>
      </c>
      <c r="K29">
        <v>-67.43000000000001</v>
      </c>
      <c r="L29">
        <v>-50.38</v>
      </c>
      <c r="M29">
        <v>14.19</v>
      </c>
      <c r="N29" t="b">
        <v>1</v>
      </c>
      <c r="O29">
        <v>2038</v>
      </c>
      <c r="P29" t="s">
        <v>42</v>
      </c>
      <c r="Q29" t="s">
        <v>2260</v>
      </c>
      <c r="R29">
        <v>-3.051656094564636</v>
      </c>
      <c r="S29">
        <v>1056</v>
      </c>
      <c r="T29">
        <v>96824</v>
      </c>
      <c r="U29" t="s">
        <v>4014</v>
      </c>
      <c r="V29">
        <v>26.61</v>
      </c>
      <c r="W29" t="s">
        <v>6234</v>
      </c>
      <c r="X29" t="s">
        <v>8420</v>
      </c>
      <c r="Y29">
        <v>2947</v>
      </c>
      <c r="Z29">
        <v>244</v>
      </c>
      <c r="AA29">
        <v>1362240</v>
      </c>
      <c r="AB29">
        <v>2.08</v>
      </c>
    </row>
    <row r="30" spans="1:28">
      <c r="A30" s="2">
        <f>HYPERLINK("https://finance.naver.com/item/coinfo.nhn?code=069960", "A069960")</f>
        <v>0</v>
      </c>
      <c r="B30">
        <f>HYPERLINK("http://comp.fnguide.com/SVO2/ASP/SVD_Consensus.asp?pGB=1&amp;gicode=A069960&amp;cID=&amp;MenuYn=Y&amp;ReportGB=&amp;NewMenuID=108&amp;stkGb=701", "현대백화점")</f>
        <v>0</v>
      </c>
      <c r="C30">
        <v>3</v>
      </c>
      <c r="D30">
        <v>74600</v>
      </c>
      <c r="E30">
        <v>-0.49</v>
      </c>
      <c r="F30">
        <v>10.02</v>
      </c>
      <c r="G30">
        <v>129994</v>
      </c>
      <c r="H30">
        <v>167273</v>
      </c>
      <c r="I30">
        <v>177896</v>
      </c>
      <c r="J30">
        <v>-74.26000000000001</v>
      </c>
      <c r="K30">
        <v>-124.23</v>
      </c>
      <c r="L30">
        <v>-138.47</v>
      </c>
      <c r="M30">
        <v>5.39</v>
      </c>
      <c r="N30" t="b">
        <v>1</v>
      </c>
      <c r="O30">
        <v>8296</v>
      </c>
      <c r="P30" t="s">
        <v>43</v>
      </c>
      <c r="Q30" t="s">
        <v>2261</v>
      </c>
      <c r="R30">
        <v>-20.30434793548796</v>
      </c>
      <c r="S30">
        <v>17458</v>
      </c>
      <c r="T30">
        <v>219655</v>
      </c>
      <c r="U30" t="s">
        <v>4015</v>
      </c>
      <c r="V30">
        <v>36.08</v>
      </c>
      <c r="W30" t="s">
        <v>6235</v>
      </c>
      <c r="X30" t="s">
        <v>8421</v>
      </c>
      <c r="Y30">
        <v>21989</v>
      </c>
      <c r="Z30">
        <v>2922</v>
      </c>
      <c r="AA30">
        <v>1313255</v>
      </c>
      <c r="AB30">
        <v>1.2</v>
      </c>
    </row>
    <row r="31" spans="1:28">
      <c r="A31" s="2">
        <f>HYPERLINK("https://finance.naver.com/item/coinfo.nhn?code=009540", "A009540")</f>
        <v>0</v>
      </c>
      <c r="B31">
        <f>HYPERLINK("http://comp.fnguide.com/SVO2/ASP/SVD_Consensus.asp?pGB=1&amp;gicode=A009540&amp;cID=&amp;MenuYn=Y&amp;ReportGB=&amp;NewMenuID=108&amp;stkGb=701", "한국조선해양")</f>
        <v>0</v>
      </c>
      <c r="C31">
        <v>3</v>
      </c>
      <c r="D31">
        <v>104500</v>
      </c>
      <c r="E31">
        <v>3.22</v>
      </c>
      <c r="F31">
        <v>54.56</v>
      </c>
      <c r="G31">
        <v>76518</v>
      </c>
      <c r="H31">
        <v>128823</v>
      </c>
      <c r="I31">
        <v>143727</v>
      </c>
      <c r="J31">
        <v>26.78</v>
      </c>
      <c r="K31">
        <v>-23.28</v>
      </c>
      <c r="L31">
        <v>-37.54</v>
      </c>
      <c r="M31">
        <v>3.73</v>
      </c>
      <c r="N31" t="b">
        <v>0</v>
      </c>
      <c r="O31">
        <v>2318</v>
      </c>
      <c r="P31" t="s">
        <v>44</v>
      </c>
      <c r="Q31" t="s">
        <v>2262</v>
      </c>
      <c r="R31">
        <v>16.93023561081195</v>
      </c>
      <c r="S31">
        <v>73958</v>
      </c>
      <c r="T31">
        <v>448343</v>
      </c>
      <c r="U31" t="s">
        <v>4016</v>
      </c>
      <c r="V31">
        <v>33.96</v>
      </c>
      <c r="W31" t="s">
        <v>6236</v>
      </c>
      <c r="X31" t="s">
        <v>8422</v>
      </c>
      <c r="Y31">
        <v>151826</v>
      </c>
      <c r="Z31">
        <v>2902</v>
      </c>
      <c r="AA31">
        <v>58486</v>
      </c>
    </row>
    <row r="32" spans="1:28">
      <c r="A32" s="2">
        <f>HYPERLINK("https://finance.naver.com/item/coinfo.nhn?code=000140", "A000140")</f>
        <v>0</v>
      </c>
      <c r="B32">
        <f>HYPERLINK("http://comp.fnguide.com/SVO2/ASP/SVD_Consensus.asp?pGB=1&amp;gicode=A000140&amp;cID=&amp;MenuYn=Y&amp;ReportGB=&amp;NewMenuID=108&amp;stkGb=701", "하이트진로홀딩스")</f>
        <v>0</v>
      </c>
      <c r="C32">
        <v>3</v>
      </c>
      <c r="D32">
        <v>15400</v>
      </c>
      <c r="G32">
        <v>0</v>
      </c>
      <c r="H32">
        <v>12250</v>
      </c>
      <c r="I32">
        <v>15741</v>
      </c>
      <c r="J32">
        <v>100</v>
      </c>
      <c r="K32">
        <v>20.45</v>
      </c>
      <c r="L32">
        <v>-2.21</v>
      </c>
      <c r="M32">
        <v>0</v>
      </c>
      <c r="N32" t="b">
        <v>0</v>
      </c>
      <c r="O32">
        <v>-903</v>
      </c>
      <c r="P32" t="s">
        <v>45</v>
      </c>
      <c r="Q32" t="s">
        <v>2263</v>
      </c>
      <c r="R32">
        <v>52.09999999999999</v>
      </c>
      <c r="S32">
        <v>3574</v>
      </c>
      <c r="T32">
        <v>34670</v>
      </c>
      <c r="U32" t="s">
        <v>4017</v>
      </c>
      <c r="V32">
        <v>65.91</v>
      </c>
      <c r="W32" t="s">
        <v>6237</v>
      </c>
      <c r="X32" t="s">
        <v>968</v>
      </c>
      <c r="Y32">
        <v>20263</v>
      </c>
      <c r="Z32">
        <v>1009</v>
      </c>
      <c r="AA32">
        <v>1842180</v>
      </c>
      <c r="AB32">
        <v>2.65</v>
      </c>
    </row>
    <row r="33" spans="1:28">
      <c r="A33" s="2">
        <f>HYPERLINK("https://finance.naver.com/item/coinfo.nhn?code=036460", "A036460")</f>
        <v>0</v>
      </c>
      <c r="B33">
        <f>HYPERLINK("http://comp.fnguide.com/SVO2/ASP/SVD_Consensus.asp?pGB=1&amp;gicode=A036460&amp;cID=&amp;MenuYn=Y&amp;ReportGB=&amp;NewMenuID=108&amp;stkGb=701", "한국가스공사")</f>
        <v>0</v>
      </c>
      <c r="C33">
        <v>3</v>
      </c>
      <c r="D33">
        <v>29150</v>
      </c>
      <c r="E33">
        <v>-0.98</v>
      </c>
      <c r="F33">
        <v>90.14</v>
      </c>
      <c r="G33">
        <v>27095</v>
      </c>
      <c r="H33">
        <v>65793</v>
      </c>
      <c r="I33">
        <v>76819</v>
      </c>
      <c r="J33">
        <v>7.05</v>
      </c>
      <c r="K33">
        <v>-125.7</v>
      </c>
      <c r="L33">
        <v>-163.53</v>
      </c>
      <c r="M33">
        <v>2.36</v>
      </c>
      <c r="N33" t="b">
        <v>0</v>
      </c>
      <c r="O33">
        <v>420</v>
      </c>
      <c r="P33" t="s">
        <v>46</v>
      </c>
      <c r="Q33" t="s">
        <v>2264</v>
      </c>
      <c r="R33">
        <v>-92.40000000000001</v>
      </c>
      <c r="S33">
        <v>26909</v>
      </c>
      <c r="T33">
        <v>314860</v>
      </c>
      <c r="U33" t="s">
        <v>4018</v>
      </c>
      <c r="V33">
        <v>46.63</v>
      </c>
      <c r="W33" t="s">
        <v>6238</v>
      </c>
      <c r="X33" t="s">
        <v>8423</v>
      </c>
      <c r="Y33">
        <v>249826</v>
      </c>
      <c r="Z33">
        <v>13345</v>
      </c>
      <c r="AA33">
        <v>6486050</v>
      </c>
      <c r="AB33">
        <v>1</v>
      </c>
    </row>
    <row r="34" spans="1:28">
      <c r="A34" s="2">
        <f>HYPERLINK("https://finance.naver.com/item/coinfo.nhn?code=005430", "A005430")</f>
        <v>0</v>
      </c>
      <c r="B34">
        <f>HYPERLINK("http://comp.fnguide.com/SVO2/ASP/SVD_Consensus.asp?pGB=1&amp;gicode=A005430&amp;cID=&amp;MenuYn=Y&amp;ReportGB=&amp;NewMenuID=108&amp;stkGb=701", "한국공항")</f>
        <v>0</v>
      </c>
      <c r="C34">
        <v>3</v>
      </c>
      <c r="D34">
        <v>40400</v>
      </c>
      <c r="E34">
        <v>0.53</v>
      </c>
      <c r="F34">
        <v>8.800000000000001</v>
      </c>
      <c r="G34">
        <v>76330</v>
      </c>
      <c r="H34">
        <v>93926</v>
      </c>
      <c r="I34">
        <v>98940</v>
      </c>
      <c r="J34">
        <v>-88.93000000000001</v>
      </c>
      <c r="K34">
        <v>-132.49</v>
      </c>
      <c r="L34">
        <v>-144.9</v>
      </c>
      <c r="M34">
        <v>5.76</v>
      </c>
      <c r="N34" t="b">
        <v>0</v>
      </c>
      <c r="O34">
        <v>5136</v>
      </c>
      <c r="P34" t="s">
        <v>47</v>
      </c>
      <c r="Q34" t="s">
        <v>2265</v>
      </c>
      <c r="R34">
        <v>16.48745605082775</v>
      </c>
      <c r="S34">
        <v>1279</v>
      </c>
      <c r="T34">
        <v>46515</v>
      </c>
      <c r="U34" t="s">
        <v>4019</v>
      </c>
      <c r="V34">
        <v>59.54</v>
      </c>
      <c r="W34" t="s">
        <v>6239</v>
      </c>
      <c r="X34" t="s">
        <v>8424</v>
      </c>
      <c r="Y34">
        <v>5290</v>
      </c>
      <c r="Z34">
        <v>220</v>
      </c>
      <c r="AA34">
        <v>108105</v>
      </c>
      <c r="AB34">
        <v>2.21</v>
      </c>
    </row>
    <row r="35" spans="1:28">
      <c r="A35" s="2">
        <f>HYPERLINK("https://finance.naver.com/item/coinfo.nhn?code=071050", "A071050")</f>
        <v>0</v>
      </c>
      <c r="B35">
        <f>HYPERLINK("http://comp.fnguide.com/SVO2/ASP/SVD_Consensus.asp?pGB=1&amp;gicode=A071050&amp;cID=&amp;MenuYn=Y&amp;ReportGB=&amp;NewMenuID=108&amp;stkGb=701", "한국금융지주")</f>
        <v>0</v>
      </c>
      <c r="C35">
        <v>3</v>
      </c>
      <c r="D35">
        <v>80700</v>
      </c>
      <c r="E35">
        <v>2.29</v>
      </c>
      <c r="F35">
        <v>5.28</v>
      </c>
      <c r="G35">
        <v>187394</v>
      </c>
      <c r="H35">
        <v>131807</v>
      </c>
      <c r="I35">
        <v>115967</v>
      </c>
      <c r="J35">
        <v>-132.21</v>
      </c>
      <c r="K35">
        <v>-63.33</v>
      </c>
      <c r="L35">
        <v>-43.7</v>
      </c>
      <c r="M35">
        <v>15.74</v>
      </c>
      <c r="N35" t="b">
        <v>1</v>
      </c>
      <c r="O35">
        <v>13724</v>
      </c>
      <c r="P35" t="s">
        <v>48</v>
      </c>
      <c r="Q35" t="s">
        <v>2266</v>
      </c>
      <c r="R35">
        <v>2.305975528003579</v>
      </c>
      <c r="S35">
        <v>44971</v>
      </c>
      <c r="T35">
        <v>977923</v>
      </c>
      <c r="U35" t="s">
        <v>4020</v>
      </c>
      <c r="V35">
        <v>20.7</v>
      </c>
      <c r="W35" t="s">
        <v>6240</v>
      </c>
      <c r="X35" t="s">
        <v>8425</v>
      </c>
      <c r="Y35">
        <v>14001</v>
      </c>
      <c r="Z35">
        <v>9418</v>
      </c>
      <c r="AA35">
        <v>2987479</v>
      </c>
      <c r="AB35">
        <v>4.01</v>
      </c>
    </row>
    <row r="36" spans="1:28">
      <c r="A36" s="2">
        <f>HYPERLINK("https://finance.naver.com/item/coinfo.nhn?code=010040", "A010040")</f>
        <v>0</v>
      </c>
      <c r="B36">
        <f>HYPERLINK("http://comp.fnguide.com/SVO2/ASP/SVD_Consensus.asp?pGB=1&amp;gicode=A010040&amp;cID=&amp;MenuYn=Y&amp;ReportGB=&amp;NewMenuID=108&amp;stkGb=701", "한국내화")</f>
        <v>0</v>
      </c>
      <c r="C36">
        <v>3</v>
      </c>
      <c r="D36">
        <v>3370</v>
      </c>
      <c r="E36">
        <v>-0.41</v>
      </c>
      <c r="F36">
        <v>21.58</v>
      </c>
      <c r="G36">
        <v>4070</v>
      </c>
      <c r="H36">
        <v>5405</v>
      </c>
      <c r="I36">
        <v>5785</v>
      </c>
      <c r="J36">
        <v>-20.76</v>
      </c>
      <c r="K36">
        <v>-60.38</v>
      </c>
      <c r="L36">
        <v>-71.67</v>
      </c>
      <c r="M36">
        <v>5.16</v>
      </c>
      <c r="N36" t="b">
        <v>0</v>
      </c>
      <c r="O36">
        <v>187</v>
      </c>
      <c r="P36" t="s">
        <v>49</v>
      </c>
      <c r="Q36" t="s">
        <v>2267</v>
      </c>
      <c r="R36">
        <v>-52.58296385773885</v>
      </c>
      <c r="S36">
        <v>771</v>
      </c>
      <c r="T36">
        <v>255853</v>
      </c>
      <c r="U36" t="s">
        <v>4021</v>
      </c>
      <c r="V36">
        <v>55.01</v>
      </c>
      <c r="W36" t="s">
        <v>6241</v>
      </c>
      <c r="X36" t="s">
        <v>8426</v>
      </c>
      <c r="Y36">
        <v>2239</v>
      </c>
      <c r="Z36">
        <v>90</v>
      </c>
      <c r="AA36">
        <v>533000</v>
      </c>
      <c r="AB36">
        <v>0.87</v>
      </c>
    </row>
    <row r="37" spans="1:28">
      <c r="A37" s="2">
        <f>HYPERLINK("https://finance.naver.com/item/coinfo.nhn?code=025540", "A025540")</f>
        <v>0</v>
      </c>
      <c r="B37">
        <f>HYPERLINK("http://comp.fnguide.com/SVO2/ASP/SVD_Consensus.asp?pGB=1&amp;gicode=A025540&amp;cID=&amp;MenuYn=Y&amp;ReportGB=&amp;NewMenuID=108&amp;stkGb=701", "한국단자")</f>
        <v>0</v>
      </c>
      <c r="C37">
        <v>3</v>
      </c>
      <c r="D37">
        <v>57400</v>
      </c>
      <c r="E37">
        <v>-3.48</v>
      </c>
      <c r="F37">
        <v>13.96</v>
      </c>
      <c r="G37">
        <v>47463</v>
      </c>
      <c r="H37">
        <v>60308</v>
      </c>
      <c r="I37">
        <v>63968</v>
      </c>
      <c r="J37">
        <v>17.31</v>
      </c>
      <c r="K37">
        <v>-5.07</v>
      </c>
      <c r="L37">
        <v>-11.44</v>
      </c>
      <c r="M37">
        <v>5.5</v>
      </c>
      <c r="N37" t="b">
        <v>1</v>
      </c>
      <c r="O37">
        <v>3062</v>
      </c>
      <c r="P37" t="s">
        <v>50</v>
      </c>
      <c r="Q37" t="s">
        <v>2268</v>
      </c>
      <c r="R37">
        <v>-4.016109895108622</v>
      </c>
      <c r="S37">
        <v>5978</v>
      </c>
      <c r="T37">
        <v>60014</v>
      </c>
      <c r="U37" t="s">
        <v>4022</v>
      </c>
      <c r="V37">
        <v>37.3</v>
      </c>
      <c r="W37" t="s">
        <v>6242</v>
      </c>
      <c r="X37" t="s">
        <v>8427</v>
      </c>
      <c r="Y37">
        <v>7721</v>
      </c>
      <c r="Z37">
        <v>335</v>
      </c>
      <c r="AA37">
        <v>100000</v>
      </c>
      <c r="AB37">
        <v>1.64</v>
      </c>
    </row>
    <row r="38" spans="1:28">
      <c r="A38" s="2">
        <f>HYPERLINK("https://finance.naver.com/item/coinfo.nhn?code=004090", "A004090")</f>
        <v>0</v>
      </c>
      <c r="B38">
        <f>HYPERLINK("http://comp.fnguide.com/SVO2/ASP/SVD_Consensus.asp?pGB=1&amp;gicode=A004090&amp;cID=&amp;MenuYn=Y&amp;ReportGB=&amp;NewMenuID=108&amp;stkGb=701", "한국석유")</f>
        <v>0</v>
      </c>
      <c r="C38">
        <v>3</v>
      </c>
      <c r="D38">
        <v>96800</v>
      </c>
      <c r="G38">
        <v>60481</v>
      </c>
      <c r="H38">
        <v>160114</v>
      </c>
      <c r="I38">
        <v>188505</v>
      </c>
      <c r="J38">
        <v>37.52</v>
      </c>
      <c r="K38">
        <v>-65.41</v>
      </c>
      <c r="L38">
        <v>-94.73999999999999</v>
      </c>
      <c r="M38">
        <v>2.13</v>
      </c>
      <c r="N38" t="b">
        <v>0</v>
      </c>
      <c r="O38">
        <v>-11586</v>
      </c>
      <c r="P38" t="s">
        <v>51</v>
      </c>
      <c r="Q38" t="s">
        <v>2269</v>
      </c>
      <c r="R38">
        <v>-20.95390003805273</v>
      </c>
      <c r="S38">
        <v>634</v>
      </c>
      <c r="T38">
        <v>3624</v>
      </c>
      <c r="U38" t="s">
        <v>4023</v>
      </c>
      <c r="V38">
        <v>49.12</v>
      </c>
      <c r="W38" t="s">
        <v>6243</v>
      </c>
      <c r="X38" t="s">
        <v>8428</v>
      </c>
      <c r="Y38">
        <v>4854</v>
      </c>
      <c r="Z38">
        <v>61</v>
      </c>
      <c r="AA38">
        <v>40988</v>
      </c>
      <c r="AB38">
        <v>1.45</v>
      </c>
    </row>
    <row r="39" spans="1:28">
      <c r="A39" s="2">
        <f>HYPERLINK("https://finance.naver.com/item/coinfo.nhn?code=002200", "A002200")</f>
        <v>0</v>
      </c>
      <c r="B39">
        <f>HYPERLINK("http://comp.fnguide.com/SVO2/ASP/SVD_Consensus.asp?pGB=1&amp;gicode=A002200&amp;cID=&amp;MenuYn=Y&amp;ReportGB=&amp;NewMenuID=108&amp;stkGb=701", "한국수출포장")</f>
        <v>0</v>
      </c>
      <c r="C39">
        <v>3</v>
      </c>
      <c r="D39">
        <v>22400</v>
      </c>
      <c r="E39">
        <v>-0.2</v>
      </c>
      <c r="F39">
        <v>4.39</v>
      </c>
      <c r="G39">
        <v>49447</v>
      </c>
      <c r="H39">
        <v>57193</v>
      </c>
      <c r="I39">
        <v>59401</v>
      </c>
      <c r="J39">
        <v>-120.74</v>
      </c>
      <c r="K39">
        <v>-155.33</v>
      </c>
      <c r="L39">
        <v>-165.18</v>
      </c>
      <c r="M39">
        <v>6.32</v>
      </c>
      <c r="N39" t="b">
        <v>1</v>
      </c>
      <c r="O39">
        <v>4505</v>
      </c>
      <c r="P39" t="s">
        <v>52</v>
      </c>
      <c r="Q39" t="s">
        <v>2270</v>
      </c>
      <c r="R39">
        <v>-22.32645237920441</v>
      </c>
      <c r="S39">
        <v>896</v>
      </c>
      <c r="T39">
        <v>136637</v>
      </c>
      <c r="U39" t="s">
        <v>4024</v>
      </c>
      <c r="V39">
        <v>45.56</v>
      </c>
      <c r="W39" t="s">
        <v>6244</v>
      </c>
      <c r="X39" t="s">
        <v>8429</v>
      </c>
      <c r="Y39">
        <v>2716</v>
      </c>
      <c r="Z39">
        <v>193</v>
      </c>
      <c r="AA39">
        <v>25000</v>
      </c>
      <c r="AB39">
        <v>3.03</v>
      </c>
    </row>
    <row r="40" spans="1:28">
      <c r="A40" s="2">
        <f>HYPERLINK("https://finance.naver.com/item/coinfo.nhn?code=123890", "A123890")</f>
        <v>0</v>
      </c>
      <c r="B40">
        <f>HYPERLINK("http://comp.fnguide.com/SVO2/ASP/SVD_Consensus.asp?pGB=1&amp;gicode=A123890&amp;cID=&amp;MenuYn=Y&amp;ReportGB=&amp;NewMenuID=108&amp;stkGb=701", "한국자산신탁")</f>
        <v>0</v>
      </c>
      <c r="C40">
        <v>3</v>
      </c>
      <c r="D40">
        <v>4045</v>
      </c>
      <c r="E40">
        <v>0</v>
      </c>
      <c r="F40">
        <v>4.66</v>
      </c>
      <c r="G40">
        <v>12105</v>
      </c>
      <c r="H40">
        <v>8082</v>
      </c>
      <c r="I40">
        <v>6936</v>
      </c>
      <c r="J40">
        <v>-199.26</v>
      </c>
      <c r="K40">
        <v>-99.81</v>
      </c>
      <c r="L40">
        <v>-71.48</v>
      </c>
      <c r="M40">
        <v>17.83</v>
      </c>
      <c r="N40" t="b">
        <v>1</v>
      </c>
      <c r="O40">
        <v>723</v>
      </c>
      <c r="P40" t="s">
        <v>53</v>
      </c>
      <c r="Q40" t="s">
        <v>2271</v>
      </c>
      <c r="R40">
        <v>-4.660336327460035</v>
      </c>
      <c r="S40">
        <v>5015</v>
      </c>
      <c r="T40">
        <v>446449</v>
      </c>
      <c r="U40" t="s">
        <v>4025</v>
      </c>
      <c r="V40">
        <v>53.62</v>
      </c>
      <c r="W40" t="s">
        <v>6245</v>
      </c>
      <c r="X40" t="s">
        <v>8430</v>
      </c>
      <c r="Y40">
        <v>2233</v>
      </c>
      <c r="Z40">
        <v>1141</v>
      </c>
      <c r="AA40">
        <v>1610697</v>
      </c>
      <c r="AB40">
        <v>5.4</v>
      </c>
    </row>
    <row r="41" spans="1:28">
      <c r="A41" s="2">
        <f>HYPERLINK("https://finance.naver.com/item/coinfo.nhn?code=015760", "A015760")</f>
        <v>0</v>
      </c>
      <c r="B41">
        <f>HYPERLINK("http://comp.fnguide.com/SVO2/ASP/SVD_Consensus.asp?pGB=1&amp;gicode=A015760&amp;cID=&amp;MenuYn=Y&amp;ReportGB=&amp;NewMenuID=108&amp;stkGb=701", "한국전력")</f>
        <v>0</v>
      </c>
      <c r="C41">
        <v>3</v>
      </c>
      <c r="D41">
        <v>22100</v>
      </c>
      <c r="G41">
        <v>3980</v>
      </c>
      <c r="H41">
        <v>64760</v>
      </c>
      <c r="I41">
        <v>82080</v>
      </c>
      <c r="J41">
        <v>81.98999999999999</v>
      </c>
      <c r="K41">
        <v>-193.03</v>
      </c>
      <c r="L41">
        <v>-271.4</v>
      </c>
      <c r="M41">
        <v>0.3</v>
      </c>
      <c r="N41" t="b">
        <v>0</v>
      </c>
      <c r="O41">
        <v>-3654</v>
      </c>
      <c r="P41" t="s">
        <v>54</v>
      </c>
      <c r="Q41" t="s">
        <v>2272</v>
      </c>
      <c r="R41">
        <v>-68.77180760914906</v>
      </c>
      <c r="S41">
        <v>141874</v>
      </c>
      <c r="T41">
        <v>4597991</v>
      </c>
      <c r="U41" t="s">
        <v>4026</v>
      </c>
      <c r="V41">
        <v>51.14</v>
      </c>
      <c r="W41" t="s">
        <v>6246</v>
      </c>
      <c r="X41" t="s">
        <v>8431</v>
      </c>
      <c r="Y41">
        <v>591729</v>
      </c>
      <c r="Z41">
        <v>-12765</v>
      </c>
    </row>
    <row r="42" spans="1:28">
      <c r="A42" s="2">
        <f>HYPERLINK("https://finance.naver.com/item/coinfo.nhn?code=006200", "A006200")</f>
        <v>0</v>
      </c>
      <c r="B42">
        <f>HYPERLINK("http://comp.fnguide.com/SVO2/ASP/SVD_Consensus.asp?pGB=1&amp;gicode=A006200&amp;cID=&amp;MenuYn=Y&amp;ReportGB=&amp;NewMenuID=108&amp;stkGb=701", "한국전자홀딩스")</f>
        <v>0</v>
      </c>
      <c r="C42">
        <v>3</v>
      </c>
      <c r="D42">
        <v>889</v>
      </c>
      <c r="G42">
        <v>190</v>
      </c>
      <c r="H42">
        <v>1545</v>
      </c>
      <c r="I42">
        <v>1931</v>
      </c>
      <c r="J42">
        <v>78.61</v>
      </c>
      <c r="K42">
        <v>-73.73999999999999</v>
      </c>
      <c r="L42">
        <v>-117.15</v>
      </c>
      <c r="M42">
        <v>0.62</v>
      </c>
      <c r="N42" t="b">
        <v>0</v>
      </c>
      <c r="O42">
        <v>-266</v>
      </c>
      <c r="P42" t="s">
        <v>55</v>
      </c>
      <c r="Q42" t="s">
        <v>2273</v>
      </c>
      <c r="R42">
        <v>-70.3</v>
      </c>
      <c r="S42">
        <v>416</v>
      </c>
      <c r="T42">
        <v>1330966</v>
      </c>
      <c r="U42" t="s">
        <v>4027</v>
      </c>
      <c r="V42">
        <v>39.14</v>
      </c>
      <c r="W42" t="s">
        <v>6247</v>
      </c>
      <c r="X42" t="s">
        <v>8432</v>
      </c>
      <c r="Y42">
        <v>2170</v>
      </c>
      <c r="Z42">
        <v>-121</v>
      </c>
      <c r="AA42">
        <v>2947249</v>
      </c>
    </row>
    <row r="43" spans="1:28">
      <c r="A43" s="2">
        <f>HYPERLINK("https://finance.naver.com/item/coinfo.nhn?code=023350", "A023350")</f>
        <v>0</v>
      </c>
      <c r="B43">
        <f>HYPERLINK("http://comp.fnguide.com/SVO2/ASP/SVD_Consensus.asp?pGB=1&amp;gicode=A023350&amp;cID=&amp;MenuYn=Y&amp;ReportGB=&amp;NewMenuID=108&amp;stkGb=701", "한국종합기술")</f>
        <v>0</v>
      </c>
      <c r="C43">
        <v>3</v>
      </c>
      <c r="D43">
        <v>4350</v>
      </c>
      <c r="G43">
        <v>0</v>
      </c>
      <c r="H43">
        <v>5515</v>
      </c>
      <c r="I43">
        <v>7087</v>
      </c>
      <c r="J43">
        <v>100</v>
      </c>
      <c r="K43">
        <v>-26.79</v>
      </c>
      <c r="L43">
        <v>-62.91</v>
      </c>
      <c r="M43">
        <v>0</v>
      </c>
      <c r="N43" t="b">
        <v>0</v>
      </c>
      <c r="O43">
        <v>-325</v>
      </c>
      <c r="P43" t="s">
        <v>56</v>
      </c>
      <c r="Q43" t="s">
        <v>2274</v>
      </c>
      <c r="R43">
        <v>10.18130512931856</v>
      </c>
      <c r="S43">
        <v>476</v>
      </c>
      <c r="T43">
        <v>220355</v>
      </c>
      <c r="U43" t="s">
        <v>4028</v>
      </c>
      <c r="V43">
        <v>53.06</v>
      </c>
      <c r="W43" t="s">
        <v>6248</v>
      </c>
      <c r="X43" t="s">
        <v>968</v>
      </c>
      <c r="Y43">
        <v>2189</v>
      </c>
      <c r="Z43">
        <v>-21</v>
      </c>
      <c r="AA43">
        <v>546085</v>
      </c>
      <c r="AB43">
        <v>2.55</v>
      </c>
    </row>
    <row r="44" spans="1:28">
      <c r="A44" s="2">
        <f>HYPERLINK("https://finance.naver.com/item/coinfo.nhn?code=060980", "A060980")</f>
        <v>0</v>
      </c>
      <c r="B44">
        <f>HYPERLINK("http://comp.fnguide.com/SVO2/ASP/SVD_Consensus.asp?pGB=1&amp;gicode=A060980&amp;cID=&amp;MenuYn=Y&amp;ReportGB=&amp;NewMenuID=108&amp;stkGb=701", "한라홀딩스")</f>
        <v>0</v>
      </c>
      <c r="C44">
        <v>3</v>
      </c>
      <c r="D44">
        <v>38200</v>
      </c>
      <c r="E44">
        <v>-0.61</v>
      </c>
      <c r="F44">
        <v>11.72</v>
      </c>
      <c r="G44">
        <v>39604</v>
      </c>
      <c r="H44">
        <v>68417</v>
      </c>
      <c r="I44">
        <v>76627</v>
      </c>
      <c r="J44">
        <v>-3.68</v>
      </c>
      <c r="K44">
        <v>-79.09999999999999</v>
      </c>
      <c r="L44">
        <v>-100.59</v>
      </c>
      <c r="M44">
        <v>3.6</v>
      </c>
      <c r="N44" t="b">
        <v>0</v>
      </c>
      <c r="O44">
        <v>3918</v>
      </c>
      <c r="P44" t="s">
        <v>57</v>
      </c>
      <c r="Q44" t="s">
        <v>2275</v>
      </c>
      <c r="R44">
        <v>-19.15753748576488</v>
      </c>
      <c r="S44">
        <v>4000</v>
      </c>
      <c r="T44">
        <v>72505</v>
      </c>
      <c r="U44" t="s">
        <v>4029</v>
      </c>
      <c r="V44">
        <v>28.48</v>
      </c>
      <c r="W44" t="s">
        <v>6249</v>
      </c>
      <c r="X44" t="s">
        <v>8433</v>
      </c>
      <c r="Y44">
        <v>7984</v>
      </c>
      <c r="Z44">
        <v>754</v>
      </c>
      <c r="AA44">
        <v>351915</v>
      </c>
      <c r="AB44">
        <v>4.36</v>
      </c>
    </row>
    <row r="45" spans="1:28">
      <c r="A45" s="2">
        <f>HYPERLINK("https://finance.naver.com/item/coinfo.nhn?code=025890", "A025890")</f>
        <v>0</v>
      </c>
      <c r="B45">
        <f>HYPERLINK("http://comp.fnguide.com/SVO2/ASP/SVD_Consensus.asp?pGB=1&amp;gicode=A025890&amp;cID=&amp;MenuYn=Y&amp;ReportGB=&amp;NewMenuID=108&amp;stkGb=701", "한국주강")</f>
        <v>0</v>
      </c>
      <c r="C45">
        <v>3</v>
      </c>
      <c r="D45">
        <v>1610</v>
      </c>
      <c r="E45">
        <v>0</v>
      </c>
      <c r="G45">
        <v>0</v>
      </c>
      <c r="H45">
        <v>1736</v>
      </c>
      <c r="I45">
        <v>2231</v>
      </c>
      <c r="J45">
        <v>100</v>
      </c>
      <c r="K45">
        <v>-7.83</v>
      </c>
      <c r="L45">
        <v>-38.55</v>
      </c>
      <c r="M45">
        <v>0</v>
      </c>
      <c r="N45" t="b">
        <v>0</v>
      </c>
      <c r="O45">
        <v>-1199</v>
      </c>
      <c r="P45" t="s">
        <v>58</v>
      </c>
      <c r="Q45" t="s">
        <v>2276</v>
      </c>
      <c r="R45">
        <v>0</v>
      </c>
      <c r="S45">
        <v>182</v>
      </c>
      <c r="T45">
        <v>115447</v>
      </c>
      <c r="U45" t="s">
        <v>4030</v>
      </c>
      <c r="V45">
        <v>56.98</v>
      </c>
      <c r="W45" t="s">
        <v>6250</v>
      </c>
      <c r="X45" t="s">
        <v>968</v>
      </c>
      <c r="Y45">
        <v>363</v>
      </c>
      <c r="Z45">
        <v>-49</v>
      </c>
      <c r="AA45">
        <v>164643</v>
      </c>
    </row>
    <row r="46" spans="1:28">
      <c r="A46" s="2">
        <f>HYPERLINK("https://finance.naver.com/item/coinfo.nhn?code=000970", "A000970")</f>
        <v>0</v>
      </c>
      <c r="B46">
        <f>HYPERLINK("http://comp.fnguide.com/SVO2/ASP/SVD_Consensus.asp?pGB=1&amp;gicode=A000970&amp;cID=&amp;MenuYn=Y&amp;ReportGB=&amp;NewMenuID=108&amp;stkGb=701", "한국주철관")</f>
        <v>0</v>
      </c>
      <c r="C46">
        <v>3</v>
      </c>
      <c r="D46">
        <v>8390</v>
      </c>
      <c r="E46">
        <v>-1.52</v>
      </c>
      <c r="F46">
        <v>12.67</v>
      </c>
      <c r="G46">
        <v>6283</v>
      </c>
      <c r="H46">
        <v>10035</v>
      </c>
      <c r="I46">
        <v>11105</v>
      </c>
      <c r="J46">
        <v>25.12</v>
      </c>
      <c r="K46">
        <v>-19.61</v>
      </c>
      <c r="L46">
        <v>-32.36</v>
      </c>
      <c r="M46">
        <v>4</v>
      </c>
      <c r="N46" t="b">
        <v>1</v>
      </c>
      <c r="O46">
        <v>552</v>
      </c>
      <c r="P46" t="s">
        <v>59</v>
      </c>
      <c r="Q46" t="s">
        <v>2277</v>
      </c>
      <c r="R46">
        <v>-8.362394525891414</v>
      </c>
      <c r="S46">
        <v>1913</v>
      </c>
      <c r="T46">
        <v>75828</v>
      </c>
      <c r="U46" t="s">
        <v>4031</v>
      </c>
      <c r="V46">
        <v>47.93</v>
      </c>
      <c r="W46" t="s">
        <v>6251</v>
      </c>
      <c r="X46" t="s">
        <v>8434</v>
      </c>
      <c r="Y46">
        <v>4372</v>
      </c>
      <c r="Z46">
        <v>156</v>
      </c>
      <c r="AA46">
        <v>1289530</v>
      </c>
      <c r="AB46">
        <v>2.86</v>
      </c>
    </row>
    <row r="47" spans="1:28">
      <c r="A47" s="2">
        <f>HYPERLINK("https://finance.naver.com/item/coinfo.nhn?code=104700", "A104700")</f>
        <v>0</v>
      </c>
      <c r="B47">
        <f>HYPERLINK("http://comp.fnguide.com/SVO2/ASP/SVD_Consensus.asp?pGB=1&amp;gicode=A104700&amp;cID=&amp;MenuYn=Y&amp;ReportGB=&amp;NewMenuID=108&amp;stkGb=701", "한국철강")</f>
        <v>0</v>
      </c>
      <c r="C47">
        <v>3</v>
      </c>
      <c r="D47">
        <v>6400</v>
      </c>
      <c r="E47">
        <v>0.38</v>
      </c>
      <c r="F47">
        <v>11.41</v>
      </c>
      <c r="G47">
        <v>3752</v>
      </c>
      <c r="H47">
        <v>10996</v>
      </c>
      <c r="I47">
        <v>13060</v>
      </c>
      <c r="J47">
        <v>41.37</v>
      </c>
      <c r="K47">
        <v>-71.81</v>
      </c>
      <c r="L47">
        <v>-104.06</v>
      </c>
      <c r="M47">
        <v>1.89</v>
      </c>
      <c r="N47" t="b">
        <v>1</v>
      </c>
      <c r="O47">
        <v>414</v>
      </c>
      <c r="P47" t="s">
        <v>60</v>
      </c>
      <c r="Q47" t="s">
        <v>2278</v>
      </c>
      <c r="R47">
        <v>30.42208214993196</v>
      </c>
      <c r="S47">
        <v>2947</v>
      </c>
      <c r="T47">
        <v>363115</v>
      </c>
      <c r="U47" t="s">
        <v>4032</v>
      </c>
      <c r="V47">
        <v>52.66</v>
      </c>
      <c r="W47" t="s">
        <v>6252</v>
      </c>
      <c r="X47" t="s">
        <v>8435</v>
      </c>
      <c r="Y47">
        <v>7191</v>
      </c>
      <c r="Z47">
        <v>122</v>
      </c>
      <c r="AA47">
        <v>194050</v>
      </c>
      <c r="AB47">
        <v>4.23</v>
      </c>
    </row>
    <row r="48" spans="1:28">
      <c r="A48" s="2">
        <f>HYPERLINK("https://finance.naver.com/item/coinfo.nhn?code=033110", "A033110")</f>
        <v>0</v>
      </c>
      <c r="B48">
        <f>HYPERLINK("http://comp.fnguide.com/SVO2/ASP/SVD_Consensus.asp?pGB=1&amp;gicode=A033110&amp;cID=&amp;MenuYn=Y&amp;ReportGB=&amp;NewMenuID=108&amp;stkGb=701", "코너스톤네트웍스")</f>
        <v>0</v>
      </c>
      <c r="C48">
        <v>3</v>
      </c>
      <c r="D48">
        <v>204</v>
      </c>
      <c r="E48">
        <v>0</v>
      </c>
      <c r="G48">
        <v>0</v>
      </c>
      <c r="H48">
        <v>167</v>
      </c>
      <c r="I48">
        <v>214</v>
      </c>
      <c r="J48">
        <v>100</v>
      </c>
      <c r="K48">
        <v>18.3</v>
      </c>
      <c r="L48">
        <v>-4.99</v>
      </c>
      <c r="M48">
        <v>0</v>
      </c>
      <c r="N48" t="b">
        <v>0</v>
      </c>
      <c r="O48">
        <v>-416</v>
      </c>
      <c r="P48" t="s">
        <v>61</v>
      </c>
      <c r="Q48" t="s">
        <v>2276</v>
      </c>
      <c r="R48">
        <v>0</v>
      </c>
      <c r="S48">
        <v>265</v>
      </c>
      <c r="T48">
        <v>0</v>
      </c>
      <c r="U48" t="s">
        <v>4033</v>
      </c>
      <c r="V48">
        <v>19.26</v>
      </c>
      <c r="W48" t="s">
        <v>6253</v>
      </c>
      <c r="X48" t="s">
        <v>968</v>
      </c>
      <c r="Y48">
        <v>136</v>
      </c>
      <c r="Z48">
        <v>-109</v>
      </c>
    </row>
    <row r="49" spans="1:28">
      <c r="A49" s="2">
        <f>HYPERLINK("https://finance.naver.com/item/coinfo.nhn?code=024720", "A024720")</f>
        <v>0</v>
      </c>
      <c r="B49">
        <f>HYPERLINK("http://comp.fnguide.com/SVO2/ASP/SVD_Consensus.asp?pGB=1&amp;gicode=A024720&amp;cID=&amp;MenuYn=Y&amp;ReportGB=&amp;NewMenuID=108&amp;stkGb=701", "한국콜마홀딩스")</f>
        <v>0</v>
      </c>
      <c r="C49">
        <v>3</v>
      </c>
      <c r="D49">
        <v>25050</v>
      </c>
      <c r="E49">
        <v>2.01</v>
      </c>
      <c r="F49">
        <v>10.09</v>
      </c>
      <c r="G49">
        <v>40060</v>
      </c>
      <c r="H49">
        <v>30573</v>
      </c>
      <c r="I49">
        <v>27870</v>
      </c>
      <c r="J49">
        <v>-59.92</v>
      </c>
      <c r="K49">
        <v>-22.05</v>
      </c>
      <c r="L49">
        <v>-11.26</v>
      </c>
      <c r="M49">
        <v>13.16</v>
      </c>
      <c r="N49" t="b">
        <v>0</v>
      </c>
      <c r="O49">
        <v>2236</v>
      </c>
      <c r="P49" t="s">
        <v>62</v>
      </c>
      <c r="Q49" t="s">
        <v>2279</v>
      </c>
      <c r="R49">
        <v>5.015279997605071</v>
      </c>
      <c r="S49">
        <v>4653</v>
      </c>
      <c r="T49">
        <v>67817</v>
      </c>
      <c r="U49" t="s">
        <v>4034</v>
      </c>
      <c r="V49">
        <v>44.38</v>
      </c>
      <c r="W49" t="s">
        <v>6254</v>
      </c>
      <c r="X49" t="s">
        <v>8436</v>
      </c>
      <c r="Y49">
        <v>5934</v>
      </c>
      <c r="Z49">
        <v>930</v>
      </c>
      <c r="AA49">
        <v>97500</v>
      </c>
      <c r="AB49">
        <v>0.86</v>
      </c>
    </row>
    <row r="50" spans="1:28">
      <c r="A50" s="2">
        <f>HYPERLINK("https://finance.naver.com/item/coinfo.nhn?code=161390", "A161390")</f>
        <v>0</v>
      </c>
      <c r="B50">
        <f>HYPERLINK("http://comp.fnguide.com/SVO2/ASP/SVD_Consensus.asp?pGB=1&amp;gicode=A161390&amp;cID=&amp;MenuYn=Y&amp;ReportGB=&amp;NewMenuID=108&amp;stkGb=701", "한국타이어앤테크놀로지")</f>
        <v>0</v>
      </c>
      <c r="C50">
        <v>3</v>
      </c>
      <c r="D50">
        <v>36500</v>
      </c>
      <c r="E50">
        <v>-0.5600000000000001</v>
      </c>
      <c r="F50">
        <v>9.91</v>
      </c>
      <c r="G50">
        <v>53662</v>
      </c>
      <c r="H50">
        <v>56670</v>
      </c>
      <c r="I50">
        <v>57527</v>
      </c>
      <c r="J50">
        <v>-47.02</v>
      </c>
      <c r="K50">
        <v>-55.26</v>
      </c>
      <c r="L50">
        <v>-57.61</v>
      </c>
      <c r="M50">
        <v>7.29</v>
      </c>
      <c r="N50" t="b">
        <v>1</v>
      </c>
      <c r="O50">
        <v>3387</v>
      </c>
      <c r="P50" t="s">
        <v>63</v>
      </c>
      <c r="Q50" t="s">
        <v>2280</v>
      </c>
      <c r="R50">
        <v>-17.84325066441498</v>
      </c>
      <c r="S50">
        <v>45214</v>
      </c>
      <c r="T50">
        <v>602515</v>
      </c>
      <c r="U50" t="s">
        <v>4035</v>
      </c>
      <c r="V50">
        <v>43.24</v>
      </c>
      <c r="W50" t="s">
        <v>6255</v>
      </c>
      <c r="X50" t="s">
        <v>8437</v>
      </c>
      <c r="Y50">
        <v>68833</v>
      </c>
      <c r="Z50">
        <v>5440</v>
      </c>
      <c r="AA50">
        <v>1886316</v>
      </c>
      <c r="AB50">
        <v>1.64</v>
      </c>
    </row>
    <row r="51" spans="1:28">
      <c r="A51" s="2">
        <f>HYPERLINK("https://finance.naver.com/item/coinfo.nhn?code=000240", "A000240")</f>
        <v>0</v>
      </c>
      <c r="B51">
        <f>HYPERLINK("http://comp.fnguide.com/SVO2/ASP/SVD_Consensus.asp?pGB=1&amp;gicode=A000240&amp;cID=&amp;MenuYn=Y&amp;ReportGB=&amp;NewMenuID=108&amp;stkGb=701", "한국테크놀로지그룹")</f>
        <v>0</v>
      </c>
      <c r="C51">
        <v>3</v>
      </c>
      <c r="D51">
        <v>15900</v>
      </c>
      <c r="E51">
        <v>-0.99</v>
      </c>
      <c r="F51">
        <v>8.85</v>
      </c>
      <c r="G51">
        <v>26695</v>
      </c>
      <c r="H51">
        <v>32153</v>
      </c>
      <c r="I51">
        <v>33708</v>
      </c>
      <c r="J51">
        <v>-67.90000000000001</v>
      </c>
      <c r="K51">
        <v>-102.22</v>
      </c>
      <c r="L51">
        <v>-112</v>
      </c>
      <c r="M51">
        <v>5.95</v>
      </c>
      <c r="N51" t="b">
        <v>0</v>
      </c>
      <c r="O51">
        <v>1627</v>
      </c>
      <c r="P51" t="s">
        <v>64</v>
      </c>
      <c r="Q51" t="s">
        <v>2281</v>
      </c>
      <c r="R51">
        <v>-8.965412901053437</v>
      </c>
      <c r="S51">
        <v>14790</v>
      </c>
      <c r="T51">
        <v>288794</v>
      </c>
      <c r="U51" t="s">
        <v>4036</v>
      </c>
      <c r="V51">
        <v>73.92</v>
      </c>
      <c r="W51" t="s">
        <v>6256</v>
      </c>
      <c r="X51" t="s">
        <v>8438</v>
      </c>
      <c r="Y51">
        <v>8476</v>
      </c>
      <c r="Z51">
        <v>1709</v>
      </c>
      <c r="AA51">
        <v>1325090</v>
      </c>
      <c r="AB51">
        <v>2.43</v>
      </c>
    </row>
    <row r="52" spans="1:28">
      <c r="A52" s="2">
        <f>HYPERLINK("https://finance.naver.com/item/coinfo.nhn?code=034830", "A034830")</f>
        <v>0</v>
      </c>
      <c r="B52">
        <f>HYPERLINK("http://comp.fnguide.com/SVO2/ASP/SVD_Consensus.asp?pGB=1&amp;gicode=A034830&amp;cID=&amp;MenuYn=Y&amp;ReportGB=&amp;NewMenuID=108&amp;stkGb=701", "한국토지신탁")</f>
        <v>0</v>
      </c>
      <c r="C52">
        <v>3</v>
      </c>
      <c r="D52">
        <v>1950</v>
      </c>
      <c r="E52">
        <v>0</v>
      </c>
      <c r="F52">
        <v>4.91</v>
      </c>
      <c r="G52">
        <v>8627</v>
      </c>
      <c r="H52">
        <v>5753</v>
      </c>
      <c r="I52">
        <v>4934</v>
      </c>
      <c r="J52">
        <v>-342.41</v>
      </c>
      <c r="K52">
        <v>-195.04</v>
      </c>
      <c r="L52">
        <v>-153.04</v>
      </c>
      <c r="M52">
        <v>17.89</v>
      </c>
      <c r="N52" t="b">
        <v>1</v>
      </c>
      <c r="O52">
        <v>428</v>
      </c>
      <c r="P52" t="s">
        <v>65</v>
      </c>
      <c r="Q52" t="s">
        <v>2281</v>
      </c>
      <c r="R52">
        <v>-8.965412901053437</v>
      </c>
      <c r="S52">
        <v>4924</v>
      </c>
      <c r="T52">
        <v>5628048</v>
      </c>
      <c r="U52" t="s">
        <v>4037</v>
      </c>
      <c r="V52">
        <v>35.46</v>
      </c>
      <c r="W52" t="s">
        <v>6257</v>
      </c>
      <c r="X52" t="s">
        <v>8439</v>
      </c>
      <c r="Y52">
        <v>2557</v>
      </c>
      <c r="Z52">
        <v>1193</v>
      </c>
      <c r="AA52">
        <v>24161374</v>
      </c>
      <c r="AB52">
        <v>5.24</v>
      </c>
    </row>
    <row r="53" spans="1:28">
      <c r="A53" s="2">
        <f>HYPERLINK("https://finance.naver.com/item/coinfo.nhn?code=010100", "A010100")</f>
        <v>0</v>
      </c>
      <c r="B53">
        <f>HYPERLINK("http://comp.fnguide.com/SVO2/ASP/SVD_Consensus.asp?pGB=1&amp;gicode=A010100&amp;cID=&amp;MenuYn=Y&amp;ReportGB=&amp;NewMenuID=108&amp;stkGb=701", "한국프랜지")</f>
        <v>0</v>
      </c>
      <c r="C53">
        <v>3</v>
      </c>
      <c r="D53">
        <v>2205</v>
      </c>
      <c r="E53">
        <v>0.08</v>
      </c>
      <c r="F53">
        <v>5.9</v>
      </c>
      <c r="G53">
        <v>2594</v>
      </c>
      <c r="H53">
        <v>5298</v>
      </c>
      <c r="I53">
        <v>6068</v>
      </c>
      <c r="J53">
        <v>-17.66</v>
      </c>
      <c r="K53">
        <v>-140.26</v>
      </c>
      <c r="L53">
        <v>-175.19</v>
      </c>
      <c r="M53">
        <v>2.91</v>
      </c>
      <c r="N53" t="b">
        <v>1</v>
      </c>
      <c r="O53">
        <v>373</v>
      </c>
      <c r="P53" t="s">
        <v>66</v>
      </c>
      <c r="Q53" t="s">
        <v>2282</v>
      </c>
      <c r="R53">
        <v>73.7911859688928</v>
      </c>
      <c r="S53">
        <v>671</v>
      </c>
      <c r="T53">
        <v>339200</v>
      </c>
      <c r="U53" t="s">
        <v>4038</v>
      </c>
      <c r="V53">
        <v>42.09</v>
      </c>
      <c r="W53" t="s">
        <v>6258</v>
      </c>
      <c r="X53" t="s">
        <v>8440</v>
      </c>
      <c r="Y53">
        <v>9540</v>
      </c>
      <c r="Z53">
        <v>149</v>
      </c>
      <c r="AB53">
        <v>2.27</v>
      </c>
    </row>
    <row r="54" spans="1:28">
      <c r="A54" s="2">
        <f>HYPERLINK("https://finance.naver.com/item/coinfo.nhn?code=054410", "A054410")</f>
        <v>0</v>
      </c>
      <c r="B54">
        <f>HYPERLINK("http://comp.fnguide.com/SVO2/ASP/SVD_Consensus.asp?pGB=1&amp;gicode=A054410&amp;cID=&amp;MenuYn=Y&amp;ReportGB=&amp;NewMenuID=108&amp;stkGb=701", "케이피티유")</f>
        <v>0</v>
      </c>
      <c r="C54">
        <v>3</v>
      </c>
      <c r="D54">
        <v>5620</v>
      </c>
      <c r="G54">
        <v>3736</v>
      </c>
      <c r="H54">
        <v>5398</v>
      </c>
      <c r="I54">
        <v>5872</v>
      </c>
      <c r="J54">
        <v>33.52</v>
      </c>
      <c r="K54">
        <v>3.95</v>
      </c>
      <c r="L54">
        <v>-4.48</v>
      </c>
      <c r="M54">
        <v>4.58</v>
      </c>
      <c r="N54" t="b">
        <v>0</v>
      </c>
      <c r="O54">
        <v>-151</v>
      </c>
      <c r="P54" t="s">
        <v>67</v>
      </c>
      <c r="Q54" t="s">
        <v>2283</v>
      </c>
      <c r="R54">
        <v>76.87815427037744</v>
      </c>
      <c r="S54">
        <v>284</v>
      </c>
      <c r="T54">
        <v>35316</v>
      </c>
      <c r="U54" t="s">
        <v>4039</v>
      </c>
      <c r="V54">
        <v>50.45</v>
      </c>
      <c r="W54" t="s">
        <v>6259</v>
      </c>
      <c r="X54" t="s">
        <v>8441</v>
      </c>
      <c r="Y54">
        <v>243</v>
      </c>
      <c r="Z54">
        <v>6</v>
      </c>
    </row>
    <row r="55" spans="1:28">
      <c r="A55" s="2">
        <f>HYPERLINK("https://finance.naver.com/item/coinfo.nhn?code=014790", "A014790")</f>
        <v>0</v>
      </c>
      <c r="B55">
        <f>HYPERLINK("http://comp.fnguide.com/SVO2/ASP/SVD_Consensus.asp?pGB=1&amp;gicode=A014790&amp;cID=&amp;MenuYn=Y&amp;ReportGB=&amp;NewMenuID=108&amp;stkGb=701", "한라")</f>
        <v>0</v>
      </c>
      <c r="C55">
        <v>3</v>
      </c>
      <c r="D55">
        <v>4770</v>
      </c>
      <c r="E55">
        <v>0.18</v>
      </c>
      <c r="F55">
        <v>58.86</v>
      </c>
      <c r="G55">
        <v>2266</v>
      </c>
      <c r="H55">
        <v>5048</v>
      </c>
      <c r="I55">
        <v>5841</v>
      </c>
      <c r="J55">
        <v>52.5</v>
      </c>
      <c r="K55">
        <v>-5.83</v>
      </c>
      <c r="L55">
        <v>-22.45</v>
      </c>
      <c r="M55">
        <v>2.62</v>
      </c>
      <c r="N55" t="b">
        <v>0</v>
      </c>
      <c r="O55">
        <v>51</v>
      </c>
      <c r="P55" t="s">
        <v>68</v>
      </c>
      <c r="Q55" t="s">
        <v>2284</v>
      </c>
      <c r="R55">
        <v>329.8</v>
      </c>
      <c r="S55">
        <v>1854</v>
      </c>
      <c r="T55">
        <v>817276</v>
      </c>
      <c r="U55" t="s">
        <v>4040</v>
      </c>
      <c r="V55">
        <v>45.29</v>
      </c>
      <c r="W55" t="s">
        <v>6260</v>
      </c>
      <c r="X55" t="s">
        <v>8442</v>
      </c>
      <c r="Y55">
        <v>13049</v>
      </c>
      <c r="Z55">
        <v>677</v>
      </c>
      <c r="AA55">
        <v>1016341</v>
      </c>
    </row>
    <row r="56" spans="1:28">
      <c r="A56" s="2">
        <f>HYPERLINK("https://finance.naver.com/item/coinfo.nhn?code=010620", "A010620")</f>
        <v>0</v>
      </c>
      <c r="B56">
        <f>HYPERLINK("http://comp.fnguide.com/SVO2/ASP/SVD_Consensus.asp?pGB=1&amp;gicode=A010620&amp;cID=&amp;MenuYn=Y&amp;ReportGB=&amp;NewMenuID=108&amp;stkGb=701", "현대미포조선")</f>
        <v>0</v>
      </c>
      <c r="C56">
        <v>3</v>
      </c>
      <c r="D56">
        <v>48700</v>
      </c>
      <c r="E56">
        <v>7.91</v>
      </c>
      <c r="F56">
        <v>34.54</v>
      </c>
      <c r="G56">
        <v>41945</v>
      </c>
      <c r="H56">
        <v>51655</v>
      </c>
      <c r="I56">
        <v>54422</v>
      </c>
      <c r="J56">
        <v>13.87</v>
      </c>
      <c r="K56">
        <v>-6.07</v>
      </c>
      <c r="L56">
        <v>-11.75</v>
      </c>
      <c r="M56">
        <v>5.75</v>
      </c>
      <c r="N56" t="b">
        <v>0</v>
      </c>
      <c r="O56">
        <v>1333</v>
      </c>
      <c r="P56" t="s">
        <v>69</v>
      </c>
      <c r="Q56" t="s">
        <v>2285</v>
      </c>
      <c r="R56">
        <v>4.369090500335471</v>
      </c>
      <c r="S56">
        <v>19452</v>
      </c>
      <c r="T56">
        <v>689499</v>
      </c>
      <c r="U56" t="s">
        <v>4041</v>
      </c>
      <c r="V56">
        <v>42.86</v>
      </c>
      <c r="W56" t="s">
        <v>6261</v>
      </c>
      <c r="X56" t="s">
        <v>8443</v>
      </c>
      <c r="Y56">
        <v>29941</v>
      </c>
      <c r="Z56">
        <v>926</v>
      </c>
      <c r="AA56">
        <v>57851</v>
      </c>
      <c r="AB56">
        <v>0.76</v>
      </c>
    </row>
    <row r="57" spans="1:28">
      <c r="A57" s="2">
        <f>HYPERLINK("https://finance.naver.com/item/coinfo.nhn?code=004560", "A004560")</f>
        <v>0</v>
      </c>
      <c r="B57">
        <f>HYPERLINK("http://comp.fnguide.com/SVO2/ASP/SVD_Consensus.asp?pGB=1&amp;gicode=A004560&amp;cID=&amp;MenuYn=Y&amp;ReportGB=&amp;NewMenuID=108&amp;stkGb=701", "현대비앤지스틸")</f>
        <v>0</v>
      </c>
      <c r="C57">
        <v>3</v>
      </c>
      <c r="D57">
        <v>9850</v>
      </c>
      <c r="E57">
        <v>0.18</v>
      </c>
      <c r="F57">
        <v>6.28</v>
      </c>
      <c r="G57">
        <v>18220</v>
      </c>
      <c r="H57">
        <v>23331</v>
      </c>
      <c r="I57">
        <v>24787</v>
      </c>
      <c r="J57">
        <v>-84.97</v>
      </c>
      <c r="K57">
        <v>-136.86</v>
      </c>
      <c r="L57">
        <v>-151.65</v>
      </c>
      <c r="M57">
        <v>5.43</v>
      </c>
      <c r="N57" t="b">
        <v>1</v>
      </c>
      <c r="O57">
        <v>1434</v>
      </c>
      <c r="P57" t="s">
        <v>70</v>
      </c>
      <c r="Q57" t="s">
        <v>2286</v>
      </c>
      <c r="R57">
        <v>34.4974702347594</v>
      </c>
      <c r="S57">
        <v>1485</v>
      </c>
      <c r="T57">
        <v>400719</v>
      </c>
      <c r="U57" t="s">
        <v>4042</v>
      </c>
      <c r="V57">
        <v>46.1</v>
      </c>
      <c r="W57" t="s">
        <v>6262</v>
      </c>
      <c r="X57" t="s">
        <v>8444</v>
      </c>
      <c r="Y57">
        <v>7333</v>
      </c>
      <c r="Z57">
        <v>365</v>
      </c>
      <c r="AB57">
        <v>1.11</v>
      </c>
    </row>
    <row r="58" spans="1:28">
      <c r="A58" s="2">
        <f>HYPERLINK("https://finance.naver.com/item/coinfo.nhn?code=086790", "A086790")</f>
        <v>0</v>
      </c>
      <c r="B58">
        <f>HYPERLINK("http://comp.fnguide.com/SVO2/ASP/SVD_Consensus.asp?pGB=1&amp;gicode=A086790&amp;cID=&amp;MenuYn=Y&amp;ReportGB=&amp;NewMenuID=108&amp;stkGb=701", "하나금융지주")</f>
        <v>0</v>
      </c>
      <c r="C58">
        <v>3</v>
      </c>
      <c r="D58">
        <v>36550</v>
      </c>
      <c r="E58">
        <v>2.27</v>
      </c>
      <c r="F58">
        <v>4.63</v>
      </c>
      <c r="G58">
        <v>106628</v>
      </c>
      <c r="H58">
        <v>100519</v>
      </c>
      <c r="I58">
        <v>98779</v>
      </c>
      <c r="J58">
        <v>-191.73</v>
      </c>
      <c r="K58">
        <v>-175.02</v>
      </c>
      <c r="L58">
        <v>-170.26</v>
      </c>
      <c r="M58">
        <v>8.81</v>
      </c>
      <c r="N58" t="b">
        <v>1</v>
      </c>
      <c r="O58">
        <v>7966</v>
      </c>
      <c r="P58" t="s">
        <v>71</v>
      </c>
      <c r="Q58" t="s">
        <v>2287</v>
      </c>
      <c r="R58">
        <v>2.039949048775269</v>
      </c>
      <c r="S58">
        <v>109738</v>
      </c>
      <c r="T58">
        <v>1787507</v>
      </c>
      <c r="U58" t="s">
        <v>4043</v>
      </c>
      <c r="V58">
        <v>9.94</v>
      </c>
      <c r="W58" t="s">
        <v>6263</v>
      </c>
      <c r="X58" t="s">
        <v>8445</v>
      </c>
      <c r="Y58">
        <v>111182</v>
      </c>
      <c r="Z58">
        <v>32587</v>
      </c>
      <c r="AA58">
        <v>8678586</v>
      </c>
      <c r="AB58">
        <v>5.69</v>
      </c>
    </row>
    <row r="59" spans="1:28">
      <c r="A59" s="2">
        <f>HYPERLINK("https://finance.naver.com/item/coinfo.nhn?code=021320", "A021320")</f>
        <v>0</v>
      </c>
      <c r="B59">
        <f>HYPERLINK("http://comp.fnguide.com/SVO2/ASP/SVD_Consensus.asp?pGB=1&amp;gicode=A021320&amp;cID=&amp;MenuYn=Y&amp;ReportGB=&amp;NewMenuID=108&amp;stkGb=701", "KCC건설")</f>
        <v>0</v>
      </c>
      <c r="C59">
        <v>3</v>
      </c>
      <c r="D59">
        <v>8080</v>
      </c>
      <c r="E59">
        <v>0.28</v>
      </c>
      <c r="F59">
        <v>4.93</v>
      </c>
      <c r="G59">
        <v>17212</v>
      </c>
      <c r="H59">
        <v>18103</v>
      </c>
      <c r="I59">
        <v>18356</v>
      </c>
      <c r="J59">
        <v>-113.03</v>
      </c>
      <c r="K59">
        <v>-124.04</v>
      </c>
      <c r="L59">
        <v>-127.18</v>
      </c>
      <c r="M59">
        <v>7.34</v>
      </c>
      <c r="N59" t="b">
        <v>1</v>
      </c>
      <c r="O59">
        <v>1319</v>
      </c>
      <c r="P59" t="s">
        <v>72</v>
      </c>
      <c r="Q59" t="s">
        <v>2288</v>
      </c>
      <c r="R59">
        <v>17.58865291766221</v>
      </c>
      <c r="S59">
        <v>1729</v>
      </c>
      <c r="T59">
        <v>184346</v>
      </c>
      <c r="U59" t="s">
        <v>4044</v>
      </c>
      <c r="V59">
        <v>66.26000000000001</v>
      </c>
      <c r="W59" t="s">
        <v>6264</v>
      </c>
      <c r="X59" t="s">
        <v>8446</v>
      </c>
      <c r="Y59">
        <v>16425</v>
      </c>
      <c r="Z59">
        <v>588</v>
      </c>
      <c r="AA59">
        <v>1206450</v>
      </c>
      <c r="AB59">
        <v>2.31</v>
      </c>
    </row>
    <row r="60" spans="1:28">
      <c r="A60" s="2">
        <f>HYPERLINK("https://finance.naver.com/item/coinfo.nhn?code=054620", "A054620")</f>
        <v>0</v>
      </c>
      <c r="B60">
        <f>HYPERLINK("http://comp.fnguide.com/SVO2/ASP/SVD_Consensus.asp?pGB=1&amp;gicode=A054620&amp;cID=&amp;MenuYn=Y&amp;ReportGB=&amp;NewMenuID=108&amp;stkGb=701", "APS홀딩스")</f>
        <v>0</v>
      </c>
      <c r="C60">
        <v>3</v>
      </c>
      <c r="D60">
        <v>7860</v>
      </c>
      <c r="G60">
        <v>85317</v>
      </c>
      <c r="H60">
        <v>41072</v>
      </c>
      <c r="I60">
        <v>28465</v>
      </c>
      <c r="J60">
        <v>-985.46</v>
      </c>
      <c r="K60">
        <v>-422.55</v>
      </c>
      <c r="L60">
        <v>-262.14</v>
      </c>
      <c r="M60">
        <v>58.23</v>
      </c>
      <c r="N60" t="b">
        <v>0</v>
      </c>
      <c r="O60">
        <v>-130</v>
      </c>
      <c r="P60" t="s">
        <v>73</v>
      </c>
      <c r="Q60" t="s">
        <v>2289</v>
      </c>
      <c r="R60">
        <v>-51.40036834095327</v>
      </c>
      <c r="S60">
        <v>1603</v>
      </c>
      <c r="T60">
        <v>124454</v>
      </c>
      <c r="U60" t="s">
        <v>4045</v>
      </c>
      <c r="V60">
        <v>29.96</v>
      </c>
      <c r="W60" t="s">
        <v>6265</v>
      </c>
      <c r="X60" t="s">
        <v>8447</v>
      </c>
      <c r="Y60">
        <v>232</v>
      </c>
      <c r="Z60">
        <v>-106</v>
      </c>
      <c r="AA60">
        <v>2000369</v>
      </c>
    </row>
    <row r="61" spans="1:28">
      <c r="A61" s="2">
        <f>HYPERLINK("https://finance.naver.com/item/coinfo.nhn?code=035760", "A035760")</f>
        <v>0</v>
      </c>
      <c r="B61">
        <f>HYPERLINK("http://comp.fnguide.com/SVO2/ASP/SVD_Consensus.asp?pGB=1&amp;gicode=A035760&amp;cID=&amp;MenuYn=Y&amp;ReportGB=&amp;NewMenuID=108&amp;stkGb=701", "CJ ENM")</f>
        <v>0</v>
      </c>
      <c r="C61">
        <v>3</v>
      </c>
      <c r="D61">
        <v>137000</v>
      </c>
      <c r="E61">
        <v>-1.32</v>
      </c>
      <c r="F61">
        <v>33.57</v>
      </c>
      <c r="G61">
        <v>130426</v>
      </c>
      <c r="H61">
        <v>142230</v>
      </c>
      <c r="I61">
        <v>145593</v>
      </c>
      <c r="J61">
        <v>4.8</v>
      </c>
      <c r="K61">
        <v>-3.82</v>
      </c>
      <c r="L61">
        <v>-6.27</v>
      </c>
      <c r="M61">
        <v>6.93</v>
      </c>
      <c r="N61" t="b">
        <v>0</v>
      </c>
      <c r="O61">
        <v>4754</v>
      </c>
      <c r="P61" t="s">
        <v>74</v>
      </c>
      <c r="Q61" t="s">
        <v>2290</v>
      </c>
      <c r="R61">
        <v>-25.39444363018158</v>
      </c>
      <c r="S61">
        <v>30043</v>
      </c>
      <c r="T61">
        <v>101704</v>
      </c>
      <c r="U61" t="s">
        <v>4046</v>
      </c>
      <c r="V61">
        <v>42.7</v>
      </c>
      <c r="W61" t="s">
        <v>6266</v>
      </c>
      <c r="X61" t="s">
        <v>8448</v>
      </c>
      <c r="Y61">
        <v>37897</v>
      </c>
      <c r="Z61">
        <v>2694</v>
      </c>
      <c r="AA61">
        <v>2295225</v>
      </c>
      <c r="AB61">
        <v>0.88</v>
      </c>
    </row>
    <row r="62" spans="1:28">
      <c r="A62" s="2">
        <f>HYPERLINK("https://finance.naver.com/item/coinfo.nhn?code=004650", "A004650")</f>
        <v>0</v>
      </c>
      <c r="B62">
        <f>HYPERLINK("http://comp.fnguide.com/SVO2/ASP/SVD_Consensus.asp?pGB=1&amp;gicode=A004650&amp;cID=&amp;MenuYn=Y&amp;ReportGB=&amp;NewMenuID=108&amp;stkGb=701", "창해에탄올")</f>
        <v>0</v>
      </c>
      <c r="C62">
        <v>3</v>
      </c>
      <c r="D62">
        <v>14050</v>
      </c>
      <c r="E62">
        <v>0.8100000000000001</v>
      </c>
      <c r="F62">
        <v>5.39</v>
      </c>
      <c r="G62">
        <v>23044</v>
      </c>
      <c r="H62">
        <v>19049</v>
      </c>
      <c r="I62">
        <v>17911</v>
      </c>
      <c r="J62">
        <v>-64.01000000000001</v>
      </c>
      <c r="K62">
        <v>-35.58</v>
      </c>
      <c r="L62">
        <v>-27.48</v>
      </c>
      <c r="M62">
        <v>11.2</v>
      </c>
      <c r="N62" t="b">
        <v>1</v>
      </c>
      <c r="O62">
        <v>2328</v>
      </c>
      <c r="P62" t="s">
        <v>75</v>
      </c>
      <c r="Q62" t="s">
        <v>2291</v>
      </c>
      <c r="R62">
        <v>6.684310267165183</v>
      </c>
      <c r="S62">
        <v>1291</v>
      </c>
      <c r="T62">
        <v>296712</v>
      </c>
      <c r="U62" t="s">
        <v>4047</v>
      </c>
      <c r="V62">
        <v>27.13</v>
      </c>
      <c r="W62" t="s">
        <v>6267</v>
      </c>
      <c r="X62" t="s">
        <v>8449</v>
      </c>
      <c r="Y62">
        <v>1873</v>
      </c>
      <c r="Z62">
        <v>89</v>
      </c>
      <c r="AA62">
        <v>1603534</v>
      </c>
      <c r="AB62">
        <v>4.78</v>
      </c>
    </row>
    <row r="63" spans="1:28">
      <c r="A63" s="2">
        <f>HYPERLINK("https://finance.naver.com/item/coinfo.nhn?code=023460", "A023460")</f>
        <v>0</v>
      </c>
      <c r="B63">
        <f>HYPERLINK("http://comp.fnguide.com/SVO2/ASP/SVD_Consensus.asp?pGB=1&amp;gicode=A023460&amp;cID=&amp;MenuYn=Y&amp;ReportGB=&amp;NewMenuID=108&amp;stkGb=701", "CNH")</f>
        <v>0</v>
      </c>
      <c r="C63">
        <v>3</v>
      </c>
      <c r="D63">
        <v>2030</v>
      </c>
      <c r="E63">
        <v>0</v>
      </c>
      <c r="F63">
        <v>4.62</v>
      </c>
      <c r="G63">
        <v>3156</v>
      </c>
      <c r="H63">
        <v>3067</v>
      </c>
      <c r="I63">
        <v>3041</v>
      </c>
      <c r="J63">
        <v>-55.49</v>
      </c>
      <c r="K63">
        <v>-51.08</v>
      </c>
      <c r="L63">
        <v>-49.82</v>
      </c>
      <c r="M63">
        <v>8.369999999999999</v>
      </c>
      <c r="N63" t="b">
        <v>1</v>
      </c>
      <c r="O63">
        <v>414</v>
      </c>
      <c r="P63" t="s">
        <v>76</v>
      </c>
      <c r="Q63" t="s">
        <v>2292</v>
      </c>
      <c r="R63">
        <v>25.4800234420439</v>
      </c>
      <c r="S63">
        <v>755</v>
      </c>
      <c r="T63">
        <v>169313</v>
      </c>
      <c r="U63" t="s">
        <v>4048</v>
      </c>
      <c r="V63">
        <v>60.88</v>
      </c>
      <c r="W63" t="s">
        <v>6268</v>
      </c>
      <c r="X63" t="s">
        <v>8450</v>
      </c>
      <c r="Y63">
        <v>405</v>
      </c>
      <c r="Z63">
        <v>211</v>
      </c>
      <c r="AA63">
        <v>2418619</v>
      </c>
      <c r="AB63">
        <v>1.57</v>
      </c>
    </row>
    <row r="64" spans="1:28">
      <c r="A64" s="2">
        <f>HYPERLINK("https://finance.naver.com/item/coinfo.nhn?code=900290", "A900290")</f>
        <v>0</v>
      </c>
      <c r="B64">
        <f>HYPERLINK("http://comp.fnguide.com/SVO2/ASP/SVD_Consensus.asp?pGB=1&amp;gicode=A900290&amp;cID=&amp;MenuYn=Y&amp;ReportGB=&amp;NewMenuID=108&amp;stkGb=701", "GRT")</f>
        <v>0</v>
      </c>
      <c r="C64">
        <v>3</v>
      </c>
      <c r="D64">
        <v>951</v>
      </c>
      <c r="E64">
        <v>-0.1</v>
      </c>
      <c r="F64">
        <v>1.86</v>
      </c>
      <c r="G64">
        <v>13033</v>
      </c>
      <c r="H64">
        <v>9912</v>
      </c>
      <c r="I64">
        <v>9022</v>
      </c>
      <c r="J64">
        <v>-1270.41</v>
      </c>
      <c r="K64">
        <v>-942.23</v>
      </c>
      <c r="L64">
        <v>-848.72</v>
      </c>
      <c r="M64">
        <v>13.25</v>
      </c>
      <c r="N64" t="b">
        <v>0</v>
      </c>
      <c r="O64">
        <v>766</v>
      </c>
      <c r="P64" t="s">
        <v>77</v>
      </c>
      <c r="Q64" t="s">
        <v>2293</v>
      </c>
      <c r="R64">
        <v>-18.25513529688798</v>
      </c>
      <c r="S64">
        <v>641</v>
      </c>
      <c r="T64">
        <v>0</v>
      </c>
      <c r="U64" t="s">
        <v>4049</v>
      </c>
      <c r="V64">
        <v>38.78</v>
      </c>
      <c r="W64" t="s">
        <v>6269</v>
      </c>
      <c r="X64" t="s">
        <v>8451</v>
      </c>
      <c r="Y64">
        <v>3434</v>
      </c>
      <c r="Z64">
        <v>679</v>
      </c>
    </row>
    <row r="65" spans="1:28">
      <c r="A65" s="2">
        <f>HYPERLINK("https://finance.naver.com/item/coinfo.nhn?code=028150", "A028150")</f>
        <v>0</v>
      </c>
      <c r="B65">
        <f>HYPERLINK("http://comp.fnguide.com/SVO2/ASP/SVD_Consensus.asp?pGB=1&amp;gicode=A028150&amp;cID=&amp;MenuYn=Y&amp;ReportGB=&amp;NewMenuID=108&amp;stkGb=701", "GS홈쇼핑")</f>
        <v>0</v>
      </c>
      <c r="C65">
        <v>3</v>
      </c>
      <c r="D65">
        <v>138600</v>
      </c>
      <c r="E65">
        <v>0.99</v>
      </c>
      <c r="F65">
        <v>8.9</v>
      </c>
      <c r="G65">
        <v>259052</v>
      </c>
      <c r="H65">
        <v>218890</v>
      </c>
      <c r="I65">
        <v>207446</v>
      </c>
      <c r="J65">
        <v>-86.91</v>
      </c>
      <c r="K65">
        <v>-57.93</v>
      </c>
      <c r="L65">
        <v>-49.67</v>
      </c>
      <c r="M65">
        <v>10.74</v>
      </c>
      <c r="N65" t="b">
        <v>1</v>
      </c>
      <c r="O65">
        <v>16696</v>
      </c>
      <c r="P65" t="s">
        <v>78</v>
      </c>
      <c r="Q65" t="s">
        <v>2294</v>
      </c>
      <c r="R65">
        <v>8.946077444180499</v>
      </c>
      <c r="S65">
        <v>9096</v>
      </c>
      <c r="T65">
        <v>17550</v>
      </c>
      <c r="U65" t="s">
        <v>4050</v>
      </c>
      <c r="V65">
        <v>36.1</v>
      </c>
      <c r="W65" t="s">
        <v>6270</v>
      </c>
      <c r="X65" t="s">
        <v>8452</v>
      </c>
      <c r="Y65">
        <v>12304</v>
      </c>
      <c r="Z65">
        <v>1211</v>
      </c>
      <c r="AA65">
        <v>599200</v>
      </c>
      <c r="AB65">
        <v>4.37</v>
      </c>
    </row>
    <row r="66" spans="1:28">
      <c r="A66" s="2">
        <f>HYPERLINK("https://finance.naver.com/item/coinfo.nhn?code=053050", "A053050")</f>
        <v>0</v>
      </c>
      <c r="B66">
        <f>HYPERLINK("http://comp.fnguide.com/SVO2/ASP/SVD_Consensus.asp?pGB=1&amp;gicode=A053050&amp;cID=&amp;MenuYn=Y&amp;ReportGB=&amp;NewMenuID=108&amp;stkGb=701", "지에스이")</f>
        <v>0</v>
      </c>
      <c r="C66">
        <v>3</v>
      </c>
      <c r="D66">
        <v>1665</v>
      </c>
      <c r="E66">
        <v>-0.99</v>
      </c>
      <c r="F66">
        <v>10.16</v>
      </c>
      <c r="G66">
        <v>2368</v>
      </c>
      <c r="H66">
        <v>2444</v>
      </c>
      <c r="I66">
        <v>2465</v>
      </c>
      <c r="J66">
        <v>-42.22</v>
      </c>
      <c r="K66">
        <v>-46.77</v>
      </c>
      <c r="L66">
        <v>-48.07</v>
      </c>
      <c r="M66">
        <v>7.57</v>
      </c>
      <c r="N66" t="b">
        <v>0</v>
      </c>
      <c r="O66">
        <v>143</v>
      </c>
      <c r="P66" t="s">
        <v>79</v>
      </c>
      <c r="Q66" t="s">
        <v>2295</v>
      </c>
      <c r="R66">
        <v>-10.25653834485684</v>
      </c>
      <c r="S66">
        <v>499</v>
      </c>
      <c r="T66">
        <v>276860</v>
      </c>
      <c r="U66" t="s">
        <v>4051</v>
      </c>
      <c r="V66">
        <v>44.6</v>
      </c>
      <c r="W66" t="s">
        <v>6271</v>
      </c>
      <c r="X66" t="s">
        <v>8453</v>
      </c>
      <c r="Y66">
        <v>1364</v>
      </c>
      <c r="Z66">
        <v>56</v>
      </c>
      <c r="AA66">
        <v>2282342</v>
      </c>
      <c r="AB66">
        <v>2.75</v>
      </c>
    </row>
    <row r="67" spans="1:28">
      <c r="A67" s="2">
        <f>HYPERLINK("https://finance.naver.com/item/coinfo.nhn?code=114570", "A114570")</f>
        <v>0</v>
      </c>
      <c r="B67">
        <f>HYPERLINK("http://comp.fnguide.com/SVO2/ASP/SVD_Consensus.asp?pGB=1&amp;gicode=A114570&amp;cID=&amp;MenuYn=Y&amp;ReportGB=&amp;NewMenuID=108&amp;stkGb=701", "지스마트글로벌")</f>
        <v>0</v>
      </c>
      <c r="C67">
        <v>3</v>
      </c>
      <c r="D67">
        <v>620</v>
      </c>
      <c r="G67">
        <v>1230</v>
      </c>
      <c r="H67">
        <v>3002</v>
      </c>
      <c r="I67">
        <v>3508</v>
      </c>
      <c r="J67">
        <v>-98.37</v>
      </c>
      <c r="K67">
        <v>-384.27</v>
      </c>
      <c r="L67">
        <v>-465.74</v>
      </c>
      <c r="M67">
        <v>2.35</v>
      </c>
      <c r="N67" t="b">
        <v>0</v>
      </c>
      <c r="O67">
        <v>-8212</v>
      </c>
      <c r="P67" t="s">
        <v>80</v>
      </c>
      <c r="Q67" t="s">
        <v>2296</v>
      </c>
      <c r="R67">
        <v>7.585314983040314</v>
      </c>
      <c r="S67">
        <v>70</v>
      </c>
      <c r="T67">
        <v>0</v>
      </c>
      <c r="U67" t="s">
        <v>4052</v>
      </c>
      <c r="V67">
        <v>5.93</v>
      </c>
      <c r="W67" t="s">
        <v>6272</v>
      </c>
      <c r="X67" t="s">
        <v>8454</v>
      </c>
      <c r="Y67">
        <v>124</v>
      </c>
      <c r="Z67">
        <v>-636</v>
      </c>
    </row>
    <row r="68" spans="1:28">
      <c r="A68" s="2">
        <f>HYPERLINK("https://finance.naver.com/item/coinfo.nhn?code=950170", "A950170")</f>
        <v>0</v>
      </c>
      <c r="B68">
        <f>HYPERLINK("http://comp.fnguide.com/SVO2/ASP/SVD_Consensus.asp?pGB=1&amp;gicode=A950170&amp;cID=&amp;MenuYn=Y&amp;ReportGB=&amp;NewMenuID=108&amp;stkGb=701", "JTC")</f>
        <v>0</v>
      </c>
      <c r="C68">
        <v>3</v>
      </c>
      <c r="D68">
        <v>5930</v>
      </c>
      <c r="G68">
        <v>4218</v>
      </c>
      <c r="H68">
        <v>5798</v>
      </c>
      <c r="I68">
        <v>6248</v>
      </c>
      <c r="J68">
        <v>28.86</v>
      </c>
      <c r="K68">
        <v>2.22</v>
      </c>
      <c r="L68">
        <v>-5.37</v>
      </c>
      <c r="M68">
        <v>4.91</v>
      </c>
      <c r="N68" t="b">
        <v>0</v>
      </c>
      <c r="O68">
        <v>-301</v>
      </c>
      <c r="P68" t="s">
        <v>81</v>
      </c>
      <c r="Q68" t="s">
        <v>2297</v>
      </c>
      <c r="R68">
        <v>-49.84895382508717</v>
      </c>
      <c r="S68">
        <v>2076</v>
      </c>
      <c r="T68">
        <v>207972</v>
      </c>
      <c r="U68" t="s">
        <v>4053</v>
      </c>
      <c r="V68">
        <v>64.16</v>
      </c>
      <c r="W68" t="s">
        <v>6273</v>
      </c>
      <c r="X68" t="s">
        <v>8455</v>
      </c>
      <c r="Y68">
        <v>5592</v>
      </c>
      <c r="Z68">
        <v>245</v>
      </c>
    </row>
    <row r="69" spans="1:28">
      <c r="A69" s="2">
        <f>HYPERLINK("https://finance.naver.com/item/coinfo.nhn?code=024840", "A024840")</f>
        <v>0</v>
      </c>
      <c r="B69">
        <f>HYPERLINK("http://comp.fnguide.com/SVO2/ASP/SVD_Consensus.asp?pGB=1&amp;gicode=A024840&amp;cID=&amp;MenuYn=Y&amp;ReportGB=&amp;NewMenuID=108&amp;stkGb=701", "KBI메탈")</f>
        <v>0</v>
      </c>
      <c r="C69">
        <v>3</v>
      </c>
      <c r="D69">
        <v>1925</v>
      </c>
      <c r="E69">
        <v>0.12</v>
      </c>
      <c r="F69">
        <v>8.619999999999999</v>
      </c>
      <c r="G69">
        <v>2491</v>
      </c>
      <c r="H69">
        <v>2641</v>
      </c>
      <c r="I69">
        <v>2683</v>
      </c>
      <c r="J69">
        <v>-29.4</v>
      </c>
      <c r="K69">
        <v>-37.18</v>
      </c>
      <c r="L69">
        <v>-39.4</v>
      </c>
      <c r="M69">
        <v>7.25</v>
      </c>
      <c r="N69" t="b">
        <v>1</v>
      </c>
      <c r="O69">
        <v>195</v>
      </c>
      <c r="P69" t="s">
        <v>82</v>
      </c>
      <c r="Q69" t="s">
        <v>2298</v>
      </c>
      <c r="R69">
        <v>74.87149093304679</v>
      </c>
      <c r="S69">
        <v>634</v>
      </c>
      <c r="T69">
        <v>1476171</v>
      </c>
      <c r="U69" t="s">
        <v>4054</v>
      </c>
      <c r="V69">
        <v>34</v>
      </c>
      <c r="W69" t="s">
        <v>6274</v>
      </c>
      <c r="X69" t="s">
        <v>8456</v>
      </c>
      <c r="Y69">
        <v>4948</v>
      </c>
      <c r="Z69">
        <v>103</v>
      </c>
      <c r="AA69">
        <v>71118</v>
      </c>
    </row>
    <row r="70" spans="1:28">
      <c r="A70" s="2">
        <f>HYPERLINK("https://finance.naver.com/item/coinfo.nhn?code=024120", "A024120")</f>
        <v>0</v>
      </c>
      <c r="B70">
        <f>HYPERLINK("http://comp.fnguide.com/SVO2/ASP/SVD_Consensus.asp?pGB=1&amp;gicode=A024120&amp;cID=&amp;MenuYn=Y&amp;ReportGB=&amp;NewMenuID=108&amp;stkGb=701", "KB오토시스")</f>
        <v>0</v>
      </c>
      <c r="C70">
        <v>3</v>
      </c>
      <c r="D70">
        <v>6380</v>
      </c>
      <c r="E70">
        <v>-0.45</v>
      </c>
      <c r="F70">
        <v>6.65</v>
      </c>
      <c r="G70">
        <v>14177</v>
      </c>
      <c r="H70">
        <v>11014</v>
      </c>
      <c r="I70">
        <v>10113</v>
      </c>
      <c r="J70">
        <v>-122.2</v>
      </c>
      <c r="K70">
        <v>-72.63</v>
      </c>
      <c r="L70">
        <v>-58.51</v>
      </c>
      <c r="M70">
        <v>12.68</v>
      </c>
      <c r="N70" t="b">
        <v>1</v>
      </c>
      <c r="O70">
        <v>930</v>
      </c>
      <c r="P70" t="s">
        <v>83</v>
      </c>
      <c r="Q70" t="s">
        <v>2299</v>
      </c>
      <c r="R70">
        <v>-14.70006033450598</v>
      </c>
      <c r="S70">
        <v>734</v>
      </c>
      <c r="T70">
        <v>7514</v>
      </c>
      <c r="U70" t="s">
        <v>4055</v>
      </c>
      <c r="V70">
        <v>72.06999999999999</v>
      </c>
      <c r="W70" t="s">
        <v>6275</v>
      </c>
      <c r="X70" t="s">
        <v>8457</v>
      </c>
      <c r="Y70">
        <v>1478</v>
      </c>
      <c r="Z70">
        <v>127</v>
      </c>
      <c r="AB70">
        <v>3.72</v>
      </c>
    </row>
    <row r="71" spans="1:28">
      <c r="A71" s="2">
        <f>HYPERLINK("https://finance.naver.com/item/coinfo.nhn?code=044180", "A044180")</f>
        <v>0</v>
      </c>
      <c r="B71">
        <f>HYPERLINK("http://comp.fnguide.com/SVO2/ASP/SVD_Consensus.asp?pGB=1&amp;gicode=A044180&amp;cID=&amp;MenuYn=Y&amp;ReportGB=&amp;NewMenuID=108&amp;stkGb=701", "KD")</f>
        <v>0</v>
      </c>
      <c r="C71">
        <v>3</v>
      </c>
      <c r="D71">
        <v>1680</v>
      </c>
      <c r="E71">
        <v>-0.06</v>
      </c>
      <c r="F71">
        <v>3.49</v>
      </c>
      <c r="G71">
        <v>4513</v>
      </c>
      <c r="H71">
        <v>3032</v>
      </c>
      <c r="I71">
        <v>2610</v>
      </c>
      <c r="J71">
        <v>-168.64</v>
      </c>
      <c r="K71">
        <v>-80.48999999999999</v>
      </c>
      <c r="L71">
        <v>-55.37</v>
      </c>
      <c r="M71">
        <v>17.56</v>
      </c>
      <c r="N71" t="b">
        <v>1</v>
      </c>
      <c r="O71">
        <v>606</v>
      </c>
      <c r="P71" t="s">
        <v>84</v>
      </c>
      <c r="Q71" t="s">
        <v>2300</v>
      </c>
      <c r="R71">
        <v>-54.90000000000001</v>
      </c>
      <c r="S71">
        <v>263</v>
      </c>
      <c r="T71">
        <v>493561</v>
      </c>
      <c r="U71" t="s">
        <v>4056</v>
      </c>
      <c r="V71">
        <v>8.98</v>
      </c>
      <c r="W71" t="s">
        <v>6276</v>
      </c>
      <c r="X71" t="s">
        <v>8458</v>
      </c>
      <c r="Y71">
        <v>843</v>
      </c>
      <c r="Z71">
        <v>53</v>
      </c>
    </row>
    <row r="72" spans="1:28">
      <c r="A72" s="2">
        <f>HYPERLINK("https://finance.naver.com/item/coinfo.nhn?code=005010", "A005010")</f>
        <v>0</v>
      </c>
      <c r="B72">
        <f>HYPERLINK("http://comp.fnguide.com/SVO2/ASP/SVD_Consensus.asp?pGB=1&amp;gicode=A005010&amp;cID=&amp;MenuYn=Y&amp;ReportGB=&amp;NewMenuID=108&amp;stkGb=701", "휴스틸")</f>
        <v>0</v>
      </c>
      <c r="C72">
        <v>3</v>
      </c>
      <c r="D72">
        <v>7310</v>
      </c>
      <c r="G72">
        <v>10610</v>
      </c>
      <c r="H72">
        <v>35500</v>
      </c>
      <c r="I72">
        <v>42592</v>
      </c>
      <c r="J72">
        <v>-45.14</v>
      </c>
      <c r="K72">
        <v>-385.64</v>
      </c>
      <c r="L72">
        <v>-482.66</v>
      </c>
      <c r="M72">
        <v>1.62</v>
      </c>
      <c r="N72" t="b">
        <v>0</v>
      </c>
      <c r="O72">
        <v>-1646</v>
      </c>
      <c r="P72" t="s">
        <v>85</v>
      </c>
      <c r="Q72" t="s">
        <v>2301</v>
      </c>
      <c r="R72">
        <v>328.2</v>
      </c>
      <c r="S72">
        <v>557</v>
      </c>
      <c r="T72">
        <v>25437</v>
      </c>
      <c r="U72" t="s">
        <v>4057</v>
      </c>
      <c r="V72">
        <v>50.15</v>
      </c>
      <c r="W72" t="s">
        <v>6277</v>
      </c>
      <c r="X72" t="s">
        <v>8459</v>
      </c>
      <c r="Y72">
        <v>5370</v>
      </c>
      <c r="Z72">
        <v>-129</v>
      </c>
      <c r="AB72">
        <v>3.01</v>
      </c>
    </row>
    <row r="73" spans="1:28">
      <c r="A73" s="2">
        <f>HYPERLINK("https://finance.naver.com/item/coinfo.nhn?code=151860", "A151860")</f>
        <v>0</v>
      </c>
      <c r="B73">
        <f>HYPERLINK("http://comp.fnguide.com/SVO2/ASP/SVD_Consensus.asp?pGB=1&amp;gicode=A151860&amp;cID=&amp;MenuYn=Y&amp;ReportGB=&amp;NewMenuID=108&amp;stkGb=701", "KG ETS")</f>
        <v>0</v>
      </c>
      <c r="C73">
        <v>3</v>
      </c>
      <c r="D73">
        <v>4990</v>
      </c>
      <c r="E73">
        <v>0.02</v>
      </c>
      <c r="F73">
        <v>1.22</v>
      </c>
      <c r="G73">
        <v>25345</v>
      </c>
      <c r="H73">
        <v>14330</v>
      </c>
      <c r="I73">
        <v>11192</v>
      </c>
      <c r="J73">
        <v>-407.91</v>
      </c>
      <c r="K73">
        <v>-187.18</v>
      </c>
      <c r="L73">
        <v>-124.28</v>
      </c>
      <c r="M73">
        <v>28.81</v>
      </c>
      <c r="N73" t="b">
        <v>0</v>
      </c>
      <c r="O73">
        <v>2716</v>
      </c>
      <c r="P73" t="s">
        <v>86</v>
      </c>
      <c r="Q73" t="s">
        <v>2302</v>
      </c>
      <c r="R73">
        <v>56.50475027169708</v>
      </c>
      <c r="S73">
        <v>1796</v>
      </c>
      <c r="T73">
        <v>1595430</v>
      </c>
      <c r="U73" t="s">
        <v>4058</v>
      </c>
      <c r="V73">
        <v>46.5</v>
      </c>
      <c r="W73" t="s">
        <v>6278</v>
      </c>
      <c r="X73" t="s">
        <v>8460</v>
      </c>
      <c r="Y73">
        <v>1609</v>
      </c>
      <c r="Z73">
        <v>159</v>
      </c>
      <c r="AA73">
        <v>1433682</v>
      </c>
      <c r="AB73">
        <v>3.31</v>
      </c>
    </row>
    <row r="74" spans="1:28">
      <c r="A74" s="2">
        <f>HYPERLINK("https://finance.naver.com/item/coinfo.nhn?code=041590", "A041590")</f>
        <v>0</v>
      </c>
      <c r="B74">
        <f>HYPERLINK("http://comp.fnguide.com/SVO2/ASP/SVD_Consensus.asp?pGB=1&amp;gicode=A041590&amp;cID=&amp;MenuYn=Y&amp;ReportGB=&amp;NewMenuID=108&amp;stkGb=701", "젬백스지오")</f>
        <v>0</v>
      </c>
      <c r="C74">
        <v>3</v>
      </c>
      <c r="D74">
        <v>717</v>
      </c>
      <c r="E74">
        <v>0</v>
      </c>
      <c r="G74">
        <v>0</v>
      </c>
      <c r="H74">
        <v>599</v>
      </c>
      <c r="I74">
        <v>770</v>
      </c>
      <c r="J74">
        <v>100</v>
      </c>
      <c r="K74">
        <v>16.45</v>
      </c>
      <c r="L74">
        <v>-7.36</v>
      </c>
      <c r="M74">
        <v>0</v>
      </c>
      <c r="N74" t="b">
        <v>0</v>
      </c>
      <c r="O74">
        <v>-1108</v>
      </c>
      <c r="P74" t="s">
        <v>87</v>
      </c>
      <c r="Q74" t="s">
        <v>2276</v>
      </c>
      <c r="R74">
        <v>0</v>
      </c>
      <c r="S74">
        <v>555</v>
      </c>
      <c r="T74">
        <v>159403</v>
      </c>
      <c r="U74" t="s">
        <v>4059</v>
      </c>
      <c r="V74">
        <v>33.36</v>
      </c>
      <c r="W74" t="s">
        <v>6279</v>
      </c>
      <c r="X74" t="s">
        <v>968</v>
      </c>
      <c r="Y74">
        <v>189</v>
      </c>
      <c r="Z74">
        <v>-40</v>
      </c>
      <c r="AA74">
        <v>500000</v>
      </c>
    </row>
    <row r="75" spans="1:28">
      <c r="A75" s="2">
        <f>HYPERLINK("https://finance.naver.com/item/coinfo.nhn?code=053290", "A053290")</f>
        <v>0</v>
      </c>
      <c r="B75">
        <f>HYPERLINK("http://comp.fnguide.com/SVO2/ASP/SVD_Consensus.asp?pGB=1&amp;gicode=A053290&amp;cID=&amp;MenuYn=Y&amp;ReportGB=&amp;NewMenuID=108&amp;stkGb=701", "NE능률")</f>
        <v>0</v>
      </c>
      <c r="C75">
        <v>3</v>
      </c>
      <c r="D75">
        <v>2925</v>
      </c>
      <c r="E75">
        <v>-1.06</v>
      </c>
      <c r="F75">
        <v>66.16</v>
      </c>
      <c r="G75">
        <v>404</v>
      </c>
      <c r="H75">
        <v>2446</v>
      </c>
      <c r="I75">
        <v>3028</v>
      </c>
      <c r="J75">
        <v>86.19</v>
      </c>
      <c r="K75">
        <v>16.36</v>
      </c>
      <c r="L75">
        <v>-3.53</v>
      </c>
      <c r="M75">
        <v>0.85</v>
      </c>
      <c r="N75" t="b">
        <v>1</v>
      </c>
      <c r="O75">
        <v>49</v>
      </c>
      <c r="P75" t="s">
        <v>88</v>
      </c>
      <c r="Q75" t="s">
        <v>2303</v>
      </c>
      <c r="R75">
        <v>-62.31180556195348</v>
      </c>
      <c r="S75">
        <v>483</v>
      </c>
      <c r="T75">
        <v>459403</v>
      </c>
      <c r="U75" t="s">
        <v>4060</v>
      </c>
      <c r="V75">
        <v>48.33</v>
      </c>
      <c r="W75" t="s">
        <v>6280</v>
      </c>
      <c r="X75" t="s">
        <v>8461</v>
      </c>
      <c r="Y75">
        <v>846</v>
      </c>
      <c r="Z75">
        <v>29</v>
      </c>
      <c r="AA75">
        <v>1407334</v>
      </c>
    </row>
    <row r="76" spans="1:28">
      <c r="A76" s="2">
        <f>HYPERLINK("https://finance.naver.com/item/coinfo.nhn?code=024940", "A024940")</f>
        <v>0</v>
      </c>
      <c r="B76">
        <f>HYPERLINK("http://comp.fnguide.com/SVO2/ASP/SVD_Consensus.asp?pGB=1&amp;gicode=A024940&amp;cID=&amp;MenuYn=Y&amp;ReportGB=&amp;NewMenuID=108&amp;stkGb=701", "PN풍년")</f>
        <v>0</v>
      </c>
      <c r="C76">
        <v>3</v>
      </c>
      <c r="D76">
        <v>3930</v>
      </c>
      <c r="E76">
        <v>0.25</v>
      </c>
      <c r="F76">
        <v>4.11</v>
      </c>
      <c r="G76">
        <v>5172</v>
      </c>
      <c r="H76">
        <v>4650</v>
      </c>
      <c r="I76">
        <v>4502</v>
      </c>
      <c r="J76">
        <v>-31.59</v>
      </c>
      <c r="K76">
        <v>-18.33</v>
      </c>
      <c r="L76">
        <v>-14.55</v>
      </c>
      <c r="M76">
        <v>9.58</v>
      </c>
      <c r="N76" t="b">
        <v>1</v>
      </c>
      <c r="O76">
        <v>542</v>
      </c>
      <c r="P76" t="s">
        <v>89</v>
      </c>
      <c r="Q76" t="s">
        <v>2304</v>
      </c>
      <c r="R76">
        <v>16.38312116011171</v>
      </c>
      <c r="S76">
        <v>393</v>
      </c>
      <c r="T76">
        <v>215960</v>
      </c>
      <c r="U76" t="s">
        <v>4061</v>
      </c>
      <c r="V76">
        <v>38.07</v>
      </c>
      <c r="W76" t="s">
        <v>6281</v>
      </c>
      <c r="X76" t="s">
        <v>8462</v>
      </c>
      <c r="Y76">
        <v>546</v>
      </c>
      <c r="Z76">
        <v>-13</v>
      </c>
      <c r="AA76">
        <v>1101320</v>
      </c>
      <c r="AB76">
        <v>1.12</v>
      </c>
    </row>
    <row r="77" spans="1:28">
      <c r="A77" s="2">
        <f>HYPERLINK("https://finance.naver.com/item/coinfo.nhn?code=038010", "A038010")</f>
        <v>0</v>
      </c>
      <c r="B77">
        <f>HYPERLINK("http://comp.fnguide.com/SVO2/ASP/SVD_Consensus.asp?pGB=1&amp;gicode=A038010&amp;cID=&amp;MenuYn=Y&amp;ReportGB=&amp;NewMenuID=108&amp;stkGb=701", "제일테크노스")</f>
        <v>0</v>
      </c>
      <c r="C77">
        <v>3</v>
      </c>
      <c r="D77">
        <v>8310</v>
      </c>
      <c r="E77">
        <v>-3.52</v>
      </c>
      <c r="F77">
        <v>9.09</v>
      </c>
      <c r="G77">
        <v>7006</v>
      </c>
      <c r="H77">
        <v>8295</v>
      </c>
      <c r="I77">
        <v>8662</v>
      </c>
      <c r="J77">
        <v>15.69</v>
      </c>
      <c r="K77">
        <v>0.18</v>
      </c>
      <c r="L77">
        <v>-4.24</v>
      </c>
      <c r="M77">
        <v>6.1</v>
      </c>
      <c r="N77" t="b">
        <v>1</v>
      </c>
      <c r="O77">
        <v>466</v>
      </c>
      <c r="P77" t="s">
        <v>90</v>
      </c>
      <c r="Q77" t="s">
        <v>2305</v>
      </c>
      <c r="R77">
        <v>-2.584895029481127</v>
      </c>
      <c r="S77">
        <v>748</v>
      </c>
      <c r="T77">
        <v>2193798</v>
      </c>
      <c r="U77" t="s">
        <v>4062</v>
      </c>
      <c r="V77">
        <v>44.65</v>
      </c>
      <c r="W77" t="s">
        <v>6282</v>
      </c>
      <c r="X77" t="s">
        <v>8463</v>
      </c>
      <c r="Y77">
        <v>1670</v>
      </c>
      <c r="Z77">
        <v>49</v>
      </c>
      <c r="AA77">
        <v>684000</v>
      </c>
      <c r="AB77">
        <v>2.13</v>
      </c>
    </row>
    <row r="78" spans="1:28">
      <c r="A78" s="2">
        <f>HYPERLINK("https://finance.naver.com/item/coinfo.nhn?code=091340", "A091340")</f>
        <v>0</v>
      </c>
      <c r="B78">
        <f>HYPERLINK("http://comp.fnguide.com/SVO2/ASP/SVD_Consensus.asp?pGB=1&amp;gicode=A091340&amp;cID=&amp;MenuYn=Y&amp;ReportGB=&amp;NewMenuID=108&amp;stkGb=701", "S&amp;K폴리텍")</f>
        <v>0</v>
      </c>
      <c r="C78">
        <v>3</v>
      </c>
      <c r="D78">
        <v>4965</v>
      </c>
      <c r="E78">
        <v>0.12</v>
      </c>
      <c r="F78">
        <v>6.46</v>
      </c>
      <c r="G78">
        <v>14380</v>
      </c>
      <c r="H78">
        <v>10500</v>
      </c>
      <c r="I78">
        <v>9394</v>
      </c>
      <c r="J78">
        <v>-189.62</v>
      </c>
      <c r="K78">
        <v>-111.47</v>
      </c>
      <c r="L78">
        <v>-89.20999999999999</v>
      </c>
      <c r="M78">
        <v>14.47</v>
      </c>
      <c r="N78" t="b">
        <v>1</v>
      </c>
      <c r="O78">
        <v>1311</v>
      </c>
      <c r="P78" t="s">
        <v>91</v>
      </c>
      <c r="Q78" t="s">
        <v>2306</v>
      </c>
      <c r="R78">
        <v>55.80898779645362</v>
      </c>
      <c r="S78">
        <v>581</v>
      </c>
      <c r="T78">
        <v>36186</v>
      </c>
      <c r="U78" t="s">
        <v>4063</v>
      </c>
      <c r="V78">
        <v>42.34</v>
      </c>
      <c r="W78" t="s">
        <v>6283</v>
      </c>
      <c r="X78" t="s">
        <v>8464</v>
      </c>
      <c r="Y78">
        <v>3380</v>
      </c>
      <c r="Z78">
        <v>257</v>
      </c>
      <c r="AA78">
        <v>494438</v>
      </c>
    </row>
    <row r="79" spans="1:28">
      <c r="A79" s="2">
        <f>HYPERLINK("https://finance.naver.com/item/coinfo.nhn?code=046140", "A046140")</f>
        <v>0</v>
      </c>
      <c r="B79">
        <f>HYPERLINK("http://comp.fnguide.com/SVO2/ASP/SVD_Consensus.asp?pGB=1&amp;gicode=A046140&amp;cID=&amp;MenuYn=Y&amp;ReportGB=&amp;NewMenuID=108&amp;stkGb=701", "SBS콘텐츠허브")</f>
        <v>0</v>
      </c>
      <c r="C79">
        <v>3</v>
      </c>
      <c r="D79">
        <v>5940</v>
      </c>
      <c r="E79">
        <v>-3.54</v>
      </c>
      <c r="F79">
        <v>208.92</v>
      </c>
      <c r="G79">
        <v>1997</v>
      </c>
      <c r="H79">
        <v>5610</v>
      </c>
      <c r="I79">
        <v>6640</v>
      </c>
      <c r="J79">
        <v>66.38</v>
      </c>
      <c r="K79">
        <v>5.55</v>
      </c>
      <c r="L79">
        <v>-11.79</v>
      </c>
      <c r="M79">
        <v>1.99</v>
      </c>
      <c r="N79" t="b">
        <v>0</v>
      </c>
      <c r="O79">
        <v>26</v>
      </c>
      <c r="P79" t="s">
        <v>92</v>
      </c>
      <c r="Q79" t="s">
        <v>2307</v>
      </c>
      <c r="R79">
        <v>-59.04311293735574</v>
      </c>
      <c r="S79">
        <v>1275</v>
      </c>
      <c r="T79">
        <v>31651</v>
      </c>
      <c r="U79" t="s">
        <v>4064</v>
      </c>
      <c r="V79">
        <v>64.95999999999999</v>
      </c>
      <c r="W79" t="s">
        <v>6284</v>
      </c>
      <c r="X79" t="s">
        <v>8465</v>
      </c>
      <c r="Y79">
        <v>1621</v>
      </c>
      <c r="Z79">
        <v>19</v>
      </c>
      <c r="AA79">
        <v>2077978</v>
      </c>
    </row>
    <row r="80" spans="1:28">
      <c r="A80" s="2">
        <f>HYPERLINK("https://finance.naver.com/item/coinfo.nhn?code=255220", "A255220")</f>
        <v>0</v>
      </c>
      <c r="B80">
        <f>HYPERLINK("http://comp.fnguide.com/SVO2/ASP/SVD_Consensus.asp?pGB=1&amp;gicode=A255220&amp;cID=&amp;MenuYn=Y&amp;ReportGB=&amp;NewMenuID=108&amp;stkGb=701", "SG")</f>
        <v>0</v>
      </c>
      <c r="C80">
        <v>3</v>
      </c>
      <c r="D80">
        <v>1835</v>
      </c>
      <c r="E80">
        <v>-11.08</v>
      </c>
      <c r="F80">
        <v>8.06</v>
      </c>
      <c r="G80">
        <v>5287</v>
      </c>
      <c r="H80">
        <v>3291</v>
      </c>
      <c r="I80">
        <v>2723</v>
      </c>
      <c r="J80">
        <v>-188.11</v>
      </c>
      <c r="K80">
        <v>-79.37</v>
      </c>
      <c r="L80">
        <v>-48.38</v>
      </c>
      <c r="M80">
        <v>21.44</v>
      </c>
      <c r="N80" t="b">
        <v>1</v>
      </c>
      <c r="O80">
        <v>277</v>
      </c>
      <c r="P80" t="s">
        <v>93</v>
      </c>
      <c r="Q80" t="s">
        <v>2308</v>
      </c>
      <c r="R80">
        <v>-0.7273008337143727</v>
      </c>
      <c r="S80">
        <v>674</v>
      </c>
      <c r="T80">
        <v>55638</v>
      </c>
      <c r="U80" t="s">
        <v>4065</v>
      </c>
      <c r="V80">
        <v>40.46</v>
      </c>
      <c r="W80" t="s">
        <v>6285</v>
      </c>
      <c r="X80" t="s">
        <v>8466</v>
      </c>
      <c r="Y80">
        <v>1328</v>
      </c>
      <c r="Z80">
        <v>128</v>
      </c>
      <c r="AA80">
        <v>754641</v>
      </c>
    </row>
    <row r="81" spans="1:28">
      <c r="A81" s="2">
        <f>HYPERLINK("https://finance.naver.com/item/coinfo.nhn?code=040610", "A040610")</f>
        <v>0</v>
      </c>
      <c r="B81">
        <f>HYPERLINK("http://comp.fnguide.com/SVO2/ASP/SVD_Consensus.asp?pGB=1&amp;gicode=A040610&amp;cID=&amp;MenuYn=Y&amp;ReportGB=&amp;NewMenuID=108&amp;stkGb=701", "SG&amp;G")</f>
        <v>0</v>
      </c>
      <c r="C81">
        <v>3</v>
      </c>
      <c r="D81">
        <v>1630</v>
      </c>
      <c r="E81">
        <v>0.29</v>
      </c>
      <c r="F81">
        <v>46.47</v>
      </c>
      <c r="G81">
        <v>249</v>
      </c>
      <c r="H81">
        <v>4358</v>
      </c>
      <c r="I81">
        <v>5529</v>
      </c>
      <c r="J81">
        <v>84.72</v>
      </c>
      <c r="K81">
        <v>-167.38</v>
      </c>
      <c r="L81">
        <v>-239.21</v>
      </c>
      <c r="M81">
        <v>0.28</v>
      </c>
      <c r="N81" t="b">
        <v>1</v>
      </c>
      <c r="O81">
        <v>40</v>
      </c>
      <c r="P81" t="s">
        <v>94</v>
      </c>
      <c r="Q81" t="s">
        <v>2309</v>
      </c>
      <c r="R81">
        <v>162.1686480111609</v>
      </c>
      <c r="S81">
        <v>556</v>
      </c>
      <c r="T81">
        <v>129907</v>
      </c>
      <c r="U81" t="s">
        <v>4066</v>
      </c>
      <c r="V81">
        <v>48.87</v>
      </c>
      <c r="W81" t="s">
        <v>6286</v>
      </c>
      <c r="X81" t="s">
        <v>8467</v>
      </c>
      <c r="Y81">
        <v>9389</v>
      </c>
      <c r="Z81">
        <v>117</v>
      </c>
      <c r="AA81">
        <v>341110</v>
      </c>
    </row>
    <row r="82" spans="1:28">
      <c r="A82" s="2">
        <f>HYPERLINK("https://finance.naver.com/item/coinfo.nhn?code=094970", "A094970")</f>
        <v>0</v>
      </c>
      <c r="B82">
        <f>HYPERLINK("http://comp.fnguide.com/SVO2/ASP/SVD_Consensus.asp?pGB=1&amp;gicode=A094970&amp;cID=&amp;MenuYn=Y&amp;ReportGB=&amp;NewMenuID=108&amp;stkGb=701", "제이엠티")</f>
        <v>0</v>
      </c>
      <c r="C82">
        <v>3</v>
      </c>
      <c r="D82">
        <v>2710</v>
      </c>
      <c r="E82">
        <v>-33.09</v>
      </c>
      <c r="F82">
        <v>67.05</v>
      </c>
      <c r="G82">
        <v>4702</v>
      </c>
      <c r="H82">
        <v>3865</v>
      </c>
      <c r="I82">
        <v>3627</v>
      </c>
      <c r="J82">
        <v>-73.5</v>
      </c>
      <c r="K82">
        <v>-42.62</v>
      </c>
      <c r="L82">
        <v>-33.82</v>
      </c>
      <c r="M82">
        <v>11.33</v>
      </c>
      <c r="N82" t="b">
        <v>0</v>
      </c>
      <c r="O82">
        <v>57</v>
      </c>
      <c r="P82" t="s">
        <v>95</v>
      </c>
      <c r="Q82" t="s">
        <v>2310</v>
      </c>
      <c r="R82">
        <v>-2.026459434790839</v>
      </c>
      <c r="S82">
        <v>454</v>
      </c>
      <c r="T82">
        <v>232046</v>
      </c>
      <c r="U82" t="s">
        <v>4067</v>
      </c>
      <c r="V82">
        <v>43.98</v>
      </c>
      <c r="W82" t="s">
        <v>6287</v>
      </c>
      <c r="X82" t="s">
        <v>8468</v>
      </c>
      <c r="Y82">
        <v>833</v>
      </c>
      <c r="Z82">
        <v>20</v>
      </c>
      <c r="AA82">
        <v>36106</v>
      </c>
      <c r="AB82">
        <v>1.31</v>
      </c>
    </row>
    <row r="83" spans="1:28">
      <c r="A83" s="2">
        <f>HYPERLINK("https://finance.naver.com/item/coinfo.nhn?code=026040", "A026040")</f>
        <v>0</v>
      </c>
      <c r="B83">
        <f>HYPERLINK("http://comp.fnguide.com/SVO2/ASP/SVD_Consensus.asp?pGB=1&amp;gicode=A026040&amp;cID=&amp;MenuYn=Y&amp;ReportGB=&amp;NewMenuID=108&amp;stkGb=701", "제이에스티나")</f>
        <v>0</v>
      </c>
      <c r="C83">
        <v>3</v>
      </c>
      <c r="D83">
        <v>2100</v>
      </c>
      <c r="G83">
        <v>41</v>
      </c>
      <c r="H83">
        <v>1735</v>
      </c>
      <c r="I83">
        <v>2218</v>
      </c>
      <c r="J83">
        <v>98.06</v>
      </c>
      <c r="K83">
        <v>17.36</v>
      </c>
      <c r="L83">
        <v>-5.64</v>
      </c>
      <c r="M83">
        <v>0.11</v>
      </c>
      <c r="N83" t="b">
        <v>0</v>
      </c>
      <c r="O83">
        <v>-2026</v>
      </c>
      <c r="P83" t="s">
        <v>96</v>
      </c>
      <c r="Q83" t="s">
        <v>2311</v>
      </c>
      <c r="R83">
        <v>6.299999999999994</v>
      </c>
      <c r="S83">
        <v>347</v>
      </c>
      <c r="T83">
        <v>28256</v>
      </c>
      <c r="U83" t="s">
        <v>4068</v>
      </c>
      <c r="V83">
        <v>24.21</v>
      </c>
      <c r="W83" t="s">
        <v>6288</v>
      </c>
      <c r="X83" t="s">
        <v>8469</v>
      </c>
      <c r="Y83">
        <v>961</v>
      </c>
      <c r="Z83">
        <v>-285</v>
      </c>
      <c r="AA83">
        <v>672391</v>
      </c>
    </row>
    <row r="84" spans="1:28">
      <c r="A84" s="2">
        <f>HYPERLINK("https://finance.naver.com/item/coinfo.nhn?code=000540", "A000540")</f>
        <v>0</v>
      </c>
      <c r="B84">
        <f>HYPERLINK("http://comp.fnguide.com/SVO2/ASP/SVD_Consensus.asp?pGB=1&amp;gicode=A000540&amp;cID=&amp;MenuYn=Y&amp;ReportGB=&amp;NewMenuID=108&amp;stkGb=701", "흥국화재")</f>
        <v>0</v>
      </c>
      <c r="C84">
        <v>3</v>
      </c>
      <c r="D84">
        <v>3085</v>
      </c>
      <c r="E84">
        <v>0.72</v>
      </c>
      <c r="F84">
        <v>5.2</v>
      </c>
      <c r="G84">
        <v>10742</v>
      </c>
      <c r="H84">
        <v>10947</v>
      </c>
      <c r="I84">
        <v>11005</v>
      </c>
      <c r="J84">
        <v>-248.21</v>
      </c>
      <c r="K84">
        <v>-254.85</v>
      </c>
      <c r="L84">
        <v>-256.74</v>
      </c>
      <c r="M84">
        <v>7.73</v>
      </c>
      <c r="N84" t="b">
        <v>1</v>
      </c>
      <c r="O84">
        <v>590</v>
      </c>
      <c r="P84" t="s">
        <v>97</v>
      </c>
      <c r="Q84" t="s">
        <v>2312</v>
      </c>
      <c r="R84">
        <v>7.269987789748833</v>
      </c>
      <c r="S84">
        <v>1982</v>
      </c>
      <c r="T84">
        <v>267584</v>
      </c>
      <c r="U84" t="s">
        <v>4069</v>
      </c>
      <c r="V84">
        <v>80.31999999999999</v>
      </c>
      <c r="W84" t="s">
        <v>6289</v>
      </c>
      <c r="X84" t="s">
        <v>8470</v>
      </c>
      <c r="Y84">
        <v>30437</v>
      </c>
      <c r="Z84">
        <v>444</v>
      </c>
    </row>
    <row r="85" spans="1:28">
      <c r="A85" s="2">
        <f>HYPERLINK("https://finance.naver.com/item/coinfo.nhn?code=079980", "A079980")</f>
        <v>0</v>
      </c>
      <c r="B85">
        <f>HYPERLINK("http://comp.fnguide.com/SVO2/ASP/SVD_Consensus.asp?pGB=1&amp;gicode=A079980&amp;cID=&amp;MenuYn=Y&amp;ReportGB=&amp;NewMenuID=108&amp;stkGb=701", "휴비스")</f>
        <v>0</v>
      </c>
      <c r="C85">
        <v>3</v>
      </c>
      <c r="D85">
        <v>8220</v>
      </c>
      <c r="G85">
        <v>3701</v>
      </c>
      <c r="H85">
        <v>8661</v>
      </c>
      <c r="I85">
        <v>10075</v>
      </c>
      <c r="J85">
        <v>54.98</v>
      </c>
      <c r="K85">
        <v>-5.37</v>
      </c>
      <c r="L85">
        <v>-22.56</v>
      </c>
      <c r="M85">
        <v>2.47</v>
      </c>
      <c r="N85" t="b">
        <v>0</v>
      </c>
      <c r="O85">
        <v>-8</v>
      </c>
      <c r="P85" t="s">
        <v>98</v>
      </c>
      <c r="Q85" t="s">
        <v>2313</v>
      </c>
      <c r="R85">
        <v>119.0147855170427</v>
      </c>
      <c r="S85">
        <v>2836</v>
      </c>
      <c r="T85">
        <v>163254</v>
      </c>
      <c r="U85" t="s">
        <v>4070</v>
      </c>
      <c r="V85">
        <v>51</v>
      </c>
      <c r="W85" t="s">
        <v>6290</v>
      </c>
      <c r="X85" t="s">
        <v>8471</v>
      </c>
      <c r="Y85">
        <v>10293</v>
      </c>
      <c r="Z85">
        <v>49</v>
      </c>
      <c r="AA85">
        <v>1589680</v>
      </c>
      <c r="AB85">
        <v>2.46</v>
      </c>
    </row>
    <row r="86" spans="1:28">
      <c r="A86" s="2">
        <f>HYPERLINK("https://finance.naver.com/item/coinfo.nhn?code=011760", "A011760")</f>
        <v>0</v>
      </c>
      <c r="B86">
        <f>HYPERLINK("http://comp.fnguide.com/SVO2/ASP/SVD_Consensus.asp?pGB=1&amp;gicode=A011760&amp;cID=&amp;MenuYn=Y&amp;ReportGB=&amp;NewMenuID=108&amp;stkGb=701", "현대상사")</f>
        <v>0</v>
      </c>
      <c r="C86">
        <v>3</v>
      </c>
      <c r="D86">
        <v>14900</v>
      </c>
      <c r="E86">
        <v>-0.53</v>
      </c>
      <c r="F86">
        <v>14.48</v>
      </c>
      <c r="G86">
        <v>12738</v>
      </c>
      <c r="H86">
        <v>22108</v>
      </c>
      <c r="I86">
        <v>24778</v>
      </c>
      <c r="J86">
        <v>14.51</v>
      </c>
      <c r="K86">
        <v>-48.37</v>
      </c>
      <c r="L86">
        <v>-66.29000000000001</v>
      </c>
      <c r="M86">
        <v>3.58</v>
      </c>
      <c r="N86" t="b">
        <v>1</v>
      </c>
      <c r="O86">
        <v>1236</v>
      </c>
      <c r="P86" t="s">
        <v>99</v>
      </c>
      <c r="Q86" t="s">
        <v>2314</v>
      </c>
      <c r="R86">
        <v>-27.15075861892993</v>
      </c>
      <c r="S86">
        <v>1971</v>
      </c>
      <c r="T86">
        <v>61360</v>
      </c>
      <c r="U86" t="s">
        <v>4071</v>
      </c>
      <c r="V86">
        <v>24.96</v>
      </c>
      <c r="W86" t="s">
        <v>6291</v>
      </c>
      <c r="X86" t="s">
        <v>8472</v>
      </c>
      <c r="Y86">
        <v>42634</v>
      </c>
      <c r="Z86">
        <v>435</v>
      </c>
      <c r="AA86">
        <v>1218000</v>
      </c>
      <c r="AB86">
        <v>3.35</v>
      </c>
    </row>
    <row r="87" spans="1:28">
      <c r="A87" s="2">
        <f>HYPERLINK("https://finance.naver.com/item/coinfo.nhn?code=003010", "A003010")</f>
        <v>0</v>
      </c>
      <c r="B87">
        <f>HYPERLINK("http://comp.fnguide.com/SVO2/ASP/SVD_Consensus.asp?pGB=1&amp;gicode=A003010&amp;cID=&amp;MenuYn=Y&amp;ReportGB=&amp;NewMenuID=108&amp;stkGb=701", "혜인")</f>
        <v>0</v>
      </c>
      <c r="C87">
        <v>3</v>
      </c>
      <c r="D87">
        <v>5490</v>
      </c>
      <c r="E87">
        <v>-1.84</v>
      </c>
      <c r="F87">
        <v>11.83</v>
      </c>
      <c r="G87">
        <v>3168</v>
      </c>
      <c r="H87">
        <v>7084</v>
      </c>
      <c r="I87">
        <v>8199</v>
      </c>
      <c r="J87">
        <v>42.3</v>
      </c>
      <c r="K87">
        <v>-29.03</v>
      </c>
      <c r="L87">
        <v>-49.35</v>
      </c>
      <c r="M87">
        <v>2.61</v>
      </c>
      <c r="N87" t="b">
        <v>1</v>
      </c>
      <c r="O87">
        <v>365</v>
      </c>
      <c r="P87" t="s">
        <v>100</v>
      </c>
      <c r="Q87" t="s">
        <v>2315</v>
      </c>
      <c r="R87">
        <v>-6.428636859346759</v>
      </c>
      <c r="S87">
        <v>698</v>
      </c>
      <c r="T87">
        <v>267711</v>
      </c>
      <c r="U87" t="s">
        <v>4072</v>
      </c>
      <c r="V87">
        <v>24.74</v>
      </c>
      <c r="W87" t="s">
        <v>6292</v>
      </c>
      <c r="X87" t="s">
        <v>8473</v>
      </c>
      <c r="Y87">
        <v>2609</v>
      </c>
      <c r="Z87">
        <v>118</v>
      </c>
      <c r="AA87">
        <v>1964424</v>
      </c>
      <c r="AB87">
        <v>1.39</v>
      </c>
    </row>
    <row r="88" spans="1:28">
      <c r="A88" s="2">
        <f>HYPERLINK("https://finance.naver.com/item/coinfo.nhn?code=900310", "A900310")</f>
        <v>0</v>
      </c>
      <c r="B88">
        <f>HYPERLINK("http://comp.fnguide.com/SVO2/ASP/SVD_Consensus.asp?pGB=1&amp;gicode=A900310&amp;cID=&amp;MenuYn=Y&amp;ReportGB=&amp;NewMenuID=108&amp;stkGb=701", "컬러레이")</f>
        <v>0</v>
      </c>
      <c r="C88">
        <v>3</v>
      </c>
      <c r="D88">
        <v>2240</v>
      </c>
      <c r="E88">
        <v>-0.05</v>
      </c>
      <c r="F88">
        <v>4.15</v>
      </c>
      <c r="G88">
        <v>7689</v>
      </c>
      <c r="H88">
        <v>4831</v>
      </c>
      <c r="I88">
        <v>4016</v>
      </c>
      <c r="J88">
        <v>-243.27</v>
      </c>
      <c r="K88">
        <v>-115.65</v>
      </c>
      <c r="L88">
        <v>-79.29000000000001</v>
      </c>
      <c r="M88">
        <v>20.91</v>
      </c>
      <c r="N88" t="b">
        <v>0</v>
      </c>
      <c r="O88">
        <v>448</v>
      </c>
      <c r="P88" t="s">
        <v>101</v>
      </c>
      <c r="Q88" t="s">
        <v>2316</v>
      </c>
      <c r="R88">
        <v>-80.13095845669149</v>
      </c>
      <c r="S88">
        <v>1210</v>
      </c>
      <c r="T88">
        <v>847991</v>
      </c>
      <c r="U88" t="s">
        <v>4073</v>
      </c>
      <c r="V88">
        <v>54.03</v>
      </c>
      <c r="W88" t="s">
        <v>6293</v>
      </c>
      <c r="X88" t="s">
        <v>8474</v>
      </c>
      <c r="Y88">
        <v>509</v>
      </c>
      <c r="Z88">
        <v>276</v>
      </c>
    </row>
    <row r="89" spans="1:28">
      <c r="A89" s="2">
        <f>HYPERLINK("https://finance.naver.com/item/coinfo.nhn?code=011210", "A011210")</f>
        <v>0</v>
      </c>
      <c r="B89">
        <f>HYPERLINK("http://comp.fnguide.com/SVO2/ASP/SVD_Consensus.asp?pGB=1&amp;gicode=A011210&amp;cID=&amp;MenuYn=Y&amp;ReportGB=&amp;NewMenuID=108&amp;stkGb=701", "현대위아")</f>
        <v>0</v>
      </c>
      <c r="C89">
        <v>3</v>
      </c>
      <c r="D89">
        <v>51000</v>
      </c>
      <c r="E89">
        <v>4.79</v>
      </c>
      <c r="F89">
        <v>24.73</v>
      </c>
      <c r="G89">
        <v>13144</v>
      </c>
      <c r="H89">
        <v>75184</v>
      </c>
      <c r="I89">
        <v>92862</v>
      </c>
      <c r="J89">
        <v>74.23</v>
      </c>
      <c r="K89">
        <v>-47.42</v>
      </c>
      <c r="L89">
        <v>-82.08</v>
      </c>
      <c r="M89">
        <v>0.9</v>
      </c>
      <c r="N89" t="b">
        <v>0</v>
      </c>
      <c r="O89">
        <v>2030</v>
      </c>
      <c r="P89" t="s">
        <v>102</v>
      </c>
      <c r="Q89" t="s">
        <v>2317</v>
      </c>
      <c r="R89">
        <v>5.166534601079253</v>
      </c>
      <c r="S89">
        <v>13869</v>
      </c>
      <c r="T89">
        <v>381726</v>
      </c>
      <c r="U89" t="s">
        <v>4074</v>
      </c>
      <c r="V89">
        <v>40.75</v>
      </c>
      <c r="W89" t="s">
        <v>6294</v>
      </c>
      <c r="X89" t="s">
        <v>8475</v>
      </c>
      <c r="Y89">
        <v>73146</v>
      </c>
      <c r="Z89">
        <v>1019</v>
      </c>
      <c r="AA89">
        <v>633354</v>
      </c>
      <c r="AB89">
        <v>1.39</v>
      </c>
    </row>
    <row r="90" spans="1:28">
      <c r="A90" s="2">
        <f>HYPERLINK("https://finance.naver.com/item/coinfo.nhn?code=071850", "A071850")</f>
        <v>0</v>
      </c>
      <c r="B90">
        <f>HYPERLINK("http://comp.fnguide.com/SVO2/ASP/SVD_Consensus.asp?pGB=1&amp;gicode=A071850&amp;cID=&amp;MenuYn=Y&amp;ReportGB=&amp;NewMenuID=108&amp;stkGb=701", "캐스텍코리아")</f>
        <v>0</v>
      </c>
      <c r="C90">
        <v>3</v>
      </c>
      <c r="D90">
        <v>3450</v>
      </c>
      <c r="G90">
        <v>704</v>
      </c>
      <c r="H90">
        <v>4767</v>
      </c>
      <c r="I90">
        <v>5924</v>
      </c>
      <c r="J90">
        <v>79.59</v>
      </c>
      <c r="K90">
        <v>-38.17</v>
      </c>
      <c r="L90">
        <v>-71.72</v>
      </c>
      <c r="M90">
        <v>0.75</v>
      </c>
      <c r="N90" t="b">
        <v>0</v>
      </c>
      <c r="O90">
        <v>-346</v>
      </c>
      <c r="P90" t="s">
        <v>103</v>
      </c>
      <c r="Q90" t="s">
        <v>2318</v>
      </c>
      <c r="R90">
        <v>-54.91655975112376</v>
      </c>
      <c r="S90">
        <v>572</v>
      </c>
      <c r="T90">
        <v>527190</v>
      </c>
      <c r="U90" t="s">
        <v>4075</v>
      </c>
      <c r="V90">
        <v>17.74</v>
      </c>
      <c r="W90" t="s">
        <v>6295</v>
      </c>
      <c r="X90" t="s">
        <v>8476</v>
      </c>
      <c r="Y90">
        <v>1901</v>
      </c>
      <c r="Z90">
        <v>-19</v>
      </c>
      <c r="AA90">
        <v>268250</v>
      </c>
    </row>
    <row r="91" spans="1:28">
      <c r="A91" s="2">
        <f>HYPERLINK("https://finance.naver.com/item/coinfo.nhn?code=004020", "A004020")</f>
        <v>0</v>
      </c>
      <c r="B91">
        <f>HYPERLINK("http://comp.fnguide.com/SVO2/ASP/SVD_Consensus.asp?pGB=1&amp;gicode=A004020&amp;cID=&amp;MenuYn=Y&amp;ReportGB=&amp;NewMenuID=108&amp;stkGb=701", "현대제철")</f>
        <v>0</v>
      </c>
      <c r="C91">
        <v>3</v>
      </c>
      <c r="D91">
        <v>37800</v>
      </c>
      <c r="E91">
        <v>-3.99</v>
      </c>
      <c r="F91">
        <v>245.36</v>
      </c>
      <c r="G91">
        <v>25332</v>
      </c>
      <c r="H91">
        <v>87295</v>
      </c>
      <c r="I91">
        <v>104951</v>
      </c>
      <c r="J91">
        <v>32.98</v>
      </c>
      <c r="K91">
        <v>-130.94</v>
      </c>
      <c r="L91">
        <v>-177.65</v>
      </c>
      <c r="M91">
        <v>1.57</v>
      </c>
      <c r="N91" t="b">
        <v>0</v>
      </c>
      <c r="O91">
        <v>128</v>
      </c>
      <c r="P91" t="s">
        <v>104</v>
      </c>
      <c r="Q91" t="s">
        <v>2319</v>
      </c>
      <c r="R91">
        <v>-61.53051326981684</v>
      </c>
      <c r="S91">
        <v>50443</v>
      </c>
      <c r="T91">
        <v>3296317</v>
      </c>
      <c r="U91" t="s">
        <v>4076</v>
      </c>
      <c r="V91">
        <v>35.97</v>
      </c>
      <c r="W91" t="s">
        <v>6296</v>
      </c>
      <c r="X91" t="s">
        <v>8477</v>
      </c>
      <c r="Y91">
        <v>205126</v>
      </c>
      <c r="Z91">
        <v>3313</v>
      </c>
      <c r="AA91">
        <v>1900046</v>
      </c>
      <c r="AB91">
        <v>2.38</v>
      </c>
    </row>
    <row r="92" spans="1:28">
      <c r="A92" s="2">
        <f>HYPERLINK("https://finance.naver.com/item/coinfo.nhn?code=267250", "A267250")</f>
        <v>0</v>
      </c>
      <c r="B92">
        <f>HYPERLINK("http://comp.fnguide.com/SVO2/ASP/SVD_Consensus.asp?pGB=1&amp;gicode=A267250&amp;cID=&amp;MenuYn=Y&amp;ReportGB=&amp;NewMenuID=108&amp;stkGb=701", "현대중공업지주")</f>
        <v>0</v>
      </c>
      <c r="C92">
        <v>3</v>
      </c>
      <c r="D92">
        <v>277000</v>
      </c>
      <c r="E92">
        <v>0</v>
      </c>
      <c r="F92">
        <v>31.78</v>
      </c>
      <c r="G92">
        <v>161526</v>
      </c>
      <c r="H92">
        <v>404222</v>
      </c>
      <c r="I92">
        <v>473378</v>
      </c>
      <c r="J92">
        <v>41.69</v>
      </c>
      <c r="K92">
        <v>-45.93</v>
      </c>
      <c r="L92">
        <v>-70.89</v>
      </c>
      <c r="M92">
        <v>2.28</v>
      </c>
      <c r="N92" t="b">
        <v>1</v>
      </c>
      <c r="O92">
        <v>10636</v>
      </c>
      <c r="P92" t="s">
        <v>105</v>
      </c>
      <c r="Q92" t="s">
        <v>2320</v>
      </c>
      <c r="R92">
        <v>0</v>
      </c>
      <c r="S92">
        <v>43762</v>
      </c>
      <c r="T92">
        <v>52249</v>
      </c>
      <c r="U92" t="s">
        <v>4077</v>
      </c>
      <c r="V92">
        <v>34.34</v>
      </c>
      <c r="W92" t="s">
        <v>6297</v>
      </c>
      <c r="X92" t="s">
        <v>8478</v>
      </c>
      <c r="Y92">
        <v>266303</v>
      </c>
      <c r="Z92">
        <v>6666</v>
      </c>
      <c r="AA92">
        <v>1664931</v>
      </c>
      <c r="AB92">
        <v>5.47</v>
      </c>
    </row>
    <row r="93" spans="1:28">
      <c r="A93" s="2">
        <f>HYPERLINK("https://finance.naver.com/item/coinfo.nhn?code=005380", "A005380")</f>
        <v>0</v>
      </c>
      <c r="B93">
        <f>HYPERLINK("http://comp.fnguide.com/SVO2/ASP/SVD_Consensus.asp?pGB=1&amp;gicode=A005380&amp;cID=&amp;MenuYn=Y&amp;ReportGB=&amp;NewMenuID=108&amp;stkGb=701", "현대차")</f>
        <v>0</v>
      </c>
      <c r="C93">
        <v>3</v>
      </c>
      <c r="D93">
        <v>196500</v>
      </c>
      <c r="E93">
        <v>-0.28</v>
      </c>
      <c r="F93">
        <v>11.2</v>
      </c>
      <c r="G93">
        <v>170540</v>
      </c>
      <c r="H93">
        <v>278552</v>
      </c>
      <c r="I93">
        <v>309330</v>
      </c>
      <c r="J93">
        <v>13.21</v>
      </c>
      <c r="K93">
        <v>-41.76</v>
      </c>
      <c r="L93">
        <v>-57.42</v>
      </c>
      <c r="M93">
        <v>3.88</v>
      </c>
      <c r="N93" t="b">
        <v>1</v>
      </c>
      <c r="O93">
        <v>10761</v>
      </c>
      <c r="P93" t="s">
        <v>106</v>
      </c>
      <c r="Q93" t="s">
        <v>2321</v>
      </c>
      <c r="R93">
        <v>-39.95761142546166</v>
      </c>
      <c r="S93">
        <v>419858</v>
      </c>
      <c r="T93">
        <v>3224702</v>
      </c>
      <c r="U93" t="s">
        <v>4078</v>
      </c>
      <c r="V93">
        <v>29.38</v>
      </c>
      <c r="W93" t="s">
        <v>6298</v>
      </c>
      <c r="X93" t="s">
        <v>8479</v>
      </c>
      <c r="Y93">
        <v>1057464</v>
      </c>
      <c r="Z93">
        <v>36055</v>
      </c>
      <c r="AA93">
        <v>13657308</v>
      </c>
      <c r="AB93">
        <v>3.32</v>
      </c>
    </row>
    <row r="94" spans="1:28">
      <c r="A94" s="2">
        <f>HYPERLINK("https://finance.naver.com/item/coinfo.nhn?code=001500", "A001500")</f>
        <v>0</v>
      </c>
      <c r="B94">
        <f>HYPERLINK("http://comp.fnguide.com/SVO2/ASP/SVD_Consensus.asp?pGB=1&amp;gicode=A001500&amp;cID=&amp;MenuYn=Y&amp;ReportGB=&amp;NewMenuID=108&amp;stkGb=701", "현대차증권")</f>
        <v>0</v>
      </c>
      <c r="C94">
        <v>3</v>
      </c>
      <c r="D94">
        <v>12850</v>
      </c>
      <c r="E94">
        <v>0.58</v>
      </c>
      <c r="F94">
        <v>4.32</v>
      </c>
      <c r="G94">
        <v>29579</v>
      </c>
      <c r="H94">
        <v>32066</v>
      </c>
      <c r="I94">
        <v>32775</v>
      </c>
      <c r="J94">
        <v>-130.19</v>
      </c>
      <c r="K94">
        <v>-149.54</v>
      </c>
      <c r="L94">
        <v>-155.06</v>
      </c>
      <c r="M94">
        <v>6.99</v>
      </c>
      <c r="N94" t="b">
        <v>1</v>
      </c>
      <c r="O94">
        <v>2324</v>
      </c>
      <c r="P94" t="s">
        <v>107</v>
      </c>
      <c r="Q94" t="s">
        <v>2322</v>
      </c>
      <c r="R94">
        <v>7.431789347185247</v>
      </c>
      <c r="S94">
        <v>3770</v>
      </c>
      <c r="T94">
        <v>340664</v>
      </c>
      <c r="U94" t="s">
        <v>4079</v>
      </c>
      <c r="V94">
        <v>49.46</v>
      </c>
      <c r="W94" t="s">
        <v>6299</v>
      </c>
      <c r="X94" t="s">
        <v>8480</v>
      </c>
      <c r="Y94">
        <v>2529</v>
      </c>
      <c r="Z94">
        <v>984</v>
      </c>
      <c r="AB94">
        <v>5.97</v>
      </c>
    </row>
    <row r="95" spans="1:28">
      <c r="A95" s="2">
        <f>HYPERLINK("https://finance.naver.com/item/coinfo.nhn?code=227840", "A227840")</f>
        <v>0</v>
      </c>
      <c r="B95">
        <f>HYPERLINK("http://comp.fnguide.com/SVO2/ASP/SVD_Consensus.asp?pGB=1&amp;gicode=A227840&amp;cID=&amp;MenuYn=Y&amp;ReportGB=&amp;NewMenuID=108&amp;stkGb=701", "현대코퍼레이션홀딩스")</f>
        <v>0</v>
      </c>
      <c r="C95">
        <v>3</v>
      </c>
      <c r="D95">
        <v>11500</v>
      </c>
      <c r="E95">
        <v>-2.39</v>
      </c>
      <c r="F95">
        <v>10.58</v>
      </c>
      <c r="G95">
        <v>13196</v>
      </c>
      <c r="H95">
        <v>18090</v>
      </c>
      <c r="I95">
        <v>19484</v>
      </c>
      <c r="J95">
        <v>-14.75</v>
      </c>
      <c r="K95">
        <v>-57.3</v>
      </c>
      <c r="L95">
        <v>-69.43000000000001</v>
      </c>
      <c r="M95">
        <v>4.93</v>
      </c>
      <c r="N95" t="b">
        <v>1</v>
      </c>
      <c r="O95">
        <v>1129</v>
      </c>
      <c r="P95" t="s">
        <v>108</v>
      </c>
      <c r="Q95" t="s">
        <v>2323</v>
      </c>
      <c r="R95">
        <v>-4.43556933612701</v>
      </c>
      <c r="S95">
        <v>1047</v>
      </c>
      <c r="T95">
        <v>55338</v>
      </c>
      <c r="U95" t="s">
        <v>4080</v>
      </c>
      <c r="V95">
        <v>43.29</v>
      </c>
      <c r="W95" t="s">
        <v>6300</v>
      </c>
      <c r="X95" t="s">
        <v>8481</v>
      </c>
      <c r="Y95">
        <v>1839</v>
      </c>
      <c r="Z95">
        <v>93</v>
      </c>
      <c r="AA95">
        <v>699186</v>
      </c>
      <c r="AB95">
        <v>4.18</v>
      </c>
    </row>
    <row r="96" spans="1:28">
      <c r="A96" s="2">
        <f>HYPERLINK("https://finance.naver.com/item/coinfo.nhn?code=126560", "A126560")</f>
        <v>0</v>
      </c>
      <c r="B96">
        <f>HYPERLINK("http://comp.fnguide.com/SVO2/ASP/SVD_Consensus.asp?pGB=1&amp;gicode=A126560&amp;cID=&amp;MenuYn=Y&amp;ReportGB=&amp;NewMenuID=108&amp;stkGb=701", "현대퓨처넷")</f>
        <v>0</v>
      </c>
      <c r="C96">
        <v>3</v>
      </c>
      <c r="D96">
        <v>3285</v>
      </c>
      <c r="E96">
        <v>-2.83</v>
      </c>
      <c r="F96">
        <v>10.18</v>
      </c>
      <c r="G96">
        <v>4761</v>
      </c>
      <c r="H96">
        <v>5945</v>
      </c>
      <c r="I96">
        <v>6282</v>
      </c>
      <c r="J96">
        <v>-44.92</v>
      </c>
      <c r="K96">
        <v>-80.97</v>
      </c>
      <c r="L96">
        <v>-91.23999999999999</v>
      </c>
      <c r="M96">
        <v>5.64</v>
      </c>
      <c r="N96" t="b">
        <v>1</v>
      </c>
      <c r="O96">
        <v>335</v>
      </c>
      <c r="P96" t="s">
        <v>109</v>
      </c>
      <c r="Q96" t="s">
        <v>2324</v>
      </c>
      <c r="R96">
        <v>-3.602039594355855</v>
      </c>
      <c r="S96">
        <v>3708</v>
      </c>
      <c r="T96">
        <v>174173</v>
      </c>
      <c r="U96" t="s">
        <v>4081</v>
      </c>
      <c r="V96">
        <v>66.20999999999999</v>
      </c>
      <c r="W96" t="s">
        <v>6301</v>
      </c>
      <c r="X96" t="s">
        <v>8482</v>
      </c>
      <c r="Y96">
        <v>2929</v>
      </c>
      <c r="Z96">
        <v>408</v>
      </c>
      <c r="AA96">
        <v>2723241</v>
      </c>
      <c r="AB96">
        <v>1.76</v>
      </c>
    </row>
    <row r="97" spans="1:28">
      <c r="A97" s="2">
        <f>HYPERLINK("https://finance.naver.com/item/coinfo.nhn?code=001450", "A001450")</f>
        <v>0</v>
      </c>
      <c r="B97">
        <f>HYPERLINK("http://comp.fnguide.com/SVO2/ASP/SVD_Consensus.asp?pGB=1&amp;gicode=A001450&amp;cID=&amp;MenuYn=Y&amp;ReportGB=&amp;NewMenuID=108&amp;stkGb=701", "현대해상")</f>
        <v>0</v>
      </c>
      <c r="C97">
        <v>3</v>
      </c>
      <c r="D97">
        <v>23350</v>
      </c>
      <c r="E97">
        <v>0.79</v>
      </c>
      <c r="F97">
        <v>8.949999999999999</v>
      </c>
      <c r="G97">
        <v>65276</v>
      </c>
      <c r="H97">
        <v>60181</v>
      </c>
      <c r="I97">
        <v>58729</v>
      </c>
      <c r="J97">
        <v>-179.55</v>
      </c>
      <c r="K97">
        <v>-157.73</v>
      </c>
      <c r="L97">
        <v>-151.52</v>
      </c>
      <c r="M97">
        <v>9.16</v>
      </c>
      <c r="N97" t="b">
        <v>1</v>
      </c>
      <c r="O97">
        <v>3011</v>
      </c>
      <c r="P97" t="s">
        <v>110</v>
      </c>
      <c r="Q97" t="s">
        <v>2325</v>
      </c>
      <c r="R97">
        <v>11.32180973390236</v>
      </c>
      <c r="S97">
        <v>20875</v>
      </c>
      <c r="T97">
        <v>393831</v>
      </c>
      <c r="U97" t="s">
        <v>4082</v>
      </c>
      <c r="V97">
        <v>22.53</v>
      </c>
      <c r="W97" t="s">
        <v>6302</v>
      </c>
      <c r="X97" t="s">
        <v>8483</v>
      </c>
      <c r="Y97">
        <v>134844</v>
      </c>
      <c r="Z97">
        <v>3953</v>
      </c>
      <c r="AA97">
        <v>9985500</v>
      </c>
      <c r="AB97">
        <v>3.27</v>
      </c>
    </row>
    <row r="98" spans="1:28">
      <c r="A98" s="2">
        <f>HYPERLINK("https://finance.naver.com/item/coinfo.nhn?code=057050", "A057050")</f>
        <v>0</v>
      </c>
      <c r="B98">
        <f>HYPERLINK("http://comp.fnguide.com/SVO2/ASP/SVD_Consensus.asp?pGB=1&amp;gicode=A057050&amp;cID=&amp;MenuYn=Y&amp;ReportGB=&amp;NewMenuID=108&amp;stkGb=701", "현대홈쇼핑")</f>
        <v>0</v>
      </c>
      <c r="C98">
        <v>3</v>
      </c>
      <c r="D98">
        <v>79000</v>
      </c>
      <c r="E98">
        <v>-2.6</v>
      </c>
      <c r="F98">
        <v>11.24</v>
      </c>
      <c r="G98">
        <v>138846</v>
      </c>
      <c r="H98">
        <v>146316</v>
      </c>
      <c r="I98">
        <v>148445</v>
      </c>
      <c r="J98">
        <v>-75.75</v>
      </c>
      <c r="K98">
        <v>-85.20999999999999</v>
      </c>
      <c r="L98">
        <v>-87.90000000000001</v>
      </c>
      <c r="M98">
        <v>7.32</v>
      </c>
      <c r="N98" t="b">
        <v>1</v>
      </c>
      <c r="O98">
        <v>7162</v>
      </c>
      <c r="P98" t="s">
        <v>111</v>
      </c>
      <c r="Q98" t="s">
        <v>2326</v>
      </c>
      <c r="R98">
        <v>-4.316536866492449</v>
      </c>
      <c r="S98">
        <v>9480</v>
      </c>
      <c r="T98">
        <v>119892</v>
      </c>
      <c r="U98" t="s">
        <v>4083</v>
      </c>
      <c r="V98">
        <v>40.82</v>
      </c>
      <c r="W98" t="s">
        <v>6303</v>
      </c>
      <c r="X98" t="s">
        <v>8484</v>
      </c>
      <c r="Y98">
        <v>22070</v>
      </c>
      <c r="Z98">
        <v>1297</v>
      </c>
      <c r="AA98">
        <v>552250</v>
      </c>
      <c r="AB98">
        <v>2.48</v>
      </c>
    </row>
    <row r="99" spans="1:28">
      <c r="A99" s="2">
        <f>HYPERLINK("https://finance.naver.com/item/coinfo.nhn?code=111110", "A111110")</f>
        <v>0</v>
      </c>
      <c r="B99">
        <f>HYPERLINK("http://comp.fnguide.com/SVO2/ASP/SVD_Consensus.asp?pGB=1&amp;gicode=A111110&amp;cID=&amp;MenuYn=Y&amp;ReportGB=&amp;NewMenuID=108&amp;stkGb=701", "호전실업")</f>
        <v>0</v>
      </c>
      <c r="C99">
        <v>3</v>
      </c>
      <c r="D99">
        <v>9200</v>
      </c>
      <c r="E99">
        <v>-0.93</v>
      </c>
      <c r="F99">
        <v>44.41</v>
      </c>
      <c r="G99">
        <v>6508</v>
      </c>
      <c r="H99">
        <v>12528</v>
      </c>
      <c r="I99">
        <v>14244</v>
      </c>
      <c r="J99">
        <v>29.26</v>
      </c>
      <c r="K99">
        <v>-36.18</v>
      </c>
      <c r="L99">
        <v>-54.82</v>
      </c>
      <c r="M99">
        <v>3.14</v>
      </c>
      <c r="N99" t="b">
        <v>1</v>
      </c>
      <c r="O99">
        <v>327</v>
      </c>
      <c r="P99" t="s">
        <v>112</v>
      </c>
      <c r="Q99" t="s">
        <v>2327</v>
      </c>
      <c r="R99">
        <v>-47.60788978539395</v>
      </c>
      <c r="S99">
        <v>736</v>
      </c>
      <c r="T99">
        <v>77645</v>
      </c>
      <c r="U99" t="s">
        <v>4084</v>
      </c>
      <c r="V99">
        <v>51.06</v>
      </c>
      <c r="W99" t="s">
        <v>6304</v>
      </c>
      <c r="X99" t="s">
        <v>8485</v>
      </c>
      <c r="Y99">
        <v>3098</v>
      </c>
      <c r="Z99">
        <v>193</v>
      </c>
      <c r="AA99">
        <v>497472</v>
      </c>
      <c r="AB99">
        <v>1.72</v>
      </c>
    </row>
    <row r="100" spans="1:28">
      <c r="A100" s="2">
        <f>HYPERLINK("https://finance.naver.com/item/coinfo.nhn?code=005870", "A005870")</f>
        <v>0</v>
      </c>
      <c r="B100">
        <f>HYPERLINK("http://comp.fnguide.com/SVO2/ASP/SVD_Consensus.asp?pGB=1&amp;gicode=A005870&amp;cID=&amp;MenuYn=Y&amp;ReportGB=&amp;NewMenuID=108&amp;stkGb=701", "휴니드")</f>
        <v>0</v>
      </c>
      <c r="C100">
        <v>3</v>
      </c>
      <c r="D100">
        <v>6030</v>
      </c>
      <c r="E100">
        <v>0.24</v>
      </c>
      <c r="F100">
        <v>12.89</v>
      </c>
      <c r="G100">
        <v>16146</v>
      </c>
      <c r="H100">
        <v>11760</v>
      </c>
      <c r="I100">
        <v>10510</v>
      </c>
      <c r="J100">
        <v>-167.76</v>
      </c>
      <c r="K100">
        <v>-95.02</v>
      </c>
      <c r="L100">
        <v>-74.3</v>
      </c>
      <c r="M100">
        <v>14.55</v>
      </c>
      <c r="N100" t="b">
        <v>1</v>
      </c>
      <c r="O100">
        <v>564</v>
      </c>
      <c r="P100" t="s">
        <v>113</v>
      </c>
      <c r="Q100" t="s">
        <v>2328</v>
      </c>
      <c r="R100">
        <v>53.71002911412943</v>
      </c>
      <c r="S100">
        <v>851</v>
      </c>
      <c r="T100">
        <v>113992</v>
      </c>
      <c r="U100" t="s">
        <v>4085</v>
      </c>
      <c r="V100">
        <v>22.83</v>
      </c>
      <c r="W100" t="s">
        <v>6305</v>
      </c>
      <c r="X100" t="s">
        <v>8486</v>
      </c>
      <c r="Y100">
        <v>1947</v>
      </c>
      <c r="Z100">
        <v>88</v>
      </c>
      <c r="AA100">
        <v>1025525</v>
      </c>
    </row>
    <row r="101" spans="1:28">
      <c r="A101" s="2">
        <f>HYPERLINK("https://finance.naver.com/item/coinfo.nhn?code=002460", "A002460")</f>
        <v>0</v>
      </c>
      <c r="B101">
        <f>HYPERLINK("http://comp.fnguide.com/SVO2/ASP/SVD_Consensus.asp?pGB=1&amp;gicode=A002460&amp;cID=&amp;MenuYn=Y&amp;ReportGB=&amp;NewMenuID=108&amp;stkGb=701", "화성산업")</f>
        <v>0</v>
      </c>
      <c r="C101">
        <v>3</v>
      </c>
      <c r="D101">
        <v>12300</v>
      </c>
      <c r="E101">
        <v>-0.76</v>
      </c>
      <c r="F101">
        <v>18.9</v>
      </c>
      <c r="G101">
        <v>30046</v>
      </c>
      <c r="H101">
        <v>30400</v>
      </c>
      <c r="I101">
        <v>30501</v>
      </c>
      <c r="J101">
        <v>-144.28</v>
      </c>
      <c r="K101">
        <v>-147.16</v>
      </c>
      <c r="L101">
        <v>-147.98</v>
      </c>
      <c r="M101">
        <v>7.82</v>
      </c>
      <c r="N101" t="b">
        <v>0</v>
      </c>
      <c r="O101">
        <v>616</v>
      </c>
      <c r="P101" t="s">
        <v>114</v>
      </c>
      <c r="Q101" t="s">
        <v>2329</v>
      </c>
      <c r="R101">
        <v>-25.01028271609174</v>
      </c>
      <c r="S101">
        <v>1531</v>
      </c>
      <c r="T101">
        <v>69104</v>
      </c>
      <c r="U101" t="s">
        <v>4086</v>
      </c>
      <c r="V101">
        <v>41.41</v>
      </c>
      <c r="W101" t="s">
        <v>6306</v>
      </c>
      <c r="X101" t="s">
        <v>8487</v>
      </c>
      <c r="Y101">
        <v>4514</v>
      </c>
      <c r="Z101">
        <v>296</v>
      </c>
      <c r="AA101">
        <v>340638</v>
      </c>
      <c r="AB101">
        <v>4.29</v>
      </c>
    </row>
    <row r="102" spans="1:28">
      <c r="A102" s="2">
        <f>HYPERLINK("https://finance.naver.com/item/coinfo.nhn?code=013520", "A013520")</f>
        <v>0</v>
      </c>
      <c r="B102">
        <f>HYPERLINK("http://comp.fnguide.com/SVO2/ASP/SVD_Consensus.asp?pGB=1&amp;gicode=A013520&amp;cID=&amp;MenuYn=Y&amp;ReportGB=&amp;NewMenuID=108&amp;stkGb=701", "화승알앤에이")</f>
        <v>0</v>
      </c>
      <c r="C102">
        <v>3</v>
      </c>
      <c r="D102">
        <v>2030</v>
      </c>
      <c r="E102">
        <v>-0.24</v>
      </c>
      <c r="F102">
        <v>5.93</v>
      </c>
      <c r="G102">
        <v>2573</v>
      </c>
      <c r="H102">
        <v>3589</v>
      </c>
      <c r="I102">
        <v>3878</v>
      </c>
      <c r="J102">
        <v>-26.76</v>
      </c>
      <c r="K102">
        <v>-76.79000000000001</v>
      </c>
      <c r="L102">
        <v>-91.05</v>
      </c>
      <c r="M102">
        <v>4.81</v>
      </c>
      <c r="N102" t="b">
        <v>1</v>
      </c>
      <c r="O102">
        <v>357</v>
      </c>
      <c r="P102" t="s">
        <v>115</v>
      </c>
      <c r="Q102" t="s">
        <v>2330</v>
      </c>
      <c r="R102">
        <v>-24.3</v>
      </c>
      <c r="S102">
        <v>1402</v>
      </c>
      <c r="T102">
        <v>381131</v>
      </c>
      <c r="U102" t="s">
        <v>4087</v>
      </c>
      <c r="V102">
        <v>44.69</v>
      </c>
      <c r="W102" t="s">
        <v>6307</v>
      </c>
      <c r="X102" t="s">
        <v>8488</v>
      </c>
      <c r="Y102">
        <v>15520</v>
      </c>
      <c r="Z102">
        <v>650</v>
      </c>
      <c r="AA102">
        <v>7783665</v>
      </c>
      <c r="AB102">
        <v>1.18</v>
      </c>
    </row>
    <row r="103" spans="1:28">
      <c r="A103" s="2">
        <f>HYPERLINK("https://finance.naver.com/item/coinfo.nhn?code=006060", "A006060")</f>
        <v>0</v>
      </c>
      <c r="B103">
        <f>HYPERLINK("http://comp.fnguide.com/SVO2/ASP/SVD_Consensus.asp?pGB=1&amp;gicode=A006060&amp;cID=&amp;MenuYn=Y&amp;ReportGB=&amp;NewMenuID=108&amp;stkGb=701", "화승인더")</f>
        <v>0</v>
      </c>
      <c r="C103">
        <v>3</v>
      </c>
      <c r="D103">
        <v>7240</v>
      </c>
      <c r="E103">
        <v>2.29</v>
      </c>
      <c r="F103">
        <v>11.17</v>
      </c>
      <c r="G103">
        <v>11714</v>
      </c>
      <c r="H103">
        <v>8404</v>
      </c>
      <c r="I103">
        <v>7461</v>
      </c>
      <c r="J103">
        <v>-61.8</v>
      </c>
      <c r="K103">
        <v>-16.08</v>
      </c>
      <c r="L103">
        <v>-3.05</v>
      </c>
      <c r="M103">
        <v>15.05</v>
      </c>
      <c r="N103" t="b">
        <v>1</v>
      </c>
      <c r="O103">
        <v>1066</v>
      </c>
      <c r="P103" t="s">
        <v>116</v>
      </c>
      <c r="Q103" t="s">
        <v>2331</v>
      </c>
      <c r="R103">
        <v>4.886314599771047</v>
      </c>
      <c r="S103">
        <v>4005</v>
      </c>
      <c r="T103">
        <v>279528</v>
      </c>
      <c r="U103" t="s">
        <v>4088</v>
      </c>
      <c r="V103">
        <v>33.59</v>
      </c>
      <c r="W103" t="s">
        <v>6308</v>
      </c>
      <c r="X103" t="s">
        <v>8489</v>
      </c>
      <c r="Y103">
        <v>14259</v>
      </c>
      <c r="Z103">
        <v>1136</v>
      </c>
      <c r="AA103">
        <v>2071532</v>
      </c>
      <c r="AB103">
        <v>0.38</v>
      </c>
    </row>
    <row r="104" spans="1:28">
      <c r="A104" s="2">
        <f>HYPERLINK("https://finance.naver.com/item/coinfo.nhn?code=010690", "A010690")</f>
        <v>0</v>
      </c>
      <c r="B104">
        <f>HYPERLINK("http://comp.fnguide.com/SVO2/ASP/SVD_Consensus.asp?pGB=1&amp;gicode=A010690&amp;cID=&amp;MenuYn=Y&amp;ReportGB=&amp;NewMenuID=108&amp;stkGb=701", "화신")</f>
        <v>0</v>
      </c>
      <c r="C104">
        <v>3</v>
      </c>
      <c r="D104">
        <v>2935</v>
      </c>
      <c r="E104">
        <v>0</v>
      </c>
      <c r="F104">
        <v>17.19</v>
      </c>
      <c r="G104">
        <v>1279</v>
      </c>
      <c r="H104">
        <v>5980</v>
      </c>
      <c r="I104">
        <v>7319</v>
      </c>
      <c r="J104">
        <v>56.42</v>
      </c>
      <c r="K104">
        <v>-103.74</v>
      </c>
      <c r="L104">
        <v>-149.37</v>
      </c>
      <c r="M104">
        <v>1.12</v>
      </c>
      <c r="N104" t="b">
        <v>1</v>
      </c>
      <c r="O104">
        <v>190</v>
      </c>
      <c r="P104" t="s">
        <v>117</v>
      </c>
      <c r="Q104" t="s">
        <v>2276</v>
      </c>
      <c r="R104">
        <v>0</v>
      </c>
      <c r="S104">
        <v>1025</v>
      </c>
      <c r="T104">
        <v>337348</v>
      </c>
      <c r="U104" t="s">
        <v>4089</v>
      </c>
      <c r="V104">
        <v>50.41</v>
      </c>
      <c r="W104" t="s">
        <v>6309</v>
      </c>
      <c r="X104" t="s">
        <v>8490</v>
      </c>
      <c r="Y104">
        <v>11643</v>
      </c>
      <c r="Z104">
        <v>19</v>
      </c>
      <c r="AA104">
        <v>1995600</v>
      </c>
      <c r="AB104">
        <v>1.53</v>
      </c>
    </row>
    <row r="105" spans="1:28">
      <c r="A105" s="2">
        <f>HYPERLINK("https://finance.naver.com/item/coinfo.nhn?code=010660", "A010660")</f>
        <v>0</v>
      </c>
      <c r="B105">
        <f>HYPERLINK("http://comp.fnguide.com/SVO2/ASP/SVD_Consensus.asp?pGB=1&amp;gicode=A010660&amp;cID=&amp;MenuYn=Y&amp;ReportGB=&amp;NewMenuID=108&amp;stkGb=701", "화천기계")</f>
        <v>0</v>
      </c>
      <c r="C105">
        <v>3</v>
      </c>
      <c r="D105">
        <v>3060</v>
      </c>
      <c r="E105">
        <v>0</v>
      </c>
      <c r="G105">
        <v>62</v>
      </c>
      <c r="H105">
        <v>3806</v>
      </c>
      <c r="I105">
        <v>4873</v>
      </c>
      <c r="J105">
        <v>97.98</v>
      </c>
      <c r="K105">
        <v>-24.37</v>
      </c>
      <c r="L105">
        <v>-59.23</v>
      </c>
      <c r="M105">
        <v>0.08</v>
      </c>
      <c r="N105" t="b">
        <v>0</v>
      </c>
      <c r="O105">
        <v>-279</v>
      </c>
      <c r="P105" t="s">
        <v>118</v>
      </c>
      <c r="Q105" t="s">
        <v>2276</v>
      </c>
      <c r="R105">
        <v>0</v>
      </c>
      <c r="S105">
        <v>673</v>
      </c>
      <c r="T105">
        <v>310973</v>
      </c>
      <c r="U105" t="s">
        <v>4090</v>
      </c>
      <c r="V105">
        <v>34.54</v>
      </c>
      <c r="W105" t="s">
        <v>6310</v>
      </c>
      <c r="X105" t="s">
        <v>8491</v>
      </c>
      <c r="Y105">
        <v>1597</v>
      </c>
      <c r="Z105">
        <v>-93</v>
      </c>
      <c r="AA105">
        <v>2200000</v>
      </c>
    </row>
    <row r="106" spans="1:28">
      <c r="A106" s="2">
        <f>HYPERLINK("https://finance.naver.com/item/coinfo.nhn?code=000850", "A000850")</f>
        <v>0</v>
      </c>
      <c r="B106">
        <f>HYPERLINK("http://comp.fnguide.com/SVO2/ASP/SVD_Consensus.asp?pGB=1&amp;gicode=A000850&amp;cID=&amp;MenuYn=Y&amp;ReportGB=&amp;NewMenuID=108&amp;stkGb=701", "화천기공")</f>
        <v>0</v>
      </c>
      <c r="C106">
        <v>3</v>
      </c>
      <c r="D106">
        <v>32300</v>
      </c>
      <c r="E106">
        <v>-0.51</v>
      </c>
      <c r="F106">
        <v>11.81</v>
      </c>
      <c r="G106">
        <v>55812</v>
      </c>
      <c r="H106">
        <v>103309</v>
      </c>
      <c r="I106">
        <v>116843</v>
      </c>
      <c r="J106">
        <v>-72.79000000000001</v>
      </c>
      <c r="K106">
        <v>-219.84</v>
      </c>
      <c r="L106">
        <v>-261.74</v>
      </c>
      <c r="M106">
        <v>3.3</v>
      </c>
      <c r="N106" t="b">
        <v>1</v>
      </c>
      <c r="O106">
        <v>3388</v>
      </c>
      <c r="P106" t="s">
        <v>119</v>
      </c>
      <c r="Q106" t="s">
        <v>2332</v>
      </c>
      <c r="R106">
        <v>-23.20913628942888</v>
      </c>
      <c r="S106">
        <v>711</v>
      </c>
      <c r="T106">
        <v>5431</v>
      </c>
      <c r="U106" t="s">
        <v>4091</v>
      </c>
      <c r="V106">
        <v>48.78</v>
      </c>
      <c r="W106" t="s">
        <v>6311</v>
      </c>
      <c r="X106" t="s">
        <v>8492</v>
      </c>
      <c r="Y106">
        <v>2065</v>
      </c>
      <c r="Z106">
        <v>69</v>
      </c>
      <c r="AB106">
        <v>3.13</v>
      </c>
    </row>
    <row r="107" spans="1:28">
      <c r="A107" s="2">
        <f>HYPERLINK("https://finance.naver.com/item/coinfo.nhn?code=016580", "A016580")</f>
        <v>0</v>
      </c>
      <c r="B107">
        <f>HYPERLINK("http://comp.fnguide.com/SVO2/ASP/SVD_Consensus.asp?pGB=1&amp;gicode=A016580&amp;cID=&amp;MenuYn=Y&amp;ReportGB=&amp;NewMenuID=108&amp;stkGb=701", "환인제약")</f>
        <v>0</v>
      </c>
      <c r="C107">
        <v>3</v>
      </c>
      <c r="D107">
        <v>15550</v>
      </c>
      <c r="E107">
        <v>8.69</v>
      </c>
      <c r="F107">
        <v>15.37</v>
      </c>
      <c r="G107">
        <v>18707</v>
      </c>
      <c r="H107">
        <v>18242</v>
      </c>
      <c r="I107">
        <v>18110</v>
      </c>
      <c r="J107">
        <v>-20.3</v>
      </c>
      <c r="K107">
        <v>-17.31</v>
      </c>
      <c r="L107">
        <v>-16.46</v>
      </c>
      <c r="M107">
        <v>8.31</v>
      </c>
      <c r="N107" t="b">
        <v>1</v>
      </c>
      <c r="O107">
        <v>1005</v>
      </c>
      <c r="P107" t="s">
        <v>120</v>
      </c>
      <c r="Q107" t="s">
        <v>2333</v>
      </c>
      <c r="R107">
        <v>1.768696700175076</v>
      </c>
      <c r="S107">
        <v>2892</v>
      </c>
      <c r="T107">
        <v>194723</v>
      </c>
      <c r="U107" t="s">
        <v>4092</v>
      </c>
      <c r="V107">
        <v>21.9</v>
      </c>
      <c r="W107" t="s">
        <v>6312</v>
      </c>
      <c r="X107" t="s">
        <v>8493</v>
      </c>
      <c r="Y107">
        <v>1592</v>
      </c>
      <c r="Z107">
        <v>262</v>
      </c>
      <c r="AA107">
        <v>3333000</v>
      </c>
      <c r="AB107">
        <v>1.94</v>
      </c>
    </row>
    <row r="108" spans="1:28">
      <c r="A108" s="2">
        <f>HYPERLINK("https://finance.naver.com/item/coinfo.nhn?code=032560", "A032560")</f>
        <v>0</v>
      </c>
      <c r="B108">
        <f>HYPERLINK("http://comp.fnguide.com/SVO2/ASP/SVD_Consensus.asp?pGB=1&amp;gicode=A032560&amp;cID=&amp;MenuYn=Y&amp;ReportGB=&amp;NewMenuID=108&amp;stkGb=701", "황금에스티")</f>
        <v>0</v>
      </c>
      <c r="C108">
        <v>3</v>
      </c>
      <c r="D108">
        <v>8300</v>
      </c>
      <c r="E108">
        <v>0.21</v>
      </c>
      <c r="F108">
        <v>3.9</v>
      </c>
      <c r="G108">
        <v>20714</v>
      </c>
      <c r="H108">
        <v>19433</v>
      </c>
      <c r="I108">
        <v>19067</v>
      </c>
      <c r="J108">
        <v>-149.57</v>
      </c>
      <c r="K108">
        <v>-134.13</v>
      </c>
      <c r="L108">
        <v>-129.73</v>
      </c>
      <c r="M108">
        <v>8.880000000000001</v>
      </c>
      <c r="N108" t="b">
        <v>1</v>
      </c>
      <c r="O108">
        <v>1794</v>
      </c>
      <c r="P108" t="s">
        <v>121</v>
      </c>
      <c r="Q108" t="s">
        <v>2334</v>
      </c>
      <c r="R108">
        <v>18.46961471874909</v>
      </c>
      <c r="S108">
        <v>1162</v>
      </c>
      <c r="T108">
        <v>2252799</v>
      </c>
      <c r="U108" t="s">
        <v>4093</v>
      </c>
      <c r="V108">
        <v>54.12</v>
      </c>
      <c r="W108" t="s">
        <v>6313</v>
      </c>
      <c r="X108" t="s">
        <v>8494</v>
      </c>
      <c r="Y108">
        <v>2436</v>
      </c>
      <c r="Z108">
        <v>188</v>
      </c>
      <c r="AA108">
        <v>1861</v>
      </c>
      <c r="AB108">
        <v>1.43</v>
      </c>
    </row>
    <row r="109" spans="1:28">
      <c r="A109" s="2">
        <f>HYPERLINK("https://finance.naver.com/item/coinfo.nhn?code=004800", "A004800")</f>
        <v>0</v>
      </c>
      <c r="B109">
        <f>HYPERLINK("http://comp.fnguide.com/SVO2/ASP/SVD_Consensus.asp?pGB=1&amp;gicode=A004800&amp;cID=&amp;MenuYn=Y&amp;ReportGB=&amp;NewMenuID=108&amp;stkGb=701", "효성")</f>
        <v>0</v>
      </c>
      <c r="C109">
        <v>3</v>
      </c>
      <c r="D109">
        <v>81100</v>
      </c>
      <c r="E109">
        <v>-0.7</v>
      </c>
      <c r="F109">
        <v>16.08</v>
      </c>
      <c r="G109">
        <v>620361</v>
      </c>
      <c r="H109">
        <v>321274</v>
      </c>
      <c r="I109">
        <v>236050</v>
      </c>
      <c r="J109">
        <v>-664.9299999999999</v>
      </c>
      <c r="K109">
        <v>-296.15</v>
      </c>
      <c r="L109">
        <v>-191.06</v>
      </c>
      <c r="M109">
        <v>40.34</v>
      </c>
      <c r="N109" t="b">
        <v>0</v>
      </c>
      <c r="O109">
        <v>4921</v>
      </c>
      <c r="P109" t="s">
        <v>122</v>
      </c>
      <c r="Q109" t="s">
        <v>2335</v>
      </c>
      <c r="R109">
        <v>-22.86830861630861</v>
      </c>
      <c r="S109">
        <v>17089</v>
      </c>
      <c r="T109">
        <v>87266</v>
      </c>
      <c r="U109" t="s">
        <v>4094</v>
      </c>
      <c r="V109">
        <v>55.11</v>
      </c>
      <c r="W109" t="s">
        <v>6314</v>
      </c>
      <c r="X109" t="s">
        <v>8495</v>
      </c>
      <c r="Y109">
        <v>33734</v>
      </c>
      <c r="Z109">
        <v>2368</v>
      </c>
      <c r="AA109">
        <v>1161621</v>
      </c>
      <c r="AB109">
        <v>6.32</v>
      </c>
    </row>
    <row r="110" spans="1:28">
      <c r="A110" s="2">
        <f>HYPERLINK("https://finance.naver.com/item/coinfo.nhn?code=298040", "A298040")</f>
        <v>0</v>
      </c>
      <c r="B110">
        <f>HYPERLINK("http://comp.fnguide.com/SVO2/ASP/SVD_Consensus.asp?pGB=1&amp;gicode=A298040&amp;cID=&amp;MenuYn=Y&amp;ReportGB=&amp;NewMenuID=108&amp;stkGb=701", "효성중공업")</f>
        <v>0</v>
      </c>
      <c r="C110">
        <v>3</v>
      </c>
      <c r="D110">
        <v>60500</v>
      </c>
      <c r="E110">
        <v>0</v>
      </c>
      <c r="F110">
        <v>18.91</v>
      </c>
      <c r="G110">
        <v>8872</v>
      </c>
      <c r="H110">
        <v>62143</v>
      </c>
      <c r="I110">
        <v>77322</v>
      </c>
      <c r="J110">
        <v>85.34</v>
      </c>
      <c r="K110">
        <v>-2.71</v>
      </c>
      <c r="L110">
        <v>-27.8</v>
      </c>
      <c r="M110">
        <v>0.72</v>
      </c>
      <c r="N110" t="b">
        <v>1</v>
      </c>
      <c r="O110">
        <v>1409</v>
      </c>
      <c r="P110" t="s">
        <v>123</v>
      </c>
      <c r="Q110" t="s">
        <v>2336</v>
      </c>
      <c r="R110">
        <v>0</v>
      </c>
      <c r="S110">
        <v>5641</v>
      </c>
      <c r="T110">
        <v>166756</v>
      </c>
      <c r="U110" t="s">
        <v>4095</v>
      </c>
      <c r="V110">
        <v>54.18</v>
      </c>
      <c r="W110" t="s">
        <v>6315</v>
      </c>
      <c r="X110" t="s">
        <v>8496</v>
      </c>
      <c r="Y110">
        <v>37814</v>
      </c>
      <c r="Z110">
        <v>1303</v>
      </c>
      <c r="AA110">
        <v>12807</v>
      </c>
    </row>
    <row r="111" spans="1:28">
      <c r="A111" s="2">
        <f>HYPERLINK("https://finance.naver.com/item/coinfo.nhn?code=066360", "A066360")</f>
        <v>0</v>
      </c>
      <c r="B111">
        <f>HYPERLINK("http://comp.fnguide.com/SVO2/ASP/SVD_Consensus.asp?pGB=1&amp;gicode=A066360&amp;cID=&amp;MenuYn=Y&amp;ReportGB=&amp;NewMenuID=108&amp;stkGb=701", "체리부로")</f>
        <v>0</v>
      </c>
      <c r="C111">
        <v>3</v>
      </c>
      <c r="D111">
        <v>2330</v>
      </c>
      <c r="G111">
        <v>1661</v>
      </c>
      <c r="H111">
        <v>2601</v>
      </c>
      <c r="I111">
        <v>2869</v>
      </c>
      <c r="J111">
        <v>28.7</v>
      </c>
      <c r="K111">
        <v>-11.63</v>
      </c>
      <c r="L111">
        <v>-23.13</v>
      </c>
      <c r="M111">
        <v>4.1</v>
      </c>
      <c r="N111" t="b">
        <v>0</v>
      </c>
      <c r="O111">
        <v>-703</v>
      </c>
      <c r="P111" t="s">
        <v>124</v>
      </c>
      <c r="Q111" t="s">
        <v>2337</v>
      </c>
      <c r="R111">
        <v>837.2170292947093</v>
      </c>
      <c r="S111">
        <v>649</v>
      </c>
      <c r="T111">
        <v>376381</v>
      </c>
      <c r="U111" t="s">
        <v>4096</v>
      </c>
      <c r="V111">
        <v>72.08</v>
      </c>
      <c r="W111" t="s">
        <v>6316</v>
      </c>
      <c r="X111" t="s">
        <v>8497</v>
      </c>
      <c r="Y111">
        <v>3015</v>
      </c>
      <c r="Z111">
        <v>-145</v>
      </c>
    </row>
    <row r="112" spans="1:28">
      <c r="A112" s="2">
        <f>HYPERLINK("https://finance.naver.com/item/coinfo.nhn?code=071090", "A071090")</f>
        <v>0</v>
      </c>
      <c r="B112">
        <f>HYPERLINK("http://comp.fnguide.com/SVO2/ASP/SVD_Consensus.asp?pGB=1&amp;gicode=A071090&amp;cID=&amp;MenuYn=Y&amp;ReportGB=&amp;NewMenuID=108&amp;stkGb=701", "하이스틸")</f>
        <v>0</v>
      </c>
      <c r="C112">
        <v>3</v>
      </c>
      <c r="D112">
        <v>17750</v>
      </c>
      <c r="E112">
        <v>10.59</v>
      </c>
      <c r="F112">
        <v>1214.37</v>
      </c>
      <c r="G112">
        <v>8616</v>
      </c>
      <c r="H112">
        <v>41819</v>
      </c>
      <c r="I112">
        <v>51280</v>
      </c>
      <c r="J112">
        <v>51.46</v>
      </c>
      <c r="K112">
        <v>-135.6</v>
      </c>
      <c r="L112">
        <v>-188.9</v>
      </c>
      <c r="M112">
        <v>1.07</v>
      </c>
      <c r="N112" t="b">
        <v>0</v>
      </c>
      <c r="O112">
        <v>16</v>
      </c>
      <c r="P112" t="s">
        <v>125</v>
      </c>
      <c r="Q112" t="s">
        <v>2338</v>
      </c>
      <c r="R112">
        <v>114.7</v>
      </c>
      <c r="S112">
        <v>355</v>
      </c>
      <c r="T112">
        <v>14685</v>
      </c>
      <c r="U112" t="s">
        <v>4097</v>
      </c>
      <c r="V112">
        <v>53.05</v>
      </c>
      <c r="W112" t="s">
        <v>6317</v>
      </c>
      <c r="X112" t="s">
        <v>8498</v>
      </c>
      <c r="Y112">
        <v>2143</v>
      </c>
      <c r="Z112">
        <v>11</v>
      </c>
      <c r="AA112">
        <v>792</v>
      </c>
      <c r="AB112">
        <v>0.52</v>
      </c>
    </row>
    <row r="113" spans="1:28">
      <c r="A113" s="2">
        <f>HYPERLINK("https://finance.naver.com/item/coinfo.nhn?code=005810", "A005810")</f>
        <v>0</v>
      </c>
      <c r="B113">
        <f>HYPERLINK("http://comp.fnguide.com/SVO2/ASP/SVD_Consensus.asp?pGB=1&amp;gicode=A005810&amp;cID=&amp;MenuYn=Y&amp;ReportGB=&amp;NewMenuID=108&amp;stkGb=701", "풍산홀딩스")</f>
        <v>0</v>
      </c>
      <c r="C113">
        <v>3</v>
      </c>
      <c r="D113">
        <v>28450</v>
      </c>
      <c r="E113">
        <v>-0.63</v>
      </c>
      <c r="F113">
        <v>11.09</v>
      </c>
      <c r="G113">
        <v>70276</v>
      </c>
      <c r="H113">
        <v>93994</v>
      </c>
      <c r="I113">
        <v>100753</v>
      </c>
      <c r="J113">
        <v>-147.02</v>
      </c>
      <c r="K113">
        <v>-230.38</v>
      </c>
      <c r="L113">
        <v>-254.14</v>
      </c>
      <c r="M113">
        <v>5.1</v>
      </c>
      <c r="N113" t="b">
        <v>0</v>
      </c>
      <c r="O113">
        <v>3063</v>
      </c>
      <c r="P113" t="s">
        <v>126</v>
      </c>
      <c r="Q113" t="s">
        <v>2339</v>
      </c>
      <c r="R113">
        <v>-17.60806138573174</v>
      </c>
      <c r="S113">
        <v>2229</v>
      </c>
      <c r="T113">
        <v>22813</v>
      </c>
      <c r="U113" t="s">
        <v>4098</v>
      </c>
      <c r="V113">
        <v>40.05</v>
      </c>
      <c r="W113" t="s">
        <v>6318</v>
      </c>
      <c r="X113" t="s">
        <v>8499</v>
      </c>
      <c r="Y113">
        <v>2644</v>
      </c>
      <c r="Z113">
        <v>108</v>
      </c>
      <c r="AA113">
        <v>1343222</v>
      </c>
      <c r="AB113">
        <v>4.12</v>
      </c>
    </row>
    <row r="114" spans="1:28">
      <c r="A114" s="2">
        <f>HYPERLINK("https://finance.naver.com/item/coinfo.nhn?code=032540", "A032540")</f>
        <v>0</v>
      </c>
      <c r="B114">
        <f>HYPERLINK("http://comp.fnguide.com/SVO2/ASP/SVD_Consensus.asp?pGB=1&amp;gicode=A032540&amp;cID=&amp;MenuYn=Y&amp;ReportGB=&amp;NewMenuID=108&amp;stkGb=701", "TJ미디어")</f>
        <v>0</v>
      </c>
      <c r="C114">
        <v>3</v>
      </c>
      <c r="D114">
        <v>2905</v>
      </c>
      <c r="E114">
        <v>-5.38</v>
      </c>
      <c r="F114">
        <v>51.51</v>
      </c>
      <c r="G114">
        <v>651</v>
      </c>
      <c r="H114">
        <v>3650</v>
      </c>
      <c r="I114">
        <v>4504</v>
      </c>
      <c r="J114">
        <v>77.58</v>
      </c>
      <c r="K114">
        <v>-25.64</v>
      </c>
      <c r="L114">
        <v>-55.05</v>
      </c>
      <c r="M114">
        <v>0.92</v>
      </c>
      <c r="N114" t="b">
        <v>1</v>
      </c>
      <c r="O114">
        <v>64</v>
      </c>
      <c r="P114" t="s">
        <v>127</v>
      </c>
      <c r="Q114" t="s">
        <v>2340</v>
      </c>
      <c r="R114">
        <v>-9.56571446624903</v>
      </c>
      <c r="S114">
        <v>405</v>
      </c>
      <c r="T114">
        <v>26651</v>
      </c>
      <c r="U114" t="s">
        <v>4099</v>
      </c>
      <c r="V114">
        <v>54.81</v>
      </c>
      <c r="W114" t="s">
        <v>6319</v>
      </c>
      <c r="X114" t="s">
        <v>8500</v>
      </c>
      <c r="Y114">
        <v>754</v>
      </c>
      <c r="Z114">
        <v>5</v>
      </c>
      <c r="AB114">
        <v>1.51</v>
      </c>
    </row>
    <row r="115" spans="1:28">
      <c r="A115" s="2">
        <f>HYPERLINK("https://finance.naver.com/item/coinfo.nhn?code=000760", "A000760")</f>
        <v>0</v>
      </c>
      <c r="B115">
        <f>HYPERLINK("http://comp.fnguide.com/SVO2/ASP/SVD_Consensus.asp?pGB=1&amp;gicode=A000760&amp;cID=&amp;MenuYn=Y&amp;ReportGB=&amp;NewMenuID=108&amp;stkGb=701", "이화산업")</f>
        <v>0</v>
      </c>
      <c r="C115">
        <v>3</v>
      </c>
      <c r="D115">
        <v>15000</v>
      </c>
      <c r="E115">
        <v>0</v>
      </c>
      <c r="G115">
        <v>0</v>
      </c>
      <c r="H115">
        <v>21823</v>
      </c>
      <c r="I115">
        <v>28042</v>
      </c>
      <c r="J115">
        <v>100</v>
      </c>
      <c r="K115">
        <v>-45.49</v>
      </c>
      <c r="L115">
        <v>-86.94</v>
      </c>
      <c r="M115">
        <v>0</v>
      </c>
      <c r="N115" t="b">
        <v>0</v>
      </c>
      <c r="O115">
        <v>-1615</v>
      </c>
      <c r="P115" t="s">
        <v>128</v>
      </c>
      <c r="Q115" t="s">
        <v>2276</v>
      </c>
      <c r="R115">
        <v>0</v>
      </c>
      <c r="S115">
        <v>420</v>
      </c>
      <c r="T115">
        <v>464</v>
      </c>
      <c r="U115" t="s">
        <v>4100</v>
      </c>
      <c r="V115">
        <v>72.81</v>
      </c>
      <c r="W115" t="s">
        <v>6320</v>
      </c>
      <c r="X115" t="s">
        <v>968</v>
      </c>
      <c r="Y115">
        <v>617</v>
      </c>
      <c r="Z115">
        <v>-17</v>
      </c>
    </row>
    <row r="116" spans="1:28">
      <c r="A116" s="2">
        <f>HYPERLINK("https://finance.naver.com/item/coinfo.nhn?code=003470", "A003470")</f>
        <v>0</v>
      </c>
      <c r="B116">
        <f>HYPERLINK("http://comp.fnguide.com/SVO2/ASP/SVD_Consensus.asp?pGB=1&amp;gicode=A003470&amp;cID=&amp;MenuYn=Y&amp;ReportGB=&amp;NewMenuID=108&amp;stkGb=701", "유안타증권")</f>
        <v>0</v>
      </c>
      <c r="C116">
        <v>3</v>
      </c>
      <c r="D116">
        <v>3175</v>
      </c>
      <c r="E116">
        <v>1.18</v>
      </c>
      <c r="F116">
        <v>7.52</v>
      </c>
      <c r="G116">
        <v>6135</v>
      </c>
      <c r="H116">
        <v>6390</v>
      </c>
      <c r="I116">
        <v>6462</v>
      </c>
      <c r="J116">
        <v>-93.23999999999999</v>
      </c>
      <c r="K116">
        <v>-101.26</v>
      </c>
      <c r="L116">
        <v>-103.54</v>
      </c>
      <c r="M116">
        <v>7.45</v>
      </c>
      <c r="N116" t="b">
        <v>0</v>
      </c>
      <c r="O116">
        <v>381</v>
      </c>
      <c r="P116" t="s">
        <v>129</v>
      </c>
      <c r="Q116" t="s">
        <v>2341</v>
      </c>
      <c r="R116">
        <v>6.362238323605918</v>
      </c>
      <c r="S116">
        <v>6337</v>
      </c>
      <c r="T116">
        <v>994110</v>
      </c>
      <c r="U116" t="s">
        <v>4101</v>
      </c>
      <c r="V116">
        <v>57.43</v>
      </c>
      <c r="W116" t="s">
        <v>6321</v>
      </c>
      <c r="X116" t="s">
        <v>8501</v>
      </c>
      <c r="Y116">
        <v>3797</v>
      </c>
      <c r="Z116">
        <v>718</v>
      </c>
      <c r="AA116">
        <v>6916471</v>
      </c>
    </row>
    <row r="117" spans="1:28">
      <c r="A117" s="2">
        <f>HYPERLINK("https://finance.naver.com/item/coinfo.nhn?code=011690", "A011690")</f>
        <v>0</v>
      </c>
      <c r="B117">
        <f>HYPERLINK("http://comp.fnguide.com/SVO2/ASP/SVD_Consensus.asp?pGB=1&amp;gicode=A011690&amp;cID=&amp;MenuYn=Y&amp;ReportGB=&amp;NewMenuID=108&amp;stkGb=701", "유양디앤유")</f>
        <v>0</v>
      </c>
      <c r="C117">
        <v>3</v>
      </c>
      <c r="D117">
        <v>1220</v>
      </c>
      <c r="E117">
        <v>0</v>
      </c>
      <c r="G117">
        <v>183</v>
      </c>
      <c r="H117">
        <v>1260</v>
      </c>
      <c r="I117">
        <v>1566</v>
      </c>
      <c r="J117">
        <v>84.97</v>
      </c>
      <c r="K117">
        <v>-3.24</v>
      </c>
      <c r="L117">
        <v>-28.38</v>
      </c>
      <c r="M117">
        <v>0.74</v>
      </c>
      <c r="N117" t="b">
        <v>0</v>
      </c>
      <c r="O117">
        <v>-164</v>
      </c>
      <c r="P117" t="s">
        <v>130</v>
      </c>
      <c r="Q117" t="s">
        <v>2276</v>
      </c>
      <c r="R117">
        <v>0</v>
      </c>
      <c r="S117">
        <v>714</v>
      </c>
      <c r="T117">
        <v>0</v>
      </c>
      <c r="U117" t="s">
        <v>4102</v>
      </c>
      <c r="V117">
        <v>4.92</v>
      </c>
      <c r="W117" t="s">
        <v>6322</v>
      </c>
      <c r="X117" t="s">
        <v>8502</v>
      </c>
      <c r="Y117">
        <v>1083</v>
      </c>
      <c r="Z117">
        <v>-51</v>
      </c>
    </row>
    <row r="118" spans="1:28">
      <c r="A118" s="2">
        <f>HYPERLINK("https://finance.naver.com/item/coinfo.nhn?code=001200", "A001200")</f>
        <v>0</v>
      </c>
      <c r="B118">
        <f>HYPERLINK("http://comp.fnguide.com/SVO2/ASP/SVD_Consensus.asp?pGB=1&amp;gicode=A001200&amp;cID=&amp;MenuYn=Y&amp;ReportGB=&amp;NewMenuID=108&amp;stkGb=701", "유진투자증권")</f>
        <v>0</v>
      </c>
      <c r="C118">
        <v>3</v>
      </c>
      <c r="D118">
        <v>4080</v>
      </c>
      <c r="E118">
        <v>0.73</v>
      </c>
      <c r="F118">
        <v>5.37</v>
      </c>
      <c r="G118">
        <v>6511</v>
      </c>
      <c r="H118">
        <v>7654</v>
      </c>
      <c r="I118">
        <v>7980</v>
      </c>
      <c r="J118">
        <v>-59.57</v>
      </c>
      <c r="K118">
        <v>-87.61</v>
      </c>
      <c r="L118">
        <v>-95.59999999999999</v>
      </c>
      <c r="M118">
        <v>6.17</v>
      </c>
      <c r="N118" t="b">
        <v>1</v>
      </c>
      <c r="O118">
        <v>427</v>
      </c>
      <c r="P118" t="s">
        <v>131</v>
      </c>
      <c r="Q118" t="s">
        <v>2342</v>
      </c>
      <c r="R118">
        <v>7.330630562452756</v>
      </c>
      <c r="S118">
        <v>3952</v>
      </c>
      <c r="T118">
        <v>1277906</v>
      </c>
      <c r="U118" t="s">
        <v>4103</v>
      </c>
      <c r="V118">
        <v>29.03</v>
      </c>
      <c r="W118" t="s">
        <v>6323</v>
      </c>
      <c r="X118" t="s">
        <v>8503</v>
      </c>
      <c r="Y118">
        <v>2460</v>
      </c>
      <c r="Z118">
        <v>582</v>
      </c>
      <c r="AA118">
        <v>3027273</v>
      </c>
      <c r="AB118">
        <v>3.06</v>
      </c>
    </row>
    <row r="119" spans="1:28">
      <c r="A119" s="2">
        <f>HYPERLINK("https://finance.naver.com/item/coinfo.nhn?code=003460", "A003460")</f>
        <v>0</v>
      </c>
      <c r="B119">
        <f>HYPERLINK("http://comp.fnguide.com/SVO2/ASP/SVD_Consensus.asp?pGB=1&amp;gicode=A003460&amp;cID=&amp;MenuYn=Y&amp;ReportGB=&amp;NewMenuID=108&amp;stkGb=701", "유화증권")</f>
        <v>0</v>
      </c>
      <c r="C119">
        <v>3</v>
      </c>
      <c r="D119">
        <v>2385</v>
      </c>
      <c r="E119">
        <v>19.12</v>
      </c>
      <c r="F119">
        <v>29.45</v>
      </c>
      <c r="G119">
        <v>1764</v>
      </c>
      <c r="H119">
        <v>6725</v>
      </c>
      <c r="I119">
        <v>8138</v>
      </c>
      <c r="J119">
        <v>26.02</v>
      </c>
      <c r="K119">
        <v>-181.97</v>
      </c>
      <c r="L119">
        <v>-241.24</v>
      </c>
      <c r="M119">
        <v>1.4</v>
      </c>
      <c r="N119" t="b">
        <v>0</v>
      </c>
      <c r="O119">
        <v>84</v>
      </c>
      <c r="P119" t="s">
        <v>132</v>
      </c>
      <c r="Q119" t="s">
        <v>2343</v>
      </c>
      <c r="R119">
        <v>1.539869949050288</v>
      </c>
      <c r="S119">
        <v>1352</v>
      </c>
      <c r="T119">
        <v>45696</v>
      </c>
      <c r="U119" t="s">
        <v>4104</v>
      </c>
      <c r="V119">
        <v>48.86</v>
      </c>
      <c r="W119" t="s">
        <v>6324</v>
      </c>
      <c r="X119" t="s">
        <v>8504</v>
      </c>
      <c r="Y119">
        <v>160</v>
      </c>
      <c r="Z119">
        <v>62</v>
      </c>
      <c r="AA119">
        <v>10946410</v>
      </c>
      <c r="AB119">
        <v>4.86</v>
      </c>
    </row>
    <row r="120" spans="1:28">
      <c r="A120" s="2">
        <f>HYPERLINK("https://finance.naver.com/item/coinfo.nhn?code=008250", "A008250")</f>
        <v>0</v>
      </c>
      <c r="B120">
        <f>HYPERLINK("http://comp.fnguide.com/SVO2/ASP/SVD_Consensus.asp?pGB=1&amp;gicode=A008250&amp;cID=&amp;MenuYn=Y&amp;ReportGB=&amp;NewMenuID=108&amp;stkGb=701", "이건산업")</f>
        <v>0</v>
      </c>
      <c r="C120">
        <v>3</v>
      </c>
      <c r="D120">
        <v>8960</v>
      </c>
      <c r="E120">
        <v>-11.45</v>
      </c>
      <c r="F120">
        <v>104.16</v>
      </c>
      <c r="G120">
        <v>4257</v>
      </c>
      <c r="H120">
        <v>11732</v>
      </c>
      <c r="I120">
        <v>13862</v>
      </c>
      <c r="J120">
        <v>52.49</v>
      </c>
      <c r="K120">
        <v>-30.94</v>
      </c>
      <c r="L120">
        <v>-54.71</v>
      </c>
      <c r="M120">
        <v>2.03</v>
      </c>
      <c r="N120" t="b">
        <v>0</v>
      </c>
      <c r="O120">
        <v>71</v>
      </c>
      <c r="P120" t="s">
        <v>133</v>
      </c>
      <c r="Q120" t="s">
        <v>2344</v>
      </c>
      <c r="R120">
        <v>-9.093353623752821</v>
      </c>
      <c r="S120">
        <v>981</v>
      </c>
      <c r="T120">
        <v>162834</v>
      </c>
      <c r="U120" t="s">
        <v>4105</v>
      </c>
      <c r="V120">
        <v>35.68</v>
      </c>
      <c r="W120" t="s">
        <v>6325</v>
      </c>
      <c r="X120" t="s">
        <v>8505</v>
      </c>
      <c r="Y120">
        <v>2797</v>
      </c>
      <c r="Z120">
        <v>96</v>
      </c>
      <c r="AA120">
        <v>263108</v>
      </c>
      <c r="AB120">
        <v>2.69</v>
      </c>
    </row>
    <row r="121" spans="1:28">
      <c r="A121" s="2">
        <f>HYPERLINK("https://finance.naver.com/item/coinfo.nhn?code=025820", "A025820")</f>
        <v>0</v>
      </c>
      <c r="B121">
        <f>HYPERLINK("http://comp.fnguide.com/SVO2/ASP/SVD_Consensus.asp?pGB=1&amp;gicode=A025820&amp;cID=&amp;MenuYn=Y&amp;ReportGB=&amp;NewMenuID=108&amp;stkGb=701", "이구산업")</f>
        <v>0</v>
      </c>
      <c r="C121">
        <v>3</v>
      </c>
      <c r="D121">
        <v>2045</v>
      </c>
      <c r="G121">
        <v>673</v>
      </c>
      <c r="H121">
        <v>2087</v>
      </c>
      <c r="I121">
        <v>2490</v>
      </c>
      <c r="J121">
        <v>67.06999999999999</v>
      </c>
      <c r="K121">
        <v>-2.06</v>
      </c>
      <c r="L121">
        <v>-21.75</v>
      </c>
      <c r="M121">
        <v>1.77</v>
      </c>
      <c r="N121" t="b">
        <v>0</v>
      </c>
      <c r="O121">
        <v>-100</v>
      </c>
      <c r="P121" t="s">
        <v>134</v>
      </c>
      <c r="Q121" t="s">
        <v>2345</v>
      </c>
      <c r="R121">
        <v>150</v>
      </c>
      <c r="S121">
        <v>684</v>
      </c>
      <c r="T121">
        <v>3686411</v>
      </c>
      <c r="U121" t="s">
        <v>4106</v>
      </c>
      <c r="V121">
        <v>51.4</v>
      </c>
      <c r="W121" t="s">
        <v>6326</v>
      </c>
      <c r="X121" t="s">
        <v>8506</v>
      </c>
      <c r="Y121">
        <v>2103</v>
      </c>
      <c r="Z121">
        <v>6</v>
      </c>
      <c r="AA121">
        <v>1211</v>
      </c>
      <c r="AB121">
        <v>1.69</v>
      </c>
    </row>
    <row r="122" spans="1:28">
      <c r="A122" s="2">
        <f>HYPERLINK("https://finance.naver.com/item/coinfo.nhn?code=139480", "A139480")</f>
        <v>0</v>
      </c>
      <c r="B122">
        <f>HYPERLINK("http://comp.fnguide.com/SVO2/ASP/SVD_Consensus.asp?pGB=1&amp;gicode=A139480&amp;cID=&amp;MenuYn=Y&amp;ReportGB=&amp;NewMenuID=108&amp;stkGb=701", "이마트")</f>
        <v>0</v>
      </c>
      <c r="C122">
        <v>3</v>
      </c>
      <c r="D122">
        <v>156000</v>
      </c>
      <c r="E122">
        <v>1.53</v>
      </c>
      <c r="F122">
        <v>15.2</v>
      </c>
      <c r="G122">
        <v>184177</v>
      </c>
      <c r="H122">
        <v>269799</v>
      </c>
      <c r="I122">
        <v>294196</v>
      </c>
      <c r="J122">
        <v>-18.06</v>
      </c>
      <c r="K122">
        <v>-72.95</v>
      </c>
      <c r="L122">
        <v>-88.59</v>
      </c>
      <c r="M122">
        <v>4.49</v>
      </c>
      <c r="N122" t="b">
        <v>1</v>
      </c>
      <c r="O122">
        <v>8391</v>
      </c>
      <c r="P122" t="s">
        <v>135</v>
      </c>
      <c r="Q122" t="s">
        <v>2346</v>
      </c>
      <c r="R122">
        <v>9.903556666359226</v>
      </c>
      <c r="S122">
        <v>43486</v>
      </c>
      <c r="T122">
        <v>225587</v>
      </c>
      <c r="U122" t="s">
        <v>4107</v>
      </c>
      <c r="V122">
        <v>28.56</v>
      </c>
      <c r="W122" t="s">
        <v>6327</v>
      </c>
      <c r="X122" t="s">
        <v>8507</v>
      </c>
      <c r="Y122">
        <v>190629</v>
      </c>
      <c r="Z122">
        <v>1507</v>
      </c>
      <c r="AA122">
        <v>911640</v>
      </c>
      <c r="AB122">
        <v>1.57</v>
      </c>
    </row>
    <row r="123" spans="1:28">
      <c r="A123" s="2">
        <f>HYPERLINK("https://finance.naver.com/item/coinfo.nhn?code=051360", "A051360")</f>
        <v>0</v>
      </c>
      <c r="B123">
        <f>HYPERLINK("http://comp.fnguide.com/SVO2/ASP/SVD_Consensus.asp?pGB=1&amp;gicode=A051360&amp;cID=&amp;MenuYn=Y&amp;ReportGB=&amp;NewMenuID=108&amp;stkGb=701", "토비스")</f>
        <v>0</v>
      </c>
      <c r="C123">
        <v>3</v>
      </c>
      <c r="D123">
        <v>7560</v>
      </c>
      <c r="E123">
        <v>-0.1</v>
      </c>
      <c r="F123">
        <v>7.14</v>
      </c>
      <c r="G123">
        <v>18095</v>
      </c>
      <c r="H123">
        <v>15030</v>
      </c>
      <c r="I123">
        <v>14156</v>
      </c>
      <c r="J123">
        <v>-139.36</v>
      </c>
      <c r="K123">
        <v>-98.8</v>
      </c>
      <c r="L123">
        <v>-87.25</v>
      </c>
      <c r="M123">
        <v>11.1</v>
      </c>
      <c r="N123" t="b">
        <v>1</v>
      </c>
      <c r="O123">
        <v>1319</v>
      </c>
      <c r="P123" t="s">
        <v>136</v>
      </c>
      <c r="Q123" t="s">
        <v>2347</v>
      </c>
      <c r="R123">
        <v>-71.73477470401507</v>
      </c>
      <c r="S123">
        <v>1264</v>
      </c>
      <c r="T123">
        <v>294504</v>
      </c>
      <c r="U123" t="s">
        <v>4108</v>
      </c>
      <c r="V123">
        <v>14.3</v>
      </c>
      <c r="W123" t="s">
        <v>6328</v>
      </c>
      <c r="X123" t="s">
        <v>8508</v>
      </c>
      <c r="Y123">
        <v>4189</v>
      </c>
      <c r="Z123">
        <v>307</v>
      </c>
      <c r="AA123">
        <v>1785732</v>
      </c>
      <c r="AB123">
        <v>2.55</v>
      </c>
    </row>
    <row r="124" spans="1:28">
      <c r="A124" s="2">
        <f>HYPERLINK("https://finance.naver.com/item/coinfo.nhn?code=015020", "A015020")</f>
        <v>0</v>
      </c>
      <c r="B124">
        <f>HYPERLINK("http://comp.fnguide.com/SVO2/ASP/SVD_Consensus.asp?pGB=1&amp;gicode=A015020&amp;cID=&amp;MenuYn=Y&amp;ReportGB=&amp;NewMenuID=108&amp;stkGb=701", "이스타코")</f>
        <v>0</v>
      </c>
      <c r="C124">
        <v>3</v>
      </c>
      <c r="D124">
        <v>622</v>
      </c>
      <c r="E124">
        <v>-0.03</v>
      </c>
      <c r="F124">
        <v>2.77</v>
      </c>
      <c r="G124">
        <v>2013</v>
      </c>
      <c r="H124">
        <v>1559</v>
      </c>
      <c r="I124">
        <v>1430</v>
      </c>
      <c r="J124">
        <v>-223.64</v>
      </c>
      <c r="K124">
        <v>-150.64</v>
      </c>
      <c r="L124">
        <v>-129.84</v>
      </c>
      <c r="M124">
        <v>12.76</v>
      </c>
      <c r="N124" t="b">
        <v>1</v>
      </c>
      <c r="O124">
        <v>256</v>
      </c>
      <c r="P124" t="s">
        <v>137</v>
      </c>
      <c r="Q124" t="s">
        <v>2348</v>
      </c>
      <c r="R124">
        <v>-98</v>
      </c>
      <c r="S124">
        <v>267</v>
      </c>
      <c r="T124">
        <v>81162</v>
      </c>
      <c r="U124" t="s">
        <v>4109</v>
      </c>
      <c r="V124">
        <v>39.42</v>
      </c>
      <c r="W124" t="s">
        <v>6329</v>
      </c>
      <c r="X124" t="s">
        <v>8509</v>
      </c>
      <c r="Y124">
        <v>238</v>
      </c>
      <c r="Z124">
        <v>39</v>
      </c>
      <c r="AA124">
        <v>3960641</v>
      </c>
    </row>
    <row r="125" spans="1:28">
      <c r="A125" s="2">
        <f>HYPERLINK("https://finance.naver.com/item/coinfo.nhn?code=091440", "A091440")</f>
        <v>0</v>
      </c>
      <c r="B125">
        <f>HYPERLINK("http://comp.fnguide.com/SVO2/ASP/SVD_Consensus.asp?pGB=1&amp;gicode=A091440&amp;cID=&amp;MenuYn=Y&amp;ReportGB=&amp;NewMenuID=108&amp;stkGb=701", "텔레필드")</f>
        <v>0</v>
      </c>
      <c r="C125">
        <v>3</v>
      </c>
      <c r="D125">
        <v>3255</v>
      </c>
      <c r="E125">
        <v>0</v>
      </c>
      <c r="F125">
        <v>6.53</v>
      </c>
      <c r="G125">
        <v>3926</v>
      </c>
      <c r="H125">
        <v>3449</v>
      </c>
      <c r="I125">
        <v>3313</v>
      </c>
      <c r="J125">
        <v>-20.62</v>
      </c>
      <c r="K125">
        <v>-5.96</v>
      </c>
      <c r="L125">
        <v>-1.78</v>
      </c>
      <c r="M125">
        <v>9.99</v>
      </c>
      <c r="N125" t="b">
        <v>1</v>
      </c>
      <c r="O125">
        <v>522</v>
      </c>
      <c r="P125" t="s">
        <v>138</v>
      </c>
      <c r="Q125" t="s">
        <v>2276</v>
      </c>
      <c r="R125">
        <v>0</v>
      </c>
      <c r="S125">
        <v>299</v>
      </c>
      <c r="T125">
        <v>52806</v>
      </c>
      <c r="U125" t="s">
        <v>4110</v>
      </c>
      <c r="V125">
        <v>19.82</v>
      </c>
      <c r="W125" t="s">
        <v>6330</v>
      </c>
      <c r="X125" t="s">
        <v>8510</v>
      </c>
      <c r="Y125">
        <v>565</v>
      </c>
      <c r="Z125">
        <v>57</v>
      </c>
      <c r="AA125">
        <v>554681</v>
      </c>
    </row>
    <row r="126" spans="1:28">
      <c r="A126" s="2">
        <f>HYPERLINK("https://finance.naver.com/item/coinfo.nhn?code=084680", "A084680")</f>
        <v>0</v>
      </c>
      <c r="B126">
        <f>HYPERLINK("http://comp.fnguide.com/SVO2/ASP/SVD_Consensus.asp?pGB=1&amp;gicode=A084680&amp;cID=&amp;MenuYn=Y&amp;ReportGB=&amp;NewMenuID=108&amp;stkGb=701", "이월드")</f>
        <v>0</v>
      </c>
      <c r="C126">
        <v>3</v>
      </c>
      <c r="D126">
        <v>3270</v>
      </c>
      <c r="E126">
        <v>0.93</v>
      </c>
      <c r="F126">
        <v>56.23</v>
      </c>
      <c r="G126">
        <v>2321</v>
      </c>
      <c r="H126">
        <v>3189</v>
      </c>
      <c r="I126">
        <v>3436</v>
      </c>
      <c r="J126">
        <v>29.02</v>
      </c>
      <c r="K126">
        <v>2.48</v>
      </c>
      <c r="L126">
        <v>-5.08</v>
      </c>
      <c r="M126">
        <v>4.91</v>
      </c>
      <c r="N126" t="b">
        <v>0</v>
      </c>
      <c r="O126">
        <v>95</v>
      </c>
      <c r="P126" t="s">
        <v>139</v>
      </c>
      <c r="Q126" t="s">
        <v>2349</v>
      </c>
      <c r="R126">
        <v>60.57631034444877</v>
      </c>
      <c r="S126">
        <v>3373</v>
      </c>
      <c r="T126">
        <v>1234106</v>
      </c>
      <c r="U126" t="s">
        <v>4111</v>
      </c>
      <c r="V126">
        <v>67.36</v>
      </c>
      <c r="W126" t="s">
        <v>6331</v>
      </c>
      <c r="X126" t="s">
        <v>8511</v>
      </c>
      <c r="Y126">
        <v>1832</v>
      </c>
      <c r="Z126">
        <v>174</v>
      </c>
      <c r="AA126">
        <v>355773</v>
      </c>
    </row>
    <row r="127" spans="1:28">
      <c r="A127" s="2">
        <f>HYPERLINK("https://finance.naver.com/item/coinfo.nhn?code=034590", "A034590")</f>
        <v>0</v>
      </c>
      <c r="B127">
        <f>HYPERLINK("http://comp.fnguide.com/SVO2/ASP/SVD_Consensus.asp?pGB=1&amp;gicode=A034590&amp;cID=&amp;MenuYn=Y&amp;ReportGB=&amp;NewMenuID=108&amp;stkGb=701", "인천도시가스")</f>
        <v>0</v>
      </c>
      <c r="C127">
        <v>3</v>
      </c>
      <c r="D127">
        <v>25900</v>
      </c>
      <c r="E127">
        <v>1.74</v>
      </c>
      <c r="F127">
        <v>11.73</v>
      </c>
      <c r="G127">
        <v>41493</v>
      </c>
      <c r="H127">
        <v>43529</v>
      </c>
      <c r="I127">
        <v>44109</v>
      </c>
      <c r="J127">
        <v>-60.2</v>
      </c>
      <c r="K127">
        <v>-68.06</v>
      </c>
      <c r="L127">
        <v>-70.3</v>
      </c>
      <c r="M127">
        <v>7.37</v>
      </c>
      <c r="N127" t="b">
        <v>0</v>
      </c>
      <c r="O127">
        <v>2448</v>
      </c>
      <c r="P127" t="s">
        <v>140</v>
      </c>
      <c r="Q127" t="s">
        <v>2350</v>
      </c>
      <c r="R127">
        <v>6.760043047156983</v>
      </c>
      <c r="S127">
        <v>1133</v>
      </c>
      <c r="T127">
        <v>1424</v>
      </c>
      <c r="U127" t="s">
        <v>4112</v>
      </c>
      <c r="V127">
        <v>68.45999999999999</v>
      </c>
      <c r="W127" t="s">
        <v>6332</v>
      </c>
      <c r="X127" t="s">
        <v>8512</v>
      </c>
      <c r="Y127">
        <v>5735</v>
      </c>
      <c r="Z127">
        <v>120</v>
      </c>
      <c r="AA127">
        <v>252755</v>
      </c>
      <c r="AB127">
        <v>4.36</v>
      </c>
    </row>
    <row r="128" spans="1:28">
      <c r="A128" s="2">
        <f>HYPERLINK("https://finance.naver.com/item/coinfo.nhn?code=002920", "A002920")</f>
        <v>0</v>
      </c>
      <c r="B128">
        <f>HYPERLINK("http://comp.fnguide.com/SVO2/ASP/SVD_Consensus.asp?pGB=1&amp;gicode=A002920&amp;cID=&amp;MenuYn=Y&amp;ReportGB=&amp;NewMenuID=108&amp;stkGb=701", "유성기업")</f>
        <v>0</v>
      </c>
      <c r="C128">
        <v>3</v>
      </c>
      <c r="D128">
        <v>2790</v>
      </c>
      <c r="E128">
        <v>-0.12</v>
      </c>
      <c r="F128">
        <v>3.97</v>
      </c>
      <c r="G128">
        <v>5531</v>
      </c>
      <c r="H128">
        <v>8674</v>
      </c>
      <c r="I128">
        <v>9569</v>
      </c>
      <c r="J128">
        <v>-98.26000000000001</v>
      </c>
      <c r="K128">
        <v>-210.89</v>
      </c>
      <c r="L128">
        <v>-242.98</v>
      </c>
      <c r="M128">
        <v>4.1</v>
      </c>
      <c r="N128" t="b">
        <v>1</v>
      </c>
      <c r="O128">
        <v>670</v>
      </c>
      <c r="P128" t="s">
        <v>141</v>
      </c>
      <c r="Q128" t="s">
        <v>2351</v>
      </c>
      <c r="R128">
        <v>-33.88664134019799</v>
      </c>
      <c r="S128">
        <v>724</v>
      </c>
      <c r="T128">
        <v>100994</v>
      </c>
      <c r="U128" t="s">
        <v>4113</v>
      </c>
      <c r="V128">
        <v>48.78</v>
      </c>
      <c r="W128" t="s">
        <v>6333</v>
      </c>
      <c r="X128" t="s">
        <v>8513</v>
      </c>
      <c r="Y128">
        <v>2596</v>
      </c>
      <c r="Z128">
        <v>122</v>
      </c>
      <c r="AA128">
        <v>300000</v>
      </c>
      <c r="AB128">
        <v>7.52</v>
      </c>
    </row>
    <row r="129" spans="1:28">
      <c r="A129" s="2">
        <f>HYPERLINK("https://finance.naver.com/item/coinfo.nhn?code=129260", "A129260")</f>
        <v>0</v>
      </c>
      <c r="B129">
        <f>HYPERLINK("http://comp.fnguide.com/SVO2/ASP/SVD_Consensus.asp?pGB=1&amp;gicode=A129260&amp;cID=&amp;MenuYn=Y&amp;ReportGB=&amp;NewMenuID=108&amp;stkGb=701", "인터지스")</f>
        <v>0</v>
      </c>
      <c r="C129">
        <v>3</v>
      </c>
      <c r="D129">
        <v>2870</v>
      </c>
      <c r="G129">
        <v>375</v>
      </c>
      <c r="H129">
        <v>3887</v>
      </c>
      <c r="I129">
        <v>4888</v>
      </c>
      <c r="J129">
        <v>86.95</v>
      </c>
      <c r="K129">
        <v>-35.43</v>
      </c>
      <c r="L129">
        <v>-70.3</v>
      </c>
      <c r="M129">
        <v>0.48</v>
      </c>
      <c r="N129" t="b">
        <v>0</v>
      </c>
      <c r="O129">
        <v>-902</v>
      </c>
      <c r="P129" t="s">
        <v>142</v>
      </c>
      <c r="Q129" t="s">
        <v>2352</v>
      </c>
      <c r="R129">
        <v>-31.47723006182543</v>
      </c>
      <c r="S129">
        <v>854</v>
      </c>
      <c r="T129">
        <v>1514648</v>
      </c>
      <c r="U129" t="s">
        <v>4114</v>
      </c>
      <c r="V129">
        <v>58.92</v>
      </c>
      <c r="W129" t="s">
        <v>6334</v>
      </c>
      <c r="X129" t="s">
        <v>8514</v>
      </c>
      <c r="Y129">
        <v>4782</v>
      </c>
      <c r="Z129">
        <v>65</v>
      </c>
      <c r="AA129">
        <v>1533742</v>
      </c>
    </row>
    <row r="130" spans="1:28">
      <c r="A130" s="2">
        <f>HYPERLINK("https://finance.naver.com/item/coinfo.nhn?code=023810", "A023810")</f>
        <v>0</v>
      </c>
      <c r="B130">
        <f>HYPERLINK("http://comp.fnguide.com/SVO2/ASP/SVD_Consensus.asp?pGB=1&amp;gicode=A023810&amp;cID=&amp;MenuYn=Y&amp;ReportGB=&amp;NewMenuID=108&amp;stkGb=701", "인팩")</f>
        <v>0</v>
      </c>
      <c r="C130">
        <v>3</v>
      </c>
      <c r="D130">
        <v>5080</v>
      </c>
      <c r="G130">
        <v>639</v>
      </c>
      <c r="H130">
        <v>5891</v>
      </c>
      <c r="I130">
        <v>7388</v>
      </c>
      <c r="J130">
        <v>87.41</v>
      </c>
      <c r="K130">
        <v>-15.97</v>
      </c>
      <c r="L130">
        <v>-45.42</v>
      </c>
      <c r="M130">
        <v>0.54</v>
      </c>
      <c r="N130" t="b">
        <v>0</v>
      </c>
      <c r="O130">
        <v>-617</v>
      </c>
      <c r="P130" t="s">
        <v>143</v>
      </c>
      <c r="Q130" t="s">
        <v>2353</v>
      </c>
      <c r="R130">
        <v>-11.7</v>
      </c>
      <c r="S130">
        <v>508</v>
      </c>
      <c r="T130">
        <v>30009</v>
      </c>
      <c r="U130" t="s">
        <v>4115</v>
      </c>
      <c r="V130">
        <v>51.68</v>
      </c>
      <c r="W130" t="s">
        <v>6335</v>
      </c>
      <c r="X130" t="s">
        <v>8515</v>
      </c>
      <c r="Y130">
        <v>3608</v>
      </c>
      <c r="Z130">
        <v>-4</v>
      </c>
      <c r="AB130">
        <v>3.23</v>
      </c>
    </row>
    <row r="131" spans="1:28">
      <c r="A131" s="2">
        <f>HYPERLINK("https://finance.naver.com/item/coinfo.nhn?code=013360", "A013360")</f>
        <v>0</v>
      </c>
      <c r="B131">
        <f>HYPERLINK("http://comp.fnguide.com/SVO2/ASP/SVD_Consensus.asp?pGB=1&amp;gicode=A013360&amp;cID=&amp;MenuYn=Y&amp;ReportGB=&amp;NewMenuID=108&amp;stkGb=701", "일성건설")</f>
        <v>0</v>
      </c>
      <c r="C131">
        <v>3</v>
      </c>
      <c r="D131">
        <v>940</v>
      </c>
      <c r="E131">
        <v>-1.61</v>
      </c>
      <c r="F131">
        <v>36.96</v>
      </c>
      <c r="G131">
        <v>414</v>
      </c>
      <c r="H131">
        <v>1180</v>
      </c>
      <c r="I131">
        <v>1398</v>
      </c>
      <c r="J131">
        <v>55.95</v>
      </c>
      <c r="K131">
        <v>-25.49</v>
      </c>
      <c r="L131">
        <v>-48.69</v>
      </c>
      <c r="M131">
        <v>1.96</v>
      </c>
      <c r="N131" t="b">
        <v>0</v>
      </c>
      <c r="O131">
        <v>34</v>
      </c>
      <c r="P131" t="s">
        <v>144</v>
      </c>
      <c r="Q131" t="s">
        <v>2354</v>
      </c>
      <c r="R131">
        <v>-22.90974220328452</v>
      </c>
      <c r="S131">
        <v>508</v>
      </c>
      <c r="T131">
        <v>206385</v>
      </c>
      <c r="U131" t="s">
        <v>4116</v>
      </c>
      <c r="V131">
        <v>63.89</v>
      </c>
      <c r="W131" t="s">
        <v>6336</v>
      </c>
      <c r="X131" t="s">
        <v>8516</v>
      </c>
      <c r="Y131">
        <v>3758</v>
      </c>
      <c r="Z131">
        <v>74</v>
      </c>
      <c r="AB131">
        <v>1.18</v>
      </c>
    </row>
    <row r="132" spans="1:28">
      <c r="A132" s="2">
        <f>HYPERLINK("https://finance.naver.com/item/coinfo.nhn?code=003120", "A003120")</f>
        <v>0</v>
      </c>
      <c r="B132">
        <f>HYPERLINK("http://comp.fnguide.com/SVO2/ASP/SVD_Consensus.asp?pGB=1&amp;gicode=A003120&amp;cID=&amp;MenuYn=Y&amp;ReportGB=&amp;NewMenuID=108&amp;stkGb=701", "일성신약")</f>
        <v>0</v>
      </c>
      <c r="C132">
        <v>3</v>
      </c>
      <c r="D132">
        <v>78800</v>
      </c>
      <c r="E132">
        <v>-0.62</v>
      </c>
      <c r="F132">
        <v>32.5</v>
      </c>
      <c r="G132">
        <v>40841</v>
      </c>
      <c r="H132">
        <v>151648</v>
      </c>
      <c r="I132">
        <v>183222</v>
      </c>
      <c r="J132">
        <v>48.17</v>
      </c>
      <c r="K132">
        <v>-92.45</v>
      </c>
      <c r="L132">
        <v>-132.52</v>
      </c>
      <c r="M132">
        <v>1.45</v>
      </c>
      <c r="N132" t="b">
        <v>1</v>
      </c>
      <c r="O132">
        <v>2526</v>
      </c>
      <c r="P132" t="s">
        <v>145</v>
      </c>
      <c r="Q132" t="s">
        <v>2355</v>
      </c>
      <c r="R132">
        <v>-52.76296886650705</v>
      </c>
      <c r="S132">
        <v>2096</v>
      </c>
      <c r="T132">
        <v>3920</v>
      </c>
      <c r="U132" t="s">
        <v>4117</v>
      </c>
      <c r="V132">
        <v>31.89</v>
      </c>
      <c r="W132" t="s">
        <v>6337</v>
      </c>
      <c r="X132" t="s">
        <v>8517</v>
      </c>
      <c r="Y132">
        <v>484</v>
      </c>
      <c r="Z132">
        <v>-13</v>
      </c>
      <c r="AA132">
        <v>1126232</v>
      </c>
      <c r="AB132">
        <v>0.91</v>
      </c>
    </row>
    <row r="133" spans="1:28">
      <c r="A133" s="2">
        <f>HYPERLINK("https://finance.naver.com/item/coinfo.nhn?code=003200", "A003200")</f>
        <v>0</v>
      </c>
      <c r="B133">
        <f>HYPERLINK("http://comp.fnguide.com/SVO2/ASP/SVD_Consensus.asp?pGB=1&amp;gicode=A003200&amp;cID=&amp;MenuYn=Y&amp;ReportGB=&amp;NewMenuID=108&amp;stkGb=701", "일신방직")</f>
        <v>0</v>
      </c>
      <c r="C133">
        <v>3</v>
      </c>
      <c r="D133">
        <v>72400</v>
      </c>
      <c r="E133">
        <v>-0.68</v>
      </c>
      <c r="F133">
        <v>24.35</v>
      </c>
      <c r="G133">
        <v>74485</v>
      </c>
      <c r="H133">
        <v>216478</v>
      </c>
      <c r="I133">
        <v>256938</v>
      </c>
      <c r="J133">
        <v>-2.88</v>
      </c>
      <c r="K133">
        <v>-199</v>
      </c>
      <c r="L133">
        <v>-254.89</v>
      </c>
      <c r="M133">
        <v>1.91</v>
      </c>
      <c r="N133" t="b">
        <v>1</v>
      </c>
      <c r="O133">
        <v>2940</v>
      </c>
      <c r="P133" t="s">
        <v>146</v>
      </c>
      <c r="Q133" t="s">
        <v>2356</v>
      </c>
      <c r="R133">
        <v>-35.9928328030953</v>
      </c>
      <c r="S133">
        <v>1738</v>
      </c>
      <c r="T133">
        <v>13872</v>
      </c>
      <c r="U133" t="s">
        <v>4118</v>
      </c>
      <c r="V133">
        <v>50.73</v>
      </c>
      <c r="W133" t="s">
        <v>6338</v>
      </c>
      <c r="X133" t="s">
        <v>8518</v>
      </c>
      <c r="Y133">
        <v>4962</v>
      </c>
      <c r="Z133">
        <v>136</v>
      </c>
      <c r="AA133">
        <v>135919</v>
      </c>
      <c r="AB133">
        <v>2.09</v>
      </c>
    </row>
    <row r="134" spans="1:28">
      <c r="A134" s="2">
        <f>HYPERLINK("https://finance.naver.com/item/coinfo.nhn?code=008500", "A008500")</f>
        <v>0</v>
      </c>
      <c r="B134">
        <f>HYPERLINK("http://comp.fnguide.com/SVO2/ASP/SVD_Consensus.asp?pGB=1&amp;gicode=A008500&amp;cID=&amp;MenuYn=Y&amp;ReportGB=&amp;NewMenuID=108&amp;stkGb=701", "일정실업")</f>
        <v>0</v>
      </c>
      <c r="C134">
        <v>3</v>
      </c>
      <c r="D134">
        <v>17600</v>
      </c>
      <c r="G134">
        <v>0</v>
      </c>
      <c r="H134">
        <v>15000</v>
      </c>
      <c r="I134">
        <v>19275</v>
      </c>
      <c r="J134">
        <v>100</v>
      </c>
      <c r="K134">
        <v>14.77</v>
      </c>
      <c r="L134">
        <v>-9.51</v>
      </c>
      <c r="M134">
        <v>0</v>
      </c>
      <c r="N134" t="b">
        <v>0</v>
      </c>
      <c r="O134">
        <v>-11334</v>
      </c>
      <c r="P134" t="s">
        <v>147</v>
      </c>
      <c r="Q134" t="s">
        <v>2357</v>
      </c>
      <c r="R134">
        <v>-55.50000000000001</v>
      </c>
      <c r="S134">
        <v>211</v>
      </c>
      <c r="T134">
        <v>5277</v>
      </c>
      <c r="U134" t="s">
        <v>4119</v>
      </c>
      <c r="V134">
        <v>66.61</v>
      </c>
      <c r="W134" t="s">
        <v>6339</v>
      </c>
      <c r="X134" t="s">
        <v>968</v>
      </c>
      <c r="Y134">
        <v>398</v>
      </c>
      <c r="Z134">
        <v>-163</v>
      </c>
      <c r="AA134">
        <v>18383</v>
      </c>
    </row>
    <row r="135" spans="1:28">
      <c r="A135" s="2">
        <f>HYPERLINK("https://finance.naver.com/item/coinfo.nhn?code=044490", "A044490")</f>
        <v>0</v>
      </c>
      <c r="B135">
        <f>HYPERLINK("http://comp.fnguide.com/SVO2/ASP/SVD_Consensus.asp?pGB=1&amp;gicode=A044490&amp;cID=&amp;MenuYn=Y&amp;ReportGB=&amp;NewMenuID=108&amp;stkGb=701", "태웅")</f>
        <v>0</v>
      </c>
      <c r="C135">
        <v>3</v>
      </c>
      <c r="D135">
        <v>14800</v>
      </c>
      <c r="G135">
        <v>0</v>
      </c>
      <c r="H135">
        <v>17063</v>
      </c>
      <c r="I135">
        <v>21926</v>
      </c>
      <c r="J135">
        <v>100</v>
      </c>
      <c r="K135">
        <v>-15.29</v>
      </c>
      <c r="L135">
        <v>-48.15</v>
      </c>
      <c r="M135">
        <v>0</v>
      </c>
      <c r="N135" t="b">
        <v>0</v>
      </c>
      <c r="O135">
        <v>-1690</v>
      </c>
      <c r="P135" t="s">
        <v>148</v>
      </c>
      <c r="Q135" t="s">
        <v>2358</v>
      </c>
      <c r="R135">
        <v>78.09999999999999</v>
      </c>
      <c r="S135">
        <v>2961</v>
      </c>
      <c r="T135">
        <v>210107</v>
      </c>
      <c r="U135" t="s">
        <v>4120</v>
      </c>
      <c r="V135">
        <v>53.75</v>
      </c>
      <c r="W135" t="s">
        <v>6340</v>
      </c>
      <c r="X135" t="s">
        <v>968</v>
      </c>
      <c r="Y135">
        <v>3740</v>
      </c>
      <c r="Z135">
        <v>-300</v>
      </c>
    </row>
    <row r="136" spans="1:28">
      <c r="A136" s="2">
        <f>HYPERLINK("https://finance.naver.com/item/coinfo.nhn?code=053620", "A053620")</f>
        <v>0</v>
      </c>
      <c r="B136">
        <f>HYPERLINK("http://comp.fnguide.com/SVO2/ASP/SVD_Consensus.asp?pGB=1&amp;gicode=A053620&amp;cID=&amp;MenuYn=Y&amp;ReportGB=&amp;NewMenuID=108&amp;stkGb=701", "태양")</f>
        <v>0</v>
      </c>
      <c r="C136">
        <v>3</v>
      </c>
      <c r="D136">
        <v>8380</v>
      </c>
      <c r="E136">
        <v>0.4</v>
      </c>
      <c r="F136">
        <v>9.220000000000001</v>
      </c>
      <c r="G136">
        <v>8901</v>
      </c>
      <c r="H136">
        <v>15515</v>
      </c>
      <c r="I136">
        <v>17400</v>
      </c>
      <c r="J136">
        <v>-6.22</v>
      </c>
      <c r="K136">
        <v>-85.15000000000001</v>
      </c>
      <c r="L136">
        <v>-107.64</v>
      </c>
      <c r="M136">
        <v>3.56</v>
      </c>
      <c r="N136" t="b">
        <v>1</v>
      </c>
      <c r="O136">
        <v>857</v>
      </c>
      <c r="P136" t="s">
        <v>149</v>
      </c>
      <c r="Q136" t="s">
        <v>2359</v>
      </c>
      <c r="R136">
        <v>23.27153907665716</v>
      </c>
      <c r="S136">
        <v>721</v>
      </c>
      <c r="T136">
        <v>3080</v>
      </c>
      <c r="U136" t="s">
        <v>4121</v>
      </c>
      <c r="V136">
        <v>62.47</v>
      </c>
      <c r="W136" t="s">
        <v>6341</v>
      </c>
      <c r="X136" t="s">
        <v>8519</v>
      </c>
      <c r="Y136">
        <v>1418</v>
      </c>
      <c r="Z136">
        <v>70</v>
      </c>
      <c r="AA136">
        <v>638969</v>
      </c>
      <c r="AB136">
        <v>1.9</v>
      </c>
    </row>
    <row r="137" spans="1:28">
      <c r="A137" s="2">
        <f>HYPERLINK("https://finance.naver.com/item/coinfo.nhn?code=103590", "A103590")</f>
        <v>0</v>
      </c>
      <c r="B137">
        <f>HYPERLINK("http://comp.fnguide.com/SVO2/ASP/SVD_Consensus.asp?pGB=1&amp;gicode=A103590&amp;cID=&amp;MenuYn=Y&amp;ReportGB=&amp;NewMenuID=108&amp;stkGb=701", "일진전기")</f>
        <v>0</v>
      </c>
      <c r="C137">
        <v>3</v>
      </c>
      <c r="D137">
        <v>3225</v>
      </c>
      <c r="E137">
        <v>-0.43</v>
      </c>
      <c r="F137">
        <v>31.12</v>
      </c>
      <c r="G137">
        <v>612</v>
      </c>
      <c r="H137">
        <v>5166</v>
      </c>
      <c r="I137">
        <v>6464</v>
      </c>
      <c r="J137">
        <v>81.04000000000001</v>
      </c>
      <c r="K137">
        <v>-60.19</v>
      </c>
      <c r="L137">
        <v>-100.44</v>
      </c>
      <c r="M137">
        <v>0.59</v>
      </c>
      <c r="N137" t="b">
        <v>0</v>
      </c>
      <c r="O137">
        <v>97</v>
      </c>
      <c r="P137" t="s">
        <v>150</v>
      </c>
      <c r="Q137" t="s">
        <v>2360</v>
      </c>
      <c r="R137">
        <v>-72.93156820205499</v>
      </c>
      <c r="S137">
        <v>1196</v>
      </c>
      <c r="T137">
        <v>271575</v>
      </c>
      <c r="U137" t="s">
        <v>4122</v>
      </c>
      <c r="V137">
        <v>59.73</v>
      </c>
      <c r="W137" t="s">
        <v>6342</v>
      </c>
      <c r="X137" t="s">
        <v>8520</v>
      </c>
      <c r="Y137">
        <v>6683</v>
      </c>
      <c r="Z137">
        <v>114</v>
      </c>
      <c r="AA137">
        <v>8121</v>
      </c>
    </row>
    <row r="138" spans="1:28">
      <c r="A138" s="2">
        <f>HYPERLINK("https://finance.naver.com/item/coinfo.nhn?code=015860", "A015860")</f>
        <v>0</v>
      </c>
      <c r="B138">
        <f>HYPERLINK("http://comp.fnguide.com/SVO2/ASP/SVD_Consensus.asp?pGB=1&amp;gicode=A015860&amp;cID=&amp;MenuYn=Y&amp;ReportGB=&amp;NewMenuID=108&amp;stkGb=701", "일진홀딩스")</f>
        <v>0</v>
      </c>
      <c r="C138">
        <v>3</v>
      </c>
      <c r="D138">
        <v>5150</v>
      </c>
      <c r="E138">
        <v>-1.09</v>
      </c>
      <c r="F138">
        <v>19.86</v>
      </c>
      <c r="G138">
        <v>1769</v>
      </c>
      <c r="H138">
        <v>4455</v>
      </c>
      <c r="I138">
        <v>5220</v>
      </c>
      <c r="J138">
        <v>65.65000000000001</v>
      </c>
      <c r="K138">
        <v>13.5</v>
      </c>
      <c r="L138">
        <v>-1.36</v>
      </c>
      <c r="M138">
        <v>2.26</v>
      </c>
      <c r="N138" t="b">
        <v>0</v>
      </c>
      <c r="O138">
        <v>255</v>
      </c>
      <c r="P138" t="s">
        <v>151</v>
      </c>
      <c r="Q138" t="s">
        <v>2361</v>
      </c>
      <c r="R138">
        <v>-18.3</v>
      </c>
      <c r="S138">
        <v>2541</v>
      </c>
      <c r="T138">
        <v>187674</v>
      </c>
      <c r="U138" t="s">
        <v>4123</v>
      </c>
      <c r="V138">
        <v>55.97</v>
      </c>
      <c r="W138" t="s">
        <v>6343</v>
      </c>
      <c r="X138" t="s">
        <v>8521</v>
      </c>
      <c r="Y138">
        <v>8962</v>
      </c>
      <c r="Z138">
        <v>310</v>
      </c>
      <c r="AA138">
        <v>3361946</v>
      </c>
      <c r="AB138">
        <v>1.97</v>
      </c>
    </row>
    <row r="139" spans="1:28">
      <c r="A139" s="2">
        <f>HYPERLINK("https://finance.naver.com/item/coinfo.nhn?code=023160", "A023160")</f>
        <v>0</v>
      </c>
      <c r="B139">
        <f>HYPERLINK("http://comp.fnguide.com/SVO2/ASP/SVD_Consensus.asp?pGB=1&amp;gicode=A023160&amp;cID=&amp;MenuYn=Y&amp;ReportGB=&amp;NewMenuID=108&amp;stkGb=701", "태광")</f>
        <v>0</v>
      </c>
      <c r="C139">
        <v>3</v>
      </c>
      <c r="D139">
        <v>6800</v>
      </c>
      <c r="E139">
        <v>-0.5</v>
      </c>
      <c r="F139">
        <v>25</v>
      </c>
      <c r="G139">
        <v>4314</v>
      </c>
      <c r="H139">
        <v>11742</v>
      </c>
      <c r="I139">
        <v>13859</v>
      </c>
      <c r="J139">
        <v>36.56</v>
      </c>
      <c r="K139">
        <v>-72.68000000000001</v>
      </c>
      <c r="L139">
        <v>-103.81</v>
      </c>
      <c r="M139">
        <v>2.06</v>
      </c>
      <c r="N139" t="b">
        <v>1</v>
      </c>
      <c r="O139">
        <v>408</v>
      </c>
      <c r="P139" t="s">
        <v>152</v>
      </c>
      <c r="Q139" t="s">
        <v>2362</v>
      </c>
      <c r="R139">
        <v>-49.64661681094993</v>
      </c>
      <c r="S139">
        <v>1802</v>
      </c>
      <c r="T139">
        <v>151709</v>
      </c>
      <c r="U139" t="s">
        <v>4124</v>
      </c>
      <c r="V139">
        <v>45.63</v>
      </c>
      <c r="W139" t="s">
        <v>6344</v>
      </c>
      <c r="X139" t="s">
        <v>8522</v>
      </c>
      <c r="Y139">
        <v>1898</v>
      </c>
      <c r="Z139">
        <v>87</v>
      </c>
      <c r="AA139">
        <v>632758</v>
      </c>
      <c r="AB139">
        <v>0.98</v>
      </c>
    </row>
    <row r="140" spans="1:28">
      <c r="A140" s="2">
        <f>HYPERLINK("https://finance.naver.com/item/coinfo.nhn?code=000700", "A000700")</f>
        <v>0</v>
      </c>
      <c r="B140">
        <f>HYPERLINK("http://comp.fnguide.com/SVO2/ASP/SVD_Consensus.asp?pGB=1&amp;gicode=A000700&amp;cID=&amp;MenuYn=Y&amp;ReportGB=&amp;NewMenuID=108&amp;stkGb=701", "유수홀딩스")</f>
        <v>0</v>
      </c>
      <c r="C140">
        <v>3</v>
      </c>
      <c r="D140">
        <v>5440</v>
      </c>
      <c r="E140">
        <v>7.38</v>
      </c>
      <c r="F140">
        <v>42.59</v>
      </c>
      <c r="G140">
        <v>2700</v>
      </c>
      <c r="H140">
        <v>6528</v>
      </c>
      <c r="I140">
        <v>7619</v>
      </c>
      <c r="J140">
        <v>50.38</v>
      </c>
      <c r="K140">
        <v>-20.01</v>
      </c>
      <c r="L140">
        <v>-40.06</v>
      </c>
      <c r="M140">
        <v>2.37</v>
      </c>
      <c r="N140" t="b">
        <v>0</v>
      </c>
      <c r="O140">
        <v>156</v>
      </c>
      <c r="P140" t="s">
        <v>153</v>
      </c>
      <c r="Q140" t="s">
        <v>2363</v>
      </c>
      <c r="R140">
        <v>5.768615382825182</v>
      </c>
      <c r="S140">
        <v>1417</v>
      </c>
      <c r="T140">
        <v>38308</v>
      </c>
      <c r="U140" t="s">
        <v>4125</v>
      </c>
      <c r="V140">
        <v>47.05</v>
      </c>
      <c r="W140" t="s">
        <v>6345</v>
      </c>
      <c r="X140" t="s">
        <v>8523</v>
      </c>
      <c r="Y140">
        <v>3661</v>
      </c>
      <c r="Z140">
        <v>-78</v>
      </c>
      <c r="AA140">
        <v>1063588</v>
      </c>
    </row>
    <row r="141" spans="1:28">
      <c r="A141" s="2">
        <f>HYPERLINK("https://finance.naver.com/item/coinfo.nhn?code=011330", "A011330")</f>
        <v>0</v>
      </c>
      <c r="B141">
        <f>HYPERLINK("http://comp.fnguide.com/SVO2/ASP/SVD_Consensus.asp?pGB=1&amp;gicode=A011330&amp;cID=&amp;MenuYn=Y&amp;ReportGB=&amp;NewMenuID=108&amp;stkGb=701", "유니켐")</f>
        <v>0</v>
      </c>
      <c r="C141">
        <v>3</v>
      </c>
      <c r="D141">
        <v>1400</v>
      </c>
      <c r="E141">
        <v>0.2</v>
      </c>
      <c r="F141">
        <v>8.119999999999999</v>
      </c>
      <c r="G141">
        <v>3290</v>
      </c>
      <c r="H141">
        <v>2052</v>
      </c>
      <c r="I141">
        <v>1699</v>
      </c>
      <c r="J141">
        <v>-135.02</v>
      </c>
      <c r="K141">
        <v>-46.54</v>
      </c>
      <c r="L141">
        <v>-21.33</v>
      </c>
      <c r="M141">
        <v>21.34</v>
      </c>
      <c r="N141" t="b">
        <v>1</v>
      </c>
      <c r="O141">
        <v>223</v>
      </c>
      <c r="P141" t="s">
        <v>154</v>
      </c>
      <c r="Q141" t="s">
        <v>2364</v>
      </c>
      <c r="R141">
        <v>40.23670855421624</v>
      </c>
      <c r="S141">
        <v>962</v>
      </c>
      <c r="T141">
        <v>509305</v>
      </c>
      <c r="U141" t="s">
        <v>4126</v>
      </c>
      <c r="V141">
        <v>18.61</v>
      </c>
      <c r="W141" t="s">
        <v>6346</v>
      </c>
      <c r="X141" t="s">
        <v>8524</v>
      </c>
      <c r="Y141">
        <v>1088</v>
      </c>
      <c r="Z141">
        <v>179</v>
      </c>
      <c r="AA141">
        <v>907818</v>
      </c>
    </row>
    <row r="142" spans="1:28">
      <c r="A142" s="2">
        <f>HYPERLINK("https://finance.naver.com/item/coinfo.nhn?code=000950", "A000950")</f>
        <v>0</v>
      </c>
      <c r="B142">
        <f>HYPERLINK("http://comp.fnguide.com/SVO2/ASP/SVD_Consensus.asp?pGB=1&amp;gicode=A000950&amp;cID=&amp;MenuYn=Y&amp;ReportGB=&amp;NewMenuID=108&amp;stkGb=701", "전방")</f>
        <v>0</v>
      </c>
      <c r="C142">
        <v>3</v>
      </c>
      <c r="D142">
        <v>31000</v>
      </c>
      <c r="E142">
        <v>0</v>
      </c>
      <c r="G142">
        <v>0</v>
      </c>
      <c r="H142">
        <v>44556</v>
      </c>
      <c r="I142">
        <v>57252</v>
      </c>
      <c r="J142">
        <v>100</v>
      </c>
      <c r="K142">
        <v>-43.73</v>
      </c>
      <c r="L142">
        <v>-84.69</v>
      </c>
      <c r="M142">
        <v>0</v>
      </c>
      <c r="N142" t="b">
        <v>0</v>
      </c>
      <c r="O142">
        <v>-23962</v>
      </c>
      <c r="P142" t="s">
        <v>155</v>
      </c>
      <c r="Q142" t="s">
        <v>2276</v>
      </c>
      <c r="R142">
        <v>0</v>
      </c>
      <c r="S142">
        <v>521</v>
      </c>
      <c r="T142">
        <v>20882</v>
      </c>
      <c r="U142" t="s">
        <v>4127</v>
      </c>
      <c r="V142">
        <v>20.46</v>
      </c>
      <c r="W142" t="s">
        <v>6347</v>
      </c>
      <c r="X142" t="s">
        <v>968</v>
      </c>
      <c r="Y142">
        <v>1375</v>
      </c>
      <c r="Z142">
        <v>-305</v>
      </c>
      <c r="AA142">
        <v>540530</v>
      </c>
    </row>
    <row r="143" spans="1:28">
      <c r="A143" s="2">
        <f>HYPERLINK("https://finance.naver.com/item/coinfo.nhn?code=130740", "A130740")</f>
        <v>0</v>
      </c>
      <c r="B143">
        <f>HYPERLINK("http://comp.fnguide.com/SVO2/ASP/SVD_Consensus.asp?pGB=1&amp;gicode=A130740&amp;cID=&amp;MenuYn=Y&amp;ReportGB=&amp;NewMenuID=108&amp;stkGb=701", "티피씨글로벌")</f>
        <v>0</v>
      </c>
      <c r="C143">
        <v>3</v>
      </c>
      <c r="D143">
        <v>2690</v>
      </c>
      <c r="G143">
        <v>1422</v>
      </c>
      <c r="H143">
        <v>3956</v>
      </c>
      <c r="I143">
        <v>4678</v>
      </c>
      <c r="J143">
        <v>47.13</v>
      </c>
      <c r="K143">
        <v>-47.05</v>
      </c>
      <c r="L143">
        <v>-73.89</v>
      </c>
      <c r="M143">
        <v>2.01</v>
      </c>
      <c r="N143" t="b">
        <v>0</v>
      </c>
      <c r="O143">
        <v>-217</v>
      </c>
      <c r="P143" t="s">
        <v>156</v>
      </c>
      <c r="Q143" t="s">
        <v>2365</v>
      </c>
      <c r="R143">
        <v>-12.70470203820638</v>
      </c>
      <c r="S143">
        <v>290</v>
      </c>
      <c r="T143">
        <v>92579</v>
      </c>
      <c r="U143" t="s">
        <v>4128</v>
      </c>
      <c r="V143">
        <v>44.88</v>
      </c>
      <c r="W143" t="s">
        <v>6348</v>
      </c>
      <c r="X143" t="s">
        <v>8525</v>
      </c>
      <c r="Y143">
        <v>847</v>
      </c>
      <c r="Z143">
        <v>5</v>
      </c>
      <c r="AA143">
        <v>416865</v>
      </c>
      <c r="AB143">
        <v>0.8100000000000001</v>
      </c>
    </row>
    <row r="144" spans="1:28">
      <c r="A144" s="2">
        <f>HYPERLINK("https://finance.naver.com/item/coinfo.nhn?code=047310", "A047310")</f>
        <v>0</v>
      </c>
      <c r="B144">
        <f>HYPERLINK("http://comp.fnguide.com/SVO2/ASP/SVD_Consensus.asp?pGB=1&amp;gicode=A047310&amp;cID=&amp;MenuYn=Y&amp;ReportGB=&amp;NewMenuID=108&amp;stkGb=701", "파워로직스")</f>
        <v>0</v>
      </c>
      <c r="C144">
        <v>3</v>
      </c>
      <c r="D144">
        <v>9010</v>
      </c>
      <c r="E144">
        <v>0.08</v>
      </c>
      <c r="F144">
        <v>6.33</v>
      </c>
      <c r="G144">
        <v>16552</v>
      </c>
      <c r="H144">
        <v>10802</v>
      </c>
      <c r="I144">
        <v>9163</v>
      </c>
      <c r="J144">
        <v>-83.70999999999999</v>
      </c>
      <c r="K144">
        <v>-19.89</v>
      </c>
      <c r="L144">
        <v>-1.7</v>
      </c>
      <c r="M144">
        <v>18.9</v>
      </c>
      <c r="N144" t="b">
        <v>1</v>
      </c>
      <c r="O144">
        <v>1611</v>
      </c>
      <c r="P144" t="s">
        <v>157</v>
      </c>
      <c r="Q144" t="s">
        <v>2366</v>
      </c>
      <c r="R144">
        <v>78.73607819767912</v>
      </c>
      <c r="S144">
        <v>3101</v>
      </c>
      <c r="T144">
        <v>1978523</v>
      </c>
      <c r="U144" t="s">
        <v>4129</v>
      </c>
      <c r="V144">
        <v>33.61</v>
      </c>
      <c r="W144" t="s">
        <v>6349</v>
      </c>
      <c r="X144" t="s">
        <v>8526</v>
      </c>
      <c r="Y144">
        <v>11079</v>
      </c>
      <c r="Z144">
        <v>506</v>
      </c>
      <c r="AB144">
        <v>0.49</v>
      </c>
    </row>
    <row r="145" spans="1:28">
      <c r="A145" s="2">
        <f>HYPERLINK("https://finance.naver.com/item/coinfo.nhn?code=015260", "A015260")</f>
        <v>0</v>
      </c>
      <c r="B145">
        <f>HYPERLINK("http://comp.fnguide.com/SVO2/ASP/SVD_Consensus.asp?pGB=1&amp;gicode=A015260&amp;cID=&amp;MenuYn=Y&amp;ReportGB=&amp;NewMenuID=108&amp;stkGb=701", "에이엔피")</f>
        <v>0</v>
      </c>
      <c r="C145">
        <v>3</v>
      </c>
      <c r="D145">
        <v>1795</v>
      </c>
      <c r="E145">
        <v>0</v>
      </c>
      <c r="G145">
        <v>0</v>
      </c>
      <c r="H145">
        <v>2967</v>
      </c>
      <c r="I145">
        <v>3813</v>
      </c>
      <c r="J145">
        <v>100</v>
      </c>
      <c r="K145">
        <v>-65.3</v>
      </c>
      <c r="L145">
        <v>-112.4</v>
      </c>
      <c r="M145">
        <v>0</v>
      </c>
      <c r="N145" t="b">
        <v>0</v>
      </c>
      <c r="O145">
        <v>-511</v>
      </c>
      <c r="P145" t="s">
        <v>158</v>
      </c>
      <c r="Q145" t="s">
        <v>2276</v>
      </c>
      <c r="R145">
        <v>0</v>
      </c>
      <c r="S145">
        <v>392</v>
      </c>
      <c r="T145">
        <v>4272187</v>
      </c>
      <c r="U145" t="s">
        <v>4130</v>
      </c>
      <c r="V145">
        <v>15.2</v>
      </c>
      <c r="W145" t="s">
        <v>6350</v>
      </c>
      <c r="X145" t="s">
        <v>968</v>
      </c>
      <c r="Y145">
        <v>1058</v>
      </c>
      <c r="Z145">
        <v>-66</v>
      </c>
      <c r="AA145">
        <v>532</v>
      </c>
    </row>
    <row r="146" spans="1:28">
      <c r="A146" s="2">
        <f>HYPERLINK("https://finance.naver.com/item/coinfo.nhn?code=009810", "A009810")</f>
        <v>0</v>
      </c>
      <c r="B146">
        <f>HYPERLINK("http://comp.fnguide.com/SVO2/ASP/SVD_Consensus.asp?pGB=1&amp;gicode=A009810&amp;cID=&amp;MenuYn=Y&amp;ReportGB=&amp;NewMenuID=108&amp;stkGb=701", "엔케이물산")</f>
        <v>0</v>
      </c>
      <c r="C146">
        <v>3</v>
      </c>
      <c r="D146">
        <v>605</v>
      </c>
      <c r="E146">
        <v>0</v>
      </c>
      <c r="G146">
        <v>0</v>
      </c>
      <c r="H146">
        <v>595</v>
      </c>
      <c r="I146">
        <v>765</v>
      </c>
      <c r="J146">
        <v>100</v>
      </c>
      <c r="K146">
        <v>1.61</v>
      </c>
      <c r="L146">
        <v>-26.42</v>
      </c>
      <c r="M146">
        <v>0</v>
      </c>
      <c r="N146" t="b">
        <v>0</v>
      </c>
      <c r="O146">
        <v>-79</v>
      </c>
      <c r="P146" t="s">
        <v>159</v>
      </c>
      <c r="Q146" t="s">
        <v>2276</v>
      </c>
      <c r="R146">
        <v>0</v>
      </c>
      <c r="S146">
        <v>481</v>
      </c>
      <c r="T146">
        <v>866101</v>
      </c>
      <c r="U146" t="s">
        <v>4131</v>
      </c>
      <c r="V146">
        <v>16.62</v>
      </c>
      <c r="W146" t="s">
        <v>6351</v>
      </c>
      <c r="X146" t="s">
        <v>968</v>
      </c>
      <c r="Y146">
        <v>88</v>
      </c>
      <c r="Z146">
        <v>-14</v>
      </c>
    </row>
    <row r="147" spans="1:28">
      <c r="A147" s="2">
        <f>HYPERLINK("https://finance.naver.com/item/coinfo.nhn?code=014440", "A014440")</f>
        <v>0</v>
      </c>
      <c r="B147">
        <f>HYPERLINK("http://comp.fnguide.com/SVO2/ASP/SVD_Consensus.asp?pGB=1&amp;gicode=A014440&amp;cID=&amp;MenuYn=Y&amp;ReportGB=&amp;NewMenuID=108&amp;stkGb=701", "영보화학")</f>
        <v>0</v>
      </c>
      <c r="C147">
        <v>3</v>
      </c>
      <c r="D147">
        <v>3880</v>
      </c>
      <c r="E147">
        <v>-0.41</v>
      </c>
      <c r="F147">
        <v>13.61</v>
      </c>
      <c r="G147">
        <v>6550</v>
      </c>
      <c r="H147">
        <v>7098</v>
      </c>
      <c r="I147">
        <v>7254</v>
      </c>
      <c r="J147">
        <v>-68.81999999999999</v>
      </c>
      <c r="K147">
        <v>-82.93000000000001</v>
      </c>
      <c r="L147">
        <v>-86.95</v>
      </c>
      <c r="M147">
        <v>7</v>
      </c>
      <c r="N147" t="b">
        <v>1</v>
      </c>
      <c r="O147">
        <v>256</v>
      </c>
      <c r="P147" t="s">
        <v>160</v>
      </c>
      <c r="Q147" t="s">
        <v>2367</v>
      </c>
      <c r="R147">
        <v>-33.30434875183242</v>
      </c>
      <c r="S147">
        <v>776</v>
      </c>
      <c r="T147">
        <v>105456</v>
      </c>
      <c r="U147" t="s">
        <v>4132</v>
      </c>
      <c r="V147">
        <v>51</v>
      </c>
      <c r="W147" t="s">
        <v>6352</v>
      </c>
      <c r="X147" t="s">
        <v>8527</v>
      </c>
      <c r="Y147">
        <v>1312</v>
      </c>
      <c r="Z147">
        <v>84</v>
      </c>
      <c r="AA147">
        <v>500000</v>
      </c>
      <c r="AB147">
        <v>2.87</v>
      </c>
    </row>
    <row r="148" spans="1:28">
      <c r="A148" s="2">
        <f>HYPERLINK("https://finance.naver.com/item/coinfo.nhn?code=111770", "A111770")</f>
        <v>0</v>
      </c>
      <c r="B148">
        <f>HYPERLINK("http://comp.fnguide.com/SVO2/ASP/SVD_Consensus.asp?pGB=1&amp;gicode=A111770&amp;cID=&amp;MenuYn=Y&amp;ReportGB=&amp;NewMenuID=108&amp;stkGb=701", "영원무역")</f>
        <v>0</v>
      </c>
      <c r="C148">
        <v>3</v>
      </c>
      <c r="D148">
        <v>31200</v>
      </c>
      <c r="E148">
        <v>1.94</v>
      </c>
      <c r="F148">
        <v>9.130000000000001</v>
      </c>
      <c r="G148">
        <v>47931</v>
      </c>
      <c r="H148">
        <v>44383</v>
      </c>
      <c r="I148">
        <v>43372</v>
      </c>
      <c r="J148">
        <v>-53.63</v>
      </c>
      <c r="K148">
        <v>-42.25</v>
      </c>
      <c r="L148">
        <v>-39.01</v>
      </c>
      <c r="M148">
        <v>9.09</v>
      </c>
      <c r="N148" t="b">
        <v>1</v>
      </c>
      <c r="O148">
        <v>3753</v>
      </c>
      <c r="P148" t="s">
        <v>161</v>
      </c>
      <c r="Q148" t="s">
        <v>2368</v>
      </c>
      <c r="R148">
        <v>4.705134005170453</v>
      </c>
      <c r="S148">
        <v>13825</v>
      </c>
      <c r="T148">
        <v>154505</v>
      </c>
      <c r="U148" t="s">
        <v>4133</v>
      </c>
      <c r="V148">
        <v>50.74</v>
      </c>
      <c r="W148" t="s">
        <v>6353</v>
      </c>
      <c r="X148" t="s">
        <v>8528</v>
      </c>
      <c r="Y148">
        <v>23883</v>
      </c>
      <c r="Z148">
        <v>2376</v>
      </c>
      <c r="AA148">
        <v>445407</v>
      </c>
      <c r="AB148">
        <v>1.17</v>
      </c>
    </row>
    <row r="149" spans="1:28">
      <c r="A149" s="2">
        <f>HYPERLINK("https://finance.naver.com/item/coinfo.nhn?code=009970", "A009970")</f>
        <v>0</v>
      </c>
      <c r="B149">
        <f>HYPERLINK("http://comp.fnguide.com/SVO2/ASP/SVD_Consensus.asp?pGB=1&amp;gicode=A009970&amp;cID=&amp;MenuYn=Y&amp;ReportGB=&amp;NewMenuID=108&amp;stkGb=701", "영원무역홀딩스")</f>
        <v>0</v>
      </c>
      <c r="C149">
        <v>3</v>
      </c>
      <c r="D149">
        <v>39550</v>
      </c>
      <c r="E149">
        <v>0.96</v>
      </c>
      <c r="F149">
        <v>5.43</v>
      </c>
      <c r="G149">
        <v>133825</v>
      </c>
      <c r="H149">
        <v>124649</v>
      </c>
      <c r="I149">
        <v>122035</v>
      </c>
      <c r="J149">
        <v>-238.37</v>
      </c>
      <c r="K149">
        <v>-215.17</v>
      </c>
      <c r="L149">
        <v>-208.56</v>
      </c>
      <c r="M149">
        <v>9</v>
      </c>
      <c r="N149" t="b">
        <v>1</v>
      </c>
      <c r="O149">
        <v>8870</v>
      </c>
      <c r="P149" t="s">
        <v>162</v>
      </c>
      <c r="Q149" t="s">
        <v>2369</v>
      </c>
      <c r="R149">
        <v>5.663666761138875</v>
      </c>
      <c r="S149">
        <v>5393</v>
      </c>
      <c r="T149">
        <v>19379</v>
      </c>
      <c r="U149" t="s">
        <v>4134</v>
      </c>
      <c r="V149">
        <v>46.24</v>
      </c>
      <c r="W149" t="s">
        <v>6354</v>
      </c>
      <c r="X149" t="s">
        <v>8529</v>
      </c>
      <c r="Y149">
        <v>27380</v>
      </c>
      <c r="Z149">
        <v>2990</v>
      </c>
      <c r="AA149">
        <v>2030694</v>
      </c>
      <c r="AB149">
        <v>2.07</v>
      </c>
    </row>
    <row r="150" spans="1:28">
      <c r="A150" s="2">
        <f>HYPERLINK("https://finance.naver.com/item/coinfo.nhn?code=000670", "A000670")</f>
        <v>0</v>
      </c>
      <c r="B150">
        <f>HYPERLINK("http://comp.fnguide.com/SVO2/ASP/SVD_Consensus.asp?pGB=1&amp;gicode=A000670&amp;cID=&amp;MenuYn=Y&amp;ReportGB=&amp;NewMenuID=108&amp;stkGb=701", "영풍")</f>
        <v>0</v>
      </c>
      <c r="C150">
        <v>3</v>
      </c>
      <c r="D150">
        <v>527000</v>
      </c>
      <c r="E150">
        <v>0.85</v>
      </c>
      <c r="F150">
        <v>5.1</v>
      </c>
      <c r="G150">
        <v>1511524</v>
      </c>
      <c r="H150">
        <v>1740828</v>
      </c>
      <c r="I150">
        <v>1806168</v>
      </c>
      <c r="J150">
        <v>-186.82</v>
      </c>
      <c r="K150">
        <v>-230.33</v>
      </c>
      <c r="L150">
        <v>-242.73</v>
      </c>
      <c r="M150">
        <v>6.36</v>
      </c>
      <c r="N150" t="b">
        <v>1</v>
      </c>
      <c r="O150">
        <v>126504</v>
      </c>
      <c r="P150" t="s">
        <v>163</v>
      </c>
      <c r="Q150" t="s">
        <v>2370</v>
      </c>
      <c r="R150">
        <v>6.009357137661619</v>
      </c>
      <c r="S150">
        <v>9708</v>
      </c>
      <c r="T150">
        <v>1668</v>
      </c>
      <c r="U150" t="s">
        <v>4135</v>
      </c>
      <c r="V150">
        <v>78.33</v>
      </c>
      <c r="W150" t="s">
        <v>6355</v>
      </c>
      <c r="X150" t="s">
        <v>8530</v>
      </c>
      <c r="Y150">
        <v>30841</v>
      </c>
      <c r="Z150">
        <v>844</v>
      </c>
      <c r="AA150">
        <v>121906</v>
      </c>
      <c r="AB150">
        <v>1.55</v>
      </c>
    </row>
    <row r="151" spans="1:28">
      <c r="A151" s="2">
        <f>HYPERLINK("https://finance.naver.com/item/coinfo.nhn?code=006740", "A006740")</f>
        <v>0</v>
      </c>
      <c r="B151">
        <f>HYPERLINK("http://comp.fnguide.com/SVO2/ASP/SVD_Consensus.asp?pGB=1&amp;gicode=A006740&amp;cID=&amp;MenuYn=Y&amp;ReportGB=&amp;NewMenuID=108&amp;stkGb=701", "영풍제지")</f>
        <v>0</v>
      </c>
      <c r="C151">
        <v>3</v>
      </c>
      <c r="D151">
        <v>6150</v>
      </c>
      <c r="E151">
        <v>0.59</v>
      </c>
      <c r="F151">
        <v>7.45</v>
      </c>
      <c r="G151">
        <v>7911</v>
      </c>
      <c r="H151">
        <v>7244</v>
      </c>
      <c r="I151">
        <v>7054</v>
      </c>
      <c r="J151">
        <v>-28.64</v>
      </c>
      <c r="K151">
        <v>-17.79</v>
      </c>
      <c r="L151">
        <v>-14.69</v>
      </c>
      <c r="M151">
        <v>9.27</v>
      </c>
      <c r="N151" t="b">
        <v>1</v>
      </c>
      <c r="O151">
        <v>418</v>
      </c>
      <c r="P151" t="s">
        <v>164</v>
      </c>
      <c r="Q151" t="s">
        <v>2371</v>
      </c>
      <c r="R151">
        <v>12.6233358007017</v>
      </c>
      <c r="S151">
        <v>1365</v>
      </c>
      <c r="T151">
        <v>11800444</v>
      </c>
      <c r="U151" t="s">
        <v>4136</v>
      </c>
      <c r="V151">
        <v>54.44</v>
      </c>
      <c r="W151" t="s">
        <v>6356</v>
      </c>
      <c r="X151" t="s">
        <v>8531</v>
      </c>
      <c r="Y151">
        <v>997</v>
      </c>
      <c r="Z151">
        <v>109</v>
      </c>
      <c r="AA151">
        <v>4627676</v>
      </c>
      <c r="AB151">
        <v>1.28</v>
      </c>
    </row>
    <row r="152" spans="1:28">
      <c r="A152" s="2">
        <f>HYPERLINK("https://finance.naver.com/item/coinfo.nhn?code=084730", "A084730")</f>
        <v>0</v>
      </c>
      <c r="B152">
        <f>HYPERLINK("http://comp.fnguide.com/SVO2/ASP/SVD_Consensus.asp?pGB=1&amp;gicode=A084730&amp;cID=&amp;MenuYn=Y&amp;ReportGB=&amp;NewMenuID=108&amp;stkGb=701", "팅크웨어")</f>
        <v>0</v>
      </c>
      <c r="C152">
        <v>3</v>
      </c>
      <c r="D152">
        <v>12550</v>
      </c>
      <c r="E152">
        <v>0.39</v>
      </c>
      <c r="F152">
        <v>18.36</v>
      </c>
      <c r="G152">
        <v>4528</v>
      </c>
      <c r="H152">
        <v>11284</v>
      </c>
      <c r="I152">
        <v>13209</v>
      </c>
      <c r="J152">
        <v>63.92</v>
      </c>
      <c r="K152">
        <v>10.09</v>
      </c>
      <c r="L152">
        <v>-5.25</v>
      </c>
      <c r="M152">
        <v>2.29</v>
      </c>
      <c r="N152" t="b">
        <v>1</v>
      </c>
      <c r="O152">
        <v>389</v>
      </c>
      <c r="P152" t="s">
        <v>165</v>
      </c>
      <c r="Q152" t="s">
        <v>2372</v>
      </c>
      <c r="R152">
        <v>47.12838024828392</v>
      </c>
      <c r="S152">
        <v>1308</v>
      </c>
      <c r="T152">
        <v>1536905</v>
      </c>
      <c r="U152" t="s">
        <v>4137</v>
      </c>
      <c r="V152">
        <v>33.05</v>
      </c>
      <c r="W152" t="s">
        <v>6357</v>
      </c>
      <c r="X152" t="s">
        <v>8532</v>
      </c>
      <c r="Y152">
        <v>1822</v>
      </c>
      <c r="Z152">
        <v>78</v>
      </c>
      <c r="AA152">
        <v>997646</v>
      </c>
    </row>
    <row r="153" spans="1:28">
      <c r="A153" s="2">
        <f>HYPERLINK("https://finance.naver.com/item/coinfo.nhn?code=012160", "A012160")</f>
        <v>0</v>
      </c>
      <c r="B153">
        <f>HYPERLINK("http://comp.fnguide.com/SVO2/ASP/SVD_Consensus.asp?pGB=1&amp;gicode=A012160&amp;cID=&amp;MenuYn=Y&amp;ReportGB=&amp;NewMenuID=108&amp;stkGb=701", "영흥")</f>
        <v>0</v>
      </c>
      <c r="C153">
        <v>3</v>
      </c>
      <c r="D153">
        <v>1275</v>
      </c>
      <c r="E153">
        <v>-0.98</v>
      </c>
      <c r="F153">
        <v>92.09</v>
      </c>
      <c r="G153">
        <v>124</v>
      </c>
      <c r="H153">
        <v>1898</v>
      </c>
      <c r="I153">
        <v>2404</v>
      </c>
      <c r="J153">
        <v>90.31</v>
      </c>
      <c r="K153">
        <v>-48.86</v>
      </c>
      <c r="L153">
        <v>-88.51000000000001</v>
      </c>
      <c r="M153">
        <v>0.32</v>
      </c>
      <c r="N153" t="b">
        <v>0</v>
      </c>
      <c r="O153">
        <v>12</v>
      </c>
      <c r="P153" t="s">
        <v>166</v>
      </c>
      <c r="Q153" t="s">
        <v>2373</v>
      </c>
      <c r="R153">
        <v>-93.5</v>
      </c>
      <c r="S153">
        <v>1094</v>
      </c>
      <c r="T153">
        <v>378707</v>
      </c>
      <c r="U153" t="s">
        <v>4138</v>
      </c>
      <c r="V153">
        <v>29.78</v>
      </c>
      <c r="W153" t="s">
        <v>6358</v>
      </c>
      <c r="X153" t="s">
        <v>8533</v>
      </c>
      <c r="Y153">
        <v>1975</v>
      </c>
      <c r="Z153">
        <v>34</v>
      </c>
      <c r="AA153">
        <v>31808526</v>
      </c>
      <c r="AB153">
        <v>2.62</v>
      </c>
    </row>
    <row r="154" spans="1:28">
      <c r="A154" s="2">
        <f>HYPERLINK("https://finance.naver.com/item/coinfo.nhn?code=015360", "A015360")</f>
        <v>0</v>
      </c>
      <c r="B154">
        <f>HYPERLINK("http://comp.fnguide.com/SVO2/ASP/SVD_Consensus.asp?pGB=1&amp;gicode=A015360&amp;cID=&amp;MenuYn=Y&amp;ReportGB=&amp;NewMenuID=108&amp;stkGb=701", "예스코홀딩스")</f>
        <v>0</v>
      </c>
      <c r="C154">
        <v>3</v>
      </c>
      <c r="D154">
        <v>36400</v>
      </c>
      <c r="E154">
        <v>0.58</v>
      </c>
      <c r="F154">
        <v>11.41</v>
      </c>
      <c r="G154">
        <v>38997</v>
      </c>
      <c r="H154">
        <v>93160</v>
      </c>
      <c r="I154">
        <v>108594</v>
      </c>
      <c r="J154">
        <v>-7.13</v>
      </c>
      <c r="K154">
        <v>-155.93</v>
      </c>
      <c r="L154">
        <v>-198.34</v>
      </c>
      <c r="M154">
        <v>2.41</v>
      </c>
      <c r="N154" t="b">
        <v>0</v>
      </c>
      <c r="O154">
        <v>3278</v>
      </c>
      <c r="P154" t="s">
        <v>167</v>
      </c>
      <c r="Q154" t="s">
        <v>2374</v>
      </c>
      <c r="R154">
        <v>19.70079364816257</v>
      </c>
      <c r="S154">
        <v>2184</v>
      </c>
      <c r="T154">
        <v>4183</v>
      </c>
      <c r="U154" t="s">
        <v>4139</v>
      </c>
      <c r="V154">
        <v>39.37</v>
      </c>
      <c r="W154" t="s">
        <v>6359</v>
      </c>
      <c r="X154" t="s">
        <v>8534</v>
      </c>
      <c r="Y154">
        <v>11082</v>
      </c>
      <c r="Z154">
        <v>221</v>
      </c>
      <c r="AA154">
        <v>1734211</v>
      </c>
      <c r="AB154">
        <v>4.68</v>
      </c>
    </row>
    <row r="155" spans="1:28">
      <c r="A155" s="2">
        <f>HYPERLINK("https://finance.naver.com/item/coinfo.nhn?code=081150", "A081150")</f>
        <v>0</v>
      </c>
      <c r="B155">
        <f>HYPERLINK("http://comp.fnguide.com/SVO2/ASP/SVD_Consensus.asp?pGB=1&amp;gicode=A081150&amp;cID=&amp;MenuYn=Y&amp;ReportGB=&amp;NewMenuID=108&amp;stkGb=701", "티플랙스")</f>
        <v>0</v>
      </c>
      <c r="C155">
        <v>3</v>
      </c>
      <c r="D155">
        <v>3180</v>
      </c>
      <c r="E155">
        <v>1.03</v>
      </c>
      <c r="F155">
        <v>25.7</v>
      </c>
      <c r="G155">
        <v>1353</v>
      </c>
      <c r="H155">
        <v>2966</v>
      </c>
      <c r="I155">
        <v>3426</v>
      </c>
      <c r="J155">
        <v>57.46</v>
      </c>
      <c r="K155">
        <v>6.72</v>
      </c>
      <c r="L155">
        <v>-7.74</v>
      </c>
      <c r="M155">
        <v>2.67</v>
      </c>
      <c r="N155" t="b">
        <v>1</v>
      </c>
      <c r="O155">
        <v>91</v>
      </c>
      <c r="P155" t="s">
        <v>168</v>
      </c>
      <c r="Q155" t="s">
        <v>2375</v>
      </c>
      <c r="R155">
        <v>25.04087971952795</v>
      </c>
      <c r="S155">
        <v>772</v>
      </c>
      <c r="T155">
        <v>465115</v>
      </c>
      <c r="U155" t="s">
        <v>4140</v>
      </c>
      <c r="V155">
        <v>25.62</v>
      </c>
      <c r="W155" t="s">
        <v>6360</v>
      </c>
      <c r="X155" t="s">
        <v>8535</v>
      </c>
      <c r="Y155">
        <v>1312</v>
      </c>
      <c r="Z155">
        <v>39</v>
      </c>
      <c r="AB155">
        <v>0.85</v>
      </c>
    </row>
    <row r="156" spans="1:28">
      <c r="A156" s="2">
        <f>HYPERLINK("https://finance.naver.com/item/coinfo.nhn?code=117730", "A117730")</f>
        <v>0</v>
      </c>
      <c r="B156">
        <f>HYPERLINK("http://comp.fnguide.com/SVO2/ASP/SVD_Consensus.asp?pGB=1&amp;gicode=A117730&amp;cID=&amp;MenuYn=Y&amp;ReportGB=&amp;NewMenuID=108&amp;stkGb=701", "티로보틱스")</f>
        <v>0</v>
      </c>
      <c r="C156">
        <v>3</v>
      </c>
      <c r="D156">
        <v>6790</v>
      </c>
      <c r="G156">
        <v>39760</v>
      </c>
      <c r="H156">
        <v>17470</v>
      </c>
      <c r="I156">
        <v>11119</v>
      </c>
      <c r="J156">
        <v>-485.57</v>
      </c>
      <c r="K156">
        <v>-157.29</v>
      </c>
      <c r="L156">
        <v>-63.75</v>
      </c>
      <c r="M156">
        <v>119.06</v>
      </c>
      <c r="N156" t="b">
        <v>0</v>
      </c>
      <c r="O156">
        <v>-294</v>
      </c>
      <c r="P156" t="s">
        <v>169</v>
      </c>
      <c r="Q156" t="s">
        <v>2376</v>
      </c>
      <c r="R156">
        <v>-50.2</v>
      </c>
      <c r="S156">
        <v>758</v>
      </c>
      <c r="T156">
        <v>89883</v>
      </c>
      <c r="U156" t="s">
        <v>4141</v>
      </c>
      <c r="V156">
        <v>28.41</v>
      </c>
      <c r="W156" t="s">
        <v>6361</v>
      </c>
      <c r="X156" t="s">
        <v>8536</v>
      </c>
      <c r="Y156">
        <v>516</v>
      </c>
      <c r="Z156">
        <v>-40</v>
      </c>
    </row>
    <row r="157" spans="1:28">
      <c r="A157" s="2">
        <f>HYPERLINK("https://finance.naver.com/item/coinfo.nhn?code=104480", "A104480")</f>
        <v>0</v>
      </c>
      <c r="B157">
        <f>HYPERLINK("http://comp.fnguide.com/SVO2/ASP/SVD_Consensus.asp?pGB=1&amp;gicode=A104480&amp;cID=&amp;MenuYn=Y&amp;ReportGB=&amp;NewMenuID=108&amp;stkGb=701", "티케이케미칼")</f>
        <v>0</v>
      </c>
      <c r="C157">
        <v>3</v>
      </c>
      <c r="D157">
        <v>2065</v>
      </c>
      <c r="E157">
        <v>-3.46</v>
      </c>
      <c r="F157">
        <v>21.21</v>
      </c>
      <c r="G157">
        <v>2693</v>
      </c>
      <c r="H157">
        <v>2968</v>
      </c>
      <c r="I157">
        <v>3047</v>
      </c>
      <c r="J157">
        <v>-30.42</v>
      </c>
      <c r="K157">
        <v>-43.75</v>
      </c>
      <c r="L157">
        <v>-47.55</v>
      </c>
      <c r="M157">
        <v>6.81</v>
      </c>
      <c r="N157" t="b">
        <v>1</v>
      </c>
      <c r="O157">
        <v>104</v>
      </c>
      <c r="P157" t="s">
        <v>170</v>
      </c>
      <c r="Q157" t="s">
        <v>2377</v>
      </c>
      <c r="R157">
        <v>-6.136268404872514</v>
      </c>
      <c r="S157">
        <v>1877</v>
      </c>
      <c r="T157">
        <v>1236714</v>
      </c>
      <c r="U157" t="s">
        <v>4142</v>
      </c>
      <c r="V157">
        <v>47.89</v>
      </c>
      <c r="W157" t="s">
        <v>6362</v>
      </c>
      <c r="X157" t="s">
        <v>8537</v>
      </c>
      <c r="Y157">
        <v>6208</v>
      </c>
      <c r="Z157">
        <v>96</v>
      </c>
      <c r="AA157">
        <v>4675998</v>
      </c>
    </row>
    <row r="158" spans="1:28">
      <c r="A158" s="2">
        <f>HYPERLINK("https://finance.naver.com/item/coinfo.nhn?code=001800", "A001800")</f>
        <v>0</v>
      </c>
      <c r="B158">
        <f>HYPERLINK("http://comp.fnguide.com/SVO2/ASP/SVD_Consensus.asp?pGB=1&amp;gicode=A001800&amp;cID=&amp;MenuYn=Y&amp;ReportGB=&amp;NewMenuID=108&amp;stkGb=701", "오리온홀딩스")</f>
        <v>0</v>
      </c>
      <c r="C158">
        <v>3</v>
      </c>
      <c r="D158">
        <v>13300</v>
      </c>
      <c r="E158">
        <v>-1.5</v>
      </c>
      <c r="F158">
        <v>23.05</v>
      </c>
      <c r="G158">
        <v>66661</v>
      </c>
      <c r="H158">
        <v>45846</v>
      </c>
      <c r="I158">
        <v>39915</v>
      </c>
      <c r="J158">
        <v>-401.21</v>
      </c>
      <c r="K158">
        <v>-244.71</v>
      </c>
      <c r="L158">
        <v>-200.11</v>
      </c>
      <c r="M158">
        <v>16.59</v>
      </c>
      <c r="N158" t="b">
        <v>0</v>
      </c>
      <c r="O158">
        <v>772</v>
      </c>
      <c r="P158" t="s">
        <v>171</v>
      </c>
      <c r="Q158" t="s">
        <v>2378</v>
      </c>
      <c r="R158">
        <v>-15.34160040286397</v>
      </c>
      <c r="S158">
        <v>8332</v>
      </c>
      <c r="T158">
        <v>302791</v>
      </c>
      <c r="U158" t="s">
        <v>4143</v>
      </c>
      <c r="V158">
        <v>63.85</v>
      </c>
      <c r="W158" t="s">
        <v>6363</v>
      </c>
      <c r="X158" t="s">
        <v>8538</v>
      </c>
      <c r="Y158">
        <v>21036</v>
      </c>
      <c r="Z158">
        <v>2667</v>
      </c>
      <c r="AA158">
        <v>2488769</v>
      </c>
      <c r="AB158">
        <v>3.65</v>
      </c>
    </row>
    <row r="159" spans="1:28">
      <c r="A159" s="2">
        <f>HYPERLINK("https://finance.naver.com/item/coinfo.nhn?code=070960", "A070960")</f>
        <v>0</v>
      </c>
      <c r="B159">
        <f>HYPERLINK("http://comp.fnguide.com/SVO2/ASP/SVD_Consensus.asp?pGB=1&amp;gicode=A070960&amp;cID=&amp;MenuYn=Y&amp;ReportGB=&amp;NewMenuID=108&amp;stkGb=701", "용평리조트")</f>
        <v>0</v>
      </c>
      <c r="C159">
        <v>3</v>
      </c>
      <c r="D159">
        <v>4270</v>
      </c>
      <c r="G159">
        <v>1577</v>
      </c>
      <c r="H159">
        <v>5570</v>
      </c>
      <c r="I159">
        <v>6708</v>
      </c>
      <c r="J159">
        <v>63.07</v>
      </c>
      <c r="K159">
        <v>-30.45</v>
      </c>
      <c r="L159">
        <v>-57.09</v>
      </c>
      <c r="M159">
        <v>1.53</v>
      </c>
      <c r="N159" t="b">
        <v>0</v>
      </c>
      <c r="O159">
        <v>-287</v>
      </c>
      <c r="P159" t="s">
        <v>172</v>
      </c>
      <c r="Q159" t="s">
        <v>2379</v>
      </c>
      <c r="R159">
        <v>-11.52923638015311</v>
      </c>
      <c r="S159">
        <v>2055</v>
      </c>
      <c r="T159">
        <v>115465</v>
      </c>
      <c r="U159" t="s">
        <v>4144</v>
      </c>
      <c r="V159">
        <v>48.84</v>
      </c>
      <c r="W159" t="s">
        <v>6364</v>
      </c>
      <c r="X159" t="s">
        <v>8539</v>
      </c>
      <c r="Y159">
        <v>1294</v>
      </c>
      <c r="Z159">
        <v>-41</v>
      </c>
    </row>
    <row r="160" spans="1:28">
      <c r="A160" s="2">
        <f>HYPERLINK("https://finance.naver.com/item/coinfo.nhn?code=316140", "A316140")</f>
        <v>0</v>
      </c>
      <c r="B160">
        <f>HYPERLINK("http://comp.fnguide.com/SVO2/ASP/SVD_Consensus.asp?pGB=1&amp;gicode=A316140&amp;cID=&amp;MenuYn=Y&amp;ReportGB=&amp;NewMenuID=108&amp;stkGb=701", "우리금융지주")</f>
        <v>0</v>
      </c>
      <c r="C160">
        <v>3</v>
      </c>
      <c r="D160">
        <v>10050</v>
      </c>
      <c r="E160">
        <v>0</v>
      </c>
      <c r="F160">
        <v>4.29</v>
      </c>
      <c r="G160">
        <v>0</v>
      </c>
      <c r="H160">
        <v>17894</v>
      </c>
      <c r="I160">
        <v>22993</v>
      </c>
      <c r="J160">
        <v>100</v>
      </c>
      <c r="K160">
        <v>-78.05</v>
      </c>
      <c r="L160">
        <v>-128.78</v>
      </c>
      <c r="M160">
        <v>0</v>
      </c>
      <c r="N160" t="b">
        <v>1</v>
      </c>
      <c r="O160">
        <v>2701</v>
      </c>
      <c r="P160" t="s">
        <v>173</v>
      </c>
      <c r="Q160" t="s">
        <v>2380</v>
      </c>
      <c r="R160">
        <v>0</v>
      </c>
      <c r="S160">
        <v>72588</v>
      </c>
      <c r="T160">
        <v>1892627</v>
      </c>
      <c r="U160" t="s">
        <v>4145</v>
      </c>
      <c r="V160">
        <v>17.25</v>
      </c>
      <c r="W160" t="s">
        <v>6365</v>
      </c>
      <c r="X160" t="s">
        <v>8540</v>
      </c>
      <c r="Y160">
        <v>105768</v>
      </c>
      <c r="Z160">
        <v>28000</v>
      </c>
      <c r="AA160">
        <v>2</v>
      </c>
      <c r="AB160">
        <v>6.03</v>
      </c>
    </row>
    <row r="161" spans="1:28">
      <c r="A161" s="2">
        <f>HYPERLINK("https://finance.naver.com/item/coinfo.nhn?code=062860", "A062860")</f>
        <v>0</v>
      </c>
      <c r="B161">
        <f>HYPERLINK("http://comp.fnguide.com/SVO2/ASP/SVD_Consensus.asp?pGB=1&amp;gicode=A062860&amp;cID=&amp;MenuYn=Y&amp;ReportGB=&amp;NewMenuID=108&amp;stkGb=701", "티엘아이")</f>
        <v>0</v>
      </c>
      <c r="C161">
        <v>3</v>
      </c>
      <c r="D161">
        <v>7450</v>
      </c>
      <c r="E161">
        <v>0</v>
      </c>
      <c r="F161">
        <v>35.97</v>
      </c>
      <c r="G161">
        <v>1211</v>
      </c>
      <c r="H161">
        <v>6283</v>
      </c>
      <c r="I161">
        <v>7728</v>
      </c>
      <c r="J161">
        <v>83.73999999999999</v>
      </c>
      <c r="K161">
        <v>15.67</v>
      </c>
      <c r="L161">
        <v>-3.73</v>
      </c>
      <c r="M161">
        <v>1</v>
      </c>
      <c r="N161" t="b">
        <v>1</v>
      </c>
      <c r="O161">
        <v>139</v>
      </c>
      <c r="P161" t="s">
        <v>174</v>
      </c>
      <c r="Q161" t="s">
        <v>2276</v>
      </c>
      <c r="R161">
        <v>0</v>
      </c>
      <c r="S161">
        <v>736</v>
      </c>
      <c r="T161">
        <v>58869</v>
      </c>
      <c r="U161" t="s">
        <v>4146</v>
      </c>
      <c r="V161">
        <v>12.31</v>
      </c>
      <c r="W161" t="s">
        <v>6366</v>
      </c>
      <c r="X161" t="s">
        <v>8541</v>
      </c>
      <c r="Y161">
        <v>420</v>
      </c>
      <c r="Z161">
        <v>3</v>
      </c>
      <c r="AA161">
        <v>2485955</v>
      </c>
      <c r="AB161">
        <v>2</v>
      </c>
    </row>
    <row r="162" spans="1:28">
      <c r="A162" s="2">
        <f>HYPERLINK("https://finance.naver.com/item/coinfo.nhn?code=006980", "A006980")</f>
        <v>0</v>
      </c>
      <c r="B162">
        <f>HYPERLINK("http://comp.fnguide.com/SVO2/ASP/SVD_Consensus.asp?pGB=1&amp;gicode=A006980&amp;cID=&amp;MenuYn=Y&amp;ReportGB=&amp;NewMenuID=108&amp;stkGb=701", "우성사료")</f>
        <v>0</v>
      </c>
      <c r="C162">
        <v>3</v>
      </c>
      <c r="D162">
        <v>3060</v>
      </c>
      <c r="E162">
        <v>0.26</v>
      </c>
      <c r="F162">
        <v>7.62</v>
      </c>
      <c r="G162">
        <v>3129</v>
      </c>
      <c r="H162">
        <v>5301</v>
      </c>
      <c r="I162">
        <v>5920</v>
      </c>
      <c r="J162">
        <v>-2.27</v>
      </c>
      <c r="K162">
        <v>-73.23999999999999</v>
      </c>
      <c r="L162">
        <v>-93.45999999999999</v>
      </c>
      <c r="M162">
        <v>3.7</v>
      </c>
      <c r="N162" t="b">
        <v>1</v>
      </c>
      <c r="O162">
        <v>386</v>
      </c>
      <c r="P162" t="s">
        <v>175</v>
      </c>
      <c r="Q162" t="s">
        <v>2381</v>
      </c>
      <c r="R162">
        <v>29.69999999999999</v>
      </c>
      <c r="S162">
        <v>946</v>
      </c>
      <c r="T162">
        <v>354259</v>
      </c>
      <c r="U162" t="s">
        <v>4147</v>
      </c>
      <c r="V162">
        <v>32.64</v>
      </c>
      <c r="W162" t="s">
        <v>6367</v>
      </c>
      <c r="X162" t="s">
        <v>8542</v>
      </c>
      <c r="Y162">
        <v>3408</v>
      </c>
      <c r="Z162">
        <v>-36</v>
      </c>
      <c r="AA162">
        <v>5187770</v>
      </c>
      <c r="AB162">
        <v>0.51</v>
      </c>
    </row>
    <row r="163" spans="1:28">
      <c r="A163" s="2">
        <f>HYPERLINK("https://finance.naver.com/item/coinfo.nhn?code=017370", "A017370")</f>
        <v>0</v>
      </c>
      <c r="B163">
        <f>HYPERLINK("http://comp.fnguide.com/SVO2/ASP/SVD_Consensus.asp?pGB=1&amp;gicode=A017370&amp;cID=&amp;MenuYn=Y&amp;ReportGB=&amp;NewMenuID=108&amp;stkGb=701", "우신시스템")</f>
        <v>0</v>
      </c>
      <c r="C163">
        <v>3</v>
      </c>
      <c r="D163">
        <v>3595</v>
      </c>
      <c r="E163">
        <v>-0.36</v>
      </c>
      <c r="F163">
        <v>15.8</v>
      </c>
      <c r="G163">
        <v>2259</v>
      </c>
      <c r="H163">
        <v>5079</v>
      </c>
      <c r="I163">
        <v>5882</v>
      </c>
      <c r="J163">
        <v>37.16</v>
      </c>
      <c r="K163">
        <v>-41.28</v>
      </c>
      <c r="L163">
        <v>-63.63</v>
      </c>
      <c r="M163">
        <v>2.59</v>
      </c>
      <c r="N163" t="b">
        <v>1</v>
      </c>
      <c r="O163">
        <v>316</v>
      </c>
      <c r="P163" t="s">
        <v>176</v>
      </c>
      <c r="Q163" t="s">
        <v>2382</v>
      </c>
      <c r="R163">
        <v>-43.59999999999999</v>
      </c>
      <c r="S163">
        <v>658</v>
      </c>
      <c r="T163">
        <v>181292</v>
      </c>
      <c r="U163" t="s">
        <v>4148</v>
      </c>
      <c r="V163">
        <v>37.31</v>
      </c>
      <c r="W163" t="s">
        <v>6368</v>
      </c>
      <c r="X163" t="s">
        <v>8543</v>
      </c>
      <c r="Y163">
        <v>3004</v>
      </c>
      <c r="Z163">
        <v>13</v>
      </c>
      <c r="AA163">
        <v>1916503</v>
      </c>
    </row>
    <row r="164" spans="1:28">
      <c r="A164" s="2">
        <f>HYPERLINK("https://finance.naver.com/item/coinfo.nhn?code=010400", "A010400")</f>
        <v>0</v>
      </c>
      <c r="B164">
        <f>HYPERLINK("http://comp.fnguide.com/SVO2/ASP/SVD_Consensus.asp?pGB=1&amp;gicode=A010400&amp;cID=&amp;MenuYn=Y&amp;ReportGB=&amp;NewMenuID=108&amp;stkGb=701", "우진아이엔에스")</f>
        <v>0</v>
      </c>
      <c r="C164">
        <v>3</v>
      </c>
      <c r="D164">
        <v>7670</v>
      </c>
      <c r="E164">
        <v>-0.67</v>
      </c>
      <c r="F164">
        <v>30.13</v>
      </c>
      <c r="G164">
        <v>20330</v>
      </c>
      <c r="H164">
        <v>17602</v>
      </c>
      <c r="I164">
        <v>16825</v>
      </c>
      <c r="J164">
        <v>-165.06</v>
      </c>
      <c r="K164">
        <v>-129.49</v>
      </c>
      <c r="L164">
        <v>-119.36</v>
      </c>
      <c r="M164">
        <v>10.26</v>
      </c>
      <c r="N164" t="b">
        <v>0</v>
      </c>
      <c r="O164">
        <v>279</v>
      </c>
      <c r="P164" t="s">
        <v>177</v>
      </c>
      <c r="Q164" t="s">
        <v>2383</v>
      </c>
      <c r="R164">
        <v>-45.24075703543134</v>
      </c>
      <c r="S164">
        <v>585</v>
      </c>
      <c r="T164">
        <v>27848</v>
      </c>
      <c r="U164" t="s">
        <v>4149</v>
      </c>
      <c r="V164">
        <v>53.21</v>
      </c>
      <c r="W164" t="s">
        <v>6369</v>
      </c>
      <c r="X164" t="s">
        <v>8544</v>
      </c>
      <c r="Y164">
        <v>1073</v>
      </c>
      <c r="Z164">
        <v>9</v>
      </c>
      <c r="AA164">
        <v>845526</v>
      </c>
      <c r="AB164">
        <v>2.98</v>
      </c>
    </row>
    <row r="165" spans="1:28">
      <c r="A165" s="2">
        <f>HYPERLINK("https://finance.naver.com/item/coinfo.nhn?code=095720", "A095720")</f>
        <v>0</v>
      </c>
      <c r="B165">
        <f>HYPERLINK("http://comp.fnguide.com/SVO2/ASP/SVD_Consensus.asp?pGB=1&amp;gicode=A095720&amp;cID=&amp;MenuYn=Y&amp;ReportGB=&amp;NewMenuID=108&amp;stkGb=701", "웅진씽크빅")</f>
        <v>0</v>
      </c>
      <c r="C165">
        <v>3</v>
      </c>
      <c r="D165">
        <v>2800</v>
      </c>
      <c r="G165">
        <v>2012</v>
      </c>
      <c r="H165">
        <v>3315</v>
      </c>
      <c r="I165">
        <v>3686</v>
      </c>
      <c r="J165">
        <v>28.15</v>
      </c>
      <c r="K165">
        <v>-18.39</v>
      </c>
      <c r="L165">
        <v>-31.66</v>
      </c>
      <c r="M165">
        <v>3.83</v>
      </c>
      <c r="N165" t="b">
        <v>0</v>
      </c>
      <c r="O165">
        <v>-1187</v>
      </c>
      <c r="P165" t="s">
        <v>178</v>
      </c>
      <c r="Q165" t="s">
        <v>2384</v>
      </c>
      <c r="R165">
        <v>-28.28967782742666</v>
      </c>
      <c r="S165">
        <v>3287</v>
      </c>
      <c r="T165">
        <v>562643</v>
      </c>
      <c r="U165" t="s">
        <v>4150</v>
      </c>
      <c r="V165">
        <v>59.52</v>
      </c>
      <c r="W165" t="s">
        <v>6370</v>
      </c>
      <c r="X165" t="s">
        <v>8545</v>
      </c>
      <c r="Y165">
        <v>6522</v>
      </c>
      <c r="Z165">
        <v>217</v>
      </c>
      <c r="AA165">
        <v>3045748</v>
      </c>
      <c r="AB165">
        <v>10.37</v>
      </c>
    </row>
    <row r="166" spans="1:28">
      <c r="A166" s="2">
        <f>HYPERLINK("https://finance.naver.com/item/coinfo.nhn?code=005820", "A005820")</f>
        <v>0</v>
      </c>
      <c r="B166">
        <f>HYPERLINK("http://comp.fnguide.com/SVO2/ASP/SVD_Consensus.asp?pGB=1&amp;gicode=A005820&amp;cID=&amp;MenuYn=Y&amp;ReportGB=&amp;NewMenuID=108&amp;stkGb=701", "원림")</f>
        <v>0</v>
      </c>
      <c r="C166">
        <v>3</v>
      </c>
      <c r="D166">
        <v>18800</v>
      </c>
      <c r="E166">
        <v>0.08</v>
      </c>
      <c r="F166">
        <v>13.46</v>
      </c>
      <c r="G166">
        <v>13735</v>
      </c>
      <c r="H166">
        <v>33233</v>
      </c>
      <c r="I166">
        <v>38789</v>
      </c>
      <c r="J166">
        <v>26.94</v>
      </c>
      <c r="K166">
        <v>-76.77</v>
      </c>
      <c r="L166">
        <v>-106.33</v>
      </c>
      <c r="M166">
        <v>2.37</v>
      </c>
      <c r="N166" t="b">
        <v>1</v>
      </c>
      <c r="O166">
        <v>1348</v>
      </c>
      <c r="P166" t="s">
        <v>179</v>
      </c>
      <c r="Q166" t="s">
        <v>2385</v>
      </c>
      <c r="R166">
        <v>164.4219057304968</v>
      </c>
      <c r="S166">
        <v>414</v>
      </c>
      <c r="T166">
        <v>7680</v>
      </c>
      <c r="U166" t="s">
        <v>4151</v>
      </c>
      <c r="V166">
        <v>60.21</v>
      </c>
      <c r="W166" t="s">
        <v>6371</v>
      </c>
      <c r="X166" t="s">
        <v>8546</v>
      </c>
      <c r="Y166">
        <v>791</v>
      </c>
      <c r="Z166">
        <v>42</v>
      </c>
      <c r="AA166">
        <v>240590</v>
      </c>
      <c r="AB166">
        <v>1.38</v>
      </c>
    </row>
    <row r="167" spans="1:28">
      <c r="A167" s="2">
        <f>HYPERLINK("https://finance.naver.com/item/coinfo.nhn?code=014830", "A014830")</f>
        <v>0</v>
      </c>
      <c r="B167">
        <f>HYPERLINK("http://comp.fnguide.com/SVO2/ASP/SVD_Consensus.asp?pGB=1&amp;gicode=A014830&amp;cID=&amp;MenuYn=Y&amp;ReportGB=&amp;NewMenuID=108&amp;stkGb=701", "유니드")</f>
        <v>0</v>
      </c>
      <c r="C167">
        <v>3</v>
      </c>
      <c r="D167">
        <v>44950</v>
      </c>
      <c r="E167">
        <v>-4.17</v>
      </c>
      <c r="F167">
        <v>6.15</v>
      </c>
      <c r="G167">
        <v>79757</v>
      </c>
      <c r="H167">
        <v>80760</v>
      </c>
      <c r="I167">
        <v>81046</v>
      </c>
      <c r="J167">
        <v>-77.44</v>
      </c>
      <c r="K167">
        <v>-79.67</v>
      </c>
      <c r="L167">
        <v>-80.3</v>
      </c>
      <c r="M167">
        <v>7.81</v>
      </c>
      <c r="N167" t="b">
        <v>1</v>
      </c>
      <c r="O167">
        <v>7600</v>
      </c>
      <c r="P167" t="s">
        <v>180</v>
      </c>
      <c r="Q167" t="s">
        <v>2386</v>
      </c>
      <c r="R167">
        <v>-1.47470106079709</v>
      </c>
      <c r="S167">
        <v>3996</v>
      </c>
      <c r="T167">
        <v>25846</v>
      </c>
      <c r="U167" t="s">
        <v>4152</v>
      </c>
      <c r="V167">
        <v>46.13</v>
      </c>
      <c r="W167" t="s">
        <v>6372</v>
      </c>
      <c r="X167" t="s">
        <v>8547</v>
      </c>
      <c r="Y167">
        <v>8752</v>
      </c>
      <c r="Z167">
        <v>848</v>
      </c>
      <c r="AA167">
        <v>158000</v>
      </c>
      <c r="AB167">
        <v>2.57</v>
      </c>
    </row>
    <row r="168" spans="1:28">
      <c r="A168" s="2">
        <f>HYPERLINK("https://finance.naver.com/item/coinfo.nhn?code=065130", "A065130")</f>
        <v>0</v>
      </c>
      <c r="B168">
        <f>HYPERLINK("http://comp.fnguide.com/SVO2/ASP/SVD_Consensus.asp?pGB=1&amp;gicode=A065130&amp;cID=&amp;MenuYn=Y&amp;ReportGB=&amp;NewMenuID=108&amp;stkGb=701", "탑엔지니어링")</f>
        <v>0</v>
      </c>
      <c r="C168">
        <v>3</v>
      </c>
      <c r="D168">
        <v>10200</v>
      </c>
      <c r="E168">
        <v>0.13</v>
      </c>
      <c r="F168">
        <v>4.45</v>
      </c>
      <c r="G168">
        <v>23976</v>
      </c>
      <c r="H168">
        <v>17646</v>
      </c>
      <c r="I168">
        <v>15843</v>
      </c>
      <c r="J168">
        <v>-135.06</v>
      </c>
      <c r="K168">
        <v>-73</v>
      </c>
      <c r="L168">
        <v>-55.32</v>
      </c>
      <c r="M168">
        <v>14.22</v>
      </c>
      <c r="N168" t="b">
        <v>1</v>
      </c>
      <c r="O168">
        <v>2259</v>
      </c>
      <c r="P168" t="s">
        <v>181</v>
      </c>
      <c r="Q168" t="s">
        <v>2387</v>
      </c>
      <c r="R168">
        <v>33.66354044244495</v>
      </c>
      <c r="S168">
        <v>1630</v>
      </c>
      <c r="T168">
        <v>413056</v>
      </c>
      <c r="U168" t="s">
        <v>4153</v>
      </c>
      <c r="V168">
        <v>24.32</v>
      </c>
      <c r="W168" t="s">
        <v>6373</v>
      </c>
      <c r="X168" t="s">
        <v>8548</v>
      </c>
      <c r="Y168">
        <v>13059</v>
      </c>
      <c r="Z168">
        <v>706</v>
      </c>
      <c r="AA168">
        <v>181464</v>
      </c>
      <c r="AB168">
        <v>1</v>
      </c>
    </row>
    <row r="169" spans="1:28">
      <c r="A169" s="2">
        <f>HYPERLINK("https://finance.naver.com/item/coinfo.nhn?code=194370", "A194370")</f>
        <v>0</v>
      </c>
      <c r="B169">
        <f>HYPERLINK("http://comp.fnguide.com/SVO2/ASP/SVD_Consensus.asp?pGB=1&amp;gicode=A194370&amp;cID=&amp;MenuYn=Y&amp;ReportGB=&amp;NewMenuID=108&amp;stkGb=701", "제이에스코퍼레이션")</f>
        <v>0</v>
      </c>
      <c r="C169">
        <v>3</v>
      </c>
      <c r="D169">
        <v>7450</v>
      </c>
      <c r="E169">
        <v>-0.89</v>
      </c>
      <c r="F169">
        <v>20.39</v>
      </c>
      <c r="G169">
        <v>7178</v>
      </c>
      <c r="H169">
        <v>10501</v>
      </c>
      <c r="I169">
        <v>11448</v>
      </c>
      <c r="J169">
        <v>3.65</v>
      </c>
      <c r="K169">
        <v>-40.96</v>
      </c>
      <c r="L169">
        <v>-53.67</v>
      </c>
      <c r="M169">
        <v>4.5</v>
      </c>
      <c r="N169" t="b">
        <v>1</v>
      </c>
      <c r="O169">
        <v>615</v>
      </c>
      <c r="P169" t="s">
        <v>182</v>
      </c>
      <c r="Q169" t="s">
        <v>2388</v>
      </c>
      <c r="R169">
        <v>-23.01776611494163</v>
      </c>
      <c r="S169">
        <v>994</v>
      </c>
      <c r="T169">
        <v>37404</v>
      </c>
      <c r="U169" t="s">
        <v>4154</v>
      </c>
      <c r="V169">
        <v>60.46</v>
      </c>
      <c r="W169" t="s">
        <v>6374</v>
      </c>
      <c r="X169" t="s">
        <v>8549</v>
      </c>
      <c r="Y169">
        <v>2531</v>
      </c>
      <c r="Z169">
        <v>111</v>
      </c>
      <c r="AA169">
        <v>997942</v>
      </c>
      <c r="AB169">
        <v>3.98</v>
      </c>
    </row>
    <row r="170" spans="1:28">
      <c r="A170" s="2">
        <f>HYPERLINK("https://finance.naver.com/item/coinfo.nhn?code=103140", "A103140")</f>
        <v>0</v>
      </c>
      <c r="B170">
        <f>HYPERLINK("http://comp.fnguide.com/SVO2/ASP/SVD_Consensus.asp?pGB=1&amp;gicode=A103140&amp;cID=&amp;MenuYn=Y&amp;ReportGB=&amp;NewMenuID=108&amp;stkGb=701", "풍산")</f>
        <v>0</v>
      </c>
      <c r="C170">
        <v>3</v>
      </c>
      <c r="D170">
        <v>28800</v>
      </c>
      <c r="E170">
        <v>6.44</v>
      </c>
      <c r="F170">
        <v>37.86</v>
      </c>
      <c r="G170">
        <v>25726</v>
      </c>
      <c r="H170">
        <v>39907</v>
      </c>
      <c r="I170">
        <v>43948</v>
      </c>
      <c r="J170">
        <v>10.67</v>
      </c>
      <c r="K170">
        <v>-38.57</v>
      </c>
      <c r="L170">
        <v>-52.6</v>
      </c>
      <c r="M170">
        <v>4.16</v>
      </c>
      <c r="N170" t="b">
        <v>0</v>
      </c>
      <c r="O170">
        <v>629</v>
      </c>
      <c r="P170" t="s">
        <v>183</v>
      </c>
      <c r="Q170" t="s">
        <v>2389</v>
      </c>
      <c r="R170">
        <v>5.878439139680847</v>
      </c>
      <c r="S170">
        <v>8071</v>
      </c>
      <c r="T170">
        <v>765018</v>
      </c>
      <c r="U170" t="s">
        <v>4155</v>
      </c>
      <c r="V170">
        <v>38.01</v>
      </c>
      <c r="W170" t="s">
        <v>6375</v>
      </c>
      <c r="X170" t="s">
        <v>8550</v>
      </c>
      <c r="Y170">
        <v>24513</v>
      </c>
      <c r="Z170">
        <v>411</v>
      </c>
      <c r="AA170">
        <v>11707</v>
      </c>
      <c r="AB170">
        <v>1.68</v>
      </c>
    </row>
    <row r="171" spans="1:28">
      <c r="A171" s="2">
        <f>HYPERLINK("https://finance.naver.com/item/coinfo.nhn?code=049430", "A049430")</f>
        <v>0</v>
      </c>
      <c r="B171">
        <f>HYPERLINK("http://comp.fnguide.com/SVO2/ASP/SVD_Consensus.asp?pGB=1&amp;gicode=A049430&amp;cID=&amp;MenuYn=Y&amp;ReportGB=&amp;NewMenuID=108&amp;stkGb=701", "코메론")</f>
        <v>0</v>
      </c>
      <c r="C171">
        <v>3</v>
      </c>
      <c r="D171">
        <v>8700</v>
      </c>
      <c r="E171">
        <v>-2.59</v>
      </c>
      <c r="F171">
        <v>5.41</v>
      </c>
      <c r="G171">
        <v>21233</v>
      </c>
      <c r="H171">
        <v>18666</v>
      </c>
      <c r="I171">
        <v>17934</v>
      </c>
      <c r="J171">
        <v>-144.06</v>
      </c>
      <c r="K171">
        <v>-114.55</v>
      </c>
      <c r="L171">
        <v>-106.14</v>
      </c>
      <c r="M171">
        <v>9.98</v>
      </c>
      <c r="N171" t="b">
        <v>1</v>
      </c>
      <c r="O171">
        <v>1581</v>
      </c>
      <c r="P171" t="s">
        <v>184</v>
      </c>
      <c r="Q171" t="s">
        <v>2390</v>
      </c>
      <c r="R171">
        <v>-2.08970402584453</v>
      </c>
      <c r="S171">
        <v>787</v>
      </c>
      <c r="T171">
        <v>24471</v>
      </c>
      <c r="U171" t="s">
        <v>4156</v>
      </c>
      <c r="V171">
        <v>38.73</v>
      </c>
      <c r="W171" t="s">
        <v>6376</v>
      </c>
      <c r="X171" t="s">
        <v>8551</v>
      </c>
      <c r="Y171">
        <v>666</v>
      </c>
      <c r="Z171">
        <v>139</v>
      </c>
      <c r="AA171">
        <v>763630</v>
      </c>
      <c r="AB171">
        <v>2.34</v>
      </c>
    </row>
    <row r="172" spans="1:28">
      <c r="A172" s="2">
        <f>HYPERLINK("https://finance.naver.com/item/coinfo.nhn?code=138490", "A138490")</f>
        <v>0</v>
      </c>
      <c r="B172">
        <f>HYPERLINK("http://comp.fnguide.com/SVO2/ASP/SVD_Consensus.asp?pGB=1&amp;gicode=A138490&amp;cID=&amp;MenuYn=Y&amp;ReportGB=&amp;NewMenuID=108&amp;stkGb=701", "코오롱플라스틱")</f>
        <v>0</v>
      </c>
      <c r="C172">
        <v>3</v>
      </c>
      <c r="D172">
        <v>4530</v>
      </c>
      <c r="E172">
        <v>-1.85</v>
      </c>
      <c r="F172">
        <v>31.33</v>
      </c>
      <c r="G172">
        <v>3294</v>
      </c>
      <c r="H172">
        <v>4439</v>
      </c>
      <c r="I172">
        <v>4765</v>
      </c>
      <c r="J172">
        <v>27.29</v>
      </c>
      <c r="K172">
        <v>2.01</v>
      </c>
      <c r="L172">
        <v>-5.2</v>
      </c>
      <c r="M172">
        <v>5.05</v>
      </c>
      <c r="N172" t="b">
        <v>1</v>
      </c>
      <c r="O172">
        <v>143</v>
      </c>
      <c r="P172" t="s">
        <v>185</v>
      </c>
      <c r="Q172" t="s">
        <v>2391</v>
      </c>
      <c r="R172">
        <v>-16.96682526657273</v>
      </c>
      <c r="S172">
        <v>1721</v>
      </c>
      <c r="T172">
        <v>243123</v>
      </c>
      <c r="U172" t="s">
        <v>4157</v>
      </c>
      <c r="V172">
        <v>66.98999999999999</v>
      </c>
      <c r="W172" t="s">
        <v>6377</v>
      </c>
      <c r="X172" t="s">
        <v>8552</v>
      </c>
      <c r="Y172">
        <v>3303</v>
      </c>
      <c r="Z172">
        <v>103</v>
      </c>
      <c r="AB172">
        <v>1.56</v>
      </c>
    </row>
    <row r="173" spans="1:28">
      <c r="A173" s="2">
        <f>HYPERLINK("https://finance.naver.com/item/coinfo.nhn?code=192400", "A192400")</f>
        <v>0</v>
      </c>
      <c r="B173">
        <f>HYPERLINK("http://comp.fnguide.com/SVO2/ASP/SVD_Consensus.asp?pGB=1&amp;gicode=A192400&amp;cID=&amp;MenuYn=Y&amp;ReportGB=&amp;NewMenuID=108&amp;stkGb=701", "쿠쿠홀딩스")</f>
        <v>0</v>
      </c>
      <c r="C173">
        <v>3</v>
      </c>
      <c r="D173">
        <v>96100</v>
      </c>
      <c r="E173">
        <v>0.62</v>
      </c>
      <c r="F173">
        <v>9.4</v>
      </c>
      <c r="G173">
        <v>383231</v>
      </c>
      <c r="H173">
        <v>218095</v>
      </c>
      <c r="I173">
        <v>171040</v>
      </c>
      <c r="J173">
        <v>-298.78</v>
      </c>
      <c r="K173">
        <v>-126.95</v>
      </c>
      <c r="L173">
        <v>-77.98</v>
      </c>
      <c r="M173">
        <v>28.18</v>
      </c>
      <c r="N173" t="b">
        <v>0</v>
      </c>
      <c r="O173">
        <v>11168</v>
      </c>
      <c r="P173" t="s">
        <v>186</v>
      </c>
      <c r="Q173" t="s">
        <v>2392</v>
      </c>
      <c r="R173">
        <v>15.13255589098257</v>
      </c>
      <c r="S173">
        <v>6835</v>
      </c>
      <c r="T173">
        <v>5436</v>
      </c>
      <c r="U173" t="s">
        <v>4158</v>
      </c>
      <c r="V173">
        <v>69.06999999999999</v>
      </c>
      <c r="W173" t="s">
        <v>6378</v>
      </c>
      <c r="X173" t="s">
        <v>8553</v>
      </c>
      <c r="Y173">
        <v>5283</v>
      </c>
      <c r="Z173">
        <v>745</v>
      </c>
      <c r="AA173">
        <v>896760</v>
      </c>
      <c r="AB173">
        <v>2.86</v>
      </c>
    </row>
    <row r="174" spans="1:28">
      <c r="A174" s="2">
        <f>HYPERLINK("https://finance.naver.com/item/coinfo.nhn?code=264900", "A264900")</f>
        <v>0</v>
      </c>
      <c r="B174">
        <f>HYPERLINK("http://comp.fnguide.com/SVO2/ASP/SVD_Consensus.asp?pGB=1&amp;gicode=A264900&amp;cID=&amp;MenuYn=Y&amp;ReportGB=&amp;NewMenuID=108&amp;stkGb=701", "크라운제과")</f>
        <v>0</v>
      </c>
      <c r="C174">
        <v>3</v>
      </c>
      <c r="D174">
        <v>8790</v>
      </c>
      <c r="E174">
        <v>0</v>
      </c>
      <c r="F174">
        <v>6.1</v>
      </c>
      <c r="G174">
        <v>15826</v>
      </c>
      <c r="H174">
        <v>13417</v>
      </c>
      <c r="I174">
        <v>12731</v>
      </c>
      <c r="J174">
        <v>-80.04000000000001</v>
      </c>
      <c r="K174">
        <v>-52.64</v>
      </c>
      <c r="L174">
        <v>-44.84</v>
      </c>
      <c r="M174">
        <v>10.67</v>
      </c>
      <c r="N174" t="b">
        <v>1</v>
      </c>
      <c r="O174">
        <v>1424</v>
      </c>
      <c r="P174" t="s">
        <v>187</v>
      </c>
      <c r="Q174" t="s">
        <v>2393</v>
      </c>
      <c r="R174">
        <v>0</v>
      </c>
      <c r="S174">
        <v>1101</v>
      </c>
      <c r="T174">
        <v>7504</v>
      </c>
      <c r="U174" t="s">
        <v>4159</v>
      </c>
      <c r="V174">
        <v>61.68</v>
      </c>
      <c r="W174" t="s">
        <v>6379</v>
      </c>
      <c r="X174" t="s">
        <v>8554</v>
      </c>
      <c r="Y174">
        <v>3866</v>
      </c>
      <c r="Z174">
        <v>265</v>
      </c>
      <c r="AA174">
        <v>507681</v>
      </c>
      <c r="AB174">
        <v>2.88</v>
      </c>
    </row>
    <row r="175" spans="1:28">
      <c r="A175" s="2">
        <f>HYPERLINK("https://finance.naver.com/item/coinfo.nhn?code=005740", "A005740")</f>
        <v>0</v>
      </c>
      <c r="B175">
        <f>HYPERLINK("http://comp.fnguide.com/SVO2/ASP/SVD_Consensus.asp?pGB=1&amp;gicode=A005740&amp;cID=&amp;MenuYn=Y&amp;ReportGB=&amp;NewMenuID=108&amp;stkGb=701", "크라운해태홀딩스")</f>
        <v>0</v>
      </c>
      <c r="C175">
        <v>3</v>
      </c>
      <c r="D175">
        <v>8960</v>
      </c>
      <c r="G175">
        <v>23556</v>
      </c>
      <c r="H175">
        <v>20431</v>
      </c>
      <c r="I175">
        <v>19541</v>
      </c>
      <c r="J175">
        <v>-162.91</v>
      </c>
      <c r="K175">
        <v>-128.03</v>
      </c>
      <c r="L175">
        <v>-118.09</v>
      </c>
      <c r="M175">
        <v>10.23</v>
      </c>
      <c r="N175" t="b">
        <v>0</v>
      </c>
      <c r="O175">
        <v>-1342</v>
      </c>
      <c r="P175" t="s">
        <v>188</v>
      </c>
      <c r="Q175" t="s">
        <v>2394</v>
      </c>
      <c r="R175">
        <v>-2.192082024657416</v>
      </c>
      <c r="S175">
        <v>1330</v>
      </c>
      <c r="T175">
        <v>27939</v>
      </c>
      <c r="U175" t="s">
        <v>4160</v>
      </c>
      <c r="V175">
        <v>55.02</v>
      </c>
      <c r="W175" t="s">
        <v>6380</v>
      </c>
      <c r="X175" t="s">
        <v>8555</v>
      </c>
      <c r="Y175">
        <v>10552</v>
      </c>
      <c r="Z175">
        <v>394</v>
      </c>
      <c r="AA175">
        <v>464612</v>
      </c>
      <c r="AB175">
        <v>0.96</v>
      </c>
    </row>
    <row r="176" spans="1:28">
      <c r="A176" s="2">
        <f>HYPERLINK("https://finance.naver.com/item/coinfo.nhn?code=014580", "A014580")</f>
        <v>0</v>
      </c>
      <c r="B176">
        <f>HYPERLINK("http://comp.fnguide.com/SVO2/ASP/SVD_Consensus.asp?pGB=1&amp;gicode=A014580&amp;cID=&amp;MenuYn=Y&amp;ReportGB=&amp;NewMenuID=108&amp;stkGb=701", "태경비케이")</f>
        <v>0</v>
      </c>
      <c r="C176">
        <v>3</v>
      </c>
      <c r="D176">
        <v>3825</v>
      </c>
      <c r="E176">
        <v>3.16</v>
      </c>
      <c r="F176">
        <v>29.43</v>
      </c>
      <c r="G176">
        <v>2094</v>
      </c>
      <c r="H176">
        <v>3748</v>
      </c>
      <c r="I176">
        <v>4220</v>
      </c>
      <c r="J176">
        <v>45.25</v>
      </c>
      <c r="K176">
        <v>2.01</v>
      </c>
      <c r="L176">
        <v>-10.32</v>
      </c>
      <c r="M176">
        <v>3.44</v>
      </c>
      <c r="N176" t="b">
        <v>0</v>
      </c>
      <c r="O176">
        <v>148</v>
      </c>
      <c r="P176" t="s">
        <v>189</v>
      </c>
      <c r="Q176" t="s">
        <v>2395</v>
      </c>
      <c r="R176">
        <v>9.316676014920988</v>
      </c>
      <c r="S176">
        <v>1055</v>
      </c>
      <c r="T176">
        <v>470297</v>
      </c>
      <c r="U176" t="s">
        <v>4161</v>
      </c>
      <c r="V176">
        <v>47.17</v>
      </c>
      <c r="W176" t="s">
        <v>6381</v>
      </c>
      <c r="X176" t="s">
        <v>8556</v>
      </c>
      <c r="Y176">
        <v>1864</v>
      </c>
      <c r="Z176">
        <v>39</v>
      </c>
      <c r="AB176">
        <v>2.3</v>
      </c>
    </row>
    <row r="177" spans="1:28">
      <c r="A177" s="2">
        <f>HYPERLINK("https://finance.naver.com/item/coinfo.nhn?code=015890", "A015890")</f>
        <v>0</v>
      </c>
      <c r="B177">
        <f>HYPERLINK("http://comp.fnguide.com/SVO2/ASP/SVD_Consensus.asp?pGB=1&amp;gicode=A015890&amp;cID=&amp;MenuYn=Y&amp;ReportGB=&amp;NewMenuID=108&amp;stkGb=701", "태경산업")</f>
        <v>0</v>
      </c>
      <c r="C177">
        <v>3</v>
      </c>
      <c r="D177">
        <v>5790</v>
      </c>
      <c r="E177">
        <v>-0.4</v>
      </c>
      <c r="F177">
        <v>8.08</v>
      </c>
      <c r="G177">
        <v>7443</v>
      </c>
      <c r="H177">
        <v>7952</v>
      </c>
      <c r="I177">
        <v>8097</v>
      </c>
      <c r="J177">
        <v>-28.54</v>
      </c>
      <c r="K177">
        <v>-37.34</v>
      </c>
      <c r="L177">
        <v>-39.85</v>
      </c>
      <c r="M177">
        <v>7.16</v>
      </c>
      <c r="N177" t="b">
        <v>1</v>
      </c>
      <c r="O177">
        <v>706</v>
      </c>
      <c r="P177" t="s">
        <v>190</v>
      </c>
      <c r="Q177" t="s">
        <v>2396</v>
      </c>
      <c r="R177">
        <v>-20.00172097350075</v>
      </c>
      <c r="S177">
        <v>1692</v>
      </c>
      <c r="T177">
        <v>141054</v>
      </c>
      <c r="U177" t="s">
        <v>4162</v>
      </c>
      <c r="V177">
        <v>63.54</v>
      </c>
      <c r="W177" t="s">
        <v>6382</v>
      </c>
      <c r="X177" t="s">
        <v>8557</v>
      </c>
      <c r="Y177">
        <v>5196</v>
      </c>
      <c r="Z177">
        <v>108</v>
      </c>
      <c r="AA177">
        <v>713753</v>
      </c>
      <c r="AB177">
        <v>6.48</v>
      </c>
    </row>
    <row r="178" spans="1:28">
      <c r="A178" s="2">
        <f>HYPERLINK("https://finance.naver.com/item/coinfo.nhn?code=003240", "A003240")</f>
        <v>0</v>
      </c>
      <c r="B178">
        <f>HYPERLINK("http://comp.fnguide.com/SVO2/ASP/SVD_Consensus.asp?pGB=1&amp;gicode=A003240&amp;cID=&amp;MenuYn=Y&amp;ReportGB=&amp;NewMenuID=108&amp;stkGb=701", "태광산업")</f>
        <v>0</v>
      </c>
      <c r="C178">
        <v>3</v>
      </c>
      <c r="D178">
        <v>786000</v>
      </c>
      <c r="E178">
        <v>1.07</v>
      </c>
      <c r="F178">
        <v>8.67</v>
      </c>
      <c r="G178">
        <v>2613702</v>
      </c>
      <c r="H178">
        <v>3312766</v>
      </c>
      <c r="I178">
        <v>3511963</v>
      </c>
      <c r="J178">
        <v>-232.53</v>
      </c>
      <c r="K178">
        <v>-321.47</v>
      </c>
      <c r="L178">
        <v>-346.81</v>
      </c>
      <c r="M178">
        <v>5.52</v>
      </c>
      <c r="N178" t="b">
        <v>1</v>
      </c>
      <c r="O178">
        <v>122200</v>
      </c>
      <c r="P178" t="s">
        <v>191</v>
      </c>
      <c r="Q178" t="s">
        <v>2397</v>
      </c>
      <c r="R178">
        <v>8.132256201578425</v>
      </c>
      <c r="S178">
        <v>8751</v>
      </c>
      <c r="T178">
        <v>1108</v>
      </c>
      <c r="U178" t="s">
        <v>4163</v>
      </c>
      <c r="V178">
        <v>55.01</v>
      </c>
      <c r="W178" t="s">
        <v>6383</v>
      </c>
      <c r="X178" t="s">
        <v>8558</v>
      </c>
      <c r="Y178">
        <v>29180</v>
      </c>
      <c r="Z178">
        <v>2914</v>
      </c>
      <c r="AA178">
        <v>271769</v>
      </c>
      <c r="AB178">
        <v>0.15</v>
      </c>
    </row>
    <row r="179" spans="1:28">
      <c r="A179" s="2">
        <f>HYPERLINK("https://finance.naver.com/item/coinfo.nhn?code=004100", "A004100")</f>
        <v>0</v>
      </c>
      <c r="B179">
        <f>HYPERLINK("http://comp.fnguide.com/SVO2/ASP/SVD_Consensus.asp?pGB=1&amp;gicode=A004100&amp;cID=&amp;MenuYn=Y&amp;ReportGB=&amp;NewMenuID=108&amp;stkGb=701", "태양금속")</f>
        <v>0</v>
      </c>
      <c r="C179">
        <v>3</v>
      </c>
      <c r="D179">
        <v>1135</v>
      </c>
      <c r="G179">
        <v>0</v>
      </c>
      <c r="H179">
        <v>1170</v>
      </c>
      <c r="I179">
        <v>1503</v>
      </c>
      <c r="J179">
        <v>100</v>
      </c>
      <c r="K179">
        <v>-3.04</v>
      </c>
      <c r="L179">
        <v>-32.41</v>
      </c>
      <c r="M179">
        <v>0</v>
      </c>
      <c r="N179" t="b">
        <v>0</v>
      </c>
      <c r="O179">
        <v>-553</v>
      </c>
      <c r="P179" t="s">
        <v>192</v>
      </c>
      <c r="Q179" t="s">
        <v>2398</v>
      </c>
      <c r="R179">
        <v>146.8</v>
      </c>
      <c r="S179">
        <v>417</v>
      </c>
      <c r="T179">
        <v>559046</v>
      </c>
      <c r="U179" t="s">
        <v>4164</v>
      </c>
      <c r="V179">
        <v>45.37</v>
      </c>
      <c r="W179" t="s">
        <v>6384</v>
      </c>
      <c r="X179" t="s">
        <v>968</v>
      </c>
      <c r="Y179">
        <v>4709</v>
      </c>
      <c r="Z179">
        <v>-176</v>
      </c>
      <c r="AA179">
        <v>276140</v>
      </c>
      <c r="AB179">
        <v>0.35</v>
      </c>
    </row>
    <row r="180" spans="1:28">
      <c r="A180" s="2">
        <f>HYPERLINK("https://finance.naver.com/item/coinfo.nhn?code=009410", "A009410")</f>
        <v>0</v>
      </c>
      <c r="B180">
        <f>HYPERLINK("http://comp.fnguide.com/SVO2/ASP/SVD_Consensus.asp?pGB=1&amp;gicode=A009410&amp;cID=&amp;MenuYn=Y&amp;ReportGB=&amp;NewMenuID=108&amp;stkGb=701", "태영건설")</f>
        <v>0</v>
      </c>
      <c r="C180">
        <v>3</v>
      </c>
      <c r="D180">
        <v>10450</v>
      </c>
      <c r="E180">
        <v>0.02</v>
      </c>
      <c r="F180">
        <v>5.19</v>
      </c>
      <c r="G180">
        <v>45766</v>
      </c>
      <c r="H180">
        <v>36115</v>
      </c>
      <c r="I180">
        <v>33365</v>
      </c>
      <c r="J180">
        <v>-337.95</v>
      </c>
      <c r="K180">
        <v>-245.6</v>
      </c>
      <c r="L180">
        <v>-219.28</v>
      </c>
      <c r="M180">
        <v>12.28</v>
      </c>
      <c r="N180" t="b">
        <v>1</v>
      </c>
      <c r="O180">
        <v>1152</v>
      </c>
      <c r="P180" t="s">
        <v>193</v>
      </c>
      <c r="Q180" t="s">
        <v>2399</v>
      </c>
      <c r="R180">
        <v>213.8668093656727</v>
      </c>
      <c r="S180">
        <v>4065</v>
      </c>
      <c r="T180">
        <v>503515</v>
      </c>
      <c r="U180" t="s">
        <v>4165</v>
      </c>
      <c r="V180">
        <v>49.32</v>
      </c>
      <c r="W180" t="s">
        <v>6385</v>
      </c>
      <c r="X180" t="s">
        <v>8559</v>
      </c>
      <c r="Y180">
        <v>39244</v>
      </c>
      <c r="Z180">
        <v>3912</v>
      </c>
      <c r="AA180">
        <v>7780</v>
      </c>
      <c r="AB180">
        <v>2.51</v>
      </c>
    </row>
    <row r="181" spans="1:28">
      <c r="A181" s="2">
        <f>HYPERLINK("https://finance.naver.com/item/coinfo.nhn?code=007980", "A007980")</f>
        <v>0</v>
      </c>
      <c r="B181">
        <f>HYPERLINK("http://comp.fnguide.com/SVO2/ASP/SVD_Consensus.asp?pGB=1&amp;gicode=A007980&amp;cID=&amp;MenuYn=Y&amp;ReportGB=&amp;NewMenuID=108&amp;stkGb=701", "태평양물산")</f>
        <v>0</v>
      </c>
      <c r="C181">
        <v>3</v>
      </c>
      <c r="D181">
        <v>1920</v>
      </c>
      <c r="E181">
        <v>1.92</v>
      </c>
      <c r="F181">
        <v>11.77</v>
      </c>
      <c r="G181">
        <v>3398</v>
      </c>
      <c r="H181">
        <v>3621</v>
      </c>
      <c r="I181">
        <v>3685</v>
      </c>
      <c r="J181">
        <v>-76.98</v>
      </c>
      <c r="K181">
        <v>-88.59999999999999</v>
      </c>
      <c r="L181">
        <v>-91.91</v>
      </c>
      <c r="M181">
        <v>7.18</v>
      </c>
      <c r="N181" t="b">
        <v>1</v>
      </c>
      <c r="O181">
        <v>225</v>
      </c>
      <c r="P181" t="s">
        <v>194</v>
      </c>
      <c r="Q181" t="s">
        <v>2400</v>
      </c>
      <c r="R181">
        <v>6.13924816014102</v>
      </c>
      <c r="S181">
        <v>924</v>
      </c>
      <c r="T181">
        <v>3393405</v>
      </c>
      <c r="U181" t="s">
        <v>4166</v>
      </c>
      <c r="V181">
        <v>32.79</v>
      </c>
      <c r="W181" t="s">
        <v>6386</v>
      </c>
      <c r="X181" t="s">
        <v>8560</v>
      </c>
      <c r="Y181">
        <v>9716</v>
      </c>
      <c r="Z181">
        <v>432</v>
      </c>
      <c r="AA181">
        <v>2357635</v>
      </c>
      <c r="AB181">
        <v>1.13</v>
      </c>
    </row>
    <row r="182" spans="1:28">
      <c r="A182" s="2">
        <f>HYPERLINK("https://finance.naver.com/item/coinfo.nhn?code=078000", "A078000")</f>
        <v>0</v>
      </c>
      <c r="B182">
        <f>HYPERLINK("http://comp.fnguide.com/SVO2/ASP/SVD_Consensus.asp?pGB=1&amp;gicode=A078000&amp;cID=&amp;MenuYn=Y&amp;ReportGB=&amp;NewMenuID=108&amp;stkGb=701", "텔코웨어")</f>
        <v>0</v>
      </c>
      <c r="C182">
        <v>3</v>
      </c>
      <c r="D182">
        <v>12100</v>
      </c>
      <c r="E182">
        <v>-0.78</v>
      </c>
      <c r="F182">
        <v>30.13</v>
      </c>
      <c r="G182">
        <v>11623</v>
      </c>
      <c r="H182">
        <v>16503</v>
      </c>
      <c r="I182">
        <v>17894</v>
      </c>
      <c r="J182">
        <v>3.94</v>
      </c>
      <c r="K182">
        <v>-36.39</v>
      </c>
      <c r="L182">
        <v>-47.88</v>
      </c>
      <c r="M182">
        <v>4.69</v>
      </c>
      <c r="N182" t="b">
        <v>1</v>
      </c>
      <c r="O182">
        <v>441</v>
      </c>
      <c r="P182" t="s">
        <v>195</v>
      </c>
      <c r="Q182" t="s">
        <v>2401</v>
      </c>
      <c r="R182">
        <v>-38.50434360926095</v>
      </c>
      <c r="S182">
        <v>1174</v>
      </c>
      <c r="T182">
        <v>15938</v>
      </c>
      <c r="U182" t="s">
        <v>4167</v>
      </c>
      <c r="V182">
        <v>29.19</v>
      </c>
      <c r="W182" t="s">
        <v>6387</v>
      </c>
      <c r="X182" t="s">
        <v>8561</v>
      </c>
      <c r="Y182">
        <v>418</v>
      </c>
      <c r="Z182">
        <v>34</v>
      </c>
      <c r="AA182">
        <v>4076074</v>
      </c>
      <c r="AB182">
        <v>4.14</v>
      </c>
    </row>
    <row r="183" spans="1:28">
      <c r="A183" s="2">
        <f>HYPERLINK("https://finance.naver.com/item/coinfo.nhn?code=019180", "A019180")</f>
        <v>0</v>
      </c>
      <c r="B183">
        <f>HYPERLINK("http://comp.fnguide.com/SVO2/ASP/SVD_Consensus.asp?pGB=1&amp;gicode=A019180&amp;cID=&amp;MenuYn=Y&amp;ReportGB=&amp;NewMenuID=108&amp;stkGb=701", "티에이치엔")</f>
        <v>0</v>
      </c>
      <c r="C183">
        <v>3</v>
      </c>
      <c r="D183">
        <v>2425</v>
      </c>
      <c r="E183">
        <v>0.77</v>
      </c>
      <c r="F183">
        <v>3.82</v>
      </c>
      <c r="G183">
        <v>9871</v>
      </c>
      <c r="H183">
        <v>6043</v>
      </c>
      <c r="I183">
        <v>4952</v>
      </c>
      <c r="J183">
        <v>-307.06</v>
      </c>
      <c r="K183">
        <v>-149.2</v>
      </c>
      <c r="L183">
        <v>-104.22</v>
      </c>
      <c r="M183">
        <v>22.48</v>
      </c>
      <c r="N183" t="b">
        <v>1</v>
      </c>
      <c r="O183">
        <v>959</v>
      </c>
      <c r="P183" t="s">
        <v>196</v>
      </c>
      <c r="Q183" t="s">
        <v>2402</v>
      </c>
      <c r="R183">
        <v>4.958017259882075</v>
      </c>
      <c r="S183">
        <v>437</v>
      </c>
      <c r="T183">
        <v>151155</v>
      </c>
      <c r="U183" t="s">
        <v>4168</v>
      </c>
      <c r="V183">
        <v>42.81</v>
      </c>
      <c r="W183" t="s">
        <v>6388</v>
      </c>
      <c r="X183" t="s">
        <v>8562</v>
      </c>
      <c r="Y183">
        <v>4022</v>
      </c>
      <c r="Z183">
        <v>215</v>
      </c>
      <c r="AB183">
        <v>1.64</v>
      </c>
    </row>
    <row r="184" spans="1:28">
      <c r="A184" s="2">
        <f>HYPERLINK("https://finance.naver.com/item/coinfo.nhn?code=002020", "A002020")</f>
        <v>0</v>
      </c>
      <c r="B184">
        <f>HYPERLINK("http://comp.fnguide.com/SVO2/ASP/SVD_Consensus.asp?pGB=1&amp;gicode=A002020&amp;cID=&amp;MenuYn=Y&amp;ReportGB=&amp;NewMenuID=108&amp;stkGb=701", "코오롱")</f>
        <v>0</v>
      </c>
      <c r="C184">
        <v>3</v>
      </c>
      <c r="D184">
        <v>21800</v>
      </c>
      <c r="G184">
        <v>12665</v>
      </c>
      <c r="H184">
        <v>33640</v>
      </c>
      <c r="I184">
        <v>39617</v>
      </c>
      <c r="J184">
        <v>41.9</v>
      </c>
      <c r="K184">
        <v>-54.31</v>
      </c>
      <c r="L184">
        <v>-81.73</v>
      </c>
      <c r="M184">
        <v>2.12</v>
      </c>
      <c r="N184" t="b">
        <v>0</v>
      </c>
      <c r="O184">
        <v>-1244</v>
      </c>
      <c r="P184" t="s">
        <v>197</v>
      </c>
      <c r="Q184" t="s">
        <v>2403</v>
      </c>
      <c r="R184">
        <v>1168.044155382611</v>
      </c>
      <c r="S184">
        <v>2753</v>
      </c>
      <c r="T184">
        <v>64630</v>
      </c>
      <c r="U184" t="s">
        <v>4169</v>
      </c>
      <c r="V184">
        <v>52.63</v>
      </c>
      <c r="W184" t="s">
        <v>6389</v>
      </c>
      <c r="X184" t="s">
        <v>8563</v>
      </c>
      <c r="Y184">
        <v>44060</v>
      </c>
      <c r="Z184">
        <v>1245</v>
      </c>
      <c r="AB184">
        <v>2.85</v>
      </c>
    </row>
    <row r="185" spans="1:28">
      <c r="A185" s="2">
        <f>HYPERLINK("https://finance.naver.com/item/coinfo.nhn?code=091810", "A091810")</f>
        <v>0</v>
      </c>
      <c r="B185">
        <f>HYPERLINK("http://comp.fnguide.com/SVO2/ASP/SVD_Consensus.asp?pGB=1&amp;gicode=A091810&amp;cID=&amp;MenuYn=Y&amp;ReportGB=&amp;NewMenuID=108&amp;stkGb=701", "티웨이항공")</f>
        <v>0</v>
      </c>
      <c r="C185">
        <v>3</v>
      </c>
      <c r="D185">
        <v>2640</v>
      </c>
      <c r="G185">
        <v>10237</v>
      </c>
      <c r="H185">
        <v>5117</v>
      </c>
      <c r="I185">
        <v>3658</v>
      </c>
      <c r="J185">
        <v>-287.75</v>
      </c>
      <c r="K185">
        <v>-93.81</v>
      </c>
      <c r="L185">
        <v>-38.55</v>
      </c>
      <c r="M185">
        <v>47.57</v>
      </c>
      <c r="N185" t="b">
        <v>0</v>
      </c>
      <c r="O185">
        <v>-582</v>
      </c>
      <c r="P185" t="s">
        <v>198</v>
      </c>
      <c r="Q185" t="s">
        <v>2404</v>
      </c>
      <c r="R185">
        <v>126.66919237622</v>
      </c>
      <c r="S185">
        <v>2913</v>
      </c>
      <c r="T185">
        <v>1758084</v>
      </c>
      <c r="U185" t="s">
        <v>4170</v>
      </c>
      <c r="V185">
        <v>52.74</v>
      </c>
      <c r="W185" t="s">
        <v>6390</v>
      </c>
      <c r="X185" t="s">
        <v>8564</v>
      </c>
      <c r="Y185">
        <v>8104</v>
      </c>
      <c r="Z185">
        <v>-192</v>
      </c>
      <c r="AA185">
        <v>197473</v>
      </c>
    </row>
    <row r="186" spans="1:28">
      <c r="A186" s="2">
        <f>HYPERLINK("https://finance.naver.com/item/coinfo.nhn?code=004870", "A004870")</f>
        <v>0</v>
      </c>
      <c r="B186">
        <f>HYPERLINK("http://comp.fnguide.com/SVO2/ASP/SVD_Consensus.asp?pGB=1&amp;gicode=A004870&amp;cID=&amp;MenuYn=Y&amp;ReportGB=&amp;NewMenuID=108&amp;stkGb=701", "티웨이홀딩스")</f>
        <v>0</v>
      </c>
      <c r="C186">
        <v>3</v>
      </c>
      <c r="D186">
        <v>1145</v>
      </c>
      <c r="G186">
        <v>3625</v>
      </c>
      <c r="H186">
        <v>2710</v>
      </c>
      <c r="I186">
        <v>2449</v>
      </c>
      <c r="J186">
        <v>-216.64</v>
      </c>
      <c r="K186">
        <v>-136.7</v>
      </c>
      <c r="L186">
        <v>-113.93</v>
      </c>
      <c r="M186">
        <v>13.74</v>
      </c>
      <c r="N186" t="b">
        <v>0</v>
      </c>
      <c r="O186">
        <v>-385</v>
      </c>
      <c r="P186" t="s">
        <v>199</v>
      </c>
      <c r="Q186" t="s">
        <v>2405</v>
      </c>
      <c r="R186">
        <v>110.0582967402919</v>
      </c>
      <c r="S186">
        <v>878</v>
      </c>
      <c r="T186">
        <v>409610</v>
      </c>
      <c r="U186" t="s">
        <v>4171</v>
      </c>
      <c r="V186">
        <v>60.81</v>
      </c>
      <c r="W186" t="s">
        <v>6391</v>
      </c>
      <c r="X186" t="s">
        <v>8565</v>
      </c>
      <c r="Y186">
        <v>8175</v>
      </c>
      <c r="Z186">
        <v>-238</v>
      </c>
      <c r="AA186">
        <v>509</v>
      </c>
    </row>
    <row r="187" spans="1:28">
      <c r="A187" s="2">
        <f>HYPERLINK("https://finance.naver.com/item/coinfo.nhn?code=123410", "A123410")</f>
        <v>0</v>
      </c>
      <c r="B187">
        <f>HYPERLINK("http://comp.fnguide.com/SVO2/ASP/SVD_Consensus.asp?pGB=1&amp;gicode=A123410&amp;cID=&amp;MenuYn=Y&amp;ReportGB=&amp;NewMenuID=108&amp;stkGb=701", "코리아에프티")</f>
        <v>0</v>
      </c>
      <c r="C187">
        <v>3</v>
      </c>
      <c r="D187">
        <v>2825</v>
      </c>
      <c r="E187">
        <v>-0.71</v>
      </c>
      <c r="F187">
        <v>14.29</v>
      </c>
      <c r="G187">
        <v>2093</v>
      </c>
      <c r="H187">
        <v>3414</v>
      </c>
      <c r="I187">
        <v>3791</v>
      </c>
      <c r="J187">
        <v>25.91</v>
      </c>
      <c r="K187">
        <v>-20.86</v>
      </c>
      <c r="L187">
        <v>-34.19</v>
      </c>
      <c r="M187">
        <v>3.89</v>
      </c>
      <c r="N187" t="b">
        <v>1</v>
      </c>
      <c r="O187">
        <v>206</v>
      </c>
      <c r="P187" t="s">
        <v>200</v>
      </c>
      <c r="Q187" t="s">
        <v>2406</v>
      </c>
      <c r="R187">
        <v>-20.19369321784015</v>
      </c>
      <c r="S187">
        <v>787</v>
      </c>
      <c r="T187">
        <v>701282</v>
      </c>
      <c r="U187" t="s">
        <v>4172</v>
      </c>
      <c r="V187">
        <v>39.52</v>
      </c>
      <c r="W187" t="s">
        <v>6392</v>
      </c>
      <c r="X187" t="s">
        <v>8566</v>
      </c>
      <c r="Y187">
        <v>4387</v>
      </c>
      <c r="Z187">
        <v>82</v>
      </c>
      <c r="AA187">
        <v>5</v>
      </c>
      <c r="AB187">
        <v>2.04</v>
      </c>
    </row>
    <row r="188" spans="1:28">
      <c r="A188" s="2">
        <f>HYPERLINK("https://finance.naver.com/item/coinfo.nhn?code=036580", "A036580")</f>
        <v>0</v>
      </c>
      <c r="B188">
        <f>HYPERLINK("http://comp.fnguide.com/SVO2/ASP/SVD_Consensus.asp?pGB=1&amp;gicode=A036580&amp;cID=&amp;MenuYn=Y&amp;ReportGB=&amp;NewMenuID=108&amp;stkGb=701", "팜스코")</f>
        <v>0</v>
      </c>
      <c r="C188">
        <v>3</v>
      </c>
      <c r="D188">
        <v>4405</v>
      </c>
      <c r="G188">
        <v>2707</v>
      </c>
      <c r="H188">
        <v>6108</v>
      </c>
      <c r="I188">
        <v>7077</v>
      </c>
      <c r="J188">
        <v>38.55</v>
      </c>
      <c r="K188">
        <v>-38.65</v>
      </c>
      <c r="L188">
        <v>-60.65</v>
      </c>
      <c r="M188">
        <v>2.58</v>
      </c>
      <c r="N188" t="b">
        <v>0</v>
      </c>
      <c r="O188">
        <v>-225</v>
      </c>
      <c r="P188" t="s">
        <v>201</v>
      </c>
      <c r="Q188" t="s">
        <v>2407</v>
      </c>
      <c r="R188">
        <v>-30.31665750770986</v>
      </c>
      <c r="S188">
        <v>1618</v>
      </c>
      <c r="T188">
        <v>139284</v>
      </c>
      <c r="U188" t="s">
        <v>4173</v>
      </c>
      <c r="V188">
        <v>56.57</v>
      </c>
      <c r="W188" t="s">
        <v>6393</v>
      </c>
      <c r="X188" t="s">
        <v>8567</v>
      </c>
      <c r="Y188">
        <v>11650</v>
      </c>
      <c r="Z188">
        <v>202</v>
      </c>
      <c r="AA188">
        <v>1709107</v>
      </c>
      <c r="AB188">
        <v>1.09</v>
      </c>
    </row>
    <row r="189" spans="1:28">
      <c r="A189" s="2">
        <f>HYPERLINK("https://finance.naver.com/item/coinfo.nhn?code=028670", "A028670")</f>
        <v>0</v>
      </c>
      <c r="B189">
        <f>HYPERLINK("http://comp.fnguide.com/SVO2/ASP/SVD_Consensus.asp?pGB=1&amp;gicode=A028670&amp;cID=&amp;MenuYn=Y&amp;ReportGB=&amp;NewMenuID=108&amp;stkGb=701", "팬오션")</f>
        <v>0</v>
      </c>
      <c r="C189">
        <v>3</v>
      </c>
      <c r="D189">
        <v>4185</v>
      </c>
      <c r="E189">
        <v>1.11</v>
      </c>
      <c r="F189">
        <v>16</v>
      </c>
      <c r="G189">
        <v>3883</v>
      </c>
      <c r="H189">
        <v>4794</v>
      </c>
      <c r="I189">
        <v>5054</v>
      </c>
      <c r="J189">
        <v>7.21</v>
      </c>
      <c r="K189">
        <v>-14.56</v>
      </c>
      <c r="L189">
        <v>-20.76</v>
      </c>
      <c r="M189">
        <v>5.73</v>
      </c>
      <c r="N189" t="b">
        <v>0</v>
      </c>
      <c r="O189">
        <v>284</v>
      </c>
      <c r="P189" t="s">
        <v>202</v>
      </c>
      <c r="Q189" t="s">
        <v>2408</v>
      </c>
      <c r="R189">
        <v>14.455768508625</v>
      </c>
      <c r="S189">
        <v>22372</v>
      </c>
      <c r="T189">
        <v>3185552</v>
      </c>
      <c r="U189" t="s">
        <v>4174</v>
      </c>
      <c r="V189">
        <v>54.9</v>
      </c>
      <c r="W189" t="s">
        <v>6394</v>
      </c>
      <c r="X189" t="s">
        <v>8568</v>
      </c>
      <c r="Y189">
        <v>24679</v>
      </c>
      <c r="Z189">
        <v>2100</v>
      </c>
    </row>
    <row r="190" spans="1:28">
      <c r="A190" s="2">
        <f>HYPERLINK("https://finance.naver.com/item/coinfo.nhn?code=101670", "A101670")</f>
        <v>0</v>
      </c>
      <c r="B190">
        <f>HYPERLINK("http://comp.fnguide.com/SVO2/ASP/SVD_Consensus.asp?pGB=1&amp;gicode=A101670&amp;cID=&amp;MenuYn=Y&amp;ReportGB=&amp;NewMenuID=108&amp;stkGb=701", "코리아에스이")</f>
        <v>0</v>
      </c>
      <c r="C190">
        <v>3</v>
      </c>
      <c r="D190">
        <v>1220</v>
      </c>
      <c r="G190">
        <v>450</v>
      </c>
      <c r="H190">
        <v>1238</v>
      </c>
      <c r="I190">
        <v>1462</v>
      </c>
      <c r="J190">
        <v>63.09</v>
      </c>
      <c r="K190">
        <v>-1.46</v>
      </c>
      <c r="L190">
        <v>-19.85</v>
      </c>
      <c r="M190">
        <v>2.04</v>
      </c>
      <c r="N190" t="b">
        <v>0</v>
      </c>
      <c r="O190">
        <v>-35</v>
      </c>
      <c r="P190" t="s">
        <v>203</v>
      </c>
      <c r="Q190" t="s">
        <v>2409</v>
      </c>
      <c r="R190">
        <v>99.27445897555461</v>
      </c>
      <c r="S190">
        <v>231</v>
      </c>
      <c r="T190">
        <v>114779</v>
      </c>
      <c r="U190" t="s">
        <v>4175</v>
      </c>
      <c r="V190">
        <v>22.07</v>
      </c>
      <c r="W190" t="s">
        <v>6395</v>
      </c>
      <c r="X190" t="s">
        <v>8569</v>
      </c>
      <c r="Y190">
        <v>133</v>
      </c>
      <c r="Z190">
        <v>-26</v>
      </c>
      <c r="AA190">
        <v>1750000</v>
      </c>
    </row>
    <row r="191" spans="1:28">
      <c r="A191" s="2">
        <f>HYPERLINK("https://finance.naver.com/item/coinfo.nhn?code=016800", "A016800")</f>
        <v>0</v>
      </c>
      <c r="B191">
        <f>HYPERLINK("http://comp.fnguide.com/SVO2/ASP/SVD_Consensus.asp?pGB=1&amp;gicode=A016800&amp;cID=&amp;MenuYn=Y&amp;ReportGB=&amp;NewMenuID=108&amp;stkGb=701", "퍼시스")</f>
        <v>0</v>
      </c>
      <c r="C191">
        <v>3</v>
      </c>
      <c r="D191">
        <v>29300</v>
      </c>
      <c r="E191">
        <v>2.12</v>
      </c>
      <c r="F191">
        <v>9.99</v>
      </c>
      <c r="G191">
        <v>52608</v>
      </c>
      <c r="H191">
        <v>50045</v>
      </c>
      <c r="I191">
        <v>49315</v>
      </c>
      <c r="J191">
        <v>-79.55</v>
      </c>
      <c r="K191">
        <v>-70.8</v>
      </c>
      <c r="L191">
        <v>-68.31</v>
      </c>
      <c r="M191">
        <v>8.67</v>
      </c>
      <c r="N191" t="b">
        <v>1</v>
      </c>
      <c r="O191">
        <v>2953</v>
      </c>
      <c r="P191" t="s">
        <v>204</v>
      </c>
      <c r="Q191" t="s">
        <v>2410</v>
      </c>
      <c r="R191">
        <v>4.707196756523069</v>
      </c>
      <c r="S191">
        <v>3370</v>
      </c>
      <c r="T191">
        <v>757</v>
      </c>
      <c r="U191" t="s">
        <v>4176</v>
      </c>
      <c r="V191">
        <v>54.71</v>
      </c>
      <c r="W191" t="s">
        <v>6396</v>
      </c>
      <c r="X191" t="s">
        <v>8570</v>
      </c>
      <c r="Y191">
        <v>3047</v>
      </c>
      <c r="Z191">
        <v>251</v>
      </c>
      <c r="AA191">
        <v>2317576</v>
      </c>
      <c r="AB191">
        <v>3.39</v>
      </c>
    </row>
    <row r="192" spans="1:28">
      <c r="A192" s="2">
        <f>HYPERLINK("https://finance.naver.com/item/coinfo.nhn?code=190650", "A190650")</f>
        <v>0</v>
      </c>
      <c r="B192">
        <f>HYPERLINK("http://comp.fnguide.com/SVO2/ASP/SVD_Consensus.asp?pGB=1&amp;gicode=A190650&amp;cID=&amp;MenuYn=Y&amp;ReportGB=&amp;NewMenuID=108&amp;stkGb=701", "코리아에셋투자증권")</f>
        <v>0</v>
      </c>
      <c r="C192">
        <v>3</v>
      </c>
      <c r="D192">
        <v>7610</v>
      </c>
      <c r="E192">
        <v>0.34</v>
      </c>
      <c r="F192">
        <v>4.5</v>
      </c>
      <c r="G192">
        <v>15582</v>
      </c>
      <c r="H192">
        <v>12766</v>
      </c>
      <c r="I192">
        <v>11964</v>
      </c>
      <c r="J192">
        <v>-104.76</v>
      </c>
      <c r="K192">
        <v>-67.76000000000001</v>
      </c>
      <c r="L192">
        <v>-57.21</v>
      </c>
      <c r="M192">
        <v>11.4</v>
      </c>
      <c r="N192" t="b">
        <v>1</v>
      </c>
      <c r="O192">
        <v>1207</v>
      </c>
      <c r="P192" t="s">
        <v>205</v>
      </c>
      <c r="Q192" t="s">
        <v>2411</v>
      </c>
      <c r="R192">
        <v>13.29630875068155</v>
      </c>
      <c r="S192">
        <v>486</v>
      </c>
      <c r="T192">
        <v>27898</v>
      </c>
      <c r="U192" t="s">
        <v>4177</v>
      </c>
      <c r="V192">
        <v>51.42</v>
      </c>
      <c r="W192" t="s">
        <v>6397</v>
      </c>
      <c r="X192" t="s">
        <v>8571</v>
      </c>
      <c r="Y192">
        <v>560</v>
      </c>
      <c r="Z192">
        <v>94</v>
      </c>
      <c r="AB192">
        <v>5.52</v>
      </c>
    </row>
    <row r="193" spans="1:28">
      <c r="A193" s="2">
        <f>HYPERLINK("https://finance.naver.com/item/coinfo.nhn?code=010770", "A010770")</f>
        <v>0</v>
      </c>
      <c r="B193">
        <f>HYPERLINK("http://comp.fnguide.com/SVO2/ASP/SVD_Consensus.asp?pGB=1&amp;gicode=A010770&amp;cID=&amp;MenuYn=Y&amp;ReportGB=&amp;NewMenuID=108&amp;stkGb=701", "평화홀딩스")</f>
        <v>0</v>
      </c>
      <c r="C193">
        <v>3</v>
      </c>
      <c r="D193">
        <v>3320</v>
      </c>
      <c r="G193">
        <v>0</v>
      </c>
      <c r="H193">
        <v>5056</v>
      </c>
      <c r="I193">
        <v>6497</v>
      </c>
      <c r="J193">
        <v>100</v>
      </c>
      <c r="K193">
        <v>-52.3</v>
      </c>
      <c r="L193">
        <v>-95.7</v>
      </c>
      <c r="M193">
        <v>0</v>
      </c>
      <c r="N193" t="b">
        <v>0</v>
      </c>
      <c r="O193">
        <v>-942</v>
      </c>
      <c r="P193" t="s">
        <v>206</v>
      </c>
      <c r="Q193" t="s">
        <v>2412</v>
      </c>
      <c r="R193">
        <v>1028.4</v>
      </c>
      <c r="S193">
        <v>486</v>
      </c>
      <c r="T193">
        <v>18753</v>
      </c>
      <c r="U193" t="s">
        <v>4178</v>
      </c>
      <c r="V193">
        <v>52.34</v>
      </c>
      <c r="W193" t="s">
        <v>6398</v>
      </c>
      <c r="X193" t="s">
        <v>968</v>
      </c>
      <c r="Y193">
        <v>5811</v>
      </c>
      <c r="Z193">
        <v>-36</v>
      </c>
      <c r="AA193">
        <v>770294</v>
      </c>
      <c r="AB193">
        <v>4.17</v>
      </c>
    </row>
    <row r="194" spans="1:28">
      <c r="A194" s="2">
        <f>HYPERLINK("https://finance.naver.com/item/coinfo.nhn?code=058430", "A058430")</f>
        <v>0</v>
      </c>
      <c r="B194">
        <f>HYPERLINK("http://comp.fnguide.com/SVO2/ASP/SVD_Consensus.asp?pGB=1&amp;gicode=A058430&amp;cID=&amp;MenuYn=Y&amp;ReportGB=&amp;NewMenuID=108&amp;stkGb=701", "포스코강판")</f>
        <v>0</v>
      </c>
      <c r="C194">
        <v>3</v>
      </c>
      <c r="D194">
        <v>16300</v>
      </c>
      <c r="E194">
        <v>-2.39</v>
      </c>
      <c r="F194">
        <v>38.3</v>
      </c>
      <c r="G194">
        <v>17261</v>
      </c>
      <c r="H194">
        <v>28670</v>
      </c>
      <c r="I194">
        <v>31921</v>
      </c>
      <c r="J194">
        <v>-5.89</v>
      </c>
      <c r="K194">
        <v>-75.89</v>
      </c>
      <c r="L194">
        <v>-95.84</v>
      </c>
      <c r="M194">
        <v>3.79</v>
      </c>
      <c r="N194" t="b">
        <v>0</v>
      </c>
      <c r="O194">
        <v>446</v>
      </c>
      <c r="P194" t="s">
        <v>207</v>
      </c>
      <c r="Q194" t="s">
        <v>2413</v>
      </c>
      <c r="R194">
        <v>-16.00164569791723</v>
      </c>
      <c r="S194">
        <v>978</v>
      </c>
      <c r="T194">
        <v>178421</v>
      </c>
      <c r="U194" t="s">
        <v>4179</v>
      </c>
      <c r="V194">
        <v>56.87</v>
      </c>
      <c r="W194" t="s">
        <v>6399</v>
      </c>
      <c r="X194" t="s">
        <v>8572</v>
      </c>
      <c r="Y194">
        <v>9167</v>
      </c>
      <c r="Z194">
        <v>100</v>
      </c>
      <c r="AB194">
        <v>2.34</v>
      </c>
    </row>
    <row r="195" spans="1:28">
      <c r="A195" s="2">
        <f>HYPERLINK("https://finance.naver.com/item/coinfo.nhn?code=047050", "A047050")</f>
        <v>0</v>
      </c>
      <c r="B195">
        <f>HYPERLINK("http://comp.fnguide.com/SVO2/ASP/SVD_Consensus.asp?pGB=1&amp;gicode=A047050&amp;cID=&amp;MenuYn=Y&amp;ReportGB=&amp;NewMenuID=108&amp;stkGb=701", "포스코인터내셔널")</f>
        <v>0</v>
      </c>
      <c r="C195">
        <v>3</v>
      </c>
      <c r="D195">
        <v>14050</v>
      </c>
      <c r="E195">
        <v>1.11</v>
      </c>
      <c r="F195">
        <v>10.99</v>
      </c>
      <c r="G195">
        <v>19986</v>
      </c>
      <c r="H195">
        <v>22820</v>
      </c>
      <c r="I195">
        <v>23628</v>
      </c>
      <c r="J195">
        <v>-42.25</v>
      </c>
      <c r="K195">
        <v>-62.42</v>
      </c>
      <c r="L195">
        <v>-68.17</v>
      </c>
      <c r="M195">
        <v>6.45</v>
      </c>
      <c r="N195" t="b">
        <v>1</v>
      </c>
      <c r="O195">
        <v>1697</v>
      </c>
      <c r="P195" t="s">
        <v>208</v>
      </c>
      <c r="Q195" t="s">
        <v>2414</v>
      </c>
      <c r="R195">
        <v>9.901335949959012</v>
      </c>
      <c r="S195">
        <v>17334</v>
      </c>
      <c r="T195">
        <v>697891</v>
      </c>
      <c r="U195" t="s">
        <v>4180</v>
      </c>
      <c r="V195">
        <v>63.38</v>
      </c>
      <c r="W195" t="s">
        <v>6400</v>
      </c>
      <c r="X195" t="s">
        <v>8573</v>
      </c>
      <c r="Y195">
        <v>244226</v>
      </c>
      <c r="Z195">
        <v>6053</v>
      </c>
      <c r="AA195">
        <v>258</v>
      </c>
      <c r="AB195">
        <v>3.75</v>
      </c>
    </row>
    <row r="196" spans="1:28">
      <c r="A196" s="2">
        <f>HYPERLINK("https://finance.naver.com/item/coinfo.nhn?code=120110", "A120110")</f>
        <v>0</v>
      </c>
      <c r="B196">
        <f>HYPERLINK("http://comp.fnguide.com/SVO2/ASP/SVD_Consensus.asp?pGB=1&amp;gicode=A120110&amp;cID=&amp;MenuYn=Y&amp;ReportGB=&amp;NewMenuID=108&amp;stkGb=701", "코오롱인더")</f>
        <v>0</v>
      </c>
      <c r="C196">
        <v>3</v>
      </c>
      <c r="D196">
        <v>40600</v>
      </c>
      <c r="E196">
        <v>-3.8</v>
      </c>
      <c r="F196">
        <v>45.55</v>
      </c>
      <c r="G196">
        <v>27047</v>
      </c>
      <c r="H196">
        <v>55689</v>
      </c>
      <c r="I196">
        <v>63851</v>
      </c>
      <c r="J196">
        <v>33.38</v>
      </c>
      <c r="K196">
        <v>-37.17</v>
      </c>
      <c r="L196">
        <v>-57.27</v>
      </c>
      <c r="M196">
        <v>2.89</v>
      </c>
      <c r="N196" t="b">
        <v>0</v>
      </c>
      <c r="O196">
        <v>1092</v>
      </c>
      <c r="P196" t="s">
        <v>209</v>
      </c>
      <c r="Q196" t="s">
        <v>2415</v>
      </c>
      <c r="R196">
        <v>-11.97699157989753</v>
      </c>
      <c r="S196">
        <v>10953</v>
      </c>
      <c r="T196">
        <v>216617</v>
      </c>
      <c r="U196" t="s">
        <v>4181</v>
      </c>
      <c r="V196">
        <v>37.14</v>
      </c>
      <c r="W196" t="s">
        <v>6401</v>
      </c>
      <c r="X196" t="s">
        <v>8574</v>
      </c>
      <c r="Y196">
        <v>44072</v>
      </c>
      <c r="Z196">
        <v>1729</v>
      </c>
      <c r="AB196">
        <v>1.81</v>
      </c>
    </row>
    <row r="197" spans="1:28">
      <c r="A197" s="2">
        <f>HYPERLINK("https://finance.naver.com/item/coinfo.nhn?code=056360", "A056360")</f>
        <v>0</v>
      </c>
      <c r="B197">
        <f>HYPERLINK("http://comp.fnguide.com/SVO2/ASP/SVD_Consensus.asp?pGB=1&amp;gicode=A056360&amp;cID=&amp;MenuYn=Y&amp;ReportGB=&amp;NewMenuID=108&amp;stkGb=701", "코위버")</f>
        <v>0</v>
      </c>
      <c r="C197">
        <v>3</v>
      </c>
      <c r="D197">
        <v>10100</v>
      </c>
      <c r="E197">
        <v>-0.47</v>
      </c>
      <c r="F197">
        <v>4.2</v>
      </c>
      <c r="G197">
        <v>20337</v>
      </c>
      <c r="H197">
        <v>15742</v>
      </c>
      <c r="I197">
        <v>14433</v>
      </c>
      <c r="J197">
        <v>-101.35</v>
      </c>
      <c r="K197">
        <v>-55.86</v>
      </c>
      <c r="L197">
        <v>-42.9</v>
      </c>
      <c r="M197">
        <v>12.77</v>
      </c>
      <c r="N197" t="b">
        <v>1</v>
      </c>
      <c r="O197">
        <v>2107</v>
      </c>
      <c r="P197" t="s">
        <v>210</v>
      </c>
      <c r="Q197" t="s">
        <v>2416</v>
      </c>
      <c r="R197">
        <v>-8.972120482559143</v>
      </c>
      <c r="S197">
        <v>989</v>
      </c>
      <c r="T197">
        <v>130929</v>
      </c>
      <c r="U197" t="s">
        <v>4182</v>
      </c>
      <c r="V197">
        <v>28.91</v>
      </c>
      <c r="W197" t="s">
        <v>6402</v>
      </c>
      <c r="X197" t="s">
        <v>8575</v>
      </c>
      <c r="Y197">
        <v>1131</v>
      </c>
      <c r="Z197">
        <v>117</v>
      </c>
      <c r="AA197">
        <v>450345</v>
      </c>
      <c r="AB197">
        <v>2.26</v>
      </c>
    </row>
    <row r="198" spans="1:28">
      <c r="A198" s="2">
        <f>HYPERLINK("https://finance.naver.com/item/coinfo.nhn?code=001560", "A001560")</f>
        <v>0</v>
      </c>
      <c r="B198">
        <f>HYPERLINK("http://comp.fnguide.com/SVO2/ASP/SVD_Consensus.asp?pGB=1&amp;gicode=A001560&amp;cID=&amp;MenuYn=Y&amp;ReportGB=&amp;NewMenuID=108&amp;stkGb=701", "제일연마")</f>
        <v>0</v>
      </c>
      <c r="C198">
        <v>3</v>
      </c>
      <c r="D198">
        <v>6940</v>
      </c>
      <c r="E198">
        <v>1.87</v>
      </c>
      <c r="F198">
        <v>12.16</v>
      </c>
      <c r="G198">
        <v>10038</v>
      </c>
      <c r="H198">
        <v>10736</v>
      </c>
      <c r="I198">
        <v>10935</v>
      </c>
      <c r="J198">
        <v>-44.64</v>
      </c>
      <c r="K198">
        <v>-54.7</v>
      </c>
      <c r="L198">
        <v>-57.57</v>
      </c>
      <c r="M198">
        <v>7.14</v>
      </c>
      <c r="N198" t="b">
        <v>1</v>
      </c>
      <c r="O198">
        <v>640</v>
      </c>
      <c r="P198" t="s">
        <v>211</v>
      </c>
      <c r="Q198" t="s">
        <v>2417</v>
      </c>
      <c r="R198">
        <v>6.490502556762667</v>
      </c>
      <c r="S198">
        <v>694</v>
      </c>
      <c r="T198">
        <v>4017</v>
      </c>
      <c r="U198" t="s">
        <v>4183</v>
      </c>
      <c r="V198">
        <v>50.92</v>
      </c>
      <c r="W198" t="s">
        <v>6403</v>
      </c>
      <c r="X198" t="s">
        <v>8576</v>
      </c>
      <c r="Y198">
        <v>811</v>
      </c>
      <c r="Z198">
        <v>69</v>
      </c>
      <c r="AA198">
        <v>2500000</v>
      </c>
      <c r="AB198">
        <v>2.83</v>
      </c>
    </row>
    <row r="199" spans="1:28">
      <c r="A199" s="2">
        <f>HYPERLINK("https://finance.naver.com/item/coinfo.nhn?code=071320", "A071320")</f>
        <v>0</v>
      </c>
      <c r="B199">
        <f>HYPERLINK("http://comp.fnguide.com/SVO2/ASP/SVD_Consensus.asp?pGB=1&amp;gicode=A071320&amp;cID=&amp;MenuYn=Y&amp;ReportGB=&amp;NewMenuID=108&amp;stkGb=701", "지역난방공사")</f>
        <v>0</v>
      </c>
      <c r="C199">
        <v>3</v>
      </c>
      <c r="D199">
        <v>40000</v>
      </c>
      <c r="G199">
        <v>10634</v>
      </c>
      <c r="H199">
        <v>83607</v>
      </c>
      <c r="I199">
        <v>104401</v>
      </c>
      <c r="J199">
        <v>73.41</v>
      </c>
      <c r="K199">
        <v>-109.02</v>
      </c>
      <c r="L199">
        <v>-161</v>
      </c>
      <c r="M199">
        <v>0.64</v>
      </c>
      <c r="N199" t="b">
        <v>0</v>
      </c>
      <c r="O199">
        <v>-2209</v>
      </c>
      <c r="P199" t="s">
        <v>212</v>
      </c>
      <c r="Q199" t="s">
        <v>2418</v>
      </c>
      <c r="R199">
        <v>-22.36019062362402</v>
      </c>
      <c r="S199">
        <v>4632</v>
      </c>
      <c r="T199">
        <v>10039</v>
      </c>
      <c r="U199" t="s">
        <v>4184</v>
      </c>
      <c r="V199">
        <v>75</v>
      </c>
      <c r="W199" t="s">
        <v>6404</v>
      </c>
      <c r="X199" t="s">
        <v>8577</v>
      </c>
      <c r="Y199">
        <v>23679</v>
      </c>
      <c r="Z199">
        <v>422</v>
      </c>
    </row>
    <row r="200" spans="1:28">
      <c r="A200" s="2">
        <f>HYPERLINK("https://finance.naver.com/item/coinfo.nhn?code=002620", "A002620")</f>
        <v>0</v>
      </c>
      <c r="B200">
        <f>HYPERLINK("http://comp.fnguide.com/SVO2/ASP/SVD_Consensus.asp?pGB=1&amp;gicode=A002620&amp;cID=&amp;MenuYn=Y&amp;ReportGB=&amp;NewMenuID=108&amp;stkGb=701", "제일파마홀딩스")</f>
        <v>0</v>
      </c>
      <c r="C200">
        <v>3</v>
      </c>
      <c r="D200">
        <v>24050</v>
      </c>
      <c r="G200">
        <v>125615</v>
      </c>
      <c r="H200">
        <v>65543</v>
      </c>
      <c r="I200">
        <v>48425</v>
      </c>
      <c r="J200">
        <v>-422.31</v>
      </c>
      <c r="K200">
        <v>-172.53</v>
      </c>
      <c r="L200">
        <v>-101.35</v>
      </c>
      <c r="M200">
        <v>39.06</v>
      </c>
      <c r="N200" t="b">
        <v>0</v>
      </c>
      <c r="O200">
        <v>-5676</v>
      </c>
      <c r="P200" t="s">
        <v>213</v>
      </c>
      <c r="Q200" t="s">
        <v>2419</v>
      </c>
      <c r="R200">
        <v>27.35199296967718</v>
      </c>
      <c r="S200">
        <v>3842</v>
      </c>
      <c r="T200">
        <v>91807</v>
      </c>
      <c r="U200" t="s">
        <v>4185</v>
      </c>
      <c r="V200">
        <v>73.16</v>
      </c>
      <c r="W200" t="s">
        <v>6405</v>
      </c>
      <c r="X200" t="s">
        <v>8578</v>
      </c>
      <c r="Y200">
        <v>7311</v>
      </c>
      <c r="Z200">
        <v>90</v>
      </c>
      <c r="AA200">
        <v>622230</v>
      </c>
      <c r="AB200">
        <v>0.41</v>
      </c>
    </row>
    <row r="201" spans="1:28">
      <c r="A201" s="2">
        <f>HYPERLINK("https://finance.naver.com/item/coinfo.nhn?code=006220", "A006220")</f>
        <v>0</v>
      </c>
      <c r="B201">
        <f>HYPERLINK("http://comp.fnguide.com/SVO2/ASP/SVD_Consensus.asp?pGB=1&amp;gicode=A006220&amp;cID=&amp;MenuYn=Y&amp;ReportGB=&amp;NewMenuID=108&amp;stkGb=701", "제주은행")</f>
        <v>0</v>
      </c>
      <c r="C201">
        <v>3</v>
      </c>
      <c r="D201">
        <v>3425</v>
      </c>
      <c r="E201">
        <v>1.99</v>
      </c>
      <c r="F201">
        <v>4.66</v>
      </c>
      <c r="G201">
        <v>11846</v>
      </c>
      <c r="H201">
        <v>14036</v>
      </c>
      <c r="I201">
        <v>14660</v>
      </c>
      <c r="J201">
        <v>-245.88</v>
      </c>
      <c r="K201">
        <v>-309.81</v>
      </c>
      <c r="L201">
        <v>-328.03</v>
      </c>
      <c r="M201">
        <v>6.09</v>
      </c>
      <c r="N201" t="b">
        <v>0</v>
      </c>
      <c r="O201">
        <v>869</v>
      </c>
      <c r="P201" t="s">
        <v>214</v>
      </c>
      <c r="Q201" t="s">
        <v>2420</v>
      </c>
      <c r="R201">
        <v>2.339831735155351</v>
      </c>
      <c r="S201">
        <v>1100</v>
      </c>
      <c r="T201">
        <v>14070</v>
      </c>
      <c r="U201" t="s">
        <v>4186</v>
      </c>
      <c r="V201">
        <v>75.31</v>
      </c>
      <c r="W201" t="s">
        <v>6406</v>
      </c>
      <c r="X201" t="s">
        <v>8579</v>
      </c>
      <c r="Y201">
        <v>2013</v>
      </c>
      <c r="Z201">
        <v>372</v>
      </c>
      <c r="AB201">
        <v>2.47</v>
      </c>
    </row>
    <row r="202" spans="1:28">
      <c r="A202" s="2">
        <f>HYPERLINK("https://finance.naver.com/item/coinfo.nhn?code=004910", "A004910")</f>
        <v>0</v>
      </c>
      <c r="B202">
        <f>HYPERLINK("http://comp.fnguide.com/SVO2/ASP/SVD_Consensus.asp?pGB=1&amp;gicode=A004910&amp;cID=&amp;MenuYn=Y&amp;ReportGB=&amp;NewMenuID=108&amp;stkGb=701", "조광페인트")</f>
        <v>0</v>
      </c>
      <c r="C202">
        <v>3</v>
      </c>
      <c r="D202">
        <v>5630</v>
      </c>
      <c r="G202">
        <v>843</v>
      </c>
      <c r="H202">
        <v>10597</v>
      </c>
      <c r="I202">
        <v>13376</v>
      </c>
      <c r="J202">
        <v>85.03</v>
      </c>
      <c r="K202">
        <v>-88.22</v>
      </c>
      <c r="L202">
        <v>-137.59</v>
      </c>
      <c r="M202">
        <v>0.39</v>
      </c>
      <c r="N202" t="b">
        <v>0</v>
      </c>
      <c r="O202">
        <v>-181</v>
      </c>
      <c r="P202" t="s">
        <v>215</v>
      </c>
      <c r="Q202" t="s">
        <v>2421</v>
      </c>
      <c r="R202">
        <v>15.31371732128532</v>
      </c>
      <c r="S202">
        <v>721</v>
      </c>
      <c r="T202">
        <v>58197</v>
      </c>
      <c r="U202" t="s">
        <v>4187</v>
      </c>
      <c r="V202">
        <v>37.78</v>
      </c>
      <c r="W202" t="s">
        <v>6407</v>
      </c>
      <c r="X202" t="s">
        <v>8580</v>
      </c>
      <c r="Y202">
        <v>2034</v>
      </c>
      <c r="Z202">
        <v>-4</v>
      </c>
      <c r="AA202">
        <v>2687000</v>
      </c>
      <c r="AB202">
        <v>3.64</v>
      </c>
    </row>
    <row r="203" spans="1:28">
      <c r="A203" s="2">
        <f>HYPERLINK("https://finance.naver.com/item/coinfo.nhn?code=004700", "A004700")</f>
        <v>0</v>
      </c>
      <c r="B203">
        <f>HYPERLINK("http://comp.fnguide.com/SVO2/ASP/SVD_Consensus.asp?pGB=1&amp;gicode=A004700&amp;cID=&amp;MenuYn=Y&amp;ReportGB=&amp;NewMenuID=108&amp;stkGb=701", "조광피혁")</f>
        <v>0</v>
      </c>
      <c r="C203">
        <v>3</v>
      </c>
      <c r="D203">
        <v>51800</v>
      </c>
      <c r="E203">
        <v>0.76</v>
      </c>
      <c r="F203">
        <v>17.88</v>
      </c>
      <c r="G203">
        <v>63125</v>
      </c>
      <c r="H203">
        <v>71703</v>
      </c>
      <c r="I203">
        <v>74147</v>
      </c>
      <c r="J203">
        <v>-21.86</v>
      </c>
      <c r="K203">
        <v>-38.42</v>
      </c>
      <c r="L203">
        <v>-43.14</v>
      </c>
      <c r="M203">
        <v>6.5</v>
      </c>
      <c r="N203" t="b">
        <v>1</v>
      </c>
      <c r="O203">
        <v>2181</v>
      </c>
      <c r="P203" t="s">
        <v>216</v>
      </c>
      <c r="Q203" t="s">
        <v>2422</v>
      </c>
      <c r="R203">
        <v>23.4887395099856</v>
      </c>
      <c r="S203">
        <v>3444</v>
      </c>
      <c r="T203">
        <v>2538</v>
      </c>
      <c r="U203" t="s">
        <v>4188</v>
      </c>
      <c r="V203">
        <v>26.24</v>
      </c>
      <c r="W203" t="s">
        <v>6408</v>
      </c>
      <c r="X203" t="s">
        <v>8581</v>
      </c>
      <c r="Y203">
        <v>1082</v>
      </c>
      <c r="Z203">
        <v>158</v>
      </c>
      <c r="AA203">
        <v>3096215</v>
      </c>
    </row>
    <row r="204" spans="1:28">
      <c r="A204" s="2">
        <f>HYPERLINK("https://finance.naver.com/item/coinfo.nhn?code=000480", "A000480")</f>
        <v>0</v>
      </c>
      <c r="B204">
        <f>HYPERLINK("http://comp.fnguide.com/SVO2/ASP/SVD_Consensus.asp?pGB=1&amp;gicode=A000480&amp;cID=&amp;MenuYn=Y&amp;ReportGB=&amp;NewMenuID=108&amp;stkGb=701", "조선내화")</f>
        <v>0</v>
      </c>
      <c r="C204">
        <v>3</v>
      </c>
      <c r="D204">
        <v>81400</v>
      </c>
      <c r="E204">
        <v>0.64</v>
      </c>
      <c r="F204">
        <v>14.59</v>
      </c>
      <c r="G204">
        <v>128899</v>
      </c>
      <c r="H204">
        <v>162569</v>
      </c>
      <c r="I204">
        <v>172163</v>
      </c>
      <c r="J204">
        <v>-58.35</v>
      </c>
      <c r="K204">
        <v>-99.72</v>
      </c>
      <c r="L204">
        <v>-111.5</v>
      </c>
      <c r="M204">
        <v>5.55</v>
      </c>
      <c r="N204" t="b">
        <v>1</v>
      </c>
      <c r="O204">
        <v>6088</v>
      </c>
      <c r="P204" t="s">
        <v>217</v>
      </c>
      <c r="Q204" t="s">
        <v>2423</v>
      </c>
      <c r="R204">
        <v>22.85186652627453</v>
      </c>
      <c r="S204">
        <v>3256</v>
      </c>
      <c r="T204">
        <v>1707</v>
      </c>
      <c r="U204" t="s">
        <v>4189</v>
      </c>
      <c r="V204">
        <v>61.1</v>
      </c>
      <c r="W204" t="s">
        <v>6409</v>
      </c>
      <c r="X204" t="s">
        <v>8582</v>
      </c>
      <c r="Y204">
        <v>7572</v>
      </c>
      <c r="Z204">
        <v>213</v>
      </c>
      <c r="AA204">
        <v>800000</v>
      </c>
      <c r="AB204">
        <v>4.5</v>
      </c>
    </row>
    <row r="205" spans="1:28">
      <c r="A205" s="2">
        <f>HYPERLINK("https://finance.naver.com/item/coinfo.nhn?code=120030", "A120030")</f>
        <v>0</v>
      </c>
      <c r="B205">
        <f>HYPERLINK("http://comp.fnguide.com/SVO2/ASP/SVD_Consensus.asp?pGB=1&amp;gicode=A120030&amp;cID=&amp;MenuYn=Y&amp;ReportGB=&amp;NewMenuID=108&amp;stkGb=701", "조선선재")</f>
        <v>0</v>
      </c>
      <c r="C205">
        <v>3</v>
      </c>
      <c r="D205">
        <v>106500</v>
      </c>
      <c r="E205">
        <v>-1.57</v>
      </c>
      <c r="F205">
        <v>8.109999999999999</v>
      </c>
      <c r="G205">
        <v>168536</v>
      </c>
      <c r="H205">
        <v>130872</v>
      </c>
      <c r="I205">
        <v>120139</v>
      </c>
      <c r="J205">
        <v>-58.25</v>
      </c>
      <c r="K205">
        <v>-22.88</v>
      </c>
      <c r="L205">
        <v>-12.81</v>
      </c>
      <c r="M205">
        <v>12.69</v>
      </c>
      <c r="N205" t="b">
        <v>1</v>
      </c>
      <c r="O205">
        <v>10187</v>
      </c>
      <c r="P205" t="s">
        <v>218</v>
      </c>
      <c r="Q205" t="s">
        <v>2424</v>
      </c>
      <c r="R205">
        <v>-5.176120342330337</v>
      </c>
      <c r="S205">
        <v>1339</v>
      </c>
      <c r="T205">
        <v>4895</v>
      </c>
      <c r="U205" t="s">
        <v>4190</v>
      </c>
      <c r="V205">
        <v>51.84</v>
      </c>
      <c r="W205" t="s">
        <v>6410</v>
      </c>
      <c r="X205" t="s">
        <v>8583</v>
      </c>
      <c r="Y205">
        <v>640</v>
      </c>
      <c r="Z205">
        <v>141</v>
      </c>
      <c r="AA205">
        <v>213717</v>
      </c>
      <c r="AB205">
        <v>1.82</v>
      </c>
    </row>
    <row r="206" spans="1:28">
      <c r="A206" s="2">
        <f>HYPERLINK("https://finance.naver.com/item/coinfo.nhn?code=018470", "A018470")</f>
        <v>0</v>
      </c>
      <c r="B206">
        <f>HYPERLINK("http://comp.fnguide.com/SVO2/ASP/SVD_Consensus.asp?pGB=1&amp;gicode=A018470&amp;cID=&amp;MenuYn=Y&amp;ReportGB=&amp;NewMenuID=108&amp;stkGb=701", "조일알미늄")</f>
        <v>0</v>
      </c>
      <c r="C206">
        <v>3</v>
      </c>
      <c r="D206">
        <v>796</v>
      </c>
      <c r="E206">
        <v>0</v>
      </c>
      <c r="G206">
        <v>0</v>
      </c>
      <c r="H206">
        <v>972</v>
      </c>
      <c r="I206">
        <v>1249</v>
      </c>
      <c r="J206">
        <v>100</v>
      </c>
      <c r="K206">
        <v>-22.12</v>
      </c>
      <c r="L206">
        <v>-56.91</v>
      </c>
      <c r="M206">
        <v>0</v>
      </c>
      <c r="N206" t="b">
        <v>0</v>
      </c>
      <c r="O206">
        <v>-1093</v>
      </c>
      <c r="P206" t="s">
        <v>219</v>
      </c>
      <c r="Q206" t="s">
        <v>2276</v>
      </c>
      <c r="R206">
        <v>0</v>
      </c>
      <c r="S206">
        <v>558</v>
      </c>
      <c r="T206">
        <v>314601</v>
      </c>
      <c r="U206" t="s">
        <v>4191</v>
      </c>
      <c r="V206">
        <v>65.56</v>
      </c>
      <c r="W206" t="s">
        <v>6411</v>
      </c>
      <c r="X206" t="s">
        <v>968</v>
      </c>
      <c r="Y206">
        <v>3118</v>
      </c>
      <c r="Z206">
        <v>-122</v>
      </c>
    </row>
    <row r="207" spans="1:28">
      <c r="A207" s="2">
        <f>HYPERLINK("https://finance.naver.com/item/coinfo.nhn?code=002600", "A002600")</f>
        <v>0</v>
      </c>
      <c r="B207">
        <f>HYPERLINK("http://comp.fnguide.com/SVO2/ASP/SVD_Consensus.asp?pGB=1&amp;gicode=A002600&amp;cID=&amp;MenuYn=Y&amp;ReportGB=&amp;NewMenuID=108&amp;stkGb=701", "조흥")</f>
        <v>0</v>
      </c>
      <c r="C207">
        <v>3</v>
      </c>
      <c r="D207">
        <v>178000</v>
      </c>
      <c r="E207">
        <v>1.34</v>
      </c>
      <c r="F207">
        <v>11.43</v>
      </c>
      <c r="G207">
        <v>185954</v>
      </c>
      <c r="H207">
        <v>203907</v>
      </c>
      <c r="I207">
        <v>209022</v>
      </c>
      <c r="J207">
        <v>-4.47</v>
      </c>
      <c r="K207">
        <v>-14.55</v>
      </c>
      <c r="L207">
        <v>-17.43</v>
      </c>
      <c r="M207">
        <v>6.87</v>
      </c>
      <c r="N207" t="b">
        <v>1</v>
      </c>
      <c r="O207">
        <v>13076</v>
      </c>
      <c r="P207" t="s">
        <v>220</v>
      </c>
      <c r="Q207" t="s">
        <v>2425</v>
      </c>
      <c r="R207">
        <v>8.521712404754744</v>
      </c>
      <c r="S207">
        <v>1068</v>
      </c>
      <c r="T207">
        <v>152</v>
      </c>
      <c r="U207" t="s">
        <v>4192</v>
      </c>
      <c r="V207">
        <v>67.23</v>
      </c>
      <c r="W207" t="s">
        <v>6412</v>
      </c>
      <c r="X207" t="s">
        <v>8584</v>
      </c>
      <c r="Y207">
        <v>1951</v>
      </c>
      <c r="Z207">
        <v>123</v>
      </c>
      <c r="AB207">
        <v>4.01</v>
      </c>
    </row>
    <row r="208" spans="1:28">
      <c r="A208" s="2">
        <f>HYPERLINK("https://finance.naver.com/item/coinfo.nhn?code=900250", "A900250")</f>
        <v>0</v>
      </c>
      <c r="B208">
        <f>HYPERLINK("http://comp.fnguide.com/SVO2/ASP/SVD_Consensus.asp?pGB=1&amp;gicode=A900250&amp;cID=&amp;MenuYn=Y&amp;ReportGB=&amp;NewMenuID=108&amp;stkGb=701", "크리스탈신소재")</f>
        <v>0</v>
      </c>
      <c r="C208">
        <v>3</v>
      </c>
      <c r="D208">
        <v>1795</v>
      </c>
      <c r="E208">
        <v>-1.13</v>
      </c>
      <c r="F208">
        <v>5.25</v>
      </c>
      <c r="G208">
        <v>5125</v>
      </c>
      <c r="H208">
        <v>4393</v>
      </c>
      <c r="I208">
        <v>4184</v>
      </c>
      <c r="J208">
        <v>-185.54</v>
      </c>
      <c r="K208">
        <v>-144.74</v>
      </c>
      <c r="L208">
        <v>-133.11</v>
      </c>
      <c r="M208">
        <v>10.46</v>
      </c>
      <c r="N208" t="b">
        <v>0</v>
      </c>
      <c r="O208">
        <v>334</v>
      </c>
      <c r="P208" t="s">
        <v>221</v>
      </c>
      <c r="Q208" t="s">
        <v>2426</v>
      </c>
      <c r="R208">
        <v>-4.643127864344965</v>
      </c>
      <c r="S208">
        <v>1217</v>
      </c>
      <c r="T208">
        <v>1802427</v>
      </c>
      <c r="U208" t="s">
        <v>4193</v>
      </c>
      <c r="V208">
        <v>21.85</v>
      </c>
      <c r="W208" t="s">
        <v>6413</v>
      </c>
      <c r="X208" t="s">
        <v>8585</v>
      </c>
      <c r="Y208">
        <v>846</v>
      </c>
      <c r="Z208">
        <v>285</v>
      </c>
    </row>
    <row r="209" spans="1:28">
      <c r="A209" s="2">
        <f>HYPERLINK("https://finance.naver.com/item/coinfo.nhn?code=110790", "A110790")</f>
        <v>0</v>
      </c>
      <c r="B209">
        <f>HYPERLINK("http://comp.fnguide.com/SVO2/ASP/SVD_Consensus.asp?pGB=1&amp;gicode=A110790&amp;cID=&amp;MenuYn=Y&amp;ReportGB=&amp;NewMenuID=108&amp;stkGb=701", "크리스에프앤씨")</f>
        <v>0</v>
      </c>
      <c r="C209">
        <v>3</v>
      </c>
      <c r="D209">
        <v>22000</v>
      </c>
      <c r="E209">
        <v>4.56</v>
      </c>
      <c r="F209">
        <v>8.94</v>
      </c>
      <c r="G209">
        <v>45558</v>
      </c>
      <c r="H209">
        <v>30212</v>
      </c>
      <c r="I209">
        <v>25839</v>
      </c>
      <c r="J209">
        <v>-107.08</v>
      </c>
      <c r="K209">
        <v>-37.33</v>
      </c>
      <c r="L209">
        <v>-17.45</v>
      </c>
      <c r="M209">
        <v>18.14</v>
      </c>
      <c r="N209" t="b">
        <v>1</v>
      </c>
      <c r="O209">
        <v>2119</v>
      </c>
      <c r="P209" t="s">
        <v>222</v>
      </c>
      <c r="Q209" t="s">
        <v>2427</v>
      </c>
      <c r="R209">
        <v>1.96150059370066</v>
      </c>
      <c r="S209">
        <v>2577</v>
      </c>
      <c r="T209">
        <v>10577</v>
      </c>
      <c r="U209" t="s">
        <v>4194</v>
      </c>
      <c r="V209">
        <v>40.12</v>
      </c>
      <c r="W209" t="s">
        <v>6414</v>
      </c>
      <c r="X209" t="s">
        <v>8586</v>
      </c>
      <c r="Y209">
        <v>2595</v>
      </c>
      <c r="Z209">
        <v>377</v>
      </c>
      <c r="AA209">
        <v>874441</v>
      </c>
      <c r="AB209">
        <v>2.11</v>
      </c>
    </row>
    <row r="210" spans="1:28">
      <c r="A210" s="2">
        <f>HYPERLINK("https://finance.naver.com/item/coinfo.nhn?code=013870", "A013870")</f>
        <v>0</v>
      </c>
      <c r="B210">
        <f>HYPERLINK("http://comp.fnguide.com/SVO2/ASP/SVD_Consensus.asp?pGB=1&amp;gicode=A013870&amp;cID=&amp;MenuYn=Y&amp;ReportGB=&amp;NewMenuID=108&amp;stkGb=701", "지엠비코리아")</f>
        <v>0</v>
      </c>
      <c r="C210">
        <v>3</v>
      </c>
      <c r="D210">
        <v>8030</v>
      </c>
      <c r="E210">
        <v>-1.1</v>
      </c>
      <c r="F210">
        <v>34.27</v>
      </c>
      <c r="G210">
        <v>2197</v>
      </c>
      <c r="H210">
        <v>8003</v>
      </c>
      <c r="I210">
        <v>9657</v>
      </c>
      <c r="J210">
        <v>72.63</v>
      </c>
      <c r="K210">
        <v>0.33</v>
      </c>
      <c r="L210">
        <v>-20.27</v>
      </c>
      <c r="M210">
        <v>1.48</v>
      </c>
      <c r="N210" t="b">
        <v>0</v>
      </c>
      <c r="O210">
        <v>143</v>
      </c>
      <c r="P210" t="s">
        <v>223</v>
      </c>
      <c r="Q210" t="s">
        <v>2428</v>
      </c>
      <c r="R210">
        <v>-31.13461144130849</v>
      </c>
      <c r="S210">
        <v>1532</v>
      </c>
      <c r="T210">
        <v>262641</v>
      </c>
      <c r="U210" t="s">
        <v>4195</v>
      </c>
      <c r="V210">
        <v>58.98</v>
      </c>
      <c r="W210" t="s">
        <v>6415</v>
      </c>
      <c r="X210" t="s">
        <v>8587</v>
      </c>
      <c r="Y210">
        <v>4775</v>
      </c>
      <c r="Z210">
        <v>85</v>
      </c>
      <c r="AB210">
        <v>0.61</v>
      </c>
    </row>
    <row r="211" spans="1:28">
      <c r="A211" s="2">
        <f>HYPERLINK("https://finance.naver.com/item/coinfo.nhn?code=035000", "A035000")</f>
        <v>0</v>
      </c>
      <c r="B211">
        <f>HYPERLINK("http://comp.fnguide.com/SVO2/ASP/SVD_Consensus.asp?pGB=1&amp;gicode=A035000&amp;cID=&amp;MenuYn=Y&amp;ReportGB=&amp;NewMenuID=108&amp;stkGb=701", "지투알")</f>
        <v>0</v>
      </c>
      <c r="C211">
        <v>3</v>
      </c>
      <c r="D211">
        <v>5760</v>
      </c>
      <c r="E211">
        <v>1</v>
      </c>
      <c r="F211">
        <v>7.11</v>
      </c>
      <c r="G211">
        <v>12250</v>
      </c>
      <c r="H211">
        <v>10187</v>
      </c>
      <c r="I211">
        <v>9599</v>
      </c>
      <c r="J211">
        <v>-112.67</v>
      </c>
      <c r="K211">
        <v>-76.86</v>
      </c>
      <c r="L211">
        <v>-66.66</v>
      </c>
      <c r="M211">
        <v>11.07</v>
      </c>
      <c r="N211" t="b">
        <v>1</v>
      </c>
      <c r="O211">
        <v>921</v>
      </c>
      <c r="P211" t="s">
        <v>224</v>
      </c>
      <c r="Q211" t="s">
        <v>2429</v>
      </c>
      <c r="R211">
        <v>7.094707229278807</v>
      </c>
      <c r="S211">
        <v>954</v>
      </c>
      <c r="T211">
        <v>53542</v>
      </c>
      <c r="U211" t="s">
        <v>4196</v>
      </c>
      <c r="V211">
        <v>35</v>
      </c>
      <c r="W211" t="s">
        <v>6416</v>
      </c>
      <c r="X211" t="s">
        <v>8588</v>
      </c>
      <c r="Y211">
        <v>5421</v>
      </c>
      <c r="Z211">
        <v>219</v>
      </c>
      <c r="AA211">
        <v>359765</v>
      </c>
      <c r="AB211">
        <v>4.58</v>
      </c>
    </row>
    <row r="212" spans="1:28">
      <c r="A212" s="2">
        <f>HYPERLINK("https://finance.naver.com/item/coinfo.nhn?code=044820", "A044820")</f>
        <v>0</v>
      </c>
      <c r="B212">
        <f>HYPERLINK("http://comp.fnguide.com/SVO2/ASP/SVD_Consensus.asp?pGB=1&amp;gicode=A044820&amp;cID=&amp;MenuYn=Y&amp;ReportGB=&amp;NewMenuID=108&amp;stkGb=701", "코스맥스비티아이")</f>
        <v>0</v>
      </c>
      <c r="C212">
        <v>3</v>
      </c>
      <c r="D212">
        <v>16300</v>
      </c>
      <c r="E212">
        <v>-8.720000000000001</v>
      </c>
      <c r="F212">
        <v>323.72</v>
      </c>
      <c r="G212">
        <v>5512</v>
      </c>
      <c r="H212">
        <v>21562</v>
      </c>
      <c r="I212">
        <v>26135</v>
      </c>
      <c r="J212">
        <v>66.18000000000001</v>
      </c>
      <c r="K212">
        <v>-32.28</v>
      </c>
      <c r="L212">
        <v>-60.34</v>
      </c>
      <c r="M212">
        <v>1.36</v>
      </c>
      <c r="N212" t="b">
        <v>0</v>
      </c>
      <c r="O212">
        <v>42</v>
      </c>
      <c r="P212" t="s">
        <v>225</v>
      </c>
      <c r="Q212" t="s">
        <v>2430</v>
      </c>
      <c r="R212">
        <v>-37.13630955624794</v>
      </c>
      <c r="S212">
        <v>1565</v>
      </c>
      <c r="T212">
        <v>40818</v>
      </c>
      <c r="U212" t="s">
        <v>4197</v>
      </c>
      <c r="V212">
        <v>61.04</v>
      </c>
      <c r="W212" t="s">
        <v>6417</v>
      </c>
      <c r="X212" t="s">
        <v>8589</v>
      </c>
      <c r="Y212">
        <v>4684</v>
      </c>
      <c r="Z212">
        <v>-73</v>
      </c>
      <c r="AA212">
        <v>49082</v>
      </c>
      <c r="AB212">
        <v>1.86</v>
      </c>
    </row>
    <row r="213" spans="1:28">
      <c r="A213" s="2">
        <f>HYPERLINK("https://finance.naver.com/item/coinfo.nhn?code=088790", "A088790")</f>
        <v>0</v>
      </c>
      <c r="B213">
        <f>HYPERLINK("http://comp.fnguide.com/SVO2/ASP/SVD_Consensus.asp?pGB=1&amp;gicode=A088790&amp;cID=&amp;MenuYn=Y&amp;ReportGB=&amp;NewMenuID=108&amp;stkGb=701", "진도")</f>
        <v>0</v>
      </c>
      <c r="C213">
        <v>3</v>
      </c>
      <c r="D213">
        <v>4715</v>
      </c>
      <c r="G213">
        <v>3429</v>
      </c>
      <c r="H213">
        <v>6200</v>
      </c>
      <c r="I213">
        <v>6990</v>
      </c>
      <c r="J213">
        <v>27.28</v>
      </c>
      <c r="K213">
        <v>-31.5</v>
      </c>
      <c r="L213">
        <v>-48.25</v>
      </c>
      <c r="M213">
        <v>3.4</v>
      </c>
      <c r="N213" t="b">
        <v>0</v>
      </c>
      <c r="O213">
        <v>-219</v>
      </c>
      <c r="P213" t="s">
        <v>226</v>
      </c>
      <c r="Q213" t="s">
        <v>2431</v>
      </c>
      <c r="R213">
        <v>14.45301757224287</v>
      </c>
      <c r="S213">
        <v>587</v>
      </c>
      <c r="T213">
        <v>1407717</v>
      </c>
      <c r="U213" t="s">
        <v>4198</v>
      </c>
      <c r="V213">
        <v>50.85</v>
      </c>
      <c r="W213" t="s">
        <v>6418</v>
      </c>
      <c r="X213" t="s">
        <v>8590</v>
      </c>
      <c r="Y213">
        <v>779</v>
      </c>
      <c r="Z213">
        <v>-29</v>
      </c>
      <c r="AB213">
        <v>2.7</v>
      </c>
    </row>
    <row r="214" spans="1:28">
      <c r="A214" s="2">
        <f>HYPERLINK("https://finance.naver.com/item/coinfo.nhn?code=100250", "A100250")</f>
        <v>0</v>
      </c>
      <c r="B214">
        <f>HYPERLINK("http://comp.fnguide.com/SVO2/ASP/SVD_Consensus.asp?pGB=1&amp;gicode=A100250&amp;cID=&amp;MenuYn=Y&amp;ReportGB=&amp;NewMenuID=108&amp;stkGb=701", "진양홀딩스")</f>
        <v>0</v>
      </c>
      <c r="C214">
        <v>3</v>
      </c>
      <c r="D214">
        <v>2805</v>
      </c>
      <c r="E214">
        <v>0.24</v>
      </c>
      <c r="F214">
        <v>9.65</v>
      </c>
      <c r="G214">
        <v>2227</v>
      </c>
      <c r="H214">
        <v>4264</v>
      </c>
      <c r="I214">
        <v>4844</v>
      </c>
      <c r="J214">
        <v>20.6</v>
      </c>
      <c r="K214">
        <v>-52.02</v>
      </c>
      <c r="L214">
        <v>-72.70999999999999</v>
      </c>
      <c r="M214">
        <v>3.16</v>
      </c>
      <c r="N214" t="b">
        <v>1</v>
      </c>
      <c r="O214">
        <v>271</v>
      </c>
      <c r="P214" t="s">
        <v>227</v>
      </c>
      <c r="Q214" t="s">
        <v>2432</v>
      </c>
      <c r="R214">
        <v>40.69823214543182</v>
      </c>
      <c r="S214">
        <v>1568</v>
      </c>
      <c r="T214">
        <v>152029</v>
      </c>
      <c r="U214" t="s">
        <v>4199</v>
      </c>
      <c r="V214">
        <v>62.94</v>
      </c>
      <c r="W214" t="s">
        <v>6419</v>
      </c>
      <c r="X214" t="s">
        <v>8591</v>
      </c>
      <c r="Y214">
        <v>2253</v>
      </c>
      <c r="Z214">
        <v>129</v>
      </c>
      <c r="AA214">
        <v>1100000</v>
      </c>
      <c r="AB214">
        <v>6.51</v>
      </c>
    </row>
    <row r="215" spans="1:28">
      <c r="A215" s="2">
        <f>HYPERLINK("https://finance.naver.com/item/coinfo.nhn?code=016600", "A016600")</f>
        <v>0</v>
      </c>
      <c r="B215">
        <f>HYPERLINK("http://comp.fnguide.com/SVO2/ASP/SVD_Consensus.asp?pGB=1&amp;gicode=A016600&amp;cID=&amp;MenuYn=Y&amp;ReportGB=&amp;NewMenuID=108&amp;stkGb=701", "큐캐피탈")</f>
        <v>0</v>
      </c>
      <c r="C215">
        <v>3</v>
      </c>
      <c r="D215">
        <v>580</v>
      </c>
      <c r="E215">
        <v>0</v>
      </c>
      <c r="F215">
        <v>19.22</v>
      </c>
      <c r="G215">
        <v>357</v>
      </c>
      <c r="H215">
        <v>552</v>
      </c>
      <c r="I215">
        <v>607</v>
      </c>
      <c r="J215">
        <v>38.5</v>
      </c>
      <c r="K215">
        <v>4.91</v>
      </c>
      <c r="L215">
        <v>-4.67</v>
      </c>
      <c r="M215">
        <v>4.17</v>
      </c>
      <c r="N215" t="b">
        <v>0</v>
      </c>
      <c r="O215">
        <v>36</v>
      </c>
      <c r="P215" t="s">
        <v>228</v>
      </c>
      <c r="Q215" t="s">
        <v>2433</v>
      </c>
      <c r="R215">
        <v>-60.56473563573411</v>
      </c>
      <c r="S215">
        <v>974</v>
      </c>
      <c r="T215">
        <v>1326552</v>
      </c>
      <c r="U215" t="s">
        <v>4200</v>
      </c>
      <c r="V215">
        <v>45.2</v>
      </c>
      <c r="W215" t="s">
        <v>6420</v>
      </c>
      <c r="X215" t="s">
        <v>8592</v>
      </c>
      <c r="Y215">
        <v>116</v>
      </c>
      <c r="Z215">
        <v>15</v>
      </c>
      <c r="AA215">
        <v>3727090</v>
      </c>
    </row>
    <row r="216" spans="1:28">
      <c r="A216" s="2">
        <f>HYPERLINK("https://finance.naver.com/item/coinfo.nhn?code=126600", "A126600")</f>
        <v>0</v>
      </c>
      <c r="B216">
        <f>HYPERLINK("http://comp.fnguide.com/SVO2/ASP/SVD_Consensus.asp?pGB=1&amp;gicode=A126600&amp;cID=&amp;MenuYn=Y&amp;ReportGB=&amp;NewMenuID=108&amp;stkGb=701", "코프라")</f>
        <v>0</v>
      </c>
      <c r="C216">
        <v>3</v>
      </c>
      <c r="D216">
        <v>4240</v>
      </c>
      <c r="E216">
        <v>-2.41</v>
      </c>
      <c r="F216">
        <v>8.779999999999999</v>
      </c>
      <c r="G216">
        <v>4638</v>
      </c>
      <c r="H216">
        <v>5085</v>
      </c>
      <c r="I216">
        <v>5212</v>
      </c>
      <c r="J216">
        <v>-9.380000000000001</v>
      </c>
      <c r="K216">
        <v>-19.92</v>
      </c>
      <c r="L216">
        <v>-22.92</v>
      </c>
      <c r="M216">
        <v>6.87</v>
      </c>
      <c r="N216" t="b">
        <v>1</v>
      </c>
      <c r="O216">
        <v>424</v>
      </c>
      <c r="P216" t="s">
        <v>229</v>
      </c>
      <c r="Q216" t="s">
        <v>2434</v>
      </c>
      <c r="R216">
        <v>-3.641961695379603</v>
      </c>
      <c r="S216">
        <v>895</v>
      </c>
      <c r="T216">
        <v>232638</v>
      </c>
      <c r="U216" t="s">
        <v>4201</v>
      </c>
      <c r="V216">
        <v>34.17</v>
      </c>
      <c r="W216" t="s">
        <v>6421</v>
      </c>
      <c r="X216" t="s">
        <v>8593</v>
      </c>
      <c r="Y216">
        <v>1829</v>
      </c>
      <c r="Z216">
        <v>91</v>
      </c>
      <c r="AA216">
        <v>842699</v>
      </c>
      <c r="AB216">
        <v>1.88</v>
      </c>
    </row>
    <row r="217" spans="1:28">
      <c r="A217" s="2">
        <f>HYPERLINK("https://finance.naver.com/item/coinfo.nhn?code=001620", "A001620")</f>
        <v>0</v>
      </c>
      <c r="B217">
        <f>HYPERLINK("http://comp.fnguide.com/SVO2/ASP/SVD_Consensus.asp?pGB=1&amp;gicode=A001620&amp;cID=&amp;MenuYn=Y&amp;ReportGB=&amp;NewMenuID=108&amp;stkGb=701", "케이비아이동국실업")</f>
        <v>0</v>
      </c>
      <c r="C217">
        <v>3</v>
      </c>
      <c r="D217">
        <v>736</v>
      </c>
      <c r="G217">
        <v>0</v>
      </c>
      <c r="H217">
        <v>1601</v>
      </c>
      <c r="I217">
        <v>2057</v>
      </c>
      <c r="J217">
        <v>100</v>
      </c>
      <c r="K217">
        <v>-117.56</v>
      </c>
      <c r="L217">
        <v>-179.55</v>
      </c>
      <c r="M217">
        <v>0</v>
      </c>
      <c r="N217" t="b">
        <v>0</v>
      </c>
      <c r="O217">
        <v>-32</v>
      </c>
      <c r="P217" t="s">
        <v>230</v>
      </c>
      <c r="Q217" t="s">
        <v>2435</v>
      </c>
      <c r="R217">
        <v>229.5</v>
      </c>
      <c r="S217">
        <v>486</v>
      </c>
      <c r="T217">
        <v>148629</v>
      </c>
      <c r="U217" t="s">
        <v>4202</v>
      </c>
      <c r="V217">
        <v>48.26</v>
      </c>
      <c r="W217" t="s">
        <v>6422</v>
      </c>
      <c r="X217" t="s">
        <v>968</v>
      </c>
      <c r="Y217">
        <v>6156</v>
      </c>
      <c r="Z217">
        <v>-140</v>
      </c>
    </row>
    <row r="218" spans="1:28">
      <c r="A218" s="2">
        <f>HYPERLINK("https://finance.naver.com/item/coinfo.nhn?code=029460", "A029460")</f>
        <v>0</v>
      </c>
      <c r="B218">
        <f>HYPERLINK("http://comp.fnguide.com/SVO2/ASP/SVD_Consensus.asp?pGB=1&amp;gicode=A029460&amp;cID=&amp;MenuYn=Y&amp;ReportGB=&amp;NewMenuID=108&amp;stkGb=701", "케이씨")</f>
        <v>0</v>
      </c>
      <c r="C218">
        <v>3</v>
      </c>
      <c r="D218">
        <v>25700</v>
      </c>
      <c r="E218">
        <v>0.18</v>
      </c>
      <c r="F218">
        <v>5.01</v>
      </c>
      <c r="G218">
        <v>151023</v>
      </c>
      <c r="H218">
        <v>82013</v>
      </c>
      <c r="I218">
        <v>62348</v>
      </c>
      <c r="J218">
        <v>-487.64</v>
      </c>
      <c r="K218">
        <v>-219.12</v>
      </c>
      <c r="L218">
        <v>-142.6</v>
      </c>
      <c r="M218">
        <v>33.28</v>
      </c>
      <c r="N218" t="b">
        <v>1</v>
      </c>
      <c r="O218">
        <v>3722</v>
      </c>
      <c r="P218" t="s">
        <v>231</v>
      </c>
      <c r="Q218" t="s">
        <v>2436</v>
      </c>
      <c r="R218">
        <v>27.14754635543952</v>
      </c>
      <c r="S218">
        <v>3483</v>
      </c>
      <c r="T218">
        <v>94733</v>
      </c>
      <c r="U218" t="s">
        <v>4203</v>
      </c>
      <c r="V218">
        <v>40.67</v>
      </c>
      <c r="W218" t="s">
        <v>6423</v>
      </c>
      <c r="X218" t="s">
        <v>8594</v>
      </c>
      <c r="Y218">
        <v>5119</v>
      </c>
      <c r="Z218">
        <v>676</v>
      </c>
      <c r="AA218">
        <v>1116836</v>
      </c>
      <c r="AB218">
        <v>1.34</v>
      </c>
    </row>
    <row r="219" spans="1:28">
      <c r="A219" s="2">
        <f>HYPERLINK("https://finance.naver.com/item/coinfo.nhn?code=052330", "A052330")</f>
        <v>0</v>
      </c>
      <c r="B219">
        <f>HYPERLINK("http://comp.fnguide.com/SVO2/ASP/SVD_Consensus.asp?pGB=1&amp;gicode=A052330&amp;cID=&amp;MenuYn=Y&amp;ReportGB=&amp;NewMenuID=108&amp;stkGb=701", "코텍")</f>
        <v>0</v>
      </c>
      <c r="C219">
        <v>3</v>
      </c>
      <c r="D219">
        <v>9170</v>
      </c>
      <c r="E219">
        <v>-0.15</v>
      </c>
      <c r="F219">
        <v>6.51</v>
      </c>
      <c r="G219">
        <v>29983</v>
      </c>
      <c r="H219">
        <v>25343</v>
      </c>
      <c r="I219">
        <v>24021</v>
      </c>
      <c r="J219">
        <v>-226.97</v>
      </c>
      <c r="K219">
        <v>-176.37</v>
      </c>
      <c r="L219">
        <v>-161.95</v>
      </c>
      <c r="M219">
        <v>10.73</v>
      </c>
      <c r="N219" t="b">
        <v>1</v>
      </c>
      <c r="O219">
        <v>1975</v>
      </c>
      <c r="P219" t="s">
        <v>232</v>
      </c>
      <c r="Q219" t="s">
        <v>2437</v>
      </c>
      <c r="R219">
        <v>-42.06807082080497</v>
      </c>
      <c r="S219">
        <v>1428</v>
      </c>
      <c r="T219">
        <v>84370</v>
      </c>
      <c r="U219" t="s">
        <v>4204</v>
      </c>
      <c r="V219">
        <v>32.95</v>
      </c>
      <c r="W219" t="s">
        <v>6424</v>
      </c>
      <c r="X219" t="s">
        <v>8595</v>
      </c>
      <c r="Y219">
        <v>2853</v>
      </c>
      <c r="Z219">
        <v>331</v>
      </c>
      <c r="AA219">
        <v>1293395</v>
      </c>
      <c r="AB219">
        <v>3.11</v>
      </c>
    </row>
    <row r="220" spans="1:28">
      <c r="A220" s="2">
        <f>HYPERLINK("https://finance.naver.com/item/coinfo.nhn?code=015710", "A015710")</f>
        <v>0</v>
      </c>
      <c r="B220">
        <f>HYPERLINK("http://comp.fnguide.com/SVO2/ASP/SVD_Consensus.asp?pGB=1&amp;gicode=A015710&amp;cID=&amp;MenuYn=Y&amp;ReportGB=&amp;NewMenuID=108&amp;stkGb=701", "코콤")</f>
        <v>0</v>
      </c>
      <c r="C220">
        <v>3</v>
      </c>
      <c r="D220">
        <v>6690</v>
      </c>
      <c r="E220">
        <v>-5.45</v>
      </c>
      <c r="F220">
        <v>13.97</v>
      </c>
      <c r="G220">
        <v>8621</v>
      </c>
      <c r="H220">
        <v>7709</v>
      </c>
      <c r="I220">
        <v>7449</v>
      </c>
      <c r="J220">
        <v>-28.87</v>
      </c>
      <c r="K220">
        <v>-15.24</v>
      </c>
      <c r="L220">
        <v>-11.35</v>
      </c>
      <c r="M220">
        <v>9.67</v>
      </c>
      <c r="N220" t="b">
        <v>1</v>
      </c>
      <c r="O220">
        <v>469</v>
      </c>
      <c r="P220" t="s">
        <v>233</v>
      </c>
      <c r="Q220" t="s">
        <v>2438</v>
      </c>
      <c r="R220">
        <v>-2.56416534226479</v>
      </c>
      <c r="S220">
        <v>1173</v>
      </c>
      <c r="T220">
        <v>103587</v>
      </c>
      <c r="U220" t="s">
        <v>4205</v>
      </c>
      <c r="V220">
        <v>59.2</v>
      </c>
      <c r="W220" t="s">
        <v>6425</v>
      </c>
      <c r="X220" t="s">
        <v>8596</v>
      </c>
      <c r="Y220">
        <v>1339</v>
      </c>
      <c r="Z220">
        <v>133</v>
      </c>
      <c r="AA220">
        <v>932563</v>
      </c>
      <c r="AB220">
        <v>2.44</v>
      </c>
    </row>
    <row r="221" spans="1:28">
      <c r="A221" s="2">
        <f>HYPERLINK("https://finance.naver.com/item/coinfo.nhn?code=152330", "A152330")</f>
        <v>0</v>
      </c>
      <c r="B221">
        <f>HYPERLINK("http://comp.fnguide.com/SVO2/ASP/SVD_Consensus.asp?pGB=1&amp;gicode=A152330&amp;cID=&amp;MenuYn=Y&amp;ReportGB=&amp;NewMenuID=108&amp;stkGb=701", "코리아오토글라스")</f>
        <v>0</v>
      </c>
      <c r="C221">
        <v>3</v>
      </c>
      <c r="D221">
        <v>16550</v>
      </c>
      <c r="E221">
        <v>-54.09</v>
      </c>
      <c r="F221">
        <v>9.779999999999999</v>
      </c>
      <c r="G221">
        <v>26113</v>
      </c>
      <c r="H221">
        <v>21265</v>
      </c>
      <c r="I221">
        <v>19884</v>
      </c>
      <c r="J221">
        <v>-57.78</v>
      </c>
      <c r="K221">
        <v>-28.49</v>
      </c>
      <c r="L221">
        <v>-20.15</v>
      </c>
      <c r="M221">
        <v>11.53</v>
      </c>
      <c r="N221" t="b">
        <v>1</v>
      </c>
      <c r="O221">
        <v>1651</v>
      </c>
      <c r="P221" t="s">
        <v>234</v>
      </c>
      <c r="Q221" t="s">
        <v>2439</v>
      </c>
      <c r="R221">
        <v>-0.1808050075914447</v>
      </c>
      <c r="S221">
        <v>3310</v>
      </c>
      <c r="T221">
        <v>0</v>
      </c>
      <c r="U221" t="s">
        <v>4206</v>
      </c>
      <c r="V221">
        <v>50.05</v>
      </c>
      <c r="W221" t="s">
        <v>6426</v>
      </c>
      <c r="X221" t="s">
        <v>8597</v>
      </c>
      <c r="Y221">
        <v>4560</v>
      </c>
      <c r="Z221">
        <v>575</v>
      </c>
      <c r="AB221">
        <v>5.57</v>
      </c>
    </row>
    <row r="222" spans="1:28">
      <c r="A222" s="2">
        <f>HYPERLINK("https://finance.naver.com/item/coinfo.nhn?code=003690", "A003690")</f>
        <v>0</v>
      </c>
      <c r="B222">
        <f>HYPERLINK("http://comp.fnguide.com/SVO2/ASP/SVD_Consensus.asp?pGB=1&amp;gicode=A003690&amp;cID=&amp;MenuYn=Y&amp;ReportGB=&amp;NewMenuID=108&amp;stkGb=701", "코리안리")</f>
        <v>0</v>
      </c>
      <c r="C222">
        <v>3</v>
      </c>
      <c r="D222">
        <v>8070</v>
      </c>
      <c r="E222">
        <v>0.86</v>
      </c>
      <c r="F222">
        <v>5.81</v>
      </c>
      <c r="G222">
        <v>19937</v>
      </c>
      <c r="H222">
        <v>22387</v>
      </c>
      <c r="I222">
        <v>23085</v>
      </c>
      <c r="J222">
        <v>-147.05</v>
      </c>
      <c r="K222">
        <v>-177.41</v>
      </c>
      <c r="L222">
        <v>-186.07</v>
      </c>
      <c r="M222">
        <v>6.62</v>
      </c>
      <c r="N222" t="b">
        <v>1</v>
      </c>
      <c r="O222">
        <v>1568</v>
      </c>
      <c r="P222" t="s">
        <v>235</v>
      </c>
      <c r="Q222" t="s">
        <v>2440</v>
      </c>
      <c r="R222">
        <v>6.753134849309306</v>
      </c>
      <c r="S222">
        <v>9714</v>
      </c>
      <c r="T222">
        <v>475445</v>
      </c>
      <c r="U222" t="s">
        <v>4207</v>
      </c>
      <c r="V222">
        <v>22.84</v>
      </c>
      <c r="W222" t="s">
        <v>6427</v>
      </c>
      <c r="X222" t="s">
        <v>8598</v>
      </c>
      <c r="Y222">
        <v>80515</v>
      </c>
      <c r="Z222">
        <v>2498</v>
      </c>
      <c r="AA222">
        <v>18100000</v>
      </c>
      <c r="AB222">
        <v>5.49</v>
      </c>
    </row>
    <row r="223" spans="1:28">
      <c r="A223" s="2">
        <f>HYPERLINK("https://finance.naver.com/item/coinfo.nhn?code=282880", "A282880")</f>
        <v>0</v>
      </c>
      <c r="B223">
        <f>HYPERLINK("http://comp.fnguide.com/SVO2/ASP/SVD_Consensus.asp?pGB=1&amp;gicode=A282880&amp;cID=&amp;MenuYn=Y&amp;ReportGB=&amp;NewMenuID=108&amp;stkGb=701", "코윈테크")</f>
        <v>0</v>
      </c>
      <c r="C223">
        <v>3</v>
      </c>
      <c r="D223">
        <v>20300</v>
      </c>
      <c r="E223">
        <v>0</v>
      </c>
      <c r="F223">
        <v>11.87</v>
      </c>
      <c r="G223">
        <v>57479</v>
      </c>
      <c r="H223">
        <v>29890</v>
      </c>
      <c r="I223">
        <v>22028</v>
      </c>
      <c r="J223">
        <v>-183.15</v>
      </c>
      <c r="K223">
        <v>-47.24</v>
      </c>
      <c r="L223">
        <v>-8.51</v>
      </c>
      <c r="M223">
        <v>39.63</v>
      </c>
      <c r="N223" t="b">
        <v>1</v>
      </c>
      <c r="O223">
        <v>2120</v>
      </c>
      <c r="P223" t="s">
        <v>236</v>
      </c>
      <c r="Q223" t="s">
        <v>2441</v>
      </c>
      <c r="R223">
        <v>0</v>
      </c>
      <c r="S223">
        <v>1878</v>
      </c>
      <c r="T223">
        <v>68414</v>
      </c>
      <c r="U223" t="s">
        <v>4208</v>
      </c>
      <c r="V223">
        <v>24.47</v>
      </c>
      <c r="W223" t="s">
        <v>6428</v>
      </c>
      <c r="X223" t="s">
        <v>8599</v>
      </c>
      <c r="Y223">
        <v>911</v>
      </c>
      <c r="Z223">
        <v>208</v>
      </c>
      <c r="AA223">
        <v>307389</v>
      </c>
      <c r="AB223">
        <v>1.85</v>
      </c>
    </row>
    <row r="224" spans="1:28">
      <c r="A224" s="2">
        <f>HYPERLINK("https://finance.naver.com/item/coinfo.nhn?code=090470", "A090470")</f>
        <v>0</v>
      </c>
      <c r="B224">
        <f>HYPERLINK("http://comp.fnguide.com/SVO2/ASP/SVD_Consensus.asp?pGB=1&amp;gicode=A090470&amp;cID=&amp;MenuYn=Y&amp;ReportGB=&amp;NewMenuID=108&amp;stkGb=701", "제이스텍")</f>
        <v>0</v>
      </c>
      <c r="C224">
        <v>3</v>
      </c>
      <c r="D224">
        <v>7640</v>
      </c>
      <c r="E224">
        <v>-5.44</v>
      </c>
      <c r="F224">
        <v>129.11</v>
      </c>
      <c r="G224">
        <v>18043</v>
      </c>
      <c r="H224">
        <v>12600</v>
      </c>
      <c r="I224">
        <v>11049</v>
      </c>
      <c r="J224">
        <v>-136.17</v>
      </c>
      <c r="K224">
        <v>-64.92</v>
      </c>
      <c r="L224">
        <v>-44.62</v>
      </c>
      <c r="M224">
        <v>16.01</v>
      </c>
      <c r="N224" t="b">
        <v>0</v>
      </c>
      <c r="O224">
        <v>107</v>
      </c>
      <c r="P224" t="s">
        <v>237</v>
      </c>
      <c r="Q224" t="s">
        <v>2442</v>
      </c>
      <c r="R224">
        <v>-23.7505459312436</v>
      </c>
      <c r="S224">
        <v>1115</v>
      </c>
      <c r="T224">
        <v>74413</v>
      </c>
      <c r="U224" t="s">
        <v>4209</v>
      </c>
      <c r="V224">
        <v>44.24</v>
      </c>
      <c r="W224" t="s">
        <v>6429</v>
      </c>
      <c r="X224" t="s">
        <v>8600</v>
      </c>
      <c r="Y224">
        <v>1269</v>
      </c>
      <c r="Z224">
        <v>4</v>
      </c>
      <c r="AA224">
        <v>126393</v>
      </c>
      <c r="AB224">
        <v>0.36</v>
      </c>
    </row>
    <row r="225" spans="1:28">
      <c r="A225" s="2">
        <f>HYPERLINK("https://finance.naver.com/item/coinfo.nhn?code=147830", "A147830")</f>
        <v>0</v>
      </c>
      <c r="B225">
        <f>HYPERLINK("http://comp.fnguide.com/SVO2/ASP/SVD_Consensus.asp?pGB=1&amp;gicode=A147830&amp;cID=&amp;MenuYn=Y&amp;ReportGB=&amp;NewMenuID=108&amp;stkGb=701", "제룡산업")</f>
        <v>0</v>
      </c>
      <c r="C225">
        <v>3</v>
      </c>
      <c r="D225">
        <v>5350</v>
      </c>
      <c r="E225">
        <v>2.06</v>
      </c>
      <c r="F225">
        <v>23.18</v>
      </c>
      <c r="G225">
        <v>5025</v>
      </c>
      <c r="H225">
        <v>5419</v>
      </c>
      <c r="I225">
        <v>5531</v>
      </c>
      <c r="J225">
        <v>6.07</v>
      </c>
      <c r="K225">
        <v>-1.29</v>
      </c>
      <c r="L225">
        <v>-3.39</v>
      </c>
      <c r="M225">
        <v>7.05</v>
      </c>
      <c r="N225" t="b">
        <v>1</v>
      </c>
      <c r="O225">
        <v>255</v>
      </c>
      <c r="P225" t="s">
        <v>238</v>
      </c>
      <c r="Q225" t="s">
        <v>2443</v>
      </c>
      <c r="R225">
        <v>11.22534042887244</v>
      </c>
      <c r="S225">
        <v>535</v>
      </c>
      <c r="T225">
        <v>59313</v>
      </c>
      <c r="U225" t="s">
        <v>4210</v>
      </c>
      <c r="V225">
        <v>48.78</v>
      </c>
      <c r="W225" t="s">
        <v>6430</v>
      </c>
      <c r="X225" t="s">
        <v>8601</v>
      </c>
      <c r="Y225">
        <v>271</v>
      </c>
      <c r="Z225">
        <v>15</v>
      </c>
      <c r="AA225">
        <v>1567</v>
      </c>
      <c r="AB225">
        <v>1.69</v>
      </c>
    </row>
    <row r="226" spans="1:28">
      <c r="A226" s="2">
        <f>HYPERLINK("https://finance.naver.com/item/coinfo.nhn?code=161000", "A161000")</f>
        <v>0</v>
      </c>
      <c r="B226">
        <f>HYPERLINK("http://comp.fnguide.com/SVO2/ASP/SVD_Consensus.asp?pGB=1&amp;gicode=A161000&amp;cID=&amp;MenuYn=Y&amp;ReportGB=&amp;NewMenuID=108&amp;stkGb=701", "애경유화")</f>
        <v>0</v>
      </c>
      <c r="C226">
        <v>3</v>
      </c>
      <c r="D226">
        <v>9280</v>
      </c>
      <c r="E226">
        <v>8.84</v>
      </c>
      <c r="F226">
        <v>8.609999999999999</v>
      </c>
      <c r="G226">
        <v>19683</v>
      </c>
      <c r="H226">
        <v>14770</v>
      </c>
      <c r="I226">
        <v>13371</v>
      </c>
      <c r="J226">
        <v>-112.1</v>
      </c>
      <c r="K226">
        <v>-59.16</v>
      </c>
      <c r="L226">
        <v>-44.08</v>
      </c>
      <c r="M226">
        <v>13.63</v>
      </c>
      <c r="N226" t="b">
        <v>1</v>
      </c>
      <c r="O226">
        <v>952</v>
      </c>
      <c r="P226" t="s">
        <v>239</v>
      </c>
      <c r="Q226" t="s">
        <v>2444</v>
      </c>
      <c r="R226">
        <v>0.9737088673156036</v>
      </c>
      <c r="S226">
        <v>2973</v>
      </c>
      <c r="T226">
        <v>315474</v>
      </c>
      <c r="U226" t="s">
        <v>4211</v>
      </c>
      <c r="V226">
        <v>49.47</v>
      </c>
      <c r="W226" t="s">
        <v>6431</v>
      </c>
      <c r="X226" t="s">
        <v>8602</v>
      </c>
      <c r="Y226">
        <v>10170</v>
      </c>
      <c r="Z226">
        <v>469</v>
      </c>
      <c r="AA226">
        <v>475850</v>
      </c>
      <c r="AB226">
        <v>4.27</v>
      </c>
    </row>
    <row r="227" spans="1:28">
      <c r="A227" s="2">
        <f>HYPERLINK("https://finance.naver.com/item/coinfo.nhn?code=109960", "A109960")</f>
        <v>0</v>
      </c>
      <c r="B227">
        <f>HYPERLINK("http://comp.fnguide.com/SVO2/ASP/SVD_Consensus.asp?pGB=1&amp;gicode=A109960&amp;cID=&amp;MenuYn=Y&amp;ReportGB=&amp;NewMenuID=108&amp;stkGb=701", "에이프로젠 H&amp;G")</f>
        <v>0</v>
      </c>
      <c r="C227">
        <v>3</v>
      </c>
      <c r="D227">
        <v>812</v>
      </c>
      <c r="E227">
        <v>0</v>
      </c>
      <c r="G227">
        <v>259</v>
      </c>
      <c r="H227">
        <v>812</v>
      </c>
      <c r="I227">
        <v>969</v>
      </c>
      <c r="J227">
        <v>68.06</v>
      </c>
      <c r="K227">
        <v>0.01</v>
      </c>
      <c r="L227">
        <v>-19.39</v>
      </c>
      <c r="M227">
        <v>1.75</v>
      </c>
      <c r="N227" t="b">
        <v>0</v>
      </c>
      <c r="O227">
        <v>-38</v>
      </c>
      <c r="P227" t="s">
        <v>240</v>
      </c>
      <c r="Q227" t="s">
        <v>2276</v>
      </c>
      <c r="R227">
        <v>0</v>
      </c>
      <c r="S227">
        <v>1451</v>
      </c>
      <c r="T227">
        <v>2303142</v>
      </c>
      <c r="U227" t="s">
        <v>4212</v>
      </c>
      <c r="V227">
        <v>59.7</v>
      </c>
      <c r="W227" t="s">
        <v>6432</v>
      </c>
      <c r="X227" t="s">
        <v>8603</v>
      </c>
      <c r="Y227">
        <v>219</v>
      </c>
      <c r="Z227">
        <v>-8</v>
      </c>
      <c r="AA227">
        <v>162557</v>
      </c>
    </row>
    <row r="228" spans="1:28">
      <c r="A228" s="2">
        <f>HYPERLINK("https://finance.naver.com/item/coinfo.nhn?code=009300", "A009300")</f>
        <v>0</v>
      </c>
      <c r="B228">
        <f>HYPERLINK("http://comp.fnguide.com/SVO2/ASP/SVD_Consensus.asp?pGB=1&amp;gicode=A009300&amp;cID=&amp;MenuYn=Y&amp;ReportGB=&amp;NewMenuID=108&amp;stkGb=701", "삼아제약")</f>
        <v>0</v>
      </c>
      <c r="C228">
        <v>3</v>
      </c>
      <c r="D228">
        <v>17300</v>
      </c>
      <c r="E228">
        <v>-0.23</v>
      </c>
      <c r="F228">
        <v>9.960000000000001</v>
      </c>
      <c r="G228">
        <v>19295</v>
      </c>
      <c r="H228">
        <v>24250</v>
      </c>
      <c r="I228">
        <v>25662</v>
      </c>
      <c r="J228">
        <v>-11.53</v>
      </c>
      <c r="K228">
        <v>-40.17</v>
      </c>
      <c r="L228">
        <v>-48.34</v>
      </c>
      <c r="M228">
        <v>5.58</v>
      </c>
      <c r="N228" t="b">
        <v>1</v>
      </c>
      <c r="O228">
        <v>1601</v>
      </c>
      <c r="P228" t="s">
        <v>241</v>
      </c>
      <c r="Q228" t="s">
        <v>2445</v>
      </c>
      <c r="R228">
        <v>-43.06373552609962</v>
      </c>
      <c r="S228">
        <v>1102</v>
      </c>
      <c r="T228">
        <v>17987</v>
      </c>
      <c r="U228" t="s">
        <v>4213</v>
      </c>
      <c r="V228">
        <v>65.58</v>
      </c>
      <c r="W228" t="s">
        <v>6433</v>
      </c>
      <c r="X228" t="s">
        <v>8604</v>
      </c>
      <c r="Y228">
        <v>716</v>
      </c>
      <c r="Z228">
        <v>104</v>
      </c>
      <c r="AA228">
        <v>266658</v>
      </c>
      <c r="AB228">
        <v>1.88</v>
      </c>
    </row>
    <row r="229" spans="1:28">
      <c r="A229" s="2">
        <f>HYPERLINK("https://finance.naver.com/item/coinfo.nhn?code=054540", "A054540")</f>
        <v>0</v>
      </c>
      <c r="B229">
        <f>HYPERLINK("http://comp.fnguide.com/SVO2/ASP/SVD_Consensus.asp?pGB=1&amp;gicode=A054540&amp;cID=&amp;MenuYn=Y&amp;ReportGB=&amp;NewMenuID=108&amp;stkGb=701", "삼영엠텍")</f>
        <v>0</v>
      </c>
      <c r="C229">
        <v>3</v>
      </c>
      <c r="D229">
        <v>5150</v>
      </c>
      <c r="E229">
        <v>0.18</v>
      </c>
      <c r="F229">
        <v>13.73</v>
      </c>
      <c r="G229">
        <v>2825</v>
      </c>
      <c r="H229">
        <v>5224</v>
      </c>
      <c r="I229">
        <v>5908</v>
      </c>
      <c r="J229">
        <v>45.15</v>
      </c>
      <c r="K229">
        <v>-1.44</v>
      </c>
      <c r="L229">
        <v>-14.71</v>
      </c>
      <c r="M229">
        <v>3.3</v>
      </c>
      <c r="N229" t="b">
        <v>1</v>
      </c>
      <c r="O229">
        <v>269</v>
      </c>
      <c r="P229" t="s">
        <v>242</v>
      </c>
      <c r="Q229" t="s">
        <v>2446</v>
      </c>
      <c r="R229">
        <v>74.66625278304764</v>
      </c>
      <c r="S229">
        <v>670</v>
      </c>
      <c r="T229">
        <v>142118</v>
      </c>
      <c r="U229" t="s">
        <v>4214</v>
      </c>
      <c r="V229">
        <v>17.51</v>
      </c>
      <c r="W229" t="s">
        <v>6434</v>
      </c>
      <c r="X229" t="s">
        <v>8605</v>
      </c>
      <c r="Y229">
        <v>698</v>
      </c>
      <c r="Z229">
        <v>31</v>
      </c>
      <c r="AA229">
        <v>1633365</v>
      </c>
      <c r="AB229">
        <v>2.71</v>
      </c>
    </row>
    <row r="230" spans="1:28">
      <c r="A230" s="2">
        <f>HYPERLINK("https://finance.naver.com/item/coinfo.nhn?code=032280", "A032280")</f>
        <v>0</v>
      </c>
      <c r="B230">
        <f>HYPERLINK("http://comp.fnguide.com/SVO2/ASP/SVD_Consensus.asp?pGB=1&amp;gicode=A032280&amp;cID=&amp;MenuYn=Y&amp;ReportGB=&amp;NewMenuID=108&amp;stkGb=701", "삼일")</f>
        <v>0</v>
      </c>
      <c r="C230">
        <v>3</v>
      </c>
      <c r="D230">
        <v>1955</v>
      </c>
      <c r="E230">
        <v>-0.27</v>
      </c>
      <c r="F230">
        <v>9.82</v>
      </c>
      <c r="G230">
        <v>2458</v>
      </c>
      <c r="H230">
        <v>3579</v>
      </c>
      <c r="I230">
        <v>3898</v>
      </c>
      <c r="J230">
        <v>-25.75</v>
      </c>
      <c r="K230">
        <v>-83.06999999999999</v>
      </c>
      <c r="L230">
        <v>-99.41</v>
      </c>
      <c r="M230">
        <v>4.53</v>
      </c>
      <c r="N230" t="b">
        <v>1</v>
      </c>
      <c r="O230">
        <v>204</v>
      </c>
      <c r="P230" t="s">
        <v>243</v>
      </c>
      <c r="Q230" t="s">
        <v>2447</v>
      </c>
      <c r="R230">
        <v>-36.65296259060904</v>
      </c>
      <c r="S230">
        <v>317</v>
      </c>
      <c r="T230">
        <v>130374</v>
      </c>
      <c r="U230" t="s">
        <v>4215</v>
      </c>
      <c r="V230">
        <v>39.93</v>
      </c>
      <c r="W230" t="s">
        <v>6435</v>
      </c>
      <c r="X230" t="s">
        <v>8606</v>
      </c>
      <c r="Y230">
        <v>961</v>
      </c>
      <c r="Z230">
        <v>25</v>
      </c>
      <c r="AA230">
        <v>1202870</v>
      </c>
      <c r="AB230">
        <v>2.5</v>
      </c>
    </row>
    <row r="231" spans="1:28">
      <c r="A231" s="2">
        <f>HYPERLINK("https://finance.naver.com/item/coinfo.nhn?code=002290", "A002290")</f>
        <v>0</v>
      </c>
      <c r="B231">
        <f>HYPERLINK("http://comp.fnguide.com/SVO2/ASP/SVD_Consensus.asp?pGB=1&amp;gicode=A002290&amp;cID=&amp;MenuYn=Y&amp;ReportGB=&amp;NewMenuID=108&amp;stkGb=701", "삼일기업공사")</f>
        <v>0</v>
      </c>
      <c r="C231">
        <v>3</v>
      </c>
      <c r="D231">
        <v>4095</v>
      </c>
      <c r="E231">
        <v>-2.16</v>
      </c>
      <c r="F231">
        <v>13.59</v>
      </c>
      <c r="G231">
        <v>3288</v>
      </c>
      <c r="H231">
        <v>4162</v>
      </c>
      <c r="I231">
        <v>4411</v>
      </c>
      <c r="J231">
        <v>19.7</v>
      </c>
      <c r="K231">
        <v>-1.63</v>
      </c>
      <c r="L231">
        <v>-7.71</v>
      </c>
      <c r="M231">
        <v>5.53</v>
      </c>
      <c r="N231" t="b">
        <v>0</v>
      </c>
      <c r="O231">
        <v>265</v>
      </c>
      <c r="P231" t="s">
        <v>244</v>
      </c>
      <c r="Q231" t="s">
        <v>2448</v>
      </c>
      <c r="R231">
        <v>-6.292695022762973</v>
      </c>
      <c r="S231">
        <v>508</v>
      </c>
      <c r="T231">
        <v>324232</v>
      </c>
      <c r="U231" t="s">
        <v>4216</v>
      </c>
      <c r="V231">
        <v>40.99</v>
      </c>
      <c r="W231" t="s">
        <v>6436</v>
      </c>
      <c r="X231" t="s">
        <v>8607</v>
      </c>
      <c r="Y231">
        <v>763</v>
      </c>
      <c r="Z231">
        <v>36</v>
      </c>
      <c r="AB231">
        <v>2.77</v>
      </c>
    </row>
    <row r="232" spans="1:28">
      <c r="A232" s="2">
        <f>HYPERLINK("https://finance.naver.com/item/coinfo.nhn?code=037460", "A037460")</f>
        <v>0</v>
      </c>
      <c r="B232">
        <f>HYPERLINK("http://comp.fnguide.com/SVO2/ASP/SVD_Consensus.asp?pGB=1&amp;gicode=A037460&amp;cID=&amp;MenuYn=Y&amp;ReportGB=&amp;NewMenuID=108&amp;stkGb=701", "삼지전자")</f>
        <v>0</v>
      </c>
      <c r="C232">
        <v>3</v>
      </c>
      <c r="D232">
        <v>12350</v>
      </c>
      <c r="E232">
        <v>1.16</v>
      </c>
      <c r="F232">
        <v>11.59</v>
      </c>
      <c r="G232">
        <v>14819</v>
      </c>
      <c r="H232">
        <v>13818</v>
      </c>
      <c r="I232">
        <v>13532</v>
      </c>
      <c r="J232">
        <v>-19.99</v>
      </c>
      <c r="K232">
        <v>-11.88</v>
      </c>
      <c r="L232">
        <v>-9.57</v>
      </c>
      <c r="M232">
        <v>8.98</v>
      </c>
      <c r="N232" t="b">
        <v>1</v>
      </c>
      <c r="O232">
        <v>849</v>
      </c>
      <c r="P232" t="s">
        <v>245</v>
      </c>
      <c r="Q232" t="s">
        <v>2449</v>
      </c>
      <c r="R232">
        <v>9.957284308027269</v>
      </c>
      <c r="S232">
        <v>2015</v>
      </c>
      <c r="T232">
        <v>233681</v>
      </c>
      <c r="U232" t="s">
        <v>4217</v>
      </c>
      <c r="V232">
        <v>46.69</v>
      </c>
      <c r="W232" t="s">
        <v>6437</v>
      </c>
      <c r="X232" t="s">
        <v>8608</v>
      </c>
      <c r="Y232">
        <v>14950</v>
      </c>
      <c r="Z232">
        <v>362</v>
      </c>
      <c r="AA232">
        <v>983010</v>
      </c>
      <c r="AB232">
        <v>1.42</v>
      </c>
    </row>
    <row r="233" spans="1:28">
      <c r="A233" s="2">
        <f>HYPERLINK("https://finance.naver.com/item/coinfo.nhn?code=032750", "A032750")</f>
        <v>0</v>
      </c>
      <c r="B233">
        <f>HYPERLINK("http://comp.fnguide.com/SVO2/ASP/SVD_Consensus.asp?pGB=1&amp;gicode=A032750&amp;cID=&amp;MenuYn=Y&amp;ReportGB=&amp;NewMenuID=108&amp;stkGb=701", "삼진")</f>
        <v>0</v>
      </c>
      <c r="C233">
        <v>3</v>
      </c>
      <c r="D233">
        <v>10300</v>
      </c>
      <c r="E233">
        <v>0.63</v>
      </c>
      <c r="F233">
        <v>5.67</v>
      </c>
      <c r="G233">
        <v>16235</v>
      </c>
      <c r="H233">
        <v>14151</v>
      </c>
      <c r="I233">
        <v>13557</v>
      </c>
      <c r="J233">
        <v>-57.62</v>
      </c>
      <c r="K233">
        <v>-37.39</v>
      </c>
      <c r="L233">
        <v>-31.62</v>
      </c>
      <c r="M233">
        <v>10.13</v>
      </c>
      <c r="N233" t="b">
        <v>1</v>
      </c>
      <c r="O233">
        <v>2019</v>
      </c>
      <c r="P233" t="s">
        <v>246</v>
      </c>
      <c r="Q233" t="s">
        <v>2450</v>
      </c>
      <c r="R233">
        <v>8.942488161386098</v>
      </c>
      <c r="S233">
        <v>618</v>
      </c>
      <c r="T233">
        <v>31788</v>
      </c>
      <c r="U233" t="s">
        <v>4218</v>
      </c>
      <c r="V233">
        <v>44.13</v>
      </c>
      <c r="W233" t="s">
        <v>6438</v>
      </c>
      <c r="X233" t="s">
        <v>8609</v>
      </c>
      <c r="Y233">
        <v>1352</v>
      </c>
      <c r="Z233">
        <v>117</v>
      </c>
      <c r="AB233">
        <v>1.75</v>
      </c>
    </row>
    <row r="234" spans="1:28">
      <c r="A234" s="2">
        <f>HYPERLINK("https://finance.naver.com/item/coinfo.nhn?code=038110", "A038110")</f>
        <v>0</v>
      </c>
      <c r="B234">
        <f>HYPERLINK("http://comp.fnguide.com/SVO2/ASP/SVD_Consensus.asp?pGB=1&amp;gicode=A038110&amp;cID=&amp;MenuYn=Y&amp;ReportGB=&amp;NewMenuID=108&amp;stkGb=701", "에코플라스틱")</f>
        <v>0</v>
      </c>
      <c r="C234">
        <v>3</v>
      </c>
      <c r="D234">
        <v>1810</v>
      </c>
      <c r="G234">
        <v>0</v>
      </c>
      <c r="H234">
        <v>2636</v>
      </c>
      <c r="I234">
        <v>3387</v>
      </c>
      <c r="J234">
        <v>100</v>
      </c>
      <c r="K234">
        <v>-45.62</v>
      </c>
      <c r="L234">
        <v>-87.11</v>
      </c>
      <c r="M234">
        <v>0</v>
      </c>
      <c r="N234" t="b">
        <v>0</v>
      </c>
      <c r="O234">
        <v>-31</v>
      </c>
      <c r="P234" t="s">
        <v>247</v>
      </c>
      <c r="Q234" t="s">
        <v>2451</v>
      </c>
      <c r="R234">
        <v>-7.799999999999995</v>
      </c>
      <c r="S234">
        <v>465</v>
      </c>
      <c r="T234">
        <v>483555</v>
      </c>
      <c r="U234" t="s">
        <v>4219</v>
      </c>
      <c r="V234">
        <v>40.77</v>
      </c>
      <c r="W234" t="s">
        <v>6439</v>
      </c>
      <c r="X234" t="s">
        <v>968</v>
      </c>
      <c r="Y234">
        <v>12163</v>
      </c>
      <c r="Z234">
        <v>109</v>
      </c>
      <c r="AA234">
        <v>661901</v>
      </c>
      <c r="AB234">
        <v>1.99</v>
      </c>
    </row>
    <row r="235" spans="1:28">
      <c r="A235" s="2">
        <f>HYPERLINK("https://finance.naver.com/item/coinfo.nhn?code=038500", "A038500")</f>
        <v>0</v>
      </c>
      <c r="B235">
        <f>HYPERLINK("http://comp.fnguide.com/SVO2/ASP/SVD_Consensus.asp?pGB=1&amp;gicode=A038500&amp;cID=&amp;MenuYn=Y&amp;ReportGB=&amp;NewMenuID=108&amp;stkGb=701", "삼표시멘트")</f>
        <v>0</v>
      </c>
      <c r="C235">
        <v>3</v>
      </c>
      <c r="D235">
        <v>4215</v>
      </c>
      <c r="E235">
        <v>-0.59</v>
      </c>
      <c r="F235">
        <v>21.9</v>
      </c>
      <c r="G235">
        <v>1828</v>
      </c>
      <c r="H235">
        <v>4284</v>
      </c>
      <c r="I235">
        <v>4984</v>
      </c>
      <c r="J235">
        <v>56.62</v>
      </c>
      <c r="K235">
        <v>-1.65</v>
      </c>
      <c r="L235">
        <v>-18.25</v>
      </c>
      <c r="M235">
        <v>2.46</v>
      </c>
      <c r="N235" t="b">
        <v>1</v>
      </c>
      <c r="O235">
        <v>173</v>
      </c>
      <c r="P235" t="s">
        <v>248</v>
      </c>
      <c r="Q235" t="s">
        <v>2452</v>
      </c>
      <c r="R235">
        <v>-37.25719164716963</v>
      </c>
      <c r="S235">
        <v>4525</v>
      </c>
      <c r="T235">
        <v>2587202</v>
      </c>
      <c r="U235" t="s">
        <v>4220</v>
      </c>
      <c r="V235">
        <v>65.02</v>
      </c>
      <c r="W235" t="s">
        <v>6440</v>
      </c>
      <c r="X235" t="s">
        <v>8610</v>
      </c>
      <c r="Y235">
        <v>5955</v>
      </c>
      <c r="Z235">
        <v>481</v>
      </c>
      <c r="AA235">
        <v>3621</v>
      </c>
      <c r="AB235">
        <v>1.32</v>
      </c>
    </row>
    <row r="236" spans="1:28">
      <c r="A236" s="2">
        <f>HYPERLINK("https://finance.naver.com/item/coinfo.nhn?code=017480", "A017480")</f>
        <v>0</v>
      </c>
      <c r="B236">
        <f>HYPERLINK("http://comp.fnguide.com/SVO2/ASP/SVD_Consensus.asp?pGB=1&amp;gicode=A017480&amp;cID=&amp;MenuYn=Y&amp;ReportGB=&amp;NewMenuID=108&amp;stkGb=701", "삼현철강")</f>
        <v>0</v>
      </c>
      <c r="C236">
        <v>3</v>
      </c>
      <c r="D236">
        <v>4295</v>
      </c>
      <c r="E236">
        <v>-0.9</v>
      </c>
      <c r="F236">
        <v>9.5</v>
      </c>
      <c r="G236">
        <v>5659</v>
      </c>
      <c r="H236">
        <v>8060</v>
      </c>
      <c r="I236">
        <v>8744</v>
      </c>
      <c r="J236">
        <v>-31.76</v>
      </c>
      <c r="K236">
        <v>-87.66</v>
      </c>
      <c r="L236">
        <v>-103.59</v>
      </c>
      <c r="M236">
        <v>4.67</v>
      </c>
      <c r="N236" t="b">
        <v>1</v>
      </c>
      <c r="O236">
        <v>417</v>
      </c>
      <c r="P236" t="s">
        <v>249</v>
      </c>
      <c r="Q236" t="s">
        <v>2453</v>
      </c>
      <c r="R236">
        <v>-10.5543503191864</v>
      </c>
      <c r="S236">
        <v>674</v>
      </c>
      <c r="T236">
        <v>209484</v>
      </c>
      <c r="U236" t="s">
        <v>4221</v>
      </c>
      <c r="V236">
        <v>58.27</v>
      </c>
      <c r="W236" t="s">
        <v>6441</v>
      </c>
      <c r="X236" t="s">
        <v>8611</v>
      </c>
      <c r="Y236">
        <v>2376</v>
      </c>
      <c r="Z236">
        <v>79</v>
      </c>
      <c r="AA236">
        <v>260000</v>
      </c>
      <c r="AB236">
        <v>3.79</v>
      </c>
    </row>
    <row r="237" spans="1:28">
      <c r="A237" s="2">
        <f>HYPERLINK("https://finance.naver.com/item/coinfo.nhn?code=038540", "A038540")</f>
        <v>0</v>
      </c>
      <c r="B237">
        <f>HYPERLINK("http://comp.fnguide.com/SVO2/ASP/SVD_Consensus.asp?pGB=1&amp;gicode=A038540&amp;cID=&amp;MenuYn=Y&amp;ReportGB=&amp;NewMenuID=108&amp;stkGb=701", "상상인")</f>
        <v>0</v>
      </c>
      <c r="C237">
        <v>3</v>
      </c>
      <c r="D237">
        <v>6450</v>
      </c>
      <c r="E237">
        <v>0.31</v>
      </c>
      <c r="F237">
        <v>3.85</v>
      </c>
      <c r="G237">
        <v>39450</v>
      </c>
      <c r="H237">
        <v>21519</v>
      </c>
      <c r="I237">
        <v>16409</v>
      </c>
      <c r="J237">
        <v>-511.63</v>
      </c>
      <c r="K237">
        <v>-233.63</v>
      </c>
      <c r="L237">
        <v>-154.41</v>
      </c>
      <c r="M237">
        <v>32.73</v>
      </c>
      <c r="N237" t="b">
        <v>1</v>
      </c>
      <c r="O237">
        <v>2254</v>
      </c>
      <c r="P237" t="s">
        <v>250</v>
      </c>
      <c r="Q237" t="s">
        <v>2454</v>
      </c>
      <c r="R237">
        <v>12.53751281964544</v>
      </c>
      <c r="S237">
        <v>3569</v>
      </c>
      <c r="T237">
        <v>149031</v>
      </c>
      <c r="U237" t="s">
        <v>4222</v>
      </c>
      <c r="V237">
        <v>31.93</v>
      </c>
      <c r="W237" t="s">
        <v>6442</v>
      </c>
      <c r="X237" t="s">
        <v>8612</v>
      </c>
      <c r="Y237">
        <v>5413</v>
      </c>
      <c r="Z237">
        <v>1824</v>
      </c>
      <c r="AA237">
        <v>604037</v>
      </c>
      <c r="AB237">
        <v>2.31</v>
      </c>
    </row>
    <row r="238" spans="1:28">
      <c r="A238" s="2">
        <f>HYPERLINK("https://finance.naver.com/item/coinfo.nhn?code=128540", "A128540")</f>
        <v>0</v>
      </c>
      <c r="B238">
        <f>HYPERLINK("http://comp.fnguide.com/SVO2/ASP/SVD_Consensus.asp?pGB=1&amp;gicode=A128540&amp;cID=&amp;MenuYn=Y&amp;ReportGB=&amp;NewMenuID=108&amp;stkGb=701", "에코캡")</f>
        <v>0</v>
      </c>
      <c r="C238">
        <v>3</v>
      </c>
      <c r="D238">
        <v>2995</v>
      </c>
      <c r="E238">
        <v>-0.85</v>
      </c>
      <c r="F238">
        <v>40.12</v>
      </c>
      <c r="G238">
        <v>2014</v>
      </c>
      <c r="H238">
        <v>3694</v>
      </c>
      <c r="I238">
        <v>4173</v>
      </c>
      <c r="J238">
        <v>32.76</v>
      </c>
      <c r="K238">
        <v>-23.35</v>
      </c>
      <c r="L238">
        <v>-39.33</v>
      </c>
      <c r="M238">
        <v>3.34</v>
      </c>
      <c r="N238" t="b">
        <v>1</v>
      </c>
      <c r="O238">
        <v>72</v>
      </c>
      <c r="P238" t="s">
        <v>251</v>
      </c>
      <c r="Q238" t="s">
        <v>2455</v>
      </c>
      <c r="R238">
        <v>-47.33879994393384</v>
      </c>
      <c r="S238">
        <v>436</v>
      </c>
      <c r="T238">
        <v>42346</v>
      </c>
      <c r="U238" t="s">
        <v>4223</v>
      </c>
      <c r="V238">
        <v>67.19</v>
      </c>
      <c r="W238" t="s">
        <v>6443</v>
      </c>
      <c r="X238" t="s">
        <v>8613</v>
      </c>
      <c r="Y238">
        <v>669</v>
      </c>
      <c r="Z238">
        <v>3</v>
      </c>
      <c r="AA238">
        <v>776700</v>
      </c>
    </row>
    <row r="239" spans="1:28">
      <c r="A239" s="2">
        <f>HYPERLINK("https://finance.naver.com/item/coinfo.nhn?code=006730", "A006730")</f>
        <v>0</v>
      </c>
      <c r="B239">
        <f>HYPERLINK("http://comp.fnguide.com/SVO2/ASP/SVD_Consensus.asp?pGB=1&amp;gicode=A006730&amp;cID=&amp;MenuYn=Y&amp;ReportGB=&amp;NewMenuID=108&amp;stkGb=701", "서부T&amp;D")</f>
        <v>0</v>
      </c>
      <c r="C239">
        <v>3</v>
      </c>
      <c r="D239">
        <v>6800</v>
      </c>
      <c r="E239">
        <v>0</v>
      </c>
      <c r="F239">
        <v>10740.77</v>
      </c>
      <c r="G239">
        <v>8</v>
      </c>
      <c r="H239">
        <v>7227</v>
      </c>
      <c r="I239">
        <v>9284</v>
      </c>
      <c r="J239">
        <v>99.89</v>
      </c>
      <c r="K239">
        <v>-6.27</v>
      </c>
      <c r="L239">
        <v>-36.53</v>
      </c>
      <c r="M239">
        <v>0.01</v>
      </c>
      <c r="N239" t="b">
        <v>0</v>
      </c>
      <c r="O239">
        <v>1</v>
      </c>
      <c r="P239" t="s">
        <v>252</v>
      </c>
      <c r="Q239" t="s">
        <v>2276</v>
      </c>
      <c r="R239">
        <v>0</v>
      </c>
      <c r="S239">
        <v>3954</v>
      </c>
      <c r="T239">
        <v>267973</v>
      </c>
      <c r="U239" t="s">
        <v>4224</v>
      </c>
      <c r="V239">
        <v>54.54</v>
      </c>
      <c r="W239" t="s">
        <v>6444</v>
      </c>
      <c r="X239" t="s">
        <v>8614</v>
      </c>
      <c r="Y239">
        <v>1279</v>
      </c>
      <c r="Z239">
        <v>144</v>
      </c>
      <c r="AA239">
        <v>2212952</v>
      </c>
      <c r="AB239">
        <v>0</v>
      </c>
    </row>
    <row r="240" spans="1:28">
      <c r="A240" s="2">
        <f>HYPERLINK("https://finance.naver.com/item/coinfo.nhn?code=053700", "A053700")</f>
        <v>0</v>
      </c>
      <c r="B240">
        <f>HYPERLINK("http://comp.fnguide.com/SVO2/ASP/SVD_Consensus.asp?pGB=1&amp;gicode=A053700&amp;cID=&amp;MenuYn=Y&amp;ReportGB=&amp;NewMenuID=108&amp;stkGb=701", "삼보모터스")</f>
        <v>0</v>
      </c>
      <c r="C240">
        <v>3</v>
      </c>
      <c r="D240">
        <v>6350</v>
      </c>
      <c r="G240">
        <v>1863</v>
      </c>
      <c r="H240">
        <v>7832</v>
      </c>
      <c r="I240">
        <v>9532</v>
      </c>
      <c r="J240">
        <v>70.67</v>
      </c>
      <c r="K240">
        <v>-23.33</v>
      </c>
      <c r="L240">
        <v>-50.12</v>
      </c>
      <c r="M240">
        <v>1.26</v>
      </c>
      <c r="N240" t="b">
        <v>0</v>
      </c>
      <c r="O240">
        <v>-909</v>
      </c>
      <c r="P240" t="s">
        <v>253</v>
      </c>
      <c r="Q240" t="s">
        <v>2456</v>
      </c>
      <c r="R240">
        <v>-41.69280393082165</v>
      </c>
      <c r="S240">
        <v>1085</v>
      </c>
      <c r="T240">
        <v>165757</v>
      </c>
      <c r="U240" t="s">
        <v>4225</v>
      </c>
      <c r="V240">
        <v>38.27</v>
      </c>
      <c r="W240" t="s">
        <v>6445</v>
      </c>
      <c r="X240" t="s">
        <v>8615</v>
      </c>
      <c r="Y240">
        <v>9395</v>
      </c>
      <c r="Z240">
        <v>-107</v>
      </c>
      <c r="AA240">
        <v>648234</v>
      </c>
    </row>
    <row r="241" spans="1:28">
      <c r="A241" s="2">
        <f>HYPERLINK("https://finance.naver.com/item/coinfo.nhn?code=079650", "A079650")</f>
        <v>0</v>
      </c>
      <c r="B241">
        <f>HYPERLINK("http://comp.fnguide.com/SVO2/ASP/SVD_Consensus.asp?pGB=1&amp;gicode=A079650&amp;cID=&amp;MenuYn=Y&amp;ReportGB=&amp;NewMenuID=108&amp;stkGb=701", "서산")</f>
        <v>0</v>
      </c>
      <c r="C241">
        <v>3</v>
      </c>
      <c r="D241">
        <v>2430</v>
      </c>
      <c r="G241">
        <v>400</v>
      </c>
      <c r="H241">
        <v>2278</v>
      </c>
      <c r="I241">
        <v>2813</v>
      </c>
      <c r="J241">
        <v>83.53</v>
      </c>
      <c r="K241">
        <v>6.27</v>
      </c>
      <c r="L241">
        <v>-15.75</v>
      </c>
      <c r="M241">
        <v>0.9</v>
      </c>
      <c r="N241" t="b">
        <v>0</v>
      </c>
      <c r="O241">
        <v>-60</v>
      </c>
      <c r="P241" t="s">
        <v>254</v>
      </c>
      <c r="Q241" t="s">
        <v>2457</v>
      </c>
      <c r="R241">
        <v>-34.20486340161608</v>
      </c>
      <c r="S241">
        <v>486</v>
      </c>
      <c r="T241">
        <v>81767</v>
      </c>
      <c r="U241" t="s">
        <v>4226</v>
      </c>
      <c r="V241">
        <v>67.90000000000001</v>
      </c>
      <c r="W241" t="s">
        <v>6446</v>
      </c>
      <c r="X241" t="s">
        <v>8616</v>
      </c>
      <c r="Y241">
        <v>524</v>
      </c>
      <c r="Z241">
        <v>-49</v>
      </c>
    </row>
    <row r="242" spans="1:28">
      <c r="A242" s="2">
        <f>HYPERLINK("https://finance.naver.com/item/coinfo.nhn?code=044780", "A044780")</f>
        <v>0</v>
      </c>
      <c r="B242">
        <f>HYPERLINK("http://comp.fnguide.com/SVO2/ASP/SVD_Consensus.asp?pGB=1&amp;gicode=A044780&amp;cID=&amp;MenuYn=Y&amp;ReportGB=&amp;NewMenuID=108&amp;stkGb=701", "에이치케이")</f>
        <v>0</v>
      </c>
      <c r="C242">
        <v>3</v>
      </c>
      <c r="D242">
        <v>1670</v>
      </c>
      <c r="E242">
        <v>0.87</v>
      </c>
      <c r="F242">
        <v>32.18</v>
      </c>
      <c r="G242">
        <v>664</v>
      </c>
      <c r="H242">
        <v>1867</v>
      </c>
      <c r="I242">
        <v>2209</v>
      </c>
      <c r="J242">
        <v>60.24</v>
      </c>
      <c r="K242">
        <v>-11.78</v>
      </c>
      <c r="L242">
        <v>-32.3</v>
      </c>
      <c r="M242">
        <v>1.99</v>
      </c>
      <c r="N242" t="b">
        <v>1</v>
      </c>
      <c r="O242">
        <v>45</v>
      </c>
      <c r="P242" t="s">
        <v>255</v>
      </c>
      <c r="Q242" t="s">
        <v>2458</v>
      </c>
      <c r="R242">
        <v>36.89297637414819</v>
      </c>
      <c r="S242">
        <v>309</v>
      </c>
      <c r="T242">
        <v>1003096</v>
      </c>
      <c r="U242" t="s">
        <v>4227</v>
      </c>
      <c r="V242">
        <v>22.15</v>
      </c>
      <c r="W242" t="s">
        <v>6447</v>
      </c>
      <c r="X242" t="s">
        <v>8617</v>
      </c>
      <c r="Y242">
        <v>550</v>
      </c>
      <c r="Z242">
        <v>9</v>
      </c>
      <c r="AA242">
        <v>162404</v>
      </c>
    </row>
    <row r="243" spans="1:28">
      <c r="A243" s="2">
        <f>HYPERLINK("https://finance.naver.com/item/coinfo.nhn?code=027040", "A027040")</f>
        <v>0</v>
      </c>
      <c r="B243">
        <f>HYPERLINK("http://comp.fnguide.com/SVO2/ASP/SVD_Consensus.asp?pGB=1&amp;gicode=A027040&amp;cID=&amp;MenuYn=Y&amp;ReportGB=&amp;NewMenuID=108&amp;stkGb=701", "서울전자통신")</f>
        <v>0</v>
      </c>
      <c r="C243">
        <v>3</v>
      </c>
      <c r="D243">
        <v>708</v>
      </c>
      <c r="E243">
        <v>0</v>
      </c>
      <c r="F243">
        <v>17.35</v>
      </c>
      <c r="G243">
        <v>535</v>
      </c>
      <c r="H243">
        <v>1021</v>
      </c>
      <c r="I243">
        <v>1159</v>
      </c>
      <c r="J243">
        <v>24.4</v>
      </c>
      <c r="K243">
        <v>-44.2</v>
      </c>
      <c r="L243">
        <v>-63.75</v>
      </c>
      <c r="M243">
        <v>3.17</v>
      </c>
      <c r="N243" t="b">
        <v>1</v>
      </c>
      <c r="O243">
        <v>58</v>
      </c>
      <c r="P243" t="s">
        <v>256</v>
      </c>
      <c r="Q243" t="s">
        <v>2276</v>
      </c>
      <c r="R243">
        <v>0</v>
      </c>
      <c r="S243">
        <v>493</v>
      </c>
      <c r="T243">
        <v>147111</v>
      </c>
      <c r="U243" t="s">
        <v>4228</v>
      </c>
      <c r="V243">
        <v>41.86</v>
      </c>
      <c r="W243" t="s">
        <v>6448</v>
      </c>
      <c r="X243" t="s">
        <v>8618</v>
      </c>
      <c r="Y243">
        <v>656</v>
      </c>
      <c r="Z243">
        <v>-18</v>
      </c>
      <c r="AA243">
        <v>679</v>
      </c>
    </row>
    <row r="244" spans="1:28">
      <c r="A244" s="2">
        <f>HYPERLINK("https://finance.naver.com/item/coinfo.nhn?code=093920", "A093920")</f>
        <v>0</v>
      </c>
      <c r="B244">
        <f>HYPERLINK("http://comp.fnguide.com/SVO2/ASP/SVD_Consensus.asp?pGB=1&amp;gicode=A093920&amp;cID=&amp;MenuYn=Y&amp;ReportGB=&amp;NewMenuID=108&amp;stkGb=701", "서원인텍")</f>
        <v>0</v>
      </c>
      <c r="C244">
        <v>3</v>
      </c>
      <c r="D244">
        <v>7130</v>
      </c>
      <c r="E244">
        <v>-1.02</v>
      </c>
      <c r="F244">
        <v>10.92</v>
      </c>
      <c r="G244">
        <v>5801</v>
      </c>
      <c r="H244">
        <v>7504</v>
      </c>
      <c r="I244">
        <v>7989</v>
      </c>
      <c r="J244">
        <v>18.63</v>
      </c>
      <c r="K244">
        <v>-5.24</v>
      </c>
      <c r="L244">
        <v>-12.04</v>
      </c>
      <c r="M244">
        <v>5.35</v>
      </c>
      <c r="N244" t="b">
        <v>1</v>
      </c>
      <c r="O244">
        <v>672</v>
      </c>
      <c r="P244" t="s">
        <v>257</v>
      </c>
      <c r="Q244" t="s">
        <v>2459</v>
      </c>
      <c r="R244">
        <v>-10.74083924619023</v>
      </c>
      <c r="S244">
        <v>1326</v>
      </c>
      <c r="T244">
        <v>3636677</v>
      </c>
      <c r="U244" t="s">
        <v>4229</v>
      </c>
      <c r="V244">
        <v>52.41</v>
      </c>
      <c r="W244" t="s">
        <v>6449</v>
      </c>
      <c r="X244" t="s">
        <v>8619</v>
      </c>
      <c r="Y244">
        <v>3029</v>
      </c>
      <c r="Z244">
        <v>169</v>
      </c>
      <c r="AB244">
        <v>4.09</v>
      </c>
    </row>
    <row r="245" spans="1:28">
      <c r="A245" s="2">
        <f>HYPERLINK("https://finance.naver.com/item/coinfo.nhn?code=189860", "A189860")</f>
        <v>0</v>
      </c>
      <c r="B245">
        <f>HYPERLINK("http://comp.fnguide.com/SVO2/ASP/SVD_Consensus.asp?pGB=1&amp;gicode=A189860&amp;cID=&amp;MenuYn=Y&amp;ReportGB=&amp;NewMenuID=108&amp;stkGb=701", "서전기전")</f>
        <v>0</v>
      </c>
      <c r="C245">
        <v>3</v>
      </c>
      <c r="D245">
        <v>3160</v>
      </c>
      <c r="E245">
        <v>0.19</v>
      </c>
      <c r="F245">
        <v>27.44</v>
      </c>
      <c r="G245">
        <v>3131</v>
      </c>
      <c r="H245">
        <v>3592</v>
      </c>
      <c r="I245">
        <v>3723</v>
      </c>
      <c r="J245">
        <v>0.91</v>
      </c>
      <c r="K245">
        <v>-13.66</v>
      </c>
      <c r="L245">
        <v>-17.81</v>
      </c>
      <c r="M245">
        <v>6.4</v>
      </c>
      <c r="N245" t="b">
        <v>1</v>
      </c>
      <c r="O245">
        <v>138</v>
      </c>
      <c r="P245" t="s">
        <v>258</v>
      </c>
      <c r="Q245" t="s">
        <v>2460</v>
      </c>
      <c r="R245">
        <v>143.1914252164321</v>
      </c>
      <c r="S245">
        <v>306</v>
      </c>
      <c r="T245">
        <v>76964</v>
      </c>
      <c r="U245" t="s">
        <v>4230</v>
      </c>
      <c r="V245">
        <v>45.28</v>
      </c>
      <c r="W245" t="s">
        <v>6450</v>
      </c>
      <c r="X245" t="s">
        <v>8620</v>
      </c>
      <c r="Y245">
        <v>611</v>
      </c>
      <c r="Z245">
        <v>11</v>
      </c>
      <c r="AB245">
        <v>0.79</v>
      </c>
    </row>
    <row r="246" spans="1:28">
      <c r="A246" s="2">
        <f>HYPERLINK("https://finance.naver.com/item/coinfo.nhn?code=122690", "A122690")</f>
        <v>0</v>
      </c>
      <c r="B246">
        <f>HYPERLINK("http://comp.fnguide.com/SVO2/ASP/SVD_Consensus.asp?pGB=1&amp;gicode=A122690&amp;cID=&amp;MenuYn=Y&amp;ReportGB=&amp;NewMenuID=108&amp;stkGb=701", "서진오토모티브")</f>
        <v>0</v>
      </c>
      <c r="C246">
        <v>3</v>
      </c>
      <c r="D246">
        <v>2860</v>
      </c>
      <c r="G246">
        <v>0</v>
      </c>
      <c r="H246">
        <v>2711</v>
      </c>
      <c r="I246">
        <v>3483</v>
      </c>
      <c r="J246">
        <v>100</v>
      </c>
      <c r="K246">
        <v>5.22</v>
      </c>
      <c r="L246">
        <v>-21.78</v>
      </c>
      <c r="M246">
        <v>0</v>
      </c>
      <c r="N246" t="b">
        <v>0</v>
      </c>
      <c r="O246">
        <v>-768</v>
      </c>
      <c r="P246" t="s">
        <v>259</v>
      </c>
      <c r="Q246" t="s">
        <v>2461</v>
      </c>
      <c r="R246">
        <v>-45.4</v>
      </c>
      <c r="S246">
        <v>559</v>
      </c>
      <c r="T246">
        <v>43920</v>
      </c>
      <c r="U246" t="s">
        <v>4231</v>
      </c>
      <c r="V246">
        <v>63.97</v>
      </c>
      <c r="W246" t="s">
        <v>6451</v>
      </c>
      <c r="X246" t="s">
        <v>968</v>
      </c>
      <c r="Y246">
        <v>14298</v>
      </c>
      <c r="Z246">
        <v>53</v>
      </c>
      <c r="AA246">
        <v>123946</v>
      </c>
    </row>
    <row r="247" spans="1:28">
      <c r="A247" s="2">
        <f>HYPERLINK("https://finance.naver.com/item/coinfo.nhn?code=140070", "A140070")</f>
        <v>0</v>
      </c>
      <c r="B247">
        <f>HYPERLINK("http://comp.fnguide.com/SVO2/ASP/SVD_Consensus.asp?pGB=1&amp;gicode=A140070&amp;cID=&amp;MenuYn=Y&amp;ReportGB=&amp;NewMenuID=108&amp;stkGb=701", "서플러스글로벌")</f>
        <v>0</v>
      </c>
      <c r="C247">
        <v>3</v>
      </c>
      <c r="D247">
        <v>2890</v>
      </c>
      <c r="E247">
        <v>1.16</v>
      </c>
      <c r="F247">
        <v>55.93</v>
      </c>
      <c r="G247">
        <v>4660</v>
      </c>
      <c r="H247">
        <v>3987</v>
      </c>
      <c r="I247">
        <v>3795</v>
      </c>
      <c r="J247">
        <v>-61.25</v>
      </c>
      <c r="K247">
        <v>-37.96</v>
      </c>
      <c r="L247">
        <v>-31.33</v>
      </c>
      <c r="M247">
        <v>10.49</v>
      </c>
      <c r="N247" t="b">
        <v>1</v>
      </c>
      <c r="O247">
        <v>43</v>
      </c>
      <c r="P247" t="s">
        <v>260</v>
      </c>
      <c r="Q247" t="s">
        <v>2462</v>
      </c>
      <c r="R247">
        <v>48.17998008288897</v>
      </c>
      <c r="S247">
        <v>1069</v>
      </c>
      <c r="T247">
        <v>120755</v>
      </c>
      <c r="U247" t="s">
        <v>4232</v>
      </c>
      <c r="V247">
        <v>57.52</v>
      </c>
      <c r="W247" t="s">
        <v>6452</v>
      </c>
      <c r="X247" t="s">
        <v>8621</v>
      </c>
      <c r="Y247">
        <v>1103</v>
      </c>
      <c r="Z247">
        <v>27</v>
      </c>
      <c r="AA247">
        <v>2130000</v>
      </c>
    </row>
    <row r="248" spans="1:28">
      <c r="A248" s="2">
        <f>HYPERLINK("https://finance.naver.com/item/coinfo.nhn?code=011370", "A011370")</f>
        <v>0</v>
      </c>
      <c r="B248">
        <f>HYPERLINK("http://comp.fnguide.com/SVO2/ASP/SVD_Consensus.asp?pGB=1&amp;gicode=A011370&amp;cID=&amp;MenuYn=Y&amp;ReportGB=&amp;NewMenuID=108&amp;stkGb=701", "서한")</f>
        <v>0</v>
      </c>
      <c r="C248">
        <v>3</v>
      </c>
      <c r="D248">
        <v>1540</v>
      </c>
      <c r="E248">
        <v>-1.81</v>
      </c>
      <c r="F248">
        <v>12.19</v>
      </c>
      <c r="G248">
        <v>4365</v>
      </c>
      <c r="H248">
        <v>3542</v>
      </c>
      <c r="I248">
        <v>3307</v>
      </c>
      <c r="J248">
        <v>-183.47</v>
      </c>
      <c r="K248">
        <v>-129.97</v>
      </c>
      <c r="L248">
        <v>-114.73</v>
      </c>
      <c r="M248">
        <v>11.62</v>
      </c>
      <c r="N248" t="b">
        <v>1</v>
      </c>
      <c r="O248">
        <v>98</v>
      </c>
      <c r="P248" t="s">
        <v>261</v>
      </c>
      <c r="Q248" t="s">
        <v>2463</v>
      </c>
      <c r="R248">
        <v>-6.718859451246695</v>
      </c>
      <c r="S248">
        <v>1554</v>
      </c>
      <c r="T248">
        <v>1756867</v>
      </c>
      <c r="U248" t="s">
        <v>4233</v>
      </c>
      <c r="V248">
        <v>11.26</v>
      </c>
      <c r="W248" t="s">
        <v>6453</v>
      </c>
      <c r="X248" t="s">
        <v>8622</v>
      </c>
      <c r="Y248">
        <v>5481</v>
      </c>
      <c r="Z248">
        <v>240</v>
      </c>
      <c r="AB248">
        <v>2.52</v>
      </c>
    </row>
    <row r="249" spans="1:28">
      <c r="A249" s="2">
        <f>HYPERLINK("https://finance.naver.com/item/coinfo.nhn?code=035890", "A035890")</f>
        <v>0</v>
      </c>
      <c r="B249">
        <f>HYPERLINK("http://comp.fnguide.com/SVO2/ASP/SVD_Consensus.asp?pGB=1&amp;gicode=A035890&amp;cID=&amp;MenuYn=Y&amp;ReportGB=&amp;NewMenuID=108&amp;stkGb=701", "서희건설")</f>
        <v>0</v>
      </c>
      <c r="C249">
        <v>3</v>
      </c>
      <c r="D249">
        <v>1385</v>
      </c>
      <c r="E249">
        <v>0.06</v>
      </c>
      <c r="F249">
        <v>3.81</v>
      </c>
      <c r="G249">
        <v>3435</v>
      </c>
      <c r="H249">
        <v>2403</v>
      </c>
      <c r="I249">
        <v>2109</v>
      </c>
      <c r="J249">
        <v>-148.03</v>
      </c>
      <c r="K249">
        <v>-73.5</v>
      </c>
      <c r="L249">
        <v>-52.27</v>
      </c>
      <c r="M249">
        <v>15.94</v>
      </c>
      <c r="N249" t="b">
        <v>1</v>
      </c>
      <c r="O249">
        <v>294</v>
      </c>
      <c r="P249" t="s">
        <v>262</v>
      </c>
      <c r="Q249" t="s">
        <v>2464</v>
      </c>
      <c r="R249">
        <v>62.87711233297934</v>
      </c>
      <c r="S249">
        <v>2868</v>
      </c>
      <c r="T249">
        <v>2291135</v>
      </c>
      <c r="U249" t="s">
        <v>4234</v>
      </c>
      <c r="V249">
        <v>50.19</v>
      </c>
      <c r="W249" t="s">
        <v>6454</v>
      </c>
      <c r="X249" t="s">
        <v>8623</v>
      </c>
      <c r="Y249">
        <v>12430</v>
      </c>
      <c r="Z249">
        <v>1182</v>
      </c>
      <c r="AA249">
        <v>9575559</v>
      </c>
      <c r="AB249">
        <v>2.68</v>
      </c>
    </row>
    <row r="250" spans="1:28">
      <c r="A250" s="2">
        <f>HYPERLINK("https://finance.naver.com/item/coinfo.nhn?code=003100", "A003100")</f>
        <v>0</v>
      </c>
      <c r="B250">
        <f>HYPERLINK("http://comp.fnguide.com/SVO2/ASP/SVD_Consensus.asp?pGB=1&amp;gicode=A003100&amp;cID=&amp;MenuYn=Y&amp;ReportGB=&amp;NewMenuID=108&amp;stkGb=701", "선광")</f>
        <v>0</v>
      </c>
      <c r="C250">
        <v>3</v>
      </c>
      <c r="D250">
        <v>26600</v>
      </c>
      <c r="E250">
        <v>1.87</v>
      </c>
      <c r="F250">
        <v>21.9</v>
      </c>
      <c r="G250">
        <v>15209</v>
      </c>
      <c r="H250">
        <v>37829</v>
      </c>
      <c r="I250">
        <v>44275</v>
      </c>
      <c r="J250">
        <v>42.82</v>
      </c>
      <c r="K250">
        <v>-42.22</v>
      </c>
      <c r="L250">
        <v>-66.45</v>
      </c>
      <c r="M250">
        <v>2.29</v>
      </c>
      <c r="N250" t="b">
        <v>0</v>
      </c>
      <c r="O250">
        <v>758</v>
      </c>
      <c r="P250" t="s">
        <v>263</v>
      </c>
      <c r="Q250" t="s">
        <v>2465</v>
      </c>
      <c r="R250">
        <v>11.6914664531955</v>
      </c>
      <c r="S250">
        <v>1756</v>
      </c>
      <c r="T250">
        <v>45918</v>
      </c>
      <c r="U250" t="s">
        <v>4235</v>
      </c>
      <c r="V250">
        <v>52.5</v>
      </c>
      <c r="W250" t="s">
        <v>6455</v>
      </c>
      <c r="X250" t="s">
        <v>8624</v>
      </c>
      <c r="Y250">
        <v>1450</v>
      </c>
      <c r="Z250">
        <v>243</v>
      </c>
      <c r="AA250">
        <v>825910</v>
      </c>
      <c r="AB250">
        <v>2.11</v>
      </c>
    </row>
    <row r="251" spans="1:28">
      <c r="A251" s="2">
        <f>HYPERLINK("https://finance.naver.com/item/coinfo.nhn?code=171090", "A171090")</f>
        <v>0</v>
      </c>
      <c r="B251">
        <f>HYPERLINK("http://comp.fnguide.com/SVO2/ASP/SVD_Consensus.asp?pGB=1&amp;gicode=A171090&amp;cID=&amp;MenuYn=Y&amp;ReportGB=&amp;NewMenuID=108&amp;stkGb=701", "선익시스템")</f>
        <v>0</v>
      </c>
      <c r="C251">
        <v>3</v>
      </c>
      <c r="D251">
        <v>6540</v>
      </c>
      <c r="E251">
        <v>-0.6</v>
      </c>
      <c r="F251">
        <v>9.91</v>
      </c>
      <c r="G251">
        <v>11656</v>
      </c>
      <c r="H251">
        <v>11243</v>
      </c>
      <c r="I251">
        <v>11125</v>
      </c>
      <c r="J251">
        <v>-78.23</v>
      </c>
      <c r="K251">
        <v>-71.91</v>
      </c>
      <c r="L251">
        <v>-70.11</v>
      </c>
      <c r="M251">
        <v>8.470000000000001</v>
      </c>
      <c r="N251" t="b">
        <v>1</v>
      </c>
      <c r="O251">
        <v>794</v>
      </c>
      <c r="P251" t="s">
        <v>264</v>
      </c>
      <c r="Q251" t="s">
        <v>2466</v>
      </c>
      <c r="R251">
        <v>-16.52467257949185</v>
      </c>
      <c r="S251">
        <v>589</v>
      </c>
      <c r="T251">
        <v>32854</v>
      </c>
      <c r="U251" t="s">
        <v>4236</v>
      </c>
      <c r="V251">
        <v>50.07</v>
      </c>
      <c r="W251" t="s">
        <v>6456</v>
      </c>
      <c r="X251" t="s">
        <v>8625</v>
      </c>
      <c r="Y251">
        <v>876</v>
      </c>
      <c r="Z251">
        <v>114</v>
      </c>
      <c r="AA251">
        <v>739004</v>
      </c>
      <c r="AB251">
        <v>1.27</v>
      </c>
    </row>
    <row r="252" spans="1:28">
      <c r="A252" s="2">
        <f>HYPERLINK("https://finance.naver.com/item/coinfo.nhn?code=023600", "A023600")</f>
        <v>0</v>
      </c>
      <c r="B252">
        <f>HYPERLINK("http://comp.fnguide.com/SVO2/ASP/SVD_Consensus.asp?pGB=1&amp;gicode=A023600&amp;cID=&amp;MenuYn=Y&amp;ReportGB=&amp;NewMenuID=108&amp;stkGb=701", "삼보판지")</f>
        <v>0</v>
      </c>
      <c r="C252">
        <v>3</v>
      </c>
      <c r="D252">
        <v>10150</v>
      </c>
      <c r="E252">
        <v>-1.46</v>
      </c>
      <c r="F252">
        <v>4.62</v>
      </c>
      <c r="G252">
        <v>31017</v>
      </c>
      <c r="H252">
        <v>25750</v>
      </c>
      <c r="I252">
        <v>24249</v>
      </c>
      <c r="J252">
        <v>-205.59</v>
      </c>
      <c r="K252">
        <v>-153.7</v>
      </c>
      <c r="L252">
        <v>-138.91</v>
      </c>
      <c r="M252">
        <v>11.11</v>
      </c>
      <c r="N252" t="b">
        <v>1</v>
      </c>
      <c r="O252">
        <v>1779</v>
      </c>
      <c r="P252" t="s">
        <v>265</v>
      </c>
      <c r="Q252" t="s">
        <v>2467</v>
      </c>
      <c r="R252">
        <v>-3.163553070742187</v>
      </c>
      <c r="S252">
        <v>1641</v>
      </c>
      <c r="T252">
        <v>1019622</v>
      </c>
      <c r="U252" t="s">
        <v>4237</v>
      </c>
      <c r="V252">
        <v>63.54</v>
      </c>
      <c r="W252" t="s">
        <v>6457</v>
      </c>
      <c r="X252" t="s">
        <v>8626</v>
      </c>
      <c r="Y252">
        <v>3670</v>
      </c>
      <c r="Z252">
        <v>457</v>
      </c>
      <c r="AA252">
        <v>202211</v>
      </c>
      <c r="AB252">
        <v>1.52</v>
      </c>
    </row>
    <row r="253" spans="1:28">
      <c r="A253" s="2">
        <f>HYPERLINK("https://finance.naver.com/item/coinfo.nhn?code=018310", "A018310")</f>
        <v>0</v>
      </c>
      <c r="B253">
        <f>HYPERLINK("http://comp.fnguide.com/SVO2/ASP/SVD_Consensus.asp?pGB=1&amp;gicode=A018310&amp;cID=&amp;MenuYn=Y&amp;ReportGB=&amp;NewMenuID=108&amp;stkGb=701", "삼목에스폼")</f>
        <v>0</v>
      </c>
      <c r="C253">
        <v>3</v>
      </c>
      <c r="D253">
        <v>7830</v>
      </c>
      <c r="E253">
        <v>-0.34</v>
      </c>
      <c r="F253">
        <v>8.970000000000001</v>
      </c>
      <c r="G253">
        <v>28798</v>
      </c>
      <c r="H253">
        <v>28755</v>
      </c>
      <c r="I253">
        <v>28742</v>
      </c>
      <c r="J253">
        <v>-267.79</v>
      </c>
      <c r="K253">
        <v>-267.24</v>
      </c>
      <c r="L253">
        <v>-267.08</v>
      </c>
      <c r="M253">
        <v>7.99</v>
      </c>
      <c r="N253" t="b">
        <v>1</v>
      </c>
      <c r="O253">
        <v>932</v>
      </c>
      <c r="P253" t="s">
        <v>266</v>
      </c>
      <c r="Q253" t="s">
        <v>2468</v>
      </c>
      <c r="R253">
        <v>-26.11158320682037</v>
      </c>
      <c r="S253">
        <v>1151</v>
      </c>
      <c r="T253">
        <v>29540</v>
      </c>
      <c r="U253" t="s">
        <v>4238</v>
      </c>
      <c r="V253">
        <v>50.66</v>
      </c>
      <c r="W253" t="s">
        <v>6458</v>
      </c>
      <c r="X253" t="s">
        <v>8627</v>
      </c>
      <c r="Y253">
        <v>1442</v>
      </c>
      <c r="Z253">
        <v>114</v>
      </c>
      <c r="AA253">
        <v>2783927</v>
      </c>
      <c r="AB253">
        <v>1.2</v>
      </c>
    </row>
    <row r="254" spans="1:28">
      <c r="A254" s="2">
        <f>HYPERLINK("https://finance.naver.com/item/coinfo.nhn?code=037350", "A037350")</f>
        <v>0</v>
      </c>
      <c r="B254">
        <f>HYPERLINK("http://comp.fnguide.com/SVO2/ASP/SVD_Consensus.asp?pGB=1&amp;gicode=A037350&amp;cID=&amp;MenuYn=Y&amp;ReportGB=&amp;NewMenuID=108&amp;stkGb=701", "성도이엔지")</f>
        <v>0</v>
      </c>
      <c r="C254">
        <v>3</v>
      </c>
      <c r="D254">
        <v>4350</v>
      </c>
      <c r="G254">
        <v>6028</v>
      </c>
      <c r="H254">
        <v>8089</v>
      </c>
      <c r="I254">
        <v>8676</v>
      </c>
      <c r="J254">
        <v>-38.58</v>
      </c>
      <c r="K254">
        <v>-85.95</v>
      </c>
      <c r="L254">
        <v>-99.45</v>
      </c>
      <c r="M254">
        <v>5.08</v>
      </c>
      <c r="N254" t="b">
        <v>0</v>
      </c>
      <c r="O254">
        <v>-4159</v>
      </c>
      <c r="P254" t="s">
        <v>267</v>
      </c>
      <c r="Q254" t="s">
        <v>2469</v>
      </c>
      <c r="R254">
        <v>39.74210130616178</v>
      </c>
      <c r="S254">
        <v>673</v>
      </c>
      <c r="T254">
        <v>1074670</v>
      </c>
      <c r="U254" t="s">
        <v>4239</v>
      </c>
      <c r="V254">
        <v>36.47</v>
      </c>
      <c r="W254" t="s">
        <v>6459</v>
      </c>
      <c r="X254" t="s">
        <v>8628</v>
      </c>
      <c r="Y254">
        <v>6957</v>
      </c>
      <c r="Z254">
        <v>190</v>
      </c>
      <c r="AA254">
        <v>773161</v>
      </c>
      <c r="AB254">
        <v>1.45</v>
      </c>
    </row>
    <row r="255" spans="1:28">
      <c r="A255" s="2">
        <f>HYPERLINK("https://finance.naver.com/item/coinfo.nhn?code=035620", "A035620")</f>
        <v>0</v>
      </c>
      <c r="B255">
        <f>HYPERLINK("http://comp.fnguide.com/SVO2/ASP/SVD_Consensus.asp?pGB=1&amp;gicode=A035620&amp;cID=&amp;MenuYn=Y&amp;ReportGB=&amp;NewMenuID=108&amp;stkGb=701", "바른손이앤에이")</f>
        <v>0</v>
      </c>
      <c r="C255">
        <v>3</v>
      </c>
      <c r="D255">
        <v>1510</v>
      </c>
      <c r="E255">
        <v>0</v>
      </c>
      <c r="G255">
        <v>6687</v>
      </c>
      <c r="H255">
        <v>3296</v>
      </c>
      <c r="I255">
        <v>2330</v>
      </c>
      <c r="J255">
        <v>-342.83</v>
      </c>
      <c r="K255">
        <v>-118.29</v>
      </c>
      <c r="L255">
        <v>-54.31</v>
      </c>
      <c r="M255">
        <v>51.06</v>
      </c>
      <c r="N255" t="b">
        <v>0</v>
      </c>
      <c r="O255">
        <v>-267</v>
      </c>
      <c r="P255" t="s">
        <v>268</v>
      </c>
      <c r="Q255" t="s">
        <v>2276</v>
      </c>
      <c r="R255">
        <v>0</v>
      </c>
      <c r="S255">
        <v>1110</v>
      </c>
      <c r="T255">
        <v>1106029</v>
      </c>
      <c r="U255" t="s">
        <v>4240</v>
      </c>
      <c r="V255">
        <v>28.13</v>
      </c>
      <c r="W255" t="s">
        <v>6460</v>
      </c>
      <c r="X255" t="s">
        <v>8629</v>
      </c>
      <c r="Y255">
        <v>170</v>
      </c>
      <c r="Z255">
        <v>-177</v>
      </c>
      <c r="AA255">
        <v>477554</v>
      </c>
    </row>
    <row r="256" spans="1:28">
      <c r="A256" s="2">
        <f>HYPERLINK("https://finance.naver.com/item/coinfo.nhn?code=039830", "A039830")</f>
        <v>0</v>
      </c>
      <c r="B256">
        <f>HYPERLINK("http://comp.fnguide.com/SVO2/ASP/SVD_Consensus.asp?pGB=1&amp;gicode=A039830&amp;cID=&amp;MenuYn=Y&amp;ReportGB=&amp;NewMenuID=108&amp;stkGb=701", "오로라")</f>
        <v>0</v>
      </c>
      <c r="C256">
        <v>3</v>
      </c>
      <c r="D256">
        <v>9330</v>
      </c>
      <c r="E256">
        <v>-2.23</v>
      </c>
      <c r="F256">
        <v>38.96</v>
      </c>
      <c r="G256">
        <v>7908</v>
      </c>
      <c r="H256">
        <v>9379</v>
      </c>
      <c r="I256">
        <v>9799</v>
      </c>
      <c r="J256">
        <v>15.25</v>
      </c>
      <c r="K256">
        <v>-0.53</v>
      </c>
      <c r="L256">
        <v>-5.02</v>
      </c>
      <c r="M256">
        <v>6.08</v>
      </c>
      <c r="N256" t="b">
        <v>0</v>
      </c>
      <c r="O256">
        <v>350</v>
      </c>
      <c r="P256" t="s">
        <v>269</v>
      </c>
      <c r="Q256" t="s">
        <v>2470</v>
      </c>
      <c r="R256">
        <v>-17.44319336265531</v>
      </c>
      <c r="S256">
        <v>1004</v>
      </c>
      <c r="T256">
        <v>106146</v>
      </c>
      <c r="U256" t="s">
        <v>4241</v>
      </c>
      <c r="V256">
        <v>46.52</v>
      </c>
      <c r="W256" t="s">
        <v>6461</v>
      </c>
      <c r="X256" t="s">
        <v>8630</v>
      </c>
      <c r="Y256">
        <v>1571</v>
      </c>
      <c r="Z256">
        <v>126</v>
      </c>
      <c r="AA256">
        <v>509176</v>
      </c>
      <c r="AB256">
        <v>1.47</v>
      </c>
    </row>
    <row r="257" spans="1:28">
      <c r="A257" s="2">
        <f>HYPERLINK("https://finance.naver.com/item/coinfo.nhn?code=001810", "A001810")</f>
        <v>0</v>
      </c>
      <c r="B257">
        <f>HYPERLINK("http://comp.fnguide.com/SVO2/ASP/SVD_Consensus.asp?pGB=1&amp;gicode=A001810&amp;cID=&amp;MenuYn=Y&amp;ReportGB=&amp;NewMenuID=108&amp;stkGb=701", "무림SP")</f>
        <v>0</v>
      </c>
      <c r="C257">
        <v>3</v>
      </c>
      <c r="D257">
        <v>2340</v>
      </c>
      <c r="E257">
        <v>-46.18</v>
      </c>
      <c r="F257">
        <v>37.01</v>
      </c>
      <c r="G257">
        <v>3616</v>
      </c>
      <c r="H257">
        <v>6972</v>
      </c>
      <c r="I257">
        <v>7928</v>
      </c>
      <c r="J257">
        <v>-54.51</v>
      </c>
      <c r="K257">
        <v>-197.94</v>
      </c>
      <c r="L257">
        <v>-238.81</v>
      </c>
      <c r="M257">
        <v>3.13</v>
      </c>
      <c r="N257" t="b">
        <v>1</v>
      </c>
      <c r="O257">
        <v>61</v>
      </c>
      <c r="P257" t="s">
        <v>270</v>
      </c>
      <c r="Q257" t="s">
        <v>2471</v>
      </c>
      <c r="R257">
        <v>-0.8013835164310978</v>
      </c>
      <c r="S257">
        <v>518</v>
      </c>
      <c r="T257">
        <v>174066</v>
      </c>
      <c r="U257" t="s">
        <v>4242</v>
      </c>
      <c r="V257">
        <v>61.41</v>
      </c>
      <c r="W257" t="s">
        <v>6462</v>
      </c>
      <c r="X257" t="s">
        <v>8631</v>
      </c>
      <c r="Y257">
        <v>1379</v>
      </c>
      <c r="Z257">
        <v>12</v>
      </c>
      <c r="AB257">
        <v>1.55</v>
      </c>
    </row>
    <row r="258" spans="1:28">
      <c r="A258" s="2">
        <f>HYPERLINK("https://finance.naver.com/item/coinfo.nhn?code=080520", "A080520")</f>
        <v>0</v>
      </c>
      <c r="B258">
        <f>HYPERLINK("http://comp.fnguide.com/SVO2/ASP/SVD_Consensus.asp?pGB=1&amp;gicode=A080520&amp;cID=&amp;MenuYn=Y&amp;ReportGB=&amp;NewMenuID=108&amp;stkGb=701", "오디텍")</f>
        <v>0</v>
      </c>
      <c r="C258">
        <v>3</v>
      </c>
      <c r="D258">
        <v>5210</v>
      </c>
      <c r="E258">
        <v>-0.6</v>
      </c>
      <c r="F258">
        <v>26.75</v>
      </c>
      <c r="G258">
        <v>3350</v>
      </c>
      <c r="H258">
        <v>7811</v>
      </c>
      <c r="I258">
        <v>9082</v>
      </c>
      <c r="J258">
        <v>35.7</v>
      </c>
      <c r="K258">
        <v>-49.92</v>
      </c>
      <c r="L258">
        <v>-74.31</v>
      </c>
      <c r="M258">
        <v>2.48</v>
      </c>
      <c r="N258" t="b">
        <v>1</v>
      </c>
      <c r="O258">
        <v>182</v>
      </c>
      <c r="P258" t="s">
        <v>271</v>
      </c>
      <c r="Q258" t="s">
        <v>2472</v>
      </c>
      <c r="R258">
        <v>-44.81714120707975</v>
      </c>
      <c r="S258">
        <v>612</v>
      </c>
      <c r="T258">
        <v>81940</v>
      </c>
      <c r="U258" t="s">
        <v>4243</v>
      </c>
      <c r="V258">
        <v>25.33</v>
      </c>
      <c r="W258" t="s">
        <v>6463</v>
      </c>
      <c r="X258" t="s">
        <v>8632</v>
      </c>
      <c r="Y258">
        <v>416</v>
      </c>
      <c r="Z258">
        <v>12</v>
      </c>
      <c r="AA258">
        <v>840658</v>
      </c>
      <c r="AB258">
        <v>2.05</v>
      </c>
    </row>
    <row r="259" spans="1:28">
      <c r="A259" s="2">
        <f>HYPERLINK("https://finance.naver.com/item/coinfo.nhn?code=028040", "A028040")</f>
        <v>0</v>
      </c>
      <c r="B259">
        <f>HYPERLINK("http://comp.fnguide.com/SVO2/ASP/SVD_Consensus.asp?pGB=1&amp;gicode=A028040&amp;cID=&amp;MenuYn=Y&amp;ReportGB=&amp;NewMenuID=108&amp;stkGb=701", "미래SCI")</f>
        <v>0</v>
      </c>
      <c r="C259">
        <v>3</v>
      </c>
      <c r="D259">
        <v>279</v>
      </c>
      <c r="E259">
        <v>0</v>
      </c>
      <c r="G259">
        <v>0</v>
      </c>
      <c r="H259">
        <v>226</v>
      </c>
      <c r="I259">
        <v>290</v>
      </c>
      <c r="J259">
        <v>100</v>
      </c>
      <c r="K259">
        <v>19.08</v>
      </c>
      <c r="L259">
        <v>-3.98</v>
      </c>
      <c r="M259">
        <v>0</v>
      </c>
      <c r="N259" t="b">
        <v>0</v>
      </c>
      <c r="O259">
        <v>-460</v>
      </c>
      <c r="P259" t="s">
        <v>272</v>
      </c>
      <c r="Q259" t="s">
        <v>2276</v>
      </c>
      <c r="R259">
        <v>0</v>
      </c>
      <c r="S259">
        <v>125</v>
      </c>
      <c r="T259">
        <v>0</v>
      </c>
      <c r="U259" t="s">
        <v>4244</v>
      </c>
      <c r="V259">
        <v>0</v>
      </c>
      <c r="W259" t="s">
        <v>6464</v>
      </c>
      <c r="X259" t="s">
        <v>968</v>
      </c>
      <c r="Y259">
        <v>148</v>
      </c>
      <c r="Z259">
        <v>-60</v>
      </c>
      <c r="AA259">
        <v>2342</v>
      </c>
    </row>
    <row r="260" spans="1:28">
      <c r="A260" s="2">
        <f>HYPERLINK("https://finance.naver.com/item/coinfo.nhn?code=095500", "A095500")</f>
        <v>0</v>
      </c>
      <c r="B260">
        <f>HYPERLINK("http://comp.fnguide.com/SVO2/ASP/SVD_Consensus.asp?pGB=1&amp;gicode=A095500&amp;cID=&amp;MenuYn=Y&amp;ReportGB=&amp;NewMenuID=108&amp;stkGb=701", "미래나노텍")</f>
        <v>0</v>
      </c>
      <c r="C260">
        <v>3</v>
      </c>
      <c r="D260">
        <v>3130</v>
      </c>
      <c r="E260">
        <v>14.18</v>
      </c>
      <c r="F260">
        <v>109.57</v>
      </c>
      <c r="G260">
        <v>2732</v>
      </c>
      <c r="H260">
        <v>5674</v>
      </c>
      <c r="I260">
        <v>6512</v>
      </c>
      <c r="J260">
        <v>12.71</v>
      </c>
      <c r="K260">
        <v>-81.26000000000001</v>
      </c>
      <c r="L260">
        <v>-108.04</v>
      </c>
      <c r="M260">
        <v>2.86</v>
      </c>
      <c r="N260" t="b">
        <v>0</v>
      </c>
      <c r="O260">
        <v>36</v>
      </c>
      <c r="P260" t="s">
        <v>273</v>
      </c>
      <c r="Q260" t="s">
        <v>2473</v>
      </c>
      <c r="R260">
        <v>7.728744086382577</v>
      </c>
      <c r="S260">
        <v>777</v>
      </c>
      <c r="T260">
        <v>175667</v>
      </c>
      <c r="U260" t="s">
        <v>4245</v>
      </c>
      <c r="V260">
        <v>21.69</v>
      </c>
      <c r="W260" t="s">
        <v>6465</v>
      </c>
      <c r="X260" t="s">
        <v>8633</v>
      </c>
      <c r="Y260">
        <v>2897</v>
      </c>
      <c r="Z260">
        <v>14</v>
      </c>
      <c r="AA260">
        <v>4625109</v>
      </c>
    </row>
    <row r="261" spans="1:28">
      <c r="A261" s="2">
        <f>HYPERLINK("https://finance.naver.com/item/coinfo.nhn?code=045060", "A045060")</f>
        <v>0</v>
      </c>
      <c r="B261">
        <f>HYPERLINK("http://comp.fnguide.com/SVO2/ASP/SVD_Consensus.asp?pGB=1&amp;gicode=A045060&amp;cID=&amp;MenuYn=Y&amp;ReportGB=&amp;NewMenuID=108&amp;stkGb=701", "오공")</f>
        <v>0</v>
      </c>
      <c r="C261">
        <v>3</v>
      </c>
      <c r="D261">
        <v>4890</v>
      </c>
      <c r="E261">
        <v>0.35</v>
      </c>
      <c r="F261">
        <v>7.63</v>
      </c>
      <c r="G261">
        <v>5852</v>
      </c>
      <c r="H261">
        <v>5173</v>
      </c>
      <c r="I261">
        <v>4980</v>
      </c>
      <c r="J261">
        <v>-19.66</v>
      </c>
      <c r="K261">
        <v>-5.79</v>
      </c>
      <c r="L261">
        <v>-1.84</v>
      </c>
      <c r="M261">
        <v>9.880000000000001</v>
      </c>
      <c r="N261" t="b">
        <v>1</v>
      </c>
      <c r="O261">
        <v>442</v>
      </c>
      <c r="P261" t="s">
        <v>274</v>
      </c>
      <c r="Q261" t="s">
        <v>2474</v>
      </c>
      <c r="R261">
        <v>21.93538968525355</v>
      </c>
      <c r="S261">
        <v>828</v>
      </c>
      <c r="T261">
        <v>450748</v>
      </c>
      <c r="U261" t="s">
        <v>4246</v>
      </c>
      <c r="V261">
        <v>30.96</v>
      </c>
      <c r="W261" t="s">
        <v>6466</v>
      </c>
      <c r="X261" t="s">
        <v>8634</v>
      </c>
      <c r="Y261">
        <v>1519</v>
      </c>
      <c r="Z261">
        <v>89</v>
      </c>
      <c r="AA261">
        <v>87473</v>
      </c>
      <c r="AB261">
        <v>1.48</v>
      </c>
    </row>
    <row r="262" spans="1:28">
      <c r="A262" s="2">
        <f>HYPERLINK("https://finance.naver.com/item/coinfo.nhn?code=900300", "A900300")</f>
        <v>0</v>
      </c>
      <c r="B262">
        <f>HYPERLINK("http://comp.fnguide.com/SVO2/ASP/SVD_Consensus.asp?pGB=1&amp;gicode=A900300&amp;cID=&amp;MenuYn=Y&amp;ReportGB=&amp;NewMenuID=108&amp;stkGb=701", "오가닉티코스메틱")</f>
        <v>0</v>
      </c>
      <c r="C262">
        <v>3</v>
      </c>
      <c r="D262">
        <v>679</v>
      </c>
      <c r="E262">
        <v>-0.12</v>
      </c>
      <c r="F262">
        <v>2.6</v>
      </c>
      <c r="G262">
        <v>8778</v>
      </c>
      <c r="H262">
        <v>6084</v>
      </c>
      <c r="I262">
        <v>5316</v>
      </c>
      <c r="J262">
        <v>-1192.79</v>
      </c>
      <c r="K262">
        <v>-796.03</v>
      </c>
      <c r="L262">
        <v>-682.98</v>
      </c>
      <c r="M262">
        <v>16.29</v>
      </c>
      <c r="N262" t="b">
        <v>0</v>
      </c>
      <c r="O262">
        <v>559</v>
      </c>
      <c r="P262" t="s">
        <v>275</v>
      </c>
      <c r="Q262" t="s">
        <v>2475</v>
      </c>
      <c r="R262">
        <v>-22.37931695371097</v>
      </c>
      <c r="S262">
        <v>437</v>
      </c>
      <c r="T262">
        <v>1435297</v>
      </c>
      <c r="U262" t="s">
        <v>4247</v>
      </c>
      <c r="V262">
        <v>16.13</v>
      </c>
      <c r="W262" t="s">
        <v>6467</v>
      </c>
      <c r="X262" t="s">
        <v>8635</v>
      </c>
      <c r="Y262">
        <v>2996</v>
      </c>
      <c r="Z262">
        <v>459</v>
      </c>
    </row>
    <row r="263" spans="1:28">
      <c r="A263" s="2">
        <f>HYPERLINK("https://finance.naver.com/item/coinfo.nhn?code=036000", "A036000")</f>
        <v>0</v>
      </c>
      <c r="B263">
        <f>HYPERLINK("http://comp.fnguide.com/SVO2/ASP/SVD_Consensus.asp?pGB=1&amp;gicode=A036000&amp;cID=&amp;MenuYn=Y&amp;ReportGB=&amp;NewMenuID=108&amp;stkGb=701", "예림당")</f>
        <v>0</v>
      </c>
      <c r="C263">
        <v>3</v>
      </c>
      <c r="D263">
        <v>2970</v>
      </c>
      <c r="G263">
        <v>6545</v>
      </c>
      <c r="H263">
        <v>7000</v>
      </c>
      <c r="I263">
        <v>7130</v>
      </c>
      <c r="J263">
        <v>-120.36</v>
      </c>
      <c r="K263">
        <v>-135.68</v>
      </c>
      <c r="L263">
        <v>-140.05</v>
      </c>
      <c r="M263">
        <v>7.14</v>
      </c>
      <c r="N263" t="b">
        <v>0</v>
      </c>
      <c r="O263">
        <v>-708</v>
      </c>
      <c r="P263" t="s">
        <v>276</v>
      </c>
      <c r="Q263" t="s">
        <v>2476</v>
      </c>
      <c r="R263">
        <v>93.9860640696177</v>
      </c>
      <c r="S263">
        <v>684</v>
      </c>
      <c r="T263">
        <v>229211</v>
      </c>
      <c r="U263" t="s">
        <v>4248</v>
      </c>
      <c r="V263">
        <v>54.26</v>
      </c>
      <c r="W263" t="s">
        <v>6468</v>
      </c>
      <c r="X263" t="s">
        <v>8636</v>
      </c>
      <c r="Y263">
        <v>8359</v>
      </c>
      <c r="Z263">
        <v>-247</v>
      </c>
    </row>
    <row r="264" spans="1:28">
      <c r="A264" s="2">
        <f>HYPERLINK("https://finance.naver.com/item/coinfo.nhn?code=213090", "A213090")</f>
        <v>0</v>
      </c>
      <c r="B264">
        <f>HYPERLINK("http://comp.fnguide.com/SVO2/ASP/SVD_Consensus.asp?pGB=1&amp;gicode=A213090&amp;cID=&amp;MenuYn=Y&amp;ReportGB=&amp;NewMenuID=108&amp;stkGb=701", "미래테크놀로지")</f>
        <v>0</v>
      </c>
      <c r="C264">
        <v>3</v>
      </c>
      <c r="D264">
        <v>7890</v>
      </c>
      <c r="E264">
        <v>-0.66</v>
      </c>
      <c r="F264">
        <v>15.54</v>
      </c>
      <c r="G264">
        <v>5495</v>
      </c>
      <c r="H264">
        <v>8103</v>
      </c>
      <c r="I264">
        <v>8846</v>
      </c>
      <c r="J264">
        <v>30.35</v>
      </c>
      <c r="K264">
        <v>-2.69</v>
      </c>
      <c r="L264">
        <v>-12.11</v>
      </c>
      <c r="M264">
        <v>4.45</v>
      </c>
      <c r="N264" t="b">
        <v>1</v>
      </c>
      <c r="O264">
        <v>528</v>
      </c>
      <c r="P264" t="s">
        <v>277</v>
      </c>
      <c r="Q264" t="s">
        <v>2477</v>
      </c>
      <c r="R264">
        <v>-23.66433533898518</v>
      </c>
      <c r="S264">
        <v>483</v>
      </c>
      <c r="T264">
        <v>2084</v>
      </c>
      <c r="U264" t="s">
        <v>4249</v>
      </c>
      <c r="V264">
        <v>66.15000000000001</v>
      </c>
      <c r="W264" t="s">
        <v>6469</v>
      </c>
      <c r="X264" t="s">
        <v>8637</v>
      </c>
      <c r="Y264">
        <v>359</v>
      </c>
      <c r="Z264">
        <v>37</v>
      </c>
      <c r="AA264">
        <v>335171</v>
      </c>
      <c r="AB264">
        <v>1.46</v>
      </c>
    </row>
    <row r="265" spans="1:28">
      <c r="A265" s="2">
        <f>HYPERLINK("https://finance.naver.com/item/coinfo.nhn?code=036560", "A036560")</f>
        <v>0</v>
      </c>
      <c r="B265">
        <f>HYPERLINK("http://comp.fnguide.com/SVO2/ASP/SVD_Consensus.asp?pGB=1&amp;gicode=A036560&amp;cID=&amp;MenuYn=Y&amp;ReportGB=&amp;NewMenuID=108&amp;stkGb=701", "영풍정밀")</f>
        <v>0</v>
      </c>
      <c r="C265">
        <v>3</v>
      </c>
      <c r="D265">
        <v>8140</v>
      </c>
      <c r="E265">
        <v>1.26</v>
      </c>
      <c r="F265">
        <v>10.64</v>
      </c>
      <c r="G265">
        <v>9006</v>
      </c>
      <c r="H265">
        <v>14444</v>
      </c>
      <c r="I265">
        <v>15994</v>
      </c>
      <c r="J265">
        <v>-10.64</v>
      </c>
      <c r="K265">
        <v>-77.45</v>
      </c>
      <c r="L265">
        <v>-96.48</v>
      </c>
      <c r="M265">
        <v>3.98</v>
      </c>
      <c r="N265" t="b">
        <v>1</v>
      </c>
      <c r="O265">
        <v>799</v>
      </c>
      <c r="P265" t="s">
        <v>278</v>
      </c>
      <c r="Q265" t="s">
        <v>2478</v>
      </c>
      <c r="R265">
        <v>8.441135741097661</v>
      </c>
      <c r="S265">
        <v>1282</v>
      </c>
      <c r="T265">
        <v>84173</v>
      </c>
      <c r="U265" t="s">
        <v>4250</v>
      </c>
      <c r="V265">
        <v>51.07</v>
      </c>
      <c r="W265" t="s">
        <v>6470</v>
      </c>
      <c r="X265" t="s">
        <v>8638</v>
      </c>
      <c r="Y265">
        <v>750</v>
      </c>
      <c r="Z265">
        <v>101</v>
      </c>
      <c r="AB265">
        <v>3.53</v>
      </c>
    </row>
    <row r="266" spans="1:28">
      <c r="A266" s="2">
        <f>HYPERLINK("https://finance.naver.com/item/coinfo.nhn?code=007530", "A007530")</f>
        <v>0</v>
      </c>
      <c r="B266">
        <f>HYPERLINK("http://comp.fnguide.com/SVO2/ASP/SVD_Consensus.asp?pGB=1&amp;gicode=A007530&amp;cID=&amp;MenuYn=Y&amp;ReportGB=&amp;NewMenuID=108&amp;stkGb=701", "영신금속")</f>
        <v>0</v>
      </c>
      <c r="C266">
        <v>3</v>
      </c>
      <c r="D266">
        <v>3475</v>
      </c>
      <c r="E266">
        <v>1.87</v>
      </c>
      <c r="F266">
        <v>3.64</v>
      </c>
      <c r="G266">
        <v>4277</v>
      </c>
      <c r="H266">
        <v>3692</v>
      </c>
      <c r="I266">
        <v>3526</v>
      </c>
      <c r="J266">
        <v>-23.08</v>
      </c>
      <c r="K266">
        <v>-6.25</v>
      </c>
      <c r="L266">
        <v>-1.45</v>
      </c>
      <c r="M266">
        <v>10.32</v>
      </c>
      <c r="N266" t="b">
        <v>1</v>
      </c>
      <c r="O266">
        <v>450</v>
      </c>
      <c r="P266" t="s">
        <v>279</v>
      </c>
      <c r="Q266" t="s">
        <v>2479</v>
      </c>
      <c r="R266">
        <v>1.946799851687353</v>
      </c>
      <c r="S266">
        <v>446</v>
      </c>
      <c r="T266">
        <v>1080002</v>
      </c>
      <c r="U266" t="s">
        <v>4251</v>
      </c>
      <c r="V266">
        <v>29.19</v>
      </c>
      <c r="W266" t="s">
        <v>6471</v>
      </c>
      <c r="X266" t="s">
        <v>8639</v>
      </c>
      <c r="Y266">
        <v>1198</v>
      </c>
      <c r="Z266">
        <v>64</v>
      </c>
      <c r="AA266">
        <v>150000</v>
      </c>
    </row>
    <row r="267" spans="1:28">
      <c r="A267" s="2">
        <f>HYPERLINK("https://finance.naver.com/item/coinfo.nhn?code=033160", "A033160")</f>
        <v>0</v>
      </c>
      <c r="B267">
        <f>HYPERLINK("http://comp.fnguide.com/SVO2/ASP/SVD_Consensus.asp?pGB=1&amp;gicode=A033160&amp;cID=&amp;MenuYn=Y&amp;ReportGB=&amp;NewMenuID=108&amp;stkGb=701", "엠케이전자")</f>
        <v>0</v>
      </c>
      <c r="C267">
        <v>3</v>
      </c>
      <c r="D267">
        <v>9600</v>
      </c>
      <c r="E267">
        <v>-0.51</v>
      </c>
      <c r="F267">
        <v>23.77</v>
      </c>
      <c r="G267">
        <v>12288</v>
      </c>
      <c r="H267">
        <v>13681</v>
      </c>
      <c r="I267">
        <v>14078</v>
      </c>
      <c r="J267">
        <v>-28</v>
      </c>
      <c r="K267">
        <v>-42.51</v>
      </c>
      <c r="L267">
        <v>-46.64</v>
      </c>
      <c r="M267">
        <v>6.71</v>
      </c>
      <c r="N267" t="b">
        <v>1</v>
      </c>
      <c r="O267">
        <v>324</v>
      </c>
      <c r="P267" t="s">
        <v>280</v>
      </c>
      <c r="Q267" t="s">
        <v>2480</v>
      </c>
      <c r="R267">
        <v>-46.63645165865348</v>
      </c>
      <c r="S267">
        <v>2094</v>
      </c>
      <c r="T267">
        <v>266786</v>
      </c>
      <c r="U267" t="s">
        <v>4252</v>
      </c>
      <c r="V267">
        <v>35.85</v>
      </c>
      <c r="W267" t="s">
        <v>6472</v>
      </c>
      <c r="X267" t="s">
        <v>8640</v>
      </c>
      <c r="Y267">
        <v>7316</v>
      </c>
      <c r="Z267">
        <v>1267</v>
      </c>
      <c r="AA267">
        <v>919254</v>
      </c>
      <c r="AB267">
        <v>0.52</v>
      </c>
    </row>
    <row r="268" spans="1:28">
      <c r="A268" s="2">
        <f>HYPERLINK("https://finance.naver.com/item/coinfo.nhn?code=122350", "A122350")</f>
        <v>0</v>
      </c>
      <c r="B268">
        <f>HYPERLINK("http://comp.fnguide.com/SVO2/ASP/SVD_Consensus.asp?pGB=1&amp;gicode=A122350&amp;cID=&amp;MenuYn=Y&amp;ReportGB=&amp;NewMenuID=108&amp;stkGb=701", "삼기")</f>
        <v>0</v>
      </c>
      <c r="C268">
        <v>3</v>
      </c>
      <c r="D268">
        <v>2950</v>
      </c>
      <c r="E268">
        <v>-0.93</v>
      </c>
      <c r="F268">
        <v>40.27</v>
      </c>
      <c r="G268">
        <v>1121</v>
      </c>
      <c r="H268">
        <v>2614</v>
      </c>
      <c r="I268">
        <v>3040</v>
      </c>
      <c r="J268">
        <v>62.01</v>
      </c>
      <c r="K268">
        <v>11.38</v>
      </c>
      <c r="L268">
        <v>-3.05</v>
      </c>
      <c r="M268">
        <v>2.48</v>
      </c>
      <c r="N268" t="b">
        <v>1</v>
      </c>
      <c r="O268">
        <v>54</v>
      </c>
      <c r="P268" t="s">
        <v>281</v>
      </c>
      <c r="Q268" t="s">
        <v>2481</v>
      </c>
      <c r="R268">
        <v>-43.10395903867782</v>
      </c>
      <c r="S268">
        <v>1124</v>
      </c>
      <c r="T268">
        <v>390676</v>
      </c>
      <c r="U268" t="s">
        <v>4253</v>
      </c>
      <c r="V268">
        <v>32.71</v>
      </c>
      <c r="W268" t="s">
        <v>6473</v>
      </c>
      <c r="X268" t="s">
        <v>8641</v>
      </c>
      <c r="Y268">
        <v>3018</v>
      </c>
      <c r="Z268">
        <v>58</v>
      </c>
      <c r="AA268">
        <v>377860</v>
      </c>
      <c r="AB268">
        <v>0</v>
      </c>
    </row>
    <row r="269" spans="1:28">
      <c r="A269" s="2">
        <f>HYPERLINK("https://finance.naver.com/item/coinfo.nhn?code=208710", "A208710")</f>
        <v>0</v>
      </c>
      <c r="B269">
        <f>HYPERLINK("http://comp.fnguide.com/SVO2/ASP/SVD_Consensus.asp?pGB=1&amp;gicode=A208710&amp;cID=&amp;MenuYn=Y&amp;ReportGB=&amp;NewMenuID=108&amp;stkGb=701", "바이오로그디바이스")</f>
        <v>0</v>
      </c>
      <c r="C269">
        <v>3</v>
      </c>
      <c r="D269">
        <v>1660</v>
      </c>
      <c r="E269">
        <v>4.81</v>
      </c>
      <c r="F269">
        <v>8.74</v>
      </c>
      <c r="G269">
        <v>2910</v>
      </c>
      <c r="H269">
        <v>2335</v>
      </c>
      <c r="I269">
        <v>2171</v>
      </c>
      <c r="J269">
        <v>-75.29000000000001</v>
      </c>
      <c r="K269">
        <v>-40.64</v>
      </c>
      <c r="L269">
        <v>-30.77</v>
      </c>
      <c r="M269">
        <v>11.88</v>
      </c>
      <c r="N269" t="b">
        <v>1</v>
      </c>
      <c r="O269">
        <v>213</v>
      </c>
      <c r="P269" t="s">
        <v>282</v>
      </c>
      <c r="Q269" t="s">
        <v>2482</v>
      </c>
      <c r="R269">
        <v>1.817208690354288</v>
      </c>
      <c r="S269">
        <v>479</v>
      </c>
      <c r="T269">
        <v>341400</v>
      </c>
      <c r="U269" t="s">
        <v>4254</v>
      </c>
      <c r="V269">
        <v>24.24</v>
      </c>
      <c r="W269" t="s">
        <v>6474</v>
      </c>
      <c r="X269" t="s">
        <v>8642</v>
      </c>
      <c r="Y269">
        <v>904</v>
      </c>
      <c r="Z269">
        <v>70</v>
      </c>
      <c r="AA269">
        <v>137119</v>
      </c>
    </row>
    <row r="270" spans="1:28">
      <c r="A270" s="2">
        <f>HYPERLINK("https://finance.naver.com/item/coinfo.nhn?code=009780", "A009780")</f>
        <v>0</v>
      </c>
      <c r="B270">
        <f>HYPERLINK("http://comp.fnguide.com/SVO2/ASP/SVD_Consensus.asp?pGB=1&amp;gicode=A009780&amp;cID=&amp;MenuYn=Y&amp;ReportGB=&amp;NewMenuID=108&amp;stkGb=701", "엠에스씨")</f>
        <v>0</v>
      </c>
      <c r="C270">
        <v>3</v>
      </c>
      <c r="D270">
        <v>4795</v>
      </c>
      <c r="E270">
        <v>0.42</v>
      </c>
      <c r="F270">
        <v>7.09</v>
      </c>
      <c r="G270">
        <v>9308</v>
      </c>
      <c r="H270">
        <v>6798</v>
      </c>
      <c r="I270">
        <v>6083</v>
      </c>
      <c r="J270">
        <v>-94.11</v>
      </c>
      <c r="K270">
        <v>-41.77</v>
      </c>
      <c r="L270">
        <v>-26.86</v>
      </c>
      <c r="M270">
        <v>14.46</v>
      </c>
      <c r="N270" t="b">
        <v>1</v>
      </c>
      <c r="O270">
        <v>668</v>
      </c>
      <c r="P270" t="s">
        <v>283</v>
      </c>
      <c r="Q270" t="s">
        <v>2483</v>
      </c>
      <c r="R270">
        <v>17.00481504585123</v>
      </c>
      <c r="S270">
        <v>844</v>
      </c>
      <c r="T270">
        <v>48470</v>
      </c>
      <c r="U270" t="s">
        <v>4255</v>
      </c>
      <c r="V270">
        <v>73.22</v>
      </c>
      <c r="W270" t="s">
        <v>6475</v>
      </c>
      <c r="X270" t="s">
        <v>8643</v>
      </c>
      <c r="Y270">
        <v>1492</v>
      </c>
      <c r="Z270">
        <v>147</v>
      </c>
      <c r="AB270">
        <v>1.27</v>
      </c>
    </row>
    <row r="271" spans="1:28">
      <c r="A271" s="2">
        <f>HYPERLINK("https://finance.naver.com/item/coinfo.nhn?code=019010", "A019010")</f>
        <v>0</v>
      </c>
      <c r="B271">
        <f>HYPERLINK("http://comp.fnguide.com/SVO2/ASP/SVD_Consensus.asp?pGB=1&amp;gicode=A019010&amp;cID=&amp;MenuYn=Y&amp;ReportGB=&amp;NewMenuID=108&amp;stkGb=701", "베뉴지")</f>
        <v>0</v>
      </c>
      <c r="C271">
        <v>3</v>
      </c>
      <c r="D271">
        <v>1540</v>
      </c>
      <c r="E271">
        <v>0.48</v>
      </c>
      <c r="F271">
        <v>22.67</v>
      </c>
      <c r="G271">
        <v>841</v>
      </c>
      <c r="H271">
        <v>4189</v>
      </c>
      <c r="I271">
        <v>5143</v>
      </c>
      <c r="J271">
        <v>45.4</v>
      </c>
      <c r="K271">
        <v>-172</v>
      </c>
      <c r="L271">
        <v>-233.94</v>
      </c>
      <c r="M271">
        <v>1.04</v>
      </c>
      <c r="N271" t="b">
        <v>1</v>
      </c>
      <c r="O271">
        <v>74</v>
      </c>
      <c r="P271" t="s">
        <v>284</v>
      </c>
      <c r="Q271" t="s">
        <v>2484</v>
      </c>
      <c r="R271">
        <v>47.37655365889623</v>
      </c>
      <c r="S271">
        <v>742</v>
      </c>
      <c r="T271">
        <v>100932</v>
      </c>
      <c r="U271" t="s">
        <v>4256</v>
      </c>
      <c r="V271">
        <v>39.03</v>
      </c>
      <c r="W271" t="s">
        <v>6476</v>
      </c>
      <c r="X271" t="s">
        <v>8644</v>
      </c>
      <c r="Y271">
        <v>590</v>
      </c>
      <c r="Z271">
        <v>60</v>
      </c>
      <c r="AA271">
        <v>8000000</v>
      </c>
      <c r="AB271">
        <v>1.78</v>
      </c>
    </row>
    <row r="272" spans="1:28">
      <c r="A272" s="2">
        <f>HYPERLINK("https://finance.naver.com/item/coinfo.nhn?code=073110", "A073110")</f>
        <v>0</v>
      </c>
      <c r="B272">
        <f>HYPERLINK("http://comp.fnguide.com/SVO2/ASP/SVD_Consensus.asp?pGB=1&amp;gicode=A073110&amp;cID=&amp;MenuYn=Y&amp;ReportGB=&amp;NewMenuID=108&amp;stkGb=701", "엘엠에스")</f>
        <v>0</v>
      </c>
      <c r="C272">
        <v>3</v>
      </c>
      <c r="D272">
        <v>13200</v>
      </c>
      <c r="E272">
        <v>1.7</v>
      </c>
      <c r="F272">
        <v>14.01</v>
      </c>
      <c r="G272">
        <v>19220</v>
      </c>
      <c r="H272">
        <v>19310</v>
      </c>
      <c r="I272">
        <v>19336</v>
      </c>
      <c r="J272">
        <v>-45.61</v>
      </c>
      <c r="K272">
        <v>-46.29</v>
      </c>
      <c r="L272">
        <v>-46.48</v>
      </c>
      <c r="M272">
        <v>7.91</v>
      </c>
      <c r="N272" t="b">
        <v>1</v>
      </c>
      <c r="O272">
        <v>1249</v>
      </c>
      <c r="P272" t="s">
        <v>285</v>
      </c>
      <c r="Q272" t="s">
        <v>2485</v>
      </c>
      <c r="R272">
        <v>8.229894206730147</v>
      </c>
      <c r="S272">
        <v>1174</v>
      </c>
      <c r="T272">
        <v>4260737</v>
      </c>
      <c r="U272" t="s">
        <v>4257</v>
      </c>
      <c r="V272">
        <v>23.35</v>
      </c>
      <c r="W272" t="s">
        <v>6477</v>
      </c>
      <c r="X272" t="s">
        <v>8645</v>
      </c>
      <c r="Y272">
        <v>1632</v>
      </c>
      <c r="Z272">
        <v>95</v>
      </c>
      <c r="AA272">
        <v>2473501</v>
      </c>
      <c r="AB272">
        <v>1.43</v>
      </c>
    </row>
    <row r="273" spans="1:28">
      <c r="A273" s="2">
        <f>HYPERLINK("https://finance.naver.com/item/coinfo.nhn?code=014470", "A014470")</f>
        <v>0</v>
      </c>
      <c r="B273">
        <f>HYPERLINK("http://comp.fnguide.com/SVO2/ASP/SVD_Consensus.asp?pGB=1&amp;gicode=A014470&amp;cID=&amp;MenuYn=Y&amp;ReportGB=&amp;NewMenuID=108&amp;stkGb=701", "부방")</f>
        <v>0</v>
      </c>
      <c r="C273">
        <v>3</v>
      </c>
      <c r="D273">
        <v>2660</v>
      </c>
      <c r="G273">
        <v>252</v>
      </c>
      <c r="H273">
        <v>2174</v>
      </c>
      <c r="I273">
        <v>2722</v>
      </c>
      <c r="J273">
        <v>90.53</v>
      </c>
      <c r="K273">
        <v>18.25</v>
      </c>
      <c r="L273">
        <v>-2.34</v>
      </c>
      <c r="M273">
        <v>0.58</v>
      </c>
      <c r="N273" t="b">
        <v>0</v>
      </c>
      <c r="O273">
        <v>-156</v>
      </c>
      <c r="P273" t="s">
        <v>286</v>
      </c>
      <c r="Q273" t="s">
        <v>2486</v>
      </c>
      <c r="R273">
        <v>-83.69125890694153</v>
      </c>
      <c r="S273">
        <v>1597</v>
      </c>
      <c r="T273">
        <v>636505</v>
      </c>
      <c r="U273" t="s">
        <v>4258</v>
      </c>
      <c r="V273">
        <v>48.81</v>
      </c>
      <c r="W273" t="s">
        <v>6478</v>
      </c>
      <c r="X273" t="s">
        <v>8646</v>
      </c>
      <c r="Y273">
        <v>3303</v>
      </c>
      <c r="Z273">
        <v>-42</v>
      </c>
      <c r="AA273">
        <v>7151193</v>
      </c>
      <c r="AB273">
        <v>0.78</v>
      </c>
    </row>
    <row r="274" spans="1:28">
      <c r="A274" s="2">
        <f>HYPERLINK("https://finance.naver.com/item/coinfo.nhn?code=008470", "A008470")</f>
        <v>0</v>
      </c>
      <c r="B274">
        <f>HYPERLINK("http://comp.fnguide.com/SVO2/ASP/SVD_Consensus.asp?pGB=1&amp;gicode=A008470&amp;cID=&amp;MenuYn=Y&amp;ReportGB=&amp;NewMenuID=108&amp;stkGb=701", "부스타")</f>
        <v>0</v>
      </c>
      <c r="C274">
        <v>3</v>
      </c>
      <c r="D274">
        <v>5290</v>
      </c>
      <c r="E274">
        <v>3.96</v>
      </c>
      <c r="F274">
        <v>13.11</v>
      </c>
      <c r="G274">
        <v>5696</v>
      </c>
      <c r="H274">
        <v>7753</v>
      </c>
      <c r="I274">
        <v>8339</v>
      </c>
      <c r="J274">
        <v>-7.68</v>
      </c>
      <c r="K274">
        <v>-46.56</v>
      </c>
      <c r="L274">
        <v>-57.64</v>
      </c>
      <c r="M274">
        <v>4.98</v>
      </c>
      <c r="N274" t="b">
        <v>1</v>
      </c>
      <c r="O274">
        <v>416</v>
      </c>
      <c r="P274" t="s">
        <v>287</v>
      </c>
      <c r="Q274" t="s">
        <v>2487</v>
      </c>
      <c r="R274">
        <v>3.308537190422389</v>
      </c>
      <c r="S274">
        <v>445</v>
      </c>
      <c r="T274">
        <v>35386</v>
      </c>
      <c r="U274" t="s">
        <v>4259</v>
      </c>
      <c r="V274">
        <v>25.3</v>
      </c>
      <c r="W274" t="s">
        <v>6479</v>
      </c>
      <c r="X274" t="s">
        <v>8647</v>
      </c>
      <c r="Y274">
        <v>965</v>
      </c>
      <c r="Z274">
        <v>33</v>
      </c>
      <c r="AA274">
        <v>322989</v>
      </c>
      <c r="AB274">
        <v>1.65</v>
      </c>
    </row>
    <row r="275" spans="1:28">
      <c r="A275" s="2">
        <f>HYPERLINK("https://finance.naver.com/item/coinfo.nhn?code=033560", "A033560")</f>
        <v>0</v>
      </c>
      <c r="B275">
        <f>HYPERLINK("http://comp.fnguide.com/SVO2/ASP/SVD_Consensus.asp?pGB=1&amp;gicode=A033560&amp;cID=&amp;MenuYn=Y&amp;ReportGB=&amp;NewMenuID=108&amp;stkGb=701", "블루콤")</f>
        <v>0</v>
      </c>
      <c r="C275">
        <v>3</v>
      </c>
      <c r="D275">
        <v>5810</v>
      </c>
      <c r="E275">
        <v>-0.68</v>
      </c>
      <c r="F275">
        <v>33.82</v>
      </c>
      <c r="G275">
        <v>1437</v>
      </c>
      <c r="H275">
        <v>6114</v>
      </c>
      <c r="I275">
        <v>7447</v>
      </c>
      <c r="J275">
        <v>75.27</v>
      </c>
      <c r="K275">
        <v>-5.23</v>
      </c>
      <c r="L275">
        <v>-28.17</v>
      </c>
      <c r="M275">
        <v>1.24</v>
      </c>
      <c r="N275" t="b">
        <v>1</v>
      </c>
      <c r="O275">
        <v>101</v>
      </c>
      <c r="P275" t="s">
        <v>288</v>
      </c>
      <c r="Q275" t="s">
        <v>2488</v>
      </c>
      <c r="R275">
        <v>-50.00719270390084</v>
      </c>
      <c r="S275">
        <v>1051</v>
      </c>
      <c r="T275">
        <v>83682</v>
      </c>
      <c r="U275" t="s">
        <v>4260</v>
      </c>
      <c r="V275">
        <v>45.02</v>
      </c>
      <c r="W275" t="s">
        <v>6480</v>
      </c>
      <c r="X275" t="s">
        <v>8648</v>
      </c>
      <c r="Y275">
        <v>286</v>
      </c>
      <c r="Z275">
        <v>-121</v>
      </c>
    </row>
    <row r="276" spans="1:28">
      <c r="A276" s="2">
        <f>HYPERLINK("https://finance.naver.com/item/coinfo.nhn?code=141000", "A141000")</f>
        <v>0</v>
      </c>
      <c r="B276">
        <f>HYPERLINK("http://comp.fnguide.com/SVO2/ASP/SVD_Consensus.asp?pGB=1&amp;gicode=A141000&amp;cID=&amp;MenuYn=Y&amp;ReportGB=&amp;NewMenuID=108&amp;stkGb=701", "비아트론")</f>
        <v>0</v>
      </c>
      <c r="C276">
        <v>3</v>
      </c>
      <c r="D276">
        <v>10250</v>
      </c>
      <c r="E276">
        <v>3.39</v>
      </c>
      <c r="F276">
        <v>27.38</v>
      </c>
      <c r="G276">
        <v>14987</v>
      </c>
      <c r="H276">
        <v>12720</v>
      </c>
      <c r="I276">
        <v>12074</v>
      </c>
      <c r="J276">
        <v>-46.22</v>
      </c>
      <c r="K276">
        <v>-24.1</v>
      </c>
      <c r="L276">
        <v>-17.8</v>
      </c>
      <c r="M276">
        <v>10.65</v>
      </c>
      <c r="N276" t="b">
        <v>1</v>
      </c>
      <c r="O276">
        <v>396</v>
      </c>
      <c r="P276" t="s">
        <v>289</v>
      </c>
      <c r="Q276" t="s">
        <v>2489</v>
      </c>
      <c r="R276">
        <v>8.079630412028592</v>
      </c>
      <c r="S276">
        <v>1242</v>
      </c>
      <c r="T276">
        <v>252245</v>
      </c>
      <c r="U276" t="s">
        <v>4261</v>
      </c>
      <c r="V276">
        <v>19.07</v>
      </c>
      <c r="W276" t="s">
        <v>6481</v>
      </c>
      <c r="X276" t="s">
        <v>8649</v>
      </c>
      <c r="Y276">
        <v>500</v>
      </c>
      <c r="Z276">
        <v>38</v>
      </c>
      <c r="AA276">
        <v>281420</v>
      </c>
    </row>
    <row r="277" spans="1:28">
      <c r="A277" s="2">
        <f>HYPERLINK("https://finance.naver.com/item/coinfo.nhn?code=067570", "A067570")</f>
        <v>0</v>
      </c>
      <c r="B277">
        <f>HYPERLINK("http://comp.fnguide.com/SVO2/ASP/SVD_Consensus.asp?pGB=1&amp;gicode=A067570&amp;cID=&amp;MenuYn=Y&amp;ReportGB=&amp;NewMenuID=108&amp;stkGb=701", "엔브이에이치코리아")</f>
        <v>0</v>
      </c>
      <c r="C277">
        <v>3</v>
      </c>
      <c r="D277">
        <v>4110</v>
      </c>
      <c r="E277">
        <v>-0.1</v>
      </c>
      <c r="F277">
        <v>8.35</v>
      </c>
      <c r="G277">
        <v>2451</v>
      </c>
      <c r="H277">
        <v>3850</v>
      </c>
      <c r="I277">
        <v>4248</v>
      </c>
      <c r="J277">
        <v>40.37</v>
      </c>
      <c r="K277">
        <v>6.33</v>
      </c>
      <c r="L277">
        <v>-3.37</v>
      </c>
      <c r="M277">
        <v>4.09</v>
      </c>
      <c r="N277" t="b">
        <v>1</v>
      </c>
      <c r="O277">
        <v>332</v>
      </c>
      <c r="P277" t="s">
        <v>290</v>
      </c>
      <c r="Q277" t="s">
        <v>2490</v>
      </c>
      <c r="R277">
        <v>-83.59999999999999</v>
      </c>
      <c r="S277">
        <v>1216</v>
      </c>
      <c r="T277">
        <v>573583</v>
      </c>
      <c r="U277" t="s">
        <v>4262</v>
      </c>
      <c r="V277">
        <v>44.3</v>
      </c>
      <c r="W277" t="s">
        <v>6482</v>
      </c>
      <c r="X277" t="s">
        <v>8650</v>
      </c>
      <c r="Y277">
        <v>8263</v>
      </c>
      <c r="Z277">
        <v>269</v>
      </c>
      <c r="AA277">
        <v>110429</v>
      </c>
      <c r="AB277">
        <v>1.8</v>
      </c>
    </row>
    <row r="278" spans="1:28">
      <c r="A278" s="2">
        <f>HYPERLINK("https://finance.naver.com/item/coinfo.nhn?code=093190", "A093190")</f>
        <v>0</v>
      </c>
      <c r="B278">
        <f>HYPERLINK("http://comp.fnguide.com/SVO2/ASP/SVD_Consensus.asp?pGB=1&amp;gicode=A093190&amp;cID=&amp;MenuYn=Y&amp;ReportGB=&amp;NewMenuID=108&amp;stkGb=701", "빅솔론")</f>
        <v>0</v>
      </c>
      <c r="C278">
        <v>3</v>
      </c>
      <c r="D278">
        <v>4470</v>
      </c>
      <c r="E278">
        <v>-0.5600000000000001</v>
      </c>
      <c r="F278">
        <v>11.2</v>
      </c>
      <c r="G278">
        <v>10565</v>
      </c>
      <c r="H278">
        <v>9587</v>
      </c>
      <c r="I278">
        <v>9308</v>
      </c>
      <c r="J278">
        <v>-136.35</v>
      </c>
      <c r="K278">
        <v>-114.47</v>
      </c>
      <c r="L278">
        <v>-108.24</v>
      </c>
      <c r="M278">
        <v>9.42</v>
      </c>
      <c r="N278" t="b">
        <v>1</v>
      </c>
      <c r="O278">
        <v>499</v>
      </c>
      <c r="P278" t="s">
        <v>291</v>
      </c>
      <c r="Q278" t="s">
        <v>2491</v>
      </c>
      <c r="R278">
        <v>-19.97574179755875</v>
      </c>
      <c r="S278">
        <v>860</v>
      </c>
      <c r="T278">
        <v>5890</v>
      </c>
      <c r="U278" t="s">
        <v>4263</v>
      </c>
      <c r="V278">
        <v>40.88</v>
      </c>
      <c r="W278" t="s">
        <v>6483</v>
      </c>
      <c r="X278" t="s">
        <v>8651</v>
      </c>
      <c r="Y278">
        <v>848</v>
      </c>
      <c r="Z278">
        <v>95</v>
      </c>
      <c r="AA278">
        <v>2846707</v>
      </c>
      <c r="AB278">
        <v>3.4</v>
      </c>
    </row>
    <row r="279" spans="1:28">
      <c r="A279" s="2">
        <f>HYPERLINK("https://finance.naver.com/item/coinfo.nhn?code=072950", "A072950")</f>
        <v>0</v>
      </c>
      <c r="B279">
        <f>HYPERLINK("http://comp.fnguide.com/SVO2/ASP/SVD_Consensus.asp?pGB=1&amp;gicode=A072950&amp;cID=&amp;MenuYn=Y&amp;ReportGB=&amp;NewMenuID=108&amp;stkGb=701", "빛샘전자")</f>
        <v>0</v>
      </c>
      <c r="C279">
        <v>3</v>
      </c>
      <c r="D279">
        <v>6080</v>
      </c>
      <c r="E279">
        <v>-0.98</v>
      </c>
      <c r="F279">
        <v>17.1</v>
      </c>
      <c r="G279">
        <v>4772</v>
      </c>
      <c r="H279">
        <v>7750</v>
      </c>
      <c r="I279">
        <v>8598</v>
      </c>
      <c r="J279">
        <v>21.51</v>
      </c>
      <c r="K279">
        <v>-27.46</v>
      </c>
      <c r="L279">
        <v>-41.42</v>
      </c>
      <c r="M279">
        <v>3.91</v>
      </c>
      <c r="N279" t="b">
        <v>1</v>
      </c>
      <c r="O279">
        <v>319</v>
      </c>
      <c r="P279" t="s">
        <v>292</v>
      </c>
      <c r="Q279" t="s">
        <v>2492</v>
      </c>
      <c r="R279">
        <v>-17.42306618296514</v>
      </c>
      <c r="S279">
        <v>365</v>
      </c>
      <c r="T279">
        <v>108704</v>
      </c>
      <c r="U279" t="s">
        <v>4264</v>
      </c>
      <c r="V279">
        <v>36.11</v>
      </c>
      <c r="W279" t="s">
        <v>6484</v>
      </c>
      <c r="X279" t="s">
        <v>8652</v>
      </c>
      <c r="Y279">
        <v>464</v>
      </c>
      <c r="Z279">
        <v>19</v>
      </c>
      <c r="AA279">
        <v>253585</v>
      </c>
      <c r="AB279">
        <v>1.83</v>
      </c>
    </row>
    <row r="280" spans="1:28">
      <c r="A280" s="2">
        <f>HYPERLINK("https://finance.naver.com/item/coinfo.nhn?code=014620", "A014620")</f>
        <v>0</v>
      </c>
      <c r="B280">
        <f>HYPERLINK("http://comp.fnguide.com/SVO2/ASP/SVD_Consensus.asp?pGB=1&amp;gicode=A014620&amp;cID=&amp;MenuYn=Y&amp;ReportGB=&amp;NewMenuID=108&amp;stkGb=701", "성광벤드")</f>
        <v>0</v>
      </c>
      <c r="C280">
        <v>3</v>
      </c>
      <c r="D280">
        <v>7100</v>
      </c>
      <c r="E280">
        <v>-0.66</v>
      </c>
      <c r="F280">
        <v>48</v>
      </c>
      <c r="G280">
        <v>1391</v>
      </c>
      <c r="H280">
        <v>10006</v>
      </c>
      <c r="I280">
        <v>12461</v>
      </c>
      <c r="J280">
        <v>80.40000000000001</v>
      </c>
      <c r="K280">
        <v>-40.93</v>
      </c>
      <c r="L280">
        <v>-75.51000000000001</v>
      </c>
      <c r="M280">
        <v>0.7</v>
      </c>
      <c r="N280" t="b">
        <v>1</v>
      </c>
      <c r="O280">
        <v>216</v>
      </c>
      <c r="P280" t="s">
        <v>293</v>
      </c>
      <c r="Q280" t="s">
        <v>2493</v>
      </c>
      <c r="R280">
        <v>-72.98000740192552</v>
      </c>
      <c r="S280">
        <v>2031</v>
      </c>
      <c r="T280">
        <v>385517</v>
      </c>
      <c r="U280" t="s">
        <v>4265</v>
      </c>
      <c r="V280">
        <v>41.08</v>
      </c>
      <c r="W280" t="s">
        <v>6485</v>
      </c>
      <c r="X280" t="s">
        <v>8653</v>
      </c>
      <c r="Y280">
        <v>2024</v>
      </c>
      <c r="Z280">
        <v>70</v>
      </c>
      <c r="AA280">
        <v>671453</v>
      </c>
      <c r="AB280">
        <v>0.97</v>
      </c>
    </row>
    <row r="281" spans="1:28">
      <c r="A281" s="2">
        <f>HYPERLINK("https://finance.naver.com/item/coinfo.nhn?code=081580", "A081580")</f>
        <v>0</v>
      </c>
      <c r="B281">
        <f>HYPERLINK("http://comp.fnguide.com/SVO2/ASP/SVD_Consensus.asp?pGB=1&amp;gicode=A081580&amp;cID=&amp;MenuYn=Y&amp;ReportGB=&amp;NewMenuID=108&amp;stkGb=701", "성우전자")</f>
        <v>0</v>
      </c>
      <c r="C281">
        <v>3</v>
      </c>
      <c r="D281">
        <v>2595</v>
      </c>
      <c r="G281">
        <v>3242</v>
      </c>
      <c r="H281">
        <v>5336</v>
      </c>
      <c r="I281">
        <v>5933</v>
      </c>
      <c r="J281">
        <v>-24.92</v>
      </c>
      <c r="K281">
        <v>-105.65</v>
      </c>
      <c r="L281">
        <v>-128.65</v>
      </c>
      <c r="M281">
        <v>3.84</v>
      </c>
      <c r="N281" t="b">
        <v>0</v>
      </c>
      <c r="O281">
        <v>-383</v>
      </c>
      <c r="P281" t="s">
        <v>294</v>
      </c>
      <c r="Q281" t="s">
        <v>2494</v>
      </c>
      <c r="R281">
        <v>-9.592158934499739</v>
      </c>
      <c r="S281">
        <v>402</v>
      </c>
      <c r="T281">
        <v>73243</v>
      </c>
      <c r="U281" t="s">
        <v>4266</v>
      </c>
      <c r="V281">
        <v>41.47</v>
      </c>
      <c r="W281" t="s">
        <v>6486</v>
      </c>
      <c r="X281" t="s">
        <v>8654</v>
      </c>
      <c r="Y281">
        <v>1187</v>
      </c>
      <c r="Z281">
        <v>-51</v>
      </c>
      <c r="AA281">
        <v>303444</v>
      </c>
    </row>
    <row r="282" spans="1:28">
      <c r="A282" s="2">
        <f>HYPERLINK("https://finance.naver.com/item/coinfo.nhn?code=101330", "A101330")</f>
        <v>0</v>
      </c>
      <c r="B282">
        <f>HYPERLINK("http://comp.fnguide.com/SVO2/ASP/SVD_Consensus.asp?pGB=1&amp;gicode=A101330&amp;cID=&amp;MenuYn=Y&amp;ReportGB=&amp;NewMenuID=108&amp;stkGb=701", "모베이스")</f>
        <v>0</v>
      </c>
      <c r="C282">
        <v>3</v>
      </c>
      <c r="D282">
        <v>4120</v>
      </c>
      <c r="E282">
        <v>0.18</v>
      </c>
      <c r="F282">
        <v>2.2</v>
      </c>
      <c r="G282">
        <v>19750</v>
      </c>
      <c r="H282">
        <v>14692</v>
      </c>
      <c r="I282">
        <v>13250</v>
      </c>
      <c r="J282">
        <v>-379.38</v>
      </c>
      <c r="K282">
        <v>-256.6</v>
      </c>
      <c r="L282">
        <v>-221.61</v>
      </c>
      <c r="M282">
        <v>13.89</v>
      </c>
      <c r="N282" t="b">
        <v>1</v>
      </c>
      <c r="O282">
        <v>1924</v>
      </c>
      <c r="P282" t="s">
        <v>295</v>
      </c>
      <c r="Q282" t="s">
        <v>2495</v>
      </c>
      <c r="R282">
        <v>12.01321226649743</v>
      </c>
      <c r="S282">
        <v>987</v>
      </c>
      <c r="T282">
        <v>4961857</v>
      </c>
      <c r="U282" t="s">
        <v>4267</v>
      </c>
      <c r="V282">
        <v>45.22</v>
      </c>
      <c r="W282" t="s">
        <v>6487</v>
      </c>
      <c r="X282" t="s">
        <v>8655</v>
      </c>
      <c r="Y282">
        <v>6525</v>
      </c>
      <c r="Z282">
        <v>320</v>
      </c>
      <c r="AA282">
        <v>227362</v>
      </c>
    </row>
    <row r="283" spans="1:28">
      <c r="A283" s="2">
        <f>HYPERLINK("https://finance.naver.com/item/coinfo.nhn?code=013990", "A013990")</f>
        <v>0</v>
      </c>
      <c r="B283">
        <f>HYPERLINK("http://comp.fnguide.com/SVO2/ASP/SVD_Consensus.asp?pGB=1&amp;gicode=A013990&amp;cID=&amp;MenuYn=Y&amp;ReportGB=&amp;NewMenuID=108&amp;stkGb=701", "아가방컴퍼니")</f>
        <v>0</v>
      </c>
      <c r="C283">
        <v>3</v>
      </c>
      <c r="D283">
        <v>3025</v>
      </c>
      <c r="G283">
        <v>0</v>
      </c>
      <c r="H283">
        <v>2466</v>
      </c>
      <c r="I283">
        <v>3169</v>
      </c>
      <c r="J283">
        <v>100</v>
      </c>
      <c r="K283">
        <v>18.47</v>
      </c>
      <c r="L283">
        <v>-4.77</v>
      </c>
      <c r="M283">
        <v>0</v>
      </c>
      <c r="N283" t="b">
        <v>0</v>
      </c>
      <c r="O283">
        <v>-481</v>
      </c>
      <c r="P283" t="s">
        <v>296</v>
      </c>
      <c r="Q283" t="s">
        <v>2496</v>
      </c>
      <c r="R283">
        <v>870.5</v>
      </c>
      <c r="S283">
        <v>995</v>
      </c>
      <c r="T283">
        <v>210894</v>
      </c>
      <c r="U283" t="s">
        <v>4268</v>
      </c>
      <c r="V283">
        <v>26.53</v>
      </c>
      <c r="W283" t="s">
        <v>6488</v>
      </c>
      <c r="X283" t="s">
        <v>968</v>
      </c>
      <c r="Y283">
        <v>1342</v>
      </c>
      <c r="Z283">
        <v>-35</v>
      </c>
    </row>
    <row r="284" spans="1:28">
      <c r="A284" s="2">
        <f>HYPERLINK("https://finance.naver.com/item/coinfo.nhn?code=138070", "A138070")</f>
        <v>0</v>
      </c>
      <c r="B284">
        <f>HYPERLINK("http://comp.fnguide.com/SVO2/ASP/SVD_Consensus.asp?pGB=1&amp;gicode=A138070&amp;cID=&amp;MenuYn=Y&amp;ReportGB=&amp;NewMenuID=108&amp;stkGb=701", "신진에스엠")</f>
        <v>0</v>
      </c>
      <c r="C284">
        <v>3</v>
      </c>
      <c r="D284">
        <v>4690</v>
      </c>
      <c r="E284">
        <v>-1.33</v>
      </c>
      <c r="F284">
        <v>19.99</v>
      </c>
      <c r="G284">
        <v>4782</v>
      </c>
      <c r="H284">
        <v>6916</v>
      </c>
      <c r="I284">
        <v>7525</v>
      </c>
      <c r="J284">
        <v>-1.97</v>
      </c>
      <c r="K284">
        <v>-47.47</v>
      </c>
      <c r="L284">
        <v>-60.44</v>
      </c>
      <c r="M284">
        <v>4.57</v>
      </c>
      <c r="N284" t="b">
        <v>1</v>
      </c>
      <c r="O284">
        <v>271</v>
      </c>
      <c r="P284" t="s">
        <v>297</v>
      </c>
      <c r="Q284" t="s">
        <v>2497</v>
      </c>
      <c r="R284">
        <v>-15.00667971590278</v>
      </c>
      <c r="S284">
        <v>421</v>
      </c>
      <c r="T284">
        <v>11427</v>
      </c>
      <c r="U284" t="s">
        <v>4269</v>
      </c>
      <c r="V284">
        <v>48.97</v>
      </c>
      <c r="W284" t="s">
        <v>6489</v>
      </c>
      <c r="X284" t="s">
        <v>8656</v>
      </c>
      <c r="Y284">
        <v>518</v>
      </c>
      <c r="Z284">
        <v>30</v>
      </c>
      <c r="AA284">
        <v>441162</v>
      </c>
      <c r="AB284">
        <v>1.29</v>
      </c>
    </row>
    <row r="285" spans="1:28">
      <c r="A285" s="2">
        <f>HYPERLINK("https://finance.naver.com/item/coinfo.nhn?code=056700", "A056700")</f>
        <v>0</v>
      </c>
      <c r="B285">
        <f>HYPERLINK("http://comp.fnguide.com/SVO2/ASP/SVD_Consensus.asp?pGB=1&amp;gicode=A056700&amp;cID=&amp;MenuYn=Y&amp;ReportGB=&amp;NewMenuID=108&amp;stkGb=701", "신화인터텍")</f>
        <v>0</v>
      </c>
      <c r="C285">
        <v>3</v>
      </c>
      <c r="D285">
        <v>3010</v>
      </c>
      <c r="E285">
        <v>-0.23</v>
      </c>
      <c r="F285">
        <v>11.93</v>
      </c>
      <c r="G285">
        <v>2154</v>
      </c>
      <c r="H285">
        <v>2860</v>
      </c>
      <c r="I285">
        <v>3062</v>
      </c>
      <c r="J285">
        <v>28.45</v>
      </c>
      <c r="K285">
        <v>4.97</v>
      </c>
      <c r="L285">
        <v>-1.72</v>
      </c>
      <c r="M285">
        <v>5.16</v>
      </c>
      <c r="N285" t="b">
        <v>1</v>
      </c>
      <c r="O285">
        <v>325</v>
      </c>
      <c r="P285" t="s">
        <v>298</v>
      </c>
      <c r="Q285" t="s">
        <v>2498</v>
      </c>
      <c r="R285">
        <v>-52.5</v>
      </c>
      <c r="S285">
        <v>877</v>
      </c>
      <c r="T285">
        <v>876555</v>
      </c>
      <c r="U285" t="s">
        <v>4270</v>
      </c>
      <c r="V285">
        <v>20.05</v>
      </c>
      <c r="W285" t="s">
        <v>6490</v>
      </c>
      <c r="X285" t="s">
        <v>8657</v>
      </c>
      <c r="Y285">
        <v>2544</v>
      </c>
      <c r="Z285">
        <v>163</v>
      </c>
      <c r="AA285">
        <v>124000</v>
      </c>
      <c r="AB285">
        <v>1.29</v>
      </c>
    </row>
    <row r="286" spans="1:28">
      <c r="A286" s="2">
        <f>HYPERLINK("https://finance.naver.com/item/coinfo.nhn?code=187270", "A187270")</f>
        <v>0</v>
      </c>
      <c r="B286">
        <f>HYPERLINK("http://comp.fnguide.com/SVO2/ASP/SVD_Consensus.asp?pGB=1&amp;gicode=A187270&amp;cID=&amp;MenuYn=Y&amp;ReportGB=&amp;NewMenuID=108&amp;stkGb=701", "신화콘텍")</f>
        <v>0</v>
      </c>
      <c r="C286">
        <v>3</v>
      </c>
      <c r="D286">
        <v>2600</v>
      </c>
      <c r="G286">
        <v>1505</v>
      </c>
      <c r="H286">
        <v>3795</v>
      </c>
      <c r="I286">
        <v>4447</v>
      </c>
      <c r="J286">
        <v>42.11</v>
      </c>
      <c r="K286">
        <v>-45.96</v>
      </c>
      <c r="L286">
        <v>-71.05</v>
      </c>
      <c r="M286">
        <v>2.26</v>
      </c>
      <c r="N286" t="b">
        <v>0</v>
      </c>
      <c r="O286">
        <v>-196</v>
      </c>
      <c r="P286" t="s">
        <v>299</v>
      </c>
      <c r="Q286" t="s">
        <v>2499</v>
      </c>
      <c r="R286">
        <v>1377.3</v>
      </c>
      <c r="S286">
        <v>264</v>
      </c>
      <c r="T286">
        <v>27417</v>
      </c>
      <c r="U286" t="s">
        <v>4271</v>
      </c>
      <c r="V286">
        <v>38.78</v>
      </c>
      <c r="W286" t="s">
        <v>6491</v>
      </c>
      <c r="X286" t="s">
        <v>8658</v>
      </c>
      <c r="Y286">
        <v>443</v>
      </c>
      <c r="Z286">
        <v>-7</v>
      </c>
      <c r="AA286">
        <v>945252</v>
      </c>
    </row>
    <row r="287" spans="1:28">
      <c r="A287" s="2">
        <f>HYPERLINK("https://finance.naver.com/item/coinfo.nhn?code=030960", "A030960")</f>
        <v>0</v>
      </c>
      <c r="B287">
        <f>HYPERLINK("http://comp.fnguide.com/SVO2/ASP/SVD_Consensus.asp?pGB=1&amp;gicode=A030960&amp;cID=&amp;MenuYn=Y&amp;ReportGB=&amp;NewMenuID=108&amp;stkGb=701", "양지사")</f>
        <v>0</v>
      </c>
      <c r="C287">
        <v>3</v>
      </c>
      <c r="D287">
        <v>10300</v>
      </c>
      <c r="E287">
        <v>0.01</v>
      </c>
      <c r="F287">
        <v>1.28</v>
      </c>
      <c r="G287">
        <v>84161</v>
      </c>
      <c r="H287">
        <v>41857</v>
      </c>
      <c r="I287">
        <v>29802</v>
      </c>
      <c r="J287">
        <v>-717.09</v>
      </c>
      <c r="K287">
        <v>-306.38</v>
      </c>
      <c r="L287">
        <v>-189.34</v>
      </c>
      <c r="M287">
        <v>48.77</v>
      </c>
      <c r="N287" t="b">
        <v>1</v>
      </c>
      <c r="O287">
        <v>7553</v>
      </c>
      <c r="P287" t="s">
        <v>300</v>
      </c>
      <c r="Q287" t="s">
        <v>2500</v>
      </c>
      <c r="R287">
        <v>99.76584356862139</v>
      </c>
      <c r="S287">
        <v>1646</v>
      </c>
      <c r="T287">
        <v>40458</v>
      </c>
      <c r="U287" t="s">
        <v>4272</v>
      </c>
      <c r="V287">
        <v>75.53</v>
      </c>
      <c r="W287" t="s">
        <v>6492</v>
      </c>
      <c r="X287" t="s">
        <v>8659</v>
      </c>
      <c r="Y287">
        <v>489</v>
      </c>
      <c r="Z287">
        <v>17</v>
      </c>
      <c r="AA287">
        <v>2243930</v>
      </c>
      <c r="AB287">
        <v>0.52</v>
      </c>
    </row>
    <row r="288" spans="1:28">
      <c r="A288" s="2">
        <f>HYPERLINK("https://finance.naver.com/item/coinfo.nhn?code=255440", "A255440")</f>
        <v>0</v>
      </c>
      <c r="B288">
        <f>HYPERLINK("http://comp.fnguide.com/SVO2/ASP/SVD_Consensus.asp?pGB=1&amp;gicode=A255440&amp;cID=&amp;MenuYn=Y&amp;ReportGB=&amp;NewMenuID=108&amp;stkGb=701", "야스")</f>
        <v>0</v>
      </c>
      <c r="C288">
        <v>3</v>
      </c>
      <c r="D288">
        <v>12550</v>
      </c>
      <c r="E288">
        <v>0.29</v>
      </c>
      <c r="F288">
        <v>15.72</v>
      </c>
      <c r="G288">
        <v>27349</v>
      </c>
      <c r="H288">
        <v>17881</v>
      </c>
      <c r="I288">
        <v>15182</v>
      </c>
      <c r="J288">
        <v>-117.92</v>
      </c>
      <c r="K288">
        <v>-42.47</v>
      </c>
      <c r="L288">
        <v>-20.98</v>
      </c>
      <c r="M288">
        <v>18.81</v>
      </c>
      <c r="N288" t="b">
        <v>1</v>
      </c>
      <c r="O288">
        <v>1250</v>
      </c>
      <c r="P288" t="s">
        <v>301</v>
      </c>
      <c r="Q288" t="s">
        <v>2501</v>
      </c>
      <c r="R288">
        <v>53.89946982336158</v>
      </c>
      <c r="S288">
        <v>1639</v>
      </c>
      <c r="T288">
        <v>33615</v>
      </c>
      <c r="U288" t="s">
        <v>4273</v>
      </c>
      <c r="V288">
        <v>46.59</v>
      </c>
      <c r="W288" t="s">
        <v>6493</v>
      </c>
      <c r="X288" t="s">
        <v>8660</v>
      </c>
      <c r="Y288">
        <v>869</v>
      </c>
      <c r="Z288">
        <v>125</v>
      </c>
      <c r="AA288">
        <v>64180</v>
      </c>
      <c r="AB288">
        <v>0.76</v>
      </c>
    </row>
    <row r="289" spans="1:28">
      <c r="A289" s="2">
        <f>HYPERLINK("https://finance.naver.com/item/coinfo.nhn?code=290740", "A290740")</f>
        <v>0</v>
      </c>
      <c r="B289">
        <f>HYPERLINK("http://comp.fnguide.com/SVO2/ASP/SVD_Consensus.asp?pGB=1&amp;gicode=A290740&amp;cID=&amp;MenuYn=Y&amp;ReportGB=&amp;NewMenuID=108&amp;stkGb=701", "액트로")</f>
        <v>0</v>
      </c>
      <c r="C289">
        <v>3</v>
      </c>
      <c r="D289">
        <v>10350</v>
      </c>
      <c r="E289">
        <v>-1.72</v>
      </c>
      <c r="F289">
        <v>9.99</v>
      </c>
      <c r="G289">
        <v>26739</v>
      </c>
      <c r="H289">
        <v>15280</v>
      </c>
      <c r="I289">
        <v>12015</v>
      </c>
      <c r="J289">
        <v>-158.35</v>
      </c>
      <c r="K289">
        <v>-47.64</v>
      </c>
      <c r="L289">
        <v>-16.09</v>
      </c>
      <c r="M289">
        <v>27.79</v>
      </c>
      <c r="N289" t="b">
        <v>1</v>
      </c>
      <c r="O289">
        <v>1461</v>
      </c>
      <c r="P289" t="s">
        <v>302</v>
      </c>
      <c r="Q289" t="s">
        <v>2502</v>
      </c>
      <c r="R289">
        <v>-5.808049261906911</v>
      </c>
      <c r="S289">
        <v>1042</v>
      </c>
      <c r="T289">
        <v>51578</v>
      </c>
      <c r="U289" t="s">
        <v>4274</v>
      </c>
      <c r="V289">
        <v>37.87</v>
      </c>
      <c r="W289" t="s">
        <v>6494</v>
      </c>
      <c r="X289" t="s">
        <v>8661</v>
      </c>
      <c r="Y289">
        <v>1078</v>
      </c>
      <c r="Z289">
        <v>130</v>
      </c>
      <c r="AA289">
        <v>153257</v>
      </c>
      <c r="AB289">
        <v>1.37</v>
      </c>
    </row>
    <row r="290" spans="1:28">
      <c r="A290" s="2">
        <f>HYPERLINK("https://finance.naver.com/item/coinfo.nhn?code=037760", "A037760")</f>
        <v>0</v>
      </c>
      <c r="B290">
        <f>HYPERLINK("http://comp.fnguide.com/SVO2/ASP/SVD_Consensus.asp?pGB=1&amp;gicode=A037760&amp;cID=&amp;MenuYn=Y&amp;ReportGB=&amp;NewMenuID=108&amp;stkGb=701", "쎄니트")</f>
        <v>0</v>
      </c>
      <c r="C290">
        <v>3</v>
      </c>
      <c r="D290">
        <v>1695</v>
      </c>
      <c r="E290">
        <v>-3.26</v>
      </c>
      <c r="F290">
        <v>30.42</v>
      </c>
      <c r="G290">
        <v>1291</v>
      </c>
      <c r="H290">
        <v>1885</v>
      </c>
      <c r="I290">
        <v>2054</v>
      </c>
      <c r="J290">
        <v>23.81</v>
      </c>
      <c r="K290">
        <v>-11.22</v>
      </c>
      <c r="L290">
        <v>-21.2</v>
      </c>
      <c r="M290">
        <v>4.52</v>
      </c>
      <c r="N290" t="b">
        <v>1</v>
      </c>
      <c r="O290">
        <v>62</v>
      </c>
      <c r="P290" t="s">
        <v>303</v>
      </c>
      <c r="Q290" t="s">
        <v>2503</v>
      </c>
      <c r="R290">
        <v>-9.327446362915071</v>
      </c>
      <c r="S290">
        <v>573</v>
      </c>
      <c r="T290">
        <v>68218</v>
      </c>
      <c r="U290" t="s">
        <v>4275</v>
      </c>
      <c r="V290">
        <v>55.01</v>
      </c>
      <c r="W290" t="s">
        <v>6495</v>
      </c>
      <c r="X290" t="s">
        <v>8662</v>
      </c>
      <c r="Y290">
        <v>1097</v>
      </c>
      <c r="Z290">
        <v>57</v>
      </c>
      <c r="AA290">
        <v>2030000</v>
      </c>
      <c r="AB290">
        <v>1.59</v>
      </c>
    </row>
    <row r="291" spans="1:28">
      <c r="A291" s="2">
        <f>HYPERLINK("https://finance.naver.com/item/coinfo.nhn?code=052790", "A052790")</f>
        <v>0</v>
      </c>
      <c r="B291">
        <f>HYPERLINK("http://comp.fnguide.com/SVO2/ASP/SVD_Consensus.asp?pGB=1&amp;gicode=A052790&amp;cID=&amp;MenuYn=Y&amp;ReportGB=&amp;NewMenuID=108&amp;stkGb=701", "액토즈소프트")</f>
        <v>0</v>
      </c>
      <c r="C291">
        <v>3</v>
      </c>
      <c r="D291">
        <v>10900</v>
      </c>
      <c r="E291">
        <v>-0.5</v>
      </c>
      <c r="F291">
        <v>6.82</v>
      </c>
      <c r="G291">
        <v>13401</v>
      </c>
      <c r="H291">
        <v>11845</v>
      </c>
      <c r="I291">
        <v>11401</v>
      </c>
      <c r="J291">
        <v>-22.95</v>
      </c>
      <c r="K291">
        <v>-8.67</v>
      </c>
      <c r="L291">
        <v>-4.6</v>
      </c>
      <c r="M291">
        <v>9.880000000000001</v>
      </c>
      <c r="N291" t="b">
        <v>1</v>
      </c>
      <c r="O291">
        <v>1833</v>
      </c>
      <c r="P291" t="s">
        <v>304</v>
      </c>
      <c r="Q291" t="s">
        <v>2504</v>
      </c>
      <c r="R291">
        <v>-13.7</v>
      </c>
      <c r="S291">
        <v>1235</v>
      </c>
      <c r="T291">
        <v>658021</v>
      </c>
      <c r="U291" t="s">
        <v>4276</v>
      </c>
      <c r="V291">
        <v>51.08</v>
      </c>
      <c r="W291" t="s">
        <v>6496</v>
      </c>
      <c r="X291" t="s">
        <v>8663</v>
      </c>
      <c r="Y291">
        <v>627</v>
      </c>
      <c r="Z291">
        <v>257</v>
      </c>
      <c r="AA291">
        <v>406091</v>
      </c>
    </row>
    <row r="292" spans="1:28">
      <c r="A292" s="2">
        <f>HYPERLINK("https://finance.naver.com/item/coinfo.nhn?code=264660", "A264660")</f>
        <v>0</v>
      </c>
      <c r="B292">
        <f>HYPERLINK("http://comp.fnguide.com/SVO2/ASP/SVD_Consensus.asp?pGB=1&amp;gicode=A264660&amp;cID=&amp;MenuYn=Y&amp;ReportGB=&amp;NewMenuID=108&amp;stkGb=701", "씨앤지하이테크")</f>
        <v>0</v>
      </c>
      <c r="C292">
        <v>3</v>
      </c>
      <c r="D292">
        <v>11950</v>
      </c>
      <c r="E292">
        <v>0.68</v>
      </c>
      <c r="F292">
        <v>6.3</v>
      </c>
      <c r="G292">
        <v>25290</v>
      </c>
      <c r="H292">
        <v>15091</v>
      </c>
      <c r="I292">
        <v>12184</v>
      </c>
      <c r="J292">
        <v>-111.63</v>
      </c>
      <c r="K292">
        <v>-26.28</v>
      </c>
      <c r="L292">
        <v>-1.96</v>
      </c>
      <c r="M292">
        <v>24.24</v>
      </c>
      <c r="N292" t="b">
        <v>1</v>
      </c>
      <c r="O292">
        <v>1404</v>
      </c>
      <c r="P292" t="s">
        <v>305</v>
      </c>
      <c r="Q292" t="s">
        <v>2505</v>
      </c>
      <c r="R292">
        <v>9.20832729480432</v>
      </c>
      <c r="S292">
        <v>1004</v>
      </c>
      <c r="T292">
        <v>121038</v>
      </c>
      <c r="U292" t="s">
        <v>4277</v>
      </c>
      <c r="V292">
        <v>33.44</v>
      </c>
      <c r="W292" t="s">
        <v>6497</v>
      </c>
      <c r="X292" t="s">
        <v>8664</v>
      </c>
      <c r="Y292">
        <v>1288</v>
      </c>
      <c r="Z292">
        <v>145</v>
      </c>
      <c r="AA292">
        <v>299270</v>
      </c>
      <c r="AB292">
        <v>1.7</v>
      </c>
    </row>
    <row r="293" spans="1:28">
      <c r="A293" s="2">
        <f>HYPERLINK("https://finance.naver.com/item/coinfo.nhn?code=900120", "A900120")</f>
        <v>0</v>
      </c>
      <c r="B293">
        <f>HYPERLINK("http://comp.fnguide.com/SVO2/ASP/SVD_Consensus.asp?pGB=1&amp;gicode=A900120&amp;cID=&amp;MenuYn=Y&amp;ReportGB=&amp;NewMenuID=108&amp;stkGb=701", "씨케이에이치")</f>
        <v>0</v>
      </c>
      <c r="C293">
        <v>3</v>
      </c>
      <c r="D293">
        <v>521</v>
      </c>
      <c r="G293">
        <v>0</v>
      </c>
      <c r="H293">
        <v>1923</v>
      </c>
      <c r="I293">
        <v>2471</v>
      </c>
      <c r="J293">
        <v>100</v>
      </c>
      <c r="K293">
        <v>-269.15</v>
      </c>
      <c r="L293">
        <v>-374.33</v>
      </c>
      <c r="M293">
        <v>0</v>
      </c>
      <c r="N293" t="b">
        <v>0</v>
      </c>
      <c r="O293">
        <v>-892</v>
      </c>
      <c r="P293" t="s">
        <v>306</v>
      </c>
      <c r="Q293" t="s">
        <v>2506</v>
      </c>
      <c r="R293">
        <v>-98.59999999999999</v>
      </c>
      <c r="S293">
        <v>575</v>
      </c>
      <c r="T293">
        <v>1681224</v>
      </c>
      <c r="U293" t="s">
        <v>4278</v>
      </c>
      <c r="V293">
        <v>27.78</v>
      </c>
      <c r="W293" t="s">
        <v>6498</v>
      </c>
      <c r="X293" t="s">
        <v>968</v>
      </c>
      <c r="Y293">
        <v>634</v>
      </c>
      <c r="Z293">
        <v>-619</v>
      </c>
    </row>
    <row r="294" spans="1:28">
      <c r="A294" s="2">
        <f>HYPERLINK("https://finance.naver.com/item/coinfo.nhn?code=260930", "A260930")</f>
        <v>0</v>
      </c>
      <c r="B294">
        <f>HYPERLINK("http://comp.fnguide.com/SVO2/ASP/SVD_Consensus.asp?pGB=1&amp;gicode=A260930&amp;cID=&amp;MenuYn=Y&amp;ReportGB=&amp;NewMenuID=108&amp;stkGb=701", "씨티케이코스메틱스")</f>
        <v>0</v>
      </c>
      <c r="C294">
        <v>3</v>
      </c>
      <c r="D294">
        <v>13300</v>
      </c>
      <c r="E294">
        <v>-0.31</v>
      </c>
      <c r="F294">
        <v>17.46</v>
      </c>
      <c r="G294">
        <v>14794</v>
      </c>
      <c r="H294">
        <v>17168</v>
      </c>
      <c r="I294">
        <v>17845</v>
      </c>
      <c r="J294">
        <v>-11.23</v>
      </c>
      <c r="K294">
        <v>-29.08</v>
      </c>
      <c r="L294">
        <v>-34.17</v>
      </c>
      <c r="M294">
        <v>6.29</v>
      </c>
      <c r="N294" t="b">
        <v>1</v>
      </c>
      <c r="O294">
        <v>765</v>
      </c>
      <c r="P294" t="s">
        <v>307</v>
      </c>
      <c r="Q294" t="s">
        <v>2507</v>
      </c>
      <c r="R294">
        <v>-55.79748651228523</v>
      </c>
      <c r="S294">
        <v>1346</v>
      </c>
      <c r="T294">
        <v>12072</v>
      </c>
      <c r="U294" t="s">
        <v>4279</v>
      </c>
      <c r="V294">
        <v>50.67</v>
      </c>
      <c r="W294" t="s">
        <v>6499</v>
      </c>
      <c r="X294" t="s">
        <v>8665</v>
      </c>
      <c r="Y294">
        <v>1163</v>
      </c>
      <c r="Z294">
        <v>40</v>
      </c>
      <c r="AA294">
        <v>914611</v>
      </c>
      <c r="AB294">
        <v>2.25</v>
      </c>
    </row>
    <row r="295" spans="1:28">
      <c r="A295" s="2">
        <f>HYPERLINK("https://finance.naver.com/item/coinfo.nhn?code=058220", "A058220")</f>
        <v>0</v>
      </c>
      <c r="B295">
        <f>HYPERLINK("http://comp.fnguide.com/SVO2/ASP/SVD_Consensus.asp?pGB=1&amp;gicode=A058220&amp;cID=&amp;MenuYn=Y&amp;ReportGB=&amp;NewMenuID=108&amp;stkGb=701", "아리온")</f>
        <v>0</v>
      </c>
      <c r="C295">
        <v>3</v>
      </c>
      <c r="D295">
        <v>275</v>
      </c>
      <c r="E295">
        <v>0</v>
      </c>
      <c r="G295">
        <v>0</v>
      </c>
      <c r="H295">
        <v>8797</v>
      </c>
      <c r="I295">
        <v>11304</v>
      </c>
      <c r="J295">
        <v>100</v>
      </c>
      <c r="K295">
        <v>-3099.03</v>
      </c>
      <c r="L295">
        <v>-4010.58</v>
      </c>
      <c r="M295">
        <v>0</v>
      </c>
      <c r="N295" t="b">
        <v>0</v>
      </c>
      <c r="O295">
        <v>-6233</v>
      </c>
      <c r="P295" t="s">
        <v>308</v>
      </c>
      <c r="Q295" t="s">
        <v>2276</v>
      </c>
      <c r="R295">
        <v>0</v>
      </c>
      <c r="S295">
        <v>107</v>
      </c>
      <c r="T295">
        <v>0</v>
      </c>
      <c r="U295" t="s">
        <v>4280</v>
      </c>
      <c r="V295">
        <v>7.83</v>
      </c>
      <c r="W295" t="s">
        <v>6500</v>
      </c>
      <c r="X295" t="s">
        <v>968</v>
      </c>
      <c r="Y295">
        <v>330</v>
      </c>
      <c r="Z295">
        <v>21</v>
      </c>
      <c r="AA295">
        <v>1489</v>
      </c>
    </row>
    <row r="296" spans="1:28">
      <c r="A296" s="2">
        <f>HYPERLINK("https://finance.naver.com/item/coinfo.nhn?code=017000", "A017000")</f>
        <v>0</v>
      </c>
      <c r="B296">
        <f>HYPERLINK("http://comp.fnguide.com/SVO2/ASP/SVD_Consensus.asp?pGB=1&amp;gicode=A017000&amp;cID=&amp;MenuYn=Y&amp;ReportGB=&amp;NewMenuID=108&amp;stkGb=701", "신원종합개발")</f>
        <v>0</v>
      </c>
      <c r="C296">
        <v>3</v>
      </c>
      <c r="D296">
        <v>4325</v>
      </c>
      <c r="E296">
        <v>-0.16</v>
      </c>
      <c r="F296">
        <v>3.14</v>
      </c>
      <c r="G296">
        <v>20489</v>
      </c>
      <c r="H296">
        <v>13632</v>
      </c>
      <c r="I296">
        <v>11679</v>
      </c>
      <c r="J296">
        <v>-373.74</v>
      </c>
      <c r="K296">
        <v>-215.2</v>
      </c>
      <c r="L296">
        <v>-170.03</v>
      </c>
      <c r="M296">
        <v>17.99</v>
      </c>
      <c r="N296" t="b">
        <v>1</v>
      </c>
      <c r="O296">
        <v>1338</v>
      </c>
      <c r="P296" t="s">
        <v>309</v>
      </c>
      <c r="Q296" t="s">
        <v>2508</v>
      </c>
      <c r="R296">
        <v>-19.71823388081634</v>
      </c>
      <c r="S296">
        <v>435</v>
      </c>
      <c r="T296">
        <v>164045</v>
      </c>
      <c r="U296" t="s">
        <v>4281</v>
      </c>
      <c r="V296">
        <v>18.74</v>
      </c>
      <c r="W296" t="s">
        <v>6501</v>
      </c>
      <c r="X296" t="s">
        <v>8666</v>
      </c>
      <c r="Y296">
        <v>2565</v>
      </c>
      <c r="Z296">
        <v>69</v>
      </c>
      <c r="AA296">
        <v>472513</v>
      </c>
    </row>
    <row r="297" spans="1:28">
      <c r="A297" s="2">
        <f>HYPERLINK("https://finance.naver.com/item/coinfo.nhn?code=083930", "A083930")</f>
        <v>0</v>
      </c>
      <c r="B297">
        <f>HYPERLINK("http://comp.fnguide.com/SVO2/ASP/SVD_Consensus.asp?pGB=1&amp;gicode=A083930&amp;cID=&amp;MenuYn=Y&amp;ReportGB=&amp;NewMenuID=108&amp;stkGb=701", "아바코")</f>
        <v>0</v>
      </c>
      <c r="C297">
        <v>3</v>
      </c>
      <c r="D297">
        <v>9500</v>
      </c>
      <c r="E297">
        <v>2.23</v>
      </c>
      <c r="F297">
        <v>5.07</v>
      </c>
      <c r="G297">
        <v>19410</v>
      </c>
      <c r="H297">
        <v>13773</v>
      </c>
      <c r="I297">
        <v>12167</v>
      </c>
      <c r="J297">
        <v>-104.31</v>
      </c>
      <c r="K297">
        <v>-44.98</v>
      </c>
      <c r="L297">
        <v>-28.07</v>
      </c>
      <c r="M297">
        <v>15.43</v>
      </c>
      <c r="N297" t="b">
        <v>1</v>
      </c>
      <c r="O297">
        <v>1225</v>
      </c>
      <c r="P297" t="s">
        <v>310</v>
      </c>
      <c r="Q297" t="s">
        <v>2509</v>
      </c>
      <c r="R297">
        <v>2.273231801321018</v>
      </c>
      <c r="S297">
        <v>1464</v>
      </c>
      <c r="T297">
        <v>167016</v>
      </c>
      <c r="U297" t="s">
        <v>4282</v>
      </c>
      <c r="V297">
        <v>27.48</v>
      </c>
      <c r="W297" t="s">
        <v>6502</v>
      </c>
      <c r="X297" t="s">
        <v>8667</v>
      </c>
      <c r="Y297">
        <v>2261</v>
      </c>
      <c r="Z297">
        <v>233</v>
      </c>
      <c r="AA297">
        <v>2408960</v>
      </c>
      <c r="AB297">
        <v>4.83</v>
      </c>
    </row>
    <row r="298" spans="1:28">
      <c r="A298" s="2">
        <f>HYPERLINK("https://finance.naver.com/item/coinfo.nhn?code=149950", "A149950")</f>
        <v>0</v>
      </c>
      <c r="B298">
        <f>HYPERLINK("http://comp.fnguide.com/SVO2/ASP/SVD_Consensus.asp?pGB=1&amp;gicode=A149950&amp;cID=&amp;MenuYn=Y&amp;ReportGB=&amp;NewMenuID=108&amp;stkGb=701", "아바텍")</f>
        <v>0</v>
      </c>
      <c r="C298">
        <v>3</v>
      </c>
      <c r="D298">
        <v>8240</v>
      </c>
      <c r="E298">
        <v>-2.09</v>
      </c>
      <c r="F298">
        <v>16.58</v>
      </c>
      <c r="G298">
        <v>8025</v>
      </c>
      <c r="H298">
        <v>9215</v>
      </c>
      <c r="I298">
        <v>9553</v>
      </c>
      <c r="J298">
        <v>2.6</v>
      </c>
      <c r="K298">
        <v>-11.83</v>
      </c>
      <c r="L298">
        <v>-15.94</v>
      </c>
      <c r="M298">
        <v>6.39</v>
      </c>
      <c r="N298" t="b">
        <v>1</v>
      </c>
      <c r="O298">
        <v>464</v>
      </c>
      <c r="P298" t="s">
        <v>311</v>
      </c>
      <c r="Q298" t="s">
        <v>2510</v>
      </c>
      <c r="R298">
        <v>-7.914191221916578</v>
      </c>
      <c r="S298">
        <v>1286</v>
      </c>
      <c r="T298">
        <v>3609</v>
      </c>
      <c r="U298" t="s">
        <v>4283</v>
      </c>
      <c r="V298">
        <v>36.1</v>
      </c>
      <c r="W298" t="s">
        <v>6503</v>
      </c>
      <c r="X298" t="s">
        <v>8668</v>
      </c>
      <c r="Y298">
        <v>754</v>
      </c>
      <c r="Z298">
        <v>54</v>
      </c>
      <c r="AA298">
        <v>2003663</v>
      </c>
      <c r="AB298">
        <v>1.3</v>
      </c>
    </row>
    <row r="299" spans="1:28">
      <c r="A299" s="2">
        <f>HYPERLINK("https://finance.naver.com/item/coinfo.nhn?code=036010", "A036010")</f>
        <v>0</v>
      </c>
      <c r="B299">
        <f>HYPERLINK("http://comp.fnguide.com/SVO2/ASP/SVD_Consensus.asp?pGB=1&amp;gicode=A036010&amp;cID=&amp;MenuYn=Y&amp;ReportGB=&amp;NewMenuID=108&amp;stkGb=701", "아비코전자")</f>
        <v>0</v>
      </c>
      <c r="C299">
        <v>3</v>
      </c>
      <c r="D299">
        <v>7260</v>
      </c>
      <c r="G299">
        <v>9941</v>
      </c>
      <c r="H299">
        <v>8596</v>
      </c>
      <c r="I299">
        <v>8213</v>
      </c>
      <c r="J299">
        <v>-36.93</v>
      </c>
      <c r="K299">
        <v>-18.41</v>
      </c>
      <c r="L299">
        <v>-13.13</v>
      </c>
      <c r="M299">
        <v>10.29</v>
      </c>
      <c r="N299" t="b">
        <v>0</v>
      </c>
      <c r="O299">
        <v>-381</v>
      </c>
      <c r="P299" t="s">
        <v>312</v>
      </c>
      <c r="Q299" t="s">
        <v>2511</v>
      </c>
      <c r="R299">
        <v>41.04911748876287</v>
      </c>
      <c r="S299">
        <v>965</v>
      </c>
      <c r="T299">
        <v>326291</v>
      </c>
      <c r="U299" t="s">
        <v>4284</v>
      </c>
      <c r="V299">
        <v>35.56</v>
      </c>
      <c r="W299" t="s">
        <v>6504</v>
      </c>
      <c r="X299" t="s">
        <v>8669</v>
      </c>
      <c r="Y299">
        <v>1233</v>
      </c>
      <c r="Z299">
        <v>-23</v>
      </c>
      <c r="AB299">
        <v>1.34</v>
      </c>
    </row>
    <row r="300" spans="1:28">
      <c r="A300" s="2">
        <f>HYPERLINK("https://finance.naver.com/item/coinfo.nhn?code=050860", "A050860")</f>
        <v>0</v>
      </c>
      <c r="B300">
        <f>HYPERLINK("http://comp.fnguide.com/SVO2/ASP/SVD_Consensus.asp?pGB=1&amp;gicode=A050860&amp;cID=&amp;MenuYn=Y&amp;ReportGB=&amp;NewMenuID=108&amp;stkGb=701", "아세아텍")</f>
        <v>0</v>
      </c>
      <c r="C300">
        <v>3</v>
      </c>
      <c r="D300">
        <v>3150</v>
      </c>
      <c r="E300">
        <v>-1.77</v>
      </c>
      <c r="F300">
        <v>51.4</v>
      </c>
      <c r="G300">
        <v>893</v>
      </c>
      <c r="H300">
        <v>3994</v>
      </c>
      <c r="I300">
        <v>4878</v>
      </c>
      <c r="J300">
        <v>71.66</v>
      </c>
      <c r="K300">
        <v>-26.79</v>
      </c>
      <c r="L300">
        <v>-54.85</v>
      </c>
      <c r="M300">
        <v>1.18</v>
      </c>
      <c r="N300" t="b">
        <v>1</v>
      </c>
      <c r="O300">
        <v>56</v>
      </c>
      <c r="P300" t="s">
        <v>313</v>
      </c>
      <c r="Q300" t="s">
        <v>2512</v>
      </c>
      <c r="R300">
        <v>-29.09593214077882</v>
      </c>
      <c r="S300">
        <v>551</v>
      </c>
      <c r="T300">
        <v>108594</v>
      </c>
      <c r="U300" t="s">
        <v>4285</v>
      </c>
      <c r="V300">
        <v>34.53</v>
      </c>
      <c r="W300" t="s">
        <v>6505</v>
      </c>
      <c r="X300" t="s">
        <v>8670</v>
      </c>
      <c r="Y300">
        <v>1130</v>
      </c>
      <c r="Z300">
        <v>52</v>
      </c>
      <c r="AA300">
        <v>1214007</v>
      </c>
      <c r="AB300">
        <v>1.74</v>
      </c>
    </row>
    <row r="301" spans="1:28">
      <c r="A301" s="2">
        <f>HYPERLINK("https://finance.naver.com/item/coinfo.nhn?code=067390", "A067390")</f>
        <v>0</v>
      </c>
      <c r="B301">
        <f>HYPERLINK("http://comp.fnguide.com/SVO2/ASP/SVD_Consensus.asp?pGB=1&amp;gicode=A067390&amp;cID=&amp;MenuYn=Y&amp;ReportGB=&amp;NewMenuID=108&amp;stkGb=701", "아스트")</f>
        <v>0</v>
      </c>
      <c r="C301">
        <v>3</v>
      </c>
      <c r="D301">
        <v>5650</v>
      </c>
      <c r="G301">
        <v>1478</v>
      </c>
      <c r="H301">
        <v>5044</v>
      </c>
      <c r="I301">
        <v>6061</v>
      </c>
      <c r="J301">
        <v>73.84999999999999</v>
      </c>
      <c r="K301">
        <v>10.72</v>
      </c>
      <c r="L301">
        <v>-7.27</v>
      </c>
      <c r="M301">
        <v>1.59</v>
      </c>
      <c r="N301" t="b">
        <v>0</v>
      </c>
      <c r="O301">
        <v>-33</v>
      </c>
      <c r="P301" t="s">
        <v>314</v>
      </c>
      <c r="Q301" t="s">
        <v>2513</v>
      </c>
      <c r="R301">
        <v>11.79772296184929</v>
      </c>
      <c r="S301">
        <v>1451</v>
      </c>
      <c r="T301">
        <v>7256718</v>
      </c>
      <c r="U301" t="s">
        <v>4286</v>
      </c>
      <c r="V301">
        <v>13.03</v>
      </c>
      <c r="W301" t="s">
        <v>6506</v>
      </c>
      <c r="X301" t="s">
        <v>8671</v>
      </c>
      <c r="Y301">
        <v>1446</v>
      </c>
      <c r="Z301">
        <v>143</v>
      </c>
      <c r="AA301">
        <v>133397</v>
      </c>
    </row>
    <row r="302" spans="1:28">
      <c r="A302" s="2">
        <f>HYPERLINK("https://finance.naver.com/item/coinfo.nhn?code=127710", "A127710")</f>
        <v>0</v>
      </c>
      <c r="B302">
        <f>HYPERLINK("http://comp.fnguide.com/SVO2/ASP/SVD_Consensus.asp?pGB=1&amp;gicode=A127710&amp;cID=&amp;MenuYn=Y&amp;ReportGB=&amp;NewMenuID=108&amp;stkGb=701", "아시아경제")</f>
        <v>0</v>
      </c>
      <c r="C302">
        <v>3</v>
      </c>
      <c r="D302">
        <v>2000</v>
      </c>
      <c r="E302">
        <v>1</v>
      </c>
      <c r="F302">
        <v>13.51</v>
      </c>
      <c r="G302">
        <v>7273</v>
      </c>
      <c r="H302">
        <v>5334</v>
      </c>
      <c r="I302">
        <v>4781</v>
      </c>
      <c r="J302">
        <v>-263.66</v>
      </c>
      <c r="K302">
        <v>-166.7</v>
      </c>
      <c r="L302">
        <v>-139.07</v>
      </c>
      <c r="M302">
        <v>14.33</v>
      </c>
      <c r="N302" t="b">
        <v>1</v>
      </c>
      <c r="O302">
        <v>146</v>
      </c>
      <c r="P302" t="s">
        <v>315</v>
      </c>
      <c r="Q302" t="s">
        <v>2514</v>
      </c>
      <c r="R302">
        <v>13.57787312274172</v>
      </c>
      <c r="S302">
        <v>510</v>
      </c>
      <c r="T302">
        <v>224065</v>
      </c>
      <c r="U302" t="s">
        <v>4287</v>
      </c>
      <c r="V302">
        <v>45.36</v>
      </c>
      <c r="W302" t="s">
        <v>6507</v>
      </c>
      <c r="X302" t="s">
        <v>8672</v>
      </c>
      <c r="Y302">
        <v>384</v>
      </c>
      <c r="Z302">
        <v>33</v>
      </c>
    </row>
    <row r="303" spans="1:28">
      <c r="A303" s="2">
        <f>HYPERLINK("https://finance.naver.com/item/coinfo.nhn?code=054800", "A054800")</f>
        <v>0</v>
      </c>
      <c r="B303">
        <f>HYPERLINK("http://comp.fnguide.com/SVO2/ASP/SVD_Consensus.asp?pGB=1&amp;gicode=A054800&amp;cID=&amp;MenuYn=Y&amp;ReportGB=&amp;NewMenuID=108&amp;stkGb=701", "아이디스홀딩스")</f>
        <v>0</v>
      </c>
      <c r="C303">
        <v>3</v>
      </c>
      <c r="D303">
        <v>13100</v>
      </c>
      <c r="G303">
        <v>13058</v>
      </c>
      <c r="H303">
        <v>18820</v>
      </c>
      <c r="I303">
        <v>20462</v>
      </c>
      <c r="J303">
        <v>0.32</v>
      </c>
      <c r="K303">
        <v>-43.67</v>
      </c>
      <c r="L303">
        <v>-56.2</v>
      </c>
      <c r="M303">
        <v>4.59</v>
      </c>
      <c r="N303" t="b">
        <v>0</v>
      </c>
      <c r="O303">
        <v>-1078</v>
      </c>
      <c r="P303" t="s">
        <v>316</v>
      </c>
      <c r="Q303" t="s">
        <v>2515</v>
      </c>
      <c r="R303">
        <v>-4.454643543906411</v>
      </c>
      <c r="S303">
        <v>1356</v>
      </c>
      <c r="T303">
        <v>119706</v>
      </c>
      <c r="U303" t="s">
        <v>4288</v>
      </c>
      <c r="V303">
        <v>41.55</v>
      </c>
      <c r="W303" t="s">
        <v>6508</v>
      </c>
      <c r="X303" t="s">
        <v>8673</v>
      </c>
      <c r="Y303">
        <v>5078</v>
      </c>
      <c r="Z303">
        <v>467</v>
      </c>
      <c r="AA303">
        <v>1080164</v>
      </c>
      <c r="AB303">
        <v>1.67</v>
      </c>
    </row>
    <row r="304" spans="1:28">
      <c r="A304" s="2">
        <f>HYPERLINK("https://finance.naver.com/item/coinfo.nhn?code=013310", "A013310")</f>
        <v>0</v>
      </c>
      <c r="B304">
        <f>HYPERLINK("http://comp.fnguide.com/SVO2/ASP/SVD_Consensus.asp?pGB=1&amp;gicode=A013310&amp;cID=&amp;MenuYn=Y&amp;ReportGB=&amp;NewMenuID=108&amp;stkGb=701", "아진산업")</f>
        <v>0</v>
      </c>
      <c r="C304">
        <v>3</v>
      </c>
      <c r="D304">
        <v>2885</v>
      </c>
      <c r="E304">
        <v>-0.13</v>
      </c>
      <c r="F304">
        <v>6.87</v>
      </c>
      <c r="G304">
        <v>3344</v>
      </c>
      <c r="H304">
        <v>4516</v>
      </c>
      <c r="I304">
        <v>4850</v>
      </c>
      <c r="J304">
        <v>-15.9</v>
      </c>
      <c r="K304">
        <v>-56.53</v>
      </c>
      <c r="L304">
        <v>-68.09999999999999</v>
      </c>
      <c r="M304">
        <v>5.03</v>
      </c>
      <c r="N304" t="b">
        <v>1</v>
      </c>
      <c r="O304">
        <v>378</v>
      </c>
      <c r="P304" t="s">
        <v>317</v>
      </c>
      <c r="Q304" t="s">
        <v>2516</v>
      </c>
      <c r="R304">
        <v>-52.15732527268073</v>
      </c>
      <c r="S304">
        <v>1097</v>
      </c>
      <c r="T304">
        <v>813992</v>
      </c>
      <c r="U304" t="s">
        <v>4289</v>
      </c>
      <c r="V304">
        <v>31.85</v>
      </c>
      <c r="W304" t="s">
        <v>6509</v>
      </c>
      <c r="X304" t="s">
        <v>8674</v>
      </c>
      <c r="Y304">
        <v>4408</v>
      </c>
      <c r="Z304">
        <v>278</v>
      </c>
      <c r="AA304">
        <v>2640</v>
      </c>
    </row>
    <row r="305" spans="1:28">
      <c r="A305" s="2">
        <f>HYPERLINK("https://finance.naver.com/item/coinfo.nhn?code=032080", "A032080")</f>
        <v>0</v>
      </c>
      <c r="B305">
        <f>HYPERLINK("http://comp.fnguide.com/SVO2/ASP/SVD_Consensus.asp?pGB=1&amp;gicode=A032080&amp;cID=&amp;MenuYn=Y&amp;ReportGB=&amp;NewMenuID=108&amp;stkGb=701", "아즈텍WB")</f>
        <v>0</v>
      </c>
      <c r="C305">
        <v>3</v>
      </c>
      <c r="D305">
        <v>1770</v>
      </c>
      <c r="E305">
        <v>-0.36</v>
      </c>
      <c r="F305">
        <v>8.220000000000001</v>
      </c>
      <c r="G305">
        <v>2296</v>
      </c>
      <c r="H305">
        <v>3647</v>
      </c>
      <c r="I305">
        <v>4032</v>
      </c>
      <c r="J305">
        <v>-29.73</v>
      </c>
      <c r="K305">
        <v>-106.07</v>
      </c>
      <c r="L305">
        <v>-127.82</v>
      </c>
      <c r="M305">
        <v>4.03</v>
      </c>
      <c r="N305" t="b">
        <v>1</v>
      </c>
      <c r="O305">
        <v>226</v>
      </c>
      <c r="P305" t="s">
        <v>318</v>
      </c>
      <c r="Q305" t="s">
        <v>2517</v>
      </c>
      <c r="R305">
        <v>-22.72473859886631</v>
      </c>
      <c r="S305">
        <v>380</v>
      </c>
      <c r="T305">
        <v>341264</v>
      </c>
      <c r="U305" t="s">
        <v>4290</v>
      </c>
      <c r="V305">
        <v>42.59</v>
      </c>
      <c r="W305" t="s">
        <v>6510</v>
      </c>
      <c r="X305" t="s">
        <v>8675</v>
      </c>
      <c r="Y305">
        <v>446</v>
      </c>
      <c r="Z305">
        <v>29</v>
      </c>
      <c r="AA305">
        <v>501000</v>
      </c>
    </row>
    <row r="306" spans="1:28">
      <c r="A306" s="2">
        <f>HYPERLINK("https://finance.naver.com/item/coinfo.nhn?code=090740", "A090740")</f>
        <v>0</v>
      </c>
      <c r="B306">
        <f>HYPERLINK("http://comp.fnguide.com/SVO2/ASP/SVD_Consensus.asp?pGB=1&amp;gicode=A090740&amp;cID=&amp;MenuYn=Y&amp;ReportGB=&amp;NewMenuID=108&amp;stkGb=701", "아이엠이연이")</f>
        <v>0</v>
      </c>
      <c r="C306">
        <v>3</v>
      </c>
      <c r="D306">
        <v>4330</v>
      </c>
      <c r="E306">
        <v>0.07000000000000001</v>
      </c>
      <c r="F306">
        <v>16.24</v>
      </c>
      <c r="G306">
        <v>3839</v>
      </c>
      <c r="H306">
        <v>4664</v>
      </c>
      <c r="I306">
        <v>4899</v>
      </c>
      <c r="J306">
        <v>11.35</v>
      </c>
      <c r="K306">
        <v>-7.71</v>
      </c>
      <c r="L306">
        <v>-13.14</v>
      </c>
      <c r="M306">
        <v>5.87</v>
      </c>
      <c r="N306" t="b">
        <v>1</v>
      </c>
      <c r="O306">
        <v>399</v>
      </c>
      <c r="P306" t="s">
        <v>319</v>
      </c>
      <c r="Q306" t="s">
        <v>2518</v>
      </c>
      <c r="R306">
        <v>224.8</v>
      </c>
      <c r="S306">
        <v>818</v>
      </c>
      <c r="T306">
        <v>273693</v>
      </c>
      <c r="U306" t="s">
        <v>4291</v>
      </c>
      <c r="V306">
        <v>35.67</v>
      </c>
      <c r="W306" t="s">
        <v>6511</v>
      </c>
      <c r="X306" t="s">
        <v>8676</v>
      </c>
      <c r="Y306">
        <v>3161</v>
      </c>
      <c r="Z306">
        <v>116</v>
      </c>
      <c r="AA306">
        <v>3050353</v>
      </c>
      <c r="AB306">
        <v>0.77</v>
      </c>
    </row>
    <row r="307" spans="1:28">
      <c r="A307" s="2">
        <f>HYPERLINK("https://finance.naver.com/item/coinfo.nhn?code=226350", "A226350")</f>
        <v>0</v>
      </c>
      <c r="B307">
        <f>HYPERLINK("http://comp.fnguide.com/SVO2/ASP/SVD_Consensus.asp?pGB=1&amp;gicode=A226350&amp;cID=&amp;MenuYn=Y&amp;ReportGB=&amp;NewMenuID=108&amp;stkGb=701", "아이엠텍")</f>
        <v>0</v>
      </c>
      <c r="C307">
        <v>3</v>
      </c>
      <c r="D307">
        <v>214</v>
      </c>
      <c r="E307">
        <v>0</v>
      </c>
      <c r="G307">
        <v>0</v>
      </c>
      <c r="H307">
        <v>239</v>
      </c>
      <c r="I307">
        <v>307</v>
      </c>
      <c r="J307">
        <v>100</v>
      </c>
      <c r="K307">
        <v>-11.56</v>
      </c>
      <c r="L307">
        <v>-43.35</v>
      </c>
      <c r="M307">
        <v>0</v>
      </c>
      <c r="N307" t="b">
        <v>0</v>
      </c>
      <c r="O307">
        <v>-79</v>
      </c>
      <c r="P307" t="s">
        <v>320</v>
      </c>
      <c r="Q307" t="s">
        <v>2276</v>
      </c>
      <c r="R307">
        <v>0</v>
      </c>
      <c r="S307">
        <v>93</v>
      </c>
      <c r="T307">
        <v>0</v>
      </c>
      <c r="U307" t="s">
        <v>4292</v>
      </c>
      <c r="V307">
        <v>7.8</v>
      </c>
      <c r="W307" t="s">
        <v>6512</v>
      </c>
      <c r="X307" t="s">
        <v>968</v>
      </c>
      <c r="Y307">
        <v>138</v>
      </c>
      <c r="Z307">
        <v>-29</v>
      </c>
      <c r="AA307">
        <v>6054</v>
      </c>
    </row>
    <row r="308" spans="1:28">
      <c r="A308" s="2">
        <f>HYPERLINK("https://finance.naver.com/item/coinfo.nhn?code=041440", "A041440")</f>
        <v>0</v>
      </c>
      <c r="B308">
        <f>HYPERLINK("http://comp.fnguide.com/SVO2/ASP/SVD_Consensus.asp?pGB=1&amp;gicode=A041440&amp;cID=&amp;MenuYn=Y&amp;ReportGB=&amp;NewMenuID=108&amp;stkGb=701", "에버다임")</f>
        <v>0</v>
      </c>
      <c r="C308">
        <v>3</v>
      </c>
      <c r="D308">
        <v>4370</v>
      </c>
      <c r="E308">
        <v>-1.69</v>
      </c>
      <c r="F308">
        <v>68.41</v>
      </c>
      <c r="G308">
        <v>5044</v>
      </c>
      <c r="H308">
        <v>8408</v>
      </c>
      <c r="I308">
        <v>9367</v>
      </c>
      <c r="J308">
        <v>-15.41</v>
      </c>
      <c r="K308">
        <v>-92.41</v>
      </c>
      <c r="L308">
        <v>-114.35</v>
      </c>
      <c r="M308">
        <v>3.78</v>
      </c>
      <c r="N308" t="b">
        <v>1</v>
      </c>
      <c r="O308">
        <v>65</v>
      </c>
      <c r="P308" t="s">
        <v>321</v>
      </c>
      <c r="Q308" t="s">
        <v>2519</v>
      </c>
      <c r="R308">
        <v>-40.41933668346246</v>
      </c>
      <c r="S308">
        <v>783</v>
      </c>
      <c r="T308">
        <v>49733</v>
      </c>
      <c r="U308" t="s">
        <v>4293</v>
      </c>
      <c r="V308">
        <v>51.62</v>
      </c>
      <c r="W308" t="s">
        <v>6513</v>
      </c>
      <c r="X308" t="s">
        <v>8677</v>
      </c>
      <c r="Y308">
        <v>2486</v>
      </c>
      <c r="Z308">
        <v>31</v>
      </c>
      <c r="AA308">
        <v>74232</v>
      </c>
      <c r="AB308">
        <v>0.9</v>
      </c>
    </row>
    <row r="309" spans="1:28">
      <c r="A309" s="2">
        <f>HYPERLINK("https://finance.naver.com/item/coinfo.nhn?code=103230", "A103230")</f>
        <v>0</v>
      </c>
      <c r="B309">
        <f>HYPERLINK("http://comp.fnguide.com/SVO2/ASP/SVD_Consensus.asp?pGB=1&amp;gicode=A103230&amp;cID=&amp;MenuYn=Y&amp;ReportGB=&amp;NewMenuID=108&amp;stkGb=701", "에스앤더블류")</f>
        <v>0</v>
      </c>
      <c r="C309">
        <v>3</v>
      </c>
      <c r="D309">
        <v>2565</v>
      </c>
      <c r="E309">
        <v>0</v>
      </c>
      <c r="G309">
        <v>0</v>
      </c>
      <c r="H309">
        <v>3255</v>
      </c>
      <c r="I309">
        <v>4182</v>
      </c>
      <c r="J309">
        <v>100</v>
      </c>
      <c r="K309">
        <v>-26.88</v>
      </c>
      <c r="L309">
        <v>-63.04</v>
      </c>
      <c r="M309">
        <v>0</v>
      </c>
      <c r="N309" t="b">
        <v>0</v>
      </c>
      <c r="O309">
        <v>-383</v>
      </c>
      <c r="P309" t="s">
        <v>322</v>
      </c>
      <c r="Q309" t="s">
        <v>2276</v>
      </c>
      <c r="R309">
        <v>0</v>
      </c>
      <c r="S309">
        <v>185</v>
      </c>
      <c r="T309">
        <v>18073</v>
      </c>
      <c r="U309" t="s">
        <v>4294</v>
      </c>
      <c r="V309">
        <v>50.57</v>
      </c>
      <c r="W309" t="s">
        <v>6514</v>
      </c>
      <c r="X309" t="s">
        <v>968</v>
      </c>
      <c r="Y309">
        <v>360</v>
      </c>
      <c r="Z309">
        <v>-22</v>
      </c>
    </row>
    <row r="310" spans="1:28">
      <c r="A310" s="2">
        <f>HYPERLINK("https://finance.naver.com/item/coinfo.nhn?code=045300", "A045300")</f>
        <v>0</v>
      </c>
      <c r="B310">
        <f>HYPERLINK("http://comp.fnguide.com/SVO2/ASP/SVD_Consensus.asp?pGB=1&amp;gicode=A045300&amp;cID=&amp;MenuYn=Y&amp;ReportGB=&amp;NewMenuID=108&amp;stkGb=701", "성우테크론")</f>
        <v>0</v>
      </c>
      <c r="C310">
        <v>3</v>
      </c>
      <c r="D310">
        <v>4990</v>
      </c>
      <c r="E310">
        <v>0.05</v>
      </c>
      <c r="F310">
        <v>8.789999999999999</v>
      </c>
      <c r="G310">
        <v>7811</v>
      </c>
      <c r="H310">
        <v>6456</v>
      </c>
      <c r="I310">
        <v>6070</v>
      </c>
      <c r="J310">
        <v>-56.54</v>
      </c>
      <c r="K310">
        <v>-29.39</v>
      </c>
      <c r="L310">
        <v>-21.65</v>
      </c>
      <c r="M310">
        <v>11.21</v>
      </c>
      <c r="N310" t="b">
        <v>1</v>
      </c>
      <c r="O310">
        <v>481</v>
      </c>
      <c r="P310" t="s">
        <v>323</v>
      </c>
      <c r="Q310" t="s">
        <v>2520</v>
      </c>
      <c r="R310">
        <v>173.4026716865229</v>
      </c>
      <c r="S310">
        <v>469</v>
      </c>
      <c r="T310">
        <v>145558</v>
      </c>
      <c r="U310" t="s">
        <v>4295</v>
      </c>
      <c r="V310">
        <v>41.96</v>
      </c>
      <c r="W310" t="s">
        <v>6515</v>
      </c>
      <c r="X310" t="s">
        <v>8678</v>
      </c>
      <c r="Y310">
        <v>330</v>
      </c>
      <c r="Z310">
        <v>22</v>
      </c>
      <c r="AA310">
        <v>352684</v>
      </c>
      <c r="AB310">
        <v>0.93</v>
      </c>
    </row>
    <row r="311" spans="1:28">
      <c r="A311" s="2">
        <f>HYPERLINK("https://finance.naver.com/item/coinfo.nhn?code=080440", "A080440")</f>
        <v>0</v>
      </c>
      <c r="B311">
        <f>HYPERLINK("http://comp.fnguide.com/SVO2/ASP/SVD_Consensus.asp?pGB=1&amp;gicode=A080440&amp;cID=&amp;MenuYn=Y&amp;ReportGB=&amp;NewMenuID=108&amp;stkGb=701", "에스제이케이")</f>
        <v>0</v>
      </c>
      <c r="C311">
        <v>3</v>
      </c>
      <c r="D311">
        <v>498</v>
      </c>
      <c r="E311">
        <v>0</v>
      </c>
      <c r="G311">
        <v>0</v>
      </c>
      <c r="H311">
        <v>600</v>
      </c>
      <c r="I311">
        <v>771</v>
      </c>
      <c r="J311">
        <v>100</v>
      </c>
      <c r="K311">
        <v>-20.44</v>
      </c>
      <c r="L311">
        <v>-54.76</v>
      </c>
      <c r="M311">
        <v>0</v>
      </c>
      <c r="N311" t="b">
        <v>0</v>
      </c>
      <c r="O311">
        <v>-857</v>
      </c>
      <c r="P311" t="s">
        <v>324</v>
      </c>
      <c r="Q311" t="s">
        <v>2276</v>
      </c>
      <c r="R311">
        <v>0</v>
      </c>
      <c r="S311">
        <v>66</v>
      </c>
      <c r="T311">
        <v>0</v>
      </c>
      <c r="U311" t="s">
        <v>4296</v>
      </c>
      <c r="V311">
        <v>3.59</v>
      </c>
      <c r="W311" t="s">
        <v>6516</v>
      </c>
      <c r="X311" t="s">
        <v>968</v>
      </c>
      <c r="Y311">
        <v>41</v>
      </c>
      <c r="Z311">
        <v>-55</v>
      </c>
      <c r="AA311">
        <v>2619</v>
      </c>
    </row>
    <row r="312" spans="1:28">
      <c r="A312" s="2">
        <f>HYPERLINK("https://finance.naver.com/item/coinfo.nhn?code=015750", "A015750")</f>
        <v>0</v>
      </c>
      <c r="B312">
        <f>HYPERLINK("http://comp.fnguide.com/SVO2/ASP/SVD_Consensus.asp?pGB=1&amp;gicode=A015750&amp;cID=&amp;MenuYn=Y&amp;ReportGB=&amp;NewMenuID=108&amp;stkGb=701", "성우하이텍")</f>
        <v>0</v>
      </c>
      <c r="C312">
        <v>3</v>
      </c>
      <c r="D312">
        <v>3990</v>
      </c>
      <c r="E312">
        <v>13.65</v>
      </c>
      <c r="F312">
        <v>7.63</v>
      </c>
      <c r="G312">
        <v>5457</v>
      </c>
      <c r="H312">
        <v>10323</v>
      </c>
      <c r="I312">
        <v>11709</v>
      </c>
      <c r="J312">
        <v>-36.76</v>
      </c>
      <c r="K312">
        <v>-158.71</v>
      </c>
      <c r="L312">
        <v>-193.46</v>
      </c>
      <c r="M312">
        <v>3.21</v>
      </c>
      <c r="N312" t="b">
        <v>1</v>
      </c>
      <c r="O312">
        <v>491</v>
      </c>
      <c r="P312" t="s">
        <v>325</v>
      </c>
      <c r="Q312" t="s">
        <v>2521</v>
      </c>
      <c r="R312">
        <v>0.5590365170600409</v>
      </c>
      <c r="S312">
        <v>3192</v>
      </c>
      <c r="T312">
        <v>782212</v>
      </c>
      <c r="U312" t="s">
        <v>4297</v>
      </c>
      <c r="V312">
        <v>44.87</v>
      </c>
      <c r="W312" t="s">
        <v>6517</v>
      </c>
      <c r="X312" t="s">
        <v>8679</v>
      </c>
      <c r="Y312">
        <v>33895</v>
      </c>
      <c r="Z312">
        <v>734</v>
      </c>
      <c r="AA312">
        <v>8407</v>
      </c>
      <c r="AB312">
        <v>2.13</v>
      </c>
    </row>
    <row r="313" spans="1:28">
      <c r="A313" s="2">
        <f>HYPERLINK("https://finance.naver.com/item/coinfo.nhn?code=017510", "A017510")</f>
        <v>0</v>
      </c>
      <c r="B313">
        <f>HYPERLINK("http://comp.fnguide.com/SVO2/ASP/SVD_Consensus.asp?pGB=1&amp;gicode=A017510&amp;cID=&amp;MenuYn=Y&amp;ReportGB=&amp;NewMenuID=108&amp;stkGb=701", "세명전기")</f>
        <v>0</v>
      </c>
      <c r="C313">
        <v>3</v>
      </c>
      <c r="D313">
        <v>3900</v>
      </c>
      <c r="E313">
        <v>-2.01</v>
      </c>
      <c r="F313">
        <v>21.64</v>
      </c>
      <c r="G313">
        <v>3033</v>
      </c>
      <c r="H313">
        <v>4024</v>
      </c>
      <c r="I313">
        <v>4307</v>
      </c>
      <c r="J313">
        <v>22.23</v>
      </c>
      <c r="K313">
        <v>-3.19</v>
      </c>
      <c r="L313">
        <v>-10.44</v>
      </c>
      <c r="M313">
        <v>5.16</v>
      </c>
      <c r="N313" t="b">
        <v>1</v>
      </c>
      <c r="O313">
        <v>224</v>
      </c>
      <c r="P313" t="s">
        <v>326</v>
      </c>
      <c r="Q313" t="s">
        <v>2522</v>
      </c>
      <c r="R313">
        <v>-10.7808666347397</v>
      </c>
      <c r="S313">
        <v>595</v>
      </c>
      <c r="T313">
        <v>55685</v>
      </c>
      <c r="U313" t="s">
        <v>4298</v>
      </c>
      <c r="V313">
        <v>38.83</v>
      </c>
      <c r="W313" t="s">
        <v>6518</v>
      </c>
      <c r="X313" t="s">
        <v>8680</v>
      </c>
      <c r="Y313">
        <v>185</v>
      </c>
      <c r="Z313">
        <v>17</v>
      </c>
      <c r="AB313">
        <v>1.65</v>
      </c>
    </row>
    <row r="314" spans="1:28">
      <c r="A314" s="2">
        <f>HYPERLINK("https://finance.naver.com/item/coinfo.nhn?code=011560", "A011560")</f>
        <v>0</v>
      </c>
      <c r="B314">
        <f>HYPERLINK("http://comp.fnguide.com/SVO2/ASP/SVD_Consensus.asp?pGB=1&amp;gicode=A011560&amp;cID=&amp;MenuYn=Y&amp;ReportGB=&amp;NewMenuID=108&amp;stkGb=701", "세보엠이씨")</f>
        <v>0</v>
      </c>
      <c r="C314">
        <v>3</v>
      </c>
      <c r="D314">
        <v>5870</v>
      </c>
      <c r="G314">
        <v>14928</v>
      </c>
      <c r="H314">
        <v>14973</v>
      </c>
      <c r="I314">
        <v>14986</v>
      </c>
      <c r="J314">
        <v>-154.31</v>
      </c>
      <c r="K314">
        <v>-155.08</v>
      </c>
      <c r="L314">
        <v>-155.3</v>
      </c>
      <c r="M314">
        <v>7.93</v>
      </c>
      <c r="N314" t="b">
        <v>0</v>
      </c>
      <c r="O314">
        <v>-770</v>
      </c>
      <c r="P314" t="s">
        <v>327</v>
      </c>
      <c r="Q314" t="s">
        <v>2523</v>
      </c>
      <c r="R314">
        <v>3.228878339219032</v>
      </c>
      <c r="S314">
        <v>618</v>
      </c>
      <c r="T314">
        <v>24534</v>
      </c>
      <c r="U314" t="s">
        <v>4299</v>
      </c>
      <c r="V314">
        <v>47.47</v>
      </c>
      <c r="W314" t="s">
        <v>6519</v>
      </c>
      <c r="X314" t="s">
        <v>8681</v>
      </c>
      <c r="Y314">
        <v>6157</v>
      </c>
      <c r="Z314">
        <v>-89</v>
      </c>
      <c r="AA314">
        <v>525432</v>
      </c>
      <c r="AB314">
        <v>1.88</v>
      </c>
    </row>
    <row r="315" spans="1:28">
      <c r="A315" s="2">
        <f>HYPERLINK("https://finance.naver.com/item/coinfo.nhn?code=039230", "A039230")</f>
        <v>0</v>
      </c>
      <c r="B315">
        <f>HYPERLINK("http://comp.fnguide.com/SVO2/ASP/SVD_Consensus.asp?pGB=1&amp;gicode=A039230&amp;cID=&amp;MenuYn=Y&amp;ReportGB=&amp;NewMenuID=108&amp;stkGb=701", "에이아이비트")</f>
        <v>0</v>
      </c>
      <c r="C315">
        <v>3</v>
      </c>
      <c r="D315">
        <v>181</v>
      </c>
      <c r="E315">
        <v>0</v>
      </c>
      <c r="G315">
        <v>0</v>
      </c>
      <c r="H315">
        <v>275</v>
      </c>
      <c r="I315">
        <v>353</v>
      </c>
      <c r="J315">
        <v>100</v>
      </c>
      <c r="K315">
        <v>-51.9</v>
      </c>
      <c r="L315">
        <v>-95.18000000000001</v>
      </c>
      <c r="M315">
        <v>0</v>
      </c>
      <c r="N315" t="b">
        <v>0</v>
      </c>
      <c r="O315">
        <v>-109</v>
      </c>
      <c r="P315" t="s">
        <v>328</v>
      </c>
      <c r="Q315" t="s">
        <v>2276</v>
      </c>
      <c r="R315">
        <v>0</v>
      </c>
      <c r="S315">
        <v>200</v>
      </c>
      <c r="T315">
        <v>0</v>
      </c>
      <c r="U315" t="s">
        <v>4300</v>
      </c>
      <c r="V315">
        <v>5.12</v>
      </c>
      <c r="W315" t="s">
        <v>6520</v>
      </c>
      <c r="X315" t="s">
        <v>968</v>
      </c>
      <c r="Y315">
        <v>374</v>
      </c>
      <c r="Z315">
        <v>31</v>
      </c>
    </row>
    <row r="316" spans="1:28">
      <c r="A316" s="2">
        <f>HYPERLINK("https://finance.naver.com/item/coinfo.nhn?code=024830", "A024830")</f>
        <v>0</v>
      </c>
      <c r="B316">
        <f>HYPERLINK("http://comp.fnguide.com/SVO2/ASP/SVD_Consensus.asp?pGB=1&amp;gicode=A024830&amp;cID=&amp;MenuYn=Y&amp;ReportGB=&amp;NewMenuID=108&amp;stkGb=701", "세원물산")</f>
        <v>0</v>
      </c>
      <c r="C316">
        <v>3</v>
      </c>
      <c r="D316">
        <v>6280</v>
      </c>
      <c r="E316">
        <v>0.35</v>
      </c>
      <c r="F316">
        <v>4</v>
      </c>
      <c r="G316">
        <v>14923</v>
      </c>
      <c r="H316">
        <v>19564</v>
      </c>
      <c r="I316">
        <v>20886</v>
      </c>
      <c r="J316">
        <v>-137.62</v>
      </c>
      <c r="K316">
        <v>-211.52</v>
      </c>
      <c r="L316">
        <v>-232.58</v>
      </c>
      <c r="M316">
        <v>5.25</v>
      </c>
      <c r="N316" t="b">
        <v>1</v>
      </c>
      <c r="O316">
        <v>1572</v>
      </c>
      <c r="P316" t="s">
        <v>329</v>
      </c>
      <c r="Q316" t="s">
        <v>2524</v>
      </c>
      <c r="R316">
        <v>11.44965905981017</v>
      </c>
      <c r="S316">
        <v>524</v>
      </c>
      <c r="T316">
        <v>0</v>
      </c>
      <c r="U316" t="s">
        <v>4301</v>
      </c>
      <c r="V316">
        <v>78.43000000000001</v>
      </c>
      <c r="W316" t="s">
        <v>6521</v>
      </c>
      <c r="X316" t="s">
        <v>8682</v>
      </c>
      <c r="Y316">
        <v>1153</v>
      </c>
      <c r="Z316">
        <v>126</v>
      </c>
      <c r="AB316">
        <v>0.4</v>
      </c>
    </row>
    <row r="317" spans="1:28">
      <c r="A317" s="2">
        <f>HYPERLINK("https://finance.naver.com/item/coinfo.nhn?code=039310", "A039310")</f>
        <v>0</v>
      </c>
      <c r="B317">
        <f>HYPERLINK("http://comp.fnguide.com/SVO2/ASP/SVD_Consensus.asp?pGB=1&amp;gicode=A039310&amp;cID=&amp;MenuYn=Y&amp;ReportGB=&amp;NewMenuID=108&amp;stkGb=701", "세중")</f>
        <v>0</v>
      </c>
      <c r="C317">
        <v>3</v>
      </c>
      <c r="D317">
        <v>2700</v>
      </c>
      <c r="E317">
        <v>1.48</v>
      </c>
      <c r="F317">
        <v>25.58</v>
      </c>
      <c r="G317">
        <v>781</v>
      </c>
      <c r="H317">
        <v>3050</v>
      </c>
      <c r="I317">
        <v>3697</v>
      </c>
      <c r="J317">
        <v>71.09</v>
      </c>
      <c r="K317">
        <v>-12.96</v>
      </c>
      <c r="L317">
        <v>-36.91</v>
      </c>
      <c r="M317">
        <v>1.36</v>
      </c>
      <c r="N317" t="b">
        <v>0</v>
      </c>
      <c r="O317">
        <v>120</v>
      </c>
      <c r="P317" t="s">
        <v>330</v>
      </c>
      <c r="Q317" t="s">
        <v>2525</v>
      </c>
      <c r="R317">
        <v>17.30801336652155</v>
      </c>
      <c r="S317">
        <v>489</v>
      </c>
      <c r="T317">
        <v>153705</v>
      </c>
      <c r="U317" t="s">
        <v>4302</v>
      </c>
      <c r="V317">
        <v>26.99</v>
      </c>
      <c r="W317" t="s">
        <v>6522</v>
      </c>
      <c r="X317" t="s">
        <v>8683</v>
      </c>
      <c r="Y317">
        <v>1532</v>
      </c>
      <c r="Z317">
        <v>39</v>
      </c>
      <c r="AA317">
        <v>371022</v>
      </c>
    </row>
    <row r="318" spans="1:28">
      <c r="A318" s="2">
        <f>HYPERLINK("https://finance.naver.com/item/coinfo.nhn?code=053450", "A053450")</f>
        <v>0</v>
      </c>
      <c r="B318">
        <f>HYPERLINK("http://comp.fnguide.com/SVO2/ASP/SVD_Consensus.asp?pGB=1&amp;gicode=A053450&amp;cID=&amp;MenuYn=Y&amp;ReportGB=&amp;NewMenuID=108&amp;stkGb=701", "세코닉스")</f>
        <v>0</v>
      </c>
      <c r="C318">
        <v>3</v>
      </c>
      <c r="D318">
        <v>6410</v>
      </c>
      <c r="G318">
        <v>0</v>
      </c>
      <c r="H318">
        <v>5221</v>
      </c>
      <c r="I318">
        <v>6709</v>
      </c>
      <c r="J318">
        <v>100</v>
      </c>
      <c r="K318">
        <v>18.55</v>
      </c>
      <c r="L318">
        <v>-4.67</v>
      </c>
      <c r="M318">
        <v>0</v>
      </c>
      <c r="N318" t="b">
        <v>0</v>
      </c>
      <c r="O318">
        <v>-1483</v>
      </c>
      <c r="P318" t="s">
        <v>331</v>
      </c>
      <c r="Q318" t="s">
        <v>2526</v>
      </c>
      <c r="R318">
        <v>-4.300000000000004</v>
      </c>
      <c r="S318">
        <v>805</v>
      </c>
      <c r="T318">
        <v>412151</v>
      </c>
      <c r="U318" t="s">
        <v>4303</v>
      </c>
      <c r="V318">
        <v>23</v>
      </c>
      <c r="W318" t="s">
        <v>6523</v>
      </c>
      <c r="X318" t="s">
        <v>968</v>
      </c>
      <c r="Y318">
        <v>4622</v>
      </c>
      <c r="Z318">
        <v>11</v>
      </c>
      <c r="AA318">
        <v>164506</v>
      </c>
      <c r="AB318">
        <v>0.76</v>
      </c>
    </row>
    <row r="319" spans="1:28">
      <c r="A319" s="2">
        <f>HYPERLINK("https://finance.naver.com/item/coinfo.nhn?code=003800", "A003800")</f>
        <v>0</v>
      </c>
      <c r="B319">
        <f>HYPERLINK("http://comp.fnguide.com/SVO2/ASP/SVD_Consensus.asp?pGB=1&amp;gicode=A003800&amp;cID=&amp;MenuYn=Y&amp;ReportGB=&amp;NewMenuID=108&amp;stkGb=701", "에이스침대")</f>
        <v>0</v>
      </c>
      <c r="C319">
        <v>3</v>
      </c>
      <c r="D319">
        <v>39650</v>
      </c>
      <c r="E319">
        <v>1.46</v>
      </c>
      <c r="F319">
        <v>8.77</v>
      </c>
      <c r="G319">
        <v>48852</v>
      </c>
      <c r="H319">
        <v>46957</v>
      </c>
      <c r="I319">
        <v>46418</v>
      </c>
      <c r="J319">
        <v>-23.21</v>
      </c>
      <c r="K319">
        <v>-18.43</v>
      </c>
      <c r="L319">
        <v>-17.07</v>
      </c>
      <c r="M319">
        <v>8.52</v>
      </c>
      <c r="N319" t="b">
        <v>1</v>
      </c>
      <c r="O319">
        <v>3987</v>
      </c>
      <c r="P319" t="s">
        <v>332</v>
      </c>
      <c r="Q319" t="s">
        <v>2527</v>
      </c>
      <c r="R319">
        <v>6.02103981867359</v>
      </c>
      <c r="S319">
        <v>4397</v>
      </c>
      <c r="T319">
        <v>2425</v>
      </c>
      <c r="U319" t="s">
        <v>4304</v>
      </c>
      <c r="V319">
        <v>79.56</v>
      </c>
      <c r="W319" t="s">
        <v>6524</v>
      </c>
      <c r="X319" t="s">
        <v>8684</v>
      </c>
      <c r="Y319">
        <v>2774</v>
      </c>
      <c r="Z319">
        <v>499</v>
      </c>
      <c r="AA319">
        <v>838055</v>
      </c>
      <c r="AB319">
        <v>3.15</v>
      </c>
    </row>
    <row r="320" spans="1:28">
      <c r="A320" s="2">
        <f>HYPERLINK("https://finance.naver.com/item/coinfo.nhn?code=098660", "A098660")</f>
        <v>0</v>
      </c>
      <c r="B320">
        <f>HYPERLINK("http://comp.fnguide.com/SVO2/ASP/SVD_Consensus.asp?pGB=1&amp;gicode=A098660&amp;cID=&amp;MenuYn=Y&amp;ReportGB=&amp;NewMenuID=108&amp;stkGb=701", "에스티오")</f>
        <v>0</v>
      </c>
      <c r="C320">
        <v>3</v>
      </c>
      <c r="D320">
        <v>2080</v>
      </c>
      <c r="E320">
        <v>-0.32</v>
      </c>
      <c r="F320">
        <v>9.050000000000001</v>
      </c>
      <c r="G320">
        <v>1744</v>
      </c>
      <c r="H320">
        <v>2434</v>
      </c>
      <c r="I320">
        <v>2630</v>
      </c>
      <c r="J320">
        <v>16.18</v>
      </c>
      <c r="K320">
        <v>-17</v>
      </c>
      <c r="L320">
        <v>-26.45</v>
      </c>
      <c r="M320">
        <v>4.8</v>
      </c>
      <c r="N320" t="b">
        <v>1</v>
      </c>
      <c r="O320">
        <v>262</v>
      </c>
      <c r="P320" t="s">
        <v>333</v>
      </c>
      <c r="Q320" t="s">
        <v>2528</v>
      </c>
      <c r="R320">
        <v>-27.89999999999999</v>
      </c>
      <c r="S320">
        <v>260</v>
      </c>
      <c r="T320">
        <v>33180</v>
      </c>
      <c r="U320" t="s">
        <v>4305</v>
      </c>
      <c r="V320">
        <v>67.75</v>
      </c>
      <c r="W320" t="s">
        <v>6525</v>
      </c>
      <c r="X320" t="s">
        <v>8685</v>
      </c>
      <c r="Y320">
        <v>851</v>
      </c>
      <c r="Z320">
        <v>54</v>
      </c>
      <c r="AA320">
        <v>363728</v>
      </c>
      <c r="AB320">
        <v>5.06</v>
      </c>
    </row>
    <row r="321" spans="1:28">
      <c r="A321" s="2">
        <f>HYPERLINK("https://finance.naver.com/item/coinfo.nhn?code=043100", "A043100")</f>
        <v>0</v>
      </c>
      <c r="B321">
        <f>HYPERLINK("http://comp.fnguide.com/SVO2/ASP/SVD_Consensus.asp?pGB=1&amp;gicode=A043100&amp;cID=&amp;MenuYn=Y&amp;ReportGB=&amp;NewMenuID=108&amp;stkGb=701", "솔고바이오")</f>
        <v>0</v>
      </c>
      <c r="C321">
        <v>3</v>
      </c>
      <c r="D321">
        <v>392</v>
      </c>
      <c r="E321">
        <v>0</v>
      </c>
      <c r="G321">
        <v>0</v>
      </c>
      <c r="H321">
        <v>340</v>
      </c>
      <c r="I321">
        <v>437</v>
      </c>
      <c r="J321">
        <v>100</v>
      </c>
      <c r="K321">
        <v>13.22</v>
      </c>
      <c r="L321">
        <v>-11.5</v>
      </c>
      <c r="M321">
        <v>0</v>
      </c>
      <c r="N321" t="b">
        <v>0</v>
      </c>
      <c r="O321">
        <v>-325</v>
      </c>
      <c r="P321" t="s">
        <v>334</v>
      </c>
      <c r="Q321" t="s">
        <v>2276</v>
      </c>
      <c r="R321">
        <v>0</v>
      </c>
      <c r="S321">
        <v>226</v>
      </c>
      <c r="T321">
        <v>0</v>
      </c>
      <c r="U321" t="s">
        <v>4306</v>
      </c>
      <c r="V321">
        <v>4.22</v>
      </c>
      <c r="W321" t="s">
        <v>6526</v>
      </c>
      <c r="X321" t="s">
        <v>968</v>
      </c>
      <c r="Y321">
        <v>214</v>
      </c>
      <c r="Z321">
        <v>-59</v>
      </c>
      <c r="AA321">
        <v>648</v>
      </c>
    </row>
    <row r="322" spans="1:28">
      <c r="A322" s="2">
        <f>HYPERLINK("https://finance.naver.com/item/coinfo.nhn?code=069510", "A069510")</f>
        <v>0</v>
      </c>
      <c r="B322">
        <f>HYPERLINK("http://comp.fnguide.com/SVO2/ASP/SVD_Consensus.asp?pGB=1&amp;gicode=A069510&amp;cID=&amp;MenuYn=Y&amp;ReportGB=&amp;NewMenuID=108&amp;stkGb=701", "에스텍")</f>
        <v>0</v>
      </c>
      <c r="C322">
        <v>3</v>
      </c>
      <c r="D322">
        <v>10100</v>
      </c>
      <c r="E322">
        <v>-1.07</v>
      </c>
      <c r="F322">
        <v>7.39</v>
      </c>
      <c r="G322">
        <v>28141</v>
      </c>
      <c r="H322">
        <v>22235</v>
      </c>
      <c r="I322">
        <v>20552</v>
      </c>
      <c r="J322">
        <v>-178.63</v>
      </c>
      <c r="K322">
        <v>-120.15</v>
      </c>
      <c r="L322">
        <v>-103.49</v>
      </c>
      <c r="M322">
        <v>12.25</v>
      </c>
      <c r="N322" t="b">
        <v>1</v>
      </c>
      <c r="O322">
        <v>1576</v>
      </c>
      <c r="P322" t="s">
        <v>335</v>
      </c>
      <c r="Q322" t="s">
        <v>2529</v>
      </c>
      <c r="R322">
        <v>-6.882988019714242</v>
      </c>
      <c r="S322">
        <v>1102</v>
      </c>
      <c r="T322">
        <v>10793</v>
      </c>
      <c r="U322" t="s">
        <v>4307</v>
      </c>
      <c r="V322">
        <v>49.55</v>
      </c>
      <c r="W322" t="s">
        <v>6527</v>
      </c>
      <c r="X322" t="s">
        <v>8686</v>
      </c>
      <c r="Y322">
        <v>3380</v>
      </c>
      <c r="Z322">
        <v>175</v>
      </c>
      <c r="AA322">
        <v>2500000</v>
      </c>
      <c r="AB322">
        <v>5.15</v>
      </c>
    </row>
    <row r="323" spans="1:28">
      <c r="A323" s="2">
        <f>HYPERLINK("https://finance.naver.com/item/coinfo.nhn?code=036830", "A036830")</f>
        <v>0</v>
      </c>
      <c r="B323">
        <f>HYPERLINK("http://comp.fnguide.com/SVO2/ASP/SVD_Consensus.asp?pGB=1&amp;gicode=A036830&amp;cID=&amp;MenuYn=Y&amp;ReportGB=&amp;NewMenuID=108&amp;stkGb=701", "솔브레인홀딩스")</f>
        <v>0</v>
      </c>
      <c r="C323">
        <v>3</v>
      </c>
      <c r="D323">
        <v>42400</v>
      </c>
      <c r="E323">
        <v>0.07000000000000001</v>
      </c>
      <c r="F323">
        <v>6</v>
      </c>
      <c r="G323">
        <v>155020</v>
      </c>
      <c r="H323">
        <v>116805</v>
      </c>
      <c r="I323">
        <v>105916</v>
      </c>
      <c r="J323">
        <v>-265.61</v>
      </c>
      <c r="K323">
        <v>-175.48</v>
      </c>
      <c r="L323">
        <v>-149.8</v>
      </c>
      <c r="M323">
        <v>13.52</v>
      </c>
      <c r="N323" t="b">
        <v>1</v>
      </c>
      <c r="O323">
        <v>6737</v>
      </c>
      <c r="P323" t="s">
        <v>336</v>
      </c>
      <c r="Q323" t="s">
        <v>2530</v>
      </c>
      <c r="R323">
        <v>81.0890787676515</v>
      </c>
      <c r="S323">
        <v>4079</v>
      </c>
      <c r="T323">
        <v>64723</v>
      </c>
      <c r="U323" t="s">
        <v>4308</v>
      </c>
      <c r="V323">
        <v>43.45</v>
      </c>
      <c r="W323" t="s">
        <v>6528</v>
      </c>
      <c r="X323" t="s">
        <v>8687</v>
      </c>
      <c r="Y323">
        <v>10213</v>
      </c>
      <c r="Z323">
        <v>1742</v>
      </c>
      <c r="AA323">
        <v>526253</v>
      </c>
      <c r="AB323">
        <v>2.1</v>
      </c>
    </row>
    <row r="324" spans="1:28">
      <c r="A324" s="2">
        <f>HYPERLINK("https://finance.naver.com/item/coinfo.nhn?code=900080", "A900080")</f>
        <v>0</v>
      </c>
      <c r="B324">
        <f>HYPERLINK("http://comp.fnguide.com/SVO2/ASP/SVD_Consensus.asp?pGB=1&amp;gicode=A900080&amp;cID=&amp;MenuYn=Y&amp;ReportGB=&amp;NewMenuID=108&amp;stkGb=701", "에스앤씨엔진그룹")</f>
        <v>0</v>
      </c>
      <c r="C324">
        <v>3</v>
      </c>
      <c r="D324">
        <v>197</v>
      </c>
      <c r="E324">
        <v>-0.25</v>
      </c>
      <c r="F324">
        <v>9.56</v>
      </c>
      <c r="G324">
        <v>1289</v>
      </c>
      <c r="H324">
        <v>2650</v>
      </c>
      <c r="I324">
        <v>3037</v>
      </c>
      <c r="J324">
        <v>-554.11</v>
      </c>
      <c r="K324">
        <v>-1244.94</v>
      </c>
      <c r="L324">
        <v>-1441.79</v>
      </c>
      <c r="M324">
        <v>2.89</v>
      </c>
      <c r="N324" t="b">
        <v>0</v>
      </c>
      <c r="O324">
        <v>45</v>
      </c>
      <c r="P324" t="s">
        <v>337</v>
      </c>
      <c r="Q324" t="s">
        <v>2531</v>
      </c>
      <c r="R324">
        <v>-38.08478128763684</v>
      </c>
      <c r="S324">
        <v>244</v>
      </c>
      <c r="T324">
        <v>0</v>
      </c>
      <c r="U324" t="s">
        <v>4309</v>
      </c>
      <c r="V324">
        <v>24.28</v>
      </c>
      <c r="W324" t="s">
        <v>6529</v>
      </c>
      <c r="X324" t="s">
        <v>8688</v>
      </c>
      <c r="Y324">
        <v>1076</v>
      </c>
      <c r="Z324">
        <v>146</v>
      </c>
    </row>
    <row r="325" spans="1:28">
      <c r="A325" s="2">
        <f>HYPERLINK("https://finance.naver.com/item/coinfo.nhn?code=058530", "A058530")</f>
        <v>0</v>
      </c>
      <c r="B325">
        <f>HYPERLINK("http://comp.fnguide.com/SVO2/ASP/SVD_Consensus.asp?pGB=1&amp;gicode=A058530&amp;cID=&amp;MenuYn=Y&amp;ReportGB=&amp;NewMenuID=108&amp;stkGb=701", "슈펙스비앤피")</f>
        <v>0</v>
      </c>
      <c r="C325">
        <v>3</v>
      </c>
      <c r="D325">
        <v>162</v>
      </c>
      <c r="E325">
        <v>0</v>
      </c>
      <c r="G325">
        <v>0</v>
      </c>
      <c r="H325">
        <v>269</v>
      </c>
      <c r="I325">
        <v>345</v>
      </c>
      <c r="J325">
        <v>100</v>
      </c>
      <c r="K325">
        <v>-65.84999999999999</v>
      </c>
      <c r="L325">
        <v>-113.11</v>
      </c>
      <c r="M325">
        <v>0</v>
      </c>
      <c r="N325" t="b">
        <v>0</v>
      </c>
      <c r="O325">
        <v>-242</v>
      </c>
      <c r="P325" t="s">
        <v>338</v>
      </c>
      <c r="Q325" t="s">
        <v>2276</v>
      </c>
      <c r="R325">
        <v>0</v>
      </c>
      <c r="S325">
        <v>212</v>
      </c>
      <c r="T325">
        <v>0</v>
      </c>
      <c r="U325" t="s">
        <v>4310</v>
      </c>
      <c r="V325">
        <v>5.85</v>
      </c>
      <c r="W325" t="s">
        <v>6530</v>
      </c>
      <c r="X325" t="s">
        <v>968</v>
      </c>
      <c r="Y325">
        <v>411</v>
      </c>
      <c r="Z325">
        <v>34</v>
      </c>
    </row>
    <row r="326" spans="1:28">
      <c r="A326" s="2">
        <f>HYPERLINK("https://finance.naver.com/item/coinfo.nhn?code=094840", "A094840")</f>
        <v>0</v>
      </c>
      <c r="B326">
        <f>HYPERLINK("http://comp.fnguide.com/SVO2/ASP/SVD_Consensus.asp?pGB=1&amp;gicode=A094840&amp;cID=&amp;MenuYn=Y&amp;ReportGB=&amp;NewMenuID=108&amp;stkGb=701", "슈프리마에이치큐")</f>
        <v>0</v>
      </c>
      <c r="C326">
        <v>3</v>
      </c>
      <c r="D326">
        <v>6430</v>
      </c>
      <c r="E326">
        <v>-2.2</v>
      </c>
      <c r="F326">
        <v>7.63</v>
      </c>
      <c r="G326">
        <v>10539</v>
      </c>
      <c r="H326">
        <v>13536</v>
      </c>
      <c r="I326">
        <v>14390</v>
      </c>
      <c r="J326">
        <v>-63.91</v>
      </c>
      <c r="K326">
        <v>-110.51</v>
      </c>
      <c r="L326">
        <v>-123.79</v>
      </c>
      <c r="M326">
        <v>5.41</v>
      </c>
      <c r="N326" t="b">
        <v>1</v>
      </c>
      <c r="O326">
        <v>763</v>
      </c>
      <c r="P326" t="s">
        <v>339</v>
      </c>
      <c r="Q326" t="s">
        <v>2532</v>
      </c>
      <c r="R326">
        <v>-3.462482840997205</v>
      </c>
      <c r="S326">
        <v>673</v>
      </c>
      <c r="T326">
        <v>157142</v>
      </c>
      <c r="U326" t="s">
        <v>4311</v>
      </c>
      <c r="V326">
        <v>43.71</v>
      </c>
      <c r="W326" t="s">
        <v>6531</v>
      </c>
      <c r="X326" t="s">
        <v>8689</v>
      </c>
      <c r="Y326">
        <v>262</v>
      </c>
      <c r="Z326">
        <v>20</v>
      </c>
      <c r="AA326">
        <v>1074985</v>
      </c>
    </row>
    <row r="327" spans="1:28">
      <c r="A327" s="2">
        <f>HYPERLINK("https://finance.naver.com/item/coinfo.nhn?code=099440", "A099440")</f>
        <v>0</v>
      </c>
      <c r="B327">
        <f>HYPERLINK("http://comp.fnguide.com/SVO2/ASP/SVD_Consensus.asp?pGB=1&amp;gicode=A099440&amp;cID=&amp;MenuYn=Y&amp;ReportGB=&amp;NewMenuID=108&amp;stkGb=701", "스맥")</f>
        <v>0</v>
      </c>
      <c r="C327">
        <v>3</v>
      </c>
      <c r="D327">
        <v>2000</v>
      </c>
      <c r="G327">
        <v>26</v>
      </c>
      <c r="H327">
        <v>2119</v>
      </c>
      <c r="I327">
        <v>2715</v>
      </c>
      <c r="J327">
        <v>98.68000000000001</v>
      </c>
      <c r="K327">
        <v>-5.93</v>
      </c>
      <c r="L327">
        <v>-35.74</v>
      </c>
      <c r="M327">
        <v>0.06</v>
      </c>
      <c r="N327" t="b">
        <v>0</v>
      </c>
      <c r="O327">
        <v>-603</v>
      </c>
      <c r="P327" t="s">
        <v>340</v>
      </c>
      <c r="Q327" t="s">
        <v>2533</v>
      </c>
      <c r="R327">
        <v>-70.72680406925134</v>
      </c>
      <c r="S327">
        <v>610</v>
      </c>
      <c r="T327">
        <v>352764</v>
      </c>
      <c r="U327" t="s">
        <v>4312</v>
      </c>
      <c r="V327">
        <v>15.46</v>
      </c>
      <c r="W327" t="s">
        <v>6532</v>
      </c>
      <c r="X327" t="s">
        <v>8690</v>
      </c>
      <c r="Y327">
        <v>1370</v>
      </c>
      <c r="Z327">
        <v>-148</v>
      </c>
      <c r="AA327">
        <v>2957902</v>
      </c>
    </row>
    <row r="328" spans="1:28">
      <c r="A328" s="2">
        <f>HYPERLINK("https://finance.naver.com/item/coinfo.nhn?code=033790", "A033790")</f>
        <v>0</v>
      </c>
      <c r="B328">
        <f>HYPERLINK("http://comp.fnguide.com/SVO2/ASP/SVD_Consensus.asp?pGB=1&amp;gicode=A033790&amp;cID=&amp;MenuYn=Y&amp;ReportGB=&amp;NewMenuID=108&amp;stkGb=701", "스카이문스테크놀로지")</f>
        <v>0</v>
      </c>
      <c r="C328">
        <v>3</v>
      </c>
      <c r="D328">
        <v>829</v>
      </c>
      <c r="E328">
        <v>0</v>
      </c>
      <c r="G328">
        <v>0</v>
      </c>
      <c r="H328">
        <v>715</v>
      </c>
      <c r="I328">
        <v>918</v>
      </c>
      <c r="J328">
        <v>100</v>
      </c>
      <c r="K328">
        <v>13.81</v>
      </c>
      <c r="L328">
        <v>-10.76</v>
      </c>
      <c r="M328">
        <v>0</v>
      </c>
      <c r="N328" t="b">
        <v>0</v>
      </c>
      <c r="O328">
        <v>-720</v>
      </c>
      <c r="P328" t="s">
        <v>341</v>
      </c>
      <c r="Q328" t="s">
        <v>2276</v>
      </c>
      <c r="R328">
        <v>0</v>
      </c>
      <c r="S328">
        <v>142</v>
      </c>
      <c r="T328">
        <v>0</v>
      </c>
      <c r="U328" t="s">
        <v>4313</v>
      </c>
      <c r="V328">
        <v>27.2</v>
      </c>
      <c r="W328" t="s">
        <v>6533</v>
      </c>
      <c r="X328" t="s">
        <v>968</v>
      </c>
      <c r="Y328">
        <v>57</v>
      </c>
      <c r="Z328">
        <v>-105</v>
      </c>
      <c r="AA328">
        <v>300000</v>
      </c>
    </row>
    <row r="329" spans="1:28">
      <c r="A329" s="2">
        <f>HYPERLINK("https://finance.naver.com/item/coinfo.nhn?code=060540", "A060540")</f>
        <v>0</v>
      </c>
      <c r="B329">
        <f>HYPERLINK("http://comp.fnguide.com/SVO2/ASP/SVD_Consensus.asp?pGB=1&amp;gicode=A060540&amp;cID=&amp;MenuYn=Y&amp;ReportGB=&amp;NewMenuID=108&amp;stkGb=701", "에스에이티")</f>
        <v>0</v>
      </c>
      <c r="C329">
        <v>3</v>
      </c>
      <c r="D329">
        <v>2500</v>
      </c>
      <c r="E329">
        <v>-0.61</v>
      </c>
      <c r="F329">
        <v>6.27</v>
      </c>
      <c r="G329">
        <v>4150</v>
      </c>
      <c r="H329">
        <v>3597</v>
      </c>
      <c r="I329">
        <v>3439</v>
      </c>
      <c r="J329">
        <v>-66.01000000000001</v>
      </c>
      <c r="K329">
        <v>-43.88</v>
      </c>
      <c r="L329">
        <v>-37.58</v>
      </c>
      <c r="M329">
        <v>10.24</v>
      </c>
      <c r="N329" t="b">
        <v>1</v>
      </c>
      <c r="O329">
        <v>355</v>
      </c>
      <c r="P329" t="s">
        <v>342</v>
      </c>
      <c r="Q329" t="s">
        <v>2534</v>
      </c>
      <c r="R329">
        <v>-10.23321403604741</v>
      </c>
      <c r="S329">
        <v>653</v>
      </c>
      <c r="T329">
        <v>545982</v>
      </c>
      <c r="U329" t="s">
        <v>4314</v>
      </c>
      <c r="V329">
        <v>40.82</v>
      </c>
      <c r="W329" t="s">
        <v>6534</v>
      </c>
      <c r="X329" t="s">
        <v>8691</v>
      </c>
      <c r="Y329">
        <v>1402</v>
      </c>
      <c r="Z329">
        <v>100</v>
      </c>
      <c r="AA329">
        <v>372</v>
      </c>
      <c r="AB329">
        <v>2.25</v>
      </c>
    </row>
    <row r="330" spans="1:28">
      <c r="A330" s="2">
        <f>HYPERLINK("https://finance.naver.com/item/coinfo.nhn?code=031330", "A031330")</f>
        <v>0</v>
      </c>
      <c r="B330">
        <f>HYPERLINK("http://comp.fnguide.com/SVO2/ASP/SVD_Consensus.asp?pGB=1&amp;gicode=A031330&amp;cID=&amp;MenuYn=Y&amp;ReportGB=&amp;NewMenuID=108&amp;stkGb=701", "에스에이엠티")</f>
        <v>0</v>
      </c>
      <c r="C330">
        <v>3</v>
      </c>
      <c r="D330">
        <v>2365</v>
      </c>
      <c r="E330">
        <v>-3.91</v>
      </c>
      <c r="F330">
        <v>5.84</v>
      </c>
      <c r="G330">
        <v>4957</v>
      </c>
      <c r="H330">
        <v>3440</v>
      </c>
      <c r="I330">
        <v>3007</v>
      </c>
      <c r="J330">
        <v>-109.58</v>
      </c>
      <c r="K330">
        <v>-45.44</v>
      </c>
      <c r="L330">
        <v>-27.16</v>
      </c>
      <c r="M330">
        <v>16.25</v>
      </c>
      <c r="N330" t="b">
        <v>1</v>
      </c>
      <c r="O330">
        <v>376</v>
      </c>
      <c r="P330" t="s">
        <v>343</v>
      </c>
      <c r="Q330" t="s">
        <v>2535</v>
      </c>
      <c r="R330">
        <v>-1.492149739999793</v>
      </c>
      <c r="S330">
        <v>2365</v>
      </c>
      <c r="T330">
        <v>754290</v>
      </c>
      <c r="U330" t="s">
        <v>4315</v>
      </c>
      <c r="V330">
        <v>50.02</v>
      </c>
      <c r="W330" t="s">
        <v>6535</v>
      </c>
      <c r="X330" t="s">
        <v>8692</v>
      </c>
      <c r="Y330">
        <v>12138</v>
      </c>
      <c r="Z330">
        <v>337</v>
      </c>
      <c r="AA330">
        <v>2000000</v>
      </c>
      <c r="AB330">
        <v>6.38</v>
      </c>
    </row>
    <row r="331" spans="1:28">
      <c r="A331" s="2">
        <f>HYPERLINK("https://finance.naver.com/item/coinfo.nhn?code=158310", "A158310")</f>
        <v>0</v>
      </c>
      <c r="B331">
        <f>HYPERLINK("http://comp.fnguide.com/SVO2/ASP/SVD_Consensus.asp?pGB=1&amp;gicode=A158310&amp;cID=&amp;MenuYn=Y&amp;ReportGB=&amp;NewMenuID=108&amp;stkGb=701", "스타모빌리티")</f>
        <v>0</v>
      </c>
      <c r="C331">
        <v>3</v>
      </c>
      <c r="D331">
        <v>505</v>
      </c>
      <c r="E331">
        <v>0</v>
      </c>
      <c r="G331">
        <v>0</v>
      </c>
      <c r="H331">
        <v>1473</v>
      </c>
      <c r="I331">
        <v>1892</v>
      </c>
      <c r="J331">
        <v>100</v>
      </c>
      <c r="K331">
        <v>-191.6</v>
      </c>
      <c r="L331">
        <v>-274.69</v>
      </c>
      <c r="M331">
        <v>0</v>
      </c>
      <c r="N331" t="b">
        <v>0</v>
      </c>
      <c r="O331">
        <v>-750</v>
      </c>
      <c r="P331" t="s">
        <v>344</v>
      </c>
      <c r="Q331" t="s">
        <v>2276</v>
      </c>
      <c r="R331">
        <v>0</v>
      </c>
      <c r="S331">
        <v>61</v>
      </c>
      <c r="T331">
        <v>0</v>
      </c>
      <c r="U331" t="s">
        <v>4316</v>
      </c>
      <c r="V331">
        <v>28.24</v>
      </c>
      <c r="W331" t="s">
        <v>6536</v>
      </c>
      <c r="X331" t="s">
        <v>968</v>
      </c>
      <c r="Y331">
        <v>101</v>
      </c>
      <c r="Z331">
        <v>-49</v>
      </c>
      <c r="AA331">
        <v>116743</v>
      </c>
    </row>
    <row r="332" spans="1:28">
      <c r="A332" s="2">
        <f>HYPERLINK("https://finance.naver.com/item/coinfo.nhn?code=115570", "A115570")</f>
        <v>0</v>
      </c>
      <c r="B332">
        <f>HYPERLINK("http://comp.fnguide.com/SVO2/ASP/SVD_Consensus.asp?pGB=1&amp;gicode=A115570&amp;cID=&amp;MenuYn=Y&amp;ReportGB=&amp;NewMenuID=108&amp;stkGb=701", "스타플렉스")</f>
        <v>0</v>
      </c>
      <c r="C332">
        <v>3</v>
      </c>
      <c r="D332">
        <v>5060</v>
      </c>
      <c r="E332">
        <v>0</v>
      </c>
      <c r="G332">
        <v>2784</v>
      </c>
      <c r="H332">
        <v>6213</v>
      </c>
      <c r="I332">
        <v>7190</v>
      </c>
      <c r="J332">
        <v>44.98</v>
      </c>
      <c r="K332">
        <v>-22.79</v>
      </c>
      <c r="L332">
        <v>-42.1</v>
      </c>
      <c r="M332">
        <v>2.61</v>
      </c>
      <c r="N332" t="b">
        <v>0</v>
      </c>
      <c r="O332">
        <v>-973</v>
      </c>
      <c r="P332" t="s">
        <v>345</v>
      </c>
      <c r="Q332" t="s">
        <v>2276</v>
      </c>
      <c r="R332">
        <v>0</v>
      </c>
      <c r="S332">
        <v>389</v>
      </c>
      <c r="T332">
        <v>78576</v>
      </c>
      <c r="U332" t="s">
        <v>4317</v>
      </c>
      <c r="V332">
        <v>52.37</v>
      </c>
      <c r="W332" t="s">
        <v>6537</v>
      </c>
      <c r="X332" t="s">
        <v>8693</v>
      </c>
      <c r="Y332">
        <v>927</v>
      </c>
      <c r="Z332">
        <v>13</v>
      </c>
      <c r="AA332">
        <v>94490</v>
      </c>
      <c r="AB332">
        <v>1.07</v>
      </c>
    </row>
    <row r="333" spans="1:28">
      <c r="A333" s="2">
        <f>HYPERLINK("https://finance.naver.com/item/coinfo.nhn?code=049830", "A049830")</f>
        <v>0</v>
      </c>
      <c r="B333">
        <f>HYPERLINK("http://comp.fnguide.com/SVO2/ASP/SVD_Consensus.asp?pGB=1&amp;gicode=A049830&amp;cID=&amp;MenuYn=Y&amp;ReportGB=&amp;NewMenuID=108&amp;stkGb=701", "승일")</f>
        <v>0</v>
      </c>
      <c r="C333">
        <v>3</v>
      </c>
      <c r="D333">
        <v>8230</v>
      </c>
      <c r="G333">
        <v>6719</v>
      </c>
      <c r="H333">
        <v>16972</v>
      </c>
      <c r="I333">
        <v>19893</v>
      </c>
      <c r="J333">
        <v>18.36</v>
      </c>
      <c r="K333">
        <v>-106.22</v>
      </c>
      <c r="L333">
        <v>-141.72</v>
      </c>
      <c r="M333">
        <v>2.25</v>
      </c>
      <c r="N333" t="b">
        <v>0</v>
      </c>
      <c r="O333">
        <v>-96</v>
      </c>
      <c r="P333" t="s">
        <v>346</v>
      </c>
      <c r="Q333" t="s">
        <v>2536</v>
      </c>
      <c r="R333">
        <v>35.16407138057249</v>
      </c>
      <c r="S333">
        <v>505</v>
      </c>
      <c r="T333">
        <v>9261</v>
      </c>
      <c r="U333" t="s">
        <v>4318</v>
      </c>
      <c r="V333">
        <v>73.62</v>
      </c>
      <c r="W333" t="s">
        <v>6538</v>
      </c>
      <c r="X333" t="s">
        <v>8694</v>
      </c>
      <c r="Y333">
        <v>1366</v>
      </c>
      <c r="Z333">
        <v>-14</v>
      </c>
      <c r="AA333">
        <v>224586</v>
      </c>
    </row>
    <row r="334" spans="1:28">
      <c r="A334" s="2">
        <f>HYPERLINK("https://finance.naver.com/item/coinfo.nhn?code=020710", "A020710")</f>
        <v>0</v>
      </c>
      <c r="B334">
        <f>HYPERLINK("http://comp.fnguide.com/SVO2/ASP/SVD_Consensus.asp?pGB=1&amp;gicode=A020710&amp;cID=&amp;MenuYn=Y&amp;ReportGB=&amp;NewMenuID=108&amp;stkGb=701", "시공테크")</f>
        <v>0</v>
      </c>
      <c r="C334">
        <v>3</v>
      </c>
      <c r="D334">
        <v>4885</v>
      </c>
      <c r="E334">
        <v>-0.62</v>
      </c>
      <c r="F334">
        <v>6.26</v>
      </c>
      <c r="G334">
        <v>8526</v>
      </c>
      <c r="H334">
        <v>6907</v>
      </c>
      <c r="I334">
        <v>6446</v>
      </c>
      <c r="J334">
        <v>-74.54000000000001</v>
      </c>
      <c r="K334">
        <v>-41.4</v>
      </c>
      <c r="L334">
        <v>-31.96</v>
      </c>
      <c r="M334">
        <v>11.65</v>
      </c>
      <c r="N334" t="b">
        <v>0</v>
      </c>
      <c r="O334">
        <v>765</v>
      </c>
      <c r="P334" t="s">
        <v>347</v>
      </c>
      <c r="Q334" t="s">
        <v>2537</v>
      </c>
      <c r="R334">
        <v>-10.09499867591507</v>
      </c>
      <c r="S334">
        <v>979</v>
      </c>
      <c r="T334">
        <v>19437</v>
      </c>
      <c r="U334" t="s">
        <v>4319</v>
      </c>
      <c r="V334">
        <v>43.21</v>
      </c>
      <c r="W334" t="s">
        <v>6539</v>
      </c>
      <c r="X334" t="s">
        <v>8695</v>
      </c>
      <c r="Y334">
        <v>1198</v>
      </c>
      <c r="Z334">
        <v>80</v>
      </c>
      <c r="AA334">
        <v>1478045</v>
      </c>
      <c r="AB334">
        <v>1.67</v>
      </c>
    </row>
    <row r="335" spans="1:28">
      <c r="A335" s="2">
        <f>HYPERLINK("https://finance.naver.com/item/coinfo.nhn?code=033170", "A033170")</f>
        <v>0</v>
      </c>
      <c r="B335">
        <f>HYPERLINK("http://comp.fnguide.com/SVO2/ASP/SVD_Consensus.asp?pGB=1&amp;gicode=A033170&amp;cID=&amp;MenuYn=Y&amp;ReportGB=&amp;NewMenuID=108&amp;stkGb=701", "시그네틱스")</f>
        <v>0</v>
      </c>
      <c r="C335">
        <v>3</v>
      </c>
      <c r="D335">
        <v>761</v>
      </c>
      <c r="E335">
        <v>0</v>
      </c>
      <c r="G335">
        <v>33</v>
      </c>
      <c r="H335">
        <v>991</v>
      </c>
      <c r="I335">
        <v>1264</v>
      </c>
      <c r="J335">
        <v>95.62</v>
      </c>
      <c r="K335">
        <v>-30.22</v>
      </c>
      <c r="L335">
        <v>-66.08</v>
      </c>
      <c r="M335">
        <v>0.16</v>
      </c>
      <c r="N335" t="b">
        <v>0</v>
      </c>
      <c r="O335">
        <v>-233</v>
      </c>
      <c r="P335" t="s">
        <v>348</v>
      </c>
      <c r="Q335" t="s">
        <v>2276</v>
      </c>
      <c r="R335">
        <v>0</v>
      </c>
      <c r="S335">
        <v>652</v>
      </c>
      <c r="T335">
        <v>678650</v>
      </c>
      <c r="U335" t="s">
        <v>4320</v>
      </c>
      <c r="V335">
        <v>42.41</v>
      </c>
      <c r="W335" t="s">
        <v>6540</v>
      </c>
      <c r="X335" t="s">
        <v>8696</v>
      </c>
      <c r="Y335">
        <v>2188</v>
      </c>
      <c r="Z335">
        <v>-196</v>
      </c>
    </row>
    <row r="336" spans="1:28">
      <c r="A336" s="2">
        <f>HYPERLINK("https://finance.naver.com/item/coinfo.nhn?code=012860", "A012860")</f>
        <v>0</v>
      </c>
      <c r="B336">
        <f>HYPERLINK("http://comp.fnguide.com/SVO2/ASP/SVD_Consensus.asp?pGB=1&amp;gicode=A012860&amp;cID=&amp;MenuYn=Y&amp;ReportGB=&amp;NewMenuID=108&amp;stkGb=701", "모베이스전자")</f>
        <v>0</v>
      </c>
      <c r="C336">
        <v>3</v>
      </c>
      <c r="D336">
        <v>2145</v>
      </c>
      <c r="G336">
        <v>0</v>
      </c>
      <c r="H336">
        <v>1771</v>
      </c>
      <c r="I336">
        <v>2276</v>
      </c>
      <c r="J336">
        <v>100</v>
      </c>
      <c r="K336">
        <v>17.43</v>
      </c>
      <c r="L336">
        <v>-6.1</v>
      </c>
      <c r="M336">
        <v>0</v>
      </c>
      <c r="N336" t="b">
        <v>0</v>
      </c>
      <c r="O336">
        <v>-397</v>
      </c>
      <c r="P336" t="s">
        <v>349</v>
      </c>
      <c r="Q336" t="s">
        <v>2538</v>
      </c>
      <c r="R336">
        <v>1.09999999999999</v>
      </c>
      <c r="S336">
        <v>1115</v>
      </c>
      <c r="T336">
        <v>31613953</v>
      </c>
      <c r="U336" t="s">
        <v>4321</v>
      </c>
      <c r="V336">
        <v>44.44</v>
      </c>
      <c r="W336" t="s">
        <v>6541</v>
      </c>
      <c r="X336" t="s">
        <v>968</v>
      </c>
      <c r="Y336">
        <v>7717</v>
      </c>
      <c r="Z336">
        <v>109</v>
      </c>
      <c r="AA336">
        <v>199200</v>
      </c>
    </row>
    <row r="337" spans="1:28">
      <c r="A337" s="2">
        <f>HYPERLINK("https://finance.naver.com/item/coinfo.nhn?code=010470", "A010470")</f>
        <v>0</v>
      </c>
      <c r="B337">
        <f>HYPERLINK("http://comp.fnguide.com/SVO2/ASP/SVD_Consensus.asp?pGB=1&amp;gicode=A010470&amp;cID=&amp;MenuYn=Y&amp;ReportGB=&amp;NewMenuID=108&amp;stkGb=701", "오리콤")</f>
        <v>0</v>
      </c>
      <c r="C337">
        <v>3</v>
      </c>
      <c r="D337">
        <v>6070</v>
      </c>
      <c r="E337">
        <v>0.5</v>
      </c>
      <c r="F337">
        <v>9.69</v>
      </c>
      <c r="G337">
        <v>7778</v>
      </c>
      <c r="H337">
        <v>7445</v>
      </c>
      <c r="I337">
        <v>7351</v>
      </c>
      <c r="J337">
        <v>-28.13</v>
      </c>
      <c r="K337">
        <v>-22.66</v>
      </c>
      <c r="L337">
        <v>-21.1</v>
      </c>
      <c r="M337">
        <v>8.58</v>
      </c>
      <c r="N337" t="b">
        <v>0</v>
      </c>
      <c r="O337">
        <v>515</v>
      </c>
      <c r="P337" t="s">
        <v>350</v>
      </c>
      <c r="Q337" t="s">
        <v>2539</v>
      </c>
      <c r="R337">
        <v>19.27306272420797</v>
      </c>
      <c r="S337">
        <v>710</v>
      </c>
      <c r="T337">
        <v>747468</v>
      </c>
      <c r="U337" t="s">
        <v>4322</v>
      </c>
      <c r="V337">
        <v>62.87</v>
      </c>
      <c r="W337" t="s">
        <v>6542</v>
      </c>
      <c r="X337" t="s">
        <v>8697</v>
      </c>
      <c r="Y337">
        <v>1985</v>
      </c>
      <c r="Z337">
        <v>80</v>
      </c>
      <c r="AA337">
        <v>370315</v>
      </c>
      <c r="AB337">
        <v>4.41</v>
      </c>
    </row>
    <row r="338" spans="1:28">
      <c r="A338" s="2">
        <f>HYPERLINK("https://finance.naver.com/item/coinfo.nhn?code=040300", "A040300")</f>
        <v>0</v>
      </c>
      <c r="B338">
        <f>HYPERLINK("http://comp.fnguide.com/SVO2/ASP/SVD_Consensus.asp?pGB=1&amp;gicode=A040300&amp;cID=&amp;MenuYn=Y&amp;ReportGB=&amp;NewMenuID=108&amp;stkGb=701", "YTN")</f>
        <v>0</v>
      </c>
      <c r="C338">
        <v>3</v>
      </c>
      <c r="D338">
        <v>2760</v>
      </c>
      <c r="G338">
        <v>290</v>
      </c>
      <c r="H338">
        <v>2765</v>
      </c>
      <c r="I338">
        <v>3471</v>
      </c>
      <c r="J338">
        <v>89.48</v>
      </c>
      <c r="K338">
        <v>-0.19</v>
      </c>
      <c r="L338">
        <v>-25.74</v>
      </c>
      <c r="M338">
        <v>0.53</v>
      </c>
      <c r="N338" t="b">
        <v>0</v>
      </c>
      <c r="O338">
        <v>-35</v>
      </c>
      <c r="P338" t="s">
        <v>351</v>
      </c>
      <c r="Q338" t="s">
        <v>2540</v>
      </c>
      <c r="R338">
        <v>-55.02089373942608</v>
      </c>
      <c r="S338">
        <v>1159</v>
      </c>
      <c r="T338">
        <v>206115</v>
      </c>
      <c r="U338" t="s">
        <v>4323</v>
      </c>
      <c r="V338">
        <v>21.87</v>
      </c>
      <c r="W338" t="s">
        <v>6543</v>
      </c>
      <c r="X338" t="s">
        <v>8698</v>
      </c>
      <c r="Y338">
        <v>1308</v>
      </c>
      <c r="Z338">
        <v>5</v>
      </c>
      <c r="AB338">
        <v>0.49</v>
      </c>
    </row>
    <row r="339" spans="1:28">
      <c r="A339" s="2">
        <f>HYPERLINK("https://finance.naver.com/item/coinfo.nhn?code=048470", "A048470")</f>
        <v>0</v>
      </c>
      <c r="B339">
        <f>HYPERLINK("http://comp.fnguide.com/SVO2/ASP/SVD_Consensus.asp?pGB=1&amp;gicode=A048470&amp;cID=&amp;MenuYn=Y&amp;ReportGB=&amp;NewMenuID=108&amp;stkGb=701", "대동스틸")</f>
        <v>0</v>
      </c>
      <c r="C339">
        <v>3</v>
      </c>
      <c r="D339">
        <v>4940</v>
      </c>
      <c r="E339">
        <v>-2.96</v>
      </c>
      <c r="F339">
        <v>170.5</v>
      </c>
      <c r="G339">
        <v>1499</v>
      </c>
      <c r="H339">
        <v>4298</v>
      </c>
      <c r="I339">
        <v>5096</v>
      </c>
      <c r="J339">
        <v>69.66</v>
      </c>
      <c r="K339">
        <v>12.99</v>
      </c>
      <c r="L339">
        <v>-3.16</v>
      </c>
      <c r="M339">
        <v>1.94</v>
      </c>
      <c r="N339" t="b">
        <v>0</v>
      </c>
      <c r="O339">
        <v>31</v>
      </c>
      <c r="P339" t="s">
        <v>352</v>
      </c>
      <c r="Q339" t="s">
        <v>2541</v>
      </c>
      <c r="R339">
        <v>-57.64184144279449</v>
      </c>
      <c r="S339">
        <v>494</v>
      </c>
      <c r="T339">
        <v>56656</v>
      </c>
      <c r="U339" t="s">
        <v>4324</v>
      </c>
      <c r="V339">
        <v>33.68</v>
      </c>
      <c r="W339" t="s">
        <v>6544</v>
      </c>
      <c r="X339" t="s">
        <v>8699</v>
      </c>
      <c r="Y339">
        <v>1133</v>
      </c>
      <c r="Z339">
        <v>-5</v>
      </c>
      <c r="AA339">
        <v>78109</v>
      </c>
      <c r="AB339">
        <v>0.5600000000000001</v>
      </c>
    </row>
    <row r="340" spans="1:28">
      <c r="A340" s="2">
        <f>HYPERLINK("https://finance.naver.com/item/coinfo.nhn?code=052190", "A052190")</f>
        <v>0</v>
      </c>
      <c r="B340">
        <f>HYPERLINK("http://comp.fnguide.com/SVO2/ASP/SVD_Consensus.asp?pGB=1&amp;gicode=A052190&amp;cID=&amp;MenuYn=Y&amp;ReportGB=&amp;NewMenuID=108&amp;stkGb=701", "이에스에이")</f>
        <v>0</v>
      </c>
      <c r="C340">
        <v>3</v>
      </c>
      <c r="D340">
        <v>295</v>
      </c>
      <c r="E340">
        <v>0</v>
      </c>
      <c r="G340">
        <v>0</v>
      </c>
      <c r="H340">
        <v>460</v>
      </c>
      <c r="I340">
        <v>592</v>
      </c>
      <c r="J340">
        <v>100</v>
      </c>
      <c r="K340">
        <v>-56.08</v>
      </c>
      <c r="L340">
        <v>-100.56</v>
      </c>
      <c r="M340">
        <v>0</v>
      </c>
      <c r="N340" t="b">
        <v>0</v>
      </c>
      <c r="O340">
        <v>-538</v>
      </c>
      <c r="P340" t="s">
        <v>353</v>
      </c>
      <c r="Q340" t="s">
        <v>2276</v>
      </c>
      <c r="R340">
        <v>0</v>
      </c>
      <c r="S340">
        <v>135</v>
      </c>
      <c r="T340">
        <v>0</v>
      </c>
      <c r="U340" t="s">
        <v>4325</v>
      </c>
      <c r="V340">
        <v>2.52</v>
      </c>
      <c r="W340" t="s">
        <v>6545</v>
      </c>
      <c r="X340" t="s">
        <v>968</v>
      </c>
      <c r="Y340">
        <v>27</v>
      </c>
      <c r="Z340">
        <v>-91</v>
      </c>
    </row>
    <row r="341" spans="1:28">
      <c r="A341" s="2">
        <f>HYPERLINK("https://finance.naver.com/item/coinfo.nhn?code=900110", "A900110")</f>
        <v>0</v>
      </c>
      <c r="B341">
        <f>HYPERLINK("http://comp.fnguide.com/SVO2/ASP/SVD_Consensus.asp?pGB=1&amp;gicode=A900110&amp;cID=&amp;MenuYn=Y&amp;ReportGB=&amp;NewMenuID=108&amp;stkGb=701", "이스트아시아홀딩스")</f>
        <v>0</v>
      </c>
      <c r="C341">
        <v>3</v>
      </c>
      <c r="D341">
        <v>255</v>
      </c>
      <c r="E341">
        <v>33.65</v>
      </c>
      <c r="F341">
        <v>7.99</v>
      </c>
      <c r="G341">
        <v>377</v>
      </c>
      <c r="H341">
        <v>1244</v>
      </c>
      <c r="I341">
        <v>1491</v>
      </c>
      <c r="J341">
        <v>-47.92</v>
      </c>
      <c r="K341">
        <v>-387.92</v>
      </c>
      <c r="L341">
        <v>-484.8</v>
      </c>
      <c r="M341">
        <v>1.65</v>
      </c>
      <c r="N341" t="b">
        <v>0</v>
      </c>
      <c r="O341">
        <v>29</v>
      </c>
      <c r="P341" t="s">
        <v>354</v>
      </c>
      <c r="Q341" t="s">
        <v>2542</v>
      </c>
      <c r="R341">
        <v>0.237418163079206</v>
      </c>
      <c r="S341">
        <v>278</v>
      </c>
      <c r="T341">
        <v>1445631</v>
      </c>
      <c r="U341" t="s">
        <v>4326</v>
      </c>
      <c r="V341">
        <v>16.02</v>
      </c>
      <c r="W341" t="s">
        <v>6546</v>
      </c>
      <c r="X341" t="s">
        <v>8700</v>
      </c>
      <c r="Y341">
        <v>915</v>
      </c>
      <c r="Z341">
        <v>61</v>
      </c>
    </row>
    <row r="342" spans="1:28">
      <c r="A342" s="2">
        <f>HYPERLINK("https://finance.naver.com/item/coinfo.nhn?code=080010", "A080010")</f>
        <v>0</v>
      </c>
      <c r="B342">
        <f>HYPERLINK("http://comp.fnguide.com/SVO2/ASP/SVD_Consensus.asp?pGB=1&amp;gicode=A080010&amp;cID=&amp;MenuYn=Y&amp;ReportGB=&amp;NewMenuID=108&amp;stkGb=701", "이상네트웍스")</f>
        <v>0</v>
      </c>
      <c r="C342">
        <v>3</v>
      </c>
      <c r="D342">
        <v>7370</v>
      </c>
      <c r="E342">
        <v>0.31</v>
      </c>
      <c r="F342">
        <v>7.11</v>
      </c>
      <c r="G342">
        <v>12862</v>
      </c>
      <c r="H342">
        <v>11522</v>
      </c>
      <c r="I342">
        <v>11140</v>
      </c>
      <c r="J342">
        <v>-74.52</v>
      </c>
      <c r="K342">
        <v>-56.34</v>
      </c>
      <c r="L342">
        <v>-51.16</v>
      </c>
      <c r="M342">
        <v>9.640000000000001</v>
      </c>
      <c r="N342" t="b">
        <v>1</v>
      </c>
      <c r="O342">
        <v>1001</v>
      </c>
      <c r="P342" t="s">
        <v>355</v>
      </c>
      <c r="Q342" t="s">
        <v>2543</v>
      </c>
      <c r="R342">
        <v>22.66101951099477</v>
      </c>
      <c r="S342">
        <v>664</v>
      </c>
      <c r="T342">
        <v>13718</v>
      </c>
      <c r="U342" t="s">
        <v>4327</v>
      </c>
      <c r="V342">
        <v>50.05</v>
      </c>
      <c r="W342" t="s">
        <v>6547</v>
      </c>
      <c r="X342" t="s">
        <v>8701</v>
      </c>
      <c r="Y342">
        <v>582</v>
      </c>
      <c r="Z342">
        <v>75</v>
      </c>
      <c r="AA342">
        <v>98424</v>
      </c>
      <c r="AB342">
        <v>1.4</v>
      </c>
    </row>
    <row r="343" spans="1:28">
      <c r="A343" s="2">
        <f>HYPERLINK("https://finance.naver.com/item/coinfo.nhn?code=078020", "A078020")</f>
        <v>0</v>
      </c>
      <c r="B343">
        <f>HYPERLINK("http://comp.fnguide.com/SVO2/ASP/SVD_Consensus.asp?pGB=1&amp;gicode=A078020&amp;cID=&amp;MenuYn=Y&amp;ReportGB=&amp;NewMenuID=108&amp;stkGb=701", "이베스트투자증권")</f>
        <v>0</v>
      </c>
      <c r="C343">
        <v>3</v>
      </c>
      <c r="D343">
        <v>7040</v>
      </c>
      <c r="E343">
        <v>0.49</v>
      </c>
      <c r="F343">
        <v>5.49</v>
      </c>
      <c r="G343">
        <v>13016</v>
      </c>
      <c r="H343">
        <v>11323</v>
      </c>
      <c r="I343">
        <v>10840</v>
      </c>
      <c r="J343">
        <v>-84.89</v>
      </c>
      <c r="K343">
        <v>-60.83</v>
      </c>
      <c r="L343">
        <v>-53.98</v>
      </c>
      <c r="M343">
        <v>10.17</v>
      </c>
      <c r="N343" t="b">
        <v>1</v>
      </c>
      <c r="O343">
        <v>1020</v>
      </c>
      <c r="P343" t="s">
        <v>356</v>
      </c>
      <c r="Q343" t="s">
        <v>2544</v>
      </c>
      <c r="R343">
        <v>11.11573099594876</v>
      </c>
      <c r="S343">
        <v>3906</v>
      </c>
      <c r="T343">
        <v>265974</v>
      </c>
      <c r="U343" t="s">
        <v>4328</v>
      </c>
      <c r="V343">
        <v>62.48</v>
      </c>
      <c r="W343" t="s">
        <v>6548</v>
      </c>
      <c r="X343" t="s">
        <v>8702</v>
      </c>
      <c r="Y343">
        <v>1893</v>
      </c>
      <c r="Z343">
        <v>705</v>
      </c>
      <c r="AA343">
        <v>5075498</v>
      </c>
      <c r="AB343">
        <v>6.16</v>
      </c>
    </row>
    <row r="344" spans="1:28">
      <c r="A344" s="2">
        <f>HYPERLINK("https://finance.naver.com/item/coinfo.nhn?code=054050", "A054050")</f>
        <v>0</v>
      </c>
      <c r="B344">
        <f>HYPERLINK("http://comp.fnguide.com/SVO2/ASP/SVD_Consensus.asp?pGB=1&amp;gicode=A054050&amp;cID=&amp;MenuYn=Y&amp;ReportGB=&amp;NewMenuID=108&amp;stkGb=701", "농우바이오")</f>
        <v>0</v>
      </c>
      <c r="C344">
        <v>3</v>
      </c>
      <c r="D344">
        <v>10400</v>
      </c>
      <c r="E344">
        <v>-6.17</v>
      </c>
      <c r="F344">
        <v>27.2</v>
      </c>
      <c r="G344">
        <v>12994</v>
      </c>
      <c r="H344">
        <v>13837</v>
      </c>
      <c r="I344">
        <v>14078</v>
      </c>
      <c r="J344">
        <v>-24.95</v>
      </c>
      <c r="K344">
        <v>-33.05</v>
      </c>
      <c r="L344">
        <v>-35.36</v>
      </c>
      <c r="M344">
        <v>7.19</v>
      </c>
      <c r="N344" t="b">
        <v>0</v>
      </c>
      <c r="O344">
        <v>436</v>
      </c>
      <c r="P344" t="s">
        <v>357</v>
      </c>
      <c r="Q344" t="s">
        <v>2545</v>
      </c>
      <c r="R344">
        <v>-4.407383873574999</v>
      </c>
      <c r="S344">
        <v>1667</v>
      </c>
      <c r="T344">
        <v>55679</v>
      </c>
      <c r="U344" t="s">
        <v>4329</v>
      </c>
      <c r="V344">
        <v>57.91</v>
      </c>
      <c r="W344" t="s">
        <v>6549</v>
      </c>
      <c r="X344" t="s">
        <v>8703</v>
      </c>
      <c r="Y344">
        <v>1213</v>
      </c>
      <c r="Z344">
        <v>39</v>
      </c>
      <c r="AB344">
        <v>1.69</v>
      </c>
    </row>
    <row r="345" spans="1:28">
      <c r="A345" s="2">
        <f>HYPERLINK("https://finance.naver.com/item/coinfo.nhn?code=041520", "A041520")</f>
        <v>0</v>
      </c>
      <c r="B345">
        <f>HYPERLINK("http://comp.fnguide.com/SVO2/ASP/SVD_Consensus.asp?pGB=1&amp;gicode=A041520&amp;cID=&amp;MenuYn=Y&amp;ReportGB=&amp;NewMenuID=108&amp;stkGb=701", "이라이콤")</f>
        <v>0</v>
      </c>
      <c r="C345">
        <v>3</v>
      </c>
      <c r="D345">
        <v>11600</v>
      </c>
      <c r="G345">
        <v>2793</v>
      </c>
      <c r="H345">
        <v>11221</v>
      </c>
      <c r="I345">
        <v>13623</v>
      </c>
      <c r="J345">
        <v>75.92</v>
      </c>
      <c r="K345">
        <v>3.27</v>
      </c>
      <c r="L345">
        <v>-17.44</v>
      </c>
      <c r="M345">
        <v>1.32</v>
      </c>
      <c r="N345" t="b">
        <v>0</v>
      </c>
      <c r="O345">
        <v>-48</v>
      </c>
      <c r="P345" t="s">
        <v>358</v>
      </c>
      <c r="Q345" t="s">
        <v>2546</v>
      </c>
      <c r="R345">
        <v>-15.96536428352887</v>
      </c>
      <c r="S345">
        <v>1414</v>
      </c>
      <c r="T345">
        <v>101838</v>
      </c>
      <c r="U345" t="s">
        <v>4330</v>
      </c>
      <c r="V345">
        <v>46.72</v>
      </c>
      <c r="W345" t="s">
        <v>6550</v>
      </c>
      <c r="X345" t="s">
        <v>8704</v>
      </c>
      <c r="Y345">
        <v>2771</v>
      </c>
      <c r="Z345">
        <v>-55</v>
      </c>
      <c r="AA345">
        <v>1334</v>
      </c>
      <c r="AB345">
        <v>1.96</v>
      </c>
    </row>
    <row r="346" spans="1:28">
      <c r="A346" s="2">
        <f>HYPERLINK("https://finance.naver.com/item/coinfo.nhn?code=053350", "A053350")</f>
        <v>0</v>
      </c>
      <c r="B346">
        <f>HYPERLINK("http://comp.fnguide.com/SVO2/ASP/SVD_Consensus.asp?pGB=1&amp;gicode=A053350&amp;cID=&amp;MenuYn=Y&amp;ReportGB=&amp;NewMenuID=108&amp;stkGb=701", "이니텍")</f>
        <v>0</v>
      </c>
      <c r="C346">
        <v>3</v>
      </c>
      <c r="D346">
        <v>4560</v>
      </c>
      <c r="G346">
        <v>981</v>
      </c>
      <c r="H346">
        <v>3983</v>
      </c>
      <c r="I346">
        <v>4838</v>
      </c>
      <c r="J346">
        <v>78.48</v>
      </c>
      <c r="K346">
        <v>12.66</v>
      </c>
      <c r="L346">
        <v>-6.1</v>
      </c>
      <c r="M346">
        <v>1.31</v>
      </c>
      <c r="N346" t="b">
        <v>0</v>
      </c>
      <c r="O346">
        <v>-443</v>
      </c>
      <c r="P346" t="s">
        <v>359</v>
      </c>
      <c r="Q346" t="s">
        <v>2547</v>
      </c>
      <c r="R346">
        <v>-38.47846190297898</v>
      </c>
      <c r="S346">
        <v>902</v>
      </c>
      <c r="T346">
        <v>179860</v>
      </c>
      <c r="U346" t="s">
        <v>4331</v>
      </c>
      <c r="V346">
        <v>57.01</v>
      </c>
      <c r="W346" t="s">
        <v>6551</v>
      </c>
      <c r="X346" t="s">
        <v>8705</v>
      </c>
      <c r="Y346">
        <v>2880</v>
      </c>
      <c r="Z346">
        <v>58</v>
      </c>
      <c r="AA346">
        <v>399280</v>
      </c>
      <c r="AB346">
        <v>0.4</v>
      </c>
    </row>
    <row r="347" spans="1:28">
      <c r="A347" s="2">
        <f>HYPERLINK("https://finance.naver.com/item/coinfo.nhn?code=088390", "A088390")</f>
        <v>0</v>
      </c>
      <c r="B347">
        <f>HYPERLINK("http://comp.fnguide.com/SVO2/ASP/SVD_Consensus.asp?pGB=1&amp;gicode=A088390&amp;cID=&amp;MenuYn=Y&amp;ReportGB=&amp;NewMenuID=108&amp;stkGb=701", "이녹스")</f>
        <v>0</v>
      </c>
      <c r="C347">
        <v>3</v>
      </c>
      <c r="D347">
        <v>10000</v>
      </c>
      <c r="G347">
        <v>33076</v>
      </c>
      <c r="H347">
        <v>21428</v>
      </c>
      <c r="I347">
        <v>18109</v>
      </c>
      <c r="J347">
        <v>-230.76</v>
      </c>
      <c r="K347">
        <v>-114.28</v>
      </c>
      <c r="L347">
        <v>-81.09</v>
      </c>
      <c r="M347">
        <v>19.26</v>
      </c>
      <c r="N347" t="b">
        <v>0</v>
      </c>
      <c r="O347">
        <v>-1246</v>
      </c>
      <c r="P347" t="s">
        <v>360</v>
      </c>
      <c r="Q347" t="s">
        <v>2548</v>
      </c>
      <c r="R347">
        <v>261.3888527267927</v>
      </c>
      <c r="S347">
        <v>935</v>
      </c>
      <c r="T347">
        <v>87167</v>
      </c>
      <c r="U347" t="s">
        <v>4332</v>
      </c>
      <c r="V347">
        <v>69.56999999999999</v>
      </c>
      <c r="W347" t="s">
        <v>6552</v>
      </c>
      <c r="X347" t="s">
        <v>8706</v>
      </c>
      <c r="Y347">
        <v>415</v>
      </c>
      <c r="Z347">
        <v>-51</v>
      </c>
      <c r="AA347">
        <v>592322</v>
      </c>
    </row>
    <row r="348" spans="1:28">
      <c r="A348" s="2">
        <f>HYPERLINK("https://finance.naver.com/item/coinfo.nhn?code=032190", "A032190")</f>
        <v>0</v>
      </c>
      <c r="B348">
        <f>HYPERLINK("http://comp.fnguide.com/SVO2/ASP/SVD_Consensus.asp?pGB=1&amp;gicode=A032190&amp;cID=&amp;MenuYn=Y&amp;ReportGB=&amp;NewMenuID=108&amp;stkGb=701", "다우데이타")</f>
        <v>0</v>
      </c>
      <c r="C348">
        <v>3</v>
      </c>
      <c r="D348">
        <v>12900</v>
      </c>
      <c r="E348">
        <v>0.83</v>
      </c>
      <c r="F348">
        <v>4.66</v>
      </c>
      <c r="G348">
        <v>20496</v>
      </c>
      <c r="H348">
        <v>17726</v>
      </c>
      <c r="I348">
        <v>16936</v>
      </c>
      <c r="J348">
        <v>-58.88</v>
      </c>
      <c r="K348">
        <v>-37.41</v>
      </c>
      <c r="L348">
        <v>-31.29</v>
      </c>
      <c r="M348">
        <v>10.28</v>
      </c>
      <c r="N348" t="b">
        <v>1</v>
      </c>
      <c r="O348">
        <v>1782</v>
      </c>
      <c r="P348" t="s">
        <v>361</v>
      </c>
      <c r="Q348" t="s">
        <v>2549</v>
      </c>
      <c r="R348">
        <v>5.600826566742323</v>
      </c>
      <c r="S348">
        <v>4941</v>
      </c>
      <c r="T348">
        <v>209372</v>
      </c>
      <c r="U348" t="s">
        <v>4333</v>
      </c>
      <c r="V348">
        <v>67.34999999999999</v>
      </c>
      <c r="W348" t="s">
        <v>6553</v>
      </c>
      <c r="X348" t="s">
        <v>8707</v>
      </c>
      <c r="Y348">
        <v>36056</v>
      </c>
      <c r="Z348">
        <v>5590</v>
      </c>
      <c r="AB348">
        <v>2.17</v>
      </c>
    </row>
    <row r="349" spans="1:28">
      <c r="A349" s="2">
        <f>HYPERLINK("https://finance.naver.com/item/coinfo.nhn?code=020400", "A020400")</f>
        <v>0</v>
      </c>
      <c r="B349">
        <f>HYPERLINK("http://comp.fnguide.com/SVO2/ASP/SVD_Consensus.asp?pGB=1&amp;gicode=A020400&amp;cID=&amp;MenuYn=Y&amp;ReportGB=&amp;NewMenuID=108&amp;stkGb=701", "대동금속")</f>
        <v>0</v>
      </c>
      <c r="C349">
        <v>3</v>
      </c>
      <c r="D349">
        <v>8830</v>
      </c>
      <c r="E349">
        <v>-400.3</v>
      </c>
      <c r="F349">
        <v>34191.36</v>
      </c>
      <c r="G349">
        <v>2431</v>
      </c>
      <c r="H349">
        <v>8942</v>
      </c>
      <c r="I349">
        <v>10798</v>
      </c>
      <c r="J349">
        <v>72.47</v>
      </c>
      <c r="K349">
        <v>-1.27</v>
      </c>
      <c r="L349">
        <v>-22.29</v>
      </c>
      <c r="M349">
        <v>1.46</v>
      </c>
      <c r="N349" t="b">
        <v>0</v>
      </c>
      <c r="O349">
        <v>0</v>
      </c>
      <c r="P349" t="s">
        <v>362</v>
      </c>
      <c r="Q349" t="s">
        <v>2550</v>
      </c>
      <c r="R349">
        <v>-85.41507780395334</v>
      </c>
      <c r="S349">
        <v>230</v>
      </c>
      <c r="T349">
        <v>8502</v>
      </c>
      <c r="U349" t="s">
        <v>4334</v>
      </c>
      <c r="V349">
        <v>64.54000000000001</v>
      </c>
      <c r="W349" t="s">
        <v>6554</v>
      </c>
      <c r="X349" t="s">
        <v>8708</v>
      </c>
      <c r="Y349">
        <v>885</v>
      </c>
      <c r="Z349">
        <v>33</v>
      </c>
      <c r="AB349">
        <v>0.59</v>
      </c>
    </row>
    <row r="350" spans="1:28">
      <c r="A350" s="2">
        <f>HYPERLINK("https://finance.naver.com/item/coinfo.nhn?code=008830", "A008830")</f>
        <v>0</v>
      </c>
      <c r="B350">
        <f>HYPERLINK("http://comp.fnguide.com/SVO2/ASP/SVD_Consensus.asp?pGB=1&amp;gicode=A008830&amp;cID=&amp;MenuYn=Y&amp;ReportGB=&amp;NewMenuID=108&amp;stkGb=701", "대동기어")</f>
        <v>0</v>
      </c>
      <c r="C350">
        <v>3</v>
      </c>
      <c r="D350">
        <v>3075</v>
      </c>
      <c r="G350">
        <v>110</v>
      </c>
      <c r="H350">
        <v>3881</v>
      </c>
      <c r="I350">
        <v>4956</v>
      </c>
      <c r="J350">
        <v>96.44</v>
      </c>
      <c r="K350">
        <v>-26.21</v>
      </c>
      <c r="L350">
        <v>-61.16</v>
      </c>
      <c r="M350">
        <v>0.14</v>
      </c>
      <c r="N350" t="b">
        <v>0</v>
      </c>
      <c r="O350">
        <v>-62</v>
      </c>
      <c r="P350" t="s">
        <v>363</v>
      </c>
      <c r="Q350" t="s">
        <v>2551</v>
      </c>
      <c r="R350">
        <v>426.3536263767924</v>
      </c>
      <c r="S350">
        <v>276</v>
      </c>
      <c r="T350">
        <v>9793</v>
      </c>
      <c r="U350" t="s">
        <v>4335</v>
      </c>
      <c r="V350">
        <v>60.23</v>
      </c>
      <c r="W350" t="s">
        <v>6555</v>
      </c>
      <c r="X350" t="s">
        <v>8709</v>
      </c>
      <c r="Y350">
        <v>1431</v>
      </c>
      <c r="Z350">
        <v>32</v>
      </c>
      <c r="AB350">
        <v>0.85</v>
      </c>
    </row>
    <row r="351" spans="1:28">
      <c r="A351" s="2">
        <f>HYPERLINK("https://finance.naver.com/item/coinfo.nhn?code=004780", "A004780")</f>
        <v>0</v>
      </c>
      <c r="B351">
        <f>HYPERLINK("http://comp.fnguide.com/SVO2/ASP/SVD_Consensus.asp?pGB=1&amp;gicode=A004780&amp;cID=&amp;MenuYn=Y&amp;ReportGB=&amp;NewMenuID=108&amp;stkGb=701", "대륙제관")</f>
        <v>0</v>
      </c>
      <c r="C351">
        <v>3</v>
      </c>
      <c r="D351">
        <v>4670</v>
      </c>
      <c r="E351">
        <v>32.04</v>
      </c>
      <c r="F351">
        <v>12.48</v>
      </c>
      <c r="G351">
        <v>4550</v>
      </c>
      <c r="H351">
        <v>5855</v>
      </c>
      <c r="I351">
        <v>6227</v>
      </c>
      <c r="J351">
        <v>2.57</v>
      </c>
      <c r="K351">
        <v>-25.38</v>
      </c>
      <c r="L351">
        <v>-33.34</v>
      </c>
      <c r="M351">
        <v>5.39</v>
      </c>
      <c r="N351" t="b">
        <v>1</v>
      </c>
      <c r="O351">
        <v>337</v>
      </c>
      <c r="P351" t="s">
        <v>364</v>
      </c>
      <c r="Q351" t="s">
        <v>2552</v>
      </c>
      <c r="R351">
        <v>0.3895257918196338</v>
      </c>
      <c r="S351">
        <v>743</v>
      </c>
      <c r="T351">
        <v>49957</v>
      </c>
      <c r="U351" t="s">
        <v>4336</v>
      </c>
      <c r="V351">
        <v>56.15</v>
      </c>
      <c r="W351" t="s">
        <v>6556</v>
      </c>
      <c r="X351" t="s">
        <v>8710</v>
      </c>
      <c r="Y351">
        <v>1973</v>
      </c>
      <c r="Z351">
        <v>84</v>
      </c>
      <c r="AB351">
        <v>2.38</v>
      </c>
    </row>
    <row r="352" spans="1:28">
      <c r="A352" s="2">
        <f>HYPERLINK("https://finance.naver.com/item/coinfo.nhn?code=035810", "A035810")</f>
        <v>0</v>
      </c>
      <c r="B352">
        <f>HYPERLINK("http://comp.fnguide.com/SVO2/ASP/SVD_Consensus.asp?pGB=1&amp;gicode=A035810&amp;cID=&amp;MenuYn=Y&amp;ReportGB=&amp;NewMenuID=108&amp;stkGb=701", "이지홀딩스")</f>
        <v>0</v>
      </c>
      <c r="C352">
        <v>3</v>
      </c>
      <c r="D352">
        <v>4035</v>
      </c>
      <c r="E352">
        <v>-33.68</v>
      </c>
      <c r="F352">
        <v>49.77</v>
      </c>
      <c r="G352">
        <v>4852</v>
      </c>
      <c r="H352">
        <v>6452</v>
      </c>
      <c r="I352">
        <v>6907</v>
      </c>
      <c r="J352">
        <v>-20.26</v>
      </c>
      <c r="K352">
        <v>-59.89</v>
      </c>
      <c r="L352">
        <v>-71.19</v>
      </c>
      <c r="M352">
        <v>5.15</v>
      </c>
      <c r="N352" t="b">
        <v>1</v>
      </c>
      <c r="O352">
        <v>100</v>
      </c>
      <c r="P352" t="s">
        <v>365</v>
      </c>
      <c r="Q352" t="s">
        <v>2553</v>
      </c>
      <c r="R352">
        <v>-1.47788683282718</v>
      </c>
      <c r="S352">
        <v>2245</v>
      </c>
      <c r="T352">
        <v>350711</v>
      </c>
      <c r="U352" t="s">
        <v>4337</v>
      </c>
      <c r="V352">
        <v>31.46</v>
      </c>
      <c r="W352" t="s">
        <v>6557</v>
      </c>
      <c r="X352" t="s">
        <v>8711</v>
      </c>
      <c r="Y352">
        <v>16149</v>
      </c>
      <c r="Z352">
        <v>416</v>
      </c>
      <c r="AB352">
        <v>1.01</v>
      </c>
    </row>
    <row r="353" spans="1:28">
      <c r="A353" s="2">
        <f>HYPERLINK("https://finance.naver.com/item/coinfo.nhn?code=017650", "A017650")</f>
        <v>0</v>
      </c>
      <c r="B353">
        <f>HYPERLINK("http://comp.fnguide.com/SVO2/ASP/SVD_Consensus.asp?pGB=1&amp;gicode=A017650&amp;cID=&amp;MenuYn=Y&amp;ReportGB=&amp;NewMenuID=108&amp;stkGb=701", "대림제지")</f>
        <v>0</v>
      </c>
      <c r="C353">
        <v>3</v>
      </c>
      <c r="D353">
        <v>9450</v>
      </c>
      <c r="E353">
        <v>-0.57</v>
      </c>
      <c r="F353">
        <v>22.49</v>
      </c>
      <c r="G353">
        <v>9417</v>
      </c>
      <c r="H353">
        <v>14162</v>
      </c>
      <c r="I353">
        <v>15514</v>
      </c>
      <c r="J353">
        <v>0.35</v>
      </c>
      <c r="K353">
        <v>-49.86</v>
      </c>
      <c r="L353">
        <v>-64.17</v>
      </c>
      <c r="M353">
        <v>4.33</v>
      </c>
      <c r="N353" t="b">
        <v>1</v>
      </c>
      <c r="O353">
        <v>279</v>
      </c>
      <c r="P353" t="s">
        <v>366</v>
      </c>
      <c r="Q353" t="s">
        <v>2554</v>
      </c>
      <c r="R353">
        <v>-39.19539491124049</v>
      </c>
      <c r="S353">
        <v>851</v>
      </c>
      <c r="T353">
        <v>526721</v>
      </c>
      <c r="U353" t="s">
        <v>4338</v>
      </c>
      <c r="V353">
        <v>61.89</v>
      </c>
      <c r="W353" t="s">
        <v>6558</v>
      </c>
      <c r="X353" t="s">
        <v>8712</v>
      </c>
      <c r="Y353">
        <v>1059</v>
      </c>
      <c r="Z353">
        <v>59</v>
      </c>
      <c r="AA353">
        <v>140000</v>
      </c>
    </row>
    <row r="354" spans="1:28">
      <c r="A354" s="2">
        <f>HYPERLINK("https://finance.naver.com/item/coinfo.nhn?code=007720", "A007720")</f>
        <v>0</v>
      </c>
      <c r="B354">
        <f>HYPERLINK("http://comp.fnguide.com/SVO2/ASP/SVD_Consensus.asp?pGB=1&amp;gicode=A007720&amp;cID=&amp;MenuYn=Y&amp;ReportGB=&amp;NewMenuID=108&amp;stkGb=701", "대명소노시즌")</f>
        <v>0</v>
      </c>
      <c r="C354">
        <v>3</v>
      </c>
      <c r="D354">
        <v>1090</v>
      </c>
      <c r="E354">
        <v>0</v>
      </c>
      <c r="F354">
        <v>2.37</v>
      </c>
      <c r="G354">
        <v>5274</v>
      </c>
      <c r="H354">
        <v>3092</v>
      </c>
      <c r="I354">
        <v>2471</v>
      </c>
      <c r="J354">
        <v>-383.84</v>
      </c>
      <c r="K354">
        <v>-183.69</v>
      </c>
      <c r="L354">
        <v>-126.66</v>
      </c>
      <c r="M354">
        <v>25.58</v>
      </c>
      <c r="N354" t="b">
        <v>1</v>
      </c>
      <c r="O354">
        <v>633</v>
      </c>
      <c r="P354" t="s">
        <v>367</v>
      </c>
      <c r="Q354" t="s">
        <v>2276</v>
      </c>
      <c r="R354">
        <v>0</v>
      </c>
      <c r="S354">
        <v>1099</v>
      </c>
      <c r="T354">
        <v>632363</v>
      </c>
      <c r="U354" t="s">
        <v>4339</v>
      </c>
      <c r="V354">
        <v>44.44</v>
      </c>
      <c r="W354" t="s">
        <v>6559</v>
      </c>
      <c r="X354" t="s">
        <v>8713</v>
      </c>
      <c r="Y354">
        <v>2186</v>
      </c>
      <c r="Z354">
        <v>39</v>
      </c>
    </row>
    <row r="355" spans="1:28">
      <c r="A355" s="2">
        <f>HYPERLINK("https://finance.naver.com/item/coinfo.nhn?code=317850", "A317850")</f>
        <v>0</v>
      </c>
      <c r="B355">
        <f>HYPERLINK("http://comp.fnguide.com/SVO2/ASP/SVD_Consensus.asp?pGB=1&amp;gicode=A317850&amp;cID=&amp;MenuYn=Y&amp;ReportGB=&amp;NewMenuID=108&amp;stkGb=701", "대모")</f>
        <v>0</v>
      </c>
      <c r="C355">
        <v>3</v>
      </c>
      <c r="D355">
        <v>4625</v>
      </c>
      <c r="E355">
        <v>-1.19</v>
      </c>
      <c r="F355">
        <v>27.52</v>
      </c>
      <c r="G355">
        <v>3549</v>
      </c>
      <c r="H355">
        <v>4549</v>
      </c>
      <c r="I355">
        <v>4834</v>
      </c>
      <c r="J355">
        <v>23.27</v>
      </c>
      <c r="K355">
        <v>1.64</v>
      </c>
      <c r="L355">
        <v>-4.52</v>
      </c>
      <c r="M355">
        <v>5.42</v>
      </c>
      <c r="N355" t="b">
        <v>1</v>
      </c>
      <c r="O355">
        <v>235</v>
      </c>
      <c r="P355" t="s">
        <v>368</v>
      </c>
      <c r="Q355" t="s">
        <v>2555</v>
      </c>
      <c r="R355">
        <v>-23.14796372667999</v>
      </c>
      <c r="S355">
        <v>385</v>
      </c>
      <c r="T355">
        <v>19581</v>
      </c>
      <c r="U355" t="s">
        <v>4340</v>
      </c>
      <c r="V355">
        <v>29.26</v>
      </c>
      <c r="W355" t="s">
        <v>6560</v>
      </c>
      <c r="X355" t="s">
        <v>8714</v>
      </c>
      <c r="Y355">
        <v>450</v>
      </c>
      <c r="Z355">
        <v>10</v>
      </c>
      <c r="AB355">
        <v>1.08</v>
      </c>
    </row>
    <row r="356" spans="1:28">
      <c r="A356" s="2">
        <f>HYPERLINK("https://finance.naver.com/item/coinfo.nhn?code=067920", "A067920")</f>
        <v>0</v>
      </c>
      <c r="B356">
        <f>HYPERLINK("http://comp.fnguide.com/SVO2/ASP/SVD_Consensus.asp?pGB=1&amp;gicode=A067920&amp;cID=&amp;MenuYn=Y&amp;ReportGB=&amp;NewMenuID=108&amp;stkGb=701", "이글루시큐리티")</f>
        <v>0</v>
      </c>
      <c r="C356">
        <v>3</v>
      </c>
      <c r="D356">
        <v>4660</v>
      </c>
      <c r="E356">
        <v>-1.26</v>
      </c>
      <c r="F356">
        <v>23.41</v>
      </c>
      <c r="G356">
        <v>6859</v>
      </c>
      <c r="H356">
        <v>5897</v>
      </c>
      <c r="I356">
        <v>5623</v>
      </c>
      <c r="J356">
        <v>-47.19</v>
      </c>
      <c r="K356">
        <v>-26.54</v>
      </c>
      <c r="L356">
        <v>-20.66</v>
      </c>
      <c r="M356">
        <v>10.4</v>
      </c>
      <c r="N356" t="b">
        <v>1</v>
      </c>
      <c r="O356">
        <v>187</v>
      </c>
      <c r="P356" t="s">
        <v>369</v>
      </c>
      <c r="Q356" t="s">
        <v>2556</v>
      </c>
      <c r="R356">
        <v>-18.61695362807482</v>
      </c>
      <c r="S356">
        <v>512</v>
      </c>
      <c r="T356">
        <v>49747</v>
      </c>
      <c r="U356" t="s">
        <v>4341</v>
      </c>
      <c r="V356">
        <v>22.18</v>
      </c>
      <c r="W356" t="s">
        <v>6561</v>
      </c>
      <c r="X356" t="s">
        <v>8715</v>
      </c>
      <c r="Y356">
        <v>756</v>
      </c>
      <c r="Z356">
        <v>17</v>
      </c>
      <c r="AA356">
        <v>1810000</v>
      </c>
      <c r="AB356">
        <v>3.2</v>
      </c>
    </row>
    <row r="357" spans="1:28">
      <c r="A357" s="2">
        <f>HYPERLINK("https://finance.naver.com/item/coinfo.nhn?code=039020", "A039020")</f>
        <v>0</v>
      </c>
      <c r="B357">
        <f>HYPERLINK("http://comp.fnguide.com/SVO2/ASP/SVD_Consensus.asp?pGB=1&amp;gicode=A039020&amp;cID=&amp;MenuYn=Y&amp;ReportGB=&amp;NewMenuID=108&amp;stkGb=701", "이건홀딩스")</f>
        <v>0</v>
      </c>
      <c r="C357">
        <v>3</v>
      </c>
      <c r="D357">
        <v>2585</v>
      </c>
      <c r="E357">
        <v>-1.15</v>
      </c>
      <c r="F357">
        <v>14.74</v>
      </c>
      <c r="G357">
        <v>5256</v>
      </c>
      <c r="H357">
        <v>6253</v>
      </c>
      <c r="I357">
        <v>6538</v>
      </c>
      <c r="J357">
        <v>-103.32</v>
      </c>
      <c r="K357">
        <v>-141.91</v>
      </c>
      <c r="L357">
        <v>-152.91</v>
      </c>
      <c r="M357">
        <v>6.06</v>
      </c>
      <c r="N357" t="b">
        <v>1</v>
      </c>
      <c r="O357">
        <v>179</v>
      </c>
      <c r="P357" t="s">
        <v>370</v>
      </c>
      <c r="Q357" t="s">
        <v>2557</v>
      </c>
      <c r="R357">
        <v>-12.79730968797443</v>
      </c>
      <c r="S357">
        <v>584</v>
      </c>
      <c r="T357">
        <v>133308</v>
      </c>
      <c r="U357" t="s">
        <v>4342</v>
      </c>
      <c r="V357">
        <v>53.15</v>
      </c>
      <c r="W357" t="s">
        <v>6562</v>
      </c>
      <c r="X357" t="s">
        <v>8716</v>
      </c>
      <c r="Y357">
        <v>4703</v>
      </c>
      <c r="Z357">
        <v>166</v>
      </c>
      <c r="AA357">
        <v>925488</v>
      </c>
      <c r="AB357">
        <v>2.66</v>
      </c>
    </row>
    <row r="358" spans="1:28">
      <c r="A358" s="2">
        <f>HYPERLINK("https://finance.naver.com/item/coinfo.nhn?code=191410", "A191410")</f>
        <v>0</v>
      </c>
      <c r="B358">
        <f>HYPERLINK("http://comp.fnguide.com/SVO2/ASP/SVD_Consensus.asp?pGB=1&amp;gicode=A191410&amp;cID=&amp;MenuYn=Y&amp;ReportGB=&amp;NewMenuID=108&amp;stkGb=701", "육일씨엔에쓰")</f>
        <v>0</v>
      </c>
      <c r="C358">
        <v>3</v>
      </c>
      <c r="D358">
        <v>2915</v>
      </c>
      <c r="G358">
        <v>5029</v>
      </c>
      <c r="H358">
        <v>4375</v>
      </c>
      <c r="I358">
        <v>4189</v>
      </c>
      <c r="J358">
        <v>-72.52</v>
      </c>
      <c r="K358">
        <v>-50.1</v>
      </c>
      <c r="L358">
        <v>-43.71</v>
      </c>
      <c r="M358">
        <v>10.17</v>
      </c>
      <c r="N358" t="b">
        <v>0</v>
      </c>
      <c r="O358">
        <v>-666</v>
      </c>
      <c r="P358" t="s">
        <v>371</v>
      </c>
      <c r="Q358" t="s">
        <v>2558</v>
      </c>
      <c r="R358">
        <v>-98.5</v>
      </c>
      <c r="S358">
        <v>273</v>
      </c>
      <c r="T358">
        <v>37085</v>
      </c>
      <c r="U358" t="s">
        <v>4343</v>
      </c>
      <c r="V358">
        <v>50.27</v>
      </c>
      <c r="W358" t="s">
        <v>6563</v>
      </c>
      <c r="X358" t="s">
        <v>8717</v>
      </c>
      <c r="Y358">
        <v>616</v>
      </c>
      <c r="Z358">
        <v>-92</v>
      </c>
    </row>
    <row r="359" spans="1:28">
      <c r="A359" s="2">
        <f>HYPERLINK("https://finance.naver.com/item/coinfo.nhn?code=108380", "A108380")</f>
        <v>0</v>
      </c>
      <c r="B359">
        <f>HYPERLINK("http://comp.fnguide.com/SVO2/ASP/SVD_Consensus.asp?pGB=1&amp;gicode=A108380&amp;cID=&amp;MenuYn=Y&amp;ReportGB=&amp;NewMenuID=108&amp;stkGb=701", "대양전기공업")</f>
        <v>0</v>
      </c>
      <c r="C359">
        <v>3</v>
      </c>
      <c r="D359">
        <v>15200</v>
      </c>
      <c r="E359">
        <v>-1</v>
      </c>
      <c r="F359">
        <v>10.64</v>
      </c>
      <c r="G359">
        <v>18090</v>
      </c>
      <c r="H359">
        <v>20682</v>
      </c>
      <c r="I359">
        <v>21421</v>
      </c>
      <c r="J359">
        <v>-19.01</v>
      </c>
      <c r="K359">
        <v>-36.07</v>
      </c>
      <c r="L359">
        <v>-40.93</v>
      </c>
      <c r="M359">
        <v>6.43</v>
      </c>
      <c r="N359" t="b">
        <v>1</v>
      </c>
      <c r="O359">
        <v>1306</v>
      </c>
      <c r="P359" t="s">
        <v>372</v>
      </c>
      <c r="Q359" t="s">
        <v>2559</v>
      </c>
      <c r="R359">
        <v>-10.63936689621633</v>
      </c>
      <c r="S359">
        <v>1454</v>
      </c>
      <c r="T359">
        <v>75779</v>
      </c>
      <c r="U359" t="s">
        <v>4344</v>
      </c>
      <c r="V359">
        <v>59.85</v>
      </c>
      <c r="W359" t="s">
        <v>6564</v>
      </c>
      <c r="X359" t="s">
        <v>8718</v>
      </c>
      <c r="Y359">
        <v>1769</v>
      </c>
      <c r="Z359">
        <v>149</v>
      </c>
      <c r="AA359">
        <v>283555</v>
      </c>
      <c r="AB359">
        <v>1.44</v>
      </c>
    </row>
    <row r="360" spans="1:28">
      <c r="A360" s="2">
        <f>HYPERLINK("https://finance.naver.com/item/coinfo.nhn?code=006580", "A006580")</f>
        <v>0</v>
      </c>
      <c r="B360">
        <f>HYPERLINK("http://comp.fnguide.com/SVO2/ASP/SVD_Consensus.asp?pGB=1&amp;gicode=A006580&amp;cID=&amp;MenuYn=Y&amp;ReportGB=&amp;NewMenuID=108&amp;stkGb=701", "대양제지")</f>
        <v>0</v>
      </c>
      <c r="C360">
        <v>3</v>
      </c>
      <c r="D360">
        <v>3075</v>
      </c>
      <c r="E360">
        <v>-0.15</v>
      </c>
      <c r="F360">
        <v>3.71</v>
      </c>
      <c r="G360">
        <v>16143</v>
      </c>
      <c r="H360">
        <v>10356</v>
      </c>
      <c r="I360">
        <v>8707</v>
      </c>
      <c r="J360">
        <v>-424.98</v>
      </c>
      <c r="K360">
        <v>-236.78</v>
      </c>
      <c r="L360">
        <v>-183.15</v>
      </c>
      <c r="M360">
        <v>19.76</v>
      </c>
      <c r="N360" t="b">
        <v>1</v>
      </c>
      <c r="O360">
        <v>876</v>
      </c>
      <c r="P360" t="s">
        <v>373</v>
      </c>
      <c r="Q360" t="s">
        <v>2560</v>
      </c>
      <c r="R360">
        <v>-24.73214497542792</v>
      </c>
      <c r="S360">
        <v>826</v>
      </c>
      <c r="T360">
        <v>1168818</v>
      </c>
      <c r="U360" t="s">
        <v>4345</v>
      </c>
      <c r="V360">
        <v>53.58</v>
      </c>
      <c r="W360" t="s">
        <v>6565</v>
      </c>
      <c r="X360" t="s">
        <v>8719</v>
      </c>
      <c r="Y360">
        <v>2594</v>
      </c>
      <c r="Z360">
        <v>327</v>
      </c>
      <c r="AA360">
        <v>6193269</v>
      </c>
      <c r="AB360">
        <v>1.23</v>
      </c>
    </row>
    <row r="361" spans="1:28">
      <c r="A361" s="2">
        <f>HYPERLINK("https://finance.naver.com/item/coinfo.nhn?code=007680", "A007680")</f>
        <v>0</v>
      </c>
      <c r="B361">
        <f>HYPERLINK("http://comp.fnguide.com/SVO2/ASP/SVD_Consensus.asp?pGB=1&amp;gicode=A007680&amp;cID=&amp;MenuYn=Y&amp;ReportGB=&amp;NewMenuID=108&amp;stkGb=701", "대원")</f>
        <v>0</v>
      </c>
      <c r="C361">
        <v>3</v>
      </c>
      <c r="D361">
        <v>9150</v>
      </c>
      <c r="E361">
        <v>-0.46</v>
      </c>
      <c r="F361">
        <v>13.3</v>
      </c>
      <c r="G361">
        <v>22003</v>
      </c>
      <c r="H361">
        <v>23312</v>
      </c>
      <c r="I361">
        <v>23685</v>
      </c>
      <c r="J361">
        <v>-140.47</v>
      </c>
      <c r="K361">
        <v>-154.78</v>
      </c>
      <c r="L361">
        <v>-158.86</v>
      </c>
      <c r="M361">
        <v>7.25</v>
      </c>
      <c r="N361" t="b">
        <v>0</v>
      </c>
      <c r="O361">
        <v>842</v>
      </c>
      <c r="P361" t="s">
        <v>374</v>
      </c>
      <c r="Q361" t="s">
        <v>2561</v>
      </c>
      <c r="R361">
        <v>-28.91132369057691</v>
      </c>
      <c r="S361">
        <v>1073</v>
      </c>
      <c r="T361">
        <v>19336</v>
      </c>
      <c r="U361" t="s">
        <v>4346</v>
      </c>
      <c r="V361">
        <v>78.53</v>
      </c>
      <c r="W361" t="s">
        <v>6566</v>
      </c>
      <c r="X361" t="s">
        <v>8720</v>
      </c>
      <c r="Y361">
        <v>2486</v>
      </c>
      <c r="Z361">
        <v>125</v>
      </c>
      <c r="AA361">
        <v>160000</v>
      </c>
      <c r="AB361">
        <v>2.23</v>
      </c>
    </row>
    <row r="362" spans="1:28">
      <c r="A362" s="2">
        <f>HYPERLINK("https://finance.naver.com/item/coinfo.nhn?code=005710", "A005710")</f>
        <v>0</v>
      </c>
      <c r="B362">
        <f>HYPERLINK("http://comp.fnguide.com/SVO2/ASP/SVD_Consensus.asp?pGB=1&amp;gicode=A005710&amp;cID=&amp;MenuYn=Y&amp;ReportGB=&amp;NewMenuID=108&amp;stkGb=701", "대원산업")</f>
        <v>0</v>
      </c>
      <c r="C362">
        <v>3</v>
      </c>
      <c r="D362">
        <v>5630</v>
      </c>
      <c r="E362">
        <v>0.05</v>
      </c>
      <c r="F362">
        <v>3.04</v>
      </c>
      <c r="G362">
        <v>24572</v>
      </c>
      <c r="H362">
        <v>19146</v>
      </c>
      <c r="I362">
        <v>17600</v>
      </c>
      <c r="J362">
        <v>-336.45</v>
      </c>
      <c r="K362">
        <v>-240.07</v>
      </c>
      <c r="L362">
        <v>-212.6</v>
      </c>
      <c r="M362">
        <v>12.6</v>
      </c>
      <c r="N362" t="b">
        <v>1</v>
      </c>
      <c r="O362">
        <v>1950</v>
      </c>
      <c r="P362" t="s">
        <v>375</v>
      </c>
      <c r="Q362" t="s">
        <v>2562</v>
      </c>
      <c r="R362">
        <v>57.31239633791885</v>
      </c>
      <c r="S362">
        <v>1128</v>
      </c>
      <c r="T362">
        <v>18725</v>
      </c>
      <c r="U362" t="s">
        <v>4347</v>
      </c>
      <c r="V362">
        <v>61.55</v>
      </c>
      <c r="W362" t="s">
        <v>6567</v>
      </c>
      <c r="X362" t="s">
        <v>8721</v>
      </c>
      <c r="Y362">
        <v>6610</v>
      </c>
      <c r="Z362">
        <v>263</v>
      </c>
      <c r="AB362">
        <v>2.11</v>
      </c>
    </row>
    <row r="363" spans="1:28">
      <c r="A363" s="2">
        <f>HYPERLINK("https://finance.naver.com/item/coinfo.nhn?code=140520", "A140520")</f>
        <v>0</v>
      </c>
      <c r="B363">
        <f>HYPERLINK("http://comp.fnguide.com/SVO2/ASP/SVD_Consensus.asp?pGB=1&amp;gicode=A140520&amp;cID=&amp;MenuYn=Y&amp;ReportGB=&amp;NewMenuID=108&amp;stkGb=701", "대창스틸")</f>
        <v>0</v>
      </c>
      <c r="C363">
        <v>3</v>
      </c>
      <c r="D363">
        <v>2295</v>
      </c>
      <c r="E363">
        <v>0</v>
      </c>
      <c r="G363">
        <v>162</v>
      </c>
      <c r="H363">
        <v>2880</v>
      </c>
      <c r="I363">
        <v>3654</v>
      </c>
      <c r="J363">
        <v>92.95999999999999</v>
      </c>
      <c r="K363">
        <v>-25.47</v>
      </c>
      <c r="L363">
        <v>-59.22</v>
      </c>
      <c r="M363">
        <v>0.27</v>
      </c>
      <c r="N363" t="b">
        <v>0</v>
      </c>
      <c r="O363">
        <v>-35</v>
      </c>
      <c r="P363" t="s">
        <v>376</v>
      </c>
      <c r="Q363" t="s">
        <v>2276</v>
      </c>
      <c r="R363">
        <v>0</v>
      </c>
      <c r="S363">
        <v>459</v>
      </c>
      <c r="T363">
        <v>100181</v>
      </c>
      <c r="U363" t="s">
        <v>4348</v>
      </c>
      <c r="V363">
        <v>65.92</v>
      </c>
      <c r="W363" t="s">
        <v>6568</v>
      </c>
      <c r="X363" t="s">
        <v>8722</v>
      </c>
      <c r="Y363">
        <v>1976</v>
      </c>
      <c r="Z363">
        <v>41</v>
      </c>
      <c r="AA363">
        <v>1407</v>
      </c>
      <c r="AB363">
        <v>4.08</v>
      </c>
    </row>
    <row r="364" spans="1:28">
      <c r="A364" s="2">
        <f>HYPERLINK("https://finance.naver.com/item/coinfo.nhn?code=063760", "A063760")</f>
        <v>0</v>
      </c>
      <c r="B364">
        <f>HYPERLINK("http://comp.fnguide.com/SVO2/ASP/SVD_Consensus.asp?pGB=1&amp;gicode=A063760&amp;cID=&amp;MenuYn=Y&amp;ReportGB=&amp;NewMenuID=108&amp;stkGb=701", "이엘피")</f>
        <v>0</v>
      </c>
      <c r="C364">
        <v>3</v>
      </c>
      <c r="D364">
        <v>9670</v>
      </c>
      <c r="E364">
        <v>0.7</v>
      </c>
      <c r="F364">
        <v>14.4</v>
      </c>
      <c r="G364">
        <v>35677</v>
      </c>
      <c r="H364">
        <v>23755</v>
      </c>
      <c r="I364">
        <v>20357</v>
      </c>
      <c r="J364">
        <v>-268.95</v>
      </c>
      <c r="K364">
        <v>-145.65</v>
      </c>
      <c r="L364">
        <v>-110.52</v>
      </c>
      <c r="M364">
        <v>17.96</v>
      </c>
      <c r="N364" t="b">
        <v>1</v>
      </c>
      <c r="O364">
        <v>830</v>
      </c>
      <c r="P364" t="s">
        <v>377</v>
      </c>
      <c r="Q364" t="s">
        <v>2563</v>
      </c>
      <c r="R364">
        <v>20.65367337843058</v>
      </c>
      <c r="S364">
        <v>475</v>
      </c>
      <c r="T364">
        <v>47698</v>
      </c>
      <c r="U364" t="s">
        <v>4349</v>
      </c>
      <c r="V364">
        <v>22.33</v>
      </c>
      <c r="W364" t="s">
        <v>6569</v>
      </c>
      <c r="X364" t="s">
        <v>8723</v>
      </c>
      <c r="Y364">
        <v>373</v>
      </c>
      <c r="Z364">
        <v>31</v>
      </c>
      <c r="AA364">
        <v>495870</v>
      </c>
      <c r="AB364">
        <v>1</v>
      </c>
    </row>
    <row r="365" spans="1:28">
      <c r="A365" s="2">
        <f>HYPERLINK("https://finance.naver.com/item/coinfo.nhn?code=042420", "A042420")</f>
        <v>0</v>
      </c>
      <c r="B365">
        <f>HYPERLINK("http://comp.fnguide.com/SVO2/ASP/SVD_Consensus.asp?pGB=1&amp;gicode=A042420&amp;cID=&amp;MenuYn=Y&amp;ReportGB=&amp;NewMenuID=108&amp;stkGb=701", "네오위즈홀딩스")</f>
        <v>0</v>
      </c>
      <c r="C365">
        <v>3</v>
      </c>
      <c r="D365">
        <v>16500</v>
      </c>
      <c r="E365">
        <v>0.12</v>
      </c>
      <c r="F365">
        <v>6.01</v>
      </c>
      <c r="G365">
        <v>30133</v>
      </c>
      <c r="H365">
        <v>38336</v>
      </c>
      <c r="I365">
        <v>40673</v>
      </c>
      <c r="J365">
        <v>-82.63</v>
      </c>
      <c r="K365">
        <v>-132.34</v>
      </c>
      <c r="L365">
        <v>-146.5</v>
      </c>
      <c r="M365">
        <v>5.48</v>
      </c>
      <c r="N365" t="b">
        <v>1</v>
      </c>
      <c r="O365">
        <v>2345</v>
      </c>
      <c r="P365" t="s">
        <v>378</v>
      </c>
      <c r="Q365" t="s">
        <v>2564</v>
      </c>
      <c r="R365">
        <v>51.09070123604565</v>
      </c>
      <c r="S365">
        <v>1461</v>
      </c>
      <c r="T365">
        <v>31715</v>
      </c>
      <c r="U365" t="s">
        <v>4350</v>
      </c>
      <c r="V365">
        <v>42.57</v>
      </c>
      <c r="W365" t="s">
        <v>6570</v>
      </c>
      <c r="X365" t="s">
        <v>8724</v>
      </c>
      <c r="Y365">
        <v>2539</v>
      </c>
      <c r="Z365">
        <v>294</v>
      </c>
      <c r="AA365">
        <v>1461659</v>
      </c>
      <c r="AB365">
        <v>0.87</v>
      </c>
    </row>
    <row r="366" spans="1:28">
      <c r="A366" s="2">
        <f>HYPERLINK("https://finance.naver.com/item/coinfo.nhn?code=023910", "A023910")</f>
        <v>0</v>
      </c>
      <c r="B366">
        <f>HYPERLINK("http://comp.fnguide.com/SVO2/ASP/SVD_Consensus.asp?pGB=1&amp;gicode=A023910&amp;cID=&amp;MenuYn=Y&amp;ReportGB=&amp;NewMenuID=108&amp;stkGb=701", "대한약품")</f>
        <v>0</v>
      </c>
      <c r="C366">
        <v>3</v>
      </c>
      <c r="D366">
        <v>30600</v>
      </c>
      <c r="E366">
        <v>0.51</v>
      </c>
      <c r="F366">
        <v>6.74</v>
      </c>
      <c r="G366">
        <v>71692</v>
      </c>
      <c r="H366">
        <v>45320</v>
      </c>
      <c r="I366">
        <v>37805</v>
      </c>
      <c r="J366">
        <v>-134.29</v>
      </c>
      <c r="K366">
        <v>-48.1</v>
      </c>
      <c r="L366">
        <v>-23.55</v>
      </c>
      <c r="M366">
        <v>20.55</v>
      </c>
      <c r="N366" t="b">
        <v>1</v>
      </c>
      <c r="O366">
        <v>4694</v>
      </c>
      <c r="P366" t="s">
        <v>379</v>
      </c>
      <c r="Q366" t="s">
        <v>2565</v>
      </c>
      <c r="R366">
        <v>13.12017680240059</v>
      </c>
      <c r="S366">
        <v>1836</v>
      </c>
      <c r="T366">
        <v>44174</v>
      </c>
      <c r="U366" t="s">
        <v>4351</v>
      </c>
      <c r="V366">
        <v>34.95</v>
      </c>
      <c r="W366" t="s">
        <v>6571</v>
      </c>
      <c r="X366" t="s">
        <v>8725</v>
      </c>
      <c r="Y366">
        <v>1688</v>
      </c>
      <c r="Z366">
        <v>336</v>
      </c>
      <c r="AB366">
        <v>1.26</v>
      </c>
    </row>
    <row r="367" spans="1:28">
      <c r="A367" s="2">
        <f>HYPERLINK("https://finance.naver.com/item/coinfo.nhn?code=115310", "A115310")</f>
        <v>0</v>
      </c>
      <c r="B367">
        <f>HYPERLINK("http://comp.fnguide.com/SVO2/ASP/SVD_Consensus.asp?pGB=1&amp;gicode=A115310&amp;cID=&amp;MenuYn=Y&amp;ReportGB=&amp;NewMenuID=108&amp;stkGb=701", "인포바인")</f>
        <v>0</v>
      </c>
      <c r="C367">
        <v>3</v>
      </c>
      <c r="D367">
        <v>18900</v>
      </c>
      <c r="E367">
        <v>-1.17</v>
      </c>
      <c r="F367">
        <v>7.61</v>
      </c>
      <c r="G367">
        <v>60541</v>
      </c>
      <c r="H367">
        <v>47974</v>
      </c>
      <c r="I367">
        <v>44393</v>
      </c>
      <c r="J367">
        <v>-220.32</v>
      </c>
      <c r="K367">
        <v>-153.83</v>
      </c>
      <c r="L367">
        <v>-134.89</v>
      </c>
      <c r="M367">
        <v>12.18</v>
      </c>
      <c r="N367" t="b">
        <v>1</v>
      </c>
      <c r="O367">
        <v>2817</v>
      </c>
      <c r="P367" t="s">
        <v>380</v>
      </c>
      <c r="Q367" t="s">
        <v>2566</v>
      </c>
      <c r="R367">
        <v>-6.481430546963185</v>
      </c>
      <c r="S367">
        <v>603</v>
      </c>
      <c r="T367">
        <v>1714</v>
      </c>
      <c r="U367" t="s">
        <v>4352</v>
      </c>
      <c r="V367">
        <v>17.43</v>
      </c>
      <c r="W367" t="s">
        <v>6572</v>
      </c>
      <c r="X367" t="s">
        <v>8726</v>
      </c>
      <c r="Y367">
        <v>193</v>
      </c>
      <c r="Z367">
        <v>95</v>
      </c>
      <c r="AA367">
        <v>1050332</v>
      </c>
      <c r="AB367">
        <v>4.2</v>
      </c>
    </row>
    <row r="368" spans="1:28">
      <c r="A368" s="2">
        <f>HYPERLINK("https://finance.naver.com/item/coinfo.nhn?code=051390", "A051390")</f>
        <v>0</v>
      </c>
      <c r="B368">
        <f>HYPERLINK("http://comp.fnguide.com/SVO2/ASP/SVD_Consensus.asp?pGB=1&amp;gicode=A051390&amp;cID=&amp;MenuYn=Y&amp;ReportGB=&amp;NewMenuID=108&amp;stkGb=701", "YW")</f>
        <v>0</v>
      </c>
      <c r="C368">
        <v>3</v>
      </c>
      <c r="D368">
        <v>3740</v>
      </c>
      <c r="E368">
        <v>4.77</v>
      </c>
      <c r="F368">
        <v>21.63</v>
      </c>
      <c r="G368">
        <v>3216</v>
      </c>
      <c r="H368">
        <v>6251</v>
      </c>
      <c r="I368">
        <v>7116</v>
      </c>
      <c r="J368">
        <v>14.02</v>
      </c>
      <c r="K368">
        <v>-67.14</v>
      </c>
      <c r="L368">
        <v>-90.26000000000001</v>
      </c>
      <c r="M368">
        <v>3.1</v>
      </c>
      <c r="N368" t="b">
        <v>1</v>
      </c>
      <c r="O368">
        <v>174</v>
      </c>
      <c r="P368" t="s">
        <v>381</v>
      </c>
      <c r="Q368" t="s">
        <v>2567</v>
      </c>
      <c r="R368">
        <v>4.536944541746624</v>
      </c>
      <c r="S368">
        <v>425</v>
      </c>
      <c r="T368">
        <v>25748</v>
      </c>
      <c r="U368" t="s">
        <v>4353</v>
      </c>
      <c r="V368">
        <v>23.3</v>
      </c>
      <c r="W368" t="s">
        <v>6573</v>
      </c>
      <c r="X368" t="s">
        <v>8727</v>
      </c>
      <c r="Y368">
        <v>192</v>
      </c>
      <c r="Z368">
        <v>28</v>
      </c>
      <c r="AA368">
        <v>2743300</v>
      </c>
      <c r="AB368">
        <v>1.33</v>
      </c>
    </row>
    <row r="369" spans="1:28">
      <c r="A369" s="2">
        <f>HYPERLINK("https://finance.naver.com/item/coinfo.nhn?code=078890", "A078890")</f>
        <v>0</v>
      </c>
      <c r="B369">
        <f>HYPERLINK("http://comp.fnguide.com/SVO2/ASP/SVD_Consensus.asp?pGB=1&amp;gicode=A078890&amp;cID=&amp;MenuYn=Y&amp;ReportGB=&amp;NewMenuID=108&amp;stkGb=701", "가온미디어")</f>
        <v>0</v>
      </c>
      <c r="C369">
        <v>3</v>
      </c>
      <c r="D369">
        <v>6350</v>
      </c>
      <c r="E369">
        <v>-0.46</v>
      </c>
      <c r="F369">
        <v>6.87</v>
      </c>
      <c r="G369">
        <v>11386</v>
      </c>
      <c r="H369">
        <v>11129</v>
      </c>
      <c r="I369">
        <v>11055</v>
      </c>
      <c r="J369">
        <v>-79.31</v>
      </c>
      <c r="K369">
        <v>-75.25</v>
      </c>
      <c r="L369">
        <v>-74.09999999999999</v>
      </c>
      <c r="M369">
        <v>8.279999999999999</v>
      </c>
      <c r="N369" t="b">
        <v>1</v>
      </c>
      <c r="O369">
        <v>1200</v>
      </c>
      <c r="P369" t="s">
        <v>382</v>
      </c>
      <c r="Q369" t="s">
        <v>2568</v>
      </c>
      <c r="R369">
        <v>-14.83831993754167</v>
      </c>
      <c r="S369">
        <v>957</v>
      </c>
      <c r="T369">
        <v>187020</v>
      </c>
      <c r="U369" t="s">
        <v>4354</v>
      </c>
      <c r="V369">
        <v>16.06</v>
      </c>
      <c r="W369" t="s">
        <v>6574</v>
      </c>
      <c r="X369" t="s">
        <v>8728</v>
      </c>
      <c r="Y369">
        <v>6010</v>
      </c>
      <c r="Z369">
        <v>291</v>
      </c>
      <c r="AA369">
        <v>664245</v>
      </c>
      <c r="AB369">
        <v>1.19</v>
      </c>
    </row>
    <row r="370" spans="1:28">
      <c r="A370" s="2">
        <f>HYPERLINK("https://finance.naver.com/item/coinfo.nhn?code=039240", "A039240")</f>
        <v>0</v>
      </c>
      <c r="B370">
        <f>HYPERLINK("http://comp.fnguide.com/SVO2/ASP/SVD_Consensus.asp?pGB=1&amp;gicode=A039240&amp;cID=&amp;MenuYn=Y&amp;ReportGB=&amp;NewMenuID=108&amp;stkGb=701", "경남스틸")</f>
        <v>0</v>
      </c>
      <c r="C370">
        <v>3</v>
      </c>
      <c r="D370">
        <v>1975</v>
      </c>
      <c r="E370">
        <v>-0.55</v>
      </c>
      <c r="F370">
        <v>9.619999999999999</v>
      </c>
      <c r="G370">
        <v>2521</v>
      </c>
      <c r="H370">
        <v>3102</v>
      </c>
      <c r="I370">
        <v>3268</v>
      </c>
      <c r="J370">
        <v>-27.64</v>
      </c>
      <c r="K370">
        <v>-57.06</v>
      </c>
      <c r="L370">
        <v>-65.44</v>
      </c>
      <c r="M370">
        <v>5.76</v>
      </c>
      <c r="N370" t="b">
        <v>1</v>
      </c>
      <c r="O370">
        <v>186</v>
      </c>
      <c r="P370" t="s">
        <v>383</v>
      </c>
      <c r="Q370" t="s">
        <v>2569</v>
      </c>
      <c r="R370">
        <v>-17.37854928380367</v>
      </c>
      <c r="S370">
        <v>494</v>
      </c>
      <c r="T370">
        <v>279429</v>
      </c>
      <c r="U370" t="s">
        <v>4355</v>
      </c>
      <c r="V370">
        <v>47.49</v>
      </c>
      <c r="W370" t="s">
        <v>6575</v>
      </c>
      <c r="X370" t="s">
        <v>8729</v>
      </c>
      <c r="Y370">
        <v>3182</v>
      </c>
      <c r="Z370">
        <v>61</v>
      </c>
      <c r="AB370">
        <v>5.04</v>
      </c>
    </row>
    <row r="371" spans="1:28">
      <c r="A371" s="2">
        <f>HYPERLINK("https://finance.naver.com/item/coinfo.nhn?code=900280", "A900280")</f>
        <v>0</v>
      </c>
      <c r="B371">
        <f>HYPERLINK("http://comp.fnguide.com/SVO2/ASP/SVD_Consensus.asp?pGB=1&amp;gicode=A900280&amp;cID=&amp;MenuYn=Y&amp;ReportGB=&amp;NewMenuID=108&amp;stkGb=701", "골든센츄리")</f>
        <v>0</v>
      </c>
      <c r="C371">
        <v>3</v>
      </c>
      <c r="D371">
        <v>304</v>
      </c>
      <c r="E371">
        <v>-0.05</v>
      </c>
      <c r="F371">
        <v>1.46</v>
      </c>
      <c r="G371">
        <v>2325</v>
      </c>
      <c r="H371">
        <v>1746</v>
      </c>
      <c r="I371">
        <v>1582</v>
      </c>
      <c r="J371">
        <v>-664.75</v>
      </c>
      <c r="K371">
        <v>-474.5</v>
      </c>
      <c r="L371">
        <v>-420.29</v>
      </c>
      <c r="M371">
        <v>13.6</v>
      </c>
      <c r="N371" t="b">
        <v>0</v>
      </c>
      <c r="O371">
        <v>214</v>
      </c>
      <c r="P371" t="s">
        <v>384</v>
      </c>
      <c r="Q371" t="s">
        <v>2570</v>
      </c>
      <c r="R371">
        <v>-27.02939912100937</v>
      </c>
      <c r="S371">
        <v>483</v>
      </c>
      <c r="T371">
        <v>2640273</v>
      </c>
      <c r="U371" t="s">
        <v>4356</v>
      </c>
      <c r="V371">
        <v>28.29</v>
      </c>
      <c r="W371" t="s">
        <v>6576</v>
      </c>
      <c r="X371" t="s">
        <v>8730</v>
      </c>
      <c r="Y371">
        <v>1131</v>
      </c>
      <c r="Z371">
        <v>294</v>
      </c>
    </row>
    <row r="372" spans="1:28">
      <c r="A372" s="2">
        <f>HYPERLINK("https://finance.naver.com/item/coinfo.nhn?code=094820", "A094820")</f>
        <v>0</v>
      </c>
      <c r="B372">
        <f>HYPERLINK("http://comp.fnguide.com/SVO2/ASP/SVD_Consensus.asp?pGB=1&amp;gicode=A094820&amp;cID=&amp;MenuYn=Y&amp;ReportGB=&amp;NewMenuID=108&amp;stkGb=701", "일진파워")</f>
        <v>0</v>
      </c>
      <c r="C372">
        <v>3</v>
      </c>
      <c r="D372">
        <v>5560</v>
      </c>
      <c r="E372">
        <v>0.19</v>
      </c>
      <c r="F372">
        <v>6.94</v>
      </c>
      <c r="G372">
        <v>13142</v>
      </c>
      <c r="H372">
        <v>9165</v>
      </c>
      <c r="I372">
        <v>8032</v>
      </c>
      <c r="J372">
        <v>-136.36</v>
      </c>
      <c r="K372">
        <v>-64.84</v>
      </c>
      <c r="L372">
        <v>-44.46</v>
      </c>
      <c r="M372">
        <v>16.06</v>
      </c>
      <c r="N372" t="b">
        <v>1</v>
      </c>
      <c r="O372">
        <v>781</v>
      </c>
      <c r="P372" t="s">
        <v>385</v>
      </c>
      <c r="Q372" t="s">
        <v>2571</v>
      </c>
      <c r="R372">
        <v>36.77105102731577</v>
      </c>
      <c r="S372">
        <v>838</v>
      </c>
      <c r="T372">
        <v>89376</v>
      </c>
      <c r="U372" t="s">
        <v>4357</v>
      </c>
      <c r="V372">
        <v>38.44</v>
      </c>
      <c r="W372" t="s">
        <v>6577</v>
      </c>
      <c r="X372" t="s">
        <v>8731</v>
      </c>
      <c r="Y372">
        <v>1828</v>
      </c>
      <c r="Z372">
        <v>144</v>
      </c>
      <c r="AA372">
        <v>361965</v>
      </c>
      <c r="AB372">
        <v>5.54</v>
      </c>
    </row>
    <row r="373" spans="1:28">
      <c r="A373" s="2">
        <f>HYPERLINK("https://finance.naver.com/item/coinfo.nhn?code=121440", "A121440")</f>
        <v>0</v>
      </c>
      <c r="B373">
        <f>HYPERLINK("http://comp.fnguide.com/SVO2/ASP/SVD_Consensus.asp?pGB=1&amp;gicode=A121440&amp;cID=&amp;MenuYn=Y&amp;ReportGB=&amp;NewMenuID=108&amp;stkGb=701", "골프존뉴딘홀딩스")</f>
        <v>0</v>
      </c>
      <c r="C373">
        <v>3</v>
      </c>
      <c r="D373">
        <v>5850</v>
      </c>
      <c r="G373">
        <v>0</v>
      </c>
      <c r="H373">
        <v>6305</v>
      </c>
      <c r="I373">
        <v>8102</v>
      </c>
      <c r="J373">
        <v>100</v>
      </c>
      <c r="K373">
        <v>-7.78</v>
      </c>
      <c r="L373">
        <v>-38.49</v>
      </c>
      <c r="M373">
        <v>0</v>
      </c>
      <c r="N373" t="b">
        <v>0</v>
      </c>
      <c r="O373">
        <v>-751</v>
      </c>
      <c r="P373" t="s">
        <v>386</v>
      </c>
      <c r="Q373" t="s">
        <v>2572</v>
      </c>
      <c r="R373">
        <v>-99.59999999999999</v>
      </c>
      <c r="S373">
        <v>2506</v>
      </c>
      <c r="T373">
        <v>134210</v>
      </c>
      <c r="U373" t="s">
        <v>4358</v>
      </c>
      <c r="V373">
        <v>55.01</v>
      </c>
      <c r="W373" t="s">
        <v>6578</v>
      </c>
      <c r="X373" t="s">
        <v>8732</v>
      </c>
      <c r="Y373">
        <v>2289</v>
      </c>
      <c r="Z373">
        <v>-36</v>
      </c>
      <c r="AA373">
        <v>77616</v>
      </c>
      <c r="AB373">
        <v>3.3</v>
      </c>
    </row>
    <row r="374" spans="1:28">
      <c r="A374" s="2">
        <f>HYPERLINK("https://finance.naver.com/item/coinfo.nhn?code=019540", "A019540")</f>
        <v>0</v>
      </c>
      <c r="B374">
        <f>HYPERLINK("http://comp.fnguide.com/SVO2/ASP/SVD_Consensus.asp?pGB=1&amp;gicode=A019540&amp;cID=&amp;MenuYn=Y&amp;ReportGB=&amp;NewMenuID=108&amp;stkGb=701", "일지테크")</f>
        <v>0</v>
      </c>
      <c r="C374">
        <v>3</v>
      </c>
      <c r="D374">
        <v>3710</v>
      </c>
      <c r="G374">
        <v>1220</v>
      </c>
      <c r="H374">
        <v>5897</v>
      </c>
      <c r="I374">
        <v>7230</v>
      </c>
      <c r="J374">
        <v>67.11</v>
      </c>
      <c r="K374">
        <v>-58.96</v>
      </c>
      <c r="L374">
        <v>-94.88</v>
      </c>
      <c r="M374">
        <v>1.08</v>
      </c>
      <c r="N374" t="b">
        <v>0</v>
      </c>
      <c r="O374">
        <v>-317</v>
      </c>
      <c r="P374" t="s">
        <v>387</v>
      </c>
      <c r="Q374" t="s">
        <v>2573</v>
      </c>
      <c r="R374">
        <v>-2.469645750668981</v>
      </c>
      <c r="S374">
        <v>501</v>
      </c>
      <c r="T374">
        <v>162384</v>
      </c>
      <c r="U374" t="s">
        <v>4359</v>
      </c>
      <c r="V374">
        <v>46.3</v>
      </c>
      <c r="W374" t="s">
        <v>6579</v>
      </c>
      <c r="X374" t="s">
        <v>8733</v>
      </c>
      <c r="Y374">
        <v>1911</v>
      </c>
      <c r="Z374">
        <v>-146</v>
      </c>
      <c r="AA374">
        <v>298034</v>
      </c>
    </row>
    <row r="375" spans="1:28">
      <c r="A375" s="2">
        <f>HYPERLINK("https://finance.naver.com/item/coinfo.nhn?code=101930", "A101930")</f>
        <v>0</v>
      </c>
      <c r="B375">
        <f>HYPERLINK("http://comp.fnguide.com/SVO2/ASP/SVD_Consensus.asp?pGB=1&amp;gicode=A101930&amp;cID=&amp;MenuYn=Y&amp;ReportGB=&amp;NewMenuID=108&amp;stkGb=701", "인화정공")</f>
        <v>0</v>
      </c>
      <c r="C375">
        <v>3</v>
      </c>
      <c r="D375">
        <v>5500</v>
      </c>
      <c r="E375">
        <v>0</v>
      </c>
      <c r="G375">
        <v>2211</v>
      </c>
      <c r="H375">
        <v>9574</v>
      </c>
      <c r="I375">
        <v>11672</v>
      </c>
      <c r="J375">
        <v>59.8</v>
      </c>
      <c r="K375">
        <v>-74.06999999999999</v>
      </c>
      <c r="L375">
        <v>-112.21</v>
      </c>
      <c r="M375">
        <v>1.22</v>
      </c>
      <c r="N375" t="b">
        <v>0</v>
      </c>
      <c r="O375">
        <v>-903</v>
      </c>
      <c r="P375" t="s">
        <v>388</v>
      </c>
      <c r="Q375" t="s">
        <v>2276</v>
      </c>
      <c r="R375">
        <v>0</v>
      </c>
      <c r="S375">
        <v>513</v>
      </c>
      <c r="T375">
        <v>457146</v>
      </c>
      <c r="U375" t="s">
        <v>4360</v>
      </c>
      <c r="V375">
        <v>50.81</v>
      </c>
      <c r="W375" t="s">
        <v>6580</v>
      </c>
      <c r="X375" t="s">
        <v>8734</v>
      </c>
      <c r="Y375">
        <v>1293</v>
      </c>
      <c r="Z375">
        <v>30</v>
      </c>
      <c r="AA375">
        <v>150857</v>
      </c>
    </row>
    <row r="376" spans="1:28">
      <c r="A376" s="2">
        <f>HYPERLINK("https://finance.naver.com/item/coinfo.nhn?code=053270", "A053270")</f>
        <v>0</v>
      </c>
      <c r="B376">
        <f>HYPERLINK("http://comp.fnguide.com/SVO2/ASP/SVD_Consensus.asp?pGB=1&amp;gicode=A053270&amp;cID=&amp;MenuYn=Y&amp;ReportGB=&amp;NewMenuID=108&amp;stkGb=701", "구영테크")</f>
        <v>0</v>
      </c>
      <c r="C376">
        <v>3</v>
      </c>
      <c r="D376">
        <v>1650</v>
      </c>
      <c r="E376">
        <v>-1.43</v>
      </c>
      <c r="F376">
        <v>14.32</v>
      </c>
      <c r="G376">
        <v>2206</v>
      </c>
      <c r="H376">
        <v>2626</v>
      </c>
      <c r="I376">
        <v>2746</v>
      </c>
      <c r="J376">
        <v>-33.7</v>
      </c>
      <c r="K376">
        <v>-59.17</v>
      </c>
      <c r="L376">
        <v>-66.43000000000001</v>
      </c>
      <c r="M376">
        <v>6.05</v>
      </c>
      <c r="N376" t="b">
        <v>1</v>
      </c>
      <c r="O376">
        <v>127</v>
      </c>
      <c r="P376" t="s">
        <v>389</v>
      </c>
      <c r="Q376" t="s">
        <v>2574</v>
      </c>
      <c r="R376">
        <v>-10.00159342448354</v>
      </c>
      <c r="S376">
        <v>436</v>
      </c>
      <c r="T376">
        <v>376289</v>
      </c>
      <c r="U376" t="s">
        <v>4361</v>
      </c>
      <c r="V376">
        <v>46.62</v>
      </c>
      <c r="W376" t="s">
        <v>6581</v>
      </c>
      <c r="X376" t="s">
        <v>8735</v>
      </c>
      <c r="Y376">
        <v>2309</v>
      </c>
      <c r="Z376">
        <v>52</v>
      </c>
      <c r="AA376">
        <v>1716296</v>
      </c>
      <c r="AB376">
        <v>1.65</v>
      </c>
    </row>
    <row r="377" spans="1:28">
      <c r="A377" s="2">
        <f>HYPERLINK("https://finance.naver.com/item/coinfo.nhn?code=066620", "A066620")</f>
        <v>0</v>
      </c>
      <c r="B377">
        <f>HYPERLINK("http://comp.fnguide.com/SVO2/ASP/SVD_Consensus.asp?pGB=1&amp;gicode=A066620&amp;cID=&amp;MenuYn=Y&amp;ReportGB=&amp;NewMenuID=108&amp;stkGb=701", "국보디자인")</f>
        <v>0</v>
      </c>
      <c r="C377">
        <v>3</v>
      </c>
      <c r="D377">
        <v>17450</v>
      </c>
      <c r="E377">
        <v>0.65</v>
      </c>
      <c r="F377">
        <v>8.02</v>
      </c>
      <c r="G377">
        <v>30894</v>
      </c>
      <c r="H377">
        <v>23120</v>
      </c>
      <c r="I377">
        <v>20905</v>
      </c>
      <c r="J377">
        <v>-77.04000000000001</v>
      </c>
      <c r="K377">
        <v>-32.49</v>
      </c>
      <c r="L377">
        <v>-19.8</v>
      </c>
      <c r="M377">
        <v>13.71</v>
      </c>
      <c r="N377" t="b">
        <v>1</v>
      </c>
      <c r="O377">
        <v>2126</v>
      </c>
      <c r="P377" t="s">
        <v>390</v>
      </c>
      <c r="Q377" t="s">
        <v>2575</v>
      </c>
      <c r="R377">
        <v>12.42884827928215</v>
      </c>
      <c r="S377">
        <v>1309</v>
      </c>
      <c r="T377">
        <v>51571</v>
      </c>
      <c r="U377" t="s">
        <v>4362</v>
      </c>
      <c r="V377">
        <v>53.09</v>
      </c>
      <c r="W377" t="s">
        <v>6582</v>
      </c>
      <c r="X377" t="s">
        <v>8736</v>
      </c>
      <c r="Y377">
        <v>2690</v>
      </c>
      <c r="Z377">
        <v>116</v>
      </c>
      <c r="AA377">
        <v>627314</v>
      </c>
      <c r="AB377">
        <v>1.76</v>
      </c>
    </row>
    <row r="378" spans="1:28">
      <c r="A378" s="2">
        <f>HYPERLINK("https://finance.naver.com/item/coinfo.nhn?code=043650", "A043650")</f>
        <v>0</v>
      </c>
      <c r="B378">
        <f>HYPERLINK("http://comp.fnguide.com/SVO2/ASP/SVD_Consensus.asp?pGB=1&amp;gicode=A043650&amp;cID=&amp;MenuYn=Y&amp;ReportGB=&amp;NewMenuID=108&amp;stkGb=701", "국순당")</f>
        <v>0</v>
      </c>
      <c r="C378">
        <v>3</v>
      </c>
      <c r="D378">
        <v>5350</v>
      </c>
      <c r="E378">
        <v>0</v>
      </c>
      <c r="G378">
        <v>1267</v>
      </c>
      <c r="H378">
        <v>8151</v>
      </c>
      <c r="I378">
        <v>10113</v>
      </c>
      <c r="J378">
        <v>76.31999999999999</v>
      </c>
      <c r="K378">
        <v>-52.36</v>
      </c>
      <c r="L378">
        <v>-89.03</v>
      </c>
      <c r="M378">
        <v>0.79</v>
      </c>
      <c r="N378" t="b">
        <v>0</v>
      </c>
      <c r="O378">
        <v>-285</v>
      </c>
      <c r="P378" t="s">
        <v>391</v>
      </c>
      <c r="Q378" t="s">
        <v>2276</v>
      </c>
      <c r="R378">
        <v>0</v>
      </c>
      <c r="S378">
        <v>955</v>
      </c>
      <c r="T378">
        <v>151000</v>
      </c>
      <c r="U378" t="s">
        <v>4363</v>
      </c>
      <c r="V378">
        <v>42.83</v>
      </c>
      <c r="W378" t="s">
        <v>6583</v>
      </c>
      <c r="X378" t="s">
        <v>8737</v>
      </c>
      <c r="Y378">
        <v>1021</v>
      </c>
      <c r="Z378">
        <v>-60</v>
      </c>
      <c r="AA378">
        <v>2117838</v>
      </c>
      <c r="AB378">
        <v>3.08</v>
      </c>
    </row>
    <row r="379" spans="1:28">
      <c r="A379" s="2">
        <f>HYPERLINK("https://finance.naver.com/item/coinfo.nhn?code=204020", "A204020")</f>
        <v>0</v>
      </c>
      <c r="B379">
        <f>HYPERLINK("http://comp.fnguide.com/SVO2/ASP/SVD_Consensus.asp?pGB=1&amp;gicode=A204020&amp;cID=&amp;MenuYn=Y&amp;ReportGB=&amp;NewMenuID=108&amp;stkGb=701", "그리티")</f>
        <v>0</v>
      </c>
      <c r="C379">
        <v>3</v>
      </c>
      <c r="D379">
        <v>3015</v>
      </c>
      <c r="E379">
        <v>-1.53</v>
      </c>
      <c r="F379">
        <v>31.23</v>
      </c>
      <c r="G379">
        <v>3119</v>
      </c>
      <c r="H379">
        <v>3587</v>
      </c>
      <c r="I379">
        <v>3720</v>
      </c>
      <c r="J379">
        <v>-3.46</v>
      </c>
      <c r="K379">
        <v>-18.97</v>
      </c>
      <c r="L379">
        <v>-23.39</v>
      </c>
      <c r="M379">
        <v>6.38</v>
      </c>
      <c r="N379" t="b">
        <v>1</v>
      </c>
      <c r="O379">
        <v>89</v>
      </c>
      <c r="P379" t="s">
        <v>392</v>
      </c>
      <c r="Q379" t="s">
        <v>2576</v>
      </c>
      <c r="R379">
        <v>-20.36480190834531</v>
      </c>
      <c r="S379">
        <v>607</v>
      </c>
      <c r="T379">
        <v>291724</v>
      </c>
      <c r="U379" t="s">
        <v>4364</v>
      </c>
      <c r="V379">
        <v>37.71</v>
      </c>
      <c r="W379" t="s">
        <v>6584</v>
      </c>
      <c r="X379" t="s">
        <v>8738</v>
      </c>
      <c r="Y379">
        <v>1231</v>
      </c>
      <c r="Z379">
        <v>29</v>
      </c>
      <c r="AA379">
        <v>1135773</v>
      </c>
      <c r="AB379">
        <v>1.08</v>
      </c>
    </row>
    <row r="380" spans="1:28">
      <c r="A380" s="2">
        <f>HYPERLINK("https://finance.naver.com/item/coinfo.nhn?code=212560", "A212560")</f>
        <v>0</v>
      </c>
      <c r="B380">
        <f>HYPERLINK("http://comp.fnguide.com/SVO2/ASP/SVD_Consensus.asp?pGB=1&amp;gicode=A212560&amp;cID=&amp;MenuYn=Y&amp;ReportGB=&amp;NewMenuID=108&amp;stkGb=701", "네오오토")</f>
        <v>0</v>
      </c>
      <c r="C380">
        <v>3</v>
      </c>
      <c r="D380">
        <v>4605</v>
      </c>
      <c r="E380">
        <v>-0.93</v>
      </c>
      <c r="F380">
        <v>14.3</v>
      </c>
      <c r="G380">
        <v>6503</v>
      </c>
      <c r="H380">
        <v>8654</v>
      </c>
      <c r="I380">
        <v>9267</v>
      </c>
      <c r="J380">
        <v>-41.21</v>
      </c>
      <c r="K380">
        <v>-87.93000000000001</v>
      </c>
      <c r="L380">
        <v>-101.24</v>
      </c>
      <c r="M380">
        <v>5.14</v>
      </c>
      <c r="N380" t="b">
        <v>1</v>
      </c>
      <c r="O380">
        <v>317</v>
      </c>
      <c r="P380" t="s">
        <v>393</v>
      </c>
      <c r="Q380" t="s">
        <v>2577</v>
      </c>
      <c r="R380">
        <v>-15.30824501176449</v>
      </c>
      <c r="S380">
        <v>363</v>
      </c>
      <c r="T380">
        <v>406399</v>
      </c>
      <c r="U380" t="s">
        <v>4365</v>
      </c>
      <c r="V380">
        <v>52.48</v>
      </c>
      <c r="W380" t="s">
        <v>6585</v>
      </c>
      <c r="X380" t="s">
        <v>8739</v>
      </c>
      <c r="Y380">
        <v>1184</v>
      </c>
      <c r="Z380">
        <v>8</v>
      </c>
      <c r="AA380">
        <v>406</v>
      </c>
      <c r="AB380">
        <v>1.1</v>
      </c>
    </row>
    <row r="381" spans="1:28">
      <c r="A381" s="2">
        <f>HYPERLINK("https://finance.naver.com/item/coinfo.nhn?code=900070", "A900070")</f>
        <v>0</v>
      </c>
      <c r="B381">
        <f>HYPERLINK("http://comp.fnguide.com/SVO2/ASP/SVD_Consensus.asp?pGB=1&amp;gicode=A900070&amp;cID=&amp;MenuYn=Y&amp;ReportGB=&amp;NewMenuID=108&amp;stkGb=701", "글로벌에스엠")</f>
        <v>0</v>
      </c>
      <c r="C381">
        <v>3</v>
      </c>
      <c r="D381">
        <v>539</v>
      </c>
      <c r="E381">
        <v>0.01</v>
      </c>
      <c r="F381">
        <v>21.7</v>
      </c>
      <c r="G381">
        <v>199</v>
      </c>
      <c r="H381">
        <v>1002</v>
      </c>
      <c r="I381">
        <v>1231</v>
      </c>
      <c r="J381">
        <v>63.02</v>
      </c>
      <c r="K381">
        <v>-85.88</v>
      </c>
      <c r="L381">
        <v>-128.31</v>
      </c>
      <c r="M381">
        <v>1.03</v>
      </c>
      <c r="N381" t="b">
        <v>0</v>
      </c>
      <c r="O381">
        <v>31</v>
      </c>
      <c r="P381" t="s">
        <v>394</v>
      </c>
      <c r="Q381" t="s">
        <v>2578</v>
      </c>
      <c r="R381">
        <v>1577.7</v>
      </c>
      <c r="S381">
        <v>290</v>
      </c>
      <c r="T381">
        <v>211374</v>
      </c>
      <c r="U381" t="s">
        <v>4366</v>
      </c>
      <c r="V381">
        <v>53.58</v>
      </c>
      <c r="W381" t="s">
        <v>6586</v>
      </c>
      <c r="X381" t="s">
        <v>8740</v>
      </c>
      <c r="Y381">
        <v>1093</v>
      </c>
      <c r="Z381">
        <v>46</v>
      </c>
    </row>
    <row r="382" spans="1:28">
      <c r="A382" s="2">
        <f>HYPERLINK("https://finance.naver.com/item/coinfo.nhn?code=053260", "A053260")</f>
        <v>0</v>
      </c>
      <c r="B382">
        <f>HYPERLINK("http://comp.fnguide.com/SVO2/ASP/SVD_Consensus.asp?pGB=1&amp;gicode=A053260&amp;cID=&amp;MenuYn=Y&amp;ReportGB=&amp;NewMenuID=108&amp;stkGb=701", "금강철강")</f>
        <v>0</v>
      </c>
      <c r="C382">
        <v>3</v>
      </c>
      <c r="D382">
        <v>3350</v>
      </c>
      <c r="E382">
        <v>-1.46</v>
      </c>
      <c r="F382">
        <v>15.12</v>
      </c>
      <c r="G382">
        <v>3495</v>
      </c>
      <c r="H382">
        <v>5493</v>
      </c>
      <c r="I382">
        <v>6062</v>
      </c>
      <c r="J382">
        <v>-4.34</v>
      </c>
      <c r="K382">
        <v>-63.96</v>
      </c>
      <c r="L382">
        <v>-80.95</v>
      </c>
      <c r="M382">
        <v>4.08</v>
      </c>
      <c r="N382" t="b">
        <v>1</v>
      </c>
      <c r="O382">
        <v>235</v>
      </c>
      <c r="P382" t="s">
        <v>395</v>
      </c>
      <c r="Q382" t="s">
        <v>2579</v>
      </c>
      <c r="R382">
        <v>-10.35500862053461</v>
      </c>
      <c r="S382">
        <v>627</v>
      </c>
      <c r="T382">
        <v>37080</v>
      </c>
      <c r="U382" t="s">
        <v>4367</v>
      </c>
      <c r="V382">
        <v>53.31</v>
      </c>
      <c r="W382" t="s">
        <v>6587</v>
      </c>
      <c r="X382" t="s">
        <v>8741</v>
      </c>
      <c r="Y382">
        <v>1713</v>
      </c>
      <c r="Z382">
        <v>22</v>
      </c>
      <c r="AA382">
        <v>2517004</v>
      </c>
      <c r="AB382">
        <v>2.81</v>
      </c>
    </row>
    <row r="383" spans="1:28">
      <c r="A383" s="2">
        <f>HYPERLINK("https://finance.naver.com/item/coinfo.nhn?code=036190", "A036190")</f>
        <v>0</v>
      </c>
      <c r="B383">
        <f>HYPERLINK("http://comp.fnguide.com/SVO2/ASP/SVD_Consensus.asp?pGB=1&amp;gicode=A036190&amp;cID=&amp;MenuYn=Y&amp;ReportGB=&amp;NewMenuID=108&amp;stkGb=701", "금화피에스시")</f>
        <v>0</v>
      </c>
      <c r="C383">
        <v>3</v>
      </c>
      <c r="D383">
        <v>29650</v>
      </c>
      <c r="E383">
        <v>0.8100000000000001</v>
      </c>
      <c r="F383">
        <v>6.39</v>
      </c>
      <c r="G383">
        <v>73969</v>
      </c>
      <c r="H383">
        <v>53882</v>
      </c>
      <c r="I383">
        <v>48158</v>
      </c>
      <c r="J383">
        <v>-149.48</v>
      </c>
      <c r="K383">
        <v>-81.73</v>
      </c>
      <c r="L383">
        <v>-62.42</v>
      </c>
      <c r="M383">
        <v>14.54</v>
      </c>
      <c r="N383" t="b">
        <v>1</v>
      </c>
      <c r="O383">
        <v>4614</v>
      </c>
      <c r="P383" t="s">
        <v>396</v>
      </c>
      <c r="Q383" t="s">
        <v>2580</v>
      </c>
      <c r="R383">
        <v>7.92975516258263</v>
      </c>
      <c r="S383">
        <v>1779</v>
      </c>
      <c r="T383">
        <v>6926</v>
      </c>
      <c r="U383" t="s">
        <v>4368</v>
      </c>
      <c r="V383">
        <v>36.08</v>
      </c>
      <c r="W383" t="s">
        <v>6588</v>
      </c>
      <c r="X383" t="s">
        <v>8742</v>
      </c>
      <c r="Y383">
        <v>2094</v>
      </c>
      <c r="Z383">
        <v>343</v>
      </c>
      <c r="AA383">
        <v>94210</v>
      </c>
      <c r="AB383">
        <v>4.41</v>
      </c>
    </row>
    <row r="384" spans="1:28">
      <c r="A384" s="2">
        <f>HYPERLINK("https://finance.naver.com/item/coinfo.nhn?code=035080", "A035080")</f>
        <v>0</v>
      </c>
      <c r="B384">
        <f>HYPERLINK("http://comp.fnguide.com/SVO2/ASP/SVD_Consensus.asp?pGB=1&amp;gicode=A035080&amp;cID=&amp;MenuYn=Y&amp;ReportGB=&amp;NewMenuID=108&amp;stkGb=701", "인터파크")</f>
        <v>0</v>
      </c>
      <c r="C384">
        <v>3</v>
      </c>
      <c r="D384">
        <v>2365</v>
      </c>
      <c r="E384">
        <v>0</v>
      </c>
      <c r="G384">
        <v>0</v>
      </c>
      <c r="H384">
        <v>2358</v>
      </c>
      <c r="I384">
        <v>3030</v>
      </c>
      <c r="J384">
        <v>100</v>
      </c>
      <c r="K384">
        <v>0.29</v>
      </c>
      <c r="L384">
        <v>-28.13</v>
      </c>
      <c r="M384">
        <v>0</v>
      </c>
      <c r="N384" t="b">
        <v>0</v>
      </c>
      <c r="O384">
        <v>-81</v>
      </c>
      <c r="P384" t="s">
        <v>397</v>
      </c>
      <c r="Q384" t="s">
        <v>2276</v>
      </c>
      <c r="R384">
        <v>0</v>
      </c>
      <c r="S384">
        <v>1920</v>
      </c>
      <c r="T384">
        <v>1520025</v>
      </c>
      <c r="U384" t="s">
        <v>4369</v>
      </c>
      <c r="V384">
        <v>28.63</v>
      </c>
      <c r="W384" t="s">
        <v>6589</v>
      </c>
      <c r="X384" t="s">
        <v>968</v>
      </c>
      <c r="Y384">
        <v>34123</v>
      </c>
      <c r="Z384">
        <v>452</v>
      </c>
      <c r="AA384">
        <v>6640000</v>
      </c>
      <c r="AB384">
        <v>3.23</v>
      </c>
    </row>
    <row r="385" spans="1:28">
      <c r="A385" s="2">
        <f>HYPERLINK("https://finance.naver.com/item/coinfo.nhn?code=308100", "A308100")</f>
        <v>0</v>
      </c>
      <c r="B385">
        <f>HYPERLINK("http://comp.fnguide.com/SVO2/ASP/SVD_Consensus.asp?pGB=1&amp;gicode=A308100&amp;cID=&amp;MenuYn=Y&amp;ReportGB=&amp;NewMenuID=108&amp;stkGb=701", "까스텔바작")</f>
        <v>0</v>
      </c>
      <c r="C385">
        <v>3</v>
      </c>
      <c r="D385">
        <v>9410</v>
      </c>
      <c r="E385">
        <v>0</v>
      </c>
      <c r="F385">
        <v>8.68</v>
      </c>
      <c r="G385">
        <v>19867</v>
      </c>
      <c r="H385">
        <v>14916</v>
      </c>
      <c r="I385">
        <v>13505</v>
      </c>
      <c r="J385">
        <v>-111.13</v>
      </c>
      <c r="K385">
        <v>-58.51</v>
      </c>
      <c r="L385">
        <v>-43.52</v>
      </c>
      <c r="M385">
        <v>13.62</v>
      </c>
      <c r="N385" t="b">
        <v>1</v>
      </c>
      <c r="O385">
        <v>1083</v>
      </c>
      <c r="P385" t="s">
        <v>398</v>
      </c>
      <c r="Q385" t="s">
        <v>2581</v>
      </c>
      <c r="R385">
        <v>0</v>
      </c>
      <c r="S385">
        <v>621</v>
      </c>
      <c r="T385">
        <v>39610</v>
      </c>
      <c r="U385" t="s">
        <v>4370</v>
      </c>
      <c r="V385">
        <v>70.48999999999999</v>
      </c>
      <c r="W385" t="s">
        <v>6590</v>
      </c>
      <c r="X385" t="s">
        <v>8743</v>
      </c>
      <c r="Y385">
        <v>814</v>
      </c>
      <c r="Z385">
        <v>90</v>
      </c>
    </row>
    <row r="386" spans="1:28">
      <c r="A386" s="2">
        <f>HYPERLINK("https://finance.naver.com/item/coinfo.nhn?code=017250", "A017250")</f>
        <v>0</v>
      </c>
      <c r="B386">
        <f>HYPERLINK("http://comp.fnguide.com/SVO2/ASP/SVD_Consensus.asp?pGB=1&amp;gicode=A017250&amp;cID=&amp;MenuYn=Y&amp;ReportGB=&amp;NewMenuID=108&amp;stkGb=701", "인터엠")</f>
        <v>0</v>
      </c>
      <c r="C386">
        <v>3</v>
      </c>
      <c r="D386">
        <v>1530</v>
      </c>
      <c r="G386">
        <v>176</v>
      </c>
      <c r="H386">
        <v>1993</v>
      </c>
      <c r="I386">
        <v>2511</v>
      </c>
      <c r="J386">
        <v>88.48999999999999</v>
      </c>
      <c r="K386">
        <v>-30.29</v>
      </c>
      <c r="L386">
        <v>-64.13</v>
      </c>
      <c r="M386">
        <v>0.44</v>
      </c>
      <c r="N386" t="b">
        <v>0</v>
      </c>
      <c r="O386">
        <v>-352</v>
      </c>
      <c r="P386" t="s">
        <v>399</v>
      </c>
      <c r="Q386" t="s">
        <v>2582</v>
      </c>
      <c r="R386">
        <v>-15.60853123686017</v>
      </c>
      <c r="S386">
        <v>322</v>
      </c>
      <c r="T386">
        <v>88799</v>
      </c>
      <c r="U386" t="s">
        <v>4371</v>
      </c>
      <c r="V386">
        <v>43.13</v>
      </c>
      <c r="W386" t="s">
        <v>6591</v>
      </c>
      <c r="X386" t="s">
        <v>8744</v>
      </c>
      <c r="Y386">
        <v>859</v>
      </c>
      <c r="Z386">
        <v>-33</v>
      </c>
      <c r="AA386">
        <v>800000</v>
      </c>
      <c r="AB386">
        <v>4.02</v>
      </c>
    </row>
    <row r="387" spans="1:28">
      <c r="A387" s="2">
        <f>HYPERLINK("https://finance.naver.com/item/coinfo.nhn?code=049070", "A049070")</f>
        <v>0</v>
      </c>
      <c r="B387">
        <f>HYPERLINK("http://comp.fnguide.com/SVO2/ASP/SVD_Consensus.asp?pGB=1&amp;gicode=A049070&amp;cID=&amp;MenuYn=Y&amp;ReportGB=&amp;NewMenuID=108&amp;stkGb=701", "인탑스")</f>
        <v>0</v>
      </c>
      <c r="C387">
        <v>3</v>
      </c>
      <c r="D387">
        <v>22350</v>
      </c>
      <c r="E387">
        <v>1.24</v>
      </c>
      <c r="F387">
        <v>6.22</v>
      </c>
      <c r="G387">
        <v>22164</v>
      </c>
      <c r="H387">
        <v>24236</v>
      </c>
      <c r="I387">
        <v>24827</v>
      </c>
      <c r="J387">
        <v>0.83</v>
      </c>
      <c r="K387">
        <v>-8.44</v>
      </c>
      <c r="L387">
        <v>-11.08</v>
      </c>
      <c r="M387">
        <v>6.9</v>
      </c>
      <c r="N387" t="b">
        <v>1</v>
      </c>
      <c r="O387">
        <v>2073</v>
      </c>
      <c r="P387" t="s">
        <v>400</v>
      </c>
      <c r="Q387" t="s">
        <v>2583</v>
      </c>
      <c r="R387">
        <v>5.028103255892713</v>
      </c>
      <c r="S387">
        <v>3844</v>
      </c>
      <c r="T387">
        <v>145043</v>
      </c>
      <c r="U387" t="s">
        <v>4372</v>
      </c>
      <c r="V387">
        <v>37.91</v>
      </c>
      <c r="W387" t="s">
        <v>6592</v>
      </c>
      <c r="X387" t="s">
        <v>8745</v>
      </c>
      <c r="Y387">
        <v>9105</v>
      </c>
      <c r="Z387">
        <v>707</v>
      </c>
      <c r="AA387">
        <v>192896</v>
      </c>
      <c r="AB387">
        <v>1.94</v>
      </c>
    </row>
    <row r="388" spans="1:28">
      <c r="A388" s="2">
        <f>HYPERLINK("https://finance.naver.com/item/coinfo.nhn?code=037330", "A037330")</f>
        <v>0</v>
      </c>
      <c r="B388">
        <f>HYPERLINK("http://comp.fnguide.com/SVO2/ASP/SVD_Consensus.asp?pGB=1&amp;gicode=A037330&amp;cID=&amp;MenuYn=Y&amp;ReportGB=&amp;NewMenuID=108&amp;stkGb=701", "인지디스플레")</f>
        <v>0</v>
      </c>
      <c r="C388">
        <v>3</v>
      </c>
      <c r="D388">
        <v>3200</v>
      </c>
      <c r="E388">
        <v>1.18</v>
      </c>
      <c r="F388">
        <v>18.88</v>
      </c>
      <c r="G388">
        <v>1846</v>
      </c>
      <c r="H388">
        <v>3070</v>
      </c>
      <c r="I388">
        <v>3418</v>
      </c>
      <c r="J388">
        <v>42.3</v>
      </c>
      <c r="K388">
        <v>4.07</v>
      </c>
      <c r="L388">
        <v>-6.83</v>
      </c>
      <c r="M388">
        <v>3.79</v>
      </c>
      <c r="N388" t="b">
        <v>1</v>
      </c>
      <c r="O388">
        <v>111</v>
      </c>
      <c r="P388" t="s">
        <v>401</v>
      </c>
      <c r="Q388" t="s">
        <v>2584</v>
      </c>
      <c r="R388">
        <v>16.06465368899739</v>
      </c>
      <c r="S388">
        <v>1404</v>
      </c>
      <c r="T388">
        <v>418037</v>
      </c>
      <c r="U388" t="s">
        <v>4373</v>
      </c>
      <c r="V388">
        <v>49.98</v>
      </c>
      <c r="W388" t="s">
        <v>6593</v>
      </c>
      <c r="X388" t="s">
        <v>8746</v>
      </c>
      <c r="Y388">
        <v>5578</v>
      </c>
      <c r="Z388">
        <v>238</v>
      </c>
      <c r="AA388">
        <v>693500</v>
      </c>
      <c r="AB388">
        <v>3.59</v>
      </c>
    </row>
    <row r="389" spans="1:28">
      <c r="A389" s="2">
        <f>HYPERLINK("https://finance.naver.com/item/coinfo.nhn?code=024810", "A024810")</f>
        <v>0</v>
      </c>
      <c r="B389">
        <f>HYPERLINK("http://comp.fnguide.com/SVO2/ASP/SVD_Consensus.asp?pGB=1&amp;gicode=A024810&amp;cID=&amp;MenuYn=Y&amp;ReportGB=&amp;NewMenuID=108&amp;stkGb=701", "이화전기")</f>
        <v>0</v>
      </c>
      <c r="C389">
        <v>3</v>
      </c>
      <c r="D389">
        <v>151</v>
      </c>
      <c r="E389">
        <v>0</v>
      </c>
      <c r="F389">
        <v>1816.46</v>
      </c>
      <c r="G389">
        <v>41</v>
      </c>
      <c r="H389">
        <v>192</v>
      </c>
      <c r="I389">
        <v>235</v>
      </c>
      <c r="J389">
        <v>72.76000000000001</v>
      </c>
      <c r="K389">
        <v>-26.98</v>
      </c>
      <c r="L389">
        <v>-55.4</v>
      </c>
      <c r="M389">
        <v>1.12</v>
      </c>
      <c r="N389" t="b">
        <v>0</v>
      </c>
      <c r="O389">
        <v>0</v>
      </c>
      <c r="P389" t="s">
        <v>402</v>
      </c>
      <c r="Q389" t="s">
        <v>2276</v>
      </c>
      <c r="R389">
        <v>0</v>
      </c>
      <c r="S389">
        <v>1085</v>
      </c>
      <c r="T389">
        <v>10372070</v>
      </c>
      <c r="U389" t="s">
        <v>4374</v>
      </c>
      <c r="V389">
        <v>21.89</v>
      </c>
      <c r="W389" t="s">
        <v>6594</v>
      </c>
      <c r="X389" t="s">
        <v>8747</v>
      </c>
      <c r="Y389">
        <v>568</v>
      </c>
      <c r="Z389">
        <v>6</v>
      </c>
      <c r="AA389">
        <v>8332</v>
      </c>
    </row>
    <row r="390" spans="1:28">
      <c r="A390" s="2">
        <f>HYPERLINK("https://finance.naver.com/item/coinfo.nhn?code=036800", "A036800")</f>
        <v>0</v>
      </c>
      <c r="B390">
        <f>HYPERLINK("http://comp.fnguide.com/SVO2/ASP/SVD_Consensus.asp?pGB=1&amp;gicode=A036800&amp;cID=&amp;MenuYn=Y&amp;ReportGB=&amp;NewMenuID=108&amp;stkGb=701", "나이스정보통신")</f>
        <v>0</v>
      </c>
      <c r="C390">
        <v>3</v>
      </c>
      <c r="D390">
        <v>26400</v>
      </c>
      <c r="E390">
        <v>-2.45</v>
      </c>
      <c r="F390">
        <v>9.52</v>
      </c>
      <c r="G390">
        <v>49103</v>
      </c>
      <c r="H390">
        <v>34349</v>
      </c>
      <c r="I390">
        <v>30144</v>
      </c>
      <c r="J390">
        <v>-86</v>
      </c>
      <c r="K390">
        <v>-30.11</v>
      </c>
      <c r="L390">
        <v>-14.18</v>
      </c>
      <c r="M390">
        <v>15.94</v>
      </c>
      <c r="N390" t="b">
        <v>1</v>
      </c>
      <c r="O390">
        <v>3011</v>
      </c>
      <c r="P390" t="s">
        <v>403</v>
      </c>
      <c r="Q390" t="s">
        <v>2585</v>
      </c>
      <c r="R390">
        <v>-3.885738048839227</v>
      </c>
      <c r="S390">
        <v>2640</v>
      </c>
      <c r="T390">
        <v>62866</v>
      </c>
      <c r="U390" t="s">
        <v>4375</v>
      </c>
      <c r="V390">
        <v>42.74</v>
      </c>
      <c r="W390" t="s">
        <v>6595</v>
      </c>
      <c r="X390" t="s">
        <v>8748</v>
      </c>
      <c r="Y390">
        <v>4529</v>
      </c>
      <c r="Z390">
        <v>350</v>
      </c>
      <c r="AA390">
        <v>625978</v>
      </c>
      <c r="AB390">
        <v>1.61</v>
      </c>
    </row>
    <row r="391" spans="1:28">
      <c r="A391" s="2">
        <f>HYPERLINK("https://finance.naver.com/item/coinfo.nhn?code=016250", "A016250")</f>
        <v>0</v>
      </c>
      <c r="B391">
        <f>HYPERLINK("http://comp.fnguide.com/SVO2/ASP/SVD_Consensus.asp?pGB=1&amp;gicode=A016250&amp;cID=&amp;MenuYn=Y&amp;ReportGB=&amp;NewMenuID=108&amp;stkGb=701", "이테크건설")</f>
        <v>0</v>
      </c>
      <c r="C391">
        <v>3</v>
      </c>
      <c r="D391">
        <v>106100</v>
      </c>
      <c r="E391">
        <v>-1.51</v>
      </c>
      <c r="F391">
        <v>10.56</v>
      </c>
      <c r="G391">
        <v>257717</v>
      </c>
      <c r="H391">
        <v>230429</v>
      </c>
      <c r="I391">
        <v>222654</v>
      </c>
      <c r="J391">
        <v>-142.9</v>
      </c>
      <c r="K391">
        <v>-117.18</v>
      </c>
      <c r="L391">
        <v>-109.85</v>
      </c>
      <c r="M391">
        <v>9.68</v>
      </c>
      <c r="N391" t="b">
        <v>1</v>
      </c>
      <c r="O391">
        <v>6923</v>
      </c>
      <c r="P391" t="s">
        <v>404</v>
      </c>
      <c r="Q391" t="s">
        <v>2586</v>
      </c>
      <c r="R391">
        <v>-6.97344333923623</v>
      </c>
      <c r="S391">
        <v>2971</v>
      </c>
      <c r="T391">
        <v>0</v>
      </c>
      <c r="U391" t="s">
        <v>4376</v>
      </c>
      <c r="V391">
        <v>48.95</v>
      </c>
      <c r="W391" t="s">
        <v>6596</v>
      </c>
      <c r="X391" t="s">
        <v>8749</v>
      </c>
      <c r="Y391">
        <v>16985</v>
      </c>
      <c r="Z391">
        <v>770</v>
      </c>
      <c r="AA391">
        <v>182423</v>
      </c>
      <c r="AB391">
        <v>2.05</v>
      </c>
    </row>
    <row r="392" spans="1:28">
      <c r="A392" s="2">
        <f>HYPERLINK("https://finance.naver.com/item/coinfo.nhn?code=023410", "A023410")</f>
        <v>0</v>
      </c>
      <c r="B392">
        <f>HYPERLINK("http://comp.fnguide.com/SVO2/ASP/SVD_Consensus.asp?pGB=1&amp;gicode=A023410&amp;cID=&amp;MenuYn=Y&amp;ReportGB=&amp;NewMenuID=108&amp;stkGb=701", "유진기업")</f>
        <v>0</v>
      </c>
      <c r="C392">
        <v>3</v>
      </c>
      <c r="D392">
        <v>4675</v>
      </c>
      <c r="E392">
        <v>1.36</v>
      </c>
      <c r="F392">
        <v>19.56</v>
      </c>
      <c r="G392">
        <v>6006</v>
      </c>
      <c r="H392">
        <v>8892</v>
      </c>
      <c r="I392">
        <v>9715</v>
      </c>
      <c r="J392">
        <v>-28.47</v>
      </c>
      <c r="K392">
        <v>-90.20999999999999</v>
      </c>
      <c r="L392">
        <v>-107.8</v>
      </c>
      <c r="M392">
        <v>4.43</v>
      </c>
      <c r="N392" t="b">
        <v>1</v>
      </c>
      <c r="O392">
        <v>257</v>
      </c>
      <c r="P392" t="s">
        <v>405</v>
      </c>
      <c r="Q392" t="s">
        <v>2587</v>
      </c>
      <c r="R392">
        <v>14.42161434400051</v>
      </c>
      <c r="S392">
        <v>3614</v>
      </c>
      <c r="T392">
        <v>1265907</v>
      </c>
      <c r="U392" t="s">
        <v>4377</v>
      </c>
      <c r="V392">
        <v>38.74</v>
      </c>
      <c r="W392" t="s">
        <v>6597</v>
      </c>
      <c r="X392" t="s">
        <v>8750</v>
      </c>
      <c r="Y392">
        <v>14578</v>
      </c>
      <c r="Z392">
        <v>1280</v>
      </c>
      <c r="AA392">
        <v>6301103</v>
      </c>
      <c r="AB392">
        <v>2.98</v>
      </c>
    </row>
    <row r="393" spans="1:28">
      <c r="A393" s="2">
        <f>HYPERLINK("https://finance.naver.com/item/coinfo.nhn?code=049520", "A049520")</f>
        <v>0</v>
      </c>
      <c r="B393">
        <f>HYPERLINK("http://comp.fnguide.com/SVO2/ASP/SVD_Consensus.asp?pGB=1&amp;gicode=A049520&amp;cID=&amp;MenuYn=Y&amp;ReportGB=&amp;NewMenuID=108&amp;stkGb=701", "유아이엘")</f>
        <v>0</v>
      </c>
      <c r="C393">
        <v>3</v>
      </c>
      <c r="D393">
        <v>3940</v>
      </c>
      <c r="E393">
        <v>-1.31</v>
      </c>
      <c r="F393">
        <v>13.65</v>
      </c>
      <c r="G393">
        <v>5819</v>
      </c>
      <c r="H393">
        <v>7164</v>
      </c>
      <c r="I393">
        <v>7548</v>
      </c>
      <c r="J393">
        <v>-47.68</v>
      </c>
      <c r="K393">
        <v>-81.83</v>
      </c>
      <c r="L393">
        <v>-91.56</v>
      </c>
      <c r="M393">
        <v>5.75</v>
      </c>
      <c r="N393" t="b">
        <v>1</v>
      </c>
      <c r="O393">
        <v>380</v>
      </c>
      <c r="P393" t="s">
        <v>406</v>
      </c>
      <c r="Q393" t="s">
        <v>2588</v>
      </c>
      <c r="R393">
        <v>-10.43613343694285</v>
      </c>
      <c r="S393">
        <v>858</v>
      </c>
      <c r="T393">
        <v>98809</v>
      </c>
      <c r="U393" t="s">
        <v>4378</v>
      </c>
      <c r="V393">
        <v>48.63</v>
      </c>
      <c r="W393" t="s">
        <v>6598</v>
      </c>
      <c r="X393" t="s">
        <v>8751</v>
      </c>
      <c r="Y393">
        <v>4085</v>
      </c>
      <c r="Z393">
        <v>89</v>
      </c>
      <c r="AA393">
        <v>800000</v>
      </c>
      <c r="AB393">
        <v>7.71</v>
      </c>
    </row>
    <row r="394" spans="1:28">
      <c r="A394" s="2">
        <f>HYPERLINK("https://finance.naver.com/item/coinfo.nhn?code=080420", "A080420")</f>
        <v>0</v>
      </c>
      <c r="B394">
        <f>HYPERLINK("http://comp.fnguide.com/SVO2/ASP/SVD_Consensus.asp?pGB=1&amp;gicode=A080420&amp;cID=&amp;MenuYn=Y&amp;ReportGB=&amp;NewMenuID=108&amp;stkGb=701", "모다이노칩")</f>
        <v>0</v>
      </c>
      <c r="C394">
        <v>3</v>
      </c>
      <c r="D394">
        <v>4030</v>
      </c>
      <c r="E394">
        <v>-1.6</v>
      </c>
      <c r="F394">
        <v>47.94</v>
      </c>
      <c r="G394">
        <v>3083</v>
      </c>
      <c r="H394">
        <v>3826</v>
      </c>
      <c r="I394">
        <v>4038</v>
      </c>
      <c r="J394">
        <v>23.49</v>
      </c>
      <c r="K394">
        <v>5.05</v>
      </c>
      <c r="L394">
        <v>-0.2</v>
      </c>
      <c r="M394">
        <v>5.69</v>
      </c>
      <c r="N394" t="b">
        <v>1</v>
      </c>
      <c r="O394">
        <v>65</v>
      </c>
      <c r="P394" t="s">
        <v>407</v>
      </c>
      <c r="Q394" t="s">
        <v>2589</v>
      </c>
      <c r="R394">
        <v>-30.00966550468465</v>
      </c>
      <c r="S394">
        <v>3213</v>
      </c>
      <c r="T394">
        <v>164792</v>
      </c>
      <c r="U394" t="s">
        <v>4379</v>
      </c>
      <c r="V394">
        <v>79.40000000000001</v>
      </c>
      <c r="W394" t="s">
        <v>6599</v>
      </c>
      <c r="X394" t="s">
        <v>8752</v>
      </c>
      <c r="Y394">
        <v>3201</v>
      </c>
      <c r="Z394">
        <v>305</v>
      </c>
    </row>
    <row r="395" spans="1:28">
      <c r="A395" s="2">
        <f>HYPERLINK("https://finance.naver.com/item/coinfo.nhn?code=079000", "A079000")</f>
        <v>0</v>
      </c>
      <c r="B395">
        <f>HYPERLINK("http://comp.fnguide.com/SVO2/ASP/SVD_Consensus.asp?pGB=1&amp;gicode=A079000&amp;cID=&amp;MenuYn=Y&amp;ReportGB=&amp;NewMenuID=108&amp;stkGb=701", "와토스코리아")</f>
        <v>0</v>
      </c>
      <c r="C395">
        <v>3</v>
      </c>
      <c r="D395">
        <v>5450</v>
      </c>
      <c r="E395">
        <v>-0.4</v>
      </c>
      <c r="F395">
        <v>12.67</v>
      </c>
      <c r="G395">
        <v>5639</v>
      </c>
      <c r="H395">
        <v>8536</v>
      </c>
      <c r="I395">
        <v>9361</v>
      </c>
      <c r="J395">
        <v>-3.47</v>
      </c>
      <c r="K395">
        <v>-56.62</v>
      </c>
      <c r="L395">
        <v>-71.77</v>
      </c>
      <c r="M395">
        <v>4.3</v>
      </c>
      <c r="N395" t="b">
        <v>1</v>
      </c>
      <c r="O395">
        <v>437</v>
      </c>
      <c r="P395" t="s">
        <v>408</v>
      </c>
      <c r="Q395" t="s">
        <v>2590</v>
      </c>
      <c r="R395">
        <v>-31.48255674859985</v>
      </c>
      <c r="S395">
        <v>392</v>
      </c>
      <c r="T395">
        <v>16668</v>
      </c>
      <c r="U395" t="s">
        <v>4380</v>
      </c>
      <c r="V395">
        <v>67.05</v>
      </c>
      <c r="W395" t="s">
        <v>6600</v>
      </c>
      <c r="X395" t="s">
        <v>8753</v>
      </c>
      <c r="Y395">
        <v>183</v>
      </c>
      <c r="Z395">
        <v>5</v>
      </c>
      <c r="AA395">
        <v>1393</v>
      </c>
      <c r="AB395">
        <v>3.61</v>
      </c>
    </row>
    <row r="396" spans="1:28">
      <c r="A396" s="2">
        <f>HYPERLINK("https://finance.naver.com/item/coinfo.nhn?code=131180", "A131180")</f>
        <v>0</v>
      </c>
      <c r="B396">
        <f>HYPERLINK("http://comp.fnguide.com/SVO2/ASP/SVD_Consensus.asp?pGB=1&amp;gicode=A131180&amp;cID=&amp;MenuYn=Y&amp;ReportGB=&amp;NewMenuID=108&amp;stkGb=701", "딜리")</f>
        <v>0</v>
      </c>
      <c r="C396">
        <v>3</v>
      </c>
      <c r="D396">
        <v>1615</v>
      </c>
      <c r="E396">
        <v>-0.5600000000000001</v>
      </c>
      <c r="F396">
        <v>24.98</v>
      </c>
      <c r="G396">
        <v>1065</v>
      </c>
      <c r="H396">
        <v>1671</v>
      </c>
      <c r="I396">
        <v>1843</v>
      </c>
      <c r="J396">
        <v>34.05</v>
      </c>
      <c r="K396">
        <v>-3.44</v>
      </c>
      <c r="L396">
        <v>-14.13</v>
      </c>
      <c r="M396">
        <v>4.09</v>
      </c>
      <c r="N396" t="b">
        <v>1</v>
      </c>
      <c r="O396">
        <v>72</v>
      </c>
      <c r="P396" t="s">
        <v>409</v>
      </c>
      <c r="Q396" t="s">
        <v>2591</v>
      </c>
      <c r="R396">
        <v>-44.56241197953464</v>
      </c>
      <c r="S396">
        <v>474</v>
      </c>
      <c r="T396">
        <v>144310</v>
      </c>
      <c r="U396" t="s">
        <v>4381</v>
      </c>
      <c r="V396">
        <v>38.99</v>
      </c>
      <c r="W396" t="s">
        <v>6601</v>
      </c>
      <c r="X396" t="s">
        <v>8754</v>
      </c>
      <c r="Y396">
        <v>405</v>
      </c>
      <c r="Z396">
        <v>8</v>
      </c>
      <c r="AA396">
        <v>1563139</v>
      </c>
      <c r="AB396">
        <v>2.23</v>
      </c>
    </row>
    <row r="397" spans="1:28">
      <c r="A397" s="2">
        <f>HYPERLINK("https://finance.naver.com/item/coinfo.nhn?code=036170", "A036170")</f>
        <v>0</v>
      </c>
      <c r="B397">
        <f>HYPERLINK("http://comp.fnguide.com/SVO2/ASP/SVD_Consensus.asp?pGB=1&amp;gicode=A036170&amp;cID=&amp;MenuYn=Y&amp;ReportGB=&amp;NewMenuID=108&amp;stkGb=701", "라이브파이낸셜")</f>
        <v>0</v>
      </c>
      <c r="C397">
        <v>3</v>
      </c>
      <c r="D397">
        <v>1445</v>
      </c>
      <c r="E397">
        <v>0</v>
      </c>
      <c r="G397">
        <v>0</v>
      </c>
      <c r="H397">
        <v>1205</v>
      </c>
      <c r="I397">
        <v>1548</v>
      </c>
      <c r="J397">
        <v>100</v>
      </c>
      <c r="K397">
        <v>16.61</v>
      </c>
      <c r="L397">
        <v>-7.15</v>
      </c>
      <c r="M397">
        <v>0</v>
      </c>
      <c r="N397" t="b">
        <v>0</v>
      </c>
      <c r="O397">
        <v>-352</v>
      </c>
      <c r="P397" t="s">
        <v>410</v>
      </c>
      <c r="Q397" t="s">
        <v>2276</v>
      </c>
      <c r="R397">
        <v>0</v>
      </c>
      <c r="S397">
        <v>652</v>
      </c>
      <c r="T397">
        <v>539711</v>
      </c>
      <c r="U397" t="s">
        <v>4382</v>
      </c>
      <c r="V397">
        <v>20.25</v>
      </c>
      <c r="W397" t="s">
        <v>6602</v>
      </c>
      <c r="X397" t="s">
        <v>968</v>
      </c>
      <c r="Y397">
        <v>135</v>
      </c>
      <c r="Z397">
        <v>0</v>
      </c>
      <c r="AA397">
        <v>1092918</v>
      </c>
    </row>
    <row r="398" spans="1:28">
      <c r="A398" s="2">
        <f>HYPERLINK("https://finance.naver.com/item/coinfo.nhn?code=032940", "A032940")</f>
        <v>0</v>
      </c>
      <c r="B398">
        <f>HYPERLINK("http://comp.fnguide.com/SVO2/ASP/SVD_Consensus.asp?pGB=1&amp;gicode=A032940&amp;cID=&amp;MenuYn=Y&amp;ReportGB=&amp;NewMenuID=108&amp;stkGb=701", "원익")</f>
        <v>0</v>
      </c>
      <c r="C398">
        <v>3</v>
      </c>
      <c r="D398">
        <v>4610</v>
      </c>
      <c r="E398">
        <v>-0.02</v>
      </c>
      <c r="F398">
        <v>1.64</v>
      </c>
      <c r="G398">
        <v>21549</v>
      </c>
      <c r="H398">
        <v>12384</v>
      </c>
      <c r="I398">
        <v>9772</v>
      </c>
      <c r="J398">
        <v>-367.44</v>
      </c>
      <c r="K398">
        <v>-168.63</v>
      </c>
      <c r="L398">
        <v>-111.98</v>
      </c>
      <c r="M398">
        <v>27.28</v>
      </c>
      <c r="N398" t="b">
        <v>1</v>
      </c>
      <c r="O398">
        <v>2577</v>
      </c>
      <c r="P398" t="s">
        <v>411</v>
      </c>
      <c r="Q398" t="s">
        <v>2592</v>
      </c>
      <c r="R398">
        <v>-83.09999999999999</v>
      </c>
      <c r="S398">
        <v>839</v>
      </c>
      <c r="T398">
        <v>372783</v>
      </c>
      <c r="U398" t="s">
        <v>4383</v>
      </c>
      <c r="V398">
        <v>47.9</v>
      </c>
      <c r="W398" t="s">
        <v>6603</v>
      </c>
      <c r="X398" t="s">
        <v>8755</v>
      </c>
      <c r="Y398">
        <v>904</v>
      </c>
      <c r="Z398">
        <v>42</v>
      </c>
      <c r="AA398">
        <v>3749</v>
      </c>
    </row>
    <row r="399" spans="1:28">
      <c r="A399" s="2">
        <f>HYPERLINK("https://finance.naver.com/item/coinfo.nhn?code=033600", "A033600")</f>
        <v>0</v>
      </c>
      <c r="B399">
        <f>HYPERLINK("http://comp.fnguide.com/SVO2/ASP/SVD_Consensus.asp?pGB=1&amp;gicode=A033600&amp;cID=&amp;MenuYn=Y&amp;ReportGB=&amp;NewMenuID=108&amp;stkGb=701", "럭슬")</f>
        <v>0</v>
      </c>
      <c r="C399">
        <v>3</v>
      </c>
      <c r="D399">
        <v>179</v>
      </c>
      <c r="E399">
        <v>0</v>
      </c>
      <c r="G399">
        <v>0</v>
      </c>
      <c r="H399">
        <v>209</v>
      </c>
      <c r="I399">
        <v>268</v>
      </c>
      <c r="J399">
        <v>100</v>
      </c>
      <c r="K399">
        <v>-16.71</v>
      </c>
      <c r="L399">
        <v>-49.97</v>
      </c>
      <c r="M399">
        <v>0</v>
      </c>
      <c r="N399" t="b">
        <v>0</v>
      </c>
      <c r="O399">
        <v>-773</v>
      </c>
      <c r="P399" t="s">
        <v>412</v>
      </c>
      <c r="Q399" t="s">
        <v>2593</v>
      </c>
      <c r="R399">
        <v>0</v>
      </c>
      <c r="S399">
        <v>73</v>
      </c>
      <c r="T399">
        <v>0</v>
      </c>
      <c r="U399" t="s">
        <v>4384</v>
      </c>
      <c r="V399">
        <v>2.19</v>
      </c>
      <c r="W399" t="s">
        <v>6604</v>
      </c>
      <c r="X399" t="s">
        <v>968</v>
      </c>
      <c r="Y399">
        <v>199</v>
      </c>
      <c r="Z399">
        <v>-55</v>
      </c>
    </row>
    <row r="400" spans="1:28">
      <c r="A400" s="2">
        <f>HYPERLINK("https://finance.naver.com/item/coinfo.nhn?code=101170", "A101170")</f>
        <v>0</v>
      </c>
      <c r="B400">
        <f>HYPERLINK("http://comp.fnguide.com/SVO2/ASP/SVD_Consensus.asp?pGB=1&amp;gicode=A101170&amp;cID=&amp;MenuYn=Y&amp;ReportGB=&amp;NewMenuID=108&amp;stkGb=701", "우림기계")</f>
        <v>0</v>
      </c>
      <c r="C400">
        <v>3</v>
      </c>
      <c r="D400">
        <v>4530</v>
      </c>
      <c r="G400">
        <v>1340</v>
      </c>
      <c r="H400">
        <v>4481</v>
      </c>
      <c r="I400">
        <v>5376</v>
      </c>
      <c r="J400">
        <v>70.41</v>
      </c>
      <c r="K400">
        <v>1.08</v>
      </c>
      <c r="L400">
        <v>-18.67</v>
      </c>
      <c r="M400">
        <v>1.63</v>
      </c>
      <c r="N400" t="b">
        <v>0</v>
      </c>
      <c r="O400">
        <v>-49</v>
      </c>
      <c r="P400" t="s">
        <v>413</v>
      </c>
      <c r="Q400" t="s">
        <v>2594</v>
      </c>
      <c r="R400">
        <v>-73.7</v>
      </c>
      <c r="S400">
        <v>612</v>
      </c>
      <c r="T400">
        <v>108921</v>
      </c>
      <c r="U400" t="s">
        <v>4385</v>
      </c>
      <c r="V400">
        <v>55.53</v>
      </c>
      <c r="W400" t="s">
        <v>6605</v>
      </c>
      <c r="X400" t="s">
        <v>8756</v>
      </c>
      <c r="Y400">
        <v>555</v>
      </c>
      <c r="Z400">
        <v>-13</v>
      </c>
      <c r="AA400">
        <v>283098</v>
      </c>
    </row>
    <row r="401" spans="1:28">
      <c r="A401" s="2">
        <f>HYPERLINK("https://finance.naver.com/item/coinfo.nhn?code=038390", "A038390")</f>
        <v>0</v>
      </c>
      <c r="B401">
        <f>HYPERLINK("http://comp.fnguide.com/SVO2/ASP/SVD_Consensus.asp?pGB=1&amp;gicode=A038390&amp;cID=&amp;MenuYn=Y&amp;ReportGB=&amp;NewMenuID=108&amp;stkGb=701", "레드캡투어")</f>
        <v>0</v>
      </c>
      <c r="C401">
        <v>3</v>
      </c>
      <c r="D401">
        <v>20000</v>
      </c>
      <c r="E401">
        <v>4.13</v>
      </c>
      <c r="F401">
        <v>6.05</v>
      </c>
      <c r="G401">
        <v>29165</v>
      </c>
      <c r="H401">
        <v>23895</v>
      </c>
      <c r="I401">
        <v>22393</v>
      </c>
      <c r="J401">
        <v>-45.83</v>
      </c>
      <c r="K401">
        <v>-19.47</v>
      </c>
      <c r="L401">
        <v>-11.96</v>
      </c>
      <c r="M401">
        <v>11.4</v>
      </c>
      <c r="N401" t="b">
        <v>0</v>
      </c>
      <c r="O401">
        <v>2589</v>
      </c>
      <c r="P401" t="s">
        <v>414</v>
      </c>
      <c r="Q401" t="s">
        <v>2595</v>
      </c>
      <c r="R401">
        <v>1.466402340512385</v>
      </c>
      <c r="S401">
        <v>1718</v>
      </c>
      <c r="T401">
        <v>119294</v>
      </c>
      <c r="U401" t="s">
        <v>4386</v>
      </c>
      <c r="V401">
        <v>74.58</v>
      </c>
      <c r="W401" t="s">
        <v>6606</v>
      </c>
      <c r="X401" t="s">
        <v>8757</v>
      </c>
      <c r="Y401">
        <v>2588</v>
      </c>
      <c r="Z401">
        <v>350</v>
      </c>
      <c r="AA401">
        <v>552500</v>
      </c>
      <c r="AB401">
        <v>5.11</v>
      </c>
    </row>
    <row r="402" spans="1:28">
      <c r="A402" s="2">
        <f>HYPERLINK("https://finance.naver.com/item/coinfo.nhn?code=037400", "A037400")</f>
        <v>0</v>
      </c>
      <c r="B402">
        <f>HYPERLINK("http://comp.fnguide.com/SVO2/ASP/SVD_Consensus.asp?pGB=1&amp;gicode=A037400&amp;cID=&amp;MenuYn=Y&amp;ReportGB=&amp;NewMenuID=108&amp;stkGb=701", "우리조명")</f>
        <v>0</v>
      </c>
      <c r="C402">
        <v>3</v>
      </c>
      <c r="D402">
        <v>2205</v>
      </c>
      <c r="E402">
        <v>0.04</v>
      </c>
      <c r="F402">
        <v>25.67</v>
      </c>
      <c r="G402">
        <v>322</v>
      </c>
      <c r="H402">
        <v>1953</v>
      </c>
      <c r="I402">
        <v>2418</v>
      </c>
      <c r="J402">
        <v>85.40000000000001</v>
      </c>
      <c r="K402">
        <v>11.42</v>
      </c>
      <c r="L402">
        <v>-9.66</v>
      </c>
      <c r="M402">
        <v>0.85</v>
      </c>
      <c r="N402" t="b">
        <v>1</v>
      </c>
      <c r="O402">
        <v>48</v>
      </c>
      <c r="P402" t="s">
        <v>415</v>
      </c>
      <c r="Q402" t="s">
        <v>2596</v>
      </c>
      <c r="R402">
        <v>613</v>
      </c>
      <c r="S402">
        <v>550</v>
      </c>
      <c r="T402">
        <v>443036</v>
      </c>
      <c r="U402" t="s">
        <v>4387</v>
      </c>
      <c r="V402">
        <v>29.96</v>
      </c>
      <c r="W402" t="s">
        <v>6607</v>
      </c>
      <c r="X402" t="s">
        <v>8758</v>
      </c>
      <c r="Y402">
        <v>16977</v>
      </c>
      <c r="Z402">
        <v>271</v>
      </c>
      <c r="AA402">
        <v>1972510</v>
      </c>
    </row>
    <row r="403" spans="1:28">
      <c r="A403" s="2">
        <f>HYPERLINK("https://finance.naver.com/item/coinfo.nhn?code=228850", "A228850")</f>
        <v>0</v>
      </c>
      <c r="B403">
        <f>HYPERLINK("http://comp.fnguide.com/SVO2/ASP/SVD_Consensus.asp?pGB=1&amp;gicode=A228850&amp;cID=&amp;MenuYn=Y&amp;ReportGB=&amp;NewMenuID=108&amp;stkGb=701", "레이언스")</f>
        <v>0</v>
      </c>
      <c r="C403">
        <v>3</v>
      </c>
      <c r="D403">
        <v>11250</v>
      </c>
      <c r="E403">
        <v>-0.61</v>
      </c>
      <c r="F403">
        <v>14.97</v>
      </c>
      <c r="G403">
        <v>12786</v>
      </c>
      <c r="H403">
        <v>12522</v>
      </c>
      <c r="I403">
        <v>12447</v>
      </c>
      <c r="J403">
        <v>-13.65</v>
      </c>
      <c r="K403">
        <v>-11.31</v>
      </c>
      <c r="L403">
        <v>-10.64</v>
      </c>
      <c r="M403">
        <v>8.25</v>
      </c>
      <c r="N403" t="b">
        <v>1</v>
      </c>
      <c r="O403">
        <v>885</v>
      </c>
      <c r="P403" t="s">
        <v>416</v>
      </c>
      <c r="Q403" t="s">
        <v>2597</v>
      </c>
      <c r="R403">
        <v>-24.62084267691696</v>
      </c>
      <c r="S403">
        <v>1866</v>
      </c>
      <c r="T403">
        <v>76794</v>
      </c>
      <c r="U403" t="s">
        <v>4388</v>
      </c>
      <c r="V403">
        <v>64.86</v>
      </c>
      <c r="W403" t="s">
        <v>6608</v>
      </c>
      <c r="X403" t="s">
        <v>8759</v>
      </c>
      <c r="Y403">
        <v>1262</v>
      </c>
      <c r="Z403">
        <v>228</v>
      </c>
      <c r="AA403">
        <v>854574</v>
      </c>
      <c r="AB403">
        <v>2.26</v>
      </c>
    </row>
    <row r="404" spans="1:28">
      <c r="A404" s="2">
        <f>HYPERLINK("https://finance.naver.com/item/coinfo.nhn?code=073560", "A073560")</f>
        <v>0</v>
      </c>
      <c r="B404">
        <f>HYPERLINK("http://comp.fnguide.com/SVO2/ASP/SVD_Consensus.asp?pGB=1&amp;gicode=A073560&amp;cID=&amp;MenuYn=Y&amp;ReportGB=&amp;NewMenuID=108&amp;stkGb=701", "우리손에프앤지")</f>
        <v>0</v>
      </c>
      <c r="C404">
        <v>3</v>
      </c>
      <c r="D404">
        <v>1990</v>
      </c>
      <c r="E404">
        <v>-1.19</v>
      </c>
      <c r="F404">
        <v>33.25</v>
      </c>
      <c r="G404">
        <v>3142</v>
      </c>
      <c r="H404">
        <v>2843</v>
      </c>
      <c r="I404">
        <v>2758</v>
      </c>
      <c r="J404">
        <v>-57.87</v>
      </c>
      <c r="K404">
        <v>-42.86</v>
      </c>
      <c r="L404">
        <v>-38.59</v>
      </c>
      <c r="M404">
        <v>9.470000000000001</v>
      </c>
      <c r="N404" t="b">
        <v>1</v>
      </c>
      <c r="O404">
        <v>61</v>
      </c>
      <c r="P404" t="s">
        <v>417</v>
      </c>
      <c r="Q404" t="s">
        <v>2598</v>
      </c>
      <c r="R404">
        <v>-27.97971846638403</v>
      </c>
      <c r="S404">
        <v>1378</v>
      </c>
      <c r="T404">
        <v>648081</v>
      </c>
      <c r="U404" t="s">
        <v>4389</v>
      </c>
      <c r="V404">
        <v>49.69</v>
      </c>
      <c r="W404" t="s">
        <v>6609</v>
      </c>
      <c r="X404" t="s">
        <v>8760</v>
      </c>
      <c r="Y404">
        <v>2252</v>
      </c>
      <c r="Z404">
        <v>102</v>
      </c>
      <c r="AB404">
        <v>1.24</v>
      </c>
    </row>
    <row r="405" spans="1:28">
      <c r="A405" s="2">
        <f>HYPERLINK("https://finance.naver.com/item/coinfo.nhn?code=072470", "A072470")</f>
        <v>0</v>
      </c>
      <c r="B405">
        <f>HYPERLINK("http://comp.fnguide.com/SVO2/ASP/SVD_Consensus.asp?pGB=1&amp;gicode=A072470&amp;cID=&amp;MenuYn=Y&amp;ReportGB=&amp;NewMenuID=108&amp;stkGb=701", "우리산업홀딩스")</f>
        <v>0</v>
      </c>
      <c r="C405">
        <v>3</v>
      </c>
      <c r="D405">
        <v>5180</v>
      </c>
      <c r="E405">
        <v>-4.52</v>
      </c>
      <c r="F405">
        <v>314.95</v>
      </c>
      <c r="G405">
        <v>763</v>
      </c>
      <c r="H405">
        <v>4412</v>
      </c>
      <c r="I405">
        <v>5452</v>
      </c>
      <c r="J405">
        <v>85.26000000000001</v>
      </c>
      <c r="K405">
        <v>14.82</v>
      </c>
      <c r="L405">
        <v>-5.25</v>
      </c>
      <c r="M405">
        <v>0.89</v>
      </c>
      <c r="N405" t="b">
        <v>0</v>
      </c>
      <c r="O405">
        <v>10</v>
      </c>
      <c r="P405" t="s">
        <v>418</v>
      </c>
      <c r="Q405" t="s">
        <v>2599</v>
      </c>
      <c r="R405">
        <v>-69.75249249747645</v>
      </c>
      <c r="S405">
        <v>978</v>
      </c>
      <c r="T405">
        <v>45153</v>
      </c>
      <c r="U405" t="s">
        <v>4390</v>
      </c>
      <c r="V405">
        <v>78.63</v>
      </c>
      <c r="W405" t="s">
        <v>6610</v>
      </c>
      <c r="X405" t="s">
        <v>8761</v>
      </c>
      <c r="Y405">
        <v>3782</v>
      </c>
      <c r="Z405">
        <v>74</v>
      </c>
      <c r="AA405">
        <v>3612</v>
      </c>
      <c r="AB405">
        <v>0.83</v>
      </c>
    </row>
    <row r="406" spans="1:28">
      <c r="A406" s="2">
        <f>HYPERLINK("https://finance.naver.com/item/coinfo.nhn?code=900260", "A900260")</f>
        <v>0</v>
      </c>
      <c r="B406">
        <f>HYPERLINK("http://comp.fnguide.com/SVO2/ASP/SVD_Consensus.asp?pGB=1&amp;gicode=A900260&amp;cID=&amp;MenuYn=Y&amp;ReportGB=&amp;NewMenuID=108&amp;stkGb=701", "로스웰")</f>
        <v>0</v>
      </c>
      <c r="C406">
        <v>3</v>
      </c>
      <c r="D406">
        <v>330</v>
      </c>
      <c r="E406">
        <v>-0.37</v>
      </c>
      <c r="F406">
        <v>19.75</v>
      </c>
      <c r="G406">
        <v>1206</v>
      </c>
      <c r="H406">
        <v>1578</v>
      </c>
      <c r="I406">
        <v>1684</v>
      </c>
      <c r="J406">
        <v>-265.54</v>
      </c>
      <c r="K406">
        <v>-378.27</v>
      </c>
      <c r="L406">
        <v>-410.39</v>
      </c>
      <c r="M406">
        <v>5.27</v>
      </c>
      <c r="N406" t="b">
        <v>0</v>
      </c>
      <c r="O406">
        <v>24</v>
      </c>
      <c r="P406" t="s">
        <v>419</v>
      </c>
      <c r="Q406" t="s">
        <v>2600</v>
      </c>
      <c r="R406">
        <v>-53.1699926918353</v>
      </c>
      <c r="S406">
        <v>468</v>
      </c>
      <c r="T406">
        <v>1740524</v>
      </c>
      <c r="U406" t="s">
        <v>4391</v>
      </c>
      <c r="V406">
        <v>41.91</v>
      </c>
      <c r="W406" t="s">
        <v>6611</v>
      </c>
      <c r="X406" t="s">
        <v>8762</v>
      </c>
      <c r="Y406">
        <v>977</v>
      </c>
      <c r="Z406">
        <v>44</v>
      </c>
      <c r="AA406">
        <v>1048007</v>
      </c>
    </row>
    <row r="407" spans="1:28">
      <c r="A407" s="2">
        <f>HYPERLINK("https://finance.naver.com/item/coinfo.nhn?code=039980", "A039980")</f>
        <v>0</v>
      </c>
      <c r="B407">
        <f>HYPERLINK("http://comp.fnguide.com/SVO2/ASP/SVD_Consensus.asp?pGB=1&amp;gicode=A039980&amp;cID=&amp;MenuYn=Y&amp;ReportGB=&amp;NewMenuID=108&amp;stkGb=701", "리노스")</f>
        <v>0</v>
      </c>
      <c r="C407">
        <v>3</v>
      </c>
      <c r="D407">
        <v>1180</v>
      </c>
      <c r="G407">
        <v>512</v>
      </c>
      <c r="H407">
        <v>1311</v>
      </c>
      <c r="I407">
        <v>1539</v>
      </c>
      <c r="J407">
        <v>56.62</v>
      </c>
      <c r="K407">
        <v>-11.11</v>
      </c>
      <c r="L407">
        <v>-30.41</v>
      </c>
      <c r="M407">
        <v>2.21</v>
      </c>
      <c r="N407" t="b">
        <v>0</v>
      </c>
      <c r="O407">
        <v>-11</v>
      </c>
      <c r="P407" t="s">
        <v>420</v>
      </c>
      <c r="Q407" t="s">
        <v>2601</v>
      </c>
      <c r="R407">
        <v>-46.28803362708658</v>
      </c>
      <c r="S407">
        <v>490</v>
      </c>
      <c r="T407">
        <v>196674</v>
      </c>
      <c r="U407" t="s">
        <v>4392</v>
      </c>
      <c r="V407">
        <v>30.41</v>
      </c>
      <c r="W407" t="s">
        <v>6612</v>
      </c>
      <c r="X407" t="s">
        <v>8763</v>
      </c>
      <c r="Y407">
        <v>813</v>
      </c>
      <c r="Z407">
        <v>-3</v>
      </c>
      <c r="AA407">
        <v>823643</v>
      </c>
      <c r="AB407">
        <v>0</v>
      </c>
    </row>
    <row r="408" spans="1:28">
      <c r="A408" s="2">
        <f>HYPERLINK("https://finance.naver.com/item/coinfo.nhn?code=030530", "A030530")</f>
        <v>0</v>
      </c>
      <c r="B408">
        <f>HYPERLINK("http://comp.fnguide.com/SVO2/ASP/SVD_Consensus.asp?pGB=1&amp;gicode=A030530&amp;cID=&amp;MenuYn=Y&amp;ReportGB=&amp;NewMenuID=108&amp;stkGb=701", "원익홀딩스")</f>
        <v>0</v>
      </c>
      <c r="C408">
        <v>3</v>
      </c>
      <c r="D408">
        <v>6590</v>
      </c>
      <c r="E408">
        <v>-3.92</v>
      </c>
      <c r="F408">
        <v>12.71</v>
      </c>
      <c r="G408">
        <v>9942</v>
      </c>
      <c r="H408">
        <v>10142</v>
      </c>
      <c r="I408">
        <v>10199</v>
      </c>
      <c r="J408">
        <v>-50.87</v>
      </c>
      <c r="K408">
        <v>-53.9</v>
      </c>
      <c r="L408">
        <v>-54.77</v>
      </c>
      <c r="M408">
        <v>7.71</v>
      </c>
      <c r="N408" t="b">
        <v>1</v>
      </c>
      <c r="O408">
        <v>429</v>
      </c>
      <c r="P408" t="s">
        <v>421</v>
      </c>
      <c r="Q408" t="s">
        <v>2602</v>
      </c>
      <c r="R408">
        <v>-3.243086273481721</v>
      </c>
      <c r="S408">
        <v>5090</v>
      </c>
      <c r="T408">
        <v>1228584</v>
      </c>
      <c r="U408" t="s">
        <v>4393</v>
      </c>
      <c r="V408">
        <v>45.68</v>
      </c>
      <c r="W408" t="s">
        <v>6613</v>
      </c>
      <c r="X408" t="s">
        <v>8764</v>
      </c>
      <c r="Y408">
        <v>4508</v>
      </c>
      <c r="Z408">
        <v>616</v>
      </c>
      <c r="AA408">
        <v>2454976</v>
      </c>
    </row>
    <row r="409" spans="1:28">
      <c r="A409" s="2">
        <f>HYPERLINK("https://finance.naver.com/item/coinfo.nhn?code=006840", "A006840")</f>
        <v>0</v>
      </c>
      <c r="B409">
        <f>HYPERLINK("http://comp.fnguide.com/SVO2/ASP/SVD_Consensus.asp?pGB=1&amp;gicode=A006840&amp;cID=&amp;MenuYn=Y&amp;ReportGB=&amp;NewMenuID=108&amp;stkGb=701", "AK홀딩스")</f>
        <v>0</v>
      </c>
      <c r="C409">
        <v>3</v>
      </c>
      <c r="D409">
        <v>26400</v>
      </c>
      <c r="E409">
        <v>-0.6</v>
      </c>
      <c r="F409">
        <v>16.21</v>
      </c>
      <c r="G409">
        <v>70100</v>
      </c>
      <c r="H409">
        <v>66084</v>
      </c>
      <c r="I409">
        <v>64940</v>
      </c>
      <c r="J409">
        <v>-165.53</v>
      </c>
      <c r="K409">
        <v>-150.32</v>
      </c>
      <c r="L409">
        <v>-145.99</v>
      </c>
      <c r="M409">
        <v>8.81</v>
      </c>
      <c r="N409" t="b">
        <v>0</v>
      </c>
      <c r="O409">
        <v>2135</v>
      </c>
      <c r="P409" t="s">
        <v>422</v>
      </c>
      <c r="Q409" t="s">
        <v>2603</v>
      </c>
      <c r="R409">
        <v>-26.8108708549855</v>
      </c>
      <c r="S409">
        <v>3497</v>
      </c>
      <c r="T409">
        <v>301950</v>
      </c>
      <c r="U409" t="s">
        <v>4394</v>
      </c>
      <c r="V409">
        <v>64.93000000000001</v>
      </c>
      <c r="W409" t="s">
        <v>6614</v>
      </c>
      <c r="X409" t="s">
        <v>8765</v>
      </c>
      <c r="Y409">
        <v>37595</v>
      </c>
      <c r="Z409">
        <v>1313</v>
      </c>
      <c r="AA409">
        <v>202066</v>
      </c>
      <c r="AB409">
        <v>2.17</v>
      </c>
    </row>
    <row r="410" spans="1:28">
      <c r="A410" s="2">
        <f>HYPERLINK("https://finance.naver.com/item/coinfo.nhn?code=012700", "A012700")</f>
        <v>0</v>
      </c>
      <c r="B410">
        <f>HYPERLINK("http://comp.fnguide.com/SVO2/ASP/SVD_Consensus.asp?pGB=1&amp;gicode=A012700&amp;cID=&amp;MenuYn=Y&amp;ReportGB=&amp;NewMenuID=108&amp;stkGb=701", "리드코프")</f>
        <v>0</v>
      </c>
      <c r="C410">
        <v>3</v>
      </c>
      <c r="D410">
        <v>6650</v>
      </c>
      <c r="E410">
        <v>3.11</v>
      </c>
      <c r="F410">
        <v>4.64</v>
      </c>
      <c r="G410">
        <v>19981</v>
      </c>
      <c r="H410">
        <v>16621</v>
      </c>
      <c r="I410">
        <v>15664</v>
      </c>
      <c r="J410">
        <v>-200.46</v>
      </c>
      <c r="K410">
        <v>-149.94</v>
      </c>
      <c r="L410">
        <v>-135.55</v>
      </c>
      <c r="M410">
        <v>11.07</v>
      </c>
      <c r="N410" t="b">
        <v>1</v>
      </c>
      <c r="O410">
        <v>1531</v>
      </c>
      <c r="P410" t="s">
        <v>423</v>
      </c>
      <c r="Q410" t="s">
        <v>2604</v>
      </c>
      <c r="R410">
        <v>1.493383548352334</v>
      </c>
      <c r="S410">
        <v>1759</v>
      </c>
      <c r="T410">
        <v>86132</v>
      </c>
      <c r="U410" t="s">
        <v>4395</v>
      </c>
      <c r="V410">
        <v>40.16</v>
      </c>
      <c r="W410" t="s">
        <v>6615</v>
      </c>
      <c r="X410" t="s">
        <v>8766</v>
      </c>
      <c r="Y410">
        <v>4954</v>
      </c>
      <c r="Z410">
        <v>539</v>
      </c>
      <c r="AA410">
        <v>851283</v>
      </c>
      <c r="AB410">
        <v>2.11</v>
      </c>
    </row>
    <row r="411" spans="1:28">
      <c r="A411" s="2">
        <f>HYPERLINK("https://finance.naver.com/item/coinfo.nhn?code=019210", "A019210")</f>
        <v>0</v>
      </c>
      <c r="B411">
        <f>HYPERLINK("http://comp.fnguide.com/SVO2/ASP/SVD_Consensus.asp?pGB=1&amp;gicode=A019210&amp;cID=&amp;MenuYn=Y&amp;ReportGB=&amp;NewMenuID=108&amp;stkGb=701", "와이지-원")</f>
        <v>0</v>
      </c>
      <c r="C411">
        <v>3</v>
      </c>
      <c r="D411">
        <v>6070</v>
      </c>
      <c r="E411">
        <v>-3.75</v>
      </c>
      <c r="F411">
        <v>171.77</v>
      </c>
      <c r="G411">
        <v>6003</v>
      </c>
      <c r="H411">
        <v>8811</v>
      </c>
      <c r="I411">
        <v>9611</v>
      </c>
      <c r="J411">
        <v>1.1</v>
      </c>
      <c r="K411">
        <v>-45.15</v>
      </c>
      <c r="L411">
        <v>-58.33</v>
      </c>
      <c r="M411">
        <v>4.48</v>
      </c>
      <c r="N411" t="b">
        <v>0</v>
      </c>
      <c r="O411">
        <v>44</v>
      </c>
      <c r="P411" t="s">
        <v>424</v>
      </c>
      <c r="Q411" t="s">
        <v>2605</v>
      </c>
      <c r="R411">
        <v>-45.83141409339115</v>
      </c>
      <c r="S411">
        <v>1856</v>
      </c>
      <c r="T411">
        <v>237358</v>
      </c>
      <c r="U411" t="s">
        <v>4396</v>
      </c>
      <c r="V411">
        <v>37.84</v>
      </c>
      <c r="W411" t="s">
        <v>6616</v>
      </c>
      <c r="X411" t="s">
        <v>8767</v>
      </c>
      <c r="Y411">
        <v>4280</v>
      </c>
      <c r="Z411">
        <v>132</v>
      </c>
      <c r="AB411">
        <v>1.58</v>
      </c>
    </row>
    <row r="412" spans="1:28">
      <c r="A412" s="2">
        <f>HYPERLINK("https://finance.naver.com/item/coinfo.nhn?code=005990", "A005990")</f>
        <v>0</v>
      </c>
      <c r="B412">
        <f>HYPERLINK("http://comp.fnguide.com/SVO2/ASP/SVD_Consensus.asp?pGB=1&amp;gicode=A005990&amp;cID=&amp;MenuYn=Y&amp;ReportGB=&amp;NewMenuID=108&amp;stkGb=701", "매일홀딩스")</f>
        <v>0</v>
      </c>
      <c r="C412">
        <v>3</v>
      </c>
      <c r="D412">
        <v>8530</v>
      </c>
      <c r="E412">
        <v>-1.19</v>
      </c>
      <c r="F412">
        <v>6.44</v>
      </c>
      <c r="G412">
        <v>20869</v>
      </c>
      <c r="H412">
        <v>22092</v>
      </c>
      <c r="I412">
        <v>22440</v>
      </c>
      <c r="J412">
        <v>-144.65</v>
      </c>
      <c r="K412">
        <v>-158.99</v>
      </c>
      <c r="L412">
        <v>-163.07</v>
      </c>
      <c r="M412">
        <v>7.26</v>
      </c>
      <c r="N412" t="b">
        <v>1</v>
      </c>
      <c r="O412">
        <v>1646</v>
      </c>
      <c r="P412" t="s">
        <v>425</v>
      </c>
      <c r="Q412" t="s">
        <v>2606</v>
      </c>
      <c r="R412">
        <v>-5.434033799289139</v>
      </c>
      <c r="S412">
        <v>1170</v>
      </c>
      <c r="T412">
        <v>5129</v>
      </c>
      <c r="U412" t="s">
        <v>4397</v>
      </c>
      <c r="V412">
        <v>65.93000000000001</v>
      </c>
      <c r="W412" t="s">
        <v>6617</v>
      </c>
      <c r="X412" t="s">
        <v>8768</v>
      </c>
      <c r="Y412">
        <v>15908</v>
      </c>
      <c r="Z412">
        <v>844</v>
      </c>
      <c r="AA412">
        <v>1000181</v>
      </c>
      <c r="AB412">
        <v>1.32</v>
      </c>
    </row>
    <row r="413" spans="1:28">
      <c r="A413" s="2">
        <f>HYPERLINK("https://finance.naver.com/item/coinfo.nhn?code=127160", "A127160")</f>
        <v>0</v>
      </c>
      <c r="B413">
        <f>HYPERLINK("http://comp.fnguide.com/SVO2/ASP/SVD_Consensus.asp?pGB=1&amp;gicode=A127160&amp;cID=&amp;MenuYn=Y&amp;ReportGB=&amp;NewMenuID=108&amp;stkGb=701", "매직마이크로")</f>
        <v>0</v>
      </c>
      <c r="C413">
        <v>3</v>
      </c>
      <c r="D413">
        <v>344</v>
      </c>
      <c r="E413">
        <v>0</v>
      </c>
      <c r="G413">
        <v>0</v>
      </c>
      <c r="H413">
        <v>477</v>
      </c>
      <c r="I413">
        <v>614</v>
      </c>
      <c r="J413">
        <v>100</v>
      </c>
      <c r="K413">
        <v>-38.8</v>
      </c>
      <c r="L413">
        <v>-78.36</v>
      </c>
      <c r="M413">
        <v>0</v>
      </c>
      <c r="N413" t="b">
        <v>0</v>
      </c>
      <c r="O413">
        <v>-238</v>
      </c>
      <c r="P413" t="s">
        <v>426</v>
      </c>
      <c r="Q413" t="s">
        <v>2276</v>
      </c>
      <c r="R413">
        <v>0</v>
      </c>
      <c r="S413">
        <v>239</v>
      </c>
      <c r="T413">
        <v>2176569</v>
      </c>
      <c r="U413" t="s">
        <v>4398</v>
      </c>
      <c r="V413">
        <v>4.58</v>
      </c>
      <c r="W413" t="s">
        <v>6618</v>
      </c>
      <c r="X413" t="s">
        <v>968</v>
      </c>
      <c r="Y413">
        <v>738</v>
      </c>
      <c r="Z413">
        <v>-85</v>
      </c>
      <c r="AA413">
        <v>15</v>
      </c>
    </row>
    <row r="414" spans="1:28">
      <c r="A414" s="2">
        <f>HYPERLINK("https://finance.naver.com/item/coinfo.nhn?code=093520", "A093520")</f>
        <v>0</v>
      </c>
      <c r="B414">
        <f>HYPERLINK("http://comp.fnguide.com/SVO2/ASP/SVD_Consensus.asp?pGB=1&amp;gicode=A093520&amp;cID=&amp;MenuYn=Y&amp;ReportGB=&amp;NewMenuID=108&amp;stkGb=701", "매커스")</f>
        <v>0</v>
      </c>
      <c r="C414">
        <v>3</v>
      </c>
      <c r="D414">
        <v>4710</v>
      </c>
      <c r="E414">
        <v>1.39</v>
      </c>
      <c r="F414">
        <v>12.7</v>
      </c>
      <c r="G414">
        <v>7836</v>
      </c>
      <c r="H414">
        <v>5765</v>
      </c>
      <c r="I414">
        <v>5175</v>
      </c>
      <c r="J414">
        <v>-66.36</v>
      </c>
      <c r="K414">
        <v>-22.4</v>
      </c>
      <c r="L414">
        <v>-9.880000000000001</v>
      </c>
      <c r="M414">
        <v>14.23</v>
      </c>
      <c r="N414" t="b">
        <v>1</v>
      </c>
      <c r="O414">
        <v>296</v>
      </c>
      <c r="P414" t="s">
        <v>427</v>
      </c>
      <c r="Q414" t="s">
        <v>2607</v>
      </c>
      <c r="R414">
        <v>9.119440919884902</v>
      </c>
      <c r="S414">
        <v>761</v>
      </c>
      <c r="T414">
        <v>120681</v>
      </c>
      <c r="U414" t="s">
        <v>4399</v>
      </c>
      <c r="V414">
        <v>15.93</v>
      </c>
      <c r="W414" t="s">
        <v>6619</v>
      </c>
      <c r="X414" t="s">
        <v>8769</v>
      </c>
      <c r="Y414">
        <v>575</v>
      </c>
      <c r="Z414">
        <v>59</v>
      </c>
      <c r="AA414">
        <v>4135008</v>
      </c>
      <c r="AB414">
        <v>2.66</v>
      </c>
    </row>
    <row r="415" spans="1:28">
      <c r="A415" s="2">
        <f>HYPERLINK("https://finance.naver.com/item/coinfo.nhn?code=072870", "A072870")</f>
        <v>0</v>
      </c>
      <c r="B415">
        <f>HYPERLINK("http://comp.fnguide.com/SVO2/ASP/SVD_Consensus.asp?pGB=1&amp;gicode=A072870&amp;cID=&amp;MenuYn=Y&amp;ReportGB=&amp;NewMenuID=108&amp;stkGb=701", "메가스터디")</f>
        <v>0</v>
      </c>
      <c r="C415">
        <v>3</v>
      </c>
      <c r="D415">
        <v>12100</v>
      </c>
      <c r="E415">
        <v>-0.5600000000000001</v>
      </c>
      <c r="F415">
        <v>11.14</v>
      </c>
      <c r="G415">
        <v>15389</v>
      </c>
      <c r="H415">
        <v>19652</v>
      </c>
      <c r="I415">
        <v>20867</v>
      </c>
      <c r="J415">
        <v>-27.19</v>
      </c>
      <c r="K415">
        <v>-62.42</v>
      </c>
      <c r="L415">
        <v>-72.45999999999999</v>
      </c>
      <c r="M415">
        <v>5.45</v>
      </c>
      <c r="N415" t="b">
        <v>1</v>
      </c>
      <c r="O415">
        <v>1064</v>
      </c>
      <c r="P415" t="s">
        <v>428</v>
      </c>
      <c r="Q415" t="s">
        <v>2608</v>
      </c>
      <c r="R415">
        <v>-19.85899925755855</v>
      </c>
      <c r="S415">
        <v>1442</v>
      </c>
      <c r="T415">
        <v>187687</v>
      </c>
      <c r="U415" t="s">
        <v>4400</v>
      </c>
      <c r="V415">
        <v>34.76</v>
      </c>
      <c r="W415" t="s">
        <v>6620</v>
      </c>
      <c r="X415" t="s">
        <v>8770</v>
      </c>
      <c r="Y415">
        <v>1402</v>
      </c>
      <c r="Z415">
        <v>23</v>
      </c>
      <c r="AA415">
        <v>63957</v>
      </c>
      <c r="AB415">
        <v>3.8</v>
      </c>
    </row>
    <row r="416" spans="1:28">
      <c r="A416" s="2">
        <f>HYPERLINK("https://finance.naver.com/item/coinfo.nhn?code=057540", "A057540")</f>
        <v>0</v>
      </c>
      <c r="B416">
        <f>HYPERLINK("http://comp.fnguide.com/SVO2/ASP/SVD_Consensus.asp?pGB=1&amp;gicode=A057540&amp;cID=&amp;MenuYn=Y&amp;ReportGB=&amp;NewMenuID=108&amp;stkGb=701", "옴니시스템")</f>
        <v>0</v>
      </c>
      <c r="C416">
        <v>3</v>
      </c>
      <c r="D416">
        <v>2675</v>
      </c>
      <c r="E416">
        <v>-0.1</v>
      </c>
      <c r="F416">
        <v>4.24</v>
      </c>
      <c r="G416">
        <v>4012</v>
      </c>
      <c r="H416">
        <v>2972</v>
      </c>
      <c r="I416">
        <v>2676</v>
      </c>
      <c r="J416">
        <v>-49.98</v>
      </c>
      <c r="K416">
        <v>-11.12</v>
      </c>
      <c r="L416">
        <v>-0.04</v>
      </c>
      <c r="M416">
        <v>14.01</v>
      </c>
      <c r="N416" t="b">
        <v>1</v>
      </c>
      <c r="O416">
        <v>463</v>
      </c>
      <c r="P416" t="s">
        <v>429</v>
      </c>
      <c r="Q416" t="s">
        <v>2609</v>
      </c>
      <c r="R416">
        <v>-42.69491372534636</v>
      </c>
      <c r="S416">
        <v>1165</v>
      </c>
      <c r="T416">
        <v>981199</v>
      </c>
      <c r="U416" t="s">
        <v>4401</v>
      </c>
      <c r="V416">
        <v>19.93</v>
      </c>
      <c r="W416" t="s">
        <v>6621</v>
      </c>
      <c r="X416" t="s">
        <v>8771</v>
      </c>
      <c r="Y416">
        <v>940</v>
      </c>
      <c r="Z416">
        <v>-20</v>
      </c>
      <c r="AA416">
        <v>2105261</v>
      </c>
    </row>
    <row r="417" spans="1:28">
      <c r="A417" s="2">
        <f>HYPERLINK("https://finance.naver.com/item/coinfo.nhn?code=014100", "A014100")</f>
        <v>0</v>
      </c>
      <c r="B417">
        <f>HYPERLINK("http://comp.fnguide.com/SVO2/ASP/SVD_Consensus.asp?pGB=1&amp;gicode=A014100&amp;cID=&amp;MenuYn=Y&amp;ReportGB=&amp;NewMenuID=108&amp;stkGb=701", "메디앙스")</f>
        <v>0</v>
      </c>
      <c r="C417">
        <v>3</v>
      </c>
      <c r="D417">
        <v>4195</v>
      </c>
      <c r="E417">
        <v>0.05</v>
      </c>
      <c r="F417">
        <v>3.01</v>
      </c>
      <c r="G417">
        <v>27162</v>
      </c>
      <c r="H417">
        <v>15212</v>
      </c>
      <c r="I417">
        <v>11807</v>
      </c>
      <c r="J417">
        <v>-547.49</v>
      </c>
      <c r="K417">
        <v>-262.63</v>
      </c>
      <c r="L417">
        <v>-181.46</v>
      </c>
      <c r="M417">
        <v>29.76</v>
      </c>
      <c r="N417" t="b">
        <v>1</v>
      </c>
      <c r="O417">
        <v>2877</v>
      </c>
      <c r="P417" t="s">
        <v>430</v>
      </c>
      <c r="Q417" t="s">
        <v>2610</v>
      </c>
      <c r="R417">
        <v>56.99309079590677</v>
      </c>
      <c r="S417">
        <v>495</v>
      </c>
      <c r="T417">
        <v>0</v>
      </c>
      <c r="U417" t="s">
        <v>4402</v>
      </c>
      <c r="V417">
        <v>30.49</v>
      </c>
      <c r="W417" t="s">
        <v>6622</v>
      </c>
      <c r="X417" t="s">
        <v>8772</v>
      </c>
      <c r="Y417">
        <v>973</v>
      </c>
      <c r="Z417">
        <v>16</v>
      </c>
      <c r="AA417">
        <v>236868</v>
      </c>
    </row>
    <row r="418" spans="1:28">
      <c r="A418" s="2">
        <f>HYPERLINK("https://finance.naver.com/item/coinfo.nhn?code=241770", "A241770")</f>
        <v>0</v>
      </c>
      <c r="B418">
        <f>HYPERLINK("http://comp.fnguide.com/SVO2/ASP/SVD_Consensus.asp?pGB=1&amp;gicode=A241770&amp;cID=&amp;MenuYn=Y&amp;ReportGB=&amp;NewMenuID=108&amp;stkGb=701", "메카로")</f>
        <v>0</v>
      </c>
      <c r="C418">
        <v>3</v>
      </c>
      <c r="D418">
        <v>14050</v>
      </c>
      <c r="E418">
        <v>-0.35</v>
      </c>
      <c r="F418">
        <v>18.81</v>
      </c>
      <c r="G418">
        <v>31860</v>
      </c>
      <c r="H418">
        <v>21450</v>
      </c>
      <c r="I418">
        <v>18483</v>
      </c>
      <c r="J418">
        <v>-126.76</v>
      </c>
      <c r="K418">
        <v>-52.67</v>
      </c>
      <c r="L418">
        <v>-31.55</v>
      </c>
      <c r="M418">
        <v>17.47</v>
      </c>
      <c r="N418" t="b">
        <v>1</v>
      </c>
      <c r="O418">
        <v>819</v>
      </c>
      <c r="P418" t="s">
        <v>431</v>
      </c>
      <c r="Q418" t="s">
        <v>2611</v>
      </c>
      <c r="R418">
        <v>-53.38808199501476</v>
      </c>
      <c r="S418">
        <v>1419</v>
      </c>
      <c r="T418">
        <v>120049</v>
      </c>
      <c r="U418" t="s">
        <v>4403</v>
      </c>
      <c r="V418">
        <v>60.36</v>
      </c>
      <c r="W418" t="s">
        <v>6623</v>
      </c>
      <c r="X418" t="s">
        <v>8773</v>
      </c>
      <c r="Y418">
        <v>725</v>
      </c>
      <c r="Z418">
        <v>86</v>
      </c>
      <c r="AA418">
        <v>380000</v>
      </c>
      <c r="AB418">
        <v>1.04</v>
      </c>
    </row>
    <row r="419" spans="1:28">
      <c r="A419" s="2">
        <f>HYPERLINK("https://finance.naver.com/item/coinfo.nhn?code=031510", "A031510")</f>
        <v>0</v>
      </c>
      <c r="B419">
        <f>HYPERLINK("http://comp.fnguide.com/SVO2/ASP/SVD_Consensus.asp?pGB=1&amp;gicode=A031510&amp;cID=&amp;MenuYn=Y&amp;ReportGB=&amp;NewMenuID=108&amp;stkGb=701", "오스템")</f>
        <v>0</v>
      </c>
      <c r="C419">
        <v>3</v>
      </c>
      <c r="D419">
        <v>2930</v>
      </c>
      <c r="G419">
        <v>35</v>
      </c>
      <c r="H419">
        <v>2487</v>
      </c>
      <c r="I419">
        <v>3186</v>
      </c>
      <c r="J419">
        <v>98.8</v>
      </c>
      <c r="K419">
        <v>15.11</v>
      </c>
      <c r="L419">
        <v>-8.74</v>
      </c>
      <c r="M419">
        <v>0.07000000000000001</v>
      </c>
      <c r="N419" t="b">
        <v>0</v>
      </c>
      <c r="O419">
        <v>-537</v>
      </c>
      <c r="P419" t="s">
        <v>432</v>
      </c>
      <c r="Q419" t="s">
        <v>2612</v>
      </c>
      <c r="R419">
        <v>-80.32539708151648</v>
      </c>
      <c r="S419">
        <v>820</v>
      </c>
      <c r="T419">
        <v>373297</v>
      </c>
      <c r="U419" t="s">
        <v>4404</v>
      </c>
      <c r="V419">
        <v>13.16</v>
      </c>
      <c r="W419" t="s">
        <v>6624</v>
      </c>
      <c r="X419" t="s">
        <v>8774</v>
      </c>
      <c r="Y419">
        <v>1470</v>
      </c>
      <c r="Z419">
        <v>-46</v>
      </c>
      <c r="AA419">
        <v>1350000</v>
      </c>
      <c r="AB419">
        <v>0.99</v>
      </c>
    </row>
    <row r="420" spans="1:28">
      <c r="A420" s="2">
        <f>HYPERLINK("https://finance.naver.com/item/coinfo.nhn?code=014190", "A014190")</f>
        <v>0</v>
      </c>
      <c r="B420">
        <f>HYPERLINK("http://comp.fnguide.com/SVO2/ASP/SVD_Consensus.asp?pGB=1&amp;gicode=A014190&amp;cID=&amp;MenuYn=Y&amp;ReportGB=&amp;NewMenuID=108&amp;stkGb=701", "원익큐브")</f>
        <v>0</v>
      </c>
      <c r="C420">
        <v>3</v>
      </c>
      <c r="D420">
        <v>1730</v>
      </c>
      <c r="E420">
        <v>-353.2</v>
      </c>
      <c r="F420">
        <v>20.05</v>
      </c>
      <c r="G420">
        <v>813</v>
      </c>
      <c r="H420">
        <v>1693</v>
      </c>
      <c r="I420">
        <v>1943</v>
      </c>
      <c r="J420">
        <v>53.01</v>
      </c>
      <c r="K420">
        <v>2.16</v>
      </c>
      <c r="L420">
        <v>-12.33</v>
      </c>
      <c r="M420">
        <v>2.85</v>
      </c>
      <c r="N420" t="b">
        <v>1</v>
      </c>
      <c r="O420">
        <v>108</v>
      </c>
      <c r="P420" t="s">
        <v>433</v>
      </c>
      <c r="Q420" t="s">
        <v>2613</v>
      </c>
      <c r="R420">
        <v>-0.05676611195732928</v>
      </c>
      <c r="S420">
        <v>612</v>
      </c>
      <c r="T420">
        <v>760898</v>
      </c>
      <c r="U420" t="s">
        <v>4405</v>
      </c>
      <c r="V420">
        <v>32.85</v>
      </c>
      <c r="W420" t="s">
        <v>6625</v>
      </c>
      <c r="X420" t="s">
        <v>8775</v>
      </c>
      <c r="Y420">
        <v>2039</v>
      </c>
      <c r="Z420">
        <v>-18</v>
      </c>
      <c r="AA420">
        <v>4835</v>
      </c>
    </row>
    <row r="421" spans="1:28">
      <c r="A421" s="2">
        <f>HYPERLINK("https://finance.naver.com/item/coinfo.nhn?code=012620", "A012620")</f>
        <v>0</v>
      </c>
      <c r="B421">
        <f>HYPERLINK("http://comp.fnguide.com/SVO2/ASP/SVD_Consensus.asp?pGB=1&amp;gicode=A012620&amp;cID=&amp;MenuYn=Y&amp;ReportGB=&amp;NewMenuID=108&amp;stkGb=701", "원일특강")</f>
        <v>0</v>
      </c>
      <c r="C421">
        <v>3</v>
      </c>
      <c r="D421">
        <v>8730</v>
      </c>
      <c r="E421">
        <v>0.44</v>
      </c>
      <c r="F421">
        <v>3.97</v>
      </c>
      <c r="G421">
        <v>25915</v>
      </c>
      <c r="H421">
        <v>26458</v>
      </c>
      <c r="I421">
        <v>26612</v>
      </c>
      <c r="J421">
        <v>-196.85</v>
      </c>
      <c r="K421">
        <v>-203.07</v>
      </c>
      <c r="L421">
        <v>-204.84</v>
      </c>
      <c r="M421">
        <v>7.7</v>
      </c>
      <c r="N421" t="b">
        <v>1</v>
      </c>
      <c r="O421">
        <v>2259</v>
      </c>
      <c r="P421" t="s">
        <v>434</v>
      </c>
      <c r="Q421" t="s">
        <v>2614</v>
      </c>
      <c r="R421">
        <v>8.98174078019176</v>
      </c>
      <c r="S421">
        <v>384</v>
      </c>
      <c r="T421">
        <v>6452</v>
      </c>
      <c r="U421" t="s">
        <v>4406</v>
      </c>
      <c r="V421">
        <v>44.83</v>
      </c>
      <c r="W421" t="s">
        <v>6626</v>
      </c>
      <c r="X421" t="s">
        <v>8776</v>
      </c>
      <c r="Y421">
        <v>2558</v>
      </c>
      <c r="Z421">
        <v>92</v>
      </c>
      <c r="AB421">
        <v>1.67</v>
      </c>
    </row>
    <row r="422" spans="1:28">
      <c r="A422" s="2">
        <f>HYPERLINK("https://finance.naver.com/item/coinfo.nhn?code=077360", "A077360")</f>
        <v>0</v>
      </c>
      <c r="B422">
        <f>HYPERLINK("http://comp.fnguide.com/SVO2/ASP/SVD_Consensus.asp?pGB=1&amp;gicode=A077360&amp;cID=&amp;MenuYn=Y&amp;ReportGB=&amp;NewMenuID=108&amp;stkGb=701", "덕산하이메탈")</f>
        <v>0</v>
      </c>
      <c r="C422">
        <v>3</v>
      </c>
      <c r="D422">
        <v>7690</v>
      </c>
      <c r="E422">
        <v>0.54</v>
      </c>
      <c r="F422">
        <v>15.46</v>
      </c>
      <c r="G422">
        <v>7336</v>
      </c>
      <c r="H422">
        <v>9018</v>
      </c>
      <c r="I422">
        <v>9498</v>
      </c>
      <c r="J422">
        <v>4.6</v>
      </c>
      <c r="K422">
        <v>-17.28</v>
      </c>
      <c r="L422">
        <v>-23.51</v>
      </c>
      <c r="M422">
        <v>5.77</v>
      </c>
      <c r="N422" t="b">
        <v>1</v>
      </c>
      <c r="O422">
        <v>495</v>
      </c>
      <c r="P422" t="s">
        <v>435</v>
      </c>
      <c r="Q422" t="s">
        <v>2615</v>
      </c>
      <c r="R422">
        <v>28.68681463042102</v>
      </c>
      <c r="S422">
        <v>1747</v>
      </c>
      <c r="T422">
        <v>47299</v>
      </c>
      <c r="U422" t="s">
        <v>4407</v>
      </c>
      <c r="V422">
        <v>55</v>
      </c>
      <c r="W422" t="s">
        <v>6627</v>
      </c>
      <c r="X422" t="s">
        <v>8777</v>
      </c>
      <c r="Y422">
        <v>518</v>
      </c>
      <c r="Z422">
        <v>41</v>
      </c>
      <c r="AA422">
        <v>2760247</v>
      </c>
    </row>
    <row r="423" spans="1:28">
      <c r="A423" s="2">
        <f>HYPERLINK("https://finance.naver.com/item/coinfo.nhn?code=088910", "A088910")</f>
        <v>0</v>
      </c>
      <c r="B423">
        <f>HYPERLINK("http://comp.fnguide.com/SVO2/ASP/SVD_Consensus.asp?pGB=1&amp;gicode=A088910&amp;cID=&amp;MenuYn=Y&amp;ReportGB=&amp;NewMenuID=108&amp;stkGb=701", "동우팜투테이블")</f>
        <v>0</v>
      </c>
      <c r="C423">
        <v>3</v>
      </c>
      <c r="D423">
        <v>3205</v>
      </c>
      <c r="E423">
        <v>-1.28</v>
      </c>
      <c r="F423">
        <v>35.03</v>
      </c>
      <c r="G423">
        <v>5470</v>
      </c>
      <c r="H423">
        <v>6622</v>
      </c>
      <c r="I423">
        <v>6950</v>
      </c>
      <c r="J423">
        <v>-70.66</v>
      </c>
      <c r="K423">
        <v>-106.6</v>
      </c>
      <c r="L423">
        <v>-116.84</v>
      </c>
      <c r="M423">
        <v>5.9</v>
      </c>
      <c r="N423" t="b">
        <v>1</v>
      </c>
      <c r="O423">
        <v>102</v>
      </c>
      <c r="P423" t="s">
        <v>436</v>
      </c>
      <c r="Q423" t="s">
        <v>2616</v>
      </c>
      <c r="R423">
        <v>-27.27193900713165</v>
      </c>
      <c r="S423">
        <v>828</v>
      </c>
      <c r="T423">
        <v>80667</v>
      </c>
      <c r="U423" t="s">
        <v>4408</v>
      </c>
      <c r="V423">
        <v>52.88</v>
      </c>
      <c r="W423" t="s">
        <v>6628</v>
      </c>
      <c r="X423" t="s">
        <v>8778</v>
      </c>
      <c r="Y423">
        <v>2706</v>
      </c>
      <c r="Z423">
        <v>43</v>
      </c>
      <c r="AA423">
        <v>110000</v>
      </c>
    </row>
    <row r="424" spans="1:28">
      <c r="A424" s="2">
        <f>HYPERLINK("https://finance.naver.com/item/coinfo.nhn?code=090410", "A090410")</f>
        <v>0</v>
      </c>
      <c r="B424">
        <f>HYPERLINK("http://comp.fnguide.com/SVO2/ASP/SVD_Consensus.asp?pGB=1&amp;gicode=A090410&amp;cID=&amp;MenuYn=Y&amp;ReportGB=&amp;NewMenuID=108&amp;stkGb=701", "덕신하우징")</f>
        <v>0</v>
      </c>
      <c r="C424">
        <v>3</v>
      </c>
      <c r="D424">
        <v>1600</v>
      </c>
      <c r="E424">
        <v>-0.59</v>
      </c>
      <c r="F424">
        <v>34.91</v>
      </c>
      <c r="G424">
        <v>1606</v>
      </c>
      <c r="H424">
        <v>1631</v>
      </c>
      <c r="I424">
        <v>1639</v>
      </c>
      <c r="J424">
        <v>-0.35</v>
      </c>
      <c r="K424">
        <v>-1.96</v>
      </c>
      <c r="L424">
        <v>-2.41</v>
      </c>
      <c r="M424">
        <v>7.76</v>
      </c>
      <c r="N424" t="b">
        <v>1</v>
      </c>
      <c r="O424">
        <v>37</v>
      </c>
      <c r="P424" t="s">
        <v>437</v>
      </c>
      <c r="Q424" t="s">
        <v>2617</v>
      </c>
      <c r="R424">
        <v>-58.76178956356133</v>
      </c>
      <c r="S424">
        <v>725</v>
      </c>
      <c r="T424">
        <v>1001738</v>
      </c>
      <c r="U424" t="s">
        <v>4409</v>
      </c>
      <c r="V424">
        <v>31.64</v>
      </c>
      <c r="W424" t="s">
        <v>6629</v>
      </c>
      <c r="X424" t="s">
        <v>8779</v>
      </c>
      <c r="Y424">
        <v>1490</v>
      </c>
      <c r="Z424">
        <v>26</v>
      </c>
      <c r="AA424">
        <v>1979225</v>
      </c>
    </row>
    <row r="425" spans="1:28">
      <c r="A425" s="2">
        <f>HYPERLINK("https://finance.naver.com/item/coinfo.nhn?code=054930", "A054930")</f>
        <v>0</v>
      </c>
      <c r="B425">
        <f>HYPERLINK("http://comp.fnguide.com/SVO2/ASP/SVD_Consensus.asp?pGB=1&amp;gicode=A054930&amp;cID=&amp;MenuYn=Y&amp;ReportGB=&amp;NewMenuID=108&amp;stkGb=701", "유신")</f>
        <v>0</v>
      </c>
      <c r="C425">
        <v>3</v>
      </c>
      <c r="D425">
        <v>14300</v>
      </c>
      <c r="G425">
        <v>982</v>
      </c>
      <c r="H425">
        <v>16694</v>
      </c>
      <c r="I425">
        <v>21172</v>
      </c>
      <c r="J425">
        <v>93.14</v>
      </c>
      <c r="K425">
        <v>-16.74</v>
      </c>
      <c r="L425">
        <v>-48.05</v>
      </c>
      <c r="M425">
        <v>0.29</v>
      </c>
      <c r="N425" t="b">
        <v>0</v>
      </c>
      <c r="O425">
        <v>-2050</v>
      </c>
      <c r="P425" t="s">
        <v>438</v>
      </c>
      <c r="Q425" t="s">
        <v>2618</v>
      </c>
      <c r="R425">
        <v>22.49448967198484</v>
      </c>
      <c r="S425">
        <v>429</v>
      </c>
      <c r="T425">
        <v>10979</v>
      </c>
      <c r="U425" t="s">
        <v>4410</v>
      </c>
      <c r="V425">
        <v>50.51</v>
      </c>
      <c r="W425" t="s">
        <v>6630</v>
      </c>
      <c r="X425" t="s">
        <v>8780</v>
      </c>
      <c r="Y425">
        <v>1666</v>
      </c>
      <c r="Z425">
        <v>-96</v>
      </c>
    </row>
    <row r="426" spans="1:28">
      <c r="A426" s="2">
        <f>HYPERLINK("https://finance.naver.com/item/coinfo.nhn?code=024800", "A024800")</f>
        <v>0</v>
      </c>
      <c r="B426">
        <f>HYPERLINK("http://comp.fnguide.com/SVO2/ASP/SVD_Consensus.asp?pGB=1&amp;gicode=A024800&amp;cID=&amp;MenuYn=Y&amp;ReportGB=&amp;NewMenuID=108&amp;stkGb=701", "유성티엔에스")</f>
        <v>0</v>
      </c>
      <c r="C426">
        <v>3</v>
      </c>
      <c r="D426">
        <v>2960</v>
      </c>
      <c r="E426">
        <v>0.1</v>
      </c>
      <c r="F426">
        <v>3.62</v>
      </c>
      <c r="G426">
        <v>9713</v>
      </c>
      <c r="H426">
        <v>8819</v>
      </c>
      <c r="I426">
        <v>8565</v>
      </c>
      <c r="J426">
        <v>-228.16</v>
      </c>
      <c r="K426">
        <v>-197.96</v>
      </c>
      <c r="L426">
        <v>-189.35</v>
      </c>
      <c r="M426">
        <v>9.41</v>
      </c>
      <c r="N426" t="b">
        <v>1</v>
      </c>
      <c r="O426">
        <v>780</v>
      </c>
      <c r="P426" t="s">
        <v>439</v>
      </c>
      <c r="Q426" t="s">
        <v>2619</v>
      </c>
      <c r="R426">
        <v>36.85179602933748</v>
      </c>
      <c r="S426">
        <v>806</v>
      </c>
      <c r="T426">
        <v>2649851</v>
      </c>
      <c r="U426" t="s">
        <v>4411</v>
      </c>
      <c r="V426">
        <v>48.23</v>
      </c>
      <c r="W426" t="s">
        <v>6631</v>
      </c>
      <c r="X426" t="s">
        <v>8781</v>
      </c>
      <c r="Y426">
        <v>3581</v>
      </c>
      <c r="Z426">
        <v>74</v>
      </c>
      <c r="AA426">
        <v>3652884</v>
      </c>
      <c r="AB426">
        <v>0.53</v>
      </c>
    </row>
    <row r="427" spans="1:28">
      <c r="A427" s="2">
        <f>HYPERLINK("https://finance.naver.com/item/coinfo.nhn?code=089850", "A089850")</f>
        <v>0</v>
      </c>
      <c r="B427">
        <f>HYPERLINK("http://comp.fnguide.com/SVO2/ASP/SVD_Consensus.asp?pGB=1&amp;gicode=A089850&amp;cID=&amp;MenuYn=Y&amp;ReportGB=&amp;NewMenuID=108&amp;stkGb=701", "유비벨록스")</f>
        <v>0</v>
      </c>
      <c r="C427">
        <v>3</v>
      </c>
      <c r="D427">
        <v>9540</v>
      </c>
      <c r="E427">
        <v>0.15</v>
      </c>
      <c r="F427">
        <v>8.109999999999999</v>
      </c>
      <c r="G427">
        <v>7966</v>
      </c>
      <c r="H427">
        <v>9743</v>
      </c>
      <c r="I427">
        <v>10249</v>
      </c>
      <c r="J427">
        <v>16.5</v>
      </c>
      <c r="K427">
        <v>-2.13</v>
      </c>
      <c r="L427">
        <v>-7.44</v>
      </c>
      <c r="M427">
        <v>5.81</v>
      </c>
      <c r="N427" t="b">
        <v>1</v>
      </c>
      <c r="O427">
        <v>805</v>
      </c>
      <c r="P427" t="s">
        <v>440</v>
      </c>
      <c r="Q427" t="s">
        <v>2620</v>
      </c>
      <c r="R427">
        <v>55.68924176063032</v>
      </c>
      <c r="S427">
        <v>679</v>
      </c>
      <c r="T427">
        <v>78470</v>
      </c>
      <c r="U427" t="s">
        <v>4412</v>
      </c>
      <c r="V427">
        <v>24.56</v>
      </c>
      <c r="W427" t="s">
        <v>6632</v>
      </c>
      <c r="X427" t="s">
        <v>8782</v>
      </c>
      <c r="Y427">
        <v>2794</v>
      </c>
      <c r="Z427">
        <v>78</v>
      </c>
      <c r="AA427">
        <v>378119</v>
      </c>
    </row>
    <row r="428" spans="1:28">
      <c r="A428" s="2">
        <f>HYPERLINK("https://finance.naver.com/item/coinfo.nhn?code=067990", "A067990")</f>
        <v>0</v>
      </c>
      <c r="B428">
        <f>HYPERLINK("http://comp.fnguide.com/SVO2/ASP/SVD_Consensus.asp?pGB=1&amp;gicode=A067990&amp;cID=&amp;MenuYn=Y&amp;ReportGB=&amp;NewMenuID=108&amp;stkGb=701", "도이치모터스")</f>
        <v>0</v>
      </c>
      <c r="C428">
        <v>3</v>
      </c>
      <c r="D428">
        <v>6720</v>
      </c>
      <c r="E428">
        <v>0.07000000000000001</v>
      </c>
      <c r="F428">
        <v>3.84</v>
      </c>
      <c r="G428">
        <v>23727</v>
      </c>
      <c r="H428">
        <v>15003</v>
      </c>
      <c r="I428">
        <v>12517</v>
      </c>
      <c r="J428">
        <v>-253.08</v>
      </c>
      <c r="K428">
        <v>-123.25</v>
      </c>
      <c r="L428">
        <v>-86.26000000000001</v>
      </c>
      <c r="M428">
        <v>20.54</v>
      </c>
      <c r="N428" t="b">
        <v>1</v>
      </c>
      <c r="O428">
        <v>1998</v>
      </c>
      <c r="P428" t="s">
        <v>441</v>
      </c>
      <c r="Q428" t="s">
        <v>2621</v>
      </c>
      <c r="R428">
        <v>55.26657146025182</v>
      </c>
      <c r="S428">
        <v>1884</v>
      </c>
      <c r="T428">
        <v>1124758</v>
      </c>
      <c r="U428" t="s">
        <v>4413</v>
      </c>
      <c r="V428">
        <v>33.11</v>
      </c>
      <c r="W428" t="s">
        <v>6633</v>
      </c>
      <c r="X428" t="s">
        <v>8783</v>
      </c>
      <c r="Y428">
        <v>12087</v>
      </c>
      <c r="Z428">
        <v>829</v>
      </c>
      <c r="AA428">
        <v>1100000</v>
      </c>
    </row>
    <row r="429" spans="1:28">
      <c r="A429" s="2">
        <f>HYPERLINK("https://finance.naver.com/item/coinfo.nhn?code=005160", "A005160")</f>
        <v>0</v>
      </c>
      <c r="B429">
        <f>HYPERLINK("http://comp.fnguide.com/SVO2/ASP/SVD_Consensus.asp?pGB=1&amp;gicode=A005160&amp;cID=&amp;MenuYn=Y&amp;ReportGB=&amp;NewMenuID=108&amp;stkGb=701", "동국산업")</f>
        <v>0</v>
      </c>
      <c r="C429">
        <v>3</v>
      </c>
      <c r="D429">
        <v>3490</v>
      </c>
      <c r="E429">
        <v>-0.65</v>
      </c>
      <c r="F429">
        <v>10.38</v>
      </c>
      <c r="G429">
        <v>3384</v>
      </c>
      <c r="H429">
        <v>5812</v>
      </c>
      <c r="I429">
        <v>6504</v>
      </c>
      <c r="J429">
        <v>3.05</v>
      </c>
      <c r="K429">
        <v>-66.54000000000001</v>
      </c>
      <c r="L429">
        <v>-86.37</v>
      </c>
      <c r="M429">
        <v>3.63</v>
      </c>
      <c r="N429" t="b">
        <v>1</v>
      </c>
      <c r="O429">
        <v>250</v>
      </c>
      <c r="P429" t="s">
        <v>442</v>
      </c>
      <c r="Q429" t="s">
        <v>2622</v>
      </c>
      <c r="R429">
        <v>-16.00919440005039</v>
      </c>
      <c r="S429">
        <v>1893</v>
      </c>
      <c r="T429">
        <v>236207</v>
      </c>
      <c r="U429" t="s">
        <v>4414</v>
      </c>
      <c r="V429">
        <v>49.84</v>
      </c>
      <c r="W429" t="s">
        <v>6634</v>
      </c>
      <c r="X429" t="s">
        <v>8784</v>
      </c>
      <c r="Y429">
        <v>6737</v>
      </c>
      <c r="Z429">
        <v>329</v>
      </c>
      <c r="AA429">
        <v>2720071</v>
      </c>
      <c r="AB429">
        <v>5.01</v>
      </c>
    </row>
    <row r="430" spans="1:28">
      <c r="A430" s="2">
        <f>HYPERLINK("https://finance.naver.com/item/coinfo.nhn?code=075970", "A075970")</f>
        <v>0</v>
      </c>
      <c r="B430">
        <f>HYPERLINK("http://comp.fnguide.com/SVO2/ASP/SVD_Consensus.asp?pGB=1&amp;gicode=A075970&amp;cID=&amp;MenuYn=Y&amp;ReportGB=&amp;NewMenuID=108&amp;stkGb=701", "동국알앤에스")</f>
        <v>0</v>
      </c>
      <c r="C430">
        <v>3</v>
      </c>
      <c r="D430">
        <v>3225</v>
      </c>
      <c r="E430">
        <v>2.34</v>
      </c>
      <c r="F430">
        <v>20.13</v>
      </c>
      <c r="G430">
        <v>1733</v>
      </c>
      <c r="H430">
        <v>3134</v>
      </c>
      <c r="I430">
        <v>3533</v>
      </c>
      <c r="J430">
        <v>46.28</v>
      </c>
      <c r="K430">
        <v>2.82</v>
      </c>
      <c r="L430">
        <v>-9.56</v>
      </c>
      <c r="M430">
        <v>3.4</v>
      </c>
      <c r="N430" t="b">
        <v>1</v>
      </c>
      <c r="O430">
        <v>121</v>
      </c>
      <c r="P430" t="s">
        <v>443</v>
      </c>
      <c r="Q430" t="s">
        <v>2623</v>
      </c>
      <c r="R430">
        <v>8.600912650616689</v>
      </c>
      <c r="S430">
        <v>593</v>
      </c>
      <c r="T430">
        <v>288017</v>
      </c>
      <c r="U430" t="s">
        <v>4415</v>
      </c>
      <c r="V430">
        <v>54.18</v>
      </c>
      <c r="W430" t="s">
        <v>6635</v>
      </c>
      <c r="X430" t="s">
        <v>8785</v>
      </c>
      <c r="Y430">
        <v>1018</v>
      </c>
      <c r="Z430">
        <v>36</v>
      </c>
      <c r="AB430">
        <v>3.29</v>
      </c>
    </row>
    <row r="431" spans="1:28">
      <c r="A431" s="2">
        <f>HYPERLINK("https://finance.naver.com/item/coinfo.nhn?code=088130", "A088130")</f>
        <v>0</v>
      </c>
      <c r="B431">
        <f>HYPERLINK("http://comp.fnguide.com/SVO2/ASP/SVD_Consensus.asp?pGB=1&amp;gicode=A088130&amp;cID=&amp;MenuYn=Y&amp;ReportGB=&amp;NewMenuID=108&amp;stkGb=701", "동아엘텍")</f>
        <v>0</v>
      </c>
      <c r="C431">
        <v>3</v>
      </c>
      <c r="D431">
        <v>8120</v>
      </c>
      <c r="E431">
        <v>-20.07</v>
      </c>
      <c r="F431">
        <v>7.47</v>
      </c>
      <c r="G431">
        <v>18693</v>
      </c>
      <c r="H431">
        <v>17508</v>
      </c>
      <c r="I431">
        <v>17171</v>
      </c>
      <c r="J431">
        <v>-130.21</v>
      </c>
      <c r="K431">
        <v>-115.62</v>
      </c>
      <c r="L431">
        <v>-111.46</v>
      </c>
      <c r="M431">
        <v>8.91</v>
      </c>
      <c r="N431" t="b">
        <v>1</v>
      </c>
      <c r="O431">
        <v>1086</v>
      </c>
      <c r="P431" t="s">
        <v>444</v>
      </c>
      <c r="Q431" t="s">
        <v>2624</v>
      </c>
      <c r="R431">
        <v>-0.3722699517306416</v>
      </c>
      <c r="S431">
        <v>866</v>
      </c>
      <c r="T431">
        <v>46524</v>
      </c>
      <c r="U431" t="s">
        <v>4416</v>
      </c>
      <c r="V431">
        <v>31.01</v>
      </c>
      <c r="W431" t="s">
        <v>6636</v>
      </c>
      <c r="X431" t="s">
        <v>8786</v>
      </c>
      <c r="Y431">
        <v>2029</v>
      </c>
      <c r="Z431">
        <v>198</v>
      </c>
      <c r="AA431">
        <v>807091</v>
      </c>
      <c r="AB431">
        <v>1.85</v>
      </c>
    </row>
    <row r="432" spans="1:28">
      <c r="A432" s="2">
        <f>HYPERLINK("https://finance.naver.com/item/coinfo.nhn?code=060380", "A060380")</f>
        <v>0</v>
      </c>
      <c r="B432">
        <f>HYPERLINK("http://comp.fnguide.com/SVO2/ASP/SVD_Consensus.asp?pGB=1&amp;gicode=A060380&amp;cID=&amp;MenuYn=Y&amp;ReportGB=&amp;NewMenuID=108&amp;stkGb=701", "동양에스텍")</f>
        <v>0</v>
      </c>
      <c r="C432">
        <v>3</v>
      </c>
      <c r="D432">
        <v>2950</v>
      </c>
      <c r="E432">
        <v>-0.61</v>
      </c>
      <c r="F432">
        <v>15.13</v>
      </c>
      <c r="G432">
        <v>1953</v>
      </c>
      <c r="H432">
        <v>3970</v>
      </c>
      <c r="I432">
        <v>4544</v>
      </c>
      <c r="J432">
        <v>33.8</v>
      </c>
      <c r="K432">
        <v>-34.56</v>
      </c>
      <c r="L432">
        <v>-54.04</v>
      </c>
      <c r="M432">
        <v>2.93</v>
      </c>
      <c r="N432" t="b">
        <v>1</v>
      </c>
      <c r="O432">
        <v>195</v>
      </c>
      <c r="P432" t="s">
        <v>445</v>
      </c>
      <c r="Q432" t="s">
        <v>2625</v>
      </c>
      <c r="R432">
        <v>-24.89673775394306</v>
      </c>
      <c r="S432">
        <v>295</v>
      </c>
      <c r="T432">
        <v>22120</v>
      </c>
      <c r="U432" t="s">
        <v>4417</v>
      </c>
      <c r="V432">
        <v>54.01</v>
      </c>
      <c r="W432" t="s">
        <v>6637</v>
      </c>
      <c r="X432" t="s">
        <v>8787</v>
      </c>
      <c r="Y432">
        <v>2121</v>
      </c>
      <c r="Z432">
        <v>28</v>
      </c>
      <c r="AA432">
        <v>300000</v>
      </c>
      <c r="AB432">
        <v>3.39</v>
      </c>
    </row>
    <row r="433" spans="1:28">
      <c r="A433" s="2">
        <f>HYPERLINK("https://finance.naver.com/item/coinfo.nhn?code=079960", "A079960")</f>
        <v>0</v>
      </c>
      <c r="B433">
        <f>HYPERLINK("http://comp.fnguide.com/SVO2/ASP/SVD_Consensus.asp?pGB=1&amp;gicode=A079960&amp;cID=&amp;MenuYn=Y&amp;ReportGB=&amp;NewMenuID=108&amp;stkGb=701", "동양이엔피")</f>
        <v>0</v>
      </c>
      <c r="C433">
        <v>3</v>
      </c>
      <c r="D433">
        <v>15950</v>
      </c>
      <c r="E433">
        <v>0.5600000000000001</v>
      </c>
      <c r="F433">
        <v>5.34</v>
      </c>
      <c r="G433">
        <v>25978</v>
      </c>
      <c r="H433">
        <v>27768</v>
      </c>
      <c r="I433">
        <v>28278</v>
      </c>
      <c r="J433">
        <v>-62.87</v>
      </c>
      <c r="K433">
        <v>-74.09</v>
      </c>
      <c r="L433">
        <v>-77.29000000000001</v>
      </c>
      <c r="M433">
        <v>7.15</v>
      </c>
      <c r="N433" t="b">
        <v>1</v>
      </c>
      <c r="O433">
        <v>3043</v>
      </c>
      <c r="P433" t="s">
        <v>446</v>
      </c>
      <c r="Q433" t="s">
        <v>2626</v>
      </c>
      <c r="R433">
        <v>9.545124776719804</v>
      </c>
      <c r="S433">
        <v>1254</v>
      </c>
      <c r="T433">
        <v>61479</v>
      </c>
      <c r="U433" t="s">
        <v>4418</v>
      </c>
      <c r="V433">
        <v>34.97</v>
      </c>
      <c r="W433" t="s">
        <v>6638</v>
      </c>
      <c r="X433" t="s">
        <v>8788</v>
      </c>
      <c r="Y433">
        <v>4827</v>
      </c>
      <c r="Z433">
        <v>293</v>
      </c>
      <c r="AA433">
        <v>390319</v>
      </c>
      <c r="AB433">
        <v>1.85</v>
      </c>
    </row>
    <row r="434" spans="1:28">
      <c r="A434" s="2">
        <f>HYPERLINK("https://finance.naver.com/item/coinfo.nhn?code=228340", "A228340")</f>
        <v>0</v>
      </c>
      <c r="B434">
        <f>HYPERLINK("http://comp.fnguide.com/SVO2/ASP/SVD_Consensus.asp?pGB=1&amp;gicode=A228340&amp;cID=&amp;MenuYn=Y&amp;ReportGB=&amp;NewMenuID=108&amp;stkGb=701", "동양파일")</f>
        <v>0</v>
      </c>
      <c r="C434">
        <v>3</v>
      </c>
      <c r="D434">
        <v>3445</v>
      </c>
      <c r="G434">
        <v>724</v>
      </c>
      <c r="H434">
        <v>3960</v>
      </c>
      <c r="I434">
        <v>4882</v>
      </c>
      <c r="J434">
        <v>78.97</v>
      </c>
      <c r="K434">
        <v>-14.96</v>
      </c>
      <c r="L434">
        <v>-41.72</v>
      </c>
      <c r="M434">
        <v>0.9399999999999999</v>
      </c>
      <c r="N434" t="b">
        <v>0</v>
      </c>
      <c r="O434">
        <v>-762</v>
      </c>
      <c r="P434" t="s">
        <v>447</v>
      </c>
      <c r="Q434" t="s">
        <v>2627</v>
      </c>
      <c r="R434">
        <v>-48.40542664194227</v>
      </c>
      <c r="S434">
        <v>689</v>
      </c>
      <c r="T434">
        <v>79856</v>
      </c>
      <c r="U434" t="s">
        <v>4419</v>
      </c>
      <c r="V434">
        <v>60</v>
      </c>
      <c r="W434" t="s">
        <v>6639</v>
      </c>
      <c r="X434" t="s">
        <v>8789</v>
      </c>
      <c r="Y434">
        <v>532</v>
      </c>
      <c r="Z434">
        <v>-55</v>
      </c>
    </row>
    <row r="435" spans="1:28">
      <c r="A435" s="2">
        <f>HYPERLINK("https://finance.naver.com/item/coinfo.nhn?code=013120", "A013120")</f>
        <v>0</v>
      </c>
      <c r="B435">
        <f>HYPERLINK("http://comp.fnguide.com/SVO2/ASP/SVD_Consensus.asp?pGB=1&amp;gicode=A013120&amp;cID=&amp;MenuYn=Y&amp;ReportGB=&amp;NewMenuID=108&amp;stkGb=701", "동원개발")</f>
        <v>0</v>
      </c>
      <c r="C435">
        <v>3</v>
      </c>
      <c r="D435">
        <v>4445</v>
      </c>
      <c r="E435">
        <v>0.72</v>
      </c>
      <c r="F435">
        <v>4.38</v>
      </c>
      <c r="G435">
        <v>16045</v>
      </c>
      <c r="H435">
        <v>11507</v>
      </c>
      <c r="I435">
        <v>10214</v>
      </c>
      <c r="J435">
        <v>-260.98</v>
      </c>
      <c r="K435">
        <v>-158.87</v>
      </c>
      <c r="L435">
        <v>-129.78</v>
      </c>
      <c r="M435">
        <v>15.06</v>
      </c>
      <c r="N435" t="b">
        <v>1</v>
      </c>
      <c r="O435">
        <v>933</v>
      </c>
      <c r="P435" t="s">
        <v>448</v>
      </c>
      <c r="Q435" t="s">
        <v>2628</v>
      </c>
      <c r="R435">
        <v>6.117108852669451</v>
      </c>
      <c r="S435">
        <v>4036</v>
      </c>
      <c r="T435">
        <v>435004</v>
      </c>
      <c r="U435" t="s">
        <v>4420</v>
      </c>
      <c r="V435">
        <v>61.17</v>
      </c>
      <c r="W435" t="s">
        <v>6640</v>
      </c>
      <c r="X435" t="s">
        <v>8790</v>
      </c>
      <c r="Y435">
        <v>6426</v>
      </c>
      <c r="Z435">
        <v>1061</v>
      </c>
      <c r="AB435">
        <v>4.16</v>
      </c>
    </row>
    <row r="436" spans="1:28">
      <c r="A436" s="2">
        <f>HYPERLINK("https://finance.naver.com/item/coinfo.nhn?code=008370", "A008370")</f>
        <v>0</v>
      </c>
      <c r="B436">
        <f>HYPERLINK("http://comp.fnguide.com/SVO2/ASP/SVD_Consensus.asp?pGB=1&amp;gicode=A008370&amp;cID=&amp;MenuYn=Y&amp;ReportGB=&amp;NewMenuID=108&amp;stkGb=701", "원풍")</f>
        <v>0</v>
      </c>
      <c r="C436">
        <v>3</v>
      </c>
      <c r="D436">
        <v>4450</v>
      </c>
      <c r="E436">
        <v>-2.93</v>
      </c>
      <c r="F436">
        <v>23.63</v>
      </c>
      <c r="G436">
        <v>2292</v>
      </c>
      <c r="H436">
        <v>4893</v>
      </c>
      <c r="I436">
        <v>5635</v>
      </c>
      <c r="J436">
        <v>48.5</v>
      </c>
      <c r="K436">
        <v>-9.960000000000001</v>
      </c>
      <c r="L436">
        <v>-26.62</v>
      </c>
      <c r="M436">
        <v>2.76</v>
      </c>
      <c r="N436" t="b">
        <v>1</v>
      </c>
      <c r="O436">
        <v>166</v>
      </c>
      <c r="P436" t="s">
        <v>449</v>
      </c>
      <c r="Q436" t="s">
        <v>2629</v>
      </c>
      <c r="R436">
        <v>-8.059276618914524</v>
      </c>
      <c r="S436">
        <v>534</v>
      </c>
      <c r="T436">
        <v>18063</v>
      </c>
      <c r="U436" t="s">
        <v>4421</v>
      </c>
      <c r="V436">
        <v>56.58</v>
      </c>
      <c r="W436" t="s">
        <v>6641</v>
      </c>
      <c r="X436" t="s">
        <v>8791</v>
      </c>
      <c r="Y436">
        <v>729</v>
      </c>
      <c r="Z436">
        <v>27</v>
      </c>
      <c r="AA436">
        <v>900000</v>
      </c>
      <c r="AB436">
        <v>3.83</v>
      </c>
    </row>
    <row r="437" spans="1:28">
      <c r="A437" s="2">
        <f>HYPERLINK("https://finance.naver.com/item/coinfo.nhn?code=109860", "A109860")</f>
        <v>0</v>
      </c>
      <c r="B437">
        <f>HYPERLINK("http://comp.fnguide.com/SVO2/ASP/SVD_Consensus.asp?pGB=1&amp;gicode=A109860&amp;cID=&amp;MenuYn=Y&amp;ReportGB=&amp;NewMenuID=108&amp;stkGb=701", "동일금속")</f>
        <v>0</v>
      </c>
      <c r="C437">
        <v>3</v>
      </c>
      <c r="D437">
        <v>11000</v>
      </c>
      <c r="E437">
        <v>-1.57</v>
      </c>
      <c r="F437">
        <v>5.62</v>
      </c>
      <c r="G437">
        <v>24810</v>
      </c>
      <c r="H437">
        <v>21496</v>
      </c>
      <c r="I437">
        <v>20552</v>
      </c>
      <c r="J437">
        <v>-125.55</v>
      </c>
      <c r="K437">
        <v>-95.42</v>
      </c>
      <c r="L437">
        <v>-86.84</v>
      </c>
      <c r="M437">
        <v>10.25</v>
      </c>
      <c r="N437" t="b">
        <v>1</v>
      </c>
      <c r="O437">
        <v>2226</v>
      </c>
      <c r="P437" t="s">
        <v>450</v>
      </c>
      <c r="Q437" t="s">
        <v>2630</v>
      </c>
      <c r="R437">
        <v>-3.573424730193897</v>
      </c>
      <c r="S437">
        <v>770</v>
      </c>
      <c r="T437">
        <v>54657</v>
      </c>
      <c r="U437" t="s">
        <v>4422</v>
      </c>
      <c r="V437">
        <v>57.72</v>
      </c>
      <c r="W437" t="s">
        <v>6642</v>
      </c>
      <c r="X437" t="s">
        <v>8792</v>
      </c>
      <c r="Y437">
        <v>866</v>
      </c>
      <c r="Z437">
        <v>126</v>
      </c>
      <c r="AA437">
        <v>563000</v>
      </c>
      <c r="AB437">
        <v>2.24</v>
      </c>
    </row>
    <row r="438" spans="1:28">
      <c r="A438" s="2">
        <f>HYPERLINK("https://finance.naver.com/item/coinfo.nhn?code=032960", "A032960")</f>
        <v>0</v>
      </c>
      <c r="B438">
        <f>HYPERLINK("http://comp.fnguide.com/SVO2/ASP/SVD_Consensus.asp?pGB=1&amp;gicode=A032960&amp;cID=&amp;MenuYn=Y&amp;ReportGB=&amp;NewMenuID=108&amp;stkGb=701", "동일기연")</f>
        <v>0</v>
      </c>
      <c r="C438">
        <v>3</v>
      </c>
      <c r="D438">
        <v>12600</v>
      </c>
      <c r="E438">
        <v>-3.65</v>
      </c>
      <c r="F438">
        <v>17.05</v>
      </c>
      <c r="G438">
        <v>9456</v>
      </c>
      <c r="H438">
        <v>13558</v>
      </c>
      <c r="I438">
        <v>14727</v>
      </c>
      <c r="J438">
        <v>24.95</v>
      </c>
      <c r="K438">
        <v>-7.6</v>
      </c>
      <c r="L438">
        <v>-16.88</v>
      </c>
      <c r="M438">
        <v>4.63</v>
      </c>
      <c r="N438" t="b">
        <v>1</v>
      </c>
      <c r="O438">
        <v>727</v>
      </c>
      <c r="P438" t="s">
        <v>451</v>
      </c>
      <c r="Q438" t="s">
        <v>2631</v>
      </c>
      <c r="R438">
        <v>-4.665997532421395</v>
      </c>
      <c r="S438">
        <v>429</v>
      </c>
      <c r="T438">
        <v>49655</v>
      </c>
      <c r="U438" t="s">
        <v>4423</v>
      </c>
      <c r="V438">
        <v>67.65000000000001</v>
      </c>
      <c r="W438" t="s">
        <v>6643</v>
      </c>
      <c r="X438" t="s">
        <v>8793</v>
      </c>
      <c r="Y438">
        <v>290</v>
      </c>
      <c r="Z438">
        <v>9</v>
      </c>
      <c r="AA438">
        <v>207667</v>
      </c>
      <c r="AB438">
        <v>0.31</v>
      </c>
    </row>
    <row r="439" spans="1:28">
      <c r="A439" s="2">
        <f>HYPERLINK("https://finance.naver.com/item/coinfo.nhn?code=023790", "A023790")</f>
        <v>0</v>
      </c>
      <c r="B439">
        <f>HYPERLINK("http://comp.fnguide.com/SVO2/ASP/SVD_Consensus.asp?pGB=1&amp;gicode=A023790&amp;cID=&amp;MenuYn=Y&amp;ReportGB=&amp;NewMenuID=108&amp;stkGb=701", "동일철강")</f>
        <v>0</v>
      </c>
      <c r="C439">
        <v>3</v>
      </c>
      <c r="D439">
        <v>6700</v>
      </c>
      <c r="E439">
        <v>0</v>
      </c>
      <c r="F439">
        <v>6.08</v>
      </c>
      <c r="G439">
        <v>3946</v>
      </c>
      <c r="H439">
        <v>6731</v>
      </c>
      <c r="I439">
        <v>7525</v>
      </c>
      <c r="J439">
        <v>41.1</v>
      </c>
      <c r="K439">
        <v>-0.46</v>
      </c>
      <c r="L439">
        <v>-12.31</v>
      </c>
      <c r="M439">
        <v>3.67</v>
      </c>
      <c r="N439" t="b">
        <v>1</v>
      </c>
      <c r="O439">
        <v>527</v>
      </c>
      <c r="P439" t="s">
        <v>452</v>
      </c>
      <c r="Q439" t="s">
        <v>2276</v>
      </c>
      <c r="R439">
        <v>0</v>
      </c>
      <c r="S439">
        <v>492</v>
      </c>
      <c r="T439">
        <v>269021</v>
      </c>
      <c r="U439" t="s">
        <v>4424</v>
      </c>
      <c r="V439">
        <v>58.33</v>
      </c>
      <c r="W439" t="s">
        <v>6644</v>
      </c>
      <c r="X439" t="s">
        <v>8794</v>
      </c>
      <c r="Y439">
        <v>266</v>
      </c>
      <c r="Z439">
        <v>-40</v>
      </c>
      <c r="AA439">
        <v>1017286</v>
      </c>
    </row>
    <row r="440" spans="1:28">
      <c r="A440" s="2">
        <f>HYPERLINK("https://finance.naver.com/item/coinfo.nhn?code=900340", "A900340")</f>
        <v>0</v>
      </c>
      <c r="B440">
        <f>HYPERLINK("http://comp.fnguide.com/SVO2/ASP/SVD_Consensus.asp?pGB=1&amp;gicode=A900340&amp;cID=&amp;MenuYn=Y&amp;ReportGB=&amp;NewMenuID=108&amp;stkGb=701", "윙입푸드")</f>
        <v>0</v>
      </c>
      <c r="C440">
        <v>3</v>
      </c>
      <c r="D440">
        <v>1460</v>
      </c>
      <c r="E440">
        <v>0</v>
      </c>
      <c r="F440">
        <v>9.08</v>
      </c>
      <c r="G440">
        <v>6119</v>
      </c>
      <c r="H440">
        <v>3696</v>
      </c>
      <c r="I440">
        <v>3006</v>
      </c>
      <c r="J440">
        <v>-319.12</v>
      </c>
      <c r="K440">
        <v>-153.17</v>
      </c>
      <c r="L440">
        <v>-105.88</v>
      </c>
      <c r="M440">
        <v>23.37</v>
      </c>
      <c r="N440" t="b">
        <v>0</v>
      </c>
      <c r="O440">
        <v>236</v>
      </c>
      <c r="P440" t="s">
        <v>453</v>
      </c>
      <c r="Q440" t="s">
        <v>2632</v>
      </c>
      <c r="R440">
        <v>0</v>
      </c>
      <c r="S440">
        <v>700</v>
      </c>
      <c r="T440">
        <v>994328</v>
      </c>
      <c r="U440" t="s">
        <v>4425</v>
      </c>
      <c r="V440">
        <v>47.42</v>
      </c>
      <c r="W440" t="s">
        <v>6645</v>
      </c>
      <c r="X440" t="s">
        <v>8795</v>
      </c>
      <c r="Y440">
        <v>1116</v>
      </c>
      <c r="Z440">
        <v>190</v>
      </c>
    </row>
    <row r="441" spans="1:28">
      <c r="A441" s="2">
        <f>HYPERLINK("https://finance.naver.com/item/coinfo.nhn?code=192390", "A192390")</f>
        <v>0</v>
      </c>
      <c r="B441">
        <f>HYPERLINK("http://comp.fnguide.com/SVO2/ASP/SVD_Consensus.asp?pGB=1&amp;gicode=A192390&amp;cID=&amp;MenuYn=Y&amp;ReportGB=&amp;NewMenuID=108&amp;stkGb=701", "윈하이텍")</f>
        <v>0</v>
      </c>
      <c r="C441">
        <v>3</v>
      </c>
      <c r="D441">
        <v>3260</v>
      </c>
      <c r="G441">
        <v>3387</v>
      </c>
      <c r="H441">
        <v>4470</v>
      </c>
      <c r="I441">
        <v>4779</v>
      </c>
      <c r="J441">
        <v>-3.89</v>
      </c>
      <c r="K441">
        <v>-37.12</v>
      </c>
      <c r="L441">
        <v>-46.58</v>
      </c>
      <c r="M441">
        <v>5.2</v>
      </c>
      <c r="N441" t="b">
        <v>0</v>
      </c>
      <c r="O441">
        <v>-622</v>
      </c>
      <c r="P441" t="s">
        <v>454</v>
      </c>
      <c r="Q441" t="s">
        <v>2633</v>
      </c>
      <c r="R441">
        <v>16.13457760533032</v>
      </c>
      <c r="S441">
        <v>347</v>
      </c>
      <c r="T441">
        <v>114428</v>
      </c>
      <c r="U441" t="s">
        <v>4426</v>
      </c>
      <c r="V441">
        <v>49.33</v>
      </c>
      <c r="W441" t="s">
        <v>6646</v>
      </c>
      <c r="X441" t="s">
        <v>8796</v>
      </c>
      <c r="Y441">
        <v>846</v>
      </c>
      <c r="Z441">
        <v>-53</v>
      </c>
      <c r="AA441">
        <v>578862</v>
      </c>
    </row>
    <row r="442" spans="1:28">
      <c r="A442" s="2">
        <f>HYPERLINK("https://finance.naver.com/item/coinfo.nhn?code=066670", "A066670")</f>
        <v>0</v>
      </c>
      <c r="B442">
        <f>HYPERLINK("http://comp.fnguide.com/SVO2/ASP/SVD_Consensus.asp?pGB=1&amp;gicode=A066670&amp;cID=&amp;MenuYn=Y&amp;ReportGB=&amp;NewMenuID=108&amp;stkGb=701", "디스플레이텍")</f>
        <v>0</v>
      </c>
      <c r="C442">
        <v>3</v>
      </c>
      <c r="D442">
        <v>3540</v>
      </c>
      <c r="E442">
        <v>-0.63</v>
      </c>
      <c r="F442">
        <v>12.96</v>
      </c>
      <c r="G442">
        <v>3355</v>
      </c>
      <c r="H442">
        <v>6674</v>
      </c>
      <c r="I442">
        <v>7619</v>
      </c>
      <c r="J442">
        <v>5.23</v>
      </c>
      <c r="K442">
        <v>-88.52</v>
      </c>
      <c r="L442">
        <v>-115.23</v>
      </c>
      <c r="M442">
        <v>3.01</v>
      </c>
      <c r="N442" t="b">
        <v>1</v>
      </c>
      <c r="O442">
        <v>289</v>
      </c>
      <c r="P442" t="s">
        <v>455</v>
      </c>
      <c r="Q442" t="s">
        <v>2634</v>
      </c>
      <c r="R442">
        <v>-20.49321772311372</v>
      </c>
      <c r="S442">
        <v>662</v>
      </c>
      <c r="T442">
        <v>24280</v>
      </c>
      <c r="U442" t="s">
        <v>4427</v>
      </c>
      <c r="V442">
        <v>33.83</v>
      </c>
      <c r="W442" t="s">
        <v>6647</v>
      </c>
      <c r="X442" t="s">
        <v>8797</v>
      </c>
      <c r="Y442">
        <v>436</v>
      </c>
      <c r="Z442">
        <v>66</v>
      </c>
      <c r="AA442">
        <v>1842000</v>
      </c>
      <c r="AB442">
        <v>2.67</v>
      </c>
    </row>
    <row r="443" spans="1:28">
      <c r="A443" s="2">
        <f>HYPERLINK("https://finance.naver.com/item/coinfo.nhn?code=110990", "A110990")</f>
        <v>0</v>
      </c>
      <c r="B443">
        <f>HYPERLINK("http://comp.fnguide.com/SVO2/ASP/SVD_Consensus.asp?pGB=1&amp;gicode=A110990&amp;cID=&amp;MenuYn=Y&amp;ReportGB=&amp;NewMenuID=108&amp;stkGb=701", "디아이티")</f>
        <v>0</v>
      </c>
      <c r="C443">
        <v>3</v>
      </c>
      <c r="D443">
        <v>6380</v>
      </c>
      <c r="E443">
        <v>6.52</v>
      </c>
      <c r="F443">
        <v>12.14</v>
      </c>
      <c r="G443">
        <v>8626</v>
      </c>
      <c r="H443">
        <v>9126</v>
      </c>
      <c r="I443">
        <v>9268</v>
      </c>
      <c r="J443">
        <v>-35.21</v>
      </c>
      <c r="K443">
        <v>-43.03</v>
      </c>
      <c r="L443">
        <v>-45.26</v>
      </c>
      <c r="M443">
        <v>7.27</v>
      </c>
      <c r="N443" t="b">
        <v>1</v>
      </c>
      <c r="O443">
        <v>697</v>
      </c>
      <c r="P443" t="s">
        <v>456</v>
      </c>
      <c r="Q443" t="s">
        <v>2635</v>
      </c>
      <c r="R443">
        <v>1.863159316877816</v>
      </c>
      <c r="S443">
        <v>1206</v>
      </c>
      <c r="T443">
        <v>28133</v>
      </c>
      <c r="U443" t="s">
        <v>4428</v>
      </c>
      <c r="V443">
        <v>48.36</v>
      </c>
      <c r="W443" t="s">
        <v>6648</v>
      </c>
      <c r="X443" t="s">
        <v>8798</v>
      </c>
      <c r="Y443">
        <v>1188</v>
      </c>
      <c r="Z443">
        <v>132</v>
      </c>
      <c r="AA443">
        <v>670251</v>
      </c>
      <c r="AB443">
        <v>2.36</v>
      </c>
    </row>
    <row r="444" spans="1:28">
      <c r="A444" s="2">
        <f>HYPERLINK("https://finance.naver.com/item/coinfo.nhn?code=066900", "A066900")</f>
        <v>0</v>
      </c>
      <c r="B444">
        <f>HYPERLINK("http://comp.fnguide.com/SVO2/ASP/SVD_Consensus.asp?pGB=1&amp;gicode=A066900&amp;cID=&amp;MenuYn=Y&amp;ReportGB=&amp;NewMenuID=108&amp;stkGb=701", "디에이피")</f>
        <v>0</v>
      </c>
      <c r="C444">
        <v>3</v>
      </c>
      <c r="D444">
        <v>4425</v>
      </c>
      <c r="E444">
        <v>-3.9</v>
      </c>
      <c r="F444">
        <v>81.73999999999999</v>
      </c>
      <c r="G444">
        <v>2846</v>
      </c>
      <c r="H444">
        <v>4570</v>
      </c>
      <c r="I444">
        <v>5062</v>
      </c>
      <c r="J444">
        <v>35.69</v>
      </c>
      <c r="K444">
        <v>-3.28</v>
      </c>
      <c r="L444">
        <v>-14.39</v>
      </c>
      <c r="M444">
        <v>3.97</v>
      </c>
      <c r="N444" t="b">
        <v>0</v>
      </c>
      <c r="O444">
        <v>44</v>
      </c>
      <c r="P444" t="s">
        <v>457</v>
      </c>
      <c r="Q444" t="s">
        <v>2636</v>
      </c>
      <c r="R444">
        <v>-20.9812352412949</v>
      </c>
      <c r="S444">
        <v>1006</v>
      </c>
      <c r="T444">
        <v>25207</v>
      </c>
      <c r="U444" t="s">
        <v>4429</v>
      </c>
      <c r="V444">
        <v>47.32</v>
      </c>
      <c r="W444" t="s">
        <v>6649</v>
      </c>
      <c r="X444" t="s">
        <v>8799</v>
      </c>
      <c r="Y444">
        <v>2705</v>
      </c>
      <c r="Z444">
        <v>8</v>
      </c>
      <c r="AA444">
        <v>5144010</v>
      </c>
    </row>
    <row r="445" spans="1:28">
      <c r="A445" s="2">
        <f>HYPERLINK("https://finance.naver.com/item/coinfo.nhn?code=196450", "A196450")</f>
        <v>0</v>
      </c>
      <c r="B445">
        <f>HYPERLINK("http://comp.fnguide.com/SVO2/ASP/SVD_Consensus.asp?pGB=1&amp;gicode=A196450&amp;cID=&amp;MenuYn=Y&amp;ReportGB=&amp;NewMenuID=108&amp;stkGb=701", "디오스텍")</f>
        <v>0</v>
      </c>
      <c r="C445">
        <v>3</v>
      </c>
      <c r="D445">
        <v>411</v>
      </c>
      <c r="E445">
        <v>0</v>
      </c>
      <c r="F445">
        <v>17.88</v>
      </c>
      <c r="G445">
        <v>332</v>
      </c>
      <c r="H445">
        <v>447</v>
      </c>
      <c r="I445">
        <v>480</v>
      </c>
      <c r="J445">
        <v>19.31</v>
      </c>
      <c r="K445">
        <v>-8.880000000000001</v>
      </c>
      <c r="L445">
        <v>-16.91</v>
      </c>
      <c r="M445">
        <v>5.04</v>
      </c>
      <c r="N445" t="b">
        <v>1</v>
      </c>
      <c r="O445">
        <v>44</v>
      </c>
      <c r="P445" t="s">
        <v>458</v>
      </c>
      <c r="Q445" t="s">
        <v>2276</v>
      </c>
      <c r="R445">
        <v>0</v>
      </c>
      <c r="S445">
        <v>592</v>
      </c>
      <c r="T445">
        <v>0</v>
      </c>
      <c r="U445" t="s">
        <v>4430</v>
      </c>
      <c r="V445">
        <v>9.960000000000001</v>
      </c>
      <c r="W445" t="s">
        <v>6650</v>
      </c>
      <c r="X445" t="s">
        <v>8800</v>
      </c>
      <c r="Y445">
        <v>862</v>
      </c>
      <c r="Z445">
        <v>29</v>
      </c>
      <c r="AA445">
        <v>39912</v>
      </c>
    </row>
    <row r="446" spans="1:28">
      <c r="A446" s="2">
        <f>HYPERLINK("https://finance.naver.com/item/coinfo.nhn?code=196700", "A196700")</f>
        <v>0</v>
      </c>
      <c r="B446">
        <f>HYPERLINK("http://comp.fnguide.com/SVO2/ASP/SVD_Consensus.asp?pGB=1&amp;gicode=A196700&amp;cID=&amp;MenuYn=Y&amp;ReportGB=&amp;NewMenuID=108&amp;stkGb=701", "웹스")</f>
        <v>0</v>
      </c>
      <c r="C446">
        <v>3</v>
      </c>
      <c r="D446">
        <v>1835</v>
      </c>
      <c r="G446">
        <v>0</v>
      </c>
      <c r="H446">
        <v>1706</v>
      </c>
      <c r="I446">
        <v>2192</v>
      </c>
      <c r="J446">
        <v>100</v>
      </c>
      <c r="K446">
        <v>7.02</v>
      </c>
      <c r="L446">
        <v>-19.48</v>
      </c>
      <c r="M446">
        <v>0</v>
      </c>
      <c r="N446" t="b">
        <v>0</v>
      </c>
      <c r="O446">
        <v>-16</v>
      </c>
      <c r="P446" t="s">
        <v>459</v>
      </c>
      <c r="Q446" t="s">
        <v>2637</v>
      </c>
      <c r="R446">
        <v>-40.79999999999999</v>
      </c>
      <c r="S446">
        <v>251</v>
      </c>
      <c r="T446">
        <v>85739</v>
      </c>
      <c r="U446" t="s">
        <v>4431</v>
      </c>
      <c r="V446">
        <v>41.51</v>
      </c>
      <c r="W446" t="s">
        <v>6651</v>
      </c>
      <c r="X446" t="s">
        <v>968</v>
      </c>
      <c r="Y446">
        <v>285</v>
      </c>
      <c r="Z446">
        <v>4</v>
      </c>
    </row>
    <row r="447" spans="1:28">
      <c r="A447" s="2">
        <f>HYPERLINK("https://finance.naver.com/item/coinfo.nhn?code=043360", "A043360")</f>
        <v>0</v>
      </c>
      <c r="B447">
        <f>HYPERLINK("http://comp.fnguide.com/SVO2/ASP/SVD_Consensus.asp?pGB=1&amp;gicode=A043360&amp;cID=&amp;MenuYn=Y&amp;ReportGB=&amp;NewMenuID=108&amp;stkGb=701", "디지아이")</f>
        <v>0</v>
      </c>
      <c r="C447">
        <v>3</v>
      </c>
      <c r="D447">
        <v>2420</v>
      </c>
      <c r="E447">
        <v>0</v>
      </c>
      <c r="G447">
        <v>119</v>
      </c>
      <c r="H447">
        <v>3127</v>
      </c>
      <c r="I447">
        <v>3984</v>
      </c>
      <c r="J447">
        <v>95.08</v>
      </c>
      <c r="K447">
        <v>-29.22</v>
      </c>
      <c r="L447">
        <v>-64.64</v>
      </c>
      <c r="M447">
        <v>0.19</v>
      </c>
      <c r="N447" t="b">
        <v>0</v>
      </c>
      <c r="O447">
        <v>-374</v>
      </c>
      <c r="P447" t="s">
        <v>460</v>
      </c>
      <c r="Q447" t="s">
        <v>2276</v>
      </c>
      <c r="R447">
        <v>0</v>
      </c>
      <c r="S447">
        <v>218</v>
      </c>
      <c r="T447">
        <v>11026</v>
      </c>
      <c r="U447" t="s">
        <v>4432</v>
      </c>
      <c r="V447">
        <v>45.42</v>
      </c>
      <c r="W447" t="s">
        <v>6652</v>
      </c>
      <c r="X447" t="s">
        <v>8801</v>
      </c>
      <c r="Y447">
        <v>154</v>
      </c>
      <c r="Z447">
        <v>-33</v>
      </c>
      <c r="AA447">
        <v>103331</v>
      </c>
    </row>
    <row r="448" spans="1:28">
      <c r="A448" s="2">
        <f>HYPERLINK("https://finance.naver.com/item/coinfo.nhn?code=005850", "A005850")</f>
        <v>0</v>
      </c>
      <c r="B448">
        <f>HYPERLINK("http://comp.fnguide.com/SVO2/ASP/SVD_Consensus.asp?pGB=1&amp;gicode=A005850&amp;cID=&amp;MenuYn=Y&amp;ReportGB=&amp;NewMenuID=108&amp;stkGb=701", "에스엘")</f>
        <v>0</v>
      </c>
      <c r="C448">
        <v>3</v>
      </c>
      <c r="D448">
        <v>16600</v>
      </c>
      <c r="E448">
        <v>-0.4</v>
      </c>
      <c r="F448">
        <v>7.53</v>
      </c>
      <c r="G448">
        <v>22684</v>
      </c>
      <c r="H448">
        <v>26803</v>
      </c>
      <c r="I448">
        <v>27977</v>
      </c>
      <c r="J448">
        <v>-36.65</v>
      </c>
      <c r="K448">
        <v>-61.47</v>
      </c>
      <c r="L448">
        <v>-68.54000000000001</v>
      </c>
      <c r="M448">
        <v>6.12</v>
      </c>
      <c r="N448" t="b">
        <v>1</v>
      </c>
      <c r="O448">
        <v>1921</v>
      </c>
      <c r="P448" t="s">
        <v>461</v>
      </c>
      <c r="Q448" t="s">
        <v>2638</v>
      </c>
      <c r="R448">
        <v>-18.80806586830319</v>
      </c>
      <c r="S448">
        <v>8002</v>
      </c>
      <c r="T448">
        <v>262443</v>
      </c>
      <c r="U448" t="s">
        <v>4433</v>
      </c>
      <c r="V448">
        <v>63.48</v>
      </c>
      <c r="W448" t="s">
        <v>6653</v>
      </c>
      <c r="X448" t="s">
        <v>8802</v>
      </c>
      <c r="Y448">
        <v>22622</v>
      </c>
      <c r="Z448">
        <v>436</v>
      </c>
      <c r="AA448">
        <v>2147815</v>
      </c>
      <c r="AB448">
        <v>2.76</v>
      </c>
    </row>
    <row r="449" spans="1:28">
      <c r="A449" s="2">
        <f>HYPERLINK("https://finance.naver.com/item/coinfo.nhn?code=031310", "A031310")</f>
        <v>0</v>
      </c>
      <c r="B449">
        <f>HYPERLINK("http://comp.fnguide.com/SVO2/ASP/SVD_Consensus.asp?pGB=1&amp;gicode=A031310&amp;cID=&amp;MenuYn=Y&amp;ReportGB=&amp;NewMenuID=108&amp;stkGb=701", "아이즈비전")</f>
        <v>0</v>
      </c>
      <c r="C449">
        <v>3</v>
      </c>
      <c r="D449">
        <v>3885</v>
      </c>
      <c r="G449">
        <v>4240</v>
      </c>
      <c r="H449">
        <v>5256</v>
      </c>
      <c r="I449">
        <v>5545</v>
      </c>
      <c r="J449">
        <v>-9.15</v>
      </c>
      <c r="K449">
        <v>-35.29</v>
      </c>
      <c r="L449">
        <v>-42.74</v>
      </c>
      <c r="M449">
        <v>5.7</v>
      </c>
      <c r="N449" t="b">
        <v>0</v>
      </c>
      <c r="O449">
        <v>-63</v>
      </c>
      <c r="P449" t="s">
        <v>462</v>
      </c>
      <c r="Q449" t="s">
        <v>2639</v>
      </c>
      <c r="R449">
        <v>90.59335527169354</v>
      </c>
      <c r="S449">
        <v>613</v>
      </c>
      <c r="T449">
        <v>329762</v>
      </c>
      <c r="U449" t="s">
        <v>4434</v>
      </c>
      <c r="V449">
        <v>18.84</v>
      </c>
      <c r="W449" t="s">
        <v>6654</v>
      </c>
      <c r="X449" t="s">
        <v>8803</v>
      </c>
      <c r="Y449">
        <v>1315</v>
      </c>
      <c r="Z449">
        <v>-5</v>
      </c>
      <c r="AA449">
        <v>934659</v>
      </c>
    </row>
    <row r="450" spans="1:28">
      <c r="A450" s="2">
        <f>HYPERLINK("https://finance.naver.com/item/coinfo.nhn?code=037560", "A037560")</f>
        <v>0</v>
      </c>
      <c r="B450">
        <f>HYPERLINK("http://comp.fnguide.com/SVO2/ASP/SVD_Consensus.asp?pGB=1&amp;gicode=A037560&amp;cID=&amp;MenuYn=Y&amp;ReportGB=&amp;NewMenuID=108&amp;stkGb=701", "LG헬로비전")</f>
        <v>0</v>
      </c>
      <c r="C450">
        <v>3</v>
      </c>
      <c r="D450">
        <v>3915</v>
      </c>
      <c r="G450">
        <v>2728</v>
      </c>
      <c r="H450">
        <v>8469</v>
      </c>
      <c r="I450">
        <v>10105</v>
      </c>
      <c r="J450">
        <v>30.32</v>
      </c>
      <c r="K450">
        <v>-116.32</v>
      </c>
      <c r="L450">
        <v>-158.11</v>
      </c>
      <c r="M450">
        <v>1.77</v>
      </c>
      <c r="N450" t="b">
        <v>0</v>
      </c>
      <c r="O450">
        <v>-1217</v>
      </c>
      <c r="P450" t="s">
        <v>463</v>
      </c>
      <c r="Q450" t="s">
        <v>2640</v>
      </c>
      <c r="R450">
        <v>4.138843480801113</v>
      </c>
      <c r="S450">
        <v>3032</v>
      </c>
      <c r="T450">
        <v>362110</v>
      </c>
      <c r="U450" t="s">
        <v>4435</v>
      </c>
      <c r="V450">
        <v>50</v>
      </c>
      <c r="W450" t="s">
        <v>6655</v>
      </c>
      <c r="X450" t="s">
        <v>8804</v>
      </c>
      <c r="Y450">
        <v>11122</v>
      </c>
      <c r="Z450">
        <v>292</v>
      </c>
      <c r="AB450">
        <v>1.24</v>
      </c>
    </row>
    <row r="451" spans="1:28">
      <c r="A451" s="2">
        <f>HYPERLINK("https://finance.naver.com/item/coinfo.nhn?code=092200", "A092200")</f>
        <v>0</v>
      </c>
      <c r="B451">
        <f>HYPERLINK("http://comp.fnguide.com/SVO2/ASP/SVD_Consensus.asp?pGB=1&amp;gicode=A092200&amp;cID=&amp;MenuYn=Y&amp;ReportGB=&amp;NewMenuID=108&amp;stkGb=701", "디아이씨")</f>
        <v>0</v>
      </c>
      <c r="C451">
        <v>3</v>
      </c>
      <c r="D451">
        <v>1405</v>
      </c>
      <c r="G451">
        <v>0</v>
      </c>
      <c r="H451">
        <v>2393</v>
      </c>
      <c r="I451">
        <v>3075</v>
      </c>
      <c r="J451">
        <v>100</v>
      </c>
      <c r="K451">
        <v>-70.3</v>
      </c>
      <c r="L451">
        <v>-118.83</v>
      </c>
      <c r="M451">
        <v>0</v>
      </c>
      <c r="N451" t="b">
        <v>0</v>
      </c>
      <c r="O451">
        <v>-1675</v>
      </c>
      <c r="P451" t="s">
        <v>464</v>
      </c>
      <c r="Q451" t="s">
        <v>2641</v>
      </c>
      <c r="R451">
        <v>-57.10000000000001</v>
      </c>
      <c r="S451">
        <v>546</v>
      </c>
      <c r="T451">
        <v>147315</v>
      </c>
      <c r="U451" t="s">
        <v>4436</v>
      </c>
      <c r="V451">
        <v>39.66</v>
      </c>
      <c r="W451" t="s">
        <v>6656</v>
      </c>
      <c r="X451" t="s">
        <v>968</v>
      </c>
      <c r="Y451">
        <v>5378</v>
      </c>
      <c r="Z451">
        <v>-320</v>
      </c>
      <c r="AA451">
        <v>142694</v>
      </c>
    </row>
    <row r="452" spans="1:28">
      <c r="A452" s="2">
        <f>HYPERLINK("https://finance.naver.com/item/coinfo.nhn?code=000150", "A000150")</f>
        <v>0</v>
      </c>
      <c r="B452">
        <f>HYPERLINK("http://comp.fnguide.com/SVO2/ASP/SVD_Consensus.asp?pGB=1&amp;gicode=A000150&amp;cID=&amp;MenuYn=Y&amp;ReportGB=&amp;NewMenuID=108&amp;stkGb=701", "두산")</f>
        <v>0</v>
      </c>
      <c r="C452">
        <v>3</v>
      </c>
      <c r="D452">
        <v>53600</v>
      </c>
      <c r="E452">
        <v>-0.05</v>
      </c>
      <c r="F452">
        <v>3.86</v>
      </c>
      <c r="G452">
        <v>174524</v>
      </c>
      <c r="H452">
        <v>139087</v>
      </c>
      <c r="I452">
        <v>128989</v>
      </c>
      <c r="J452">
        <v>-225.61</v>
      </c>
      <c r="K452">
        <v>-159.49</v>
      </c>
      <c r="L452">
        <v>-140.65</v>
      </c>
      <c r="M452">
        <v>12.04</v>
      </c>
      <c r="N452" t="b">
        <v>1</v>
      </c>
      <c r="O452">
        <v>18218</v>
      </c>
      <c r="P452" t="s">
        <v>465</v>
      </c>
      <c r="Q452" t="s">
        <v>2642</v>
      </c>
      <c r="R452">
        <v>-78.40000000000001</v>
      </c>
      <c r="S452">
        <v>8857</v>
      </c>
      <c r="T452">
        <v>78193</v>
      </c>
      <c r="U452" t="s">
        <v>4437</v>
      </c>
      <c r="V452">
        <v>47.24</v>
      </c>
      <c r="W452" t="s">
        <v>6657</v>
      </c>
      <c r="X452" t="s">
        <v>8805</v>
      </c>
      <c r="Y452">
        <v>185357</v>
      </c>
      <c r="Z452">
        <v>12619</v>
      </c>
      <c r="AA452">
        <v>3000866</v>
      </c>
      <c r="AB452">
        <v>7.4</v>
      </c>
    </row>
    <row r="453" spans="1:28">
      <c r="A453" s="2">
        <f>HYPERLINK("https://finance.naver.com/item/coinfo.nhn?code=241560", "A241560")</f>
        <v>0</v>
      </c>
      <c r="B453">
        <f>HYPERLINK("http://comp.fnguide.com/SVO2/ASP/SVD_Consensus.asp?pGB=1&amp;gicode=A241560&amp;cID=&amp;MenuYn=Y&amp;ReportGB=&amp;NewMenuID=108&amp;stkGb=701", "두산밥캣")</f>
        <v>0</v>
      </c>
      <c r="C453">
        <v>3</v>
      </c>
      <c r="D453">
        <v>29900</v>
      </c>
      <c r="E453">
        <v>6.77</v>
      </c>
      <c r="F453">
        <v>12.65</v>
      </c>
      <c r="G453">
        <v>36513</v>
      </c>
      <c r="H453">
        <v>38423</v>
      </c>
      <c r="I453">
        <v>38967</v>
      </c>
      <c r="J453">
        <v>-22.12</v>
      </c>
      <c r="K453">
        <v>-28.51</v>
      </c>
      <c r="L453">
        <v>-30.33</v>
      </c>
      <c r="M453">
        <v>7.33</v>
      </c>
      <c r="N453" t="b">
        <v>1</v>
      </c>
      <c r="O453">
        <v>2714</v>
      </c>
      <c r="P453" t="s">
        <v>466</v>
      </c>
      <c r="Q453" t="s">
        <v>2643</v>
      </c>
      <c r="R453">
        <v>1.868273887439997</v>
      </c>
      <c r="S453">
        <v>29975</v>
      </c>
      <c r="T453">
        <v>397179</v>
      </c>
      <c r="U453" t="s">
        <v>4438</v>
      </c>
      <c r="V453">
        <v>51.06</v>
      </c>
      <c r="W453" t="s">
        <v>6658</v>
      </c>
      <c r="X453" t="s">
        <v>8806</v>
      </c>
      <c r="Y453">
        <v>45096</v>
      </c>
      <c r="Z453">
        <v>4770</v>
      </c>
      <c r="AB453">
        <v>3.49</v>
      </c>
    </row>
    <row r="454" spans="1:28">
      <c r="A454" s="2">
        <f>HYPERLINK("https://finance.naver.com/item/coinfo.nhn?code=042670", "A042670")</f>
        <v>0</v>
      </c>
      <c r="B454">
        <f>HYPERLINK("http://comp.fnguide.com/SVO2/ASP/SVD_Consensus.asp?pGB=1&amp;gicode=A042670&amp;cID=&amp;MenuYn=Y&amp;ReportGB=&amp;NewMenuID=108&amp;stkGb=701", "두산인프라코어")</f>
        <v>0</v>
      </c>
      <c r="C454">
        <v>3</v>
      </c>
      <c r="D454">
        <v>8280</v>
      </c>
      <c r="E454">
        <v>0.19</v>
      </c>
      <c r="F454">
        <v>4.82</v>
      </c>
      <c r="G454">
        <v>15280</v>
      </c>
      <c r="H454">
        <v>12284</v>
      </c>
      <c r="I454">
        <v>11431</v>
      </c>
      <c r="J454">
        <v>-84.54000000000001</v>
      </c>
      <c r="K454">
        <v>-48.36</v>
      </c>
      <c r="L454">
        <v>-38.05</v>
      </c>
      <c r="M454">
        <v>11.83</v>
      </c>
      <c r="N454" t="b">
        <v>1</v>
      </c>
      <c r="O454">
        <v>1153</v>
      </c>
      <c r="P454" t="s">
        <v>467</v>
      </c>
      <c r="Q454" t="s">
        <v>2644</v>
      </c>
      <c r="R454">
        <v>25.20968411864381</v>
      </c>
      <c r="S454">
        <v>17878</v>
      </c>
      <c r="T454">
        <v>2733476</v>
      </c>
      <c r="U454" t="s">
        <v>4439</v>
      </c>
      <c r="V454">
        <v>35</v>
      </c>
      <c r="W454" t="s">
        <v>6659</v>
      </c>
      <c r="X454" t="s">
        <v>8807</v>
      </c>
      <c r="Y454">
        <v>81858</v>
      </c>
      <c r="Z454">
        <v>8404</v>
      </c>
      <c r="AA454">
        <v>505</v>
      </c>
    </row>
    <row r="455" spans="1:28">
      <c r="A455" s="2">
        <f>HYPERLINK("https://finance.naver.com/item/coinfo.nhn?code=108670", "A108670")</f>
        <v>0</v>
      </c>
      <c r="B455">
        <f>HYPERLINK("http://comp.fnguide.com/SVO2/ASP/SVD_Consensus.asp?pGB=1&amp;gicode=A108670&amp;cID=&amp;MenuYn=Y&amp;ReportGB=&amp;NewMenuID=108&amp;stkGb=701", "LG하우시스")</f>
        <v>0</v>
      </c>
      <c r="C455">
        <v>3</v>
      </c>
      <c r="D455">
        <v>69900</v>
      </c>
      <c r="E455">
        <v>3.15</v>
      </c>
      <c r="F455">
        <v>47.3</v>
      </c>
      <c r="G455">
        <v>23155</v>
      </c>
      <c r="H455">
        <v>70617</v>
      </c>
      <c r="I455">
        <v>84141</v>
      </c>
      <c r="J455">
        <v>66.87</v>
      </c>
      <c r="K455">
        <v>-1.03</v>
      </c>
      <c r="L455">
        <v>-20.37</v>
      </c>
      <c r="M455">
        <v>1.81</v>
      </c>
      <c r="N455" t="b">
        <v>0</v>
      </c>
      <c r="O455">
        <v>1157</v>
      </c>
      <c r="P455" t="s">
        <v>468</v>
      </c>
      <c r="Q455" t="s">
        <v>2645</v>
      </c>
      <c r="R455">
        <v>15.03237928826053</v>
      </c>
      <c r="S455">
        <v>6268</v>
      </c>
      <c r="T455">
        <v>176190</v>
      </c>
      <c r="U455" t="s">
        <v>4440</v>
      </c>
      <c r="V455">
        <v>33.55</v>
      </c>
      <c r="W455" t="s">
        <v>6660</v>
      </c>
      <c r="X455" t="s">
        <v>8808</v>
      </c>
      <c r="Y455">
        <v>31868</v>
      </c>
      <c r="Z455">
        <v>688</v>
      </c>
      <c r="AA455">
        <v>17875</v>
      </c>
      <c r="AB455">
        <v>0.46</v>
      </c>
    </row>
    <row r="456" spans="1:28">
      <c r="A456" s="2">
        <f>HYPERLINK("https://finance.naver.com/item/coinfo.nhn?code=013030", "A013030")</f>
        <v>0</v>
      </c>
      <c r="B456">
        <f>HYPERLINK("http://comp.fnguide.com/SVO2/ASP/SVD_Consensus.asp?pGB=1&amp;gicode=A013030&amp;cID=&amp;MenuYn=Y&amp;ReportGB=&amp;NewMenuID=108&amp;stkGb=701", "하이록코리아")</f>
        <v>0</v>
      </c>
      <c r="C456">
        <v>3</v>
      </c>
      <c r="D456">
        <v>13500</v>
      </c>
      <c r="E456">
        <v>-0.78</v>
      </c>
      <c r="F456">
        <v>20.28</v>
      </c>
      <c r="G456">
        <v>14008</v>
      </c>
      <c r="H456">
        <v>21185</v>
      </c>
      <c r="I456">
        <v>23230</v>
      </c>
      <c r="J456">
        <v>-3.76</v>
      </c>
      <c r="K456">
        <v>-56.92</v>
      </c>
      <c r="L456">
        <v>-72.06999999999999</v>
      </c>
      <c r="M456">
        <v>4.3</v>
      </c>
      <c r="N456" t="b">
        <v>1</v>
      </c>
      <c r="O456">
        <v>947</v>
      </c>
      <c r="P456" t="s">
        <v>469</v>
      </c>
      <c r="Q456" t="s">
        <v>2646</v>
      </c>
      <c r="R456">
        <v>-25.99411236786703</v>
      </c>
      <c r="S456">
        <v>1838</v>
      </c>
      <c r="T456">
        <v>318561</v>
      </c>
      <c r="U456" t="s">
        <v>4441</v>
      </c>
      <c r="V456">
        <v>40.98</v>
      </c>
      <c r="W456" t="s">
        <v>6661</v>
      </c>
      <c r="X456" t="s">
        <v>8809</v>
      </c>
      <c r="Y456">
        <v>1421</v>
      </c>
      <c r="Z456">
        <v>149</v>
      </c>
      <c r="AA456">
        <v>454818</v>
      </c>
      <c r="AB456">
        <v>2.6</v>
      </c>
    </row>
    <row r="457" spans="1:28">
      <c r="A457" s="2">
        <f>HYPERLINK("https://finance.naver.com/item/coinfo.nhn?code=039610", "A039610")</f>
        <v>0</v>
      </c>
      <c r="B457">
        <f>HYPERLINK("http://comp.fnguide.com/SVO2/ASP/SVD_Consensus.asp?pGB=1&amp;gicode=A039610&amp;cID=&amp;MenuYn=Y&amp;ReportGB=&amp;NewMenuID=108&amp;stkGb=701", "화성밸브")</f>
        <v>0</v>
      </c>
      <c r="C457">
        <v>3</v>
      </c>
      <c r="D457">
        <v>5710</v>
      </c>
      <c r="E457">
        <v>-1.46</v>
      </c>
      <c r="F457">
        <v>20.77</v>
      </c>
      <c r="G457">
        <v>3807</v>
      </c>
      <c r="H457">
        <v>5716</v>
      </c>
      <c r="I457">
        <v>6259</v>
      </c>
      <c r="J457">
        <v>33.33</v>
      </c>
      <c r="K457">
        <v>-0.1</v>
      </c>
      <c r="L457">
        <v>-9.619999999999999</v>
      </c>
      <c r="M457">
        <v>4.34</v>
      </c>
      <c r="N457" t="b">
        <v>1</v>
      </c>
      <c r="O457">
        <v>283</v>
      </c>
      <c r="P457" t="s">
        <v>470</v>
      </c>
      <c r="Q457" t="s">
        <v>2647</v>
      </c>
      <c r="R457">
        <v>-14.27004434300752</v>
      </c>
      <c r="S457">
        <v>594</v>
      </c>
      <c r="T457">
        <v>128125</v>
      </c>
      <c r="U457" t="s">
        <v>4442</v>
      </c>
      <c r="V457">
        <v>46.7</v>
      </c>
      <c r="W457" t="s">
        <v>6662</v>
      </c>
      <c r="X457" t="s">
        <v>8810</v>
      </c>
      <c r="Y457">
        <v>681</v>
      </c>
      <c r="Z457">
        <v>34</v>
      </c>
    </row>
    <row r="458" spans="1:28">
      <c r="A458" s="2">
        <f>HYPERLINK("https://finance.naver.com/item/coinfo.nhn?code=016740", "A016740")</f>
        <v>0</v>
      </c>
      <c r="B458">
        <f>HYPERLINK("http://comp.fnguide.com/SVO2/ASP/SVD_Consensus.asp?pGB=1&amp;gicode=A016740&amp;cID=&amp;MenuYn=Y&amp;ReportGB=&amp;NewMenuID=108&amp;stkGb=701", "두올")</f>
        <v>0</v>
      </c>
      <c r="C458">
        <v>3</v>
      </c>
      <c r="D458">
        <v>3465</v>
      </c>
      <c r="E458">
        <v>-0.29</v>
      </c>
      <c r="F458">
        <v>8.59</v>
      </c>
      <c r="G458">
        <v>6812</v>
      </c>
      <c r="H458">
        <v>6639</v>
      </c>
      <c r="I458">
        <v>6590</v>
      </c>
      <c r="J458">
        <v>-96.59999999999999</v>
      </c>
      <c r="K458">
        <v>-91.61</v>
      </c>
      <c r="L458">
        <v>-90.19</v>
      </c>
      <c r="M458">
        <v>8.32</v>
      </c>
      <c r="N458" t="b">
        <v>1</v>
      </c>
      <c r="O458">
        <v>366</v>
      </c>
      <c r="P458" t="s">
        <v>471</v>
      </c>
      <c r="Q458" t="s">
        <v>2648</v>
      </c>
      <c r="R458">
        <v>-30.0955350795964</v>
      </c>
      <c r="S458">
        <v>938</v>
      </c>
      <c r="T458">
        <v>448055</v>
      </c>
      <c r="U458" t="s">
        <v>4443</v>
      </c>
      <c r="V458">
        <v>49.34</v>
      </c>
      <c r="W458" t="s">
        <v>6663</v>
      </c>
      <c r="X458" t="s">
        <v>8811</v>
      </c>
      <c r="Y458">
        <v>4659</v>
      </c>
      <c r="Z458">
        <v>276</v>
      </c>
      <c r="AA458">
        <v>596916</v>
      </c>
      <c r="AB458">
        <v>2.55</v>
      </c>
    </row>
    <row r="459" spans="1:28">
      <c r="A459" s="2">
        <f>HYPERLINK("https://finance.naver.com/item/coinfo.nhn?code=003380", "A003380")</f>
        <v>0</v>
      </c>
      <c r="B459">
        <f>HYPERLINK("http://comp.fnguide.com/SVO2/ASP/SVD_Consensus.asp?pGB=1&amp;gicode=A003380&amp;cID=&amp;MenuYn=Y&amp;ReportGB=&amp;NewMenuID=108&amp;stkGb=701", "하림지주")</f>
        <v>0</v>
      </c>
      <c r="C459">
        <v>3</v>
      </c>
      <c r="D459">
        <v>7120</v>
      </c>
      <c r="E459">
        <v>-1.19</v>
      </c>
      <c r="F459">
        <v>14.43</v>
      </c>
      <c r="G459">
        <v>17761</v>
      </c>
      <c r="H459">
        <v>20964</v>
      </c>
      <c r="I459">
        <v>21877</v>
      </c>
      <c r="J459">
        <v>-149.45</v>
      </c>
      <c r="K459">
        <v>-194.44</v>
      </c>
      <c r="L459">
        <v>-207.26</v>
      </c>
      <c r="M459">
        <v>6.13</v>
      </c>
      <c r="N459" t="b">
        <v>1</v>
      </c>
      <c r="O459">
        <v>594</v>
      </c>
      <c r="P459" t="s">
        <v>472</v>
      </c>
      <c r="Q459" t="s">
        <v>2649</v>
      </c>
      <c r="R459">
        <v>-12.14424920738167</v>
      </c>
      <c r="S459">
        <v>6575</v>
      </c>
      <c r="T459">
        <v>510016</v>
      </c>
      <c r="U459" t="s">
        <v>4444</v>
      </c>
      <c r="V459">
        <v>51.5</v>
      </c>
      <c r="W459" t="s">
        <v>6664</v>
      </c>
      <c r="X459" t="s">
        <v>8812</v>
      </c>
      <c r="Y459">
        <v>73503</v>
      </c>
      <c r="Z459">
        <v>3065</v>
      </c>
      <c r="AA459">
        <v>16832117</v>
      </c>
      <c r="AB459">
        <v>0.58</v>
      </c>
    </row>
    <row r="460" spans="1:28">
      <c r="A460" s="2">
        <f>HYPERLINK("https://finance.naver.com/item/coinfo.nhn?code=024090", "A024090")</f>
        <v>0</v>
      </c>
      <c r="B460">
        <f>HYPERLINK("http://comp.fnguide.com/SVO2/ASP/SVD_Consensus.asp?pGB=1&amp;gicode=A024090&amp;cID=&amp;MenuYn=Y&amp;ReportGB=&amp;NewMenuID=108&amp;stkGb=701", "디씨엠")</f>
        <v>0</v>
      </c>
      <c r="C460">
        <v>3</v>
      </c>
      <c r="D460">
        <v>12000</v>
      </c>
      <c r="E460">
        <v>0.16</v>
      </c>
      <c r="F460">
        <v>6.06</v>
      </c>
      <c r="G460">
        <v>23732</v>
      </c>
      <c r="H460">
        <v>20891</v>
      </c>
      <c r="I460">
        <v>20081</v>
      </c>
      <c r="J460">
        <v>-97.77</v>
      </c>
      <c r="K460">
        <v>-74.09</v>
      </c>
      <c r="L460">
        <v>-67.34999999999999</v>
      </c>
      <c r="M460">
        <v>9.949999999999999</v>
      </c>
      <c r="N460" t="b">
        <v>1</v>
      </c>
      <c r="O460">
        <v>2005</v>
      </c>
      <c r="P460" t="s">
        <v>473</v>
      </c>
      <c r="Q460" t="s">
        <v>2650</v>
      </c>
      <c r="R460">
        <v>37.36037003117636</v>
      </c>
      <c r="S460">
        <v>1404</v>
      </c>
      <c r="T460">
        <v>5192</v>
      </c>
      <c r="U460" t="s">
        <v>4445</v>
      </c>
      <c r="V460">
        <v>44.57</v>
      </c>
      <c r="W460" t="s">
        <v>6665</v>
      </c>
      <c r="X460" t="s">
        <v>8813</v>
      </c>
      <c r="Y460">
        <v>1453</v>
      </c>
      <c r="Z460">
        <v>175</v>
      </c>
      <c r="AA460">
        <v>2506909</v>
      </c>
      <c r="AB460">
        <v>4.12</v>
      </c>
    </row>
    <row r="461" spans="1:28">
      <c r="A461" s="2">
        <f>HYPERLINK("https://finance.naver.com/item/coinfo.nhn?code=003160", "A003160")</f>
        <v>0</v>
      </c>
      <c r="B461">
        <f>HYPERLINK("http://comp.fnguide.com/SVO2/ASP/SVD_Consensus.asp?pGB=1&amp;gicode=A003160&amp;cID=&amp;MenuYn=Y&amp;ReportGB=&amp;NewMenuID=108&amp;stkGb=701", "디아이")</f>
        <v>0</v>
      </c>
      <c r="C461">
        <v>3</v>
      </c>
      <c r="D461">
        <v>4230</v>
      </c>
      <c r="E461">
        <v>-9.52</v>
      </c>
      <c r="F461">
        <v>169.79</v>
      </c>
      <c r="G461">
        <v>3503</v>
      </c>
      <c r="H461">
        <v>4510</v>
      </c>
      <c r="I461">
        <v>4796</v>
      </c>
      <c r="J461">
        <v>17.19</v>
      </c>
      <c r="K461">
        <v>-6.61</v>
      </c>
      <c r="L461">
        <v>-13.39</v>
      </c>
      <c r="M461">
        <v>5.39</v>
      </c>
      <c r="N461" t="b">
        <v>0</v>
      </c>
      <c r="O461">
        <v>21</v>
      </c>
      <c r="P461" t="s">
        <v>474</v>
      </c>
      <c r="Q461" t="s">
        <v>2651</v>
      </c>
      <c r="R461">
        <v>-17.83289761948668</v>
      </c>
      <c r="S461">
        <v>1332</v>
      </c>
      <c r="T461">
        <v>169990</v>
      </c>
      <c r="U461" t="s">
        <v>4446</v>
      </c>
      <c r="V461">
        <v>26.29</v>
      </c>
      <c r="W461" t="s">
        <v>6666</v>
      </c>
      <c r="X461" t="s">
        <v>8814</v>
      </c>
      <c r="Y461">
        <v>1095</v>
      </c>
      <c r="Z461">
        <v>-65</v>
      </c>
      <c r="AA461">
        <v>5600000</v>
      </c>
      <c r="AB461">
        <v>1.43</v>
      </c>
    </row>
    <row r="462" spans="1:28">
      <c r="A462" s="2">
        <f>HYPERLINK("https://finance.naver.com/item/coinfo.nhn?code=126640", "A126640")</f>
        <v>0</v>
      </c>
      <c r="B462">
        <f>HYPERLINK("http://comp.fnguide.com/SVO2/ASP/SVD_Consensus.asp?pGB=1&amp;gicode=A126640&amp;cID=&amp;MenuYn=Y&amp;ReportGB=&amp;NewMenuID=108&amp;stkGb=701", "화신정공")</f>
        <v>0</v>
      </c>
      <c r="C462">
        <v>3</v>
      </c>
      <c r="D462">
        <v>1325</v>
      </c>
      <c r="E462">
        <v>-4.78</v>
      </c>
      <c r="F462">
        <v>13.48</v>
      </c>
      <c r="G462">
        <v>946</v>
      </c>
      <c r="H462">
        <v>1759</v>
      </c>
      <c r="I462">
        <v>1991</v>
      </c>
      <c r="J462">
        <v>28.59</v>
      </c>
      <c r="K462">
        <v>-32.76</v>
      </c>
      <c r="L462">
        <v>-50.25</v>
      </c>
      <c r="M462">
        <v>3.28</v>
      </c>
      <c r="N462" t="b">
        <v>1</v>
      </c>
      <c r="O462">
        <v>95</v>
      </c>
      <c r="P462" t="s">
        <v>475</v>
      </c>
      <c r="Q462" t="s">
        <v>2652</v>
      </c>
      <c r="R462">
        <v>-2.820913598648178</v>
      </c>
      <c r="S462">
        <v>482</v>
      </c>
      <c r="T462">
        <v>897822</v>
      </c>
      <c r="U462" t="s">
        <v>4447</v>
      </c>
      <c r="V462">
        <v>35.1</v>
      </c>
      <c r="W462" t="s">
        <v>6667</v>
      </c>
      <c r="X462" t="s">
        <v>8815</v>
      </c>
      <c r="Y462">
        <v>2311</v>
      </c>
      <c r="Z462">
        <v>40</v>
      </c>
      <c r="AA462">
        <v>1317977</v>
      </c>
      <c r="AB462">
        <v>2.34</v>
      </c>
    </row>
    <row r="463" spans="1:28">
      <c r="A463" s="2">
        <f>HYPERLINK("https://finance.naver.com/item/coinfo.nhn?code=004590", "A004590")</f>
        <v>0</v>
      </c>
      <c r="B463">
        <f>HYPERLINK("http://comp.fnguide.com/SVO2/ASP/SVD_Consensus.asp?pGB=1&amp;gicode=A004590&amp;cID=&amp;MenuYn=Y&amp;ReportGB=&amp;NewMenuID=108&amp;stkGb=701", "한국가구")</f>
        <v>0</v>
      </c>
      <c r="C463">
        <v>3</v>
      </c>
      <c r="D463">
        <v>4460</v>
      </c>
      <c r="E463">
        <v>3.24</v>
      </c>
      <c r="F463">
        <v>10.33</v>
      </c>
      <c r="G463">
        <v>5725</v>
      </c>
      <c r="H463">
        <v>6443</v>
      </c>
      <c r="I463">
        <v>6648</v>
      </c>
      <c r="J463">
        <v>-28.36</v>
      </c>
      <c r="K463">
        <v>-44.46</v>
      </c>
      <c r="L463">
        <v>-49.05</v>
      </c>
      <c r="M463">
        <v>6.59</v>
      </c>
      <c r="N463" t="b">
        <v>1</v>
      </c>
      <c r="O463">
        <v>405</v>
      </c>
      <c r="P463" t="s">
        <v>476</v>
      </c>
      <c r="Q463" t="s">
        <v>2653</v>
      </c>
      <c r="R463">
        <v>3.188540844111198</v>
      </c>
      <c r="S463">
        <v>669</v>
      </c>
      <c r="T463">
        <v>36141</v>
      </c>
      <c r="U463" t="s">
        <v>4448</v>
      </c>
      <c r="V463">
        <v>66.68000000000001</v>
      </c>
      <c r="W463" t="s">
        <v>6668</v>
      </c>
      <c r="X463" t="s">
        <v>8816</v>
      </c>
      <c r="Y463">
        <v>657</v>
      </c>
      <c r="Z463">
        <v>87</v>
      </c>
      <c r="AB463">
        <v>2.75</v>
      </c>
    </row>
    <row r="464" spans="1:28">
      <c r="A464" s="2">
        <f>HYPERLINK("https://finance.naver.com/item/coinfo.nhn?code=013570", "A013570")</f>
        <v>0</v>
      </c>
      <c r="B464">
        <f>HYPERLINK("http://comp.fnguide.com/SVO2/ASP/SVD_Consensus.asp?pGB=1&amp;gicode=A013570&amp;cID=&amp;MenuYn=Y&amp;ReportGB=&amp;NewMenuID=108&amp;stkGb=701", "디와이")</f>
        <v>0</v>
      </c>
      <c r="C464">
        <v>3</v>
      </c>
      <c r="D464">
        <v>4635</v>
      </c>
      <c r="E464">
        <v>-0.51</v>
      </c>
      <c r="F464">
        <v>9.029999999999999</v>
      </c>
      <c r="G464">
        <v>7166</v>
      </c>
      <c r="H464">
        <v>11482</v>
      </c>
      <c r="I464">
        <v>12712</v>
      </c>
      <c r="J464">
        <v>-54.6</v>
      </c>
      <c r="K464">
        <v>-147.73</v>
      </c>
      <c r="L464">
        <v>-174.27</v>
      </c>
      <c r="M464">
        <v>3.98</v>
      </c>
      <c r="N464" t="b">
        <v>0</v>
      </c>
      <c r="O464">
        <v>623</v>
      </c>
      <c r="P464" t="s">
        <v>477</v>
      </c>
      <c r="Q464" t="s">
        <v>2654</v>
      </c>
      <c r="R464">
        <v>-17.70848523399747</v>
      </c>
      <c r="S464">
        <v>1220</v>
      </c>
      <c r="T464">
        <v>105023</v>
      </c>
      <c r="U464" t="s">
        <v>4449</v>
      </c>
      <c r="V464">
        <v>40.51</v>
      </c>
      <c r="W464" t="s">
        <v>6669</v>
      </c>
      <c r="X464" t="s">
        <v>8817</v>
      </c>
      <c r="Y464">
        <v>8543</v>
      </c>
      <c r="Z464">
        <v>441</v>
      </c>
      <c r="AA464">
        <v>1650442</v>
      </c>
      <c r="AB464">
        <v>2.66</v>
      </c>
    </row>
    <row r="465" spans="1:28">
      <c r="A465" s="2">
        <f>HYPERLINK("https://finance.naver.com/item/coinfo.nhn?code=210540", "A210540")</f>
        <v>0</v>
      </c>
      <c r="B465">
        <f>HYPERLINK("http://comp.fnguide.com/SVO2/ASP/SVD_Consensus.asp?pGB=1&amp;gicode=A210540&amp;cID=&amp;MenuYn=Y&amp;ReportGB=&amp;NewMenuID=108&amp;stkGb=701", "디와이파워")</f>
        <v>0</v>
      </c>
      <c r="C465">
        <v>3</v>
      </c>
      <c r="D465">
        <v>11950</v>
      </c>
      <c r="E465">
        <v>0.1</v>
      </c>
      <c r="F465">
        <v>5.84</v>
      </c>
      <c r="G465">
        <v>31474</v>
      </c>
      <c r="H465">
        <v>21655</v>
      </c>
      <c r="I465">
        <v>18858</v>
      </c>
      <c r="J465">
        <v>-163.38</v>
      </c>
      <c r="K465">
        <v>-81.22</v>
      </c>
      <c r="L465">
        <v>-57.8</v>
      </c>
      <c r="M465">
        <v>16.58</v>
      </c>
      <c r="N465" t="b">
        <v>1</v>
      </c>
      <c r="O465">
        <v>1728</v>
      </c>
      <c r="P465" t="s">
        <v>478</v>
      </c>
      <c r="Q465" t="s">
        <v>2655</v>
      </c>
      <c r="R465">
        <v>59.8990986968679</v>
      </c>
      <c r="S465">
        <v>1319</v>
      </c>
      <c r="T465">
        <v>164255</v>
      </c>
      <c r="U465" t="s">
        <v>4450</v>
      </c>
      <c r="V465">
        <v>38.46</v>
      </c>
      <c r="W465" t="s">
        <v>6670</v>
      </c>
      <c r="X465" t="s">
        <v>8818</v>
      </c>
      <c r="Y465">
        <v>3435</v>
      </c>
      <c r="Z465">
        <v>259</v>
      </c>
      <c r="AA465">
        <v>5857</v>
      </c>
      <c r="AB465">
        <v>1.98</v>
      </c>
    </row>
    <row r="466" spans="1:28">
      <c r="A466" s="2">
        <f>HYPERLINK("https://finance.naver.com/item/coinfo.nhn?code=032640", "A032640")</f>
        <v>0</v>
      </c>
      <c r="B466">
        <f>HYPERLINK("http://comp.fnguide.com/SVO2/ASP/SVD_Consensus.asp?pGB=1&amp;gicode=A032640&amp;cID=&amp;MenuYn=Y&amp;ReportGB=&amp;NewMenuID=108&amp;stkGb=701", "LG유플러스")</f>
        <v>0</v>
      </c>
      <c r="C466">
        <v>3</v>
      </c>
      <c r="D466">
        <v>11850</v>
      </c>
      <c r="E466">
        <v>0.68</v>
      </c>
      <c r="F466">
        <v>14.13</v>
      </c>
      <c r="G466">
        <v>15506</v>
      </c>
      <c r="H466">
        <v>15934</v>
      </c>
      <c r="I466">
        <v>16056</v>
      </c>
      <c r="J466">
        <v>-30.85</v>
      </c>
      <c r="K466">
        <v>-34.46</v>
      </c>
      <c r="L466">
        <v>-35.49</v>
      </c>
      <c r="M466">
        <v>7.62</v>
      </c>
      <c r="N466" t="b">
        <v>1</v>
      </c>
      <c r="O466">
        <v>1005</v>
      </c>
      <c r="P466" t="s">
        <v>479</v>
      </c>
      <c r="Q466" t="s">
        <v>2656</v>
      </c>
      <c r="R466">
        <v>20.71755041607115</v>
      </c>
      <c r="S466">
        <v>51738</v>
      </c>
      <c r="T466">
        <v>3231903</v>
      </c>
      <c r="U466" t="s">
        <v>4451</v>
      </c>
      <c r="V466">
        <v>37.66</v>
      </c>
      <c r="W466" t="s">
        <v>6671</v>
      </c>
      <c r="X466" t="s">
        <v>8819</v>
      </c>
      <c r="Y466">
        <v>123820</v>
      </c>
      <c r="Z466">
        <v>6862</v>
      </c>
      <c r="AA466">
        <v>3</v>
      </c>
      <c r="AB466">
        <v>2.82</v>
      </c>
    </row>
    <row r="467" spans="1:28">
      <c r="A467" s="2">
        <f>HYPERLINK("https://finance.naver.com/item/coinfo.nhn?code=007340", "A007340")</f>
        <v>0</v>
      </c>
      <c r="B467">
        <f>HYPERLINK("http://comp.fnguide.com/SVO2/ASP/SVD_Consensus.asp?pGB=1&amp;gicode=A007340&amp;cID=&amp;MenuYn=Y&amp;ReportGB=&amp;NewMenuID=108&amp;stkGb=701", "디티알오토모티브")</f>
        <v>0</v>
      </c>
      <c r="C467">
        <v>3</v>
      </c>
      <c r="D467">
        <v>24300</v>
      </c>
      <c r="E467">
        <v>0.48</v>
      </c>
      <c r="F467">
        <v>4.46</v>
      </c>
      <c r="G467">
        <v>93181</v>
      </c>
      <c r="H467">
        <v>79165</v>
      </c>
      <c r="I467">
        <v>75171</v>
      </c>
      <c r="J467">
        <v>-283.46</v>
      </c>
      <c r="K467">
        <v>-225.78</v>
      </c>
      <c r="L467">
        <v>-209.34</v>
      </c>
      <c r="M467">
        <v>10.63</v>
      </c>
      <c r="N467" t="b">
        <v>1</v>
      </c>
      <c r="O467">
        <v>6584</v>
      </c>
      <c r="P467" t="s">
        <v>480</v>
      </c>
      <c r="Q467" t="s">
        <v>2657</v>
      </c>
      <c r="R467">
        <v>9.298220911236665</v>
      </c>
      <c r="S467">
        <v>2429</v>
      </c>
      <c r="T467">
        <v>37129</v>
      </c>
      <c r="U467" t="s">
        <v>4452</v>
      </c>
      <c r="V467">
        <v>51.25</v>
      </c>
      <c r="W467" t="s">
        <v>6672</v>
      </c>
      <c r="X467" t="s">
        <v>8820</v>
      </c>
      <c r="Y467">
        <v>9298</v>
      </c>
      <c r="Z467">
        <v>802</v>
      </c>
      <c r="AA467">
        <v>1375880</v>
      </c>
      <c r="AB467">
        <v>5.11</v>
      </c>
    </row>
    <row r="468" spans="1:28">
      <c r="A468" s="2">
        <f>HYPERLINK("https://finance.naver.com/item/coinfo.nhn?code=115390", "A115390")</f>
        <v>0</v>
      </c>
      <c r="B468">
        <f>HYPERLINK("http://comp.fnguide.com/SVO2/ASP/SVD_Consensus.asp?pGB=1&amp;gicode=A115390&amp;cID=&amp;MenuYn=Y&amp;ReportGB=&amp;NewMenuID=108&amp;stkGb=701", "락앤락")</f>
        <v>0</v>
      </c>
      <c r="C468">
        <v>3</v>
      </c>
      <c r="D468">
        <v>10400</v>
      </c>
      <c r="E468">
        <v>-152.47</v>
      </c>
      <c r="F468">
        <v>47.33</v>
      </c>
      <c r="G468">
        <v>5938</v>
      </c>
      <c r="H468">
        <v>10122</v>
      </c>
      <c r="I468">
        <v>11315</v>
      </c>
      <c r="J468">
        <v>42.9</v>
      </c>
      <c r="K468">
        <v>2.67</v>
      </c>
      <c r="L468">
        <v>-8.789999999999999</v>
      </c>
      <c r="M468">
        <v>3.67</v>
      </c>
      <c r="N468" t="b">
        <v>0</v>
      </c>
      <c r="O468">
        <v>302</v>
      </c>
      <c r="P468" t="s">
        <v>481</v>
      </c>
      <c r="Q468" t="s">
        <v>2658</v>
      </c>
      <c r="R468">
        <v>-0.3104163548617533</v>
      </c>
      <c r="S468">
        <v>5513</v>
      </c>
      <c r="T468">
        <v>157103</v>
      </c>
      <c r="U468" t="s">
        <v>4453</v>
      </c>
      <c r="V468">
        <v>67.01000000000001</v>
      </c>
      <c r="W468" t="s">
        <v>6673</v>
      </c>
      <c r="X468" t="s">
        <v>8821</v>
      </c>
      <c r="Y468">
        <v>4860</v>
      </c>
      <c r="Z468">
        <v>243</v>
      </c>
    </row>
    <row r="469" spans="1:28">
      <c r="A469" s="2">
        <f>HYPERLINK("https://finance.naver.com/item/coinfo.nhn?code=000400", "A000400")</f>
        <v>0</v>
      </c>
      <c r="B469">
        <f>HYPERLINK("http://comp.fnguide.com/SVO2/ASP/SVD_Consensus.asp?pGB=1&amp;gicode=A000400&amp;cID=&amp;MenuYn=Y&amp;ReportGB=&amp;NewMenuID=108&amp;stkGb=701", "롯데손해보험")</f>
        <v>0</v>
      </c>
      <c r="C469">
        <v>3</v>
      </c>
      <c r="D469">
        <v>1865</v>
      </c>
      <c r="G469">
        <v>3079</v>
      </c>
      <c r="H469">
        <v>3106</v>
      </c>
      <c r="I469">
        <v>3114</v>
      </c>
      <c r="J469">
        <v>-65.08</v>
      </c>
      <c r="K469">
        <v>-66.55</v>
      </c>
      <c r="L469">
        <v>-66.97</v>
      </c>
      <c r="M469">
        <v>7.85</v>
      </c>
      <c r="N469" t="b">
        <v>0</v>
      </c>
      <c r="O469">
        <v>-301</v>
      </c>
      <c r="P469" t="s">
        <v>482</v>
      </c>
      <c r="Q469" t="s">
        <v>2659</v>
      </c>
      <c r="R469">
        <v>7.559575942514729</v>
      </c>
      <c r="S469">
        <v>5788</v>
      </c>
      <c r="T469">
        <v>458570</v>
      </c>
      <c r="U469" t="s">
        <v>4454</v>
      </c>
      <c r="V469">
        <v>77.04000000000001</v>
      </c>
      <c r="W469" t="s">
        <v>6674</v>
      </c>
      <c r="X469" t="s">
        <v>8822</v>
      </c>
      <c r="Y469">
        <v>24291</v>
      </c>
      <c r="Z469">
        <v>-709</v>
      </c>
      <c r="AA469">
        <v>1226290</v>
      </c>
    </row>
    <row r="470" spans="1:28">
      <c r="A470" s="2">
        <f>HYPERLINK("https://finance.naver.com/item/coinfo.nhn?code=023530", "A023530")</f>
        <v>0</v>
      </c>
      <c r="B470">
        <f>HYPERLINK("http://comp.fnguide.com/SVO2/ASP/SVD_Consensus.asp?pGB=1&amp;gicode=A023530&amp;cID=&amp;MenuYn=Y&amp;ReportGB=&amp;NewMenuID=108&amp;stkGb=701", "롯데쇼핑")</f>
        <v>0</v>
      </c>
      <c r="C470">
        <v>3</v>
      </c>
      <c r="D470">
        <v>103000</v>
      </c>
      <c r="E470">
        <v>0</v>
      </c>
      <c r="G470">
        <v>0</v>
      </c>
      <c r="H470">
        <v>225570</v>
      </c>
      <c r="I470">
        <v>289846</v>
      </c>
      <c r="J470">
        <v>100</v>
      </c>
      <c r="K470">
        <v>-119</v>
      </c>
      <c r="L470">
        <v>-181.4</v>
      </c>
      <c r="M470">
        <v>0</v>
      </c>
      <c r="N470" t="b">
        <v>0</v>
      </c>
      <c r="O470">
        <v>-31685</v>
      </c>
      <c r="P470" t="s">
        <v>483</v>
      </c>
      <c r="Q470" t="s">
        <v>2276</v>
      </c>
      <c r="R470">
        <v>0</v>
      </c>
      <c r="S470">
        <v>29137</v>
      </c>
      <c r="T470">
        <v>207153</v>
      </c>
      <c r="U470" t="s">
        <v>4455</v>
      </c>
      <c r="V470">
        <v>61.89</v>
      </c>
      <c r="W470" t="s">
        <v>6675</v>
      </c>
      <c r="X470" t="s">
        <v>968</v>
      </c>
      <c r="Y470">
        <v>176220</v>
      </c>
      <c r="Z470">
        <v>4279</v>
      </c>
      <c r="AA470">
        <v>18115</v>
      </c>
      <c r="AB470">
        <v>2.8</v>
      </c>
    </row>
    <row r="471" spans="1:28">
      <c r="A471" s="2">
        <f>HYPERLINK("https://finance.naver.com/item/coinfo.nhn?code=004000", "A004000")</f>
        <v>0</v>
      </c>
      <c r="B471">
        <f>HYPERLINK("http://comp.fnguide.com/SVO2/ASP/SVD_Consensus.asp?pGB=1&amp;gicode=A004000&amp;cID=&amp;MenuYn=Y&amp;ReportGB=&amp;NewMenuID=108&amp;stkGb=701", "롯데정밀화학")</f>
        <v>0</v>
      </c>
      <c r="C471">
        <v>3</v>
      </c>
      <c r="D471">
        <v>59300</v>
      </c>
      <c r="E471">
        <v>0.28</v>
      </c>
      <c r="F471">
        <v>6.92</v>
      </c>
      <c r="G471">
        <v>93621</v>
      </c>
      <c r="H471">
        <v>72592</v>
      </c>
      <c r="I471">
        <v>66600</v>
      </c>
      <c r="J471">
        <v>-57.88</v>
      </c>
      <c r="K471">
        <v>-22.42</v>
      </c>
      <c r="L471">
        <v>-12.31</v>
      </c>
      <c r="M471">
        <v>12.73</v>
      </c>
      <c r="N471" t="b">
        <v>1</v>
      </c>
      <c r="O471">
        <v>6526</v>
      </c>
      <c r="P471" t="s">
        <v>484</v>
      </c>
      <c r="Q471" t="s">
        <v>2660</v>
      </c>
      <c r="R471">
        <v>24.41557987253018</v>
      </c>
      <c r="S471">
        <v>15299</v>
      </c>
      <c r="T471">
        <v>300966</v>
      </c>
      <c r="U471" t="s">
        <v>4456</v>
      </c>
      <c r="V471">
        <v>31.13</v>
      </c>
      <c r="W471" t="s">
        <v>6676</v>
      </c>
      <c r="X471" t="s">
        <v>8823</v>
      </c>
      <c r="Y471">
        <v>13113</v>
      </c>
      <c r="Z471">
        <v>1897</v>
      </c>
      <c r="AA471">
        <v>330000</v>
      </c>
      <c r="AB471">
        <v>3.77</v>
      </c>
    </row>
    <row r="472" spans="1:28">
      <c r="A472" s="2">
        <f>HYPERLINK("https://finance.naver.com/item/coinfo.nhn?code=001120", "A001120")</f>
        <v>0</v>
      </c>
      <c r="B472">
        <f>HYPERLINK("http://comp.fnguide.com/SVO2/ASP/SVD_Consensus.asp?pGB=1&amp;gicode=A001120&amp;cID=&amp;MenuYn=Y&amp;ReportGB=&amp;NewMenuID=108&amp;stkGb=701", "LG상사")</f>
        <v>0</v>
      </c>
      <c r="C472">
        <v>3</v>
      </c>
      <c r="D472">
        <v>19650</v>
      </c>
      <c r="E472">
        <v>0.66</v>
      </c>
      <c r="F472">
        <v>20.41</v>
      </c>
      <c r="G472">
        <v>8415</v>
      </c>
      <c r="H472">
        <v>22904</v>
      </c>
      <c r="I472">
        <v>27032</v>
      </c>
      <c r="J472">
        <v>57.18</v>
      </c>
      <c r="K472">
        <v>-16.56</v>
      </c>
      <c r="L472">
        <v>-37.57</v>
      </c>
      <c r="M472">
        <v>2.06</v>
      </c>
      <c r="N472" t="b">
        <v>1</v>
      </c>
      <c r="O472">
        <v>737</v>
      </c>
      <c r="P472" t="s">
        <v>485</v>
      </c>
      <c r="Q472" t="s">
        <v>2661</v>
      </c>
      <c r="R472">
        <v>31.02106700832503</v>
      </c>
      <c r="S472">
        <v>7616</v>
      </c>
      <c r="T472">
        <v>214646</v>
      </c>
      <c r="U472" t="s">
        <v>4457</v>
      </c>
      <c r="V472">
        <v>26.3</v>
      </c>
      <c r="W472" t="s">
        <v>6677</v>
      </c>
      <c r="X472" t="s">
        <v>8824</v>
      </c>
      <c r="Y472">
        <v>105309</v>
      </c>
      <c r="Z472">
        <v>1348</v>
      </c>
      <c r="AA472">
        <v>2746440</v>
      </c>
      <c r="AB472">
        <v>1.99</v>
      </c>
    </row>
    <row r="473" spans="1:28">
      <c r="A473" s="2">
        <f>HYPERLINK("https://finance.naver.com/item/coinfo.nhn?code=280360", "A280360")</f>
        <v>0</v>
      </c>
      <c r="B473">
        <f>HYPERLINK("http://comp.fnguide.com/SVO2/ASP/SVD_Consensus.asp?pGB=1&amp;gicode=A280360&amp;cID=&amp;MenuYn=Y&amp;ReportGB=&amp;NewMenuID=108&amp;stkGb=701", "롯데제과")</f>
        <v>0</v>
      </c>
      <c r="C473">
        <v>3</v>
      </c>
      <c r="D473">
        <v>105000</v>
      </c>
      <c r="E473">
        <v>0</v>
      </c>
      <c r="F473">
        <v>25.2</v>
      </c>
      <c r="G473">
        <v>45168</v>
      </c>
      <c r="H473">
        <v>131372</v>
      </c>
      <c r="I473">
        <v>155936</v>
      </c>
      <c r="J473">
        <v>56.98</v>
      </c>
      <c r="K473">
        <v>-25.12</v>
      </c>
      <c r="L473">
        <v>-48.51</v>
      </c>
      <c r="M473">
        <v>1.91</v>
      </c>
      <c r="N473" t="b">
        <v>1</v>
      </c>
      <c r="O473">
        <v>5932</v>
      </c>
      <c r="P473" t="s">
        <v>486</v>
      </c>
      <c r="Q473" t="s">
        <v>2662</v>
      </c>
      <c r="R473">
        <v>0</v>
      </c>
      <c r="S473">
        <v>6738</v>
      </c>
      <c r="T473">
        <v>11396</v>
      </c>
      <c r="U473" t="s">
        <v>4458</v>
      </c>
      <c r="V473">
        <v>77.69</v>
      </c>
      <c r="W473" t="s">
        <v>6678</v>
      </c>
      <c r="X473" t="s">
        <v>8825</v>
      </c>
      <c r="Y473">
        <v>20930</v>
      </c>
      <c r="Z473">
        <v>973</v>
      </c>
      <c r="AA473">
        <v>4578</v>
      </c>
      <c r="AB473">
        <v>0.87</v>
      </c>
    </row>
    <row r="474" spans="1:28">
      <c r="A474" s="2">
        <f>HYPERLINK("https://finance.naver.com/item/coinfo.nhn?code=002690", "A002690")</f>
        <v>0</v>
      </c>
      <c r="B474">
        <f>HYPERLINK("http://comp.fnguide.com/SVO2/ASP/SVD_Consensus.asp?pGB=1&amp;gicode=A002690&amp;cID=&amp;MenuYn=Y&amp;ReportGB=&amp;NewMenuID=108&amp;stkGb=701", "동일제강")</f>
        <v>0</v>
      </c>
      <c r="C474">
        <v>3</v>
      </c>
      <c r="D474">
        <v>2375</v>
      </c>
      <c r="E474">
        <v>-0.83</v>
      </c>
      <c r="F474">
        <v>33.37</v>
      </c>
      <c r="G474">
        <v>716</v>
      </c>
      <c r="H474">
        <v>5699</v>
      </c>
      <c r="I474">
        <v>7119</v>
      </c>
      <c r="J474">
        <v>69.86</v>
      </c>
      <c r="K474">
        <v>-139.95</v>
      </c>
      <c r="L474">
        <v>-199.74</v>
      </c>
      <c r="M474">
        <v>0.63</v>
      </c>
      <c r="N474" t="b">
        <v>0</v>
      </c>
      <c r="O474">
        <v>74</v>
      </c>
      <c r="P474" t="s">
        <v>487</v>
      </c>
      <c r="Q474" t="s">
        <v>2663</v>
      </c>
      <c r="R474">
        <v>-40.03437043439207</v>
      </c>
      <c r="S474">
        <v>356</v>
      </c>
      <c r="T474">
        <v>88395</v>
      </c>
      <c r="U474" t="s">
        <v>4459</v>
      </c>
      <c r="V474">
        <v>60.13</v>
      </c>
      <c r="W474" t="s">
        <v>6679</v>
      </c>
      <c r="X474" t="s">
        <v>8826</v>
      </c>
      <c r="Y474">
        <v>1274</v>
      </c>
      <c r="Z474">
        <v>10</v>
      </c>
      <c r="AA474">
        <v>514900</v>
      </c>
      <c r="AB474">
        <v>0.4</v>
      </c>
    </row>
    <row r="475" spans="1:28">
      <c r="A475" s="2">
        <f>HYPERLINK("https://finance.naver.com/item/coinfo.nhn?code=004890", "A004890")</f>
        <v>0</v>
      </c>
      <c r="B475">
        <f>HYPERLINK("http://comp.fnguide.com/SVO2/ASP/SVD_Consensus.asp?pGB=1&amp;gicode=A004890&amp;cID=&amp;MenuYn=Y&amp;ReportGB=&amp;NewMenuID=108&amp;stkGb=701", "동일산업")</f>
        <v>0</v>
      </c>
      <c r="C475">
        <v>3</v>
      </c>
      <c r="D475">
        <v>70200</v>
      </c>
      <c r="E475">
        <v>-6.8</v>
      </c>
      <c r="F475">
        <v>37.44</v>
      </c>
      <c r="G475">
        <v>65239</v>
      </c>
      <c r="H475">
        <v>124180</v>
      </c>
      <c r="I475">
        <v>140975</v>
      </c>
      <c r="J475">
        <v>7.07</v>
      </c>
      <c r="K475">
        <v>-76.89</v>
      </c>
      <c r="L475">
        <v>-100.82</v>
      </c>
      <c r="M475">
        <v>3.18</v>
      </c>
      <c r="N475" t="b">
        <v>0</v>
      </c>
      <c r="O475">
        <v>1547</v>
      </c>
      <c r="P475" t="s">
        <v>488</v>
      </c>
      <c r="Q475" t="s">
        <v>2664</v>
      </c>
      <c r="R475">
        <v>-5.505256095542821</v>
      </c>
      <c r="S475">
        <v>1703</v>
      </c>
      <c r="T475">
        <v>33597</v>
      </c>
      <c r="U475" t="s">
        <v>4460</v>
      </c>
      <c r="V475">
        <v>45.73</v>
      </c>
      <c r="W475" t="s">
        <v>6680</v>
      </c>
      <c r="X475" t="s">
        <v>8827</v>
      </c>
      <c r="Y475">
        <v>3547</v>
      </c>
      <c r="Z475">
        <v>-10</v>
      </c>
      <c r="AA475">
        <v>259144</v>
      </c>
      <c r="AB475">
        <v>1.3</v>
      </c>
    </row>
    <row r="476" spans="1:28">
      <c r="A476" s="2">
        <f>HYPERLINK("https://finance.naver.com/item/coinfo.nhn?code=163560", "A163560")</f>
        <v>0</v>
      </c>
      <c r="B476">
        <f>HYPERLINK("http://comp.fnguide.com/SVO2/ASP/SVD_Consensus.asp?pGB=1&amp;gicode=A163560&amp;cID=&amp;MenuYn=Y&amp;ReportGB=&amp;NewMenuID=108&amp;stkGb=701", "동일고무벨트")</f>
        <v>0</v>
      </c>
      <c r="C476">
        <v>3</v>
      </c>
      <c r="D476">
        <v>9680</v>
      </c>
      <c r="E476">
        <v>-0.5</v>
      </c>
      <c r="F476">
        <v>9.09</v>
      </c>
      <c r="G476">
        <v>7403</v>
      </c>
      <c r="H476">
        <v>11473</v>
      </c>
      <c r="I476">
        <v>12633</v>
      </c>
      <c r="J476">
        <v>23.52</v>
      </c>
      <c r="K476">
        <v>-18.53</v>
      </c>
      <c r="L476">
        <v>-30.51</v>
      </c>
      <c r="M476">
        <v>4.16</v>
      </c>
      <c r="N476" t="b">
        <v>1</v>
      </c>
      <c r="O476">
        <v>606</v>
      </c>
      <c r="P476" t="s">
        <v>489</v>
      </c>
      <c r="Q476" t="s">
        <v>2665</v>
      </c>
      <c r="R476">
        <v>-18.09867213398017</v>
      </c>
      <c r="S476">
        <v>1321</v>
      </c>
      <c r="T476">
        <v>111579</v>
      </c>
      <c r="U476" t="s">
        <v>4461</v>
      </c>
      <c r="V476">
        <v>69.76000000000001</v>
      </c>
      <c r="W476" t="s">
        <v>6681</v>
      </c>
      <c r="X476" t="s">
        <v>8828</v>
      </c>
      <c r="Y476">
        <v>2619</v>
      </c>
      <c r="Z476">
        <v>144</v>
      </c>
      <c r="AA476">
        <v>1691</v>
      </c>
      <c r="AB476">
        <v>1.78</v>
      </c>
    </row>
    <row r="477" spans="1:28">
      <c r="A477" s="2">
        <f>HYPERLINK("https://finance.naver.com/item/coinfo.nhn?code=030720", "A030720")</f>
        <v>0</v>
      </c>
      <c r="B477">
        <f>HYPERLINK("http://comp.fnguide.com/SVO2/ASP/SVD_Consensus.asp?pGB=1&amp;gicode=A030720&amp;cID=&amp;MenuYn=Y&amp;ReportGB=&amp;NewMenuID=108&amp;stkGb=701", "동원수산")</f>
        <v>0</v>
      </c>
      <c r="C477">
        <v>3</v>
      </c>
      <c r="D477">
        <v>9060</v>
      </c>
      <c r="E477">
        <v>0.37</v>
      </c>
      <c r="F477">
        <v>7.78</v>
      </c>
      <c r="G477">
        <v>13940</v>
      </c>
      <c r="H477">
        <v>12136</v>
      </c>
      <c r="I477">
        <v>11622</v>
      </c>
      <c r="J477">
        <v>-53.87</v>
      </c>
      <c r="K477">
        <v>-33.95</v>
      </c>
      <c r="L477">
        <v>-28.28</v>
      </c>
      <c r="M477">
        <v>10.16</v>
      </c>
      <c r="N477" t="b">
        <v>0</v>
      </c>
      <c r="O477">
        <v>1305</v>
      </c>
      <c r="P477" t="s">
        <v>490</v>
      </c>
      <c r="Q477" t="s">
        <v>2666</v>
      </c>
      <c r="R477">
        <v>20.90549431457722</v>
      </c>
      <c r="S477">
        <v>422</v>
      </c>
      <c r="T477">
        <v>68896</v>
      </c>
      <c r="U477" t="s">
        <v>4462</v>
      </c>
      <c r="V477">
        <v>18.9</v>
      </c>
      <c r="W477" t="s">
        <v>6682</v>
      </c>
      <c r="X477" t="s">
        <v>8829</v>
      </c>
      <c r="Y477">
        <v>1640</v>
      </c>
      <c r="Z477">
        <v>151</v>
      </c>
    </row>
    <row r="478" spans="1:28">
      <c r="A478" s="2">
        <f>HYPERLINK("https://finance.naver.com/item/coinfo.nhn?code=102260", "A102260")</f>
        <v>0</v>
      </c>
      <c r="B478">
        <f>HYPERLINK("http://comp.fnguide.com/SVO2/ASP/SVD_Consensus.asp?pGB=1&amp;gicode=A102260&amp;cID=&amp;MenuYn=Y&amp;ReportGB=&amp;NewMenuID=108&amp;stkGb=701", "동성코퍼레이션")</f>
        <v>0</v>
      </c>
      <c r="C478">
        <v>3</v>
      </c>
      <c r="D478">
        <v>4610</v>
      </c>
      <c r="E478">
        <v>-3.62</v>
      </c>
      <c r="F478">
        <v>42.1</v>
      </c>
      <c r="G478">
        <v>1248</v>
      </c>
      <c r="H478">
        <v>4345</v>
      </c>
      <c r="I478">
        <v>5228</v>
      </c>
      <c r="J478">
        <v>72.93000000000001</v>
      </c>
      <c r="K478">
        <v>5.74</v>
      </c>
      <c r="L478">
        <v>-13.41</v>
      </c>
      <c r="M478">
        <v>1.55</v>
      </c>
      <c r="N478" t="b">
        <v>0</v>
      </c>
      <c r="O478">
        <v>124</v>
      </c>
      <c r="P478" t="s">
        <v>491</v>
      </c>
      <c r="Q478" t="s">
        <v>2667</v>
      </c>
      <c r="R478">
        <v>-11.64453908246518</v>
      </c>
      <c r="S478">
        <v>2028</v>
      </c>
      <c r="T478">
        <v>287338</v>
      </c>
      <c r="U478" t="s">
        <v>4463</v>
      </c>
      <c r="V478">
        <v>46.52</v>
      </c>
      <c r="W478" t="s">
        <v>6683</v>
      </c>
      <c r="X478" t="s">
        <v>8830</v>
      </c>
      <c r="Y478">
        <v>8498</v>
      </c>
      <c r="Z478">
        <v>518</v>
      </c>
      <c r="AB478">
        <v>3.83</v>
      </c>
    </row>
    <row r="479" spans="1:28">
      <c r="A479" s="2">
        <f>HYPERLINK("https://finance.naver.com/item/coinfo.nhn?code=005190", "A005190")</f>
        <v>0</v>
      </c>
      <c r="B479">
        <f>HYPERLINK("http://comp.fnguide.com/SVO2/ASP/SVD_Consensus.asp?pGB=1&amp;gicode=A005190&amp;cID=&amp;MenuYn=Y&amp;ReportGB=&amp;NewMenuID=108&amp;stkGb=701", "동성화학")</f>
        <v>0</v>
      </c>
      <c r="C479">
        <v>3</v>
      </c>
      <c r="D479">
        <v>16300</v>
      </c>
      <c r="E479">
        <v>0.95</v>
      </c>
      <c r="F479">
        <v>7.3</v>
      </c>
      <c r="G479">
        <v>24816</v>
      </c>
      <c r="H479">
        <v>23581</v>
      </c>
      <c r="I479">
        <v>23229</v>
      </c>
      <c r="J479">
        <v>-52.25</v>
      </c>
      <c r="K479">
        <v>-44.67</v>
      </c>
      <c r="L479">
        <v>-42.51</v>
      </c>
      <c r="M479">
        <v>8.69</v>
      </c>
      <c r="N479" t="b">
        <v>1</v>
      </c>
      <c r="O479">
        <v>2492</v>
      </c>
      <c r="P479" t="s">
        <v>492</v>
      </c>
      <c r="Q479" t="s">
        <v>2668</v>
      </c>
      <c r="R479">
        <v>7.718437755339846</v>
      </c>
      <c r="S479">
        <v>870</v>
      </c>
      <c r="T479">
        <v>40939</v>
      </c>
      <c r="U479" t="s">
        <v>4464</v>
      </c>
      <c r="V479">
        <v>51.23</v>
      </c>
      <c r="W479" t="s">
        <v>6684</v>
      </c>
      <c r="X479" t="s">
        <v>8831</v>
      </c>
      <c r="Y479">
        <v>2010</v>
      </c>
      <c r="Z479">
        <v>253</v>
      </c>
      <c r="AA479">
        <v>186177</v>
      </c>
      <c r="AB479">
        <v>3.3</v>
      </c>
    </row>
    <row r="480" spans="1:28">
      <c r="A480" s="2">
        <f>HYPERLINK("https://finance.naver.com/item/coinfo.nhn?code=100840", "A100840")</f>
        <v>0</v>
      </c>
      <c r="B480">
        <f>HYPERLINK("http://comp.fnguide.com/SVO2/ASP/SVD_Consensus.asp?pGB=1&amp;gicode=A100840&amp;cID=&amp;MenuYn=Y&amp;ReportGB=&amp;NewMenuID=108&amp;stkGb=701", "S&amp;TC")</f>
        <v>0</v>
      </c>
      <c r="C480">
        <v>3</v>
      </c>
      <c r="D480">
        <v>15200</v>
      </c>
      <c r="E480">
        <v>-0.98</v>
      </c>
      <c r="F480">
        <v>9.619999999999999</v>
      </c>
      <c r="G480">
        <v>18103</v>
      </c>
      <c r="H480">
        <v>29832</v>
      </c>
      <c r="I480">
        <v>33173</v>
      </c>
      <c r="J480">
        <v>-19.1</v>
      </c>
      <c r="K480">
        <v>-96.26000000000001</v>
      </c>
      <c r="L480">
        <v>-118.25</v>
      </c>
      <c r="M480">
        <v>3.83</v>
      </c>
      <c r="N480" t="b">
        <v>1</v>
      </c>
      <c r="O480">
        <v>2058</v>
      </c>
      <c r="P480" t="s">
        <v>493</v>
      </c>
      <c r="Q480" t="s">
        <v>2669</v>
      </c>
      <c r="R480">
        <v>-9.770328255165349</v>
      </c>
      <c r="S480">
        <v>1141</v>
      </c>
      <c r="T480">
        <v>29443</v>
      </c>
      <c r="U480" t="s">
        <v>4465</v>
      </c>
      <c r="V480">
        <v>55.93</v>
      </c>
      <c r="W480" t="s">
        <v>6685</v>
      </c>
      <c r="X480" t="s">
        <v>8832</v>
      </c>
      <c r="Y480">
        <v>2133</v>
      </c>
      <c r="Z480">
        <v>175</v>
      </c>
      <c r="AA480">
        <v>994762</v>
      </c>
      <c r="AB480">
        <v>4.04</v>
      </c>
    </row>
    <row r="481" spans="1:28">
      <c r="A481" s="2">
        <f>HYPERLINK("https://finance.naver.com/item/coinfo.nhn?code=005490", "A005490")</f>
        <v>0</v>
      </c>
      <c r="B481">
        <f>HYPERLINK("http://comp.fnguide.com/SVO2/ASP/SVD_Consensus.asp?pGB=1&amp;gicode=A005490&amp;cID=&amp;MenuYn=Y&amp;ReportGB=&amp;NewMenuID=108&amp;stkGb=701", "POSCO")</f>
        <v>0</v>
      </c>
      <c r="C481">
        <v>3</v>
      </c>
      <c r="D481">
        <v>265500</v>
      </c>
      <c r="E481">
        <v>0.29</v>
      </c>
      <c r="F481">
        <v>11.24</v>
      </c>
      <c r="G481">
        <v>325279</v>
      </c>
      <c r="H481">
        <v>478827</v>
      </c>
      <c r="I481">
        <v>522580</v>
      </c>
      <c r="J481">
        <v>-22.52</v>
      </c>
      <c r="K481">
        <v>-80.34999999999999</v>
      </c>
      <c r="L481">
        <v>-96.83</v>
      </c>
      <c r="M481">
        <v>4.46</v>
      </c>
      <c r="N481" t="b">
        <v>1</v>
      </c>
      <c r="O481">
        <v>21048</v>
      </c>
      <c r="P481" t="s">
        <v>494</v>
      </c>
      <c r="Q481" t="s">
        <v>2670</v>
      </c>
      <c r="R481">
        <v>38.70662480892808</v>
      </c>
      <c r="S481">
        <v>231481</v>
      </c>
      <c r="T481">
        <v>662533</v>
      </c>
      <c r="U481" t="s">
        <v>4466</v>
      </c>
      <c r="V481">
        <v>11.77</v>
      </c>
      <c r="W481" t="s">
        <v>6686</v>
      </c>
      <c r="X481" t="s">
        <v>8833</v>
      </c>
      <c r="Y481">
        <v>643668</v>
      </c>
      <c r="Z481">
        <v>38689</v>
      </c>
      <c r="AA481">
        <v>10621659</v>
      </c>
      <c r="AB481">
        <v>4.23</v>
      </c>
    </row>
    <row r="482" spans="1:28">
      <c r="A482" s="2">
        <f>HYPERLINK("https://finance.naver.com/item/coinfo.nhn?code=028100", "A028100")</f>
        <v>0</v>
      </c>
      <c r="B482">
        <f>HYPERLINK("http://comp.fnguide.com/SVO2/ASP/SVD_Consensus.asp?pGB=1&amp;gicode=A028100&amp;cID=&amp;MenuYn=Y&amp;ReportGB=&amp;NewMenuID=108&amp;stkGb=701", "동아지질")</f>
        <v>0</v>
      </c>
      <c r="C482">
        <v>3</v>
      </c>
      <c r="D482">
        <v>16200</v>
      </c>
      <c r="E482">
        <v>7.45</v>
      </c>
      <c r="F482">
        <v>11.56</v>
      </c>
      <c r="G482">
        <v>23259</v>
      </c>
      <c r="H482">
        <v>19594</v>
      </c>
      <c r="I482">
        <v>18550</v>
      </c>
      <c r="J482">
        <v>-43.58</v>
      </c>
      <c r="K482">
        <v>-20.95</v>
      </c>
      <c r="L482">
        <v>-14.51</v>
      </c>
      <c r="M482">
        <v>10.8</v>
      </c>
      <c r="N482" t="b">
        <v>0</v>
      </c>
      <c r="O482">
        <v>1656</v>
      </c>
      <c r="P482" t="s">
        <v>495</v>
      </c>
      <c r="Q482" t="s">
        <v>2671</v>
      </c>
      <c r="R482">
        <v>1.552411764209838</v>
      </c>
      <c r="S482">
        <v>1863</v>
      </c>
      <c r="T482">
        <v>71247</v>
      </c>
      <c r="U482" t="s">
        <v>4467</v>
      </c>
      <c r="V482">
        <v>43.35</v>
      </c>
      <c r="W482" t="s">
        <v>6687</v>
      </c>
      <c r="X482" t="s">
        <v>8834</v>
      </c>
      <c r="Y482">
        <v>3809</v>
      </c>
      <c r="Z482">
        <v>229</v>
      </c>
      <c r="AA482">
        <v>200000</v>
      </c>
      <c r="AB482">
        <v>1.04</v>
      </c>
    </row>
    <row r="483" spans="1:28">
      <c r="A483" s="2">
        <f>HYPERLINK("https://finance.naver.com/item/coinfo.nhn?code=010060", "A010060")</f>
        <v>0</v>
      </c>
      <c r="B483">
        <f>HYPERLINK("http://comp.fnguide.com/SVO2/ASP/SVD_Consensus.asp?pGB=1&amp;gicode=A010060&amp;cID=&amp;MenuYn=Y&amp;ReportGB=&amp;NewMenuID=108&amp;stkGb=701", "OCI")</f>
        <v>0</v>
      </c>
      <c r="C483">
        <v>3</v>
      </c>
      <c r="D483">
        <v>70400</v>
      </c>
      <c r="G483">
        <v>30970</v>
      </c>
      <c r="H483">
        <v>79317</v>
      </c>
      <c r="I483">
        <v>93093</v>
      </c>
      <c r="J483">
        <v>56.01</v>
      </c>
      <c r="K483">
        <v>-12.67</v>
      </c>
      <c r="L483">
        <v>-32.23</v>
      </c>
      <c r="M483">
        <v>2.21</v>
      </c>
      <c r="N483" t="b">
        <v>0</v>
      </c>
      <c r="O483">
        <v>-33308</v>
      </c>
      <c r="P483" t="s">
        <v>496</v>
      </c>
      <c r="Q483" t="s">
        <v>2672</v>
      </c>
      <c r="R483">
        <v>1.152609211699307</v>
      </c>
      <c r="S483">
        <v>16790</v>
      </c>
      <c r="T483">
        <v>317252</v>
      </c>
      <c r="U483" t="s">
        <v>4468</v>
      </c>
      <c r="V483">
        <v>22.27</v>
      </c>
      <c r="W483" t="s">
        <v>6688</v>
      </c>
      <c r="X483" t="s">
        <v>8835</v>
      </c>
      <c r="Y483">
        <v>26051</v>
      </c>
      <c r="Z483">
        <v>-1806</v>
      </c>
      <c r="AA483">
        <v>197267</v>
      </c>
    </row>
    <row r="484" spans="1:28">
      <c r="A484" s="2">
        <f>HYPERLINK("https://finance.naver.com/item/coinfo.nhn?code=004250", "A004250")</f>
        <v>0</v>
      </c>
      <c r="B484">
        <f>HYPERLINK("http://comp.fnguide.com/SVO2/ASP/SVD_Consensus.asp?pGB=1&amp;gicode=A004250&amp;cID=&amp;MenuYn=Y&amp;ReportGB=&amp;NewMenuID=108&amp;stkGb=701", "NPC")</f>
        <v>0</v>
      </c>
      <c r="C484">
        <v>3</v>
      </c>
      <c r="D484">
        <v>3250</v>
      </c>
      <c r="E484">
        <v>-1.1</v>
      </c>
      <c r="F484">
        <v>10.92</v>
      </c>
      <c r="G484">
        <v>4819</v>
      </c>
      <c r="H484">
        <v>6559</v>
      </c>
      <c r="I484">
        <v>7055</v>
      </c>
      <c r="J484">
        <v>-48.28</v>
      </c>
      <c r="K484">
        <v>-101.82</v>
      </c>
      <c r="L484">
        <v>-117.08</v>
      </c>
      <c r="M484">
        <v>4.98</v>
      </c>
      <c r="N484" t="b">
        <v>1</v>
      </c>
      <c r="O484">
        <v>343</v>
      </c>
      <c r="P484" t="s">
        <v>497</v>
      </c>
      <c r="Q484" t="s">
        <v>2673</v>
      </c>
      <c r="R484">
        <v>-9.944664381420488</v>
      </c>
      <c r="S484">
        <v>1193</v>
      </c>
      <c r="T484">
        <v>97710</v>
      </c>
      <c r="U484" t="s">
        <v>4469</v>
      </c>
      <c r="V484">
        <v>60.05</v>
      </c>
      <c r="W484" t="s">
        <v>6689</v>
      </c>
      <c r="X484" t="s">
        <v>8836</v>
      </c>
      <c r="Y484">
        <v>4545</v>
      </c>
      <c r="Z484">
        <v>198</v>
      </c>
      <c r="AB484">
        <v>2.67</v>
      </c>
    </row>
    <row r="485" spans="1:28">
      <c r="A485" s="2">
        <f>HYPERLINK("https://finance.naver.com/item/coinfo.nhn?code=008260", "A008260")</f>
        <v>0</v>
      </c>
      <c r="B485">
        <f>HYPERLINK("http://comp.fnguide.com/SVO2/ASP/SVD_Consensus.asp?pGB=1&amp;gicode=A008260&amp;cID=&amp;MenuYn=Y&amp;ReportGB=&amp;NewMenuID=108&amp;stkGb=701", "NI스틸")</f>
        <v>0</v>
      </c>
      <c r="C485">
        <v>3</v>
      </c>
      <c r="D485">
        <v>2680</v>
      </c>
      <c r="E485">
        <v>7.09</v>
      </c>
      <c r="F485">
        <v>9.85</v>
      </c>
      <c r="G485">
        <v>4019</v>
      </c>
      <c r="H485">
        <v>3934</v>
      </c>
      <c r="I485">
        <v>3910</v>
      </c>
      <c r="J485">
        <v>-49.95</v>
      </c>
      <c r="K485">
        <v>-46.79</v>
      </c>
      <c r="L485">
        <v>-45.89</v>
      </c>
      <c r="M485">
        <v>8.26</v>
      </c>
      <c r="N485" t="b">
        <v>1</v>
      </c>
      <c r="O485">
        <v>224</v>
      </c>
      <c r="P485" t="s">
        <v>498</v>
      </c>
      <c r="Q485" t="s">
        <v>2674</v>
      </c>
      <c r="R485">
        <v>1.389534495520905</v>
      </c>
      <c r="S485">
        <v>766</v>
      </c>
      <c r="T485">
        <v>2478894</v>
      </c>
      <c r="U485" t="s">
        <v>4470</v>
      </c>
      <c r="V485">
        <v>59.16</v>
      </c>
      <c r="W485" t="s">
        <v>6690</v>
      </c>
      <c r="X485" t="s">
        <v>8837</v>
      </c>
      <c r="Y485">
        <v>1482</v>
      </c>
      <c r="Z485">
        <v>121</v>
      </c>
      <c r="AB485">
        <v>2.26</v>
      </c>
    </row>
    <row r="486" spans="1:28">
      <c r="A486" s="2">
        <f>HYPERLINK("https://finance.naver.com/item/coinfo.nhn?code=005940", "A005940")</f>
        <v>0</v>
      </c>
      <c r="B486">
        <f>HYPERLINK("http://comp.fnguide.com/SVO2/ASP/SVD_Consensus.asp?pGB=1&amp;gicode=A005940&amp;cID=&amp;MenuYn=Y&amp;ReportGB=&amp;NewMenuID=108&amp;stkGb=701", "NH투자증권")</f>
        <v>0</v>
      </c>
      <c r="C486">
        <v>3</v>
      </c>
      <c r="D486">
        <v>11800</v>
      </c>
      <c r="E486">
        <v>0.98</v>
      </c>
      <c r="F486">
        <v>8.02</v>
      </c>
      <c r="G486">
        <v>19805</v>
      </c>
      <c r="H486">
        <v>19431</v>
      </c>
      <c r="I486">
        <v>19325</v>
      </c>
      <c r="J486">
        <v>-67.84</v>
      </c>
      <c r="K486">
        <v>-64.67</v>
      </c>
      <c r="L486">
        <v>-63.77</v>
      </c>
      <c r="M486">
        <v>8.23</v>
      </c>
      <c r="N486" t="b">
        <v>0</v>
      </c>
      <c r="O486">
        <v>1584</v>
      </c>
      <c r="P486" t="s">
        <v>499</v>
      </c>
      <c r="Q486" t="s">
        <v>2675</v>
      </c>
      <c r="R486">
        <v>8.155821043436728</v>
      </c>
      <c r="S486">
        <v>33206</v>
      </c>
      <c r="T486">
        <v>3042383</v>
      </c>
      <c r="U486" t="s">
        <v>4471</v>
      </c>
      <c r="V486">
        <v>49.12</v>
      </c>
      <c r="W486" t="s">
        <v>6691</v>
      </c>
      <c r="X486" t="s">
        <v>8838</v>
      </c>
      <c r="Y486">
        <v>13873</v>
      </c>
      <c r="Z486">
        <v>5754</v>
      </c>
      <c r="AA486">
        <v>683671</v>
      </c>
      <c r="AB486">
        <v>3.94</v>
      </c>
    </row>
    <row r="487" spans="1:28">
      <c r="A487" s="2">
        <f>HYPERLINK("https://finance.naver.com/item/coinfo.nhn?code=039010", "A039010")</f>
        <v>0</v>
      </c>
      <c r="B487">
        <f>HYPERLINK("http://comp.fnguide.com/SVO2/ASP/SVD_Consensus.asp?pGB=1&amp;gicode=A039010&amp;cID=&amp;MenuYn=Y&amp;ReportGB=&amp;NewMenuID=108&amp;stkGb=701", "현대통신")</f>
        <v>0</v>
      </c>
      <c r="C487">
        <v>3</v>
      </c>
      <c r="D487">
        <v>7680</v>
      </c>
      <c r="E487">
        <v>-6.44</v>
      </c>
      <c r="F487">
        <v>6.49</v>
      </c>
      <c r="G487">
        <v>25473</v>
      </c>
      <c r="H487">
        <v>16260</v>
      </c>
      <c r="I487">
        <v>13635</v>
      </c>
      <c r="J487">
        <v>-231.68</v>
      </c>
      <c r="K487">
        <v>-111.72</v>
      </c>
      <c r="L487">
        <v>-77.54000000000001</v>
      </c>
      <c r="M487">
        <v>20.02</v>
      </c>
      <c r="N487" t="b">
        <v>1</v>
      </c>
      <c r="O487">
        <v>1236</v>
      </c>
      <c r="P487" t="s">
        <v>500</v>
      </c>
      <c r="Q487" t="s">
        <v>2676</v>
      </c>
      <c r="R487">
        <v>-1.007956655238018</v>
      </c>
      <c r="S487">
        <v>662</v>
      </c>
      <c r="T487">
        <v>45076</v>
      </c>
      <c r="U487" t="s">
        <v>4472</v>
      </c>
      <c r="V487">
        <v>38.47</v>
      </c>
      <c r="W487" t="s">
        <v>6692</v>
      </c>
      <c r="X487" t="s">
        <v>8839</v>
      </c>
      <c r="Y487">
        <v>1046</v>
      </c>
      <c r="Z487">
        <v>105</v>
      </c>
      <c r="AA487">
        <v>586897</v>
      </c>
      <c r="AB487">
        <v>3.74</v>
      </c>
    </row>
    <row r="488" spans="1:28">
      <c r="A488" s="2">
        <f>HYPERLINK("https://finance.naver.com/item/coinfo.nhn?code=282690", "A282690")</f>
        <v>0</v>
      </c>
      <c r="B488">
        <f>HYPERLINK("http://comp.fnguide.com/SVO2/ASP/SVD_Consensus.asp?pGB=1&amp;gicode=A282690&amp;cID=&amp;MenuYn=Y&amp;ReportGB=&amp;NewMenuID=108&amp;stkGb=701", "동아타이어")</f>
        <v>0</v>
      </c>
      <c r="C488">
        <v>3</v>
      </c>
      <c r="D488">
        <v>9580</v>
      </c>
      <c r="E488">
        <v>0</v>
      </c>
      <c r="F488">
        <v>6.86</v>
      </c>
      <c r="G488">
        <v>16866</v>
      </c>
      <c r="H488">
        <v>22349</v>
      </c>
      <c r="I488">
        <v>23911</v>
      </c>
      <c r="J488">
        <v>-76.05</v>
      </c>
      <c r="K488">
        <v>-133.29</v>
      </c>
      <c r="L488">
        <v>-149.59</v>
      </c>
      <c r="M488">
        <v>5.17</v>
      </c>
      <c r="N488" t="b">
        <v>1</v>
      </c>
      <c r="O488">
        <v>1799</v>
      </c>
      <c r="P488" t="s">
        <v>501</v>
      </c>
      <c r="Q488" t="s">
        <v>2677</v>
      </c>
      <c r="R488">
        <v>0</v>
      </c>
      <c r="S488">
        <v>1316</v>
      </c>
      <c r="T488">
        <v>9299</v>
      </c>
      <c r="U488" t="s">
        <v>4473</v>
      </c>
      <c r="V488">
        <v>64.94</v>
      </c>
      <c r="W488" t="s">
        <v>6693</v>
      </c>
      <c r="X488" t="s">
        <v>8840</v>
      </c>
      <c r="Y488">
        <v>1560</v>
      </c>
      <c r="Z488">
        <v>180</v>
      </c>
      <c r="AA488">
        <v>1598</v>
      </c>
      <c r="AB488">
        <v>4.05</v>
      </c>
    </row>
    <row r="489" spans="1:28">
      <c r="A489" s="2">
        <f>HYPERLINK("https://finance.naver.com/item/coinfo.nhn?code=001520", "A001520")</f>
        <v>0</v>
      </c>
      <c r="B489">
        <f>HYPERLINK("http://comp.fnguide.com/SVO2/ASP/SVD_Consensus.asp?pGB=1&amp;gicode=A001520&amp;cID=&amp;MenuYn=Y&amp;ReportGB=&amp;NewMenuID=108&amp;stkGb=701", "동양")</f>
        <v>0</v>
      </c>
      <c r="C489">
        <v>3</v>
      </c>
      <c r="D489">
        <v>1215</v>
      </c>
      <c r="G489">
        <v>232</v>
      </c>
      <c r="H489">
        <v>2584</v>
      </c>
      <c r="I489">
        <v>3255</v>
      </c>
      <c r="J489">
        <v>80.87</v>
      </c>
      <c r="K489">
        <v>-112.71</v>
      </c>
      <c r="L489">
        <v>-167.86</v>
      </c>
      <c r="M489">
        <v>0.45</v>
      </c>
      <c r="N489" t="b">
        <v>0</v>
      </c>
      <c r="O489">
        <v>-2</v>
      </c>
      <c r="P489" t="s">
        <v>502</v>
      </c>
      <c r="Q489" t="s">
        <v>2678</v>
      </c>
      <c r="R489">
        <v>-82.54015847854666</v>
      </c>
      <c r="S489">
        <v>2900</v>
      </c>
      <c r="T489">
        <v>764327</v>
      </c>
      <c r="U489" t="s">
        <v>4474</v>
      </c>
      <c r="V489">
        <v>30.05</v>
      </c>
      <c r="W489" t="s">
        <v>6694</v>
      </c>
      <c r="X489" t="s">
        <v>8841</v>
      </c>
      <c r="Y489">
        <v>5391</v>
      </c>
      <c r="Z489">
        <v>-201</v>
      </c>
      <c r="AA489">
        <v>40512000</v>
      </c>
      <c r="AB489">
        <v>2.79</v>
      </c>
    </row>
    <row r="490" spans="1:28">
      <c r="A490" s="2">
        <f>HYPERLINK("https://finance.naver.com/item/coinfo.nhn?code=084670", "A084670")</f>
        <v>0</v>
      </c>
      <c r="B490">
        <f>HYPERLINK("http://comp.fnguide.com/SVO2/ASP/SVD_Consensus.asp?pGB=1&amp;gicode=A084670&amp;cID=&amp;MenuYn=Y&amp;ReportGB=&amp;NewMenuID=108&amp;stkGb=701", "동양고속")</f>
        <v>0</v>
      </c>
      <c r="C490">
        <v>3</v>
      </c>
      <c r="D490">
        <v>26350</v>
      </c>
      <c r="E490">
        <v>0.01</v>
      </c>
      <c r="F490">
        <v>2.41</v>
      </c>
      <c r="G490">
        <v>87181</v>
      </c>
      <c r="H490">
        <v>65019</v>
      </c>
      <c r="I490">
        <v>58704</v>
      </c>
      <c r="J490">
        <v>-230.86</v>
      </c>
      <c r="K490">
        <v>-146.75</v>
      </c>
      <c r="L490">
        <v>-122.78</v>
      </c>
      <c r="M490">
        <v>13.82</v>
      </c>
      <c r="N490" t="b">
        <v>0</v>
      </c>
      <c r="O490">
        <v>11314</v>
      </c>
      <c r="P490" t="s">
        <v>503</v>
      </c>
      <c r="Q490" t="s">
        <v>2679</v>
      </c>
      <c r="R490">
        <v>235.5370024304324</v>
      </c>
      <c r="S490">
        <v>763</v>
      </c>
      <c r="T490">
        <v>10305</v>
      </c>
      <c r="U490" t="s">
        <v>4475</v>
      </c>
      <c r="V490">
        <v>47.52</v>
      </c>
      <c r="W490" t="s">
        <v>6695</v>
      </c>
      <c r="X490" t="s">
        <v>8842</v>
      </c>
      <c r="Y490">
        <v>1405</v>
      </c>
      <c r="Z490">
        <v>100</v>
      </c>
      <c r="AA490">
        <v>275048</v>
      </c>
      <c r="AB490">
        <v>17.25</v>
      </c>
    </row>
    <row r="491" spans="1:28">
      <c r="A491" s="2">
        <f>HYPERLINK("https://finance.naver.com/item/coinfo.nhn?code=092300", "A092300")</f>
        <v>0</v>
      </c>
      <c r="B491">
        <f>HYPERLINK("http://comp.fnguide.com/SVO2/ASP/SVD_Consensus.asp?pGB=1&amp;gicode=A092300&amp;cID=&amp;MenuYn=Y&amp;ReportGB=&amp;NewMenuID=108&amp;stkGb=701", "현우산업")</f>
        <v>0</v>
      </c>
      <c r="C491">
        <v>3</v>
      </c>
      <c r="D491">
        <v>3010</v>
      </c>
      <c r="E491">
        <v>0.18</v>
      </c>
      <c r="F491">
        <v>23.34</v>
      </c>
      <c r="G491">
        <v>3528</v>
      </c>
      <c r="H491">
        <v>4426</v>
      </c>
      <c r="I491">
        <v>4682</v>
      </c>
      <c r="J491">
        <v>-17.22</v>
      </c>
      <c r="K491">
        <v>-47.06</v>
      </c>
      <c r="L491">
        <v>-55.56</v>
      </c>
      <c r="M491">
        <v>5.6</v>
      </c>
      <c r="N491" t="b">
        <v>1</v>
      </c>
      <c r="O491">
        <v>146</v>
      </c>
      <c r="P491" t="s">
        <v>504</v>
      </c>
      <c r="Q491" t="s">
        <v>2680</v>
      </c>
      <c r="R491">
        <v>129.6383823856937</v>
      </c>
      <c r="S491">
        <v>464</v>
      </c>
      <c r="T491">
        <v>128942</v>
      </c>
      <c r="U491" t="s">
        <v>4476</v>
      </c>
      <c r="V491">
        <v>36.77</v>
      </c>
      <c r="W491" t="s">
        <v>6696</v>
      </c>
      <c r="X491" t="s">
        <v>8843</v>
      </c>
      <c r="Y491">
        <v>1685</v>
      </c>
      <c r="Z491">
        <v>51</v>
      </c>
      <c r="AA491">
        <v>375227</v>
      </c>
      <c r="AB491">
        <v>2.93</v>
      </c>
    </row>
    <row r="492" spans="1:28">
      <c r="A492" s="2">
        <f>HYPERLINK("https://finance.naver.com/item/coinfo.nhn?code=082640", "A082640")</f>
        <v>0</v>
      </c>
      <c r="B492">
        <f>HYPERLINK("http://comp.fnguide.com/SVO2/ASP/SVD_Consensus.asp?pGB=1&amp;gicode=A082640&amp;cID=&amp;MenuYn=Y&amp;ReportGB=&amp;NewMenuID=108&amp;stkGb=701", "동양생명")</f>
        <v>0</v>
      </c>
      <c r="C492">
        <v>3</v>
      </c>
      <c r="D492">
        <v>3610</v>
      </c>
      <c r="E492">
        <v>1.26</v>
      </c>
      <c r="F492">
        <v>5.6</v>
      </c>
      <c r="G492">
        <v>9591</v>
      </c>
      <c r="H492">
        <v>13856</v>
      </c>
      <c r="I492">
        <v>15071</v>
      </c>
      <c r="J492">
        <v>-165.67</v>
      </c>
      <c r="K492">
        <v>-283.82</v>
      </c>
      <c r="L492">
        <v>-317.49</v>
      </c>
      <c r="M492">
        <v>4.58</v>
      </c>
      <c r="N492" t="b">
        <v>1</v>
      </c>
      <c r="O492">
        <v>714</v>
      </c>
      <c r="P492" t="s">
        <v>505</v>
      </c>
      <c r="Q492" t="s">
        <v>2681</v>
      </c>
      <c r="R492">
        <v>4.455953107124211</v>
      </c>
      <c r="S492">
        <v>5825</v>
      </c>
      <c r="T492">
        <v>223923</v>
      </c>
      <c r="U492" t="s">
        <v>4477</v>
      </c>
      <c r="V492">
        <v>75.37</v>
      </c>
      <c r="W492" t="s">
        <v>6697</v>
      </c>
      <c r="X492" t="s">
        <v>8844</v>
      </c>
      <c r="Y492">
        <v>45264</v>
      </c>
      <c r="Z492">
        <v>1142</v>
      </c>
      <c r="AA492">
        <v>5500000</v>
      </c>
      <c r="AB492">
        <v>5.75</v>
      </c>
    </row>
    <row r="493" spans="1:28">
      <c r="A493" s="2">
        <f>HYPERLINK("https://finance.naver.com/item/coinfo.nhn?code=092780", "A092780")</f>
        <v>0</v>
      </c>
      <c r="B493">
        <f>HYPERLINK("http://comp.fnguide.com/SVO2/ASP/SVD_Consensus.asp?pGB=1&amp;gicode=A092780&amp;cID=&amp;MenuYn=Y&amp;ReportGB=&amp;NewMenuID=108&amp;stkGb=701", "동양피스톤")</f>
        <v>0</v>
      </c>
      <c r="C493">
        <v>3</v>
      </c>
      <c r="D493">
        <v>5600</v>
      </c>
      <c r="E493">
        <v>2.83</v>
      </c>
      <c r="F493">
        <v>6.53</v>
      </c>
      <c r="G493">
        <v>11978</v>
      </c>
      <c r="H493">
        <v>9873</v>
      </c>
      <c r="I493">
        <v>9273</v>
      </c>
      <c r="J493">
        <v>-113.9</v>
      </c>
      <c r="K493">
        <v>-76.3</v>
      </c>
      <c r="L493">
        <v>-65.58</v>
      </c>
      <c r="M493">
        <v>11.27</v>
      </c>
      <c r="N493" t="b">
        <v>1</v>
      </c>
      <c r="O493">
        <v>738</v>
      </c>
      <c r="P493" t="s">
        <v>506</v>
      </c>
      <c r="Q493" t="s">
        <v>2682</v>
      </c>
      <c r="R493">
        <v>2.307316731176723</v>
      </c>
      <c r="S493">
        <v>737</v>
      </c>
      <c r="T493">
        <v>182367</v>
      </c>
      <c r="U493" t="s">
        <v>4478</v>
      </c>
      <c r="V493">
        <v>55.79</v>
      </c>
      <c r="W493" t="s">
        <v>6698</v>
      </c>
      <c r="X493" t="s">
        <v>8845</v>
      </c>
      <c r="Y493">
        <v>3648</v>
      </c>
      <c r="Z493">
        <v>185</v>
      </c>
      <c r="AA493">
        <v>647132</v>
      </c>
      <c r="AB493">
        <v>2.49</v>
      </c>
    </row>
    <row r="494" spans="1:28">
      <c r="A494" s="2">
        <f>HYPERLINK("https://finance.naver.com/item/coinfo.nhn?code=000680", "A000680")</f>
        <v>0</v>
      </c>
      <c r="B494">
        <f>HYPERLINK("http://comp.fnguide.com/SVO2/ASP/SVD_Consensus.asp?pGB=1&amp;gicode=A000680&amp;cID=&amp;MenuYn=Y&amp;ReportGB=&amp;NewMenuID=108&amp;stkGb=701", "LS네트웍스")</f>
        <v>0</v>
      </c>
      <c r="C494">
        <v>3</v>
      </c>
      <c r="D494">
        <v>2270</v>
      </c>
      <c r="G494">
        <v>1262</v>
      </c>
      <c r="H494">
        <v>4751</v>
      </c>
      <c r="I494">
        <v>5745</v>
      </c>
      <c r="J494">
        <v>44.39</v>
      </c>
      <c r="K494">
        <v>-109.28</v>
      </c>
      <c r="L494">
        <v>-153.07</v>
      </c>
      <c r="M494">
        <v>1.42</v>
      </c>
      <c r="N494" t="b">
        <v>0</v>
      </c>
      <c r="O494">
        <v>-877</v>
      </c>
      <c r="P494" t="s">
        <v>507</v>
      </c>
      <c r="Q494" t="s">
        <v>2683</v>
      </c>
      <c r="R494">
        <v>-20.9</v>
      </c>
      <c r="S494">
        <v>1789</v>
      </c>
      <c r="T494">
        <v>53967</v>
      </c>
      <c r="U494" t="s">
        <v>4479</v>
      </c>
      <c r="V494">
        <v>81.81</v>
      </c>
      <c r="W494" t="s">
        <v>6699</v>
      </c>
      <c r="X494" t="s">
        <v>8846</v>
      </c>
      <c r="Y494">
        <v>4028</v>
      </c>
      <c r="Z494">
        <v>-215</v>
      </c>
      <c r="AA494">
        <v>5320054</v>
      </c>
    </row>
    <row r="495" spans="1:28">
      <c r="A495" s="2">
        <f>HYPERLINK("https://finance.naver.com/item/coinfo.nhn?code=049770", "A049770")</f>
        <v>0</v>
      </c>
      <c r="B495">
        <f>HYPERLINK("http://comp.fnguide.com/SVO2/ASP/SVD_Consensus.asp?pGB=1&amp;gicode=A049770&amp;cID=&amp;MenuYn=Y&amp;ReportGB=&amp;NewMenuID=108&amp;stkGb=701", "동원F&amp;B")</f>
        <v>0</v>
      </c>
      <c r="C495">
        <v>3</v>
      </c>
      <c r="D495">
        <v>177500</v>
      </c>
      <c r="E495">
        <v>2.67</v>
      </c>
      <c r="F495">
        <v>13.28</v>
      </c>
      <c r="G495">
        <v>212248</v>
      </c>
      <c r="H495">
        <v>190780</v>
      </c>
      <c r="I495">
        <v>184662</v>
      </c>
      <c r="J495">
        <v>-19.58</v>
      </c>
      <c r="K495">
        <v>-7.48</v>
      </c>
      <c r="L495">
        <v>-4.03</v>
      </c>
      <c r="M495">
        <v>9.58</v>
      </c>
      <c r="N495" t="b">
        <v>1</v>
      </c>
      <c r="O495">
        <v>17015</v>
      </c>
      <c r="P495" t="s">
        <v>508</v>
      </c>
      <c r="Q495" t="s">
        <v>2684</v>
      </c>
      <c r="R495">
        <v>4.964981025361559</v>
      </c>
      <c r="S495">
        <v>6850</v>
      </c>
      <c r="T495">
        <v>8892</v>
      </c>
      <c r="U495" t="s">
        <v>4480</v>
      </c>
      <c r="V495">
        <v>71.27</v>
      </c>
      <c r="W495" t="s">
        <v>6700</v>
      </c>
      <c r="X495" t="s">
        <v>8847</v>
      </c>
      <c r="Y495">
        <v>30303</v>
      </c>
      <c r="Z495">
        <v>1014</v>
      </c>
      <c r="AB495">
        <v>1.33</v>
      </c>
    </row>
    <row r="496" spans="1:28">
      <c r="A496" s="2">
        <f>HYPERLINK("https://finance.naver.com/item/coinfo.nhn?code=018500", "A018500")</f>
        <v>0</v>
      </c>
      <c r="B496">
        <f>HYPERLINK("http://comp.fnguide.com/SVO2/ASP/SVD_Consensus.asp?pGB=1&amp;gicode=A018500&amp;cID=&amp;MenuYn=Y&amp;ReportGB=&amp;NewMenuID=108&amp;stkGb=701", "동원금속")</f>
        <v>0</v>
      </c>
      <c r="C496">
        <v>3</v>
      </c>
      <c r="D496">
        <v>703</v>
      </c>
      <c r="E496">
        <v>0</v>
      </c>
      <c r="F496">
        <v>1.42</v>
      </c>
      <c r="G496">
        <v>2709</v>
      </c>
      <c r="H496">
        <v>1900</v>
      </c>
      <c r="I496">
        <v>1670</v>
      </c>
      <c r="J496">
        <v>-285.38</v>
      </c>
      <c r="K496">
        <v>-170.3</v>
      </c>
      <c r="L496">
        <v>-137.5</v>
      </c>
      <c r="M496">
        <v>15.85</v>
      </c>
      <c r="N496" t="b">
        <v>1</v>
      </c>
      <c r="O496">
        <v>350</v>
      </c>
      <c r="P496" t="s">
        <v>509</v>
      </c>
      <c r="Q496" t="s">
        <v>2276</v>
      </c>
      <c r="R496">
        <v>0</v>
      </c>
      <c r="S496">
        <v>329</v>
      </c>
      <c r="T496">
        <v>266899</v>
      </c>
      <c r="U496" t="s">
        <v>4481</v>
      </c>
      <c r="V496">
        <v>23.16</v>
      </c>
      <c r="W496" t="s">
        <v>6701</v>
      </c>
      <c r="X496" t="s">
        <v>8848</v>
      </c>
      <c r="Y496">
        <v>4566</v>
      </c>
      <c r="Z496">
        <v>201</v>
      </c>
      <c r="AA496">
        <v>10128</v>
      </c>
    </row>
    <row r="497" spans="1:28">
      <c r="A497" s="2">
        <f>HYPERLINK("https://finance.naver.com/item/coinfo.nhn?code=006040", "A006040")</f>
        <v>0</v>
      </c>
      <c r="B497">
        <f>HYPERLINK("http://comp.fnguide.com/SVO2/ASP/SVD_Consensus.asp?pGB=1&amp;gicode=A006040&amp;cID=&amp;MenuYn=Y&amp;ReportGB=&amp;NewMenuID=108&amp;stkGb=701", "동원산업")</f>
        <v>0</v>
      </c>
      <c r="C497">
        <v>3</v>
      </c>
      <c r="D497">
        <v>215000</v>
      </c>
      <c r="E497">
        <v>0.29</v>
      </c>
      <c r="F497">
        <v>16.74</v>
      </c>
      <c r="G497">
        <v>304067</v>
      </c>
      <c r="H497">
        <v>304527</v>
      </c>
      <c r="I497">
        <v>304658</v>
      </c>
      <c r="J497">
        <v>-41.43</v>
      </c>
      <c r="K497">
        <v>-41.64</v>
      </c>
      <c r="L497">
        <v>-41.7</v>
      </c>
      <c r="M497">
        <v>7.95</v>
      </c>
      <c r="N497" t="b">
        <v>0</v>
      </c>
      <c r="O497">
        <v>12632</v>
      </c>
      <c r="P497" t="s">
        <v>510</v>
      </c>
      <c r="Q497" t="s">
        <v>2685</v>
      </c>
      <c r="R497">
        <v>57.06371283585647</v>
      </c>
      <c r="S497">
        <v>7907</v>
      </c>
      <c r="T497">
        <v>5933</v>
      </c>
      <c r="U497" t="s">
        <v>4482</v>
      </c>
      <c r="V497">
        <v>63.3</v>
      </c>
      <c r="W497" t="s">
        <v>6702</v>
      </c>
      <c r="X497" t="s">
        <v>8849</v>
      </c>
      <c r="Y497">
        <v>26826</v>
      </c>
      <c r="Z497">
        <v>1936</v>
      </c>
      <c r="AA497">
        <v>266581</v>
      </c>
      <c r="AB497">
        <v>0.95</v>
      </c>
    </row>
    <row r="498" spans="1:28">
      <c r="A498" s="2">
        <f>HYPERLINK("https://finance.naver.com/item/coinfo.nhn?code=006260", "A006260")</f>
        <v>0</v>
      </c>
      <c r="B498">
        <f>HYPERLINK("http://comp.fnguide.com/SVO2/ASP/SVD_Consensus.asp?pGB=1&amp;gicode=A006260&amp;cID=&amp;MenuYn=Y&amp;ReportGB=&amp;NewMenuID=108&amp;stkGb=701", "LS")</f>
        <v>0</v>
      </c>
      <c r="C498">
        <v>3</v>
      </c>
      <c r="D498">
        <v>67200</v>
      </c>
      <c r="E498">
        <v>-1.43</v>
      </c>
      <c r="F498">
        <v>60.76</v>
      </c>
      <c r="G498">
        <v>98576</v>
      </c>
      <c r="H498">
        <v>107859</v>
      </c>
      <c r="I498">
        <v>110505</v>
      </c>
      <c r="J498">
        <v>-46.69</v>
      </c>
      <c r="K498">
        <v>-60.51</v>
      </c>
      <c r="L498">
        <v>-64.44</v>
      </c>
      <c r="M498">
        <v>6.89</v>
      </c>
      <c r="N498" t="b">
        <v>0</v>
      </c>
      <c r="O498">
        <v>787</v>
      </c>
      <c r="P498" t="s">
        <v>511</v>
      </c>
      <c r="Q498" t="s">
        <v>2686</v>
      </c>
      <c r="R498">
        <v>-42.50631496281667</v>
      </c>
      <c r="S498">
        <v>21638</v>
      </c>
      <c r="T498">
        <v>406002</v>
      </c>
      <c r="U498" t="s">
        <v>4483</v>
      </c>
      <c r="V498">
        <v>35.3</v>
      </c>
      <c r="W498" t="s">
        <v>6703</v>
      </c>
      <c r="X498" t="s">
        <v>8850</v>
      </c>
      <c r="Y498">
        <v>101762</v>
      </c>
      <c r="Z498">
        <v>2724</v>
      </c>
      <c r="AA498">
        <v>4432929</v>
      </c>
      <c r="AB498">
        <v>3.03</v>
      </c>
    </row>
    <row r="499" spans="1:28">
      <c r="A499" s="2">
        <f>HYPERLINK("https://finance.naver.com/item/coinfo.nhn?code=004990", "A004990")</f>
        <v>0</v>
      </c>
      <c r="B499">
        <f>HYPERLINK("http://comp.fnguide.com/SVO2/ASP/SVD_Consensus.asp?pGB=1&amp;gicode=A004990&amp;cID=&amp;MenuYn=Y&amp;ReportGB=&amp;NewMenuID=108&amp;stkGb=701", "롯데지주")</f>
        <v>0</v>
      </c>
      <c r="C499">
        <v>3</v>
      </c>
      <c r="D499">
        <v>35100</v>
      </c>
      <c r="G499">
        <v>32768</v>
      </c>
      <c r="H499">
        <v>69932</v>
      </c>
      <c r="I499">
        <v>80522</v>
      </c>
      <c r="J499">
        <v>6.64</v>
      </c>
      <c r="K499">
        <v>-99.23999999999999</v>
      </c>
      <c r="L499">
        <v>-129.41</v>
      </c>
      <c r="M499">
        <v>2.76</v>
      </c>
      <c r="N499" t="b">
        <v>0</v>
      </c>
      <c r="O499">
        <v>-3395</v>
      </c>
      <c r="P499" t="s">
        <v>512</v>
      </c>
      <c r="Q499" t="s">
        <v>2687</v>
      </c>
      <c r="R499">
        <v>-47.92328438074146</v>
      </c>
      <c r="S499">
        <v>36823</v>
      </c>
      <c r="T499">
        <v>233980</v>
      </c>
      <c r="U499" t="s">
        <v>4484</v>
      </c>
      <c r="V499">
        <v>42.63</v>
      </c>
      <c r="W499" t="s">
        <v>6704</v>
      </c>
      <c r="X499" t="s">
        <v>8851</v>
      </c>
      <c r="Y499">
        <v>88562</v>
      </c>
      <c r="Z499">
        <v>1749</v>
      </c>
      <c r="AA499">
        <v>34103937</v>
      </c>
      <c r="AB499">
        <v>2.82</v>
      </c>
    </row>
    <row r="500" spans="1:28">
      <c r="A500" s="2">
        <f>HYPERLINK("https://finance.naver.com/item/coinfo.nhn?code=005300", "A005300")</f>
        <v>0</v>
      </c>
      <c r="B500">
        <f>HYPERLINK("http://comp.fnguide.com/SVO2/ASP/SVD_Consensus.asp?pGB=1&amp;gicode=A005300&amp;cID=&amp;MenuYn=Y&amp;ReportGB=&amp;NewMenuID=108&amp;stkGb=701", "롯데칠성")</f>
        <v>0</v>
      </c>
      <c r="C500">
        <v>3</v>
      </c>
      <c r="D500">
        <v>101500</v>
      </c>
      <c r="G500">
        <v>21807</v>
      </c>
      <c r="H500">
        <v>93832</v>
      </c>
      <c r="I500">
        <v>114356</v>
      </c>
      <c r="J500">
        <v>78.52</v>
      </c>
      <c r="K500">
        <v>7.55</v>
      </c>
      <c r="L500">
        <v>-12.67</v>
      </c>
      <c r="M500">
        <v>1.23</v>
      </c>
      <c r="N500" t="b">
        <v>0</v>
      </c>
      <c r="O500">
        <v>-16243</v>
      </c>
      <c r="P500" t="s">
        <v>513</v>
      </c>
      <c r="Q500" t="s">
        <v>2688</v>
      </c>
      <c r="R500">
        <v>21.12671051423794</v>
      </c>
      <c r="S500">
        <v>9110</v>
      </c>
      <c r="T500">
        <v>79737</v>
      </c>
      <c r="U500" t="s">
        <v>4485</v>
      </c>
      <c r="V500">
        <v>62.8</v>
      </c>
      <c r="W500" t="s">
        <v>6705</v>
      </c>
      <c r="X500" t="s">
        <v>8852</v>
      </c>
      <c r="Y500">
        <v>24295</v>
      </c>
      <c r="Z500">
        <v>1077</v>
      </c>
      <c r="AA500">
        <v>420110</v>
      </c>
      <c r="AB500">
        <v>1.93</v>
      </c>
    </row>
    <row r="501" spans="1:28">
      <c r="A501" s="2">
        <f>HYPERLINK("https://finance.naver.com/item/coinfo.nhn?code=011170", "A011170")</f>
        <v>0</v>
      </c>
      <c r="B501">
        <f>HYPERLINK("http://comp.fnguide.com/SVO2/ASP/SVD_Consensus.asp?pGB=1&amp;gicode=A011170&amp;cID=&amp;MenuYn=Y&amp;ReportGB=&amp;NewMenuID=108&amp;stkGb=701", "롯데케미칼")</f>
        <v>0</v>
      </c>
      <c r="C501">
        <v>3</v>
      </c>
      <c r="D501">
        <v>281000</v>
      </c>
      <c r="E501">
        <v>-0.28</v>
      </c>
      <c r="F501">
        <v>10.74</v>
      </c>
      <c r="G501">
        <v>516639</v>
      </c>
      <c r="H501">
        <v>437693</v>
      </c>
      <c r="I501">
        <v>415197</v>
      </c>
      <c r="J501">
        <v>-83.86</v>
      </c>
      <c r="K501">
        <v>-55.76</v>
      </c>
      <c r="L501">
        <v>-47.76</v>
      </c>
      <c r="M501">
        <v>10.69</v>
      </c>
      <c r="N501" t="b">
        <v>1</v>
      </c>
      <c r="O501">
        <v>20860</v>
      </c>
      <c r="P501" t="s">
        <v>514</v>
      </c>
      <c r="Q501" t="s">
        <v>2689</v>
      </c>
      <c r="R501">
        <v>-38.5028874169244</v>
      </c>
      <c r="S501">
        <v>96314</v>
      </c>
      <c r="T501">
        <v>235837</v>
      </c>
      <c r="U501" t="s">
        <v>4486</v>
      </c>
      <c r="V501">
        <v>54.92</v>
      </c>
      <c r="W501" t="s">
        <v>6706</v>
      </c>
      <c r="X501" t="s">
        <v>8853</v>
      </c>
      <c r="Y501">
        <v>151235</v>
      </c>
      <c r="Z501">
        <v>11073</v>
      </c>
      <c r="AB501">
        <v>2.99</v>
      </c>
    </row>
    <row r="502" spans="1:28">
      <c r="A502" s="2">
        <f>HYPERLINK("https://finance.naver.com/item/coinfo.nhn?code=001940", "A001940")</f>
        <v>0</v>
      </c>
      <c r="B502">
        <f>HYPERLINK("http://comp.fnguide.com/SVO2/ASP/SVD_Consensus.asp?pGB=1&amp;gicode=A001940&amp;cID=&amp;MenuYn=Y&amp;ReportGB=&amp;NewMenuID=108&amp;stkGb=701", "KISCO홀딩스")</f>
        <v>0</v>
      </c>
      <c r="C502">
        <v>3</v>
      </c>
      <c r="D502">
        <v>13750</v>
      </c>
      <c r="E502">
        <v>1.52</v>
      </c>
      <c r="F502">
        <v>5.31</v>
      </c>
      <c r="G502">
        <v>28118</v>
      </c>
      <c r="H502">
        <v>43501</v>
      </c>
      <c r="I502">
        <v>47884</v>
      </c>
      <c r="J502">
        <v>-104.5</v>
      </c>
      <c r="K502">
        <v>-216.37</v>
      </c>
      <c r="L502">
        <v>-248.25</v>
      </c>
      <c r="M502">
        <v>4.17</v>
      </c>
      <c r="N502" t="b">
        <v>1</v>
      </c>
      <c r="O502">
        <v>2409</v>
      </c>
      <c r="P502" t="s">
        <v>515</v>
      </c>
      <c r="Q502" t="s">
        <v>2690</v>
      </c>
      <c r="R502">
        <v>3.494766549483441</v>
      </c>
      <c r="S502">
        <v>2541</v>
      </c>
      <c r="T502">
        <v>34008</v>
      </c>
      <c r="U502" t="s">
        <v>4487</v>
      </c>
      <c r="V502">
        <v>45.45</v>
      </c>
      <c r="W502" t="s">
        <v>6707</v>
      </c>
      <c r="X502" t="s">
        <v>8854</v>
      </c>
      <c r="Y502">
        <v>11830</v>
      </c>
      <c r="Z502">
        <v>576</v>
      </c>
      <c r="AA502">
        <v>3258725</v>
      </c>
      <c r="AB502">
        <v>2.19</v>
      </c>
    </row>
    <row r="503" spans="1:28">
      <c r="A503" s="2">
        <f>HYPERLINK("https://finance.naver.com/item/coinfo.nhn?code=001390", "A001390")</f>
        <v>0</v>
      </c>
      <c r="B503">
        <f>HYPERLINK("http://comp.fnguide.com/SVO2/ASP/SVD_Consensus.asp?pGB=1&amp;gicode=A001390&amp;cID=&amp;MenuYn=Y&amp;ReportGB=&amp;NewMenuID=108&amp;stkGb=701", "KG케미칼")</f>
        <v>0</v>
      </c>
      <c r="C503">
        <v>3</v>
      </c>
      <c r="D503">
        <v>21000</v>
      </c>
      <c r="E503">
        <v>0.35</v>
      </c>
      <c r="F503">
        <v>1.59</v>
      </c>
      <c r="G503">
        <v>57171</v>
      </c>
      <c r="H503">
        <v>38816</v>
      </c>
      <c r="I503">
        <v>33586</v>
      </c>
      <c r="J503">
        <v>-172.24</v>
      </c>
      <c r="K503">
        <v>-84.84</v>
      </c>
      <c r="L503">
        <v>-59.94</v>
      </c>
      <c r="M503">
        <v>17.11</v>
      </c>
      <c r="N503" t="b">
        <v>1</v>
      </c>
      <c r="O503">
        <v>7569</v>
      </c>
      <c r="P503" t="s">
        <v>516</v>
      </c>
      <c r="Q503" t="s">
        <v>2691</v>
      </c>
      <c r="R503">
        <v>4.574861474822889</v>
      </c>
      <c r="S503">
        <v>2733</v>
      </c>
      <c r="T503">
        <v>255225</v>
      </c>
      <c r="U503" t="s">
        <v>4488</v>
      </c>
      <c r="V503">
        <v>46.62</v>
      </c>
      <c r="W503" t="s">
        <v>6708</v>
      </c>
      <c r="X503" t="s">
        <v>8855</v>
      </c>
      <c r="Y503">
        <v>20684</v>
      </c>
      <c r="Z503">
        <v>1180</v>
      </c>
      <c r="AA503">
        <v>200910</v>
      </c>
      <c r="AB503">
        <v>2.92</v>
      </c>
    </row>
    <row r="504" spans="1:28">
      <c r="A504" s="2">
        <f>HYPERLINK("https://finance.naver.com/item/coinfo.nhn?code=003650", "A003650")</f>
        <v>0</v>
      </c>
      <c r="B504">
        <f>HYPERLINK("http://comp.fnguide.com/SVO2/ASP/SVD_Consensus.asp?pGB=1&amp;gicode=A003650&amp;cID=&amp;MenuYn=Y&amp;ReportGB=&amp;NewMenuID=108&amp;stkGb=701", "미창석유")</f>
        <v>0</v>
      </c>
      <c r="C504">
        <v>3</v>
      </c>
      <c r="D504">
        <v>66000</v>
      </c>
      <c r="E504">
        <v>-1.69</v>
      </c>
      <c r="F504">
        <v>7.79</v>
      </c>
      <c r="G504">
        <v>123442</v>
      </c>
      <c r="H504">
        <v>151691</v>
      </c>
      <c r="I504">
        <v>159741</v>
      </c>
      <c r="J504">
        <v>-87.03</v>
      </c>
      <c r="K504">
        <v>-129.83</v>
      </c>
      <c r="L504">
        <v>-142.03</v>
      </c>
      <c r="M504">
        <v>5.77</v>
      </c>
      <c r="N504" t="b">
        <v>1</v>
      </c>
      <c r="O504">
        <v>10189</v>
      </c>
      <c r="P504" t="s">
        <v>517</v>
      </c>
      <c r="Q504" t="s">
        <v>2692</v>
      </c>
      <c r="R504">
        <v>-4.614862285258603</v>
      </c>
      <c r="S504">
        <v>1148</v>
      </c>
      <c r="T504">
        <v>736</v>
      </c>
      <c r="U504" t="s">
        <v>4489</v>
      </c>
      <c r="V504">
        <v>40.24</v>
      </c>
      <c r="W504" t="s">
        <v>6709</v>
      </c>
      <c r="X504" t="s">
        <v>8856</v>
      </c>
      <c r="Y504">
        <v>3237</v>
      </c>
      <c r="Z504">
        <v>175</v>
      </c>
      <c r="AA504">
        <v>226693</v>
      </c>
      <c r="AB504">
        <v>2.52</v>
      </c>
    </row>
    <row r="505" spans="1:28">
      <c r="A505" s="2">
        <f>HYPERLINK("https://finance.naver.com/item/coinfo.nhn?code=003610", "A003610")</f>
        <v>0</v>
      </c>
      <c r="B505">
        <f>HYPERLINK("http://comp.fnguide.com/SVO2/ASP/SVD_Consensus.asp?pGB=1&amp;gicode=A003610&amp;cID=&amp;MenuYn=Y&amp;ReportGB=&amp;NewMenuID=108&amp;stkGb=701", "방림")</f>
        <v>0</v>
      </c>
      <c r="C505">
        <v>3</v>
      </c>
      <c r="D505">
        <v>1910</v>
      </c>
      <c r="E505">
        <v>-2.65</v>
      </c>
      <c r="F505">
        <v>14.96</v>
      </c>
      <c r="G505">
        <v>1644</v>
      </c>
      <c r="H505">
        <v>3598</v>
      </c>
      <c r="I505">
        <v>4155</v>
      </c>
      <c r="J505">
        <v>13.9</v>
      </c>
      <c r="K505">
        <v>-88.40000000000001</v>
      </c>
      <c r="L505">
        <v>-117.55</v>
      </c>
      <c r="M505">
        <v>2.68</v>
      </c>
      <c r="N505" t="b">
        <v>1</v>
      </c>
      <c r="O505">
        <v>133</v>
      </c>
      <c r="P505" t="s">
        <v>518</v>
      </c>
      <c r="Q505" t="s">
        <v>2693</v>
      </c>
      <c r="R505">
        <v>-5.642195401075578</v>
      </c>
      <c r="S505">
        <v>808</v>
      </c>
      <c r="T505">
        <v>219147</v>
      </c>
      <c r="U505" t="s">
        <v>4490</v>
      </c>
      <c r="V505">
        <v>38.69</v>
      </c>
      <c r="W505" t="s">
        <v>6710</v>
      </c>
      <c r="X505" t="s">
        <v>8857</v>
      </c>
      <c r="Y505">
        <v>1319</v>
      </c>
      <c r="Z505">
        <v>21</v>
      </c>
      <c r="AA505">
        <v>3633031</v>
      </c>
      <c r="AB505">
        <v>2.01</v>
      </c>
    </row>
    <row r="506" spans="1:28">
      <c r="A506" s="2">
        <f>HYPERLINK("https://finance.naver.com/item/coinfo.nhn?code=001340", "A001340")</f>
        <v>0</v>
      </c>
      <c r="B506">
        <f>HYPERLINK("http://comp.fnguide.com/SVO2/ASP/SVD_Consensus.asp?pGB=1&amp;gicode=A001340&amp;cID=&amp;MenuYn=Y&amp;ReportGB=&amp;NewMenuID=108&amp;stkGb=701", "백광산업")</f>
        <v>0</v>
      </c>
      <c r="C506">
        <v>3</v>
      </c>
      <c r="D506">
        <v>3375</v>
      </c>
      <c r="E506">
        <v>0.18</v>
      </c>
      <c r="F506">
        <v>6.89</v>
      </c>
      <c r="G506">
        <v>5263</v>
      </c>
      <c r="H506">
        <v>4378</v>
      </c>
      <c r="I506">
        <v>4125</v>
      </c>
      <c r="J506">
        <v>-55.95</v>
      </c>
      <c r="K506">
        <v>-29.71</v>
      </c>
      <c r="L506">
        <v>-22.23</v>
      </c>
      <c r="M506">
        <v>11.07</v>
      </c>
      <c r="N506" t="b">
        <v>1</v>
      </c>
      <c r="O506">
        <v>357</v>
      </c>
      <c r="P506" t="s">
        <v>519</v>
      </c>
      <c r="Q506" t="s">
        <v>2694</v>
      </c>
      <c r="R506">
        <v>37.94921854664781</v>
      </c>
      <c r="S506">
        <v>1516</v>
      </c>
      <c r="T506">
        <v>812131</v>
      </c>
      <c r="U506" t="s">
        <v>4491</v>
      </c>
      <c r="V506">
        <v>43.98</v>
      </c>
      <c r="W506" t="s">
        <v>6711</v>
      </c>
      <c r="X506" t="s">
        <v>8858</v>
      </c>
      <c r="Y506">
        <v>1684</v>
      </c>
      <c r="Z506">
        <v>212</v>
      </c>
      <c r="AA506">
        <v>769300</v>
      </c>
      <c r="AB506">
        <v>3.05</v>
      </c>
    </row>
    <row r="507" spans="1:28">
      <c r="A507" s="2">
        <f>HYPERLINK("https://finance.naver.com/item/coinfo.nhn?code=035150", "A035150")</f>
        <v>0</v>
      </c>
      <c r="B507">
        <f>HYPERLINK("http://comp.fnguide.com/SVO2/ASP/SVD_Consensus.asp?pGB=1&amp;gicode=A035150&amp;cID=&amp;MenuYn=Y&amp;ReportGB=&amp;NewMenuID=108&amp;stkGb=701", "백산")</f>
        <v>0</v>
      </c>
      <c r="C507">
        <v>3</v>
      </c>
      <c r="D507">
        <v>5410</v>
      </c>
      <c r="E507">
        <v>-1.72</v>
      </c>
      <c r="F507">
        <v>31.9</v>
      </c>
      <c r="G507">
        <v>5669</v>
      </c>
      <c r="H507">
        <v>5859</v>
      </c>
      <c r="I507">
        <v>5914</v>
      </c>
      <c r="J507">
        <v>-4.79</v>
      </c>
      <c r="K507">
        <v>-8.31</v>
      </c>
      <c r="L507">
        <v>-9.31</v>
      </c>
      <c r="M507">
        <v>7.55</v>
      </c>
      <c r="N507" t="b">
        <v>1</v>
      </c>
      <c r="O507">
        <v>282</v>
      </c>
      <c r="P507" t="s">
        <v>520</v>
      </c>
      <c r="Q507" t="s">
        <v>2695</v>
      </c>
      <c r="R507">
        <v>-18.49725915270318</v>
      </c>
      <c r="S507">
        <v>1309</v>
      </c>
      <c r="T507">
        <v>129942</v>
      </c>
      <c r="U507" t="s">
        <v>4492</v>
      </c>
      <c r="V507">
        <v>52.18</v>
      </c>
      <c r="W507" t="s">
        <v>6712</v>
      </c>
      <c r="X507" t="s">
        <v>8859</v>
      </c>
      <c r="Y507">
        <v>4689</v>
      </c>
      <c r="Z507">
        <v>320</v>
      </c>
      <c r="AA507">
        <v>544439</v>
      </c>
      <c r="AB507">
        <v>1.11</v>
      </c>
    </row>
    <row r="508" spans="1:28">
      <c r="A508" s="2">
        <f>HYPERLINK("https://finance.naver.com/item/coinfo.nhn?code=007210", "A007210")</f>
        <v>0</v>
      </c>
      <c r="B508">
        <f>HYPERLINK("http://comp.fnguide.com/SVO2/ASP/SVD_Consensus.asp?pGB=1&amp;gicode=A007210&amp;cID=&amp;MenuYn=Y&amp;ReportGB=&amp;NewMenuID=108&amp;stkGb=701", "벽산")</f>
        <v>0</v>
      </c>
      <c r="C508">
        <v>3</v>
      </c>
      <c r="D508">
        <v>2130</v>
      </c>
      <c r="G508">
        <v>985</v>
      </c>
      <c r="H508">
        <v>2857</v>
      </c>
      <c r="I508">
        <v>3391</v>
      </c>
      <c r="J508">
        <v>53.78</v>
      </c>
      <c r="K508">
        <v>-34.13</v>
      </c>
      <c r="L508">
        <v>-59.18</v>
      </c>
      <c r="M508">
        <v>1.91</v>
      </c>
      <c r="N508" t="b">
        <v>0</v>
      </c>
      <c r="O508">
        <v>-40</v>
      </c>
      <c r="P508" t="s">
        <v>521</v>
      </c>
      <c r="Q508" t="s">
        <v>2696</v>
      </c>
      <c r="R508">
        <v>-34.33951765891492</v>
      </c>
      <c r="S508">
        <v>1460</v>
      </c>
      <c r="T508">
        <v>515588</v>
      </c>
      <c r="U508" t="s">
        <v>4493</v>
      </c>
      <c r="V508">
        <v>30.27</v>
      </c>
      <c r="W508" t="s">
        <v>6713</v>
      </c>
      <c r="X508" t="s">
        <v>8860</v>
      </c>
      <c r="Y508">
        <v>4335</v>
      </c>
      <c r="Z508">
        <v>-38</v>
      </c>
      <c r="AA508">
        <v>11890597</v>
      </c>
    </row>
    <row r="509" spans="1:28">
      <c r="A509" s="2">
        <f>HYPERLINK("https://finance.naver.com/item/coinfo.nhn?code=006140", "A006140")</f>
        <v>0</v>
      </c>
      <c r="B509">
        <f>HYPERLINK("http://comp.fnguide.com/SVO2/ASP/SVD_Consensus.asp?pGB=1&amp;gicode=A006140&amp;cID=&amp;MenuYn=Y&amp;ReportGB=&amp;NewMenuID=108&amp;stkGb=701", "피제이전자")</f>
        <v>0</v>
      </c>
      <c r="C509">
        <v>3</v>
      </c>
      <c r="D509">
        <v>6530</v>
      </c>
      <c r="E509">
        <v>-1.88</v>
      </c>
      <c r="F509">
        <v>15.81</v>
      </c>
      <c r="G509">
        <v>5026</v>
      </c>
      <c r="H509">
        <v>6302</v>
      </c>
      <c r="I509">
        <v>6666</v>
      </c>
      <c r="J509">
        <v>23.04</v>
      </c>
      <c r="K509">
        <v>3.49</v>
      </c>
      <c r="L509">
        <v>-2.08</v>
      </c>
      <c r="M509">
        <v>5.6</v>
      </c>
      <c r="N509" t="b">
        <v>1</v>
      </c>
      <c r="O509">
        <v>326</v>
      </c>
      <c r="P509" t="s">
        <v>522</v>
      </c>
      <c r="Q509" t="s">
        <v>2697</v>
      </c>
      <c r="R509">
        <v>-8.420835635019852</v>
      </c>
      <c r="S509">
        <v>980</v>
      </c>
      <c r="T509">
        <v>59090</v>
      </c>
      <c r="U509" t="s">
        <v>4494</v>
      </c>
      <c r="V509">
        <v>70.18000000000001</v>
      </c>
      <c r="W509" t="s">
        <v>6714</v>
      </c>
      <c r="X509" t="s">
        <v>8861</v>
      </c>
      <c r="Y509">
        <v>993</v>
      </c>
      <c r="Z509">
        <v>59</v>
      </c>
      <c r="AA509">
        <v>36000</v>
      </c>
      <c r="AB509">
        <v>2.72</v>
      </c>
    </row>
    <row r="510" spans="1:28">
      <c r="A510" s="2">
        <f>HYPERLINK("https://finance.naver.com/item/coinfo.nhn?code=001270", "A001270")</f>
        <v>0</v>
      </c>
      <c r="B510">
        <f>HYPERLINK("http://comp.fnguide.com/SVO2/ASP/SVD_Consensus.asp?pGB=1&amp;gicode=A001270&amp;cID=&amp;MenuYn=Y&amp;ReportGB=&amp;NewMenuID=108&amp;stkGb=701", "부국증권")</f>
        <v>0</v>
      </c>
      <c r="C510">
        <v>3</v>
      </c>
      <c r="D510">
        <v>22950</v>
      </c>
      <c r="E510">
        <v>1.33</v>
      </c>
      <c r="F510">
        <v>10.14</v>
      </c>
      <c r="G510">
        <v>64522</v>
      </c>
      <c r="H510">
        <v>74851</v>
      </c>
      <c r="I510">
        <v>77794</v>
      </c>
      <c r="J510">
        <v>-181.14</v>
      </c>
      <c r="K510">
        <v>-226.15</v>
      </c>
      <c r="L510">
        <v>-238.97</v>
      </c>
      <c r="M510">
        <v>6.29</v>
      </c>
      <c r="N510" t="b">
        <v>0</v>
      </c>
      <c r="O510">
        <v>2055</v>
      </c>
      <c r="P510" t="s">
        <v>523</v>
      </c>
      <c r="Q510" t="s">
        <v>2698</v>
      </c>
      <c r="R510">
        <v>7.635874941932674</v>
      </c>
      <c r="S510">
        <v>2380</v>
      </c>
      <c r="T510">
        <v>4780</v>
      </c>
      <c r="U510" t="s">
        <v>4495</v>
      </c>
      <c r="V510">
        <v>31.9</v>
      </c>
      <c r="W510" t="s">
        <v>6715</v>
      </c>
      <c r="X510" t="s">
        <v>8862</v>
      </c>
      <c r="Y510">
        <v>1167</v>
      </c>
      <c r="Z510">
        <v>360</v>
      </c>
      <c r="AA510">
        <v>4430764</v>
      </c>
      <c r="AB510">
        <v>5.76</v>
      </c>
    </row>
    <row r="511" spans="1:28">
      <c r="A511" s="2">
        <f>HYPERLINK("https://finance.naver.com/item/coinfo.nhn?code=026940", "A026940")</f>
        <v>0</v>
      </c>
      <c r="B511">
        <f>HYPERLINK("http://comp.fnguide.com/SVO2/ASP/SVD_Consensus.asp?pGB=1&amp;gicode=A026940&amp;cID=&amp;MenuYn=Y&amp;ReportGB=&amp;NewMenuID=108&amp;stkGb=701", "부국철강")</f>
        <v>0</v>
      </c>
      <c r="C511">
        <v>3</v>
      </c>
      <c r="D511">
        <v>4385</v>
      </c>
      <c r="E511">
        <v>1.32</v>
      </c>
      <c r="F511">
        <v>56.89</v>
      </c>
      <c r="G511">
        <v>1259</v>
      </c>
      <c r="H511">
        <v>3882</v>
      </c>
      <c r="I511">
        <v>4630</v>
      </c>
      <c r="J511">
        <v>71.3</v>
      </c>
      <c r="K511">
        <v>11.47</v>
      </c>
      <c r="L511">
        <v>-5.58</v>
      </c>
      <c r="M511">
        <v>1.78</v>
      </c>
      <c r="N511" t="b">
        <v>0</v>
      </c>
      <c r="O511">
        <v>92</v>
      </c>
      <c r="P511" t="s">
        <v>524</v>
      </c>
      <c r="Q511" t="s">
        <v>2699</v>
      </c>
      <c r="R511">
        <v>43.23858186082204</v>
      </c>
      <c r="S511">
        <v>877</v>
      </c>
      <c r="T511">
        <v>794437</v>
      </c>
      <c r="U511" t="s">
        <v>4496</v>
      </c>
      <c r="V511">
        <v>53.44</v>
      </c>
      <c r="W511" t="s">
        <v>6716</v>
      </c>
      <c r="X511" t="s">
        <v>8863</v>
      </c>
      <c r="Y511">
        <v>1323</v>
      </c>
      <c r="Z511">
        <v>3</v>
      </c>
      <c r="AB511">
        <v>1.43</v>
      </c>
    </row>
    <row r="512" spans="1:28">
      <c r="A512" s="2">
        <f>HYPERLINK("https://finance.naver.com/item/coinfo.nhn?code=015350", "A015350")</f>
        <v>0</v>
      </c>
      <c r="B512">
        <f>HYPERLINK("http://comp.fnguide.com/SVO2/ASP/SVD_Consensus.asp?pGB=1&amp;gicode=A015350&amp;cID=&amp;MenuYn=Y&amp;ReportGB=&amp;NewMenuID=108&amp;stkGb=701", "부산가스")</f>
        <v>0</v>
      </c>
      <c r="C512">
        <v>3</v>
      </c>
      <c r="D512">
        <v>50400</v>
      </c>
      <c r="E512">
        <v>0.19</v>
      </c>
      <c r="F512">
        <v>8.029999999999999</v>
      </c>
      <c r="G512">
        <v>65885</v>
      </c>
      <c r="H512">
        <v>66533</v>
      </c>
      <c r="I512">
        <v>66718</v>
      </c>
      <c r="J512">
        <v>-30.72</v>
      </c>
      <c r="K512">
        <v>-32.01</v>
      </c>
      <c r="L512">
        <v>-32.38</v>
      </c>
      <c r="M512">
        <v>7.84</v>
      </c>
      <c r="N512" t="b">
        <v>0</v>
      </c>
      <c r="O512">
        <v>4448</v>
      </c>
      <c r="P512" t="s">
        <v>525</v>
      </c>
      <c r="Q512" t="s">
        <v>2700</v>
      </c>
      <c r="R512">
        <v>41.90247215944498</v>
      </c>
      <c r="S512">
        <v>5544</v>
      </c>
      <c r="T512">
        <v>3070</v>
      </c>
      <c r="U512" t="s">
        <v>4497</v>
      </c>
      <c r="V512">
        <v>67.31999999999999</v>
      </c>
      <c r="W512" t="s">
        <v>6717</v>
      </c>
      <c r="X512" t="s">
        <v>8864</v>
      </c>
      <c r="Y512">
        <v>9728</v>
      </c>
      <c r="Z512">
        <v>435</v>
      </c>
      <c r="AA512">
        <v>999000</v>
      </c>
      <c r="AB512">
        <v>2.8</v>
      </c>
    </row>
    <row r="513" spans="1:28">
      <c r="A513" s="2">
        <f>HYPERLINK("https://finance.naver.com/item/coinfo.nhn?code=002230", "A002230")</f>
        <v>0</v>
      </c>
      <c r="B513">
        <f>HYPERLINK("http://comp.fnguide.com/SVO2/ASP/SVD_Consensus.asp?pGB=1&amp;gicode=A002230&amp;cID=&amp;MenuYn=Y&amp;ReportGB=&amp;NewMenuID=108&amp;stkGb=701", "피에스텍")</f>
        <v>0</v>
      </c>
      <c r="C513">
        <v>3</v>
      </c>
      <c r="D513">
        <v>4635</v>
      </c>
      <c r="E513">
        <v>4.56</v>
      </c>
      <c r="F513">
        <v>31.29</v>
      </c>
      <c r="G513">
        <v>2297</v>
      </c>
      <c r="H513">
        <v>5792</v>
      </c>
      <c r="I513">
        <v>6788</v>
      </c>
      <c r="J513">
        <v>50.43</v>
      </c>
      <c r="K513">
        <v>-24.97</v>
      </c>
      <c r="L513">
        <v>-46.45</v>
      </c>
      <c r="M513">
        <v>2.26</v>
      </c>
      <c r="N513" t="b">
        <v>1</v>
      </c>
      <c r="O513">
        <v>129</v>
      </c>
      <c r="P513" t="s">
        <v>526</v>
      </c>
      <c r="Q513" t="s">
        <v>2701</v>
      </c>
      <c r="R513">
        <v>6.861218409673775</v>
      </c>
      <c r="S513">
        <v>912</v>
      </c>
      <c r="T513">
        <v>99142</v>
      </c>
      <c r="U513" t="s">
        <v>4498</v>
      </c>
      <c r="V513">
        <v>49.86</v>
      </c>
      <c r="W513" t="s">
        <v>6718</v>
      </c>
      <c r="X513" t="s">
        <v>8865</v>
      </c>
      <c r="Y513">
        <v>507</v>
      </c>
      <c r="Z513">
        <v>-17</v>
      </c>
      <c r="AA513">
        <v>2020900</v>
      </c>
      <c r="AB513">
        <v>3.72</v>
      </c>
    </row>
    <row r="514" spans="1:28">
      <c r="A514" s="2">
        <f>HYPERLINK("https://finance.naver.com/item/coinfo.nhn?code=100220", "A100220")</f>
        <v>0</v>
      </c>
      <c r="B514">
        <f>HYPERLINK("http://comp.fnguide.com/SVO2/ASP/SVD_Consensus.asp?pGB=1&amp;gicode=A100220&amp;cID=&amp;MenuYn=Y&amp;ReportGB=&amp;NewMenuID=108&amp;stkGb=701", "비상교육")</f>
        <v>0</v>
      </c>
      <c r="C514">
        <v>3</v>
      </c>
      <c r="D514">
        <v>6590</v>
      </c>
      <c r="E514">
        <v>-0.9399999999999999</v>
      </c>
      <c r="F514">
        <v>8.949999999999999</v>
      </c>
      <c r="G514">
        <v>10016</v>
      </c>
      <c r="H514">
        <v>14513</v>
      </c>
      <c r="I514">
        <v>15794</v>
      </c>
      <c r="J514">
        <v>-51.99</v>
      </c>
      <c r="K514">
        <v>-120.22</v>
      </c>
      <c r="L514">
        <v>-139.66</v>
      </c>
      <c r="M514">
        <v>4.56</v>
      </c>
      <c r="N514" t="b">
        <v>1</v>
      </c>
      <c r="O514">
        <v>868</v>
      </c>
      <c r="P514" t="s">
        <v>527</v>
      </c>
      <c r="Q514" t="s">
        <v>2702</v>
      </c>
      <c r="R514">
        <v>-9.520795333315357</v>
      </c>
      <c r="S514">
        <v>856</v>
      </c>
      <c r="T514">
        <v>36824</v>
      </c>
      <c r="U514" t="s">
        <v>4499</v>
      </c>
      <c r="V514">
        <v>54.59</v>
      </c>
      <c r="W514" t="s">
        <v>6719</v>
      </c>
      <c r="X514" t="s">
        <v>8866</v>
      </c>
      <c r="Y514">
        <v>1994</v>
      </c>
      <c r="Z514">
        <v>219</v>
      </c>
      <c r="AA514">
        <v>745226</v>
      </c>
      <c r="AB514">
        <v>3.22</v>
      </c>
    </row>
    <row r="515" spans="1:28">
      <c r="A515" s="2">
        <f>HYPERLINK("https://finance.naver.com/item/coinfo.nhn?code=009440", "A009440")</f>
        <v>0</v>
      </c>
      <c r="B515">
        <f>HYPERLINK("http://comp.fnguide.com/SVO2/ASP/SVD_Consensus.asp?pGB=1&amp;gicode=A009440&amp;cID=&amp;MenuYn=Y&amp;ReportGB=&amp;NewMenuID=108&amp;stkGb=701", "KC그린홀딩스")</f>
        <v>0</v>
      </c>
      <c r="C515">
        <v>3</v>
      </c>
      <c r="D515">
        <v>4990</v>
      </c>
      <c r="E515">
        <v>-1.1</v>
      </c>
      <c r="F515">
        <v>13.23</v>
      </c>
      <c r="G515">
        <v>5467</v>
      </c>
      <c r="H515">
        <v>7054</v>
      </c>
      <c r="I515">
        <v>7506</v>
      </c>
      <c r="J515">
        <v>-9.550000000000001</v>
      </c>
      <c r="K515">
        <v>-41.36</v>
      </c>
      <c r="L515">
        <v>-50.43</v>
      </c>
      <c r="M515">
        <v>5.37</v>
      </c>
      <c r="N515" t="b">
        <v>0</v>
      </c>
      <c r="O515">
        <v>364</v>
      </c>
      <c r="P515" t="s">
        <v>528</v>
      </c>
      <c r="Q515" t="s">
        <v>2703</v>
      </c>
      <c r="R515">
        <v>-11.97839808973329</v>
      </c>
      <c r="S515">
        <v>1120</v>
      </c>
      <c r="T515">
        <v>167025</v>
      </c>
      <c r="U515" t="s">
        <v>4500</v>
      </c>
      <c r="V515">
        <v>47.24</v>
      </c>
      <c r="W515" t="s">
        <v>6720</v>
      </c>
      <c r="X515" t="s">
        <v>8867</v>
      </c>
      <c r="Y515">
        <v>6989</v>
      </c>
      <c r="Z515">
        <v>215</v>
      </c>
      <c r="AA515">
        <v>310000</v>
      </c>
      <c r="AB515">
        <v>1.24</v>
      </c>
    </row>
    <row r="516" spans="1:28">
      <c r="A516" s="2">
        <f>HYPERLINK("https://finance.naver.com/item/coinfo.nhn?code=009070", "A009070")</f>
        <v>0</v>
      </c>
      <c r="B516">
        <f>HYPERLINK("http://comp.fnguide.com/SVO2/ASP/SVD_Consensus.asp?pGB=1&amp;gicode=A009070&amp;cID=&amp;MenuYn=Y&amp;ReportGB=&amp;NewMenuID=108&amp;stkGb=701", "KCTC")</f>
        <v>0</v>
      </c>
      <c r="C516">
        <v>3</v>
      </c>
      <c r="D516">
        <v>3905</v>
      </c>
      <c r="E516">
        <v>-45.59</v>
      </c>
      <c r="F516">
        <v>11.56</v>
      </c>
      <c r="G516">
        <v>3223</v>
      </c>
      <c r="H516">
        <v>5150</v>
      </c>
      <c r="I516">
        <v>5699</v>
      </c>
      <c r="J516">
        <v>17.46</v>
      </c>
      <c r="K516">
        <v>-31.88</v>
      </c>
      <c r="L516">
        <v>-45.94</v>
      </c>
      <c r="M516">
        <v>3.99</v>
      </c>
      <c r="N516" t="b">
        <v>0</v>
      </c>
      <c r="O516">
        <v>238</v>
      </c>
      <c r="P516" t="s">
        <v>529</v>
      </c>
      <c r="Q516" t="s">
        <v>2704</v>
      </c>
      <c r="R516">
        <v>-0.2535624842571305</v>
      </c>
      <c r="S516">
        <v>1172</v>
      </c>
      <c r="T516">
        <v>639024</v>
      </c>
      <c r="U516" t="s">
        <v>4501</v>
      </c>
      <c r="V516">
        <v>23.32</v>
      </c>
      <c r="W516" t="s">
        <v>6721</v>
      </c>
      <c r="X516" t="s">
        <v>8868</v>
      </c>
      <c r="Y516">
        <v>4462</v>
      </c>
      <c r="Z516">
        <v>190</v>
      </c>
      <c r="AA516">
        <v>94250</v>
      </c>
      <c r="AB516">
        <v>1.64</v>
      </c>
    </row>
    <row r="517" spans="1:28">
      <c r="A517" s="2">
        <f>HYPERLINK("https://finance.naver.com/item/coinfo.nhn?code=005180", "A005180")</f>
        <v>0</v>
      </c>
      <c r="B517">
        <f>HYPERLINK("http://comp.fnguide.com/SVO2/ASP/SVD_Consensus.asp?pGB=1&amp;gicode=A005180&amp;cID=&amp;MenuYn=Y&amp;ReportGB=&amp;NewMenuID=108&amp;stkGb=701", "빙그레")</f>
        <v>0</v>
      </c>
      <c r="C517">
        <v>3</v>
      </c>
      <c r="D517">
        <v>55300</v>
      </c>
      <c r="E517">
        <v>0.88</v>
      </c>
      <c r="F517">
        <v>13.44</v>
      </c>
      <c r="G517">
        <v>54650</v>
      </c>
      <c r="H517">
        <v>60623</v>
      </c>
      <c r="I517">
        <v>62325</v>
      </c>
      <c r="J517">
        <v>1.18</v>
      </c>
      <c r="K517">
        <v>-9.630000000000001</v>
      </c>
      <c r="L517">
        <v>-12.7</v>
      </c>
      <c r="M517">
        <v>6.74</v>
      </c>
      <c r="N517" t="b">
        <v>1</v>
      </c>
      <c r="O517">
        <v>4168</v>
      </c>
      <c r="P517" t="s">
        <v>530</v>
      </c>
      <c r="Q517" t="s">
        <v>2705</v>
      </c>
      <c r="R517">
        <v>15.20130969788398</v>
      </c>
      <c r="S517">
        <v>5448</v>
      </c>
      <c r="T517">
        <v>16136</v>
      </c>
      <c r="U517" t="s">
        <v>4502</v>
      </c>
      <c r="V517">
        <v>40.89</v>
      </c>
      <c r="W517" t="s">
        <v>6722</v>
      </c>
      <c r="X517" t="s">
        <v>8869</v>
      </c>
      <c r="Y517">
        <v>8783</v>
      </c>
      <c r="Z517">
        <v>458</v>
      </c>
      <c r="AA517">
        <v>1009440</v>
      </c>
      <c r="AB517">
        <v>2.59</v>
      </c>
    </row>
    <row r="518" spans="1:28">
      <c r="A518" s="2">
        <f>HYPERLINK("https://finance.naver.com/item/coinfo.nhn?code=003960", "A003960")</f>
        <v>0</v>
      </c>
      <c r="B518">
        <f>HYPERLINK("http://comp.fnguide.com/SVO2/ASP/SVD_Consensus.asp?pGB=1&amp;gicode=A003960&amp;cID=&amp;MenuYn=Y&amp;ReportGB=&amp;NewMenuID=108&amp;stkGb=701", "사조대림")</f>
        <v>0</v>
      </c>
      <c r="C518">
        <v>3</v>
      </c>
      <c r="D518">
        <v>15800</v>
      </c>
      <c r="E518">
        <v>0.23</v>
      </c>
      <c r="F518">
        <v>1.52</v>
      </c>
      <c r="G518">
        <v>104237</v>
      </c>
      <c r="H518">
        <v>67569</v>
      </c>
      <c r="I518">
        <v>57121</v>
      </c>
      <c r="J518">
        <v>-559.73</v>
      </c>
      <c r="K518">
        <v>-327.65</v>
      </c>
      <c r="L518">
        <v>-261.52</v>
      </c>
      <c r="M518">
        <v>19.23</v>
      </c>
      <c r="N518" t="b">
        <v>1</v>
      </c>
      <c r="O518">
        <v>10553</v>
      </c>
      <c r="P518" t="s">
        <v>531</v>
      </c>
      <c r="Q518" t="s">
        <v>2706</v>
      </c>
      <c r="R518">
        <v>6.675268844958326</v>
      </c>
      <c r="S518">
        <v>1448</v>
      </c>
      <c r="T518">
        <v>45230</v>
      </c>
      <c r="U518" t="s">
        <v>4503</v>
      </c>
      <c r="V518">
        <v>47.43</v>
      </c>
      <c r="W518" t="s">
        <v>6723</v>
      </c>
      <c r="X518" t="s">
        <v>8870</v>
      </c>
      <c r="Y518">
        <v>13297</v>
      </c>
      <c r="Z518">
        <v>496</v>
      </c>
      <c r="AA518">
        <v>1814170</v>
      </c>
      <c r="AB518">
        <v>0.9399999999999999</v>
      </c>
    </row>
    <row r="519" spans="1:28">
      <c r="A519" s="2">
        <f>HYPERLINK("https://finance.naver.com/item/coinfo.nhn?code=008040", "A008040")</f>
        <v>0</v>
      </c>
      <c r="B519">
        <f>HYPERLINK("http://comp.fnguide.com/SVO2/ASP/SVD_Consensus.asp?pGB=1&amp;gicode=A008040&amp;cID=&amp;MenuYn=Y&amp;ReportGB=&amp;NewMenuID=108&amp;stkGb=701", "사조동아원")</f>
        <v>0</v>
      </c>
      <c r="C519">
        <v>3</v>
      </c>
      <c r="D519">
        <v>968</v>
      </c>
      <c r="E519">
        <v>-2.87</v>
      </c>
      <c r="F519">
        <v>155.66</v>
      </c>
      <c r="G519">
        <v>1461</v>
      </c>
      <c r="H519">
        <v>1485</v>
      </c>
      <c r="I519">
        <v>1492</v>
      </c>
      <c r="J519">
        <v>-50.91</v>
      </c>
      <c r="K519">
        <v>-53.44</v>
      </c>
      <c r="L519">
        <v>-54.16</v>
      </c>
      <c r="M519">
        <v>7.75</v>
      </c>
      <c r="N519" t="b">
        <v>0</v>
      </c>
      <c r="O519">
        <v>6</v>
      </c>
      <c r="P519" t="s">
        <v>532</v>
      </c>
      <c r="Q519" t="s">
        <v>2707</v>
      </c>
      <c r="R519">
        <v>-54.17262685253375</v>
      </c>
      <c r="S519">
        <v>1366</v>
      </c>
      <c r="T519">
        <v>781129</v>
      </c>
      <c r="U519" t="s">
        <v>4504</v>
      </c>
      <c r="V519">
        <v>52.19</v>
      </c>
      <c r="W519" t="s">
        <v>6724</v>
      </c>
      <c r="X519" t="s">
        <v>8871</v>
      </c>
      <c r="Y519">
        <v>4122</v>
      </c>
      <c r="Z519">
        <v>125</v>
      </c>
      <c r="AA519">
        <v>10150982</v>
      </c>
    </row>
    <row r="520" spans="1:28">
      <c r="A520" s="2">
        <f>HYPERLINK("https://finance.naver.com/item/coinfo.nhn?code=007160", "A007160")</f>
        <v>0</v>
      </c>
      <c r="B520">
        <f>HYPERLINK("http://comp.fnguide.com/SVO2/ASP/SVD_Consensus.asp?pGB=1&amp;gicode=A007160&amp;cID=&amp;MenuYn=Y&amp;ReportGB=&amp;NewMenuID=108&amp;stkGb=701", "사조산업")</f>
        <v>0</v>
      </c>
      <c r="C520">
        <v>3</v>
      </c>
      <c r="D520">
        <v>31200</v>
      </c>
      <c r="G520">
        <v>50662</v>
      </c>
      <c r="H520">
        <v>68775</v>
      </c>
      <c r="I520">
        <v>73937</v>
      </c>
      <c r="J520">
        <v>-62.38</v>
      </c>
      <c r="K520">
        <v>-120.43</v>
      </c>
      <c r="L520">
        <v>-136.98</v>
      </c>
      <c r="M520">
        <v>5</v>
      </c>
      <c r="N520" t="b">
        <v>0</v>
      </c>
      <c r="O520">
        <v>-2557</v>
      </c>
      <c r="P520" t="s">
        <v>533</v>
      </c>
      <c r="Q520" t="s">
        <v>2708</v>
      </c>
      <c r="R520">
        <v>24.48175286440011</v>
      </c>
      <c r="S520">
        <v>1560</v>
      </c>
      <c r="T520">
        <v>16559</v>
      </c>
      <c r="U520" t="s">
        <v>4505</v>
      </c>
      <c r="V520">
        <v>56.17</v>
      </c>
      <c r="W520" t="s">
        <v>6725</v>
      </c>
      <c r="X520" t="s">
        <v>8872</v>
      </c>
      <c r="Y520">
        <v>7354</v>
      </c>
      <c r="Z520">
        <v>182</v>
      </c>
      <c r="AA520">
        <v>55000</v>
      </c>
      <c r="AB520">
        <v>0.4</v>
      </c>
    </row>
    <row r="521" spans="1:28">
      <c r="A521" s="2">
        <f>HYPERLINK("https://finance.naver.com/item/coinfo.nhn?code=014710", "A014710")</f>
        <v>0</v>
      </c>
      <c r="B521">
        <f>HYPERLINK("http://comp.fnguide.com/SVO2/ASP/SVD_Consensus.asp?pGB=1&amp;gicode=A014710&amp;cID=&amp;MenuYn=Y&amp;ReportGB=&amp;NewMenuID=108&amp;stkGb=701", "사조씨푸드")</f>
        <v>0</v>
      </c>
      <c r="C521">
        <v>3</v>
      </c>
      <c r="D521">
        <v>6590</v>
      </c>
      <c r="G521">
        <v>5362</v>
      </c>
      <c r="H521">
        <v>9269</v>
      </c>
      <c r="I521">
        <v>10383</v>
      </c>
      <c r="J521">
        <v>18.64</v>
      </c>
      <c r="K521">
        <v>-40.66</v>
      </c>
      <c r="L521">
        <v>-57.55</v>
      </c>
      <c r="M521">
        <v>3.6</v>
      </c>
      <c r="N521" t="b">
        <v>0</v>
      </c>
      <c r="O521">
        <v>-328</v>
      </c>
      <c r="P521" t="s">
        <v>534</v>
      </c>
      <c r="Q521" t="s">
        <v>2709</v>
      </c>
      <c r="R521">
        <v>25.70801943986636</v>
      </c>
      <c r="S521">
        <v>1135</v>
      </c>
      <c r="T521">
        <v>1145641</v>
      </c>
      <c r="U521" t="s">
        <v>4506</v>
      </c>
      <c r="V521">
        <v>56.3</v>
      </c>
      <c r="W521" t="s">
        <v>6726</v>
      </c>
      <c r="X521" t="s">
        <v>8873</v>
      </c>
      <c r="Y521">
        <v>3489</v>
      </c>
      <c r="Z521">
        <v>97</v>
      </c>
    </row>
    <row r="522" spans="1:28">
      <c r="A522" s="2">
        <f>HYPERLINK("https://finance.naver.com/item/coinfo.nhn?code=006090", "A006090")</f>
        <v>0</v>
      </c>
      <c r="B522">
        <f>HYPERLINK("http://comp.fnguide.com/SVO2/ASP/SVD_Consensus.asp?pGB=1&amp;gicode=A006090&amp;cID=&amp;MenuYn=Y&amp;ReportGB=&amp;NewMenuID=108&amp;stkGb=701", "사조오양")</f>
        <v>0</v>
      </c>
      <c r="C522">
        <v>3</v>
      </c>
      <c r="D522">
        <v>9740</v>
      </c>
      <c r="E522">
        <v>0.4</v>
      </c>
      <c r="F522">
        <v>5.4</v>
      </c>
      <c r="G522">
        <v>19461</v>
      </c>
      <c r="H522">
        <v>18455</v>
      </c>
      <c r="I522">
        <v>18168</v>
      </c>
      <c r="J522">
        <v>-99.8</v>
      </c>
      <c r="K522">
        <v>-89.48</v>
      </c>
      <c r="L522">
        <v>-86.53</v>
      </c>
      <c r="M522">
        <v>8.720000000000001</v>
      </c>
      <c r="N522" t="b">
        <v>1</v>
      </c>
      <c r="O522">
        <v>1402</v>
      </c>
      <c r="P522" t="s">
        <v>535</v>
      </c>
      <c r="Q522" t="s">
        <v>2710</v>
      </c>
      <c r="R522">
        <v>13.55978918744829</v>
      </c>
      <c r="S522">
        <v>918</v>
      </c>
      <c r="T522">
        <v>47463</v>
      </c>
      <c r="U522" t="s">
        <v>4507</v>
      </c>
      <c r="V522">
        <v>60.53</v>
      </c>
      <c r="W522" t="s">
        <v>6727</v>
      </c>
      <c r="X522" t="s">
        <v>8874</v>
      </c>
      <c r="Y522">
        <v>3136</v>
      </c>
      <c r="Z522">
        <v>226</v>
      </c>
      <c r="AA522">
        <v>3</v>
      </c>
      <c r="AB522">
        <v>1.32</v>
      </c>
    </row>
    <row r="523" spans="1:28">
      <c r="A523" s="2">
        <f>HYPERLINK("https://finance.naver.com/item/coinfo.nhn?code=237750", "A237750")</f>
        <v>0</v>
      </c>
      <c r="B523">
        <f>HYPERLINK("http://comp.fnguide.com/SVO2/ASP/SVD_Consensus.asp?pGB=1&amp;gicode=A237750&amp;cID=&amp;MenuYn=Y&amp;ReportGB=&amp;NewMenuID=108&amp;stkGb=701", "피앤씨테크")</f>
        <v>0</v>
      </c>
      <c r="C523">
        <v>3</v>
      </c>
      <c r="D523">
        <v>5910</v>
      </c>
      <c r="E523">
        <v>-0.53</v>
      </c>
      <c r="F523">
        <v>12.95</v>
      </c>
      <c r="G523">
        <v>5682</v>
      </c>
      <c r="H523">
        <v>7780</v>
      </c>
      <c r="I523">
        <v>8378</v>
      </c>
      <c r="J523">
        <v>3.85</v>
      </c>
      <c r="K523">
        <v>-31.65</v>
      </c>
      <c r="L523">
        <v>-41.76</v>
      </c>
      <c r="M523">
        <v>4.94</v>
      </c>
      <c r="N523" t="b">
        <v>1</v>
      </c>
      <c r="O523">
        <v>428</v>
      </c>
      <c r="P523" t="s">
        <v>536</v>
      </c>
      <c r="Q523" t="s">
        <v>2711</v>
      </c>
      <c r="R523">
        <v>-24.51234333576702</v>
      </c>
      <c r="S523">
        <v>384</v>
      </c>
      <c r="T523">
        <v>61327</v>
      </c>
      <c r="U523" t="s">
        <v>4508</v>
      </c>
      <c r="V523">
        <v>47.54</v>
      </c>
      <c r="W523" t="s">
        <v>6728</v>
      </c>
      <c r="X523" t="s">
        <v>8875</v>
      </c>
      <c r="Y523">
        <v>214</v>
      </c>
      <c r="Z523">
        <v>23</v>
      </c>
    </row>
    <row r="524" spans="1:28">
      <c r="A524" s="2">
        <f>HYPERLINK("https://finance.naver.com/item/coinfo.nhn?code=087600", "A087600")</f>
        <v>0</v>
      </c>
      <c r="B524">
        <f>HYPERLINK("http://comp.fnguide.com/SVO2/ASP/SVD_Consensus.asp?pGB=1&amp;gicode=A087600&amp;cID=&amp;MenuYn=Y&amp;ReportGB=&amp;NewMenuID=108&amp;stkGb=701", "픽셀플러스")</f>
        <v>0</v>
      </c>
      <c r="C524">
        <v>3</v>
      </c>
      <c r="D524">
        <v>7790</v>
      </c>
      <c r="E524">
        <v>0</v>
      </c>
      <c r="G524">
        <v>0</v>
      </c>
      <c r="H524">
        <v>7340</v>
      </c>
      <c r="I524">
        <v>9431</v>
      </c>
      <c r="J524">
        <v>100</v>
      </c>
      <c r="K524">
        <v>5.78</v>
      </c>
      <c r="L524">
        <v>-21.07</v>
      </c>
      <c r="M524">
        <v>0</v>
      </c>
      <c r="N524" t="b">
        <v>0</v>
      </c>
      <c r="O524">
        <v>-752</v>
      </c>
      <c r="P524" t="s">
        <v>537</v>
      </c>
      <c r="Q524" t="s">
        <v>2276</v>
      </c>
      <c r="R524">
        <v>0</v>
      </c>
      <c r="S524">
        <v>636</v>
      </c>
      <c r="T524">
        <v>436971</v>
      </c>
      <c r="U524" t="s">
        <v>4509</v>
      </c>
      <c r="V524">
        <v>31.77</v>
      </c>
      <c r="W524" t="s">
        <v>6729</v>
      </c>
      <c r="X524" t="s">
        <v>968</v>
      </c>
      <c r="Y524">
        <v>353</v>
      </c>
      <c r="Z524">
        <v>-83</v>
      </c>
      <c r="AA524">
        <v>1797727</v>
      </c>
    </row>
    <row r="525" spans="1:28">
      <c r="A525" s="2">
        <f>HYPERLINK("https://finance.naver.com/item/coinfo.nhn?code=085620", "A085620")</f>
        <v>0</v>
      </c>
      <c r="B525">
        <f>HYPERLINK("http://comp.fnguide.com/SVO2/ASP/SVD_Consensus.asp?pGB=1&amp;gicode=A085620&amp;cID=&amp;MenuYn=Y&amp;ReportGB=&amp;NewMenuID=108&amp;stkGb=701", "미래에셋생명")</f>
        <v>0</v>
      </c>
      <c r="C525">
        <v>3</v>
      </c>
      <c r="D525">
        <v>3950</v>
      </c>
      <c r="E525">
        <v>1.2</v>
      </c>
      <c r="F525">
        <v>7.48</v>
      </c>
      <c r="G525">
        <v>13380</v>
      </c>
      <c r="H525">
        <v>15858</v>
      </c>
      <c r="I525">
        <v>16565</v>
      </c>
      <c r="J525">
        <v>-238.72</v>
      </c>
      <c r="K525">
        <v>-301.47</v>
      </c>
      <c r="L525">
        <v>-319.36</v>
      </c>
      <c r="M525">
        <v>6.09</v>
      </c>
      <c r="N525" t="b">
        <v>1</v>
      </c>
      <c r="O525">
        <v>553</v>
      </c>
      <c r="P525" t="s">
        <v>538</v>
      </c>
      <c r="Q525" t="s">
        <v>2712</v>
      </c>
      <c r="R525">
        <v>6.24991270323938</v>
      </c>
      <c r="S525">
        <v>6992</v>
      </c>
      <c r="T525">
        <v>182943</v>
      </c>
      <c r="U525" t="s">
        <v>4510</v>
      </c>
      <c r="V525">
        <v>46.21</v>
      </c>
      <c r="W525" t="s">
        <v>6730</v>
      </c>
      <c r="X525" t="s">
        <v>8876</v>
      </c>
      <c r="Y525">
        <v>18589</v>
      </c>
      <c r="Z525">
        <v>1407</v>
      </c>
      <c r="AA525">
        <v>43540183</v>
      </c>
      <c r="AB525">
        <v>4.11</v>
      </c>
    </row>
    <row r="526" spans="1:28">
      <c r="A526" s="2">
        <f>HYPERLINK("https://finance.naver.com/item/coinfo.nhn?code=034220", "A034220")</f>
        <v>0</v>
      </c>
      <c r="B526">
        <f>HYPERLINK("http://comp.fnguide.com/SVO2/ASP/SVD_Consensus.asp?pGB=1&amp;gicode=A034220&amp;cID=&amp;MenuYn=Y&amp;ReportGB=&amp;NewMenuID=108&amp;stkGb=701", "LG디스플레이")</f>
        <v>0</v>
      </c>
      <c r="C526">
        <v>3</v>
      </c>
      <c r="D526">
        <v>16400</v>
      </c>
      <c r="G526">
        <v>8742</v>
      </c>
      <c r="H526">
        <v>22532</v>
      </c>
      <c r="I526">
        <v>26462</v>
      </c>
      <c r="J526">
        <v>46.7</v>
      </c>
      <c r="K526">
        <v>-37.39</v>
      </c>
      <c r="L526">
        <v>-61.35</v>
      </c>
      <c r="M526">
        <v>2.2</v>
      </c>
      <c r="N526" t="b">
        <v>0</v>
      </c>
      <c r="O526">
        <v>-7908</v>
      </c>
      <c r="P526" t="s">
        <v>539</v>
      </c>
      <c r="Q526" t="s">
        <v>2713</v>
      </c>
      <c r="R526">
        <v>36.55562968988133</v>
      </c>
      <c r="S526">
        <v>58682</v>
      </c>
      <c r="T526">
        <v>5604662</v>
      </c>
      <c r="U526" t="s">
        <v>4511</v>
      </c>
      <c r="V526">
        <v>37.91</v>
      </c>
      <c r="W526" t="s">
        <v>6731</v>
      </c>
      <c r="X526" t="s">
        <v>8877</v>
      </c>
      <c r="Y526">
        <v>234756</v>
      </c>
      <c r="Z526">
        <v>-13594</v>
      </c>
    </row>
    <row r="527" spans="1:28">
      <c r="A527" s="2">
        <f>HYPERLINK("https://finance.naver.com/item/coinfo.nhn?code=025000", "A025000")</f>
        <v>0</v>
      </c>
      <c r="B527">
        <f>HYPERLINK("http://comp.fnguide.com/SVO2/ASP/SVD_Consensus.asp?pGB=1&amp;gicode=A025000&amp;cID=&amp;MenuYn=Y&amp;ReportGB=&amp;NewMenuID=108&amp;stkGb=701", "KPX케미칼")</f>
        <v>0</v>
      </c>
      <c r="C527">
        <v>3</v>
      </c>
      <c r="D527">
        <v>53900</v>
      </c>
      <c r="E527">
        <v>0.55</v>
      </c>
      <c r="F527">
        <v>6.6</v>
      </c>
      <c r="G527">
        <v>78740</v>
      </c>
      <c r="H527">
        <v>90361</v>
      </c>
      <c r="I527">
        <v>93673</v>
      </c>
      <c r="J527">
        <v>-46.09</v>
      </c>
      <c r="K527">
        <v>-67.65000000000001</v>
      </c>
      <c r="L527">
        <v>-73.79000000000001</v>
      </c>
      <c r="M527">
        <v>6.4</v>
      </c>
      <c r="N527" t="b">
        <v>1</v>
      </c>
      <c r="O527">
        <v>8420</v>
      </c>
      <c r="P527" t="s">
        <v>540</v>
      </c>
      <c r="Q527" t="s">
        <v>2714</v>
      </c>
      <c r="R527">
        <v>11.99693132584287</v>
      </c>
      <c r="S527">
        <v>2609</v>
      </c>
      <c r="T527">
        <v>15557</v>
      </c>
      <c r="U527" t="s">
        <v>4512</v>
      </c>
      <c r="V527">
        <v>64.40000000000001</v>
      </c>
      <c r="W527" t="s">
        <v>6732</v>
      </c>
      <c r="X527" t="s">
        <v>8878</v>
      </c>
      <c r="Y527">
        <v>7657</v>
      </c>
      <c r="Z527">
        <v>484</v>
      </c>
      <c r="AA527">
        <v>84779</v>
      </c>
      <c r="AB527">
        <v>4.5</v>
      </c>
    </row>
    <row r="528" spans="1:28">
      <c r="A528" s="2">
        <f>HYPERLINK("https://finance.naver.com/item/coinfo.nhn?code=002270", "A002270")</f>
        <v>0</v>
      </c>
      <c r="B528">
        <f>HYPERLINK("http://comp.fnguide.com/SVO2/ASP/SVD_Consensus.asp?pGB=1&amp;gicode=A002270&amp;cID=&amp;MenuYn=Y&amp;ReportGB=&amp;NewMenuID=108&amp;stkGb=701", "롯데푸드")</f>
        <v>0</v>
      </c>
      <c r="C528">
        <v>3</v>
      </c>
      <c r="D528">
        <v>328500</v>
      </c>
      <c r="E528">
        <v>1</v>
      </c>
      <c r="F528">
        <v>12.46</v>
      </c>
      <c r="G528">
        <v>660876</v>
      </c>
      <c r="H528">
        <v>731029</v>
      </c>
      <c r="I528">
        <v>751019</v>
      </c>
      <c r="J528">
        <v>-101.18</v>
      </c>
      <c r="K528">
        <v>-122.54</v>
      </c>
      <c r="L528">
        <v>-128.62</v>
      </c>
      <c r="M528">
        <v>6.77</v>
      </c>
      <c r="N528" t="b">
        <v>1</v>
      </c>
      <c r="O528">
        <v>33151</v>
      </c>
      <c r="P528" t="s">
        <v>541</v>
      </c>
      <c r="Q528" t="s">
        <v>2715</v>
      </c>
      <c r="R528">
        <v>12.42556888611299</v>
      </c>
      <c r="S528">
        <v>3718</v>
      </c>
      <c r="T528">
        <v>5699</v>
      </c>
      <c r="U528" t="s">
        <v>4513</v>
      </c>
      <c r="V528">
        <v>48.22</v>
      </c>
      <c r="W528" t="s">
        <v>6733</v>
      </c>
      <c r="X528" t="s">
        <v>8879</v>
      </c>
      <c r="Y528">
        <v>17880</v>
      </c>
      <c r="Z528">
        <v>495</v>
      </c>
      <c r="AA528">
        <v>222060</v>
      </c>
      <c r="AB528">
        <v>2.91</v>
      </c>
    </row>
    <row r="529" spans="1:28">
      <c r="A529" s="2">
        <f>HYPERLINK("https://finance.naver.com/item/coinfo.nhn?code=003550", "A003550")</f>
        <v>0</v>
      </c>
      <c r="B529">
        <f>HYPERLINK("http://comp.fnguide.com/SVO2/ASP/SVD_Consensus.asp?pGB=1&amp;gicode=A003550&amp;cID=&amp;MenuYn=Y&amp;ReportGB=&amp;NewMenuID=108&amp;stkGb=701", "LG")</f>
        <v>0</v>
      </c>
      <c r="C529">
        <v>3</v>
      </c>
      <c r="D529">
        <v>74100</v>
      </c>
      <c r="E529">
        <v>2.31</v>
      </c>
      <c r="F529">
        <v>12.02</v>
      </c>
      <c r="G529">
        <v>126857</v>
      </c>
      <c r="H529">
        <v>116227</v>
      </c>
      <c r="I529">
        <v>113198</v>
      </c>
      <c r="J529">
        <v>-71.2</v>
      </c>
      <c r="K529">
        <v>-56.85</v>
      </c>
      <c r="L529">
        <v>-52.76</v>
      </c>
      <c r="M529">
        <v>9.26</v>
      </c>
      <c r="N529" t="b">
        <v>0</v>
      </c>
      <c r="O529">
        <v>6141</v>
      </c>
      <c r="P529" t="s">
        <v>542</v>
      </c>
      <c r="Q529" t="s">
        <v>2716</v>
      </c>
      <c r="R529">
        <v>5.206825921315184</v>
      </c>
      <c r="S529">
        <v>127865</v>
      </c>
      <c r="T529">
        <v>791297</v>
      </c>
      <c r="U529" t="s">
        <v>4514</v>
      </c>
      <c r="V529">
        <v>46.07</v>
      </c>
      <c r="W529" t="s">
        <v>6734</v>
      </c>
      <c r="X529" t="s">
        <v>8880</v>
      </c>
      <c r="Y529">
        <v>65753</v>
      </c>
      <c r="Z529">
        <v>10241</v>
      </c>
      <c r="AA529">
        <v>93789</v>
      </c>
      <c r="AB529">
        <v>2.98</v>
      </c>
    </row>
    <row r="530" spans="1:28">
      <c r="A530" s="2">
        <f>HYPERLINK("https://finance.naver.com/item/coinfo.nhn?code=071840", "A071840")</f>
        <v>0</v>
      </c>
      <c r="B530">
        <f>HYPERLINK("http://comp.fnguide.com/SVO2/ASP/SVD_Consensus.asp?pGB=1&amp;gicode=A071840&amp;cID=&amp;MenuYn=Y&amp;ReportGB=&amp;NewMenuID=108&amp;stkGb=701", "롯데하이마트")</f>
        <v>0</v>
      </c>
      <c r="C530">
        <v>3</v>
      </c>
      <c r="D530">
        <v>31350</v>
      </c>
      <c r="G530">
        <v>27120</v>
      </c>
      <c r="H530">
        <v>59739</v>
      </c>
      <c r="I530">
        <v>69034</v>
      </c>
      <c r="J530">
        <v>13.49</v>
      </c>
      <c r="K530">
        <v>-90.56</v>
      </c>
      <c r="L530">
        <v>-120.2</v>
      </c>
      <c r="M530">
        <v>2.65</v>
      </c>
      <c r="N530" t="b">
        <v>0</v>
      </c>
      <c r="O530">
        <v>-4232</v>
      </c>
      <c r="P530" t="s">
        <v>543</v>
      </c>
      <c r="Q530" t="s">
        <v>2717</v>
      </c>
      <c r="R530">
        <v>2.614775274394154</v>
      </c>
      <c r="S530">
        <v>7401</v>
      </c>
      <c r="T530">
        <v>83158</v>
      </c>
      <c r="U530" t="s">
        <v>4515</v>
      </c>
      <c r="V530">
        <v>61.02</v>
      </c>
      <c r="W530" t="s">
        <v>6735</v>
      </c>
      <c r="X530" t="s">
        <v>8881</v>
      </c>
      <c r="Y530">
        <v>40265</v>
      </c>
      <c r="Z530">
        <v>1099</v>
      </c>
      <c r="AB530">
        <v>3.24</v>
      </c>
    </row>
    <row r="531" spans="1:28">
      <c r="A531" s="2">
        <f>HYPERLINK("https://finance.naver.com/item/coinfo.nhn?code=093050", "A093050")</f>
        <v>0</v>
      </c>
      <c r="B531">
        <f>HYPERLINK("http://comp.fnguide.com/SVO2/ASP/SVD_Consensus.asp?pGB=1&amp;gicode=A093050&amp;cID=&amp;MenuYn=Y&amp;ReportGB=&amp;NewMenuID=108&amp;stkGb=701", "LF")</f>
        <v>0</v>
      </c>
      <c r="C531">
        <v>3</v>
      </c>
      <c r="D531">
        <v>15050</v>
      </c>
      <c r="E531">
        <v>-0.66</v>
      </c>
      <c r="F531">
        <v>8</v>
      </c>
      <c r="G531">
        <v>34567</v>
      </c>
      <c r="H531">
        <v>39582</v>
      </c>
      <c r="I531">
        <v>41010</v>
      </c>
      <c r="J531">
        <v>-129.68</v>
      </c>
      <c r="K531">
        <v>-163</v>
      </c>
      <c r="L531">
        <v>-172.49</v>
      </c>
      <c r="M531">
        <v>6.42</v>
      </c>
      <c r="N531" t="b">
        <v>1</v>
      </c>
      <c r="O531">
        <v>2313</v>
      </c>
      <c r="P531" t="s">
        <v>544</v>
      </c>
      <c r="Q531" t="s">
        <v>2718</v>
      </c>
      <c r="R531">
        <v>-12.08351210247279</v>
      </c>
      <c r="S531">
        <v>4401</v>
      </c>
      <c r="T531">
        <v>124083</v>
      </c>
      <c r="U531" t="s">
        <v>4516</v>
      </c>
      <c r="V531">
        <v>43.75</v>
      </c>
      <c r="W531" t="s">
        <v>6736</v>
      </c>
      <c r="X531" t="s">
        <v>8882</v>
      </c>
      <c r="Y531">
        <v>18517</v>
      </c>
      <c r="Z531">
        <v>875</v>
      </c>
      <c r="AA531">
        <v>780000</v>
      </c>
      <c r="AB531">
        <v>2.7</v>
      </c>
    </row>
    <row r="532" spans="1:28">
      <c r="A532" s="2">
        <f>HYPERLINK("https://finance.naver.com/item/coinfo.nhn?code=058860", "A058860")</f>
        <v>0</v>
      </c>
      <c r="B532">
        <f>HYPERLINK("http://comp.fnguide.com/SVO2/ASP/SVD_Consensus.asp?pGB=1&amp;gicode=A058860&amp;cID=&amp;MenuYn=Y&amp;ReportGB=&amp;NewMenuID=108&amp;stkGb=701", "KTis")</f>
        <v>0</v>
      </c>
      <c r="C532">
        <v>3</v>
      </c>
      <c r="D532">
        <v>2500</v>
      </c>
      <c r="E532">
        <v>-1.1</v>
      </c>
      <c r="F532">
        <v>8.699999999999999</v>
      </c>
      <c r="G532">
        <v>3363</v>
      </c>
      <c r="H532">
        <v>4374</v>
      </c>
      <c r="I532">
        <v>4662</v>
      </c>
      <c r="J532">
        <v>-34.52</v>
      </c>
      <c r="K532">
        <v>-74.97</v>
      </c>
      <c r="L532">
        <v>-86.5</v>
      </c>
      <c r="M532">
        <v>5.31</v>
      </c>
      <c r="N532" t="b">
        <v>1</v>
      </c>
      <c r="O532">
        <v>264</v>
      </c>
      <c r="P532" t="s">
        <v>545</v>
      </c>
      <c r="Q532" t="s">
        <v>2719</v>
      </c>
      <c r="R532">
        <v>-7.94257615601619</v>
      </c>
      <c r="S532">
        <v>870</v>
      </c>
      <c r="T532">
        <v>195933</v>
      </c>
      <c r="U532" t="s">
        <v>4517</v>
      </c>
      <c r="V532">
        <v>29.39</v>
      </c>
      <c r="W532" t="s">
        <v>6737</v>
      </c>
      <c r="X532" t="s">
        <v>8883</v>
      </c>
      <c r="Y532">
        <v>4510</v>
      </c>
      <c r="Z532">
        <v>138</v>
      </c>
      <c r="AA532">
        <v>1449618</v>
      </c>
      <c r="AB532">
        <v>3.91</v>
      </c>
    </row>
    <row r="533" spans="1:28">
      <c r="A533" s="2">
        <f>HYPERLINK("https://finance.naver.com/item/coinfo.nhn?code=001080", "A001080")</f>
        <v>0</v>
      </c>
      <c r="B533">
        <f>HYPERLINK("http://comp.fnguide.com/SVO2/ASP/SVD_Consensus.asp?pGB=1&amp;gicode=A001080&amp;cID=&amp;MenuYn=Y&amp;ReportGB=&amp;NewMenuID=108&amp;stkGb=701", "만호제강")</f>
        <v>0</v>
      </c>
      <c r="C533">
        <v>3</v>
      </c>
      <c r="D533">
        <v>17700</v>
      </c>
      <c r="E533">
        <v>-1.05</v>
      </c>
      <c r="F533">
        <v>44.4</v>
      </c>
      <c r="G533">
        <v>5975</v>
      </c>
      <c r="H533">
        <v>48283</v>
      </c>
      <c r="I533">
        <v>60339</v>
      </c>
      <c r="J533">
        <v>66.25</v>
      </c>
      <c r="K533">
        <v>-172.79</v>
      </c>
      <c r="L533">
        <v>-240.9</v>
      </c>
      <c r="M533">
        <v>0.62</v>
      </c>
      <c r="N533" t="b">
        <v>0</v>
      </c>
      <c r="O533">
        <v>306</v>
      </c>
      <c r="P533" t="s">
        <v>546</v>
      </c>
      <c r="Q533" t="s">
        <v>2720</v>
      </c>
      <c r="R533">
        <v>-42.23361658238314</v>
      </c>
      <c r="S533">
        <v>735</v>
      </c>
      <c r="T533">
        <v>22589</v>
      </c>
      <c r="U533" t="s">
        <v>4518</v>
      </c>
      <c r="V533">
        <v>22.66</v>
      </c>
      <c r="W533" t="s">
        <v>6738</v>
      </c>
      <c r="X533" t="s">
        <v>8884</v>
      </c>
      <c r="Y533">
        <v>1964</v>
      </c>
      <c r="Z533">
        <v>-4</v>
      </c>
      <c r="AA533">
        <v>1109075</v>
      </c>
      <c r="AB533">
        <v>1.47</v>
      </c>
    </row>
    <row r="534" spans="1:28">
      <c r="A534" s="2">
        <f>HYPERLINK("https://finance.naver.com/item/coinfo.nhn?code=138040", "A138040")</f>
        <v>0</v>
      </c>
      <c r="B534">
        <f>HYPERLINK("http://comp.fnguide.com/SVO2/ASP/SVD_Consensus.asp?pGB=1&amp;gicode=A138040&amp;cID=&amp;MenuYn=Y&amp;ReportGB=&amp;NewMenuID=108&amp;stkGb=701", "메리츠금융지주")</f>
        <v>0</v>
      </c>
      <c r="C534">
        <v>3</v>
      </c>
      <c r="D534">
        <v>10000</v>
      </c>
      <c r="E534">
        <v>0.91</v>
      </c>
      <c r="F534">
        <v>4.15</v>
      </c>
      <c r="G534">
        <v>40575</v>
      </c>
      <c r="H534">
        <v>28742</v>
      </c>
      <c r="I534">
        <v>25370</v>
      </c>
      <c r="J534">
        <v>-305.75</v>
      </c>
      <c r="K534">
        <v>-187.42</v>
      </c>
      <c r="L534">
        <v>-153.7</v>
      </c>
      <c r="M534">
        <v>15.49</v>
      </c>
      <c r="N534" t="b">
        <v>1</v>
      </c>
      <c r="O534">
        <v>2841</v>
      </c>
      <c r="P534" t="s">
        <v>547</v>
      </c>
      <c r="Q534" t="s">
        <v>2721</v>
      </c>
      <c r="R534">
        <v>4.539413365111278</v>
      </c>
      <c r="S534">
        <v>13401</v>
      </c>
      <c r="T534">
        <v>487639</v>
      </c>
      <c r="U534" t="s">
        <v>4519</v>
      </c>
      <c r="V534">
        <v>72.25</v>
      </c>
      <c r="W534" t="s">
        <v>6739</v>
      </c>
      <c r="X534" t="s">
        <v>8885</v>
      </c>
      <c r="Y534">
        <v>18316</v>
      </c>
      <c r="Z534">
        <v>9623</v>
      </c>
      <c r="AA534">
        <v>2385670</v>
      </c>
      <c r="AB534">
        <v>4.66</v>
      </c>
    </row>
    <row r="535" spans="1:28">
      <c r="A535" s="2">
        <f>HYPERLINK("https://finance.naver.com/item/coinfo.nhn?code=008560", "A008560")</f>
        <v>0</v>
      </c>
      <c r="B535">
        <f>HYPERLINK("http://comp.fnguide.com/SVO2/ASP/SVD_Consensus.asp?pGB=1&amp;gicode=A008560&amp;cID=&amp;MenuYn=Y&amp;ReportGB=&amp;NewMenuID=108&amp;stkGb=701", "메리츠증권")</f>
        <v>0</v>
      </c>
      <c r="C535">
        <v>3</v>
      </c>
      <c r="D535">
        <v>3765</v>
      </c>
      <c r="E535">
        <v>0.35</v>
      </c>
      <c r="F535">
        <v>4.8</v>
      </c>
      <c r="G535">
        <v>11005</v>
      </c>
      <c r="H535">
        <v>8114</v>
      </c>
      <c r="I535">
        <v>7291</v>
      </c>
      <c r="J535">
        <v>-192.31</v>
      </c>
      <c r="K535">
        <v>-115.52</v>
      </c>
      <c r="L535">
        <v>-93.64</v>
      </c>
      <c r="M535">
        <v>14.16</v>
      </c>
      <c r="N535" t="b">
        <v>1</v>
      </c>
      <c r="O535">
        <v>789</v>
      </c>
      <c r="P535" t="s">
        <v>548</v>
      </c>
      <c r="Q535" t="s">
        <v>2722</v>
      </c>
      <c r="R535">
        <v>13.83757090484359</v>
      </c>
      <c r="S535">
        <v>25450</v>
      </c>
      <c r="T535">
        <v>3249625</v>
      </c>
      <c r="U535" t="s">
        <v>4520</v>
      </c>
      <c r="V535">
        <v>49.59</v>
      </c>
      <c r="W535" t="s">
        <v>6740</v>
      </c>
      <c r="X535" t="s">
        <v>8886</v>
      </c>
      <c r="Y535">
        <v>11587</v>
      </c>
      <c r="Z535">
        <v>6799</v>
      </c>
      <c r="AA535">
        <v>43138182</v>
      </c>
      <c r="AB535">
        <v>5.28</v>
      </c>
    </row>
    <row r="536" spans="1:28">
      <c r="A536" s="2">
        <f>HYPERLINK("https://finance.naver.com/item/coinfo.nhn?code=000060", "A000060")</f>
        <v>0</v>
      </c>
      <c r="B536">
        <f>HYPERLINK("http://comp.fnguide.com/SVO2/ASP/SVD_Consensus.asp?pGB=1&amp;gicode=A000060&amp;cID=&amp;MenuYn=Y&amp;ReportGB=&amp;NewMenuID=108&amp;stkGb=701", "메리츠화재")</f>
        <v>0</v>
      </c>
      <c r="C536">
        <v>3</v>
      </c>
      <c r="D536">
        <v>15000</v>
      </c>
      <c r="E536">
        <v>0.43</v>
      </c>
      <c r="F536">
        <v>6.75</v>
      </c>
      <c r="G536">
        <v>36168</v>
      </c>
      <c r="H536">
        <v>26820</v>
      </c>
      <c r="I536">
        <v>24156</v>
      </c>
      <c r="J536">
        <v>-141.12</v>
      </c>
      <c r="K536">
        <v>-78.8</v>
      </c>
      <c r="L536">
        <v>-61.04</v>
      </c>
      <c r="M536">
        <v>13.99</v>
      </c>
      <c r="N536" t="b">
        <v>1</v>
      </c>
      <c r="O536">
        <v>2643</v>
      </c>
      <c r="P536" t="s">
        <v>549</v>
      </c>
      <c r="Q536" t="s">
        <v>2723</v>
      </c>
      <c r="R536">
        <v>15.65850051513527</v>
      </c>
      <c r="S536">
        <v>18094</v>
      </c>
      <c r="T536">
        <v>271206</v>
      </c>
      <c r="U536" t="s">
        <v>4521</v>
      </c>
      <c r="V536">
        <v>56.32</v>
      </c>
      <c r="W536" t="s">
        <v>6741</v>
      </c>
      <c r="X536" t="s">
        <v>8887</v>
      </c>
      <c r="Y536">
        <v>80830</v>
      </c>
      <c r="Z536">
        <v>3528</v>
      </c>
      <c r="AA536">
        <v>2600822</v>
      </c>
      <c r="AB536">
        <v>4.76</v>
      </c>
    </row>
    <row r="537" spans="1:28">
      <c r="A537" s="2">
        <f>HYPERLINK("https://finance.naver.com/item/coinfo.nhn?code=058850", "A058850")</f>
        <v>0</v>
      </c>
      <c r="B537">
        <f>HYPERLINK("http://comp.fnguide.com/SVO2/ASP/SVD_Consensus.asp?pGB=1&amp;gicode=A058850&amp;cID=&amp;MenuYn=Y&amp;ReportGB=&amp;NewMenuID=108&amp;stkGb=701", "KTcs")</f>
        <v>0</v>
      </c>
      <c r="C537">
        <v>3</v>
      </c>
      <c r="D537">
        <v>2270</v>
      </c>
      <c r="E537">
        <v>-2.28</v>
      </c>
      <c r="F537">
        <v>12.98</v>
      </c>
      <c r="G537">
        <v>2716</v>
      </c>
      <c r="H537">
        <v>3418</v>
      </c>
      <c r="I537">
        <v>3618</v>
      </c>
      <c r="J537">
        <v>-19.63</v>
      </c>
      <c r="K537">
        <v>-50.57</v>
      </c>
      <c r="L537">
        <v>-59.39</v>
      </c>
      <c r="M537">
        <v>5.57</v>
      </c>
      <c r="N537" t="b">
        <v>1</v>
      </c>
      <c r="O537">
        <v>174</v>
      </c>
      <c r="P537" t="s">
        <v>550</v>
      </c>
      <c r="Q537" t="s">
        <v>2724</v>
      </c>
      <c r="R537">
        <v>-5.696749930341705</v>
      </c>
      <c r="S537">
        <v>969</v>
      </c>
      <c r="T537">
        <v>905283</v>
      </c>
      <c r="U537" t="s">
        <v>4522</v>
      </c>
      <c r="V537">
        <v>30.32</v>
      </c>
      <c r="W537" t="s">
        <v>6742</v>
      </c>
      <c r="X537" t="s">
        <v>8888</v>
      </c>
      <c r="Y537">
        <v>9449</v>
      </c>
      <c r="Z537">
        <v>113</v>
      </c>
      <c r="AA537">
        <v>1857514</v>
      </c>
      <c r="AB537">
        <v>3.54</v>
      </c>
    </row>
    <row r="538" spans="1:28">
      <c r="A538" s="2">
        <f>HYPERLINK("https://finance.naver.com/item/coinfo.nhn?code=030210", "A030210")</f>
        <v>0</v>
      </c>
      <c r="B538">
        <f>HYPERLINK("http://comp.fnguide.com/SVO2/ASP/SVD_Consensus.asp?pGB=1&amp;gicode=A030210&amp;cID=&amp;MenuYn=Y&amp;ReportGB=&amp;NewMenuID=108&amp;stkGb=701", "KTB투자증권")</f>
        <v>0</v>
      </c>
      <c r="C538">
        <v>3</v>
      </c>
      <c r="D538">
        <v>3370</v>
      </c>
      <c r="E538">
        <v>0.41</v>
      </c>
      <c r="F538">
        <v>3.3</v>
      </c>
      <c r="G538">
        <v>9819</v>
      </c>
      <c r="H538">
        <v>9718</v>
      </c>
      <c r="I538">
        <v>9689</v>
      </c>
      <c r="J538">
        <v>-191.38</v>
      </c>
      <c r="K538">
        <v>-188.35</v>
      </c>
      <c r="L538">
        <v>-187.49</v>
      </c>
      <c r="M538">
        <v>8.109999999999999</v>
      </c>
      <c r="N538" t="b">
        <v>1</v>
      </c>
      <c r="O538">
        <v>710</v>
      </c>
      <c r="P538" t="s">
        <v>551</v>
      </c>
      <c r="Q538" t="s">
        <v>2725</v>
      </c>
      <c r="R538">
        <v>7.996923098167308</v>
      </c>
      <c r="S538">
        <v>2033</v>
      </c>
      <c r="T538">
        <v>920699</v>
      </c>
      <c r="U538" t="s">
        <v>4523</v>
      </c>
      <c r="V538">
        <v>23.85</v>
      </c>
      <c r="W538" t="s">
        <v>6743</v>
      </c>
      <c r="X538" t="s">
        <v>8889</v>
      </c>
      <c r="Y538">
        <v>2336</v>
      </c>
      <c r="Z538">
        <v>375</v>
      </c>
      <c r="AA538">
        <v>1069813</v>
      </c>
      <c r="AB538">
        <v>6.4</v>
      </c>
    </row>
    <row r="539" spans="1:28">
      <c r="A539" s="2">
        <f>HYPERLINK("https://finance.naver.com/item/coinfo.nhn?code=009680", "A009680")</f>
        <v>0</v>
      </c>
      <c r="B539">
        <f>HYPERLINK("http://comp.fnguide.com/SVO2/ASP/SVD_Consensus.asp?pGB=1&amp;gicode=A009680&amp;cID=&amp;MenuYn=Y&amp;ReportGB=&amp;NewMenuID=108&amp;stkGb=701", "모토닉")</f>
        <v>0</v>
      </c>
      <c r="C539">
        <v>3</v>
      </c>
      <c r="D539">
        <v>11050</v>
      </c>
      <c r="E539">
        <v>-48.41</v>
      </c>
      <c r="F539">
        <v>25.72</v>
      </c>
      <c r="G539">
        <v>6231</v>
      </c>
      <c r="H539">
        <v>13704</v>
      </c>
      <c r="I539">
        <v>15834</v>
      </c>
      <c r="J539">
        <v>43.61</v>
      </c>
      <c r="K539">
        <v>-24.02</v>
      </c>
      <c r="L539">
        <v>-43.29</v>
      </c>
      <c r="M539">
        <v>2.66</v>
      </c>
      <c r="N539" t="b">
        <v>0</v>
      </c>
      <c r="O539">
        <v>344</v>
      </c>
      <c r="P539" t="s">
        <v>552</v>
      </c>
      <c r="Q539" t="s">
        <v>2726</v>
      </c>
      <c r="R539">
        <v>-0.5313222151893893</v>
      </c>
      <c r="S539">
        <v>3647</v>
      </c>
      <c r="T539">
        <v>189964</v>
      </c>
      <c r="U539" t="s">
        <v>4524</v>
      </c>
      <c r="V539">
        <v>38.83</v>
      </c>
      <c r="W539" t="s">
        <v>6744</v>
      </c>
      <c r="X539" t="s">
        <v>8890</v>
      </c>
      <c r="Y539">
        <v>2076</v>
      </c>
      <c r="Z539">
        <v>97</v>
      </c>
      <c r="AA539">
        <v>11151419</v>
      </c>
      <c r="AB539">
        <v>3.39</v>
      </c>
    </row>
    <row r="540" spans="1:28">
      <c r="A540" s="2">
        <f>HYPERLINK("https://finance.naver.com/item/coinfo.nhn?code=030200", "A030200")</f>
        <v>0</v>
      </c>
      <c r="B540">
        <f>HYPERLINK("http://comp.fnguide.com/SVO2/ASP/SVD_Consensus.asp?pGB=1&amp;gicode=A030200&amp;cID=&amp;MenuYn=Y&amp;ReportGB=&amp;NewMenuID=108&amp;stkGb=701", "KT")</f>
        <v>0</v>
      </c>
      <c r="C540">
        <v>3</v>
      </c>
      <c r="D540">
        <v>24400</v>
      </c>
      <c r="E540">
        <v>5.59</v>
      </c>
      <c r="F540">
        <v>11.39</v>
      </c>
      <c r="G540">
        <v>34050</v>
      </c>
      <c r="H540">
        <v>47408</v>
      </c>
      <c r="I540">
        <v>51215</v>
      </c>
      <c r="J540">
        <v>-39.55</v>
      </c>
      <c r="K540">
        <v>-94.3</v>
      </c>
      <c r="L540">
        <v>-109.9</v>
      </c>
      <c r="M540">
        <v>4.82</v>
      </c>
      <c r="N540" t="b">
        <v>1</v>
      </c>
      <c r="O540">
        <v>2371</v>
      </c>
      <c r="P540" t="s">
        <v>553</v>
      </c>
      <c r="Q540" t="s">
        <v>2727</v>
      </c>
      <c r="R540">
        <v>2.039374933270155</v>
      </c>
      <c r="S540">
        <v>63711</v>
      </c>
      <c r="T540">
        <v>1118373</v>
      </c>
      <c r="U540" t="s">
        <v>4525</v>
      </c>
      <c r="V540">
        <v>11.91</v>
      </c>
      <c r="W540" t="s">
        <v>6745</v>
      </c>
      <c r="X540" t="s">
        <v>8891</v>
      </c>
      <c r="Y540">
        <v>243421</v>
      </c>
      <c r="Z540">
        <v>11511</v>
      </c>
      <c r="AA540">
        <v>18289783</v>
      </c>
      <c r="AB540">
        <v>4.07</v>
      </c>
    </row>
    <row r="541" spans="1:28">
      <c r="A541" s="2">
        <f>HYPERLINK("https://finance.naver.com/item/coinfo.nhn?code=009580", "A009580")</f>
        <v>0</v>
      </c>
      <c r="B541">
        <f>HYPERLINK("http://comp.fnguide.com/SVO2/ASP/SVD_Consensus.asp?pGB=1&amp;gicode=A009580&amp;cID=&amp;MenuYn=Y&amp;ReportGB=&amp;NewMenuID=108&amp;stkGb=701", "무림P&amp;P")</f>
        <v>0</v>
      </c>
      <c r="C541">
        <v>3</v>
      </c>
      <c r="D541">
        <v>3500</v>
      </c>
      <c r="E541">
        <v>-0.31</v>
      </c>
      <c r="F541">
        <v>26.08</v>
      </c>
      <c r="G541">
        <v>7251</v>
      </c>
      <c r="H541">
        <v>8808</v>
      </c>
      <c r="I541">
        <v>9252</v>
      </c>
      <c r="J541">
        <v>-107.17</v>
      </c>
      <c r="K541">
        <v>-151.65</v>
      </c>
      <c r="L541">
        <v>-164.33</v>
      </c>
      <c r="M541">
        <v>5.87</v>
      </c>
      <c r="N541" t="b">
        <v>0</v>
      </c>
      <c r="O541">
        <v>162</v>
      </c>
      <c r="P541" t="s">
        <v>554</v>
      </c>
      <c r="Q541" t="s">
        <v>2728</v>
      </c>
      <c r="R541">
        <v>-83.23086615132016</v>
      </c>
      <c r="S541">
        <v>2183</v>
      </c>
      <c r="T541">
        <v>468840</v>
      </c>
      <c r="U541" t="s">
        <v>4526</v>
      </c>
      <c r="V541">
        <v>66.97</v>
      </c>
      <c r="W541" t="s">
        <v>6746</v>
      </c>
      <c r="X541" t="s">
        <v>8892</v>
      </c>
      <c r="Y541">
        <v>6313</v>
      </c>
      <c r="Z541">
        <v>494</v>
      </c>
      <c r="AA541">
        <v>4546</v>
      </c>
      <c r="AB541">
        <v>4.14</v>
      </c>
    </row>
    <row r="542" spans="1:28">
      <c r="A542" s="2">
        <f>HYPERLINK("https://finance.naver.com/item/coinfo.nhn?code=009200", "A009200")</f>
        <v>0</v>
      </c>
      <c r="B542">
        <f>HYPERLINK("http://comp.fnguide.com/SVO2/ASP/SVD_Consensus.asp?pGB=1&amp;gicode=A009200&amp;cID=&amp;MenuYn=Y&amp;ReportGB=&amp;NewMenuID=108&amp;stkGb=701", "무림페이퍼")</f>
        <v>0</v>
      </c>
      <c r="C542">
        <v>3</v>
      </c>
      <c r="D542">
        <v>2530</v>
      </c>
      <c r="G542">
        <v>5024</v>
      </c>
      <c r="H542">
        <v>8332</v>
      </c>
      <c r="I542">
        <v>9274</v>
      </c>
      <c r="J542">
        <v>-98.59</v>
      </c>
      <c r="K542">
        <v>-229.32</v>
      </c>
      <c r="L542">
        <v>-266.57</v>
      </c>
      <c r="M542">
        <v>3.8</v>
      </c>
      <c r="N542" t="b">
        <v>0</v>
      </c>
      <c r="O542">
        <v>-231</v>
      </c>
      <c r="P542" t="s">
        <v>555</v>
      </c>
      <c r="Q542" t="s">
        <v>2729</v>
      </c>
      <c r="R542">
        <v>208.2333420365833</v>
      </c>
      <c r="S542">
        <v>1053</v>
      </c>
      <c r="T542">
        <v>427480</v>
      </c>
      <c r="U542" t="s">
        <v>4527</v>
      </c>
      <c r="V542">
        <v>54.07</v>
      </c>
      <c r="W542" t="s">
        <v>6747</v>
      </c>
      <c r="X542" t="s">
        <v>8893</v>
      </c>
      <c r="Y542">
        <v>11237</v>
      </c>
      <c r="Z542">
        <v>688</v>
      </c>
      <c r="AB542">
        <v>2.01</v>
      </c>
    </row>
    <row r="543" spans="1:28">
      <c r="A543" s="2">
        <f>HYPERLINK("https://finance.naver.com/item/coinfo.nhn?code=033920", "A033920")</f>
        <v>0</v>
      </c>
      <c r="B543">
        <f>HYPERLINK("http://comp.fnguide.com/SVO2/ASP/SVD_Consensus.asp?pGB=1&amp;gicode=A033920&amp;cID=&amp;MenuYn=Y&amp;ReportGB=&amp;NewMenuID=108&amp;stkGb=701", "무학")</f>
        <v>0</v>
      </c>
      <c r="C543">
        <v>3</v>
      </c>
      <c r="D543">
        <v>6720</v>
      </c>
      <c r="E543">
        <v>0.3</v>
      </c>
      <c r="F543">
        <v>10.21</v>
      </c>
      <c r="G543">
        <v>9485</v>
      </c>
      <c r="H543">
        <v>15166</v>
      </c>
      <c r="I543">
        <v>16784</v>
      </c>
      <c r="J543">
        <v>-41.15</v>
      </c>
      <c r="K543">
        <v>-125.68</v>
      </c>
      <c r="L543">
        <v>-149.77</v>
      </c>
      <c r="M543">
        <v>3.99</v>
      </c>
      <c r="N543" t="b">
        <v>1</v>
      </c>
      <c r="O543">
        <v>832</v>
      </c>
      <c r="P543" t="s">
        <v>556</v>
      </c>
      <c r="Q543" t="s">
        <v>2730</v>
      </c>
      <c r="R543">
        <v>33.72703541169228</v>
      </c>
      <c r="S543">
        <v>1915</v>
      </c>
      <c r="T543">
        <v>58372</v>
      </c>
      <c r="U543" t="s">
        <v>4528</v>
      </c>
      <c r="V543">
        <v>61.14</v>
      </c>
      <c r="W543" t="s">
        <v>6748</v>
      </c>
      <c r="X543" t="s">
        <v>8894</v>
      </c>
      <c r="Y543">
        <v>1664</v>
      </c>
      <c r="Z543">
        <v>-134</v>
      </c>
      <c r="AA543">
        <v>1313132</v>
      </c>
    </row>
    <row r="544" spans="1:28">
      <c r="A544" s="2">
        <f>HYPERLINK("https://finance.naver.com/item/coinfo.nhn?code=044450", "A044450")</f>
        <v>0</v>
      </c>
      <c r="B544">
        <f>HYPERLINK("http://comp.fnguide.com/SVO2/ASP/SVD_Consensus.asp?pGB=1&amp;gicode=A044450&amp;cID=&amp;MenuYn=Y&amp;ReportGB=&amp;NewMenuID=108&amp;stkGb=701", "KSS해운")</f>
        <v>0</v>
      </c>
      <c r="C544">
        <v>3</v>
      </c>
      <c r="D544">
        <v>10300</v>
      </c>
      <c r="E544">
        <v>1.24</v>
      </c>
      <c r="F544">
        <v>7.72</v>
      </c>
      <c r="G544">
        <v>14257</v>
      </c>
      <c r="H544">
        <v>13149</v>
      </c>
      <c r="I544">
        <v>12834</v>
      </c>
      <c r="J544">
        <v>-38.42</v>
      </c>
      <c r="K544">
        <v>-27.66</v>
      </c>
      <c r="L544">
        <v>-24.6</v>
      </c>
      <c r="M544">
        <v>9.15</v>
      </c>
      <c r="N544" t="b">
        <v>0</v>
      </c>
      <c r="O544">
        <v>1001</v>
      </c>
      <c r="P544" t="s">
        <v>557</v>
      </c>
      <c r="Q544" t="s">
        <v>2731</v>
      </c>
      <c r="R544">
        <v>6.22792053384249</v>
      </c>
      <c r="S544">
        <v>2388</v>
      </c>
      <c r="T544">
        <v>114297</v>
      </c>
      <c r="U544" t="s">
        <v>4529</v>
      </c>
      <c r="V544">
        <v>30.26</v>
      </c>
      <c r="W544" t="s">
        <v>6749</v>
      </c>
      <c r="X544" t="s">
        <v>8895</v>
      </c>
      <c r="Y544">
        <v>2312</v>
      </c>
      <c r="Z544">
        <v>529</v>
      </c>
      <c r="AA544">
        <v>726754</v>
      </c>
      <c r="AB544">
        <v>3.49</v>
      </c>
    </row>
    <row r="545" spans="1:28">
      <c r="A545" s="2">
        <f>HYPERLINK("https://finance.naver.com/item/coinfo.nhn?code=008420", "A008420")</f>
        <v>0</v>
      </c>
      <c r="B545">
        <f>HYPERLINK("http://comp.fnguide.com/SVO2/ASP/SVD_Consensus.asp?pGB=1&amp;gicode=A008420&amp;cID=&amp;MenuYn=Y&amp;ReportGB=&amp;NewMenuID=108&amp;stkGb=701", "문배철강")</f>
        <v>0</v>
      </c>
      <c r="C545">
        <v>3</v>
      </c>
      <c r="D545">
        <v>3595</v>
      </c>
      <c r="E545">
        <v>-4.17</v>
      </c>
      <c r="F545">
        <v>22.13</v>
      </c>
      <c r="G545">
        <v>3124</v>
      </c>
      <c r="H545">
        <v>4660</v>
      </c>
      <c r="I545">
        <v>5097</v>
      </c>
      <c r="J545">
        <v>13.1</v>
      </c>
      <c r="K545">
        <v>-29.62</v>
      </c>
      <c r="L545">
        <v>-41.79</v>
      </c>
      <c r="M545">
        <v>4.38</v>
      </c>
      <c r="N545" t="b">
        <v>0</v>
      </c>
      <c r="O545">
        <v>116</v>
      </c>
      <c r="P545" t="s">
        <v>558</v>
      </c>
      <c r="Q545" t="s">
        <v>2732</v>
      </c>
      <c r="R545">
        <v>-5.300691468981277</v>
      </c>
      <c r="S545">
        <v>737</v>
      </c>
      <c r="T545">
        <v>8130669</v>
      </c>
      <c r="U545" t="s">
        <v>4530</v>
      </c>
      <c r="V545">
        <v>36.99</v>
      </c>
      <c r="W545" t="s">
        <v>6750</v>
      </c>
      <c r="X545" t="s">
        <v>8896</v>
      </c>
      <c r="Y545">
        <v>1626</v>
      </c>
      <c r="Z545">
        <v>26</v>
      </c>
      <c r="AA545">
        <v>909119</v>
      </c>
      <c r="AB545">
        <v>1.95</v>
      </c>
    </row>
    <row r="546" spans="1:28">
      <c r="A546" s="2">
        <f>HYPERLINK("https://finance.naver.com/item/coinfo.nhn?code=092230", "A092230")</f>
        <v>0</v>
      </c>
      <c r="B546">
        <f>HYPERLINK("http://comp.fnguide.com/SVO2/ASP/SVD_Consensus.asp?pGB=1&amp;gicode=A092230&amp;cID=&amp;MenuYn=Y&amp;ReportGB=&amp;NewMenuID=108&amp;stkGb=701", "KPX홀딩스")</f>
        <v>0</v>
      </c>
      <c r="C546">
        <v>3</v>
      </c>
      <c r="D546">
        <v>61500</v>
      </c>
      <c r="E546">
        <v>0.46</v>
      </c>
      <c r="F546">
        <v>6.69</v>
      </c>
      <c r="G546">
        <v>79605</v>
      </c>
      <c r="H546">
        <v>124638</v>
      </c>
      <c r="I546">
        <v>137470</v>
      </c>
      <c r="J546">
        <v>-29.44</v>
      </c>
      <c r="K546">
        <v>-102.66</v>
      </c>
      <c r="L546">
        <v>-123.53</v>
      </c>
      <c r="M546">
        <v>4.1</v>
      </c>
      <c r="N546" t="b">
        <v>1</v>
      </c>
      <c r="O546">
        <v>8130</v>
      </c>
      <c r="P546" t="s">
        <v>559</v>
      </c>
      <c r="Q546" t="s">
        <v>2733</v>
      </c>
      <c r="R546">
        <v>14.44944727546844</v>
      </c>
      <c r="S546">
        <v>2598</v>
      </c>
      <c r="T546">
        <v>30368</v>
      </c>
      <c r="U546" t="s">
        <v>4531</v>
      </c>
      <c r="V546">
        <v>77.17</v>
      </c>
      <c r="W546" t="s">
        <v>6751</v>
      </c>
      <c r="X546" t="s">
        <v>8897</v>
      </c>
      <c r="Y546">
        <v>10103</v>
      </c>
      <c r="Z546">
        <v>643</v>
      </c>
      <c r="AA546">
        <v>138750</v>
      </c>
      <c r="AB546">
        <v>4.78</v>
      </c>
    </row>
    <row r="547" spans="1:28">
      <c r="A547" s="2">
        <f>HYPERLINK("https://finance.naver.com/item/coinfo.nhn?code=007120", "A007120")</f>
        <v>0</v>
      </c>
      <c r="B547">
        <f>HYPERLINK("http://comp.fnguide.com/SVO2/ASP/SVD_Consensus.asp?pGB=1&amp;gicode=A007120&amp;cID=&amp;MenuYn=Y&amp;ReportGB=&amp;NewMenuID=108&amp;stkGb=701", "미래아이앤지")</f>
        <v>0</v>
      </c>
      <c r="C547">
        <v>3</v>
      </c>
      <c r="D547">
        <v>342</v>
      </c>
      <c r="E547">
        <v>0</v>
      </c>
      <c r="F547">
        <v>3</v>
      </c>
      <c r="G547">
        <v>763</v>
      </c>
      <c r="H547">
        <v>629</v>
      </c>
      <c r="I547">
        <v>591</v>
      </c>
      <c r="J547">
        <v>-123.01</v>
      </c>
      <c r="K547">
        <v>-83.90000000000001</v>
      </c>
      <c r="L547">
        <v>-72.76000000000001</v>
      </c>
      <c r="M547">
        <v>11.26</v>
      </c>
      <c r="N547" t="b">
        <v>1</v>
      </c>
      <c r="O547">
        <v>108</v>
      </c>
      <c r="P547" t="s">
        <v>560</v>
      </c>
      <c r="Q547" t="s">
        <v>2734</v>
      </c>
      <c r="R547">
        <v>836</v>
      </c>
      <c r="S547">
        <v>443</v>
      </c>
      <c r="T547">
        <v>709687</v>
      </c>
      <c r="U547" t="s">
        <v>4532</v>
      </c>
      <c r="V547">
        <v>24.76</v>
      </c>
      <c r="W547" t="s">
        <v>6752</v>
      </c>
      <c r="X547" t="s">
        <v>5157</v>
      </c>
      <c r="Y547">
        <v>75</v>
      </c>
      <c r="Z547">
        <v>1</v>
      </c>
      <c r="AA547">
        <v>799813</v>
      </c>
    </row>
    <row r="548" spans="1:28">
      <c r="A548" s="2">
        <f>HYPERLINK("https://finance.naver.com/item/coinfo.nhn?code=006800", "A006800")</f>
        <v>0</v>
      </c>
      <c r="B548">
        <f>HYPERLINK("http://comp.fnguide.com/SVO2/ASP/SVD_Consensus.asp?pGB=1&amp;gicode=A006800&amp;cID=&amp;MenuYn=Y&amp;ReportGB=&amp;NewMenuID=108&amp;stkGb=701", "미래에셋대우")</f>
        <v>0</v>
      </c>
      <c r="C548">
        <v>3</v>
      </c>
      <c r="D548">
        <v>10350</v>
      </c>
      <c r="E548">
        <v>1.54</v>
      </c>
      <c r="F548">
        <v>9.31</v>
      </c>
      <c r="G548">
        <v>15834</v>
      </c>
      <c r="H548">
        <v>17275</v>
      </c>
      <c r="I548">
        <v>17686</v>
      </c>
      <c r="J548">
        <v>-52.99</v>
      </c>
      <c r="K548">
        <v>-66.91</v>
      </c>
      <c r="L548">
        <v>-70.88</v>
      </c>
      <c r="M548">
        <v>6.92</v>
      </c>
      <c r="N548" t="b">
        <v>0</v>
      </c>
      <c r="O548">
        <v>811</v>
      </c>
      <c r="P548" t="s">
        <v>561</v>
      </c>
      <c r="Q548" t="s">
        <v>2735</v>
      </c>
      <c r="R548">
        <v>6.060971635382395</v>
      </c>
      <c r="S548">
        <v>66790</v>
      </c>
      <c r="T548">
        <v>5341869</v>
      </c>
      <c r="U548" t="s">
        <v>4533</v>
      </c>
      <c r="V548">
        <v>24.27</v>
      </c>
      <c r="W548" t="s">
        <v>6753</v>
      </c>
      <c r="X548" t="s">
        <v>8898</v>
      </c>
      <c r="Y548">
        <v>19787</v>
      </c>
      <c r="Z548">
        <v>7280</v>
      </c>
      <c r="AA548">
        <v>144677905</v>
      </c>
      <c r="AB548">
        <v>3.44</v>
      </c>
    </row>
    <row r="549" spans="1:28">
      <c r="A549" s="2">
        <f>HYPERLINK("https://finance.naver.com/item/coinfo.nhn?code=003570", "A003570")</f>
        <v>0</v>
      </c>
      <c r="B549">
        <f>HYPERLINK("http://comp.fnguide.com/SVO2/ASP/SVD_Consensus.asp?pGB=1&amp;gicode=A003570&amp;cID=&amp;MenuYn=Y&amp;ReportGB=&amp;NewMenuID=108&amp;stkGb=701", "S&amp;T중공업")</f>
        <v>0</v>
      </c>
      <c r="C549">
        <v>3</v>
      </c>
      <c r="D549">
        <v>5250</v>
      </c>
      <c r="E549">
        <v>-0.53</v>
      </c>
      <c r="F549">
        <v>13.2</v>
      </c>
      <c r="G549">
        <v>7948</v>
      </c>
      <c r="H549">
        <v>18707</v>
      </c>
      <c r="I549">
        <v>21773</v>
      </c>
      <c r="J549">
        <v>-51.39</v>
      </c>
      <c r="K549">
        <v>-256.33</v>
      </c>
      <c r="L549">
        <v>-314.73</v>
      </c>
      <c r="M549">
        <v>2.45</v>
      </c>
      <c r="N549" t="b">
        <v>1</v>
      </c>
      <c r="O549">
        <v>501</v>
      </c>
      <c r="P549" t="s">
        <v>562</v>
      </c>
      <c r="Q549" t="s">
        <v>2736</v>
      </c>
      <c r="R549">
        <v>-24.75639562062435</v>
      </c>
      <c r="S549">
        <v>1746</v>
      </c>
      <c r="T549">
        <v>94509</v>
      </c>
      <c r="U549" t="s">
        <v>4534</v>
      </c>
      <c r="V549">
        <v>42.27</v>
      </c>
      <c r="W549" t="s">
        <v>6754</v>
      </c>
      <c r="X549" t="s">
        <v>8899</v>
      </c>
      <c r="Y549">
        <v>3751</v>
      </c>
      <c r="Z549">
        <v>192</v>
      </c>
      <c r="AA549">
        <v>9385171</v>
      </c>
      <c r="AB549">
        <v>4.54</v>
      </c>
    </row>
    <row r="550" spans="1:28">
      <c r="A550" s="2">
        <f>HYPERLINK("https://finance.naver.com/item/coinfo.nhn?code=036530", "A036530")</f>
        <v>0</v>
      </c>
      <c r="B550">
        <f>HYPERLINK("http://comp.fnguide.com/SVO2/ASP/SVD_Consensus.asp?pGB=1&amp;gicode=A036530&amp;cID=&amp;MenuYn=Y&amp;ReportGB=&amp;NewMenuID=108&amp;stkGb=701", "S&amp;T홀딩스")</f>
        <v>0</v>
      </c>
      <c r="C550">
        <v>3</v>
      </c>
      <c r="D550">
        <v>14250</v>
      </c>
      <c r="E550">
        <v>0.65</v>
      </c>
      <c r="F550">
        <v>4.03</v>
      </c>
      <c r="G550">
        <v>39282</v>
      </c>
      <c r="H550">
        <v>46858</v>
      </c>
      <c r="I550">
        <v>49017</v>
      </c>
      <c r="J550">
        <v>-175.66</v>
      </c>
      <c r="K550">
        <v>-228.83</v>
      </c>
      <c r="L550">
        <v>-243.98</v>
      </c>
      <c r="M550">
        <v>6.03</v>
      </c>
      <c r="N550" t="b">
        <v>1</v>
      </c>
      <c r="O550">
        <v>3835</v>
      </c>
      <c r="P550" t="s">
        <v>563</v>
      </c>
      <c r="Q550" t="s">
        <v>2737</v>
      </c>
      <c r="R550">
        <v>6.17067363138033</v>
      </c>
      <c r="S550">
        <v>2323</v>
      </c>
      <c r="T550">
        <v>47328</v>
      </c>
      <c r="U550" t="s">
        <v>4535</v>
      </c>
      <c r="V550">
        <v>63.17</v>
      </c>
      <c r="W550" t="s">
        <v>6755</v>
      </c>
      <c r="X550" t="s">
        <v>8900</v>
      </c>
      <c r="Y550">
        <v>15121</v>
      </c>
      <c r="Z550">
        <v>1263</v>
      </c>
      <c r="AA550">
        <v>1538384</v>
      </c>
      <c r="AB550">
        <v>3.24</v>
      </c>
    </row>
    <row r="551" spans="1:28">
      <c r="A551" s="2">
        <f>HYPERLINK("https://finance.naver.com/item/coinfo.nhn?code=028260", "A028260")</f>
        <v>0</v>
      </c>
      <c r="B551">
        <f>HYPERLINK("http://comp.fnguide.com/SVO2/ASP/SVD_Consensus.asp?pGB=1&amp;gicode=A028260&amp;cID=&amp;MenuYn=Y&amp;ReportGB=&amp;NewMenuID=108&amp;stkGb=701", "삼성물산")</f>
        <v>0</v>
      </c>
      <c r="C551">
        <v>3</v>
      </c>
      <c r="D551">
        <v>123500</v>
      </c>
      <c r="E551">
        <v>-1.02</v>
      </c>
      <c r="F551">
        <v>19.77</v>
      </c>
      <c r="G551">
        <v>103451</v>
      </c>
      <c r="H551">
        <v>129863</v>
      </c>
      <c r="I551">
        <v>137388</v>
      </c>
      <c r="J551">
        <v>16.23</v>
      </c>
      <c r="K551">
        <v>-5.15</v>
      </c>
      <c r="L551">
        <v>-11.25</v>
      </c>
      <c r="M551">
        <v>5.59</v>
      </c>
      <c r="N551" t="b">
        <v>1</v>
      </c>
      <c r="O551">
        <v>5489</v>
      </c>
      <c r="P551" t="s">
        <v>564</v>
      </c>
      <c r="Q551" t="s">
        <v>2738</v>
      </c>
      <c r="R551">
        <v>-19.31270062026993</v>
      </c>
      <c r="S551">
        <v>230806</v>
      </c>
      <c r="T551">
        <v>998010</v>
      </c>
      <c r="U551" t="s">
        <v>4536</v>
      </c>
      <c r="V551">
        <v>33.71</v>
      </c>
      <c r="W551" t="s">
        <v>6756</v>
      </c>
      <c r="X551" t="s">
        <v>8901</v>
      </c>
      <c r="Y551">
        <v>307615</v>
      </c>
      <c r="Z551">
        <v>8668</v>
      </c>
      <c r="AA551">
        <v>23422688</v>
      </c>
      <c r="AB551">
        <v>1.84</v>
      </c>
    </row>
    <row r="552" spans="1:28">
      <c r="A552" s="2">
        <f>HYPERLINK("https://finance.naver.com/item/coinfo.nhn?code=004370", "A004370")</f>
        <v>0</v>
      </c>
      <c r="B552">
        <f>HYPERLINK("http://comp.fnguide.com/SVO2/ASP/SVD_Consensus.asp?pGB=1&amp;gicode=A004370&amp;cID=&amp;MenuYn=Y&amp;ReportGB=&amp;NewMenuID=108&amp;stkGb=701", "농심")</f>
        <v>0</v>
      </c>
      <c r="C552">
        <v>3</v>
      </c>
      <c r="D552">
        <v>289000</v>
      </c>
      <c r="E552">
        <v>3.03</v>
      </c>
      <c r="F552">
        <v>20.61</v>
      </c>
      <c r="G552">
        <v>176040</v>
      </c>
      <c r="H552">
        <v>270585</v>
      </c>
      <c r="I552">
        <v>297525</v>
      </c>
      <c r="J552">
        <v>39.09</v>
      </c>
      <c r="K552">
        <v>6.37</v>
      </c>
      <c r="L552">
        <v>-2.95</v>
      </c>
      <c r="M552">
        <v>4.21</v>
      </c>
      <c r="N552" t="b">
        <v>1</v>
      </c>
      <c r="O552">
        <v>11672</v>
      </c>
      <c r="P552" t="s">
        <v>565</v>
      </c>
      <c r="Q552" t="s">
        <v>2739</v>
      </c>
      <c r="R552">
        <v>6.79310192641982</v>
      </c>
      <c r="S552">
        <v>17579</v>
      </c>
      <c r="T552">
        <v>39553</v>
      </c>
      <c r="U552" t="s">
        <v>4537</v>
      </c>
      <c r="V552">
        <v>45.49</v>
      </c>
      <c r="W552" t="s">
        <v>6757</v>
      </c>
      <c r="X552" t="s">
        <v>8902</v>
      </c>
      <c r="Y552">
        <v>23439</v>
      </c>
      <c r="Z552">
        <v>788</v>
      </c>
      <c r="AA552">
        <v>300018</v>
      </c>
      <c r="AB552">
        <v>1.66</v>
      </c>
    </row>
    <row r="553" spans="1:28">
      <c r="A553" s="2">
        <f>HYPERLINK("https://finance.naver.com/item/coinfo.nhn?code=005720", "A005720")</f>
        <v>0</v>
      </c>
      <c r="B553">
        <f>HYPERLINK("http://comp.fnguide.com/SVO2/ASP/SVD_Consensus.asp?pGB=1&amp;gicode=A005720&amp;cID=&amp;MenuYn=Y&amp;ReportGB=&amp;NewMenuID=108&amp;stkGb=701", "넥센")</f>
        <v>0</v>
      </c>
      <c r="C553">
        <v>3</v>
      </c>
      <c r="D553">
        <v>4695</v>
      </c>
      <c r="E553">
        <v>-0.19</v>
      </c>
      <c r="F553">
        <v>5.84</v>
      </c>
      <c r="G553">
        <v>16582</v>
      </c>
      <c r="H553">
        <v>18366</v>
      </c>
      <c r="I553">
        <v>18874</v>
      </c>
      <c r="J553">
        <v>-253.19</v>
      </c>
      <c r="K553">
        <v>-291.18</v>
      </c>
      <c r="L553">
        <v>-302</v>
      </c>
      <c r="M553">
        <v>6.76</v>
      </c>
      <c r="N553" t="b">
        <v>1</v>
      </c>
      <c r="O553">
        <v>1037</v>
      </c>
      <c r="P553" t="s">
        <v>566</v>
      </c>
      <c r="Q553" t="s">
        <v>2740</v>
      </c>
      <c r="R553">
        <v>-31.35855732881312</v>
      </c>
      <c r="S553">
        <v>2514</v>
      </c>
      <c r="T553">
        <v>95237</v>
      </c>
      <c r="U553" t="s">
        <v>4538</v>
      </c>
      <c r="V553">
        <v>59.37</v>
      </c>
      <c r="W553" t="s">
        <v>6758</v>
      </c>
      <c r="X553" t="s">
        <v>8903</v>
      </c>
      <c r="Y553">
        <v>22913</v>
      </c>
      <c r="Z553">
        <v>2251</v>
      </c>
      <c r="AA553">
        <v>849661</v>
      </c>
      <c r="AB553">
        <v>1.32</v>
      </c>
    </row>
    <row r="554" spans="1:28">
      <c r="A554" s="2">
        <f>HYPERLINK("https://finance.naver.com/item/coinfo.nhn?code=002350", "A002350")</f>
        <v>0</v>
      </c>
      <c r="B554">
        <f>HYPERLINK("http://comp.fnguide.com/SVO2/ASP/SVD_Consensus.asp?pGB=1&amp;gicode=A002350&amp;cID=&amp;MenuYn=Y&amp;ReportGB=&amp;NewMenuID=108&amp;stkGb=701", "넥센타이어")</f>
        <v>0</v>
      </c>
      <c r="C554">
        <v>3</v>
      </c>
      <c r="D554">
        <v>6060</v>
      </c>
      <c r="E554">
        <v>-4.66</v>
      </c>
      <c r="F554">
        <v>8.039999999999999</v>
      </c>
      <c r="G554">
        <v>16461</v>
      </c>
      <c r="H554">
        <v>16282</v>
      </c>
      <c r="I554">
        <v>16231</v>
      </c>
      <c r="J554">
        <v>-171.63</v>
      </c>
      <c r="K554">
        <v>-168.68</v>
      </c>
      <c r="L554">
        <v>-167.84</v>
      </c>
      <c r="M554">
        <v>8.119999999999999</v>
      </c>
      <c r="N554" t="b">
        <v>1</v>
      </c>
      <c r="O554">
        <v>1135</v>
      </c>
      <c r="P554" t="s">
        <v>567</v>
      </c>
      <c r="Q554" t="s">
        <v>2741</v>
      </c>
      <c r="R554">
        <v>-1.72560887448977</v>
      </c>
      <c r="S554">
        <v>5919</v>
      </c>
      <c r="T554">
        <v>610875</v>
      </c>
      <c r="U554" t="s">
        <v>4539</v>
      </c>
      <c r="V554">
        <v>65.97</v>
      </c>
      <c r="W554" t="s">
        <v>6759</v>
      </c>
      <c r="X554" t="s">
        <v>8904</v>
      </c>
      <c r="Y554">
        <v>20223</v>
      </c>
      <c r="Z554">
        <v>2074</v>
      </c>
      <c r="AA554">
        <v>1504451</v>
      </c>
      <c r="AB554">
        <v>1.15</v>
      </c>
    </row>
    <row r="555" spans="1:28">
      <c r="A555" s="2">
        <f>HYPERLINK("https://finance.naver.com/item/coinfo.nhn?code=086960", "A086960")</f>
        <v>0</v>
      </c>
      <c r="B555">
        <f>HYPERLINK("http://comp.fnguide.com/SVO2/ASP/SVD_Consensus.asp?pGB=1&amp;gicode=A086960&amp;cID=&amp;MenuYn=Y&amp;ReportGB=&amp;NewMenuID=108&amp;stkGb=701", "한컴MDS")</f>
        <v>0</v>
      </c>
      <c r="C555">
        <v>3</v>
      </c>
      <c r="D555">
        <v>12750</v>
      </c>
      <c r="E555">
        <v>-0.55</v>
      </c>
      <c r="F555">
        <v>12.17</v>
      </c>
      <c r="G555">
        <v>12199</v>
      </c>
      <c r="H555">
        <v>13068</v>
      </c>
      <c r="I555">
        <v>13316</v>
      </c>
      <c r="J555">
        <v>4.32</v>
      </c>
      <c r="K555">
        <v>-2.49</v>
      </c>
      <c r="L555">
        <v>-4.44</v>
      </c>
      <c r="M555">
        <v>7.12</v>
      </c>
      <c r="N555" t="b">
        <v>1</v>
      </c>
      <c r="O555">
        <v>920</v>
      </c>
      <c r="P555" t="s">
        <v>568</v>
      </c>
      <c r="Q555" t="s">
        <v>2742</v>
      </c>
      <c r="R555">
        <v>-22.27733301113815</v>
      </c>
      <c r="S555">
        <v>1126</v>
      </c>
      <c r="T555">
        <v>139147</v>
      </c>
      <c r="U555" t="s">
        <v>4540</v>
      </c>
      <c r="V555">
        <v>32.54</v>
      </c>
      <c r="W555" t="s">
        <v>6760</v>
      </c>
      <c r="X555" t="s">
        <v>8905</v>
      </c>
      <c r="Y555">
        <v>1549</v>
      </c>
      <c r="Z555">
        <v>44</v>
      </c>
      <c r="AA555">
        <v>598803</v>
      </c>
    </row>
    <row r="556" spans="1:28">
      <c r="A556" s="2">
        <f>HYPERLINK("https://finance.naver.com/item/coinfo.nhn?code=054920", "A054920")</f>
        <v>0</v>
      </c>
      <c r="B556">
        <f>HYPERLINK("http://comp.fnguide.com/SVO2/ASP/SVD_Consensus.asp?pGB=1&amp;gicode=A054920&amp;cID=&amp;MenuYn=Y&amp;ReportGB=&amp;NewMenuID=108&amp;stkGb=701", "한컴위드")</f>
        <v>0</v>
      </c>
      <c r="C556">
        <v>3</v>
      </c>
      <c r="D556">
        <v>6050</v>
      </c>
      <c r="E556">
        <v>0</v>
      </c>
      <c r="F556">
        <v>1.46</v>
      </c>
      <c r="G556">
        <v>11861</v>
      </c>
      <c r="H556">
        <v>7744</v>
      </c>
      <c r="I556">
        <v>6570</v>
      </c>
      <c r="J556">
        <v>-96.05</v>
      </c>
      <c r="K556">
        <v>-27.99</v>
      </c>
      <c r="L556">
        <v>-8.6</v>
      </c>
      <c r="M556">
        <v>18.88</v>
      </c>
      <c r="N556" t="b">
        <v>1</v>
      </c>
      <c r="O556">
        <v>1903</v>
      </c>
      <c r="P556" t="s">
        <v>569</v>
      </c>
      <c r="Q556" t="s">
        <v>2743</v>
      </c>
      <c r="R556">
        <v>666.5666579914566</v>
      </c>
      <c r="S556">
        <v>1707</v>
      </c>
      <c r="T556">
        <v>262672</v>
      </c>
      <c r="U556" t="s">
        <v>4541</v>
      </c>
      <c r="V556">
        <v>31.37</v>
      </c>
      <c r="W556" t="s">
        <v>6761</v>
      </c>
      <c r="X556" t="s">
        <v>8906</v>
      </c>
      <c r="Y556">
        <v>158</v>
      </c>
      <c r="Z556">
        <v>-4</v>
      </c>
      <c r="AA556">
        <v>3398468</v>
      </c>
    </row>
    <row r="557" spans="1:28">
      <c r="A557" s="2">
        <f>HYPERLINK("https://finance.naver.com/item/coinfo.nhn?code=090350", "A090350")</f>
        <v>0</v>
      </c>
      <c r="B557">
        <f>HYPERLINK("http://comp.fnguide.com/SVO2/ASP/SVD_Consensus.asp?pGB=1&amp;gicode=A090350&amp;cID=&amp;MenuYn=Y&amp;ReportGB=&amp;NewMenuID=108&amp;stkGb=701", "노루페인트")</f>
        <v>0</v>
      </c>
      <c r="C557">
        <v>3</v>
      </c>
      <c r="D557">
        <v>7750</v>
      </c>
      <c r="E557">
        <v>-0.83</v>
      </c>
      <c r="F557">
        <v>8.82</v>
      </c>
      <c r="G557">
        <v>12348</v>
      </c>
      <c r="H557">
        <v>14614</v>
      </c>
      <c r="I557">
        <v>15260</v>
      </c>
      <c r="J557">
        <v>-59.33</v>
      </c>
      <c r="K557">
        <v>-88.56999999999999</v>
      </c>
      <c r="L557">
        <v>-96.90000000000001</v>
      </c>
      <c r="M557">
        <v>6.11</v>
      </c>
      <c r="N557" t="b">
        <v>1</v>
      </c>
      <c r="O557">
        <v>924</v>
      </c>
      <c r="P557" t="s">
        <v>570</v>
      </c>
      <c r="Q557" t="s">
        <v>2744</v>
      </c>
      <c r="R557">
        <v>-10.62807482935452</v>
      </c>
      <c r="S557">
        <v>1550</v>
      </c>
      <c r="T557">
        <v>95559</v>
      </c>
      <c r="U557" t="s">
        <v>4542</v>
      </c>
      <c r="V557">
        <v>53.21</v>
      </c>
      <c r="W557" t="s">
        <v>6762</v>
      </c>
      <c r="X557" t="s">
        <v>8907</v>
      </c>
      <c r="Y557">
        <v>6475</v>
      </c>
      <c r="Z557">
        <v>292</v>
      </c>
      <c r="AB557">
        <v>3.37</v>
      </c>
    </row>
    <row r="558" spans="1:28">
      <c r="A558" s="2">
        <f>HYPERLINK("https://finance.naver.com/item/coinfo.nhn?code=000860", "A000860")</f>
        <v>0</v>
      </c>
      <c r="B558">
        <f>HYPERLINK("http://comp.fnguide.com/SVO2/ASP/SVD_Consensus.asp?pGB=1&amp;gicode=A000860&amp;cID=&amp;MenuYn=Y&amp;ReportGB=&amp;NewMenuID=108&amp;stkGb=701", "강남제비스코")</f>
        <v>0</v>
      </c>
      <c r="C558">
        <v>3</v>
      </c>
      <c r="D558">
        <v>18500</v>
      </c>
      <c r="E558">
        <v>-0.55</v>
      </c>
      <c r="F558">
        <v>9.050000000000001</v>
      </c>
      <c r="G558">
        <v>48640</v>
      </c>
      <c r="H558">
        <v>68092</v>
      </c>
      <c r="I558">
        <v>73635</v>
      </c>
      <c r="J558">
        <v>-162.92</v>
      </c>
      <c r="K558">
        <v>-268.07</v>
      </c>
      <c r="L558">
        <v>-298.03</v>
      </c>
      <c r="M558">
        <v>4.78</v>
      </c>
      <c r="N558" t="b">
        <v>1</v>
      </c>
      <c r="O558">
        <v>2250</v>
      </c>
      <c r="P558" t="s">
        <v>571</v>
      </c>
      <c r="Q558" t="s">
        <v>2745</v>
      </c>
      <c r="R558">
        <v>-16.57590442475381</v>
      </c>
      <c r="S558">
        <v>1203</v>
      </c>
      <c r="T558">
        <v>21449</v>
      </c>
      <c r="U558" t="s">
        <v>4543</v>
      </c>
      <c r="V558">
        <v>50.74</v>
      </c>
      <c r="W558" t="s">
        <v>6763</v>
      </c>
      <c r="X558" t="s">
        <v>8908</v>
      </c>
      <c r="Y558">
        <v>3325</v>
      </c>
      <c r="Z558">
        <v>-20</v>
      </c>
      <c r="AB558">
        <v>2.46</v>
      </c>
    </row>
    <row r="559" spans="1:28">
      <c r="A559" s="2">
        <f>HYPERLINK("https://finance.naver.com/item/coinfo.nhn?code=000500", "A000500")</f>
        <v>0</v>
      </c>
      <c r="B559">
        <f>HYPERLINK("http://comp.fnguide.com/SVO2/ASP/SVD_Consensus.asp?pGB=1&amp;gicode=A000500&amp;cID=&amp;MenuYn=Y&amp;ReportGB=&amp;NewMenuID=108&amp;stkGb=701", "가온전선")</f>
        <v>0</v>
      </c>
      <c r="C559">
        <v>3</v>
      </c>
      <c r="D559">
        <v>22150</v>
      </c>
      <c r="E559">
        <v>0.49</v>
      </c>
      <c r="F559">
        <v>17.74</v>
      </c>
      <c r="G559">
        <v>9532</v>
      </c>
      <c r="H559">
        <v>43040</v>
      </c>
      <c r="I559">
        <v>52588</v>
      </c>
      <c r="J559">
        <v>56.97</v>
      </c>
      <c r="K559">
        <v>-94.31</v>
      </c>
      <c r="L559">
        <v>-137.42</v>
      </c>
      <c r="M559">
        <v>1.16</v>
      </c>
      <c r="N559" t="b">
        <v>1</v>
      </c>
      <c r="O559">
        <v>1314</v>
      </c>
      <c r="P559" t="s">
        <v>572</v>
      </c>
      <c r="Q559" t="s">
        <v>2746</v>
      </c>
      <c r="R559">
        <v>36.26042059411243</v>
      </c>
      <c r="S559">
        <v>922</v>
      </c>
      <c r="T559">
        <v>23575</v>
      </c>
      <c r="U559" t="s">
        <v>4544</v>
      </c>
      <c r="V559">
        <v>46.56</v>
      </c>
      <c r="W559" t="s">
        <v>6764</v>
      </c>
      <c r="X559" t="s">
        <v>8909</v>
      </c>
      <c r="Y559">
        <v>8303</v>
      </c>
      <c r="Z559">
        <v>71</v>
      </c>
      <c r="AA559">
        <v>229298</v>
      </c>
      <c r="AB559">
        <v>2.58</v>
      </c>
    </row>
    <row r="560" spans="1:28">
      <c r="A560" s="2">
        <f>HYPERLINK("https://finance.naver.com/item/coinfo.nhn?code=000320", "A000320")</f>
        <v>0</v>
      </c>
      <c r="B560">
        <f>HYPERLINK("http://comp.fnguide.com/SVO2/ASP/SVD_Consensus.asp?pGB=1&amp;gicode=A000320&amp;cID=&amp;MenuYn=Y&amp;ReportGB=&amp;NewMenuID=108&amp;stkGb=701", "노루홀딩스")</f>
        <v>0</v>
      </c>
      <c r="C560">
        <v>3</v>
      </c>
      <c r="D560">
        <v>9800</v>
      </c>
      <c r="E560">
        <v>-6.25</v>
      </c>
      <c r="F560">
        <v>36.82</v>
      </c>
      <c r="G560">
        <v>11512</v>
      </c>
      <c r="H560">
        <v>26045</v>
      </c>
      <c r="I560">
        <v>30186</v>
      </c>
      <c r="J560">
        <v>-17.47</v>
      </c>
      <c r="K560">
        <v>-165.76</v>
      </c>
      <c r="L560">
        <v>-208.02</v>
      </c>
      <c r="M560">
        <v>2.57</v>
      </c>
      <c r="N560" t="b">
        <v>0</v>
      </c>
      <c r="O560">
        <v>339</v>
      </c>
      <c r="P560" t="s">
        <v>573</v>
      </c>
      <c r="Q560" t="s">
        <v>2747</v>
      </c>
      <c r="R560">
        <v>-5.890484364331194</v>
      </c>
      <c r="S560">
        <v>1303</v>
      </c>
      <c r="T560">
        <v>7177</v>
      </c>
      <c r="U560" t="s">
        <v>4545</v>
      </c>
      <c r="V560">
        <v>46.42</v>
      </c>
      <c r="W560" t="s">
        <v>6765</v>
      </c>
      <c r="X560" t="s">
        <v>8910</v>
      </c>
      <c r="Y560">
        <v>8843</v>
      </c>
      <c r="Z560">
        <v>250</v>
      </c>
      <c r="AA560">
        <v>3058518</v>
      </c>
      <c r="AB560">
        <v>3.2</v>
      </c>
    </row>
    <row r="561" spans="1:28">
      <c r="A561" s="2">
        <f>HYPERLINK("https://finance.naver.com/item/coinfo.nhn?code=050540", "A050540")</f>
        <v>0</v>
      </c>
      <c r="B561">
        <f>HYPERLINK("http://comp.fnguide.com/SVO2/ASP/SVD_Consensus.asp?pGB=1&amp;gicode=A050540&amp;cID=&amp;MenuYn=Y&amp;ReportGB=&amp;NewMenuID=108&amp;stkGb=701", "한국코퍼레이션")</f>
        <v>0</v>
      </c>
      <c r="C561">
        <v>3</v>
      </c>
      <c r="D561">
        <v>282</v>
      </c>
      <c r="E561">
        <v>0</v>
      </c>
      <c r="G561">
        <v>26</v>
      </c>
      <c r="H561">
        <v>457</v>
      </c>
      <c r="I561">
        <v>580</v>
      </c>
      <c r="J561">
        <v>90.95</v>
      </c>
      <c r="K561">
        <v>-62.2</v>
      </c>
      <c r="L561">
        <v>-105.83</v>
      </c>
      <c r="M561">
        <v>0.27</v>
      </c>
      <c r="N561" t="b">
        <v>0</v>
      </c>
      <c r="O561">
        <v>-264</v>
      </c>
      <c r="P561" t="s">
        <v>574</v>
      </c>
      <c r="Q561" t="s">
        <v>2276</v>
      </c>
      <c r="R561">
        <v>0</v>
      </c>
      <c r="S561">
        <v>143</v>
      </c>
      <c r="T561">
        <v>0</v>
      </c>
      <c r="U561" t="s">
        <v>4546</v>
      </c>
      <c r="V561">
        <v>19.69</v>
      </c>
      <c r="W561" t="s">
        <v>6766</v>
      </c>
      <c r="X561" t="s">
        <v>8911</v>
      </c>
      <c r="Y561">
        <v>1215</v>
      </c>
      <c r="Z561">
        <v>-92</v>
      </c>
    </row>
    <row r="562" spans="1:28">
      <c r="A562" s="2">
        <f>HYPERLINK("https://finance.naver.com/item/coinfo.nhn?code=054040", "A054040")</f>
        <v>0</v>
      </c>
      <c r="B562">
        <f>HYPERLINK("http://comp.fnguide.com/SVO2/ASP/SVD_Consensus.asp?pGB=1&amp;gicode=A054040&amp;cID=&amp;MenuYn=Y&amp;ReportGB=&amp;NewMenuID=108&amp;stkGb=701", "한국컴퓨터")</f>
        <v>0</v>
      </c>
      <c r="C562">
        <v>3</v>
      </c>
      <c r="D562">
        <v>3015</v>
      </c>
      <c r="E562">
        <v>-0.08</v>
      </c>
      <c r="F562">
        <v>6.49</v>
      </c>
      <c r="G562">
        <v>3242</v>
      </c>
      <c r="H562">
        <v>4990</v>
      </c>
      <c r="I562">
        <v>5488</v>
      </c>
      <c r="J562">
        <v>-7.52</v>
      </c>
      <c r="K562">
        <v>-65.51000000000001</v>
      </c>
      <c r="L562">
        <v>-82.03</v>
      </c>
      <c r="M562">
        <v>4.2</v>
      </c>
      <c r="N562" t="b">
        <v>1</v>
      </c>
      <c r="O562">
        <v>472</v>
      </c>
      <c r="P562" t="s">
        <v>575</v>
      </c>
      <c r="Q562" t="s">
        <v>2748</v>
      </c>
      <c r="R562">
        <v>-79.13040489132577</v>
      </c>
      <c r="S562">
        <v>485</v>
      </c>
      <c r="T562">
        <v>311620</v>
      </c>
      <c r="U562" t="s">
        <v>4547</v>
      </c>
      <c r="V562">
        <v>42.11</v>
      </c>
      <c r="W562" t="s">
        <v>6767</v>
      </c>
      <c r="X562" t="s">
        <v>8912</v>
      </c>
      <c r="Y562">
        <v>1104</v>
      </c>
      <c r="Z562">
        <v>72</v>
      </c>
      <c r="AA562">
        <v>790656</v>
      </c>
      <c r="AB562">
        <v>4.25</v>
      </c>
    </row>
    <row r="563" spans="1:28">
      <c r="A563" s="2">
        <f>HYPERLINK("https://finance.naver.com/item/coinfo.nhn?code=072710", "A072710")</f>
        <v>0</v>
      </c>
      <c r="B563">
        <f>HYPERLINK("http://comp.fnguide.com/SVO2/ASP/SVD_Consensus.asp?pGB=1&amp;gicode=A072710&amp;cID=&amp;MenuYn=Y&amp;ReportGB=&amp;NewMenuID=108&amp;stkGb=701", "농심홀딩스")</f>
        <v>0</v>
      </c>
      <c r="C563">
        <v>3</v>
      </c>
      <c r="D563">
        <v>74400</v>
      </c>
      <c r="E563">
        <v>1.08</v>
      </c>
      <c r="F563">
        <v>9.949999999999999</v>
      </c>
      <c r="G563">
        <v>114206</v>
      </c>
      <c r="H563">
        <v>164865</v>
      </c>
      <c r="I563">
        <v>179301</v>
      </c>
      <c r="J563">
        <v>-53.5</v>
      </c>
      <c r="K563">
        <v>-121.59</v>
      </c>
      <c r="L563">
        <v>-141</v>
      </c>
      <c r="M563">
        <v>4.58</v>
      </c>
      <c r="N563" t="b">
        <v>0</v>
      </c>
      <c r="O563">
        <v>7887</v>
      </c>
      <c r="P563" t="s">
        <v>576</v>
      </c>
      <c r="Q563" t="s">
        <v>2749</v>
      </c>
      <c r="R563">
        <v>9.21675350840292</v>
      </c>
      <c r="S563">
        <v>3451</v>
      </c>
      <c r="T563">
        <v>7898</v>
      </c>
      <c r="U563" t="s">
        <v>4548</v>
      </c>
      <c r="V563">
        <v>66.59999999999999</v>
      </c>
      <c r="W563" t="s">
        <v>6768</v>
      </c>
      <c r="X563" t="s">
        <v>8913</v>
      </c>
      <c r="Y563">
        <v>5367</v>
      </c>
      <c r="Z563">
        <v>413</v>
      </c>
      <c r="AB563">
        <v>2.55</v>
      </c>
    </row>
    <row r="564" spans="1:28">
      <c r="A564" s="2">
        <f>HYPERLINK("https://finance.naver.com/item/coinfo.nhn?code=039340", "A039340")</f>
        <v>0</v>
      </c>
      <c r="B564">
        <f>HYPERLINK("http://comp.fnguide.com/SVO2/ASP/SVD_Consensus.asp?pGB=1&amp;gicode=A039340&amp;cID=&amp;MenuYn=Y&amp;ReportGB=&amp;NewMenuID=108&amp;stkGb=701", "한국경제TV")</f>
        <v>0</v>
      </c>
      <c r="C564">
        <v>3</v>
      </c>
      <c r="D564">
        <v>5860</v>
      </c>
      <c r="E564">
        <v>0.51</v>
      </c>
      <c r="F564">
        <v>7.22</v>
      </c>
      <c r="G564">
        <v>9373</v>
      </c>
      <c r="H564">
        <v>7061</v>
      </c>
      <c r="I564">
        <v>6402</v>
      </c>
      <c r="J564">
        <v>-59.94</v>
      </c>
      <c r="K564">
        <v>-20.49</v>
      </c>
      <c r="L564">
        <v>-9.25</v>
      </c>
      <c r="M564">
        <v>13.52</v>
      </c>
      <c r="N564" t="b">
        <v>1</v>
      </c>
      <c r="O564">
        <v>653</v>
      </c>
      <c r="P564" t="s">
        <v>577</v>
      </c>
      <c r="Q564" t="s">
        <v>2750</v>
      </c>
      <c r="R564">
        <v>14.23513047308114</v>
      </c>
      <c r="S564">
        <v>1348</v>
      </c>
      <c r="T564">
        <v>144619</v>
      </c>
      <c r="U564" t="s">
        <v>4549</v>
      </c>
      <c r="V564">
        <v>41.97</v>
      </c>
      <c r="W564" t="s">
        <v>6769</v>
      </c>
      <c r="X564" t="s">
        <v>8914</v>
      </c>
      <c r="Y564">
        <v>778</v>
      </c>
      <c r="Z564">
        <v>137</v>
      </c>
      <c r="AA564">
        <v>937408</v>
      </c>
      <c r="AB564">
        <v>1.91</v>
      </c>
    </row>
    <row r="565" spans="1:28">
      <c r="A565" s="2">
        <f>HYPERLINK("https://finance.naver.com/item/coinfo.nhn?code=058730", "A058730")</f>
        <v>0</v>
      </c>
      <c r="B565">
        <f>HYPERLINK("http://comp.fnguide.com/SVO2/ASP/SVD_Consensus.asp?pGB=1&amp;gicode=A058730&amp;cID=&amp;MenuYn=Y&amp;ReportGB=&amp;NewMenuID=108&amp;stkGb=701", "다스코")</f>
        <v>0</v>
      </c>
      <c r="C565">
        <v>3</v>
      </c>
      <c r="D565">
        <v>5300</v>
      </c>
      <c r="E565">
        <v>-1.68</v>
      </c>
      <c r="F565">
        <v>56.65</v>
      </c>
      <c r="G565">
        <v>8770</v>
      </c>
      <c r="H565">
        <v>8494</v>
      </c>
      <c r="I565">
        <v>8416</v>
      </c>
      <c r="J565">
        <v>-65.47</v>
      </c>
      <c r="K565">
        <v>-60.27</v>
      </c>
      <c r="L565">
        <v>-58.78</v>
      </c>
      <c r="M565">
        <v>8.41</v>
      </c>
      <c r="N565" t="b">
        <v>0</v>
      </c>
      <c r="O565">
        <v>123</v>
      </c>
      <c r="P565" t="s">
        <v>578</v>
      </c>
      <c r="Q565" t="s">
        <v>2751</v>
      </c>
      <c r="R565">
        <v>-33.75221795803066</v>
      </c>
      <c r="S565">
        <v>816</v>
      </c>
      <c r="T565">
        <v>129765</v>
      </c>
      <c r="U565" t="s">
        <v>4550</v>
      </c>
      <c r="V565">
        <v>40.94</v>
      </c>
      <c r="W565" t="s">
        <v>6770</v>
      </c>
      <c r="X565" t="s">
        <v>8915</v>
      </c>
      <c r="Y565">
        <v>2162</v>
      </c>
      <c r="Z565">
        <v>31</v>
      </c>
      <c r="AA565">
        <v>564090</v>
      </c>
    </row>
    <row r="566" spans="1:28">
      <c r="A566" s="2">
        <f>HYPERLINK("https://finance.naver.com/item/coinfo.nhn?code=023590", "A023590")</f>
        <v>0</v>
      </c>
      <c r="B566">
        <f>HYPERLINK("http://comp.fnguide.com/SVO2/ASP/SVD_Consensus.asp?pGB=1&amp;gicode=A023590&amp;cID=&amp;MenuYn=Y&amp;ReportGB=&amp;NewMenuID=108&amp;stkGb=701", "다우기술")</f>
        <v>0</v>
      </c>
      <c r="C566">
        <v>3</v>
      </c>
      <c r="D566">
        <v>23350</v>
      </c>
      <c r="E566">
        <v>0.18</v>
      </c>
      <c r="F566">
        <v>4.6</v>
      </c>
      <c r="G566">
        <v>48385</v>
      </c>
      <c r="H566">
        <v>37869</v>
      </c>
      <c r="I566">
        <v>34873</v>
      </c>
      <c r="J566">
        <v>-107.21</v>
      </c>
      <c r="K566">
        <v>-62.18</v>
      </c>
      <c r="L566">
        <v>-49.35</v>
      </c>
      <c r="M566">
        <v>12.49</v>
      </c>
      <c r="N566" t="b">
        <v>1</v>
      </c>
      <c r="O566">
        <v>4130</v>
      </c>
      <c r="P566" t="s">
        <v>579</v>
      </c>
      <c r="Q566" t="s">
        <v>2752</v>
      </c>
      <c r="R566">
        <v>25.21970313563479</v>
      </c>
      <c r="S566">
        <v>10476</v>
      </c>
      <c r="T566">
        <v>555628</v>
      </c>
      <c r="U566" t="s">
        <v>4551</v>
      </c>
      <c r="V566">
        <v>46.72</v>
      </c>
      <c r="W566" t="s">
        <v>6771</v>
      </c>
      <c r="X566" t="s">
        <v>8916</v>
      </c>
      <c r="Y566">
        <v>32455</v>
      </c>
      <c r="Z566">
        <v>5075</v>
      </c>
      <c r="AA566">
        <v>1600000</v>
      </c>
      <c r="AB566">
        <v>2.11</v>
      </c>
    </row>
    <row r="567" spans="1:28">
      <c r="A567" s="2">
        <f>HYPERLINK("https://finance.naver.com/item/coinfo.nhn?code=019680", "A019680")</f>
        <v>0</v>
      </c>
      <c r="B567">
        <f>HYPERLINK("http://comp.fnguide.com/SVO2/ASP/SVD_Consensus.asp?pGB=1&amp;gicode=A019680&amp;cID=&amp;MenuYn=Y&amp;ReportGB=&amp;NewMenuID=108&amp;stkGb=701", "대교")</f>
        <v>0</v>
      </c>
      <c r="C567">
        <v>3</v>
      </c>
      <c r="D567">
        <v>3660</v>
      </c>
      <c r="E567">
        <v>-1.74</v>
      </c>
      <c r="F567">
        <v>37.64</v>
      </c>
      <c r="G567">
        <v>3770</v>
      </c>
      <c r="H567">
        <v>6798</v>
      </c>
      <c r="I567">
        <v>7661</v>
      </c>
      <c r="J567">
        <v>-2.99</v>
      </c>
      <c r="K567">
        <v>-85.75</v>
      </c>
      <c r="L567">
        <v>-109.33</v>
      </c>
      <c r="M567">
        <v>3.41</v>
      </c>
      <c r="N567" t="b">
        <v>0</v>
      </c>
      <c r="O567">
        <v>162</v>
      </c>
      <c r="P567" t="s">
        <v>580</v>
      </c>
      <c r="Q567" t="s">
        <v>2753</v>
      </c>
      <c r="R567">
        <v>-21.64106572821695</v>
      </c>
      <c r="S567">
        <v>3100</v>
      </c>
      <c r="T567">
        <v>202086</v>
      </c>
      <c r="U567" t="s">
        <v>4552</v>
      </c>
      <c r="V567">
        <v>66.61</v>
      </c>
      <c r="W567" t="s">
        <v>6772</v>
      </c>
      <c r="X567" t="s">
        <v>8917</v>
      </c>
      <c r="Y567">
        <v>7619</v>
      </c>
      <c r="Z567">
        <v>294</v>
      </c>
      <c r="AA567">
        <v>15580084</v>
      </c>
      <c r="AB567">
        <v>2.79</v>
      </c>
    </row>
    <row r="568" spans="1:28">
      <c r="A568" s="2">
        <f>HYPERLINK("https://finance.naver.com/item/coinfo.nhn?code=006370", "A006370")</f>
        <v>0</v>
      </c>
      <c r="B568">
        <f>HYPERLINK("http://comp.fnguide.com/SVO2/ASP/SVD_Consensus.asp?pGB=1&amp;gicode=A006370&amp;cID=&amp;MenuYn=Y&amp;ReportGB=&amp;NewMenuID=108&amp;stkGb=701", "대구백화점")</f>
        <v>0</v>
      </c>
      <c r="C568">
        <v>3</v>
      </c>
      <c r="D568">
        <v>11100</v>
      </c>
      <c r="E568">
        <v>0</v>
      </c>
      <c r="G568">
        <v>0</v>
      </c>
      <c r="H568">
        <v>21375</v>
      </c>
      <c r="I568">
        <v>27466</v>
      </c>
      <c r="J568">
        <v>100</v>
      </c>
      <c r="K568">
        <v>-92.56999999999999</v>
      </c>
      <c r="L568">
        <v>-147.44</v>
      </c>
      <c r="M568">
        <v>0</v>
      </c>
      <c r="N568" t="b">
        <v>0</v>
      </c>
      <c r="O568">
        <v>-1837</v>
      </c>
      <c r="P568" t="s">
        <v>581</v>
      </c>
      <c r="Q568" t="s">
        <v>2276</v>
      </c>
      <c r="R568">
        <v>0</v>
      </c>
      <c r="S568">
        <v>1201</v>
      </c>
      <c r="T568">
        <v>7227</v>
      </c>
      <c r="U568" t="s">
        <v>4553</v>
      </c>
      <c r="V568">
        <v>24.6</v>
      </c>
      <c r="W568" t="s">
        <v>6773</v>
      </c>
      <c r="X568" t="s">
        <v>968</v>
      </c>
      <c r="Y568">
        <v>1015</v>
      </c>
      <c r="Z568">
        <v>-142</v>
      </c>
      <c r="AA568">
        <v>3100000</v>
      </c>
      <c r="AB568">
        <v>1.67</v>
      </c>
    </row>
    <row r="569" spans="1:28">
      <c r="A569" s="2">
        <f>HYPERLINK("https://finance.naver.com/item/coinfo.nhn?code=024070", "A024070")</f>
        <v>0</v>
      </c>
      <c r="B569">
        <f>HYPERLINK("http://comp.fnguide.com/SVO2/ASP/SVD_Consensus.asp?pGB=1&amp;gicode=A024070&amp;cID=&amp;MenuYn=Y&amp;ReportGB=&amp;NewMenuID=108&amp;stkGb=701", "WISCOM")</f>
        <v>0</v>
      </c>
      <c r="C569">
        <v>3</v>
      </c>
      <c r="D569">
        <v>2580</v>
      </c>
      <c r="E569">
        <v>-1.77</v>
      </c>
      <c r="F569">
        <v>37.89</v>
      </c>
      <c r="G569">
        <v>744</v>
      </c>
      <c r="H569">
        <v>4923</v>
      </c>
      <c r="I569">
        <v>6114</v>
      </c>
      <c r="J569">
        <v>71.17</v>
      </c>
      <c r="K569">
        <v>-90.81</v>
      </c>
      <c r="L569">
        <v>-136.96</v>
      </c>
      <c r="M569">
        <v>0.77</v>
      </c>
      <c r="N569" t="b">
        <v>1</v>
      </c>
      <c r="O569">
        <v>70</v>
      </c>
      <c r="P569" t="s">
        <v>582</v>
      </c>
      <c r="Q569" t="s">
        <v>2754</v>
      </c>
      <c r="R569">
        <v>-21.42303080536222</v>
      </c>
      <c r="S569">
        <v>395</v>
      </c>
      <c r="T569">
        <v>163460</v>
      </c>
      <c r="U569" t="s">
        <v>4554</v>
      </c>
      <c r="V569">
        <v>50.95</v>
      </c>
      <c r="W569" t="s">
        <v>6774</v>
      </c>
      <c r="X569" t="s">
        <v>8918</v>
      </c>
      <c r="Y569">
        <v>1155</v>
      </c>
      <c r="Z569">
        <v>8</v>
      </c>
      <c r="AB569">
        <v>1.88</v>
      </c>
    </row>
    <row r="570" spans="1:28">
      <c r="A570" s="2">
        <f>HYPERLINK("https://finance.naver.com/item/coinfo.nhn?code=002710", "A002710")</f>
        <v>0</v>
      </c>
      <c r="B570">
        <f>HYPERLINK("http://comp.fnguide.com/SVO2/ASP/SVD_Consensus.asp?pGB=1&amp;gicode=A002710&amp;cID=&amp;MenuYn=Y&amp;ReportGB=&amp;NewMenuID=108&amp;stkGb=701", "TCC스틸")</f>
        <v>0</v>
      </c>
      <c r="C570">
        <v>3</v>
      </c>
      <c r="D570">
        <v>4735</v>
      </c>
      <c r="E570">
        <v>-0.17</v>
      </c>
      <c r="F570">
        <v>12.4</v>
      </c>
      <c r="G570">
        <v>3560</v>
      </c>
      <c r="H570">
        <v>4505</v>
      </c>
      <c r="I570">
        <v>4775</v>
      </c>
      <c r="J570">
        <v>24.82</v>
      </c>
      <c r="K570">
        <v>4.85</v>
      </c>
      <c r="L570">
        <v>-0.84</v>
      </c>
      <c r="M570">
        <v>5.53</v>
      </c>
      <c r="N570" t="b">
        <v>1</v>
      </c>
      <c r="O570">
        <v>219</v>
      </c>
      <c r="P570" t="s">
        <v>583</v>
      </c>
      <c r="Q570" t="s">
        <v>2755</v>
      </c>
      <c r="R570">
        <v>-72.23379651203534</v>
      </c>
      <c r="S570">
        <v>1089</v>
      </c>
      <c r="T570">
        <v>1659988</v>
      </c>
      <c r="U570" t="s">
        <v>4555</v>
      </c>
      <c r="V570">
        <v>41.73</v>
      </c>
      <c r="W570" t="s">
        <v>6775</v>
      </c>
      <c r="X570" t="s">
        <v>8919</v>
      </c>
      <c r="Y570">
        <v>4372</v>
      </c>
      <c r="Z570">
        <v>129</v>
      </c>
      <c r="AA570">
        <v>306179</v>
      </c>
      <c r="AB570">
        <v>1.07</v>
      </c>
    </row>
    <row r="571" spans="1:28">
      <c r="A571" s="2">
        <f>HYPERLINK("https://finance.naver.com/item/coinfo.nhn?code=008060", "A008060")</f>
        <v>0</v>
      </c>
      <c r="B571">
        <f>HYPERLINK("http://comp.fnguide.com/SVO2/ASP/SVD_Consensus.asp?pGB=1&amp;gicode=A008060&amp;cID=&amp;MenuYn=Y&amp;ReportGB=&amp;NewMenuID=108&amp;stkGb=701", "대덕")</f>
        <v>0</v>
      </c>
      <c r="C571">
        <v>3</v>
      </c>
      <c r="D571">
        <v>6500</v>
      </c>
      <c r="E571">
        <v>0.32</v>
      </c>
      <c r="F571">
        <v>13.23</v>
      </c>
      <c r="G571">
        <v>62076</v>
      </c>
      <c r="H571">
        <v>43211</v>
      </c>
      <c r="I571">
        <v>37836</v>
      </c>
      <c r="J571">
        <v>-855.01</v>
      </c>
      <c r="K571">
        <v>-564.79</v>
      </c>
      <c r="L571">
        <v>-482.09</v>
      </c>
      <c r="M571">
        <v>16.13</v>
      </c>
      <c r="N571" t="b">
        <v>1</v>
      </c>
      <c r="O571">
        <v>794</v>
      </c>
      <c r="P571" t="s">
        <v>584</v>
      </c>
      <c r="Q571" t="s">
        <v>2756</v>
      </c>
      <c r="R571">
        <v>41.88293883293524</v>
      </c>
      <c r="S571">
        <v>2203</v>
      </c>
      <c r="T571">
        <v>204847</v>
      </c>
      <c r="U571" t="s">
        <v>4556</v>
      </c>
      <c r="V571">
        <v>43.32</v>
      </c>
      <c r="W571" t="s">
        <v>6776</v>
      </c>
      <c r="X571" t="s">
        <v>8920</v>
      </c>
      <c r="Y571">
        <v>10722</v>
      </c>
      <c r="Z571">
        <v>464</v>
      </c>
      <c r="AB571">
        <v>2.86</v>
      </c>
    </row>
    <row r="572" spans="1:28">
      <c r="A572" s="2">
        <f>HYPERLINK("https://finance.naver.com/item/coinfo.nhn?code=353200", "A353200")</f>
        <v>0</v>
      </c>
      <c r="B572">
        <f>HYPERLINK("http://comp.fnguide.com/SVO2/ASP/SVD_Consensus.asp?pGB=1&amp;gicode=A353200&amp;cID=&amp;MenuYn=Y&amp;ReportGB=&amp;NewMenuID=108&amp;stkGb=701", "대덕전자")</f>
        <v>0</v>
      </c>
      <c r="C572">
        <v>3</v>
      </c>
      <c r="D572">
        <v>10500</v>
      </c>
      <c r="E572">
        <v>0</v>
      </c>
      <c r="G572">
        <v>1718</v>
      </c>
      <c r="H572">
        <v>8635</v>
      </c>
      <c r="I572">
        <v>10606</v>
      </c>
      <c r="J572">
        <v>83.64</v>
      </c>
      <c r="K572">
        <v>17.76</v>
      </c>
      <c r="L572">
        <v>-1.01</v>
      </c>
      <c r="M572">
        <v>1.03</v>
      </c>
      <c r="N572" t="b">
        <v>0</v>
      </c>
      <c r="P572" t="s">
        <v>585</v>
      </c>
      <c r="Q572" t="s">
        <v>2757</v>
      </c>
      <c r="R572">
        <v>0</v>
      </c>
      <c r="S572">
        <v>5189</v>
      </c>
      <c r="T572">
        <v>543009</v>
      </c>
      <c r="U572" t="s">
        <v>4557</v>
      </c>
      <c r="V572">
        <v>32.85</v>
      </c>
      <c r="W572" t="s">
        <v>6777</v>
      </c>
      <c r="X572" t="s">
        <v>968</v>
      </c>
      <c r="AA572">
        <v>22703</v>
      </c>
    </row>
    <row r="573" spans="1:28">
      <c r="A573" s="2">
        <f>HYPERLINK("https://finance.naver.com/item/coinfo.nhn?code=000490", "A000490")</f>
        <v>0</v>
      </c>
      <c r="B573">
        <f>HYPERLINK("http://comp.fnguide.com/SVO2/ASP/SVD_Consensus.asp?pGB=1&amp;gicode=A000490&amp;cID=&amp;MenuYn=Y&amp;ReportGB=&amp;NewMenuID=108&amp;stkGb=701", "대동공업")</f>
        <v>0</v>
      </c>
      <c r="C573">
        <v>3</v>
      </c>
      <c r="D573">
        <v>6700</v>
      </c>
      <c r="E573">
        <v>-1.53</v>
      </c>
      <c r="F573">
        <v>43.33</v>
      </c>
      <c r="G573">
        <v>2176</v>
      </c>
      <c r="H573">
        <v>7072</v>
      </c>
      <c r="I573">
        <v>8467</v>
      </c>
      <c r="J573">
        <v>67.52</v>
      </c>
      <c r="K573">
        <v>-5.55</v>
      </c>
      <c r="L573">
        <v>-26.37</v>
      </c>
      <c r="M573">
        <v>1.68</v>
      </c>
      <c r="N573" t="b">
        <v>1</v>
      </c>
      <c r="O573">
        <v>131</v>
      </c>
      <c r="P573" t="s">
        <v>586</v>
      </c>
      <c r="Q573" t="s">
        <v>2758</v>
      </c>
      <c r="R573">
        <v>-28.30257013998559</v>
      </c>
      <c r="S573">
        <v>1590</v>
      </c>
      <c r="T573">
        <v>267437</v>
      </c>
      <c r="U573" t="s">
        <v>4558</v>
      </c>
      <c r="V573">
        <v>27.72</v>
      </c>
      <c r="W573" t="s">
        <v>6778</v>
      </c>
      <c r="X573" t="s">
        <v>8921</v>
      </c>
      <c r="Y573">
        <v>8329</v>
      </c>
      <c r="Z573">
        <v>245</v>
      </c>
      <c r="AA573">
        <v>3000000</v>
      </c>
      <c r="AB573">
        <v>1.06</v>
      </c>
    </row>
    <row r="574" spans="1:28">
      <c r="A574" s="2">
        <f>HYPERLINK("https://finance.naver.com/item/coinfo.nhn?code=008110", "A008110")</f>
        <v>0</v>
      </c>
      <c r="B574">
        <f>HYPERLINK("http://comp.fnguide.com/SVO2/ASP/SVD_Consensus.asp?pGB=1&amp;gicode=A008110&amp;cID=&amp;MenuYn=Y&amp;ReportGB=&amp;NewMenuID=108&amp;stkGb=701", "대동전자")</f>
        <v>0</v>
      </c>
      <c r="C574">
        <v>3</v>
      </c>
      <c r="D574">
        <v>4360</v>
      </c>
      <c r="E574">
        <v>0.21</v>
      </c>
      <c r="F574">
        <v>7.36</v>
      </c>
      <c r="G574">
        <v>5476</v>
      </c>
      <c r="H574">
        <v>12415</v>
      </c>
      <c r="I574">
        <v>14392</v>
      </c>
      <c r="J574">
        <v>-25.59</v>
      </c>
      <c r="K574">
        <v>-184.74</v>
      </c>
      <c r="L574">
        <v>-230.09</v>
      </c>
      <c r="M574">
        <v>2.56</v>
      </c>
      <c r="N574" t="b">
        <v>1</v>
      </c>
      <c r="O574">
        <v>419</v>
      </c>
      <c r="P574" t="s">
        <v>587</v>
      </c>
      <c r="Q574" t="s">
        <v>2759</v>
      </c>
      <c r="R574">
        <v>34.8310694122681</v>
      </c>
      <c r="S574">
        <v>457</v>
      </c>
      <c r="T574">
        <v>10250</v>
      </c>
      <c r="U574" t="s">
        <v>4559</v>
      </c>
      <c r="V574">
        <v>60.4</v>
      </c>
      <c r="W574" t="s">
        <v>6779</v>
      </c>
      <c r="X574" t="s">
        <v>8922</v>
      </c>
      <c r="Y574">
        <v>450</v>
      </c>
      <c r="Z574">
        <v>17</v>
      </c>
      <c r="AA574">
        <v>2320000</v>
      </c>
      <c r="AB574">
        <v>16.21</v>
      </c>
    </row>
    <row r="575" spans="1:28">
      <c r="A575" s="2">
        <f>HYPERLINK("https://finance.naver.com/item/coinfo.nhn?code=003920", "A003920")</f>
        <v>0</v>
      </c>
      <c r="B575">
        <f>HYPERLINK("http://comp.fnguide.com/SVO2/ASP/SVD_Consensus.asp?pGB=1&amp;gicode=A003920&amp;cID=&amp;MenuYn=Y&amp;ReportGB=&amp;NewMenuID=108&amp;stkGb=701", "남양유업")</f>
        <v>0</v>
      </c>
      <c r="C575">
        <v>3</v>
      </c>
      <c r="D575">
        <v>282500</v>
      </c>
      <c r="E575">
        <v>5.79</v>
      </c>
      <c r="F575">
        <v>13.33</v>
      </c>
      <c r="G575">
        <v>302253</v>
      </c>
      <c r="H575">
        <v>926993</v>
      </c>
      <c r="I575">
        <v>1105011</v>
      </c>
      <c r="J575">
        <v>-6.99</v>
      </c>
      <c r="K575">
        <v>-228.14</v>
      </c>
      <c r="L575">
        <v>-291.15</v>
      </c>
      <c r="M575">
        <v>1.79</v>
      </c>
      <c r="N575" t="b">
        <v>1</v>
      </c>
      <c r="O575">
        <v>32968</v>
      </c>
      <c r="P575" t="s">
        <v>588</v>
      </c>
      <c r="Q575" t="s">
        <v>2760</v>
      </c>
      <c r="R575">
        <v>2.303977827402326</v>
      </c>
      <c r="S575">
        <v>2034</v>
      </c>
      <c r="T575">
        <v>1817</v>
      </c>
      <c r="U575" t="s">
        <v>4560</v>
      </c>
      <c r="V575">
        <v>53.08</v>
      </c>
      <c r="W575" t="s">
        <v>6780</v>
      </c>
      <c r="X575" t="s">
        <v>8923</v>
      </c>
      <c r="Y575">
        <v>10308</v>
      </c>
      <c r="Z575">
        <v>4</v>
      </c>
      <c r="AA575">
        <v>40288</v>
      </c>
      <c r="AB575">
        <v>0.23</v>
      </c>
    </row>
    <row r="576" spans="1:28">
      <c r="A576" s="2">
        <f>HYPERLINK("https://finance.naver.com/item/coinfo.nhn?code=079170", "A079170")</f>
        <v>0</v>
      </c>
      <c r="B576">
        <f>HYPERLINK("http://comp.fnguide.com/SVO2/ASP/SVD_Consensus.asp?pGB=1&amp;gicode=A079170&amp;cID=&amp;MenuYn=Y&amp;ReportGB=&amp;NewMenuID=108&amp;stkGb=701", "한창산업")</f>
        <v>0</v>
      </c>
      <c r="C576">
        <v>3</v>
      </c>
      <c r="D576">
        <v>7690</v>
      </c>
      <c r="E576">
        <v>-23.63</v>
      </c>
      <c r="F576">
        <v>24.19</v>
      </c>
      <c r="G576">
        <v>3077</v>
      </c>
      <c r="H576">
        <v>7330</v>
      </c>
      <c r="I576">
        <v>8542</v>
      </c>
      <c r="J576">
        <v>59.99</v>
      </c>
      <c r="K576">
        <v>4.68</v>
      </c>
      <c r="L576">
        <v>-11.07</v>
      </c>
      <c r="M576">
        <v>2.42</v>
      </c>
      <c r="N576" t="b">
        <v>1</v>
      </c>
      <c r="O576">
        <v>226</v>
      </c>
      <c r="P576" t="s">
        <v>589</v>
      </c>
      <c r="Q576" t="s">
        <v>2761</v>
      </c>
      <c r="R576">
        <v>-1.023505753116738</v>
      </c>
      <c r="S576">
        <v>400</v>
      </c>
      <c r="T576">
        <v>59300</v>
      </c>
      <c r="U576" t="s">
        <v>4561</v>
      </c>
      <c r="V576">
        <v>56.58</v>
      </c>
      <c r="W576" t="s">
        <v>6781</v>
      </c>
      <c r="X576" t="s">
        <v>8924</v>
      </c>
      <c r="Y576">
        <v>654</v>
      </c>
      <c r="Z576">
        <v>10</v>
      </c>
      <c r="AA576">
        <v>30153</v>
      </c>
      <c r="AB576">
        <v>2.01</v>
      </c>
    </row>
    <row r="577" spans="1:28">
      <c r="A577" s="2">
        <f>HYPERLINK("https://finance.naver.com/item/coinfo.nhn?code=024110", "A024110")</f>
        <v>0</v>
      </c>
      <c r="B577">
        <f>HYPERLINK("http://comp.fnguide.com/SVO2/ASP/SVD_Consensus.asp?pGB=1&amp;gicode=A024110&amp;cID=&amp;MenuYn=Y&amp;ReportGB=&amp;NewMenuID=108&amp;stkGb=701", "기업은행")</f>
        <v>0</v>
      </c>
      <c r="C577">
        <v>3</v>
      </c>
      <c r="D577">
        <v>9590</v>
      </c>
      <c r="E577">
        <v>1.72</v>
      </c>
      <c r="F577">
        <v>4.93</v>
      </c>
      <c r="G577">
        <v>30346</v>
      </c>
      <c r="H577">
        <v>30546</v>
      </c>
      <c r="I577">
        <v>30603</v>
      </c>
      <c r="J577">
        <v>-216.43</v>
      </c>
      <c r="K577">
        <v>-218.52</v>
      </c>
      <c r="L577">
        <v>-219.12</v>
      </c>
      <c r="M577">
        <v>7.88</v>
      </c>
      <c r="N577" t="b">
        <v>0</v>
      </c>
      <c r="O577">
        <v>2393</v>
      </c>
      <c r="P577" t="s">
        <v>590</v>
      </c>
      <c r="Q577" t="s">
        <v>2762</v>
      </c>
      <c r="R577">
        <v>2.85981313209418</v>
      </c>
      <c r="S577">
        <v>70838</v>
      </c>
      <c r="T577">
        <v>2096022</v>
      </c>
      <c r="U577" t="s">
        <v>4562</v>
      </c>
      <c r="V577">
        <v>63.47</v>
      </c>
      <c r="W577" t="s">
        <v>6782</v>
      </c>
      <c r="X577" t="s">
        <v>8925</v>
      </c>
      <c r="Y577">
        <v>94885</v>
      </c>
      <c r="Z577">
        <v>22279</v>
      </c>
      <c r="AA577">
        <v>2</v>
      </c>
      <c r="AB577">
        <v>5.68</v>
      </c>
    </row>
    <row r="578" spans="1:28">
      <c r="A578" s="2">
        <f>HYPERLINK("https://finance.naver.com/item/coinfo.nhn?code=000270", "A000270")</f>
        <v>0</v>
      </c>
      <c r="B578">
        <f>HYPERLINK("http://comp.fnguide.com/SVO2/ASP/SVD_Consensus.asp?pGB=1&amp;gicode=A000270&amp;cID=&amp;MenuYn=Y&amp;ReportGB=&amp;NewMenuID=108&amp;stkGb=701", "기아차")</f>
        <v>0</v>
      </c>
      <c r="C578">
        <v>3</v>
      </c>
      <c r="D578">
        <v>65400</v>
      </c>
      <c r="E578">
        <v>-0.4</v>
      </c>
      <c r="F578">
        <v>9.83</v>
      </c>
      <c r="G578">
        <v>47852</v>
      </c>
      <c r="H578">
        <v>62527</v>
      </c>
      <c r="I578">
        <v>66709</v>
      </c>
      <c r="J578">
        <v>26.83</v>
      </c>
      <c r="K578">
        <v>4.39</v>
      </c>
      <c r="L578">
        <v>-2</v>
      </c>
      <c r="M578">
        <v>5.28</v>
      </c>
      <c r="N578" t="b">
        <v>1</v>
      </c>
      <c r="O578">
        <v>4506</v>
      </c>
      <c r="P578" t="s">
        <v>591</v>
      </c>
      <c r="Q578" t="s">
        <v>2763</v>
      </c>
      <c r="R578">
        <v>-24.45100125416975</v>
      </c>
      <c r="S578">
        <v>265108</v>
      </c>
      <c r="T578">
        <v>3866516</v>
      </c>
      <c r="U578" t="s">
        <v>4563</v>
      </c>
      <c r="V578">
        <v>35.62</v>
      </c>
      <c r="W578" t="s">
        <v>6783</v>
      </c>
      <c r="X578" t="s">
        <v>8926</v>
      </c>
      <c r="Y578">
        <v>581460</v>
      </c>
      <c r="Z578">
        <v>20097</v>
      </c>
      <c r="AA578">
        <v>4432084</v>
      </c>
      <c r="AB578">
        <v>2.6</v>
      </c>
    </row>
    <row r="579" spans="1:28">
      <c r="A579" s="2">
        <f>HYPERLINK("https://finance.naver.com/item/coinfo.nhn?code=017900", "A017900")</f>
        <v>0</v>
      </c>
      <c r="B579">
        <f>HYPERLINK("http://comp.fnguide.com/SVO2/ASP/SVD_Consensus.asp?pGB=1&amp;gicode=A017900&amp;cID=&amp;MenuYn=Y&amp;ReportGB=&amp;NewMenuID=108&amp;stkGb=701", "광전자")</f>
        <v>0</v>
      </c>
      <c r="C579">
        <v>3</v>
      </c>
      <c r="D579">
        <v>2330</v>
      </c>
      <c r="E579">
        <v>-0.65</v>
      </c>
      <c r="F579">
        <v>36.08</v>
      </c>
      <c r="G579">
        <v>1120</v>
      </c>
      <c r="H579">
        <v>3077</v>
      </c>
      <c r="I579">
        <v>3635</v>
      </c>
      <c r="J579">
        <v>51.94</v>
      </c>
      <c r="K579">
        <v>-32.08</v>
      </c>
      <c r="L579">
        <v>-56.02</v>
      </c>
      <c r="M579">
        <v>2.04</v>
      </c>
      <c r="N579" t="b">
        <v>0</v>
      </c>
      <c r="O579">
        <v>60</v>
      </c>
      <c r="P579" t="s">
        <v>592</v>
      </c>
      <c r="Q579" t="s">
        <v>2764</v>
      </c>
      <c r="R579">
        <v>-55.26957953286949</v>
      </c>
      <c r="S579">
        <v>1350</v>
      </c>
      <c r="T579">
        <v>411860</v>
      </c>
      <c r="U579" t="s">
        <v>4564</v>
      </c>
      <c r="V579">
        <v>55.48</v>
      </c>
      <c r="W579" t="s">
        <v>6784</v>
      </c>
      <c r="X579" t="s">
        <v>8927</v>
      </c>
      <c r="Y579">
        <v>1662</v>
      </c>
      <c r="Z579">
        <v>-15</v>
      </c>
      <c r="AA579">
        <v>7580000</v>
      </c>
      <c r="AB579">
        <v>2.32</v>
      </c>
    </row>
    <row r="580" spans="1:28">
      <c r="A580" s="2">
        <f>HYPERLINK("https://finance.naver.com/item/coinfo.nhn?code=037710", "A037710")</f>
        <v>0</v>
      </c>
      <c r="B580">
        <f>HYPERLINK("http://comp.fnguide.com/SVO2/ASP/SVD_Consensus.asp?pGB=1&amp;gicode=A037710&amp;cID=&amp;MenuYn=Y&amp;ReportGB=&amp;NewMenuID=108&amp;stkGb=701", "광주신세계")</f>
        <v>0</v>
      </c>
      <c r="C580">
        <v>3</v>
      </c>
      <c r="D580">
        <v>148000</v>
      </c>
      <c r="E580">
        <v>-2.23</v>
      </c>
      <c r="F580">
        <v>5.5</v>
      </c>
      <c r="G580">
        <v>399226</v>
      </c>
      <c r="H580">
        <v>408988</v>
      </c>
      <c r="I580">
        <v>411770</v>
      </c>
      <c r="J580">
        <v>-169.75</v>
      </c>
      <c r="K580">
        <v>-176.34</v>
      </c>
      <c r="L580">
        <v>-178.22</v>
      </c>
      <c r="M580">
        <v>7.66</v>
      </c>
      <c r="N580" t="b">
        <v>1</v>
      </c>
      <c r="O580">
        <v>29793</v>
      </c>
      <c r="P580" t="s">
        <v>593</v>
      </c>
      <c r="Q580" t="s">
        <v>2765</v>
      </c>
      <c r="R580">
        <v>-2.467067042194881</v>
      </c>
      <c r="S580">
        <v>2368</v>
      </c>
      <c r="T580">
        <v>17625</v>
      </c>
      <c r="U580" t="s">
        <v>4565</v>
      </c>
      <c r="V580">
        <v>62.5</v>
      </c>
      <c r="W580" t="s">
        <v>6785</v>
      </c>
      <c r="X580" t="s">
        <v>8928</v>
      </c>
      <c r="Y580">
        <v>1549</v>
      </c>
      <c r="Z580">
        <v>551</v>
      </c>
      <c r="AA580">
        <v>8562</v>
      </c>
      <c r="AB580">
        <v>2.13</v>
      </c>
    </row>
    <row r="581" spans="1:28">
      <c r="A581" s="2">
        <f>HYPERLINK("https://finance.naver.com/item/coinfo.nhn?code=030610", "A030610")</f>
        <v>0</v>
      </c>
      <c r="B581">
        <f>HYPERLINK("http://comp.fnguide.com/SVO2/ASP/SVD_Consensus.asp?pGB=1&amp;gicode=A030610&amp;cID=&amp;MenuYn=Y&amp;ReportGB=&amp;NewMenuID=108&amp;stkGb=701", "교보증권")</f>
        <v>0</v>
      </c>
      <c r="C581">
        <v>3</v>
      </c>
      <c r="D581">
        <v>8020</v>
      </c>
      <c r="E581">
        <v>0.44</v>
      </c>
      <c r="F581">
        <v>3.98</v>
      </c>
      <c r="G581">
        <v>17322</v>
      </c>
      <c r="H581">
        <v>15998</v>
      </c>
      <c r="I581">
        <v>15620</v>
      </c>
      <c r="J581">
        <v>-115.98</v>
      </c>
      <c r="K581">
        <v>-99.47</v>
      </c>
      <c r="L581">
        <v>-94.77</v>
      </c>
      <c r="M581">
        <v>9.130000000000001</v>
      </c>
      <c r="N581" t="b">
        <v>1</v>
      </c>
      <c r="O581">
        <v>2319</v>
      </c>
      <c r="P581" t="s">
        <v>594</v>
      </c>
      <c r="Q581" t="s">
        <v>2766</v>
      </c>
      <c r="R581">
        <v>9.079772519246077</v>
      </c>
      <c r="S581">
        <v>5185</v>
      </c>
      <c r="T581">
        <v>232377</v>
      </c>
      <c r="U581" t="s">
        <v>4566</v>
      </c>
      <c r="V581">
        <v>73.16</v>
      </c>
      <c r="W581" t="s">
        <v>6786</v>
      </c>
      <c r="X581" t="s">
        <v>8929</v>
      </c>
      <c r="Y581">
        <v>3064</v>
      </c>
      <c r="Z581">
        <v>1104</v>
      </c>
      <c r="AA581">
        <v>1093598</v>
      </c>
      <c r="AB581">
        <v>4.34</v>
      </c>
    </row>
    <row r="582" spans="1:28">
      <c r="A582" s="2">
        <f>HYPERLINK("https://finance.naver.com/item/coinfo.nhn?code=046110", "A046110")</f>
        <v>0</v>
      </c>
      <c r="B582">
        <f>HYPERLINK("http://comp.fnguide.com/SVO2/ASP/SVD_Consensus.asp?pGB=1&amp;gicode=A046110&amp;cID=&amp;MenuYn=Y&amp;ReportGB=&amp;NewMenuID=108&amp;stkGb=701", "한일네트웍스")</f>
        <v>0</v>
      </c>
      <c r="C582">
        <v>3</v>
      </c>
      <c r="D582">
        <v>4920</v>
      </c>
      <c r="E582">
        <v>0.26</v>
      </c>
      <c r="F582">
        <v>7.53</v>
      </c>
      <c r="G582">
        <v>9675</v>
      </c>
      <c r="H582">
        <v>7250</v>
      </c>
      <c r="I582">
        <v>6558</v>
      </c>
      <c r="J582">
        <v>-96.65000000000001</v>
      </c>
      <c r="K582">
        <v>-47.35</v>
      </c>
      <c r="L582">
        <v>-33.3</v>
      </c>
      <c r="M582">
        <v>13.68</v>
      </c>
      <c r="N582" t="b">
        <v>1</v>
      </c>
      <c r="O582">
        <v>589</v>
      </c>
      <c r="P582" t="s">
        <v>595</v>
      </c>
      <c r="Q582" t="s">
        <v>2767</v>
      </c>
      <c r="R582">
        <v>28.70544131727133</v>
      </c>
      <c r="S582">
        <v>588</v>
      </c>
      <c r="T582">
        <v>131705</v>
      </c>
      <c r="U582" t="s">
        <v>4567</v>
      </c>
      <c r="V582">
        <v>50.1</v>
      </c>
      <c r="W582" t="s">
        <v>6787</v>
      </c>
      <c r="X582" t="s">
        <v>8930</v>
      </c>
      <c r="Y582">
        <v>1216</v>
      </c>
      <c r="Z582">
        <v>87</v>
      </c>
      <c r="AB582">
        <v>5.19</v>
      </c>
    </row>
    <row r="583" spans="1:28">
      <c r="A583" s="2">
        <f>HYPERLINK("https://finance.naver.com/item/coinfo.nhn?code=007690", "A007690")</f>
        <v>0</v>
      </c>
      <c r="B583">
        <f>HYPERLINK("http://comp.fnguide.com/SVO2/ASP/SVD_Consensus.asp?pGB=1&amp;gicode=A007690&amp;cID=&amp;MenuYn=Y&amp;ReportGB=&amp;NewMenuID=108&amp;stkGb=701", "국도화학")</f>
        <v>0</v>
      </c>
      <c r="C583">
        <v>3</v>
      </c>
      <c r="D583">
        <v>56100</v>
      </c>
      <c r="E583">
        <v>-0.71</v>
      </c>
      <c r="F583">
        <v>7.9</v>
      </c>
      <c r="G583">
        <v>96896</v>
      </c>
      <c r="H583">
        <v>95668</v>
      </c>
      <c r="I583">
        <v>95319</v>
      </c>
      <c r="J583">
        <v>-72.72</v>
      </c>
      <c r="K583">
        <v>-70.53</v>
      </c>
      <c r="L583">
        <v>-69.91</v>
      </c>
      <c r="M583">
        <v>8.140000000000001</v>
      </c>
      <c r="N583" t="b">
        <v>1</v>
      </c>
      <c r="O583">
        <v>5958</v>
      </c>
      <c r="P583" t="s">
        <v>596</v>
      </c>
      <c r="Q583" t="s">
        <v>2768</v>
      </c>
      <c r="R583">
        <v>-11.05131788007191</v>
      </c>
      <c r="S583">
        <v>3260</v>
      </c>
      <c r="T583">
        <v>58485</v>
      </c>
      <c r="U583" t="s">
        <v>4568</v>
      </c>
      <c r="V583">
        <v>24.58</v>
      </c>
      <c r="W583" t="s">
        <v>6788</v>
      </c>
      <c r="X583" t="s">
        <v>8931</v>
      </c>
      <c r="Y583">
        <v>11214</v>
      </c>
      <c r="Z583">
        <v>421</v>
      </c>
      <c r="AA583">
        <v>364289</v>
      </c>
      <c r="AB583">
        <v>3.19</v>
      </c>
    </row>
    <row r="584" spans="1:28">
      <c r="A584" s="2">
        <f>HYPERLINK("https://finance.naver.com/item/coinfo.nhn?code=045100", "A045100")</f>
        <v>0</v>
      </c>
      <c r="B584">
        <f>HYPERLINK("http://comp.fnguide.com/SVO2/ASP/SVD_Consensus.asp?pGB=1&amp;gicode=A045100&amp;cID=&amp;MenuYn=Y&amp;ReportGB=&amp;NewMenuID=108&amp;stkGb=701", "한양이엔지")</f>
        <v>0</v>
      </c>
      <c r="C584">
        <v>3</v>
      </c>
      <c r="D584">
        <v>13500</v>
      </c>
      <c r="E584">
        <v>79.64</v>
      </c>
      <c r="F584">
        <v>7.5</v>
      </c>
      <c r="G584">
        <v>39047</v>
      </c>
      <c r="H584">
        <v>26893</v>
      </c>
      <c r="I584">
        <v>23430</v>
      </c>
      <c r="J584">
        <v>-189.23</v>
      </c>
      <c r="K584">
        <v>-99.20999999999999</v>
      </c>
      <c r="L584">
        <v>-73.56</v>
      </c>
      <c r="M584">
        <v>16.54</v>
      </c>
      <c r="N584" t="b">
        <v>0</v>
      </c>
      <c r="O584">
        <v>1641</v>
      </c>
      <c r="P584" t="s">
        <v>597</v>
      </c>
      <c r="Q584" t="s">
        <v>2769</v>
      </c>
      <c r="R584">
        <v>0.09416887656996664</v>
      </c>
      <c r="S584">
        <v>2430</v>
      </c>
      <c r="T584">
        <v>283155</v>
      </c>
      <c r="U584" t="s">
        <v>4569</v>
      </c>
      <c r="V584">
        <v>45.6</v>
      </c>
      <c r="W584" t="s">
        <v>6789</v>
      </c>
      <c r="X584" t="s">
        <v>8932</v>
      </c>
      <c r="Y584">
        <v>7721</v>
      </c>
      <c r="Z584">
        <v>334</v>
      </c>
      <c r="AA584">
        <v>602572</v>
      </c>
      <c r="AB584">
        <v>3.66</v>
      </c>
    </row>
    <row r="585" spans="1:28">
      <c r="A585" s="2">
        <f>HYPERLINK("https://finance.naver.com/item/coinfo.nhn?code=024740", "A024740")</f>
        <v>0</v>
      </c>
      <c r="B585">
        <f>HYPERLINK("http://comp.fnguide.com/SVO2/ASP/SVD_Consensus.asp?pGB=1&amp;gicode=A024740&amp;cID=&amp;MenuYn=Y&amp;ReportGB=&amp;NewMenuID=108&amp;stkGb=701", "한일단조")</f>
        <v>0</v>
      </c>
      <c r="C585">
        <v>3</v>
      </c>
      <c r="D585">
        <v>1905</v>
      </c>
      <c r="E585">
        <v>1</v>
      </c>
      <c r="F585">
        <v>15.68</v>
      </c>
      <c r="G585">
        <v>689</v>
      </c>
      <c r="H585">
        <v>2519</v>
      </c>
      <c r="I585">
        <v>3040</v>
      </c>
      <c r="J585">
        <v>63.85</v>
      </c>
      <c r="K585">
        <v>-32.21</v>
      </c>
      <c r="L585">
        <v>-59.58</v>
      </c>
      <c r="M585">
        <v>1.47</v>
      </c>
      <c r="N585" t="b">
        <v>1</v>
      </c>
      <c r="O585">
        <v>106</v>
      </c>
      <c r="P585" t="s">
        <v>598</v>
      </c>
      <c r="Q585" t="s">
        <v>2770</v>
      </c>
      <c r="R585">
        <v>15.7</v>
      </c>
      <c r="S585">
        <v>569</v>
      </c>
      <c r="T585">
        <v>802262</v>
      </c>
      <c r="U585" t="s">
        <v>4570</v>
      </c>
      <c r="V585">
        <v>31.24</v>
      </c>
      <c r="W585" t="s">
        <v>6790</v>
      </c>
      <c r="X585" t="s">
        <v>8933</v>
      </c>
      <c r="Y585">
        <v>1412</v>
      </c>
      <c r="Z585">
        <v>57</v>
      </c>
      <c r="AA585">
        <v>299794</v>
      </c>
    </row>
    <row r="586" spans="1:28">
      <c r="A586" s="2">
        <f>HYPERLINK("https://finance.naver.com/item/coinfo.nhn?code=002240", "A002240")</f>
        <v>0</v>
      </c>
      <c r="B586">
        <f>HYPERLINK("http://comp.fnguide.com/SVO2/ASP/SVD_Consensus.asp?pGB=1&amp;gicode=A002240&amp;cID=&amp;MenuYn=Y&amp;ReportGB=&amp;NewMenuID=108&amp;stkGb=701", "고려제강")</f>
        <v>0</v>
      </c>
      <c r="C586">
        <v>3</v>
      </c>
      <c r="D586">
        <v>15200</v>
      </c>
      <c r="E586">
        <v>-2.7</v>
      </c>
      <c r="F586">
        <v>41.18</v>
      </c>
      <c r="G586">
        <v>6349</v>
      </c>
      <c r="H586">
        <v>43902</v>
      </c>
      <c r="I586">
        <v>54602</v>
      </c>
      <c r="J586">
        <v>58.23</v>
      </c>
      <c r="K586">
        <v>-188.83</v>
      </c>
      <c r="L586">
        <v>-259.22</v>
      </c>
      <c r="M586">
        <v>0.73</v>
      </c>
      <c r="N586" t="b">
        <v>0</v>
      </c>
      <c r="O586">
        <v>499</v>
      </c>
      <c r="P586" t="s">
        <v>599</v>
      </c>
      <c r="Q586" t="s">
        <v>2771</v>
      </c>
      <c r="R586">
        <v>-15.26801839077763</v>
      </c>
      <c r="S586">
        <v>3040</v>
      </c>
      <c r="T586">
        <v>78925</v>
      </c>
      <c r="U586" t="s">
        <v>4571</v>
      </c>
      <c r="V586">
        <v>67.34999999999999</v>
      </c>
      <c r="W586" t="s">
        <v>6791</v>
      </c>
      <c r="X586" t="s">
        <v>8934</v>
      </c>
      <c r="Y586">
        <v>16397</v>
      </c>
      <c r="Z586">
        <v>317</v>
      </c>
      <c r="AA586">
        <v>5616</v>
      </c>
      <c r="AB586">
        <v>1.7</v>
      </c>
    </row>
    <row r="587" spans="1:28">
      <c r="A587" s="2">
        <f>HYPERLINK("https://finance.naver.com/item/coinfo.nhn?code=012200", "A012200")</f>
        <v>0</v>
      </c>
      <c r="B587">
        <f>HYPERLINK("http://comp.fnguide.com/SVO2/ASP/SVD_Consensus.asp?pGB=1&amp;gicode=A012200&amp;cID=&amp;MenuYn=Y&amp;ReportGB=&amp;NewMenuID=108&amp;stkGb=701", "계양전기")</f>
        <v>0</v>
      </c>
      <c r="C587">
        <v>3</v>
      </c>
      <c r="D587">
        <v>3370</v>
      </c>
      <c r="E587">
        <v>-16.18</v>
      </c>
      <c r="F587">
        <v>754.05</v>
      </c>
      <c r="G587">
        <v>1819</v>
      </c>
      <c r="H587">
        <v>4127</v>
      </c>
      <c r="I587">
        <v>4784</v>
      </c>
      <c r="J587">
        <v>46.02</v>
      </c>
      <c r="K587">
        <v>-22.45</v>
      </c>
      <c r="L587">
        <v>-41.96</v>
      </c>
      <c r="M587">
        <v>2.56</v>
      </c>
      <c r="N587" t="b">
        <v>0</v>
      </c>
      <c r="O587">
        <v>4</v>
      </c>
      <c r="P587" t="s">
        <v>600</v>
      </c>
      <c r="Q587" t="s">
        <v>2772</v>
      </c>
      <c r="R587">
        <v>-46.6012806311123</v>
      </c>
      <c r="S587">
        <v>1099</v>
      </c>
      <c r="T587">
        <v>249020</v>
      </c>
      <c r="U587" t="s">
        <v>4572</v>
      </c>
      <c r="V587">
        <v>44.11</v>
      </c>
      <c r="W587" t="s">
        <v>6792</v>
      </c>
      <c r="X587" t="s">
        <v>8935</v>
      </c>
      <c r="Y587">
        <v>3750</v>
      </c>
      <c r="Z587">
        <v>32</v>
      </c>
      <c r="AB587">
        <v>1.22</v>
      </c>
    </row>
    <row r="588" spans="1:28">
      <c r="A588" s="2">
        <f>HYPERLINK("https://finance.naver.com/item/coinfo.nhn?code=013580", "A013580")</f>
        <v>0</v>
      </c>
      <c r="B588">
        <f>HYPERLINK("http://comp.fnguide.com/SVO2/ASP/SVD_Consensus.asp?pGB=1&amp;gicode=A013580&amp;cID=&amp;MenuYn=Y&amp;ReportGB=&amp;NewMenuID=108&amp;stkGb=701", "계룡건설")</f>
        <v>0</v>
      </c>
      <c r="C588">
        <v>3</v>
      </c>
      <c r="D588">
        <v>26150</v>
      </c>
      <c r="E588">
        <v>0.06</v>
      </c>
      <c r="F588">
        <v>2.53</v>
      </c>
      <c r="G588">
        <v>124637</v>
      </c>
      <c r="H588">
        <v>80506</v>
      </c>
      <c r="I588">
        <v>67930</v>
      </c>
      <c r="J588">
        <v>-376.62</v>
      </c>
      <c r="K588">
        <v>-207.86</v>
      </c>
      <c r="L588">
        <v>-159.77</v>
      </c>
      <c r="M588">
        <v>19.41</v>
      </c>
      <c r="N588" t="b">
        <v>1</v>
      </c>
      <c r="O588">
        <v>8013</v>
      </c>
      <c r="P588" t="s">
        <v>601</v>
      </c>
      <c r="Q588" t="s">
        <v>2773</v>
      </c>
      <c r="R588">
        <v>43.82618766055091</v>
      </c>
      <c r="S588">
        <v>2335</v>
      </c>
      <c r="T588">
        <v>309020</v>
      </c>
      <c r="U588" t="s">
        <v>4573</v>
      </c>
      <c r="V588">
        <v>41.68</v>
      </c>
      <c r="W588" t="s">
        <v>6793</v>
      </c>
      <c r="X588" t="s">
        <v>8936</v>
      </c>
      <c r="Y588">
        <v>22757</v>
      </c>
      <c r="Z588">
        <v>1359</v>
      </c>
      <c r="AA588">
        <v>73110</v>
      </c>
      <c r="AB588">
        <v>2.96</v>
      </c>
    </row>
    <row r="589" spans="1:28">
      <c r="A589" s="2">
        <f>HYPERLINK("https://finance.naver.com/item/coinfo.nhn?code=014530", "A014530")</f>
        <v>0</v>
      </c>
      <c r="B589">
        <f>HYPERLINK("http://comp.fnguide.com/SVO2/ASP/SVD_Consensus.asp?pGB=1&amp;gicode=A014530&amp;cID=&amp;MenuYn=Y&amp;ReportGB=&amp;NewMenuID=108&amp;stkGb=701", "극동유화")</f>
        <v>0</v>
      </c>
      <c r="C589">
        <v>3</v>
      </c>
      <c r="D589">
        <v>3455</v>
      </c>
      <c r="E589">
        <v>-1.91</v>
      </c>
      <c r="F589">
        <v>8.369999999999999</v>
      </c>
      <c r="G589">
        <v>6046</v>
      </c>
      <c r="H589">
        <v>5415</v>
      </c>
      <c r="I589">
        <v>5235</v>
      </c>
      <c r="J589">
        <v>-74.98</v>
      </c>
      <c r="K589">
        <v>-56.72</v>
      </c>
      <c r="L589">
        <v>-51.52</v>
      </c>
      <c r="M589">
        <v>9.65</v>
      </c>
      <c r="N589" t="b">
        <v>1</v>
      </c>
      <c r="O589">
        <v>412</v>
      </c>
      <c r="P589" t="s">
        <v>602</v>
      </c>
      <c r="Q589" t="s">
        <v>2774</v>
      </c>
      <c r="R589">
        <v>-4.376553793836047</v>
      </c>
      <c r="S589">
        <v>1205</v>
      </c>
      <c r="T589">
        <v>146989</v>
      </c>
      <c r="U589" t="s">
        <v>4574</v>
      </c>
      <c r="V589">
        <v>43.36</v>
      </c>
      <c r="W589" t="s">
        <v>6794</v>
      </c>
      <c r="X589" t="s">
        <v>8937</v>
      </c>
      <c r="Y589">
        <v>7956</v>
      </c>
      <c r="Z589">
        <v>167</v>
      </c>
      <c r="AA589">
        <v>1200000</v>
      </c>
      <c r="AB589">
        <v>4.64</v>
      </c>
    </row>
    <row r="590" spans="1:28">
      <c r="A590" s="2">
        <f>HYPERLINK("https://finance.naver.com/item/coinfo.nhn?code=009140", "A009140")</f>
        <v>0</v>
      </c>
      <c r="B590">
        <f>HYPERLINK("http://comp.fnguide.com/SVO2/ASP/SVD_Consensus.asp?pGB=1&amp;gicode=A009140&amp;cID=&amp;MenuYn=Y&amp;ReportGB=&amp;NewMenuID=108&amp;stkGb=701", "경인전자")</f>
        <v>0</v>
      </c>
      <c r="C590">
        <v>3</v>
      </c>
      <c r="D590">
        <v>23550</v>
      </c>
      <c r="E590">
        <v>1.1</v>
      </c>
      <c r="F590">
        <v>133.14</v>
      </c>
      <c r="G590">
        <v>1182</v>
      </c>
      <c r="H590">
        <v>25634</v>
      </c>
      <c r="I590">
        <v>32601</v>
      </c>
      <c r="J590">
        <v>94.98</v>
      </c>
      <c r="K590">
        <v>-8.85</v>
      </c>
      <c r="L590">
        <v>-38.43</v>
      </c>
      <c r="M590">
        <v>0.23</v>
      </c>
      <c r="N590" t="b">
        <v>0</v>
      </c>
      <c r="O590">
        <v>155</v>
      </c>
      <c r="P590" t="s">
        <v>603</v>
      </c>
      <c r="Q590" t="s">
        <v>2775</v>
      </c>
      <c r="R590">
        <v>121.1</v>
      </c>
      <c r="S590">
        <v>370</v>
      </c>
      <c r="T590">
        <v>1611</v>
      </c>
      <c r="U590" t="s">
        <v>4575</v>
      </c>
      <c r="V590">
        <v>49.98</v>
      </c>
      <c r="W590" t="s">
        <v>6795</v>
      </c>
      <c r="X590" t="s">
        <v>8938</v>
      </c>
      <c r="Y590">
        <v>133</v>
      </c>
      <c r="Z590">
        <v>-16</v>
      </c>
      <c r="AA590">
        <v>269410</v>
      </c>
      <c r="AB590">
        <v>1.21</v>
      </c>
    </row>
    <row r="591" spans="1:28">
      <c r="A591" s="2">
        <f>HYPERLINK("https://finance.naver.com/item/coinfo.nhn?code=014280", "A014280")</f>
        <v>0</v>
      </c>
      <c r="B591">
        <f>HYPERLINK("http://comp.fnguide.com/SVO2/ASP/SVD_Consensus.asp?pGB=1&amp;gicode=A014280&amp;cID=&amp;MenuYn=Y&amp;ReportGB=&amp;NewMenuID=108&amp;stkGb=701", "금강공업")</f>
        <v>0</v>
      </c>
      <c r="C591">
        <v>3</v>
      </c>
      <c r="D591">
        <v>4710</v>
      </c>
      <c r="G591">
        <v>4657</v>
      </c>
      <c r="H591">
        <v>8760</v>
      </c>
      <c r="I591">
        <v>9929</v>
      </c>
      <c r="J591">
        <v>1.12</v>
      </c>
      <c r="K591">
        <v>-85.98999999999999</v>
      </c>
      <c r="L591">
        <v>-110.81</v>
      </c>
      <c r="M591">
        <v>3.23</v>
      </c>
      <c r="N591" t="b">
        <v>0</v>
      </c>
      <c r="O591">
        <v>-359</v>
      </c>
      <c r="P591" t="s">
        <v>604</v>
      </c>
      <c r="Q591" t="s">
        <v>2776</v>
      </c>
      <c r="R591">
        <v>117.1663252471217</v>
      </c>
      <c r="S591">
        <v>1232</v>
      </c>
      <c r="T591">
        <v>171901</v>
      </c>
      <c r="U591" t="s">
        <v>4576</v>
      </c>
      <c r="V591">
        <v>43.11</v>
      </c>
      <c r="W591" t="s">
        <v>6796</v>
      </c>
      <c r="X591" t="s">
        <v>8939</v>
      </c>
      <c r="Y591">
        <v>5497</v>
      </c>
      <c r="Z591">
        <v>26</v>
      </c>
      <c r="AA591">
        <v>2503820</v>
      </c>
      <c r="AB591">
        <v>2.1</v>
      </c>
    </row>
    <row r="592" spans="1:28">
      <c r="A592" s="2">
        <f>HYPERLINK("https://finance.naver.com/item/coinfo.nhn?code=008870", "A008870")</f>
        <v>0</v>
      </c>
      <c r="B592">
        <f>HYPERLINK("http://comp.fnguide.com/SVO2/ASP/SVD_Consensus.asp?pGB=1&amp;gicode=A008870&amp;cID=&amp;MenuYn=Y&amp;ReportGB=&amp;NewMenuID=108&amp;stkGb=701", "금비")</f>
        <v>0</v>
      </c>
      <c r="C592">
        <v>3</v>
      </c>
      <c r="D592">
        <v>60600</v>
      </c>
      <c r="E592">
        <v>-0.29</v>
      </c>
      <c r="F592">
        <v>9.81</v>
      </c>
      <c r="G592">
        <v>100398</v>
      </c>
      <c r="H592">
        <v>116896</v>
      </c>
      <c r="I592">
        <v>121597</v>
      </c>
      <c r="J592">
        <v>-65.67</v>
      </c>
      <c r="K592">
        <v>-92.90000000000001</v>
      </c>
      <c r="L592">
        <v>-100.66</v>
      </c>
      <c r="M592">
        <v>6.26</v>
      </c>
      <c r="N592" t="b">
        <v>1</v>
      </c>
      <c r="O592">
        <v>6547</v>
      </c>
      <c r="P592" t="s">
        <v>605</v>
      </c>
      <c r="Q592" t="s">
        <v>2777</v>
      </c>
      <c r="R592">
        <v>-34.39707342414943</v>
      </c>
      <c r="S592">
        <v>606</v>
      </c>
      <c r="T592">
        <v>1057</v>
      </c>
      <c r="U592" t="s">
        <v>4577</v>
      </c>
      <c r="V592">
        <v>56.48</v>
      </c>
      <c r="W592" t="s">
        <v>6797</v>
      </c>
      <c r="X592" t="s">
        <v>8940</v>
      </c>
      <c r="Y592">
        <v>2014</v>
      </c>
      <c r="Z592">
        <v>124</v>
      </c>
      <c r="AA592">
        <v>190500</v>
      </c>
      <c r="AB592">
        <v>2.65</v>
      </c>
    </row>
    <row r="593" spans="1:28">
      <c r="A593" s="2">
        <f>HYPERLINK("https://finance.naver.com/item/coinfo.nhn?code=007770", "A007770")</f>
        <v>0</v>
      </c>
      <c r="B593">
        <f>HYPERLINK("http://comp.fnguide.com/SVO2/ASP/SVD_Consensus.asp?pGB=1&amp;gicode=A007770&amp;cID=&amp;MenuYn=Y&amp;ReportGB=&amp;NewMenuID=108&amp;stkGb=701", "한일화학")</f>
        <v>0</v>
      </c>
      <c r="C593">
        <v>3</v>
      </c>
      <c r="D593">
        <v>9370</v>
      </c>
      <c r="E593">
        <v>20.12</v>
      </c>
      <c r="F593">
        <v>24.19</v>
      </c>
      <c r="G593">
        <v>8547</v>
      </c>
      <c r="H593">
        <v>19400</v>
      </c>
      <c r="I593">
        <v>22492</v>
      </c>
      <c r="J593">
        <v>8.779999999999999</v>
      </c>
      <c r="K593">
        <v>-107.04</v>
      </c>
      <c r="L593">
        <v>-140.04</v>
      </c>
      <c r="M593">
        <v>2.56</v>
      </c>
      <c r="N593" t="b">
        <v>1</v>
      </c>
      <c r="O593">
        <v>475</v>
      </c>
      <c r="P593" t="s">
        <v>606</v>
      </c>
      <c r="Q593" t="s">
        <v>2778</v>
      </c>
      <c r="R593">
        <v>1.202552273344848</v>
      </c>
      <c r="S593">
        <v>329</v>
      </c>
      <c r="T593">
        <v>11309</v>
      </c>
      <c r="U593" t="s">
        <v>4578</v>
      </c>
      <c r="V593">
        <v>69.53</v>
      </c>
      <c r="W593" t="s">
        <v>6798</v>
      </c>
      <c r="X593" t="s">
        <v>8941</v>
      </c>
      <c r="Y593">
        <v>1087</v>
      </c>
      <c r="Z593">
        <v>23</v>
      </c>
      <c r="AB593">
        <v>1.3</v>
      </c>
    </row>
    <row r="594" spans="1:28">
      <c r="A594" s="2">
        <f>HYPERLINK("https://finance.naver.com/item/coinfo.nhn?code=000050", "A000050")</f>
        <v>0</v>
      </c>
      <c r="B594">
        <f>HYPERLINK("http://comp.fnguide.com/SVO2/ASP/SVD_Consensus.asp?pGB=1&amp;gicode=A000050&amp;cID=&amp;MenuYn=Y&amp;ReportGB=&amp;NewMenuID=108&amp;stkGb=701", "경방")</f>
        <v>0</v>
      </c>
      <c r="C594">
        <v>3</v>
      </c>
      <c r="D594">
        <v>11700</v>
      </c>
      <c r="E594">
        <v>0.21</v>
      </c>
      <c r="F594">
        <v>5.83</v>
      </c>
      <c r="G594">
        <v>16357</v>
      </c>
      <c r="H594">
        <v>23657</v>
      </c>
      <c r="I594">
        <v>25737</v>
      </c>
      <c r="J594">
        <v>-39.81</v>
      </c>
      <c r="K594">
        <v>-102.2</v>
      </c>
      <c r="L594">
        <v>-119.97</v>
      </c>
      <c r="M594">
        <v>4.57</v>
      </c>
      <c r="N594" t="b">
        <v>1</v>
      </c>
      <c r="O594">
        <v>1591</v>
      </c>
      <c r="P594" t="s">
        <v>607</v>
      </c>
      <c r="Q594" t="s">
        <v>2779</v>
      </c>
      <c r="R594">
        <v>28.42494628332395</v>
      </c>
      <c r="S594">
        <v>3208</v>
      </c>
      <c r="T594">
        <v>38387</v>
      </c>
      <c r="U594" t="s">
        <v>4579</v>
      </c>
      <c r="V594">
        <v>59.02</v>
      </c>
      <c r="W594" t="s">
        <v>6799</v>
      </c>
      <c r="X594" t="s">
        <v>8942</v>
      </c>
      <c r="Y594">
        <v>3439</v>
      </c>
      <c r="Z594">
        <v>320</v>
      </c>
      <c r="AA594">
        <v>1400000</v>
      </c>
      <c r="AB594">
        <v>1.35</v>
      </c>
    </row>
    <row r="595" spans="1:28">
      <c r="A595" s="2">
        <f>HYPERLINK("https://finance.naver.com/item/coinfo.nhn?code=002990", "A002990")</f>
        <v>0</v>
      </c>
      <c r="B595">
        <f>HYPERLINK("http://comp.fnguide.com/SVO2/ASP/SVD_Consensus.asp?pGB=1&amp;gicode=A002990&amp;cID=&amp;MenuYn=Y&amp;ReportGB=&amp;NewMenuID=108&amp;stkGb=701", "금호산업")</f>
        <v>0</v>
      </c>
      <c r="C595">
        <v>3</v>
      </c>
      <c r="D595">
        <v>9150</v>
      </c>
      <c r="E595">
        <v>0.05</v>
      </c>
      <c r="F595">
        <v>35.65</v>
      </c>
      <c r="G595">
        <v>8115</v>
      </c>
      <c r="H595">
        <v>9598</v>
      </c>
      <c r="I595">
        <v>10021</v>
      </c>
      <c r="J595">
        <v>11.31</v>
      </c>
      <c r="K595">
        <v>-4.9</v>
      </c>
      <c r="L595">
        <v>-9.51</v>
      </c>
      <c r="M595">
        <v>6.11</v>
      </c>
      <c r="N595" t="b">
        <v>0</v>
      </c>
      <c r="O595">
        <v>323</v>
      </c>
      <c r="P595" t="s">
        <v>608</v>
      </c>
      <c r="Q595" t="s">
        <v>2780</v>
      </c>
      <c r="R595">
        <v>761.7646430435633</v>
      </c>
      <c r="S595">
        <v>3352</v>
      </c>
      <c r="T595">
        <v>336962</v>
      </c>
      <c r="U595" t="s">
        <v>4580</v>
      </c>
      <c r="V595">
        <v>48.03</v>
      </c>
      <c r="W595" t="s">
        <v>6800</v>
      </c>
      <c r="X595" t="s">
        <v>8943</v>
      </c>
      <c r="Y595">
        <v>15977</v>
      </c>
      <c r="Z595">
        <v>555</v>
      </c>
      <c r="AA595">
        <v>1058229</v>
      </c>
      <c r="AB595">
        <v>4.35</v>
      </c>
    </row>
    <row r="596" spans="1:28">
      <c r="A596" s="2">
        <f>HYPERLINK("https://finance.naver.com/item/coinfo.nhn?code=012320", "A012320")</f>
        <v>0</v>
      </c>
      <c r="B596">
        <f>HYPERLINK("http://comp.fnguide.com/SVO2/ASP/SVD_Consensus.asp?pGB=1&amp;gicode=A012320&amp;cID=&amp;MenuYn=Y&amp;ReportGB=&amp;NewMenuID=108&amp;stkGb=701", "경동인베스트")</f>
        <v>0</v>
      </c>
      <c r="C596">
        <v>3</v>
      </c>
      <c r="D596">
        <v>29250</v>
      </c>
      <c r="E596">
        <v>-0.58</v>
      </c>
      <c r="F596">
        <v>9.52</v>
      </c>
      <c r="G596">
        <v>127513</v>
      </c>
      <c r="H596">
        <v>162972</v>
      </c>
      <c r="I596">
        <v>173076</v>
      </c>
      <c r="J596">
        <v>-335.94</v>
      </c>
      <c r="K596">
        <v>-457.17</v>
      </c>
      <c r="L596">
        <v>-491.71</v>
      </c>
      <c r="M596">
        <v>5.45</v>
      </c>
      <c r="N596" t="b">
        <v>0</v>
      </c>
      <c r="O596">
        <v>3850</v>
      </c>
      <c r="P596" t="s">
        <v>609</v>
      </c>
      <c r="Q596" t="s">
        <v>2781</v>
      </c>
      <c r="R596">
        <v>-16.54252365943985</v>
      </c>
      <c r="S596">
        <v>692</v>
      </c>
      <c r="T596">
        <v>3729</v>
      </c>
      <c r="U596" t="s">
        <v>4581</v>
      </c>
      <c r="V596">
        <v>54.29</v>
      </c>
      <c r="W596" t="s">
        <v>6801</v>
      </c>
      <c r="X596" t="s">
        <v>8944</v>
      </c>
      <c r="Y596">
        <v>2718</v>
      </c>
      <c r="Z596">
        <v>220</v>
      </c>
      <c r="AA596">
        <v>184671</v>
      </c>
      <c r="AB596">
        <v>1.36</v>
      </c>
    </row>
    <row r="597" spans="1:28">
      <c r="A597" s="2">
        <f>HYPERLINK("https://finance.naver.com/item/coinfo.nhn?code=092460", "A092460")</f>
        <v>0</v>
      </c>
      <c r="B597">
        <f>HYPERLINK("http://comp.fnguide.com/SVO2/ASP/SVD_Consensus.asp?pGB=1&amp;gicode=A092460&amp;cID=&amp;MenuYn=Y&amp;ReportGB=&amp;NewMenuID=108&amp;stkGb=701", "한라IMS")</f>
        <v>0</v>
      </c>
      <c r="C597">
        <v>3</v>
      </c>
      <c r="D597">
        <v>6420</v>
      </c>
      <c r="E597">
        <v>-1.65</v>
      </c>
      <c r="F597">
        <v>20.21</v>
      </c>
      <c r="G597">
        <v>4035</v>
      </c>
      <c r="H597">
        <v>6079</v>
      </c>
      <c r="I597">
        <v>6662</v>
      </c>
      <c r="J597">
        <v>37.16</v>
      </c>
      <c r="K597">
        <v>5.31</v>
      </c>
      <c r="L597">
        <v>-3.77</v>
      </c>
      <c r="M597">
        <v>4.32</v>
      </c>
      <c r="N597" t="b">
        <v>1</v>
      </c>
      <c r="O597">
        <v>375</v>
      </c>
      <c r="P597" t="s">
        <v>610</v>
      </c>
      <c r="Q597" t="s">
        <v>2782</v>
      </c>
      <c r="R597">
        <v>-12.28355512391347</v>
      </c>
      <c r="S597">
        <v>754</v>
      </c>
      <c r="T597">
        <v>59967</v>
      </c>
      <c r="U597" t="s">
        <v>4582</v>
      </c>
      <c r="V597">
        <v>56.93</v>
      </c>
      <c r="W597" t="s">
        <v>6802</v>
      </c>
      <c r="X597" t="s">
        <v>8945</v>
      </c>
      <c r="Y597">
        <v>484</v>
      </c>
      <c r="Z597">
        <v>12</v>
      </c>
      <c r="AA597">
        <v>867954</v>
      </c>
      <c r="AB597">
        <v>1.32</v>
      </c>
    </row>
    <row r="598" spans="1:28">
      <c r="A598" s="2">
        <f>HYPERLINK("https://finance.naver.com/item/coinfo.nhn?code=267290", "A267290")</f>
        <v>0</v>
      </c>
      <c r="B598">
        <f>HYPERLINK("http://comp.fnguide.com/SVO2/ASP/SVD_Consensus.asp?pGB=1&amp;gicode=A267290&amp;cID=&amp;MenuYn=Y&amp;ReportGB=&amp;NewMenuID=108&amp;stkGb=701", "경동도시가스")</f>
        <v>0</v>
      </c>
      <c r="C598">
        <v>3</v>
      </c>
      <c r="D598">
        <v>18300</v>
      </c>
      <c r="E598">
        <v>0</v>
      </c>
      <c r="F598">
        <v>5.1</v>
      </c>
      <c r="G598">
        <v>53671</v>
      </c>
      <c r="H598">
        <v>56023</v>
      </c>
      <c r="I598">
        <v>56693</v>
      </c>
      <c r="J598">
        <v>-193.29</v>
      </c>
      <c r="K598">
        <v>-206.14</v>
      </c>
      <c r="L598">
        <v>-209.8</v>
      </c>
      <c r="M598">
        <v>7.43</v>
      </c>
      <c r="N598" t="b">
        <v>0</v>
      </c>
      <c r="O598">
        <v>4163</v>
      </c>
      <c r="P598" t="s">
        <v>611</v>
      </c>
      <c r="Q598" t="s">
        <v>2783</v>
      </c>
      <c r="R598">
        <v>0</v>
      </c>
      <c r="S598">
        <v>1079</v>
      </c>
      <c r="T598">
        <v>50572</v>
      </c>
      <c r="U598" t="s">
        <v>4583</v>
      </c>
      <c r="V598">
        <v>52.28</v>
      </c>
      <c r="W598" t="s">
        <v>6803</v>
      </c>
      <c r="X598" t="s">
        <v>8946</v>
      </c>
      <c r="Y598">
        <v>14227</v>
      </c>
      <c r="Z598">
        <v>281</v>
      </c>
      <c r="AA598">
        <v>4979</v>
      </c>
      <c r="AB598">
        <v>4.12</v>
      </c>
    </row>
    <row r="599" spans="1:28">
      <c r="A599" s="2">
        <f>HYPERLINK("https://finance.naver.com/item/coinfo.nhn?code=092440", "A092440")</f>
        <v>0</v>
      </c>
      <c r="B599">
        <f>HYPERLINK("http://comp.fnguide.com/SVO2/ASP/SVD_Consensus.asp?pGB=1&amp;gicode=A092440&amp;cID=&amp;MenuYn=Y&amp;ReportGB=&amp;NewMenuID=108&amp;stkGb=701", "기신정기")</f>
        <v>0</v>
      </c>
      <c r="C599">
        <v>3</v>
      </c>
      <c r="D599">
        <v>3655</v>
      </c>
      <c r="E599">
        <v>-2.75</v>
      </c>
      <c r="F599">
        <v>9.66</v>
      </c>
      <c r="G599">
        <v>4785</v>
      </c>
      <c r="H599">
        <v>6791</v>
      </c>
      <c r="I599">
        <v>7362</v>
      </c>
      <c r="J599">
        <v>-30.92</v>
      </c>
      <c r="K599">
        <v>-85.8</v>
      </c>
      <c r="L599">
        <v>-101.43</v>
      </c>
      <c r="M599">
        <v>4.7</v>
      </c>
      <c r="N599" t="b">
        <v>1</v>
      </c>
      <c r="O599">
        <v>298</v>
      </c>
      <c r="P599" t="s">
        <v>612</v>
      </c>
      <c r="Q599" t="s">
        <v>2784</v>
      </c>
      <c r="R599">
        <v>-3.518234660712716</v>
      </c>
      <c r="S599">
        <v>1067</v>
      </c>
      <c r="T599">
        <v>73752</v>
      </c>
      <c r="U599" t="s">
        <v>4584</v>
      </c>
      <c r="V599">
        <v>71.95</v>
      </c>
      <c r="W599" t="s">
        <v>6804</v>
      </c>
      <c r="X599" t="s">
        <v>8947</v>
      </c>
      <c r="Y599">
        <v>1246</v>
      </c>
      <c r="Z599">
        <v>93</v>
      </c>
      <c r="AB599">
        <v>5.22</v>
      </c>
    </row>
    <row r="600" spans="1:28">
      <c r="A600" s="2">
        <f>HYPERLINK("https://finance.naver.com/item/coinfo.nhn?code=005750", "A005750")</f>
        <v>0</v>
      </c>
      <c r="B600">
        <f>HYPERLINK("http://comp.fnguide.com/SVO2/ASP/SVD_Consensus.asp?pGB=1&amp;gicode=A005750&amp;cID=&amp;MenuYn=Y&amp;ReportGB=&amp;NewMenuID=108&amp;stkGb=701", "대림B&amp;Co")</f>
        <v>0</v>
      </c>
      <c r="C600">
        <v>3</v>
      </c>
      <c r="D600">
        <v>5900</v>
      </c>
      <c r="E600">
        <v>-1.08</v>
      </c>
      <c r="F600">
        <v>31.62</v>
      </c>
      <c r="G600">
        <v>2858</v>
      </c>
      <c r="H600">
        <v>7079</v>
      </c>
      <c r="I600">
        <v>8281</v>
      </c>
      <c r="J600">
        <v>51.56</v>
      </c>
      <c r="K600">
        <v>-19.98</v>
      </c>
      <c r="L600">
        <v>-40.36</v>
      </c>
      <c r="M600">
        <v>2.31</v>
      </c>
      <c r="N600" t="b">
        <v>0</v>
      </c>
      <c r="O600">
        <v>132</v>
      </c>
      <c r="P600" t="s">
        <v>613</v>
      </c>
      <c r="Q600" t="s">
        <v>2785</v>
      </c>
      <c r="R600">
        <v>-29.33461860966777</v>
      </c>
      <c r="S600">
        <v>984</v>
      </c>
      <c r="T600">
        <v>29560</v>
      </c>
      <c r="U600" t="s">
        <v>4585</v>
      </c>
      <c r="V600">
        <v>49.87</v>
      </c>
      <c r="W600" t="s">
        <v>6805</v>
      </c>
      <c r="X600" t="s">
        <v>8948</v>
      </c>
      <c r="Y600">
        <v>2364</v>
      </c>
      <c r="Z600">
        <v>41</v>
      </c>
      <c r="AA600">
        <v>461744</v>
      </c>
      <c r="AB600">
        <v>3.11</v>
      </c>
    </row>
    <row r="601" spans="1:28">
      <c r="A601" s="2">
        <f>HYPERLINK("https://finance.naver.com/item/coinfo.nhn?code=000210", "A000210")</f>
        <v>0</v>
      </c>
      <c r="B601">
        <f>HYPERLINK("http://comp.fnguide.com/SVO2/ASP/SVD_Consensus.asp?pGB=1&amp;gicode=A000210&amp;cID=&amp;MenuYn=Y&amp;ReportGB=&amp;NewMenuID=108&amp;stkGb=701", "대림산업")</f>
        <v>0</v>
      </c>
      <c r="C601">
        <v>3</v>
      </c>
      <c r="D601">
        <v>85200</v>
      </c>
      <c r="E601">
        <v>0.18</v>
      </c>
      <c r="F601">
        <v>5.25</v>
      </c>
      <c r="G601">
        <v>250103</v>
      </c>
      <c r="H601">
        <v>202342</v>
      </c>
      <c r="I601">
        <v>188733</v>
      </c>
      <c r="J601">
        <v>-193.55</v>
      </c>
      <c r="K601">
        <v>-137.49</v>
      </c>
      <c r="L601">
        <v>-121.52</v>
      </c>
      <c r="M601">
        <v>11.68</v>
      </c>
      <c r="N601" t="b">
        <v>1</v>
      </c>
      <c r="O601">
        <v>17228</v>
      </c>
      <c r="P601" t="s">
        <v>614</v>
      </c>
      <c r="Q601" t="s">
        <v>2786</v>
      </c>
      <c r="R601">
        <v>29.31596135023273</v>
      </c>
      <c r="S601">
        <v>29650</v>
      </c>
      <c r="T601">
        <v>956510</v>
      </c>
      <c r="U601" t="s">
        <v>4586</v>
      </c>
      <c r="V601">
        <v>23.12</v>
      </c>
      <c r="W601" t="s">
        <v>6806</v>
      </c>
      <c r="X601" t="s">
        <v>8949</v>
      </c>
      <c r="Y601">
        <v>97001</v>
      </c>
      <c r="Z601">
        <v>11301</v>
      </c>
      <c r="AB601">
        <v>1.44</v>
      </c>
    </row>
    <row r="602" spans="1:28">
      <c r="A602" s="2">
        <f>HYPERLINK("https://finance.naver.com/item/coinfo.nhn?code=006570", "A006570")</f>
        <v>0</v>
      </c>
      <c r="B602">
        <f>HYPERLINK("http://comp.fnguide.com/SVO2/ASP/SVD_Consensus.asp?pGB=1&amp;gicode=A006570&amp;cID=&amp;MenuYn=Y&amp;ReportGB=&amp;NewMenuID=108&amp;stkGb=701", "대림통상")</f>
        <v>0</v>
      </c>
      <c r="C602">
        <v>3</v>
      </c>
      <c r="D602">
        <v>3975</v>
      </c>
      <c r="E602">
        <v>0</v>
      </c>
      <c r="G602">
        <v>0</v>
      </c>
      <c r="H602">
        <v>3634</v>
      </c>
      <c r="I602">
        <v>4669</v>
      </c>
      <c r="J602">
        <v>100</v>
      </c>
      <c r="K602">
        <v>8.59</v>
      </c>
      <c r="L602">
        <v>-17.46</v>
      </c>
      <c r="M602">
        <v>0</v>
      </c>
      <c r="N602" t="b">
        <v>0</v>
      </c>
      <c r="O602">
        <v>-765</v>
      </c>
      <c r="P602" t="s">
        <v>615</v>
      </c>
      <c r="Q602" t="s">
        <v>2276</v>
      </c>
      <c r="R602">
        <v>0</v>
      </c>
      <c r="S602">
        <v>605</v>
      </c>
      <c r="T602">
        <v>4818</v>
      </c>
      <c r="U602" t="s">
        <v>4587</v>
      </c>
      <c r="V602">
        <v>79.48</v>
      </c>
      <c r="W602" t="s">
        <v>6807</v>
      </c>
      <c r="X602" t="s">
        <v>968</v>
      </c>
      <c r="Y602">
        <v>1836</v>
      </c>
      <c r="Z602">
        <v>-25</v>
      </c>
      <c r="AA602">
        <v>111373</v>
      </c>
      <c r="AB602">
        <v>3.4</v>
      </c>
    </row>
    <row r="603" spans="1:28">
      <c r="A603" s="2">
        <f>HYPERLINK("https://finance.naver.com/item/coinfo.nhn?code=002880", "A002880")</f>
        <v>0</v>
      </c>
      <c r="B603">
        <f>HYPERLINK("http://comp.fnguide.com/SVO2/ASP/SVD_Consensus.asp?pGB=1&amp;gicode=A002880&amp;cID=&amp;MenuYn=Y&amp;ReportGB=&amp;NewMenuID=108&amp;stkGb=701", "대유에이텍")</f>
        <v>0</v>
      </c>
      <c r="C603">
        <v>3</v>
      </c>
      <c r="D603">
        <v>891</v>
      </c>
      <c r="E603">
        <v>0</v>
      </c>
      <c r="F603">
        <v>9.67</v>
      </c>
      <c r="G603">
        <v>680</v>
      </c>
      <c r="H603">
        <v>893</v>
      </c>
      <c r="I603">
        <v>954</v>
      </c>
      <c r="J603">
        <v>23.64</v>
      </c>
      <c r="K603">
        <v>-0.24</v>
      </c>
      <c r="L603">
        <v>-7.04</v>
      </c>
      <c r="M603">
        <v>5.24</v>
      </c>
      <c r="N603" t="b">
        <v>1</v>
      </c>
      <c r="O603">
        <v>93</v>
      </c>
      <c r="P603" t="s">
        <v>616</v>
      </c>
      <c r="Q603" t="s">
        <v>2276</v>
      </c>
      <c r="R603">
        <v>0</v>
      </c>
      <c r="S603">
        <v>953</v>
      </c>
      <c r="T603">
        <v>420729</v>
      </c>
      <c r="U603" t="s">
        <v>4588</v>
      </c>
      <c r="V603">
        <v>55.24</v>
      </c>
      <c r="W603" t="s">
        <v>6808</v>
      </c>
      <c r="X603" t="s">
        <v>8950</v>
      </c>
      <c r="Y603">
        <v>12850</v>
      </c>
      <c r="Z603">
        <v>313</v>
      </c>
      <c r="AA603">
        <v>77</v>
      </c>
    </row>
    <row r="604" spans="1:28">
      <c r="A604" s="2">
        <f>HYPERLINK("https://finance.naver.com/item/coinfo.nhn?code=012800", "A012800")</f>
        <v>0</v>
      </c>
      <c r="B604">
        <f>HYPERLINK("http://comp.fnguide.com/SVO2/ASP/SVD_Consensus.asp?pGB=1&amp;gicode=A012800&amp;cID=&amp;MenuYn=Y&amp;ReportGB=&amp;NewMenuID=108&amp;stkGb=701", "대창")</f>
        <v>0</v>
      </c>
      <c r="C604">
        <v>3</v>
      </c>
      <c r="D604">
        <v>1400</v>
      </c>
      <c r="E604">
        <v>-1.66</v>
      </c>
      <c r="F604">
        <v>25.68</v>
      </c>
      <c r="G604">
        <v>1401</v>
      </c>
      <c r="H604">
        <v>2002</v>
      </c>
      <c r="I604">
        <v>2173</v>
      </c>
      <c r="J604">
        <v>-0.08</v>
      </c>
      <c r="K604">
        <v>-42.97</v>
      </c>
      <c r="L604">
        <v>-55.19</v>
      </c>
      <c r="M604">
        <v>4.65</v>
      </c>
      <c r="N604" t="b">
        <v>0</v>
      </c>
      <c r="O604">
        <v>56</v>
      </c>
      <c r="P604" t="s">
        <v>617</v>
      </c>
      <c r="Q604" t="s">
        <v>2787</v>
      </c>
      <c r="R604">
        <v>-15.48961340325643</v>
      </c>
      <c r="S604">
        <v>1276</v>
      </c>
      <c r="T604">
        <v>10568276</v>
      </c>
      <c r="U604" t="s">
        <v>4589</v>
      </c>
      <c r="V604">
        <v>32.7</v>
      </c>
      <c r="W604" t="s">
        <v>6809</v>
      </c>
      <c r="X604" t="s">
        <v>8951</v>
      </c>
      <c r="Y604">
        <v>8990</v>
      </c>
      <c r="Z604">
        <v>170</v>
      </c>
      <c r="AA604">
        <v>14324627</v>
      </c>
      <c r="AB604">
        <v>0.7</v>
      </c>
    </row>
    <row r="605" spans="1:28">
      <c r="A605" s="2">
        <f>HYPERLINK("https://finance.naver.com/item/coinfo.nhn?code=006650", "A006650")</f>
        <v>0</v>
      </c>
      <c r="B605">
        <f>HYPERLINK("http://comp.fnguide.com/SVO2/ASP/SVD_Consensus.asp?pGB=1&amp;gicode=A006650&amp;cID=&amp;MenuYn=Y&amp;ReportGB=&amp;NewMenuID=108&amp;stkGb=701", "대한유화")</f>
        <v>0</v>
      </c>
      <c r="C605">
        <v>3</v>
      </c>
      <c r="D605">
        <v>243000</v>
      </c>
      <c r="E605">
        <v>-0.46</v>
      </c>
      <c r="F605">
        <v>7.18</v>
      </c>
      <c r="G605">
        <v>399271</v>
      </c>
      <c r="H605">
        <v>332404</v>
      </c>
      <c r="I605">
        <v>313351</v>
      </c>
      <c r="J605">
        <v>-64.31</v>
      </c>
      <c r="K605">
        <v>-36.79</v>
      </c>
      <c r="L605">
        <v>-28.95</v>
      </c>
      <c r="M605">
        <v>11.05</v>
      </c>
      <c r="N605" t="b">
        <v>1</v>
      </c>
      <c r="O605">
        <v>16360</v>
      </c>
      <c r="P605" t="s">
        <v>618</v>
      </c>
      <c r="Q605" t="s">
        <v>2788</v>
      </c>
      <c r="R605">
        <v>-15.4433906953866</v>
      </c>
      <c r="S605">
        <v>15795</v>
      </c>
      <c r="T605">
        <v>70677</v>
      </c>
      <c r="U605" t="s">
        <v>4590</v>
      </c>
      <c r="V605">
        <v>39.87</v>
      </c>
      <c r="W605" t="s">
        <v>6810</v>
      </c>
      <c r="X605" t="s">
        <v>8952</v>
      </c>
      <c r="Y605">
        <v>20743</v>
      </c>
      <c r="Z605">
        <v>1138</v>
      </c>
      <c r="AA605">
        <v>323900</v>
      </c>
      <c r="AB605">
        <v>2.13</v>
      </c>
    </row>
    <row r="606" spans="1:28">
      <c r="A606" s="2">
        <f>HYPERLINK("https://finance.naver.com/item/coinfo.nhn?code=123700", "A123700")</f>
        <v>0</v>
      </c>
      <c r="B606">
        <f>HYPERLINK("http://comp.fnguide.com/SVO2/ASP/SVD_Consensus.asp?pGB=1&amp;gicode=A123700&amp;cID=&amp;MenuYn=Y&amp;ReportGB=&amp;NewMenuID=108&amp;stkGb=701", "SJM")</f>
        <v>0</v>
      </c>
      <c r="C606">
        <v>3</v>
      </c>
      <c r="D606">
        <v>2995</v>
      </c>
      <c r="E606">
        <v>-0.29</v>
      </c>
      <c r="F606">
        <v>8.77</v>
      </c>
      <c r="G606">
        <v>4770</v>
      </c>
      <c r="H606">
        <v>8284</v>
      </c>
      <c r="I606">
        <v>9285</v>
      </c>
      <c r="J606">
        <v>-59.25</v>
      </c>
      <c r="K606">
        <v>-176.59</v>
      </c>
      <c r="L606">
        <v>-210.02</v>
      </c>
      <c r="M606">
        <v>3.58</v>
      </c>
      <c r="N606" t="b">
        <v>1</v>
      </c>
      <c r="O606">
        <v>438</v>
      </c>
      <c r="P606" t="s">
        <v>619</v>
      </c>
      <c r="Q606" t="s">
        <v>2789</v>
      </c>
      <c r="R606">
        <v>-30.08857054921614</v>
      </c>
      <c r="S606">
        <v>467</v>
      </c>
      <c r="T606">
        <v>19856</v>
      </c>
      <c r="U606" t="s">
        <v>4591</v>
      </c>
      <c r="V606">
        <v>53.03</v>
      </c>
      <c r="W606" t="s">
        <v>6811</v>
      </c>
      <c r="X606" t="s">
        <v>8953</v>
      </c>
      <c r="Y606">
        <v>1577</v>
      </c>
      <c r="Z606">
        <v>65</v>
      </c>
      <c r="AB606">
        <v>3.26</v>
      </c>
    </row>
    <row r="607" spans="1:28">
      <c r="A607" s="2">
        <f>HYPERLINK("https://finance.naver.com/item/coinfo.nhn?code=084010", "A084010")</f>
        <v>0</v>
      </c>
      <c r="B607">
        <f>HYPERLINK("http://comp.fnguide.com/SVO2/ASP/SVD_Consensus.asp?pGB=1&amp;gicode=A084010&amp;cID=&amp;MenuYn=Y&amp;ReportGB=&amp;NewMenuID=108&amp;stkGb=701", "대한제강")</f>
        <v>0</v>
      </c>
      <c r="C607">
        <v>3</v>
      </c>
      <c r="D607">
        <v>10000</v>
      </c>
      <c r="E607">
        <v>0.15</v>
      </c>
      <c r="F607">
        <v>4.93</v>
      </c>
      <c r="G607">
        <v>12061</v>
      </c>
      <c r="H607">
        <v>17626</v>
      </c>
      <c r="I607">
        <v>19211</v>
      </c>
      <c r="J607">
        <v>-20.61</v>
      </c>
      <c r="K607">
        <v>-76.26000000000001</v>
      </c>
      <c r="L607">
        <v>-92.11</v>
      </c>
      <c r="M607">
        <v>4.51</v>
      </c>
      <c r="N607" t="b">
        <v>1</v>
      </c>
      <c r="O607">
        <v>1223</v>
      </c>
      <c r="P607" t="s">
        <v>620</v>
      </c>
      <c r="Q607" t="s">
        <v>2790</v>
      </c>
      <c r="R607">
        <v>33.08713232543155</v>
      </c>
      <c r="S607">
        <v>2465</v>
      </c>
      <c r="T607">
        <v>448136</v>
      </c>
      <c r="U607" t="s">
        <v>4592</v>
      </c>
      <c r="V607">
        <v>46.36</v>
      </c>
      <c r="W607" t="s">
        <v>6812</v>
      </c>
      <c r="X607" t="s">
        <v>8954</v>
      </c>
      <c r="Y607">
        <v>10217</v>
      </c>
      <c r="Z607">
        <v>420</v>
      </c>
      <c r="AA607">
        <v>3073225</v>
      </c>
      <c r="AB607">
        <v>3.32</v>
      </c>
    </row>
    <row r="608" spans="1:28">
      <c r="A608" s="2">
        <f>HYPERLINK("https://finance.naver.com/item/coinfo.nhn?code=001790", "A001790")</f>
        <v>0</v>
      </c>
      <c r="B608">
        <f>HYPERLINK("http://comp.fnguide.com/SVO2/ASP/SVD_Consensus.asp?pGB=1&amp;gicode=A001790&amp;cID=&amp;MenuYn=Y&amp;ReportGB=&amp;NewMenuID=108&amp;stkGb=701", "대한제당")</f>
        <v>0</v>
      </c>
      <c r="C608">
        <v>3</v>
      </c>
      <c r="D608">
        <v>21850</v>
      </c>
      <c r="E608">
        <v>2.14</v>
      </c>
      <c r="F608">
        <v>13.02</v>
      </c>
      <c r="G608">
        <v>19060</v>
      </c>
      <c r="H608">
        <v>41144</v>
      </c>
      <c r="I608">
        <v>47437</v>
      </c>
      <c r="J608">
        <v>12.77</v>
      </c>
      <c r="K608">
        <v>-88.3</v>
      </c>
      <c r="L608">
        <v>-117.1</v>
      </c>
      <c r="M608">
        <v>2.72</v>
      </c>
      <c r="N608" t="b">
        <v>1</v>
      </c>
      <c r="O608">
        <v>1533</v>
      </c>
      <c r="P608" t="s">
        <v>621</v>
      </c>
      <c r="Q608" t="s">
        <v>2791</v>
      </c>
      <c r="R608">
        <v>6.08900814536979</v>
      </c>
      <c r="S608">
        <v>1960</v>
      </c>
      <c r="T608">
        <v>30217</v>
      </c>
      <c r="U608" t="s">
        <v>4593</v>
      </c>
      <c r="V608">
        <v>48.41</v>
      </c>
      <c r="W608" t="s">
        <v>6813</v>
      </c>
      <c r="X608" t="s">
        <v>8955</v>
      </c>
      <c r="Y608">
        <v>12044</v>
      </c>
      <c r="Z608">
        <v>295</v>
      </c>
      <c r="AA608">
        <v>652944</v>
      </c>
      <c r="AB608">
        <v>3.38</v>
      </c>
    </row>
    <row r="609" spans="1:28">
      <c r="A609" s="2">
        <f>HYPERLINK("https://finance.naver.com/item/coinfo.nhn?code=001130", "A001130")</f>
        <v>0</v>
      </c>
      <c r="B609">
        <f>HYPERLINK("http://comp.fnguide.com/SVO2/ASP/SVD_Consensus.asp?pGB=1&amp;gicode=A001130&amp;cID=&amp;MenuYn=Y&amp;ReportGB=&amp;NewMenuID=108&amp;stkGb=701", "대한제분")</f>
        <v>0</v>
      </c>
      <c r="C609">
        <v>3</v>
      </c>
      <c r="D609">
        <v>147000</v>
      </c>
      <c r="E609">
        <v>-3.27</v>
      </c>
      <c r="F609">
        <v>14.67</v>
      </c>
      <c r="G609">
        <v>273211</v>
      </c>
      <c r="H609">
        <v>386535</v>
      </c>
      <c r="I609">
        <v>418826</v>
      </c>
      <c r="J609">
        <v>-85.86</v>
      </c>
      <c r="K609">
        <v>-162.95</v>
      </c>
      <c r="L609">
        <v>-184.92</v>
      </c>
      <c r="M609">
        <v>4.71</v>
      </c>
      <c r="N609" t="b">
        <v>1</v>
      </c>
      <c r="O609">
        <v>10055</v>
      </c>
      <c r="P609" t="s">
        <v>622</v>
      </c>
      <c r="Q609" t="s">
        <v>2792</v>
      </c>
      <c r="R609">
        <v>-4.484749086132611</v>
      </c>
      <c r="S609">
        <v>2484</v>
      </c>
      <c r="T609">
        <v>10671</v>
      </c>
      <c r="U609" t="s">
        <v>4594</v>
      </c>
      <c r="V609">
        <v>42.59</v>
      </c>
      <c r="W609" t="s">
        <v>6814</v>
      </c>
      <c r="X609" t="s">
        <v>8956</v>
      </c>
      <c r="Y609">
        <v>9339</v>
      </c>
      <c r="Z609">
        <v>235</v>
      </c>
      <c r="AA609">
        <v>44776</v>
      </c>
      <c r="AB609">
        <v>1.36</v>
      </c>
    </row>
    <row r="610" spans="1:28">
      <c r="A610" s="2">
        <f>HYPERLINK("https://finance.naver.com/item/coinfo.nhn?code=017890", "A017890")</f>
        <v>0</v>
      </c>
      <c r="B610">
        <f>HYPERLINK("http://comp.fnguide.com/SVO2/ASP/SVD_Consensus.asp?pGB=1&amp;gicode=A017890&amp;cID=&amp;MenuYn=Y&amp;ReportGB=&amp;NewMenuID=108&amp;stkGb=701", "한국알콜")</f>
        <v>0</v>
      </c>
      <c r="C610">
        <v>3</v>
      </c>
      <c r="D610">
        <v>13350</v>
      </c>
      <c r="E610">
        <v>0.22</v>
      </c>
      <c r="F610">
        <v>5.11</v>
      </c>
      <c r="G610">
        <v>19934</v>
      </c>
      <c r="H610">
        <v>17530</v>
      </c>
      <c r="I610">
        <v>16845</v>
      </c>
      <c r="J610">
        <v>-49.32</v>
      </c>
      <c r="K610">
        <v>-31.31</v>
      </c>
      <c r="L610">
        <v>-26.18</v>
      </c>
      <c r="M610">
        <v>9.970000000000001</v>
      </c>
      <c r="N610" t="b">
        <v>1</v>
      </c>
      <c r="O610">
        <v>1472</v>
      </c>
      <c r="P610" t="s">
        <v>623</v>
      </c>
      <c r="Q610" t="s">
        <v>2793</v>
      </c>
      <c r="R610">
        <v>23.07473319642468</v>
      </c>
      <c r="S610">
        <v>2884</v>
      </c>
      <c r="T610">
        <v>414977</v>
      </c>
      <c r="U610" t="s">
        <v>4595</v>
      </c>
      <c r="V610">
        <v>40.49</v>
      </c>
      <c r="W610" t="s">
        <v>6815</v>
      </c>
      <c r="X610" t="s">
        <v>8957</v>
      </c>
      <c r="Y610">
        <v>2914</v>
      </c>
      <c r="Z610">
        <v>331</v>
      </c>
      <c r="AA610">
        <v>1025167</v>
      </c>
      <c r="AB610">
        <v>1.33</v>
      </c>
    </row>
    <row r="611" spans="1:28">
      <c r="A611" s="2">
        <f>HYPERLINK("https://finance.naver.com/item/coinfo.nhn?code=009160", "A009160")</f>
        <v>0</v>
      </c>
      <c r="B611">
        <f>HYPERLINK("http://comp.fnguide.com/SVO2/ASP/SVD_Consensus.asp?pGB=1&amp;gicode=A009160&amp;cID=&amp;MenuYn=Y&amp;ReportGB=&amp;NewMenuID=108&amp;stkGb=701", "SIMPAC")</f>
        <v>0</v>
      </c>
      <c r="C611">
        <v>3</v>
      </c>
      <c r="D611">
        <v>2510</v>
      </c>
      <c r="E611">
        <v>-0.62</v>
      </c>
      <c r="F611">
        <v>20.31</v>
      </c>
      <c r="G611">
        <v>8479</v>
      </c>
      <c r="H611">
        <v>7996</v>
      </c>
      <c r="I611">
        <v>7858</v>
      </c>
      <c r="J611">
        <v>-237.81</v>
      </c>
      <c r="K611">
        <v>-218.56</v>
      </c>
      <c r="L611">
        <v>-213.07</v>
      </c>
      <c r="M611">
        <v>8.800000000000001</v>
      </c>
      <c r="N611" t="b">
        <v>1</v>
      </c>
      <c r="O611">
        <v>145</v>
      </c>
      <c r="P611" t="s">
        <v>624</v>
      </c>
      <c r="Q611" t="s">
        <v>2794</v>
      </c>
      <c r="R611">
        <v>-32.86256593518265</v>
      </c>
      <c r="S611">
        <v>1642</v>
      </c>
      <c r="T611">
        <v>202443</v>
      </c>
      <c r="U611" t="s">
        <v>4596</v>
      </c>
      <c r="V611">
        <v>60.01</v>
      </c>
      <c r="W611" t="s">
        <v>6816</v>
      </c>
      <c r="X611" t="s">
        <v>8958</v>
      </c>
      <c r="Y611">
        <v>4301</v>
      </c>
      <c r="Z611">
        <v>111</v>
      </c>
      <c r="AA611">
        <v>7943224</v>
      </c>
      <c r="AB611">
        <v>2.04</v>
      </c>
    </row>
    <row r="612" spans="1:28">
      <c r="A612" s="2">
        <f>HYPERLINK("https://finance.naver.com/item/coinfo.nhn?code=005880", "A005880")</f>
        <v>0</v>
      </c>
      <c r="B612">
        <f>HYPERLINK("http://comp.fnguide.com/SVO2/ASP/SVD_Consensus.asp?pGB=1&amp;gicode=A005880&amp;cID=&amp;MenuYn=Y&amp;ReportGB=&amp;NewMenuID=108&amp;stkGb=701", "대한해운")</f>
        <v>0</v>
      </c>
      <c r="C612">
        <v>3</v>
      </c>
      <c r="D612">
        <v>3180</v>
      </c>
      <c r="E612">
        <v>-0.16</v>
      </c>
      <c r="F612">
        <v>6.21</v>
      </c>
      <c r="G612">
        <v>5551</v>
      </c>
      <c r="H612">
        <v>4328</v>
      </c>
      <c r="I612">
        <v>3979</v>
      </c>
      <c r="J612">
        <v>-74.55</v>
      </c>
      <c r="K612">
        <v>-36.09</v>
      </c>
      <c r="L612">
        <v>-25.12</v>
      </c>
      <c r="M612">
        <v>12.59</v>
      </c>
      <c r="N612" t="b">
        <v>0</v>
      </c>
      <c r="O612">
        <v>371</v>
      </c>
      <c r="P612" t="s">
        <v>625</v>
      </c>
      <c r="Q612" t="s">
        <v>2795</v>
      </c>
      <c r="R612">
        <v>-38.7717525730499</v>
      </c>
      <c r="S612">
        <v>7768</v>
      </c>
      <c r="T612">
        <v>11288696</v>
      </c>
      <c r="U612" t="s">
        <v>4597</v>
      </c>
      <c r="V612">
        <v>53.53</v>
      </c>
      <c r="W612" t="s">
        <v>6817</v>
      </c>
      <c r="X612" t="s">
        <v>8959</v>
      </c>
      <c r="Y612">
        <v>10057</v>
      </c>
      <c r="Z612">
        <v>1288</v>
      </c>
      <c r="AA612">
        <v>8386070</v>
      </c>
    </row>
    <row r="613" spans="1:28">
      <c r="A613" s="2">
        <f>HYPERLINK("https://finance.naver.com/item/coinfo.nhn?code=003830", "A003830")</f>
        <v>0</v>
      </c>
      <c r="B613">
        <f>HYPERLINK("http://comp.fnguide.com/SVO2/ASP/SVD_Consensus.asp?pGB=1&amp;gicode=A003830&amp;cID=&amp;MenuYn=Y&amp;ReportGB=&amp;NewMenuID=108&amp;stkGb=701", "대한화섬")</f>
        <v>0</v>
      </c>
      <c r="C613">
        <v>3</v>
      </c>
      <c r="D613">
        <v>103500</v>
      </c>
      <c r="E613">
        <v>0.97</v>
      </c>
      <c r="F613">
        <v>5.28</v>
      </c>
      <c r="G613">
        <v>358272</v>
      </c>
      <c r="H613">
        <v>428315</v>
      </c>
      <c r="I613">
        <v>448274</v>
      </c>
      <c r="J613">
        <v>-246.16</v>
      </c>
      <c r="K613">
        <v>-313.83</v>
      </c>
      <c r="L613">
        <v>-333.11</v>
      </c>
      <c r="M613">
        <v>6.01</v>
      </c>
      <c r="N613" t="b">
        <v>1</v>
      </c>
      <c r="O613">
        <v>16958</v>
      </c>
      <c r="P613" t="s">
        <v>626</v>
      </c>
      <c r="Q613" t="s">
        <v>2796</v>
      </c>
      <c r="R613">
        <v>5.454909130019381</v>
      </c>
      <c r="S613">
        <v>1374</v>
      </c>
      <c r="T613">
        <v>952</v>
      </c>
      <c r="U613" t="s">
        <v>4598</v>
      </c>
      <c r="V613">
        <v>61</v>
      </c>
      <c r="W613" t="s">
        <v>6818</v>
      </c>
      <c r="X613" t="s">
        <v>8960</v>
      </c>
      <c r="Y613">
        <v>1142</v>
      </c>
      <c r="Z613">
        <v>49</v>
      </c>
      <c r="AA613">
        <v>204695</v>
      </c>
      <c r="AB613">
        <v>0.46</v>
      </c>
    </row>
    <row r="614" spans="1:28">
      <c r="A614" s="2">
        <f>HYPERLINK("https://finance.naver.com/item/coinfo.nhn?code=016090", "A016090")</f>
        <v>0</v>
      </c>
      <c r="B614">
        <f>HYPERLINK("http://comp.fnguide.com/SVO2/ASP/SVD_Consensus.asp?pGB=1&amp;gicode=A016090&amp;cID=&amp;MenuYn=Y&amp;ReportGB=&amp;NewMenuID=108&amp;stkGb=701", "대현")</f>
        <v>0</v>
      </c>
      <c r="C614">
        <v>3</v>
      </c>
      <c r="D614">
        <v>1855</v>
      </c>
      <c r="E614">
        <v>1.56</v>
      </c>
      <c r="F614">
        <v>6.64</v>
      </c>
      <c r="G614">
        <v>4710</v>
      </c>
      <c r="H614">
        <v>4583</v>
      </c>
      <c r="I614">
        <v>4547</v>
      </c>
      <c r="J614">
        <v>-153.91</v>
      </c>
      <c r="K614">
        <v>-147.06</v>
      </c>
      <c r="L614">
        <v>-145.1</v>
      </c>
      <c r="M614">
        <v>8.35</v>
      </c>
      <c r="N614" t="b">
        <v>1</v>
      </c>
      <c r="O614">
        <v>376</v>
      </c>
      <c r="P614" t="s">
        <v>627</v>
      </c>
      <c r="Q614" t="s">
        <v>2797</v>
      </c>
      <c r="R614">
        <v>4.243009218771654</v>
      </c>
      <c r="S614">
        <v>821</v>
      </c>
      <c r="T614">
        <v>227990</v>
      </c>
      <c r="U614" t="s">
        <v>4599</v>
      </c>
      <c r="V614">
        <v>47.28</v>
      </c>
      <c r="W614" t="s">
        <v>6819</v>
      </c>
      <c r="X614" t="s">
        <v>8961</v>
      </c>
      <c r="Y614">
        <v>2996</v>
      </c>
      <c r="Z614">
        <v>202</v>
      </c>
      <c r="AB614">
        <v>4.01</v>
      </c>
    </row>
    <row r="615" spans="1:28">
      <c r="A615" s="2">
        <f>HYPERLINK("https://finance.naver.com/item/coinfo.nhn?code=023890", "A023890")</f>
        <v>0</v>
      </c>
      <c r="B615">
        <f>HYPERLINK("http://comp.fnguide.com/SVO2/ASP/SVD_Consensus.asp?pGB=1&amp;gicode=A023890&amp;cID=&amp;MenuYn=Y&amp;ReportGB=&amp;NewMenuID=108&amp;stkGb=701", "한국아트라스비엑스")</f>
        <v>0</v>
      </c>
      <c r="C615">
        <v>3</v>
      </c>
      <c r="D615">
        <v>57000</v>
      </c>
      <c r="E615">
        <v>-5</v>
      </c>
      <c r="F615">
        <v>8.800000000000001</v>
      </c>
      <c r="G615">
        <v>199929</v>
      </c>
      <c r="H615">
        <v>137805</v>
      </c>
      <c r="I615">
        <v>120103</v>
      </c>
      <c r="J615">
        <v>-250.75</v>
      </c>
      <c r="K615">
        <v>-141.76</v>
      </c>
      <c r="L615">
        <v>-110.71</v>
      </c>
      <c r="M615">
        <v>16.51</v>
      </c>
      <c r="N615" t="b">
        <v>1</v>
      </c>
      <c r="O615">
        <v>5806</v>
      </c>
      <c r="P615" t="s">
        <v>628</v>
      </c>
      <c r="Q615" t="s">
        <v>2798</v>
      </c>
      <c r="R615">
        <v>-1.758691497465448</v>
      </c>
      <c r="S615">
        <v>5216</v>
      </c>
      <c r="T615">
        <v>6074</v>
      </c>
      <c r="U615" t="s">
        <v>4600</v>
      </c>
      <c r="V615">
        <v>31.13</v>
      </c>
      <c r="W615" t="s">
        <v>6820</v>
      </c>
      <c r="X615" t="s">
        <v>8962</v>
      </c>
      <c r="Y615">
        <v>6480</v>
      </c>
      <c r="Z615">
        <v>646</v>
      </c>
      <c r="AA615">
        <v>5346107</v>
      </c>
      <c r="AB615">
        <v>0.78</v>
      </c>
    </row>
    <row r="616" spans="1:28">
      <c r="A616" s="2">
        <f>HYPERLINK("https://finance.naver.com/item/coinfo.nhn?code=900270", "A900270")</f>
        <v>0</v>
      </c>
      <c r="B616">
        <f>HYPERLINK("http://comp.fnguide.com/SVO2/ASP/SVD_Consensus.asp?pGB=1&amp;gicode=A900270&amp;cID=&amp;MenuYn=Y&amp;ReportGB=&amp;NewMenuID=108&amp;stkGb=701", "헝셩그룹")</f>
        <v>0</v>
      </c>
      <c r="C616">
        <v>3</v>
      </c>
      <c r="D616">
        <v>695</v>
      </c>
      <c r="E616">
        <v>-0.17</v>
      </c>
      <c r="F616">
        <v>2.62</v>
      </c>
      <c r="G616">
        <v>5422</v>
      </c>
      <c r="H616">
        <v>4251</v>
      </c>
      <c r="I616">
        <v>3918</v>
      </c>
      <c r="J616">
        <v>-680.15</v>
      </c>
      <c r="K616">
        <v>-511.72</v>
      </c>
      <c r="L616">
        <v>-463.72</v>
      </c>
      <c r="M616">
        <v>12.44</v>
      </c>
      <c r="N616" t="b">
        <v>0</v>
      </c>
      <c r="O616">
        <v>407</v>
      </c>
      <c r="P616" t="s">
        <v>629</v>
      </c>
      <c r="Q616" t="s">
        <v>2799</v>
      </c>
      <c r="R616">
        <v>-15.5292802263908</v>
      </c>
      <c r="S616">
        <v>556</v>
      </c>
      <c r="T616">
        <v>708385</v>
      </c>
      <c r="U616" t="s">
        <v>4601</v>
      </c>
      <c r="V616">
        <v>27.42</v>
      </c>
      <c r="W616" t="s">
        <v>6821</v>
      </c>
      <c r="X616" t="s">
        <v>8963</v>
      </c>
      <c r="Y616">
        <v>2212</v>
      </c>
      <c r="Z616">
        <v>439</v>
      </c>
    </row>
    <row r="617" spans="1:28">
      <c r="A617" s="2">
        <f>HYPERLINK("https://finance.naver.com/item/coinfo.nhn?code=001380", "A001380")</f>
        <v>0</v>
      </c>
      <c r="B617">
        <f>HYPERLINK("http://comp.fnguide.com/SVO2/ASP/SVD_Consensus.asp?pGB=1&amp;gicode=A001380&amp;cID=&amp;MenuYn=Y&amp;ReportGB=&amp;NewMenuID=108&amp;stkGb=701", "SG충방")</f>
        <v>0</v>
      </c>
      <c r="C617">
        <v>3</v>
      </c>
      <c r="D617">
        <v>2255</v>
      </c>
      <c r="E617">
        <v>2.39</v>
      </c>
      <c r="F617">
        <v>102.96</v>
      </c>
      <c r="G617">
        <v>438</v>
      </c>
      <c r="H617">
        <v>1913</v>
      </c>
      <c r="I617">
        <v>2334</v>
      </c>
      <c r="J617">
        <v>80.56999999999999</v>
      </c>
      <c r="K617">
        <v>15.15</v>
      </c>
      <c r="L617">
        <v>-3.49</v>
      </c>
      <c r="M617">
        <v>1.21</v>
      </c>
      <c r="N617" t="b">
        <v>0</v>
      </c>
      <c r="O617">
        <v>17</v>
      </c>
      <c r="P617" t="s">
        <v>630</v>
      </c>
      <c r="Q617" t="s">
        <v>2800</v>
      </c>
      <c r="R617">
        <v>42.99006958526874</v>
      </c>
      <c r="S617">
        <v>1014</v>
      </c>
      <c r="T617">
        <v>2758044</v>
      </c>
      <c r="U617" t="s">
        <v>4602</v>
      </c>
      <c r="V617">
        <v>58.53</v>
      </c>
      <c r="W617" t="s">
        <v>6822</v>
      </c>
      <c r="X617" t="s">
        <v>8964</v>
      </c>
      <c r="Y617">
        <v>1258</v>
      </c>
      <c r="Z617">
        <v>39</v>
      </c>
    </row>
    <row r="618" spans="1:28">
      <c r="A618" s="2">
        <f>HYPERLINK("https://finance.naver.com/item/coinfo.nhn?code=025550", "A025550")</f>
        <v>0</v>
      </c>
      <c r="B618">
        <f>HYPERLINK("http://comp.fnguide.com/SVO2/ASP/SVD_Consensus.asp?pGB=1&amp;gicode=A025550&amp;cID=&amp;MenuYn=Y&amp;ReportGB=&amp;NewMenuID=108&amp;stkGb=701", "한국선재")</f>
        <v>0</v>
      </c>
      <c r="C618">
        <v>3</v>
      </c>
      <c r="D618">
        <v>3230</v>
      </c>
      <c r="E618">
        <v>-2.75</v>
      </c>
      <c r="F618">
        <v>28.64</v>
      </c>
      <c r="G618">
        <v>2385</v>
      </c>
      <c r="H618">
        <v>3313</v>
      </c>
      <c r="I618">
        <v>3577</v>
      </c>
      <c r="J618">
        <v>26.15</v>
      </c>
      <c r="K618">
        <v>-2.57</v>
      </c>
      <c r="L618">
        <v>-10.75</v>
      </c>
      <c r="M618">
        <v>4.84</v>
      </c>
      <c r="N618" t="b">
        <v>1</v>
      </c>
      <c r="O618">
        <v>106</v>
      </c>
      <c r="P618" t="s">
        <v>631</v>
      </c>
      <c r="Q618" t="s">
        <v>2801</v>
      </c>
      <c r="R618">
        <v>-10.40745324114466</v>
      </c>
      <c r="S618">
        <v>792</v>
      </c>
      <c r="T618">
        <v>319274</v>
      </c>
      <c r="U618" t="s">
        <v>4603</v>
      </c>
      <c r="V618">
        <v>36.36</v>
      </c>
      <c r="W618" t="s">
        <v>6823</v>
      </c>
      <c r="X618" t="s">
        <v>8965</v>
      </c>
      <c r="Y618">
        <v>1855</v>
      </c>
      <c r="Z618">
        <v>67</v>
      </c>
      <c r="AA618">
        <v>1870970</v>
      </c>
    </row>
    <row r="619" spans="1:28">
      <c r="A619" s="2">
        <f>HYPERLINK("https://finance.naver.com/item/coinfo.nhn?code=004060", "A004060")</f>
        <v>0</v>
      </c>
      <c r="B619">
        <f>HYPERLINK("http://comp.fnguide.com/SVO2/ASP/SVD_Consensus.asp?pGB=1&amp;gicode=A004060&amp;cID=&amp;MenuYn=Y&amp;ReportGB=&amp;NewMenuID=108&amp;stkGb=701", "SG세계물산")</f>
        <v>0</v>
      </c>
      <c r="C619">
        <v>3</v>
      </c>
      <c r="D619">
        <v>640</v>
      </c>
      <c r="E619">
        <v>0.42</v>
      </c>
      <c r="F619">
        <v>18.93</v>
      </c>
      <c r="G619">
        <v>451</v>
      </c>
      <c r="H619">
        <v>788</v>
      </c>
      <c r="I619">
        <v>884</v>
      </c>
      <c r="J619">
        <v>29.59</v>
      </c>
      <c r="K619">
        <v>-23.14</v>
      </c>
      <c r="L619">
        <v>-38.16</v>
      </c>
      <c r="M619">
        <v>3.55</v>
      </c>
      <c r="N619" t="b">
        <v>1</v>
      </c>
      <c r="O619">
        <v>48</v>
      </c>
      <c r="P619" t="s">
        <v>632</v>
      </c>
      <c r="Q619" t="s">
        <v>2802</v>
      </c>
      <c r="R619">
        <v>44.7</v>
      </c>
      <c r="S619">
        <v>1296</v>
      </c>
      <c r="T619">
        <v>1685992</v>
      </c>
      <c r="U619" t="s">
        <v>4604</v>
      </c>
      <c r="V619">
        <v>50.61</v>
      </c>
      <c r="W619" t="s">
        <v>6824</v>
      </c>
      <c r="X619" t="s">
        <v>8966</v>
      </c>
      <c r="Y619">
        <v>3125</v>
      </c>
      <c r="Z619">
        <v>5</v>
      </c>
    </row>
    <row r="620" spans="1:28">
      <c r="A620" s="2">
        <f>HYPERLINK("https://finance.naver.com/item/coinfo.nhn?code=001230", "A001230")</f>
        <v>0</v>
      </c>
      <c r="B620">
        <f>HYPERLINK("http://comp.fnguide.com/SVO2/ASP/SVD_Consensus.asp?pGB=1&amp;gicode=A001230&amp;cID=&amp;MenuYn=Y&amp;ReportGB=&amp;NewMenuID=108&amp;stkGb=701", "동국제강")</f>
        <v>0</v>
      </c>
      <c r="C620">
        <v>3</v>
      </c>
      <c r="D620">
        <v>7770</v>
      </c>
      <c r="G620">
        <v>84</v>
      </c>
      <c r="H620">
        <v>12045</v>
      </c>
      <c r="I620">
        <v>15453</v>
      </c>
      <c r="J620">
        <v>98.92</v>
      </c>
      <c r="K620">
        <v>-55.02</v>
      </c>
      <c r="L620">
        <v>-98.88</v>
      </c>
      <c r="M620">
        <v>0.03</v>
      </c>
      <c r="N620" t="b">
        <v>0</v>
      </c>
      <c r="O620">
        <v>-718</v>
      </c>
      <c r="P620" t="s">
        <v>633</v>
      </c>
      <c r="Q620" t="s">
        <v>2803</v>
      </c>
      <c r="R620">
        <v>-92.59999999999999</v>
      </c>
      <c r="S620">
        <v>7415</v>
      </c>
      <c r="T620">
        <v>3659664</v>
      </c>
      <c r="U620" t="s">
        <v>4605</v>
      </c>
      <c r="V620">
        <v>26.18</v>
      </c>
      <c r="W620" t="s">
        <v>6825</v>
      </c>
      <c r="X620" t="s">
        <v>8967</v>
      </c>
      <c r="Y620">
        <v>56584</v>
      </c>
      <c r="Z620">
        <v>1646</v>
      </c>
      <c r="AA620">
        <v>2907520</v>
      </c>
    </row>
    <row r="621" spans="1:28">
      <c r="A621" s="2">
        <f>HYPERLINK("https://finance.naver.com/item/coinfo.nhn?code=101060", "A101060")</f>
        <v>0</v>
      </c>
      <c r="B621">
        <f>HYPERLINK("http://comp.fnguide.com/SVO2/ASP/SVD_Consensus.asp?pGB=1&amp;gicode=A101060&amp;cID=&amp;MenuYn=Y&amp;ReportGB=&amp;NewMenuID=108&amp;stkGb=701", "SBS미디어홀딩스")</f>
        <v>0</v>
      </c>
      <c r="C621">
        <v>3</v>
      </c>
      <c r="D621">
        <v>1760</v>
      </c>
      <c r="G621">
        <v>377</v>
      </c>
      <c r="H621">
        <v>2902</v>
      </c>
      <c r="I621">
        <v>3621</v>
      </c>
      <c r="J621">
        <v>78.56</v>
      </c>
      <c r="K621">
        <v>-64.89</v>
      </c>
      <c r="L621">
        <v>-105.77</v>
      </c>
      <c r="M621">
        <v>0.66</v>
      </c>
      <c r="N621" t="b">
        <v>0</v>
      </c>
      <c r="O621">
        <v>-753</v>
      </c>
      <c r="P621" t="s">
        <v>634</v>
      </c>
      <c r="Q621" t="s">
        <v>2804</v>
      </c>
      <c r="R621">
        <v>-20.43238693712593</v>
      </c>
      <c r="S621">
        <v>2462</v>
      </c>
      <c r="T621">
        <v>139065</v>
      </c>
      <c r="U621" t="s">
        <v>4606</v>
      </c>
      <c r="V621">
        <v>61.42</v>
      </c>
      <c r="W621" t="s">
        <v>6826</v>
      </c>
      <c r="X621" t="s">
        <v>8968</v>
      </c>
      <c r="Y621">
        <v>2398</v>
      </c>
      <c r="Z621">
        <v>48</v>
      </c>
      <c r="AA621">
        <v>12739487</v>
      </c>
    </row>
    <row r="622" spans="1:28">
      <c r="A622" s="2">
        <f>HYPERLINK("https://finance.naver.com/item/coinfo.nhn?code=034120", "A034120")</f>
        <v>0</v>
      </c>
      <c r="B622">
        <f>HYPERLINK("http://comp.fnguide.com/SVO2/ASP/SVD_Consensus.asp?pGB=1&amp;gicode=A034120&amp;cID=&amp;MenuYn=Y&amp;ReportGB=&amp;NewMenuID=108&amp;stkGb=701", "SBS")</f>
        <v>0</v>
      </c>
      <c r="C622">
        <v>3</v>
      </c>
      <c r="D622">
        <v>19050</v>
      </c>
      <c r="E622">
        <v>1.33</v>
      </c>
      <c r="F622">
        <v>19.27</v>
      </c>
      <c r="G622">
        <v>10175</v>
      </c>
      <c r="H622">
        <v>23774</v>
      </c>
      <c r="I622">
        <v>27650</v>
      </c>
      <c r="J622">
        <v>46.59</v>
      </c>
      <c r="K622">
        <v>-24.8</v>
      </c>
      <c r="L622">
        <v>-45.14</v>
      </c>
      <c r="M622">
        <v>2.47</v>
      </c>
      <c r="N622" t="b">
        <v>1</v>
      </c>
      <c r="O622">
        <v>1079</v>
      </c>
      <c r="P622" t="s">
        <v>635</v>
      </c>
      <c r="Q622" t="s">
        <v>2805</v>
      </c>
      <c r="R622">
        <v>14.48056603633649</v>
      </c>
      <c r="S622">
        <v>3477</v>
      </c>
      <c r="T622">
        <v>262704</v>
      </c>
      <c r="U622" t="s">
        <v>4607</v>
      </c>
      <c r="V622">
        <v>36.92</v>
      </c>
      <c r="W622" t="s">
        <v>6827</v>
      </c>
      <c r="X622" t="s">
        <v>8969</v>
      </c>
      <c r="Y622">
        <v>8177</v>
      </c>
      <c r="Z622">
        <v>126</v>
      </c>
      <c r="AA622">
        <v>562514</v>
      </c>
      <c r="AB622">
        <v>0.72</v>
      </c>
    </row>
    <row r="623" spans="1:28">
      <c r="A623" s="2">
        <f>HYPERLINK("https://finance.naver.com/item/coinfo.nhn?code=007590", "A007590")</f>
        <v>0</v>
      </c>
      <c r="B623">
        <f>HYPERLINK("http://comp.fnguide.com/SVO2/ASP/SVD_Consensus.asp?pGB=1&amp;gicode=A007590&amp;cID=&amp;MenuYn=Y&amp;ReportGB=&amp;NewMenuID=108&amp;stkGb=701", "동방아그로")</f>
        <v>0</v>
      </c>
      <c r="C623">
        <v>3</v>
      </c>
      <c r="D623">
        <v>6390</v>
      </c>
      <c r="E623">
        <v>3.53</v>
      </c>
      <c r="F623">
        <v>14.53</v>
      </c>
      <c r="G623">
        <v>6932</v>
      </c>
      <c r="H623">
        <v>9785</v>
      </c>
      <c r="I623">
        <v>10598</v>
      </c>
      <c r="J623">
        <v>-8.48</v>
      </c>
      <c r="K623">
        <v>-53.13</v>
      </c>
      <c r="L623">
        <v>-65.84999999999999</v>
      </c>
      <c r="M623">
        <v>4.73</v>
      </c>
      <c r="N623" t="b">
        <v>1</v>
      </c>
      <c r="O623">
        <v>473</v>
      </c>
      <c r="P623" t="s">
        <v>636</v>
      </c>
      <c r="Q623" t="s">
        <v>2806</v>
      </c>
      <c r="R623">
        <v>4.110624983022926</v>
      </c>
      <c r="S623">
        <v>870</v>
      </c>
      <c r="T623">
        <v>10635</v>
      </c>
      <c r="U623" t="s">
        <v>4608</v>
      </c>
      <c r="V623">
        <v>34.26</v>
      </c>
      <c r="W623" t="s">
        <v>6828</v>
      </c>
      <c r="X623" t="s">
        <v>8970</v>
      </c>
      <c r="Y623">
        <v>1246</v>
      </c>
      <c r="Z623">
        <v>78</v>
      </c>
      <c r="AA623">
        <v>1922682</v>
      </c>
      <c r="AB623">
        <v>3.64</v>
      </c>
    </row>
    <row r="624" spans="1:28">
      <c r="A624" s="2">
        <f>HYPERLINK("https://finance.naver.com/item/coinfo.nhn?code=005960", "A005960")</f>
        <v>0</v>
      </c>
      <c r="B624">
        <f>HYPERLINK("http://comp.fnguide.com/SVO2/ASP/SVD_Consensus.asp?pGB=1&amp;gicode=A005960&amp;cID=&amp;MenuYn=Y&amp;ReportGB=&amp;NewMenuID=108&amp;stkGb=701", "동부건설")</f>
        <v>0</v>
      </c>
      <c r="C624">
        <v>3</v>
      </c>
      <c r="D624">
        <v>13400</v>
      </c>
      <c r="E624">
        <v>-0.21</v>
      </c>
      <c r="F624">
        <v>3.05</v>
      </c>
      <c r="G624">
        <v>48345</v>
      </c>
      <c r="H624">
        <v>30424</v>
      </c>
      <c r="I624">
        <v>25317</v>
      </c>
      <c r="J624">
        <v>-260.79</v>
      </c>
      <c r="K624">
        <v>-127.04</v>
      </c>
      <c r="L624">
        <v>-88.93000000000001</v>
      </c>
      <c r="M624">
        <v>20.81</v>
      </c>
      <c r="N624" t="b">
        <v>1</v>
      </c>
      <c r="O624">
        <v>2803</v>
      </c>
      <c r="P624" t="s">
        <v>637</v>
      </c>
      <c r="Q624" t="s">
        <v>2807</v>
      </c>
      <c r="R624">
        <v>-14.26029213425397</v>
      </c>
      <c r="S624">
        <v>3042</v>
      </c>
      <c r="T624">
        <v>226810</v>
      </c>
      <c r="U624" t="s">
        <v>4609</v>
      </c>
      <c r="V624">
        <v>62.19</v>
      </c>
      <c r="W624" t="s">
        <v>6829</v>
      </c>
      <c r="X624" t="s">
        <v>8971</v>
      </c>
      <c r="Y624">
        <v>11554</v>
      </c>
      <c r="Z624">
        <v>555</v>
      </c>
      <c r="AA624">
        <v>4291</v>
      </c>
      <c r="AB624">
        <v>8.199999999999999</v>
      </c>
    </row>
    <row r="625" spans="1:28">
      <c r="A625" s="2">
        <f>HYPERLINK("https://finance.naver.com/item/coinfo.nhn?code=000300", "A000300")</f>
        <v>0</v>
      </c>
      <c r="B625">
        <f>HYPERLINK("http://comp.fnguide.com/SVO2/ASP/SVD_Consensus.asp?pGB=1&amp;gicode=A000300&amp;cID=&amp;MenuYn=Y&amp;ReportGB=&amp;NewMenuID=108&amp;stkGb=701", "대유플러스")</f>
        <v>0</v>
      </c>
      <c r="C625">
        <v>3</v>
      </c>
      <c r="D625">
        <v>816</v>
      </c>
      <c r="E625">
        <v>0.02</v>
      </c>
      <c r="F625">
        <v>7.29</v>
      </c>
      <c r="G625">
        <v>773</v>
      </c>
      <c r="H625">
        <v>838</v>
      </c>
      <c r="I625">
        <v>857</v>
      </c>
      <c r="J625">
        <v>5.22</v>
      </c>
      <c r="K625">
        <v>-2.72</v>
      </c>
      <c r="L625">
        <v>-4.98</v>
      </c>
      <c r="M625">
        <v>7</v>
      </c>
      <c r="N625" t="b">
        <v>1</v>
      </c>
      <c r="O625">
        <v>106</v>
      </c>
      <c r="P625" t="s">
        <v>638</v>
      </c>
      <c r="Q625" t="s">
        <v>2808</v>
      </c>
      <c r="R625">
        <v>298.1</v>
      </c>
      <c r="S625">
        <v>948</v>
      </c>
      <c r="T625">
        <v>1633806</v>
      </c>
      <c r="U625" t="s">
        <v>4610</v>
      </c>
      <c r="V625">
        <v>46.2</v>
      </c>
      <c r="W625" t="s">
        <v>6830</v>
      </c>
      <c r="X625" t="s">
        <v>8972</v>
      </c>
      <c r="Y625">
        <v>5300</v>
      </c>
      <c r="Z625">
        <v>396</v>
      </c>
      <c r="AA625">
        <v>3057</v>
      </c>
    </row>
    <row r="626" spans="1:28">
      <c r="A626" s="2">
        <f>HYPERLINK("https://finance.naver.com/item/coinfo.nhn?code=024890", "A024890")</f>
        <v>0</v>
      </c>
      <c r="B626">
        <f>HYPERLINK("http://comp.fnguide.com/SVO2/ASP/SVD_Consensus.asp?pGB=1&amp;gicode=A024890&amp;cID=&amp;MenuYn=Y&amp;ReportGB=&amp;NewMenuID=108&amp;stkGb=701", "대원화성")</f>
        <v>0</v>
      </c>
      <c r="C626">
        <v>3</v>
      </c>
      <c r="D626">
        <v>1620</v>
      </c>
      <c r="E626">
        <v>-0.25</v>
      </c>
      <c r="F626">
        <v>13.67</v>
      </c>
      <c r="G626">
        <v>1060</v>
      </c>
      <c r="H626">
        <v>1589</v>
      </c>
      <c r="I626">
        <v>1740</v>
      </c>
      <c r="J626">
        <v>34.56</v>
      </c>
      <c r="K626">
        <v>1.92</v>
      </c>
      <c r="L626">
        <v>-7.38</v>
      </c>
      <c r="M626">
        <v>4.35</v>
      </c>
      <c r="N626" t="b">
        <v>1</v>
      </c>
      <c r="O626">
        <v>104</v>
      </c>
      <c r="P626" t="s">
        <v>639</v>
      </c>
      <c r="Q626" t="s">
        <v>2809</v>
      </c>
      <c r="R626">
        <v>-54.57236842600955</v>
      </c>
      <c r="S626">
        <v>668</v>
      </c>
      <c r="T626">
        <v>1333835</v>
      </c>
      <c r="U626" t="s">
        <v>4611</v>
      </c>
      <c r="V626">
        <v>47.2</v>
      </c>
      <c r="W626" t="s">
        <v>6831</v>
      </c>
      <c r="X626" t="s">
        <v>8973</v>
      </c>
      <c r="Y626">
        <v>1331</v>
      </c>
      <c r="Z626">
        <v>67</v>
      </c>
      <c r="AA626">
        <v>326560</v>
      </c>
      <c r="AB626">
        <v>0.7</v>
      </c>
    </row>
    <row r="627" spans="1:28">
      <c r="A627" s="2">
        <f>HYPERLINK("https://finance.naver.com/item/coinfo.nhn?code=001680", "A001680")</f>
        <v>0</v>
      </c>
      <c r="B627">
        <f>HYPERLINK("http://comp.fnguide.com/SVO2/ASP/SVD_Consensus.asp?pGB=1&amp;gicode=A001680&amp;cID=&amp;MenuYn=Y&amp;ReportGB=&amp;NewMenuID=108&amp;stkGb=701", "대상")</f>
        <v>0</v>
      </c>
      <c r="C627">
        <v>3</v>
      </c>
      <c r="D627">
        <v>25400</v>
      </c>
      <c r="E627">
        <v>0.34</v>
      </c>
      <c r="F627">
        <v>7.79</v>
      </c>
      <c r="G627">
        <v>32857</v>
      </c>
      <c r="H627">
        <v>30540</v>
      </c>
      <c r="I627">
        <v>29879</v>
      </c>
      <c r="J627">
        <v>-29.36</v>
      </c>
      <c r="K627">
        <v>-20.24</v>
      </c>
      <c r="L627">
        <v>-17.64</v>
      </c>
      <c r="M627">
        <v>9.029999999999999</v>
      </c>
      <c r="N627" t="b">
        <v>1</v>
      </c>
      <c r="O627">
        <v>2976</v>
      </c>
      <c r="P627" t="s">
        <v>640</v>
      </c>
      <c r="Q627" t="s">
        <v>2810</v>
      </c>
      <c r="R627">
        <v>22.98316287847235</v>
      </c>
      <c r="S627">
        <v>8801</v>
      </c>
      <c r="T627">
        <v>422023</v>
      </c>
      <c r="U627" t="s">
        <v>4612</v>
      </c>
      <c r="V627">
        <v>44.74</v>
      </c>
      <c r="W627" t="s">
        <v>6832</v>
      </c>
      <c r="X627" t="s">
        <v>8974</v>
      </c>
      <c r="Y627">
        <v>29640</v>
      </c>
      <c r="Z627">
        <v>1298</v>
      </c>
      <c r="AB627">
        <v>2.59</v>
      </c>
    </row>
    <row r="628" spans="1:28">
      <c r="A628" s="2">
        <f>HYPERLINK("https://finance.naver.com/item/coinfo.nhn?code=025530", "A025530")</f>
        <v>0</v>
      </c>
      <c r="B628">
        <f>HYPERLINK("http://comp.fnguide.com/SVO2/ASP/SVD_Consensus.asp?pGB=1&amp;gicode=A025530&amp;cID=&amp;MenuYn=Y&amp;ReportGB=&amp;NewMenuID=108&amp;stkGb=701", "SJM홀딩스")</f>
        <v>0</v>
      </c>
      <c r="C628">
        <v>3</v>
      </c>
      <c r="D628">
        <v>2855</v>
      </c>
      <c r="E628">
        <v>-0.43</v>
      </c>
      <c r="F628">
        <v>9.82</v>
      </c>
      <c r="G628">
        <v>5844</v>
      </c>
      <c r="H628">
        <v>8997</v>
      </c>
      <c r="I628">
        <v>9895</v>
      </c>
      <c r="J628">
        <v>-104.71</v>
      </c>
      <c r="K628">
        <v>-215.12</v>
      </c>
      <c r="L628">
        <v>-246.58</v>
      </c>
      <c r="M628">
        <v>4.2</v>
      </c>
      <c r="N628" t="b">
        <v>1</v>
      </c>
      <c r="O628">
        <v>329</v>
      </c>
      <c r="P628" t="s">
        <v>641</v>
      </c>
      <c r="Q628" t="s">
        <v>2811</v>
      </c>
      <c r="R628">
        <v>-22.62742228083972</v>
      </c>
      <c r="S628">
        <v>426</v>
      </c>
      <c r="T628">
        <v>18557</v>
      </c>
      <c r="U628" t="s">
        <v>4613</v>
      </c>
      <c r="V628">
        <v>63.91</v>
      </c>
      <c r="W628" t="s">
        <v>6833</v>
      </c>
      <c r="X628" t="s">
        <v>8975</v>
      </c>
      <c r="Y628">
        <v>1608</v>
      </c>
      <c r="Z628">
        <v>63</v>
      </c>
      <c r="AA628">
        <v>1382017</v>
      </c>
      <c r="AB628">
        <v>5.41</v>
      </c>
    </row>
    <row r="629" spans="1:28">
      <c r="A629" s="2">
        <f>HYPERLINK("https://finance.naver.com/item/coinfo.nhn?code=084690", "A084690")</f>
        <v>0</v>
      </c>
      <c r="B629">
        <f>HYPERLINK("http://comp.fnguide.com/SVO2/ASP/SVD_Consensus.asp?pGB=1&amp;gicode=A084690&amp;cID=&amp;MenuYn=Y&amp;ReportGB=&amp;NewMenuID=108&amp;stkGb=701", "대상홀딩스")</f>
        <v>0</v>
      </c>
      <c r="C629">
        <v>3</v>
      </c>
      <c r="D629">
        <v>9800</v>
      </c>
      <c r="E629">
        <v>0.07000000000000001</v>
      </c>
      <c r="F629">
        <v>3.46</v>
      </c>
      <c r="G629">
        <v>18002</v>
      </c>
      <c r="H629">
        <v>16859</v>
      </c>
      <c r="I629">
        <v>16533</v>
      </c>
      <c r="J629">
        <v>-83.69</v>
      </c>
      <c r="K629">
        <v>-72.03</v>
      </c>
      <c r="L629">
        <v>-68.7</v>
      </c>
      <c r="M629">
        <v>8.91</v>
      </c>
      <c r="N629" t="b">
        <v>1</v>
      </c>
      <c r="O629">
        <v>1946</v>
      </c>
      <c r="P629" t="s">
        <v>642</v>
      </c>
      <c r="Q629" t="s">
        <v>2812</v>
      </c>
      <c r="R629">
        <v>46.14119594697726</v>
      </c>
      <c r="S629">
        <v>3549</v>
      </c>
      <c r="T629">
        <v>204773</v>
      </c>
      <c r="U629" t="s">
        <v>4614</v>
      </c>
      <c r="V629">
        <v>67.3</v>
      </c>
      <c r="W629" t="s">
        <v>6834</v>
      </c>
      <c r="X629" t="s">
        <v>8976</v>
      </c>
      <c r="Y629">
        <v>35525</v>
      </c>
      <c r="Z629">
        <v>1555</v>
      </c>
      <c r="AB629">
        <v>2.97</v>
      </c>
    </row>
    <row r="630" spans="1:28">
      <c r="A630" s="2">
        <f>HYPERLINK("https://finance.naver.com/item/coinfo.nhn?code=084870", "A084870")</f>
        <v>0</v>
      </c>
      <c r="B630">
        <f>HYPERLINK("http://comp.fnguide.com/SVO2/ASP/SVD_Consensus.asp?pGB=1&amp;gicode=A084870&amp;cID=&amp;MenuYn=Y&amp;ReportGB=&amp;NewMenuID=108&amp;stkGb=701", "TBH글로벌")</f>
        <v>0</v>
      </c>
      <c r="C630">
        <v>3</v>
      </c>
      <c r="D630">
        <v>1860</v>
      </c>
      <c r="E630">
        <v>0</v>
      </c>
      <c r="G630">
        <v>0</v>
      </c>
      <c r="H630">
        <v>3103</v>
      </c>
      <c r="I630">
        <v>3987</v>
      </c>
      <c r="J630">
        <v>100</v>
      </c>
      <c r="K630">
        <v>-66.81</v>
      </c>
      <c r="L630">
        <v>-114.34</v>
      </c>
      <c r="M630">
        <v>0</v>
      </c>
      <c r="N630" t="b">
        <v>0</v>
      </c>
      <c r="O630">
        <v>-3711</v>
      </c>
      <c r="P630" t="s">
        <v>643</v>
      </c>
      <c r="Q630" t="s">
        <v>2276</v>
      </c>
      <c r="R630">
        <v>0</v>
      </c>
      <c r="S630">
        <v>388</v>
      </c>
      <c r="T630">
        <v>57101</v>
      </c>
      <c r="U630" t="s">
        <v>4615</v>
      </c>
      <c r="V630">
        <v>50.06</v>
      </c>
      <c r="W630" t="s">
        <v>6835</v>
      </c>
      <c r="X630" t="s">
        <v>968</v>
      </c>
      <c r="Y630">
        <v>2108</v>
      </c>
      <c r="Z630">
        <v>44</v>
      </c>
    </row>
    <row r="631" spans="1:28">
      <c r="A631" s="2">
        <f>HYPERLINK("https://finance.naver.com/item/coinfo.nhn?code=128820", "A128820")</f>
        <v>0</v>
      </c>
      <c r="B631">
        <f>HYPERLINK("http://comp.fnguide.com/SVO2/ASP/SVD_Consensus.asp?pGB=1&amp;gicode=A128820&amp;cID=&amp;MenuYn=Y&amp;ReportGB=&amp;NewMenuID=108&amp;stkGb=701", "대성산업")</f>
        <v>0</v>
      </c>
      <c r="C631">
        <v>3</v>
      </c>
      <c r="D631">
        <v>3255</v>
      </c>
      <c r="E631">
        <v>0</v>
      </c>
      <c r="G631">
        <v>18856</v>
      </c>
      <c r="H631">
        <v>14946</v>
      </c>
      <c r="I631">
        <v>13832</v>
      </c>
      <c r="J631">
        <v>-479.29</v>
      </c>
      <c r="K631">
        <v>-359.17</v>
      </c>
      <c r="L631">
        <v>-324.94</v>
      </c>
      <c r="M631">
        <v>12.17</v>
      </c>
      <c r="N631" t="b">
        <v>0</v>
      </c>
      <c r="O631">
        <v>-1390</v>
      </c>
      <c r="P631" t="s">
        <v>644</v>
      </c>
      <c r="Q631" t="s">
        <v>2276</v>
      </c>
      <c r="R631">
        <v>0</v>
      </c>
      <c r="S631">
        <v>1472</v>
      </c>
      <c r="T631">
        <v>93392</v>
      </c>
      <c r="U631" t="s">
        <v>4616</v>
      </c>
      <c r="V631">
        <v>35.48</v>
      </c>
      <c r="W631" t="s">
        <v>6836</v>
      </c>
      <c r="X631" t="s">
        <v>8977</v>
      </c>
      <c r="Y631">
        <v>8699</v>
      </c>
      <c r="Z631">
        <v>-97</v>
      </c>
      <c r="AA631">
        <v>11830607</v>
      </c>
    </row>
    <row r="632" spans="1:28">
      <c r="A632" s="2">
        <f>HYPERLINK("https://finance.naver.com/item/coinfo.nhn?code=077970", "A077970")</f>
        <v>0</v>
      </c>
      <c r="B632">
        <f>HYPERLINK("http://comp.fnguide.com/SVO2/ASP/SVD_Consensus.asp?pGB=1&amp;gicode=A077970&amp;cID=&amp;MenuYn=Y&amp;ReportGB=&amp;NewMenuID=108&amp;stkGb=701", "STX엔진")</f>
        <v>0</v>
      </c>
      <c r="C632">
        <v>3</v>
      </c>
      <c r="D632">
        <v>7350</v>
      </c>
      <c r="E632">
        <v>-0.34</v>
      </c>
      <c r="F632">
        <v>9.199999999999999</v>
      </c>
      <c r="G632">
        <v>13278</v>
      </c>
      <c r="H632">
        <v>11505</v>
      </c>
      <c r="I632">
        <v>10999</v>
      </c>
      <c r="J632">
        <v>-80.66</v>
      </c>
      <c r="K632">
        <v>-56.52</v>
      </c>
      <c r="L632">
        <v>-49.65</v>
      </c>
      <c r="M632">
        <v>10.25</v>
      </c>
      <c r="N632" t="b">
        <v>1</v>
      </c>
      <c r="O632">
        <v>737</v>
      </c>
      <c r="P632" t="s">
        <v>645</v>
      </c>
      <c r="Q632" t="s">
        <v>2813</v>
      </c>
      <c r="R632">
        <v>-27</v>
      </c>
      <c r="S632">
        <v>1691</v>
      </c>
      <c r="T632">
        <v>182642</v>
      </c>
      <c r="U632" t="s">
        <v>4617</v>
      </c>
      <c r="V632">
        <v>84.42</v>
      </c>
      <c r="W632" t="s">
        <v>6837</v>
      </c>
      <c r="X632" t="s">
        <v>8978</v>
      </c>
      <c r="Y632">
        <v>6106</v>
      </c>
      <c r="Z632">
        <v>300</v>
      </c>
      <c r="AA632">
        <v>9297</v>
      </c>
    </row>
    <row r="633" spans="1:28">
      <c r="A633" s="2">
        <f>HYPERLINK("https://finance.naver.com/item/coinfo.nhn?code=117580", "A117580")</f>
        <v>0</v>
      </c>
      <c r="B633">
        <f>HYPERLINK("http://comp.fnguide.com/SVO2/ASP/SVD_Consensus.asp?pGB=1&amp;gicode=A117580&amp;cID=&amp;MenuYn=Y&amp;ReportGB=&amp;NewMenuID=108&amp;stkGb=701", "대성에너지")</f>
        <v>0</v>
      </c>
      <c r="C633">
        <v>3</v>
      </c>
      <c r="D633">
        <v>5480</v>
      </c>
      <c r="E633">
        <v>3.25</v>
      </c>
      <c r="F633">
        <v>11.06</v>
      </c>
      <c r="G633">
        <v>6155</v>
      </c>
      <c r="H633">
        <v>9154</v>
      </c>
      <c r="I633">
        <v>10008</v>
      </c>
      <c r="J633">
        <v>-12.32</v>
      </c>
      <c r="K633">
        <v>-67.04000000000001</v>
      </c>
      <c r="L633">
        <v>-82.63</v>
      </c>
      <c r="M633">
        <v>4.4</v>
      </c>
      <c r="N633" t="b">
        <v>0</v>
      </c>
      <c r="O633">
        <v>474</v>
      </c>
      <c r="P633" t="s">
        <v>646</v>
      </c>
      <c r="Q633" t="s">
        <v>2814</v>
      </c>
      <c r="R633">
        <v>3.40648756630002</v>
      </c>
      <c r="S633">
        <v>1507</v>
      </c>
      <c r="T633">
        <v>10811</v>
      </c>
      <c r="U633" t="s">
        <v>4618</v>
      </c>
      <c r="V633">
        <v>72.73</v>
      </c>
      <c r="W633" t="s">
        <v>6838</v>
      </c>
      <c r="X633" t="s">
        <v>8979</v>
      </c>
      <c r="Y633">
        <v>7749</v>
      </c>
      <c r="Z633">
        <v>243</v>
      </c>
      <c r="AB633">
        <v>4.77</v>
      </c>
    </row>
    <row r="634" spans="1:28">
      <c r="A634" s="2">
        <f>HYPERLINK("https://finance.naver.com/item/coinfo.nhn?code=102210", "A102210")</f>
        <v>0</v>
      </c>
      <c r="B634">
        <f>HYPERLINK("http://comp.fnguide.com/SVO2/ASP/SVD_Consensus.asp?pGB=1&amp;gicode=A102210&amp;cID=&amp;MenuYn=Y&amp;ReportGB=&amp;NewMenuID=108&amp;stkGb=701", "해덕파워웨이")</f>
        <v>0</v>
      </c>
      <c r="C634">
        <v>3</v>
      </c>
      <c r="D634">
        <v>1100</v>
      </c>
      <c r="G634">
        <v>0</v>
      </c>
      <c r="H634">
        <v>943</v>
      </c>
      <c r="I634">
        <v>1211</v>
      </c>
      <c r="J634">
        <v>100</v>
      </c>
      <c r="K634">
        <v>14.31</v>
      </c>
      <c r="L634">
        <v>-10.11</v>
      </c>
      <c r="M634">
        <v>0</v>
      </c>
      <c r="N634" t="b">
        <v>0</v>
      </c>
      <c r="O634">
        <v>-182</v>
      </c>
      <c r="P634" t="s">
        <v>647</v>
      </c>
      <c r="Q634" t="s">
        <v>2815</v>
      </c>
      <c r="R634">
        <v>-78.09999999999999</v>
      </c>
      <c r="S634">
        <v>811</v>
      </c>
      <c r="T634">
        <v>0</v>
      </c>
      <c r="U634" t="s">
        <v>4619</v>
      </c>
      <c r="V634">
        <v>15.89</v>
      </c>
      <c r="W634" t="s">
        <v>6839</v>
      </c>
      <c r="X634" t="s">
        <v>968</v>
      </c>
      <c r="Y634">
        <v>378</v>
      </c>
      <c r="Z634">
        <v>-28</v>
      </c>
      <c r="AA634">
        <v>2433472</v>
      </c>
    </row>
    <row r="635" spans="1:28">
      <c r="A635" s="2">
        <f>HYPERLINK("https://finance.naver.com/item/coinfo.nhn?code=023760", "A023760")</f>
        <v>0</v>
      </c>
      <c r="B635">
        <f>HYPERLINK("http://comp.fnguide.com/SVO2/ASP/SVD_Consensus.asp?pGB=1&amp;gicode=A023760&amp;cID=&amp;MenuYn=Y&amp;ReportGB=&amp;NewMenuID=108&amp;stkGb=701", "한국캐피탈")</f>
        <v>0</v>
      </c>
      <c r="C635">
        <v>3</v>
      </c>
      <c r="D635">
        <v>581</v>
      </c>
      <c r="E635">
        <v>0</v>
      </c>
      <c r="F635">
        <v>4.98</v>
      </c>
      <c r="G635">
        <v>783</v>
      </c>
      <c r="H635">
        <v>858</v>
      </c>
      <c r="I635">
        <v>879</v>
      </c>
      <c r="J635">
        <v>-34.8</v>
      </c>
      <c r="K635">
        <v>-47.63</v>
      </c>
      <c r="L635">
        <v>-51.29</v>
      </c>
      <c r="M635">
        <v>6.88</v>
      </c>
      <c r="N635" t="b">
        <v>1</v>
      </c>
      <c r="O635">
        <v>109</v>
      </c>
      <c r="P635" t="s">
        <v>648</v>
      </c>
      <c r="Q635" t="s">
        <v>2816</v>
      </c>
      <c r="R635">
        <v>-5.316520177583229</v>
      </c>
      <c r="S635">
        <v>1834</v>
      </c>
      <c r="T635">
        <v>341032</v>
      </c>
      <c r="U635" t="s">
        <v>4620</v>
      </c>
      <c r="V635">
        <v>80.41</v>
      </c>
      <c r="W635" t="s">
        <v>6840</v>
      </c>
      <c r="X635" t="s">
        <v>8980</v>
      </c>
      <c r="Y635">
        <v>564</v>
      </c>
      <c r="Z635">
        <v>269</v>
      </c>
      <c r="AA635">
        <v>3578001</v>
      </c>
      <c r="AB635">
        <v>4.59</v>
      </c>
    </row>
    <row r="636" spans="1:28">
      <c r="A636" s="2">
        <f>HYPERLINK("https://finance.naver.com/item/coinfo.nhn?code=003540", "A003540")</f>
        <v>0</v>
      </c>
      <c r="B636">
        <f>HYPERLINK("http://comp.fnguide.com/SVO2/ASP/SVD_Consensus.asp?pGB=1&amp;gicode=A003540&amp;cID=&amp;MenuYn=Y&amp;ReportGB=&amp;NewMenuID=108&amp;stkGb=701", "대신증권")</f>
        <v>0</v>
      </c>
      <c r="C636">
        <v>3</v>
      </c>
      <c r="D636">
        <v>14000</v>
      </c>
      <c r="E636">
        <v>1.9</v>
      </c>
      <c r="F636">
        <v>10.95</v>
      </c>
      <c r="G636">
        <v>40948</v>
      </c>
      <c r="H636">
        <v>49570</v>
      </c>
      <c r="I636">
        <v>52027</v>
      </c>
      <c r="J636">
        <v>-192.48</v>
      </c>
      <c r="K636">
        <v>-254.07</v>
      </c>
      <c r="L636">
        <v>-271.62</v>
      </c>
      <c r="M636">
        <v>5.9</v>
      </c>
      <c r="N636" t="b">
        <v>0</v>
      </c>
      <c r="O636">
        <v>1092</v>
      </c>
      <c r="P636" t="s">
        <v>649</v>
      </c>
      <c r="Q636" t="s">
        <v>2817</v>
      </c>
      <c r="R636">
        <v>5.754083799918308</v>
      </c>
      <c r="S636">
        <v>7108</v>
      </c>
      <c r="T636">
        <v>205567</v>
      </c>
      <c r="U636" t="s">
        <v>4621</v>
      </c>
      <c r="V636">
        <v>13.7</v>
      </c>
      <c r="W636" t="s">
        <v>6841</v>
      </c>
      <c r="X636" t="s">
        <v>8981</v>
      </c>
      <c r="Y636">
        <v>4775</v>
      </c>
      <c r="Z636">
        <v>997</v>
      </c>
      <c r="AA636">
        <v>14886491</v>
      </c>
      <c r="AB636">
        <v>8.369999999999999</v>
      </c>
    </row>
    <row r="637" spans="1:28">
      <c r="A637" s="2">
        <f>HYPERLINK("https://finance.naver.com/item/coinfo.nhn?code=017670", "A017670")</f>
        <v>0</v>
      </c>
      <c r="B637">
        <f>HYPERLINK("http://comp.fnguide.com/SVO2/ASP/SVD_Consensus.asp?pGB=1&amp;gicode=A017670&amp;cID=&amp;MenuYn=Y&amp;ReportGB=&amp;NewMenuID=108&amp;stkGb=701", "SK텔레콤")</f>
        <v>0</v>
      </c>
      <c r="C637">
        <v>3</v>
      </c>
      <c r="D637">
        <v>239500</v>
      </c>
      <c r="E637">
        <v>-3.35</v>
      </c>
      <c r="F637">
        <v>21.59</v>
      </c>
      <c r="G637">
        <v>390376</v>
      </c>
      <c r="H637">
        <v>348610</v>
      </c>
      <c r="I637">
        <v>336709</v>
      </c>
      <c r="J637">
        <v>-63</v>
      </c>
      <c r="K637">
        <v>-45.56</v>
      </c>
      <c r="L637">
        <v>-40.59</v>
      </c>
      <c r="M637">
        <v>9.699999999999999</v>
      </c>
      <c r="N637" t="b">
        <v>0</v>
      </c>
      <c r="O637">
        <v>11021</v>
      </c>
      <c r="P637" t="s">
        <v>650</v>
      </c>
      <c r="Q637" t="s">
        <v>2818</v>
      </c>
      <c r="R637">
        <v>-6.446468634937796</v>
      </c>
      <c r="S637">
        <v>193386</v>
      </c>
      <c r="T637">
        <v>303040</v>
      </c>
      <c r="U637" t="s">
        <v>4622</v>
      </c>
      <c r="V637">
        <v>26.78</v>
      </c>
      <c r="W637" t="s">
        <v>6842</v>
      </c>
      <c r="X637" t="s">
        <v>8982</v>
      </c>
      <c r="Y637">
        <v>177437</v>
      </c>
      <c r="Z637">
        <v>11100</v>
      </c>
      <c r="AA637">
        <v>9198558</v>
      </c>
      <c r="AB637">
        <v>4.2</v>
      </c>
    </row>
    <row r="638" spans="1:28">
      <c r="A638" s="2">
        <f>HYPERLINK("https://finance.naver.com/item/coinfo.nhn?code=001510", "A001510")</f>
        <v>0</v>
      </c>
      <c r="B638">
        <f>HYPERLINK("http://comp.fnguide.com/SVO2/ASP/SVD_Consensus.asp?pGB=1&amp;gicode=A001510&amp;cID=&amp;MenuYn=Y&amp;ReportGB=&amp;NewMenuID=108&amp;stkGb=701", "SK증권")</f>
        <v>0</v>
      </c>
      <c r="C638">
        <v>3</v>
      </c>
      <c r="D638">
        <v>831</v>
      </c>
      <c r="E638">
        <v>2.77</v>
      </c>
      <c r="F638">
        <v>9.26</v>
      </c>
      <c r="G638">
        <v>743</v>
      </c>
      <c r="H638">
        <v>1088</v>
      </c>
      <c r="I638">
        <v>1186</v>
      </c>
      <c r="J638">
        <v>10.59</v>
      </c>
      <c r="K638">
        <v>-30.91</v>
      </c>
      <c r="L638">
        <v>-42.73</v>
      </c>
      <c r="M638">
        <v>4.5</v>
      </c>
      <c r="N638" t="b">
        <v>0</v>
      </c>
      <c r="O638">
        <v>66</v>
      </c>
      <c r="P638" t="s">
        <v>651</v>
      </c>
      <c r="Q638" t="s">
        <v>2819</v>
      </c>
      <c r="R638">
        <v>3.348651042629158</v>
      </c>
      <c r="S638">
        <v>3927</v>
      </c>
      <c r="T638">
        <v>16849901</v>
      </c>
      <c r="U638" t="s">
        <v>4623</v>
      </c>
      <c r="V638">
        <v>19.6</v>
      </c>
      <c r="W638" t="s">
        <v>6843</v>
      </c>
      <c r="X638" t="s">
        <v>8983</v>
      </c>
      <c r="Y638">
        <v>2275</v>
      </c>
      <c r="Z638">
        <v>214</v>
      </c>
      <c r="AA638">
        <v>39683968</v>
      </c>
      <c r="AB638">
        <v>1.65</v>
      </c>
    </row>
    <row r="639" spans="1:28">
      <c r="A639" s="2">
        <f>HYPERLINK("https://finance.naver.com/item/coinfo.nhn?code=096770", "A096770")</f>
        <v>0</v>
      </c>
      <c r="B639">
        <f>HYPERLINK("http://comp.fnguide.com/SVO2/ASP/SVD_Consensus.asp?pGB=1&amp;gicode=A096770&amp;cID=&amp;MenuYn=Y&amp;ReportGB=&amp;NewMenuID=108&amp;stkGb=701", "SK이노베이션")</f>
        <v>0</v>
      </c>
      <c r="C639">
        <v>3</v>
      </c>
      <c r="D639">
        <v>177500</v>
      </c>
      <c r="G639">
        <v>133985</v>
      </c>
      <c r="H639">
        <v>180954</v>
      </c>
      <c r="I639">
        <v>194338</v>
      </c>
      <c r="J639">
        <v>24.52</v>
      </c>
      <c r="K639">
        <v>-1.95</v>
      </c>
      <c r="L639">
        <v>-9.49</v>
      </c>
      <c r="M639">
        <v>5.03</v>
      </c>
      <c r="N639" t="b">
        <v>0</v>
      </c>
      <c r="O639">
        <v>-381</v>
      </c>
      <c r="P639" t="s">
        <v>652</v>
      </c>
      <c r="Q639" t="s">
        <v>2820</v>
      </c>
      <c r="R639">
        <v>26.55724603622742</v>
      </c>
      <c r="S639">
        <v>164126</v>
      </c>
      <c r="T639">
        <v>1095411</v>
      </c>
      <c r="U639" t="s">
        <v>4624</v>
      </c>
      <c r="V639">
        <v>33.41</v>
      </c>
      <c r="W639" t="s">
        <v>6844</v>
      </c>
      <c r="X639" t="s">
        <v>8984</v>
      </c>
      <c r="Y639">
        <v>498765</v>
      </c>
      <c r="Z639">
        <v>12693</v>
      </c>
      <c r="AA639">
        <v>10130137</v>
      </c>
      <c r="AB639">
        <v>2</v>
      </c>
    </row>
    <row r="640" spans="1:28">
      <c r="A640" s="2">
        <f>HYPERLINK("https://finance.naver.com/item/coinfo.nhn?code=047040", "A047040")</f>
        <v>0</v>
      </c>
      <c r="B640">
        <f>HYPERLINK("http://comp.fnguide.com/SVO2/ASP/SVD_Consensus.asp?pGB=1&amp;gicode=A047040&amp;cID=&amp;MenuYn=Y&amp;ReportGB=&amp;NewMenuID=108&amp;stkGb=701", "대우건설")</f>
        <v>0</v>
      </c>
      <c r="C640">
        <v>3</v>
      </c>
      <c r="D640">
        <v>4070</v>
      </c>
      <c r="E640">
        <v>-0.97</v>
      </c>
      <c r="F640">
        <v>9.44</v>
      </c>
      <c r="G640">
        <v>8124</v>
      </c>
      <c r="H640">
        <v>6838</v>
      </c>
      <c r="I640">
        <v>6472</v>
      </c>
      <c r="J640">
        <v>-99.59999999999999</v>
      </c>
      <c r="K640">
        <v>-68.01000000000001</v>
      </c>
      <c r="L640">
        <v>-59.01</v>
      </c>
      <c r="M640">
        <v>10.82</v>
      </c>
      <c r="N640" t="b">
        <v>0</v>
      </c>
      <c r="O640">
        <v>502</v>
      </c>
      <c r="P640" t="s">
        <v>653</v>
      </c>
      <c r="Q640" t="s">
        <v>2821</v>
      </c>
      <c r="R640">
        <v>-9.703868940002792</v>
      </c>
      <c r="S640">
        <v>16916</v>
      </c>
      <c r="T640">
        <v>14254782</v>
      </c>
      <c r="U640" t="s">
        <v>4625</v>
      </c>
      <c r="V640">
        <v>50.76</v>
      </c>
      <c r="W640" t="s">
        <v>6845</v>
      </c>
      <c r="X640" t="s">
        <v>8985</v>
      </c>
      <c r="Y640">
        <v>86519</v>
      </c>
      <c r="Z640">
        <v>3641</v>
      </c>
      <c r="AA640">
        <v>4736918</v>
      </c>
    </row>
    <row r="641" spans="1:28">
      <c r="A641" s="2">
        <f>HYPERLINK("https://finance.naver.com/item/coinfo.nhn?code=076610", "A076610")</f>
        <v>0</v>
      </c>
      <c r="B641">
        <f>HYPERLINK("http://comp.fnguide.com/SVO2/ASP/SVD_Consensus.asp?pGB=1&amp;gicode=A076610&amp;cID=&amp;MenuYn=Y&amp;ReportGB=&amp;NewMenuID=108&amp;stkGb=701", "해성옵틱스")</f>
        <v>0</v>
      </c>
      <c r="C641">
        <v>3</v>
      </c>
      <c r="D641">
        <v>1425</v>
      </c>
      <c r="G641">
        <v>0</v>
      </c>
      <c r="H641">
        <v>1142</v>
      </c>
      <c r="I641">
        <v>1467</v>
      </c>
      <c r="J641">
        <v>100</v>
      </c>
      <c r="K641">
        <v>19.87</v>
      </c>
      <c r="L641">
        <v>-2.96</v>
      </c>
      <c r="M641">
        <v>0</v>
      </c>
      <c r="N641" t="b">
        <v>0</v>
      </c>
      <c r="O641">
        <v>-408</v>
      </c>
      <c r="P641" t="s">
        <v>654</v>
      </c>
      <c r="Q641" t="s">
        <v>2822</v>
      </c>
      <c r="R641">
        <v>-33.8</v>
      </c>
      <c r="S641">
        <v>456</v>
      </c>
      <c r="T641">
        <v>420543</v>
      </c>
      <c r="U641" t="s">
        <v>4626</v>
      </c>
      <c r="V641">
        <v>31.17</v>
      </c>
      <c r="W641" t="s">
        <v>6846</v>
      </c>
      <c r="X641" t="s">
        <v>968</v>
      </c>
      <c r="Y641">
        <v>3491</v>
      </c>
      <c r="Z641">
        <v>8</v>
      </c>
      <c r="AA641">
        <v>146818</v>
      </c>
    </row>
    <row r="642" spans="1:28">
      <c r="A642" s="2">
        <f>HYPERLINK("https://finance.naver.com/item/coinfo.nhn?code=006120", "A006120")</f>
        <v>0</v>
      </c>
      <c r="B642">
        <f>HYPERLINK("http://comp.fnguide.com/SVO2/ASP/SVD_Consensus.asp?pGB=1&amp;gicode=A006120&amp;cID=&amp;MenuYn=Y&amp;ReportGB=&amp;NewMenuID=108&amp;stkGb=701", "SK디스커버리")</f>
        <v>0</v>
      </c>
      <c r="C642">
        <v>3</v>
      </c>
      <c r="D642">
        <v>65000</v>
      </c>
      <c r="E642">
        <v>0.06</v>
      </c>
      <c r="F642">
        <v>2.96</v>
      </c>
      <c r="G642">
        <v>183471</v>
      </c>
      <c r="H642">
        <v>126375</v>
      </c>
      <c r="I642">
        <v>110106</v>
      </c>
      <c r="J642">
        <v>-182.26</v>
      </c>
      <c r="K642">
        <v>-94.42</v>
      </c>
      <c r="L642">
        <v>-69.39</v>
      </c>
      <c r="M642">
        <v>16.53</v>
      </c>
      <c r="N642" t="b">
        <v>1</v>
      </c>
      <c r="O642">
        <v>8844</v>
      </c>
      <c r="P642" t="s">
        <v>655</v>
      </c>
      <c r="Q642" t="s">
        <v>2823</v>
      </c>
      <c r="R642">
        <v>52.80809883747244</v>
      </c>
      <c r="S642">
        <v>12375</v>
      </c>
      <c r="T642">
        <v>205155</v>
      </c>
      <c r="U642" t="s">
        <v>4627</v>
      </c>
      <c r="V642">
        <v>45.11</v>
      </c>
      <c r="W642" t="s">
        <v>6847</v>
      </c>
      <c r="X642" t="s">
        <v>8986</v>
      </c>
      <c r="Y642">
        <v>50211</v>
      </c>
      <c r="Z642">
        <v>1739</v>
      </c>
      <c r="AA642">
        <v>12137</v>
      </c>
      <c r="AB642">
        <v>2.68</v>
      </c>
    </row>
    <row r="643" spans="1:28">
      <c r="A643" s="2">
        <f>HYPERLINK("https://finance.naver.com/item/coinfo.nhn?code=001740", "A001740")</f>
        <v>0</v>
      </c>
      <c r="B643">
        <f>HYPERLINK("http://comp.fnguide.com/SVO2/ASP/SVD_Consensus.asp?pGB=1&amp;gicode=A001740&amp;cID=&amp;MenuYn=Y&amp;ReportGB=&amp;NewMenuID=108&amp;stkGb=701", "SK네트웍스")</f>
        <v>0</v>
      </c>
      <c r="C643">
        <v>3</v>
      </c>
      <c r="D643">
        <v>4835</v>
      </c>
      <c r="G643">
        <v>416</v>
      </c>
      <c r="H643">
        <v>6114</v>
      </c>
      <c r="I643">
        <v>7737</v>
      </c>
      <c r="J643">
        <v>91.39</v>
      </c>
      <c r="K643">
        <v>-26.44</v>
      </c>
      <c r="L643">
        <v>-60.02</v>
      </c>
      <c r="M643">
        <v>0.33</v>
      </c>
      <c r="N643" t="b">
        <v>0</v>
      </c>
      <c r="O643">
        <v>-530</v>
      </c>
      <c r="P643" t="s">
        <v>656</v>
      </c>
      <c r="Q643" t="s">
        <v>2824</v>
      </c>
      <c r="R643">
        <v>-13.43782581288753</v>
      </c>
      <c r="S643">
        <v>12000</v>
      </c>
      <c r="T643">
        <v>644847</v>
      </c>
      <c r="U643" t="s">
        <v>4628</v>
      </c>
      <c r="V643">
        <v>40.43</v>
      </c>
      <c r="W643" t="s">
        <v>6848</v>
      </c>
      <c r="X643" t="s">
        <v>8987</v>
      </c>
      <c r="Y643">
        <v>130542</v>
      </c>
      <c r="Z643">
        <v>1094</v>
      </c>
      <c r="AA643">
        <v>29632966</v>
      </c>
      <c r="AB643">
        <v>2.02</v>
      </c>
    </row>
    <row r="644" spans="1:28">
      <c r="A644" s="2">
        <f>HYPERLINK("https://finance.naver.com/item/coinfo.nhn?code=042660", "A042660")</f>
        <v>0</v>
      </c>
      <c r="B644">
        <f>HYPERLINK("http://comp.fnguide.com/SVO2/ASP/SVD_Consensus.asp?pGB=1&amp;gicode=A042660&amp;cID=&amp;MenuYn=Y&amp;ReportGB=&amp;NewMenuID=108&amp;stkGb=701", "대우조선해양")</f>
        <v>0</v>
      </c>
      <c r="C644">
        <v>3</v>
      </c>
      <c r="D644">
        <v>27950</v>
      </c>
      <c r="G644">
        <v>34534</v>
      </c>
      <c r="H644">
        <v>34816</v>
      </c>
      <c r="I644">
        <v>34896</v>
      </c>
      <c r="J644">
        <v>-23.56</v>
      </c>
      <c r="K644">
        <v>-24.56</v>
      </c>
      <c r="L644">
        <v>-24.85</v>
      </c>
      <c r="M644">
        <v>7.86</v>
      </c>
      <c r="N644" t="b">
        <v>0</v>
      </c>
      <c r="O644">
        <v>-434</v>
      </c>
      <c r="P644" t="s">
        <v>657</v>
      </c>
      <c r="Q644" t="s">
        <v>2825</v>
      </c>
      <c r="R644">
        <v>61.05055107015313</v>
      </c>
      <c r="S644">
        <v>29988</v>
      </c>
      <c r="T644">
        <v>693175</v>
      </c>
      <c r="U644" t="s">
        <v>4629</v>
      </c>
      <c r="V644">
        <v>67.84999999999999</v>
      </c>
      <c r="W644" t="s">
        <v>6849</v>
      </c>
      <c r="X644" t="s">
        <v>8988</v>
      </c>
      <c r="Y644">
        <v>83587</v>
      </c>
      <c r="Z644">
        <v>2928</v>
      </c>
      <c r="AA644">
        <v>16207</v>
      </c>
    </row>
    <row r="645" spans="1:28">
      <c r="A645" s="2">
        <f>HYPERLINK("https://finance.naver.com/item/coinfo.nhn?code=018670", "A018670")</f>
        <v>0</v>
      </c>
      <c r="B645">
        <f>HYPERLINK("http://comp.fnguide.com/SVO2/ASP/SVD_Consensus.asp?pGB=1&amp;gicode=A018670&amp;cID=&amp;MenuYn=Y&amp;ReportGB=&amp;NewMenuID=108&amp;stkGb=701", "SK가스")</f>
        <v>0</v>
      </c>
      <c r="C645">
        <v>3</v>
      </c>
      <c r="D645">
        <v>109000</v>
      </c>
      <c r="E645">
        <v>0.05</v>
      </c>
      <c r="F645">
        <v>4.92</v>
      </c>
      <c r="G645">
        <v>172738</v>
      </c>
      <c r="H645">
        <v>180657</v>
      </c>
      <c r="I645">
        <v>182913</v>
      </c>
      <c r="J645">
        <v>-58.47</v>
      </c>
      <c r="K645">
        <v>-65.73999999999999</v>
      </c>
      <c r="L645">
        <v>-67.81</v>
      </c>
      <c r="M645">
        <v>7.4</v>
      </c>
      <c r="N645" t="b">
        <v>1</v>
      </c>
      <c r="O645">
        <v>17212</v>
      </c>
      <c r="P645" t="s">
        <v>658</v>
      </c>
      <c r="Q645" t="s">
        <v>2826</v>
      </c>
      <c r="R645">
        <v>91.24014207116969</v>
      </c>
      <c r="S645">
        <v>10061</v>
      </c>
      <c r="T645">
        <v>18428</v>
      </c>
      <c r="U645" t="s">
        <v>4630</v>
      </c>
      <c r="V645">
        <v>67.34999999999999</v>
      </c>
      <c r="W645" t="s">
        <v>6850</v>
      </c>
      <c r="X645" t="s">
        <v>8989</v>
      </c>
      <c r="Y645">
        <v>49311</v>
      </c>
      <c r="Z645">
        <v>1896</v>
      </c>
      <c r="AA645">
        <v>297248</v>
      </c>
      <c r="AB645">
        <v>3.51</v>
      </c>
    </row>
    <row r="646" spans="1:28">
      <c r="A646" s="2">
        <f>HYPERLINK("https://finance.naver.com/item/coinfo.nhn?code=000430", "A000430")</f>
        <v>0</v>
      </c>
      <c r="B646">
        <f>HYPERLINK("http://comp.fnguide.com/SVO2/ASP/SVD_Consensus.asp?pGB=1&amp;gicode=A000430&amp;cID=&amp;MenuYn=Y&amp;ReportGB=&amp;NewMenuID=108&amp;stkGb=701", "대원강업")</f>
        <v>0</v>
      </c>
      <c r="C646">
        <v>3</v>
      </c>
      <c r="D646">
        <v>3900</v>
      </c>
      <c r="E646">
        <v>-3.25</v>
      </c>
      <c r="F646">
        <v>13.13</v>
      </c>
      <c r="G646">
        <v>3645</v>
      </c>
      <c r="H646">
        <v>6108</v>
      </c>
      <c r="I646">
        <v>6809</v>
      </c>
      <c r="J646">
        <v>6.54</v>
      </c>
      <c r="K646">
        <v>-56.6</v>
      </c>
      <c r="L646">
        <v>-74.59999999999999</v>
      </c>
      <c r="M646">
        <v>3.75</v>
      </c>
      <c r="N646" t="b">
        <v>1</v>
      </c>
      <c r="O646">
        <v>258</v>
      </c>
      <c r="P646" t="s">
        <v>659</v>
      </c>
      <c r="Q646" t="s">
        <v>2827</v>
      </c>
      <c r="R646">
        <v>-4.038695264393288</v>
      </c>
      <c r="S646">
        <v>2418</v>
      </c>
      <c r="T646">
        <v>274783</v>
      </c>
      <c r="U646" t="s">
        <v>4631</v>
      </c>
      <c r="V646">
        <v>37.19</v>
      </c>
      <c r="W646" t="s">
        <v>6851</v>
      </c>
      <c r="X646" t="s">
        <v>8990</v>
      </c>
      <c r="Y646">
        <v>9602</v>
      </c>
      <c r="Z646">
        <v>269</v>
      </c>
      <c r="AB646">
        <v>3.39</v>
      </c>
    </row>
    <row r="647" spans="1:28">
      <c r="A647" s="2">
        <f>HYPERLINK("https://finance.naver.com/item/coinfo.nhn?code=039740", "A039740")</f>
        <v>0</v>
      </c>
      <c r="B647">
        <f>HYPERLINK("http://comp.fnguide.com/SVO2/ASP/SVD_Consensus.asp?pGB=1&amp;gicode=A039740&amp;cID=&amp;MenuYn=Y&amp;ReportGB=&amp;NewMenuID=108&amp;stkGb=701", "한국정보공학")</f>
        <v>0</v>
      </c>
      <c r="C647">
        <v>3</v>
      </c>
      <c r="D647">
        <v>3250</v>
      </c>
      <c r="E647">
        <v>0</v>
      </c>
      <c r="F647">
        <v>13.63</v>
      </c>
      <c r="G647">
        <v>1428</v>
      </c>
      <c r="H647">
        <v>3590</v>
      </c>
      <c r="I647">
        <v>4206</v>
      </c>
      <c r="J647">
        <v>56.05</v>
      </c>
      <c r="K647">
        <v>-10.46</v>
      </c>
      <c r="L647">
        <v>-29.41</v>
      </c>
      <c r="M647">
        <v>2.27</v>
      </c>
      <c r="N647" t="b">
        <v>1</v>
      </c>
      <c r="O647">
        <v>223</v>
      </c>
      <c r="P647" t="s">
        <v>660</v>
      </c>
      <c r="Q647" t="s">
        <v>2276</v>
      </c>
      <c r="R647">
        <v>0</v>
      </c>
      <c r="S647">
        <v>261</v>
      </c>
      <c r="T647">
        <v>13578</v>
      </c>
      <c r="U647" t="s">
        <v>4632</v>
      </c>
      <c r="V647">
        <v>48.62</v>
      </c>
      <c r="W647" t="s">
        <v>6852</v>
      </c>
      <c r="X647" t="s">
        <v>8991</v>
      </c>
      <c r="Y647">
        <v>1617</v>
      </c>
      <c r="Z647">
        <v>10</v>
      </c>
    </row>
    <row r="648" spans="1:28">
      <c r="A648" s="2">
        <f>HYPERLINK("https://finance.naver.com/item/coinfo.nhn?code=034730", "A034730")</f>
        <v>0</v>
      </c>
      <c r="B648">
        <f>HYPERLINK("http://comp.fnguide.com/SVO2/ASP/SVD_Consensus.asp?pGB=1&amp;gicode=A034730&amp;cID=&amp;MenuYn=Y&amp;ReportGB=&amp;NewMenuID=108&amp;stkGb=701", "SK")</f>
        <v>0</v>
      </c>
      <c r="C648">
        <v>3</v>
      </c>
      <c r="D648">
        <v>239500</v>
      </c>
      <c r="E648">
        <v>-0.53</v>
      </c>
      <c r="F648">
        <v>25.91</v>
      </c>
      <c r="G648">
        <v>368380</v>
      </c>
      <c r="H648">
        <v>338719</v>
      </c>
      <c r="I648">
        <v>330267</v>
      </c>
      <c r="J648">
        <v>-53.81</v>
      </c>
      <c r="K648">
        <v>-41.43</v>
      </c>
      <c r="L648">
        <v>-37.9</v>
      </c>
      <c r="M648">
        <v>9.199999999999999</v>
      </c>
      <c r="N648" t="b">
        <v>0</v>
      </c>
      <c r="O648">
        <v>10113</v>
      </c>
      <c r="P648" t="s">
        <v>661</v>
      </c>
      <c r="Q648" t="s">
        <v>2828</v>
      </c>
      <c r="R648">
        <v>-48.98831413502349</v>
      </c>
      <c r="S648">
        <v>168513</v>
      </c>
      <c r="T648">
        <v>607222</v>
      </c>
      <c r="U648" t="s">
        <v>4633</v>
      </c>
      <c r="V648">
        <v>29.55</v>
      </c>
      <c r="W648" t="s">
        <v>6853</v>
      </c>
      <c r="X648" t="s">
        <v>8992</v>
      </c>
      <c r="Y648">
        <v>992646</v>
      </c>
      <c r="Z648">
        <v>39499</v>
      </c>
      <c r="AA648">
        <v>18055950</v>
      </c>
      <c r="AB648">
        <v>1.91</v>
      </c>
    </row>
    <row r="649" spans="1:28">
      <c r="A649" s="2">
        <f>HYPERLINK("https://finance.naver.com/item/coinfo.nhn?code=101680", "A101680")</f>
        <v>0</v>
      </c>
      <c r="B649">
        <f>HYPERLINK("http://comp.fnguide.com/SVO2/ASP/SVD_Consensus.asp?pGB=1&amp;gicode=A101680&amp;cID=&amp;MenuYn=Y&amp;ReportGB=&amp;NewMenuID=108&amp;stkGb=701", "한국정밀기계")</f>
        <v>0</v>
      </c>
      <c r="C649">
        <v>3</v>
      </c>
      <c r="D649">
        <v>1635</v>
      </c>
      <c r="E649">
        <v>0</v>
      </c>
      <c r="G649">
        <v>0</v>
      </c>
      <c r="H649">
        <v>4061</v>
      </c>
      <c r="I649">
        <v>5219</v>
      </c>
      <c r="J649">
        <v>100</v>
      </c>
      <c r="K649">
        <v>-148.41</v>
      </c>
      <c r="L649">
        <v>-219.19</v>
      </c>
      <c r="M649">
        <v>0</v>
      </c>
      <c r="N649" t="b">
        <v>0</v>
      </c>
      <c r="O649">
        <v>-146</v>
      </c>
      <c r="P649" t="s">
        <v>662</v>
      </c>
      <c r="Q649" t="s">
        <v>2276</v>
      </c>
      <c r="R649">
        <v>0</v>
      </c>
      <c r="S649">
        <v>137</v>
      </c>
      <c r="T649">
        <v>14006</v>
      </c>
      <c r="U649" t="s">
        <v>4634</v>
      </c>
      <c r="V649">
        <v>53.16</v>
      </c>
      <c r="W649" t="s">
        <v>6854</v>
      </c>
      <c r="X649" t="s">
        <v>968</v>
      </c>
      <c r="Y649">
        <v>453</v>
      </c>
      <c r="Z649">
        <v>-14</v>
      </c>
      <c r="AA649">
        <v>1231</v>
      </c>
    </row>
    <row r="650" spans="1:28">
      <c r="A650" s="2">
        <f>HYPERLINK("https://finance.naver.com/item/coinfo.nhn?code=006660", "A006660")</f>
        <v>0</v>
      </c>
      <c r="B650">
        <f>HYPERLINK("http://comp.fnguide.com/SVO2/ASP/SVD_Consensus.asp?pGB=1&amp;gicode=A006660&amp;cID=&amp;MenuYn=Y&amp;ReportGB=&amp;NewMenuID=108&amp;stkGb=701", "삼성공조")</f>
        <v>0</v>
      </c>
      <c r="C650">
        <v>3</v>
      </c>
      <c r="D650">
        <v>6630</v>
      </c>
      <c r="E650">
        <v>-0.49</v>
      </c>
      <c r="F650">
        <v>13.65</v>
      </c>
      <c r="G650">
        <v>10281</v>
      </c>
      <c r="H650">
        <v>20370</v>
      </c>
      <c r="I650">
        <v>23245</v>
      </c>
      <c r="J650">
        <v>-55.07</v>
      </c>
      <c r="K650">
        <v>-207.25</v>
      </c>
      <c r="L650">
        <v>-250.61</v>
      </c>
      <c r="M650">
        <v>3.03</v>
      </c>
      <c r="N650" t="b">
        <v>1</v>
      </c>
      <c r="O650">
        <v>585</v>
      </c>
      <c r="P650" t="s">
        <v>663</v>
      </c>
      <c r="Q650" t="s">
        <v>2829</v>
      </c>
      <c r="R650">
        <v>-27.91771450164791</v>
      </c>
      <c r="S650">
        <v>539</v>
      </c>
      <c r="T650">
        <v>13690</v>
      </c>
      <c r="U650" t="s">
        <v>4635</v>
      </c>
      <c r="V650">
        <v>51.23</v>
      </c>
      <c r="W650" t="s">
        <v>6855</v>
      </c>
      <c r="X650" t="s">
        <v>8993</v>
      </c>
      <c r="Y650">
        <v>752</v>
      </c>
      <c r="Z650">
        <v>-41</v>
      </c>
      <c r="AA650">
        <v>107310</v>
      </c>
      <c r="AB650">
        <v>0.75</v>
      </c>
    </row>
    <row r="651" spans="1:28">
      <c r="A651" s="2">
        <f>HYPERLINK("https://finance.naver.com/item/coinfo.nhn?code=017040", "A017040")</f>
        <v>0</v>
      </c>
      <c r="B651">
        <f>HYPERLINK("http://comp.fnguide.com/SVO2/ASP/SVD_Consensus.asp?pGB=1&amp;gicode=A017040&amp;cID=&amp;MenuYn=Y&amp;ReportGB=&amp;NewMenuID=108&amp;stkGb=701", "광명전기")</f>
        <v>0</v>
      </c>
      <c r="C651">
        <v>3</v>
      </c>
      <c r="D651">
        <v>2010</v>
      </c>
      <c r="E651">
        <v>0.18</v>
      </c>
      <c r="F651">
        <v>12.33</v>
      </c>
      <c r="G651">
        <v>1483</v>
      </c>
      <c r="H651">
        <v>1946</v>
      </c>
      <c r="I651">
        <v>2078</v>
      </c>
      <c r="J651">
        <v>26.24</v>
      </c>
      <c r="K651">
        <v>3.17</v>
      </c>
      <c r="L651">
        <v>-3.41</v>
      </c>
      <c r="M651">
        <v>5.24</v>
      </c>
      <c r="N651" t="b">
        <v>1</v>
      </c>
      <c r="O651">
        <v>185</v>
      </c>
      <c r="P651" t="s">
        <v>664</v>
      </c>
      <c r="Q651" t="s">
        <v>2830</v>
      </c>
      <c r="R651">
        <v>69.51374584763654</v>
      </c>
      <c r="S651">
        <v>871</v>
      </c>
      <c r="T651">
        <v>416832</v>
      </c>
      <c r="U651" t="s">
        <v>4636</v>
      </c>
      <c r="V651">
        <v>32.07</v>
      </c>
      <c r="W651" t="s">
        <v>6856</v>
      </c>
      <c r="X651" t="s">
        <v>8994</v>
      </c>
      <c r="Y651">
        <v>1319</v>
      </c>
      <c r="Z651">
        <v>80</v>
      </c>
      <c r="AB651">
        <v>0.66</v>
      </c>
    </row>
    <row r="652" spans="1:28">
      <c r="A652" s="2">
        <f>HYPERLINK("https://finance.naver.com/item/coinfo.nhn?code=017940", "A017940")</f>
        <v>0</v>
      </c>
      <c r="B652">
        <f>HYPERLINK("http://comp.fnguide.com/SVO2/ASP/SVD_Consensus.asp?pGB=1&amp;gicode=A017940&amp;cID=&amp;MenuYn=Y&amp;ReportGB=&amp;NewMenuID=108&amp;stkGb=701", "E1")</f>
        <v>0</v>
      </c>
      <c r="C652">
        <v>3</v>
      </c>
      <c r="D652">
        <v>45900</v>
      </c>
      <c r="G652">
        <v>70693</v>
      </c>
      <c r="H652">
        <v>128127</v>
      </c>
      <c r="I652">
        <v>144492</v>
      </c>
      <c r="J652">
        <v>-54.01</v>
      </c>
      <c r="K652">
        <v>-179.14</v>
      </c>
      <c r="L652">
        <v>-214.8</v>
      </c>
      <c r="M652">
        <v>3.39</v>
      </c>
      <c r="N652" t="b">
        <v>0</v>
      </c>
      <c r="O652">
        <v>-6293</v>
      </c>
      <c r="P652" t="s">
        <v>665</v>
      </c>
      <c r="Q652" t="s">
        <v>2831</v>
      </c>
      <c r="R652">
        <v>-7.499999999999996</v>
      </c>
      <c r="S652">
        <v>3149</v>
      </c>
      <c r="T652">
        <v>13575</v>
      </c>
      <c r="U652" t="s">
        <v>4637</v>
      </c>
      <c r="V652">
        <v>45.33</v>
      </c>
      <c r="W652" t="s">
        <v>6857</v>
      </c>
      <c r="X652" t="s">
        <v>8995</v>
      </c>
      <c r="Y652">
        <v>46083</v>
      </c>
      <c r="Z652">
        <v>1063</v>
      </c>
      <c r="AB652">
        <v>4.55</v>
      </c>
    </row>
    <row r="653" spans="1:28">
      <c r="A653" s="2">
        <f>HYPERLINK("https://finance.naver.com/item/coinfo.nhn?code=001770", "A001770")</f>
        <v>0</v>
      </c>
      <c r="B653">
        <f>HYPERLINK("http://comp.fnguide.com/SVO2/ASP/SVD_Consensus.asp?pGB=1&amp;gicode=A001770&amp;cID=&amp;MenuYn=Y&amp;ReportGB=&amp;NewMenuID=108&amp;stkGb=701", "신화실업")</f>
        <v>0</v>
      </c>
      <c r="C653">
        <v>3</v>
      </c>
      <c r="D653">
        <v>20450</v>
      </c>
      <c r="E653">
        <v>-0.62</v>
      </c>
      <c r="F653">
        <v>24.08</v>
      </c>
      <c r="G653">
        <v>16324</v>
      </c>
      <c r="H653">
        <v>23430</v>
      </c>
      <c r="I653">
        <v>25455</v>
      </c>
      <c r="J653">
        <v>20.17</v>
      </c>
      <c r="K653">
        <v>-14.57</v>
      </c>
      <c r="L653">
        <v>-24.47</v>
      </c>
      <c r="M653">
        <v>4.62</v>
      </c>
      <c r="N653" t="b">
        <v>0</v>
      </c>
      <c r="O653">
        <v>793</v>
      </c>
      <c r="P653" t="s">
        <v>666</v>
      </c>
      <c r="Q653" t="s">
        <v>2832</v>
      </c>
      <c r="R653">
        <v>-38.53899190300824</v>
      </c>
      <c r="S653">
        <v>248</v>
      </c>
      <c r="T653">
        <v>20649</v>
      </c>
      <c r="U653" t="s">
        <v>4638</v>
      </c>
      <c r="V653">
        <v>51.86</v>
      </c>
      <c r="W653" t="s">
        <v>6858</v>
      </c>
      <c r="X653" t="s">
        <v>8996</v>
      </c>
      <c r="Y653">
        <v>741</v>
      </c>
      <c r="Z653">
        <v>10</v>
      </c>
      <c r="AB653">
        <v>0.52</v>
      </c>
    </row>
    <row r="654" spans="1:28">
      <c r="A654" s="2">
        <f>HYPERLINK("https://finance.naver.com/item/coinfo.nhn?code=004170", "A004170")</f>
        <v>0</v>
      </c>
      <c r="B654">
        <f>HYPERLINK("http://comp.fnguide.com/SVO2/ASP/SVD_Consensus.asp?pGB=1&amp;gicode=A004170&amp;cID=&amp;MenuYn=Y&amp;ReportGB=&amp;NewMenuID=108&amp;stkGb=701", "신세계")</f>
        <v>0</v>
      </c>
      <c r="C654">
        <v>3</v>
      </c>
      <c r="D654">
        <v>235500</v>
      </c>
      <c r="E654">
        <v>0.78</v>
      </c>
      <c r="F654">
        <v>5.4</v>
      </c>
      <c r="G654">
        <v>518217</v>
      </c>
      <c r="H654">
        <v>446695</v>
      </c>
      <c r="I654">
        <v>426316</v>
      </c>
      <c r="J654">
        <v>-120.05</v>
      </c>
      <c r="K654">
        <v>-89.68000000000001</v>
      </c>
      <c r="L654">
        <v>-81.03</v>
      </c>
      <c r="M654">
        <v>10.35</v>
      </c>
      <c r="N654" t="b">
        <v>1</v>
      </c>
      <c r="O654">
        <v>53472</v>
      </c>
      <c r="P654" t="s">
        <v>667</v>
      </c>
      <c r="Q654" t="s">
        <v>2833</v>
      </c>
      <c r="R654">
        <v>6.95719411309057</v>
      </c>
      <c r="S654">
        <v>23185</v>
      </c>
      <c r="T654">
        <v>97508</v>
      </c>
      <c r="U654" t="s">
        <v>4639</v>
      </c>
      <c r="V654">
        <v>28.57</v>
      </c>
      <c r="W654" t="s">
        <v>6859</v>
      </c>
      <c r="X654" t="s">
        <v>8997</v>
      </c>
      <c r="Y654">
        <v>63942</v>
      </c>
      <c r="Z654">
        <v>4678</v>
      </c>
      <c r="AA654">
        <v>8774</v>
      </c>
      <c r="AB654">
        <v>0.6899999999999999</v>
      </c>
    </row>
    <row r="655" spans="1:28">
      <c r="A655" s="2">
        <f>HYPERLINK("https://finance.naver.com/item/coinfo.nhn?code=009770", "A009770")</f>
        <v>0</v>
      </c>
      <c r="B655">
        <f>HYPERLINK("http://comp.fnguide.com/SVO2/ASP/SVD_Consensus.asp?pGB=1&amp;gicode=A009770&amp;cID=&amp;MenuYn=Y&amp;ReportGB=&amp;NewMenuID=108&amp;stkGb=701", "삼정펄프")</f>
        <v>0</v>
      </c>
      <c r="C655">
        <v>3</v>
      </c>
      <c r="D655">
        <v>29150</v>
      </c>
      <c r="E655">
        <v>0.2</v>
      </c>
      <c r="F655">
        <v>17.58</v>
      </c>
      <c r="G655">
        <v>20769</v>
      </c>
      <c r="H655">
        <v>52656</v>
      </c>
      <c r="I655">
        <v>61743</v>
      </c>
      <c r="J655">
        <v>28.75</v>
      </c>
      <c r="K655">
        <v>-80.64</v>
      </c>
      <c r="L655">
        <v>-111.81</v>
      </c>
      <c r="M655">
        <v>2.24</v>
      </c>
      <c r="N655" t="b">
        <v>1</v>
      </c>
      <c r="O655">
        <v>1868</v>
      </c>
      <c r="P655" t="s">
        <v>668</v>
      </c>
      <c r="Q655" t="s">
        <v>2834</v>
      </c>
      <c r="R655">
        <v>86.86097209197976</v>
      </c>
      <c r="S655">
        <v>729</v>
      </c>
      <c r="T655">
        <v>3655</v>
      </c>
      <c r="U655" t="s">
        <v>4640</v>
      </c>
      <c r="V655">
        <v>74.13</v>
      </c>
      <c r="W655" t="s">
        <v>6860</v>
      </c>
      <c r="X655" t="s">
        <v>8998</v>
      </c>
      <c r="Y655">
        <v>1471</v>
      </c>
      <c r="Z655">
        <v>67</v>
      </c>
    </row>
    <row r="656" spans="1:28">
      <c r="A656" s="2">
        <f>HYPERLINK("https://finance.naver.com/item/coinfo.nhn?code=027710", "A027710")</f>
        <v>0</v>
      </c>
      <c r="B656">
        <f>HYPERLINK("http://comp.fnguide.com/SVO2/ASP/SVD_Consensus.asp?pGB=1&amp;gicode=A027710&amp;cID=&amp;MenuYn=Y&amp;ReportGB=&amp;NewMenuID=108&amp;stkGb=701", "팜스토리")</f>
        <v>0</v>
      </c>
      <c r="C656">
        <v>3</v>
      </c>
      <c r="D656">
        <v>1160</v>
      </c>
      <c r="G656">
        <v>290</v>
      </c>
      <c r="H656">
        <v>996</v>
      </c>
      <c r="I656">
        <v>1197</v>
      </c>
      <c r="J656">
        <v>75.02</v>
      </c>
      <c r="K656">
        <v>14.16</v>
      </c>
      <c r="L656">
        <v>-3.18</v>
      </c>
      <c r="M656">
        <v>1.58</v>
      </c>
      <c r="N656" t="b">
        <v>0</v>
      </c>
      <c r="O656">
        <v>-57</v>
      </c>
      <c r="P656" t="s">
        <v>669</v>
      </c>
      <c r="Q656" t="s">
        <v>2835</v>
      </c>
      <c r="R656">
        <v>63.23976917921949</v>
      </c>
      <c r="S656">
        <v>1292</v>
      </c>
      <c r="T656">
        <v>299177</v>
      </c>
      <c r="U656" t="s">
        <v>4641</v>
      </c>
      <c r="V656">
        <v>70.63</v>
      </c>
      <c r="W656" t="s">
        <v>6861</v>
      </c>
      <c r="X656" t="s">
        <v>8999</v>
      </c>
      <c r="Y656">
        <v>9708</v>
      </c>
      <c r="Z656">
        <v>148</v>
      </c>
      <c r="AA656">
        <v>814339</v>
      </c>
      <c r="AB656">
        <v>2.22</v>
      </c>
    </row>
    <row r="657" spans="1:28">
      <c r="A657" s="2">
        <f>HYPERLINK("https://finance.naver.com/item/coinfo.nhn?code=012630", "A012630")</f>
        <v>0</v>
      </c>
      <c r="B657">
        <f>HYPERLINK("http://comp.fnguide.com/SVO2/ASP/SVD_Consensus.asp?pGB=1&amp;gicode=A012630&amp;cID=&amp;MenuYn=Y&amp;ReportGB=&amp;NewMenuID=108&amp;stkGb=701", "HDC")</f>
        <v>0</v>
      </c>
      <c r="C657">
        <v>3</v>
      </c>
      <c r="D657">
        <v>10800</v>
      </c>
      <c r="E657">
        <v>-0.16</v>
      </c>
      <c r="F657">
        <v>2.57</v>
      </c>
      <c r="G657">
        <v>106822</v>
      </c>
      <c r="H657">
        <v>66296</v>
      </c>
      <c r="I657">
        <v>54748</v>
      </c>
      <c r="J657">
        <v>-889.09</v>
      </c>
      <c r="K657">
        <v>-513.85</v>
      </c>
      <c r="L657">
        <v>-406.93</v>
      </c>
      <c r="M657">
        <v>21.62</v>
      </c>
      <c r="N657" t="b">
        <v>1</v>
      </c>
      <c r="O657">
        <v>4295</v>
      </c>
      <c r="P657" t="s">
        <v>670</v>
      </c>
      <c r="Q657" t="s">
        <v>2836</v>
      </c>
      <c r="R657">
        <v>-15.97684580240213</v>
      </c>
      <c r="S657">
        <v>6452</v>
      </c>
      <c r="T657">
        <v>1200131</v>
      </c>
      <c r="U657" t="s">
        <v>4642</v>
      </c>
      <c r="V657">
        <v>38.05</v>
      </c>
      <c r="W657" t="s">
        <v>6862</v>
      </c>
      <c r="X657" t="s">
        <v>9000</v>
      </c>
      <c r="Y657">
        <v>16167</v>
      </c>
      <c r="Z657">
        <v>1281</v>
      </c>
      <c r="AA657">
        <v>4919656</v>
      </c>
      <c r="AB657">
        <v>1.81</v>
      </c>
    </row>
    <row r="658" spans="1:28">
      <c r="A658" s="2">
        <f>HYPERLINK("https://finance.naver.com/item/coinfo.nhn?code=136490", "A136490")</f>
        <v>0</v>
      </c>
      <c r="B658">
        <f>HYPERLINK("http://comp.fnguide.com/SVO2/ASP/SVD_Consensus.asp?pGB=1&amp;gicode=A136490&amp;cID=&amp;MenuYn=Y&amp;ReportGB=&amp;NewMenuID=108&amp;stkGb=701", "선진")</f>
        <v>0</v>
      </c>
      <c r="C658">
        <v>3</v>
      </c>
      <c r="D658">
        <v>10200</v>
      </c>
      <c r="E658">
        <v>0.21</v>
      </c>
      <c r="F658">
        <v>10.45</v>
      </c>
      <c r="G658">
        <v>14716</v>
      </c>
      <c r="H658">
        <v>13950</v>
      </c>
      <c r="I658">
        <v>13731</v>
      </c>
      <c r="J658">
        <v>-44.28</v>
      </c>
      <c r="K658">
        <v>-36.76</v>
      </c>
      <c r="L658">
        <v>-34.62</v>
      </c>
      <c r="M658">
        <v>8.73</v>
      </c>
      <c r="N658" t="b">
        <v>1</v>
      </c>
      <c r="O658">
        <v>899</v>
      </c>
      <c r="P658" t="s">
        <v>671</v>
      </c>
      <c r="Q658" t="s">
        <v>2837</v>
      </c>
      <c r="R658">
        <v>50.76358713008942</v>
      </c>
      <c r="S658">
        <v>2426</v>
      </c>
      <c r="T658">
        <v>126210</v>
      </c>
      <c r="U658" t="s">
        <v>4643</v>
      </c>
      <c r="V658">
        <v>50.05</v>
      </c>
      <c r="W658" t="s">
        <v>6863</v>
      </c>
      <c r="X658" t="s">
        <v>9001</v>
      </c>
      <c r="Y658">
        <v>10140</v>
      </c>
      <c r="Z658">
        <v>401</v>
      </c>
      <c r="AA658">
        <v>396</v>
      </c>
      <c r="AB658">
        <v>0.53</v>
      </c>
    </row>
    <row r="659" spans="1:28">
      <c r="A659" s="2">
        <f>HYPERLINK("https://finance.naver.com/item/coinfo.nhn?code=002820", "A002820")</f>
        <v>0</v>
      </c>
      <c r="B659">
        <f>HYPERLINK("http://comp.fnguide.com/SVO2/ASP/SVD_Consensus.asp?pGB=1&amp;gicode=A002820&amp;cID=&amp;MenuYn=Y&amp;ReportGB=&amp;NewMenuID=108&amp;stkGb=701", "선창산업")</f>
        <v>0</v>
      </c>
      <c r="C659">
        <v>3</v>
      </c>
      <c r="D659">
        <v>4630</v>
      </c>
      <c r="G659">
        <v>0</v>
      </c>
      <c r="H659">
        <v>10898</v>
      </c>
      <c r="I659">
        <v>14003</v>
      </c>
      <c r="J659">
        <v>100</v>
      </c>
      <c r="K659">
        <v>-135.37</v>
      </c>
      <c r="L659">
        <v>-202.44</v>
      </c>
      <c r="M659">
        <v>0</v>
      </c>
      <c r="N659" t="b">
        <v>0</v>
      </c>
      <c r="O659">
        <v>-2973</v>
      </c>
      <c r="P659" t="s">
        <v>672</v>
      </c>
      <c r="Q659" t="s">
        <v>2838</v>
      </c>
      <c r="R659">
        <v>103.2</v>
      </c>
      <c r="S659">
        <v>584</v>
      </c>
      <c r="T659">
        <v>19382</v>
      </c>
      <c r="U659" t="s">
        <v>4644</v>
      </c>
      <c r="V659">
        <v>46.56</v>
      </c>
      <c r="W659" t="s">
        <v>6864</v>
      </c>
      <c r="X659" t="s">
        <v>968</v>
      </c>
      <c r="Y659">
        <v>4559</v>
      </c>
      <c r="Z659">
        <v>-187</v>
      </c>
      <c r="AA659">
        <v>544785</v>
      </c>
    </row>
    <row r="660" spans="1:28">
      <c r="A660" s="2">
        <f>HYPERLINK("https://finance.naver.com/item/coinfo.nhn?code=039570", "A039570")</f>
        <v>0</v>
      </c>
      <c r="B660">
        <f>HYPERLINK("http://comp.fnguide.com/SVO2/ASP/SVD_Consensus.asp?pGB=1&amp;gicode=A039570&amp;cID=&amp;MenuYn=Y&amp;ReportGB=&amp;NewMenuID=108&amp;stkGb=701", "HDC아이콘트롤스")</f>
        <v>0</v>
      </c>
      <c r="C660">
        <v>3</v>
      </c>
      <c r="D660">
        <v>9490</v>
      </c>
      <c r="G660">
        <v>8585</v>
      </c>
      <c r="H660">
        <v>10142</v>
      </c>
      <c r="I660">
        <v>10586</v>
      </c>
      <c r="J660">
        <v>9.539999999999999</v>
      </c>
      <c r="K660">
        <v>-6.87</v>
      </c>
      <c r="L660">
        <v>-11.55</v>
      </c>
      <c r="M660">
        <v>6.12</v>
      </c>
      <c r="N660" t="b">
        <v>0</v>
      </c>
      <c r="O660">
        <v>-358</v>
      </c>
      <c r="P660" t="s">
        <v>673</v>
      </c>
      <c r="Q660" t="s">
        <v>2839</v>
      </c>
      <c r="R660">
        <v>8.761033319359823</v>
      </c>
      <c r="S660">
        <v>1562</v>
      </c>
      <c r="T660">
        <v>31031</v>
      </c>
      <c r="U660" t="s">
        <v>4645</v>
      </c>
      <c r="V660">
        <v>57.84</v>
      </c>
      <c r="W660" t="s">
        <v>6865</v>
      </c>
      <c r="X660" t="s">
        <v>9002</v>
      </c>
      <c r="Y660">
        <v>2524</v>
      </c>
      <c r="Z660">
        <v>130</v>
      </c>
      <c r="AA660">
        <v>1375412</v>
      </c>
      <c r="AB660">
        <v>3.21</v>
      </c>
    </row>
    <row r="661" spans="1:28">
      <c r="A661" s="2">
        <f>HYPERLINK("https://finance.naver.com/item/coinfo.nhn?code=004440", "A004440")</f>
        <v>0</v>
      </c>
      <c r="B661">
        <f>HYPERLINK("http://comp.fnguide.com/SVO2/ASP/SVD_Consensus.asp?pGB=1&amp;gicode=A004440&amp;cID=&amp;MenuYn=Y&amp;ReportGB=&amp;NewMenuID=108&amp;stkGb=701", "삼일씨엔에스")</f>
        <v>0</v>
      </c>
      <c r="C661">
        <v>3</v>
      </c>
      <c r="D661">
        <v>9980</v>
      </c>
      <c r="E661">
        <v>-0.53</v>
      </c>
      <c r="F661">
        <v>36.16</v>
      </c>
      <c r="G661">
        <v>2033</v>
      </c>
      <c r="H661">
        <v>13968</v>
      </c>
      <c r="I661">
        <v>17369</v>
      </c>
      <c r="J661">
        <v>79.63</v>
      </c>
      <c r="K661">
        <v>-39.96</v>
      </c>
      <c r="L661">
        <v>-74.04000000000001</v>
      </c>
      <c r="M661">
        <v>0.74</v>
      </c>
      <c r="N661" t="b">
        <v>0</v>
      </c>
      <c r="O661">
        <v>211</v>
      </c>
      <c r="P661" t="s">
        <v>674</v>
      </c>
      <c r="Q661" t="s">
        <v>2840</v>
      </c>
      <c r="R661">
        <v>-67.96814085945057</v>
      </c>
      <c r="S661">
        <v>1271</v>
      </c>
      <c r="T661">
        <v>56119</v>
      </c>
      <c r="U661" t="s">
        <v>4646</v>
      </c>
      <c r="V661">
        <v>54.34</v>
      </c>
      <c r="W661" t="s">
        <v>6866</v>
      </c>
      <c r="X661" t="s">
        <v>9003</v>
      </c>
      <c r="Y661">
        <v>1955</v>
      </c>
      <c r="Z661">
        <v>36</v>
      </c>
      <c r="AB661">
        <v>0.5</v>
      </c>
    </row>
    <row r="662" spans="1:28">
      <c r="A662" s="2">
        <f>HYPERLINK("https://finance.naver.com/item/coinfo.nhn?code=002450", "A002450")</f>
        <v>0</v>
      </c>
      <c r="B662">
        <f>HYPERLINK("http://comp.fnguide.com/SVO2/ASP/SVD_Consensus.asp?pGB=1&amp;gicode=A002450&amp;cID=&amp;MenuYn=Y&amp;ReportGB=&amp;NewMenuID=108&amp;stkGb=701", "삼익악기")</f>
        <v>0</v>
      </c>
      <c r="C662">
        <v>3</v>
      </c>
      <c r="D662">
        <v>1450</v>
      </c>
      <c r="E662">
        <v>-0.3</v>
      </c>
      <c r="F662">
        <v>12.3</v>
      </c>
      <c r="G662">
        <v>1785</v>
      </c>
      <c r="H662">
        <v>2326</v>
      </c>
      <c r="I662">
        <v>2480</v>
      </c>
      <c r="J662">
        <v>-23.11</v>
      </c>
      <c r="K662">
        <v>-60.41</v>
      </c>
      <c r="L662">
        <v>-71.04000000000001</v>
      </c>
      <c r="M662">
        <v>5.3</v>
      </c>
      <c r="N662" t="b">
        <v>1</v>
      </c>
      <c r="O662">
        <v>151</v>
      </c>
      <c r="P662" t="s">
        <v>675</v>
      </c>
      <c r="Q662" t="s">
        <v>2841</v>
      </c>
      <c r="R662">
        <v>-40.69283652442957</v>
      </c>
      <c r="S662">
        <v>1313</v>
      </c>
      <c r="T662">
        <v>273579</v>
      </c>
      <c r="U662" t="s">
        <v>4647</v>
      </c>
      <c r="V662">
        <v>40.33</v>
      </c>
      <c r="W662" t="s">
        <v>6867</v>
      </c>
      <c r="X662" t="s">
        <v>9004</v>
      </c>
      <c r="Y662">
        <v>2654</v>
      </c>
      <c r="Z662">
        <v>277</v>
      </c>
      <c r="AA662">
        <v>7000000</v>
      </c>
      <c r="AB662">
        <v>2.7</v>
      </c>
    </row>
    <row r="663" spans="1:28">
      <c r="A663" s="2">
        <f>HYPERLINK("https://finance.naver.com/item/coinfo.nhn?code=225590", "A225590")</f>
        <v>0</v>
      </c>
      <c r="B663">
        <f>HYPERLINK("http://comp.fnguide.com/SVO2/ASP/SVD_Consensus.asp?pGB=1&amp;gicode=A225590&amp;cID=&amp;MenuYn=Y&amp;ReportGB=&amp;NewMenuID=108&amp;stkGb=701", "패션플랫폼")</f>
        <v>0</v>
      </c>
      <c r="C663">
        <v>3</v>
      </c>
      <c r="D663">
        <v>1255</v>
      </c>
      <c r="E663">
        <v>0</v>
      </c>
      <c r="F663">
        <v>8.16</v>
      </c>
      <c r="G663">
        <v>2295</v>
      </c>
      <c r="H663">
        <v>1838</v>
      </c>
      <c r="I663">
        <v>1708</v>
      </c>
      <c r="J663">
        <v>-82.84999999999999</v>
      </c>
      <c r="K663">
        <v>-46.46</v>
      </c>
      <c r="L663">
        <v>-36.09</v>
      </c>
      <c r="M663">
        <v>11.92</v>
      </c>
      <c r="N663" t="b">
        <v>1</v>
      </c>
      <c r="O663">
        <v>156</v>
      </c>
      <c r="P663" t="s">
        <v>676</v>
      </c>
      <c r="Q663" t="s">
        <v>2842</v>
      </c>
      <c r="R663">
        <v>0</v>
      </c>
      <c r="S663">
        <v>334</v>
      </c>
      <c r="T663">
        <v>241962</v>
      </c>
      <c r="U663" t="s">
        <v>4648</v>
      </c>
      <c r="V663">
        <v>53.61</v>
      </c>
      <c r="W663" t="s">
        <v>6868</v>
      </c>
      <c r="X663" t="s">
        <v>9005</v>
      </c>
      <c r="Y663">
        <v>794</v>
      </c>
      <c r="Z663">
        <v>61</v>
      </c>
      <c r="AA663">
        <v>1029831</v>
      </c>
    </row>
    <row r="664" spans="1:28">
      <c r="A664" s="2">
        <f>HYPERLINK("https://finance.naver.com/item/coinfo.nhn?code=251970", "A251970")</f>
        <v>0</v>
      </c>
      <c r="B664">
        <f>HYPERLINK("http://comp.fnguide.com/SVO2/ASP/SVD_Consensus.asp?pGB=1&amp;gicode=A251970&amp;cID=&amp;MenuYn=Y&amp;ReportGB=&amp;NewMenuID=108&amp;stkGb=701", "펌텍코리아")</f>
        <v>0</v>
      </c>
      <c r="C664">
        <v>3</v>
      </c>
      <c r="D664">
        <v>14800</v>
      </c>
      <c r="E664">
        <v>-2.33</v>
      </c>
      <c r="F664">
        <v>11.08</v>
      </c>
      <c r="G664">
        <v>35445</v>
      </c>
      <c r="H664">
        <v>21311</v>
      </c>
      <c r="I664">
        <v>17284</v>
      </c>
      <c r="J664">
        <v>-139.49</v>
      </c>
      <c r="K664">
        <v>-44</v>
      </c>
      <c r="L664">
        <v>-16.78</v>
      </c>
      <c r="M664">
        <v>23.7</v>
      </c>
      <c r="N664" t="b">
        <v>1</v>
      </c>
      <c r="O664">
        <v>1661</v>
      </c>
      <c r="P664" t="s">
        <v>677</v>
      </c>
      <c r="Q664" t="s">
        <v>2843</v>
      </c>
      <c r="R664">
        <v>-4.763855776294202</v>
      </c>
      <c r="S664">
        <v>1835</v>
      </c>
      <c r="T664">
        <v>30427</v>
      </c>
      <c r="U664" t="s">
        <v>4649</v>
      </c>
      <c r="V664">
        <v>61.4</v>
      </c>
      <c r="W664" t="s">
        <v>6869</v>
      </c>
      <c r="X664" t="s">
        <v>9006</v>
      </c>
      <c r="Y664">
        <v>1754</v>
      </c>
      <c r="Z664">
        <v>269</v>
      </c>
      <c r="AA664">
        <v>287382</v>
      </c>
      <c r="AB664">
        <v>1.79</v>
      </c>
    </row>
    <row r="665" spans="1:28">
      <c r="A665" s="2">
        <f>HYPERLINK("https://finance.naver.com/item/coinfo.nhn?code=139130", "A139130")</f>
        <v>0</v>
      </c>
      <c r="B665">
        <f>HYPERLINK("http://comp.fnguide.com/SVO2/ASP/SVD_Consensus.asp?pGB=1&amp;gicode=A139130&amp;cID=&amp;MenuYn=Y&amp;ReportGB=&amp;NewMenuID=108&amp;stkGb=701", "DGB금융지주")</f>
        <v>0</v>
      </c>
      <c r="C665">
        <v>3</v>
      </c>
      <c r="D665">
        <v>7440</v>
      </c>
      <c r="E665">
        <v>1.26</v>
      </c>
      <c r="F665">
        <v>3.68</v>
      </c>
      <c r="G665">
        <v>27627</v>
      </c>
      <c r="H665">
        <v>27428</v>
      </c>
      <c r="I665">
        <v>27371</v>
      </c>
      <c r="J665">
        <v>-271.33</v>
      </c>
      <c r="K665">
        <v>-268.66</v>
      </c>
      <c r="L665">
        <v>-267.9</v>
      </c>
      <c r="M665">
        <v>8.07</v>
      </c>
      <c r="N665" t="b">
        <v>1</v>
      </c>
      <c r="O665">
        <v>1936</v>
      </c>
      <c r="P665" t="s">
        <v>678</v>
      </c>
      <c r="Q665" t="s">
        <v>2844</v>
      </c>
      <c r="R665">
        <v>2.919914469385421</v>
      </c>
      <c r="S665">
        <v>12584</v>
      </c>
      <c r="T665">
        <v>572699</v>
      </c>
      <c r="U665" t="s">
        <v>4650</v>
      </c>
      <c r="V665">
        <v>10.87</v>
      </c>
      <c r="W665" t="s">
        <v>6870</v>
      </c>
      <c r="X665" t="s">
        <v>9007</v>
      </c>
      <c r="Y665">
        <v>21943</v>
      </c>
      <c r="Z665">
        <v>4322</v>
      </c>
      <c r="AA665">
        <v>1</v>
      </c>
      <c r="AB665">
        <v>5.76</v>
      </c>
    </row>
    <row r="666" spans="1:28">
      <c r="A666" s="2">
        <f>HYPERLINK("https://finance.naver.com/item/coinfo.nhn?code=003080", "A003080")</f>
        <v>0</v>
      </c>
      <c r="B666">
        <f>HYPERLINK("http://comp.fnguide.com/SVO2/ASP/SVD_Consensus.asp?pGB=1&amp;gicode=A003080&amp;cID=&amp;MenuYn=Y&amp;ReportGB=&amp;NewMenuID=108&amp;stkGb=701", "성보화학")</f>
        <v>0</v>
      </c>
      <c r="C666">
        <v>3</v>
      </c>
      <c r="D666">
        <v>4295</v>
      </c>
      <c r="G666">
        <v>2133</v>
      </c>
      <c r="H666">
        <v>5379</v>
      </c>
      <c r="I666">
        <v>6303</v>
      </c>
      <c r="J666">
        <v>50.33</v>
      </c>
      <c r="K666">
        <v>-25.23</v>
      </c>
      <c r="L666">
        <v>-46.76</v>
      </c>
      <c r="M666">
        <v>2.26</v>
      </c>
      <c r="N666" t="b">
        <v>0</v>
      </c>
      <c r="O666">
        <v>-143</v>
      </c>
      <c r="P666" t="s">
        <v>679</v>
      </c>
      <c r="Q666" t="s">
        <v>2845</v>
      </c>
      <c r="R666">
        <v>34.77508106012603</v>
      </c>
      <c r="S666">
        <v>860</v>
      </c>
      <c r="T666">
        <v>7813</v>
      </c>
      <c r="U666" t="s">
        <v>4651</v>
      </c>
      <c r="V666">
        <v>69.16</v>
      </c>
      <c r="W666" t="s">
        <v>6871</v>
      </c>
      <c r="X666" t="s">
        <v>9008</v>
      </c>
      <c r="Y666">
        <v>419</v>
      </c>
      <c r="Z666">
        <v>-44</v>
      </c>
      <c r="AA666">
        <v>562776</v>
      </c>
      <c r="AB666">
        <v>3.03</v>
      </c>
    </row>
    <row r="667" spans="1:28">
      <c r="A667" s="2">
        <f>HYPERLINK("https://finance.naver.com/item/coinfo.nhn?code=004980", "A004980")</f>
        <v>0</v>
      </c>
      <c r="B667">
        <f>HYPERLINK("http://comp.fnguide.com/SVO2/ASP/SVD_Consensus.asp?pGB=1&amp;gicode=A004980&amp;cID=&amp;MenuYn=Y&amp;ReportGB=&amp;NewMenuID=108&amp;stkGb=701", "성신양회")</f>
        <v>0</v>
      </c>
      <c r="C667">
        <v>3</v>
      </c>
      <c r="D667">
        <v>7130</v>
      </c>
      <c r="E667">
        <v>0.91</v>
      </c>
      <c r="F667">
        <v>10.11</v>
      </c>
      <c r="G667">
        <v>8879</v>
      </c>
      <c r="H667">
        <v>13518</v>
      </c>
      <c r="I667">
        <v>14840</v>
      </c>
      <c r="J667">
        <v>-24.54</v>
      </c>
      <c r="K667">
        <v>-89.59</v>
      </c>
      <c r="L667">
        <v>-108.13</v>
      </c>
      <c r="M667">
        <v>4.26</v>
      </c>
      <c r="N667" t="b">
        <v>1</v>
      </c>
      <c r="O667">
        <v>690</v>
      </c>
      <c r="P667" t="s">
        <v>680</v>
      </c>
      <c r="Q667" t="s">
        <v>2846</v>
      </c>
      <c r="R667">
        <v>11.15947048336057</v>
      </c>
      <c r="S667">
        <v>1748</v>
      </c>
      <c r="T667">
        <v>439457</v>
      </c>
      <c r="U667" t="s">
        <v>4652</v>
      </c>
      <c r="V667">
        <v>33.14</v>
      </c>
      <c r="W667" t="s">
        <v>6872</v>
      </c>
      <c r="X667" t="s">
        <v>9009</v>
      </c>
      <c r="Y667">
        <v>7074</v>
      </c>
      <c r="Z667">
        <v>208</v>
      </c>
      <c r="AA667">
        <v>400976</v>
      </c>
      <c r="AB667">
        <v>2.15</v>
      </c>
    </row>
    <row r="668" spans="1:28">
      <c r="A668" s="2">
        <f>HYPERLINK("https://finance.naver.com/item/coinfo.nhn?code=089470", "A089470")</f>
        <v>0</v>
      </c>
      <c r="B668">
        <f>HYPERLINK("http://comp.fnguide.com/SVO2/ASP/SVD_Consensus.asp?pGB=1&amp;gicode=A089470&amp;cID=&amp;MenuYn=Y&amp;ReportGB=&amp;NewMenuID=108&amp;stkGb=701", "HDC현대EP")</f>
        <v>0</v>
      </c>
      <c r="C668">
        <v>3</v>
      </c>
      <c r="D668">
        <v>6860</v>
      </c>
      <c r="E668">
        <v>-0.58</v>
      </c>
      <c r="F668">
        <v>12.13</v>
      </c>
      <c r="G668">
        <v>6443</v>
      </c>
      <c r="H668">
        <v>8466</v>
      </c>
      <c r="I668">
        <v>9042</v>
      </c>
      <c r="J668">
        <v>6.07</v>
      </c>
      <c r="K668">
        <v>-23.41</v>
      </c>
      <c r="L668">
        <v>-31.81</v>
      </c>
      <c r="M668">
        <v>5.24</v>
      </c>
      <c r="N668" t="b">
        <v>1</v>
      </c>
      <c r="O668">
        <v>413</v>
      </c>
      <c r="P668" t="s">
        <v>681</v>
      </c>
      <c r="Q668" t="s">
        <v>2847</v>
      </c>
      <c r="R668">
        <v>-20.85013870211202</v>
      </c>
      <c r="S668">
        <v>2188</v>
      </c>
      <c r="T668">
        <v>569250</v>
      </c>
      <c r="U668" t="s">
        <v>4653</v>
      </c>
      <c r="V668">
        <v>48.42</v>
      </c>
      <c r="W668" t="s">
        <v>6873</v>
      </c>
      <c r="X668" t="s">
        <v>9010</v>
      </c>
      <c r="Y668">
        <v>8351</v>
      </c>
      <c r="Z668">
        <v>341</v>
      </c>
      <c r="AA668">
        <v>3000000</v>
      </c>
      <c r="AB668">
        <v>2.4</v>
      </c>
    </row>
    <row r="669" spans="1:28">
      <c r="A669" s="2">
        <f>HYPERLINK("https://finance.naver.com/item/coinfo.nhn?code=294870", "A294870")</f>
        <v>0</v>
      </c>
      <c r="B669">
        <f>HYPERLINK("http://comp.fnguide.com/SVO2/ASP/SVD_Consensus.asp?pGB=1&amp;gicode=A294870&amp;cID=&amp;MenuYn=Y&amp;ReportGB=&amp;NewMenuID=108&amp;stkGb=701", "HDC현대산업개발")</f>
        <v>0</v>
      </c>
      <c r="C669">
        <v>3</v>
      </c>
      <c r="D669">
        <v>22100</v>
      </c>
      <c r="E669">
        <v>0</v>
      </c>
      <c r="F669">
        <v>2.53</v>
      </c>
      <c r="G669">
        <v>43129</v>
      </c>
      <c r="H669">
        <v>37564</v>
      </c>
      <c r="I669">
        <v>35978</v>
      </c>
      <c r="J669">
        <v>-95.16</v>
      </c>
      <c r="K669">
        <v>-69.97</v>
      </c>
      <c r="L669">
        <v>-62.79</v>
      </c>
      <c r="M669">
        <v>10.15</v>
      </c>
      <c r="N669" t="b">
        <v>1</v>
      </c>
      <c r="O669">
        <v>9415</v>
      </c>
      <c r="P669" t="s">
        <v>682</v>
      </c>
      <c r="Q669" t="s">
        <v>2848</v>
      </c>
      <c r="R669">
        <v>0</v>
      </c>
      <c r="S669">
        <v>14566</v>
      </c>
      <c r="T669">
        <v>3072959</v>
      </c>
      <c r="U669" t="s">
        <v>4654</v>
      </c>
      <c r="V669">
        <v>41.48</v>
      </c>
      <c r="W669" t="s">
        <v>6874</v>
      </c>
      <c r="X669" t="s">
        <v>9011</v>
      </c>
      <c r="Y669">
        <v>42165</v>
      </c>
      <c r="Z669">
        <v>5515</v>
      </c>
      <c r="AA669">
        <v>9470</v>
      </c>
      <c r="AB669">
        <v>2.1</v>
      </c>
    </row>
    <row r="670" spans="1:28">
      <c r="A670" s="2">
        <f>HYPERLINK("https://finance.naver.com/item/coinfo.nhn?code=011300", "A011300")</f>
        <v>0</v>
      </c>
      <c r="B670">
        <f>HYPERLINK("http://comp.fnguide.com/SVO2/ASP/SVD_Consensus.asp?pGB=1&amp;gicode=A011300&amp;cID=&amp;MenuYn=Y&amp;ReportGB=&amp;NewMenuID=108&amp;stkGb=701", "성안")</f>
        <v>0</v>
      </c>
      <c r="C670">
        <v>3</v>
      </c>
      <c r="D670">
        <v>383</v>
      </c>
      <c r="E670">
        <v>0</v>
      </c>
      <c r="G670">
        <v>0</v>
      </c>
      <c r="H670">
        <v>704</v>
      </c>
      <c r="I670">
        <v>904</v>
      </c>
      <c r="J670">
        <v>100</v>
      </c>
      <c r="K670">
        <v>-83.78</v>
      </c>
      <c r="L670">
        <v>-136.14</v>
      </c>
      <c r="M670">
        <v>0</v>
      </c>
      <c r="N670" t="b">
        <v>0</v>
      </c>
      <c r="O670">
        <v>-203</v>
      </c>
      <c r="P670" t="s">
        <v>683</v>
      </c>
      <c r="Q670" t="s">
        <v>2276</v>
      </c>
      <c r="R670">
        <v>0</v>
      </c>
      <c r="S670">
        <v>218</v>
      </c>
      <c r="T670">
        <v>132584</v>
      </c>
      <c r="U670" t="s">
        <v>4655</v>
      </c>
      <c r="V670">
        <v>36.95</v>
      </c>
      <c r="W670" t="s">
        <v>6875</v>
      </c>
      <c r="X670" t="s">
        <v>968</v>
      </c>
      <c r="Y670">
        <v>2169</v>
      </c>
      <c r="Z670">
        <v>-130</v>
      </c>
      <c r="AA670">
        <v>1969460</v>
      </c>
    </row>
    <row r="671" spans="1:28">
      <c r="A671" s="2">
        <f>HYPERLINK("https://finance.naver.com/item/coinfo.nhn?code=023000", "A023000")</f>
        <v>0</v>
      </c>
      <c r="B671">
        <f>HYPERLINK("http://comp.fnguide.com/SVO2/ASP/SVD_Consensus.asp?pGB=1&amp;gicode=A023000&amp;cID=&amp;MenuYn=Y&amp;ReportGB=&amp;NewMenuID=108&amp;stkGb=701", "삼원강재")</f>
        <v>0</v>
      </c>
      <c r="C671">
        <v>3</v>
      </c>
      <c r="D671">
        <v>2565</v>
      </c>
      <c r="E671">
        <v>-0.8</v>
      </c>
      <c r="F671">
        <v>11.58</v>
      </c>
      <c r="G671">
        <v>3618</v>
      </c>
      <c r="H671">
        <v>4618</v>
      </c>
      <c r="I671">
        <v>4903</v>
      </c>
      <c r="J671">
        <v>-41.07</v>
      </c>
      <c r="K671">
        <v>-80.03</v>
      </c>
      <c r="L671">
        <v>-91.14</v>
      </c>
      <c r="M671">
        <v>5.46</v>
      </c>
      <c r="N671" t="b">
        <v>1</v>
      </c>
      <c r="O671">
        <v>261</v>
      </c>
      <c r="P671" t="s">
        <v>684</v>
      </c>
      <c r="Q671" t="s">
        <v>2849</v>
      </c>
      <c r="R671">
        <v>-14.42607137538933</v>
      </c>
      <c r="S671">
        <v>1026</v>
      </c>
      <c r="T671">
        <v>27552</v>
      </c>
      <c r="U671" t="s">
        <v>4656</v>
      </c>
      <c r="V671">
        <v>61.19</v>
      </c>
      <c r="W671" t="s">
        <v>6876</v>
      </c>
      <c r="X671" t="s">
        <v>9012</v>
      </c>
      <c r="Y671">
        <v>2693</v>
      </c>
      <c r="Z671">
        <v>108</v>
      </c>
      <c r="AA671">
        <v>260044</v>
      </c>
      <c r="AB671">
        <v>3.81</v>
      </c>
    </row>
    <row r="672" spans="1:28">
      <c r="A672" s="2">
        <f>HYPERLINK("https://finance.naver.com/item/coinfo.nhn?code=102280", "A102280")</f>
        <v>0</v>
      </c>
      <c r="B672">
        <f>HYPERLINK("http://comp.fnguide.com/SVO2/ASP/SVD_Consensus.asp?pGB=1&amp;gicode=A102280&amp;cID=&amp;MenuYn=Y&amp;ReportGB=&amp;NewMenuID=108&amp;stkGb=701", "쌍방울")</f>
        <v>0</v>
      </c>
      <c r="C672">
        <v>3</v>
      </c>
      <c r="D672">
        <v>654</v>
      </c>
      <c r="E672">
        <v>0</v>
      </c>
      <c r="G672">
        <v>874</v>
      </c>
      <c r="H672">
        <v>765</v>
      </c>
      <c r="I672">
        <v>734</v>
      </c>
      <c r="J672">
        <v>-33.69</v>
      </c>
      <c r="K672">
        <v>-17.04</v>
      </c>
      <c r="L672">
        <v>-12.3</v>
      </c>
      <c r="M672">
        <v>10.05</v>
      </c>
      <c r="N672" t="b">
        <v>0</v>
      </c>
      <c r="O672">
        <v>-250</v>
      </c>
      <c r="P672" t="s">
        <v>685</v>
      </c>
      <c r="Q672" t="s">
        <v>2276</v>
      </c>
      <c r="R672">
        <v>0</v>
      </c>
      <c r="S672">
        <v>1565</v>
      </c>
      <c r="T672">
        <v>2403436</v>
      </c>
      <c r="U672" t="s">
        <v>4657</v>
      </c>
      <c r="V672">
        <v>13.21</v>
      </c>
      <c r="W672" t="s">
        <v>6877</v>
      </c>
      <c r="X672" t="s">
        <v>9013</v>
      </c>
      <c r="Y672">
        <v>965</v>
      </c>
      <c r="Z672">
        <v>-103</v>
      </c>
      <c r="AA672">
        <v>12030</v>
      </c>
    </row>
    <row r="673" spans="1:28">
      <c r="A673" s="2">
        <f>HYPERLINK("https://finance.naver.com/item/coinfo.nhn?code=000180", "A000180")</f>
        <v>0</v>
      </c>
      <c r="B673">
        <f>HYPERLINK("http://comp.fnguide.com/SVO2/ASP/SVD_Consensus.asp?pGB=1&amp;gicode=A000180&amp;cID=&amp;MenuYn=Y&amp;ReportGB=&amp;NewMenuID=108&amp;stkGb=701", "성창기업지주")</f>
        <v>0</v>
      </c>
      <c r="C673">
        <v>3</v>
      </c>
      <c r="D673">
        <v>1970</v>
      </c>
      <c r="G673">
        <v>141</v>
      </c>
      <c r="H673">
        <v>4922</v>
      </c>
      <c r="I673">
        <v>6285</v>
      </c>
      <c r="J673">
        <v>92.86</v>
      </c>
      <c r="K673">
        <v>-149.87</v>
      </c>
      <c r="L673">
        <v>-219.03</v>
      </c>
      <c r="M673">
        <v>0.14</v>
      </c>
      <c r="N673" t="b">
        <v>0</v>
      </c>
      <c r="O673">
        <v>-156</v>
      </c>
      <c r="P673" t="s">
        <v>686</v>
      </c>
      <c r="Q673" t="s">
        <v>2850</v>
      </c>
      <c r="R673">
        <v>28.15162894009578</v>
      </c>
      <c r="S673">
        <v>1374</v>
      </c>
      <c r="T673">
        <v>396166</v>
      </c>
      <c r="U673" t="s">
        <v>4658</v>
      </c>
      <c r="V673">
        <v>30.36</v>
      </c>
      <c r="W673" t="s">
        <v>6878</v>
      </c>
      <c r="X673" t="s">
        <v>9014</v>
      </c>
      <c r="Y673">
        <v>1510</v>
      </c>
      <c r="Z673">
        <v>-30</v>
      </c>
      <c r="AA673">
        <v>4905781</v>
      </c>
    </row>
    <row r="674" spans="1:28">
      <c r="A674" s="2">
        <f>HYPERLINK("https://finance.naver.com/item/coinfo.nhn?code=005680", "A005680")</f>
        <v>0</v>
      </c>
      <c r="B674">
        <f>HYPERLINK("http://comp.fnguide.com/SVO2/ASP/SVD_Consensus.asp?pGB=1&amp;gicode=A005680&amp;cID=&amp;MenuYn=Y&amp;ReportGB=&amp;NewMenuID=108&amp;stkGb=701", "삼영전자")</f>
        <v>0</v>
      </c>
      <c r="C674">
        <v>3</v>
      </c>
      <c r="D674">
        <v>9950</v>
      </c>
      <c r="E674">
        <v>-4.84</v>
      </c>
      <c r="F674">
        <v>21.09</v>
      </c>
      <c r="G674">
        <v>7050</v>
      </c>
      <c r="H674">
        <v>17366</v>
      </c>
      <c r="I674">
        <v>20306</v>
      </c>
      <c r="J674">
        <v>29.14</v>
      </c>
      <c r="K674">
        <v>-74.54000000000001</v>
      </c>
      <c r="L674">
        <v>-104.08</v>
      </c>
      <c r="M674">
        <v>2.32</v>
      </c>
      <c r="N674" t="b">
        <v>1</v>
      </c>
      <c r="O674">
        <v>428</v>
      </c>
      <c r="P674" t="s">
        <v>687</v>
      </c>
      <c r="Q674" t="s">
        <v>2851</v>
      </c>
      <c r="R674">
        <v>-4.355934483624912</v>
      </c>
      <c r="S674">
        <v>1990</v>
      </c>
      <c r="T674">
        <v>466276</v>
      </c>
      <c r="U674" t="s">
        <v>4659</v>
      </c>
      <c r="V674">
        <v>53.59</v>
      </c>
      <c r="W674" t="s">
        <v>6879</v>
      </c>
      <c r="X674" t="s">
        <v>9015</v>
      </c>
      <c r="Y674">
        <v>2010</v>
      </c>
      <c r="Z674">
        <v>46</v>
      </c>
      <c r="AB674">
        <v>2.77</v>
      </c>
    </row>
    <row r="675" spans="1:28">
      <c r="A675" s="2">
        <f>HYPERLINK("https://finance.naver.com/item/coinfo.nhn?code=043370", "A043370")</f>
        <v>0</v>
      </c>
      <c r="B675">
        <f>HYPERLINK("http://comp.fnguide.com/SVO2/ASP/SVD_Consensus.asp?pGB=1&amp;gicode=A043370&amp;cID=&amp;MenuYn=Y&amp;ReportGB=&amp;NewMenuID=108&amp;stkGb=701", "평화정공")</f>
        <v>0</v>
      </c>
      <c r="C675">
        <v>3</v>
      </c>
      <c r="D675">
        <v>8520</v>
      </c>
      <c r="E675">
        <v>-0.47</v>
      </c>
      <c r="F675">
        <v>5.73</v>
      </c>
      <c r="G675">
        <v>28817</v>
      </c>
      <c r="H675">
        <v>28369</v>
      </c>
      <c r="I675">
        <v>28242</v>
      </c>
      <c r="J675">
        <v>-238.23</v>
      </c>
      <c r="K675">
        <v>-232.98</v>
      </c>
      <c r="L675">
        <v>-231.48</v>
      </c>
      <c r="M675">
        <v>8.18</v>
      </c>
      <c r="N675" t="b">
        <v>1</v>
      </c>
      <c r="O675">
        <v>1506</v>
      </c>
      <c r="P675" t="s">
        <v>688</v>
      </c>
      <c r="Q675" t="s">
        <v>2852</v>
      </c>
      <c r="R675">
        <v>-12.27419855721225</v>
      </c>
      <c r="S675">
        <v>1789</v>
      </c>
      <c r="T675">
        <v>466991</v>
      </c>
      <c r="U675" t="s">
        <v>4660</v>
      </c>
      <c r="V675">
        <v>54.63</v>
      </c>
      <c r="W675" t="s">
        <v>6880</v>
      </c>
      <c r="X675" t="s">
        <v>9016</v>
      </c>
      <c r="Y675">
        <v>10884</v>
      </c>
      <c r="Z675">
        <v>156</v>
      </c>
      <c r="AA675">
        <v>463438</v>
      </c>
      <c r="AB675">
        <v>2.09</v>
      </c>
    </row>
    <row r="676" spans="1:28">
      <c r="A676" s="2">
        <f>HYPERLINK("https://finance.naver.com/item/coinfo.nhn?code=078930", "A078930")</f>
        <v>0</v>
      </c>
      <c r="B676">
        <f>HYPERLINK("http://comp.fnguide.com/SVO2/ASP/SVD_Consensus.asp?pGB=1&amp;gicode=A078930&amp;cID=&amp;MenuYn=Y&amp;ReportGB=&amp;NewMenuID=108&amp;stkGb=701", "GS")</f>
        <v>0</v>
      </c>
      <c r="C676">
        <v>3</v>
      </c>
      <c r="D676">
        <v>36450</v>
      </c>
      <c r="E676">
        <v>3.56</v>
      </c>
      <c r="F676">
        <v>8.98</v>
      </c>
      <c r="G676">
        <v>108878</v>
      </c>
      <c r="H676">
        <v>100880</v>
      </c>
      <c r="I676">
        <v>98602</v>
      </c>
      <c r="J676">
        <v>-198.7</v>
      </c>
      <c r="K676">
        <v>-176.76</v>
      </c>
      <c r="L676">
        <v>-170.51</v>
      </c>
      <c r="M676">
        <v>9.08</v>
      </c>
      <c r="N676" t="b">
        <v>0</v>
      </c>
      <c r="O676">
        <v>5744</v>
      </c>
      <c r="P676" t="s">
        <v>689</v>
      </c>
      <c r="Q676" t="s">
        <v>2853</v>
      </c>
      <c r="R676">
        <v>2.525174121884355</v>
      </c>
      <c r="S676">
        <v>33868</v>
      </c>
      <c r="T676">
        <v>389141</v>
      </c>
      <c r="U676" t="s">
        <v>4661</v>
      </c>
      <c r="V676">
        <v>52.12</v>
      </c>
      <c r="W676" t="s">
        <v>6881</v>
      </c>
      <c r="X676" t="s">
        <v>9017</v>
      </c>
      <c r="Y676">
        <v>177861</v>
      </c>
      <c r="Z676">
        <v>20331</v>
      </c>
      <c r="AA676">
        <v>19883</v>
      </c>
      <c r="AB676">
        <v>3.68</v>
      </c>
    </row>
    <row r="677" spans="1:28">
      <c r="A677" s="2">
        <f>HYPERLINK("https://finance.naver.com/item/coinfo.nhn?code=001040", "A001040")</f>
        <v>0</v>
      </c>
      <c r="B677">
        <f>HYPERLINK("http://comp.fnguide.com/SVO2/ASP/SVD_Consensus.asp?pGB=1&amp;gicode=A001040&amp;cID=&amp;MenuYn=Y&amp;ReportGB=&amp;NewMenuID=108&amp;stkGb=701", "CJ")</f>
        <v>0</v>
      </c>
      <c r="C677">
        <v>3</v>
      </c>
      <c r="D677">
        <v>79600</v>
      </c>
      <c r="E677">
        <v>-10.23</v>
      </c>
      <c r="F677">
        <v>11.44</v>
      </c>
      <c r="G677">
        <v>155578</v>
      </c>
      <c r="H677">
        <v>162237</v>
      </c>
      <c r="I677">
        <v>164135</v>
      </c>
      <c r="J677">
        <v>-95.45</v>
      </c>
      <c r="K677">
        <v>-103.82</v>
      </c>
      <c r="L677">
        <v>-106.2</v>
      </c>
      <c r="M677">
        <v>7.44</v>
      </c>
      <c r="N677" t="b">
        <v>0</v>
      </c>
      <c r="O677">
        <v>8445</v>
      </c>
      <c r="P677" t="s">
        <v>690</v>
      </c>
      <c r="Q677" t="s">
        <v>2854</v>
      </c>
      <c r="R677">
        <v>-1.117919058132166</v>
      </c>
      <c r="S677">
        <v>23225</v>
      </c>
      <c r="T677">
        <v>106688</v>
      </c>
      <c r="U677" t="s">
        <v>4662</v>
      </c>
      <c r="V677">
        <v>47.05</v>
      </c>
      <c r="W677" t="s">
        <v>6882</v>
      </c>
      <c r="X677" t="s">
        <v>9018</v>
      </c>
      <c r="Y677">
        <v>337797</v>
      </c>
      <c r="Z677">
        <v>15092</v>
      </c>
      <c r="AA677">
        <v>2118538</v>
      </c>
      <c r="AB677">
        <v>1.92</v>
      </c>
    </row>
    <row r="678" spans="1:28">
      <c r="A678" s="2">
        <f>HYPERLINK("https://finance.naver.com/item/coinfo.nhn?code=069730", "A069730")</f>
        <v>0</v>
      </c>
      <c r="B678">
        <f>HYPERLINK("http://comp.fnguide.com/SVO2/ASP/SVD_Consensus.asp?pGB=1&amp;gicode=A069730&amp;cID=&amp;MenuYn=Y&amp;ReportGB=&amp;NewMenuID=108&amp;stkGb=701", "DSR제강")</f>
        <v>0</v>
      </c>
      <c r="C678">
        <v>3</v>
      </c>
      <c r="D678">
        <v>4660</v>
      </c>
      <c r="E678">
        <v>-0.86</v>
      </c>
      <c r="F678">
        <v>9.699999999999999</v>
      </c>
      <c r="G678">
        <v>6098</v>
      </c>
      <c r="H678">
        <v>8355</v>
      </c>
      <c r="I678">
        <v>8998</v>
      </c>
      <c r="J678">
        <v>-30.85</v>
      </c>
      <c r="K678">
        <v>-79.28</v>
      </c>
      <c r="L678">
        <v>-93.09</v>
      </c>
      <c r="M678">
        <v>4.93</v>
      </c>
      <c r="N678" t="b">
        <v>1</v>
      </c>
      <c r="O678">
        <v>469</v>
      </c>
      <c r="P678" t="s">
        <v>691</v>
      </c>
      <c r="Q678" t="s">
        <v>2855</v>
      </c>
      <c r="R678">
        <v>-11.26240073640721</v>
      </c>
      <c r="S678">
        <v>671</v>
      </c>
      <c r="T678">
        <v>67625</v>
      </c>
      <c r="U678" t="s">
        <v>4663</v>
      </c>
      <c r="V678">
        <v>57.18</v>
      </c>
      <c r="W678" t="s">
        <v>6883</v>
      </c>
      <c r="X678" t="s">
        <v>9019</v>
      </c>
      <c r="Y678">
        <v>1915</v>
      </c>
      <c r="Z678">
        <v>52</v>
      </c>
      <c r="AB678">
        <v>0.88</v>
      </c>
    </row>
    <row r="679" spans="1:28">
      <c r="A679" s="2">
        <f>HYPERLINK("https://finance.naver.com/item/coinfo.nhn?code=007610", "A007610")</f>
        <v>0</v>
      </c>
      <c r="B679">
        <f>HYPERLINK("http://comp.fnguide.com/SVO2/ASP/SVD_Consensus.asp?pGB=1&amp;gicode=A007610&amp;cID=&amp;MenuYn=Y&amp;ReportGB=&amp;NewMenuID=108&amp;stkGb=701", "선도전기")</f>
        <v>0</v>
      </c>
      <c r="C679">
        <v>3</v>
      </c>
      <c r="D679">
        <v>3055</v>
      </c>
      <c r="G679">
        <v>196</v>
      </c>
      <c r="H679">
        <v>2980</v>
      </c>
      <c r="I679">
        <v>3773</v>
      </c>
      <c r="J679">
        <v>93.59</v>
      </c>
      <c r="K679">
        <v>2.46</v>
      </c>
      <c r="L679">
        <v>-23.51</v>
      </c>
      <c r="M679">
        <v>0.32</v>
      </c>
      <c r="N679" t="b">
        <v>0</v>
      </c>
      <c r="O679">
        <v>-119</v>
      </c>
      <c r="P679" t="s">
        <v>692</v>
      </c>
      <c r="Q679" t="s">
        <v>2856</v>
      </c>
      <c r="R679">
        <v>-37.29306258475064</v>
      </c>
      <c r="S679">
        <v>550</v>
      </c>
      <c r="T679">
        <v>133380</v>
      </c>
      <c r="U679" t="s">
        <v>4664</v>
      </c>
      <c r="V679">
        <v>30.49</v>
      </c>
      <c r="W679" t="s">
        <v>6884</v>
      </c>
      <c r="X679" t="s">
        <v>9020</v>
      </c>
      <c r="Y679">
        <v>893</v>
      </c>
      <c r="Z679">
        <v>-17</v>
      </c>
      <c r="AA679">
        <v>130981</v>
      </c>
      <c r="AB679">
        <v>0.82</v>
      </c>
    </row>
    <row r="680" spans="1:28">
      <c r="A680" s="2">
        <f>HYPERLINK("https://finance.naver.com/item/coinfo.nhn?code=195440", "A195440")</f>
        <v>0</v>
      </c>
      <c r="B680">
        <f>HYPERLINK("http://comp.fnguide.com/SVO2/ASP/SVD_Consensus.asp?pGB=1&amp;gicode=A195440&amp;cID=&amp;MenuYn=Y&amp;ReportGB=&amp;NewMenuID=108&amp;stkGb=701", "퓨전")</f>
        <v>0</v>
      </c>
      <c r="C680">
        <v>3</v>
      </c>
      <c r="D680">
        <v>2075</v>
      </c>
      <c r="G680">
        <v>0</v>
      </c>
      <c r="H680">
        <v>4507</v>
      </c>
      <c r="I680">
        <v>5791</v>
      </c>
      <c r="J680">
        <v>100</v>
      </c>
      <c r="K680">
        <v>-117.19</v>
      </c>
      <c r="L680">
        <v>-179.07</v>
      </c>
      <c r="M680">
        <v>0</v>
      </c>
      <c r="N680" t="b">
        <v>0</v>
      </c>
      <c r="O680">
        <v>-3655</v>
      </c>
      <c r="P680" t="s">
        <v>693</v>
      </c>
      <c r="Q680" t="s">
        <v>2857</v>
      </c>
      <c r="R680">
        <v>-70</v>
      </c>
      <c r="S680">
        <v>86</v>
      </c>
      <c r="T680">
        <v>0</v>
      </c>
      <c r="U680" t="s">
        <v>4665</v>
      </c>
      <c r="V680">
        <v>3.27</v>
      </c>
      <c r="W680" t="s">
        <v>6885</v>
      </c>
      <c r="X680" t="s">
        <v>968</v>
      </c>
      <c r="Y680">
        <v>163</v>
      </c>
      <c r="Z680">
        <v>-104</v>
      </c>
      <c r="AA680">
        <v>2982</v>
      </c>
    </row>
    <row r="681" spans="1:28">
      <c r="A681" s="2">
        <f>HYPERLINK("https://finance.naver.com/item/coinfo.nhn?code=005670", "A005670")</f>
        <v>0</v>
      </c>
      <c r="B681">
        <f>HYPERLINK("http://comp.fnguide.com/SVO2/ASP/SVD_Consensus.asp?pGB=1&amp;gicode=A005670&amp;cID=&amp;MenuYn=Y&amp;ReportGB=&amp;NewMenuID=108&amp;stkGb=701", "푸드웰")</f>
        <v>0</v>
      </c>
      <c r="C681">
        <v>3</v>
      </c>
      <c r="D681">
        <v>5770</v>
      </c>
      <c r="E681">
        <v>0.05</v>
      </c>
      <c r="F681">
        <v>1.96</v>
      </c>
      <c r="G681">
        <v>29282</v>
      </c>
      <c r="H681">
        <v>16461</v>
      </c>
      <c r="I681">
        <v>12807</v>
      </c>
      <c r="J681">
        <v>-407.49</v>
      </c>
      <c r="K681">
        <v>-185.28</v>
      </c>
      <c r="L681">
        <v>-121.96</v>
      </c>
      <c r="M681">
        <v>29.38</v>
      </c>
      <c r="N681" t="b">
        <v>1</v>
      </c>
      <c r="O681">
        <v>3109</v>
      </c>
      <c r="P681" t="s">
        <v>694</v>
      </c>
      <c r="Q681" t="s">
        <v>2858</v>
      </c>
      <c r="R681">
        <v>35.9504940035307</v>
      </c>
      <c r="S681">
        <v>577</v>
      </c>
      <c r="T681">
        <v>499901</v>
      </c>
      <c r="U681" t="s">
        <v>4666</v>
      </c>
      <c r="V681">
        <v>45.81</v>
      </c>
      <c r="W681" t="s">
        <v>6886</v>
      </c>
      <c r="X681" t="s">
        <v>9021</v>
      </c>
      <c r="Y681">
        <v>1439</v>
      </c>
      <c r="Z681">
        <v>86</v>
      </c>
      <c r="AA681">
        <v>330618</v>
      </c>
      <c r="AB681">
        <v>1.64</v>
      </c>
    </row>
    <row r="682" spans="1:28">
      <c r="A682" s="2">
        <f>HYPERLINK("https://finance.naver.com/item/coinfo.nhn?code=041650", "A041650")</f>
        <v>0</v>
      </c>
      <c r="B682">
        <f>HYPERLINK("http://comp.fnguide.com/SVO2/ASP/SVD_Consensus.asp?pGB=1&amp;gicode=A041650&amp;cID=&amp;MenuYn=Y&amp;ReportGB=&amp;NewMenuID=108&amp;stkGb=701", "상신브레이크")</f>
        <v>0</v>
      </c>
      <c r="C682">
        <v>3</v>
      </c>
      <c r="D682">
        <v>3145</v>
      </c>
      <c r="E682">
        <v>-0.5</v>
      </c>
      <c r="F682">
        <v>18.58</v>
      </c>
      <c r="G682">
        <v>5791</v>
      </c>
      <c r="H682">
        <v>7591</v>
      </c>
      <c r="I682">
        <v>8103</v>
      </c>
      <c r="J682">
        <v>-84.14</v>
      </c>
      <c r="K682">
        <v>-141.35</v>
      </c>
      <c r="L682">
        <v>-157.66</v>
      </c>
      <c r="M682">
        <v>5.25</v>
      </c>
      <c r="N682" t="b">
        <v>0</v>
      </c>
      <c r="O682">
        <v>189</v>
      </c>
      <c r="P682" t="s">
        <v>695</v>
      </c>
      <c r="Q682" t="s">
        <v>2859</v>
      </c>
      <c r="R682">
        <v>-37.27326232021693</v>
      </c>
      <c r="S682">
        <v>675</v>
      </c>
      <c r="T682">
        <v>468876</v>
      </c>
      <c r="U682" t="s">
        <v>4667</v>
      </c>
      <c r="V682">
        <v>47.07</v>
      </c>
      <c r="W682" t="s">
        <v>6887</v>
      </c>
      <c r="X682" t="s">
        <v>9022</v>
      </c>
      <c r="Y682">
        <v>3919</v>
      </c>
      <c r="Z682">
        <v>157</v>
      </c>
      <c r="AA682">
        <v>2111140</v>
      </c>
      <c r="AB682">
        <v>2.85</v>
      </c>
    </row>
    <row r="683" spans="1:28">
      <c r="A683" s="2">
        <f>HYPERLINK("https://finance.naver.com/item/coinfo.nhn?code=065690", "A065690")</f>
        <v>0</v>
      </c>
      <c r="B683">
        <f>HYPERLINK("http://comp.fnguide.com/SVO2/ASP/SVD_Consensus.asp?pGB=1&amp;gicode=A065690&amp;cID=&amp;MenuYn=Y&amp;ReportGB=&amp;NewMenuID=108&amp;stkGb=701", "파커스")</f>
        <v>0</v>
      </c>
      <c r="C683">
        <v>3</v>
      </c>
      <c r="D683">
        <v>3175</v>
      </c>
      <c r="G683">
        <v>1302</v>
      </c>
      <c r="H683">
        <v>4267</v>
      </c>
      <c r="I683">
        <v>5111</v>
      </c>
      <c r="J683">
        <v>59.01</v>
      </c>
      <c r="K683">
        <v>-34.38</v>
      </c>
      <c r="L683">
        <v>-60.99</v>
      </c>
      <c r="M683">
        <v>1.66</v>
      </c>
      <c r="N683" t="b">
        <v>0</v>
      </c>
      <c r="O683">
        <v>-255</v>
      </c>
      <c r="P683" t="s">
        <v>696</v>
      </c>
      <c r="Q683" t="s">
        <v>2860</v>
      </c>
      <c r="R683">
        <v>-32.2</v>
      </c>
      <c r="S683">
        <v>443</v>
      </c>
      <c r="T683">
        <v>67615</v>
      </c>
      <c r="U683" t="s">
        <v>4668</v>
      </c>
      <c r="V683">
        <v>44.05</v>
      </c>
      <c r="W683" t="s">
        <v>6888</v>
      </c>
      <c r="X683" t="s">
        <v>9023</v>
      </c>
      <c r="Y683">
        <v>1008</v>
      </c>
      <c r="Z683">
        <v>-41</v>
      </c>
      <c r="AA683">
        <v>718634</v>
      </c>
      <c r="AB683">
        <v>5.28</v>
      </c>
    </row>
    <row r="684" spans="1:28">
      <c r="A684" s="2">
        <f>HYPERLINK("https://finance.naver.com/item/coinfo.nhn?code=138930", "A138930")</f>
        <v>0</v>
      </c>
      <c r="B684">
        <f>HYPERLINK("http://comp.fnguide.com/SVO2/ASP/SVD_Consensus.asp?pGB=1&amp;gicode=A138930&amp;cID=&amp;MenuYn=Y&amp;ReportGB=&amp;NewMenuID=108&amp;stkGb=701", "BNK금융지주")</f>
        <v>0</v>
      </c>
      <c r="C684">
        <v>3</v>
      </c>
      <c r="D684">
        <v>5890</v>
      </c>
      <c r="E684">
        <v>1.53</v>
      </c>
      <c r="F684">
        <v>4.44</v>
      </c>
      <c r="G684">
        <v>21743</v>
      </c>
      <c r="H684">
        <v>24021</v>
      </c>
      <c r="I684">
        <v>24670</v>
      </c>
      <c r="J684">
        <v>-269.15</v>
      </c>
      <c r="K684">
        <v>-307.82</v>
      </c>
      <c r="L684">
        <v>-318.84</v>
      </c>
      <c r="M684">
        <v>6.79</v>
      </c>
      <c r="N684" t="b">
        <v>1</v>
      </c>
      <c r="O684">
        <v>1725</v>
      </c>
      <c r="P684" t="s">
        <v>697</v>
      </c>
      <c r="Q684" t="s">
        <v>2861</v>
      </c>
      <c r="R684">
        <v>2.899864058550494</v>
      </c>
      <c r="S684">
        <v>19198</v>
      </c>
      <c r="T684">
        <v>2456407</v>
      </c>
      <c r="U684" t="s">
        <v>4669</v>
      </c>
      <c r="V684">
        <v>13.47</v>
      </c>
      <c r="W684" t="s">
        <v>6889</v>
      </c>
      <c r="X684" t="s">
        <v>9024</v>
      </c>
      <c r="Y684">
        <v>36293</v>
      </c>
      <c r="Z684">
        <v>8069</v>
      </c>
      <c r="AA684">
        <v>1518432</v>
      </c>
      <c r="AB684">
        <v>4.7</v>
      </c>
    </row>
    <row r="685" spans="1:28">
      <c r="A685" s="2">
        <f>HYPERLINK("https://finance.naver.com/item/coinfo.nhn?code=002030", "A002030")</f>
        <v>0</v>
      </c>
      <c r="B685">
        <f>HYPERLINK("http://comp.fnguide.com/SVO2/ASP/SVD_Consensus.asp?pGB=1&amp;gicode=A002030&amp;cID=&amp;MenuYn=Y&amp;ReportGB=&amp;NewMenuID=108&amp;stkGb=701", "아세아")</f>
        <v>0</v>
      </c>
      <c r="C685">
        <v>3</v>
      </c>
      <c r="D685">
        <v>95900</v>
      </c>
      <c r="E685">
        <v>0.12</v>
      </c>
      <c r="F685">
        <v>4.7</v>
      </c>
      <c r="G685">
        <v>346942</v>
      </c>
      <c r="H685">
        <v>388759</v>
      </c>
      <c r="I685">
        <v>400674</v>
      </c>
      <c r="J685">
        <v>-261.77</v>
      </c>
      <c r="K685">
        <v>-305.38</v>
      </c>
      <c r="L685">
        <v>-317.8</v>
      </c>
      <c r="M685">
        <v>6.64</v>
      </c>
      <c r="N685" t="b">
        <v>1</v>
      </c>
      <c r="O685">
        <v>22002</v>
      </c>
      <c r="P685" t="s">
        <v>698</v>
      </c>
      <c r="Q685" t="s">
        <v>2862</v>
      </c>
      <c r="R685">
        <v>38.45506476778306</v>
      </c>
      <c r="S685">
        <v>2101</v>
      </c>
      <c r="T685">
        <v>14272</v>
      </c>
      <c r="U685" t="s">
        <v>4670</v>
      </c>
      <c r="V685">
        <v>43.07</v>
      </c>
      <c r="W685" t="s">
        <v>6890</v>
      </c>
      <c r="X685" t="s">
        <v>9025</v>
      </c>
      <c r="Y685">
        <v>15424</v>
      </c>
      <c r="Z685">
        <v>1581</v>
      </c>
      <c r="AA685">
        <v>325415</v>
      </c>
      <c r="AB685">
        <v>1.69</v>
      </c>
    </row>
    <row r="686" spans="1:28">
      <c r="A686" s="2">
        <f>HYPERLINK("https://finance.naver.com/item/coinfo.nhn?code=006360", "A006360")</f>
        <v>0</v>
      </c>
      <c r="B686">
        <f>HYPERLINK("http://comp.fnguide.com/SVO2/ASP/SVD_Consensus.asp?pGB=1&amp;gicode=A006360&amp;cID=&amp;MenuYn=Y&amp;ReportGB=&amp;NewMenuID=108&amp;stkGb=701", "GS건설")</f>
        <v>0</v>
      </c>
      <c r="C686">
        <v>3</v>
      </c>
      <c r="D686">
        <v>34350</v>
      </c>
      <c r="E686">
        <v>-0.2</v>
      </c>
      <c r="F686">
        <v>5.61</v>
      </c>
      <c r="G686">
        <v>73325</v>
      </c>
      <c r="H686">
        <v>59344</v>
      </c>
      <c r="I686">
        <v>55360</v>
      </c>
      <c r="J686">
        <v>-113.47</v>
      </c>
      <c r="K686">
        <v>-72.76000000000001</v>
      </c>
      <c r="L686">
        <v>-61.17</v>
      </c>
      <c r="M686">
        <v>11.67</v>
      </c>
      <c r="N686" t="b">
        <v>1</v>
      </c>
      <c r="O686">
        <v>5535</v>
      </c>
      <c r="P686" t="s">
        <v>699</v>
      </c>
      <c r="Q686" t="s">
        <v>2863</v>
      </c>
      <c r="R686">
        <v>-27.92781396405407</v>
      </c>
      <c r="S686">
        <v>27514</v>
      </c>
      <c r="T686">
        <v>1718281</v>
      </c>
      <c r="U686" t="s">
        <v>4671</v>
      </c>
      <c r="V686">
        <v>25.69</v>
      </c>
      <c r="W686" t="s">
        <v>6891</v>
      </c>
      <c r="X686" t="s">
        <v>9026</v>
      </c>
      <c r="Y686">
        <v>104166</v>
      </c>
      <c r="Z686">
        <v>7673</v>
      </c>
      <c r="AA686">
        <v>692595</v>
      </c>
      <c r="AB686">
        <v>3.22</v>
      </c>
    </row>
    <row r="687" spans="1:28">
      <c r="A687" s="2">
        <f>HYPERLINK("https://finance.naver.com/item/coinfo.nhn?code=001250", "A001250")</f>
        <v>0</v>
      </c>
      <c r="B687">
        <f>HYPERLINK("http://comp.fnguide.com/SVO2/ASP/SVD_Consensus.asp?pGB=1&amp;gicode=A001250&amp;cID=&amp;MenuYn=Y&amp;ReportGB=&amp;NewMenuID=108&amp;stkGb=701", "GS글로벌")</f>
        <v>0</v>
      </c>
      <c r="C687">
        <v>3</v>
      </c>
      <c r="D687">
        <v>1910</v>
      </c>
      <c r="G687">
        <v>1564</v>
      </c>
      <c r="H687">
        <v>3240</v>
      </c>
      <c r="I687">
        <v>3717</v>
      </c>
      <c r="J687">
        <v>18.12</v>
      </c>
      <c r="K687">
        <v>-69.62</v>
      </c>
      <c r="L687">
        <v>-94.62</v>
      </c>
      <c r="M687">
        <v>2.86</v>
      </c>
      <c r="N687" t="b">
        <v>0</v>
      </c>
      <c r="O687">
        <v>-207</v>
      </c>
      <c r="P687" t="s">
        <v>700</v>
      </c>
      <c r="Q687" t="s">
        <v>2864</v>
      </c>
      <c r="R687">
        <v>-1.907367088941958</v>
      </c>
      <c r="S687">
        <v>1576</v>
      </c>
      <c r="T687">
        <v>456583</v>
      </c>
      <c r="U687" t="s">
        <v>4672</v>
      </c>
      <c r="V687">
        <v>50.83</v>
      </c>
      <c r="W687" t="s">
        <v>6892</v>
      </c>
      <c r="X687" t="s">
        <v>9027</v>
      </c>
      <c r="Y687">
        <v>38894</v>
      </c>
      <c r="Z687">
        <v>583</v>
      </c>
      <c r="AA687">
        <v>38562</v>
      </c>
    </row>
    <row r="688" spans="1:28">
      <c r="A688" s="2">
        <f>HYPERLINK("https://finance.naver.com/item/coinfo.nhn?code=084110", "A084110")</f>
        <v>0</v>
      </c>
      <c r="B688">
        <f>HYPERLINK("http://comp.fnguide.com/SVO2/ASP/SVD_Consensus.asp?pGB=1&amp;gicode=A084110&amp;cID=&amp;MenuYn=Y&amp;ReportGB=&amp;NewMenuID=108&amp;stkGb=701", "휴온스글로벌")</f>
        <v>0</v>
      </c>
      <c r="C688">
        <v>3</v>
      </c>
      <c r="D688">
        <v>30750</v>
      </c>
      <c r="E688">
        <v>2.7</v>
      </c>
      <c r="F688">
        <v>15.12</v>
      </c>
      <c r="G688">
        <v>32034</v>
      </c>
      <c r="H688">
        <v>32865</v>
      </c>
      <c r="I688">
        <v>33102</v>
      </c>
      <c r="J688">
        <v>-4.17</v>
      </c>
      <c r="K688">
        <v>-6.88</v>
      </c>
      <c r="L688">
        <v>-7.65</v>
      </c>
      <c r="M688">
        <v>7.64</v>
      </c>
      <c r="N688" t="b">
        <v>1</v>
      </c>
      <c r="O688">
        <v>2325</v>
      </c>
      <c r="P688" t="s">
        <v>701</v>
      </c>
      <c r="Q688" t="s">
        <v>2865</v>
      </c>
      <c r="R688">
        <v>5.597141775630465</v>
      </c>
      <c r="S688">
        <v>3525</v>
      </c>
      <c r="T688">
        <v>53665</v>
      </c>
      <c r="U688" t="s">
        <v>4673</v>
      </c>
      <c r="V688">
        <v>56.66</v>
      </c>
      <c r="W688" t="s">
        <v>6893</v>
      </c>
      <c r="X688" t="s">
        <v>9028</v>
      </c>
      <c r="Y688">
        <v>4494</v>
      </c>
      <c r="Z688">
        <v>729</v>
      </c>
      <c r="AA688">
        <v>137681</v>
      </c>
      <c r="AB688">
        <v>1.08</v>
      </c>
    </row>
    <row r="689" spans="1:28">
      <c r="A689" s="2">
        <f>HYPERLINK("https://finance.naver.com/item/coinfo.nhn?code=007860", "A007860")</f>
        <v>0</v>
      </c>
      <c r="B689">
        <f>HYPERLINK("http://comp.fnguide.com/SVO2/ASP/SVD_Consensus.asp?pGB=1&amp;gicode=A007860&amp;cID=&amp;MenuYn=Y&amp;ReportGB=&amp;NewMenuID=108&amp;stkGb=701", "서연")</f>
        <v>0</v>
      </c>
      <c r="C689">
        <v>3</v>
      </c>
      <c r="D689">
        <v>11350</v>
      </c>
      <c r="G689">
        <v>0</v>
      </c>
      <c r="H689">
        <v>11692</v>
      </c>
      <c r="I689">
        <v>15023</v>
      </c>
      <c r="J689">
        <v>100</v>
      </c>
      <c r="K689">
        <v>-3.01</v>
      </c>
      <c r="L689">
        <v>-32.36</v>
      </c>
      <c r="M689">
        <v>0</v>
      </c>
      <c r="N689" t="b">
        <v>0</v>
      </c>
      <c r="O689">
        <v>-2554</v>
      </c>
      <c r="P689" t="s">
        <v>702</v>
      </c>
      <c r="Q689" t="s">
        <v>2866</v>
      </c>
      <c r="R689">
        <v>88.09999999999999</v>
      </c>
      <c r="S689">
        <v>2665</v>
      </c>
      <c r="T689">
        <v>1880169</v>
      </c>
      <c r="U689" t="s">
        <v>4674</v>
      </c>
      <c r="V689">
        <v>45.84</v>
      </c>
      <c r="W689" t="s">
        <v>6894</v>
      </c>
      <c r="X689" t="s">
        <v>968</v>
      </c>
      <c r="Y689">
        <v>22026</v>
      </c>
      <c r="Z689">
        <v>332</v>
      </c>
      <c r="AA689">
        <v>1772558</v>
      </c>
      <c r="AB689">
        <v>1.71</v>
      </c>
    </row>
    <row r="690" spans="1:28">
      <c r="A690" s="2">
        <f>HYPERLINK("https://finance.naver.com/item/coinfo.nhn?code=200880", "A200880")</f>
        <v>0</v>
      </c>
      <c r="B690">
        <f>HYPERLINK("http://comp.fnguide.com/SVO2/ASP/SVD_Consensus.asp?pGB=1&amp;gicode=A200880&amp;cID=&amp;MenuYn=Y&amp;ReportGB=&amp;NewMenuID=108&amp;stkGb=701", "서연이화")</f>
        <v>0</v>
      </c>
      <c r="C690">
        <v>3</v>
      </c>
      <c r="D690">
        <v>7150</v>
      </c>
      <c r="G690">
        <v>2421</v>
      </c>
      <c r="H690">
        <v>14554</v>
      </c>
      <c r="I690">
        <v>18011</v>
      </c>
      <c r="J690">
        <v>66.14</v>
      </c>
      <c r="K690">
        <v>-103.55</v>
      </c>
      <c r="L690">
        <v>-151.9</v>
      </c>
      <c r="M690">
        <v>0.85</v>
      </c>
      <c r="N690" t="b">
        <v>0</v>
      </c>
      <c r="O690">
        <v>-1721</v>
      </c>
      <c r="P690" t="s">
        <v>703</v>
      </c>
      <c r="Q690" t="s">
        <v>2867</v>
      </c>
      <c r="R690">
        <v>-34.47504292256271</v>
      </c>
      <c r="S690">
        <v>1933</v>
      </c>
      <c r="T690">
        <v>5484124</v>
      </c>
      <c r="U690" t="s">
        <v>4675</v>
      </c>
      <c r="V690">
        <v>57.06</v>
      </c>
      <c r="W690" t="s">
        <v>6895</v>
      </c>
      <c r="X690" t="s">
        <v>9029</v>
      </c>
      <c r="Y690">
        <v>19768</v>
      </c>
      <c r="Z690">
        <v>219</v>
      </c>
      <c r="AA690">
        <v>5686</v>
      </c>
      <c r="AB690">
        <v>2.03</v>
      </c>
    </row>
    <row r="691" spans="1:28">
      <c r="A691" s="2">
        <f>HYPERLINK("https://finance.naver.com/item/coinfo.nhn?code=183190", "A183190")</f>
        <v>0</v>
      </c>
      <c r="B691">
        <f>HYPERLINK("http://comp.fnguide.com/SVO2/ASP/SVD_Consensus.asp?pGB=1&amp;gicode=A183190&amp;cID=&amp;MenuYn=Y&amp;ReportGB=&amp;NewMenuID=108&amp;stkGb=701", "아세아시멘트")</f>
        <v>0</v>
      </c>
      <c r="C691">
        <v>3</v>
      </c>
      <c r="D691">
        <v>77100</v>
      </c>
      <c r="E691">
        <v>-0.44</v>
      </c>
      <c r="F691">
        <v>10.62</v>
      </c>
      <c r="G691">
        <v>98192</v>
      </c>
      <c r="H691">
        <v>162340</v>
      </c>
      <c r="I691">
        <v>180619</v>
      </c>
      <c r="J691">
        <v>-27.36</v>
      </c>
      <c r="K691">
        <v>-110.56</v>
      </c>
      <c r="L691">
        <v>-134.27</v>
      </c>
      <c r="M691">
        <v>3.82</v>
      </c>
      <c r="N691" t="b">
        <v>1</v>
      </c>
      <c r="O691">
        <v>7157</v>
      </c>
      <c r="P691" t="s">
        <v>704</v>
      </c>
      <c r="Q691" t="s">
        <v>2868</v>
      </c>
      <c r="R691">
        <v>-24.28670790347758</v>
      </c>
      <c r="S691">
        <v>3004</v>
      </c>
      <c r="T691">
        <v>32746</v>
      </c>
      <c r="U691" t="s">
        <v>4676</v>
      </c>
      <c r="V691">
        <v>61.36</v>
      </c>
      <c r="W691" t="s">
        <v>6896</v>
      </c>
      <c r="X691" t="s">
        <v>9030</v>
      </c>
      <c r="Y691">
        <v>8368</v>
      </c>
      <c r="Z691">
        <v>808</v>
      </c>
      <c r="AA691">
        <v>1327</v>
      </c>
      <c r="AB691">
        <v>1.97</v>
      </c>
    </row>
    <row r="692" spans="1:28">
      <c r="A692" s="2">
        <f>HYPERLINK("https://finance.naver.com/item/coinfo.nhn?code=007540", "A007540")</f>
        <v>0</v>
      </c>
      <c r="B692">
        <f>HYPERLINK("http://comp.fnguide.com/SVO2/ASP/SVD_Consensus.asp?pGB=1&amp;gicode=A007540&amp;cID=&amp;MenuYn=Y&amp;ReportGB=&amp;NewMenuID=108&amp;stkGb=701", "샘표")</f>
        <v>0</v>
      </c>
      <c r="C692">
        <v>3</v>
      </c>
      <c r="D692">
        <v>47600</v>
      </c>
      <c r="E692">
        <v>0.61</v>
      </c>
      <c r="F692">
        <v>9.710000000000001</v>
      </c>
      <c r="G692">
        <v>71973</v>
      </c>
      <c r="H692">
        <v>72486</v>
      </c>
      <c r="I692">
        <v>72632</v>
      </c>
      <c r="J692">
        <v>-51.2</v>
      </c>
      <c r="K692">
        <v>-52.28</v>
      </c>
      <c r="L692">
        <v>-52.59</v>
      </c>
      <c r="M692">
        <v>7.88</v>
      </c>
      <c r="N692" t="b">
        <v>0</v>
      </c>
      <c r="O692">
        <v>4195</v>
      </c>
      <c r="P692" t="s">
        <v>705</v>
      </c>
      <c r="Q692" t="s">
        <v>2869</v>
      </c>
      <c r="R692">
        <v>15.94818331319921</v>
      </c>
      <c r="S692">
        <v>1369</v>
      </c>
      <c r="T692">
        <v>5430</v>
      </c>
      <c r="U692" t="s">
        <v>4677</v>
      </c>
      <c r="V692">
        <v>48.44</v>
      </c>
      <c r="W692" t="s">
        <v>6897</v>
      </c>
      <c r="X692" t="s">
        <v>9031</v>
      </c>
      <c r="Y692">
        <v>2810</v>
      </c>
      <c r="Z692">
        <v>295</v>
      </c>
      <c r="AA692">
        <v>658187</v>
      </c>
      <c r="AB692">
        <v>0.49</v>
      </c>
    </row>
    <row r="693" spans="1:28">
      <c r="A693" s="2">
        <f>HYPERLINK("https://finance.naver.com/item/coinfo.nhn?code=075180", "A075180")</f>
        <v>0</v>
      </c>
      <c r="B693">
        <f>HYPERLINK("http://comp.fnguide.com/SVO2/ASP/SVD_Consensus.asp?pGB=1&amp;gicode=A075180&amp;cID=&amp;MenuYn=Y&amp;ReportGB=&amp;NewMenuID=108&amp;stkGb=701", "새론오토모티브")</f>
        <v>0</v>
      </c>
      <c r="C693">
        <v>3</v>
      </c>
      <c r="D693">
        <v>5500</v>
      </c>
      <c r="G693">
        <v>2974</v>
      </c>
      <c r="H693">
        <v>7853</v>
      </c>
      <c r="I693">
        <v>9243</v>
      </c>
      <c r="J693">
        <v>45.93</v>
      </c>
      <c r="K693">
        <v>-42.78</v>
      </c>
      <c r="L693">
        <v>-68.05</v>
      </c>
      <c r="M693">
        <v>2.14</v>
      </c>
      <c r="N693" t="b">
        <v>0</v>
      </c>
      <c r="O693">
        <v>-433</v>
      </c>
      <c r="P693" t="s">
        <v>706</v>
      </c>
      <c r="Q693" t="s">
        <v>2870</v>
      </c>
      <c r="R693">
        <v>-33.20284413366619</v>
      </c>
      <c r="S693">
        <v>1056</v>
      </c>
      <c r="T693">
        <v>32252</v>
      </c>
      <c r="U693" t="s">
        <v>4678</v>
      </c>
      <c r="V693">
        <v>65.01000000000001</v>
      </c>
      <c r="W693" t="s">
        <v>6898</v>
      </c>
      <c r="X693" t="s">
        <v>9032</v>
      </c>
      <c r="Y693">
        <v>1527</v>
      </c>
      <c r="Z693">
        <v>-38</v>
      </c>
      <c r="AB693">
        <v>2.77</v>
      </c>
    </row>
    <row r="694" spans="1:28">
      <c r="A694" s="2">
        <f>HYPERLINK("https://finance.naver.com/item/coinfo.nhn?code=017390", "A017390")</f>
        <v>0</v>
      </c>
      <c r="B694">
        <f>HYPERLINK("http://comp.fnguide.com/SVO2/ASP/SVD_Consensus.asp?pGB=1&amp;gicode=A017390&amp;cID=&amp;MenuYn=Y&amp;ReportGB=&amp;NewMenuID=108&amp;stkGb=701", "서울가스")</f>
        <v>0</v>
      </c>
      <c r="C694">
        <v>3</v>
      </c>
      <c r="D694">
        <v>92000</v>
      </c>
      <c r="E694">
        <v>0.44</v>
      </c>
      <c r="F694">
        <v>12.1</v>
      </c>
      <c r="G694">
        <v>114948</v>
      </c>
      <c r="H694">
        <v>195055</v>
      </c>
      <c r="I694">
        <v>217882</v>
      </c>
      <c r="J694">
        <v>-24.94</v>
      </c>
      <c r="K694">
        <v>-112.02</v>
      </c>
      <c r="L694">
        <v>-136.83</v>
      </c>
      <c r="M694">
        <v>3.69</v>
      </c>
      <c r="N694" t="b">
        <v>0</v>
      </c>
      <c r="O694">
        <v>5836</v>
      </c>
      <c r="P694" t="s">
        <v>707</v>
      </c>
      <c r="Q694" t="s">
        <v>2871</v>
      </c>
      <c r="R694">
        <v>27.6538005519904</v>
      </c>
      <c r="S694">
        <v>4600</v>
      </c>
      <c r="T694">
        <v>2123</v>
      </c>
      <c r="U694" t="s">
        <v>4679</v>
      </c>
      <c r="V694">
        <v>63.61</v>
      </c>
      <c r="W694" t="s">
        <v>6899</v>
      </c>
      <c r="X694" t="s">
        <v>9033</v>
      </c>
      <c r="Y694">
        <v>13610</v>
      </c>
      <c r="Z694">
        <v>105</v>
      </c>
      <c r="AA694">
        <v>1117208</v>
      </c>
      <c r="AB694">
        <v>2.48</v>
      </c>
    </row>
    <row r="695" spans="1:28">
      <c r="A695" s="2">
        <f>HYPERLINK("https://finance.naver.com/item/coinfo.nhn?code=053210", "A053210")</f>
        <v>0</v>
      </c>
      <c r="B695">
        <f>HYPERLINK("http://comp.fnguide.com/SVO2/ASP/SVD_Consensus.asp?pGB=1&amp;gicode=A053210&amp;cID=&amp;MenuYn=Y&amp;ReportGB=&amp;NewMenuID=108&amp;stkGb=701", "스카이라이프")</f>
        <v>0</v>
      </c>
      <c r="C695">
        <v>3</v>
      </c>
      <c r="D695">
        <v>8920</v>
      </c>
      <c r="E695">
        <v>-4.67</v>
      </c>
      <c r="F695">
        <v>7.64</v>
      </c>
      <c r="G695">
        <v>15666</v>
      </c>
      <c r="H695">
        <v>15085</v>
      </c>
      <c r="I695">
        <v>14919</v>
      </c>
      <c r="J695">
        <v>-75.63</v>
      </c>
      <c r="K695">
        <v>-69.11</v>
      </c>
      <c r="L695">
        <v>-67.25</v>
      </c>
      <c r="M695">
        <v>8.49</v>
      </c>
      <c r="N695" t="b">
        <v>1</v>
      </c>
      <c r="O695">
        <v>1141</v>
      </c>
      <c r="P695" t="s">
        <v>708</v>
      </c>
      <c r="Q695" t="s">
        <v>2872</v>
      </c>
      <c r="R695">
        <v>-1.634622382576045</v>
      </c>
      <c r="S695">
        <v>4266</v>
      </c>
      <c r="T695">
        <v>123687</v>
      </c>
      <c r="U695" t="s">
        <v>4680</v>
      </c>
      <c r="V695">
        <v>50</v>
      </c>
      <c r="W695" t="s">
        <v>6900</v>
      </c>
      <c r="X695" t="s">
        <v>9034</v>
      </c>
      <c r="Y695">
        <v>6946</v>
      </c>
      <c r="Z695">
        <v>694</v>
      </c>
      <c r="AA695">
        <v>258613</v>
      </c>
      <c r="AB695">
        <v>4.01</v>
      </c>
    </row>
    <row r="696" spans="1:28">
      <c r="A696" s="2">
        <f>HYPERLINK("https://finance.naver.com/item/coinfo.nhn?code=001290", "A001290")</f>
        <v>0</v>
      </c>
      <c r="B696">
        <f>HYPERLINK("http://comp.fnguide.com/SVO2/ASP/SVD_Consensus.asp?pGB=1&amp;gicode=A001290&amp;cID=&amp;MenuYn=Y&amp;ReportGB=&amp;NewMenuID=108&amp;stkGb=701", "상상인증권")</f>
        <v>0</v>
      </c>
      <c r="C696">
        <v>3</v>
      </c>
      <c r="D696">
        <v>1180</v>
      </c>
      <c r="G696">
        <v>0</v>
      </c>
      <c r="H696">
        <v>974</v>
      </c>
      <c r="I696">
        <v>1252</v>
      </c>
      <c r="J696">
        <v>100</v>
      </c>
      <c r="K696">
        <v>17.42</v>
      </c>
      <c r="L696">
        <v>-6.11</v>
      </c>
      <c r="M696">
        <v>0</v>
      </c>
      <c r="N696" t="b">
        <v>0</v>
      </c>
      <c r="O696">
        <v>-93</v>
      </c>
      <c r="P696" t="s">
        <v>709</v>
      </c>
      <c r="Q696" t="s">
        <v>2873</v>
      </c>
      <c r="R696">
        <v>-3.750573444130123</v>
      </c>
      <c r="S696">
        <v>1134</v>
      </c>
      <c r="T696">
        <v>626345</v>
      </c>
      <c r="U696" t="s">
        <v>4681</v>
      </c>
      <c r="V696">
        <v>69.34</v>
      </c>
      <c r="W696" t="s">
        <v>6901</v>
      </c>
      <c r="X696" t="s">
        <v>968</v>
      </c>
      <c r="Y696">
        <v>166</v>
      </c>
      <c r="Z696">
        <v>-54</v>
      </c>
      <c r="AA696">
        <v>2073279</v>
      </c>
    </row>
    <row r="697" spans="1:28">
      <c r="A697" s="2">
        <f>HYPERLINK("https://finance.naver.com/item/coinfo.nhn?code=000390", "A000390")</f>
        <v>0</v>
      </c>
      <c r="B697">
        <f>HYPERLINK("http://comp.fnguide.com/SVO2/ASP/SVD_Consensus.asp?pGB=1&amp;gicode=A000390&amp;cID=&amp;MenuYn=Y&amp;ReportGB=&amp;NewMenuID=108&amp;stkGb=701", "삼화페인트")</f>
        <v>0</v>
      </c>
      <c r="C697">
        <v>3</v>
      </c>
      <c r="D697">
        <v>7900</v>
      </c>
      <c r="E697">
        <v>-1.38</v>
      </c>
      <c r="F697">
        <v>35.99</v>
      </c>
      <c r="G697">
        <v>1378</v>
      </c>
      <c r="H697">
        <v>8163</v>
      </c>
      <c r="I697">
        <v>10096</v>
      </c>
      <c r="J697">
        <v>82.56</v>
      </c>
      <c r="K697">
        <v>-3.33</v>
      </c>
      <c r="L697">
        <v>-27.8</v>
      </c>
      <c r="M697">
        <v>0.87</v>
      </c>
      <c r="N697" t="b">
        <v>1</v>
      </c>
      <c r="O697">
        <v>143</v>
      </c>
      <c r="P697" t="s">
        <v>710</v>
      </c>
      <c r="Q697" t="s">
        <v>2874</v>
      </c>
      <c r="R697">
        <v>-26.05453501683728</v>
      </c>
      <c r="S697">
        <v>2089</v>
      </c>
      <c r="T697">
        <v>482776</v>
      </c>
      <c r="U697" t="s">
        <v>4682</v>
      </c>
      <c r="V697">
        <v>32.85</v>
      </c>
      <c r="W697" t="s">
        <v>6902</v>
      </c>
      <c r="X697" t="s">
        <v>9035</v>
      </c>
      <c r="Y697">
        <v>5403</v>
      </c>
      <c r="Z697">
        <v>112</v>
      </c>
      <c r="AA697">
        <v>4269343</v>
      </c>
      <c r="AB697">
        <v>2.43</v>
      </c>
    </row>
    <row r="698" spans="1:28">
      <c r="A698" s="2">
        <f>HYPERLINK("https://finance.naver.com/item/coinfo.nhn?code=004430", "A004430")</f>
        <v>0</v>
      </c>
      <c r="B698">
        <f>HYPERLINK("http://comp.fnguide.com/SVO2/ASP/SVD_Consensus.asp?pGB=1&amp;gicode=A004430&amp;cID=&amp;MenuYn=Y&amp;ReportGB=&amp;NewMenuID=108&amp;stkGb=701", "송원산업")</f>
        <v>0</v>
      </c>
      <c r="C698">
        <v>3</v>
      </c>
      <c r="D698">
        <v>14850</v>
      </c>
      <c r="E698">
        <v>-466.19</v>
      </c>
      <c r="F698">
        <v>10.74</v>
      </c>
      <c r="G698">
        <v>20134</v>
      </c>
      <c r="H698">
        <v>18842</v>
      </c>
      <c r="I698">
        <v>18474</v>
      </c>
      <c r="J698">
        <v>-35.59</v>
      </c>
      <c r="K698">
        <v>-26.88</v>
      </c>
      <c r="L698">
        <v>-24.4</v>
      </c>
      <c r="M698">
        <v>8.92</v>
      </c>
      <c r="N698" t="b">
        <v>1</v>
      </c>
      <c r="O698">
        <v>1448</v>
      </c>
      <c r="P698" t="s">
        <v>711</v>
      </c>
      <c r="Q698" t="s">
        <v>2875</v>
      </c>
      <c r="R698">
        <v>-0.02303785426702731</v>
      </c>
      <c r="S698">
        <v>3564</v>
      </c>
      <c r="T698">
        <v>564721</v>
      </c>
      <c r="U698" t="s">
        <v>4683</v>
      </c>
      <c r="V698">
        <v>35.64</v>
      </c>
      <c r="W698" t="s">
        <v>6903</v>
      </c>
      <c r="X698" t="s">
        <v>9036</v>
      </c>
      <c r="Y698">
        <v>8143</v>
      </c>
      <c r="Z698">
        <v>593</v>
      </c>
      <c r="AB698">
        <v>0.96</v>
      </c>
    </row>
    <row r="699" spans="1:28">
      <c r="A699" s="2">
        <f>HYPERLINK("https://finance.naver.com/item/coinfo.nhn?code=093380", "A093380")</f>
        <v>0</v>
      </c>
      <c r="B699">
        <f>HYPERLINK("http://comp.fnguide.com/SVO2/ASP/SVD_Consensus.asp?pGB=1&amp;gicode=A093380&amp;cID=&amp;MenuYn=Y&amp;ReportGB=&amp;NewMenuID=108&amp;stkGb=701", "풍강")</f>
        <v>0</v>
      </c>
      <c r="C699">
        <v>3</v>
      </c>
      <c r="D699">
        <v>3360</v>
      </c>
      <c r="E699">
        <v>-3.92</v>
      </c>
      <c r="F699">
        <v>173.62</v>
      </c>
      <c r="G699">
        <v>762</v>
      </c>
      <c r="H699">
        <v>4114</v>
      </c>
      <c r="I699">
        <v>5069</v>
      </c>
      <c r="J699">
        <v>77.31</v>
      </c>
      <c r="K699">
        <v>-22.45</v>
      </c>
      <c r="L699">
        <v>-50.88</v>
      </c>
      <c r="M699">
        <v>0.96</v>
      </c>
      <c r="N699" t="b">
        <v>0</v>
      </c>
      <c r="O699">
        <v>16</v>
      </c>
      <c r="P699" t="s">
        <v>712</v>
      </c>
      <c r="Q699" t="s">
        <v>2876</v>
      </c>
      <c r="R699">
        <v>-44.30678743856122</v>
      </c>
      <c r="S699">
        <v>332</v>
      </c>
      <c r="T699">
        <v>80666</v>
      </c>
      <c r="U699" t="s">
        <v>4684</v>
      </c>
      <c r="V699">
        <v>33.23</v>
      </c>
      <c r="W699" t="s">
        <v>6904</v>
      </c>
      <c r="X699" t="s">
        <v>9037</v>
      </c>
      <c r="Y699">
        <v>639</v>
      </c>
      <c r="Z699">
        <v>2</v>
      </c>
      <c r="AA699">
        <v>291091</v>
      </c>
      <c r="AB699">
        <v>1.08</v>
      </c>
    </row>
    <row r="700" spans="1:28">
      <c r="A700" s="2">
        <f>HYPERLINK("https://finance.naver.com/item/coinfo.nhn?code=007330", "A007330")</f>
        <v>0</v>
      </c>
      <c r="B700">
        <f>HYPERLINK("http://comp.fnguide.com/SVO2/ASP/SVD_Consensus.asp?pGB=1&amp;gicode=A007330&amp;cID=&amp;MenuYn=Y&amp;ReportGB=&amp;NewMenuID=108&amp;stkGb=701", "푸른저축은행")</f>
        <v>0</v>
      </c>
      <c r="C700">
        <v>3</v>
      </c>
      <c r="D700">
        <v>8820</v>
      </c>
      <c r="E700">
        <v>0</v>
      </c>
      <c r="F700">
        <v>4.8</v>
      </c>
      <c r="G700">
        <v>27414</v>
      </c>
      <c r="H700">
        <v>24411</v>
      </c>
      <c r="I700">
        <v>23556</v>
      </c>
      <c r="J700">
        <v>-210.81</v>
      </c>
      <c r="K700">
        <v>-176.77</v>
      </c>
      <c r="L700">
        <v>-167.07</v>
      </c>
      <c r="M700">
        <v>9.75</v>
      </c>
      <c r="N700" t="b">
        <v>1</v>
      </c>
      <c r="O700">
        <v>1631</v>
      </c>
      <c r="P700" t="s">
        <v>713</v>
      </c>
      <c r="Q700" t="s">
        <v>2877</v>
      </c>
      <c r="R700">
        <v>-16.70070494091571</v>
      </c>
      <c r="S700">
        <v>1330</v>
      </c>
      <c r="T700">
        <v>22698</v>
      </c>
      <c r="U700" t="s">
        <v>4685</v>
      </c>
      <c r="V700">
        <v>62.3</v>
      </c>
      <c r="W700" t="s">
        <v>6905</v>
      </c>
      <c r="X700" t="s">
        <v>9038</v>
      </c>
      <c r="Y700">
        <v>559</v>
      </c>
      <c r="Z700">
        <v>321</v>
      </c>
      <c r="AA700">
        <v>3243332</v>
      </c>
      <c r="AB700">
        <v>7.02</v>
      </c>
    </row>
    <row r="701" spans="1:28">
      <c r="A701" s="2">
        <f>HYPERLINK("https://finance.naver.com/item/coinfo.nhn?code=002310", "A002310")</f>
        <v>0</v>
      </c>
      <c r="B701">
        <f>HYPERLINK("http://comp.fnguide.com/SVO2/ASP/SVD_Consensus.asp?pGB=1&amp;gicode=A002310&amp;cID=&amp;MenuYn=Y&amp;ReportGB=&amp;NewMenuID=108&amp;stkGb=701", "아세아제지")</f>
        <v>0</v>
      </c>
      <c r="C701">
        <v>3</v>
      </c>
      <c r="D701">
        <v>38700</v>
      </c>
      <c r="E701">
        <v>0.22</v>
      </c>
      <c r="F701">
        <v>4.37</v>
      </c>
      <c r="G701">
        <v>89749</v>
      </c>
      <c r="H701">
        <v>75062</v>
      </c>
      <c r="I701">
        <v>70877</v>
      </c>
      <c r="J701">
        <v>-131.91</v>
      </c>
      <c r="K701">
        <v>-93.95999999999999</v>
      </c>
      <c r="L701">
        <v>-83.14</v>
      </c>
      <c r="M701">
        <v>10.95</v>
      </c>
      <c r="N701" t="b">
        <v>1</v>
      </c>
      <c r="O701">
        <v>6860</v>
      </c>
      <c r="P701" t="s">
        <v>714</v>
      </c>
      <c r="Q701" t="s">
        <v>2878</v>
      </c>
      <c r="R701">
        <v>20.24422735583917</v>
      </c>
      <c r="S701">
        <v>3466</v>
      </c>
      <c r="T701">
        <v>147053</v>
      </c>
      <c r="U701" t="s">
        <v>4686</v>
      </c>
      <c r="V701">
        <v>50.07</v>
      </c>
      <c r="W701" t="s">
        <v>6906</v>
      </c>
      <c r="X701" t="s">
        <v>9039</v>
      </c>
      <c r="Y701">
        <v>6977</v>
      </c>
      <c r="Z701">
        <v>711</v>
      </c>
      <c r="AB701">
        <v>2</v>
      </c>
    </row>
    <row r="702" spans="1:28">
      <c r="A702" s="2">
        <f>HYPERLINK("https://finance.naver.com/item/coinfo.nhn?code=001460", "A001460")</f>
        <v>0</v>
      </c>
      <c r="B702">
        <f>HYPERLINK("http://comp.fnguide.com/SVO2/ASP/SVD_Consensus.asp?pGB=1&amp;gicode=A001460&amp;cID=&amp;MenuYn=Y&amp;ReportGB=&amp;NewMenuID=108&amp;stkGb=701", "BYC")</f>
        <v>0</v>
      </c>
      <c r="C702">
        <v>3</v>
      </c>
      <c r="D702">
        <v>287000</v>
      </c>
      <c r="E702">
        <v>3.71</v>
      </c>
      <c r="F702">
        <v>7.15</v>
      </c>
      <c r="G702">
        <v>376303</v>
      </c>
      <c r="H702">
        <v>567978</v>
      </c>
      <c r="I702">
        <v>622595</v>
      </c>
      <c r="J702">
        <v>-31.12</v>
      </c>
      <c r="K702">
        <v>-97.90000000000001</v>
      </c>
      <c r="L702">
        <v>-116.93</v>
      </c>
      <c r="M702">
        <v>4.31</v>
      </c>
      <c r="N702" t="b">
        <v>1</v>
      </c>
      <c r="O702">
        <v>33063</v>
      </c>
      <c r="P702" t="s">
        <v>715</v>
      </c>
      <c r="Q702" t="s">
        <v>2879</v>
      </c>
      <c r="R702">
        <v>1.926643763763747</v>
      </c>
      <c r="S702">
        <v>1793</v>
      </c>
      <c r="T702">
        <v>790</v>
      </c>
      <c r="U702" t="s">
        <v>4687</v>
      </c>
      <c r="V702">
        <v>61.5</v>
      </c>
      <c r="W702" t="s">
        <v>6907</v>
      </c>
      <c r="X702" t="s">
        <v>9040</v>
      </c>
      <c r="Y702">
        <v>1706</v>
      </c>
      <c r="Z702">
        <v>234</v>
      </c>
      <c r="AA702">
        <v>8</v>
      </c>
      <c r="AB702">
        <v>0.47</v>
      </c>
    </row>
    <row r="703" spans="1:28">
      <c r="A703" s="2">
        <f>HYPERLINK("https://finance.naver.com/item/coinfo.nhn?code=004450", "A004450")</f>
        <v>0</v>
      </c>
      <c r="B703">
        <f>HYPERLINK("http://comp.fnguide.com/SVO2/ASP/SVD_Consensus.asp?pGB=1&amp;gicode=A004450&amp;cID=&amp;MenuYn=Y&amp;ReportGB=&amp;NewMenuID=108&amp;stkGb=701", "삼화왕관")</f>
        <v>0</v>
      </c>
      <c r="C703">
        <v>3</v>
      </c>
      <c r="D703">
        <v>39000</v>
      </c>
      <c r="E703">
        <v>-3.17</v>
      </c>
      <c r="F703">
        <v>11.75</v>
      </c>
      <c r="G703">
        <v>63954</v>
      </c>
      <c r="H703">
        <v>73343</v>
      </c>
      <c r="I703">
        <v>76018</v>
      </c>
      <c r="J703">
        <v>-63.98</v>
      </c>
      <c r="K703">
        <v>-88.06</v>
      </c>
      <c r="L703">
        <v>-94.92</v>
      </c>
      <c r="M703">
        <v>6.41</v>
      </c>
      <c r="N703" t="b">
        <v>1</v>
      </c>
      <c r="O703">
        <v>3876</v>
      </c>
      <c r="P703" t="s">
        <v>716</v>
      </c>
      <c r="Q703" t="s">
        <v>2880</v>
      </c>
      <c r="R703">
        <v>-3.702600425322655</v>
      </c>
      <c r="S703">
        <v>840</v>
      </c>
      <c r="T703">
        <v>2522</v>
      </c>
      <c r="U703" t="s">
        <v>4688</v>
      </c>
      <c r="V703">
        <v>51.34</v>
      </c>
      <c r="W703" t="s">
        <v>6908</v>
      </c>
      <c r="X703" t="s">
        <v>9041</v>
      </c>
      <c r="Y703">
        <v>1160</v>
      </c>
      <c r="Z703">
        <v>91</v>
      </c>
      <c r="AA703">
        <v>331062</v>
      </c>
      <c r="AB703">
        <v>2.96</v>
      </c>
    </row>
    <row r="704" spans="1:28">
      <c r="A704" s="2">
        <f>HYPERLINK("https://finance.naver.com/item/coinfo.nhn?code=005830", "A005830")</f>
        <v>0</v>
      </c>
      <c r="B704">
        <f>HYPERLINK("http://comp.fnguide.com/SVO2/ASP/SVD_Consensus.asp?pGB=1&amp;gicode=A005830&amp;cID=&amp;MenuYn=Y&amp;ReportGB=&amp;NewMenuID=108&amp;stkGb=701", "DB손해보험")</f>
        <v>0</v>
      </c>
      <c r="C704">
        <v>3</v>
      </c>
      <c r="D704">
        <v>44750</v>
      </c>
      <c r="E704">
        <v>0.87</v>
      </c>
      <c r="F704">
        <v>9.81</v>
      </c>
      <c r="G704">
        <v>119031</v>
      </c>
      <c r="H704">
        <v>107043</v>
      </c>
      <c r="I704">
        <v>103627</v>
      </c>
      <c r="J704">
        <v>-165.99</v>
      </c>
      <c r="K704">
        <v>-139.2</v>
      </c>
      <c r="L704">
        <v>-131.57</v>
      </c>
      <c r="M704">
        <v>9.58</v>
      </c>
      <c r="N704" t="b">
        <v>1</v>
      </c>
      <c r="O704">
        <v>5334</v>
      </c>
      <c r="P704" t="s">
        <v>717</v>
      </c>
      <c r="Q704" t="s">
        <v>2881</v>
      </c>
      <c r="R704">
        <v>11.26586812232602</v>
      </c>
      <c r="S704">
        <v>31683</v>
      </c>
      <c r="T704">
        <v>227125</v>
      </c>
      <c r="U704" t="s">
        <v>4689</v>
      </c>
      <c r="V704">
        <v>23.21</v>
      </c>
      <c r="W704" t="s">
        <v>6909</v>
      </c>
      <c r="X704" t="s">
        <v>9042</v>
      </c>
      <c r="Y704">
        <v>143984</v>
      </c>
      <c r="Z704">
        <v>5116</v>
      </c>
      <c r="AA704">
        <v>10756531</v>
      </c>
      <c r="AB704">
        <v>2.87</v>
      </c>
    </row>
    <row r="705" spans="1:28">
      <c r="A705" s="2">
        <f>HYPERLINK("https://finance.naver.com/item/coinfo.nhn?code=010960", "A010960")</f>
        <v>0</v>
      </c>
      <c r="B705">
        <f>HYPERLINK("http://comp.fnguide.com/SVO2/ASP/SVD_Consensus.asp?pGB=1&amp;gicode=A010960&amp;cID=&amp;MenuYn=Y&amp;ReportGB=&amp;NewMenuID=108&amp;stkGb=701", "삼호개발")</f>
        <v>0</v>
      </c>
      <c r="C705">
        <v>3</v>
      </c>
      <c r="D705">
        <v>4150</v>
      </c>
      <c r="E705">
        <v>0.41</v>
      </c>
      <c r="F705">
        <v>5.16</v>
      </c>
      <c r="G705">
        <v>12633</v>
      </c>
      <c r="H705">
        <v>10022</v>
      </c>
      <c r="I705">
        <v>9278</v>
      </c>
      <c r="J705">
        <v>-204.41</v>
      </c>
      <c r="K705">
        <v>-141.49</v>
      </c>
      <c r="L705">
        <v>-123.56</v>
      </c>
      <c r="M705">
        <v>12.15</v>
      </c>
      <c r="N705" t="b">
        <v>1</v>
      </c>
      <c r="O705">
        <v>863</v>
      </c>
      <c r="P705" t="s">
        <v>718</v>
      </c>
      <c r="Q705" t="s">
        <v>2882</v>
      </c>
      <c r="R705">
        <v>12.66504194842557</v>
      </c>
      <c r="S705">
        <v>1038</v>
      </c>
      <c r="T705">
        <v>83967</v>
      </c>
      <c r="U705" t="s">
        <v>4690</v>
      </c>
      <c r="V705">
        <v>32.44</v>
      </c>
      <c r="W705" t="s">
        <v>6910</v>
      </c>
      <c r="X705" t="s">
        <v>9043</v>
      </c>
      <c r="Y705">
        <v>3646</v>
      </c>
      <c r="Z705">
        <v>236</v>
      </c>
      <c r="AA705">
        <v>2000000</v>
      </c>
      <c r="AB705">
        <v>4.27</v>
      </c>
    </row>
    <row r="706" spans="1:28">
      <c r="A706" s="2">
        <f>HYPERLINK("https://finance.naver.com/item/coinfo.nhn?code=004690", "A004690")</f>
        <v>0</v>
      </c>
      <c r="B706">
        <f>HYPERLINK("http://comp.fnguide.com/SVO2/ASP/SVD_Consensus.asp?pGB=1&amp;gicode=A004690&amp;cID=&amp;MenuYn=Y&amp;ReportGB=&amp;NewMenuID=108&amp;stkGb=701", "삼천리")</f>
        <v>0</v>
      </c>
      <c r="C706">
        <v>3</v>
      </c>
      <c r="D706">
        <v>81400</v>
      </c>
      <c r="E706">
        <v>-0.72</v>
      </c>
      <c r="F706">
        <v>9.06</v>
      </c>
      <c r="G706">
        <v>118832</v>
      </c>
      <c r="H706">
        <v>272798</v>
      </c>
      <c r="I706">
        <v>316670</v>
      </c>
      <c r="J706">
        <v>-45.98</v>
      </c>
      <c r="K706">
        <v>-235.13</v>
      </c>
      <c r="L706">
        <v>-289.03</v>
      </c>
      <c r="M706">
        <v>2.52</v>
      </c>
      <c r="N706" t="b">
        <v>0</v>
      </c>
      <c r="O706">
        <v>9327</v>
      </c>
      <c r="P706" t="s">
        <v>719</v>
      </c>
      <c r="Q706" t="s">
        <v>2883</v>
      </c>
      <c r="R706">
        <v>-12.66379642909101</v>
      </c>
      <c r="S706">
        <v>3301</v>
      </c>
      <c r="T706">
        <v>10150</v>
      </c>
      <c r="U706" t="s">
        <v>4691</v>
      </c>
      <c r="V706">
        <v>39.17</v>
      </c>
      <c r="W706" t="s">
        <v>6911</v>
      </c>
      <c r="X706" t="s">
        <v>9044</v>
      </c>
      <c r="Y706">
        <v>34616</v>
      </c>
      <c r="Z706">
        <v>856</v>
      </c>
      <c r="AA706">
        <v>631000</v>
      </c>
      <c r="AB706">
        <v>3.55</v>
      </c>
    </row>
    <row r="707" spans="1:28">
      <c r="A707" s="2">
        <f>HYPERLINK("https://finance.naver.com/item/coinfo.nhn?code=002810", "A002810")</f>
        <v>0</v>
      </c>
      <c r="B707">
        <f>HYPERLINK("http://comp.fnguide.com/SVO2/ASP/SVD_Consensus.asp?pGB=1&amp;gicode=A002810&amp;cID=&amp;MenuYn=Y&amp;ReportGB=&amp;NewMenuID=108&amp;stkGb=701", "삼영무역")</f>
        <v>0</v>
      </c>
      <c r="C707">
        <v>3</v>
      </c>
      <c r="D707">
        <v>14100</v>
      </c>
      <c r="E707">
        <v>0.79</v>
      </c>
      <c r="F707">
        <v>8.19</v>
      </c>
      <c r="G707">
        <v>25474</v>
      </c>
      <c r="H707">
        <v>22675</v>
      </c>
      <c r="I707">
        <v>21878</v>
      </c>
      <c r="J707">
        <v>-80.66</v>
      </c>
      <c r="K707">
        <v>-60.82</v>
      </c>
      <c r="L707">
        <v>-55.16</v>
      </c>
      <c r="M707">
        <v>9.75</v>
      </c>
      <c r="N707" t="b">
        <v>1</v>
      </c>
      <c r="O707">
        <v>1941</v>
      </c>
      <c r="P707" t="s">
        <v>720</v>
      </c>
      <c r="Q707" t="s">
        <v>2884</v>
      </c>
      <c r="R707">
        <v>10.39668560034053</v>
      </c>
      <c r="S707">
        <v>2604</v>
      </c>
      <c r="T707">
        <v>16760</v>
      </c>
      <c r="U707" t="s">
        <v>4692</v>
      </c>
      <c r="V707">
        <v>42.92</v>
      </c>
      <c r="W707" t="s">
        <v>6912</v>
      </c>
      <c r="X707" t="s">
        <v>9045</v>
      </c>
      <c r="Y707">
        <v>2742</v>
      </c>
      <c r="Z707">
        <v>92</v>
      </c>
      <c r="AA707">
        <v>1138844</v>
      </c>
      <c r="AB707">
        <v>2.1</v>
      </c>
    </row>
    <row r="708" spans="1:28">
      <c r="A708" s="2">
        <f>HYPERLINK("https://finance.naver.com/item/coinfo.nhn?code=141020", "A141020")</f>
        <v>0</v>
      </c>
      <c r="B708">
        <f>HYPERLINK("http://comp.fnguide.com/SVO2/ASP/SVD_Consensus.asp?pGB=1&amp;gicode=A141020&amp;cID=&amp;MenuYn=Y&amp;ReportGB=&amp;NewMenuID=108&amp;stkGb=701", "포티스")</f>
        <v>0</v>
      </c>
      <c r="C708">
        <v>3</v>
      </c>
      <c r="D708">
        <v>108</v>
      </c>
      <c r="E708">
        <v>0</v>
      </c>
      <c r="G708">
        <v>59</v>
      </c>
      <c r="H708">
        <v>150</v>
      </c>
      <c r="I708">
        <v>176</v>
      </c>
      <c r="J708">
        <v>45.33</v>
      </c>
      <c r="K708">
        <v>-38.87</v>
      </c>
      <c r="L708">
        <v>-62.86</v>
      </c>
      <c r="M708">
        <v>2.24</v>
      </c>
      <c r="N708" t="b">
        <v>0</v>
      </c>
      <c r="O708">
        <v>-344</v>
      </c>
      <c r="P708" t="s">
        <v>721</v>
      </c>
      <c r="Q708" t="s">
        <v>2276</v>
      </c>
      <c r="R708">
        <v>0</v>
      </c>
      <c r="S708">
        <v>188</v>
      </c>
      <c r="T708">
        <v>0</v>
      </c>
      <c r="U708" t="s">
        <v>4693</v>
      </c>
      <c r="V708">
        <v>0.85</v>
      </c>
      <c r="W708" t="s">
        <v>6913</v>
      </c>
      <c r="X708" t="s">
        <v>9046</v>
      </c>
      <c r="Y708">
        <v>386</v>
      </c>
      <c r="Z708">
        <v>-173</v>
      </c>
    </row>
    <row r="709" spans="1:28">
      <c r="A709" s="2">
        <f>HYPERLINK("https://finance.naver.com/item/coinfo.nhn?code=000070", "A000070")</f>
        <v>0</v>
      </c>
      <c r="B709">
        <f>HYPERLINK("http://comp.fnguide.com/SVO2/ASP/SVD_Consensus.asp?pGB=1&amp;gicode=A000070&amp;cID=&amp;MenuYn=Y&amp;ReportGB=&amp;NewMenuID=108&amp;stkGb=701", "삼양홀딩스")</f>
        <v>0</v>
      </c>
      <c r="C709">
        <v>3</v>
      </c>
      <c r="D709">
        <v>65800</v>
      </c>
      <c r="E709">
        <v>-4.69</v>
      </c>
      <c r="F709">
        <v>19.25</v>
      </c>
      <c r="G709">
        <v>77215</v>
      </c>
      <c r="H709">
        <v>145533</v>
      </c>
      <c r="I709">
        <v>165001</v>
      </c>
      <c r="J709">
        <v>-17.35</v>
      </c>
      <c r="K709">
        <v>-121.18</v>
      </c>
      <c r="L709">
        <v>-150.76</v>
      </c>
      <c r="M709">
        <v>3.22</v>
      </c>
      <c r="N709" t="b">
        <v>0</v>
      </c>
      <c r="O709">
        <v>3481</v>
      </c>
      <c r="P709" t="s">
        <v>722</v>
      </c>
      <c r="Q709" t="s">
        <v>2885</v>
      </c>
      <c r="R709">
        <v>-4.10462908298882</v>
      </c>
      <c r="S709">
        <v>5635</v>
      </c>
      <c r="T709">
        <v>22110</v>
      </c>
      <c r="U709" t="s">
        <v>4694</v>
      </c>
      <c r="V709">
        <v>41.73</v>
      </c>
      <c r="W709" t="s">
        <v>6914</v>
      </c>
      <c r="X709" t="s">
        <v>9047</v>
      </c>
      <c r="Y709">
        <v>24886</v>
      </c>
      <c r="Z709">
        <v>794</v>
      </c>
      <c r="AA709">
        <v>1128726</v>
      </c>
      <c r="AB709">
        <v>2.99</v>
      </c>
    </row>
    <row r="710" spans="1:28">
      <c r="A710" s="2">
        <f>HYPERLINK("https://finance.naver.com/item/coinfo.nhn?code=115160", "A115160")</f>
        <v>0</v>
      </c>
      <c r="B710">
        <f>HYPERLINK("http://comp.fnguide.com/SVO2/ASP/SVD_Consensus.asp?pGB=1&amp;gicode=A115160&amp;cID=&amp;MenuYn=Y&amp;ReportGB=&amp;NewMenuID=108&amp;stkGb=701", "휴맥스")</f>
        <v>0</v>
      </c>
      <c r="C710">
        <v>3</v>
      </c>
      <c r="D710">
        <v>5210</v>
      </c>
      <c r="E710">
        <v>-0.08</v>
      </c>
      <c r="F710">
        <v>6.34</v>
      </c>
      <c r="G710">
        <v>4502</v>
      </c>
      <c r="H710">
        <v>10352</v>
      </c>
      <c r="I710">
        <v>12019</v>
      </c>
      <c r="J710">
        <v>13.59</v>
      </c>
      <c r="K710">
        <v>-98.69</v>
      </c>
      <c r="L710">
        <v>-130.68</v>
      </c>
      <c r="M710">
        <v>2.52</v>
      </c>
      <c r="N710" t="b">
        <v>1</v>
      </c>
      <c r="O710">
        <v>820</v>
      </c>
      <c r="P710" t="s">
        <v>723</v>
      </c>
      <c r="Q710" t="s">
        <v>2886</v>
      </c>
      <c r="R710">
        <v>-79.7</v>
      </c>
      <c r="S710">
        <v>1502</v>
      </c>
      <c r="T710">
        <v>992728</v>
      </c>
      <c r="U710" t="s">
        <v>4695</v>
      </c>
      <c r="V710">
        <v>26.88</v>
      </c>
      <c r="W710" t="s">
        <v>6915</v>
      </c>
      <c r="X710" t="s">
        <v>9048</v>
      </c>
      <c r="Y710">
        <v>11739</v>
      </c>
      <c r="Z710">
        <v>229</v>
      </c>
      <c r="AA710">
        <v>848701</v>
      </c>
    </row>
    <row r="711" spans="1:28">
      <c r="A711" s="2">
        <f>HYPERLINK("https://finance.naver.com/item/coinfo.nhn?code=175330", "A175330")</f>
        <v>0</v>
      </c>
      <c r="B711">
        <f>HYPERLINK("http://comp.fnguide.com/SVO2/ASP/SVD_Consensus.asp?pGB=1&amp;gicode=A175330&amp;cID=&amp;MenuYn=Y&amp;ReportGB=&amp;NewMenuID=108&amp;stkGb=701", "JB금융지주")</f>
        <v>0</v>
      </c>
      <c r="C711">
        <v>3</v>
      </c>
      <c r="D711">
        <v>5580</v>
      </c>
      <c r="E711">
        <v>0.93</v>
      </c>
      <c r="F711">
        <v>3.16</v>
      </c>
      <c r="G711">
        <v>21028</v>
      </c>
      <c r="H711">
        <v>19121</v>
      </c>
      <c r="I711">
        <v>18578</v>
      </c>
      <c r="J711">
        <v>-276.85</v>
      </c>
      <c r="K711">
        <v>-242.67</v>
      </c>
      <c r="L711">
        <v>-232.94</v>
      </c>
      <c r="M711">
        <v>9.390000000000001</v>
      </c>
      <c r="N711" t="b">
        <v>1</v>
      </c>
      <c r="O711">
        <v>1736</v>
      </c>
      <c r="P711" t="s">
        <v>724</v>
      </c>
      <c r="Q711" t="s">
        <v>2887</v>
      </c>
      <c r="R711">
        <v>3.399961315269606</v>
      </c>
      <c r="S711">
        <v>10992</v>
      </c>
      <c r="T711">
        <v>576887</v>
      </c>
      <c r="U711" t="s">
        <v>4696</v>
      </c>
      <c r="V711">
        <v>10.57</v>
      </c>
      <c r="W711" t="s">
        <v>6916</v>
      </c>
      <c r="X711" t="s">
        <v>9049</v>
      </c>
      <c r="Y711">
        <v>18925</v>
      </c>
      <c r="Z711">
        <v>4849</v>
      </c>
      <c r="AA711">
        <v>2638818</v>
      </c>
      <c r="AB711">
        <v>5.46</v>
      </c>
    </row>
    <row r="712" spans="1:28">
      <c r="A712" s="2">
        <f>HYPERLINK("https://finance.naver.com/item/coinfo.nhn?code=272550", "A272550")</f>
        <v>0</v>
      </c>
      <c r="B712">
        <f>HYPERLINK("http://comp.fnguide.com/SVO2/ASP/SVD_Consensus.asp?pGB=1&amp;gicode=A272550&amp;cID=&amp;MenuYn=Y&amp;ReportGB=&amp;NewMenuID=108&amp;stkGb=701", "삼양패키징")</f>
        <v>0</v>
      </c>
      <c r="C712">
        <v>3</v>
      </c>
      <c r="D712">
        <v>21100</v>
      </c>
      <c r="E712">
        <v>0.26</v>
      </c>
      <c r="F712">
        <v>7.88</v>
      </c>
      <c r="G712">
        <v>25136</v>
      </c>
      <c r="H712">
        <v>22135</v>
      </c>
      <c r="I712">
        <v>21280</v>
      </c>
      <c r="J712">
        <v>-19.13</v>
      </c>
      <c r="K712">
        <v>-4.9</v>
      </c>
      <c r="L712">
        <v>-0.85</v>
      </c>
      <c r="M712">
        <v>9.949999999999999</v>
      </c>
      <c r="N712" t="b">
        <v>1</v>
      </c>
      <c r="O712">
        <v>1998</v>
      </c>
      <c r="P712" t="s">
        <v>725</v>
      </c>
      <c r="Q712" t="s">
        <v>2888</v>
      </c>
      <c r="R712">
        <v>30.72149038833822</v>
      </c>
      <c r="S712">
        <v>2998</v>
      </c>
      <c r="T712">
        <v>74633</v>
      </c>
      <c r="U712" t="s">
        <v>4697</v>
      </c>
      <c r="V712">
        <v>71.01000000000001</v>
      </c>
      <c r="W712" t="s">
        <v>6917</v>
      </c>
      <c r="X712" t="s">
        <v>9050</v>
      </c>
      <c r="Y712">
        <v>3754</v>
      </c>
      <c r="Z712">
        <v>416</v>
      </c>
      <c r="AB712">
        <v>4.76</v>
      </c>
    </row>
    <row r="713" spans="1:28">
      <c r="A713" s="2">
        <f>HYPERLINK("https://finance.naver.com/item/coinfo.nhn?code=004970", "A004970")</f>
        <v>0</v>
      </c>
      <c r="B713">
        <f>HYPERLINK("http://comp.fnguide.com/SVO2/ASP/SVD_Consensus.asp?pGB=1&amp;gicode=A004970&amp;cID=&amp;MenuYn=Y&amp;ReportGB=&amp;NewMenuID=108&amp;stkGb=701", "신라교역")</f>
        <v>0</v>
      </c>
      <c r="C713">
        <v>3</v>
      </c>
      <c r="D713">
        <v>9260</v>
      </c>
      <c r="E713">
        <v>-0.92</v>
      </c>
      <c r="F713">
        <v>18.46</v>
      </c>
      <c r="G713">
        <v>18970</v>
      </c>
      <c r="H713">
        <v>27024</v>
      </c>
      <c r="I713">
        <v>29319</v>
      </c>
      <c r="J713">
        <v>-104.86</v>
      </c>
      <c r="K713">
        <v>-191.84</v>
      </c>
      <c r="L713">
        <v>-216.62</v>
      </c>
      <c r="M713">
        <v>4.67</v>
      </c>
      <c r="N713" t="b">
        <v>0</v>
      </c>
      <c r="O713">
        <v>645</v>
      </c>
      <c r="P713" t="s">
        <v>726</v>
      </c>
      <c r="Q713" t="s">
        <v>2889</v>
      </c>
      <c r="R713">
        <v>-20.13886853610718</v>
      </c>
      <c r="S713">
        <v>1482</v>
      </c>
      <c r="T713">
        <v>30602</v>
      </c>
      <c r="U713" t="s">
        <v>4698</v>
      </c>
      <c r="V713">
        <v>67.03</v>
      </c>
      <c r="W713" t="s">
        <v>6918</v>
      </c>
      <c r="X713" t="s">
        <v>9051</v>
      </c>
      <c r="Y713">
        <v>3696</v>
      </c>
      <c r="Z713">
        <v>-42</v>
      </c>
      <c r="AB713">
        <v>4.2</v>
      </c>
    </row>
    <row r="714" spans="1:28">
      <c r="A714" s="2">
        <f>HYPERLINK("https://finance.naver.com/item/coinfo.nhn?code=010240", "A010240")</f>
        <v>0</v>
      </c>
      <c r="B714">
        <f>HYPERLINK("http://comp.fnguide.com/SVO2/ASP/SVD_Consensus.asp?pGB=1&amp;gicode=A010240&amp;cID=&amp;MenuYn=Y&amp;ReportGB=&amp;NewMenuID=108&amp;stkGb=701", "흥국")</f>
        <v>0</v>
      </c>
      <c r="C714">
        <v>3</v>
      </c>
      <c r="D714">
        <v>5720</v>
      </c>
      <c r="E714">
        <v>0.15</v>
      </c>
      <c r="F714">
        <v>7.79</v>
      </c>
      <c r="G714">
        <v>9072</v>
      </c>
      <c r="H714">
        <v>7133</v>
      </c>
      <c r="I714">
        <v>6580</v>
      </c>
      <c r="J714">
        <v>-58.6</v>
      </c>
      <c r="K714">
        <v>-24.7</v>
      </c>
      <c r="L714">
        <v>-15.03</v>
      </c>
      <c r="M714">
        <v>12.37</v>
      </c>
      <c r="N714" t="b">
        <v>1</v>
      </c>
      <c r="O714">
        <v>568</v>
      </c>
      <c r="P714" t="s">
        <v>727</v>
      </c>
      <c r="Q714" t="s">
        <v>2890</v>
      </c>
      <c r="R714">
        <v>51.50350019700674</v>
      </c>
      <c r="S714">
        <v>705</v>
      </c>
      <c r="T714">
        <v>87720</v>
      </c>
      <c r="U714" t="s">
        <v>4699</v>
      </c>
      <c r="V714">
        <v>51.18</v>
      </c>
      <c r="W714" t="s">
        <v>6919</v>
      </c>
      <c r="X714" t="s">
        <v>9052</v>
      </c>
      <c r="Y714">
        <v>1045</v>
      </c>
      <c r="Z714">
        <v>89</v>
      </c>
      <c r="AA714">
        <v>772811</v>
      </c>
      <c r="AB714">
        <v>3.39</v>
      </c>
    </row>
    <row r="715" spans="1:28">
      <c r="A715" s="2">
        <f>HYPERLINK("https://finance.naver.com/item/coinfo.nhn?code=009270", "A009270")</f>
        <v>0</v>
      </c>
      <c r="B715">
        <f>HYPERLINK("http://comp.fnguide.com/SVO2/ASP/SVD_Consensus.asp?pGB=1&amp;gicode=A009270&amp;cID=&amp;MenuYn=Y&amp;ReportGB=&amp;NewMenuID=108&amp;stkGb=701", "신원")</f>
        <v>0</v>
      </c>
      <c r="C715">
        <v>3</v>
      </c>
      <c r="D715">
        <v>1425</v>
      </c>
      <c r="E715">
        <v>0</v>
      </c>
      <c r="F715">
        <v>110.01</v>
      </c>
      <c r="G715">
        <v>130</v>
      </c>
      <c r="H715">
        <v>1735</v>
      </c>
      <c r="I715">
        <v>2193</v>
      </c>
      <c r="J715">
        <v>90.87</v>
      </c>
      <c r="K715">
        <v>-21.78</v>
      </c>
      <c r="L715">
        <v>-53.88</v>
      </c>
      <c r="M715">
        <v>0.37</v>
      </c>
      <c r="N715" t="b">
        <v>0</v>
      </c>
      <c r="O715">
        <v>17</v>
      </c>
      <c r="P715" t="s">
        <v>728</v>
      </c>
      <c r="Q715" t="s">
        <v>2276</v>
      </c>
      <c r="R715">
        <v>0</v>
      </c>
      <c r="S715">
        <v>1212</v>
      </c>
      <c r="T715">
        <v>405464</v>
      </c>
      <c r="U715" t="s">
        <v>4700</v>
      </c>
      <c r="V715">
        <v>32.69</v>
      </c>
      <c r="W715" t="s">
        <v>6920</v>
      </c>
      <c r="X715" t="s">
        <v>9053</v>
      </c>
      <c r="Y715">
        <v>6749</v>
      </c>
      <c r="Z715">
        <v>90</v>
      </c>
      <c r="AA715">
        <v>12945896</v>
      </c>
    </row>
    <row r="716" spans="1:28">
      <c r="A716" s="2">
        <f>HYPERLINK("https://finance.naver.com/item/coinfo.nhn?code=122900", "A122900")</f>
        <v>0</v>
      </c>
      <c r="B716">
        <f>HYPERLINK("http://comp.fnguide.com/SVO2/ASP/SVD_Consensus.asp?pGB=1&amp;gicode=A122900&amp;cID=&amp;MenuYn=Y&amp;ReportGB=&amp;NewMenuID=108&amp;stkGb=701", "아이마켓코리아")</f>
        <v>0</v>
      </c>
      <c r="C716">
        <v>3</v>
      </c>
      <c r="D716">
        <v>9020</v>
      </c>
      <c r="E716">
        <v>-1.35</v>
      </c>
      <c r="F716">
        <v>23.27</v>
      </c>
      <c r="G716">
        <v>5214</v>
      </c>
      <c r="H716">
        <v>9072</v>
      </c>
      <c r="I716">
        <v>10172</v>
      </c>
      <c r="J716">
        <v>42.19</v>
      </c>
      <c r="K716">
        <v>-0.58</v>
      </c>
      <c r="L716">
        <v>-12.77</v>
      </c>
      <c r="M716">
        <v>3.57</v>
      </c>
      <c r="N716" t="b">
        <v>1</v>
      </c>
      <c r="O716">
        <v>447</v>
      </c>
      <c r="P716" t="s">
        <v>729</v>
      </c>
      <c r="Q716" t="s">
        <v>2891</v>
      </c>
      <c r="R716">
        <v>-17.28075557914139</v>
      </c>
      <c r="S716">
        <v>3192</v>
      </c>
      <c r="T716">
        <v>66217</v>
      </c>
      <c r="U716" t="s">
        <v>4701</v>
      </c>
      <c r="V716">
        <v>40.76</v>
      </c>
      <c r="W716" t="s">
        <v>6921</v>
      </c>
      <c r="X716" t="s">
        <v>9054</v>
      </c>
      <c r="Y716">
        <v>29238</v>
      </c>
      <c r="Z716">
        <v>520</v>
      </c>
      <c r="AA716">
        <v>3929000</v>
      </c>
      <c r="AB716">
        <v>5.77</v>
      </c>
    </row>
    <row r="717" spans="1:28">
      <c r="A717" s="2">
        <f>HYPERLINK("https://finance.naver.com/item/coinfo.nhn?code=001530", "A001530")</f>
        <v>0</v>
      </c>
      <c r="B717">
        <f>HYPERLINK("http://comp.fnguide.com/SVO2/ASP/SVD_Consensus.asp?pGB=1&amp;gicode=A001530&amp;cID=&amp;MenuYn=Y&amp;ReportGB=&amp;NewMenuID=108&amp;stkGb=701", "DI동일")</f>
        <v>0</v>
      </c>
      <c r="C717">
        <v>3</v>
      </c>
      <c r="D717">
        <v>106500</v>
      </c>
      <c r="E717">
        <v>0.01</v>
      </c>
      <c r="F717">
        <v>14.75</v>
      </c>
      <c r="G717">
        <v>43655</v>
      </c>
      <c r="H717">
        <v>181384</v>
      </c>
      <c r="I717">
        <v>220630</v>
      </c>
      <c r="J717">
        <v>59.01</v>
      </c>
      <c r="K717">
        <v>-70.31</v>
      </c>
      <c r="L717">
        <v>-107.16</v>
      </c>
      <c r="M717">
        <v>1.27</v>
      </c>
      <c r="N717" t="b">
        <v>1</v>
      </c>
      <c r="O717">
        <v>5025</v>
      </c>
      <c r="P717" t="s">
        <v>730</v>
      </c>
      <c r="Q717" t="s">
        <v>2892</v>
      </c>
      <c r="R717">
        <v>2302.440367626219</v>
      </c>
      <c r="S717">
        <v>2626</v>
      </c>
      <c r="T717">
        <v>124416</v>
      </c>
      <c r="U717" t="s">
        <v>4702</v>
      </c>
      <c r="V717">
        <v>19.78</v>
      </c>
      <c r="W717" t="s">
        <v>6922</v>
      </c>
      <c r="X717" t="s">
        <v>9055</v>
      </c>
      <c r="Y717">
        <v>9395</v>
      </c>
      <c r="Z717">
        <v>486</v>
      </c>
      <c r="AA717">
        <v>663749</v>
      </c>
      <c r="AB717">
        <v>1.98</v>
      </c>
    </row>
    <row r="718" spans="1:28">
      <c r="A718" s="2">
        <f>HYPERLINK("https://finance.naver.com/item/coinfo.nhn?code=075130", "A075130")</f>
        <v>0</v>
      </c>
      <c r="B718">
        <f>HYPERLINK("http://comp.fnguide.com/SVO2/ASP/SVD_Consensus.asp?pGB=1&amp;gicode=A075130&amp;cID=&amp;MenuYn=Y&amp;ReportGB=&amp;NewMenuID=108&amp;stkGb=701", "플랜티넷")</f>
        <v>0</v>
      </c>
      <c r="C718">
        <v>3</v>
      </c>
      <c r="D718">
        <v>5750</v>
      </c>
      <c r="E718">
        <v>0.38</v>
      </c>
      <c r="F718">
        <v>17.25</v>
      </c>
      <c r="G718">
        <v>2676</v>
      </c>
      <c r="H718">
        <v>6368</v>
      </c>
      <c r="I718">
        <v>7420</v>
      </c>
      <c r="J718">
        <v>53.46</v>
      </c>
      <c r="K718">
        <v>-10.74</v>
      </c>
      <c r="L718">
        <v>-29.04</v>
      </c>
      <c r="M718">
        <v>2.42</v>
      </c>
      <c r="N718" t="b">
        <v>1</v>
      </c>
      <c r="O718">
        <v>264</v>
      </c>
      <c r="P718" t="s">
        <v>731</v>
      </c>
      <c r="Q718" t="s">
        <v>2893</v>
      </c>
      <c r="R718">
        <v>45.17905407850249</v>
      </c>
      <c r="S718">
        <v>515</v>
      </c>
      <c r="T718">
        <v>66082</v>
      </c>
      <c r="U718" t="s">
        <v>4703</v>
      </c>
      <c r="V718">
        <v>28.12</v>
      </c>
      <c r="W718" t="s">
        <v>6923</v>
      </c>
      <c r="X718" t="s">
        <v>9056</v>
      </c>
      <c r="Y718">
        <v>236</v>
      </c>
      <c r="Z718">
        <v>27</v>
      </c>
      <c r="AA718">
        <v>1375196</v>
      </c>
      <c r="AB718">
        <v>5.49</v>
      </c>
    </row>
    <row r="719" spans="1:28">
      <c r="A719" s="2">
        <f>HYPERLINK("https://finance.naver.com/item/coinfo.nhn?code=028080", "A028080")</f>
        <v>0</v>
      </c>
      <c r="B719">
        <f>HYPERLINK("http://comp.fnguide.com/SVO2/ASP/SVD_Consensus.asp?pGB=1&amp;gicode=A028080&amp;cID=&amp;MenuYn=Y&amp;ReportGB=&amp;NewMenuID=108&amp;stkGb=701", "휴맥스홀딩스")</f>
        <v>0</v>
      </c>
      <c r="C719">
        <v>3</v>
      </c>
      <c r="D719">
        <v>4120</v>
      </c>
      <c r="E719">
        <v>0</v>
      </c>
      <c r="F719">
        <v>6.77</v>
      </c>
      <c r="G719">
        <v>3387</v>
      </c>
      <c r="H719">
        <v>9777</v>
      </c>
      <c r="I719">
        <v>11598</v>
      </c>
      <c r="J719">
        <v>17.79</v>
      </c>
      <c r="K719">
        <v>-137.31</v>
      </c>
      <c r="L719">
        <v>-181.51</v>
      </c>
      <c r="M719">
        <v>1.93</v>
      </c>
      <c r="N719" t="b">
        <v>1</v>
      </c>
      <c r="O719">
        <v>464</v>
      </c>
      <c r="P719" t="s">
        <v>732</v>
      </c>
      <c r="Q719" t="s">
        <v>2276</v>
      </c>
      <c r="R719">
        <v>0</v>
      </c>
      <c r="S719">
        <v>518</v>
      </c>
      <c r="T719">
        <v>19431</v>
      </c>
      <c r="U719" t="s">
        <v>4704</v>
      </c>
      <c r="V719">
        <v>36.55</v>
      </c>
      <c r="W719" t="s">
        <v>6924</v>
      </c>
      <c r="X719" t="s">
        <v>9057</v>
      </c>
      <c r="Y719">
        <v>93</v>
      </c>
      <c r="Z719">
        <v>10</v>
      </c>
      <c r="AA719">
        <v>1659448</v>
      </c>
    </row>
    <row r="720" spans="1:28">
      <c r="A720" s="2">
        <f>HYPERLINK("https://finance.naver.com/item/coinfo.nhn?code=031440", "A031440")</f>
        <v>0</v>
      </c>
      <c r="B720">
        <f>HYPERLINK("http://comp.fnguide.com/SVO2/ASP/SVD_Consensus.asp?pGB=1&amp;gicode=A031440&amp;cID=&amp;MenuYn=Y&amp;ReportGB=&amp;NewMenuID=108&amp;stkGb=701", "신세계푸드")</f>
        <v>0</v>
      </c>
      <c r="C720">
        <v>3</v>
      </c>
      <c r="D720">
        <v>63500</v>
      </c>
      <c r="E720">
        <v>-6.14</v>
      </c>
      <c r="F720">
        <v>62.54</v>
      </c>
      <c r="G720">
        <v>27652</v>
      </c>
      <c r="H720">
        <v>59929</v>
      </c>
      <c r="I720">
        <v>69127</v>
      </c>
      <c r="J720">
        <v>56.45</v>
      </c>
      <c r="K720">
        <v>5.62</v>
      </c>
      <c r="L720">
        <v>-8.859999999999999</v>
      </c>
      <c r="M720">
        <v>2.71</v>
      </c>
      <c r="N720" t="b">
        <v>0</v>
      </c>
      <c r="O720">
        <v>1124</v>
      </c>
      <c r="P720" t="s">
        <v>733</v>
      </c>
      <c r="Q720" t="s">
        <v>2894</v>
      </c>
      <c r="R720">
        <v>-10.18260576068835</v>
      </c>
      <c r="S720">
        <v>2459</v>
      </c>
      <c r="T720">
        <v>20913</v>
      </c>
      <c r="U720" t="s">
        <v>4705</v>
      </c>
      <c r="V720">
        <v>55.47</v>
      </c>
      <c r="W720" t="s">
        <v>6925</v>
      </c>
      <c r="X720" t="s">
        <v>9058</v>
      </c>
      <c r="Y720">
        <v>13201</v>
      </c>
      <c r="Z720">
        <v>222</v>
      </c>
      <c r="AA720">
        <v>189</v>
      </c>
      <c r="AB720">
        <v>1.07</v>
      </c>
    </row>
    <row r="721" spans="1:28">
      <c r="A721" s="2">
        <f>HYPERLINK("https://finance.naver.com/item/coinfo.nhn?code=012030", "A012030")</f>
        <v>0</v>
      </c>
      <c r="B721">
        <f>HYPERLINK("http://comp.fnguide.com/SVO2/ASP/SVD_Consensus.asp?pGB=1&amp;gicode=A012030&amp;cID=&amp;MenuYn=Y&amp;ReportGB=&amp;NewMenuID=108&amp;stkGb=701", "DB")</f>
        <v>0</v>
      </c>
      <c r="C721">
        <v>3</v>
      </c>
      <c r="D721">
        <v>717</v>
      </c>
      <c r="E721">
        <v>0.82</v>
      </c>
      <c r="F721">
        <v>40.19</v>
      </c>
      <c r="G721">
        <v>175</v>
      </c>
      <c r="H721">
        <v>734</v>
      </c>
      <c r="I721">
        <v>893</v>
      </c>
      <c r="J721">
        <v>75.55</v>
      </c>
      <c r="K721">
        <v>-2.32</v>
      </c>
      <c r="L721">
        <v>-24.51</v>
      </c>
      <c r="M721">
        <v>1.26</v>
      </c>
      <c r="N721" t="b">
        <v>0</v>
      </c>
      <c r="O721">
        <v>22</v>
      </c>
      <c r="P721" t="s">
        <v>734</v>
      </c>
      <c r="Q721" t="s">
        <v>2895</v>
      </c>
      <c r="R721">
        <v>49.10000000000001</v>
      </c>
      <c r="S721">
        <v>1442</v>
      </c>
      <c r="T721">
        <v>850449</v>
      </c>
      <c r="U721" t="s">
        <v>4706</v>
      </c>
      <c r="V721">
        <v>43.83</v>
      </c>
      <c r="W721" t="s">
        <v>6926</v>
      </c>
      <c r="X721" t="s">
        <v>9059</v>
      </c>
      <c r="Y721">
        <v>2385</v>
      </c>
      <c r="Z721">
        <v>185</v>
      </c>
      <c r="AA721">
        <v>10143400</v>
      </c>
    </row>
    <row r="722" spans="1:28">
      <c r="A722" s="2">
        <f>HYPERLINK("https://finance.naver.com/item/coinfo.nhn?code=058650", "A058650")</f>
        <v>0</v>
      </c>
      <c r="B722">
        <f>HYPERLINK("http://comp.fnguide.com/SVO2/ASP/SVD_Consensus.asp?pGB=1&amp;gicode=A058650&amp;cID=&amp;MenuYn=Y&amp;ReportGB=&amp;NewMenuID=108&amp;stkGb=701", "세아홀딩스")</f>
        <v>0</v>
      </c>
      <c r="C722">
        <v>3</v>
      </c>
      <c r="D722">
        <v>81300</v>
      </c>
      <c r="E722">
        <v>-0.25</v>
      </c>
      <c r="F722">
        <v>10.2</v>
      </c>
      <c r="G722">
        <v>161917</v>
      </c>
      <c r="H722">
        <v>361328</v>
      </c>
      <c r="I722">
        <v>418150</v>
      </c>
      <c r="J722">
        <v>-99.16</v>
      </c>
      <c r="K722">
        <v>-344.44</v>
      </c>
      <c r="L722">
        <v>-414.33</v>
      </c>
      <c r="M722">
        <v>2.61</v>
      </c>
      <c r="N722" t="b">
        <v>1</v>
      </c>
      <c r="O722">
        <v>7705</v>
      </c>
      <c r="P722" t="s">
        <v>735</v>
      </c>
      <c r="Q722" t="s">
        <v>2896</v>
      </c>
      <c r="R722">
        <v>-40.16289786589792</v>
      </c>
      <c r="S722">
        <v>3252</v>
      </c>
      <c r="T722">
        <v>989</v>
      </c>
      <c r="U722" t="s">
        <v>4707</v>
      </c>
      <c r="V722">
        <v>89.98</v>
      </c>
      <c r="W722" t="s">
        <v>6927</v>
      </c>
      <c r="X722" t="s">
        <v>9060</v>
      </c>
      <c r="Y722">
        <v>49307</v>
      </c>
      <c r="Z722">
        <v>895</v>
      </c>
      <c r="AA722">
        <v>19495</v>
      </c>
      <c r="AB722">
        <v>2.86</v>
      </c>
    </row>
    <row r="723" spans="1:28">
      <c r="A723" s="2">
        <f>HYPERLINK("https://finance.naver.com/item/coinfo.nhn?code=016360", "A016360")</f>
        <v>0</v>
      </c>
      <c r="B723">
        <f>HYPERLINK("http://comp.fnguide.com/SVO2/ASP/SVD_Consensus.asp?pGB=1&amp;gicode=A016360&amp;cID=&amp;MenuYn=Y&amp;ReportGB=&amp;NewMenuID=108&amp;stkGb=701", "삼성증권")</f>
        <v>0</v>
      </c>
      <c r="C723">
        <v>3</v>
      </c>
      <c r="D723">
        <v>42050</v>
      </c>
      <c r="E723">
        <v>1.19</v>
      </c>
      <c r="F723">
        <v>8.800000000000001</v>
      </c>
      <c r="G723">
        <v>53071</v>
      </c>
      <c r="H723">
        <v>54484</v>
      </c>
      <c r="I723">
        <v>54887</v>
      </c>
      <c r="J723">
        <v>-26.21</v>
      </c>
      <c r="K723">
        <v>-29.57</v>
      </c>
      <c r="L723">
        <v>-30.53</v>
      </c>
      <c r="M723">
        <v>7.63</v>
      </c>
      <c r="N723" t="b">
        <v>0</v>
      </c>
      <c r="O723">
        <v>4388</v>
      </c>
      <c r="P723" t="s">
        <v>736</v>
      </c>
      <c r="Q723" t="s">
        <v>2897</v>
      </c>
      <c r="R723">
        <v>7.365715521230709</v>
      </c>
      <c r="S723">
        <v>37551</v>
      </c>
      <c r="T723">
        <v>1271204</v>
      </c>
      <c r="U723" t="s">
        <v>4708</v>
      </c>
      <c r="V723">
        <v>29.78</v>
      </c>
      <c r="W723" t="s">
        <v>6928</v>
      </c>
      <c r="X723" t="s">
        <v>9061</v>
      </c>
      <c r="Y723">
        <v>12218</v>
      </c>
      <c r="Z723">
        <v>5176</v>
      </c>
      <c r="AB723">
        <v>4.4</v>
      </c>
    </row>
    <row r="724" spans="1:28">
      <c r="A724" s="2">
        <f>HYPERLINK("https://finance.naver.com/item/coinfo.nhn?code=029530", "A029530")</f>
        <v>0</v>
      </c>
      <c r="B724">
        <f>HYPERLINK("http://comp.fnguide.com/SVO2/ASP/SVD_Consensus.asp?pGB=1&amp;gicode=A029530&amp;cID=&amp;MenuYn=Y&amp;ReportGB=&amp;NewMenuID=108&amp;stkGb=701", "신도리코")</f>
        <v>0</v>
      </c>
      <c r="C724">
        <v>3</v>
      </c>
      <c r="D724">
        <v>25000</v>
      </c>
      <c r="E724">
        <v>2.23</v>
      </c>
      <c r="F724">
        <v>25.67</v>
      </c>
      <c r="G724">
        <v>31190</v>
      </c>
      <c r="H724">
        <v>65697</v>
      </c>
      <c r="I724">
        <v>75530</v>
      </c>
      <c r="J724">
        <v>-24.76</v>
      </c>
      <c r="K724">
        <v>-162.79</v>
      </c>
      <c r="L724">
        <v>-202.12</v>
      </c>
      <c r="M724">
        <v>2.8</v>
      </c>
      <c r="N724" t="b">
        <v>0</v>
      </c>
      <c r="O724">
        <v>1437</v>
      </c>
      <c r="P724" t="s">
        <v>737</v>
      </c>
      <c r="Q724" t="s">
        <v>2898</v>
      </c>
      <c r="R724">
        <v>11.50567547445025</v>
      </c>
      <c r="S724">
        <v>2520</v>
      </c>
      <c r="T724">
        <v>17013</v>
      </c>
      <c r="U724" t="s">
        <v>4709</v>
      </c>
      <c r="V724">
        <v>48.67</v>
      </c>
      <c r="W724" t="s">
        <v>6929</v>
      </c>
      <c r="X724" t="s">
        <v>9062</v>
      </c>
      <c r="Y724">
        <v>4271</v>
      </c>
      <c r="Z724">
        <v>63</v>
      </c>
      <c r="AA724">
        <v>256320</v>
      </c>
      <c r="AB724">
        <v>2.71</v>
      </c>
    </row>
    <row r="725" spans="1:28">
      <c r="A725" s="2">
        <f>HYPERLINK("https://finance.naver.com/item/coinfo.nhn?code=001720", "A001720")</f>
        <v>0</v>
      </c>
      <c r="B725">
        <f>HYPERLINK("http://comp.fnguide.com/SVO2/ASP/SVD_Consensus.asp?pGB=1&amp;gicode=A001720&amp;cID=&amp;MenuYn=Y&amp;ReportGB=&amp;NewMenuID=108&amp;stkGb=701", "신영증권")</f>
        <v>0</v>
      </c>
      <c r="C725">
        <v>3</v>
      </c>
      <c r="D725">
        <v>54300</v>
      </c>
      <c r="E725">
        <v>5.14</v>
      </c>
      <c r="F725">
        <v>36.69</v>
      </c>
      <c r="G725">
        <v>97669</v>
      </c>
      <c r="H725">
        <v>150389</v>
      </c>
      <c r="I725">
        <v>165411</v>
      </c>
      <c r="J725">
        <v>-79.87</v>
      </c>
      <c r="K725">
        <v>-176.96</v>
      </c>
      <c r="L725">
        <v>-204.62</v>
      </c>
      <c r="M725">
        <v>4.2</v>
      </c>
      <c r="N725" t="b">
        <v>0</v>
      </c>
      <c r="O725">
        <v>1255</v>
      </c>
      <c r="P725" t="s">
        <v>738</v>
      </c>
      <c r="Q725" t="s">
        <v>2899</v>
      </c>
      <c r="R725">
        <v>7.132699647245611</v>
      </c>
      <c r="S725">
        <v>5097</v>
      </c>
      <c r="T725">
        <v>8004</v>
      </c>
      <c r="U725" t="s">
        <v>4710</v>
      </c>
      <c r="V725">
        <v>28.05</v>
      </c>
      <c r="W725" t="s">
        <v>6930</v>
      </c>
      <c r="X725" t="s">
        <v>9063</v>
      </c>
      <c r="Y725">
        <v>1493</v>
      </c>
      <c r="Z725">
        <v>162</v>
      </c>
      <c r="AA725">
        <v>3243190</v>
      </c>
      <c r="AB725">
        <v>5.43</v>
      </c>
    </row>
    <row r="726" spans="1:28">
      <c r="A726" s="2">
        <f>HYPERLINK("https://finance.naver.com/item/coinfo.nhn?code=105560", "A105560")</f>
        <v>0</v>
      </c>
      <c r="B726">
        <f>HYPERLINK("http://comp.fnguide.com/SVO2/ASP/SVD_Consensus.asp?pGB=1&amp;gicode=A105560&amp;cID=&amp;MenuYn=Y&amp;ReportGB=&amp;NewMenuID=108&amp;stkGb=701", "KB금융")</f>
        <v>0</v>
      </c>
      <c r="C726">
        <v>3</v>
      </c>
      <c r="D726">
        <v>47200</v>
      </c>
      <c r="E726">
        <v>2.37</v>
      </c>
      <c r="F726">
        <v>6.01</v>
      </c>
      <c r="G726">
        <v>112713</v>
      </c>
      <c r="H726">
        <v>104412</v>
      </c>
      <c r="I726">
        <v>102047</v>
      </c>
      <c r="J726">
        <v>-138.8</v>
      </c>
      <c r="K726">
        <v>-121.21</v>
      </c>
      <c r="L726">
        <v>-116.2</v>
      </c>
      <c r="M726">
        <v>9.08</v>
      </c>
      <c r="N726" t="b">
        <v>1</v>
      </c>
      <c r="O726">
        <v>7923</v>
      </c>
      <c r="P726" t="s">
        <v>739</v>
      </c>
      <c r="Q726" t="s">
        <v>2900</v>
      </c>
      <c r="R726">
        <v>2.539949297176491</v>
      </c>
      <c r="S726">
        <v>196261</v>
      </c>
      <c r="T726">
        <v>1743151</v>
      </c>
      <c r="U726" t="s">
        <v>4711</v>
      </c>
      <c r="V726">
        <v>9.960000000000001</v>
      </c>
      <c r="W726" t="s">
        <v>6931</v>
      </c>
      <c r="X726" t="s">
        <v>9064</v>
      </c>
      <c r="Y726">
        <v>146392</v>
      </c>
      <c r="Z726">
        <v>44906</v>
      </c>
      <c r="AA726">
        <v>26173585</v>
      </c>
      <c r="AB726">
        <v>4.64</v>
      </c>
    </row>
    <row r="727" spans="1:28">
      <c r="A727" s="2">
        <f>HYPERLINK("https://finance.naver.com/item/coinfo.nhn?code=000590", "A000590")</f>
        <v>0</v>
      </c>
      <c r="B727">
        <f>HYPERLINK("http://comp.fnguide.com/SVO2/ASP/SVD_Consensus.asp?pGB=1&amp;gicode=A000590&amp;cID=&amp;MenuYn=Y&amp;ReportGB=&amp;NewMenuID=108&amp;stkGb=701", "CS홀딩스")</f>
        <v>0</v>
      </c>
      <c r="C727">
        <v>3</v>
      </c>
      <c r="D727">
        <v>56500</v>
      </c>
      <c r="E727">
        <v>-0.44</v>
      </c>
      <c r="F727">
        <v>6.98</v>
      </c>
      <c r="G727">
        <v>88773</v>
      </c>
      <c r="H727">
        <v>153683</v>
      </c>
      <c r="I727">
        <v>172179</v>
      </c>
      <c r="J727">
        <v>-57.12</v>
      </c>
      <c r="K727">
        <v>-172.01</v>
      </c>
      <c r="L727">
        <v>-204.74</v>
      </c>
      <c r="M727">
        <v>3.6</v>
      </c>
      <c r="N727" t="b">
        <v>1</v>
      </c>
      <c r="O727">
        <v>8382</v>
      </c>
      <c r="P727" t="s">
        <v>740</v>
      </c>
      <c r="Q727" t="s">
        <v>2901</v>
      </c>
      <c r="R727">
        <v>-16.03967143727481</v>
      </c>
      <c r="S727">
        <v>652</v>
      </c>
      <c r="T727">
        <v>3102</v>
      </c>
      <c r="U727" t="s">
        <v>4712</v>
      </c>
      <c r="V727">
        <v>73.37</v>
      </c>
      <c r="W727" t="s">
        <v>6932</v>
      </c>
      <c r="X727" t="s">
        <v>9065</v>
      </c>
      <c r="Y727">
        <v>1350</v>
      </c>
      <c r="Z727">
        <v>170</v>
      </c>
      <c r="AA727">
        <v>7161</v>
      </c>
      <c r="AB727">
        <v>0.85</v>
      </c>
    </row>
    <row r="728" spans="1:28">
      <c r="A728" s="2">
        <f>HYPERLINK("https://finance.naver.com/item/coinfo.nhn?code=005800", "A005800")</f>
        <v>0</v>
      </c>
      <c r="B728">
        <f>HYPERLINK("http://comp.fnguide.com/SVO2/ASP/SVD_Consensus.asp?pGB=1&amp;gicode=A005800&amp;cID=&amp;MenuYn=Y&amp;ReportGB=&amp;NewMenuID=108&amp;stkGb=701", "신영와코루")</f>
        <v>0</v>
      </c>
      <c r="C728">
        <v>3</v>
      </c>
      <c r="D728">
        <v>108000</v>
      </c>
      <c r="E728">
        <v>-2.81</v>
      </c>
      <c r="F728">
        <v>23.6</v>
      </c>
      <c r="G728">
        <v>60891</v>
      </c>
      <c r="H728">
        <v>230859</v>
      </c>
      <c r="I728">
        <v>279291</v>
      </c>
      <c r="J728">
        <v>43.62</v>
      </c>
      <c r="K728">
        <v>-113.76</v>
      </c>
      <c r="L728">
        <v>-158.6</v>
      </c>
      <c r="M728">
        <v>1.41</v>
      </c>
      <c r="N728" t="b">
        <v>1</v>
      </c>
      <c r="O728">
        <v>4238</v>
      </c>
      <c r="P728" t="s">
        <v>741</v>
      </c>
      <c r="Q728" t="s">
        <v>2902</v>
      </c>
      <c r="R728">
        <v>-8.383969305422523</v>
      </c>
      <c r="S728">
        <v>972</v>
      </c>
      <c r="T728">
        <v>1845</v>
      </c>
      <c r="U728" t="s">
        <v>4713</v>
      </c>
      <c r="V728">
        <v>49</v>
      </c>
      <c r="W728" t="s">
        <v>6933</v>
      </c>
      <c r="X728" t="s">
        <v>9066</v>
      </c>
      <c r="Y728">
        <v>1762</v>
      </c>
      <c r="Z728">
        <v>14</v>
      </c>
      <c r="AB728">
        <v>1.5</v>
      </c>
    </row>
    <row r="729" spans="1:28">
      <c r="A729" s="2">
        <f>HYPERLINK("https://finance.naver.com/item/coinfo.nhn?code=021820", "A021820")</f>
        <v>0</v>
      </c>
      <c r="B729">
        <f>HYPERLINK("http://comp.fnguide.com/SVO2/ASP/SVD_Consensus.asp?pGB=1&amp;gicode=A021820&amp;cID=&amp;MenuYn=Y&amp;ReportGB=&amp;NewMenuID=108&amp;stkGb=701", "세원정공")</f>
        <v>0</v>
      </c>
      <c r="C729">
        <v>3</v>
      </c>
      <c r="D729">
        <v>8090</v>
      </c>
      <c r="E729">
        <v>-0.11</v>
      </c>
      <c r="F729">
        <v>10.65</v>
      </c>
      <c r="G729">
        <v>4821</v>
      </c>
      <c r="H729">
        <v>26883</v>
      </c>
      <c r="I729">
        <v>33170</v>
      </c>
      <c r="J729">
        <v>40.41</v>
      </c>
      <c r="K729">
        <v>-232.3</v>
      </c>
      <c r="L729">
        <v>-310.01</v>
      </c>
      <c r="M729">
        <v>0.93</v>
      </c>
      <c r="N729" t="b">
        <v>1</v>
      </c>
      <c r="O729">
        <v>760</v>
      </c>
      <c r="P729" t="s">
        <v>742</v>
      </c>
      <c r="Q729" t="s">
        <v>2903</v>
      </c>
      <c r="R729">
        <v>-93.09999999999999</v>
      </c>
      <c r="S729">
        <v>809</v>
      </c>
      <c r="T729">
        <v>0</v>
      </c>
      <c r="U729" t="s">
        <v>4714</v>
      </c>
      <c r="V729">
        <v>46.64</v>
      </c>
      <c r="W729" t="s">
        <v>6934</v>
      </c>
      <c r="X729" t="s">
        <v>9067</v>
      </c>
      <c r="Y729">
        <v>1569</v>
      </c>
      <c r="Z729">
        <v>-85</v>
      </c>
      <c r="AB729">
        <v>0.31</v>
      </c>
    </row>
    <row r="730" spans="1:28">
      <c r="A730" s="2">
        <f>HYPERLINK("https://finance.naver.com/item/coinfo.nhn?code=067830", "A067830")</f>
        <v>0</v>
      </c>
      <c r="B730">
        <f>HYPERLINK("http://comp.fnguide.com/SVO2/ASP/SVD_Consensus.asp?pGB=1&amp;gicode=A067830&amp;cID=&amp;MenuYn=Y&amp;ReportGB=&amp;NewMenuID=108&amp;stkGb=701", "세이브존I&amp;C")</f>
        <v>0</v>
      </c>
      <c r="C730">
        <v>3</v>
      </c>
      <c r="D730">
        <v>2840</v>
      </c>
      <c r="E730">
        <v>-0.33</v>
      </c>
      <c r="F730">
        <v>6.01</v>
      </c>
      <c r="G730">
        <v>8713</v>
      </c>
      <c r="H730">
        <v>10604</v>
      </c>
      <c r="I730">
        <v>11143</v>
      </c>
      <c r="J730">
        <v>-206.79</v>
      </c>
      <c r="K730">
        <v>-273.38</v>
      </c>
      <c r="L730">
        <v>-292.35</v>
      </c>
      <c r="M730">
        <v>5.85</v>
      </c>
      <c r="N730" t="b">
        <v>1</v>
      </c>
      <c r="O730">
        <v>542</v>
      </c>
      <c r="P730" t="s">
        <v>743</v>
      </c>
      <c r="Q730" t="s">
        <v>2904</v>
      </c>
      <c r="R730">
        <v>-18.36161527397511</v>
      </c>
      <c r="S730">
        <v>1166</v>
      </c>
      <c r="T730">
        <v>71362</v>
      </c>
      <c r="U730" t="s">
        <v>4715</v>
      </c>
      <c r="V730">
        <v>53.22</v>
      </c>
      <c r="W730" t="s">
        <v>6935</v>
      </c>
      <c r="X730" t="s">
        <v>9068</v>
      </c>
      <c r="Y730">
        <v>1592</v>
      </c>
      <c r="Z730">
        <v>295</v>
      </c>
      <c r="AA730">
        <v>3276263</v>
      </c>
      <c r="AB730">
        <v>0.92</v>
      </c>
    </row>
    <row r="731" spans="1:28">
      <c r="A731" s="2">
        <f>HYPERLINK("https://finance.naver.com/item/coinfo.nhn?code=002380", "A002380")</f>
        <v>0</v>
      </c>
      <c r="B731">
        <f>HYPERLINK("http://comp.fnguide.com/SVO2/ASP/SVD_Consensus.asp?pGB=1&amp;gicode=A002380&amp;cID=&amp;MenuYn=Y&amp;ReportGB=&amp;NewMenuID=108&amp;stkGb=701", "KCC")</f>
        <v>0</v>
      </c>
      <c r="C731">
        <v>3</v>
      </c>
      <c r="D731">
        <v>171500</v>
      </c>
      <c r="G731">
        <v>8532</v>
      </c>
      <c r="H731">
        <v>348683</v>
      </c>
      <c r="I731">
        <v>445609</v>
      </c>
      <c r="J731">
        <v>95.02</v>
      </c>
      <c r="K731">
        <v>-103.31</v>
      </c>
      <c r="L731">
        <v>-159.83</v>
      </c>
      <c r="M731">
        <v>0.12</v>
      </c>
      <c r="N731" t="b">
        <v>0</v>
      </c>
      <c r="O731">
        <v>-21079</v>
      </c>
      <c r="P731" t="s">
        <v>744</v>
      </c>
      <c r="Q731" t="s">
        <v>2905</v>
      </c>
      <c r="R731">
        <v>-52.39768913172387</v>
      </c>
      <c r="S731">
        <v>15240</v>
      </c>
      <c r="T731">
        <v>59449</v>
      </c>
      <c r="U731" t="s">
        <v>4716</v>
      </c>
      <c r="V731">
        <v>39.51</v>
      </c>
      <c r="W731" t="s">
        <v>6936</v>
      </c>
      <c r="X731" t="s">
        <v>9069</v>
      </c>
      <c r="Y731">
        <v>27196</v>
      </c>
      <c r="Z731">
        <v>1332</v>
      </c>
      <c r="AA731">
        <v>1139500</v>
      </c>
      <c r="AB731">
        <v>2.68</v>
      </c>
    </row>
    <row r="732" spans="1:28">
      <c r="A732" s="2">
        <f>HYPERLINK("https://finance.naver.com/item/coinfo.nhn?code=032830", "A032830")</f>
        <v>0</v>
      </c>
      <c r="B732">
        <f>HYPERLINK("http://comp.fnguide.com/SVO2/ASP/SVD_Consensus.asp?pGB=1&amp;gicode=A032830&amp;cID=&amp;MenuYn=Y&amp;ReportGB=&amp;NewMenuID=108&amp;stkGb=701", "삼성생명")</f>
        <v>0</v>
      </c>
      <c r="C732">
        <v>3</v>
      </c>
      <c r="D732">
        <v>72800</v>
      </c>
      <c r="E732">
        <v>3.1</v>
      </c>
      <c r="F732">
        <v>15.24</v>
      </c>
      <c r="G732">
        <v>102466</v>
      </c>
      <c r="H732">
        <v>160238</v>
      </c>
      <c r="I732">
        <v>176700</v>
      </c>
      <c r="J732">
        <v>-40.75</v>
      </c>
      <c r="K732">
        <v>-120.11</v>
      </c>
      <c r="L732">
        <v>-142.72</v>
      </c>
      <c r="M732">
        <v>4.11</v>
      </c>
      <c r="N732" t="b">
        <v>0</v>
      </c>
      <c r="O732">
        <v>4887</v>
      </c>
      <c r="P732" t="s">
        <v>745</v>
      </c>
      <c r="Q732" t="s">
        <v>2906</v>
      </c>
      <c r="R732">
        <v>4.92364984563467</v>
      </c>
      <c r="S732">
        <v>145600</v>
      </c>
      <c r="T732">
        <v>695246</v>
      </c>
      <c r="U732" t="s">
        <v>4717</v>
      </c>
      <c r="V732">
        <v>47.03</v>
      </c>
      <c r="W732" t="s">
        <v>6937</v>
      </c>
      <c r="X732" t="s">
        <v>9070</v>
      </c>
      <c r="Y732">
        <v>162011</v>
      </c>
      <c r="Z732">
        <v>12526</v>
      </c>
      <c r="AA732">
        <v>20425221</v>
      </c>
      <c r="AB732">
        <v>3.56</v>
      </c>
    </row>
    <row r="733" spans="1:28">
      <c r="A733" s="2">
        <f>HYPERLINK("https://finance.naver.com/item/coinfo.nhn?code=033530", "A033530")</f>
        <v>0</v>
      </c>
      <c r="B733">
        <f>HYPERLINK("http://comp.fnguide.com/SVO2/ASP/SVD_Consensus.asp?pGB=1&amp;gicode=A033530&amp;cID=&amp;MenuYn=Y&amp;ReportGB=&amp;NewMenuID=108&amp;stkGb=701", "세종공업")</f>
        <v>0</v>
      </c>
      <c r="C733">
        <v>3</v>
      </c>
      <c r="D733">
        <v>8470</v>
      </c>
      <c r="E733">
        <v>-0.52</v>
      </c>
      <c r="F733">
        <v>18.79</v>
      </c>
      <c r="G733">
        <v>1323</v>
      </c>
      <c r="H733">
        <v>8862</v>
      </c>
      <c r="I733">
        <v>11010</v>
      </c>
      <c r="J733">
        <v>84.38</v>
      </c>
      <c r="K733">
        <v>-4.63</v>
      </c>
      <c r="L733">
        <v>-29.99</v>
      </c>
      <c r="M733">
        <v>0.76</v>
      </c>
      <c r="N733" t="b">
        <v>0</v>
      </c>
      <c r="O733">
        <v>247</v>
      </c>
      <c r="P733" t="s">
        <v>746</v>
      </c>
      <c r="Q733" t="s">
        <v>2907</v>
      </c>
      <c r="R733">
        <v>-36</v>
      </c>
      <c r="S733">
        <v>2352</v>
      </c>
      <c r="T733">
        <v>446434</v>
      </c>
      <c r="U733" t="s">
        <v>4718</v>
      </c>
      <c r="V733">
        <v>43.87</v>
      </c>
      <c r="W733" t="s">
        <v>6938</v>
      </c>
      <c r="X733" t="s">
        <v>9071</v>
      </c>
      <c r="Y733">
        <v>12217</v>
      </c>
      <c r="Z733">
        <v>132</v>
      </c>
      <c r="AA733">
        <v>844382</v>
      </c>
      <c r="AB733">
        <v>1.08</v>
      </c>
    </row>
    <row r="734" spans="1:28">
      <c r="A734" s="2">
        <f>HYPERLINK("https://finance.naver.com/item/coinfo.nhn?code=033660", "A033660")</f>
        <v>0</v>
      </c>
      <c r="B734">
        <f>HYPERLINK("http://comp.fnguide.com/SVO2/ASP/SVD_Consensus.asp?pGB=1&amp;gicode=A033660&amp;cID=&amp;MenuYn=Y&amp;ReportGB=&amp;NewMenuID=108&amp;stkGb=701", "아주캐피탈")</f>
        <v>0</v>
      </c>
      <c r="C734">
        <v>3</v>
      </c>
      <c r="D734">
        <v>13100</v>
      </c>
      <c r="E734">
        <v>0</v>
      </c>
      <c r="F734">
        <v>7.05</v>
      </c>
      <c r="G734">
        <v>21827</v>
      </c>
      <c r="H734">
        <v>17528</v>
      </c>
      <c r="I734">
        <v>16303</v>
      </c>
      <c r="J734">
        <v>-66.62</v>
      </c>
      <c r="K734">
        <v>-33.8</v>
      </c>
      <c r="L734">
        <v>-24.45</v>
      </c>
      <c r="M734">
        <v>11.86</v>
      </c>
      <c r="N734" t="b">
        <v>1</v>
      </c>
      <c r="O734">
        <v>1765</v>
      </c>
      <c r="P734" t="s">
        <v>747</v>
      </c>
      <c r="Q734" t="s">
        <v>2908</v>
      </c>
      <c r="R734">
        <v>5.323044183168046</v>
      </c>
      <c r="S734">
        <v>7539</v>
      </c>
      <c r="T734">
        <v>68061</v>
      </c>
      <c r="U734" t="s">
        <v>4719</v>
      </c>
      <c r="V734">
        <v>74.05</v>
      </c>
      <c r="W734" t="s">
        <v>6939</v>
      </c>
      <c r="X734" t="s">
        <v>9072</v>
      </c>
      <c r="Y734">
        <v>2293</v>
      </c>
      <c r="Z734">
        <v>1338</v>
      </c>
      <c r="AA734">
        <v>2067090</v>
      </c>
      <c r="AB734">
        <v>5.22</v>
      </c>
    </row>
    <row r="735" spans="1:28">
      <c r="A735" s="2">
        <f>HYPERLINK("https://finance.naver.com/item/coinfo.nhn?code=016610", "A016610")</f>
        <v>0</v>
      </c>
      <c r="B735">
        <f>HYPERLINK("http://comp.fnguide.com/SVO2/ASP/SVD_Consensus.asp?pGB=1&amp;gicode=A016610&amp;cID=&amp;MenuYn=Y&amp;ReportGB=&amp;NewMenuID=108&amp;stkGb=701", "DB금융투자")</f>
        <v>0</v>
      </c>
      <c r="C735">
        <v>3</v>
      </c>
      <c r="D735">
        <v>4755</v>
      </c>
      <c r="E735">
        <v>0.57</v>
      </c>
      <c r="F735">
        <v>3.7</v>
      </c>
      <c r="G735">
        <v>13894</v>
      </c>
      <c r="H735">
        <v>15694</v>
      </c>
      <c r="I735">
        <v>16206</v>
      </c>
      <c r="J735">
        <v>-192.2</v>
      </c>
      <c r="K735">
        <v>-230.05</v>
      </c>
      <c r="L735">
        <v>-240.83</v>
      </c>
      <c r="M735">
        <v>6.56</v>
      </c>
      <c r="N735" t="b">
        <v>1</v>
      </c>
      <c r="O735">
        <v>1144</v>
      </c>
      <c r="P735" t="s">
        <v>748</v>
      </c>
      <c r="Q735" t="s">
        <v>2909</v>
      </c>
      <c r="R735">
        <v>6.467279967637163</v>
      </c>
      <c r="S735">
        <v>2018</v>
      </c>
      <c r="T735">
        <v>214156</v>
      </c>
      <c r="U735" t="s">
        <v>4720</v>
      </c>
      <c r="V735">
        <v>33.72</v>
      </c>
      <c r="W735" t="s">
        <v>6940</v>
      </c>
      <c r="X735" t="s">
        <v>9073</v>
      </c>
      <c r="Y735">
        <v>3024</v>
      </c>
      <c r="Z735">
        <v>874</v>
      </c>
      <c r="AA735">
        <v>1017500</v>
      </c>
      <c r="AB735">
        <v>5.9</v>
      </c>
    </row>
    <row r="736" spans="1:28">
      <c r="A736" s="2">
        <f>HYPERLINK("https://finance.naver.com/item/coinfo.nhn?code=016590", "A016590")</f>
        <v>0</v>
      </c>
      <c r="B736">
        <f>HYPERLINK("http://comp.fnguide.com/SVO2/ASP/SVD_Consensus.asp?pGB=1&amp;gicode=A016590&amp;cID=&amp;MenuYn=Y&amp;ReportGB=&amp;NewMenuID=108&amp;stkGb=701", "신대양제지")</f>
        <v>0</v>
      </c>
      <c r="C736">
        <v>3</v>
      </c>
      <c r="D736">
        <v>65500</v>
      </c>
      <c r="E736">
        <v>0.14</v>
      </c>
      <c r="F736">
        <v>4.3</v>
      </c>
      <c r="G736">
        <v>234788</v>
      </c>
      <c r="H736">
        <v>159385</v>
      </c>
      <c r="I736">
        <v>137900</v>
      </c>
      <c r="J736">
        <v>-258.45</v>
      </c>
      <c r="K736">
        <v>-143.34</v>
      </c>
      <c r="L736">
        <v>-110.53</v>
      </c>
      <c r="M736">
        <v>17.12</v>
      </c>
      <c r="N736" t="b">
        <v>1</v>
      </c>
      <c r="O736">
        <v>13849</v>
      </c>
      <c r="P736" t="s">
        <v>749</v>
      </c>
      <c r="Q736" t="s">
        <v>2910</v>
      </c>
      <c r="R736">
        <v>29.98273632658002</v>
      </c>
      <c r="S736">
        <v>2640</v>
      </c>
      <c r="T736">
        <v>58366</v>
      </c>
      <c r="U736" t="s">
        <v>4721</v>
      </c>
      <c r="V736">
        <v>53.49</v>
      </c>
      <c r="W736" t="s">
        <v>6941</v>
      </c>
      <c r="X736" t="s">
        <v>9074</v>
      </c>
      <c r="Y736">
        <v>6468</v>
      </c>
      <c r="Z736">
        <v>947</v>
      </c>
      <c r="AA736">
        <v>201500</v>
      </c>
      <c r="AB736">
        <v>1.05</v>
      </c>
    </row>
    <row r="737" spans="1:28">
      <c r="A737" s="2">
        <f>HYPERLINK("https://finance.naver.com/item/coinfo.nhn?code=027410", "A027410")</f>
        <v>0</v>
      </c>
      <c r="B737">
        <f>HYPERLINK("http://comp.fnguide.com/SVO2/ASP/SVD_Consensus.asp?pGB=1&amp;gicode=A027410&amp;cID=&amp;MenuYn=Y&amp;ReportGB=&amp;NewMenuID=108&amp;stkGb=701", "BGF")</f>
        <v>0</v>
      </c>
      <c r="C737">
        <v>3</v>
      </c>
      <c r="D737">
        <v>4420</v>
      </c>
      <c r="E737">
        <v>-0.52</v>
      </c>
      <c r="F737">
        <v>19.91</v>
      </c>
      <c r="G737">
        <v>145336</v>
      </c>
      <c r="H737">
        <v>67446</v>
      </c>
      <c r="I737">
        <v>45251</v>
      </c>
      <c r="J737">
        <v>-3188.14</v>
      </c>
      <c r="K737">
        <v>-1425.92</v>
      </c>
      <c r="L737">
        <v>-923.79</v>
      </c>
      <c r="M737">
        <v>73.78</v>
      </c>
      <c r="N737" t="b">
        <v>0</v>
      </c>
      <c r="O737">
        <v>281</v>
      </c>
      <c r="P737" t="s">
        <v>750</v>
      </c>
      <c r="Q737" t="s">
        <v>2911</v>
      </c>
      <c r="R737">
        <v>-38.21260482142083</v>
      </c>
      <c r="S737">
        <v>4231</v>
      </c>
      <c r="T737">
        <v>365703</v>
      </c>
      <c r="U737" t="s">
        <v>4722</v>
      </c>
      <c r="V737">
        <v>69.70999999999999</v>
      </c>
      <c r="W737" t="s">
        <v>6942</v>
      </c>
      <c r="X737" t="s">
        <v>9075</v>
      </c>
      <c r="Y737">
        <v>2403</v>
      </c>
      <c r="Z737">
        <v>294</v>
      </c>
      <c r="AA737">
        <v>8024</v>
      </c>
      <c r="AB737">
        <v>1.96</v>
      </c>
    </row>
    <row r="738" spans="1:28">
      <c r="A738" s="2">
        <f>HYPERLINK("https://finance.naver.com/item/coinfo.nhn?code=000810", "A000810")</f>
        <v>0</v>
      </c>
      <c r="B738">
        <f>HYPERLINK("http://comp.fnguide.com/SVO2/ASP/SVD_Consensus.asp?pGB=1&amp;gicode=A000810&amp;cID=&amp;MenuYn=Y&amp;ReportGB=&amp;NewMenuID=108&amp;stkGb=701", "삼성화재")</f>
        <v>0</v>
      </c>
      <c r="C738">
        <v>3</v>
      </c>
      <c r="D738">
        <v>192000</v>
      </c>
      <c r="E738">
        <v>2.6</v>
      </c>
      <c r="F738">
        <v>19.15</v>
      </c>
      <c r="G738">
        <v>309410</v>
      </c>
      <c r="H738">
        <v>339229</v>
      </c>
      <c r="I738">
        <v>347725</v>
      </c>
      <c r="J738">
        <v>-61.15</v>
      </c>
      <c r="K738">
        <v>-76.68000000000001</v>
      </c>
      <c r="L738">
        <v>-81.11</v>
      </c>
      <c r="M738">
        <v>6.87</v>
      </c>
      <c r="N738" t="b">
        <v>0</v>
      </c>
      <c r="O738">
        <v>12716</v>
      </c>
      <c r="P738" t="s">
        <v>751</v>
      </c>
      <c r="Q738" t="s">
        <v>2912</v>
      </c>
      <c r="R738">
        <v>7.366107294106095</v>
      </c>
      <c r="S738">
        <v>90960</v>
      </c>
      <c r="T738">
        <v>278155</v>
      </c>
      <c r="U738" t="s">
        <v>4723</v>
      </c>
      <c r="V738">
        <v>18.5</v>
      </c>
      <c r="W738" t="s">
        <v>6943</v>
      </c>
      <c r="X738" t="s">
        <v>9076</v>
      </c>
      <c r="Y738">
        <v>194560</v>
      </c>
      <c r="Z738">
        <v>8626</v>
      </c>
      <c r="AA738">
        <v>7546541</v>
      </c>
      <c r="AB738">
        <v>3.49</v>
      </c>
    </row>
    <row r="739" spans="1:28">
      <c r="A739" s="2">
        <f>HYPERLINK("https://finance.naver.com/item/coinfo.nhn?code=004360", "A004360")</f>
        <v>0</v>
      </c>
      <c r="B739">
        <f>HYPERLINK("http://comp.fnguide.com/SVO2/ASP/SVD_Consensus.asp?pGB=1&amp;gicode=A004360&amp;cID=&amp;MenuYn=Y&amp;ReportGB=&amp;NewMenuID=108&amp;stkGb=701", "세방")</f>
        <v>0</v>
      </c>
      <c r="C739">
        <v>3</v>
      </c>
      <c r="D739">
        <v>9890</v>
      </c>
      <c r="E739">
        <v>-1.38</v>
      </c>
      <c r="F739">
        <v>47.94</v>
      </c>
      <c r="G739">
        <v>15517</v>
      </c>
      <c r="H739">
        <v>32282</v>
      </c>
      <c r="I739">
        <v>37059</v>
      </c>
      <c r="J739">
        <v>-56.9</v>
      </c>
      <c r="K739">
        <v>-226.41</v>
      </c>
      <c r="L739">
        <v>-274.71</v>
      </c>
      <c r="M739">
        <v>2.85</v>
      </c>
      <c r="N739" t="b">
        <v>0</v>
      </c>
      <c r="O739">
        <v>240</v>
      </c>
      <c r="P739" t="s">
        <v>752</v>
      </c>
      <c r="Q739" t="s">
        <v>2913</v>
      </c>
      <c r="R739">
        <v>-34.85846549109076</v>
      </c>
      <c r="S739">
        <v>1910</v>
      </c>
      <c r="T739">
        <v>74792</v>
      </c>
      <c r="U739" t="s">
        <v>4724</v>
      </c>
      <c r="V739">
        <v>44.58</v>
      </c>
      <c r="W739" t="s">
        <v>6944</v>
      </c>
      <c r="X739" t="s">
        <v>9077</v>
      </c>
      <c r="Y739">
        <v>7233</v>
      </c>
      <c r="Z739">
        <v>161</v>
      </c>
      <c r="AA739">
        <v>506031</v>
      </c>
      <c r="AB739">
        <v>1.52</v>
      </c>
    </row>
    <row r="740" spans="1:28">
      <c r="A740" s="2">
        <f>HYPERLINK("https://finance.naver.com/item/coinfo.nhn?code=004490", "A004490")</f>
        <v>0</v>
      </c>
      <c r="B740">
        <f>HYPERLINK("http://comp.fnguide.com/SVO2/ASP/SVD_Consensus.asp?pGB=1&amp;gicode=A004490&amp;cID=&amp;MenuYn=Y&amp;ReportGB=&amp;NewMenuID=108&amp;stkGb=701", "세방전지")</f>
        <v>0</v>
      </c>
      <c r="C740">
        <v>3</v>
      </c>
      <c r="D740">
        <v>39000</v>
      </c>
      <c r="E740">
        <v>-4.66</v>
      </c>
      <c r="F740">
        <v>6.66</v>
      </c>
      <c r="G740">
        <v>84822</v>
      </c>
      <c r="H740">
        <v>81180</v>
      </c>
      <c r="I740">
        <v>80143</v>
      </c>
      <c r="J740">
        <v>-117.49</v>
      </c>
      <c r="K740">
        <v>-108.16</v>
      </c>
      <c r="L740">
        <v>-105.49</v>
      </c>
      <c r="M740">
        <v>8.58</v>
      </c>
      <c r="N740" t="b">
        <v>1</v>
      </c>
      <c r="O740">
        <v>5597</v>
      </c>
      <c r="P740" t="s">
        <v>753</v>
      </c>
      <c r="Q740" t="s">
        <v>2914</v>
      </c>
      <c r="R740">
        <v>-1.429794855576172</v>
      </c>
      <c r="S740">
        <v>5460</v>
      </c>
      <c r="T740">
        <v>215211</v>
      </c>
      <c r="U740" t="s">
        <v>4725</v>
      </c>
      <c r="V740">
        <v>41.48</v>
      </c>
      <c r="W740" t="s">
        <v>6945</v>
      </c>
      <c r="X740" t="s">
        <v>9078</v>
      </c>
      <c r="Y740">
        <v>11390</v>
      </c>
      <c r="Z740">
        <v>1057</v>
      </c>
      <c r="AA740">
        <v>615220</v>
      </c>
      <c r="AB740">
        <v>1.34</v>
      </c>
    </row>
    <row r="741" spans="1:28">
      <c r="A741" s="2">
        <f>HYPERLINK("https://finance.naver.com/item/coinfo.nhn?code=002170", "A002170")</f>
        <v>0</v>
      </c>
      <c r="B741">
        <f>HYPERLINK("http://comp.fnguide.com/SVO2/ASP/SVD_Consensus.asp?pGB=1&amp;gicode=A002170&amp;cID=&amp;MenuYn=Y&amp;ReportGB=&amp;NewMenuID=108&amp;stkGb=701", "삼양통상")</f>
        <v>0</v>
      </c>
      <c r="C741">
        <v>3</v>
      </c>
      <c r="D741">
        <v>62300</v>
      </c>
      <c r="E741">
        <v>0.12</v>
      </c>
      <c r="F741">
        <v>4.07</v>
      </c>
      <c r="G741">
        <v>169199</v>
      </c>
      <c r="H741">
        <v>136849</v>
      </c>
      <c r="I741">
        <v>127631</v>
      </c>
      <c r="J741">
        <v>-171.59</v>
      </c>
      <c r="K741">
        <v>-119.66</v>
      </c>
      <c r="L741">
        <v>-104.86</v>
      </c>
      <c r="M741">
        <v>11.69</v>
      </c>
      <c r="N741" t="b">
        <v>1</v>
      </c>
      <c r="O741">
        <v>14733</v>
      </c>
      <c r="P741" t="s">
        <v>754</v>
      </c>
      <c r="Q741" t="s">
        <v>2915</v>
      </c>
      <c r="R741">
        <v>34.31943309341783</v>
      </c>
      <c r="S741">
        <v>1869</v>
      </c>
      <c r="T741">
        <v>6176</v>
      </c>
      <c r="U741" t="s">
        <v>4726</v>
      </c>
      <c r="V741">
        <v>54.39</v>
      </c>
      <c r="W741" t="s">
        <v>6946</v>
      </c>
      <c r="X741" t="s">
        <v>9079</v>
      </c>
      <c r="Y741">
        <v>1921</v>
      </c>
      <c r="Z741">
        <v>494</v>
      </c>
      <c r="AA741">
        <v>150575</v>
      </c>
      <c r="AB741">
        <v>1.67</v>
      </c>
    </row>
    <row r="742" spans="1:28">
      <c r="A742" s="2">
        <f>HYPERLINK("https://finance.naver.com/item/coinfo.nhn?code=065510", "A065510")</f>
        <v>0</v>
      </c>
      <c r="B742">
        <f>HYPERLINK("http://comp.fnguide.com/SVO2/ASP/SVD_Consensus.asp?pGB=1&amp;gicode=A065510&amp;cID=&amp;MenuYn=Y&amp;ReportGB=&amp;NewMenuID=108&amp;stkGb=701", "휴비츠")</f>
        <v>0</v>
      </c>
      <c r="C742">
        <v>3</v>
      </c>
      <c r="D742">
        <v>7460</v>
      </c>
      <c r="E742">
        <v>3.48</v>
      </c>
      <c r="F742">
        <v>12.57</v>
      </c>
      <c r="G742">
        <v>8490</v>
      </c>
      <c r="H742">
        <v>8376</v>
      </c>
      <c r="I742">
        <v>8344</v>
      </c>
      <c r="J742">
        <v>-13.81</v>
      </c>
      <c r="K742">
        <v>-12.28</v>
      </c>
      <c r="L742">
        <v>-11.85</v>
      </c>
      <c r="M742">
        <v>8.15</v>
      </c>
      <c r="N742" t="b">
        <v>1</v>
      </c>
      <c r="O742">
        <v>663</v>
      </c>
      <c r="P742" t="s">
        <v>755</v>
      </c>
      <c r="Q742" t="s">
        <v>2916</v>
      </c>
      <c r="R742">
        <v>3.614355426339744</v>
      </c>
      <c r="S742">
        <v>886</v>
      </c>
      <c r="T742">
        <v>106892</v>
      </c>
      <c r="U742" t="s">
        <v>4727</v>
      </c>
      <c r="V742">
        <v>26.62</v>
      </c>
      <c r="W742" t="s">
        <v>6947</v>
      </c>
      <c r="X742" t="s">
        <v>9080</v>
      </c>
      <c r="Y742">
        <v>880</v>
      </c>
      <c r="Z742">
        <v>117</v>
      </c>
      <c r="AA742">
        <v>1281476</v>
      </c>
      <c r="AB742">
        <v>1.8</v>
      </c>
    </row>
    <row r="743" spans="1:28">
      <c r="A743" s="2">
        <f>HYPERLINK("https://finance.naver.com/item/coinfo.nhn?code=001430", "A001430")</f>
        <v>0</v>
      </c>
      <c r="B743">
        <f>HYPERLINK("http://comp.fnguide.com/SVO2/ASP/SVD_Consensus.asp?pGB=1&amp;gicode=A001430&amp;cID=&amp;MenuYn=Y&amp;ReportGB=&amp;NewMenuID=108&amp;stkGb=701", "세아베스틸")</f>
        <v>0</v>
      </c>
      <c r="C743">
        <v>3</v>
      </c>
      <c r="D743">
        <v>10600</v>
      </c>
      <c r="E743">
        <v>-0.5600000000000001</v>
      </c>
      <c r="F743">
        <v>31.78</v>
      </c>
      <c r="G743">
        <v>13215</v>
      </c>
      <c r="H743">
        <v>36500</v>
      </c>
      <c r="I743">
        <v>43134</v>
      </c>
      <c r="J743">
        <v>-24.67</v>
      </c>
      <c r="K743">
        <v>-244.34</v>
      </c>
      <c r="L743">
        <v>-306.93</v>
      </c>
      <c r="M743">
        <v>2.03</v>
      </c>
      <c r="N743" t="b">
        <v>0</v>
      </c>
      <c r="O743">
        <v>480</v>
      </c>
      <c r="P743" t="s">
        <v>756</v>
      </c>
      <c r="Q743" t="s">
        <v>2917</v>
      </c>
      <c r="R743">
        <v>-56.51153480319697</v>
      </c>
      <c r="S743">
        <v>3801</v>
      </c>
      <c r="T743">
        <v>353041</v>
      </c>
      <c r="U743" t="s">
        <v>4728</v>
      </c>
      <c r="V743">
        <v>62.66</v>
      </c>
      <c r="W743" t="s">
        <v>6948</v>
      </c>
      <c r="X743" t="s">
        <v>9081</v>
      </c>
      <c r="Y743">
        <v>29607</v>
      </c>
      <c r="Z743">
        <v>440</v>
      </c>
      <c r="AA743">
        <v>315689</v>
      </c>
      <c r="AB743">
        <v>1.97</v>
      </c>
    </row>
    <row r="744" spans="1:28">
      <c r="A744" s="2">
        <f>HYPERLINK("https://finance.naver.com/item/coinfo.nhn?code=145990", "A145990")</f>
        <v>0</v>
      </c>
      <c r="B744">
        <f>HYPERLINK("http://comp.fnguide.com/SVO2/ASP/SVD_Consensus.asp?pGB=1&amp;gicode=A145990&amp;cID=&amp;MenuYn=Y&amp;ReportGB=&amp;NewMenuID=108&amp;stkGb=701", "삼양사")</f>
        <v>0</v>
      </c>
      <c r="C744">
        <v>3</v>
      </c>
      <c r="D744">
        <v>52700</v>
      </c>
      <c r="E744">
        <v>-2.72</v>
      </c>
      <c r="F744">
        <v>15.95</v>
      </c>
      <c r="G744">
        <v>49751</v>
      </c>
      <c r="H744">
        <v>88648</v>
      </c>
      <c r="I744">
        <v>99732</v>
      </c>
      <c r="J744">
        <v>5.6</v>
      </c>
      <c r="K744">
        <v>-68.20999999999999</v>
      </c>
      <c r="L744">
        <v>-89.23999999999999</v>
      </c>
      <c r="M744">
        <v>3.46</v>
      </c>
      <c r="N744" t="b">
        <v>1</v>
      </c>
      <c r="O744">
        <v>3173</v>
      </c>
      <c r="P744" t="s">
        <v>757</v>
      </c>
      <c r="Q744" t="s">
        <v>2918</v>
      </c>
      <c r="R744">
        <v>-5.870844943416975</v>
      </c>
      <c r="S744">
        <v>5435</v>
      </c>
      <c r="T744">
        <v>28921</v>
      </c>
      <c r="U744" t="s">
        <v>4729</v>
      </c>
      <c r="V744">
        <v>64.14</v>
      </c>
      <c r="W744" t="s">
        <v>6949</v>
      </c>
      <c r="X744" t="s">
        <v>9082</v>
      </c>
      <c r="Y744">
        <v>20964</v>
      </c>
      <c r="Z744">
        <v>816</v>
      </c>
      <c r="AA744">
        <v>623479</v>
      </c>
      <c r="AB744">
        <v>1.98</v>
      </c>
    </row>
    <row r="745" spans="1:28">
      <c r="A745" s="2">
        <f>HYPERLINK("https://finance.naver.com/item/coinfo.nhn?code=155660", "A155660")</f>
        <v>0</v>
      </c>
      <c r="B745">
        <f>HYPERLINK("http://comp.fnguide.com/SVO2/ASP/SVD_Consensus.asp?pGB=1&amp;gicode=A155660&amp;cID=&amp;MenuYn=Y&amp;ReportGB=&amp;NewMenuID=108&amp;stkGb=701", "DSR")</f>
        <v>0</v>
      </c>
      <c r="C745">
        <v>3</v>
      </c>
      <c r="D745">
        <v>5450</v>
      </c>
      <c r="E745">
        <v>-3.33</v>
      </c>
      <c r="F745">
        <v>8.4</v>
      </c>
      <c r="G745">
        <v>7381</v>
      </c>
      <c r="H745">
        <v>8722</v>
      </c>
      <c r="I745">
        <v>9104</v>
      </c>
      <c r="J745">
        <v>-35.44</v>
      </c>
      <c r="K745">
        <v>-60.03</v>
      </c>
      <c r="L745">
        <v>-67.04000000000001</v>
      </c>
      <c r="M745">
        <v>6.12</v>
      </c>
      <c r="N745" t="b">
        <v>1</v>
      </c>
      <c r="O745">
        <v>546</v>
      </c>
      <c r="P745" t="s">
        <v>758</v>
      </c>
      <c r="Q745" t="s">
        <v>2919</v>
      </c>
      <c r="R745">
        <v>-2.519392735844983</v>
      </c>
      <c r="S745">
        <v>872</v>
      </c>
      <c r="T745">
        <v>75241</v>
      </c>
      <c r="U745" t="s">
        <v>4730</v>
      </c>
      <c r="V745">
        <v>70.75</v>
      </c>
      <c r="W745" t="s">
        <v>6950</v>
      </c>
      <c r="X745" t="s">
        <v>9083</v>
      </c>
      <c r="Y745">
        <v>2363</v>
      </c>
      <c r="Z745">
        <v>107</v>
      </c>
      <c r="AB745">
        <v>1.09</v>
      </c>
    </row>
    <row r="746" spans="1:28">
      <c r="A746" s="2">
        <f>HYPERLINK("https://finance.naver.com/item/coinfo.nhn?code=004840", "A004840")</f>
        <v>0</v>
      </c>
      <c r="B746">
        <f>HYPERLINK("http://comp.fnguide.com/SVO2/ASP/SVD_Consensus.asp?pGB=1&amp;gicode=A004840&amp;cID=&amp;MenuYn=Y&amp;ReportGB=&amp;NewMenuID=108&amp;stkGb=701", "DRB동일")</f>
        <v>0</v>
      </c>
      <c r="C746">
        <v>3</v>
      </c>
      <c r="D746">
        <v>6740</v>
      </c>
      <c r="E746">
        <v>-0.32</v>
      </c>
      <c r="F746">
        <v>11.81</v>
      </c>
      <c r="G746">
        <v>6395</v>
      </c>
      <c r="H746">
        <v>13595</v>
      </c>
      <c r="I746">
        <v>15647</v>
      </c>
      <c r="J746">
        <v>5.12</v>
      </c>
      <c r="K746">
        <v>-101.71</v>
      </c>
      <c r="L746">
        <v>-132.15</v>
      </c>
      <c r="M746">
        <v>2.77</v>
      </c>
      <c r="N746" t="b">
        <v>0</v>
      </c>
      <c r="O746">
        <v>445</v>
      </c>
      <c r="P746" t="s">
        <v>759</v>
      </c>
      <c r="Q746" t="s">
        <v>2920</v>
      </c>
      <c r="R746">
        <v>-37.21576200220853</v>
      </c>
      <c r="S746">
        <v>1343</v>
      </c>
      <c r="T746">
        <v>53023</v>
      </c>
      <c r="U746" t="s">
        <v>4731</v>
      </c>
      <c r="V746">
        <v>69.75</v>
      </c>
      <c r="W746" t="s">
        <v>6951</v>
      </c>
      <c r="X746" t="s">
        <v>9084</v>
      </c>
      <c r="Y746">
        <v>5470</v>
      </c>
      <c r="Z746">
        <v>265</v>
      </c>
      <c r="AA746">
        <v>657636</v>
      </c>
      <c r="AB746">
        <v>1.9</v>
      </c>
    </row>
    <row r="747" spans="1:28">
      <c r="A747" s="2">
        <f>HYPERLINK("https://finance.naver.com/item/coinfo.nhn?code=034300", "A034300")</f>
        <v>0</v>
      </c>
      <c r="B747">
        <f>HYPERLINK("http://comp.fnguide.com/SVO2/ASP/SVD_Consensus.asp?pGB=1&amp;gicode=A034300&amp;cID=&amp;MenuYn=Y&amp;ReportGB=&amp;NewMenuID=108&amp;stkGb=701", "신세계건설")</f>
        <v>0</v>
      </c>
      <c r="C747">
        <v>3</v>
      </c>
      <c r="D747">
        <v>23400</v>
      </c>
      <c r="E747">
        <v>-0.42</v>
      </c>
      <c r="F747">
        <v>6.01</v>
      </c>
      <c r="G747">
        <v>98562</v>
      </c>
      <c r="H747">
        <v>69024</v>
      </c>
      <c r="I747">
        <v>60607</v>
      </c>
      <c r="J747">
        <v>-321.21</v>
      </c>
      <c r="K747">
        <v>-194.97</v>
      </c>
      <c r="L747">
        <v>-159</v>
      </c>
      <c r="M747">
        <v>15.9</v>
      </c>
      <c r="N747" t="b">
        <v>1</v>
      </c>
      <c r="O747">
        <v>4379</v>
      </c>
      <c r="P747" t="s">
        <v>760</v>
      </c>
      <c r="Q747" t="s">
        <v>2921</v>
      </c>
      <c r="R747">
        <v>-14.38292981148358</v>
      </c>
      <c r="S747">
        <v>936</v>
      </c>
      <c r="T747">
        <v>66911</v>
      </c>
      <c r="U747" t="s">
        <v>4732</v>
      </c>
      <c r="V747">
        <v>42.7</v>
      </c>
      <c r="W747" t="s">
        <v>6952</v>
      </c>
      <c r="X747" t="s">
        <v>9085</v>
      </c>
      <c r="Y747">
        <v>10162</v>
      </c>
      <c r="Z747">
        <v>242</v>
      </c>
      <c r="AB747">
        <v>3.04</v>
      </c>
    </row>
    <row r="748" spans="1:28">
      <c r="A748" s="2">
        <f>HYPERLINK("https://finance.naver.com/item/coinfo.nhn?code=306200", "A306200")</f>
        <v>0</v>
      </c>
      <c r="B748">
        <f>HYPERLINK("http://comp.fnguide.com/SVO2/ASP/SVD_Consensus.asp?pGB=1&amp;gicode=A306200&amp;cID=&amp;MenuYn=Y&amp;ReportGB=&amp;NewMenuID=108&amp;stkGb=701", "세아제강")</f>
        <v>0</v>
      </c>
      <c r="C748">
        <v>3</v>
      </c>
      <c r="D748">
        <v>89800</v>
      </c>
      <c r="E748">
        <v>0</v>
      </c>
      <c r="F748">
        <v>6.95</v>
      </c>
      <c r="G748">
        <v>56565</v>
      </c>
      <c r="H748">
        <v>145145</v>
      </c>
      <c r="I748">
        <v>170385</v>
      </c>
      <c r="J748">
        <v>37.01</v>
      </c>
      <c r="K748">
        <v>-61.63</v>
      </c>
      <c r="L748">
        <v>-89.73999999999999</v>
      </c>
      <c r="M748">
        <v>2.21</v>
      </c>
      <c r="N748" t="b">
        <v>1</v>
      </c>
      <c r="O748">
        <v>8762</v>
      </c>
      <c r="P748" t="s">
        <v>761</v>
      </c>
      <c r="Q748" t="s">
        <v>2922</v>
      </c>
      <c r="R748">
        <v>0</v>
      </c>
      <c r="S748">
        <v>2547</v>
      </c>
      <c r="T748">
        <v>15089</v>
      </c>
      <c r="U748" t="s">
        <v>4733</v>
      </c>
      <c r="V748">
        <v>59.56</v>
      </c>
      <c r="W748" t="s">
        <v>6953</v>
      </c>
      <c r="X748" t="s">
        <v>9086</v>
      </c>
      <c r="Y748">
        <v>12272</v>
      </c>
      <c r="Z748">
        <v>459</v>
      </c>
      <c r="AA748">
        <v>36200</v>
      </c>
      <c r="AB748">
        <v>3.28</v>
      </c>
    </row>
    <row r="749" spans="1:28">
      <c r="A749" s="2">
        <f>HYPERLINK("https://finance.naver.com/item/coinfo.nhn?code=055550", "A055550")</f>
        <v>0</v>
      </c>
      <c r="B749">
        <f>HYPERLINK("http://comp.fnguide.com/SVO2/ASP/SVD_Consensus.asp?pGB=1&amp;gicode=A055550&amp;cID=&amp;MenuYn=Y&amp;ReportGB=&amp;NewMenuID=108&amp;stkGb=701", "신한지주")</f>
        <v>0</v>
      </c>
      <c r="C749">
        <v>3</v>
      </c>
      <c r="D749">
        <v>34600</v>
      </c>
      <c r="E749">
        <v>2.38</v>
      </c>
      <c r="F749">
        <v>6.19</v>
      </c>
      <c r="G749">
        <v>86952</v>
      </c>
      <c r="H749">
        <v>80281</v>
      </c>
      <c r="I749">
        <v>78380</v>
      </c>
      <c r="J749">
        <v>-151.31</v>
      </c>
      <c r="K749">
        <v>-132.03</v>
      </c>
      <c r="L749">
        <v>-126.53</v>
      </c>
      <c r="M749">
        <v>9.140000000000001</v>
      </c>
      <c r="N749" t="b">
        <v>1</v>
      </c>
      <c r="O749">
        <v>7004</v>
      </c>
      <c r="P749" t="s">
        <v>762</v>
      </c>
      <c r="Q749" t="s">
        <v>2923</v>
      </c>
      <c r="R749">
        <v>2.599961013634111</v>
      </c>
      <c r="S749">
        <v>178718</v>
      </c>
      <c r="T749">
        <v>3381475</v>
      </c>
      <c r="U749" t="s">
        <v>4734</v>
      </c>
      <c r="V749">
        <v>9.84</v>
      </c>
      <c r="W749" t="s">
        <v>6954</v>
      </c>
      <c r="X749" t="s">
        <v>9087</v>
      </c>
      <c r="Y749">
        <v>157074</v>
      </c>
      <c r="Z749">
        <v>50463</v>
      </c>
      <c r="AA749">
        <v>3926</v>
      </c>
      <c r="AB749">
        <v>4.27</v>
      </c>
    </row>
    <row r="750" spans="1:28">
      <c r="A750" s="2">
        <f>HYPERLINK("https://finance.naver.com/item/coinfo.nhn?code=037440", "A037440")</f>
        <v>0</v>
      </c>
      <c r="B750">
        <f>HYPERLINK("http://comp.fnguide.com/SVO2/ASP/SVD_Consensus.asp?pGB=1&amp;gicode=A037440&amp;cID=&amp;MenuYn=Y&amp;ReportGB=&amp;NewMenuID=108&amp;stkGb=701", "희림")</f>
        <v>0</v>
      </c>
      <c r="C750">
        <v>3</v>
      </c>
      <c r="D750">
        <v>3905</v>
      </c>
      <c r="E750">
        <v>169.83</v>
      </c>
      <c r="F750">
        <v>16.2</v>
      </c>
      <c r="G750">
        <v>3860</v>
      </c>
      <c r="H750">
        <v>4077</v>
      </c>
      <c r="I750">
        <v>4139</v>
      </c>
      <c r="J750">
        <v>1.15</v>
      </c>
      <c r="K750">
        <v>-4.42</v>
      </c>
      <c r="L750">
        <v>-6</v>
      </c>
      <c r="M750">
        <v>7.29</v>
      </c>
      <c r="N750" t="b">
        <v>0</v>
      </c>
      <c r="O750">
        <v>264</v>
      </c>
      <c r="P750" t="s">
        <v>763</v>
      </c>
      <c r="Q750" t="s">
        <v>2924</v>
      </c>
      <c r="R750">
        <v>0.09539089511694243</v>
      </c>
      <c r="S750">
        <v>544</v>
      </c>
      <c r="T750">
        <v>11362</v>
      </c>
      <c r="U750" t="s">
        <v>4735</v>
      </c>
      <c r="V750">
        <v>28.42</v>
      </c>
      <c r="W750" t="s">
        <v>6955</v>
      </c>
      <c r="X750" t="s">
        <v>9088</v>
      </c>
      <c r="Y750">
        <v>1786</v>
      </c>
      <c r="Z750">
        <v>72</v>
      </c>
      <c r="AA750">
        <v>1297955</v>
      </c>
      <c r="AB750">
        <v>3.5</v>
      </c>
    </row>
    <row r="751" spans="1:28">
      <c r="A751" s="2">
        <f>HYPERLINK("https://finance.naver.com/item/coinfo.nhn?code=006880", "A006880")</f>
        <v>0</v>
      </c>
      <c r="B751">
        <f>HYPERLINK("http://comp.fnguide.com/SVO2/ASP/SVD_Consensus.asp?pGB=1&amp;gicode=A006880&amp;cID=&amp;MenuYn=Y&amp;ReportGB=&amp;NewMenuID=108&amp;stkGb=701", "신송홀딩스")</f>
        <v>0</v>
      </c>
      <c r="C751">
        <v>3</v>
      </c>
      <c r="D751">
        <v>3890</v>
      </c>
      <c r="E751">
        <v>0</v>
      </c>
      <c r="G751">
        <v>0</v>
      </c>
      <c r="H751">
        <v>4812</v>
      </c>
      <c r="I751">
        <v>6184</v>
      </c>
      <c r="J751">
        <v>100</v>
      </c>
      <c r="K751">
        <v>-23.71</v>
      </c>
      <c r="L751">
        <v>-58.97</v>
      </c>
      <c r="M751">
        <v>0</v>
      </c>
      <c r="N751" t="b">
        <v>0</v>
      </c>
      <c r="O751">
        <v>-2905</v>
      </c>
      <c r="P751" t="s">
        <v>764</v>
      </c>
      <c r="Q751" t="s">
        <v>2276</v>
      </c>
      <c r="R751">
        <v>0</v>
      </c>
      <c r="S751">
        <v>460</v>
      </c>
      <c r="T751">
        <v>18632</v>
      </c>
      <c r="U751" t="s">
        <v>4736</v>
      </c>
      <c r="V751">
        <v>58.95</v>
      </c>
      <c r="W751" t="s">
        <v>6956</v>
      </c>
      <c r="X751" t="s">
        <v>968</v>
      </c>
      <c r="Y751">
        <v>2630</v>
      </c>
      <c r="Z751">
        <v>-3</v>
      </c>
      <c r="AA751">
        <v>592382</v>
      </c>
      <c r="AB751">
        <v>2.01</v>
      </c>
    </row>
    <row r="752" spans="1:28">
      <c r="A752" s="2">
        <f>HYPERLINK("https://finance.naver.com/item/coinfo.nhn?code=029780", "A029780")</f>
        <v>0</v>
      </c>
      <c r="B752">
        <f>HYPERLINK("http://comp.fnguide.com/SVO2/ASP/SVD_Consensus.asp?pGB=1&amp;gicode=A029780&amp;cID=&amp;MenuYn=Y&amp;ReportGB=&amp;NewMenuID=108&amp;stkGb=701", "삼성카드")</f>
        <v>0</v>
      </c>
      <c r="C752">
        <v>3</v>
      </c>
      <c r="D752">
        <v>34350</v>
      </c>
      <c r="E752">
        <v>0</v>
      </c>
      <c r="F752">
        <v>13</v>
      </c>
      <c r="G752">
        <v>41774</v>
      </c>
      <c r="H752">
        <v>55505</v>
      </c>
      <c r="I752">
        <v>59417</v>
      </c>
      <c r="J752">
        <v>-21.61</v>
      </c>
      <c r="K752">
        <v>-61.59</v>
      </c>
      <c r="L752">
        <v>-72.98</v>
      </c>
      <c r="M752">
        <v>5.15</v>
      </c>
      <c r="N752" t="b">
        <v>0</v>
      </c>
      <c r="O752">
        <v>2970</v>
      </c>
      <c r="P752" t="s">
        <v>765</v>
      </c>
      <c r="Q752" t="s">
        <v>2925</v>
      </c>
      <c r="R752">
        <v>-1.327238528506358</v>
      </c>
      <c r="S752">
        <v>39798</v>
      </c>
      <c r="T752">
        <v>139601</v>
      </c>
      <c r="U752" t="s">
        <v>4737</v>
      </c>
      <c r="V752">
        <v>71.90000000000001</v>
      </c>
      <c r="W752" t="s">
        <v>6957</v>
      </c>
      <c r="X752" t="s">
        <v>9089</v>
      </c>
      <c r="Y752">
        <v>24557</v>
      </c>
      <c r="Z752">
        <v>4497</v>
      </c>
      <c r="AA752">
        <v>9148196</v>
      </c>
      <c r="AB752">
        <v>4.15</v>
      </c>
    </row>
    <row r="753" spans="1:28">
      <c r="A753" s="2">
        <f>HYPERLINK("https://finance.naver.com/item/coinfo.nhn?code=019440", "A019440")</f>
        <v>0</v>
      </c>
      <c r="B753">
        <f>HYPERLINK("http://comp.fnguide.com/SVO2/ASP/SVD_Consensus.asp?pGB=1&amp;gicode=A019440&amp;cID=&amp;MenuYn=Y&amp;ReportGB=&amp;NewMenuID=108&amp;stkGb=701", "세아특수강")</f>
        <v>0</v>
      </c>
      <c r="C753">
        <v>3</v>
      </c>
      <c r="D753">
        <v>11800</v>
      </c>
      <c r="E753">
        <v>-0.79</v>
      </c>
      <c r="F753">
        <v>10.51</v>
      </c>
      <c r="G753">
        <v>20106</v>
      </c>
      <c r="H753">
        <v>30823</v>
      </c>
      <c r="I753">
        <v>33877</v>
      </c>
      <c r="J753">
        <v>-70.39</v>
      </c>
      <c r="K753">
        <v>-161.22</v>
      </c>
      <c r="L753">
        <v>-187.1</v>
      </c>
      <c r="M753">
        <v>4.22</v>
      </c>
      <c r="N753" t="b">
        <v>1</v>
      </c>
      <c r="O753">
        <v>1280</v>
      </c>
      <c r="P753" t="s">
        <v>766</v>
      </c>
      <c r="Q753" t="s">
        <v>2926</v>
      </c>
      <c r="R753">
        <v>-13.23831839952583</v>
      </c>
      <c r="S753">
        <v>1011</v>
      </c>
      <c r="T753">
        <v>12145</v>
      </c>
      <c r="U753" t="s">
        <v>4738</v>
      </c>
      <c r="V753">
        <v>70.59</v>
      </c>
      <c r="W753" t="s">
        <v>6958</v>
      </c>
      <c r="X753" t="s">
        <v>9090</v>
      </c>
      <c r="Y753">
        <v>7175</v>
      </c>
      <c r="Z753">
        <v>195</v>
      </c>
      <c r="AA753">
        <v>210181</v>
      </c>
      <c r="AB753">
        <v>6.69</v>
      </c>
    </row>
    <row r="754" spans="1:28">
      <c r="A754" s="2">
        <f>HYPERLINK("https://finance.naver.com/item/coinfo.nhn?code=038950", "A038950")</f>
        <v>0</v>
      </c>
      <c r="B754">
        <f>HYPERLINK("http://comp.fnguide.com/SVO2/ASP/SVD_Consensus.asp?pGB=1&amp;gicode=A038950&amp;cID=&amp;MenuYn=Y&amp;ReportGB=&amp;NewMenuID=108&amp;stkGb=701", "파인디지털")</f>
        <v>0</v>
      </c>
      <c r="C754">
        <v>3</v>
      </c>
      <c r="D754">
        <v>5920</v>
      </c>
      <c r="E754">
        <v>0</v>
      </c>
      <c r="G754">
        <v>948</v>
      </c>
      <c r="H754">
        <v>6687</v>
      </c>
      <c r="I754">
        <v>8322</v>
      </c>
      <c r="J754">
        <v>83.98</v>
      </c>
      <c r="K754">
        <v>-12.95</v>
      </c>
      <c r="L754">
        <v>-40.57</v>
      </c>
      <c r="M754">
        <v>0.72</v>
      </c>
      <c r="N754" t="b">
        <v>0</v>
      </c>
      <c r="O754">
        <v>-12</v>
      </c>
      <c r="P754" t="s">
        <v>767</v>
      </c>
      <c r="Q754" t="s">
        <v>2276</v>
      </c>
      <c r="R754">
        <v>0</v>
      </c>
      <c r="S754">
        <v>604</v>
      </c>
      <c r="T754">
        <v>51037</v>
      </c>
      <c r="U754" t="s">
        <v>4739</v>
      </c>
      <c r="V754">
        <v>29.79</v>
      </c>
      <c r="W754" t="s">
        <v>6959</v>
      </c>
      <c r="X754" t="s">
        <v>9091</v>
      </c>
      <c r="Y754">
        <v>961</v>
      </c>
      <c r="Z754">
        <v>-2</v>
      </c>
      <c r="AA754">
        <v>2009812</v>
      </c>
      <c r="AB754">
        <v>1.26</v>
      </c>
    </row>
    <row r="755" spans="1:28">
      <c r="A755" s="2">
        <f>HYPERLINK("https://finance.naver.com/item/coinfo.nhn?code=003030", "A003030")</f>
        <v>0</v>
      </c>
      <c r="B755">
        <f>HYPERLINK("http://comp.fnguide.com/SVO2/ASP/SVD_Consensus.asp?pGB=1&amp;gicode=A003030&amp;cID=&amp;MenuYn=Y&amp;ReportGB=&amp;NewMenuID=108&amp;stkGb=701", "세아제강지주")</f>
        <v>0</v>
      </c>
      <c r="C755">
        <v>3</v>
      </c>
      <c r="D755">
        <v>47000</v>
      </c>
      <c r="G755">
        <v>300335</v>
      </c>
      <c r="H755">
        <v>263368</v>
      </c>
      <c r="I755">
        <v>252835</v>
      </c>
      <c r="J755">
        <v>-539.01</v>
      </c>
      <c r="K755">
        <v>-460.36</v>
      </c>
      <c r="L755">
        <v>-437.95</v>
      </c>
      <c r="M755">
        <v>10.02</v>
      </c>
      <c r="N755" t="b">
        <v>0</v>
      </c>
      <c r="O755">
        <v>-742</v>
      </c>
      <c r="P755" t="s">
        <v>768</v>
      </c>
      <c r="Q755" t="s">
        <v>2927</v>
      </c>
      <c r="R755">
        <v>61.30856042007284</v>
      </c>
      <c r="S755">
        <v>1947</v>
      </c>
      <c r="T755">
        <v>9754</v>
      </c>
      <c r="U755" t="s">
        <v>4740</v>
      </c>
      <c r="V755">
        <v>64.31999999999999</v>
      </c>
      <c r="W755" t="s">
        <v>6960</v>
      </c>
      <c r="X755" t="s">
        <v>9092</v>
      </c>
      <c r="Y755">
        <v>26439</v>
      </c>
      <c r="Z755">
        <v>631</v>
      </c>
      <c r="AA755">
        <v>101196</v>
      </c>
      <c r="AB755">
        <v>3.16</v>
      </c>
    </row>
    <row r="756" spans="1:28">
      <c r="A756" s="2">
        <f>HYPERLINK("https://finance.naver.com/item/coinfo.nhn?code=083450", "A083450")</f>
        <v>0</v>
      </c>
      <c r="B756">
        <f>HYPERLINK("http://comp.fnguide.com/SVO2/ASP/SVD_Consensus.asp?pGB=1&amp;gicode=A083450&amp;cID=&amp;MenuYn=Y&amp;ReportGB=&amp;NewMenuID=108&amp;stkGb=701", "GST")</f>
        <v>0</v>
      </c>
      <c r="C756">
        <v>2</v>
      </c>
      <c r="D756">
        <v>16450</v>
      </c>
      <c r="E756">
        <v>0.18</v>
      </c>
      <c r="F756">
        <v>5.32</v>
      </c>
      <c r="G756">
        <v>25577</v>
      </c>
      <c r="H756">
        <v>17040</v>
      </c>
      <c r="I756">
        <v>14608</v>
      </c>
      <c r="J756">
        <v>-55.48</v>
      </c>
      <c r="K756">
        <v>-3.59</v>
      </c>
      <c r="L756">
        <v>11.2</v>
      </c>
      <c r="M756">
        <v>17.93</v>
      </c>
      <c r="N756" t="b">
        <v>1</v>
      </c>
      <c r="O756">
        <v>1918</v>
      </c>
      <c r="P756" t="s">
        <v>769</v>
      </c>
      <c r="Q756" t="s">
        <v>2928</v>
      </c>
      <c r="R756">
        <v>29.84787235561015</v>
      </c>
      <c r="S756">
        <v>1533</v>
      </c>
      <c r="T756">
        <v>184380</v>
      </c>
      <c r="U756" t="s">
        <v>4741</v>
      </c>
      <c r="V756">
        <v>25.95</v>
      </c>
      <c r="W756" t="s">
        <v>6961</v>
      </c>
      <c r="X756" t="s">
        <v>9093</v>
      </c>
      <c r="Y756">
        <v>1682</v>
      </c>
      <c r="Z756">
        <v>219</v>
      </c>
      <c r="AA756">
        <v>583500</v>
      </c>
      <c r="AB756">
        <v>1.96</v>
      </c>
    </row>
    <row r="757" spans="1:28">
      <c r="A757" s="2">
        <f>HYPERLINK("https://finance.naver.com/item/coinfo.nhn?code=317330", "A317330")</f>
        <v>0</v>
      </c>
      <c r="B757">
        <f>HYPERLINK("http://comp.fnguide.com/SVO2/ASP/SVD_Consensus.asp?pGB=1&amp;gicode=A317330&amp;cID=&amp;MenuYn=Y&amp;ReportGB=&amp;NewMenuID=108&amp;stkGb=701", "덕산테코피아")</f>
        <v>0</v>
      </c>
      <c r="C757">
        <v>2</v>
      </c>
      <c r="D757">
        <v>15650</v>
      </c>
      <c r="E757">
        <v>1</v>
      </c>
      <c r="F757">
        <v>28.44</v>
      </c>
      <c r="G757">
        <v>28509</v>
      </c>
      <c r="H757">
        <v>16146</v>
      </c>
      <c r="I757">
        <v>12623</v>
      </c>
      <c r="J757">
        <v>-82.17</v>
      </c>
      <c r="K757">
        <v>-3.17</v>
      </c>
      <c r="L757">
        <v>19.34</v>
      </c>
      <c r="M757">
        <v>28.65</v>
      </c>
      <c r="N757" t="b">
        <v>1</v>
      </c>
      <c r="O757">
        <v>673</v>
      </c>
      <c r="P757" t="s">
        <v>770</v>
      </c>
      <c r="Q757" t="s">
        <v>2929</v>
      </c>
      <c r="R757">
        <v>28.48301500386188</v>
      </c>
      <c r="S757">
        <v>2876</v>
      </c>
      <c r="T757">
        <v>103165</v>
      </c>
      <c r="U757" t="s">
        <v>4742</v>
      </c>
      <c r="V757">
        <v>57.85</v>
      </c>
      <c r="W757" t="s">
        <v>6962</v>
      </c>
      <c r="X757" t="s">
        <v>9094</v>
      </c>
      <c r="Y757">
        <v>618</v>
      </c>
      <c r="Z757">
        <v>134</v>
      </c>
      <c r="AA757">
        <v>71450</v>
      </c>
    </row>
    <row r="758" spans="1:28">
      <c r="A758" s="2">
        <f>HYPERLINK("https://finance.naver.com/item/coinfo.nhn?code=002870", "A002870")</f>
        <v>0</v>
      </c>
      <c r="B758">
        <f>HYPERLINK("http://comp.fnguide.com/SVO2/ASP/SVD_Consensus.asp?pGB=1&amp;gicode=A002870&amp;cID=&amp;MenuYn=Y&amp;ReportGB=&amp;NewMenuID=108&amp;stkGb=701", "신풍제지")</f>
        <v>0</v>
      </c>
      <c r="C758">
        <v>2</v>
      </c>
      <c r="D758">
        <v>4165</v>
      </c>
      <c r="E758">
        <v>0.02</v>
      </c>
      <c r="F758">
        <v>2.66</v>
      </c>
      <c r="G758">
        <v>7061</v>
      </c>
      <c r="H758">
        <v>4321</v>
      </c>
      <c r="I758">
        <v>3541</v>
      </c>
      <c r="J758">
        <v>-69.52</v>
      </c>
      <c r="K758">
        <v>-3.75</v>
      </c>
      <c r="L758">
        <v>14.99</v>
      </c>
      <c r="M758">
        <v>22.5</v>
      </c>
      <c r="N758" t="b">
        <v>1</v>
      </c>
      <c r="O758">
        <v>562</v>
      </c>
      <c r="P758" t="s">
        <v>771</v>
      </c>
      <c r="Q758" t="s">
        <v>2930</v>
      </c>
      <c r="R758">
        <v>144.6868892434411</v>
      </c>
      <c r="S758">
        <v>1456</v>
      </c>
      <c r="T758">
        <v>63924405</v>
      </c>
      <c r="U758" t="s">
        <v>4743</v>
      </c>
      <c r="V758">
        <v>34.87</v>
      </c>
      <c r="W758" t="s">
        <v>6963</v>
      </c>
      <c r="X758" t="s">
        <v>9095</v>
      </c>
      <c r="Y758">
        <v>1569</v>
      </c>
      <c r="Z758">
        <v>114</v>
      </c>
      <c r="AA758">
        <v>7252320</v>
      </c>
      <c r="AB758">
        <v>4.01</v>
      </c>
    </row>
    <row r="759" spans="1:28">
      <c r="A759" s="2">
        <f>HYPERLINK("https://finance.naver.com/item/coinfo.nhn?code=043150", "A043150")</f>
        <v>0</v>
      </c>
      <c r="B759">
        <f>HYPERLINK("http://comp.fnguide.com/SVO2/ASP/SVD_Consensus.asp?pGB=1&amp;gicode=A043150&amp;cID=&amp;MenuYn=Y&amp;ReportGB=&amp;NewMenuID=108&amp;stkGb=701", "바텍")</f>
        <v>0</v>
      </c>
      <c r="C759">
        <v>2</v>
      </c>
      <c r="D759">
        <v>23450</v>
      </c>
      <c r="E759">
        <v>-1.16</v>
      </c>
      <c r="F759">
        <v>12.8</v>
      </c>
      <c r="G759">
        <v>40536</v>
      </c>
      <c r="H759">
        <v>26232</v>
      </c>
      <c r="I759">
        <v>22156</v>
      </c>
      <c r="J759">
        <v>-72.86</v>
      </c>
      <c r="K759">
        <v>-11.86</v>
      </c>
      <c r="L759">
        <v>5.52</v>
      </c>
      <c r="M759">
        <v>19.31</v>
      </c>
      <c r="N759" t="b">
        <v>1</v>
      </c>
      <c r="O759">
        <v>2281</v>
      </c>
      <c r="P759" t="s">
        <v>772</v>
      </c>
      <c r="Q759" t="s">
        <v>2931</v>
      </c>
      <c r="R759">
        <v>-11.03332079656073</v>
      </c>
      <c r="S759">
        <v>3483</v>
      </c>
      <c r="T759">
        <v>95385</v>
      </c>
      <c r="U759" t="s">
        <v>4744</v>
      </c>
      <c r="V759">
        <v>53.65</v>
      </c>
      <c r="W759" t="s">
        <v>6964</v>
      </c>
      <c r="X759" t="s">
        <v>9096</v>
      </c>
      <c r="Y759">
        <v>2717</v>
      </c>
      <c r="Z759">
        <v>429</v>
      </c>
      <c r="AB759">
        <v>0.34</v>
      </c>
    </row>
    <row r="760" spans="1:28">
      <c r="A760" s="2">
        <f>HYPERLINK("https://finance.naver.com/item/coinfo.nhn?code=297890", "A297890")</f>
        <v>0</v>
      </c>
      <c r="B760">
        <f>HYPERLINK("http://comp.fnguide.com/SVO2/ASP/SVD_Consensus.asp?pGB=1&amp;gicode=A297890&amp;cID=&amp;MenuYn=Y&amp;ReportGB=&amp;NewMenuID=108&amp;stkGb=701", "엘이티")</f>
        <v>0</v>
      </c>
      <c r="C760">
        <v>2</v>
      </c>
      <c r="D760">
        <v>15350</v>
      </c>
      <c r="E760">
        <v>0</v>
      </c>
      <c r="G760">
        <v>33665</v>
      </c>
      <c r="H760">
        <v>15999</v>
      </c>
      <c r="I760">
        <v>10965</v>
      </c>
      <c r="J760">
        <v>-119.32</v>
      </c>
      <c r="K760">
        <v>-4.23</v>
      </c>
      <c r="L760">
        <v>28.57</v>
      </c>
      <c r="M760">
        <v>62.96</v>
      </c>
      <c r="N760" t="b">
        <v>0</v>
      </c>
      <c r="O760">
        <v>1138</v>
      </c>
      <c r="P760" t="s">
        <v>773</v>
      </c>
      <c r="Q760" t="s">
        <v>2932</v>
      </c>
      <c r="R760">
        <v>0</v>
      </c>
      <c r="S760">
        <v>1091</v>
      </c>
      <c r="T760">
        <v>36587</v>
      </c>
      <c r="U760" t="s">
        <v>4745</v>
      </c>
      <c r="V760">
        <v>65.56</v>
      </c>
      <c r="W760" t="s">
        <v>6965</v>
      </c>
      <c r="X760" t="s">
        <v>968</v>
      </c>
      <c r="Y760">
        <v>469</v>
      </c>
      <c r="Z760">
        <v>109</v>
      </c>
    </row>
    <row r="761" spans="1:28">
      <c r="A761" s="2">
        <f>HYPERLINK("https://finance.naver.com/item/coinfo.nhn?code=013700", "A013700")</f>
        <v>0</v>
      </c>
      <c r="B761">
        <f>HYPERLINK("http://comp.fnguide.com/SVO2/ASP/SVD_Consensus.asp?pGB=1&amp;gicode=A013700&amp;cID=&amp;MenuYn=Y&amp;ReportGB=&amp;NewMenuID=108&amp;stkGb=701", "까뮤이앤씨")</f>
        <v>0</v>
      </c>
      <c r="C761">
        <v>2</v>
      </c>
      <c r="D761">
        <v>2030</v>
      </c>
      <c r="E761">
        <v>0.24</v>
      </c>
      <c r="F761">
        <v>4.25</v>
      </c>
      <c r="G761">
        <v>2784</v>
      </c>
      <c r="H761">
        <v>2073</v>
      </c>
      <c r="I761">
        <v>1870</v>
      </c>
      <c r="J761">
        <v>-37.15</v>
      </c>
      <c r="K761">
        <v>-2.1</v>
      </c>
      <c r="L761">
        <v>7.88</v>
      </c>
      <c r="M761">
        <v>13.87</v>
      </c>
      <c r="N761" t="b">
        <v>1</v>
      </c>
      <c r="O761">
        <v>299</v>
      </c>
      <c r="P761" t="s">
        <v>774</v>
      </c>
      <c r="Q761" t="s">
        <v>2933</v>
      </c>
      <c r="R761">
        <v>17.57614142113262</v>
      </c>
      <c r="S761">
        <v>917</v>
      </c>
      <c r="T761">
        <v>1349214</v>
      </c>
      <c r="U761" t="s">
        <v>4746</v>
      </c>
      <c r="V761">
        <v>37.01</v>
      </c>
      <c r="W761" t="s">
        <v>6966</v>
      </c>
      <c r="X761" t="s">
        <v>9097</v>
      </c>
      <c r="Y761">
        <v>2834</v>
      </c>
      <c r="Z761">
        <v>148</v>
      </c>
      <c r="AA761">
        <v>840000</v>
      </c>
      <c r="AB761">
        <v>2.36</v>
      </c>
    </row>
    <row r="762" spans="1:28">
      <c r="A762" s="2">
        <f>HYPERLINK("https://finance.naver.com/item/coinfo.nhn?code=267980", "A267980")</f>
        <v>0</v>
      </c>
      <c r="B762">
        <f>HYPERLINK("http://comp.fnguide.com/SVO2/ASP/SVD_Consensus.asp?pGB=1&amp;gicode=A267980&amp;cID=&amp;MenuYn=Y&amp;ReportGB=&amp;NewMenuID=108&amp;stkGb=701", "매일유업")</f>
        <v>0</v>
      </c>
      <c r="C762">
        <v>2</v>
      </c>
      <c r="D762">
        <v>69300</v>
      </c>
      <c r="E762">
        <v>0</v>
      </c>
      <c r="F762">
        <v>10.5</v>
      </c>
      <c r="G762">
        <v>97739</v>
      </c>
      <c r="H762">
        <v>70854</v>
      </c>
      <c r="I762">
        <v>63193</v>
      </c>
      <c r="J762">
        <v>-41.04</v>
      </c>
      <c r="K762">
        <v>-2.24</v>
      </c>
      <c r="L762">
        <v>8.81</v>
      </c>
      <c r="M762">
        <v>14.7</v>
      </c>
      <c r="N762" t="b">
        <v>1</v>
      </c>
      <c r="O762">
        <v>8202</v>
      </c>
      <c r="P762" t="s">
        <v>775</v>
      </c>
      <c r="Q762" t="s">
        <v>2934</v>
      </c>
      <c r="R762">
        <v>0</v>
      </c>
      <c r="S762">
        <v>5436</v>
      </c>
      <c r="T762">
        <v>23577</v>
      </c>
      <c r="U762" t="s">
        <v>4747</v>
      </c>
      <c r="V762">
        <v>56.27</v>
      </c>
      <c r="W762" t="s">
        <v>6967</v>
      </c>
      <c r="X762" t="s">
        <v>9098</v>
      </c>
      <c r="Y762">
        <v>13933</v>
      </c>
      <c r="Z762">
        <v>853</v>
      </c>
      <c r="AA762">
        <v>227402</v>
      </c>
      <c r="AB762">
        <v>0.93</v>
      </c>
    </row>
    <row r="763" spans="1:28">
      <c r="A763" s="2">
        <f>HYPERLINK("https://finance.naver.com/item/coinfo.nhn?code=225190", "A225190")</f>
        <v>0</v>
      </c>
      <c r="B763">
        <f>HYPERLINK("http://comp.fnguide.com/SVO2/ASP/SVD_Consensus.asp?pGB=1&amp;gicode=A225190&amp;cID=&amp;MenuYn=Y&amp;ReportGB=&amp;NewMenuID=108&amp;stkGb=701", "삼양옵틱스")</f>
        <v>0</v>
      </c>
      <c r="C763">
        <v>2</v>
      </c>
      <c r="D763">
        <v>9520</v>
      </c>
      <c r="E763">
        <v>-0.35</v>
      </c>
      <c r="F763">
        <v>9.470000000000001</v>
      </c>
      <c r="G763">
        <v>18666</v>
      </c>
      <c r="H763">
        <v>9797</v>
      </c>
      <c r="I763">
        <v>7270</v>
      </c>
      <c r="J763">
        <v>-96.06999999999999</v>
      </c>
      <c r="K763">
        <v>-2.91</v>
      </c>
      <c r="L763">
        <v>23.64</v>
      </c>
      <c r="M763">
        <v>38.1</v>
      </c>
      <c r="N763" t="b">
        <v>1</v>
      </c>
      <c r="O763">
        <v>1347</v>
      </c>
      <c r="P763" t="s">
        <v>776</v>
      </c>
      <c r="Q763" t="s">
        <v>2935</v>
      </c>
      <c r="R763">
        <v>-27.27551790531576</v>
      </c>
      <c r="S763">
        <v>961</v>
      </c>
      <c r="T763">
        <v>19861</v>
      </c>
      <c r="U763" t="s">
        <v>4748</v>
      </c>
      <c r="V763">
        <v>68.13</v>
      </c>
      <c r="W763" t="s">
        <v>6968</v>
      </c>
      <c r="X763" t="s">
        <v>9099</v>
      </c>
      <c r="Y763">
        <v>636</v>
      </c>
      <c r="Z763">
        <v>157</v>
      </c>
      <c r="AA763">
        <v>28580</v>
      </c>
      <c r="AB763">
        <v>7.84</v>
      </c>
    </row>
    <row r="764" spans="1:28">
      <c r="A764" s="2">
        <f>HYPERLINK("https://finance.naver.com/item/coinfo.nhn?code=267790", "A267790")</f>
        <v>0</v>
      </c>
      <c r="B764">
        <f>HYPERLINK("http://comp.fnguide.com/SVO2/ASP/SVD_Consensus.asp?pGB=1&amp;gicode=A267790&amp;cID=&amp;MenuYn=Y&amp;ReportGB=&amp;NewMenuID=108&amp;stkGb=701", "배럴")</f>
        <v>0</v>
      </c>
      <c r="C764">
        <v>2</v>
      </c>
      <c r="D764">
        <v>9200</v>
      </c>
      <c r="E764">
        <v>2.67</v>
      </c>
      <c r="F764">
        <v>13.7</v>
      </c>
      <c r="G764">
        <v>14712</v>
      </c>
      <c r="H764">
        <v>9362</v>
      </c>
      <c r="I764">
        <v>7838</v>
      </c>
      <c r="J764">
        <v>-59.92</v>
      </c>
      <c r="K764">
        <v>-1.76</v>
      </c>
      <c r="L764">
        <v>14.81</v>
      </c>
      <c r="M764">
        <v>20.19</v>
      </c>
      <c r="N764" t="b">
        <v>1</v>
      </c>
      <c r="O764">
        <v>883</v>
      </c>
      <c r="P764" t="s">
        <v>777</v>
      </c>
      <c r="Q764" t="s">
        <v>2936</v>
      </c>
      <c r="R764">
        <v>5.127953644217675</v>
      </c>
      <c r="S764">
        <v>725</v>
      </c>
      <c r="T764">
        <v>94881</v>
      </c>
      <c r="U764" t="s">
        <v>4749</v>
      </c>
      <c r="V764">
        <v>47.73</v>
      </c>
      <c r="W764" t="s">
        <v>6969</v>
      </c>
      <c r="X764" t="s">
        <v>9100</v>
      </c>
      <c r="Y764">
        <v>599</v>
      </c>
      <c r="Z764">
        <v>85</v>
      </c>
    </row>
    <row r="765" spans="1:28">
      <c r="A765" s="2">
        <f>HYPERLINK("https://finance.naver.com/item/coinfo.nhn?code=010280", "A010280")</f>
        <v>0</v>
      </c>
      <c r="B765">
        <f>HYPERLINK("http://comp.fnguide.com/SVO2/ASP/SVD_Consensus.asp?pGB=1&amp;gicode=A010280&amp;cID=&amp;MenuYn=Y&amp;ReportGB=&amp;NewMenuID=108&amp;stkGb=701", "쌍용정보통신")</f>
        <v>0</v>
      </c>
      <c r="C765">
        <v>2</v>
      </c>
      <c r="D765">
        <v>1490</v>
      </c>
      <c r="E765">
        <v>-0.61</v>
      </c>
      <c r="F765">
        <v>56.74</v>
      </c>
      <c r="G765">
        <v>2497</v>
      </c>
      <c r="H765">
        <v>1654</v>
      </c>
      <c r="I765">
        <v>1414</v>
      </c>
      <c r="J765">
        <v>-67.56999999999999</v>
      </c>
      <c r="K765">
        <v>-11.04</v>
      </c>
      <c r="L765">
        <v>5.07</v>
      </c>
      <c r="M765">
        <v>18.18</v>
      </c>
      <c r="N765" t="b">
        <v>0</v>
      </c>
      <c r="O765">
        <v>32</v>
      </c>
      <c r="P765" t="s">
        <v>778</v>
      </c>
      <c r="Q765" t="s">
        <v>2937</v>
      </c>
      <c r="R765">
        <v>-92.30000000000001</v>
      </c>
      <c r="S765">
        <v>603</v>
      </c>
      <c r="T765">
        <v>655353</v>
      </c>
      <c r="U765" t="s">
        <v>4750</v>
      </c>
      <c r="V765">
        <v>40</v>
      </c>
      <c r="W765" t="s">
        <v>6970</v>
      </c>
      <c r="X765" t="s">
        <v>9101</v>
      </c>
      <c r="Y765">
        <v>1083</v>
      </c>
      <c r="Z765">
        <v>5</v>
      </c>
    </row>
    <row r="766" spans="1:28">
      <c r="A766" s="2">
        <f>HYPERLINK("https://finance.naver.com/item/coinfo.nhn?code=950180", "A950180")</f>
        <v>0</v>
      </c>
      <c r="B766">
        <f>HYPERLINK("http://comp.fnguide.com/SVO2/ASP/SVD_Consensus.asp?pGB=1&amp;gicode=A950180&amp;cID=&amp;MenuYn=Y&amp;ReportGB=&amp;NewMenuID=108&amp;stkGb=701", "SNK")</f>
        <v>0</v>
      </c>
      <c r="C766">
        <v>2</v>
      </c>
      <c r="D766">
        <v>20000</v>
      </c>
      <c r="E766">
        <v>0</v>
      </c>
      <c r="F766">
        <v>12.95</v>
      </c>
      <c r="G766">
        <v>28650</v>
      </c>
      <c r="H766">
        <v>21154</v>
      </c>
      <c r="I766">
        <v>19018</v>
      </c>
      <c r="J766">
        <v>-43.25</v>
      </c>
      <c r="K766">
        <v>-5.77</v>
      </c>
      <c r="L766">
        <v>4.91</v>
      </c>
      <c r="M766">
        <v>14.12</v>
      </c>
      <c r="N766" t="b">
        <v>0</v>
      </c>
      <c r="O766">
        <v>1035</v>
      </c>
      <c r="P766" t="s">
        <v>779</v>
      </c>
      <c r="Q766" t="s">
        <v>2938</v>
      </c>
      <c r="R766">
        <v>0</v>
      </c>
      <c r="S766">
        <v>4212</v>
      </c>
      <c r="T766">
        <v>2447464</v>
      </c>
      <c r="U766" t="s">
        <v>4751</v>
      </c>
      <c r="V766">
        <v>33.16</v>
      </c>
      <c r="W766" t="s">
        <v>6971</v>
      </c>
      <c r="X766" t="s">
        <v>9102</v>
      </c>
      <c r="Y766">
        <v>860</v>
      </c>
      <c r="Z766">
        <v>239</v>
      </c>
      <c r="AA766">
        <v>528203</v>
      </c>
    </row>
    <row r="767" spans="1:28">
      <c r="A767" s="2">
        <f>HYPERLINK("https://finance.naver.com/item/coinfo.nhn?code=097950", "A097950")</f>
        <v>0</v>
      </c>
      <c r="B767">
        <f>HYPERLINK("http://comp.fnguide.com/SVO2/ASP/SVD_Consensus.asp?pGB=1&amp;gicode=A097950&amp;cID=&amp;MenuYn=Y&amp;ReportGB=&amp;NewMenuID=108&amp;stkGb=701", "CJ제일제당")</f>
        <v>0</v>
      </c>
      <c r="C767">
        <v>2</v>
      </c>
      <c r="D767">
        <v>357000</v>
      </c>
      <c r="E767">
        <v>0.51</v>
      </c>
      <c r="F767">
        <v>27.12</v>
      </c>
      <c r="G767">
        <v>439681</v>
      </c>
      <c r="H767">
        <v>375045</v>
      </c>
      <c r="I767">
        <v>356627</v>
      </c>
      <c r="J767">
        <v>-23.16</v>
      </c>
      <c r="K767">
        <v>-5.05</v>
      </c>
      <c r="L767">
        <v>0.1</v>
      </c>
      <c r="M767">
        <v>10.55</v>
      </c>
      <c r="N767" t="b">
        <v>0</v>
      </c>
      <c r="O767">
        <v>9312</v>
      </c>
      <c r="P767" t="s">
        <v>780</v>
      </c>
      <c r="Q767" t="s">
        <v>2939</v>
      </c>
      <c r="R767">
        <v>53.05732384717095</v>
      </c>
      <c r="S767">
        <v>53743</v>
      </c>
      <c r="T767">
        <v>99302</v>
      </c>
      <c r="U767" t="s">
        <v>4752</v>
      </c>
      <c r="V767">
        <v>45.51</v>
      </c>
      <c r="W767" t="s">
        <v>6972</v>
      </c>
      <c r="X767" t="s">
        <v>9103</v>
      </c>
      <c r="Y767">
        <v>223525</v>
      </c>
      <c r="Z767">
        <v>8969</v>
      </c>
      <c r="AA767">
        <v>357302</v>
      </c>
      <c r="AB767">
        <v>1.39</v>
      </c>
    </row>
    <row r="768" spans="1:28">
      <c r="A768" s="2">
        <f>HYPERLINK("https://finance.naver.com/item/coinfo.nhn?code=198080", "A198080")</f>
        <v>0</v>
      </c>
      <c r="B768">
        <f>HYPERLINK("http://comp.fnguide.com/SVO2/ASP/SVD_Consensus.asp?pGB=1&amp;gicode=A198080&amp;cID=&amp;MenuYn=Y&amp;ReportGB=&amp;NewMenuID=108&amp;stkGb=701", "엔피디")</f>
        <v>0</v>
      </c>
      <c r="C768">
        <v>2</v>
      </c>
      <c r="D768">
        <v>4285</v>
      </c>
      <c r="G768">
        <v>10568</v>
      </c>
      <c r="H768">
        <v>5563</v>
      </c>
      <c r="I768">
        <v>4137</v>
      </c>
      <c r="J768">
        <v>-146.64</v>
      </c>
      <c r="K768">
        <v>-29.83</v>
      </c>
      <c r="L768">
        <v>3.45</v>
      </c>
      <c r="M768">
        <v>37.63</v>
      </c>
      <c r="N768" t="b">
        <v>0</v>
      </c>
      <c r="O768">
        <v>1167</v>
      </c>
      <c r="P768" t="s">
        <v>781</v>
      </c>
      <c r="Q768" t="s">
        <v>2940</v>
      </c>
      <c r="R768">
        <v>-20.56309353045354</v>
      </c>
      <c r="S768">
        <v>923</v>
      </c>
      <c r="T768">
        <v>373758</v>
      </c>
      <c r="U768" t="s">
        <v>4753</v>
      </c>
      <c r="V768">
        <v>64.08</v>
      </c>
      <c r="W768" t="s">
        <v>6973</v>
      </c>
      <c r="X768" t="s">
        <v>968</v>
      </c>
      <c r="Y768">
        <v>3087</v>
      </c>
      <c r="Z768">
        <v>262</v>
      </c>
    </row>
    <row r="769" spans="1:28">
      <c r="A769" s="2">
        <f>HYPERLINK("https://finance.naver.com/item/coinfo.nhn?code=035510", "A035510")</f>
        <v>0</v>
      </c>
      <c r="B769">
        <f>HYPERLINK("http://comp.fnguide.com/SVO2/ASP/SVD_Consensus.asp?pGB=1&amp;gicode=A035510&amp;cID=&amp;MenuYn=Y&amp;ReportGB=&amp;NewMenuID=108&amp;stkGb=701", "신세계 I&amp;C")</f>
        <v>0</v>
      </c>
      <c r="C769">
        <v>2</v>
      </c>
      <c r="D769">
        <v>126000</v>
      </c>
      <c r="E769">
        <v>0.23</v>
      </c>
      <c r="F769">
        <v>17.35</v>
      </c>
      <c r="G769">
        <v>137330</v>
      </c>
      <c r="H769">
        <v>126637</v>
      </c>
      <c r="I769">
        <v>123590</v>
      </c>
      <c r="J769">
        <v>-8.99</v>
      </c>
      <c r="K769">
        <v>-0.51</v>
      </c>
      <c r="L769">
        <v>1.91</v>
      </c>
      <c r="M769">
        <v>9.16</v>
      </c>
      <c r="N769" t="b">
        <v>1</v>
      </c>
      <c r="O769">
        <v>6196</v>
      </c>
      <c r="P769" t="s">
        <v>782</v>
      </c>
      <c r="Q769" t="s">
        <v>2941</v>
      </c>
      <c r="R769">
        <v>75.15412659789197</v>
      </c>
      <c r="S769">
        <v>2167</v>
      </c>
      <c r="T769">
        <v>7214</v>
      </c>
      <c r="U769" t="s">
        <v>4754</v>
      </c>
      <c r="V769">
        <v>35.87</v>
      </c>
      <c r="W769" t="s">
        <v>6974</v>
      </c>
      <c r="X769" t="s">
        <v>9104</v>
      </c>
      <c r="Y769">
        <v>4560</v>
      </c>
      <c r="Z769">
        <v>185</v>
      </c>
      <c r="AA769">
        <v>53509</v>
      </c>
      <c r="AB769">
        <v>1.86</v>
      </c>
    </row>
    <row r="770" spans="1:28">
      <c r="A770" s="2">
        <f>HYPERLINK("https://finance.naver.com/item/coinfo.nhn?code=122990", "A122990")</f>
        <v>0</v>
      </c>
      <c r="B770">
        <f>HYPERLINK("http://comp.fnguide.com/SVO2/ASP/SVD_Consensus.asp?pGB=1&amp;gicode=A122990&amp;cID=&amp;MenuYn=Y&amp;ReportGB=&amp;NewMenuID=108&amp;stkGb=701", "와이솔")</f>
        <v>0</v>
      </c>
      <c r="C770">
        <v>2</v>
      </c>
      <c r="D770">
        <v>16000</v>
      </c>
      <c r="E770">
        <v>-0.48</v>
      </c>
      <c r="F770">
        <v>12.55</v>
      </c>
      <c r="G770">
        <v>23706</v>
      </c>
      <c r="H770">
        <v>16869</v>
      </c>
      <c r="I770">
        <v>14920</v>
      </c>
      <c r="J770">
        <v>-48.17</v>
      </c>
      <c r="K770">
        <v>-5.43</v>
      </c>
      <c r="L770">
        <v>6.75</v>
      </c>
      <c r="M770">
        <v>15.33</v>
      </c>
      <c r="N770" t="b">
        <v>1</v>
      </c>
      <c r="O770">
        <v>1203</v>
      </c>
      <c r="P770" t="s">
        <v>783</v>
      </c>
      <c r="Q770" t="s">
        <v>2942</v>
      </c>
      <c r="R770">
        <v>-26.36353843601558</v>
      </c>
      <c r="S770">
        <v>4508</v>
      </c>
      <c r="T770">
        <v>273412</v>
      </c>
      <c r="U770" t="s">
        <v>4755</v>
      </c>
      <c r="V770">
        <v>36.09</v>
      </c>
      <c r="W770" t="s">
        <v>6975</v>
      </c>
      <c r="X770" t="s">
        <v>9105</v>
      </c>
      <c r="Y770">
        <v>3703</v>
      </c>
      <c r="Z770">
        <v>400</v>
      </c>
      <c r="AA770">
        <v>515408</v>
      </c>
      <c r="AB770">
        <v>1.66</v>
      </c>
    </row>
    <row r="771" spans="1:28">
      <c r="A771" s="2">
        <f>HYPERLINK("https://finance.naver.com/item/coinfo.nhn?code=022220", "A022220")</f>
        <v>0</v>
      </c>
      <c r="B771">
        <f>HYPERLINK("http://comp.fnguide.com/SVO2/ASP/SVD_Consensus.asp?pGB=1&amp;gicode=A022220&amp;cID=&amp;MenuYn=Y&amp;ReportGB=&amp;NewMenuID=108&amp;stkGb=701", "정산애강")</f>
        <v>0</v>
      </c>
      <c r="C771">
        <v>2</v>
      </c>
      <c r="D771">
        <v>1890</v>
      </c>
      <c r="E771">
        <v>-0.79</v>
      </c>
      <c r="F771">
        <v>9.460000000000001</v>
      </c>
      <c r="G771">
        <v>2778</v>
      </c>
      <c r="H771">
        <v>2072</v>
      </c>
      <c r="I771">
        <v>1870</v>
      </c>
      <c r="J771">
        <v>-46.99</v>
      </c>
      <c r="K771">
        <v>-9.619999999999999</v>
      </c>
      <c r="L771">
        <v>1.03</v>
      </c>
      <c r="M771">
        <v>13.82</v>
      </c>
      <c r="N771" t="b">
        <v>1</v>
      </c>
      <c r="O771">
        <v>222</v>
      </c>
      <c r="P771" t="s">
        <v>784</v>
      </c>
      <c r="Q771" t="s">
        <v>2943</v>
      </c>
      <c r="R771">
        <v>-12.03511073084639</v>
      </c>
      <c r="S771">
        <v>979</v>
      </c>
      <c r="T771">
        <v>227267</v>
      </c>
      <c r="U771" t="s">
        <v>4756</v>
      </c>
      <c r="V771">
        <v>47.53</v>
      </c>
      <c r="W771" t="s">
        <v>6976</v>
      </c>
      <c r="X771" t="s">
        <v>9106</v>
      </c>
      <c r="Y771">
        <v>714</v>
      </c>
      <c r="Z771">
        <v>102</v>
      </c>
    </row>
    <row r="772" spans="1:28">
      <c r="A772" s="2">
        <f>HYPERLINK("https://finance.naver.com/item/coinfo.nhn?code=094850", "A094850")</f>
        <v>0</v>
      </c>
      <c r="B772">
        <f>HYPERLINK("http://comp.fnguide.com/SVO2/ASP/SVD_Consensus.asp?pGB=1&amp;gicode=A094850&amp;cID=&amp;MenuYn=Y&amp;ReportGB=&amp;NewMenuID=108&amp;stkGb=701", "참좋은여행")</f>
        <v>0</v>
      </c>
      <c r="C772">
        <v>2</v>
      </c>
      <c r="D772">
        <v>11100</v>
      </c>
      <c r="E772">
        <v>0.1</v>
      </c>
      <c r="F772">
        <v>4.1</v>
      </c>
      <c r="G772">
        <v>18471</v>
      </c>
      <c r="H772">
        <v>11774</v>
      </c>
      <c r="I772">
        <v>9866</v>
      </c>
      <c r="J772">
        <v>-66.40000000000001</v>
      </c>
      <c r="K772">
        <v>-6.08</v>
      </c>
      <c r="L772">
        <v>11.11</v>
      </c>
      <c r="M772">
        <v>20.1</v>
      </c>
      <c r="N772" t="b">
        <v>0</v>
      </c>
      <c r="O772">
        <v>1635</v>
      </c>
      <c r="P772" t="s">
        <v>785</v>
      </c>
      <c r="Q772" t="s">
        <v>2944</v>
      </c>
      <c r="R772">
        <v>41.14081226336899</v>
      </c>
      <c r="S772">
        <v>1554</v>
      </c>
      <c r="T772">
        <v>2195402</v>
      </c>
      <c r="U772" t="s">
        <v>4757</v>
      </c>
      <c r="V772">
        <v>42.17</v>
      </c>
      <c r="W772" t="s">
        <v>6977</v>
      </c>
      <c r="X772" t="s">
        <v>9107</v>
      </c>
      <c r="Y772">
        <v>621</v>
      </c>
      <c r="Z772">
        <v>71</v>
      </c>
      <c r="AA772">
        <v>800000</v>
      </c>
      <c r="AB772">
        <v>2.54</v>
      </c>
    </row>
    <row r="773" spans="1:28">
      <c r="A773" s="2">
        <f>HYPERLINK("https://finance.naver.com/item/coinfo.nhn?code=010640", "A010640")</f>
        <v>0</v>
      </c>
      <c r="B773">
        <f>HYPERLINK("http://comp.fnguide.com/SVO2/ASP/SVD_Consensus.asp?pGB=1&amp;gicode=A010640&amp;cID=&amp;MenuYn=Y&amp;ReportGB=&amp;NewMenuID=108&amp;stkGb=701", "진양폴리")</f>
        <v>0</v>
      </c>
      <c r="C773">
        <v>2</v>
      </c>
      <c r="D773">
        <v>3515</v>
      </c>
      <c r="E773">
        <v>-0.17</v>
      </c>
      <c r="F773">
        <v>5.16</v>
      </c>
      <c r="G773">
        <v>6266</v>
      </c>
      <c r="H773">
        <v>4099</v>
      </c>
      <c r="I773">
        <v>3482</v>
      </c>
      <c r="J773">
        <v>-78.27</v>
      </c>
      <c r="K773">
        <v>-16.63</v>
      </c>
      <c r="L773">
        <v>0.9399999999999999</v>
      </c>
      <c r="M773">
        <v>18.77</v>
      </c>
      <c r="N773" t="b">
        <v>1</v>
      </c>
      <c r="O773">
        <v>755</v>
      </c>
      <c r="P773" t="s">
        <v>786</v>
      </c>
      <c r="Q773" t="s">
        <v>2945</v>
      </c>
      <c r="R773">
        <v>-30.48750885169499</v>
      </c>
      <c r="S773">
        <v>352</v>
      </c>
      <c r="T773">
        <v>117441</v>
      </c>
      <c r="U773" t="s">
        <v>4758</v>
      </c>
      <c r="V773">
        <v>50.5</v>
      </c>
      <c r="W773" t="s">
        <v>6978</v>
      </c>
      <c r="X773" t="s">
        <v>9108</v>
      </c>
      <c r="Y773">
        <v>351</v>
      </c>
      <c r="Z773">
        <v>31</v>
      </c>
      <c r="AB773">
        <v>2.56</v>
      </c>
    </row>
    <row r="774" spans="1:28">
      <c r="A774" s="2">
        <f>HYPERLINK("https://finance.naver.com/item/coinfo.nhn?code=298000", "A298000")</f>
        <v>0</v>
      </c>
      <c r="B774">
        <f>HYPERLINK("http://comp.fnguide.com/SVO2/ASP/SVD_Consensus.asp?pGB=1&amp;gicode=A298000&amp;cID=&amp;MenuYn=Y&amp;ReportGB=&amp;NewMenuID=108&amp;stkGb=701", "효성화학")</f>
        <v>0</v>
      </c>
      <c r="C774">
        <v>2</v>
      </c>
      <c r="D774">
        <v>155000</v>
      </c>
      <c r="E774">
        <v>0</v>
      </c>
      <c r="F774">
        <v>5.25</v>
      </c>
      <c r="G774">
        <v>191829</v>
      </c>
      <c r="H774">
        <v>162543</v>
      </c>
      <c r="I774">
        <v>154198</v>
      </c>
      <c r="J774">
        <v>-23.76</v>
      </c>
      <c r="K774">
        <v>-4.87</v>
      </c>
      <c r="L774">
        <v>0.52</v>
      </c>
      <c r="M774">
        <v>10.69</v>
      </c>
      <c r="N774" t="b">
        <v>1</v>
      </c>
      <c r="O774">
        <v>27530</v>
      </c>
      <c r="P774" t="s">
        <v>787</v>
      </c>
      <c r="Q774" t="s">
        <v>2946</v>
      </c>
      <c r="R774">
        <v>0</v>
      </c>
      <c r="S774">
        <v>4945</v>
      </c>
      <c r="T774">
        <v>84780</v>
      </c>
      <c r="U774" t="s">
        <v>4759</v>
      </c>
      <c r="V774">
        <v>43.76</v>
      </c>
      <c r="W774" t="s">
        <v>6979</v>
      </c>
      <c r="X774" t="s">
        <v>9109</v>
      </c>
      <c r="Y774">
        <v>18125</v>
      </c>
      <c r="Z774">
        <v>1539</v>
      </c>
      <c r="AA774">
        <v>12331</v>
      </c>
      <c r="AB774">
        <v>3.46</v>
      </c>
    </row>
    <row r="775" spans="1:28">
      <c r="A775" s="2">
        <f>HYPERLINK("https://finance.naver.com/item/coinfo.nhn?code=001880", "A001880")</f>
        <v>0</v>
      </c>
      <c r="B775">
        <f>HYPERLINK("http://comp.fnguide.com/SVO2/ASP/SVD_Consensus.asp?pGB=1&amp;gicode=A001880&amp;cID=&amp;MenuYn=Y&amp;ReportGB=&amp;NewMenuID=108&amp;stkGb=701", "대림건설")</f>
        <v>0</v>
      </c>
      <c r="C775">
        <v>2</v>
      </c>
      <c r="D775">
        <v>30800</v>
      </c>
      <c r="E775">
        <v>0.13</v>
      </c>
      <c r="F775">
        <v>3.17</v>
      </c>
      <c r="G775">
        <v>55896</v>
      </c>
      <c r="H775">
        <v>34785</v>
      </c>
      <c r="I775">
        <v>28769</v>
      </c>
      <c r="J775">
        <v>-81.48</v>
      </c>
      <c r="K775">
        <v>-12.94</v>
      </c>
      <c r="L775">
        <v>6.59</v>
      </c>
      <c r="M775">
        <v>21.46</v>
      </c>
      <c r="N775" t="b">
        <v>1</v>
      </c>
      <c r="O775">
        <v>6265</v>
      </c>
      <c r="P775" t="s">
        <v>788</v>
      </c>
      <c r="Q775" t="s">
        <v>2947</v>
      </c>
      <c r="R775">
        <v>23.81705294524519</v>
      </c>
      <c r="S775">
        <v>6792</v>
      </c>
      <c r="T775">
        <v>286380</v>
      </c>
      <c r="U775" t="s">
        <v>4760</v>
      </c>
      <c r="V775">
        <v>66.36</v>
      </c>
      <c r="W775" t="s">
        <v>6980</v>
      </c>
      <c r="X775" t="s">
        <v>9110</v>
      </c>
      <c r="Y775">
        <v>12799</v>
      </c>
      <c r="Z775">
        <v>1430</v>
      </c>
      <c r="AA775">
        <v>371</v>
      </c>
      <c r="AB775">
        <v>2.02</v>
      </c>
    </row>
    <row r="776" spans="1:28">
      <c r="A776" s="2">
        <f>HYPERLINK("https://finance.naver.com/item/coinfo.nhn?code=011780", "A011780")</f>
        <v>0</v>
      </c>
      <c r="B776">
        <f>HYPERLINK("http://comp.fnguide.com/SVO2/ASP/SVD_Consensus.asp?pGB=1&amp;gicode=A011780&amp;cID=&amp;MenuYn=Y&amp;ReportGB=&amp;NewMenuID=108&amp;stkGb=701", "금호석유")</f>
        <v>0</v>
      </c>
      <c r="C776">
        <v>2</v>
      </c>
      <c r="D776">
        <v>137500</v>
      </c>
      <c r="E776">
        <v>0.32</v>
      </c>
      <c r="F776">
        <v>8.81</v>
      </c>
      <c r="G776">
        <v>209399</v>
      </c>
      <c r="H776">
        <v>147076</v>
      </c>
      <c r="I776">
        <v>129317</v>
      </c>
      <c r="J776">
        <v>-52.29</v>
      </c>
      <c r="K776">
        <v>-6.96</v>
      </c>
      <c r="L776">
        <v>5.95</v>
      </c>
      <c r="M776">
        <v>15.79</v>
      </c>
      <c r="N776" t="b">
        <v>1</v>
      </c>
      <c r="O776">
        <v>8796</v>
      </c>
      <c r="P776" t="s">
        <v>789</v>
      </c>
      <c r="Q776" t="s">
        <v>2948</v>
      </c>
      <c r="R776">
        <v>27.32574247000183</v>
      </c>
      <c r="S776">
        <v>41893</v>
      </c>
      <c r="T776">
        <v>242857</v>
      </c>
      <c r="U776" t="s">
        <v>4761</v>
      </c>
      <c r="V776">
        <v>24.87</v>
      </c>
      <c r="W776" t="s">
        <v>6981</v>
      </c>
      <c r="X776" t="s">
        <v>9111</v>
      </c>
      <c r="Y776">
        <v>49779</v>
      </c>
      <c r="Z776">
        <v>3678</v>
      </c>
      <c r="AA776">
        <v>5592528</v>
      </c>
      <c r="AB776">
        <v>1.94</v>
      </c>
    </row>
    <row r="777" spans="1:28">
      <c r="A777" s="2">
        <f>HYPERLINK("https://finance.naver.com/item/coinfo.nhn?code=131030", "A131030")</f>
        <v>0</v>
      </c>
      <c r="B777">
        <f>HYPERLINK("http://comp.fnguide.com/SVO2/ASP/SVD_Consensus.asp?pGB=1&amp;gicode=A131030&amp;cID=&amp;MenuYn=Y&amp;ReportGB=&amp;NewMenuID=108&amp;stkGb=701", "디에이치피코리아")</f>
        <v>0</v>
      </c>
      <c r="C777">
        <v>2</v>
      </c>
      <c r="D777">
        <v>7980</v>
      </c>
      <c r="E777">
        <v>1.16</v>
      </c>
      <c r="F777">
        <v>8.77</v>
      </c>
      <c r="G777">
        <v>11402</v>
      </c>
      <c r="H777">
        <v>8585</v>
      </c>
      <c r="I777">
        <v>7783</v>
      </c>
      <c r="J777">
        <v>-42.88</v>
      </c>
      <c r="K777">
        <v>-7.58</v>
      </c>
      <c r="L777">
        <v>2.47</v>
      </c>
      <c r="M777">
        <v>13.54</v>
      </c>
      <c r="N777" t="b">
        <v>1</v>
      </c>
      <c r="O777">
        <v>881</v>
      </c>
      <c r="P777" t="s">
        <v>790</v>
      </c>
      <c r="Q777" t="s">
        <v>2949</v>
      </c>
      <c r="R777">
        <v>7.559914216324382</v>
      </c>
      <c r="S777">
        <v>1322</v>
      </c>
      <c r="T777">
        <v>240582</v>
      </c>
      <c r="U777" t="s">
        <v>4762</v>
      </c>
      <c r="V777">
        <v>38.38</v>
      </c>
      <c r="W777" t="s">
        <v>6982</v>
      </c>
      <c r="X777" t="s">
        <v>9112</v>
      </c>
      <c r="Y777">
        <v>604</v>
      </c>
      <c r="Z777">
        <v>152</v>
      </c>
      <c r="AA777">
        <v>523536</v>
      </c>
      <c r="AB777">
        <v>1.29</v>
      </c>
    </row>
    <row r="778" spans="1:28">
      <c r="A778" s="2">
        <f>HYPERLINK("https://finance.naver.com/item/coinfo.nhn?code=051600", "A051600")</f>
        <v>0</v>
      </c>
      <c r="B778">
        <f>HYPERLINK("http://comp.fnguide.com/SVO2/ASP/SVD_Consensus.asp?pGB=1&amp;gicode=A051600&amp;cID=&amp;MenuYn=Y&amp;ReportGB=&amp;NewMenuID=108&amp;stkGb=701", "한전KPS")</f>
        <v>0</v>
      </c>
      <c r="C778">
        <v>2</v>
      </c>
      <c r="D778">
        <v>29300</v>
      </c>
      <c r="E778">
        <v>-1.24</v>
      </c>
      <c r="F778">
        <v>11.49</v>
      </c>
      <c r="G778">
        <v>47015</v>
      </c>
      <c r="H778">
        <v>32965</v>
      </c>
      <c r="I778">
        <v>28962</v>
      </c>
      <c r="J778">
        <v>-60.46</v>
      </c>
      <c r="K778">
        <v>-12.51</v>
      </c>
      <c r="L778">
        <v>1.15</v>
      </c>
      <c r="M778">
        <v>15.86</v>
      </c>
      <c r="N778" t="b">
        <v>0</v>
      </c>
      <c r="O778">
        <v>3407</v>
      </c>
      <c r="P778" t="s">
        <v>791</v>
      </c>
      <c r="Q778" t="s">
        <v>2950</v>
      </c>
      <c r="R778">
        <v>-9.274503094994824</v>
      </c>
      <c r="S778">
        <v>13185</v>
      </c>
      <c r="T778">
        <v>217714</v>
      </c>
      <c r="U778" t="s">
        <v>4763</v>
      </c>
      <c r="V778">
        <v>51</v>
      </c>
      <c r="W778" t="s">
        <v>6983</v>
      </c>
      <c r="X778" t="s">
        <v>9113</v>
      </c>
      <c r="Y778">
        <v>12469</v>
      </c>
      <c r="Z778">
        <v>1939</v>
      </c>
      <c r="AB778">
        <v>4.9</v>
      </c>
    </row>
    <row r="779" spans="1:28">
      <c r="A779" s="2">
        <f>HYPERLINK("https://finance.naver.com/item/coinfo.nhn?code=134380", "A134380")</f>
        <v>0</v>
      </c>
      <c r="B779">
        <f>HYPERLINK("http://comp.fnguide.com/SVO2/ASP/SVD_Consensus.asp?pGB=1&amp;gicode=A134380&amp;cID=&amp;MenuYn=Y&amp;ReportGB=&amp;NewMenuID=108&amp;stkGb=701", "미원화학")</f>
        <v>0</v>
      </c>
      <c r="C779">
        <v>2</v>
      </c>
      <c r="D779">
        <v>60800</v>
      </c>
      <c r="E779">
        <v>1.01</v>
      </c>
      <c r="F779">
        <v>7.23</v>
      </c>
      <c r="G779">
        <v>78955</v>
      </c>
      <c r="H779">
        <v>61743</v>
      </c>
      <c r="I779">
        <v>56838</v>
      </c>
      <c r="J779">
        <v>-29.86</v>
      </c>
      <c r="K779">
        <v>-1.55</v>
      </c>
      <c r="L779">
        <v>6.52</v>
      </c>
      <c r="M779">
        <v>12.51</v>
      </c>
      <c r="N779" t="b">
        <v>1</v>
      </c>
      <c r="O779">
        <v>6167</v>
      </c>
      <c r="P779" t="s">
        <v>792</v>
      </c>
      <c r="Q779" t="s">
        <v>2951</v>
      </c>
      <c r="R779">
        <v>7.136352270952129</v>
      </c>
      <c r="S779">
        <v>1337</v>
      </c>
      <c r="T779">
        <v>2305</v>
      </c>
      <c r="U779" t="s">
        <v>4764</v>
      </c>
      <c r="V779">
        <v>54.91</v>
      </c>
      <c r="W779" t="s">
        <v>6984</v>
      </c>
      <c r="X779" t="s">
        <v>9114</v>
      </c>
      <c r="Y779">
        <v>1547</v>
      </c>
      <c r="Z779">
        <v>155</v>
      </c>
      <c r="AA779">
        <v>169768</v>
      </c>
      <c r="AB779">
        <v>2.24</v>
      </c>
    </row>
    <row r="780" spans="1:28">
      <c r="A780" s="2">
        <f>HYPERLINK("https://finance.naver.com/item/coinfo.nhn?code=000660", "A000660")</f>
        <v>0</v>
      </c>
      <c r="B780">
        <f>HYPERLINK("http://comp.fnguide.com/SVO2/ASP/SVD_Consensus.asp?pGB=1&amp;gicode=A000660&amp;cID=&amp;MenuYn=Y&amp;ReportGB=&amp;NewMenuID=108&amp;stkGb=701", "SK하이닉스")</f>
        <v>0</v>
      </c>
      <c r="C780">
        <v>2</v>
      </c>
      <c r="D780">
        <v>115000</v>
      </c>
      <c r="E780">
        <v>-4.19</v>
      </c>
      <c r="F780">
        <v>34.03</v>
      </c>
      <c r="G780">
        <v>185521</v>
      </c>
      <c r="H780">
        <v>116155</v>
      </c>
      <c r="I780">
        <v>96389</v>
      </c>
      <c r="J780">
        <v>-61.32</v>
      </c>
      <c r="K780">
        <v>-1</v>
      </c>
      <c r="L780">
        <v>16.18</v>
      </c>
      <c r="M780">
        <v>21.1</v>
      </c>
      <c r="N780" t="b">
        <v>0</v>
      </c>
      <c r="O780">
        <v>2766</v>
      </c>
      <c r="P780" t="s">
        <v>793</v>
      </c>
      <c r="Q780" t="s">
        <v>2952</v>
      </c>
      <c r="R780">
        <v>-8.118973713105538</v>
      </c>
      <c r="S780">
        <v>837203</v>
      </c>
      <c r="T780">
        <v>8258814</v>
      </c>
      <c r="U780" t="s">
        <v>4765</v>
      </c>
      <c r="V780">
        <v>20.07</v>
      </c>
      <c r="W780" t="s">
        <v>6985</v>
      </c>
      <c r="X780" t="s">
        <v>9115</v>
      </c>
      <c r="Y780">
        <v>269907</v>
      </c>
      <c r="Z780">
        <v>27127</v>
      </c>
      <c r="AA780">
        <v>44000570</v>
      </c>
      <c r="AB780">
        <v>1.06</v>
      </c>
    </row>
    <row r="781" spans="1:28">
      <c r="A781" s="2">
        <f>HYPERLINK("https://finance.naver.com/item/coinfo.nhn?code=033780", "A033780")</f>
        <v>0</v>
      </c>
      <c r="B781">
        <f>HYPERLINK("http://comp.fnguide.com/SVO2/ASP/SVD_Consensus.asp?pGB=1&amp;gicode=A033780&amp;cID=&amp;MenuYn=Y&amp;ReportGB=&amp;NewMenuID=108&amp;stkGb=701", "KT&amp;G")</f>
        <v>0</v>
      </c>
      <c r="C781">
        <v>2</v>
      </c>
      <c r="D781">
        <v>84600</v>
      </c>
      <c r="E781">
        <v>-10.75</v>
      </c>
      <c r="F781">
        <v>12.42</v>
      </c>
      <c r="G781">
        <v>110277</v>
      </c>
      <c r="H781">
        <v>85908</v>
      </c>
      <c r="I781">
        <v>78964</v>
      </c>
      <c r="J781">
        <v>-30.35</v>
      </c>
      <c r="K781">
        <v>-1.55</v>
      </c>
      <c r="L781">
        <v>6.66</v>
      </c>
      <c r="M781">
        <v>12.61</v>
      </c>
      <c r="N781" t="b">
        <v>1</v>
      </c>
      <c r="O781">
        <v>7549</v>
      </c>
      <c r="P781" t="s">
        <v>794</v>
      </c>
      <c r="Q781" t="s">
        <v>2953</v>
      </c>
      <c r="R781">
        <v>-1.155639276967924</v>
      </c>
      <c r="S781">
        <v>116149</v>
      </c>
      <c r="T781">
        <v>592127</v>
      </c>
      <c r="U781" t="s">
        <v>4766</v>
      </c>
      <c r="V781">
        <v>12.24</v>
      </c>
      <c r="W781" t="s">
        <v>6986</v>
      </c>
      <c r="X781" t="s">
        <v>9116</v>
      </c>
      <c r="Y781">
        <v>49632</v>
      </c>
      <c r="Z781">
        <v>13820</v>
      </c>
      <c r="AA781">
        <v>13212574</v>
      </c>
      <c r="AB781">
        <v>4.69</v>
      </c>
    </row>
    <row r="782" spans="1:28">
      <c r="A782" s="2">
        <f>HYPERLINK("https://finance.naver.com/item/coinfo.nhn?code=053610", "A053610")</f>
        <v>0</v>
      </c>
      <c r="B782">
        <f>HYPERLINK("http://comp.fnguide.com/SVO2/ASP/SVD_Consensus.asp?pGB=1&amp;gicode=A053610&amp;cID=&amp;MenuYn=Y&amp;ReportGB=&amp;NewMenuID=108&amp;stkGb=701", "프로텍")</f>
        <v>0</v>
      </c>
      <c r="C782">
        <v>2</v>
      </c>
      <c r="D782">
        <v>28600</v>
      </c>
      <c r="E782">
        <v>-0.38</v>
      </c>
      <c r="F782">
        <v>4.6</v>
      </c>
      <c r="G782">
        <v>50002</v>
      </c>
      <c r="H782">
        <v>32679</v>
      </c>
      <c r="I782">
        <v>27743</v>
      </c>
      <c r="J782">
        <v>-74.83</v>
      </c>
      <c r="K782">
        <v>-14.26</v>
      </c>
      <c r="L782">
        <v>3</v>
      </c>
      <c r="M782">
        <v>18.82</v>
      </c>
      <c r="N782" t="b">
        <v>1</v>
      </c>
      <c r="O782">
        <v>3502</v>
      </c>
      <c r="P782" t="s">
        <v>795</v>
      </c>
      <c r="Q782" t="s">
        <v>2954</v>
      </c>
      <c r="R782">
        <v>-12.02662717311853</v>
      </c>
      <c r="S782">
        <v>3146</v>
      </c>
      <c r="T782">
        <v>101772</v>
      </c>
      <c r="U782" t="s">
        <v>4767</v>
      </c>
      <c r="V782">
        <v>31.25</v>
      </c>
      <c r="W782" t="s">
        <v>6987</v>
      </c>
      <c r="X782" t="s">
        <v>9117</v>
      </c>
      <c r="Y782">
        <v>1798</v>
      </c>
      <c r="Z782">
        <v>460</v>
      </c>
      <c r="AA782">
        <v>1232000</v>
      </c>
      <c r="AB782">
        <v>2.48</v>
      </c>
    </row>
    <row r="783" spans="1:28">
      <c r="A783" s="2">
        <f>HYPERLINK("https://finance.naver.com/item/coinfo.nhn?code=010130", "A010130")</f>
        <v>0</v>
      </c>
      <c r="B783">
        <f>HYPERLINK("http://comp.fnguide.com/SVO2/ASP/SVD_Consensus.asp?pGB=1&amp;gicode=A010130&amp;cID=&amp;MenuYn=Y&amp;ReportGB=&amp;NewMenuID=108&amp;stkGb=701", "고려아연")</f>
        <v>0</v>
      </c>
      <c r="C783">
        <v>2</v>
      </c>
      <c r="D783">
        <v>398000</v>
      </c>
      <c r="E783">
        <v>10.91</v>
      </c>
      <c r="F783">
        <v>12.67</v>
      </c>
      <c r="G783">
        <v>457026</v>
      </c>
      <c r="H783">
        <v>410718</v>
      </c>
      <c r="I783">
        <v>397523</v>
      </c>
      <c r="J783">
        <v>-14.83</v>
      </c>
      <c r="K783">
        <v>-3.2</v>
      </c>
      <c r="L783">
        <v>0.12</v>
      </c>
      <c r="M783">
        <v>9.59</v>
      </c>
      <c r="N783" t="b">
        <v>1</v>
      </c>
      <c r="O783">
        <v>33541</v>
      </c>
      <c r="P783" t="s">
        <v>796</v>
      </c>
      <c r="Q783" t="s">
        <v>2955</v>
      </c>
      <c r="R783">
        <v>1.161603683807644</v>
      </c>
      <c r="S783">
        <v>75103</v>
      </c>
      <c r="T783">
        <v>71559</v>
      </c>
      <c r="U783" t="s">
        <v>4768</v>
      </c>
      <c r="V783">
        <v>48.37</v>
      </c>
      <c r="W783" t="s">
        <v>6988</v>
      </c>
      <c r="X783" t="s">
        <v>9118</v>
      </c>
      <c r="Y783">
        <v>66948</v>
      </c>
      <c r="Z783">
        <v>8053</v>
      </c>
      <c r="AA783">
        <v>1195760</v>
      </c>
      <c r="AB783">
        <v>3.29</v>
      </c>
    </row>
    <row r="784" spans="1:28">
      <c r="A784" s="2">
        <f>HYPERLINK("https://finance.naver.com/item/coinfo.nhn?code=039440", "A039440")</f>
        <v>0</v>
      </c>
      <c r="B784">
        <f>HYPERLINK("http://comp.fnguide.com/SVO2/ASP/SVD_Consensus.asp?pGB=1&amp;gicode=A039440&amp;cID=&amp;MenuYn=Y&amp;ReportGB=&amp;NewMenuID=108&amp;stkGb=701", "에스티아이")</f>
        <v>0</v>
      </c>
      <c r="C784">
        <v>2</v>
      </c>
      <c r="D784">
        <v>15950</v>
      </c>
      <c r="E784">
        <v>6.54</v>
      </c>
      <c r="F784">
        <v>14.05</v>
      </c>
      <c r="G784">
        <v>25611</v>
      </c>
      <c r="H784">
        <v>16904</v>
      </c>
      <c r="I784">
        <v>14423</v>
      </c>
      <c r="J784">
        <v>-60.57</v>
      </c>
      <c r="K784">
        <v>-5.98</v>
      </c>
      <c r="L784">
        <v>9.57</v>
      </c>
      <c r="M784">
        <v>18.36</v>
      </c>
      <c r="N784" t="b">
        <v>1</v>
      </c>
      <c r="O784">
        <v>1466</v>
      </c>
      <c r="P784" t="s">
        <v>797</v>
      </c>
      <c r="Q784" t="s">
        <v>2956</v>
      </c>
      <c r="R784">
        <v>2.148192850049946</v>
      </c>
      <c r="S784">
        <v>2525</v>
      </c>
      <c r="T784">
        <v>138650</v>
      </c>
      <c r="U784" t="s">
        <v>4769</v>
      </c>
      <c r="V784">
        <v>27.06</v>
      </c>
      <c r="W784" t="s">
        <v>6989</v>
      </c>
      <c r="X784" t="s">
        <v>9119</v>
      </c>
      <c r="Y784">
        <v>3189</v>
      </c>
      <c r="Z784">
        <v>271</v>
      </c>
      <c r="AA784">
        <v>811400</v>
      </c>
      <c r="AB784">
        <v>1.21</v>
      </c>
    </row>
    <row r="785" spans="1:28">
      <c r="A785" s="2">
        <f>HYPERLINK("https://finance.naver.com/item/coinfo.nhn?code=192440", "A192440")</f>
        <v>0</v>
      </c>
      <c r="B785">
        <f>HYPERLINK("http://comp.fnguide.com/SVO2/ASP/SVD_Consensus.asp?pGB=1&amp;gicode=A192440&amp;cID=&amp;MenuYn=Y&amp;ReportGB=&amp;NewMenuID=108&amp;stkGb=701", "슈피겐코리아")</f>
        <v>0</v>
      </c>
      <c r="C785">
        <v>2</v>
      </c>
      <c r="D785">
        <v>65500</v>
      </c>
      <c r="E785">
        <v>0.59</v>
      </c>
      <c r="F785">
        <v>7.86</v>
      </c>
      <c r="G785">
        <v>100653</v>
      </c>
      <c r="H785">
        <v>69522</v>
      </c>
      <c r="I785">
        <v>60652</v>
      </c>
      <c r="J785">
        <v>-53.67</v>
      </c>
      <c r="K785">
        <v>-6.14</v>
      </c>
      <c r="L785">
        <v>7.4</v>
      </c>
      <c r="M785">
        <v>16.43</v>
      </c>
      <c r="N785" t="b">
        <v>1</v>
      </c>
      <c r="O785">
        <v>6489</v>
      </c>
      <c r="P785" t="s">
        <v>798</v>
      </c>
      <c r="Q785" t="s">
        <v>2957</v>
      </c>
      <c r="R785">
        <v>13.34113799168193</v>
      </c>
      <c r="S785">
        <v>4072</v>
      </c>
      <c r="T785">
        <v>72602</v>
      </c>
      <c r="U785" t="s">
        <v>4770</v>
      </c>
      <c r="V785">
        <v>40.99</v>
      </c>
      <c r="W785" t="s">
        <v>6990</v>
      </c>
      <c r="X785" t="s">
        <v>9120</v>
      </c>
      <c r="Y785">
        <v>3086</v>
      </c>
      <c r="Z785">
        <v>441</v>
      </c>
      <c r="AA785">
        <v>186531</v>
      </c>
      <c r="AB785">
        <v>2.55</v>
      </c>
    </row>
    <row r="786" spans="1:28">
      <c r="A786" s="2">
        <f>HYPERLINK("https://finance.naver.com/item/coinfo.nhn?code=130660", "A130660")</f>
        <v>0</v>
      </c>
      <c r="B786">
        <f>HYPERLINK("http://comp.fnguide.com/SVO2/ASP/SVD_Consensus.asp?pGB=1&amp;gicode=A130660&amp;cID=&amp;MenuYn=Y&amp;ReportGB=&amp;NewMenuID=108&amp;stkGb=701", "한전산업")</f>
        <v>0</v>
      </c>
      <c r="C786">
        <v>2</v>
      </c>
      <c r="D786">
        <v>4000</v>
      </c>
      <c r="E786">
        <v>0.54</v>
      </c>
      <c r="F786">
        <v>6.6</v>
      </c>
      <c r="G786">
        <v>6484</v>
      </c>
      <c r="H786">
        <v>4170</v>
      </c>
      <c r="I786">
        <v>3510</v>
      </c>
      <c r="J786">
        <v>-62.1</v>
      </c>
      <c r="K786">
        <v>-4.24</v>
      </c>
      <c r="L786">
        <v>12.25</v>
      </c>
      <c r="M786">
        <v>19.64</v>
      </c>
      <c r="N786" t="b">
        <v>1</v>
      </c>
      <c r="O786">
        <v>531</v>
      </c>
      <c r="P786" t="s">
        <v>799</v>
      </c>
      <c r="Q786" t="s">
        <v>2958</v>
      </c>
      <c r="R786">
        <v>12.21690551950545</v>
      </c>
      <c r="S786">
        <v>1304</v>
      </c>
      <c r="T786">
        <v>66694</v>
      </c>
      <c r="U786" t="s">
        <v>4771</v>
      </c>
      <c r="V786">
        <v>31</v>
      </c>
      <c r="W786" t="s">
        <v>6991</v>
      </c>
      <c r="X786" t="s">
        <v>9121</v>
      </c>
      <c r="Y786">
        <v>3136</v>
      </c>
      <c r="Z786">
        <v>215</v>
      </c>
      <c r="AB786">
        <v>6.49</v>
      </c>
    </row>
    <row r="787" spans="1:28">
      <c r="A787" s="2">
        <f>HYPERLINK("https://finance.naver.com/item/coinfo.nhn?code=248170", "A248170")</f>
        <v>0</v>
      </c>
      <c r="B787">
        <f>HYPERLINK("http://comp.fnguide.com/SVO2/ASP/SVD_Consensus.asp?pGB=1&amp;gicode=A248170&amp;cID=&amp;MenuYn=Y&amp;ReportGB=&amp;NewMenuID=108&amp;stkGb=701", "샘표식품")</f>
        <v>0</v>
      </c>
      <c r="C787">
        <v>2</v>
      </c>
      <c r="D787">
        <v>44550</v>
      </c>
      <c r="E787">
        <v>0</v>
      </c>
      <c r="F787">
        <v>5.79</v>
      </c>
      <c r="G787">
        <v>68573</v>
      </c>
      <c r="H787">
        <v>48029</v>
      </c>
      <c r="I787">
        <v>42175</v>
      </c>
      <c r="J787">
        <v>-53.92</v>
      </c>
      <c r="K787">
        <v>-7.81</v>
      </c>
      <c r="L787">
        <v>5.33</v>
      </c>
      <c r="M787">
        <v>15.9</v>
      </c>
      <c r="N787" t="b">
        <v>1</v>
      </c>
      <c r="O787">
        <v>5870</v>
      </c>
      <c r="P787" t="s">
        <v>800</v>
      </c>
      <c r="Q787" t="s">
        <v>2959</v>
      </c>
      <c r="R787">
        <v>0</v>
      </c>
      <c r="S787">
        <v>2035</v>
      </c>
      <c r="T787">
        <v>15929</v>
      </c>
      <c r="U787" t="s">
        <v>4772</v>
      </c>
      <c r="V787">
        <v>60.02</v>
      </c>
      <c r="W787" t="s">
        <v>6992</v>
      </c>
      <c r="X787" t="s">
        <v>9122</v>
      </c>
      <c r="Y787">
        <v>2808</v>
      </c>
      <c r="Z787">
        <v>310</v>
      </c>
      <c r="AA787">
        <v>1690</v>
      </c>
      <c r="AB787">
        <v>0.59</v>
      </c>
    </row>
    <row r="788" spans="1:28">
      <c r="A788" s="2">
        <f>HYPERLINK("https://finance.naver.com/item/coinfo.nhn?code=056190", "A056190")</f>
        <v>0</v>
      </c>
      <c r="B788">
        <f>HYPERLINK("http://comp.fnguide.com/SVO2/ASP/SVD_Consensus.asp?pGB=1&amp;gicode=A056190&amp;cID=&amp;MenuYn=Y&amp;ReportGB=&amp;NewMenuID=108&amp;stkGb=701", "에스에프에이")</f>
        <v>0</v>
      </c>
      <c r="C788">
        <v>2</v>
      </c>
      <c r="D788">
        <v>37500</v>
      </c>
      <c r="E788">
        <v>0.4</v>
      </c>
      <c r="F788">
        <v>12.58</v>
      </c>
      <c r="G788">
        <v>59850</v>
      </c>
      <c r="H788">
        <v>38537</v>
      </c>
      <c r="I788">
        <v>32465</v>
      </c>
      <c r="J788">
        <v>-59.6</v>
      </c>
      <c r="K788">
        <v>-2.77</v>
      </c>
      <c r="L788">
        <v>13.43</v>
      </c>
      <c r="M788">
        <v>19.57</v>
      </c>
      <c r="N788" t="b">
        <v>1</v>
      </c>
      <c r="O788">
        <v>3676</v>
      </c>
      <c r="P788" t="s">
        <v>801</v>
      </c>
      <c r="Q788" t="s">
        <v>2960</v>
      </c>
      <c r="R788">
        <v>31.257807057462</v>
      </c>
      <c r="S788">
        <v>13466</v>
      </c>
      <c r="T788">
        <v>169014</v>
      </c>
      <c r="U788" t="s">
        <v>4773</v>
      </c>
      <c r="V788">
        <v>54.02</v>
      </c>
      <c r="W788" t="s">
        <v>6993</v>
      </c>
      <c r="X788" t="s">
        <v>9123</v>
      </c>
      <c r="Y788">
        <v>15777</v>
      </c>
      <c r="Z788">
        <v>2142</v>
      </c>
      <c r="AB788">
        <v>2.28</v>
      </c>
    </row>
    <row r="789" spans="1:28">
      <c r="A789" s="2">
        <f>HYPERLINK("https://finance.naver.com/item/coinfo.nhn?code=272110", "A272110")</f>
        <v>0</v>
      </c>
      <c r="B789">
        <f>HYPERLINK("http://comp.fnguide.com/SVO2/ASP/SVD_Consensus.asp?pGB=1&amp;gicode=A272110&amp;cID=&amp;MenuYn=Y&amp;ReportGB=&amp;NewMenuID=108&amp;stkGb=701", "케이엔제이")</f>
        <v>0</v>
      </c>
      <c r="C789">
        <v>1</v>
      </c>
      <c r="D789">
        <v>11500</v>
      </c>
      <c r="E789">
        <v>0.19</v>
      </c>
      <c r="F789">
        <v>13.81</v>
      </c>
      <c r="G789">
        <v>16013</v>
      </c>
      <c r="H789">
        <v>8929</v>
      </c>
      <c r="I789">
        <v>6911</v>
      </c>
      <c r="J789">
        <v>-39.24</v>
      </c>
      <c r="K789">
        <v>22.35</v>
      </c>
      <c r="L789">
        <v>39.9</v>
      </c>
      <c r="M789">
        <v>30.22</v>
      </c>
      <c r="N789" t="b">
        <v>1</v>
      </c>
      <c r="O789">
        <v>854</v>
      </c>
      <c r="P789" t="s">
        <v>802</v>
      </c>
      <c r="Q789" t="s">
        <v>2961</v>
      </c>
      <c r="R789">
        <v>72.48773869466778</v>
      </c>
      <c r="S789">
        <v>730</v>
      </c>
      <c r="T789">
        <v>37697</v>
      </c>
      <c r="U789" t="s">
        <v>4774</v>
      </c>
      <c r="V789">
        <v>28.77</v>
      </c>
      <c r="W789" t="s">
        <v>6994</v>
      </c>
      <c r="X789" t="s">
        <v>9124</v>
      </c>
      <c r="Y789">
        <v>563</v>
      </c>
      <c r="Z789">
        <v>38</v>
      </c>
    </row>
    <row r="790" spans="1:28">
      <c r="A790" s="2">
        <f>HYPERLINK("https://finance.naver.com/item/coinfo.nhn?code=950190", "A950190")</f>
        <v>0</v>
      </c>
      <c r="B790">
        <f>HYPERLINK("http://comp.fnguide.com/SVO2/ASP/SVD_Consensus.asp?pGB=1&amp;gicode=A950190&amp;cID=&amp;MenuYn=Y&amp;ReportGB=&amp;NewMenuID=108&amp;stkGb=701", "미투젠")</f>
        <v>0</v>
      </c>
      <c r="C790">
        <v>1</v>
      </c>
      <c r="D790">
        <v>26700</v>
      </c>
      <c r="E790">
        <v>0</v>
      </c>
      <c r="G790">
        <v>44198</v>
      </c>
      <c r="H790">
        <v>19612</v>
      </c>
      <c r="I790">
        <v>12606</v>
      </c>
      <c r="J790">
        <v>-65.54000000000001</v>
      </c>
      <c r="K790">
        <v>26.55</v>
      </c>
      <c r="L790">
        <v>52.79</v>
      </c>
      <c r="M790">
        <v>107.45</v>
      </c>
      <c r="N790" t="b">
        <v>0</v>
      </c>
      <c r="O790">
        <v>3163</v>
      </c>
      <c r="P790" t="s">
        <v>803</v>
      </c>
      <c r="Q790" t="s">
        <v>2962</v>
      </c>
      <c r="R790">
        <v>0</v>
      </c>
      <c r="S790">
        <v>3442</v>
      </c>
      <c r="T790">
        <v>42575</v>
      </c>
      <c r="U790" t="s">
        <v>4775</v>
      </c>
      <c r="V790">
        <v>43.98</v>
      </c>
      <c r="W790" t="s">
        <v>6995</v>
      </c>
      <c r="X790" t="s">
        <v>968</v>
      </c>
      <c r="Y790">
        <v>969</v>
      </c>
      <c r="Z790">
        <v>434</v>
      </c>
    </row>
    <row r="791" spans="1:28">
      <c r="A791" s="2">
        <f>HYPERLINK("https://finance.naver.com/item/coinfo.nhn?code=204270", "A204270")</f>
        <v>0</v>
      </c>
      <c r="B791">
        <f>HYPERLINK("http://comp.fnguide.com/SVO2/ASP/SVD_Consensus.asp?pGB=1&amp;gicode=A204270&amp;cID=&amp;MenuYn=Y&amp;ReportGB=&amp;NewMenuID=108&amp;stkGb=701", "제이앤티씨")</f>
        <v>0</v>
      </c>
      <c r="C791">
        <v>1</v>
      </c>
      <c r="D791">
        <v>11350</v>
      </c>
      <c r="G791">
        <v>14818</v>
      </c>
      <c r="H791">
        <v>8992</v>
      </c>
      <c r="I791">
        <v>7332</v>
      </c>
      <c r="J791">
        <v>-30.56</v>
      </c>
      <c r="K791">
        <v>20.77</v>
      </c>
      <c r="L791">
        <v>35.4</v>
      </c>
      <c r="M791">
        <v>23.06</v>
      </c>
      <c r="N791" t="b">
        <v>0</v>
      </c>
      <c r="O791">
        <v>1691</v>
      </c>
      <c r="P791" t="s">
        <v>804</v>
      </c>
      <c r="Q791" t="s">
        <v>2963</v>
      </c>
      <c r="R791">
        <v>59.08990565349621</v>
      </c>
      <c r="S791">
        <v>6566</v>
      </c>
      <c r="T791">
        <v>181463</v>
      </c>
      <c r="U791" t="s">
        <v>4776</v>
      </c>
      <c r="V791">
        <v>71.38</v>
      </c>
      <c r="W791" t="s">
        <v>6996</v>
      </c>
      <c r="X791" t="s">
        <v>9125</v>
      </c>
      <c r="Y791">
        <v>3862</v>
      </c>
      <c r="Z791">
        <v>955</v>
      </c>
      <c r="AA791">
        <v>779845</v>
      </c>
    </row>
    <row r="792" spans="1:28">
      <c r="A792" s="2">
        <f>HYPERLINK("https://finance.naver.com/item/coinfo.nhn?code=092730", "A092730")</f>
        <v>0</v>
      </c>
      <c r="B792">
        <f>HYPERLINK("http://comp.fnguide.com/SVO2/ASP/SVD_Consensus.asp?pGB=1&amp;gicode=A092730&amp;cID=&amp;MenuYn=Y&amp;ReportGB=&amp;NewMenuID=108&amp;stkGb=701", "네오팜")</f>
        <v>0</v>
      </c>
      <c r="C792">
        <v>1</v>
      </c>
      <c r="D792">
        <v>28200</v>
      </c>
      <c r="E792">
        <v>0.53</v>
      </c>
      <c r="F792">
        <v>19.83</v>
      </c>
      <c r="G792">
        <v>43622</v>
      </c>
      <c r="H792">
        <v>25533</v>
      </c>
      <c r="I792">
        <v>20378</v>
      </c>
      <c r="J792">
        <v>-54.69</v>
      </c>
      <c r="K792">
        <v>9.460000000000001</v>
      </c>
      <c r="L792">
        <v>27.74</v>
      </c>
      <c r="M792">
        <v>25.72</v>
      </c>
      <c r="N792" t="b">
        <v>1</v>
      </c>
      <c r="O792">
        <v>2438</v>
      </c>
      <c r="P792" t="s">
        <v>805</v>
      </c>
      <c r="Q792" t="s">
        <v>2964</v>
      </c>
      <c r="R792">
        <v>37.25660839511444</v>
      </c>
      <c r="S792">
        <v>2314</v>
      </c>
      <c r="T792">
        <v>63295</v>
      </c>
      <c r="U792" t="s">
        <v>4777</v>
      </c>
      <c r="V792">
        <v>38.94</v>
      </c>
      <c r="W792" t="s">
        <v>6997</v>
      </c>
      <c r="X792" t="s">
        <v>9126</v>
      </c>
      <c r="Y792">
        <v>832</v>
      </c>
      <c r="Z792">
        <v>230</v>
      </c>
      <c r="AA792">
        <v>386733</v>
      </c>
      <c r="AB792">
        <v>1.55</v>
      </c>
    </row>
    <row r="793" spans="1:28">
      <c r="A793" s="2">
        <f>HYPERLINK("https://finance.naver.com/item/coinfo.nhn?code=100120", "A100120")</f>
        <v>0</v>
      </c>
      <c r="B793">
        <f>HYPERLINK("http://comp.fnguide.com/SVO2/ASP/SVD_Consensus.asp?pGB=1&amp;gicode=A100120&amp;cID=&amp;MenuYn=Y&amp;ReportGB=&amp;NewMenuID=108&amp;stkGb=701", "뷰웍스")</f>
        <v>0</v>
      </c>
      <c r="C793">
        <v>1</v>
      </c>
      <c r="D793">
        <v>29900</v>
      </c>
      <c r="E793">
        <v>1.37</v>
      </c>
      <c r="F793">
        <v>13.01</v>
      </c>
      <c r="G793">
        <v>34224</v>
      </c>
      <c r="H793">
        <v>23924</v>
      </c>
      <c r="I793">
        <v>20990</v>
      </c>
      <c r="J793">
        <v>-14.46</v>
      </c>
      <c r="K793">
        <v>19.99</v>
      </c>
      <c r="L793">
        <v>29.8</v>
      </c>
      <c r="M793">
        <v>15.97</v>
      </c>
      <c r="N793" t="b">
        <v>1</v>
      </c>
      <c r="O793">
        <v>2421</v>
      </c>
      <c r="P793" t="s">
        <v>806</v>
      </c>
      <c r="Q793" t="s">
        <v>2965</v>
      </c>
      <c r="R793">
        <v>9.480161000716269</v>
      </c>
      <c r="S793">
        <v>2991</v>
      </c>
      <c r="T793">
        <v>161762</v>
      </c>
      <c r="U793" t="s">
        <v>4778</v>
      </c>
      <c r="V793">
        <v>28.46</v>
      </c>
      <c r="W793" t="s">
        <v>6998</v>
      </c>
      <c r="X793" t="s">
        <v>9127</v>
      </c>
      <c r="Y793">
        <v>1360</v>
      </c>
      <c r="Z793">
        <v>264</v>
      </c>
      <c r="AA793">
        <v>553176</v>
      </c>
      <c r="AB793">
        <v>1.27</v>
      </c>
    </row>
    <row r="794" spans="1:28">
      <c r="A794" s="2">
        <f>HYPERLINK("https://finance.naver.com/item/coinfo.nhn?code=236200", "A236200")</f>
        <v>0</v>
      </c>
      <c r="B794">
        <f>HYPERLINK("http://comp.fnguide.com/SVO2/ASP/SVD_Consensus.asp?pGB=1&amp;gicode=A236200&amp;cID=&amp;MenuYn=Y&amp;ReportGB=&amp;NewMenuID=108&amp;stkGb=701", "슈프리마")</f>
        <v>0</v>
      </c>
      <c r="C794">
        <v>1</v>
      </c>
      <c r="D794">
        <v>30000</v>
      </c>
      <c r="E794">
        <v>0</v>
      </c>
      <c r="F794">
        <v>9.289999999999999</v>
      </c>
      <c r="G794">
        <v>38059</v>
      </c>
      <c r="H794">
        <v>26647</v>
      </c>
      <c r="I794">
        <v>23395</v>
      </c>
      <c r="J794">
        <v>-26.86</v>
      </c>
      <c r="K794">
        <v>11.18</v>
      </c>
      <c r="L794">
        <v>22.02</v>
      </c>
      <c r="M794">
        <v>15.91</v>
      </c>
      <c r="N794" t="b">
        <v>1</v>
      </c>
      <c r="O794">
        <v>3643</v>
      </c>
      <c r="P794" t="s">
        <v>807</v>
      </c>
      <c r="Q794" t="s">
        <v>2966</v>
      </c>
      <c r="R794">
        <v>0</v>
      </c>
      <c r="S794">
        <v>2158</v>
      </c>
      <c r="T794">
        <v>66979</v>
      </c>
      <c r="U794" t="s">
        <v>4779</v>
      </c>
      <c r="V794">
        <v>30.38</v>
      </c>
      <c r="W794" t="s">
        <v>6999</v>
      </c>
      <c r="X794" t="s">
        <v>9128</v>
      </c>
      <c r="Y794">
        <v>721</v>
      </c>
      <c r="Z794">
        <v>246</v>
      </c>
      <c r="AA794">
        <v>38881</v>
      </c>
    </row>
    <row r="795" spans="1:28">
      <c r="A795" s="2">
        <f>HYPERLINK("https://finance.naver.com/item/coinfo.nhn?code=192080", "A192080")</f>
        <v>0</v>
      </c>
      <c r="B795">
        <f>HYPERLINK("http://comp.fnguide.com/SVO2/ASP/SVD_Consensus.asp?pGB=1&amp;gicode=A192080&amp;cID=&amp;MenuYn=Y&amp;ReportGB=&amp;NewMenuID=108&amp;stkGb=701", "더블유게임즈")</f>
        <v>0</v>
      </c>
      <c r="C795">
        <v>1</v>
      </c>
      <c r="D795">
        <v>58000</v>
      </c>
      <c r="E795">
        <v>0.46</v>
      </c>
      <c r="F795">
        <v>8.25</v>
      </c>
      <c r="G795">
        <v>82812</v>
      </c>
      <c r="H795">
        <v>55963</v>
      </c>
      <c r="I795">
        <v>48312</v>
      </c>
      <c r="J795">
        <v>-42.78</v>
      </c>
      <c r="K795">
        <v>3.51</v>
      </c>
      <c r="L795">
        <v>16.7</v>
      </c>
      <c r="M795">
        <v>17.31</v>
      </c>
      <c r="N795" t="b">
        <v>1</v>
      </c>
      <c r="O795">
        <v>6040</v>
      </c>
      <c r="P795" t="s">
        <v>808</v>
      </c>
      <c r="Q795" t="s">
        <v>2967</v>
      </c>
      <c r="R795">
        <v>17.98894483945883</v>
      </c>
      <c r="S795">
        <v>10657</v>
      </c>
      <c r="T795">
        <v>167445</v>
      </c>
      <c r="U795" t="s">
        <v>4780</v>
      </c>
      <c r="V795">
        <v>43.73</v>
      </c>
      <c r="W795" t="s">
        <v>7000</v>
      </c>
      <c r="X795" t="s">
        <v>9129</v>
      </c>
      <c r="Y795">
        <v>5138</v>
      </c>
      <c r="Z795">
        <v>1546</v>
      </c>
      <c r="AA795">
        <v>1398976</v>
      </c>
      <c r="AB795">
        <v>0.7</v>
      </c>
    </row>
    <row r="796" spans="1:28">
      <c r="A796" s="2">
        <f>HYPERLINK("https://finance.naver.com/item/coinfo.nhn?code=290120", "A290120")</f>
        <v>0</v>
      </c>
      <c r="B796">
        <f>HYPERLINK("http://comp.fnguide.com/SVO2/ASP/SVD_Consensus.asp?pGB=1&amp;gicode=A290120&amp;cID=&amp;MenuYn=Y&amp;ReportGB=&amp;NewMenuID=108&amp;stkGb=701", "대유에이피")</f>
        <v>0</v>
      </c>
      <c r="C796">
        <v>1</v>
      </c>
      <c r="D796">
        <v>7660</v>
      </c>
      <c r="E796">
        <v>0</v>
      </c>
      <c r="F796">
        <v>9.73</v>
      </c>
      <c r="G796">
        <v>12044</v>
      </c>
      <c r="H796">
        <v>7385</v>
      </c>
      <c r="I796">
        <v>6058</v>
      </c>
      <c r="J796">
        <v>-57.23</v>
      </c>
      <c r="K796">
        <v>3.59</v>
      </c>
      <c r="L796">
        <v>20.91</v>
      </c>
      <c r="M796">
        <v>22.37</v>
      </c>
      <c r="N796" t="b">
        <v>1</v>
      </c>
      <c r="O796">
        <v>733</v>
      </c>
      <c r="P796" t="s">
        <v>809</v>
      </c>
      <c r="Q796" t="s">
        <v>2968</v>
      </c>
      <c r="R796">
        <v>0</v>
      </c>
      <c r="S796">
        <v>834</v>
      </c>
      <c r="T796">
        <v>229620</v>
      </c>
      <c r="U796" t="s">
        <v>4781</v>
      </c>
      <c r="V796">
        <v>73.5</v>
      </c>
      <c r="W796" t="s">
        <v>7001</v>
      </c>
      <c r="X796" t="s">
        <v>9130</v>
      </c>
      <c r="Y796">
        <v>1575</v>
      </c>
      <c r="Z796">
        <v>101</v>
      </c>
      <c r="AB796">
        <v>2.81</v>
      </c>
    </row>
    <row r="797" spans="1:28">
      <c r="A797" s="2">
        <f>HYPERLINK("https://finance.naver.com/item/coinfo.nhn?code=214180", "A214180")</f>
        <v>0</v>
      </c>
      <c r="B797">
        <f>HYPERLINK("http://comp.fnguide.com/SVO2/ASP/SVD_Consensus.asp?pGB=1&amp;gicode=A214180&amp;cID=&amp;MenuYn=Y&amp;ReportGB=&amp;NewMenuID=108&amp;stkGb=701", "민앤지")</f>
        <v>0</v>
      </c>
      <c r="C797">
        <v>1</v>
      </c>
      <c r="D797">
        <v>16750</v>
      </c>
      <c r="E797">
        <v>1.42</v>
      </c>
      <c r="F797">
        <v>11.25</v>
      </c>
      <c r="G797">
        <v>21822</v>
      </c>
      <c r="H797">
        <v>15399</v>
      </c>
      <c r="I797">
        <v>13569</v>
      </c>
      <c r="J797">
        <v>-30.28</v>
      </c>
      <c r="K797">
        <v>8.07</v>
      </c>
      <c r="L797">
        <v>18.99</v>
      </c>
      <c r="M797">
        <v>15.62</v>
      </c>
      <c r="N797" t="b">
        <v>1</v>
      </c>
      <c r="O797">
        <v>1329</v>
      </c>
      <c r="P797" t="s">
        <v>810</v>
      </c>
      <c r="Q797" t="s">
        <v>2969</v>
      </c>
      <c r="R797">
        <v>7.895096535151236</v>
      </c>
      <c r="S797">
        <v>2071</v>
      </c>
      <c r="T797">
        <v>129643</v>
      </c>
      <c r="U797" t="s">
        <v>4782</v>
      </c>
      <c r="V797">
        <v>25.94</v>
      </c>
      <c r="W797" t="s">
        <v>7002</v>
      </c>
      <c r="X797" t="s">
        <v>9131</v>
      </c>
      <c r="Y797">
        <v>1237</v>
      </c>
      <c r="Z797">
        <v>270</v>
      </c>
      <c r="AA797">
        <v>998795</v>
      </c>
      <c r="AB797">
        <v>1.54</v>
      </c>
    </row>
    <row r="798" spans="1:28">
      <c r="A798" s="2">
        <f>HYPERLINK("https://finance.naver.com/item/coinfo.nhn?code=019590", "A019590")</f>
        <v>0</v>
      </c>
      <c r="B798">
        <f>HYPERLINK("http://comp.fnguide.com/SVO2/ASP/SVD_Consensus.asp?pGB=1&amp;gicode=A019590&amp;cID=&amp;MenuYn=Y&amp;ReportGB=&amp;NewMenuID=108&amp;stkGb=701", "엠벤처투자")</f>
        <v>0</v>
      </c>
      <c r="C798">
        <v>1</v>
      </c>
      <c r="D798">
        <v>1050</v>
      </c>
      <c r="E798">
        <v>0</v>
      </c>
      <c r="F798">
        <v>10.46</v>
      </c>
      <c r="G798">
        <v>1151</v>
      </c>
      <c r="H798">
        <v>828</v>
      </c>
      <c r="I798">
        <v>736</v>
      </c>
      <c r="J798">
        <v>-9.640000000000001</v>
      </c>
      <c r="K798">
        <v>21.13</v>
      </c>
      <c r="L798">
        <v>29.9</v>
      </c>
      <c r="M798">
        <v>14.96</v>
      </c>
      <c r="N798" t="b">
        <v>1</v>
      </c>
      <c r="O798">
        <v>133</v>
      </c>
      <c r="P798" t="s">
        <v>811</v>
      </c>
      <c r="Q798" t="s">
        <v>2970</v>
      </c>
      <c r="R798">
        <v>53.82754597456567</v>
      </c>
      <c r="S798">
        <v>645</v>
      </c>
      <c r="T798">
        <v>778096</v>
      </c>
      <c r="U798" t="s">
        <v>4783</v>
      </c>
      <c r="V798">
        <v>16.94</v>
      </c>
      <c r="W798" t="s">
        <v>7003</v>
      </c>
      <c r="X798" t="s">
        <v>9132</v>
      </c>
      <c r="Y798">
        <v>152</v>
      </c>
      <c r="Z798">
        <v>94</v>
      </c>
      <c r="AA798">
        <v>3012</v>
      </c>
    </row>
    <row r="799" spans="1:28">
      <c r="A799" s="2">
        <f>HYPERLINK("https://finance.naver.com/item/coinfo.nhn?code=293480", "A293480")</f>
        <v>0</v>
      </c>
      <c r="B799">
        <f>HYPERLINK("http://comp.fnguide.com/SVO2/ASP/SVD_Consensus.asp?pGB=1&amp;gicode=A293480&amp;cID=&amp;MenuYn=Y&amp;ReportGB=&amp;NewMenuID=108&amp;stkGb=701", "하나제약")</f>
        <v>0</v>
      </c>
      <c r="C799">
        <v>1</v>
      </c>
      <c r="D799">
        <v>24550</v>
      </c>
      <c r="E799">
        <v>-1.46</v>
      </c>
      <c r="F799">
        <v>12.91</v>
      </c>
      <c r="G799">
        <v>32829</v>
      </c>
      <c r="H799">
        <v>21519</v>
      </c>
      <c r="I799">
        <v>18297</v>
      </c>
      <c r="J799">
        <v>-33.72</v>
      </c>
      <c r="K799">
        <v>12.35</v>
      </c>
      <c r="L799">
        <v>25.47</v>
      </c>
      <c r="M799">
        <v>18.68</v>
      </c>
      <c r="N799" t="b">
        <v>1</v>
      </c>
      <c r="O799">
        <v>1747</v>
      </c>
      <c r="P799" t="s">
        <v>812</v>
      </c>
      <c r="Q799" t="s">
        <v>2971</v>
      </c>
      <c r="R799">
        <v>-8.824579080226002</v>
      </c>
      <c r="S799">
        <v>3977</v>
      </c>
      <c r="T799">
        <v>62565</v>
      </c>
      <c r="U799" t="s">
        <v>4784</v>
      </c>
      <c r="V799">
        <v>58.69</v>
      </c>
      <c r="W799" t="s">
        <v>7004</v>
      </c>
      <c r="X799" t="s">
        <v>9133</v>
      </c>
      <c r="Y799">
        <v>1663</v>
      </c>
      <c r="Z799">
        <v>336</v>
      </c>
      <c r="AA799">
        <v>470540</v>
      </c>
      <c r="AB799">
        <v>2.04</v>
      </c>
    </row>
    <row r="800" spans="1:28">
      <c r="A800" s="2">
        <f>HYPERLINK("https://finance.naver.com/item/coinfo.nhn?code=023450", "A023450")</f>
        <v>0</v>
      </c>
      <c r="B800">
        <f>HYPERLINK("http://comp.fnguide.com/SVO2/ASP/SVD_Consensus.asp?pGB=1&amp;gicode=A023450&amp;cID=&amp;MenuYn=Y&amp;ReportGB=&amp;NewMenuID=108&amp;stkGb=701", "동남합성")</f>
        <v>0</v>
      </c>
      <c r="C800">
        <v>1</v>
      </c>
      <c r="D800">
        <v>42100</v>
      </c>
      <c r="E800">
        <v>0.1</v>
      </c>
      <c r="F800">
        <v>5.05</v>
      </c>
      <c r="G800">
        <v>44360</v>
      </c>
      <c r="H800">
        <v>30175</v>
      </c>
      <c r="I800">
        <v>26134</v>
      </c>
      <c r="J800">
        <v>-5.37</v>
      </c>
      <c r="K800">
        <v>28.32</v>
      </c>
      <c r="L800">
        <v>37.92</v>
      </c>
      <c r="M800">
        <v>17.04</v>
      </c>
      <c r="N800" t="b">
        <v>1</v>
      </c>
      <c r="O800">
        <v>4925</v>
      </c>
      <c r="P800" t="s">
        <v>813</v>
      </c>
      <c r="Q800" t="s">
        <v>2972</v>
      </c>
      <c r="R800">
        <v>51.74361178477051</v>
      </c>
      <c r="S800">
        <v>1520</v>
      </c>
      <c r="T800">
        <v>4955</v>
      </c>
      <c r="U800" t="s">
        <v>4785</v>
      </c>
      <c r="V800">
        <v>54.95</v>
      </c>
      <c r="W800" t="s">
        <v>7005</v>
      </c>
      <c r="X800" t="s">
        <v>9134</v>
      </c>
      <c r="Y800">
        <v>1261</v>
      </c>
      <c r="Z800">
        <v>98</v>
      </c>
      <c r="AA800">
        <v>20000</v>
      </c>
      <c r="AB800">
        <v>0.8</v>
      </c>
    </row>
    <row r="801" spans="1:28">
      <c r="A801" s="2">
        <f>HYPERLINK("https://finance.naver.com/item/coinfo.nhn?code=107590", "A107590")</f>
        <v>0</v>
      </c>
      <c r="B801">
        <f>HYPERLINK("http://comp.fnguide.com/SVO2/ASP/SVD_Consensus.asp?pGB=1&amp;gicode=A107590&amp;cID=&amp;MenuYn=Y&amp;ReportGB=&amp;NewMenuID=108&amp;stkGb=701", "미원홀딩스")</f>
        <v>0</v>
      </c>
      <c r="C801">
        <v>1</v>
      </c>
      <c r="D801">
        <v>69400</v>
      </c>
      <c r="E801">
        <v>0.47</v>
      </c>
      <c r="F801">
        <v>6.24</v>
      </c>
      <c r="G801">
        <v>73875</v>
      </c>
      <c r="H801">
        <v>67507</v>
      </c>
      <c r="I801">
        <v>65692</v>
      </c>
      <c r="J801">
        <v>-6.45</v>
      </c>
      <c r="K801">
        <v>2.73</v>
      </c>
      <c r="L801">
        <v>5.34</v>
      </c>
      <c r="M801">
        <v>9.300000000000001</v>
      </c>
      <c r="N801" t="b">
        <v>1</v>
      </c>
      <c r="O801">
        <v>6591</v>
      </c>
      <c r="P801" t="s">
        <v>814</v>
      </c>
      <c r="Q801" t="s">
        <v>2973</v>
      </c>
      <c r="R801">
        <v>13.17556714261634</v>
      </c>
      <c r="S801">
        <v>1610</v>
      </c>
      <c r="T801">
        <v>1427</v>
      </c>
      <c r="U801" t="s">
        <v>4786</v>
      </c>
      <c r="V801">
        <v>70.95999999999999</v>
      </c>
      <c r="W801" t="s">
        <v>7006</v>
      </c>
      <c r="X801" t="s">
        <v>9135</v>
      </c>
      <c r="Y801">
        <v>1884</v>
      </c>
      <c r="Z801">
        <v>78</v>
      </c>
      <c r="AB801">
        <v>0.97</v>
      </c>
    </row>
    <row r="802" spans="1:28">
      <c r="A802" s="2">
        <f>HYPERLINK("https://finance.naver.com/item/coinfo.nhn?code=097520", "A097520")</f>
        <v>0</v>
      </c>
      <c r="B802">
        <f>HYPERLINK("http://comp.fnguide.com/SVO2/ASP/SVD_Consensus.asp?pGB=1&amp;gicode=A097520&amp;cID=&amp;MenuYn=Y&amp;ReportGB=&amp;NewMenuID=108&amp;stkGb=701", "엠씨넥스")</f>
        <v>0</v>
      </c>
      <c r="C802">
        <v>1</v>
      </c>
      <c r="D802">
        <v>36700</v>
      </c>
      <c r="E802">
        <v>0.32</v>
      </c>
      <c r="F802">
        <v>7.98</v>
      </c>
      <c r="G802">
        <v>52075</v>
      </c>
      <c r="H802">
        <v>28440</v>
      </c>
      <c r="I802">
        <v>21705</v>
      </c>
      <c r="J802">
        <v>-41.89</v>
      </c>
      <c r="K802">
        <v>22.51</v>
      </c>
      <c r="L802">
        <v>40.86</v>
      </c>
      <c r="M802">
        <v>32.59</v>
      </c>
      <c r="N802" t="b">
        <v>1</v>
      </c>
      <c r="O802">
        <v>4731</v>
      </c>
      <c r="P802" t="s">
        <v>815</v>
      </c>
      <c r="Q802" t="s">
        <v>2974</v>
      </c>
      <c r="R802">
        <v>24.70272651389784</v>
      </c>
      <c r="S802">
        <v>6556</v>
      </c>
      <c r="T802">
        <v>385943</v>
      </c>
      <c r="U802" t="s">
        <v>4787</v>
      </c>
      <c r="V802">
        <v>27.99</v>
      </c>
      <c r="W802" t="s">
        <v>7007</v>
      </c>
      <c r="X802" t="s">
        <v>9136</v>
      </c>
      <c r="Y802">
        <v>12677</v>
      </c>
      <c r="Z802">
        <v>1131</v>
      </c>
      <c r="AA802">
        <v>230000</v>
      </c>
      <c r="AB802">
        <v>1.32</v>
      </c>
    </row>
    <row r="803" spans="1:28">
      <c r="A803" s="2">
        <f>HYPERLINK("https://finance.naver.com/item/coinfo.nhn?code=234340", "A234340")</f>
        <v>0</v>
      </c>
      <c r="B803">
        <f>HYPERLINK("http://comp.fnguide.com/SVO2/ASP/SVD_Consensus.asp?pGB=1&amp;gicode=A234340&amp;cID=&amp;MenuYn=Y&amp;ReportGB=&amp;NewMenuID=108&amp;stkGb=701", "세틀뱅크")</f>
        <v>0</v>
      </c>
      <c r="C803">
        <v>1</v>
      </c>
      <c r="D803">
        <v>32000</v>
      </c>
      <c r="E803">
        <v>1.44</v>
      </c>
      <c r="F803">
        <v>19.71</v>
      </c>
      <c r="G803">
        <v>32441</v>
      </c>
      <c r="H803">
        <v>20492</v>
      </c>
      <c r="I803">
        <v>17087</v>
      </c>
      <c r="J803">
        <v>-1.38</v>
      </c>
      <c r="K803">
        <v>35.96</v>
      </c>
      <c r="L803">
        <v>46.6</v>
      </c>
      <c r="M803">
        <v>20.6</v>
      </c>
      <c r="N803" t="b">
        <v>1</v>
      </c>
      <c r="O803">
        <v>1466</v>
      </c>
      <c r="P803" t="s">
        <v>816</v>
      </c>
      <c r="Q803" t="s">
        <v>2975</v>
      </c>
      <c r="R803">
        <v>13.70383991116362</v>
      </c>
      <c r="S803">
        <v>2965</v>
      </c>
      <c r="T803">
        <v>75416</v>
      </c>
      <c r="U803" t="s">
        <v>4788</v>
      </c>
      <c r="V803">
        <v>40.81</v>
      </c>
      <c r="W803" t="s">
        <v>7008</v>
      </c>
      <c r="X803" t="s">
        <v>9137</v>
      </c>
      <c r="Y803">
        <v>656</v>
      </c>
      <c r="Z803">
        <v>134</v>
      </c>
      <c r="AA803">
        <v>456646</v>
      </c>
      <c r="AB803">
        <v>1.31</v>
      </c>
    </row>
    <row r="804" spans="1:28">
      <c r="A804" s="2">
        <f>HYPERLINK("https://finance.naver.com/item/coinfo.nhn?code=010050", "A010050")</f>
        <v>0</v>
      </c>
      <c r="B804">
        <f>HYPERLINK("http://comp.fnguide.com/SVO2/ASP/SVD_Consensus.asp?pGB=1&amp;gicode=A010050&amp;cID=&amp;MenuYn=Y&amp;ReportGB=&amp;NewMenuID=108&amp;stkGb=701", "우리종금")</f>
        <v>0</v>
      </c>
      <c r="C804">
        <v>1</v>
      </c>
      <c r="D804">
        <v>545</v>
      </c>
      <c r="E804">
        <v>0</v>
      </c>
      <c r="F804">
        <v>8.01</v>
      </c>
      <c r="G804">
        <v>681</v>
      </c>
      <c r="H804">
        <v>524</v>
      </c>
      <c r="I804">
        <v>480</v>
      </c>
      <c r="J804">
        <v>-24.95</v>
      </c>
      <c r="K804">
        <v>3.8</v>
      </c>
      <c r="L804">
        <v>11.99</v>
      </c>
      <c r="M804">
        <v>12.92</v>
      </c>
      <c r="N804" t="b">
        <v>1</v>
      </c>
      <c r="O804">
        <v>78</v>
      </c>
      <c r="P804" t="s">
        <v>817</v>
      </c>
      <c r="Q804" t="s">
        <v>2276</v>
      </c>
      <c r="R804">
        <v>0</v>
      </c>
      <c r="S804">
        <v>4764</v>
      </c>
      <c r="T804">
        <v>2020921</v>
      </c>
      <c r="U804" t="s">
        <v>4789</v>
      </c>
      <c r="V804">
        <v>58.75</v>
      </c>
      <c r="W804" t="s">
        <v>7009</v>
      </c>
      <c r="X804" t="s">
        <v>9138</v>
      </c>
      <c r="Y804">
        <v>2051</v>
      </c>
      <c r="Z804">
        <v>539</v>
      </c>
      <c r="AA804">
        <v>69076</v>
      </c>
    </row>
    <row r="805" spans="1:28">
      <c r="A805" s="2">
        <f>HYPERLINK("https://finance.naver.com/item/coinfo.nhn?code=044340", "A044340")</f>
        <v>0</v>
      </c>
      <c r="B805">
        <f>HYPERLINK("http://comp.fnguide.com/SVO2/ASP/SVD_Consensus.asp?pGB=1&amp;gicode=A044340&amp;cID=&amp;MenuYn=Y&amp;ReportGB=&amp;NewMenuID=108&amp;stkGb=701", "위닉스")</f>
        <v>0</v>
      </c>
      <c r="C805">
        <v>1</v>
      </c>
      <c r="D805">
        <v>20150</v>
      </c>
      <c r="E805">
        <v>0.24</v>
      </c>
      <c r="F805">
        <v>11.5</v>
      </c>
      <c r="G805">
        <v>26659</v>
      </c>
      <c r="H805">
        <v>16255</v>
      </c>
      <c r="I805">
        <v>13291</v>
      </c>
      <c r="J805">
        <v>-32.3</v>
      </c>
      <c r="K805">
        <v>19.33</v>
      </c>
      <c r="L805">
        <v>34.04</v>
      </c>
      <c r="M805">
        <v>22.74</v>
      </c>
      <c r="N805" t="b">
        <v>1</v>
      </c>
      <c r="O805">
        <v>2266</v>
      </c>
      <c r="P805" t="s">
        <v>818</v>
      </c>
      <c r="Q805" t="s">
        <v>2976</v>
      </c>
      <c r="R805">
        <v>47.00044919417861</v>
      </c>
      <c r="S805">
        <v>3602</v>
      </c>
      <c r="T805">
        <v>154108</v>
      </c>
      <c r="U805" t="s">
        <v>4790</v>
      </c>
      <c r="V805">
        <v>47.92</v>
      </c>
      <c r="W805" t="s">
        <v>7010</v>
      </c>
      <c r="X805" t="s">
        <v>9139</v>
      </c>
      <c r="Y805">
        <v>3862</v>
      </c>
      <c r="Z805">
        <v>514</v>
      </c>
      <c r="AA805">
        <v>1530786</v>
      </c>
      <c r="AB805">
        <v>1.92</v>
      </c>
    </row>
    <row r="806" spans="1:28">
      <c r="A806" s="2">
        <f>HYPERLINK("https://finance.naver.com/item/coinfo.nhn?code=275630", "A275630")</f>
        <v>0</v>
      </c>
      <c r="B806">
        <f>HYPERLINK("http://comp.fnguide.com/SVO2/ASP/SVD_Consensus.asp?pGB=1&amp;gicode=A275630&amp;cID=&amp;MenuYn=Y&amp;ReportGB=&amp;NewMenuID=108&amp;stkGb=701", "에스에스알")</f>
        <v>0</v>
      </c>
      <c r="C806">
        <v>1</v>
      </c>
      <c r="D806">
        <v>5700</v>
      </c>
      <c r="E806">
        <v>0</v>
      </c>
      <c r="F806">
        <v>31.45</v>
      </c>
      <c r="G806">
        <v>6223</v>
      </c>
      <c r="H806">
        <v>4987</v>
      </c>
      <c r="I806">
        <v>4634</v>
      </c>
      <c r="J806">
        <v>-9.18</v>
      </c>
      <c r="K806">
        <v>12.51</v>
      </c>
      <c r="L806">
        <v>18.69</v>
      </c>
      <c r="M806">
        <v>11.91</v>
      </c>
      <c r="N806" t="b">
        <v>1</v>
      </c>
      <c r="O806">
        <v>194</v>
      </c>
      <c r="P806" t="s">
        <v>819</v>
      </c>
      <c r="Q806" t="s">
        <v>2977</v>
      </c>
      <c r="R806">
        <v>0</v>
      </c>
      <c r="S806">
        <v>338</v>
      </c>
      <c r="T806">
        <v>77929</v>
      </c>
      <c r="U806" t="s">
        <v>4791</v>
      </c>
      <c r="V806">
        <v>34.83</v>
      </c>
      <c r="W806" t="s">
        <v>7011</v>
      </c>
      <c r="X806" t="s">
        <v>9140</v>
      </c>
      <c r="Y806">
        <v>136</v>
      </c>
      <c r="Z806">
        <v>6</v>
      </c>
    </row>
    <row r="807" spans="1:28">
      <c r="A807" s="2">
        <f>HYPERLINK("https://finance.naver.com/item/coinfo.nhn?code=244920", "A244920")</f>
        <v>0</v>
      </c>
      <c r="B807">
        <f>HYPERLINK("http://comp.fnguide.com/SVO2/ASP/SVD_Consensus.asp?pGB=1&amp;gicode=A244920&amp;cID=&amp;MenuYn=Y&amp;ReportGB=&amp;NewMenuID=108&amp;stkGb=701", "에이플러스에셋")</f>
        <v>0</v>
      </c>
      <c r="C807">
        <v>1</v>
      </c>
      <c r="D807">
        <v>6100</v>
      </c>
      <c r="G807">
        <v>6856</v>
      </c>
      <c r="H807">
        <v>4116</v>
      </c>
      <c r="I807">
        <v>3335</v>
      </c>
      <c r="J807">
        <v>-12.39</v>
      </c>
      <c r="K807">
        <v>32.53</v>
      </c>
      <c r="L807">
        <v>45.32</v>
      </c>
      <c r="M807">
        <v>23.8</v>
      </c>
      <c r="N807" t="b">
        <v>0</v>
      </c>
      <c r="O807">
        <v>610</v>
      </c>
      <c r="P807" t="s">
        <v>820</v>
      </c>
      <c r="Q807" t="s">
        <v>2978</v>
      </c>
      <c r="R807">
        <v>34.99688858187764</v>
      </c>
      <c r="S807">
        <v>1379</v>
      </c>
      <c r="T807">
        <v>209939</v>
      </c>
      <c r="U807" t="s">
        <v>4792</v>
      </c>
      <c r="V807">
        <v>34.4</v>
      </c>
      <c r="W807" t="s">
        <v>7012</v>
      </c>
      <c r="X807" t="s">
        <v>968</v>
      </c>
      <c r="Y807">
        <v>2694</v>
      </c>
      <c r="Z807">
        <v>209</v>
      </c>
    </row>
    <row r="808" spans="1:28">
      <c r="A808" s="2">
        <f>HYPERLINK("https://finance.naver.com/item/coinfo.nhn?code=124560", "A124560")</f>
        <v>0</v>
      </c>
      <c r="B808">
        <f>HYPERLINK("http://comp.fnguide.com/SVO2/ASP/SVD_Consensus.asp?pGB=1&amp;gicode=A124560&amp;cID=&amp;MenuYn=Y&amp;ReportGB=&amp;NewMenuID=108&amp;stkGb=701", "태웅로직스")</f>
        <v>0</v>
      </c>
      <c r="C808">
        <v>1</v>
      </c>
      <c r="D808">
        <v>5320</v>
      </c>
      <c r="E808">
        <v>0.05</v>
      </c>
      <c r="F808">
        <v>8.1</v>
      </c>
      <c r="G808">
        <v>8113</v>
      </c>
      <c r="H808">
        <v>4597</v>
      </c>
      <c r="I808">
        <v>3596</v>
      </c>
      <c r="J808">
        <v>-52.5</v>
      </c>
      <c r="K808">
        <v>13.58</v>
      </c>
      <c r="L808">
        <v>32.41</v>
      </c>
      <c r="M808">
        <v>28.59</v>
      </c>
      <c r="N808" t="b">
        <v>1</v>
      </c>
      <c r="O808">
        <v>631</v>
      </c>
      <c r="P808" t="s">
        <v>821</v>
      </c>
      <c r="Q808" t="s">
        <v>2979</v>
      </c>
      <c r="R808">
        <v>157.6222867500069</v>
      </c>
      <c r="S808">
        <v>1039</v>
      </c>
      <c r="T808">
        <v>893943</v>
      </c>
      <c r="U808" t="s">
        <v>4793</v>
      </c>
      <c r="V808">
        <v>38.11</v>
      </c>
      <c r="W808" t="s">
        <v>7013</v>
      </c>
      <c r="X808" t="s">
        <v>9141</v>
      </c>
      <c r="Y808">
        <v>2861</v>
      </c>
      <c r="Z808">
        <v>150</v>
      </c>
      <c r="AA808">
        <v>1322223</v>
      </c>
      <c r="AB808">
        <v>0.98</v>
      </c>
    </row>
    <row r="809" spans="1:28">
      <c r="A809" s="2">
        <f>HYPERLINK("https://finance.naver.com/item/coinfo.nhn?code=104460", "A104460")</f>
        <v>0</v>
      </c>
      <c r="B809">
        <f>HYPERLINK("http://comp.fnguide.com/SVO2/ASP/SVD_Consensus.asp?pGB=1&amp;gicode=A104460&amp;cID=&amp;MenuYn=Y&amp;ReportGB=&amp;NewMenuID=108&amp;stkGb=701", "디와이피엔에프")</f>
        <v>0</v>
      </c>
      <c r="C809">
        <v>1</v>
      </c>
      <c r="D809">
        <v>18400</v>
      </c>
      <c r="E809">
        <v>-0.19</v>
      </c>
      <c r="F809">
        <v>5.98</v>
      </c>
      <c r="G809">
        <v>22289</v>
      </c>
      <c r="H809">
        <v>13209</v>
      </c>
      <c r="I809">
        <v>10621</v>
      </c>
      <c r="J809">
        <v>-21.13</v>
      </c>
      <c r="K809">
        <v>28.21</v>
      </c>
      <c r="L809">
        <v>42.27</v>
      </c>
      <c r="M809">
        <v>24.75</v>
      </c>
      <c r="N809" t="b">
        <v>1</v>
      </c>
      <c r="O809">
        <v>1974</v>
      </c>
      <c r="P809" t="s">
        <v>822</v>
      </c>
      <c r="Q809" t="s">
        <v>2980</v>
      </c>
      <c r="R809">
        <v>-30.73502933280975</v>
      </c>
      <c r="S809">
        <v>1971</v>
      </c>
      <c r="T809">
        <v>162987</v>
      </c>
      <c r="U809" t="s">
        <v>4794</v>
      </c>
      <c r="V809">
        <v>49.34</v>
      </c>
      <c r="W809" t="s">
        <v>7014</v>
      </c>
      <c r="X809" t="s">
        <v>9142</v>
      </c>
      <c r="Y809">
        <v>1656</v>
      </c>
      <c r="Z809">
        <v>283</v>
      </c>
      <c r="AA809">
        <v>1154603</v>
      </c>
      <c r="AB809">
        <v>2.97</v>
      </c>
    </row>
    <row r="810" spans="1:28">
      <c r="A810" s="2">
        <f>HYPERLINK("https://finance.naver.com/item/coinfo.nhn?code=023770", "A023770")</f>
        <v>0</v>
      </c>
      <c r="B810">
        <f>HYPERLINK("http://comp.fnguide.com/SVO2/ASP/SVD_Consensus.asp?pGB=1&amp;gicode=A023770&amp;cID=&amp;MenuYn=Y&amp;ReportGB=&amp;NewMenuID=108&amp;stkGb=701", "플레이위드")</f>
        <v>0</v>
      </c>
      <c r="C810">
        <v>1</v>
      </c>
      <c r="D810">
        <v>9010</v>
      </c>
      <c r="E810">
        <v>0.03</v>
      </c>
      <c r="F810">
        <v>8.08</v>
      </c>
      <c r="G810">
        <v>10624</v>
      </c>
      <c r="H810">
        <v>5490</v>
      </c>
      <c r="I810">
        <v>4027</v>
      </c>
      <c r="J810">
        <v>-17.91</v>
      </c>
      <c r="K810">
        <v>39.07</v>
      </c>
      <c r="L810">
        <v>55.3</v>
      </c>
      <c r="M810">
        <v>40.72</v>
      </c>
      <c r="N810" t="b">
        <v>1</v>
      </c>
      <c r="O810">
        <v>1086</v>
      </c>
      <c r="P810" t="s">
        <v>823</v>
      </c>
      <c r="Q810" t="s">
        <v>2981</v>
      </c>
      <c r="R810">
        <v>254.9664209471088</v>
      </c>
      <c r="S810">
        <v>784</v>
      </c>
      <c r="T810">
        <v>87263</v>
      </c>
      <c r="U810" t="s">
        <v>4795</v>
      </c>
      <c r="V810">
        <v>22.62</v>
      </c>
      <c r="W810" t="s">
        <v>7015</v>
      </c>
      <c r="X810" t="s">
        <v>9143</v>
      </c>
      <c r="Y810">
        <v>560</v>
      </c>
      <c r="Z810">
        <v>136</v>
      </c>
    </row>
    <row r="811" spans="1:28">
      <c r="A811" s="2">
        <f>HYPERLINK("https://finance.naver.com/item/coinfo.nhn?code=257370", "A257370")</f>
        <v>0</v>
      </c>
      <c r="B811">
        <f>HYPERLINK("http://comp.fnguide.com/SVO2/ASP/SVD_Consensus.asp?pGB=1&amp;gicode=A257370&amp;cID=&amp;MenuYn=Y&amp;ReportGB=&amp;NewMenuID=108&amp;stkGb=701", "명성티엔에스")</f>
        <v>0</v>
      </c>
      <c r="C811">
        <v>1</v>
      </c>
      <c r="D811">
        <v>9510</v>
      </c>
      <c r="E811">
        <v>-3.81</v>
      </c>
      <c r="F811">
        <v>214.72</v>
      </c>
      <c r="G811">
        <v>9938</v>
      </c>
      <c r="H811">
        <v>7666</v>
      </c>
      <c r="I811">
        <v>7018</v>
      </c>
      <c r="J811">
        <v>-4.5</v>
      </c>
      <c r="K811">
        <v>19.39</v>
      </c>
      <c r="L811">
        <v>26.2</v>
      </c>
      <c r="M811">
        <v>12.87</v>
      </c>
      <c r="N811" t="b">
        <v>0</v>
      </c>
      <c r="O811">
        <v>79</v>
      </c>
      <c r="P811" t="s">
        <v>824</v>
      </c>
      <c r="Q811" t="s">
        <v>2982</v>
      </c>
      <c r="R811">
        <v>-56.3508567615407</v>
      </c>
      <c r="S811">
        <v>613</v>
      </c>
      <c r="T811">
        <v>109136</v>
      </c>
      <c r="U811" t="s">
        <v>4796</v>
      </c>
      <c r="V811">
        <v>11.49</v>
      </c>
      <c r="W811" t="s">
        <v>7016</v>
      </c>
      <c r="X811" t="s">
        <v>9144</v>
      </c>
      <c r="Y811">
        <v>350</v>
      </c>
      <c r="Z811">
        <v>9</v>
      </c>
      <c r="AA811">
        <v>219712</v>
      </c>
    </row>
    <row r="812" spans="1:28">
      <c r="A812" s="2">
        <f>HYPERLINK("https://finance.naver.com/item/coinfo.nhn?code=317770", "A317770")</f>
        <v>0</v>
      </c>
      <c r="B812">
        <f>HYPERLINK("http://comp.fnguide.com/SVO2/ASP/SVD_Consensus.asp?pGB=1&amp;gicode=A317770&amp;cID=&amp;MenuYn=Y&amp;ReportGB=&amp;NewMenuID=108&amp;stkGb=701", "슈프리마아이디")</f>
        <v>0</v>
      </c>
      <c r="C812">
        <v>1</v>
      </c>
      <c r="D812">
        <v>14350</v>
      </c>
      <c r="E812">
        <v>0</v>
      </c>
      <c r="F812">
        <v>49.47</v>
      </c>
      <c r="G812">
        <v>14928</v>
      </c>
      <c r="H812">
        <v>13628</v>
      </c>
      <c r="I812">
        <v>13257</v>
      </c>
      <c r="J812">
        <v>-4.03</v>
      </c>
      <c r="K812">
        <v>5.03</v>
      </c>
      <c r="L812">
        <v>7.62</v>
      </c>
      <c r="M812">
        <v>9.32</v>
      </c>
      <c r="N812" t="b">
        <v>1</v>
      </c>
      <c r="O812">
        <v>397</v>
      </c>
      <c r="P812" t="s">
        <v>825</v>
      </c>
      <c r="Q812" t="s">
        <v>2983</v>
      </c>
      <c r="R812">
        <v>0</v>
      </c>
      <c r="S812">
        <v>435</v>
      </c>
      <c r="T812">
        <v>11665</v>
      </c>
      <c r="U812" t="s">
        <v>4797</v>
      </c>
      <c r="V812">
        <v>61.49</v>
      </c>
      <c r="W812" t="s">
        <v>7017</v>
      </c>
      <c r="X812" t="s">
        <v>9145</v>
      </c>
      <c r="Y812">
        <v>121</v>
      </c>
      <c r="Z812">
        <v>5</v>
      </c>
    </row>
    <row r="813" spans="1:28">
      <c r="A813" s="2">
        <f>HYPERLINK("https://finance.naver.com/item/coinfo.nhn?code=251630", "A251630")</f>
        <v>0</v>
      </c>
      <c r="B813">
        <f>HYPERLINK("http://comp.fnguide.com/SVO2/ASP/SVD_Consensus.asp?pGB=1&amp;gicode=A251630&amp;cID=&amp;MenuYn=Y&amp;ReportGB=&amp;NewMenuID=108&amp;stkGb=701", "브이원텍")</f>
        <v>0</v>
      </c>
      <c r="C813">
        <v>1</v>
      </c>
      <c r="D813">
        <v>9500</v>
      </c>
      <c r="E813">
        <v>1.44</v>
      </c>
      <c r="F813">
        <v>20.91</v>
      </c>
      <c r="G813">
        <v>11292</v>
      </c>
      <c r="H813">
        <v>7923</v>
      </c>
      <c r="I813">
        <v>6963</v>
      </c>
      <c r="J813">
        <v>-18.87</v>
      </c>
      <c r="K813">
        <v>16.6</v>
      </c>
      <c r="L813">
        <v>26.7</v>
      </c>
      <c r="M813">
        <v>15.83</v>
      </c>
      <c r="N813" t="b">
        <v>1</v>
      </c>
      <c r="O813">
        <v>442</v>
      </c>
      <c r="P813" t="s">
        <v>826</v>
      </c>
      <c r="Q813" t="s">
        <v>2984</v>
      </c>
      <c r="R813">
        <v>14.49186008396843</v>
      </c>
      <c r="S813">
        <v>1430</v>
      </c>
      <c r="T813">
        <v>158577</v>
      </c>
      <c r="U813" t="s">
        <v>4798</v>
      </c>
      <c r="V813">
        <v>52.04</v>
      </c>
      <c r="W813" t="s">
        <v>7018</v>
      </c>
      <c r="X813" t="s">
        <v>9146</v>
      </c>
      <c r="Y813">
        <v>268</v>
      </c>
      <c r="Z813">
        <v>48</v>
      </c>
      <c r="AA813">
        <v>680241</v>
      </c>
      <c r="AB813">
        <v>1.08</v>
      </c>
    </row>
    <row r="814" spans="1:28">
      <c r="A814" s="2">
        <f>HYPERLINK("https://finance.naver.com/item/coinfo.nhn?code=241790", "A241790")</f>
        <v>0</v>
      </c>
      <c r="B814">
        <f>HYPERLINK("http://comp.fnguide.com/SVO2/ASP/SVD_Consensus.asp?pGB=1&amp;gicode=A241790&amp;cID=&amp;MenuYn=Y&amp;ReportGB=&amp;NewMenuID=108&amp;stkGb=701", "오션브릿지")</f>
        <v>0</v>
      </c>
      <c r="C814">
        <v>1</v>
      </c>
      <c r="D814">
        <v>16950</v>
      </c>
      <c r="E814">
        <v>0.78</v>
      </c>
      <c r="F814">
        <v>10.06</v>
      </c>
      <c r="G814">
        <v>18725</v>
      </c>
      <c r="H814">
        <v>11403</v>
      </c>
      <c r="I814">
        <v>9317</v>
      </c>
      <c r="J814">
        <v>-10.47</v>
      </c>
      <c r="K814">
        <v>32.72</v>
      </c>
      <c r="L814">
        <v>45.03</v>
      </c>
      <c r="M814">
        <v>22.82</v>
      </c>
      <c r="N814" t="b">
        <v>1</v>
      </c>
      <c r="O814">
        <v>1024</v>
      </c>
      <c r="P814" t="s">
        <v>827</v>
      </c>
      <c r="Q814" t="s">
        <v>2985</v>
      </c>
      <c r="R814">
        <v>12.92148855533264</v>
      </c>
      <c r="S814">
        <v>1695</v>
      </c>
      <c r="T814">
        <v>206565</v>
      </c>
      <c r="U814" t="s">
        <v>4799</v>
      </c>
      <c r="V814">
        <v>24.2</v>
      </c>
      <c r="W814" t="s">
        <v>7019</v>
      </c>
      <c r="X814" t="s">
        <v>9147</v>
      </c>
      <c r="Y814">
        <v>758</v>
      </c>
      <c r="Z814">
        <v>128</v>
      </c>
      <c r="AA814">
        <v>123197</v>
      </c>
      <c r="AB814">
        <v>2.62</v>
      </c>
    </row>
    <row r="815" spans="1:28">
      <c r="A815" s="2">
        <f>HYPERLINK("https://finance.naver.com/item/coinfo.nhn?code=306040", "A306040")</f>
        <v>0</v>
      </c>
      <c r="B815">
        <f>HYPERLINK("http://comp.fnguide.com/SVO2/ASP/SVD_Consensus.asp?pGB=1&amp;gicode=A306040&amp;cID=&amp;MenuYn=Y&amp;ReportGB=&amp;NewMenuID=108&amp;stkGb=701", "에스제이그룹")</f>
        <v>0</v>
      </c>
      <c r="C815">
        <v>1</v>
      </c>
      <c r="D815">
        <v>15900</v>
      </c>
      <c r="E815">
        <v>0</v>
      </c>
      <c r="F815">
        <v>11.28</v>
      </c>
      <c r="G815">
        <v>27394</v>
      </c>
      <c r="H815">
        <v>15195</v>
      </c>
      <c r="I815">
        <v>11719</v>
      </c>
      <c r="J815">
        <v>-72.29000000000001</v>
      </c>
      <c r="K815">
        <v>4.43</v>
      </c>
      <c r="L815">
        <v>26.3</v>
      </c>
      <c r="M815">
        <v>30.79</v>
      </c>
      <c r="N815" t="b">
        <v>1</v>
      </c>
      <c r="O815">
        <v>1785</v>
      </c>
      <c r="P815" t="s">
        <v>828</v>
      </c>
      <c r="Q815" t="s">
        <v>2986</v>
      </c>
      <c r="R815">
        <v>0</v>
      </c>
      <c r="S815">
        <v>1569</v>
      </c>
      <c r="T815">
        <v>104782</v>
      </c>
      <c r="U815" t="s">
        <v>4800</v>
      </c>
      <c r="V815">
        <v>51.79</v>
      </c>
      <c r="W815" t="s">
        <v>7020</v>
      </c>
      <c r="X815" t="s">
        <v>9148</v>
      </c>
      <c r="Y815">
        <v>1095</v>
      </c>
      <c r="Z815">
        <v>164</v>
      </c>
      <c r="AA815">
        <v>78094</v>
      </c>
      <c r="AB815">
        <v>0.66</v>
      </c>
    </row>
    <row r="816" spans="1:28">
      <c r="A816" s="2">
        <f>HYPERLINK("https://finance.naver.com/item/coinfo.nhn?code=049960", "A049960")</f>
        <v>0</v>
      </c>
      <c r="B816">
        <f>HYPERLINK("http://comp.fnguide.com/SVO2/ASP/SVD_Consensus.asp?pGB=1&amp;gicode=A049960&amp;cID=&amp;MenuYn=Y&amp;ReportGB=&amp;NewMenuID=108&amp;stkGb=701", "쎌바이오텍")</f>
        <v>0</v>
      </c>
      <c r="C816">
        <v>1</v>
      </c>
      <c r="D816">
        <v>18900</v>
      </c>
      <c r="E816">
        <v>-1.21</v>
      </c>
      <c r="F816">
        <v>24.63</v>
      </c>
      <c r="G816">
        <v>24879</v>
      </c>
      <c r="H816">
        <v>18733</v>
      </c>
      <c r="I816">
        <v>16982</v>
      </c>
      <c r="J816">
        <v>-31.64</v>
      </c>
      <c r="K816">
        <v>0.88</v>
      </c>
      <c r="L816">
        <v>10.15</v>
      </c>
      <c r="M816">
        <v>13.54</v>
      </c>
      <c r="N816" t="b">
        <v>1</v>
      </c>
      <c r="O816">
        <v>769</v>
      </c>
      <c r="P816" t="s">
        <v>829</v>
      </c>
      <c r="Q816" t="s">
        <v>2987</v>
      </c>
      <c r="R816">
        <v>-20.34774978972442</v>
      </c>
      <c r="S816">
        <v>1777</v>
      </c>
      <c r="T816">
        <v>53522</v>
      </c>
      <c r="U816" t="s">
        <v>4801</v>
      </c>
      <c r="V816">
        <v>24.23</v>
      </c>
      <c r="W816" t="s">
        <v>7021</v>
      </c>
      <c r="X816" t="s">
        <v>9149</v>
      </c>
      <c r="Y816">
        <v>460</v>
      </c>
      <c r="Z816">
        <v>58</v>
      </c>
      <c r="AA816">
        <v>2328381</v>
      </c>
      <c r="AB816">
        <v>3.17</v>
      </c>
    </row>
    <row r="817" spans="1:28">
      <c r="A817" s="2">
        <f>HYPERLINK("https://finance.naver.com/item/coinfo.nhn?code=104830", "A104830")</f>
        <v>0</v>
      </c>
      <c r="B817">
        <f>HYPERLINK("http://comp.fnguide.com/SVO2/ASP/SVD_Consensus.asp?pGB=1&amp;gicode=A104830&amp;cID=&amp;MenuYn=Y&amp;ReportGB=&amp;NewMenuID=108&amp;stkGb=701", "원익머트리얼즈")</f>
        <v>0</v>
      </c>
      <c r="C817">
        <v>1</v>
      </c>
      <c r="D817">
        <v>32350</v>
      </c>
      <c r="E817">
        <v>2.19</v>
      </c>
      <c r="F817">
        <v>13.61</v>
      </c>
      <c r="G817">
        <v>35829</v>
      </c>
      <c r="H817">
        <v>28956</v>
      </c>
      <c r="I817">
        <v>26997</v>
      </c>
      <c r="J817">
        <v>-10.75</v>
      </c>
      <c r="K817">
        <v>10.49</v>
      </c>
      <c r="L817">
        <v>16.55</v>
      </c>
      <c r="M817">
        <v>11.71</v>
      </c>
      <c r="N817" t="b">
        <v>1</v>
      </c>
      <c r="O817">
        <v>2229</v>
      </c>
      <c r="P817" t="s">
        <v>830</v>
      </c>
      <c r="Q817" t="s">
        <v>2988</v>
      </c>
      <c r="R817">
        <v>6.220596220917485</v>
      </c>
      <c r="S817">
        <v>4079</v>
      </c>
      <c r="T817">
        <v>74531</v>
      </c>
      <c r="U817" t="s">
        <v>4802</v>
      </c>
      <c r="V817">
        <v>45.69</v>
      </c>
      <c r="W817" t="s">
        <v>7022</v>
      </c>
      <c r="X817" t="s">
        <v>9150</v>
      </c>
      <c r="Y817">
        <v>2208</v>
      </c>
      <c r="Z817">
        <v>360</v>
      </c>
      <c r="AB817">
        <v>0.49</v>
      </c>
    </row>
    <row r="818" spans="1:28">
      <c r="A818" s="2">
        <f>HYPERLINK("https://finance.naver.com/item/coinfo.nhn?code=010780", "A010780")</f>
        <v>0</v>
      </c>
      <c r="B818">
        <f>HYPERLINK("http://comp.fnguide.com/SVO2/ASP/SVD_Consensus.asp?pGB=1&amp;gicode=A010780&amp;cID=&amp;MenuYn=Y&amp;ReportGB=&amp;NewMenuID=108&amp;stkGb=701", "아이에스동서")</f>
        <v>0</v>
      </c>
      <c r="C818">
        <v>1</v>
      </c>
      <c r="D818">
        <v>49200</v>
      </c>
      <c r="E818">
        <v>2.89</v>
      </c>
      <c r="F818">
        <v>15.41</v>
      </c>
      <c r="G818">
        <v>63513</v>
      </c>
      <c r="H818">
        <v>47027</v>
      </c>
      <c r="I818">
        <v>42330</v>
      </c>
      <c r="J818">
        <v>-29.09</v>
      </c>
      <c r="K818">
        <v>4.42</v>
      </c>
      <c r="L818">
        <v>13.96</v>
      </c>
      <c r="M818">
        <v>14.03</v>
      </c>
      <c r="N818" t="b">
        <v>1</v>
      </c>
      <c r="O818">
        <v>2138</v>
      </c>
      <c r="P818" t="s">
        <v>831</v>
      </c>
      <c r="Q818" t="s">
        <v>2908</v>
      </c>
      <c r="R818">
        <v>5.323044183168046</v>
      </c>
      <c r="S818">
        <v>15199</v>
      </c>
      <c r="T818">
        <v>191933</v>
      </c>
      <c r="U818" t="s">
        <v>4803</v>
      </c>
      <c r="V818">
        <v>54.69</v>
      </c>
      <c r="W818" t="s">
        <v>7023</v>
      </c>
      <c r="X818" t="s">
        <v>9151</v>
      </c>
      <c r="Y818">
        <v>9641</v>
      </c>
      <c r="Z818">
        <v>662</v>
      </c>
      <c r="AA818">
        <v>447941</v>
      </c>
      <c r="AB818">
        <v>2.12</v>
      </c>
    </row>
    <row r="819" spans="1:28">
      <c r="A819" s="2">
        <f>HYPERLINK("https://finance.naver.com/item/coinfo.nhn?code=121800", "A121800")</f>
        <v>0</v>
      </c>
      <c r="B819">
        <f>HYPERLINK("http://comp.fnguide.com/SVO2/ASP/SVD_Consensus.asp?pGB=1&amp;gicode=A121800&amp;cID=&amp;MenuYn=Y&amp;ReportGB=&amp;NewMenuID=108&amp;stkGb=701", "비덴트")</f>
        <v>0</v>
      </c>
      <c r="C819">
        <v>1</v>
      </c>
      <c r="D819">
        <v>9740</v>
      </c>
      <c r="G819">
        <v>15555</v>
      </c>
      <c r="H819">
        <v>9498</v>
      </c>
      <c r="I819">
        <v>7773</v>
      </c>
      <c r="J819">
        <v>-59.7</v>
      </c>
      <c r="K819">
        <v>2.48</v>
      </c>
      <c r="L819">
        <v>20.2</v>
      </c>
      <c r="M819">
        <v>22.64</v>
      </c>
      <c r="N819" t="b">
        <v>0</v>
      </c>
      <c r="O819">
        <v>-258</v>
      </c>
      <c r="P819" t="s">
        <v>832</v>
      </c>
      <c r="Q819" t="s">
        <v>2989</v>
      </c>
      <c r="R819">
        <v>-19.70000000000001</v>
      </c>
      <c r="S819">
        <v>4124</v>
      </c>
      <c r="T819">
        <v>2321818</v>
      </c>
      <c r="U819" t="s">
        <v>4804</v>
      </c>
      <c r="V819">
        <v>23.04</v>
      </c>
      <c r="W819" t="s">
        <v>7024</v>
      </c>
      <c r="X819" t="s">
        <v>9152</v>
      </c>
      <c r="Y819">
        <v>187</v>
      </c>
      <c r="Z819">
        <v>-18</v>
      </c>
      <c r="AA819">
        <v>4015</v>
      </c>
    </row>
    <row r="820" spans="1:28">
      <c r="A820" s="2">
        <f>HYPERLINK("https://finance.naver.com/item/coinfo.nhn?code=005930", "A005930")</f>
        <v>0</v>
      </c>
      <c r="B820">
        <f>HYPERLINK("http://comp.fnguide.com/SVO2/ASP/SVD_Consensus.asp?pGB=1&amp;gicode=A005930&amp;cID=&amp;MenuYn=Y&amp;ReportGB=&amp;NewMenuID=108&amp;stkGb=701", "삼성전자")</f>
        <v>0</v>
      </c>
      <c r="C820">
        <v>1</v>
      </c>
      <c r="D820">
        <v>71500</v>
      </c>
      <c r="E820">
        <v>1.51</v>
      </c>
      <c r="F820">
        <v>17.63</v>
      </c>
      <c r="G820">
        <v>77097</v>
      </c>
      <c r="H820">
        <v>56431</v>
      </c>
      <c r="I820">
        <v>50542</v>
      </c>
      <c r="J820">
        <v>-7.83</v>
      </c>
      <c r="K820">
        <v>21.08</v>
      </c>
      <c r="L820">
        <v>29.31</v>
      </c>
      <c r="M820">
        <v>14.39</v>
      </c>
      <c r="N820" t="b">
        <v>1</v>
      </c>
      <c r="O820">
        <v>3166</v>
      </c>
      <c r="P820" t="s">
        <v>833</v>
      </c>
      <c r="Q820" t="s">
        <v>2990</v>
      </c>
      <c r="R820">
        <v>11.6787969242317</v>
      </c>
      <c r="S820">
        <v>4268395</v>
      </c>
      <c r="T820">
        <v>28130533</v>
      </c>
      <c r="U820" t="s">
        <v>4805</v>
      </c>
      <c r="V820">
        <v>21.19</v>
      </c>
      <c r="W820" t="s">
        <v>7025</v>
      </c>
      <c r="X820" t="s">
        <v>9153</v>
      </c>
      <c r="Y820">
        <v>2304009</v>
      </c>
      <c r="Z820">
        <v>277685</v>
      </c>
      <c r="AB820">
        <v>2.54</v>
      </c>
    </row>
    <row r="821" spans="1:28">
      <c r="A821" s="2">
        <f>HYPERLINK("https://finance.naver.com/item/coinfo.nhn?code=290550", "A290550")</f>
        <v>0</v>
      </c>
      <c r="B821">
        <f>HYPERLINK("http://comp.fnguide.com/SVO2/ASP/SVD_Consensus.asp?pGB=1&amp;gicode=A290550&amp;cID=&amp;MenuYn=Y&amp;ReportGB=&amp;NewMenuID=108&amp;stkGb=701", "디케이티")</f>
        <v>0</v>
      </c>
      <c r="C821">
        <v>1</v>
      </c>
      <c r="D821">
        <v>18450</v>
      </c>
      <c r="E821">
        <v>0.08</v>
      </c>
      <c r="F821">
        <v>14.3</v>
      </c>
      <c r="G821">
        <v>25129</v>
      </c>
      <c r="H821">
        <v>14286</v>
      </c>
      <c r="I821">
        <v>11196</v>
      </c>
      <c r="J821">
        <v>-36.2</v>
      </c>
      <c r="K821">
        <v>22.57</v>
      </c>
      <c r="L821">
        <v>39.31</v>
      </c>
      <c r="M821">
        <v>28.28</v>
      </c>
      <c r="N821" t="b">
        <v>1</v>
      </c>
      <c r="O821">
        <v>965</v>
      </c>
      <c r="P821" t="s">
        <v>834</v>
      </c>
      <c r="Q821" t="s">
        <v>2991</v>
      </c>
      <c r="R821">
        <v>190.255387546898</v>
      </c>
      <c r="S821">
        <v>1519</v>
      </c>
      <c r="T821">
        <v>128764</v>
      </c>
      <c r="U821" t="s">
        <v>4806</v>
      </c>
      <c r="V821">
        <v>58.31</v>
      </c>
      <c r="W821" t="s">
        <v>7026</v>
      </c>
      <c r="X821" t="s">
        <v>9154</v>
      </c>
      <c r="Y821">
        <v>3377</v>
      </c>
      <c r="Z821">
        <v>129</v>
      </c>
    </row>
    <row r="822" spans="1:28">
      <c r="A822" s="2">
        <f>HYPERLINK("https://finance.naver.com/item/coinfo.nhn?code=037030", "A037030")</f>
        <v>0</v>
      </c>
      <c r="B822">
        <f>HYPERLINK("http://comp.fnguide.com/SVO2/ASP/SVD_Consensus.asp?pGB=1&amp;gicode=A037030&amp;cID=&amp;MenuYn=Y&amp;ReportGB=&amp;NewMenuID=108&amp;stkGb=701", "파워넷")</f>
        <v>0</v>
      </c>
      <c r="C822">
        <v>1</v>
      </c>
      <c r="D822">
        <v>5500</v>
      </c>
      <c r="E822">
        <v>-0.5600000000000001</v>
      </c>
      <c r="F822">
        <v>9.33</v>
      </c>
      <c r="G822">
        <v>5535</v>
      </c>
      <c r="H822">
        <v>4219</v>
      </c>
      <c r="I822">
        <v>3844</v>
      </c>
      <c r="J822">
        <v>-0.64</v>
      </c>
      <c r="K822">
        <v>23.28</v>
      </c>
      <c r="L822">
        <v>30.1</v>
      </c>
      <c r="M822">
        <v>13.19</v>
      </c>
      <c r="N822" t="b">
        <v>1</v>
      </c>
      <c r="O822">
        <v>451</v>
      </c>
      <c r="P822" t="s">
        <v>835</v>
      </c>
      <c r="Q822" t="s">
        <v>2992</v>
      </c>
      <c r="R822">
        <v>-16.76596450030813</v>
      </c>
      <c r="S822">
        <v>859</v>
      </c>
      <c r="T822">
        <v>4136923</v>
      </c>
      <c r="U822" t="s">
        <v>4807</v>
      </c>
      <c r="V822">
        <v>25.52</v>
      </c>
      <c r="W822" t="s">
        <v>7027</v>
      </c>
      <c r="X822" t="s">
        <v>9155</v>
      </c>
      <c r="Y822">
        <v>1286</v>
      </c>
      <c r="Z822">
        <v>52</v>
      </c>
      <c r="AA822">
        <v>5633</v>
      </c>
    </row>
    <row r="823" spans="1:28">
      <c r="A823" s="2">
        <f>HYPERLINK("https://finance.naver.com/item/coinfo.nhn?code=079370", "A079370")</f>
        <v>0</v>
      </c>
      <c r="B823">
        <f>HYPERLINK("http://comp.fnguide.com/SVO2/ASP/SVD_Consensus.asp?pGB=1&amp;gicode=A079370&amp;cID=&amp;MenuYn=Y&amp;ReportGB=&amp;NewMenuID=108&amp;stkGb=701", "제우스")</f>
        <v>0</v>
      </c>
      <c r="C823">
        <v>1</v>
      </c>
      <c r="D823">
        <v>25750</v>
      </c>
      <c r="E823">
        <v>-1.28</v>
      </c>
      <c r="F823">
        <v>10.13</v>
      </c>
      <c r="G823">
        <v>28424</v>
      </c>
      <c r="H823">
        <v>24647</v>
      </c>
      <c r="I823">
        <v>23571</v>
      </c>
      <c r="J823">
        <v>-10.39</v>
      </c>
      <c r="K823">
        <v>4.28</v>
      </c>
      <c r="L823">
        <v>8.460000000000001</v>
      </c>
      <c r="M823">
        <v>10.23</v>
      </c>
      <c r="N823" t="b">
        <v>1</v>
      </c>
      <c r="O823">
        <v>1343</v>
      </c>
      <c r="P823" t="s">
        <v>836</v>
      </c>
      <c r="Q823" t="s">
        <v>2993</v>
      </c>
      <c r="R823">
        <v>-7.917417335891564</v>
      </c>
      <c r="S823">
        <v>2674</v>
      </c>
      <c r="T823">
        <v>186307</v>
      </c>
      <c r="U823" t="s">
        <v>4808</v>
      </c>
      <c r="V823">
        <v>39.56</v>
      </c>
      <c r="W823" t="s">
        <v>7028</v>
      </c>
      <c r="X823" t="s">
        <v>9156</v>
      </c>
      <c r="Y823">
        <v>3235</v>
      </c>
      <c r="Z823">
        <v>182</v>
      </c>
      <c r="AA823">
        <v>270028</v>
      </c>
      <c r="AB823">
        <v>1.47</v>
      </c>
    </row>
    <row r="824" spans="1:28">
      <c r="A824" s="2">
        <f>HYPERLINK("https://finance.naver.com/item/coinfo.nhn?code=027970", "A027970")</f>
        <v>0</v>
      </c>
      <c r="B824">
        <f>HYPERLINK("http://comp.fnguide.com/SVO2/ASP/SVD_Consensus.asp?pGB=1&amp;gicode=A027970&amp;cID=&amp;MenuYn=Y&amp;ReportGB=&amp;NewMenuID=108&amp;stkGb=701", "세하")</f>
        <v>0</v>
      </c>
      <c r="C824">
        <v>1</v>
      </c>
      <c r="D824">
        <v>1930</v>
      </c>
      <c r="E824">
        <v>0.07000000000000001</v>
      </c>
      <c r="F824">
        <v>5.57</v>
      </c>
      <c r="G824">
        <v>2076</v>
      </c>
      <c r="H824">
        <v>1224</v>
      </c>
      <c r="I824">
        <v>982</v>
      </c>
      <c r="J824">
        <v>-7.58</v>
      </c>
      <c r="K824">
        <v>36.56</v>
      </c>
      <c r="L824">
        <v>49.14</v>
      </c>
      <c r="M824">
        <v>25.13</v>
      </c>
      <c r="N824" t="b">
        <v>1</v>
      </c>
      <c r="O824">
        <v>380</v>
      </c>
      <c r="P824" t="s">
        <v>837</v>
      </c>
      <c r="Q824" t="s">
        <v>2994</v>
      </c>
      <c r="R824">
        <v>80.43641539334571</v>
      </c>
      <c r="S824">
        <v>1111</v>
      </c>
      <c r="T824">
        <v>9178196</v>
      </c>
      <c r="U824" t="s">
        <v>4809</v>
      </c>
      <c r="V824">
        <v>50.73</v>
      </c>
      <c r="W824" t="s">
        <v>7029</v>
      </c>
      <c r="X824" t="s">
        <v>9157</v>
      </c>
      <c r="Y824">
        <v>1777</v>
      </c>
      <c r="Z824">
        <v>141</v>
      </c>
      <c r="AA824">
        <v>1305</v>
      </c>
    </row>
    <row r="825" spans="1:28">
      <c r="A825" s="2">
        <f>HYPERLINK("https://finance.naver.com/item/coinfo.nhn?code=090460", "A090460")</f>
        <v>0</v>
      </c>
      <c r="B825">
        <f>HYPERLINK("http://comp.fnguide.com/SVO2/ASP/SVD_Consensus.asp?pGB=1&amp;gicode=A090460&amp;cID=&amp;MenuYn=Y&amp;ReportGB=&amp;NewMenuID=108&amp;stkGb=701", "비에이치")</f>
        <v>0</v>
      </c>
      <c r="C825">
        <v>1</v>
      </c>
      <c r="D825">
        <v>21150</v>
      </c>
      <c r="E825">
        <v>-0.91</v>
      </c>
      <c r="F825">
        <v>12.67</v>
      </c>
      <c r="G825">
        <v>39180</v>
      </c>
      <c r="H825">
        <v>21076</v>
      </c>
      <c r="I825">
        <v>15918</v>
      </c>
      <c r="J825">
        <v>-85.25</v>
      </c>
      <c r="K825">
        <v>0.35</v>
      </c>
      <c r="L825">
        <v>24.74</v>
      </c>
      <c r="M825">
        <v>34.51</v>
      </c>
      <c r="N825" t="b">
        <v>1</v>
      </c>
      <c r="O825">
        <v>1732</v>
      </c>
      <c r="P825" t="s">
        <v>838</v>
      </c>
      <c r="Q825" t="s">
        <v>2995</v>
      </c>
      <c r="R825">
        <v>-13.98134193358317</v>
      </c>
      <c r="S825">
        <v>7079</v>
      </c>
      <c r="T825">
        <v>1410441</v>
      </c>
      <c r="U825" t="s">
        <v>4810</v>
      </c>
      <c r="V825">
        <v>22</v>
      </c>
      <c r="W825" t="s">
        <v>7030</v>
      </c>
      <c r="X825" t="s">
        <v>9158</v>
      </c>
      <c r="Y825">
        <v>6549</v>
      </c>
      <c r="Z825">
        <v>626</v>
      </c>
      <c r="AA825">
        <v>2586488</v>
      </c>
    </row>
    <row r="826" spans="1:28">
      <c r="A826" s="2">
        <f>HYPERLINK("https://finance.naver.com/item/coinfo.nhn?code=145720", "A145720")</f>
        <v>0</v>
      </c>
      <c r="B826">
        <f>HYPERLINK("http://comp.fnguide.com/SVO2/ASP/SVD_Consensus.asp?pGB=1&amp;gicode=A145720&amp;cID=&amp;MenuYn=Y&amp;ReportGB=&amp;NewMenuID=108&amp;stkGb=701", "덴티움")</f>
        <v>0</v>
      </c>
      <c r="C826">
        <v>1</v>
      </c>
      <c r="D826">
        <v>42750</v>
      </c>
      <c r="E826">
        <v>-2.34</v>
      </c>
      <c r="F826">
        <v>40.28</v>
      </c>
      <c r="G826">
        <v>43478</v>
      </c>
      <c r="H826">
        <v>31770</v>
      </c>
      <c r="I826">
        <v>28434</v>
      </c>
      <c r="J826">
        <v>-1.7</v>
      </c>
      <c r="K826">
        <v>25.68</v>
      </c>
      <c r="L826">
        <v>33.49</v>
      </c>
      <c r="M826">
        <v>14.44</v>
      </c>
      <c r="N826" t="b">
        <v>0</v>
      </c>
      <c r="O826">
        <v>1336</v>
      </c>
      <c r="P826" t="s">
        <v>839</v>
      </c>
      <c r="Q826" t="s">
        <v>2996</v>
      </c>
      <c r="R826">
        <v>-17.23943037131282</v>
      </c>
      <c r="S826">
        <v>4732</v>
      </c>
      <c r="T826">
        <v>44399</v>
      </c>
      <c r="U826" t="s">
        <v>4811</v>
      </c>
      <c r="V826">
        <v>19.02</v>
      </c>
      <c r="W826" t="s">
        <v>7031</v>
      </c>
      <c r="X826" t="s">
        <v>9159</v>
      </c>
      <c r="Y826">
        <v>2526</v>
      </c>
      <c r="Z826">
        <v>447</v>
      </c>
      <c r="AA826">
        <v>2444939</v>
      </c>
    </row>
    <row r="827" spans="1:28">
      <c r="A827" s="2">
        <f>HYPERLINK("https://finance.naver.com/item/coinfo.nhn?code=122310", "A122310")</f>
        <v>0</v>
      </c>
      <c r="B827">
        <f>HYPERLINK("http://comp.fnguide.com/SVO2/ASP/SVD_Consensus.asp?pGB=1&amp;gicode=A122310&amp;cID=&amp;MenuYn=Y&amp;ReportGB=&amp;NewMenuID=108&amp;stkGb=701", "제노레이")</f>
        <v>0</v>
      </c>
      <c r="C827">
        <v>1</v>
      </c>
      <c r="D827">
        <v>9640</v>
      </c>
      <c r="E827">
        <v>0.24</v>
      </c>
      <c r="F827">
        <v>7.88</v>
      </c>
      <c r="G827">
        <v>13702</v>
      </c>
      <c r="H827">
        <v>7974</v>
      </c>
      <c r="I827">
        <v>6343</v>
      </c>
      <c r="J827">
        <v>-42.13</v>
      </c>
      <c r="K827">
        <v>17.28</v>
      </c>
      <c r="L827">
        <v>34.21</v>
      </c>
      <c r="M827">
        <v>26.19</v>
      </c>
      <c r="N827" t="b">
        <v>1</v>
      </c>
      <c r="O827">
        <v>950</v>
      </c>
      <c r="P827" t="s">
        <v>840</v>
      </c>
      <c r="Q827" t="s">
        <v>2997</v>
      </c>
      <c r="R827">
        <v>33.0186583552752</v>
      </c>
      <c r="S827">
        <v>1403</v>
      </c>
      <c r="T827">
        <v>135990</v>
      </c>
      <c r="U827" t="s">
        <v>4812</v>
      </c>
      <c r="V827">
        <v>28.5</v>
      </c>
      <c r="W827" t="s">
        <v>7032</v>
      </c>
      <c r="X827" t="s">
        <v>9160</v>
      </c>
      <c r="Y827">
        <v>651</v>
      </c>
      <c r="Z827">
        <v>147</v>
      </c>
      <c r="AA827">
        <v>260000</v>
      </c>
      <c r="AB827">
        <v>1.8</v>
      </c>
    </row>
    <row r="828" spans="1:28">
      <c r="A828" s="2">
        <f>HYPERLINK("https://finance.naver.com/item/coinfo.nhn?code=040910", "A040910")</f>
        <v>0</v>
      </c>
      <c r="B828">
        <f>HYPERLINK("http://comp.fnguide.com/SVO2/ASP/SVD_Consensus.asp?pGB=1&amp;gicode=A040910&amp;cID=&amp;MenuYn=Y&amp;ReportGB=&amp;NewMenuID=108&amp;stkGb=701", "아이씨디")</f>
        <v>0</v>
      </c>
      <c r="C828">
        <v>1</v>
      </c>
      <c r="D828">
        <v>15700</v>
      </c>
      <c r="E828">
        <v>0.47</v>
      </c>
      <c r="F828">
        <v>30.76</v>
      </c>
      <c r="G828">
        <v>16219</v>
      </c>
      <c r="H828">
        <v>11721</v>
      </c>
      <c r="I828">
        <v>10440</v>
      </c>
      <c r="J828">
        <v>-3.31</v>
      </c>
      <c r="K828">
        <v>25.34</v>
      </c>
      <c r="L828">
        <v>33.51</v>
      </c>
      <c r="M828">
        <v>14.8</v>
      </c>
      <c r="N828" t="b">
        <v>1</v>
      </c>
      <c r="O828">
        <v>639</v>
      </c>
      <c r="P828" t="s">
        <v>841</v>
      </c>
      <c r="Q828" t="s">
        <v>2998</v>
      </c>
      <c r="R828">
        <v>64.79233758041798</v>
      </c>
      <c r="S828">
        <v>2818</v>
      </c>
      <c r="T828">
        <v>255894</v>
      </c>
      <c r="U828" t="s">
        <v>4813</v>
      </c>
      <c r="V828">
        <v>24.08</v>
      </c>
      <c r="W828" t="s">
        <v>7033</v>
      </c>
      <c r="X828" t="s">
        <v>9161</v>
      </c>
      <c r="Y828">
        <v>1216</v>
      </c>
      <c r="Z828">
        <v>143</v>
      </c>
      <c r="AA828">
        <v>1104471</v>
      </c>
      <c r="AB828">
        <v>0.76</v>
      </c>
    </row>
    <row r="829" spans="1:28">
      <c r="A829" s="2">
        <f>HYPERLINK("https://finance.naver.com/item/coinfo.nhn?code=101160", "A101160")</f>
        <v>0</v>
      </c>
      <c r="B829">
        <f>HYPERLINK("http://comp.fnguide.com/SVO2/ASP/SVD_Consensus.asp?pGB=1&amp;gicode=A101160&amp;cID=&amp;MenuYn=Y&amp;ReportGB=&amp;NewMenuID=108&amp;stkGb=701", "월덱스")</f>
        <v>0</v>
      </c>
      <c r="C829">
        <v>1</v>
      </c>
      <c r="D829">
        <v>15550</v>
      </c>
      <c r="E829">
        <v>0.04</v>
      </c>
      <c r="F829">
        <v>7.02</v>
      </c>
      <c r="G829">
        <v>16253</v>
      </c>
      <c r="H829">
        <v>9752</v>
      </c>
      <c r="I829">
        <v>7899</v>
      </c>
      <c r="J829">
        <v>-4.52</v>
      </c>
      <c r="K829">
        <v>37.29</v>
      </c>
      <c r="L829">
        <v>49.2</v>
      </c>
      <c r="M829">
        <v>23.84</v>
      </c>
      <c r="N829" t="b">
        <v>1</v>
      </c>
      <c r="O829">
        <v>1180</v>
      </c>
      <c r="P829" t="s">
        <v>842</v>
      </c>
      <c r="Q829" t="s">
        <v>2999</v>
      </c>
      <c r="R829">
        <v>164.7022803522813</v>
      </c>
      <c r="S829">
        <v>2567</v>
      </c>
      <c r="T829">
        <v>298871</v>
      </c>
      <c r="U829" t="s">
        <v>4814</v>
      </c>
      <c r="V829">
        <v>35.07</v>
      </c>
      <c r="W829" t="s">
        <v>7034</v>
      </c>
      <c r="X829" t="s">
        <v>9162</v>
      </c>
      <c r="Y829">
        <v>1174</v>
      </c>
      <c r="Z829">
        <v>234</v>
      </c>
      <c r="AB829">
        <v>0.6</v>
      </c>
    </row>
    <row r="830" spans="1:28">
      <c r="A830" s="2">
        <f>HYPERLINK("https://finance.naver.com/item/coinfo.nhn?code=002410", "A002410")</f>
        <v>0</v>
      </c>
      <c r="B830">
        <f>HYPERLINK("http://comp.fnguide.com/SVO2/ASP/SVD_Consensus.asp?pGB=1&amp;gicode=A002410&amp;cID=&amp;MenuYn=Y&amp;ReportGB=&amp;NewMenuID=108&amp;stkGb=701", "범양건영")</f>
        <v>0</v>
      </c>
      <c r="C830">
        <v>1</v>
      </c>
      <c r="D830">
        <v>5080</v>
      </c>
      <c r="E830">
        <v>0.04</v>
      </c>
      <c r="F830">
        <v>4.12</v>
      </c>
      <c r="G830">
        <v>7326</v>
      </c>
      <c r="H830">
        <v>4618</v>
      </c>
      <c r="I830">
        <v>3847</v>
      </c>
      <c r="J830">
        <v>-44.22</v>
      </c>
      <c r="K830">
        <v>9.09</v>
      </c>
      <c r="L830">
        <v>24.28</v>
      </c>
      <c r="M830">
        <v>20.71</v>
      </c>
      <c r="N830" t="b">
        <v>1</v>
      </c>
      <c r="O830">
        <v>794</v>
      </c>
      <c r="P830" t="s">
        <v>843</v>
      </c>
      <c r="Q830" t="s">
        <v>3000</v>
      </c>
      <c r="R830">
        <v>112.6799412753776</v>
      </c>
      <c r="S830">
        <v>1261</v>
      </c>
      <c r="T830">
        <v>1389328</v>
      </c>
      <c r="U830" t="s">
        <v>4815</v>
      </c>
      <c r="V830">
        <v>33.22</v>
      </c>
      <c r="W830" t="s">
        <v>7035</v>
      </c>
      <c r="X830" t="s">
        <v>9163</v>
      </c>
      <c r="Y830">
        <v>2761</v>
      </c>
      <c r="Z830">
        <v>115</v>
      </c>
      <c r="AA830">
        <v>2030</v>
      </c>
    </row>
    <row r="831" spans="1:28">
      <c r="A831" s="2">
        <f>HYPERLINK("https://finance.naver.com/item/coinfo.nhn?code=066700", "A066700")</f>
        <v>0</v>
      </c>
      <c r="B831">
        <f>HYPERLINK("http://comp.fnguide.com/SVO2/ASP/SVD_Consensus.asp?pGB=1&amp;gicode=A066700&amp;cID=&amp;MenuYn=Y&amp;ReportGB=&amp;NewMenuID=108&amp;stkGb=701", "테라젠이텍스")</f>
        <v>0</v>
      </c>
      <c r="C831">
        <v>1</v>
      </c>
      <c r="D831">
        <v>9870</v>
      </c>
      <c r="E831">
        <v>-0.13</v>
      </c>
      <c r="F831">
        <v>5.95</v>
      </c>
      <c r="G831">
        <v>10890</v>
      </c>
      <c r="H831">
        <v>6903</v>
      </c>
      <c r="I831">
        <v>5767</v>
      </c>
      <c r="J831">
        <v>-10.33</v>
      </c>
      <c r="K831">
        <v>30.06</v>
      </c>
      <c r="L831">
        <v>41.57</v>
      </c>
      <c r="M831">
        <v>20.4</v>
      </c>
      <c r="N831" t="b">
        <v>1</v>
      </c>
      <c r="O831">
        <v>1408</v>
      </c>
      <c r="P831" t="s">
        <v>844</v>
      </c>
      <c r="Q831" t="s">
        <v>3001</v>
      </c>
      <c r="R831">
        <v>-47.4</v>
      </c>
      <c r="S831">
        <v>3199</v>
      </c>
      <c r="T831">
        <v>441856</v>
      </c>
      <c r="U831" t="s">
        <v>4816</v>
      </c>
      <c r="V831">
        <v>16.89</v>
      </c>
      <c r="W831" t="s">
        <v>7036</v>
      </c>
      <c r="X831" t="s">
        <v>9164</v>
      </c>
      <c r="Y831">
        <v>1381</v>
      </c>
      <c r="Z831">
        <v>37</v>
      </c>
      <c r="AA831">
        <v>469056</v>
      </c>
    </row>
    <row r="832" spans="1:28">
      <c r="A832" s="2">
        <f>HYPERLINK("https://finance.naver.com/item/coinfo.nhn?code=317400", "A317400")</f>
        <v>0</v>
      </c>
      <c r="B832">
        <f>HYPERLINK("http://comp.fnguide.com/SVO2/ASP/SVD_Consensus.asp?pGB=1&amp;gicode=A317400&amp;cID=&amp;MenuYn=Y&amp;ReportGB=&amp;NewMenuID=108&amp;stkGb=701", "자이에스앤디")</f>
        <v>0</v>
      </c>
      <c r="C832">
        <v>1</v>
      </c>
      <c r="D832">
        <v>9770</v>
      </c>
      <c r="E832">
        <v>-2.62</v>
      </c>
      <c r="F832">
        <v>8.449999999999999</v>
      </c>
      <c r="G832">
        <v>11925</v>
      </c>
      <c r="H832">
        <v>8015</v>
      </c>
      <c r="I832">
        <v>6901</v>
      </c>
      <c r="J832">
        <v>-22.06</v>
      </c>
      <c r="K832">
        <v>17.96</v>
      </c>
      <c r="L832">
        <v>29.36</v>
      </c>
      <c r="M832">
        <v>17.54</v>
      </c>
      <c r="N832" t="b">
        <v>1</v>
      </c>
      <c r="O832">
        <v>676</v>
      </c>
      <c r="P832" t="s">
        <v>845</v>
      </c>
      <c r="Q832" t="s">
        <v>3002</v>
      </c>
      <c r="R832">
        <v>-3.226821046745387</v>
      </c>
      <c r="S832">
        <v>2617</v>
      </c>
      <c r="T832">
        <v>223409</v>
      </c>
      <c r="U832" t="s">
        <v>4817</v>
      </c>
      <c r="V832">
        <v>61.17</v>
      </c>
      <c r="W832" t="s">
        <v>7037</v>
      </c>
      <c r="X832" t="s">
        <v>9165</v>
      </c>
      <c r="Y832">
        <v>2779</v>
      </c>
      <c r="Z832">
        <v>165</v>
      </c>
      <c r="AB832">
        <v>1.75</v>
      </c>
    </row>
    <row r="833" spans="1:28">
      <c r="A833" s="2">
        <f>HYPERLINK("https://finance.naver.com/item/coinfo.nhn?code=272290", "A272290")</f>
        <v>0</v>
      </c>
      <c r="B833">
        <f>HYPERLINK("http://comp.fnguide.com/SVO2/ASP/SVD_Consensus.asp?pGB=1&amp;gicode=A272290&amp;cID=&amp;MenuYn=Y&amp;ReportGB=&amp;NewMenuID=108&amp;stkGb=701", "이녹스첨단소재")</f>
        <v>0</v>
      </c>
      <c r="C833">
        <v>1</v>
      </c>
      <c r="D833">
        <v>44750</v>
      </c>
      <c r="E833">
        <v>0</v>
      </c>
      <c r="F833">
        <v>14.72</v>
      </c>
      <c r="G833">
        <v>44781</v>
      </c>
      <c r="H833">
        <v>29777</v>
      </c>
      <c r="I833">
        <v>25502</v>
      </c>
      <c r="J833">
        <v>-0.07000000000000001</v>
      </c>
      <c r="K833">
        <v>33.46</v>
      </c>
      <c r="L833">
        <v>43.01</v>
      </c>
      <c r="M833">
        <v>18.02</v>
      </c>
      <c r="N833" t="b">
        <v>1</v>
      </c>
      <c r="O833">
        <v>3635</v>
      </c>
      <c r="P833" t="s">
        <v>846</v>
      </c>
      <c r="Q833" t="s">
        <v>3003</v>
      </c>
      <c r="R833">
        <v>0</v>
      </c>
      <c r="S833">
        <v>4252</v>
      </c>
      <c r="T833">
        <v>81207</v>
      </c>
      <c r="U833" t="s">
        <v>4818</v>
      </c>
      <c r="V833">
        <v>33.43</v>
      </c>
      <c r="W833" t="s">
        <v>7038</v>
      </c>
      <c r="X833" t="s">
        <v>9166</v>
      </c>
      <c r="Y833">
        <v>3493</v>
      </c>
      <c r="Z833">
        <v>465</v>
      </c>
      <c r="AA833">
        <v>385691</v>
      </c>
      <c r="AB833">
        <v>0</v>
      </c>
    </row>
    <row r="834" spans="1:28">
      <c r="A834" s="2">
        <f>HYPERLINK("https://finance.naver.com/item/coinfo.nhn?code=081660", "A081660")</f>
        <v>0</v>
      </c>
      <c r="B834">
        <f>HYPERLINK("http://comp.fnguide.com/SVO2/ASP/SVD_Consensus.asp?pGB=1&amp;gicode=A081660&amp;cID=&amp;MenuYn=Y&amp;ReportGB=&amp;NewMenuID=108&amp;stkGb=701", "휠라홀딩스")</f>
        <v>0</v>
      </c>
      <c r="C834">
        <v>1</v>
      </c>
      <c r="D834">
        <v>42450</v>
      </c>
      <c r="E834">
        <v>-0.7</v>
      </c>
      <c r="F834">
        <v>12.14</v>
      </c>
      <c r="G834">
        <v>48280</v>
      </c>
      <c r="H834">
        <v>31766</v>
      </c>
      <c r="I834">
        <v>27061</v>
      </c>
      <c r="J834">
        <v>-13.73</v>
      </c>
      <c r="K834">
        <v>25.17</v>
      </c>
      <c r="L834">
        <v>36.25</v>
      </c>
      <c r="M834">
        <v>18.5</v>
      </c>
      <c r="N834" t="b">
        <v>1</v>
      </c>
      <c r="O834">
        <v>4365</v>
      </c>
      <c r="P834" t="s">
        <v>847</v>
      </c>
      <c r="Q834" t="s">
        <v>3004</v>
      </c>
      <c r="R834">
        <v>-17.29044929373262</v>
      </c>
      <c r="S834">
        <v>25789</v>
      </c>
      <c r="T834">
        <v>522507</v>
      </c>
      <c r="U834" t="s">
        <v>4819</v>
      </c>
      <c r="V834">
        <v>21.64</v>
      </c>
      <c r="W834" t="s">
        <v>7039</v>
      </c>
      <c r="X834" t="s">
        <v>9167</v>
      </c>
      <c r="Y834">
        <v>34504</v>
      </c>
      <c r="Z834">
        <v>4707</v>
      </c>
      <c r="AA834">
        <v>657840</v>
      </c>
      <c r="AB834">
        <v>0.41</v>
      </c>
    </row>
    <row r="835" spans="1:28">
      <c r="A835" s="2">
        <f>HYPERLINK("https://finance.naver.com/item/coinfo.nhn?code=215200", "A215200")</f>
        <v>0</v>
      </c>
      <c r="B835">
        <f>HYPERLINK("http://comp.fnguide.com/SVO2/ASP/SVD_Consensus.asp?pGB=1&amp;gicode=A215200&amp;cID=&amp;MenuYn=Y&amp;ReportGB=&amp;NewMenuID=108&amp;stkGb=701", "메가스터디교육")</f>
        <v>0</v>
      </c>
      <c r="C835">
        <v>1</v>
      </c>
      <c r="D835">
        <v>38400</v>
      </c>
      <c r="E835">
        <v>0.44</v>
      </c>
      <c r="F835">
        <v>10.42</v>
      </c>
      <c r="G835">
        <v>47651</v>
      </c>
      <c r="H835">
        <v>31628</v>
      </c>
      <c r="I835">
        <v>27063</v>
      </c>
      <c r="J835">
        <v>-24.09</v>
      </c>
      <c r="K835">
        <v>17.63</v>
      </c>
      <c r="L835">
        <v>29.52</v>
      </c>
      <c r="M835">
        <v>18.1</v>
      </c>
      <c r="N835" t="b">
        <v>0</v>
      </c>
      <c r="O835">
        <v>3985</v>
      </c>
      <c r="P835" t="s">
        <v>848</v>
      </c>
      <c r="Q835" t="s">
        <v>3005</v>
      </c>
      <c r="R835">
        <v>23.81139671213723</v>
      </c>
      <c r="S835">
        <v>4547</v>
      </c>
      <c r="T835">
        <v>84385</v>
      </c>
      <c r="U835" t="s">
        <v>4820</v>
      </c>
      <c r="V835">
        <v>34.81</v>
      </c>
      <c r="W835" t="s">
        <v>7040</v>
      </c>
      <c r="X835" t="s">
        <v>9168</v>
      </c>
      <c r="Y835">
        <v>4373</v>
      </c>
      <c r="Z835">
        <v>596</v>
      </c>
      <c r="AA835">
        <v>80557</v>
      </c>
      <c r="AB835">
        <v>2.65</v>
      </c>
    </row>
    <row r="836" spans="1:28">
      <c r="A836" s="2">
        <f>HYPERLINK("https://finance.naver.com/item/coinfo.nhn?code=267320", "A267320")</f>
        <v>0</v>
      </c>
      <c r="B836">
        <f>HYPERLINK("http://comp.fnguide.com/SVO2/ASP/SVD_Consensus.asp?pGB=1&amp;gicode=A267320&amp;cID=&amp;MenuYn=Y&amp;ReportGB=&amp;NewMenuID=108&amp;stkGb=701", "나인테크")</f>
        <v>0</v>
      </c>
      <c r="C836">
        <v>1</v>
      </c>
      <c r="D836">
        <v>4055</v>
      </c>
      <c r="G836">
        <v>5750</v>
      </c>
      <c r="H836">
        <v>2447</v>
      </c>
      <c r="I836">
        <v>1506</v>
      </c>
      <c r="J836">
        <v>-41.79</v>
      </c>
      <c r="K836">
        <v>39.65</v>
      </c>
      <c r="L836">
        <v>62.86</v>
      </c>
      <c r="M836">
        <v>181.15</v>
      </c>
      <c r="N836" t="b">
        <v>0</v>
      </c>
      <c r="O836">
        <v>114</v>
      </c>
      <c r="P836" t="s">
        <v>849</v>
      </c>
      <c r="Q836" t="s">
        <v>3006</v>
      </c>
      <c r="R836">
        <v>106.5</v>
      </c>
      <c r="S836">
        <v>1598</v>
      </c>
      <c r="T836">
        <v>1349451</v>
      </c>
      <c r="U836" t="s">
        <v>4821</v>
      </c>
      <c r="V836">
        <v>33.2</v>
      </c>
      <c r="W836" t="s">
        <v>7041</v>
      </c>
      <c r="X836" t="s">
        <v>968</v>
      </c>
      <c r="Y836">
        <v>752</v>
      </c>
      <c r="Z836">
        <v>65</v>
      </c>
      <c r="AA836">
        <v>261560</v>
      </c>
    </row>
    <row r="837" spans="1:28">
      <c r="A837" s="2">
        <f>HYPERLINK("https://finance.naver.com/item/coinfo.nhn?code=264450", "A264450")</f>
        <v>0</v>
      </c>
      <c r="B837">
        <f>HYPERLINK("http://comp.fnguide.com/SVO2/ASP/SVD_Consensus.asp?pGB=1&amp;gicode=A264450&amp;cID=&amp;MenuYn=Y&amp;ReportGB=&amp;NewMenuID=108&amp;stkGb=701", "유비쿼스")</f>
        <v>0</v>
      </c>
      <c r="C837">
        <v>1</v>
      </c>
      <c r="D837">
        <v>24200</v>
      </c>
      <c r="E837">
        <v>0</v>
      </c>
      <c r="F837">
        <v>13.06</v>
      </c>
      <c r="G837">
        <v>28802</v>
      </c>
      <c r="H837">
        <v>21844</v>
      </c>
      <c r="I837">
        <v>19861</v>
      </c>
      <c r="J837">
        <v>-19.02</v>
      </c>
      <c r="K837">
        <v>9.74</v>
      </c>
      <c r="L837">
        <v>17.93</v>
      </c>
      <c r="M837">
        <v>13.33</v>
      </c>
      <c r="N837" t="b">
        <v>1</v>
      </c>
      <c r="O837">
        <v>2174</v>
      </c>
      <c r="P837" t="s">
        <v>850</v>
      </c>
      <c r="Q837" t="s">
        <v>3007</v>
      </c>
      <c r="R837">
        <v>0</v>
      </c>
      <c r="S837">
        <v>2479</v>
      </c>
      <c r="T837">
        <v>287309</v>
      </c>
      <c r="U837" t="s">
        <v>4822</v>
      </c>
      <c r="V837">
        <v>41.43</v>
      </c>
      <c r="W837" t="s">
        <v>7042</v>
      </c>
      <c r="X837" t="s">
        <v>9169</v>
      </c>
      <c r="Y837">
        <v>1039</v>
      </c>
      <c r="Z837">
        <v>122</v>
      </c>
      <c r="AA837">
        <v>2204</v>
      </c>
      <c r="AB837">
        <v>1.58</v>
      </c>
    </row>
    <row r="838" spans="1:28">
      <c r="A838" s="2">
        <f>HYPERLINK("https://finance.naver.com/item/coinfo.nhn?code=097800", "A097800")</f>
        <v>0</v>
      </c>
      <c r="B838">
        <f>HYPERLINK("http://comp.fnguide.com/SVO2/ASP/SVD_Consensus.asp?pGB=1&amp;gicode=A097800&amp;cID=&amp;MenuYn=Y&amp;ReportGB=&amp;NewMenuID=108&amp;stkGb=701", "윈팩")</f>
        <v>0</v>
      </c>
      <c r="C838">
        <v>1</v>
      </c>
      <c r="D838">
        <v>1910</v>
      </c>
      <c r="E838">
        <v>0.05</v>
      </c>
      <c r="F838">
        <v>7.97</v>
      </c>
      <c r="G838">
        <v>1914</v>
      </c>
      <c r="H838">
        <v>1502</v>
      </c>
      <c r="I838">
        <v>1384</v>
      </c>
      <c r="J838">
        <v>-0.24</v>
      </c>
      <c r="K838">
        <v>21.38</v>
      </c>
      <c r="L838">
        <v>27.54</v>
      </c>
      <c r="M838">
        <v>12.43</v>
      </c>
      <c r="N838" t="b">
        <v>1</v>
      </c>
      <c r="O838">
        <v>253</v>
      </c>
      <c r="P838" t="s">
        <v>851</v>
      </c>
      <c r="Q838" t="s">
        <v>3008</v>
      </c>
      <c r="R838">
        <v>158.3180210515712</v>
      </c>
      <c r="S838">
        <v>731</v>
      </c>
      <c r="T838">
        <v>2069533</v>
      </c>
      <c r="U838" t="s">
        <v>4823</v>
      </c>
      <c r="V838">
        <v>19.21</v>
      </c>
      <c r="W838" t="s">
        <v>7043</v>
      </c>
      <c r="X838" t="s">
        <v>9170</v>
      </c>
      <c r="Y838">
        <v>979</v>
      </c>
      <c r="Z838">
        <v>78</v>
      </c>
    </row>
    <row r="839" spans="1:28">
      <c r="A839" s="2">
        <f>HYPERLINK("https://finance.naver.com/item/coinfo.nhn?code=052860", "A052860")</f>
        <v>0</v>
      </c>
      <c r="B839">
        <f>HYPERLINK("http://comp.fnguide.com/SVO2/ASP/SVD_Consensus.asp?pGB=1&amp;gicode=A052860&amp;cID=&amp;MenuYn=Y&amp;ReportGB=&amp;NewMenuID=108&amp;stkGb=701", "아이앤씨")</f>
        <v>0</v>
      </c>
      <c r="C839">
        <v>1</v>
      </c>
      <c r="D839">
        <v>3905</v>
      </c>
      <c r="E839">
        <v>0.41</v>
      </c>
      <c r="F839">
        <v>16.08</v>
      </c>
      <c r="G839">
        <v>3927</v>
      </c>
      <c r="H839">
        <v>3501</v>
      </c>
      <c r="I839">
        <v>3379</v>
      </c>
      <c r="J839">
        <v>-0.5600000000000001</v>
      </c>
      <c r="K839">
        <v>10.35</v>
      </c>
      <c r="L839">
        <v>13.46</v>
      </c>
      <c r="M839">
        <v>9.73</v>
      </c>
      <c r="N839" t="b">
        <v>1</v>
      </c>
      <c r="O839">
        <v>328</v>
      </c>
      <c r="P839" t="s">
        <v>852</v>
      </c>
      <c r="Q839" t="s">
        <v>3009</v>
      </c>
      <c r="R839">
        <v>39.67518992521104</v>
      </c>
      <c r="S839">
        <v>688</v>
      </c>
      <c r="T839">
        <v>232316</v>
      </c>
      <c r="U839" t="s">
        <v>4824</v>
      </c>
      <c r="V839">
        <v>30.35</v>
      </c>
      <c r="W839" t="s">
        <v>7044</v>
      </c>
      <c r="X839" t="s">
        <v>9171</v>
      </c>
      <c r="Y839">
        <v>456</v>
      </c>
      <c r="Z839">
        <v>43</v>
      </c>
      <c r="AA839">
        <v>552775</v>
      </c>
      <c r="AB839">
        <v>1.9</v>
      </c>
    </row>
    <row r="840" spans="1:28">
      <c r="A840" s="2">
        <f>HYPERLINK("https://finance.naver.com/item/coinfo.nhn?code=018250", "A018250")</f>
        <v>0</v>
      </c>
      <c r="B840">
        <f>HYPERLINK("http://comp.fnguide.com/SVO2/ASP/SVD_Consensus.asp?pGB=1&amp;gicode=A018250&amp;cID=&amp;MenuYn=Y&amp;ReportGB=&amp;NewMenuID=108&amp;stkGb=701", "애경산업")</f>
        <v>0</v>
      </c>
      <c r="C840">
        <v>1</v>
      </c>
      <c r="D840">
        <v>25200</v>
      </c>
      <c r="E840">
        <v>-1.67</v>
      </c>
      <c r="F840">
        <v>17.97</v>
      </c>
      <c r="G840">
        <v>35852</v>
      </c>
      <c r="H840">
        <v>22071</v>
      </c>
      <c r="I840">
        <v>18144</v>
      </c>
      <c r="J840">
        <v>-42.27</v>
      </c>
      <c r="K840">
        <v>12.42</v>
      </c>
      <c r="L840">
        <v>28</v>
      </c>
      <c r="M840">
        <v>22.12</v>
      </c>
      <c r="N840" t="b">
        <v>1</v>
      </c>
      <c r="O840">
        <v>1581</v>
      </c>
      <c r="P840" t="s">
        <v>853</v>
      </c>
      <c r="Q840" t="s">
        <v>3010</v>
      </c>
      <c r="R840">
        <v>-10.75607852195181</v>
      </c>
      <c r="S840">
        <v>6655</v>
      </c>
      <c r="T840">
        <v>88490</v>
      </c>
      <c r="U840" t="s">
        <v>4825</v>
      </c>
      <c r="V840">
        <v>63.43</v>
      </c>
      <c r="W840" t="s">
        <v>7045</v>
      </c>
      <c r="X840" t="s">
        <v>9172</v>
      </c>
      <c r="Y840">
        <v>7013</v>
      </c>
      <c r="Z840">
        <v>606</v>
      </c>
      <c r="AA840">
        <v>200010</v>
      </c>
      <c r="AB840">
        <v>1.58</v>
      </c>
    </row>
    <row r="841" spans="1:28">
      <c r="A841" s="2">
        <f>HYPERLINK("https://finance.naver.com/item/coinfo.nhn?code=033290", "A033290")</f>
        <v>0</v>
      </c>
      <c r="B841">
        <f>HYPERLINK("http://comp.fnguide.com/SVO2/ASP/SVD_Consensus.asp?pGB=1&amp;gicode=A033290&amp;cID=&amp;MenuYn=Y&amp;ReportGB=&amp;NewMenuID=108&amp;stkGb=701", "코웰패션")</f>
        <v>0</v>
      </c>
      <c r="C841">
        <v>1</v>
      </c>
      <c r="D841">
        <v>5690</v>
      </c>
      <c r="E841">
        <v>0.24</v>
      </c>
      <c r="F841">
        <v>9.93</v>
      </c>
      <c r="G841">
        <v>9271</v>
      </c>
      <c r="H841">
        <v>5459</v>
      </c>
      <c r="I841">
        <v>4373</v>
      </c>
      <c r="J841">
        <v>-62.94</v>
      </c>
      <c r="K841">
        <v>4.05</v>
      </c>
      <c r="L841">
        <v>23.14</v>
      </c>
      <c r="M841">
        <v>25.25</v>
      </c>
      <c r="N841" t="b">
        <v>1</v>
      </c>
      <c r="O841">
        <v>568</v>
      </c>
      <c r="P841" t="s">
        <v>854</v>
      </c>
      <c r="Q841" t="s">
        <v>3011</v>
      </c>
      <c r="R841">
        <v>41.20509158442094</v>
      </c>
      <c r="S841">
        <v>5036</v>
      </c>
      <c r="T841">
        <v>285997</v>
      </c>
      <c r="U841" t="s">
        <v>4826</v>
      </c>
      <c r="V841">
        <v>70.83</v>
      </c>
      <c r="W841" t="s">
        <v>7046</v>
      </c>
      <c r="X841" t="s">
        <v>9173</v>
      </c>
      <c r="Y841">
        <v>3947</v>
      </c>
      <c r="Z841">
        <v>761</v>
      </c>
      <c r="AA841">
        <v>5171107</v>
      </c>
      <c r="AB841">
        <v>1.77</v>
      </c>
    </row>
    <row r="842" spans="1:28">
      <c r="A842" s="2">
        <f>HYPERLINK("https://finance.naver.com/item/coinfo.nhn?code=166090", "A166090")</f>
        <v>0</v>
      </c>
      <c r="B842">
        <f>HYPERLINK("http://comp.fnguide.com/SVO2/ASP/SVD_Consensus.asp?pGB=1&amp;gicode=A166090&amp;cID=&amp;MenuYn=Y&amp;ReportGB=&amp;NewMenuID=108&amp;stkGb=701", "하나머티리얼즈")</f>
        <v>0</v>
      </c>
      <c r="C842">
        <v>1</v>
      </c>
      <c r="D842">
        <v>24700</v>
      </c>
      <c r="E842">
        <v>0.53</v>
      </c>
      <c r="F842">
        <v>13.45</v>
      </c>
      <c r="G842">
        <v>25663</v>
      </c>
      <c r="H842">
        <v>14746</v>
      </c>
      <c r="I842">
        <v>11634</v>
      </c>
      <c r="J842">
        <v>-3.9</v>
      </c>
      <c r="K842">
        <v>40.3</v>
      </c>
      <c r="L842">
        <v>52.9</v>
      </c>
      <c r="M842">
        <v>27.3</v>
      </c>
      <c r="N842" t="b">
        <v>1</v>
      </c>
      <c r="O842">
        <v>1409</v>
      </c>
      <c r="P842" t="s">
        <v>855</v>
      </c>
      <c r="Q842" t="s">
        <v>3012</v>
      </c>
      <c r="R842">
        <v>25.24103736148917</v>
      </c>
      <c r="S842">
        <v>4848</v>
      </c>
      <c r="T842">
        <v>126828</v>
      </c>
      <c r="U842" t="s">
        <v>4827</v>
      </c>
      <c r="V842">
        <v>44.94</v>
      </c>
      <c r="W842" t="s">
        <v>7047</v>
      </c>
      <c r="X842" t="s">
        <v>9174</v>
      </c>
      <c r="Y842">
        <v>1548</v>
      </c>
      <c r="Z842">
        <v>409</v>
      </c>
      <c r="AA842">
        <v>220834</v>
      </c>
      <c r="AB842">
        <v>1.06</v>
      </c>
    </row>
    <row r="843" spans="1:28">
      <c r="A843" s="2">
        <f>HYPERLINK("https://finance.naver.com/item/coinfo.nhn?code=101240", "A101240")</f>
        <v>0</v>
      </c>
      <c r="B843">
        <f>HYPERLINK("http://comp.fnguide.com/SVO2/ASP/SVD_Consensus.asp?pGB=1&amp;gicode=A101240&amp;cID=&amp;MenuYn=Y&amp;ReportGB=&amp;NewMenuID=108&amp;stkGb=701", "씨큐브")</f>
        <v>0</v>
      </c>
      <c r="C843">
        <v>1</v>
      </c>
      <c r="D843">
        <v>7240</v>
      </c>
      <c r="E843">
        <v>61.42</v>
      </c>
      <c r="F843">
        <v>14.26</v>
      </c>
      <c r="G843">
        <v>7721</v>
      </c>
      <c r="H843">
        <v>6709</v>
      </c>
      <c r="I843">
        <v>6420</v>
      </c>
      <c r="J843">
        <v>-6.65</v>
      </c>
      <c r="K843">
        <v>7.34</v>
      </c>
      <c r="L843">
        <v>11.32</v>
      </c>
      <c r="M843">
        <v>10.2</v>
      </c>
      <c r="N843" t="b">
        <v>1</v>
      </c>
      <c r="O843">
        <v>586</v>
      </c>
      <c r="P843" t="s">
        <v>856</v>
      </c>
      <c r="Q843" t="s">
        <v>3013</v>
      </c>
      <c r="R843">
        <v>0.2321839953501659</v>
      </c>
      <c r="S843">
        <v>734</v>
      </c>
      <c r="T843">
        <v>37168</v>
      </c>
      <c r="U843" t="s">
        <v>4828</v>
      </c>
      <c r="V843">
        <v>31.52</v>
      </c>
      <c r="W843" t="s">
        <v>7048</v>
      </c>
      <c r="X843" t="s">
        <v>9175</v>
      </c>
      <c r="Y843">
        <v>447</v>
      </c>
      <c r="Z843">
        <v>77</v>
      </c>
      <c r="AA843">
        <v>1175576</v>
      </c>
      <c r="AB843">
        <v>2.03</v>
      </c>
    </row>
    <row r="844" spans="1:28">
      <c r="A844" s="2">
        <f>HYPERLINK("https://finance.naver.com/item/coinfo.nhn?code=065710", "A065710")</f>
        <v>0</v>
      </c>
      <c r="B844">
        <f>HYPERLINK("http://comp.fnguide.com/SVO2/ASP/SVD_Consensus.asp?pGB=1&amp;gicode=A065710&amp;cID=&amp;MenuYn=Y&amp;ReportGB=&amp;NewMenuID=108&amp;stkGb=701", "서호전기")</f>
        <v>0</v>
      </c>
      <c r="C844">
        <v>1</v>
      </c>
      <c r="D844">
        <v>21800</v>
      </c>
      <c r="E844">
        <v>0.4</v>
      </c>
      <c r="F844">
        <v>7.87</v>
      </c>
      <c r="G844">
        <v>28972</v>
      </c>
      <c r="H844">
        <v>20307</v>
      </c>
      <c r="I844">
        <v>17838</v>
      </c>
      <c r="J844">
        <v>-32.9</v>
      </c>
      <c r="K844">
        <v>6.85</v>
      </c>
      <c r="L844">
        <v>18.18</v>
      </c>
      <c r="M844">
        <v>15.87</v>
      </c>
      <c r="N844" t="b">
        <v>1</v>
      </c>
      <c r="O844">
        <v>2973</v>
      </c>
      <c r="P844" t="s">
        <v>857</v>
      </c>
      <c r="Q844" t="s">
        <v>3014</v>
      </c>
      <c r="R844">
        <v>19.81747236522424</v>
      </c>
      <c r="S844">
        <v>1123</v>
      </c>
      <c r="T844">
        <v>24032</v>
      </c>
      <c r="U844" t="s">
        <v>4829</v>
      </c>
      <c r="V844">
        <v>58.01</v>
      </c>
      <c r="W844" t="s">
        <v>7049</v>
      </c>
      <c r="X844" t="s">
        <v>9176</v>
      </c>
      <c r="Y844">
        <v>649</v>
      </c>
      <c r="Z844">
        <v>122</v>
      </c>
      <c r="AA844">
        <v>9078</v>
      </c>
      <c r="AB844">
        <v>5.13</v>
      </c>
    </row>
    <row r="845" spans="1:28">
      <c r="A845" s="2">
        <f>HYPERLINK("https://finance.naver.com/item/coinfo.nhn?code=038460", "A038460")</f>
        <v>0</v>
      </c>
      <c r="B845">
        <f>HYPERLINK("http://comp.fnguide.com/SVO2/ASP/SVD_Consensus.asp?pGB=1&amp;gicode=A038460&amp;cID=&amp;MenuYn=Y&amp;ReportGB=&amp;NewMenuID=108&amp;stkGb=701", "바이오스마트")</f>
        <v>0</v>
      </c>
      <c r="C845">
        <v>1</v>
      </c>
      <c r="D845">
        <v>7600</v>
      </c>
      <c r="E845">
        <v>-0.17</v>
      </c>
      <c r="F845">
        <v>3.92</v>
      </c>
      <c r="G845">
        <v>10732</v>
      </c>
      <c r="H845">
        <v>7586</v>
      </c>
      <c r="I845">
        <v>6689</v>
      </c>
      <c r="J845">
        <v>-41.21</v>
      </c>
      <c r="K845">
        <v>0.19</v>
      </c>
      <c r="L845">
        <v>11.98</v>
      </c>
      <c r="M845">
        <v>15.57</v>
      </c>
      <c r="N845" t="b">
        <v>1</v>
      </c>
      <c r="O845">
        <v>1107</v>
      </c>
      <c r="P845" t="s">
        <v>858</v>
      </c>
      <c r="Q845" t="s">
        <v>3015</v>
      </c>
      <c r="R845">
        <v>-23.47888896454662</v>
      </c>
      <c r="S845">
        <v>1527</v>
      </c>
      <c r="T845">
        <v>472089</v>
      </c>
      <c r="U845" t="s">
        <v>4830</v>
      </c>
      <c r="V845">
        <v>23.2</v>
      </c>
      <c r="W845" t="s">
        <v>7050</v>
      </c>
      <c r="X845" t="s">
        <v>9177</v>
      </c>
      <c r="Y845">
        <v>1590</v>
      </c>
      <c r="Z845">
        <v>31</v>
      </c>
      <c r="AA845">
        <v>889896</v>
      </c>
      <c r="AB845">
        <v>1.45</v>
      </c>
    </row>
    <row r="846" spans="1:28">
      <c r="A846" s="2">
        <f>HYPERLINK("https://finance.naver.com/item/coinfo.nhn?code=036890", "A036890")</f>
        <v>0</v>
      </c>
      <c r="B846">
        <f>HYPERLINK("http://comp.fnguide.com/SVO2/ASP/SVD_Consensus.asp?pGB=1&amp;gicode=A036890&amp;cID=&amp;MenuYn=Y&amp;ReportGB=&amp;NewMenuID=108&amp;stkGb=701", "진성티이씨")</f>
        <v>0</v>
      </c>
      <c r="C846">
        <v>1</v>
      </c>
      <c r="D846">
        <v>10350</v>
      </c>
      <c r="E846">
        <v>-4.37</v>
      </c>
      <c r="F846">
        <v>7.09</v>
      </c>
      <c r="G846">
        <v>14550</v>
      </c>
      <c r="H846">
        <v>10012</v>
      </c>
      <c r="I846">
        <v>8719</v>
      </c>
      <c r="J846">
        <v>-40.58</v>
      </c>
      <c r="K846">
        <v>3.27</v>
      </c>
      <c r="L846">
        <v>15.76</v>
      </c>
      <c r="M846">
        <v>16.57</v>
      </c>
      <c r="N846" t="b">
        <v>1</v>
      </c>
      <c r="O846">
        <v>979</v>
      </c>
      <c r="P846" t="s">
        <v>859</v>
      </c>
      <c r="Q846" t="s">
        <v>3016</v>
      </c>
      <c r="R846">
        <v>-1.621044821287165</v>
      </c>
      <c r="S846">
        <v>2327</v>
      </c>
      <c r="T846">
        <v>403545</v>
      </c>
      <c r="U846" t="s">
        <v>4831</v>
      </c>
      <c r="V846">
        <v>36.15</v>
      </c>
      <c r="W846" t="s">
        <v>7051</v>
      </c>
      <c r="X846" t="s">
        <v>9178</v>
      </c>
      <c r="Y846">
        <v>3556</v>
      </c>
      <c r="Z846">
        <v>299</v>
      </c>
      <c r="AA846">
        <v>2517977</v>
      </c>
      <c r="AB846">
        <v>2.88</v>
      </c>
    </row>
    <row r="847" spans="1:28">
      <c r="A847" s="2">
        <f>HYPERLINK("https://finance.naver.com/item/coinfo.nhn?code=007700", "A007700")</f>
        <v>0</v>
      </c>
      <c r="B847">
        <f>HYPERLINK("http://comp.fnguide.com/SVO2/ASP/SVD_Consensus.asp?pGB=1&amp;gicode=A007700&amp;cID=&amp;MenuYn=Y&amp;ReportGB=&amp;NewMenuID=108&amp;stkGb=701", "F&amp;F")</f>
        <v>0</v>
      </c>
      <c r="C847">
        <v>1</v>
      </c>
      <c r="D847">
        <v>85200</v>
      </c>
      <c r="E847">
        <v>0.39</v>
      </c>
      <c r="F847">
        <v>15.65</v>
      </c>
      <c r="G847">
        <v>110319</v>
      </c>
      <c r="H847">
        <v>62978</v>
      </c>
      <c r="I847">
        <v>49488</v>
      </c>
      <c r="J847">
        <v>-29.48</v>
      </c>
      <c r="K847">
        <v>26.08</v>
      </c>
      <c r="L847">
        <v>41.91</v>
      </c>
      <c r="M847">
        <v>27.89</v>
      </c>
      <c r="N847" t="b">
        <v>1</v>
      </c>
      <c r="O847">
        <v>7156</v>
      </c>
      <c r="P847" t="s">
        <v>860</v>
      </c>
      <c r="Q847" t="s">
        <v>3017</v>
      </c>
      <c r="R847">
        <v>40.25820900816466</v>
      </c>
      <c r="S847">
        <v>13121</v>
      </c>
      <c r="T847">
        <v>87117</v>
      </c>
      <c r="U847" t="s">
        <v>4832</v>
      </c>
      <c r="V847">
        <v>58.82</v>
      </c>
      <c r="W847" t="s">
        <v>7052</v>
      </c>
      <c r="X847" t="s">
        <v>9179</v>
      </c>
      <c r="Y847">
        <v>9103</v>
      </c>
      <c r="Z847">
        <v>1507</v>
      </c>
      <c r="AA847">
        <v>79896</v>
      </c>
      <c r="AB847">
        <v>0.89</v>
      </c>
    </row>
    <row r="848" spans="1:28">
      <c r="A848" s="2">
        <f>HYPERLINK("https://finance.naver.com/item/coinfo.nhn?code=040160", "A040160")</f>
        <v>0</v>
      </c>
      <c r="B848">
        <f>HYPERLINK("http://comp.fnguide.com/SVO2/ASP/SVD_Consensus.asp?pGB=1&amp;gicode=A040160&amp;cID=&amp;MenuYn=Y&amp;ReportGB=&amp;NewMenuID=108&amp;stkGb=701", "누리텔레콤")</f>
        <v>0</v>
      </c>
      <c r="C848">
        <v>1</v>
      </c>
      <c r="D848">
        <v>8180</v>
      </c>
      <c r="E848">
        <v>0.16</v>
      </c>
      <c r="F848">
        <v>7.46</v>
      </c>
      <c r="G848">
        <v>10603</v>
      </c>
      <c r="H848">
        <v>7864</v>
      </c>
      <c r="I848">
        <v>7084</v>
      </c>
      <c r="J848">
        <v>-29.62</v>
      </c>
      <c r="K848">
        <v>3.86</v>
      </c>
      <c r="L848">
        <v>13.4</v>
      </c>
      <c r="M848">
        <v>13.98</v>
      </c>
      <c r="N848" t="b">
        <v>1</v>
      </c>
      <c r="O848">
        <v>736</v>
      </c>
      <c r="P848" t="s">
        <v>861</v>
      </c>
      <c r="Q848" t="s">
        <v>3018</v>
      </c>
      <c r="R848">
        <v>46.93559953807978</v>
      </c>
      <c r="S848">
        <v>986</v>
      </c>
      <c r="T848">
        <v>235047</v>
      </c>
      <c r="U848" t="s">
        <v>4833</v>
      </c>
      <c r="V848">
        <v>40.68</v>
      </c>
      <c r="W848" t="s">
        <v>7053</v>
      </c>
      <c r="X848" t="s">
        <v>9180</v>
      </c>
      <c r="Y848">
        <v>1479</v>
      </c>
      <c r="Z848">
        <v>116</v>
      </c>
      <c r="AA848">
        <v>757550</v>
      </c>
      <c r="AB848">
        <v>0.91</v>
      </c>
    </row>
    <row r="849" spans="1:28">
      <c r="A849" s="2">
        <f>HYPERLINK("https://finance.naver.com/item/coinfo.nhn?code=036200", "A036200")</f>
        <v>0</v>
      </c>
      <c r="B849">
        <f>HYPERLINK("http://comp.fnguide.com/SVO2/ASP/SVD_Consensus.asp?pGB=1&amp;gicode=A036200&amp;cID=&amp;MenuYn=Y&amp;ReportGB=&amp;NewMenuID=108&amp;stkGb=701", "유니셈")</f>
        <v>0</v>
      </c>
      <c r="C849">
        <v>1</v>
      </c>
      <c r="D849">
        <v>7540</v>
      </c>
      <c r="E849">
        <v>0.12</v>
      </c>
      <c r="F849">
        <v>7.56</v>
      </c>
      <c r="G849">
        <v>11982</v>
      </c>
      <c r="H849">
        <v>7411</v>
      </c>
      <c r="I849">
        <v>6109</v>
      </c>
      <c r="J849">
        <v>-58.91</v>
      </c>
      <c r="K849">
        <v>1.7</v>
      </c>
      <c r="L849">
        <v>18.98</v>
      </c>
      <c r="M849">
        <v>21.83</v>
      </c>
      <c r="N849" t="b">
        <v>1</v>
      </c>
      <c r="O849">
        <v>718</v>
      </c>
      <c r="P849" t="s">
        <v>862</v>
      </c>
      <c r="Q849" t="s">
        <v>3019</v>
      </c>
      <c r="R849">
        <v>61.21370846371499</v>
      </c>
      <c r="S849">
        <v>2312</v>
      </c>
      <c r="T849">
        <v>686566</v>
      </c>
      <c r="U849" t="s">
        <v>4834</v>
      </c>
      <c r="V849">
        <v>29.03</v>
      </c>
      <c r="W849" t="s">
        <v>7054</v>
      </c>
      <c r="X849" t="s">
        <v>9181</v>
      </c>
      <c r="Y849">
        <v>1790</v>
      </c>
      <c r="Z849">
        <v>240</v>
      </c>
      <c r="AA849">
        <v>1248170</v>
      </c>
      <c r="AB849">
        <v>0.92</v>
      </c>
    </row>
    <row r="850" spans="1:28">
      <c r="A850" s="2">
        <f>HYPERLINK("https://finance.naver.com/item/coinfo.nhn?code=001820", "A001820")</f>
        <v>0</v>
      </c>
      <c r="B850">
        <f>HYPERLINK("http://comp.fnguide.com/SVO2/ASP/SVD_Consensus.asp?pGB=1&amp;gicode=A001820&amp;cID=&amp;MenuYn=Y&amp;ReportGB=&amp;NewMenuID=108&amp;stkGb=701", "삼화콘덴서")</f>
        <v>0</v>
      </c>
      <c r="C850">
        <v>1</v>
      </c>
      <c r="D850">
        <v>57500</v>
      </c>
      <c r="E850">
        <v>0.36</v>
      </c>
      <c r="F850">
        <v>18.34</v>
      </c>
      <c r="G850">
        <v>67410</v>
      </c>
      <c r="H850">
        <v>35855</v>
      </c>
      <c r="I850">
        <v>26863</v>
      </c>
      <c r="J850">
        <v>-17.23</v>
      </c>
      <c r="K850">
        <v>37.64</v>
      </c>
      <c r="L850">
        <v>53.28</v>
      </c>
      <c r="M850">
        <v>36.08</v>
      </c>
      <c r="N850" t="b">
        <v>1</v>
      </c>
      <c r="O850">
        <v>2852</v>
      </c>
      <c r="P850" t="s">
        <v>863</v>
      </c>
      <c r="Q850" t="s">
        <v>3020</v>
      </c>
      <c r="R850">
        <v>51.4301093568525</v>
      </c>
      <c r="S850">
        <v>5977</v>
      </c>
      <c r="T850">
        <v>214703</v>
      </c>
      <c r="U850" t="s">
        <v>4835</v>
      </c>
      <c r="V850">
        <v>28.15</v>
      </c>
      <c r="W850" t="s">
        <v>7055</v>
      </c>
      <c r="X850" t="s">
        <v>9182</v>
      </c>
      <c r="Y850">
        <v>2545</v>
      </c>
      <c r="Z850">
        <v>373</v>
      </c>
      <c r="AA850">
        <v>134000</v>
      </c>
      <c r="AB850">
        <v>0.48</v>
      </c>
    </row>
    <row r="851" spans="1:28">
      <c r="A851" s="2">
        <f>HYPERLINK("https://finance.naver.com/item/coinfo.nhn?code=086390", "A086390")</f>
        <v>0</v>
      </c>
      <c r="B851">
        <f>HYPERLINK("http://comp.fnguide.com/SVO2/ASP/SVD_Consensus.asp?pGB=1&amp;gicode=A086390&amp;cID=&amp;MenuYn=Y&amp;ReportGB=&amp;NewMenuID=108&amp;stkGb=701", "유니테스트")</f>
        <v>0</v>
      </c>
      <c r="C851">
        <v>1</v>
      </c>
      <c r="D851">
        <v>23150</v>
      </c>
      <c r="E851">
        <v>-3.34</v>
      </c>
      <c r="F851">
        <v>11.88</v>
      </c>
      <c r="G851">
        <v>27976</v>
      </c>
      <c r="H851">
        <v>15886</v>
      </c>
      <c r="I851">
        <v>12441</v>
      </c>
      <c r="J851">
        <v>-20.85</v>
      </c>
      <c r="K851">
        <v>31.38</v>
      </c>
      <c r="L851">
        <v>46.26</v>
      </c>
      <c r="M851">
        <v>28.39</v>
      </c>
      <c r="N851" t="b">
        <v>1</v>
      </c>
      <c r="O851">
        <v>1208</v>
      </c>
      <c r="P851" t="s">
        <v>864</v>
      </c>
      <c r="Q851" t="s">
        <v>3021</v>
      </c>
      <c r="R851">
        <v>-3.553688276023181</v>
      </c>
      <c r="S851">
        <v>4893</v>
      </c>
      <c r="T851">
        <v>663342</v>
      </c>
      <c r="U851" t="s">
        <v>4836</v>
      </c>
      <c r="V851">
        <v>21.07</v>
      </c>
      <c r="W851" t="s">
        <v>7056</v>
      </c>
      <c r="X851" t="s">
        <v>9183</v>
      </c>
      <c r="Y851">
        <v>1983</v>
      </c>
      <c r="Z851">
        <v>300</v>
      </c>
      <c r="AA851">
        <v>839709</v>
      </c>
      <c r="AB851">
        <v>1.74</v>
      </c>
    </row>
    <row r="852" spans="1:28">
      <c r="A852" s="2">
        <f>HYPERLINK("https://finance.naver.com/item/coinfo.nhn?code=289010", "A289010")</f>
        <v>0</v>
      </c>
      <c r="B852">
        <f>HYPERLINK("http://comp.fnguide.com/SVO2/ASP/SVD_Consensus.asp?pGB=1&amp;gicode=A289010&amp;cID=&amp;MenuYn=Y&amp;ReportGB=&amp;NewMenuID=108&amp;stkGb=701", "아이스크림에듀")</f>
        <v>0</v>
      </c>
      <c r="C852">
        <v>1</v>
      </c>
      <c r="D852">
        <v>9170</v>
      </c>
      <c r="E852">
        <v>21.84</v>
      </c>
      <c r="F852">
        <v>19.32</v>
      </c>
      <c r="G852">
        <v>12251</v>
      </c>
      <c r="H852">
        <v>8462</v>
      </c>
      <c r="I852">
        <v>7382</v>
      </c>
      <c r="J852">
        <v>-33.6</v>
      </c>
      <c r="K852">
        <v>7.72</v>
      </c>
      <c r="L852">
        <v>19.5</v>
      </c>
      <c r="M852">
        <v>16.43</v>
      </c>
      <c r="N852" t="b">
        <v>1</v>
      </c>
      <c r="O852">
        <v>415</v>
      </c>
      <c r="P852" t="s">
        <v>865</v>
      </c>
      <c r="Q852" t="s">
        <v>3022</v>
      </c>
      <c r="R852">
        <v>0.8848072553186759</v>
      </c>
      <c r="S852">
        <v>1180</v>
      </c>
      <c r="T852">
        <v>2043333</v>
      </c>
      <c r="U852" t="s">
        <v>4837</v>
      </c>
      <c r="V852">
        <v>45.06</v>
      </c>
      <c r="W852" t="s">
        <v>7057</v>
      </c>
      <c r="X852" t="s">
        <v>9184</v>
      </c>
      <c r="Y852">
        <v>1064</v>
      </c>
      <c r="Z852">
        <v>54</v>
      </c>
      <c r="AA852">
        <v>330577</v>
      </c>
      <c r="AB852">
        <v>1.25</v>
      </c>
    </row>
    <row r="853" spans="1:28">
      <c r="A853" s="2">
        <f>HYPERLINK("https://finance.naver.com/item/coinfo.nhn?code=256150", "A256150")</f>
        <v>0</v>
      </c>
      <c r="B853">
        <f>HYPERLINK("http://comp.fnguide.com/SVO2/ASP/SVD_Consensus.asp?pGB=1&amp;gicode=A256150&amp;cID=&amp;MenuYn=Y&amp;ReportGB=&amp;NewMenuID=108&amp;stkGb=701", "한독크린텍")</f>
        <v>0</v>
      </c>
      <c r="C853">
        <v>1</v>
      </c>
      <c r="D853">
        <v>26300</v>
      </c>
      <c r="E853">
        <v>0.45</v>
      </c>
      <c r="F853">
        <v>11.47</v>
      </c>
      <c r="G853">
        <v>26536</v>
      </c>
      <c r="H853">
        <v>15877</v>
      </c>
      <c r="I853">
        <v>12840</v>
      </c>
      <c r="J853">
        <v>-0.9</v>
      </c>
      <c r="K853">
        <v>39.63</v>
      </c>
      <c r="L853">
        <v>51.18</v>
      </c>
      <c r="M853">
        <v>24.04</v>
      </c>
      <c r="N853" t="b">
        <v>1</v>
      </c>
      <c r="O853">
        <v>1356</v>
      </c>
      <c r="P853" t="s">
        <v>866</v>
      </c>
      <c r="Q853" t="s">
        <v>3023</v>
      </c>
      <c r="R853">
        <v>25.72704483681174</v>
      </c>
      <c r="S853">
        <v>1076</v>
      </c>
      <c r="T853">
        <v>22658</v>
      </c>
      <c r="U853" t="s">
        <v>4838</v>
      </c>
      <c r="V853">
        <v>41.11</v>
      </c>
      <c r="W853" t="s">
        <v>7058</v>
      </c>
      <c r="X853" t="s">
        <v>9185</v>
      </c>
      <c r="Y853">
        <v>484</v>
      </c>
      <c r="Z853">
        <v>61</v>
      </c>
      <c r="AA853">
        <v>543850</v>
      </c>
      <c r="AB853">
        <v>1.29</v>
      </c>
    </row>
    <row r="854" spans="1:28">
      <c r="A854" s="2">
        <f>HYPERLINK("https://finance.naver.com/item/coinfo.nhn?code=089600", "A089600")</f>
        <v>0</v>
      </c>
      <c r="B854">
        <f>HYPERLINK("http://comp.fnguide.com/SVO2/ASP/SVD_Consensus.asp?pGB=1&amp;gicode=A089600&amp;cID=&amp;MenuYn=Y&amp;ReportGB=&amp;NewMenuID=108&amp;stkGb=701", "나스미디어")</f>
        <v>0</v>
      </c>
      <c r="C854">
        <v>1</v>
      </c>
      <c r="D854">
        <v>29850</v>
      </c>
      <c r="E854">
        <v>0.89</v>
      </c>
      <c r="F854">
        <v>14.16</v>
      </c>
      <c r="G854">
        <v>34048</v>
      </c>
      <c r="H854">
        <v>23590</v>
      </c>
      <c r="I854">
        <v>20610</v>
      </c>
      <c r="J854">
        <v>-14.06</v>
      </c>
      <c r="K854">
        <v>20.97</v>
      </c>
      <c r="L854">
        <v>30.95</v>
      </c>
      <c r="M854">
        <v>16.3</v>
      </c>
      <c r="N854" t="b">
        <v>0</v>
      </c>
      <c r="O854">
        <v>2355</v>
      </c>
      <c r="P854" t="s">
        <v>867</v>
      </c>
      <c r="Q854" t="s">
        <v>3024</v>
      </c>
      <c r="R854">
        <v>15.91473887604671</v>
      </c>
      <c r="S854">
        <v>2613</v>
      </c>
      <c r="T854">
        <v>39154</v>
      </c>
      <c r="U854" t="s">
        <v>4839</v>
      </c>
      <c r="V854">
        <v>59.59</v>
      </c>
      <c r="W854" t="s">
        <v>7059</v>
      </c>
      <c r="X854" t="s">
        <v>9186</v>
      </c>
      <c r="Y854">
        <v>1170</v>
      </c>
      <c r="Z854">
        <v>306</v>
      </c>
      <c r="AA854">
        <v>252500</v>
      </c>
      <c r="AB854">
        <v>1.98</v>
      </c>
    </row>
    <row r="855" spans="1:28">
      <c r="A855" s="2">
        <f>HYPERLINK("https://finance.naver.com/item/coinfo.nhn?code=041830", "A041830")</f>
        <v>0</v>
      </c>
      <c r="B855">
        <f>HYPERLINK("http://comp.fnguide.com/SVO2/ASP/SVD_Consensus.asp?pGB=1&amp;gicode=A041830&amp;cID=&amp;MenuYn=Y&amp;ReportGB=&amp;NewMenuID=108&amp;stkGb=701", "인바디")</f>
        <v>0</v>
      </c>
      <c r="C855">
        <v>1</v>
      </c>
      <c r="D855">
        <v>18300</v>
      </c>
      <c r="E855">
        <v>-3.14</v>
      </c>
      <c r="F855">
        <v>15.84</v>
      </c>
      <c r="G855">
        <v>22410</v>
      </c>
      <c r="H855">
        <v>15389</v>
      </c>
      <c r="I855">
        <v>13388</v>
      </c>
      <c r="J855">
        <v>-22.46</v>
      </c>
      <c r="K855">
        <v>15.91</v>
      </c>
      <c r="L855">
        <v>26.84</v>
      </c>
      <c r="M855">
        <v>16.66</v>
      </c>
      <c r="N855" t="b">
        <v>1</v>
      </c>
      <c r="O855">
        <v>1493</v>
      </c>
      <c r="P855" t="s">
        <v>868</v>
      </c>
      <c r="Q855" t="s">
        <v>3025</v>
      </c>
      <c r="R855">
        <v>-5.037865323802815</v>
      </c>
      <c r="S855">
        <v>2504</v>
      </c>
      <c r="T855">
        <v>152016</v>
      </c>
      <c r="U855" t="s">
        <v>4840</v>
      </c>
      <c r="V855">
        <v>28.94</v>
      </c>
      <c r="W855" t="s">
        <v>7060</v>
      </c>
      <c r="X855" t="s">
        <v>9187</v>
      </c>
      <c r="Y855">
        <v>1171</v>
      </c>
      <c r="Z855">
        <v>276</v>
      </c>
      <c r="AA855">
        <v>656935</v>
      </c>
      <c r="AB855">
        <v>0.59</v>
      </c>
    </row>
    <row r="856" spans="1:28">
      <c r="A856" s="2">
        <f>HYPERLINK("https://finance.naver.com/item/coinfo.nhn?code=239610", "A239610")</f>
        <v>0</v>
      </c>
      <c r="B856">
        <f>HYPERLINK("http://comp.fnguide.com/SVO2/ASP/SVD_Consensus.asp?pGB=1&amp;gicode=A239610&amp;cID=&amp;MenuYn=Y&amp;ReportGB=&amp;NewMenuID=108&amp;stkGb=701", "에이치엘사이언스")</f>
        <v>0</v>
      </c>
      <c r="C856">
        <v>1</v>
      </c>
      <c r="D856">
        <v>43100</v>
      </c>
      <c r="E856">
        <v>0.8100000000000001</v>
      </c>
      <c r="F856">
        <v>14.25</v>
      </c>
      <c r="G856">
        <v>43856</v>
      </c>
      <c r="H856">
        <v>27264</v>
      </c>
      <c r="I856">
        <v>22537</v>
      </c>
      <c r="J856">
        <v>-1.75</v>
      </c>
      <c r="K856">
        <v>36.74</v>
      </c>
      <c r="L856">
        <v>47.71</v>
      </c>
      <c r="M856">
        <v>21.52</v>
      </c>
      <c r="N856" t="b">
        <v>1</v>
      </c>
      <c r="O856">
        <v>3839</v>
      </c>
      <c r="P856" t="s">
        <v>869</v>
      </c>
      <c r="Q856" t="s">
        <v>3026</v>
      </c>
      <c r="R856">
        <v>17.65699495895263</v>
      </c>
      <c r="S856">
        <v>2216</v>
      </c>
      <c r="T856">
        <v>21548</v>
      </c>
      <c r="U856" t="s">
        <v>4841</v>
      </c>
      <c r="V856">
        <v>63.19</v>
      </c>
      <c r="W856" t="s">
        <v>7061</v>
      </c>
      <c r="X856" t="s">
        <v>9188</v>
      </c>
      <c r="Y856">
        <v>1283</v>
      </c>
      <c r="Z856">
        <v>237</v>
      </c>
      <c r="AA856">
        <v>142792</v>
      </c>
      <c r="AB856">
        <v>0.73</v>
      </c>
    </row>
    <row r="857" spans="1:28">
      <c r="A857" s="2">
        <f>HYPERLINK("https://finance.naver.com/item/coinfo.nhn?code=069260", "A069260")</f>
        <v>0</v>
      </c>
      <c r="B857">
        <f>HYPERLINK("http://comp.fnguide.com/SVO2/ASP/SVD_Consensus.asp?pGB=1&amp;gicode=A069260&amp;cID=&amp;MenuYn=Y&amp;ReportGB=&amp;NewMenuID=108&amp;stkGb=701", "휴켐스")</f>
        <v>0</v>
      </c>
      <c r="C857">
        <v>1</v>
      </c>
      <c r="D857">
        <v>23500</v>
      </c>
      <c r="E857">
        <v>2.26</v>
      </c>
      <c r="F857">
        <v>12.29</v>
      </c>
      <c r="G857">
        <v>31237</v>
      </c>
      <c r="H857">
        <v>22690</v>
      </c>
      <c r="I857">
        <v>20255</v>
      </c>
      <c r="J857">
        <v>-32.92</v>
      </c>
      <c r="K857">
        <v>3.44</v>
      </c>
      <c r="L857">
        <v>13.81</v>
      </c>
      <c r="M857">
        <v>14.63</v>
      </c>
      <c r="N857" t="b">
        <v>1</v>
      </c>
      <c r="O857">
        <v>1721</v>
      </c>
      <c r="P857" t="s">
        <v>870</v>
      </c>
      <c r="Q857" t="s">
        <v>3027</v>
      </c>
      <c r="R857">
        <v>5.432344921736831</v>
      </c>
      <c r="S857">
        <v>9606</v>
      </c>
      <c r="T857">
        <v>204682</v>
      </c>
      <c r="U857" t="s">
        <v>4842</v>
      </c>
      <c r="V857">
        <v>43.42</v>
      </c>
      <c r="W857" t="s">
        <v>7062</v>
      </c>
      <c r="X857" t="s">
        <v>9189</v>
      </c>
      <c r="Y857">
        <v>6598</v>
      </c>
      <c r="Z857">
        <v>1064</v>
      </c>
      <c r="AA857">
        <v>2507711</v>
      </c>
      <c r="AB857">
        <v>4.73</v>
      </c>
    </row>
    <row r="858" spans="1:28">
      <c r="A858" s="2">
        <f>HYPERLINK("https://finance.naver.com/item/coinfo.nhn?code=000990", "A000990")</f>
        <v>0</v>
      </c>
      <c r="B858">
        <f>HYPERLINK("http://comp.fnguide.com/SVO2/ASP/SVD_Consensus.asp?pGB=1&amp;gicode=A000990&amp;cID=&amp;MenuYn=Y&amp;ReportGB=&amp;NewMenuID=108&amp;stkGb=701", "DB하이텍")</f>
        <v>0</v>
      </c>
      <c r="C858">
        <v>1</v>
      </c>
      <c r="D858">
        <v>34950</v>
      </c>
      <c r="E858">
        <v>1.82</v>
      </c>
      <c r="F858">
        <v>11.74</v>
      </c>
      <c r="G858">
        <v>35487</v>
      </c>
      <c r="H858">
        <v>23104</v>
      </c>
      <c r="I858">
        <v>19576</v>
      </c>
      <c r="J858">
        <v>-1.54</v>
      </c>
      <c r="K858">
        <v>33.89</v>
      </c>
      <c r="L858">
        <v>43.99</v>
      </c>
      <c r="M858">
        <v>19.01</v>
      </c>
      <c r="N858" t="b">
        <v>1</v>
      </c>
      <c r="O858">
        <v>2351</v>
      </c>
      <c r="P858" t="s">
        <v>871</v>
      </c>
      <c r="Q858" t="s">
        <v>3028</v>
      </c>
      <c r="R858">
        <v>6.434420231846882</v>
      </c>
      <c r="S858">
        <v>15517</v>
      </c>
      <c r="T858">
        <v>1112068</v>
      </c>
      <c r="U858" t="s">
        <v>4843</v>
      </c>
      <c r="V858">
        <v>17.44</v>
      </c>
      <c r="W858" t="s">
        <v>7063</v>
      </c>
      <c r="X858" t="s">
        <v>9190</v>
      </c>
      <c r="Y858">
        <v>8074</v>
      </c>
      <c r="Z858">
        <v>1813</v>
      </c>
      <c r="AA858">
        <v>1065964</v>
      </c>
      <c r="AB858">
        <v>1.27</v>
      </c>
    </row>
    <row r="859" spans="1:28">
      <c r="A859" s="2">
        <f>HYPERLINK("https://finance.naver.com/item/coinfo.nhn?code=126700", "A126700")</f>
        <v>0</v>
      </c>
      <c r="B859">
        <f>HYPERLINK("http://comp.fnguide.com/SVO2/ASP/SVD_Consensus.asp?pGB=1&amp;gicode=A126700&amp;cID=&amp;MenuYn=Y&amp;ReportGB=&amp;NewMenuID=108&amp;stkGb=701", "하이비젼시스템")</f>
        <v>0</v>
      </c>
      <c r="C859">
        <v>1</v>
      </c>
      <c r="D859">
        <v>12650</v>
      </c>
      <c r="E859">
        <v>-9.039999999999999</v>
      </c>
      <c r="F859">
        <v>22.26</v>
      </c>
      <c r="G859">
        <v>16179</v>
      </c>
      <c r="H859">
        <v>11865</v>
      </c>
      <c r="I859">
        <v>10636</v>
      </c>
      <c r="J859">
        <v>-27.9</v>
      </c>
      <c r="K859">
        <v>6.2</v>
      </c>
      <c r="L859">
        <v>15.92</v>
      </c>
      <c r="M859">
        <v>14.33</v>
      </c>
      <c r="N859" t="b">
        <v>1</v>
      </c>
      <c r="O859">
        <v>562</v>
      </c>
      <c r="P859" t="s">
        <v>872</v>
      </c>
      <c r="Q859" t="s">
        <v>3029</v>
      </c>
      <c r="R859">
        <v>-2.462662460295362</v>
      </c>
      <c r="S859">
        <v>1890</v>
      </c>
      <c r="T859">
        <v>139080</v>
      </c>
      <c r="U859" t="s">
        <v>4844</v>
      </c>
      <c r="V859">
        <v>18.3</v>
      </c>
      <c r="W859" t="s">
        <v>7064</v>
      </c>
      <c r="X859" t="s">
        <v>9191</v>
      </c>
      <c r="Y859">
        <v>1342</v>
      </c>
      <c r="Z859">
        <v>36</v>
      </c>
      <c r="AA859">
        <v>1163331</v>
      </c>
      <c r="AB859">
        <v>0.4</v>
      </c>
    </row>
    <row r="860" spans="1:28">
      <c r="A860" s="2">
        <f>HYPERLINK("https://finance.naver.com/item/coinfo.nhn?code=312610", "A312610")</f>
        <v>0</v>
      </c>
      <c r="B860">
        <f>HYPERLINK("http://comp.fnguide.com/SVO2/ASP/SVD_Consensus.asp?pGB=1&amp;gicode=A312610&amp;cID=&amp;MenuYn=Y&amp;ReportGB=&amp;NewMenuID=108&amp;stkGb=701", "에이에프더블류")</f>
        <v>0</v>
      </c>
      <c r="C860">
        <v>1</v>
      </c>
      <c r="D860">
        <v>13050</v>
      </c>
      <c r="E860">
        <v>0</v>
      </c>
      <c r="F860">
        <v>21.02</v>
      </c>
      <c r="G860">
        <v>20577</v>
      </c>
      <c r="H860">
        <v>12526</v>
      </c>
      <c r="I860">
        <v>10232</v>
      </c>
      <c r="J860">
        <v>-57.68</v>
      </c>
      <c r="K860">
        <v>4.01</v>
      </c>
      <c r="L860">
        <v>21.59</v>
      </c>
      <c r="M860">
        <v>22.85</v>
      </c>
      <c r="N860" t="b">
        <v>1</v>
      </c>
      <c r="O860">
        <v>602</v>
      </c>
      <c r="P860" t="s">
        <v>873</v>
      </c>
      <c r="Q860" t="s">
        <v>3030</v>
      </c>
      <c r="R860">
        <v>0</v>
      </c>
      <c r="S860">
        <v>1322</v>
      </c>
      <c r="T860">
        <v>137065</v>
      </c>
      <c r="U860" t="s">
        <v>4845</v>
      </c>
      <c r="V860">
        <v>52.75</v>
      </c>
      <c r="W860" t="s">
        <v>7065</v>
      </c>
      <c r="X860" t="s">
        <v>9192</v>
      </c>
      <c r="Y860">
        <v>260</v>
      </c>
      <c r="Z860">
        <v>72</v>
      </c>
      <c r="AB860">
        <v>0.79</v>
      </c>
    </row>
    <row r="861" spans="1:28">
      <c r="A861" s="2">
        <f>HYPERLINK("https://finance.naver.com/item/coinfo.nhn?code=119610", "A119610")</f>
        <v>0</v>
      </c>
      <c r="B861">
        <f>HYPERLINK("http://comp.fnguide.com/SVO2/ASP/SVD_Consensus.asp?pGB=1&amp;gicode=A119610&amp;cID=&amp;MenuYn=Y&amp;ReportGB=&amp;NewMenuID=108&amp;stkGb=701", "인터로조")</f>
        <v>0</v>
      </c>
      <c r="C861">
        <v>1</v>
      </c>
      <c r="D861">
        <v>21550</v>
      </c>
      <c r="E861">
        <v>3.93</v>
      </c>
      <c r="F861">
        <v>17.63</v>
      </c>
      <c r="G861">
        <v>21601</v>
      </c>
      <c r="H861">
        <v>15696</v>
      </c>
      <c r="I861">
        <v>14013</v>
      </c>
      <c r="J861">
        <v>-0.24</v>
      </c>
      <c r="K861">
        <v>27.16</v>
      </c>
      <c r="L861">
        <v>34.97</v>
      </c>
      <c r="M861">
        <v>14.62</v>
      </c>
      <c r="N861" t="b">
        <v>1</v>
      </c>
      <c r="O861">
        <v>1503</v>
      </c>
      <c r="P861" t="s">
        <v>874</v>
      </c>
      <c r="Q861" t="s">
        <v>3031</v>
      </c>
      <c r="R861">
        <v>4.489100632774168</v>
      </c>
      <c r="S861">
        <v>2516</v>
      </c>
      <c r="T861">
        <v>29176</v>
      </c>
      <c r="U861" t="s">
        <v>4846</v>
      </c>
      <c r="V861">
        <v>34.93</v>
      </c>
      <c r="W861" t="s">
        <v>7066</v>
      </c>
      <c r="X861" t="s">
        <v>9193</v>
      </c>
      <c r="Y861">
        <v>926</v>
      </c>
      <c r="Z861">
        <v>226</v>
      </c>
      <c r="AA861">
        <v>507392</v>
      </c>
      <c r="AB861">
        <v>1.1</v>
      </c>
    </row>
    <row r="862" spans="1:28">
      <c r="A862" s="2">
        <f>HYPERLINK("https://finance.naver.com/item/coinfo.nhn?code=009190", "A009190")</f>
        <v>0</v>
      </c>
      <c r="B862">
        <f>HYPERLINK("http://comp.fnguide.com/SVO2/ASP/SVD_Consensus.asp?pGB=1&amp;gicode=A009190&amp;cID=&amp;MenuYn=Y&amp;ReportGB=&amp;NewMenuID=108&amp;stkGb=701", "대양금속")</f>
        <v>0</v>
      </c>
      <c r="C862">
        <v>1</v>
      </c>
      <c r="D862">
        <v>3450</v>
      </c>
      <c r="E862">
        <v>-3.54</v>
      </c>
      <c r="F862">
        <v>113.98</v>
      </c>
      <c r="G862">
        <v>5013</v>
      </c>
      <c r="H862">
        <v>3357</v>
      </c>
      <c r="I862">
        <v>2885</v>
      </c>
      <c r="J862">
        <v>-45.3</v>
      </c>
      <c r="K862">
        <v>2.71</v>
      </c>
      <c r="L862">
        <v>16.39</v>
      </c>
      <c r="M862">
        <v>17.71</v>
      </c>
      <c r="N862" t="b">
        <v>0</v>
      </c>
      <c r="O862">
        <v>132</v>
      </c>
      <c r="P862" t="s">
        <v>875</v>
      </c>
      <c r="Q862" t="s">
        <v>3032</v>
      </c>
      <c r="R862">
        <v>-32.15243606085663</v>
      </c>
      <c r="S862">
        <v>1020</v>
      </c>
      <c r="T862">
        <v>492411</v>
      </c>
      <c r="U862" t="s">
        <v>4847</v>
      </c>
      <c r="V862">
        <v>24.78</v>
      </c>
      <c r="W862" t="s">
        <v>7067</v>
      </c>
      <c r="X862" t="s">
        <v>9194</v>
      </c>
      <c r="Y862">
        <v>1516</v>
      </c>
      <c r="Z862">
        <v>32</v>
      </c>
      <c r="AA862">
        <v>4663</v>
      </c>
    </row>
    <row r="863" spans="1:28">
      <c r="A863" s="2">
        <f>HYPERLINK("https://finance.naver.com/item/coinfo.nhn?code=025770", "A025770")</f>
        <v>0</v>
      </c>
      <c r="B863">
        <f>HYPERLINK("http://comp.fnguide.com/SVO2/ASP/SVD_Consensus.asp?pGB=1&amp;gicode=A025770&amp;cID=&amp;MenuYn=Y&amp;ReportGB=&amp;NewMenuID=108&amp;stkGb=701", "한국정보통신")</f>
        <v>0</v>
      </c>
      <c r="C863">
        <v>1</v>
      </c>
      <c r="D863">
        <v>9350</v>
      </c>
      <c r="E863">
        <v>-2.04</v>
      </c>
      <c r="F863">
        <v>10.84</v>
      </c>
      <c r="G863">
        <v>9536</v>
      </c>
      <c r="H863">
        <v>7132</v>
      </c>
      <c r="I863">
        <v>6448</v>
      </c>
      <c r="J863">
        <v>-1.99</v>
      </c>
      <c r="K863">
        <v>23.72</v>
      </c>
      <c r="L863">
        <v>31.04</v>
      </c>
      <c r="M863">
        <v>13.73</v>
      </c>
      <c r="N863" t="b">
        <v>1</v>
      </c>
      <c r="O863">
        <v>634</v>
      </c>
      <c r="P863" t="s">
        <v>876</v>
      </c>
      <c r="Q863" t="s">
        <v>2816</v>
      </c>
      <c r="R863">
        <v>-5.316520177583229</v>
      </c>
      <c r="S863">
        <v>3501</v>
      </c>
      <c r="T863">
        <v>177023</v>
      </c>
      <c r="U863" t="s">
        <v>4848</v>
      </c>
      <c r="V863">
        <v>85.73999999999999</v>
      </c>
      <c r="W863" t="s">
        <v>7068</v>
      </c>
      <c r="X863" t="s">
        <v>9195</v>
      </c>
      <c r="Y863">
        <v>4988</v>
      </c>
      <c r="Z863">
        <v>342</v>
      </c>
      <c r="AA863">
        <v>919159</v>
      </c>
    </row>
    <row r="864" spans="1:28">
      <c r="A864" s="2">
        <f>HYPERLINK("https://finance.naver.com/item/coinfo.nhn?code=148150", "A148150")</f>
        <v>0</v>
      </c>
      <c r="B864">
        <f>HYPERLINK("http://comp.fnguide.com/SVO2/ASP/SVD_Consensus.asp?pGB=1&amp;gicode=A148150&amp;cID=&amp;MenuYn=Y&amp;ReportGB=&amp;NewMenuID=108&amp;stkGb=701", "세경하이테크")</f>
        <v>0</v>
      </c>
      <c r="C864">
        <v>1</v>
      </c>
      <c r="D864">
        <v>23250</v>
      </c>
      <c r="E864">
        <v>-0.4</v>
      </c>
      <c r="F864">
        <v>17.74</v>
      </c>
      <c r="G864">
        <v>36809</v>
      </c>
      <c r="H864">
        <v>21825</v>
      </c>
      <c r="I864">
        <v>17556</v>
      </c>
      <c r="J864">
        <v>-58.32</v>
      </c>
      <c r="K864">
        <v>6.13</v>
      </c>
      <c r="L864">
        <v>24.49</v>
      </c>
      <c r="M864">
        <v>24.71</v>
      </c>
      <c r="N864" t="b">
        <v>1</v>
      </c>
      <c r="O864">
        <v>2013</v>
      </c>
      <c r="P864" t="s">
        <v>877</v>
      </c>
      <c r="Q864" t="s">
        <v>3033</v>
      </c>
      <c r="R864">
        <v>-44.29183183769187</v>
      </c>
      <c r="S864">
        <v>2707</v>
      </c>
      <c r="T864">
        <v>151038</v>
      </c>
      <c r="U864" t="s">
        <v>4849</v>
      </c>
      <c r="V864">
        <v>35.6</v>
      </c>
      <c r="W864" t="s">
        <v>7069</v>
      </c>
      <c r="X864" t="s">
        <v>9196</v>
      </c>
      <c r="Y864">
        <v>2813</v>
      </c>
      <c r="Z864">
        <v>234</v>
      </c>
      <c r="AB864">
        <v>0.7</v>
      </c>
    </row>
    <row r="865" spans="1:28">
      <c r="A865" s="2">
        <f>HYPERLINK("https://finance.naver.com/item/coinfo.nhn?code=290720", "A290720")</f>
        <v>0</v>
      </c>
      <c r="B865">
        <f>HYPERLINK("http://comp.fnguide.com/SVO2/ASP/SVD_Consensus.asp?pGB=1&amp;gicode=A290720&amp;cID=&amp;MenuYn=Y&amp;ReportGB=&amp;NewMenuID=108&amp;stkGb=701", "푸드나무")</f>
        <v>0</v>
      </c>
      <c r="C865">
        <v>1</v>
      </c>
      <c r="D865">
        <v>21700</v>
      </c>
      <c r="E865">
        <v>0</v>
      </c>
      <c r="F865">
        <v>25.19</v>
      </c>
      <c r="G865">
        <v>22779</v>
      </c>
      <c r="H865">
        <v>13619</v>
      </c>
      <c r="I865">
        <v>11009</v>
      </c>
      <c r="J865">
        <v>-4.97</v>
      </c>
      <c r="K865">
        <v>37.24</v>
      </c>
      <c r="L865">
        <v>49.27</v>
      </c>
      <c r="M865">
        <v>24.1</v>
      </c>
      <c r="N865" t="b">
        <v>1</v>
      </c>
      <c r="O865">
        <v>655</v>
      </c>
      <c r="P865" t="s">
        <v>878</v>
      </c>
      <c r="Q865" t="s">
        <v>3034</v>
      </c>
      <c r="R865">
        <v>0</v>
      </c>
      <c r="S865">
        <v>1477</v>
      </c>
      <c r="T865">
        <v>25064</v>
      </c>
      <c r="U865" t="s">
        <v>4850</v>
      </c>
      <c r="V865">
        <v>74.3</v>
      </c>
      <c r="W865" t="s">
        <v>7070</v>
      </c>
      <c r="X865" t="s">
        <v>9197</v>
      </c>
      <c r="Y865">
        <v>648</v>
      </c>
      <c r="Z865">
        <v>55</v>
      </c>
      <c r="AA865">
        <v>76384</v>
      </c>
      <c r="AB865">
        <v>0.42</v>
      </c>
    </row>
    <row r="866" spans="1:28">
      <c r="A866" s="2">
        <f>HYPERLINK("https://finance.naver.com/item/coinfo.nhn?code=036930", "A036930")</f>
        <v>0</v>
      </c>
      <c r="B866">
        <f>HYPERLINK("http://comp.fnguide.com/SVO2/ASP/SVD_Consensus.asp?pGB=1&amp;gicode=A036930&amp;cID=&amp;MenuYn=Y&amp;ReportGB=&amp;NewMenuID=108&amp;stkGb=701", "주성엔지니어링")</f>
        <v>0</v>
      </c>
      <c r="C866">
        <v>1</v>
      </c>
      <c r="D866">
        <v>8640</v>
      </c>
      <c r="E866">
        <v>0.43</v>
      </c>
      <c r="F866">
        <v>15.17</v>
      </c>
      <c r="G866">
        <v>10936</v>
      </c>
      <c r="H866">
        <v>7389</v>
      </c>
      <c r="I866">
        <v>6378</v>
      </c>
      <c r="J866">
        <v>-26.57</v>
      </c>
      <c r="K866">
        <v>14.48</v>
      </c>
      <c r="L866">
        <v>26.18</v>
      </c>
      <c r="M866">
        <v>17.32</v>
      </c>
      <c r="N866" t="b">
        <v>1</v>
      </c>
      <c r="O866">
        <v>534</v>
      </c>
      <c r="P866" t="s">
        <v>879</v>
      </c>
      <c r="Q866" t="s">
        <v>3035</v>
      </c>
      <c r="R866">
        <v>35.24451440952851</v>
      </c>
      <c r="S866">
        <v>4169</v>
      </c>
      <c r="T866">
        <v>2673119</v>
      </c>
      <c r="U866" t="s">
        <v>4851</v>
      </c>
      <c r="V866">
        <v>28.28</v>
      </c>
      <c r="W866" t="s">
        <v>7071</v>
      </c>
      <c r="X866" t="s">
        <v>9198</v>
      </c>
      <c r="Y866">
        <v>2591</v>
      </c>
      <c r="Z866">
        <v>309</v>
      </c>
      <c r="AB866">
        <v>0.86</v>
      </c>
    </row>
    <row r="867" spans="1:28">
      <c r="A867" s="2">
        <f>HYPERLINK("https://finance.naver.com/item/coinfo.nhn?code=290520", "A290520")</f>
        <v>0</v>
      </c>
      <c r="B867">
        <f>HYPERLINK("http://comp.fnguide.com/SVO2/ASP/SVD_Consensus.asp?pGB=1&amp;gicode=A290520&amp;cID=&amp;MenuYn=Y&amp;ReportGB=&amp;NewMenuID=108&amp;stkGb=701", "신도기연")</f>
        <v>0</v>
      </c>
      <c r="C867">
        <v>1</v>
      </c>
      <c r="D867">
        <v>19350</v>
      </c>
      <c r="E867">
        <v>0</v>
      </c>
      <c r="G867">
        <v>28618</v>
      </c>
      <c r="H867">
        <v>14956</v>
      </c>
      <c r="I867">
        <v>11063</v>
      </c>
      <c r="J867">
        <v>-47.9</v>
      </c>
      <c r="K867">
        <v>22.71</v>
      </c>
      <c r="L867">
        <v>42.83</v>
      </c>
      <c r="M867">
        <v>38.79</v>
      </c>
      <c r="N867" t="b">
        <v>0</v>
      </c>
      <c r="O867">
        <v>2179</v>
      </c>
      <c r="P867" t="s">
        <v>880</v>
      </c>
      <c r="Q867" t="s">
        <v>3036</v>
      </c>
      <c r="R867">
        <v>0</v>
      </c>
      <c r="S867">
        <v>1560</v>
      </c>
      <c r="T867">
        <v>53857</v>
      </c>
      <c r="U867" t="s">
        <v>4852</v>
      </c>
      <c r="V867">
        <v>59.79</v>
      </c>
      <c r="W867" t="s">
        <v>7072</v>
      </c>
      <c r="X867" t="s">
        <v>968</v>
      </c>
      <c r="Y867">
        <v>848</v>
      </c>
      <c r="Z867">
        <v>169</v>
      </c>
    </row>
    <row r="868" spans="1:28">
      <c r="A868" s="2">
        <f>HYPERLINK("https://finance.naver.com/item/coinfo.nhn?code=067280", "A067280")</f>
        <v>0</v>
      </c>
      <c r="B868">
        <f>HYPERLINK("http://comp.fnguide.com/SVO2/ASP/SVD_Consensus.asp?pGB=1&amp;gicode=A067280&amp;cID=&amp;MenuYn=Y&amp;ReportGB=&amp;NewMenuID=108&amp;stkGb=701", "멀티캠퍼스")</f>
        <v>0</v>
      </c>
      <c r="C868">
        <v>1</v>
      </c>
      <c r="D868">
        <v>33450</v>
      </c>
      <c r="E868">
        <v>-1.49</v>
      </c>
      <c r="F868">
        <v>11.03</v>
      </c>
      <c r="G868">
        <v>42027</v>
      </c>
      <c r="H868">
        <v>27897</v>
      </c>
      <c r="I868">
        <v>23870</v>
      </c>
      <c r="J868">
        <v>-25.64</v>
      </c>
      <c r="K868">
        <v>16.6</v>
      </c>
      <c r="L868">
        <v>28.64</v>
      </c>
      <c r="M868">
        <v>18.1</v>
      </c>
      <c r="N868" t="b">
        <v>1</v>
      </c>
      <c r="O868">
        <v>3143</v>
      </c>
      <c r="P868" t="s">
        <v>881</v>
      </c>
      <c r="Q868" t="s">
        <v>3037</v>
      </c>
      <c r="R868">
        <v>-7.409942503135259</v>
      </c>
      <c r="S868">
        <v>1983</v>
      </c>
      <c r="T868">
        <v>10729</v>
      </c>
      <c r="U868" t="s">
        <v>4853</v>
      </c>
      <c r="V868">
        <v>62.44</v>
      </c>
      <c r="W868" t="s">
        <v>7073</v>
      </c>
      <c r="X868" t="s">
        <v>9199</v>
      </c>
      <c r="Y868">
        <v>2880</v>
      </c>
      <c r="Z868">
        <v>242</v>
      </c>
      <c r="AB868">
        <v>1.73</v>
      </c>
    </row>
    <row r="869" spans="1:28">
      <c r="A869" s="2">
        <f>HYPERLINK("https://finance.naver.com/item/coinfo.nhn?code=036670", "A036670")</f>
        <v>0</v>
      </c>
      <c r="B869">
        <f>HYPERLINK("http://comp.fnguide.com/SVO2/ASP/SVD_Consensus.asp?pGB=1&amp;gicode=A036670&amp;cID=&amp;MenuYn=Y&amp;ReportGB=&amp;NewMenuID=108&amp;stkGb=701", "KCI")</f>
        <v>0</v>
      </c>
      <c r="C869">
        <v>1</v>
      </c>
      <c r="D869">
        <v>10200</v>
      </c>
      <c r="E869">
        <v>0.6</v>
      </c>
      <c r="F869">
        <v>10.71</v>
      </c>
      <c r="G869">
        <v>12554</v>
      </c>
      <c r="H869">
        <v>8646</v>
      </c>
      <c r="I869">
        <v>7533</v>
      </c>
      <c r="J869">
        <v>-23.08</v>
      </c>
      <c r="K869">
        <v>15.23</v>
      </c>
      <c r="L869">
        <v>26.15</v>
      </c>
      <c r="M869">
        <v>16.54</v>
      </c>
      <c r="N869" t="b">
        <v>1</v>
      </c>
      <c r="O869">
        <v>1013</v>
      </c>
      <c r="P869" t="s">
        <v>882</v>
      </c>
      <c r="Q869" t="s">
        <v>3038</v>
      </c>
      <c r="R869">
        <v>17.88612050714651</v>
      </c>
      <c r="S869">
        <v>1150</v>
      </c>
      <c r="T869">
        <v>128575</v>
      </c>
      <c r="U869" t="s">
        <v>4854</v>
      </c>
      <c r="V869">
        <v>50.02</v>
      </c>
      <c r="W869" t="s">
        <v>7074</v>
      </c>
      <c r="X869" t="s">
        <v>9200</v>
      </c>
      <c r="Y869">
        <v>696</v>
      </c>
      <c r="Z869">
        <v>145</v>
      </c>
      <c r="AA869">
        <v>509800</v>
      </c>
      <c r="AB869">
        <v>1.84</v>
      </c>
    </row>
    <row r="870" spans="1:28">
      <c r="A870" s="2">
        <f>HYPERLINK("https://finance.naver.com/item/coinfo.nhn?code=086280", "A086280")</f>
        <v>0</v>
      </c>
      <c r="B870">
        <f>HYPERLINK("http://comp.fnguide.com/SVO2/ASP/SVD_Consensus.asp?pGB=1&amp;gicode=A086280&amp;cID=&amp;MenuYn=Y&amp;ReportGB=&amp;NewMenuID=108&amp;stkGb=701", "현대글로비스")</f>
        <v>0</v>
      </c>
      <c r="C870">
        <v>1</v>
      </c>
      <c r="D870">
        <v>186000</v>
      </c>
      <c r="E870">
        <v>0.65</v>
      </c>
      <c r="F870">
        <v>10.68</v>
      </c>
      <c r="G870">
        <v>190588</v>
      </c>
      <c r="H870">
        <v>150905</v>
      </c>
      <c r="I870">
        <v>139597</v>
      </c>
      <c r="J870">
        <v>-2.47</v>
      </c>
      <c r="K870">
        <v>18.87</v>
      </c>
      <c r="L870">
        <v>24.95</v>
      </c>
      <c r="M870">
        <v>12.2</v>
      </c>
      <c r="N870" t="b">
        <v>0</v>
      </c>
      <c r="O870">
        <v>13395</v>
      </c>
      <c r="P870" t="s">
        <v>883</v>
      </c>
      <c r="Q870" t="s">
        <v>3039</v>
      </c>
      <c r="R870">
        <v>16.42381886707241</v>
      </c>
      <c r="S870">
        <v>69750</v>
      </c>
      <c r="T870">
        <v>289105</v>
      </c>
      <c r="U870" t="s">
        <v>4855</v>
      </c>
      <c r="V870">
        <v>51.39</v>
      </c>
      <c r="W870" t="s">
        <v>7075</v>
      </c>
      <c r="X870" t="s">
        <v>9201</v>
      </c>
      <c r="Y870">
        <v>182701</v>
      </c>
      <c r="Z870">
        <v>8765</v>
      </c>
      <c r="AB870">
        <v>2.45</v>
      </c>
    </row>
    <row r="871" spans="1:28">
      <c r="A871" s="2">
        <f>HYPERLINK("https://finance.naver.com/item/coinfo.nhn?code=307930", "A307930")</f>
        <v>0</v>
      </c>
      <c r="B871">
        <f>HYPERLINK("http://comp.fnguide.com/SVO2/ASP/SVD_Consensus.asp?pGB=1&amp;gicode=A307930&amp;cID=&amp;MenuYn=Y&amp;ReportGB=&amp;NewMenuID=108&amp;stkGb=701", "컴퍼니케이")</f>
        <v>0</v>
      </c>
      <c r="C871">
        <v>1</v>
      </c>
      <c r="D871">
        <v>6980</v>
      </c>
      <c r="E871">
        <v>0</v>
      </c>
      <c r="F871">
        <v>12.85</v>
      </c>
      <c r="G871">
        <v>8210</v>
      </c>
      <c r="H871">
        <v>5248</v>
      </c>
      <c r="I871">
        <v>4404</v>
      </c>
      <c r="J871">
        <v>-17.62</v>
      </c>
      <c r="K871">
        <v>24.81</v>
      </c>
      <c r="L871">
        <v>36.91</v>
      </c>
      <c r="M871">
        <v>19.95</v>
      </c>
      <c r="N871" t="b">
        <v>1</v>
      </c>
      <c r="O871">
        <v>605</v>
      </c>
      <c r="P871" t="s">
        <v>884</v>
      </c>
      <c r="Q871" t="s">
        <v>3040</v>
      </c>
      <c r="R871">
        <v>-8.343042120225707</v>
      </c>
      <c r="S871">
        <v>1090</v>
      </c>
      <c r="T871">
        <v>223128</v>
      </c>
      <c r="U871" t="s">
        <v>4856</v>
      </c>
      <c r="V871">
        <v>73.61</v>
      </c>
      <c r="W871" t="s">
        <v>7076</v>
      </c>
      <c r="X871" t="s">
        <v>9202</v>
      </c>
      <c r="Y871">
        <v>169</v>
      </c>
      <c r="Z871">
        <v>108</v>
      </c>
      <c r="AB871">
        <v>2.06</v>
      </c>
    </row>
    <row r="872" spans="1:28">
      <c r="A872" s="2">
        <f>HYPERLINK("https://finance.naver.com/item/coinfo.nhn?code=039490", "A039490")</f>
        <v>0</v>
      </c>
      <c r="B872">
        <f>HYPERLINK("http://comp.fnguide.com/SVO2/ASP/SVD_Consensus.asp?pGB=1&amp;gicode=A039490&amp;cID=&amp;MenuYn=Y&amp;ReportGB=&amp;NewMenuID=108&amp;stkGb=701", "키움증권")</f>
        <v>0</v>
      </c>
      <c r="C872">
        <v>1</v>
      </c>
      <c r="D872">
        <v>144500</v>
      </c>
      <c r="E872">
        <v>0.32</v>
      </c>
      <c r="F872">
        <v>5.56</v>
      </c>
      <c r="G872">
        <v>192619</v>
      </c>
      <c r="H872">
        <v>138414</v>
      </c>
      <c r="I872">
        <v>122968</v>
      </c>
      <c r="J872">
        <v>-33.3</v>
      </c>
      <c r="K872">
        <v>4.21</v>
      </c>
      <c r="L872">
        <v>14.9</v>
      </c>
      <c r="M872">
        <v>14.99</v>
      </c>
      <c r="N872" t="b">
        <v>1</v>
      </c>
      <c r="O872">
        <v>14287</v>
      </c>
      <c r="P872" t="s">
        <v>885</v>
      </c>
      <c r="Q872" t="s">
        <v>3041</v>
      </c>
      <c r="R872">
        <v>17.40151881375067</v>
      </c>
      <c r="S872">
        <v>32125</v>
      </c>
      <c r="T872">
        <v>222603</v>
      </c>
      <c r="U872" t="s">
        <v>4857</v>
      </c>
      <c r="V872">
        <v>48.62</v>
      </c>
      <c r="W872" t="s">
        <v>7077</v>
      </c>
      <c r="X872" t="s">
        <v>9203</v>
      </c>
      <c r="Y872">
        <v>8651</v>
      </c>
      <c r="Z872">
        <v>4737</v>
      </c>
      <c r="AA872">
        <v>500000</v>
      </c>
      <c r="AB872">
        <v>2.52</v>
      </c>
    </row>
    <row r="873" spans="1:28">
      <c r="A873" s="2">
        <f>HYPERLINK("https://finance.naver.com/item/coinfo.nhn?code=089890", "A089890")</f>
        <v>0</v>
      </c>
      <c r="B873">
        <f>HYPERLINK("http://comp.fnguide.com/SVO2/ASP/SVD_Consensus.asp?pGB=1&amp;gicode=A089890&amp;cID=&amp;MenuYn=Y&amp;ReportGB=&amp;NewMenuID=108&amp;stkGb=701", "코세스")</f>
        <v>0</v>
      </c>
      <c r="C873">
        <v>1</v>
      </c>
      <c r="D873">
        <v>8200</v>
      </c>
      <c r="E873">
        <v>-2.25</v>
      </c>
      <c r="F873">
        <v>23.56</v>
      </c>
      <c r="G873">
        <v>10824</v>
      </c>
      <c r="H873">
        <v>5379</v>
      </c>
      <c r="I873">
        <v>3828</v>
      </c>
      <c r="J873">
        <v>-32</v>
      </c>
      <c r="K873">
        <v>34.4</v>
      </c>
      <c r="L873">
        <v>53.32</v>
      </c>
      <c r="M873">
        <v>48.97</v>
      </c>
      <c r="N873" t="b">
        <v>1</v>
      </c>
      <c r="O873">
        <v>371</v>
      </c>
      <c r="P873" t="s">
        <v>886</v>
      </c>
      <c r="Q873" t="s">
        <v>3042</v>
      </c>
      <c r="R873">
        <v>-10.45219045738443</v>
      </c>
      <c r="S873">
        <v>1360</v>
      </c>
      <c r="T873">
        <v>366227</v>
      </c>
      <c r="U873" t="s">
        <v>4858</v>
      </c>
      <c r="V873">
        <v>51.31</v>
      </c>
      <c r="W873" t="s">
        <v>7078</v>
      </c>
      <c r="X873" t="s">
        <v>9204</v>
      </c>
      <c r="Y873">
        <v>656</v>
      </c>
      <c r="Z873">
        <v>77</v>
      </c>
      <c r="AA873">
        <v>1202816</v>
      </c>
    </row>
    <row r="874" spans="1:28">
      <c r="A874" s="2">
        <f>HYPERLINK("https://finance.naver.com/item/coinfo.nhn?code=318010", "A318010")</f>
        <v>0</v>
      </c>
      <c r="B874">
        <f>HYPERLINK("http://comp.fnguide.com/SVO2/ASP/SVD_Consensus.asp?pGB=1&amp;gicode=A318010&amp;cID=&amp;MenuYn=Y&amp;ReportGB=&amp;NewMenuID=108&amp;stkGb=701", "팜스빌")</f>
        <v>0</v>
      </c>
      <c r="C874">
        <v>1</v>
      </c>
      <c r="D874">
        <v>11050</v>
      </c>
      <c r="E874">
        <v>-2.45</v>
      </c>
      <c r="F874">
        <v>10.71</v>
      </c>
      <c r="G874">
        <v>14025</v>
      </c>
      <c r="H874">
        <v>9841</v>
      </c>
      <c r="I874">
        <v>8648</v>
      </c>
      <c r="J874">
        <v>-26.92</v>
      </c>
      <c r="K874">
        <v>10.95</v>
      </c>
      <c r="L874">
        <v>21.74</v>
      </c>
      <c r="M874">
        <v>15.83</v>
      </c>
      <c r="N874" t="b">
        <v>1</v>
      </c>
      <c r="O874">
        <v>1092</v>
      </c>
      <c r="P874" t="s">
        <v>887</v>
      </c>
      <c r="Q874" t="s">
        <v>3043</v>
      </c>
      <c r="R874">
        <v>-4.373925992095085</v>
      </c>
      <c r="S874">
        <v>876</v>
      </c>
      <c r="T874">
        <v>46574</v>
      </c>
      <c r="U874" t="s">
        <v>4859</v>
      </c>
      <c r="V874">
        <v>70.37</v>
      </c>
      <c r="W874" t="s">
        <v>7079</v>
      </c>
      <c r="X874" t="s">
        <v>9205</v>
      </c>
      <c r="Y874">
        <v>300</v>
      </c>
      <c r="Z874">
        <v>71</v>
      </c>
      <c r="AA874">
        <v>82908</v>
      </c>
      <c r="AB874">
        <v>1.71</v>
      </c>
    </row>
    <row r="875" spans="1:28">
      <c r="A875" s="2">
        <f>HYPERLINK("https://finance.naver.com/item/coinfo.nhn?code=339950", "A339950")</f>
        <v>0</v>
      </c>
      <c r="B875">
        <f>HYPERLINK("http://comp.fnguide.com/SVO2/ASP/SVD_Consensus.asp?pGB=1&amp;gicode=A339950&amp;cID=&amp;MenuYn=Y&amp;ReportGB=&amp;NewMenuID=108&amp;stkGb=701", "아이비김영")</f>
        <v>0</v>
      </c>
      <c r="C875">
        <v>1</v>
      </c>
      <c r="D875">
        <v>1690</v>
      </c>
      <c r="G875">
        <v>3440</v>
      </c>
      <c r="H875">
        <v>1608</v>
      </c>
      <c r="I875">
        <v>1086</v>
      </c>
      <c r="J875">
        <v>-103.53</v>
      </c>
      <c r="K875">
        <v>4.85</v>
      </c>
      <c r="L875">
        <v>35.74</v>
      </c>
      <c r="M875">
        <v>70.09999999999999</v>
      </c>
      <c r="N875" t="b">
        <v>0</v>
      </c>
      <c r="O875">
        <v>157</v>
      </c>
      <c r="P875" t="s">
        <v>888</v>
      </c>
      <c r="Q875" t="s">
        <v>3044</v>
      </c>
      <c r="R875">
        <v>254.0653740224299</v>
      </c>
      <c r="S875">
        <v>718</v>
      </c>
      <c r="T875">
        <v>136055</v>
      </c>
      <c r="U875" t="s">
        <v>4860</v>
      </c>
      <c r="V875">
        <v>68.16</v>
      </c>
      <c r="W875" t="s">
        <v>7080</v>
      </c>
      <c r="X875" t="s">
        <v>968</v>
      </c>
      <c r="Y875">
        <v>547</v>
      </c>
      <c r="Z875">
        <v>73</v>
      </c>
      <c r="AA875">
        <v>1832829</v>
      </c>
    </row>
    <row r="876" spans="1:28">
      <c r="A876" s="2">
        <f>HYPERLINK("https://finance.naver.com/item/coinfo.nhn?code=243070", "A243070")</f>
        <v>0</v>
      </c>
      <c r="B876">
        <f>HYPERLINK("http://comp.fnguide.com/SVO2/ASP/SVD_Consensus.asp?pGB=1&amp;gicode=A243070&amp;cID=&amp;MenuYn=Y&amp;ReportGB=&amp;NewMenuID=108&amp;stkGb=701", "휴온스")</f>
        <v>0</v>
      </c>
      <c r="C876">
        <v>1</v>
      </c>
      <c r="D876">
        <v>63000</v>
      </c>
      <c r="E876">
        <v>0</v>
      </c>
      <c r="F876">
        <v>13.97</v>
      </c>
      <c r="G876">
        <v>66354</v>
      </c>
      <c r="H876">
        <v>38420</v>
      </c>
      <c r="I876">
        <v>30461</v>
      </c>
      <c r="J876">
        <v>-5.32</v>
      </c>
      <c r="K876">
        <v>39.02</v>
      </c>
      <c r="L876">
        <v>51.65</v>
      </c>
      <c r="M876">
        <v>26.62</v>
      </c>
      <c r="N876" t="b">
        <v>1</v>
      </c>
      <c r="O876">
        <v>3867</v>
      </c>
      <c r="P876" t="s">
        <v>889</v>
      </c>
      <c r="Q876" t="s">
        <v>3045</v>
      </c>
      <c r="R876">
        <v>0</v>
      </c>
      <c r="S876">
        <v>6225</v>
      </c>
      <c r="T876">
        <v>102490</v>
      </c>
      <c r="U876" t="s">
        <v>4861</v>
      </c>
      <c r="V876">
        <v>45.05</v>
      </c>
      <c r="W876" t="s">
        <v>7081</v>
      </c>
      <c r="X876" t="s">
        <v>9206</v>
      </c>
      <c r="Y876">
        <v>3650</v>
      </c>
      <c r="Z876">
        <v>484</v>
      </c>
      <c r="AA876">
        <v>88459</v>
      </c>
      <c r="AB876">
        <v>1.18</v>
      </c>
    </row>
    <row r="877" spans="1:28">
      <c r="A877" s="2">
        <f>HYPERLINK("https://finance.naver.com/item/coinfo.nhn?code=208350", "A208350")</f>
        <v>0</v>
      </c>
      <c r="B877">
        <f>HYPERLINK("http://comp.fnguide.com/SVO2/ASP/SVD_Consensus.asp?pGB=1&amp;gicode=A208350&amp;cID=&amp;MenuYn=Y&amp;ReportGB=&amp;NewMenuID=108&amp;stkGb=701", "지란지교시큐리티")</f>
        <v>0</v>
      </c>
      <c r="C877">
        <v>1</v>
      </c>
      <c r="D877">
        <v>5730</v>
      </c>
      <c r="E877">
        <v>-0.5</v>
      </c>
      <c r="F877">
        <v>18.58</v>
      </c>
      <c r="G877">
        <v>5791</v>
      </c>
      <c r="H877">
        <v>5720</v>
      </c>
      <c r="I877">
        <v>5700</v>
      </c>
      <c r="J877">
        <v>-1.06</v>
      </c>
      <c r="K877">
        <v>0.17</v>
      </c>
      <c r="L877">
        <v>0.52</v>
      </c>
      <c r="M877">
        <v>8.130000000000001</v>
      </c>
      <c r="N877" t="b">
        <v>1</v>
      </c>
      <c r="O877">
        <v>318</v>
      </c>
      <c r="P877" t="s">
        <v>890</v>
      </c>
      <c r="Q877" t="s">
        <v>3046</v>
      </c>
      <c r="R877">
        <v>-37.47512495014483</v>
      </c>
      <c r="S877">
        <v>445</v>
      </c>
      <c r="T877">
        <v>60806</v>
      </c>
      <c r="U877" t="s">
        <v>4862</v>
      </c>
      <c r="V877">
        <v>44.13</v>
      </c>
      <c r="W877" t="s">
        <v>7082</v>
      </c>
      <c r="X877" t="s">
        <v>9207</v>
      </c>
      <c r="Y877">
        <v>615</v>
      </c>
      <c r="Z877">
        <v>35</v>
      </c>
      <c r="AA877">
        <v>1198</v>
      </c>
    </row>
    <row r="878" spans="1:28">
      <c r="A878" s="2">
        <f>HYPERLINK("https://finance.naver.com/item/coinfo.nhn?code=108230", "A108230")</f>
        <v>0</v>
      </c>
      <c r="B878">
        <f>HYPERLINK("http://comp.fnguide.com/SVO2/ASP/SVD_Consensus.asp?pGB=1&amp;gicode=A108230&amp;cID=&amp;MenuYn=Y&amp;ReportGB=&amp;NewMenuID=108&amp;stkGb=701", "톱텍")</f>
        <v>0</v>
      </c>
      <c r="C878">
        <v>1</v>
      </c>
      <c r="D878">
        <v>12650</v>
      </c>
      <c r="E878">
        <v>48.69</v>
      </c>
      <c r="F878">
        <v>100.45</v>
      </c>
      <c r="G878">
        <v>14161</v>
      </c>
      <c r="H878">
        <v>11223</v>
      </c>
      <c r="I878">
        <v>10386</v>
      </c>
      <c r="J878">
        <v>-11.95</v>
      </c>
      <c r="K878">
        <v>11.28</v>
      </c>
      <c r="L878">
        <v>17.9</v>
      </c>
      <c r="M878">
        <v>12.17</v>
      </c>
      <c r="N878" t="b">
        <v>1</v>
      </c>
      <c r="O878">
        <v>99</v>
      </c>
      <c r="P878" t="s">
        <v>891</v>
      </c>
      <c r="Q878" t="s">
        <v>3047</v>
      </c>
      <c r="R878">
        <v>2.063263240677649</v>
      </c>
      <c r="S878">
        <v>4810</v>
      </c>
      <c r="T878">
        <v>352991</v>
      </c>
      <c r="U878" t="s">
        <v>4863</v>
      </c>
      <c r="V878">
        <v>41.8</v>
      </c>
      <c r="W878" t="s">
        <v>7083</v>
      </c>
      <c r="X878" t="s">
        <v>9208</v>
      </c>
      <c r="Y878">
        <v>1672</v>
      </c>
      <c r="Z878">
        <v>-66</v>
      </c>
      <c r="AA878">
        <v>1987657</v>
      </c>
      <c r="AB878">
        <v>1</v>
      </c>
    </row>
    <row r="879" spans="1:28">
      <c r="A879" s="2">
        <f>HYPERLINK("https://finance.naver.com/item/coinfo.nhn?code=109740", "A109740")</f>
        <v>0</v>
      </c>
      <c r="B879">
        <f>HYPERLINK("http://comp.fnguide.com/SVO2/ASP/SVD_Consensus.asp?pGB=1&amp;gicode=A109740&amp;cID=&amp;MenuYn=Y&amp;ReportGB=&amp;NewMenuID=108&amp;stkGb=701", "디에스케이")</f>
        <v>0</v>
      </c>
      <c r="C879">
        <v>1</v>
      </c>
      <c r="D879">
        <v>6730</v>
      </c>
      <c r="E879">
        <v>-0.49</v>
      </c>
      <c r="F879">
        <v>29.75</v>
      </c>
      <c r="G879">
        <v>7019</v>
      </c>
      <c r="H879">
        <v>6183</v>
      </c>
      <c r="I879">
        <v>5945</v>
      </c>
      <c r="J879">
        <v>-4.29</v>
      </c>
      <c r="K879">
        <v>8.130000000000001</v>
      </c>
      <c r="L879">
        <v>11.67</v>
      </c>
      <c r="M879">
        <v>9.94</v>
      </c>
      <c r="N879" t="b">
        <v>1</v>
      </c>
      <c r="O879">
        <v>306</v>
      </c>
      <c r="P879" t="s">
        <v>892</v>
      </c>
      <c r="Q879" t="s">
        <v>3048</v>
      </c>
      <c r="R879">
        <v>-60.21105681222483</v>
      </c>
      <c r="S879">
        <v>1370</v>
      </c>
      <c r="T879">
        <v>93192</v>
      </c>
      <c r="U879" t="s">
        <v>4864</v>
      </c>
      <c r="V879">
        <v>23.63</v>
      </c>
      <c r="W879" t="s">
        <v>7084</v>
      </c>
      <c r="X879" t="s">
        <v>9209</v>
      </c>
      <c r="Y879">
        <v>765</v>
      </c>
      <c r="Z879">
        <v>55</v>
      </c>
      <c r="AA879">
        <v>346805</v>
      </c>
    </row>
    <row r="880" spans="1:28">
      <c r="A880" s="2">
        <f>HYPERLINK("https://finance.naver.com/item/coinfo.nhn?code=298540", "A298540")</f>
        <v>0</v>
      </c>
      <c r="B880">
        <f>HYPERLINK("http://comp.fnguide.com/SVO2/ASP/SVD_Consensus.asp?pGB=1&amp;gicode=A298540&amp;cID=&amp;MenuYn=Y&amp;ReportGB=&amp;NewMenuID=108&amp;stkGb=701", "더네이쳐홀딩스")</f>
        <v>0</v>
      </c>
      <c r="C880">
        <v>1</v>
      </c>
      <c r="D880">
        <v>42900</v>
      </c>
      <c r="E880">
        <v>0</v>
      </c>
      <c r="G880">
        <v>62724</v>
      </c>
      <c r="H880">
        <v>31267</v>
      </c>
      <c r="I880">
        <v>22303</v>
      </c>
      <c r="J880">
        <v>-46.21</v>
      </c>
      <c r="K880">
        <v>27.12</v>
      </c>
      <c r="L880">
        <v>48.01</v>
      </c>
      <c r="M880">
        <v>48.22</v>
      </c>
      <c r="N880" t="b">
        <v>0</v>
      </c>
      <c r="O880">
        <v>2850</v>
      </c>
      <c r="P880" t="s">
        <v>893</v>
      </c>
      <c r="Q880" t="s">
        <v>3049</v>
      </c>
      <c r="R880">
        <v>0</v>
      </c>
      <c r="S880">
        <v>3120</v>
      </c>
      <c r="T880">
        <v>361574</v>
      </c>
      <c r="U880" t="s">
        <v>4865</v>
      </c>
      <c r="V880">
        <v>37.49</v>
      </c>
      <c r="W880" t="s">
        <v>7085</v>
      </c>
      <c r="X880" t="s">
        <v>9210</v>
      </c>
      <c r="Y880">
        <v>2353</v>
      </c>
      <c r="Z880">
        <v>398</v>
      </c>
    </row>
    <row r="881" spans="1:28">
      <c r="A881" s="2">
        <f>HYPERLINK("https://finance.naver.com/item/coinfo.nhn?code=317320", "A317320")</f>
        <v>0</v>
      </c>
      <c r="B881">
        <f>HYPERLINK("http://comp.fnguide.com/SVO2/ASP/SVD_Consensus.asp?pGB=1&amp;gicode=A317320&amp;cID=&amp;MenuYn=Y&amp;ReportGB=&amp;NewMenuID=108&amp;stkGb=701", "한화에스비아이스팩")</f>
        <v>0</v>
      </c>
      <c r="C881">
        <v>0</v>
      </c>
      <c r="D881">
        <v>2540</v>
      </c>
      <c r="E881">
        <v>0</v>
      </c>
      <c r="F881">
        <v>232.69</v>
      </c>
      <c r="G881">
        <v>0</v>
      </c>
      <c r="H881">
        <v>1116</v>
      </c>
      <c r="I881">
        <v>1434</v>
      </c>
      <c r="J881">
        <v>100</v>
      </c>
      <c r="K881">
        <v>56.05</v>
      </c>
      <c r="L881">
        <v>43.53</v>
      </c>
      <c r="M881">
        <v>0</v>
      </c>
      <c r="N881" t="b">
        <v>0</v>
      </c>
      <c r="O881">
        <v>11</v>
      </c>
      <c r="P881" t="s">
        <v>894</v>
      </c>
      <c r="Q881" t="s">
        <v>2276</v>
      </c>
      <c r="R881">
        <v>0</v>
      </c>
      <c r="S881">
        <v>111</v>
      </c>
      <c r="T881">
        <v>34282</v>
      </c>
      <c r="U881" t="s">
        <v>4866</v>
      </c>
      <c r="V881">
        <v>13.76</v>
      </c>
      <c r="W881" t="s">
        <v>968</v>
      </c>
      <c r="X881" t="s">
        <v>9211</v>
      </c>
      <c r="Y881">
        <v>0</v>
      </c>
      <c r="Z881">
        <v>0</v>
      </c>
    </row>
    <row r="882" spans="1:28">
      <c r="A882" s="2">
        <f>HYPERLINK("https://finance.naver.com/item/coinfo.nhn?code=122640", "A122640")</f>
        <v>0</v>
      </c>
      <c r="B882">
        <f>HYPERLINK("http://comp.fnguide.com/SVO2/ASP/SVD_Consensus.asp?pGB=1&amp;gicode=A122640&amp;cID=&amp;MenuYn=Y&amp;ReportGB=&amp;NewMenuID=108&amp;stkGb=701", "예스티")</f>
        <v>0</v>
      </c>
      <c r="C882">
        <v>0</v>
      </c>
      <c r="D882">
        <v>9750</v>
      </c>
      <c r="G882">
        <v>2553</v>
      </c>
      <c r="H882">
        <v>3457</v>
      </c>
      <c r="I882">
        <v>3714</v>
      </c>
      <c r="J882">
        <v>73.81</v>
      </c>
      <c r="K882">
        <v>64.55</v>
      </c>
      <c r="L882">
        <v>61.91</v>
      </c>
      <c r="M882">
        <v>5.02</v>
      </c>
      <c r="N882" t="b">
        <v>0</v>
      </c>
      <c r="O882">
        <v>-2132</v>
      </c>
      <c r="P882" t="s">
        <v>895</v>
      </c>
      <c r="Q882" t="s">
        <v>3050</v>
      </c>
      <c r="R882">
        <v>30.22611105304496</v>
      </c>
      <c r="S882">
        <v>1446</v>
      </c>
      <c r="T882">
        <v>218327</v>
      </c>
      <c r="U882" t="s">
        <v>4867</v>
      </c>
      <c r="V882">
        <v>24.27</v>
      </c>
      <c r="W882" t="s">
        <v>7086</v>
      </c>
      <c r="X882" t="s">
        <v>9212</v>
      </c>
      <c r="Y882">
        <v>534</v>
      </c>
      <c r="Z882">
        <v>-219</v>
      </c>
      <c r="AA882">
        <v>806291</v>
      </c>
    </row>
    <row r="883" spans="1:28">
      <c r="A883" s="2">
        <f>HYPERLINK("https://finance.naver.com/item/coinfo.nhn?code=260660", "A260660")</f>
        <v>0</v>
      </c>
      <c r="B883">
        <f>HYPERLINK("http://comp.fnguide.com/SVO2/ASP/SVD_Consensus.asp?pGB=1&amp;gicode=A260660&amp;cID=&amp;MenuYn=Y&amp;ReportGB=&amp;NewMenuID=108&amp;stkGb=701", "알리코제약")</f>
        <v>0</v>
      </c>
      <c r="C883">
        <v>0</v>
      </c>
      <c r="D883">
        <v>12600</v>
      </c>
      <c r="E883">
        <v>0.23</v>
      </c>
      <c r="F883">
        <v>13.55</v>
      </c>
      <c r="G883">
        <v>10923</v>
      </c>
      <c r="H883">
        <v>8834</v>
      </c>
      <c r="I883">
        <v>8238</v>
      </c>
      <c r="J883">
        <v>13.31</v>
      </c>
      <c r="K883">
        <v>29.89</v>
      </c>
      <c r="L883">
        <v>34.62</v>
      </c>
      <c r="M883">
        <v>11.69</v>
      </c>
      <c r="N883" t="b">
        <v>1</v>
      </c>
      <c r="O883">
        <v>1041</v>
      </c>
      <c r="P883" t="s">
        <v>896</v>
      </c>
      <c r="Q883" t="s">
        <v>3051</v>
      </c>
      <c r="R883">
        <v>58.48693236280864</v>
      </c>
      <c r="S883">
        <v>1238</v>
      </c>
      <c r="T883">
        <v>65089</v>
      </c>
      <c r="U883" t="s">
        <v>4868</v>
      </c>
      <c r="V883">
        <v>43.3</v>
      </c>
      <c r="W883" t="s">
        <v>7087</v>
      </c>
      <c r="X883" t="s">
        <v>9213</v>
      </c>
      <c r="Y883">
        <v>1158</v>
      </c>
      <c r="Z883">
        <v>125</v>
      </c>
      <c r="AA883">
        <v>245574</v>
      </c>
      <c r="AB883">
        <v>1.42</v>
      </c>
    </row>
    <row r="884" spans="1:28">
      <c r="A884" s="2">
        <f>HYPERLINK("https://finance.naver.com/item/coinfo.nhn?code=297570", "A297570")</f>
        <v>0</v>
      </c>
      <c r="B884">
        <f>HYPERLINK("http://comp.fnguide.com/SVO2/ASP/SVD_Consensus.asp?pGB=1&amp;gicode=A297570&amp;cID=&amp;MenuYn=Y&amp;ReportGB=&amp;NewMenuID=108&amp;stkGb=701", "알로이스")</f>
        <v>0</v>
      </c>
      <c r="C884">
        <v>0</v>
      </c>
      <c r="D884">
        <v>2500</v>
      </c>
      <c r="G884">
        <v>1823</v>
      </c>
      <c r="H884">
        <v>1300</v>
      </c>
      <c r="I884">
        <v>1151</v>
      </c>
      <c r="J884">
        <v>27.08</v>
      </c>
      <c r="K884">
        <v>48.01</v>
      </c>
      <c r="L884">
        <v>53.97</v>
      </c>
      <c r="M884">
        <v>15.26</v>
      </c>
      <c r="N884" t="b">
        <v>0</v>
      </c>
      <c r="O884">
        <v>-232</v>
      </c>
      <c r="P884" t="s">
        <v>897</v>
      </c>
      <c r="Q884" t="s">
        <v>3052</v>
      </c>
      <c r="R884">
        <v>130.8793624384821</v>
      </c>
      <c r="S884">
        <v>433</v>
      </c>
      <c r="T884">
        <v>344095</v>
      </c>
      <c r="U884" t="s">
        <v>4869</v>
      </c>
      <c r="V884">
        <v>35.51</v>
      </c>
      <c r="W884" t="s">
        <v>7088</v>
      </c>
      <c r="X884" t="s">
        <v>968</v>
      </c>
      <c r="Y884">
        <v>302</v>
      </c>
      <c r="Z884">
        <v>42</v>
      </c>
      <c r="AA884">
        <v>23</v>
      </c>
    </row>
    <row r="885" spans="1:28">
      <c r="A885" s="2">
        <f>HYPERLINK("https://finance.naver.com/item/coinfo.nhn?code=340440", "A340440")</f>
        <v>0</v>
      </c>
      <c r="B885">
        <f>HYPERLINK("http://comp.fnguide.com/SVO2/ASP/SVD_Consensus.asp?pGB=1&amp;gicode=A340440&amp;cID=&amp;MenuYn=Y&amp;ReportGB=&amp;NewMenuID=108&amp;stkGb=701", "한화플러스제1호스팩")</f>
        <v>0</v>
      </c>
      <c r="C885">
        <v>0</v>
      </c>
      <c r="D885">
        <v>2005</v>
      </c>
      <c r="E885">
        <v>0</v>
      </c>
      <c r="G885">
        <v>0</v>
      </c>
      <c r="H885">
        <v>1148</v>
      </c>
      <c r="I885">
        <v>1475</v>
      </c>
      <c r="J885">
        <v>100</v>
      </c>
      <c r="K885">
        <v>42.74</v>
      </c>
      <c r="L885">
        <v>26.42</v>
      </c>
      <c r="M885">
        <v>0</v>
      </c>
      <c r="N885" t="b">
        <v>0</v>
      </c>
      <c r="O885">
        <v>-15</v>
      </c>
      <c r="P885" t="s">
        <v>898</v>
      </c>
      <c r="Q885" t="s">
        <v>2276</v>
      </c>
      <c r="R885">
        <v>0</v>
      </c>
      <c r="S885">
        <v>94</v>
      </c>
      <c r="T885">
        <v>16353</v>
      </c>
      <c r="U885" t="s">
        <v>4870</v>
      </c>
      <c r="V885">
        <v>12.74</v>
      </c>
      <c r="W885" t="s">
        <v>968</v>
      </c>
      <c r="X885" t="s">
        <v>968</v>
      </c>
      <c r="Y885">
        <v>0</v>
      </c>
      <c r="Z885">
        <v>0</v>
      </c>
    </row>
    <row r="886" spans="1:28">
      <c r="A886" s="2">
        <f>HYPERLINK("https://finance.naver.com/item/coinfo.nhn?code=053980", "A053980")</f>
        <v>0</v>
      </c>
      <c r="B886">
        <f>HYPERLINK("http://comp.fnguide.com/SVO2/ASP/SVD_Consensus.asp?pGB=1&amp;gicode=A053980&amp;cID=&amp;MenuYn=Y&amp;ReportGB=&amp;NewMenuID=108&amp;stkGb=701", "오상자이엘")</f>
        <v>0</v>
      </c>
      <c r="C886">
        <v>0</v>
      </c>
      <c r="D886">
        <v>9770</v>
      </c>
      <c r="G886">
        <v>281</v>
      </c>
      <c r="H886">
        <v>1400</v>
      </c>
      <c r="I886">
        <v>1718</v>
      </c>
      <c r="J886">
        <v>97.12</v>
      </c>
      <c r="K886">
        <v>85.68000000000001</v>
      </c>
      <c r="L886">
        <v>82.41</v>
      </c>
      <c r="M886">
        <v>1.04</v>
      </c>
      <c r="N886" t="b">
        <v>0</v>
      </c>
      <c r="O886">
        <v>-833</v>
      </c>
      <c r="P886" t="s">
        <v>899</v>
      </c>
      <c r="Q886" t="s">
        <v>3053</v>
      </c>
      <c r="R886">
        <v>7643.5</v>
      </c>
      <c r="S886">
        <v>1734</v>
      </c>
      <c r="T886">
        <v>226789</v>
      </c>
      <c r="U886" t="s">
        <v>4871</v>
      </c>
      <c r="V886">
        <v>36.14</v>
      </c>
      <c r="W886" t="s">
        <v>7089</v>
      </c>
      <c r="X886" t="s">
        <v>9214</v>
      </c>
      <c r="Y886">
        <v>742</v>
      </c>
      <c r="Z886">
        <v>-26</v>
      </c>
      <c r="AA886">
        <v>106437</v>
      </c>
    </row>
    <row r="887" spans="1:28">
      <c r="A887" s="2">
        <f>HYPERLINK("https://finance.naver.com/item/coinfo.nhn?code=034810", "A034810")</f>
        <v>0</v>
      </c>
      <c r="B887">
        <f>HYPERLINK("http://comp.fnguide.com/SVO2/ASP/SVD_Consensus.asp?pGB=1&amp;gicode=A034810&amp;cID=&amp;MenuYn=Y&amp;ReportGB=&amp;NewMenuID=108&amp;stkGb=701", "해성산업")</f>
        <v>0</v>
      </c>
      <c r="C887">
        <v>0</v>
      </c>
      <c r="D887">
        <v>12100</v>
      </c>
      <c r="E887">
        <v>0.25</v>
      </c>
      <c r="F887">
        <v>42.91</v>
      </c>
      <c r="G887">
        <v>1352</v>
      </c>
      <c r="H887">
        <v>5166</v>
      </c>
      <c r="I887">
        <v>6252</v>
      </c>
      <c r="J887">
        <v>88.81999999999999</v>
      </c>
      <c r="K887">
        <v>57.31</v>
      </c>
      <c r="L887">
        <v>48.33</v>
      </c>
      <c r="M887">
        <v>1.4</v>
      </c>
      <c r="N887" t="b">
        <v>0</v>
      </c>
      <c r="O887">
        <v>238</v>
      </c>
      <c r="P887" t="s">
        <v>900</v>
      </c>
      <c r="Q887" t="s">
        <v>3054</v>
      </c>
      <c r="R887">
        <v>171.2336910631221</v>
      </c>
      <c r="S887">
        <v>2192</v>
      </c>
      <c r="T887">
        <v>133213</v>
      </c>
      <c r="U887" t="s">
        <v>4872</v>
      </c>
      <c r="V887">
        <v>48.72</v>
      </c>
      <c r="W887" t="s">
        <v>7090</v>
      </c>
      <c r="X887" t="s">
        <v>9215</v>
      </c>
      <c r="Y887">
        <v>203</v>
      </c>
      <c r="Z887">
        <v>52</v>
      </c>
      <c r="AA887">
        <v>50</v>
      </c>
      <c r="AB887">
        <v>1.72</v>
      </c>
    </row>
    <row r="888" spans="1:28">
      <c r="A888" s="2">
        <f>HYPERLINK("https://finance.naver.com/item/coinfo.nhn?code=014940", "A014940")</f>
        <v>0</v>
      </c>
      <c r="B888">
        <f>HYPERLINK("http://comp.fnguide.com/SVO2/ASP/SVD_Consensus.asp?pGB=1&amp;gicode=A014940&amp;cID=&amp;MenuYn=Y&amp;ReportGB=&amp;NewMenuID=108&amp;stkGb=701", "오리엔탈정공")</f>
        <v>0</v>
      </c>
      <c r="C888">
        <v>0</v>
      </c>
      <c r="D888">
        <v>2590</v>
      </c>
      <c r="E888">
        <v>0</v>
      </c>
      <c r="F888">
        <v>10.39</v>
      </c>
      <c r="G888">
        <v>688</v>
      </c>
      <c r="H888">
        <v>689</v>
      </c>
      <c r="I888">
        <v>689</v>
      </c>
      <c r="J888">
        <v>73.43000000000001</v>
      </c>
      <c r="K888">
        <v>73.40000000000001</v>
      </c>
      <c r="L888">
        <v>73.39</v>
      </c>
      <c r="M888">
        <v>7.96</v>
      </c>
      <c r="N888" t="b">
        <v>1</v>
      </c>
      <c r="O888">
        <v>77</v>
      </c>
      <c r="P888" t="s">
        <v>901</v>
      </c>
      <c r="Q888" t="s">
        <v>2276</v>
      </c>
      <c r="R888">
        <v>0</v>
      </c>
      <c r="S888">
        <v>1180</v>
      </c>
      <c r="T888">
        <v>2227107</v>
      </c>
      <c r="U888" t="s">
        <v>4873</v>
      </c>
      <c r="V888">
        <v>45.77</v>
      </c>
      <c r="W888" t="s">
        <v>7091</v>
      </c>
      <c r="X888" t="s">
        <v>9216</v>
      </c>
      <c r="Y888">
        <v>1301</v>
      </c>
      <c r="Z888">
        <v>53</v>
      </c>
      <c r="AA888">
        <v>26372</v>
      </c>
    </row>
    <row r="889" spans="1:28">
      <c r="A889" s="2">
        <f>HYPERLINK("https://finance.naver.com/item/coinfo.nhn?code=065500", "A065500")</f>
        <v>0</v>
      </c>
      <c r="B889">
        <f>HYPERLINK("http://comp.fnguide.com/SVO2/ASP/SVD_Consensus.asp?pGB=1&amp;gicode=A065500&amp;cID=&amp;MenuYn=Y&amp;ReportGB=&amp;NewMenuID=108&amp;stkGb=701", "오리엔트정공")</f>
        <v>0</v>
      </c>
      <c r="C889">
        <v>0</v>
      </c>
      <c r="D889">
        <v>825</v>
      </c>
      <c r="E889">
        <v>0</v>
      </c>
      <c r="G889">
        <v>0</v>
      </c>
      <c r="H889">
        <v>255</v>
      </c>
      <c r="I889">
        <v>328</v>
      </c>
      <c r="J889">
        <v>100</v>
      </c>
      <c r="K889">
        <v>69.09999999999999</v>
      </c>
      <c r="L889">
        <v>60.3</v>
      </c>
      <c r="M889">
        <v>0</v>
      </c>
      <c r="N889" t="b">
        <v>0</v>
      </c>
      <c r="O889">
        <v>-34</v>
      </c>
      <c r="P889" t="s">
        <v>902</v>
      </c>
      <c r="Q889" t="s">
        <v>2276</v>
      </c>
      <c r="R889">
        <v>0</v>
      </c>
      <c r="S889">
        <v>967</v>
      </c>
      <c r="T889">
        <v>79562188</v>
      </c>
      <c r="U889" t="s">
        <v>4874</v>
      </c>
      <c r="V889">
        <v>36.77</v>
      </c>
      <c r="W889" t="s">
        <v>7092</v>
      </c>
      <c r="X889" t="s">
        <v>968</v>
      </c>
      <c r="Y889">
        <v>973</v>
      </c>
      <c r="Z889">
        <v>-32</v>
      </c>
      <c r="AA889">
        <v>59778</v>
      </c>
    </row>
    <row r="890" spans="1:28">
      <c r="A890" s="2">
        <f>HYPERLINK("https://finance.naver.com/item/coinfo.nhn?code=131370", "A131370")</f>
        <v>0</v>
      </c>
      <c r="B890">
        <f>HYPERLINK("http://comp.fnguide.com/SVO2/ASP/SVD_Consensus.asp?pGB=1&amp;gicode=A131370&amp;cID=&amp;MenuYn=Y&amp;ReportGB=&amp;NewMenuID=108&amp;stkGb=701", "알서포트")</f>
        <v>0</v>
      </c>
      <c r="C890">
        <v>0</v>
      </c>
      <c r="D890">
        <v>15300</v>
      </c>
      <c r="E890">
        <v>0.21</v>
      </c>
      <c r="F890">
        <v>16.45</v>
      </c>
      <c r="G890">
        <v>1741</v>
      </c>
      <c r="H890">
        <v>1411</v>
      </c>
      <c r="I890">
        <v>1317</v>
      </c>
      <c r="J890">
        <v>88.62</v>
      </c>
      <c r="K890">
        <v>90.78</v>
      </c>
      <c r="L890">
        <v>91.39</v>
      </c>
      <c r="M890">
        <v>11.64</v>
      </c>
      <c r="N890" t="b">
        <v>1</v>
      </c>
      <c r="O890">
        <v>162</v>
      </c>
      <c r="P890" t="s">
        <v>903</v>
      </c>
      <c r="Q890" t="s">
        <v>3055</v>
      </c>
      <c r="R890">
        <v>76.68067240080339</v>
      </c>
      <c r="S890">
        <v>8150</v>
      </c>
      <c r="T890">
        <v>13279942</v>
      </c>
      <c r="U890" t="s">
        <v>4875</v>
      </c>
      <c r="V890">
        <v>45.26</v>
      </c>
      <c r="W890" t="s">
        <v>7093</v>
      </c>
      <c r="X890" t="s">
        <v>9217</v>
      </c>
      <c r="Y890">
        <v>285</v>
      </c>
      <c r="Z890">
        <v>58</v>
      </c>
      <c r="AA890">
        <v>1256008</v>
      </c>
      <c r="AB890">
        <v>0.75</v>
      </c>
    </row>
    <row r="891" spans="1:28">
      <c r="A891" s="2">
        <f>HYPERLINK("https://finance.naver.com/item/coinfo.nhn?code=220630", "A220630")</f>
        <v>0</v>
      </c>
      <c r="B891">
        <f>HYPERLINK("http://comp.fnguide.com/SVO2/ASP/SVD_Consensus.asp?pGB=1&amp;gicode=A220630&amp;cID=&amp;MenuYn=Y&amp;ReportGB=&amp;NewMenuID=108&amp;stkGb=701", "해마로푸드서비스")</f>
        <v>0</v>
      </c>
      <c r="C891">
        <v>0</v>
      </c>
      <c r="D891">
        <v>3000</v>
      </c>
      <c r="E891">
        <v>0.82</v>
      </c>
      <c r="F891">
        <v>18.92</v>
      </c>
      <c r="G891">
        <v>2378</v>
      </c>
      <c r="H891">
        <v>1477</v>
      </c>
      <c r="I891">
        <v>1220</v>
      </c>
      <c r="J891">
        <v>20.74</v>
      </c>
      <c r="K891">
        <v>50.78</v>
      </c>
      <c r="L891">
        <v>59.34</v>
      </c>
      <c r="M891">
        <v>21.59</v>
      </c>
      <c r="N891" t="b">
        <v>1</v>
      </c>
      <c r="O891">
        <v>147</v>
      </c>
      <c r="P891" t="s">
        <v>904</v>
      </c>
      <c r="Q891" t="s">
        <v>3056</v>
      </c>
      <c r="R891">
        <v>22.96359882775478</v>
      </c>
      <c r="S891">
        <v>3055</v>
      </c>
      <c r="T891">
        <v>816449</v>
      </c>
      <c r="U891" t="s">
        <v>4876</v>
      </c>
      <c r="V891">
        <v>59.82</v>
      </c>
      <c r="W891" t="s">
        <v>7094</v>
      </c>
      <c r="X891" t="s">
        <v>9218</v>
      </c>
      <c r="Y891">
        <v>2889</v>
      </c>
      <c r="Z891">
        <v>190</v>
      </c>
      <c r="AA891">
        <v>8854397</v>
      </c>
      <c r="AB891">
        <v>1.8</v>
      </c>
    </row>
    <row r="892" spans="1:28">
      <c r="A892" s="2">
        <f>HYPERLINK("https://finance.naver.com/item/coinfo.nhn?code=052420", "A052420")</f>
        <v>0</v>
      </c>
      <c r="B892">
        <f>HYPERLINK("http://comp.fnguide.com/SVO2/ASP/SVD_Consensus.asp?pGB=1&amp;gicode=A052420&amp;cID=&amp;MenuYn=Y&amp;ReportGB=&amp;NewMenuID=108&amp;stkGb=701", "오성첨단소재")</f>
        <v>0</v>
      </c>
      <c r="C892">
        <v>0</v>
      </c>
      <c r="D892">
        <v>4995</v>
      </c>
      <c r="E892">
        <v>0.06</v>
      </c>
      <c r="F892">
        <v>9.98</v>
      </c>
      <c r="G892">
        <v>2245</v>
      </c>
      <c r="H892">
        <v>2455</v>
      </c>
      <c r="I892">
        <v>2515</v>
      </c>
      <c r="J892">
        <v>55.05</v>
      </c>
      <c r="K892">
        <v>50.84</v>
      </c>
      <c r="L892">
        <v>49.64</v>
      </c>
      <c r="M892">
        <v>6.89</v>
      </c>
      <c r="N892" t="b">
        <v>1</v>
      </c>
      <c r="O892">
        <v>265</v>
      </c>
      <c r="P892" t="s">
        <v>905</v>
      </c>
      <c r="Q892" t="s">
        <v>3057</v>
      </c>
      <c r="R892">
        <v>171.3986983738556</v>
      </c>
      <c r="S892">
        <v>3380</v>
      </c>
      <c r="T892">
        <v>13427696</v>
      </c>
      <c r="U892" t="s">
        <v>4877</v>
      </c>
      <c r="V892">
        <v>15.73</v>
      </c>
      <c r="W892" t="s">
        <v>7095</v>
      </c>
      <c r="X892" t="s">
        <v>9219</v>
      </c>
      <c r="Y892">
        <v>666</v>
      </c>
      <c r="Z892">
        <v>19</v>
      </c>
      <c r="AA892">
        <v>500000</v>
      </c>
    </row>
    <row r="893" spans="1:28">
      <c r="A893" s="2">
        <f>HYPERLINK("https://finance.naver.com/item/coinfo.nhn?code=065660", "A065660")</f>
        <v>0</v>
      </c>
      <c r="B893">
        <f>HYPERLINK("http://comp.fnguide.com/SVO2/ASP/SVD_Consensus.asp?pGB=1&amp;gicode=A065660&amp;cID=&amp;MenuYn=Y&amp;ReportGB=&amp;NewMenuID=108&amp;stkGb=701", "안트로젠")</f>
        <v>0</v>
      </c>
      <c r="C893">
        <v>0</v>
      </c>
      <c r="D893">
        <v>48050</v>
      </c>
      <c r="G893">
        <v>177</v>
      </c>
      <c r="H893">
        <v>4660</v>
      </c>
      <c r="I893">
        <v>5937</v>
      </c>
      <c r="J893">
        <v>99.63</v>
      </c>
      <c r="K893">
        <v>90.3</v>
      </c>
      <c r="L893">
        <v>87.64</v>
      </c>
      <c r="M893">
        <v>0.19</v>
      </c>
      <c r="N893" t="b">
        <v>0</v>
      </c>
      <c r="O893">
        <v>-457</v>
      </c>
      <c r="P893" t="s">
        <v>906</v>
      </c>
      <c r="Q893" t="s">
        <v>3058</v>
      </c>
      <c r="R893">
        <v>14.00000000000001</v>
      </c>
      <c r="S893">
        <v>4303</v>
      </c>
      <c r="T893">
        <v>73972</v>
      </c>
      <c r="U893" t="s">
        <v>4878</v>
      </c>
      <c r="V893">
        <v>14.32</v>
      </c>
      <c r="W893" t="s">
        <v>7096</v>
      </c>
      <c r="X893" t="s">
        <v>9220</v>
      </c>
      <c r="Y893">
        <v>41</v>
      </c>
      <c r="Z893">
        <v>-29</v>
      </c>
    </row>
    <row r="894" spans="1:28">
      <c r="A894" s="2">
        <f>HYPERLINK("https://finance.naver.com/item/coinfo.nhn?code=046120", "A046120")</f>
        <v>0</v>
      </c>
      <c r="B894">
        <f>HYPERLINK("http://comp.fnguide.com/SVO2/ASP/SVD_Consensus.asp?pGB=1&amp;gicode=A046120&amp;cID=&amp;MenuYn=Y&amp;ReportGB=&amp;NewMenuID=108&amp;stkGb=701", "오르비텍")</f>
        <v>0</v>
      </c>
      <c r="C894">
        <v>0</v>
      </c>
      <c r="D894">
        <v>4715</v>
      </c>
      <c r="E894">
        <v>-7.83</v>
      </c>
      <c r="F894">
        <v>84.45999999999999</v>
      </c>
      <c r="G894">
        <v>1269</v>
      </c>
      <c r="H894">
        <v>2261</v>
      </c>
      <c r="I894">
        <v>2543</v>
      </c>
      <c r="J894">
        <v>73.09</v>
      </c>
      <c r="K894">
        <v>52.05</v>
      </c>
      <c r="L894">
        <v>46.06</v>
      </c>
      <c r="M894">
        <v>3.46</v>
      </c>
      <c r="N894" t="b">
        <v>0</v>
      </c>
      <c r="O894">
        <v>42</v>
      </c>
      <c r="P894" t="s">
        <v>907</v>
      </c>
      <c r="Q894" t="s">
        <v>3059</v>
      </c>
      <c r="R894">
        <v>-10.78881960068094</v>
      </c>
      <c r="S894">
        <v>1122</v>
      </c>
      <c r="T894">
        <v>1084539</v>
      </c>
      <c r="U894" t="s">
        <v>4879</v>
      </c>
      <c r="V894">
        <v>19.37</v>
      </c>
      <c r="W894" t="s">
        <v>7097</v>
      </c>
      <c r="X894" t="s">
        <v>9221</v>
      </c>
      <c r="Y894">
        <v>749</v>
      </c>
      <c r="Z894">
        <v>41</v>
      </c>
      <c r="AA894">
        <v>328942</v>
      </c>
    </row>
    <row r="895" spans="1:28">
      <c r="A895" s="2">
        <f>HYPERLINK("https://finance.naver.com/item/coinfo.nhn?code=041510", "A041510")</f>
        <v>0</v>
      </c>
      <c r="B895">
        <f>HYPERLINK("http://comp.fnguide.com/SVO2/ASP/SVD_Consensus.asp?pGB=1&amp;gicode=A041510&amp;cID=&amp;MenuYn=Y&amp;ReportGB=&amp;NewMenuID=108&amp;stkGb=701", "에스엠")</f>
        <v>0</v>
      </c>
      <c r="C895">
        <v>0</v>
      </c>
      <c r="D895">
        <v>30250</v>
      </c>
      <c r="G895">
        <v>6912</v>
      </c>
      <c r="H895">
        <v>14306</v>
      </c>
      <c r="I895">
        <v>16413</v>
      </c>
      <c r="J895">
        <v>77.15000000000001</v>
      </c>
      <c r="K895">
        <v>52.71</v>
      </c>
      <c r="L895">
        <v>45.74</v>
      </c>
      <c r="M895">
        <v>2.87</v>
      </c>
      <c r="N895" t="b">
        <v>0</v>
      </c>
      <c r="O895">
        <v>-390</v>
      </c>
      <c r="P895" t="s">
        <v>908</v>
      </c>
      <c r="Q895" t="s">
        <v>3060</v>
      </c>
      <c r="R895">
        <v>9.00613202323064</v>
      </c>
      <c r="S895">
        <v>7094</v>
      </c>
      <c r="T895">
        <v>631111</v>
      </c>
      <c r="U895" t="s">
        <v>4880</v>
      </c>
      <c r="V895">
        <v>19.21</v>
      </c>
      <c r="W895" t="s">
        <v>7098</v>
      </c>
      <c r="X895" t="s">
        <v>9222</v>
      </c>
      <c r="Y895">
        <v>6578</v>
      </c>
      <c r="Z895">
        <v>404</v>
      </c>
      <c r="AA895">
        <v>337985</v>
      </c>
    </row>
    <row r="896" spans="1:28">
      <c r="A896" s="2">
        <f>HYPERLINK("https://finance.naver.com/item/coinfo.nhn?code=024060", "A024060")</f>
        <v>0</v>
      </c>
      <c r="B896">
        <f>HYPERLINK("http://comp.fnguide.com/SVO2/ASP/SVD_Consensus.asp?pGB=1&amp;gicode=A024060&amp;cID=&amp;MenuYn=Y&amp;ReportGB=&amp;NewMenuID=108&amp;stkGb=701", "흥구석유")</f>
        <v>0</v>
      </c>
      <c r="C896">
        <v>0</v>
      </c>
      <c r="D896">
        <v>7420</v>
      </c>
      <c r="E896">
        <v>-0.47</v>
      </c>
      <c r="F896">
        <v>9.699999999999999</v>
      </c>
      <c r="G896">
        <v>4815</v>
      </c>
      <c r="H896">
        <v>5104</v>
      </c>
      <c r="I896">
        <v>5186</v>
      </c>
      <c r="J896">
        <v>35.11</v>
      </c>
      <c r="K896">
        <v>31.22</v>
      </c>
      <c r="L896">
        <v>30.11</v>
      </c>
      <c r="M896">
        <v>7.25</v>
      </c>
      <c r="N896" t="b">
        <v>1</v>
      </c>
      <c r="O896">
        <v>553</v>
      </c>
      <c r="P896" t="s">
        <v>909</v>
      </c>
      <c r="Q896" t="s">
        <v>3061</v>
      </c>
      <c r="R896">
        <v>-20.82006637415522</v>
      </c>
      <c r="S896">
        <v>1113</v>
      </c>
      <c r="T896">
        <v>470415</v>
      </c>
      <c r="U896" t="s">
        <v>4881</v>
      </c>
      <c r="V896">
        <v>34.22</v>
      </c>
      <c r="W896" t="s">
        <v>7099</v>
      </c>
      <c r="X896" t="s">
        <v>9223</v>
      </c>
      <c r="Y896">
        <v>1507</v>
      </c>
      <c r="Z896">
        <v>5</v>
      </c>
      <c r="AA896">
        <v>459183</v>
      </c>
      <c r="AB896">
        <v>2.8</v>
      </c>
    </row>
    <row r="897" spans="1:28">
      <c r="A897" s="2">
        <f>HYPERLINK("https://finance.naver.com/item/coinfo.nhn?code=082850", "A082850")</f>
        <v>0</v>
      </c>
      <c r="B897">
        <f>HYPERLINK("http://comp.fnguide.com/SVO2/ASP/SVD_Consensus.asp?pGB=1&amp;gicode=A082850&amp;cID=&amp;MenuYn=Y&amp;ReportGB=&amp;NewMenuID=108&amp;stkGb=701", "우리바이오")</f>
        <v>0</v>
      </c>
      <c r="C897">
        <v>0</v>
      </c>
      <c r="D897">
        <v>8630</v>
      </c>
      <c r="E897">
        <v>0.03</v>
      </c>
      <c r="F897">
        <v>11.1</v>
      </c>
      <c r="G897">
        <v>671</v>
      </c>
      <c r="H897">
        <v>1553</v>
      </c>
      <c r="I897">
        <v>1804</v>
      </c>
      <c r="J897">
        <v>92.23</v>
      </c>
      <c r="K897">
        <v>82.01000000000001</v>
      </c>
      <c r="L897">
        <v>79.09</v>
      </c>
      <c r="M897">
        <v>2.5</v>
      </c>
      <c r="N897" t="b">
        <v>1</v>
      </c>
      <c r="O897">
        <v>101</v>
      </c>
      <c r="P897" t="s">
        <v>910</v>
      </c>
      <c r="Q897" t="s">
        <v>3062</v>
      </c>
      <c r="R897">
        <v>351.6999999999999</v>
      </c>
      <c r="S897">
        <v>3876</v>
      </c>
      <c r="T897">
        <v>26423105</v>
      </c>
      <c r="U897" t="s">
        <v>4882</v>
      </c>
      <c r="V897">
        <v>33.39</v>
      </c>
      <c r="W897" t="s">
        <v>7100</v>
      </c>
      <c r="X897" t="s">
        <v>9224</v>
      </c>
      <c r="Y897">
        <v>16726</v>
      </c>
      <c r="Z897">
        <v>265</v>
      </c>
      <c r="AA897">
        <v>1249200</v>
      </c>
    </row>
    <row r="898" spans="1:28">
      <c r="A898" s="2">
        <f>HYPERLINK("https://finance.naver.com/item/coinfo.nhn?code=027360", "A027360")</f>
        <v>0</v>
      </c>
      <c r="B898">
        <f>HYPERLINK("http://comp.fnguide.com/SVO2/ASP/SVD_Consensus.asp?pGB=1&amp;gicode=A027360&amp;cID=&amp;MenuYn=Y&amp;ReportGB=&amp;NewMenuID=108&amp;stkGb=701", "아주IB투자")</f>
        <v>0</v>
      </c>
      <c r="C898">
        <v>0</v>
      </c>
      <c r="D898">
        <v>4145</v>
      </c>
      <c r="E898">
        <v>0</v>
      </c>
      <c r="F898">
        <v>9.07</v>
      </c>
      <c r="G898">
        <v>1417</v>
      </c>
      <c r="H898">
        <v>1440</v>
      </c>
      <c r="I898">
        <v>1446</v>
      </c>
      <c r="J898">
        <v>65.8</v>
      </c>
      <c r="K898">
        <v>65.26000000000001</v>
      </c>
      <c r="L898">
        <v>65.11</v>
      </c>
      <c r="M898">
        <v>7.77</v>
      </c>
      <c r="N898" t="b">
        <v>1</v>
      </c>
      <c r="O898">
        <v>137</v>
      </c>
      <c r="P898" t="s">
        <v>911</v>
      </c>
      <c r="Q898" t="s">
        <v>3063</v>
      </c>
      <c r="R898">
        <v>4.908161389585275</v>
      </c>
      <c r="S898">
        <v>4933</v>
      </c>
      <c r="T898">
        <v>12514626</v>
      </c>
      <c r="U898" t="s">
        <v>4883</v>
      </c>
      <c r="V898">
        <v>67.03</v>
      </c>
      <c r="W898" t="s">
        <v>7101</v>
      </c>
      <c r="X898" t="s">
        <v>9225</v>
      </c>
      <c r="Y898">
        <v>332</v>
      </c>
      <c r="Z898">
        <v>217</v>
      </c>
      <c r="AA898">
        <v>3810777</v>
      </c>
      <c r="AB898">
        <v>2.81</v>
      </c>
    </row>
    <row r="899" spans="1:28">
      <c r="A899" s="2">
        <f>HYPERLINK("https://finance.naver.com/item/coinfo.nhn?code=332570", "A332570")</f>
        <v>0</v>
      </c>
      <c r="B899">
        <f>HYPERLINK("http://comp.fnguide.com/SVO2/ASP/SVD_Consensus.asp?pGB=1&amp;gicode=A332570&amp;cID=&amp;MenuYn=Y&amp;ReportGB=&amp;NewMenuID=108&amp;stkGb=701", "와이팜")</f>
        <v>0</v>
      </c>
      <c r="C899">
        <v>0</v>
      </c>
      <c r="D899">
        <v>13850</v>
      </c>
      <c r="G899">
        <v>3369</v>
      </c>
      <c r="H899">
        <v>2095</v>
      </c>
      <c r="I899">
        <v>1732</v>
      </c>
      <c r="J899">
        <v>75.68000000000001</v>
      </c>
      <c r="K899">
        <v>84.87</v>
      </c>
      <c r="L899">
        <v>87.48999999999999</v>
      </c>
      <c r="M899">
        <v>21.49</v>
      </c>
      <c r="N899" t="b">
        <v>0</v>
      </c>
      <c r="O899">
        <v>339</v>
      </c>
      <c r="P899" t="s">
        <v>912</v>
      </c>
      <c r="Q899" t="s">
        <v>3064</v>
      </c>
      <c r="R899">
        <v>79.02125174718388</v>
      </c>
      <c r="S899">
        <v>5144</v>
      </c>
      <c r="T899">
        <v>278548</v>
      </c>
      <c r="U899" t="s">
        <v>4884</v>
      </c>
      <c r="V899">
        <v>27.26</v>
      </c>
      <c r="W899" t="s">
        <v>7102</v>
      </c>
      <c r="X899" t="s">
        <v>968</v>
      </c>
      <c r="Y899">
        <v>1254</v>
      </c>
      <c r="Z899">
        <v>120</v>
      </c>
    </row>
    <row r="900" spans="1:28">
      <c r="A900" s="2">
        <f>HYPERLINK("https://finance.naver.com/item/coinfo.nhn?code=084850", "A084850")</f>
        <v>0</v>
      </c>
      <c r="B900">
        <f>HYPERLINK("http://comp.fnguide.com/SVO2/ASP/SVD_Consensus.asp?pGB=1&amp;gicode=A084850&amp;cID=&amp;MenuYn=Y&amp;ReportGB=&amp;NewMenuID=108&amp;stkGb=701", "아이티엠반도체")</f>
        <v>0</v>
      </c>
      <c r="C900">
        <v>0</v>
      </c>
      <c r="D900">
        <v>51200</v>
      </c>
      <c r="E900">
        <v>3.9</v>
      </c>
      <c r="F900">
        <v>19.13</v>
      </c>
      <c r="G900">
        <v>33088</v>
      </c>
      <c r="H900">
        <v>20261</v>
      </c>
      <c r="I900">
        <v>16606</v>
      </c>
      <c r="J900">
        <v>35.38</v>
      </c>
      <c r="K900">
        <v>60.43</v>
      </c>
      <c r="L900">
        <v>67.56999999999999</v>
      </c>
      <c r="M900">
        <v>22.46</v>
      </c>
      <c r="N900" t="b">
        <v>1</v>
      </c>
      <c r="O900">
        <v>2219</v>
      </c>
      <c r="P900" t="s">
        <v>913</v>
      </c>
      <c r="Q900" t="s">
        <v>3063</v>
      </c>
      <c r="R900">
        <v>4.908161389585275</v>
      </c>
      <c r="S900">
        <v>11830</v>
      </c>
      <c r="T900">
        <v>119551</v>
      </c>
      <c r="U900" t="s">
        <v>4885</v>
      </c>
      <c r="V900">
        <v>67.19</v>
      </c>
      <c r="W900" t="s">
        <v>7103</v>
      </c>
      <c r="X900" t="s">
        <v>9226</v>
      </c>
      <c r="Y900">
        <v>3977</v>
      </c>
      <c r="Z900">
        <v>535</v>
      </c>
      <c r="AA900">
        <v>413284</v>
      </c>
    </row>
    <row r="901" spans="1:28">
      <c r="A901" s="2">
        <f>HYPERLINK("https://finance.naver.com/item/coinfo.nhn?code=114630", "A114630")</f>
        <v>0</v>
      </c>
      <c r="B901">
        <f>HYPERLINK("http://comp.fnguide.com/SVO2/ASP/SVD_Consensus.asp?pGB=1&amp;gicode=A114630&amp;cID=&amp;MenuYn=Y&amp;ReportGB=&amp;NewMenuID=108&amp;stkGb=701", "우노앤컴퍼니")</f>
        <v>0</v>
      </c>
      <c r="C901">
        <v>0</v>
      </c>
      <c r="D901">
        <v>4425</v>
      </c>
      <c r="G901">
        <v>0</v>
      </c>
      <c r="H901">
        <v>3057</v>
      </c>
      <c r="I901">
        <v>3928</v>
      </c>
      <c r="J901">
        <v>100</v>
      </c>
      <c r="K901">
        <v>30.91</v>
      </c>
      <c r="L901">
        <v>11.23</v>
      </c>
      <c r="M901">
        <v>0</v>
      </c>
      <c r="N901" t="b">
        <v>0</v>
      </c>
      <c r="O901">
        <v>-36</v>
      </c>
      <c r="P901" t="s">
        <v>914</v>
      </c>
      <c r="Q901" t="s">
        <v>3065</v>
      </c>
      <c r="R901">
        <v>-90.40000000000001</v>
      </c>
      <c r="S901">
        <v>601</v>
      </c>
      <c r="T901">
        <v>135756</v>
      </c>
      <c r="U901" t="s">
        <v>4886</v>
      </c>
      <c r="V901">
        <v>17.51</v>
      </c>
      <c r="W901" t="s">
        <v>7104</v>
      </c>
      <c r="X901" t="s">
        <v>968</v>
      </c>
      <c r="Y901">
        <v>424</v>
      </c>
      <c r="Z901">
        <v>-1</v>
      </c>
      <c r="AA901">
        <v>464757</v>
      </c>
      <c r="AB901">
        <v>2.55</v>
      </c>
    </row>
    <row r="902" spans="1:28">
      <c r="A902" s="2">
        <f>HYPERLINK("https://finance.naver.com/item/coinfo.nhn?code=032820", "A032820")</f>
        <v>0</v>
      </c>
      <c r="B902">
        <f>HYPERLINK("http://comp.fnguide.com/SVO2/ASP/SVD_Consensus.asp?pGB=1&amp;gicode=A032820&amp;cID=&amp;MenuYn=Y&amp;ReportGB=&amp;NewMenuID=108&amp;stkGb=701", "우리기술")</f>
        <v>0</v>
      </c>
      <c r="C902">
        <v>0</v>
      </c>
      <c r="D902">
        <v>1465</v>
      </c>
      <c r="G902">
        <v>53</v>
      </c>
      <c r="H902">
        <v>181</v>
      </c>
      <c r="I902">
        <v>217</v>
      </c>
      <c r="J902">
        <v>96.39</v>
      </c>
      <c r="K902">
        <v>87.68000000000001</v>
      </c>
      <c r="L902">
        <v>85.2</v>
      </c>
      <c r="M902">
        <v>1.59</v>
      </c>
      <c r="N902" t="b">
        <v>0</v>
      </c>
      <c r="O902">
        <v>-112</v>
      </c>
      <c r="P902" t="s">
        <v>915</v>
      </c>
      <c r="Q902" t="s">
        <v>3066</v>
      </c>
      <c r="R902">
        <v>-39.79999999999999</v>
      </c>
      <c r="S902">
        <v>1855</v>
      </c>
      <c r="T902">
        <v>4297319</v>
      </c>
      <c r="U902" t="s">
        <v>4887</v>
      </c>
      <c r="V902">
        <v>8.1</v>
      </c>
      <c r="W902" t="s">
        <v>7105</v>
      </c>
      <c r="X902" t="s">
        <v>9227</v>
      </c>
      <c r="Y902">
        <v>326</v>
      </c>
      <c r="Z902">
        <v>-90</v>
      </c>
      <c r="AA902">
        <v>1588</v>
      </c>
    </row>
    <row r="903" spans="1:28">
      <c r="A903" s="2">
        <f>HYPERLINK("https://finance.naver.com/item/coinfo.nhn?code=041190", "A041190")</f>
        <v>0</v>
      </c>
      <c r="B903">
        <f>HYPERLINK("http://comp.fnguide.com/SVO2/ASP/SVD_Consensus.asp?pGB=1&amp;gicode=A041190&amp;cID=&amp;MenuYn=Y&amp;ReportGB=&amp;NewMenuID=108&amp;stkGb=701", "우리기술투자")</f>
        <v>0</v>
      </c>
      <c r="C903">
        <v>0</v>
      </c>
      <c r="D903">
        <v>5340</v>
      </c>
      <c r="E903">
        <v>0</v>
      </c>
      <c r="F903">
        <v>19.88</v>
      </c>
      <c r="G903">
        <v>1712</v>
      </c>
      <c r="H903">
        <v>1279</v>
      </c>
      <c r="I903">
        <v>1156</v>
      </c>
      <c r="J903">
        <v>67.93000000000001</v>
      </c>
      <c r="K903">
        <v>76.05</v>
      </c>
      <c r="L903">
        <v>78.36</v>
      </c>
      <c r="M903">
        <v>13.77</v>
      </c>
      <c r="N903" t="b">
        <v>0</v>
      </c>
      <c r="O903">
        <v>127</v>
      </c>
      <c r="P903" t="s">
        <v>916</v>
      </c>
      <c r="Q903" t="s">
        <v>3066</v>
      </c>
      <c r="R903">
        <v>-39.79999999999999</v>
      </c>
      <c r="S903">
        <v>4486</v>
      </c>
      <c r="T903">
        <v>5494170</v>
      </c>
      <c r="U903" t="s">
        <v>4888</v>
      </c>
      <c r="V903">
        <v>30.91</v>
      </c>
      <c r="W903" t="s">
        <v>7106</v>
      </c>
      <c r="X903" t="s">
        <v>9228</v>
      </c>
      <c r="Y903">
        <v>171</v>
      </c>
      <c r="Z903">
        <v>133</v>
      </c>
      <c r="AA903">
        <v>7828844</v>
      </c>
    </row>
    <row r="904" spans="1:28">
      <c r="A904" s="2">
        <f>HYPERLINK("https://finance.naver.com/item/coinfo.nhn?code=115440", "A115440")</f>
        <v>0</v>
      </c>
      <c r="B904">
        <f>HYPERLINK("http://comp.fnguide.com/SVO2/ASP/SVD_Consensus.asp?pGB=1&amp;gicode=A115440&amp;cID=&amp;MenuYn=Y&amp;ReportGB=&amp;NewMenuID=108&amp;stkGb=701", "우리넷")</f>
        <v>0</v>
      </c>
      <c r="C904">
        <v>0</v>
      </c>
      <c r="D904">
        <v>9130</v>
      </c>
      <c r="E904">
        <v>-1.58</v>
      </c>
      <c r="F904">
        <v>43.76</v>
      </c>
      <c r="G904">
        <v>3851</v>
      </c>
      <c r="H904">
        <v>6265</v>
      </c>
      <c r="I904">
        <v>6953</v>
      </c>
      <c r="J904">
        <v>57.82</v>
      </c>
      <c r="K904">
        <v>31.38</v>
      </c>
      <c r="L904">
        <v>23.84</v>
      </c>
      <c r="M904">
        <v>3.9</v>
      </c>
      <c r="N904" t="b">
        <v>1</v>
      </c>
      <c r="O904">
        <v>242</v>
      </c>
      <c r="P904" t="s">
        <v>917</v>
      </c>
      <c r="Q904" t="s">
        <v>3067</v>
      </c>
      <c r="R904">
        <v>-27.66841927765597</v>
      </c>
      <c r="S904">
        <v>834</v>
      </c>
      <c r="T904">
        <v>64730</v>
      </c>
      <c r="U904" t="s">
        <v>4889</v>
      </c>
      <c r="V904">
        <v>46.13</v>
      </c>
      <c r="W904" t="s">
        <v>7107</v>
      </c>
      <c r="X904" t="s">
        <v>9229</v>
      </c>
      <c r="Y904">
        <v>737</v>
      </c>
      <c r="Z904">
        <v>28</v>
      </c>
      <c r="AB904">
        <v>0.47</v>
      </c>
    </row>
    <row r="905" spans="1:28">
      <c r="A905" s="2">
        <f>HYPERLINK("https://finance.naver.com/item/coinfo.nhn?code=124500", "A124500")</f>
        <v>0</v>
      </c>
      <c r="B905">
        <f>HYPERLINK("http://comp.fnguide.com/SVO2/ASP/SVD_Consensus.asp?pGB=1&amp;gicode=A124500&amp;cID=&amp;MenuYn=Y&amp;ReportGB=&amp;NewMenuID=108&amp;stkGb=701", "아이티센")</f>
        <v>0</v>
      </c>
      <c r="C905">
        <v>0</v>
      </c>
      <c r="D905">
        <v>5380</v>
      </c>
      <c r="E905">
        <v>0</v>
      </c>
      <c r="F905">
        <v>332.97</v>
      </c>
      <c r="G905">
        <v>219</v>
      </c>
      <c r="H905">
        <v>1008</v>
      </c>
      <c r="I905">
        <v>1233</v>
      </c>
      <c r="J905">
        <v>95.93000000000001</v>
      </c>
      <c r="K905">
        <v>81.27</v>
      </c>
      <c r="L905">
        <v>77.09</v>
      </c>
      <c r="M905">
        <v>1.14</v>
      </c>
      <c r="N905" t="b">
        <v>0</v>
      </c>
      <c r="O905">
        <v>21</v>
      </c>
      <c r="P905" t="s">
        <v>918</v>
      </c>
      <c r="Q905" t="s">
        <v>2276</v>
      </c>
      <c r="R905">
        <v>0</v>
      </c>
      <c r="S905">
        <v>1071</v>
      </c>
      <c r="T905">
        <v>394754</v>
      </c>
      <c r="U905" t="s">
        <v>4890</v>
      </c>
      <c r="V905">
        <v>25.42</v>
      </c>
      <c r="W905" t="s">
        <v>7108</v>
      </c>
      <c r="X905" t="s">
        <v>9230</v>
      </c>
      <c r="Y905">
        <v>15424</v>
      </c>
      <c r="Z905">
        <v>241</v>
      </c>
    </row>
    <row r="906" spans="1:28">
      <c r="A906" s="2">
        <f>HYPERLINK("https://finance.naver.com/item/coinfo.nhn?code=052770", "A052770")</f>
        <v>0</v>
      </c>
      <c r="B906">
        <f>HYPERLINK("http://comp.fnguide.com/SVO2/ASP/SVD_Consensus.asp?pGB=1&amp;gicode=A052770&amp;cID=&amp;MenuYn=Y&amp;ReportGB=&amp;NewMenuID=108&amp;stkGb=701", "아이톡시")</f>
        <v>0</v>
      </c>
      <c r="C906">
        <v>0</v>
      </c>
      <c r="D906">
        <v>4460</v>
      </c>
      <c r="E906">
        <v>0</v>
      </c>
      <c r="G906">
        <v>0</v>
      </c>
      <c r="H906">
        <v>420</v>
      </c>
      <c r="I906">
        <v>540</v>
      </c>
      <c r="J906">
        <v>100</v>
      </c>
      <c r="K906">
        <v>90.58</v>
      </c>
      <c r="L906">
        <v>87.89</v>
      </c>
      <c r="M906">
        <v>0</v>
      </c>
      <c r="N906" t="b">
        <v>0</v>
      </c>
      <c r="O906" t="s">
        <v>2</v>
      </c>
      <c r="P906" t="s">
        <v>919</v>
      </c>
      <c r="Q906" t="s">
        <v>2276</v>
      </c>
      <c r="R906">
        <v>0</v>
      </c>
      <c r="S906" t="s">
        <v>3974</v>
      </c>
      <c r="T906">
        <v>0</v>
      </c>
      <c r="U906" t="s">
        <v>4891</v>
      </c>
      <c r="V906">
        <v>68.58</v>
      </c>
      <c r="W906" t="s">
        <v>7109</v>
      </c>
      <c r="X906" t="s">
        <v>968</v>
      </c>
      <c r="Y906" t="s">
        <v>10201</v>
      </c>
      <c r="Z906" t="s">
        <v>10214</v>
      </c>
    </row>
    <row r="907" spans="1:28">
      <c r="A907" s="2">
        <f>HYPERLINK("https://finance.naver.com/item/coinfo.nhn?code=046970", "A046970")</f>
        <v>0</v>
      </c>
      <c r="B907">
        <f>HYPERLINK("http://comp.fnguide.com/SVO2/ASP/SVD_Consensus.asp?pGB=1&amp;gicode=A046970&amp;cID=&amp;MenuYn=Y&amp;ReportGB=&amp;NewMenuID=108&amp;stkGb=701", "우리로")</f>
        <v>0</v>
      </c>
      <c r="C907">
        <v>0</v>
      </c>
      <c r="D907">
        <v>1625</v>
      </c>
      <c r="G907">
        <v>0</v>
      </c>
      <c r="H907">
        <v>633</v>
      </c>
      <c r="I907">
        <v>813</v>
      </c>
      <c r="J907">
        <v>100</v>
      </c>
      <c r="K907">
        <v>61.08</v>
      </c>
      <c r="L907">
        <v>49.98</v>
      </c>
      <c r="M907">
        <v>0</v>
      </c>
      <c r="N907" t="b">
        <v>0</v>
      </c>
      <c r="O907">
        <v>-317</v>
      </c>
      <c r="P907" t="s">
        <v>920</v>
      </c>
      <c r="Q907" t="s">
        <v>3068</v>
      </c>
      <c r="R907">
        <v>-90.5</v>
      </c>
      <c r="S907">
        <v>458</v>
      </c>
      <c r="T907">
        <v>144392</v>
      </c>
      <c r="U907" t="s">
        <v>4892</v>
      </c>
      <c r="V907">
        <v>14.68</v>
      </c>
      <c r="W907" t="s">
        <v>7110</v>
      </c>
      <c r="X907" t="s">
        <v>968</v>
      </c>
      <c r="Y907">
        <v>1154</v>
      </c>
      <c r="Z907">
        <v>-20</v>
      </c>
      <c r="AA907">
        <v>425842</v>
      </c>
    </row>
    <row r="908" spans="1:28">
      <c r="A908" s="2">
        <f>HYPERLINK("https://finance.naver.com/item/coinfo.nhn?code=123840", "A123840")</f>
        <v>0</v>
      </c>
      <c r="B908">
        <f>HYPERLINK("http://comp.fnguide.com/SVO2/ASP/SVD_Consensus.asp?pGB=1&amp;gicode=A123840&amp;cID=&amp;MenuYn=Y&amp;ReportGB=&amp;NewMenuID=108&amp;stkGb=701", "한일진공")</f>
        <v>0</v>
      </c>
      <c r="C908">
        <v>0</v>
      </c>
      <c r="D908">
        <v>1255</v>
      </c>
      <c r="G908">
        <v>707</v>
      </c>
      <c r="H908">
        <v>1062</v>
      </c>
      <c r="I908">
        <v>1163</v>
      </c>
      <c r="J908">
        <v>43.67</v>
      </c>
      <c r="K908">
        <v>15.38</v>
      </c>
      <c r="L908">
        <v>7.32</v>
      </c>
      <c r="M908">
        <v>4.34</v>
      </c>
      <c r="N908" t="b">
        <v>0</v>
      </c>
      <c r="O908">
        <v>-523</v>
      </c>
      <c r="P908" t="s">
        <v>921</v>
      </c>
      <c r="Q908" t="s">
        <v>3069</v>
      </c>
      <c r="R908">
        <v>83.40403485201738</v>
      </c>
      <c r="S908">
        <v>983</v>
      </c>
      <c r="T908">
        <v>1125642</v>
      </c>
      <c r="U908" t="s">
        <v>4893</v>
      </c>
      <c r="V908">
        <v>39.24</v>
      </c>
      <c r="W908" t="s">
        <v>7111</v>
      </c>
      <c r="X908" t="s">
        <v>9231</v>
      </c>
      <c r="Y908">
        <v>262</v>
      </c>
      <c r="Z908">
        <v>-84</v>
      </c>
      <c r="AA908">
        <v>248176</v>
      </c>
    </row>
    <row r="909" spans="1:28">
      <c r="A909" s="2">
        <f>HYPERLINK("https://finance.naver.com/item/coinfo.nhn?code=215360", "A215360")</f>
        <v>0</v>
      </c>
      <c r="B909">
        <f>HYPERLINK("http://comp.fnguide.com/SVO2/ASP/SVD_Consensus.asp?pGB=1&amp;gicode=A215360&amp;cID=&amp;MenuYn=Y&amp;ReportGB=&amp;NewMenuID=108&amp;stkGb=701", "우리산업")</f>
        <v>0</v>
      </c>
      <c r="C909">
        <v>0</v>
      </c>
      <c r="D909">
        <v>18500</v>
      </c>
      <c r="E909">
        <v>-1.65</v>
      </c>
      <c r="F909">
        <v>25.42</v>
      </c>
      <c r="G909">
        <v>15010</v>
      </c>
      <c r="H909">
        <v>13485</v>
      </c>
      <c r="I909">
        <v>13051</v>
      </c>
      <c r="J909">
        <v>18.86</v>
      </c>
      <c r="K909">
        <v>27.11</v>
      </c>
      <c r="L909">
        <v>29.45</v>
      </c>
      <c r="M909">
        <v>9.59</v>
      </c>
      <c r="N909" t="b">
        <v>1</v>
      </c>
      <c r="O909">
        <v>802</v>
      </c>
      <c r="P909" t="s">
        <v>922</v>
      </c>
      <c r="Q909" t="s">
        <v>3070</v>
      </c>
      <c r="R909">
        <v>-15.36922865983065</v>
      </c>
      <c r="S909">
        <v>1689</v>
      </c>
      <c r="T909">
        <v>186775</v>
      </c>
      <c r="U909" t="s">
        <v>4894</v>
      </c>
      <c r="V909">
        <v>39.46</v>
      </c>
      <c r="W909" t="s">
        <v>7112</v>
      </c>
      <c r="X909" t="s">
        <v>9232</v>
      </c>
      <c r="Y909">
        <v>3188</v>
      </c>
      <c r="Z909">
        <v>141</v>
      </c>
      <c r="AB909">
        <v>0.59</v>
      </c>
    </row>
    <row r="910" spans="1:28">
      <c r="A910" s="2">
        <f>HYPERLINK("https://finance.naver.com/item/coinfo.nhn?code=273060", "A273060")</f>
        <v>0</v>
      </c>
      <c r="B910">
        <f>HYPERLINK("http://comp.fnguide.com/SVO2/ASP/SVD_Consensus.asp?pGB=1&amp;gicode=A273060&amp;cID=&amp;MenuYn=Y&amp;ReportGB=&amp;NewMenuID=108&amp;stkGb=701", "와이즈버즈")</f>
        <v>0</v>
      </c>
      <c r="C910">
        <v>0</v>
      </c>
      <c r="D910">
        <v>1715</v>
      </c>
      <c r="G910">
        <v>1037</v>
      </c>
      <c r="H910">
        <v>664</v>
      </c>
      <c r="I910">
        <v>558</v>
      </c>
      <c r="J910">
        <v>39.55</v>
      </c>
      <c r="K910">
        <v>61.28</v>
      </c>
      <c r="L910">
        <v>67.48</v>
      </c>
      <c r="M910">
        <v>19.84</v>
      </c>
      <c r="N910" t="b">
        <v>0</v>
      </c>
      <c r="O910">
        <v>76</v>
      </c>
      <c r="P910" t="s">
        <v>923</v>
      </c>
      <c r="Q910" t="s">
        <v>3071</v>
      </c>
      <c r="R910">
        <v>21.00548881141349</v>
      </c>
      <c r="S910">
        <v>816</v>
      </c>
      <c r="T910">
        <v>26640</v>
      </c>
      <c r="U910" t="s">
        <v>4895</v>
      </c>
      <c r="V910">
        <v>48.94</v>
      </c>
      <c r="W910" t="s">
        <v>7113</v>
      </c>
      <c r="X910" t="s">
        <v>968</v>
      </c>
      <c r="Y910">
        <v>105</v>
      </c>
      <c r="Z910">
        <v>39</v>
      </c>
    </row>
    <row r="911" spans="1:28">
      <c r="A911" s="2">
        <f>HYPERLINK("https://finance.naver.com/item/coinfo.nhn?code=119830", "A119830")</f>
        <v>0</v>
      </c>
      <c r="B911">
        <f>HYPERLINK("http://comp.fnguide.com/SVO2/ASP/SVD_Consensus.asp?pGB=1&amp;gicode=A119830&amp;cID=&amp;MenuYn=Y&amp;ReportGB=&amp;NewMenuID=108&amp;stkGb=701", "아이텍")</f>
        <v>0</v>
      </c>
      <c r="C911">
        <v>0</v>
      </c>
      <c r="D911">
        <v>8090</v>
      </c>
      <c r="G911">
        <v>1201</v>
      </c>
      <c r="H911">
        <v>2647</v>
      </c>
      <c r="I911">
        <v>3059</v>
      </c>
      <c r="J911">
        <v>85.15000000000001</v>
      </c>
      <c r="K911">
        <v>67.28</v>
      </c>
      <c r="L911">
        <v>62.19</v>
      </c>
      <c r="M911">
        <v>2.65</v>
      </c>
      <c r="N911" t="b">
        <v>0</v>
      </c>
      <c r="O911">
        <v>-873</v>
      </c>
      <c r="P911" t="s">
        <v>924</v>
      </c>
      <c r="Q911" t="s">
        <v>3072</v>
      </c>
      <c r="R911">
        <v>-1.105611888237057</v>
      </c>
      <c r="S911">
        <v>1098</v>
      </c>
      <c r="T911">
        <v>770710</v>
      </c>
      <c r="U911" t="s">
        <v>4896</v>
      </c>
      <c r="V911">
        <v>11.57</v>
      </c>
      <c r="W911" t="s">
        <v>7114</v>
      </c>
      <c r="X911" t="s">
        <v>9233</v>
      </c>
      <c r="Y911">
        <v>470</v>
      </c>
      <c r="Z911">
        <v>24</v>
      </c>
    </row>
    <row r="912" spans="1:28">
      <c r="A912" s="2">
        <f>HYPERLINK("https://finance.naver.com/item/coinfo.nhn?code=052460", "A052460")</f>
        <v>0</v>
      </c>
      <c r="B912">
        <f>HYPERLINK("http://comp.fnguide.com/SVO2/ASP/SVD_Consensus.asp?pGB=1&amp;gicode=A052460&amp;cID=&amp;MenuYn=Y&amp;ReportGB=&amp;NewMenuID=108&amp;stkGb=701", "아이크래프트")</f>
        <v>0</v>
      </c>
      <c r="C912">
        <v>0</v>
      </c>
      <c r="D912">
        <v>4800</v>
      </c>
      <c r="G912">
        <v>350</v>
      </c>
      <c r="H912">
        <v>1763</v>
      </c>
      <c r="I912">
        <v>2165</v>
      </c>
      <c r="J912">
        <v>92.7</v>
      </c>
      <c r="K912">
        <v>63.28</v>
      </c>
      <c r="L912">
        <v>54.89</v>
      </c>
      <c r="M912">
        <v>1.03</v>
      </c>
      <c r="N912" t="b">
        <v>0</v>
      </c>
      <c r="O912">
        <v>-15</v>
      </c>
      <c r="P912" t="s">
        <v>925</v>
      </c>
      <c r="Q912" t="s">
        <v>3073</v>
      </c>
      <c r="R912">
        <v>-10.54962269503834</v>
      </c>
      <c r="S912">
        <v>701</v>
      </c>
      <c r="T912">
        <v>2125026</v>
      </c>
      <c r="U912" t="s">
        <v>4897</v>
      </c>
      <c r="V912">
        <v>20.18</v>
      </c>
      <c r="W912" t="s">
        <v>7115</v>
      </c>
      <c r="X912" t="s">
        <v>9234</v>
      </c>
      <c r="Y912">
        <v>738</v>
      </c>
      <c r="Z912">
        <v>0</v>
      </c>
      <c r="AA912">
        <v>2650000</v>
      </c>
    </row>
    <row r="913" spans="1:28">
      <c r="A913" s="2">
        <f>HYPERLINK("https://finance.naver.com/item/coinfo.nhn?code=153490", "A153490")</f>
        <v>0</v>
      </c>
      <c r="B913">
        <f>HYPERLINK("http://comp.fnguide.com/SVO2/ASP/SVD_Consensus.asp?pGB=1&amp;gicode=A153490&amp;cID=&amp;MenuYn=Y&amp;ReportGB=&amp;NewMenuID=108&amp;stkGb=701", "우리이앤엘")</f>
        <v>0</v>
      </c>
      <c r="C913">
        <v>0</v>
      </c>
      <c r="D913">
        <v>1390</v>
      </c>
      <c r="E913">
        <v>0.82</v>
      </c>
      <c r="F913">
        <v>11.09</v>
      </c>
      <c r="G913">
        <v>836</v>
      </c>
      <c r="H913">
        <v>1082</v>
      </c>
      <c r="I913">
        <v>1152</v>
      </c>
      <c r="J913">
        <v>39.88</v>
      </c>
      <c r="K913">
        <v>22.19</v>
      </c>
      <c r="L913">
        <v>17.15</v>
      </c>
      <c r="M913">
        <v>5.35</v>
      </c>
      <c r="N913" t="b">
        <v>1</v>
      </c>
      <c r="O913">
        <v>97</v>
      </c>
      <c r="P913" t="s">
        <v>926</v>
      </c>
      <c r="Q913" t="s">
        <v>3074</v>
      </c>
      <c r="R913">
        <v>13.57261993984291</v>
      </c>
      <c r="S913">
        <v>694</v>
      </c>
      <c r="T913">
        <v>1603091</v>
      </c>
      <c r="U913" t="s">
        <v>4898</v>
      </c>
      <c r="V913">
        <v>41</v>
      </c>
      <c r="W913" t="s">
        <v>7116</v>
      </c>
      <c r="X913" t="s">
        <v>9235</v>
      </c>
      <c r="Y913">
        <v>1332</v>
      </c>
      <c r="Z913">
        <v>36</v>
      </c>
      <c r="AA913">
        <v>900900</v>
      </c>
    </row>
    <row r="914" spans="1:28">
      <c r="A914" s="2">
        <f>HYPERLINK("https://finance.naver.com/item/coinfo.nhn?code=005860", "A005860")</f>
        <v>0</v>
      </c>
      <c r="B914">
        <f>HYPERLINK("http://comp.fnguide.com/SVO2/ASP/SVD_Consensus.asp?pGB=1&amp;gicode=A005860&amp;cID=&amp;MenuYn=Y&amp;ReportGB=&amp;NewMenuID=108&amp;stkGb=701", "한일사료")</f>
        <v>0</v>
      </c>
      <c r="C914">
        <v>0</v>
      </c>
      <c r="D914">
        <v>1820</v>
      </c>
      <c r="G914">
        <v>133</v>
      </c>
      <c r="H914">
        <v>995</v>
      </c>
      <c r="I914">
        <v>1241</v>
      </c>
      <c r="J914">
        <v>92.72</v>
      </c>
      <c r="K914">
        <v>45.32</v>
      </c>
      <c r="L914">
        <v>31.81</v>
      </c>
      <c r="M914">
        <v>0.67</v>
      </c>
      <c r="N914" t="b">
        <v>0</v>
      </c>
      <c r="O914">
        <v>-60</v>
      </c>
      <c r="P914" t="s">
        <v>927</v>
      </c>
      <c r="Q914" t="s">
        <v>3075</v>
      </c>
      <c r="R914">
        <v>-62.6274164660777</v>
      </c>
      <c r="S914">
        <v>717</v>
      </c>
      <c r="T914">
        <v>264231</v>
      </c>
      <c r="U914" t="s">
        <v>4899</v>
      </c>
      <c r="V914">
        <v>48.27</v>
      </c>
      <c r="W914" t="s">
        <v>7117</v>
      </c>
      <c r="X914" t="s">
        <v>9236</v>
      </c>
      <c r="Y914">
        <v>3435</v>
      </c>
      <c r="Z914">
        <v>44</v>
      </c>
      <c r="AB914">
        <v>1.37</v>
      </c>
    </row>
    <row r="915" spans="1:28">
      <c r="A915" s="2">
        <f>HYPERLINK("https://finance.naver.com/item/coinfo.nhn?code=066590", "A066590")</f>
        <v>0</v>
      </c>
      <c r="B915">
        <f>HYPERLINK("http://comp.fnguide.com/SVO2/ASP/SVD_Consensus.asp?pGB=1&amp;gicode=A066590&amp;cID=&amp;MenuYn=Y&amp;ReportGB=&amp;NewMenuID=108&amp;stkGb=701", "우수AMS")</f>
        <v>0</v>
      </c>
      <c r="C915">
        <v>0</v>
      </c>
      <c r="D915">
        <v>7900</v>
      </c>
      <c r="E915">
        <v>-5.92</v>
      </c>
      <c r="F915">
        <v>269.67</v>
      </c>
      <c r="G915">
        <v>561</v>
      </c>
      <c r="H915">
        <v>1290</v>
      </c>
      <c r="I915">
        <v>1497</v>
      </c>
      <c r="J915">
        <v>92.90000000000001</v>
      </c>
      <c r="K915">
        <v>83.68000000000001</v>
      </c>
      <c r="L915">
        <v>81.05</v>
      </c>
      <c r="M915">
        <v>2.52</v>
      </c>
      <c r="N915" t="b">
        <v>0</v>
      </c>
      <c r="O915">
        <v>11</v>
      </c>
      <c r="P915" t="s">
        <v>928</v>
      </c>
      <c r="Q915" t="s">
        <v>3076</v>
      </c>
      <c r="R915">
        <v>-45.54500179757708</v>
      </c>
      <c r="S915">
        <v>2487</v>
      </c>
      <c r="T915">
        <v>1440027</v>
      </c>
      <c r="U915" t="s">
        <v>4900</v>
      </c>
      <c r="V915">
        <v>14.29</v>
      </c>
      <c r="W915" t="s">
        <v>7118</v>
      </c>
      <c r="X915" t="s">
        <v>9237</v>
      </c>
      <c r="Y915">
        <v>2529</v>
      </c>
      <c r="Z915">
        <v>29</v>
      </c>
      <c r="AA915">
        <v>25167</v>
      </c>
    </row>
    <row r="916" spans="1:28">
      <c r="A916" s="2">
        <f>HYPERLINK("https://finance.naver.com/item/coinfo.nhn?code=103840", "A103840")</f>
        <v>0</v>
      </c>
      <c r="B916">
        <f>HYPERLINK("http://comp.fnguide.com/SVO2/ASP/SVD_Consensus.asp?pGB=1&amp;gicode=A103840&amp;cID=&amp;MenuYn=Y&amp;ReportGB=&amp;NewMenuID=108&amp;stkGb=701", "우양")</f>
        <v>0</v>
      </c>
      <c r="C916">
        <v>0</v>
      </c>
      <c r="D916">
        <v>5390</v>
      </c>
      <c r="E916">
        <v>0.08</v>
      </c>
      <c r="F916">
        <v>14.09</v>
      </c>
      <c r="G916">
        <v>4827</v>
      </c>
      <c r="H916">
        <v>3492</v>
      </c>
      <c r="I916">
        <v>3112</v>
      </c>
      <c r="J916">
        <v>10.44</v>
      </c>
      <c r="K916">
        <v>35.21</v>
      </c>
      <c r="L916">
        <v>42.27</v>
      </c>
      <c r="M916">
        <v>14.77</v>
      </c>
      <c r="N916" t="b">
        <v>1</v>
      </c>
      <c r="O916">
        <v>283</v>
      </c>
      <c r="P916" t="s">
        <v>929</v>
      </c>
      <c r="Q916" t="s">
        <v>3077</v>
      </c>
      <c r="R916">
        <v>174.2290325236589</v>
      </c>
      <c r="S916">
        <v>693</v>
      </c>
      <c r="T916">
        <v>840087</v>
      </c>
      <c r="U916" t="s">
        <v>4901</v>
      </c>
      <c r="V916">
        <v>42.68</v>
      </c>
      <c r="W916" t="s">
        <v>7119</v>
      </c>
      <c r="X916" t="s">
        <v>9238</v>
      </c>
      <c r="Y916">
        <v>1179</v>
      </c>
      <c r="Z916">
        <v>60</v>
      </c>
      <c r="AB916">
        <v>0</v>
      </c>
    </row>
    <row r="917" spans="1:28">
      <c r="A917" s="2">
        <f>HYPERLINK("https://finance.naver.com/item/coinfo.nhn?code=046940", "A046940")</f>
        <v>0</v>
      </c>
      <c r="B917">
        <f>HYPERLINK("http://comp.fnguide.com/SVO2/ASP/SVD_Consensus.asp?pGB=1&amp;gicode=A046940&amp;cID=&amp;MenuYn=Y&amp;ReportGB=&amp;NewMenuID=108&amp;stkGb=701", "우원개발")</f>
        <v>0</v>
      </c>
      <c r="C917">
        <v>0</v>
      </c>
      <c r="D917">
        <v>5980</v>
      </c>
      <c r="E917">
        <v>-5.02</v>
      </c>
      <c r="F917">
        <v>8.75</v>
      </c>
      <c r="G917">
        <v>5631</v>
      </c>
      <c r="H917">
        <v>5014</v>
      </c>
      <c r="I917">
        <v>4838</v>
      </c>
      <c r="J917">
        <v>5.83</v>
      </c>
      <c r="K917">
        <v>16.16</v>
      </c>
      <c r="L917">
        <v>19.1</v>
      </c>
      <c r="M917">
        <v>9.75</v>
      </c>
      <c r="N917" t="b">
        <v>1</v>
      </c>
      <c r="O917">
        <v>793</v>
      </c>
      <c r="P917" t="s">
        <v>930</v>
      </c>
      <c r="Q917" t="s">
        <v>3078</v>
      </c>
      <c r="R917">
        <v>-1.742786524347228</v>
      </c>
      <c r="S917">
        <v>1081</v>
      </c>
      <c r="T917">
        <v>253201</v>
      </c>
      <c r="U917" t="s">
        <v>4902</v>
      </c>
      <c r="V917">
        <v>34.98</v>
      </c>
      <c r="W917" t="s">
        <v>7120</v>
      </c>
      <c r="X917" t="s">
        <v>9239</v>
      </c>
      <c r="Y917">
        <v>2902</v>
      </c>
      <c r="Z917">
        <v>226</v>
      </c>
    </row>
    <row r="918" spans="1:28">
      <c r="A918" s="2">
        <f>HYPERLINK("https://finance.naver.com/item/coinfo.nhn?code=175250", "A175250")</f>
        <v>0</v>
      </c>
      <c r="B918">
        <f>HYPERLINK("http://comp.fnguide.com/SVO2/ASP/SVD_Consensus.asp?pGB=1&amp;gicode=A175250&amp;cID=&amp;MenuYn=Y&amp;ReportGB=&amp;NewMenuID=108&amp;stkGb=701", "아이큐어")</f>
        <v>0</v>
      </c>
      <c r="C918">
        <v>0</v>
      </c>
      <c r="D918">
        <v>75300</v>
      </c>
      <c r="E918">
        <v>0</v>
      </c>
      <c r="G918">
        <v>860</v>
      </c>
      <c r="H918">
        <v>8241</v>
      </c>
      <c r="I918">
        <v>10344</v>
      </c>
      <c r="J918">
        <v>98.86</v>
      </c>
      <c r="K918">
        <v>89.06</v>
      </c>
      <c r="L918">
        <v>86.26000000000001</v>
      </c>
      <c r="M918">
        <v>0.52</v>
      </c>
      <c r="N918" t="b">
        <v>0</v>
      </c>
      <c r="O918">
        <v>-1357</v>
      </c>
      <c r="P918" t="s">
        <v>931</v>
      </c>
      <c r="Q918" t="s">
        <v>2276</v>
      </c>
      <c r="R918">
        <v>0</v>
      </c>
      <c r="S918">
        <v>5685</v>
      </c>
      <c r="T918">
        <v>2468892</v>
      </c>
      <c r="U918" t="s">
        <v>4903</v>
      </c>
      <c r="V918">
        <v>18.21</v>
      </c>
      <c r="W918" t="s">
        <v>7121</v>
      </c>
      <c r="X918" t="s">
        <v>968</v>
      </c>
      <c r="Y918">
        <v>609</v>
      </c>
      <c r="Z918">
        <v>-63</v>
      </c>
      <c r="AA918">
        <v>131796</v>
      </c>
    </row>
    <row r="919" spans="1:28">
      <c r="A919" s="2">
        <f>HYPERLINK("https://finance.naver.com/item/coinfo.nhn?code=059100", "A059100")</f>
        <v>0</v>
      </c>
      <c r="B919">
        <f>HYPERLINK("http://comp.fnguide.com/SVO2/ASP/SVD_Consensus.asp?pGB=1&amp;gicode=A059100&amp;cID=&amp;MenuYn=Y&amp;ReportGB=&amp;NewMenuID=108&amp;stkGb=701", "아이컴포넌트")</f>
        <v>0</v>
      </c>
      <c r="C919">
        <v>0</v>
      </c>
      <c r="D919">
        <v>4100</v>
      </c>
      <c r="G919">
        <v>0</v>
      </c>
      <c r="H919">
        <v>2456</v>
      </c>
      <c r="I919">
        <v>3156</v>
      </c>
      <c r="J919">
        <v>100</v>
      </c>
      <c r="K919">
        <v>40.1</v>
      </c>
      <c r="L919">
        <v>23.03</v>
      </c>
      <c r="M919">
        <v>0</v>
      </c>
      <c r="N919" t="b">
        <v>0</v>
      </c>
      <c r="O919">
        <v>-176</v>
      </c>
      <c r="P919" t="s">
        <v>932</v>
      </c>
      <c r="Q919" t="s">
        <v>3079</v>
      </c>
      <c r="R919">
        <v>-8.599999999999996</v>
      </c>
      <c r="S919">
        <v>290</v>
      </c>
      <c r="T919">
        <v>29368</v>
      </c>
      <c r="U919" t="s">
        <v>4904</v>
      </c>
      <c r="V919">
        <v>24.35</v>
      </c>
      <c r="W919" t="s">
        <v>7122</v>
      </c>
      <c r="X919" t="s">
        <v>968</v>
      </c>
      <c r="Y919">
        <v>290</v>
      </c>
      <c r="Z919">
        <v>-15</v>
      </c>
      <c r="AA919">
        <v>49200</v>
      </c>
    </row>
    <row r="920" spans="1:28">
      <c r="A920" s="2">
        <f>HYPERLINK("https://finance.naver.com/item/coinfo.nhn?code=215380", "A215380")</f>
        <v>0</v>
      </c>
      <c r="B920">
        <f>HYPERLINK("http://comp.fnguide.com/SVO2/ASP/SVD_Consensus.asp?pGB=1&amp;gicode=A215380&amp;cID=&amp;MenuYn=Y&amp;ReportGB=&amp;NewMenuID=108&amp;stkGb=701", "우정바이오")</f>
        <v>0</v>
      </c>
      <c r="C920">
        <v>0</v>
      </c>
      <c r="D920">
        <v>12450</v>
      </c>
      <c r="E920">
        <v>-10.96</v>
      </c>
      <c r="F920">
        <v>192.84</v>
      </c>
      <c r="G920">
        <v>166</v>
      </c>
      <c r="H920">
        <v>1410</v>
      </c>
      <c r="I920">
        <v>1765</v>
      </c>
      <c r="J920">
        <v>98.67</v>
      </c>
      <c r="K920">
        <v>88.67</v>
      </c>
      <c r="L920">
        <v>85.81999999999999</v>
      </c>
      <c r="M920">
        <v>0.59</v>
      </c>
      <c r="N920" t="b">
        <v>0</v>
      </c>
      <c r="O920">
        <v>28</v>
      </c>
      <c r="P920" t="s">
        <v>933</v>
      </c>
      <c r="Q920" t="s">
        <v>3080</v>
      </c>
      <c r="R920">
        <v>-17.6</v>
      </c>
      <c r="S920">
        <v>1506</v>
      </c>
      <c r="T920">
        <v>3732513</v>
      </c>
      <c r="U920" t="s">
        <v>4905</v>
      </c>
      <c r="V920">
        <v>38.23</v>
      </c>
      <c r="W920" t="s">
        <v>7123</v>
      </c>
      <c r="X920" t="s">
        <v>9240</v>
      </c>
      <c r="Y920">
        <v>323</v>
      </c>
      <c r="Z920">
        <v>6</v>
      </c>
      <c r="AA920">
        <v>159040</v>
      </c>
    </row>
    <row r="921" spans="1:28">
      <c r="A921" s="2">
        <f>HYPERLINK("https://finance.naver.com/item/coinfo.nhn?code=065680", "A065680")</f>
        <v>0</v>
      </c>
      <c r="B921">
        <f>HYPERLINK("http://comp.fnguide.com/SVO2/ASP/SVD_Consensus.asp?pGB=1&amp;gicode=A065680&amp;cID=&amp;MenuYn=Y&amp;ReportGB=&amp;NewMenuID=108&amp;stkGb=701", "우주일렉트로")</f>
        <v>0</v>
      </c>
      <c r="C921">
        <v>0</v>
      </c>
      <c r="D921">
        <v>34700</v>
      </c>
      <c r="E921">
        <v>3.67</v>
      </c>
      <c r="F921">
        <v>7.08</v>
      </c>
      <c r="G921">
        <v>12319</v>
      </c>
      <c r="H921">
        <v>18605</v>
      </c>
      <c r="I921">
        <v>20396</v>
      </c>
      <c r="J921">
        <v>64.5</v>
      </c>
      <c r="K921">
        <v>46.38</v>
      </c>
      <c r="L921">
        <v>41.22</v>
      </c>
      <c r="M921">
        <v>4.31</v>
      </c>
      <c r="N921" t="b">
        <v>1</v>
      </c>
      <c r="O921">
        <v>1187</v>
      </c>
      <c r="P921" t="s">
        <v>934</v>
      </c>
      <c r="Q921" t="s">
        <v>3081</v>
      </c>
      <c r="R921">
        <v>1.931440636028081</v>
      </c>
      <c r="S921">
        <v>3447</v>
      </c>
      <c r="T921">
        <v>138989</v>
      </c>
      <c r="U921" t="s">
        <v>4906</v>
      </c>
      <c r="V921">
        <v>30.32</v>
      </c>
      <c r="W921" t="s">
        <v>7124</v>
      </c>
      <c r="X921" t="s">
        <v>9241</v>
      </c>
      <c r="Y921">
        <v>1910</v>
      </c>
      <c r="Z921">
        <v>159</v>
      </c>
      <c r="AA921">
        <v>1607125</v>
      </c>
      <c r="AB921">
        <v>3.57</v>
      </c>
    </row>
    <row r="922" spans="1:28">
      <c r="A922" s="2">
        <f>HYPERLINK("https://finance.naver.com/item/coinfo.nhn?code=122870", "A122870")</f>
        <v>0</v>
      </c>
      <c r="B922">
        <f>HYPERLINK("http://comp.fnguide.com/SVO2/ASP/SVD_Consensus.asp?pGB=1&amp;gicode=A122870&amp;cID=&amp;MenuYn=Y&amp;ReportGB=&amp;NewMenuID=108&amp;stkGb=701", "와이지엔터테인먼트")</f>
        <v>0</v>
      </c>
      <c r="C922">
        <v>0</v>
      </c>
      <c r="D922">
        <v>46600</v>
      </c>
      <c r="G922">
        <v>6111</v>
      </c>
      <c r="H922">
        <v>13517</v>
      </c>
      <c r="I922">
        <v>15628</v>
      </c>
      <c r="J922">
        <v>86.89</v>
      </c>
      <c r="K922">
        <v>70.98999999999999</v>
      </c>
      <c r="L922">
        <v>66.45999999999999</v>
      </c>
      <c r="M922">
        <v>2.64</v>
      </c>
      <c r="N922" t="b">
        <v>0</v>
      </c>
      <c r="O922">
        <v>-1118</v>
      </c>
      <c r="P922" t="s">
        <v>935</v>
      </c>
      <c r="Q922" t="s">
        <v>3082</v>
      </c>
      <c r="R922">
        <v>-18.81175955116488</v>
      </c>
      <c r="S922">
        <v>8580</v>
      </c>
      <c r="T922">
        <v>730782</v>
      </c>
      <c r="U922" t="s">
        <v>4907</v>
      </c>
      <c r="V922">
        <v>31.06</v>
      </c>
      <c r="W922" t="s">
        <v>7125</v>
      </c>
      <c r="X922" t="s">
        <v>9242</v>
      </c>
      <c r="Y922">
        <v>2645</v>
      </c>
      <c r="Z922">
        <v>9</v>
      </c>
      <c r="AA922">
        <v>144171</v>
      </c>
    </row>
    <row r="923" spans="1:28">
      <c r="A923" s="2">
        <f>HYPERLINK("https://finance.naver.com/item/coinfo.nhn?code=193250", "A193250")</f>
        <v>0</v>
      </c>
      <c r="B923">
        <f>HYPERLINK("http://comp.fnguide.com/SVO2/ASP/SVD_Consensus.asp?pGB=1&amp;gicode=A193250&amp;cID=&amp;MenuYn=Y&amp;ReportGB=&amp;NewMenuID=108&amp;stkGb=701", "와이제이엠게임즈")</f>
        <v>0</v>
      </c>
      <c r="C923">
        <v>0</v>
      </c>
      <c r="D923">
        <v>1560</v>
      </c>
      <c r="E923">
        <v>0</v>
      </c>
      <c r="G923">
        <v>0</v>
      </c>
      <c r="H923">
        <v>796</v>
      </c>
      <c r="I923">
        <v>1022</v>
      </c>
      <c r="J923">
        <v>100</v>
      </c>
      <c r="K923">
        <v>49</v>
      </c>
      <c r="L923">
        <v>34.47</v>
      </c>
      <c r="M923">
        <v>0</v>
      </c>
      <c r="N923" t="b">
        <v>0</v>
      </c>
      <c r="O923">
        <v>-122</v>
      </c>
      <c r="P923" t="s">
        <v>936</v>
      </c>
      <c r="Q923" t="s">
        <v>2276</v>
      </c>
      <c r="R923">
        <v>0</v>
      </c>
      <c r="S923">
        <v>845</v>
      </c>
      <c r="T923">
        <v>3357026</v>
      </c>
      <c r="U923" t="s">
        <v>4908</v>
      </c>
      <c r="V923">
        <v>22.2</v>
      </c>
      <c r="W923" t="s">
        <v>7126</v>
      </c>
      <c r="X923" t="s">
        <v>968</v>
      </c>
      <c r="Y923">
        <v>406</v>
      </c>
      <c r="Z923">
        <v>21</v>
      </c>
    </row>
    <row r="924" spans="1:28">
      <c r="A924" s="2">
        <f>HYPERLINK("https://finance.naver.com/item/coinfo.nhn?code=039200", "A039200")</f>
        <v>0</v>
      </c>
      <c r="B924">
        <f>HYPERLINK("http://comp.fnguide.com/SVO2/ASP/SVD_Consensus.asp?pGB=1&amp;gicode=A039200&amp;cID=&amp;MenuYn=Y&amp;ReportGB=&amp;NewMenuID=108&amp;stkGb=701", "오스코텍")</f>
        <v>0</v>
      </c>
      <c r="C924">
        <v>0</v>
      </c>
      <c r="D924">
        <v>65000</v>
      </c>
      <c r="E924">
        <v>0</v>
      </c>
      <c r="G924">
        <v>755</v>
      </c>
      <c r="H924">
        <v>1357</v>
      </c>
      <c r="I924">
        <v>1529</v>
      </c>
      <c r="J924">
        <v>98.84</v>
      </c>
      <c r="K924">
        <v>97.91</v>
      </c>
      <c r="L924">
        <v>97.65000000000001</v>
      </c>
      <c r="M924">
        <v>3.43</v>
      </c>
      <c r="N924" t="b">
        <v>0</v>
      </c>
      <c r="O924">
        <v>-771</v>
      </c>
      <c r="P924" t="s">
        <v>937</v>
      </c>
      <c r="Q924" t="s">
        <v>2276</v>
      </c>
      <c r="R924">
        <v>0</v>
      </c>
      <c r="S924">
        <v>18980</v>
      </c>
      <c r="T924">
        <v>505474</v>
      </c>
      <c r="U924" t="s">
        <v>4909</v>
      </c>
      <c r="V924">
        <v>17</v>
      </c>
      <c r="W924" t="s">
        <v>7127</v>
      </c>
      <c r="X924" t="s">
        <v>9243</v>
      </c>
      <c r="Y924">
        <v>44</v>
      </c>
      <c r="Z924">
        <v>-199</v>
      </c>
    </row>
    <row r="925" spans="1:28">
      <c r="A925" s="2">
        <f>HYPERLINK("https://finance.naver.com/item/coinfo.nhn?code=049480", "A049480")</f>
        <v>0</v>
      </c>
      <c r="B925">
        <f>HYPERLINK("http://comp.fnguide.com/SVO2/ASP/SVD_Consensus.asp?pGB=1&amp;gicode=A049480&amp;cID=&amp;MenuYn=Y&amp;ReportGB=&amp;NewMenuID=108&amp;stkGb=701", "오픈베이스")</f>
        <v>0</v>
      </c>
      <c r="C925">
        <v>0</v>
      </c>
      <c r="D925">
        <v>3485</v>
      </c>
      <c r="E925">
        <v>-1.44</v>
      </c>
      <c r="F925">
        <v>64.58</v>
      </c>
      <c r="G925">
        <v>410</v>
      </c>
      <c r="H925">
        <v>1415</v>
      </c>
      <c r="I925">
        <v>1701</v>
      </c>
      <c r="J925">
        <v>88.23</v>
      </c>
      <c r="K925">
        <v>59.4</v>
      </c>
      <c r="L925">
        <v>51.18</v>
      </c>
      <c r="M925">
        <v>1.57</v>
      </c>
      <c r="N925" t="b">
        <v>0</v>
      </c>
      <c r="O925">
        <v>50</v>
      </c>
      <c r="P925" t="s">
        <v>938</v>
      </c>
      <c r="Q925" t="s">
        <v>3083</v>
      </c>
      <c r="R925">
        <v>-44.92913656024631</v>
      </c>
      <c r="S925">
        <v>1095</v>
      </c>
      <c r="T925">
        <v>974748</v>
      </c>
      <c r="U925" t="s">
        <v>4910</v>
      </c>
      <c r="V925">
        <v>24.98</v>
      </c>
      <c r="W925" t="s">
        <v>7128</v>
      </c>
      <c r="X925" t="s">
        <v>9244</v>
      </c>
      <c r="Y925">
        <v>1574</v>
      </c>
      <c r="Z925">
        <v>26</v>
      </c>
      <c r="AA925">
        <v>306108</v>
      </c>
      <c r="AB925">
        <v>0.46</v>
      </c>
    </row>
    <row r="926" spans="1:28">
      <c r="A926" s="2">
        <f>HYPERLINK("https://finance.naver.com/item/coinfo.nhn?code=226400", "A226400")</f>
        <v>0</v>
      </c>
      <c r="B926">
        <f>HYPERLINK("http://comp.fnguide.com/SVO2/ASP/SVD_Consensus.asp?pGB=1&amp;gicode=A226400&amp;cID=&amp;MenuYn=Y&amp;ReportGB=&amp;NewMenuID=108&amp;stkGb=701", "오스테오닉")</f>
        <v>0</v>
      </c>
      <c r="C926">
        <v>0</v>
      </c>
      <c r="D926">
        <v>3080</v>
      </c>
      <c r="E926">
        <v>0.52</v>
      </c>
      <c r="F926">
        <v>54.02</v>
      </c>
      <c r="G926">
        <v>245</v>
      </c>
      <c r="H926">
        <v>1447</v>
      </c>
      <c r="I926">
        <v>1789</v>
      </c>
      <c r="J926">
        <v>92.04000000000001</v>
      </c>
      <c r="K926">
        <v>53.02</v>
      </c>
      <c r="L926">
        <v>41.9</v>
      </c>
      <c r="M926">
        <v>0.87</v>
      </c>
      <c r="N926" t="b">
        <v>1</v>
      </c>
      <c r="O926">
        <v>40</v>
      </c>
      <c r="P926" t="s">
        <v>939</v>
      </c>
      <c r="Q926" t="s">
        <v>3084</v>
      </c>
      <c r="R926">
        <v>103.1</v>
      </c>
      <c r="S926">
        <v>402</v>
      </c>
      <c r="T926">
        <v>67613</v>
      </c>
      <c r="U926" t="s">
        <v>4911</v>
      </c>
      <c r="V926">
        <v>24.95</v>
      </c>
      <c r="W926" t="s">
        <v>7129</v>
      </c>
      <c r="X926" t="s">
        <v>9245</v>
      </c>
      <c r="Y926">
        <v>112</v>
      </c>
      <c r="Z926">
        <v>5</v>
      </c>
      <c r="AA926">
        <v>141295</v>
      </c>
    </row>
    <row r="927" spans="1:28">
      <c r="A927" s="2">
        <f>HYPERLINK("https://finance.naver.com/item/coinfo.nhn?code=053800", "A053800")</f>
        <v>0</v>
      </c>
      <c r="B927">
        <f>HYPERLINK("http://comp.fnguide.com/SVO2/ASP/SVD_Consensus.asp?pGB=1&amp;gicode=A053800&amp;cID=&amp;MenuYn=Y&amp;ReportGB=&amp;NewMenuID=108&amp;stkGb=701", "안랩")</f>
        <v>0</v>
      </c>
      <c r="C927">
        <v>0</v>
      </c>
      <c r="D927">
        <v>62300</v>
      </c>
      <c r="E927">
        <v>3.04</v>
      </c>
      <c r="F927">
        <v>34.26</v>
      </c>
      <c r="G927">
        <v>30715</v>
      </c>
      <c r="H927">
        <v>26489</v>
      </c>
      <c r="I927">
        <v>25285</v>
      </c>
      <c r="J927">
        <v>50.7</v>
      </c>
      <c r="K927">
        <v>57.48</v>
      </c>
      <c r="L927">
        <v>59.41</v>
      </c>
      <c r="M927">
        <v>10.34</v>
      </c>
      <c r="N927" t="b">
        <v>1</v>
      </c>
      <c r="O927">
        <v>1912</v>
      </c>
      <c r="P927" t="s">
        <v>940</v>
      </c>
      <c r="Q927" t="s">
        <v>3085</v>
      </c>
      <c r="R927">
        <v>11.26546146829834</v>
      </c>
      <c r="S927">
        <v>6239</v>
      </c>
      <c r="T927">
        <v>79091</v>
      </c>
      <c r="U927" t="s">
        <v>4912</v>
      </c>
      <c r="V927">
        <v>28.57</v>
      </c>
      <c r="W927" t="s">
        <v>7130</v>
      </c>
      <c r="X927" t="s">
        <v>9246</v>
      </c>
      <c r="Y927">
        <v>1670</v>
      </c>
      <c r="Z927">
        <v>184</v>
      </c>
      <c r="AA927">
        <v>1328072</v>
      </c>
      <c r="AB927">
        <v>1.37</v>
      </c>
    </row>
    <row r="928" spans="1:28">
      <c r="A928" s="2">
        <f>HYPERLINK("https://finance.naver.com/item/coinfo.nhn?code=048260", "A048260")</f>
        <v>0</v>
      </c>
      <c r="B928">
        <f>HYPERLINK("http://comp.fnguide.com/SVO2/ASP/SVD_Consensus.asp?pGB=1&amp;gicode=A048260&amp;cID=&amp;MenuYn=Y&amp;ReportGB=&amp;NewMenuID=108&amp;stkGb=701", "오스템임플란트")</f>
        <v>0</v>
      </c>
      <c r="C928">
        <v>0</v>
      </c>
      <c r="D928">
        <v>51400</v>
      </c>
      <c r="G928">
        <v>3958</v>
      </c>
      <c r="H928">
        <v>5112</v>
      </c>
      <c r="I928">
        <v>5440</v>
      </c>
      <c r="J928">
        <v>92.3</v>
      </c>
      <c r="K928">
        <v>90.06</v>
      </c>
      <c r="L928">
        <v>89.42</v>
      </c>
      <c r="M928">
        <v>5.37</v>
      </c>
      <c r="N928" t="b">
        <v>0</v>
      </c>
      <c r="O928">
        <v>-1138</v>
      </c>
      <c r="P928" t="s">
        <v>941</v>
      </c>
      <c r="Q928" t="s">
        <v>3086</v>
      </c>
      <c r="R928">
        <v>-10.9160947815334</v>
      </c>
      <c r="S928">
        <v>7343</v>
      </c>
      <c r="T928">
        <v>154445</v>
      </c>
      <c r="U928" t="s">
        <v>4913</v>
      </c>
      <c r="V928">
        <v>20.76</v>
      </c>
      <c r="W928" t="s">
        <v>7131</v>
      </c>
      <c r="X928" t="s">
        <v>9247</v>
      </c>
      <c r="Y928">
        <v>5650</v>
      </c>
      <c r="Z928">
        <v>429</v>
      </c>
      <c r="AA928">
        <v>675561</v>
      </c>
    </row>
    <row r="929" spans="1:28">
      <c r="A929" s="2">
        <f>HYPERLINK("https://finance.naver.com/item/coinfo.nhn?code=189980", "A189980")</f>
        <v>0</v>
      </c>
      <c r="B929">
        <f>HYPERLINK("http://comp.fnguide.com/SVO2/ASP/SVD_Consensus.asp?pGB=1&amp;gicode=A189980&amp;cID=&amp;MenuYn=Y&amp;ReportGB=&amp;NewMenuID=108&amp;stkGb=701", "흥국에프엔비")</f>
        <v>0</v>
      </c>
      <c r="C929">
        <v>0</v>
      </c>
      <c r="D929">
        <v>1755</v>
      </c>
      <c r="E929">
        <v>-0.74</v>
      </c>
      <c r="F929">
        <v>12.32</v>
      </c>
      <c r="G929">
        <v>1449</v>
      </c>
      <c r="H929">
        <v>1625</v>
      </c>
      <c r="I929">
        <v>1675</v>
      </c>
      <c r="J929">
        <v>17.44</v>
      </c>
      <c r="K929">
        <v>7.4</v>
      </c>
      <c r="L929">
        <v>4.54</v>
      </c>
      <c r="M929">
        <v>6.63</v>
      </c>
      <c r="N929" t="b">
        <v>1</v>
      </c>
      <c r="O929">
        <v>144</v>
      </c>
      <c r="P929" t="s">
        <v>942</v>
      </c>
      <c r="Q929" t="s">
        <v>3087</v>
      </c>
      <c r="R929">
        <v>-16.75890964047847</v>
      </c>
      <c r="S929">
        <v>654</v>
      </c>
      <c r="T929">
        <v>860854</v>
      </c>
      <c r="U929" t="s">
        <v>4914</v>
      </c>
      <c r="V929">
        <v>50.24</v>
      </c>
      <c r="W929" t="s">
        <v>7132</v>
      </c>
      <c r="X929" t="s">
        <v>9248</v>
      </c>
      <c r="Y929">
        <v>538</v>
      </c>
      <c r="Z929">
        <v>58</v>
      </c>
      <c r="AA929">
        <v>1594580</v>
      </c>
      <c r="AB929">
        <v>1.69</v>
      </c>
    </row>
    <row r="930" spans="1:28">
      <c r="A930" s="2">
        <f>HYPERLINK("https://finance.naver.com/item/coinfo.nhn?code=138080", "A138080")</f>
        <v>0</v>
      </c>
      <c r="B930">
        <f>HYPERLINK("http://comp.fnguide.com/SVO2/ASP/SVD_Consensus.asp?pGB=1&amp;gicode=A138080&amp;cID=&amp;MenuYn=Y&amp;ReportGB=&amp;NewMenuID=108&amp;stkGb=701", "오이솔루션")</f>
        <v>0</v>
      </c>
      <c r="C930">
        <v>0</v>
      </c>
      <c r="D930">
        <v>54600</v>
      </c>
      <c r="E930">
        <v>0.08</v>
      </c>
      <c r="F930">
        <v>10.72</v>
      </c>
      <c r="G930">
        <v>38679</v>
      </c>
      <c r="H930">
        <v>23324</v>
      </c>
      <c r="I930">
        <v>18949</v>
      </c>
      <c r="J930">
        <v>29.16</v>
      </c>
      <c r="K930">
        <v>57.28</v>
      </c>
      <c r="L930">
        <v>65.3</v>
      </c>
      <c r="M930">
        <v>23.49</v>
      </c>
      <c r="N930" t="b">
        <v>1</v>
      </c>
      <c r="O930">
        <v>4614</v>
      </c>
      <c r="P930" t="s">
        <v>943</v>
      </c>
      <c r="Q930" t="s">
        <v>3088</v>
      </c>
      <c r="R930">
        <v>133.0352489544017</v>
      </c>
      <c r="S930">
        <v>5801</v>
      </c>
      <c r="T930">
        <v>282625</v>
      </c>
      <c r="U930" t="s">
        <v>4915</v>
      </c>
      <c r="V930">
        <v>29.1</v>
      </c>
      <c r="W930" t="s">
        <v>7133</v>
      </c>
      <c r="X930" t="s">
        <v>9249</v>
      </c>
      <c r="Y930">
        <v>2103</v>
      </c>
      <c r="Z930">
        <v>583</v>
      </c>
      <c r="AA930">
        <v>8908</v>
      </c>
      <c r="AB930">
        <v>0.8100000000000001</v>
      </c>
    </row>
    <row r="931" spans="1:28">
      <c r="A931" s="2">
        <f>HYPERLINK("https://finance.naver.com/item/coinfo.nhn?code=001540", "A001540")</f>
        <v>0</v>
      </c>
      <c r="B931">
        <f>HYPERLINK("http://comp.fnguide.com/SVO2/ASP/SVD_Consensus.asp?pGB=1&amp;gicode=A001540&amp;cID=&amp;MenuYn=Y&amp;ReportGB=&amp;NewMenuID=108&amp;stkGb=701", "안국약품")</f>
        <v>0</v>
      </c>
      <c r="C931">
        <v>0</v>
      </c>
      <c r="D931">
        <v>13000</v>
      </c>
      <c r="E931">
        <v>-1.98</v>
      </c>
      <c r="F931">
        <v>55.29</v>
      </c>
      <c r="G931">
        <v>8084</v>
      </c>
      <c r="H931">
        <v>10997</v>
      </c>
      <c r="I931">
        <v>11827</v>
      </c>
      <c r="J931">
        <v>37.82</v>
      </c>
      <c r="K931">
        <v>15.41</v>
      </c>
      <c r="L931">
        <v>9.02</v>
      </c>
      <c r="M931">
        <v>4.98</v>
      </c>
      <c r="N931" t="b">
        <v>1</v>
      </c>
      <c r="O931">
        <v>194</v>
      </c>
      <c r="P931" t="s">
        <v>944</v>
      </c>
      <c r="Q931" t="s">
        <v>3089</v>
      </c>
      <c r="R931">
        <v>-27.86432149570614</v>
      </c>
      <c r="S931">
        <v>1696</v>
      </c>
      <c r="T931">
        <v>46182</v>
      </c>
      <c r="U931" t="s">
        <v>4916</v>
      </c>
      <c r="V931">
        <v>49.75</v>
      </c>
      <c r="W931" t="s">
        <v>7134</v>
      </c>
      <c r="X931" t="s">
        <v>9250</v>
      </c>
      <c r="Y931">
        <v>1559</v>
      </c>
      <c r="Z931">
        <v>24</v>
      </c>
      <c r="AA931">
        <v>1583274</v>
      </c>
      <c r="AB931">
        <v>2.05</v>
      </c>
    </row>
    <row r="932" spans="1:28">
      <c r="A932" s="2">
        <f>HYPERLINK("https://finance.naver.com/item/coinfo.nhn?code=080580", "A080580")</f>
        <v>0</v>
      </c>
      <c r="B932">
        <f>HYPERLINK("http://comp.fnguide.com/SVO2/ASP/SVD_Consensus.asp?pGB=1&amp;gicode=A080580&amp;cID=&amp;MenuYn=Y&amp;ReportGB=&amp;NewMenuID=108&amp;stkGb=701", "오킨스전자")</f>
        <v>0</v>
      </c>
      <c r="C932">
        <v>0</v>
      </c>
      <c r="D932">
        <v>18450</v>
      </c>
      <c r="E932">
        <v>3.94</v>
      </c>
      <c r="F932">
        <v>114.15</v>
      </c>
      <c r="G932">
        <v>228</v>
      </c>
      <c r="H932">
        <v>1831</v>
      </c>
      <c r="I932">
        <v>2288</v>
      </c>
      <c r="J932">
        <v>98.77</v>
      </c>
      <c r="K932">
        <v>90.08</v>
      </c>
      <c r="L932">
        <v>87.59999999999999</v>
      </c>
      <c r="M932">
        <v>0.63</v>
      </c>
      <c r="N932" t="b">
        <v>0</v>
      </c>
      <c r="O932">
        <v>33</v>
      </c>
      <c r="P932" t="s">
        <v>945</v>
      </c>
      <c r="Q932" t="s">
        <v>3090</v>
      </c>
      <c r="R932">
        <v>28.99767439764176</v>
      </c>
      <c r="S932">
        <v>1600</v>
      </c>
      <c r="T932">
        <v>59950</v>
      </c>
      <c r="U932" t="s">
        <v>4917</v>
      </c>
      <c r="V932">
        <v>19.36</v>
      </c>
      <c r="W932" t="s">
        <v>7135</v>
      </c>
      <c r="X932" t="s">
        <v>9251</v>
      </c>
      <c r="Y932">
        <v>385</v>
      </c>
      <c r="Z932">
        <v>15</v>
      </c>
    </row>
    <row r="933" spans="1:28">
      <c r="A933" s="2">
        <f>HYPERLINK("https://finance.naver.com/item/coinfo.nhn?code=067160", "A067160")</f>
        <v>0</v>
      </c>
      <c r="B933">
        <f>HYPERLINK("http://comp.fnguide.com/SVO2/ASP/SVD_Consensus.asp?pGB=1&amp;gicode=A067160&amp;cID=&amp;MenuYn=Y&amp;ReportGB=&amp;NewMenuID=108&amp;stkGb=701", "아프리카TV")</f>
        <v>0</v>
      </c>
      <c r="C933">
        <v>0</v>
      </c>
      <c r="D933">
        <v>56600</v>
      </c>
      <c r="E933">
        <v>0.52</v>
      </c>
      <c r="F933">
        <v>23.04</v>
      </c>
      <c r="G933">
        <v>39965</v>
      </c>
      <c r="H933">
        <v>22552</v>
      </c>
      <c r="I933">
        <v>17590</v>
      </c>
      <c r="J933">
        <v>29.39</v>
      </c>
      <c r="K933">
        <v>60.16</v>
      </c>
      <c r="L933">
        <v>68.92</v>
      </c>
      <c r="M933">
        <v>29</v>
      </c>
      <c r="N933" t="b">
        <v>1</v>
      </c>
      <c r="O933">
        <v>2990</v>
      </c>
      <c r="P933" t="s">
        <v>946</v>
      </c>
      <c r="Q933" t="s">
        <v>3091</v>
      </c>
      <c r="R933">
        <v>44.04214394216203</v>
      </c>
      <c r="S933">
        <v>6506</v>
      </c>
      <c r="T933">
        <v>93349</v>
      </c>
      <c r="U933" t="s">
        <v>4918</v>
      </c>
      <c r="V933">
        <v>25.53</v>
      </c>
      <c r="W933" t="s">
        <v>7136</v>
      </c>
      <c r="X933" t="s">
        <v>9252</v>
      </c>
      <c r="Y933">
        <v>1679</v>
      </c>
      <c r="Z933">
        <v>367</v>
      </c>
      <c r="AA933">
        <v>669432</v>
      </c>
      <c r="AB933">
        <v>0.8</v>
      </c>
    </row>
    <row r="934" spans="1:28">
      <c r="A934" s="2">
        <f>HYPERLINK("https://finance.naver.com/item/coinfo.nhn?code=158430", "A158430")</f>
        <v>0</v>
      </c>
      <c r="B934">
        <f>HYPERLINK("http://comp.fnguide.com/SVO2/ASP/SVD_Consensus.asp?pGB=1&amp;gicode=A158430&amp;cID=&amp;MenuYn=Y&amp;ReportGB=&amp;NewMenuID=108&amp;stkGb=701", "아톤")</f>
        <v>0</v>
      </c>
      <c r="C934">
        <v>0</v>
      </c>
      <c r="D934">
        <v>30350</v>
      </c>
      <c r="E934">
        <v>0</v>
      </c>
      <c r="G934">
        <v>23231</v>
      </c>
      <c r="H934">
        <v>15992</v>
      </c>
      <c r="I934">
        <v>13929</v>
      </c>
      <c r="J934">
        <v>23.46</v>
      </c>
      <c r="K934">
        <v>47.31</v>
      </c>
      <c r="L934">
        <v>54.1</v>
      </c>
      <c r="M934">
        <v>16.56</v>
      </c>
      <c r="N934" t="b">
        <v>0</v>
      </c>
      <c r="O934">
        <v>-3109</v>
      </c>
      <c r="P934" t="s">
        <v>947</v>
      </c>
      <c r="Q934" t="s">
        <v>3092</v>
      </c>
      <c r="R934">
        <v>0</v>
      </c>
      <c r="S934">
        <v>1321</v>
      </c>
      <c r="T934">
        <v>171612</v>
      </c>
      <c r="U934" t="s">
        <v>4919</v>
      </c>
      <c r="V934">
        <v>32.17</v>
      </c>
      <c r="W934" t="s">
        <v>7137</v>
      </c>
      <c r="X934" t="s">
        <v>968</v>
      </c>
      <c r="Y934">
        <v>325</v>
      </c>
      <c r="Z934">
        <v>41</v>
      </c>
      <c r="AA934">
        <v>293810</v>
      </c>
    </row>
    <row r="935" spans="1:28">
      <c r="A935" s="2">
        <f>HYPERLINK("https://finance.naver.com/item/coinfo.nhn?code=067170", "A067170")</f>
        <v>0</v>
      </c>
      <c r="B935">
        <f>HYPERLINK("http://comp.fnguide.com/SVO2/ASP/SVD_Consensus.asp?pGB=1&amp;gicode=A067170&amp;cID=&amp;MenuYn=Y&amp;ReportGB=&amp;NewMenuID=108&amp;stkGb=701", "오텍")</f>
        <v>0</v>
      </c>
      <c r="C935">
        <v>0</v>
      </c>
      <c r="D935">
        <v>14450</v>
      </c>
      <c r="E935">
        <v>1.4</v>
      </c>
      <c r="F935">
        <v>16.85</v>
      </c>
      <c r="G935">
        <v>12950</v>
      </c>
      <c r="H935">
        <v>11104</v>
      </c>
      <c r="I935">
        <v>10578</v>
      </c>
      <c r="J935">
        <v>10.38</v>
      </c>
      <c r="K935">
        <v>23.16</v>
      </c>
      <c r="L935">
        <v>26.79</v>
      </c>
      <c r="M935">
        <v>10.45</v>
      </c>
      <c r="N935" t="b">
        <v>1</v>
      </c>
      <c r="O935">
        <v>694</v>
      </c>
      <c r="P935" t="s">
        <v>948</v>
      </c>
      <c r="Q935" t="s">
        <v>3093</v>
      </c>
      <c r="R935">
        <v>12.07531612444013</v>
      </c>
      <c r="S935">
        <v>2224</v>
      </c>
      <c r="T935">
        <v>1776602</v>
      </c>
      <c r="U935" t="s">
        <v>4920</v>
      </c>
      <c r="V935">
        <v>28.27</v>
      </c>
      <c r="W935" t="s">
        <v>7138</v>
      </c>
      <c r="X935" t="s">
        <v>9253</v>
      </c>
      <c r="Y935">
        <v>9523</v>
      </c>
      <c r="Z935">
        <v>305</v>
      </c>
      <c r="AA935">
        <v>914893</v>
      </c>
      <c r="AB935">
        <v>1.11</v>
      </c>
    </row>
    <row r="936" spans="1:28">
      <c r="A936" s="2">
        <f>HYPERLINK("https://finance.naver.com/item/coinfo.nhn?code=173130", "A173130")</f>
        <v>0</v>
      </c>
      <c r="B936">
        <f>HYPERLINK("http://comp.fnguide.com/SVO2/ASP/SVD_Consensus.asp?pGB=1&amp;gicode=A173130&amp;cID=&amp;MenuYn=Y&amp;ReportGB=&amp;NewMenuID=108&amp;stkGb=701", "오파스넷")</f>
        <v>0</v>
      </c>
      <c r="C936">
        <v>0</v>
      </c>
      <c r="D936">
        <v>10650</v>
      </c>
      <c r="G936">
        <v>3799</v>
      </c>
      <c r="H936">
        <v>4231</v>
      </c>
      <c r="I936">
        <v>4355</v>
      </c>
      <c r="J936">
        <v>64.31999999999999</v>
      </c>
      <c r="K936">
        <v>60.27</v>
      </c>
      <c r="L936">
        <v>59.11</v>
      </c>
      <c r="M936">
        <v>6.7</v>
      </c>
      <c r="N936" t="b">
        <v>0</v>
      </c>
      <c r="O936">
        <v>-2950</v>
      </c>
      <c r="P936" t="s">
        <v>949</v>
      </c>
      <c r="Q936" t="s">
        <v>3094</v>
      </c>
      <c r="R936">
        <v>-4.553784779070469</v>
      </c>
      <c r="S936">
        <v>429</v>
      </c>
      <c r="T936">
        <v>69693</v>
      </c>
      <c r="U936" t="s">
        <v>4921</v>
      </c>
      <c r="V936">
        <v>53.23</v>
      </c>
      <c r="W936" t="s">
        <v>7139</v>
      </c>
      <c r="X936" t="s">
        <v>9254</v>
      </c>
      <c r="Y936">
        <v>1041</v>
      </c>
      <c r="Z936">
        <v>31</v>
      </c>
      <c r="AA936">
        <v>108638</v>
      </c>
    </row>
    <row r="937" spans="1:28">
      <c r="A937" s="2">
        <f>HYPERLINK("https://finance.naver.com/item/coinfo.nhn?code=066110", "A066110")</f>
        <v>0</v>
      </c>
      <c r="B937">
        <f>HYPERLINK("http://comp.fnguide.com/SVO2/ASP/SVD_Consensus.asp?pGB=1&amp;gicode=A066110&amp;cID=&amp;MenuYn=Y&amp;ReportGB=&amp;NewMenuID=108&amp;stkGb=701", "한프")</f>
        <v>0</v>
      </c>
      <c r="C937">
        <v>0</v>
      </c>
      <c r="D937">
        <v>480</v>
      </c>
      <c r="E937">
        <v>0</v>
      </c>
      <c r="G937">
        <v>0</v>
      </c>
      <c r="H937">
        <v>327</v>
      </c>
      <c r="I937">
        <v>420</v>
      </c>
      <c r="J937">
        <v>100</v>
      </c>
      <c r="K937">
        <v>31.89</v>
      </c>
      <c r="L937">
        <v>12.49</v>
      </c>
      <c r="M937">
        <v>0</v>
      </c>
      <c r="N937" t="b">
        <v>0</v>
      </c>
      <c r="O937">
        <v>-356</v>
      </c>
      <c r="P937" t="s">
        <v>950</v>
      </c>
      <c r="Q937" t="s">
        <v>2276</v>
      </c>
      <c r="R937">
        <v>0</v>
      </c>
      <c r="S937">
        <v>253</v>
      </c>
      <c r="T937">
        <v>0</v>
      </c>
      <c r="U937" t="s">
        <v>4922</v>
      </c>
      <c r="V937">
        <v>25.14</v>
      </c>
      <c r="W937" t="s">
        <v>7140</v>
      </c>
      <c r="X937" t="s">
        <v>968</v>
      </c>
      <c r="Y937">
        <v>45</v>
      </c>
      <c r="Z937">
        <v>-94</v>
      </c>
      <c r="AA937">
        <v>234413</v>
      </c>
    </row>
    <row r="938" spans="1:28">
      <c r="A938" s="2">
        <f>HYPERLINK("https://finance.naver.com/item/coinfo.nhn?code=066430", "A066430")</f>
        <v>0</v>
      </c>
      <c r="B938">
        <f>HYPERLINK("http://comp.fnguide.com/SVO2/ASP/SVD_Consensus.asp?pGB=1&amp;gicode=A066430&amp;cID=&amp;MenuYn=Y&amp;ReportGB=&amp;NewMenuID=108&amp;stkGb=701", "와이오엠")</f>
        <v>0</v>
      </c>
      <c r="C938">
        <v>0</v>
      </c>
      <c r="D938">
        <v>1755</v>
      </c>
      <c r="E938">
        <v>0</v>
      </c>
      <c r="G938">
        <v>0</v>
      </c>
      <c r="H938">
        <v>527</v>
      </c>
      <c r="I938">
        <v>677</v>
      </c>
      <c r="J938">
        <v>100</v>
      </c>
      <c r="K938">
        <v>69.97</v>
      </c>
      <c r="L938">
        <v>61.41</v>
      </c>
      <c r="M938">
        <v>0</v>
      </c>
      <c r="N938" t="b">
        <v>0</v>
      </c>
      <c r="O938">
        <v>-1717</v>
      </c>
      <c r="P938" t="s">
        <v>951</v>
      </c>
      <c r="Q938" t="s">
        <v>2276</v>
      </c>
      <c r="R938">
        <v>0</v>
      </c>
      <c r="S938">
        <v>278</v>
      </c>
      <c r="T938">
        <v>108734</v>
      </c>
      <c r="U938" t="s">
        <v>4923</v>
      </c>
      <c r="V938">
        <v>10.07</v>
      </c>
      <c r="W938" t="s">
        <v>7141</v>
      </c>
      <c r="X938" t="s">
        <v>968</v>
      </c>
      <c r="Y938">
        <v>581</v>
      </c>
      <c r="Z938">
        <v>-12</v>
      </c>
      <c r="AA938">
        <v>8354</v>
      </c>
    </row>
    <row r="939" spans="1:28">
      <c r="A939" s="2">
        <f>HYPERLINK("https://finance.naver.com/item/coinfo.nhn?code=244460", "A244460")</f>
        <v>0</v>
      </c>
      <c r="B939">
        <f>HYPERLINK("http://comp.fnguide.com/SVO2/ASP/SVD_Consensus.asp?pGB=1&amp;gicode=A244460&amp;cID=&amp;MenuYn=Y&amp;ReportGB=&amp;NewMenuID=108&amp;stkGb=701", "올리패스")</f>
        <v>0</v>
      </c>
      <c r="C939">
        <v>0</v>
      </c>
      <c r="D939">
        <v>24200</v>
      </c>
      <c r="E939">
        <v>0</v>
      </c>
      <c r="G939">
        <v>0</v>
      </c>
      <c r="H939">
        <v>726</v>
      </c>
      <c r="I939">
        <v>933</v>
      </c>
      <c r="J939">
        <v>100</v>
      </c>
      <c r="K939">
        <v>97</v>
      </c>
      <c r="L939">
        <v>96.15000000000001</v>
      </c>
      <c r="M939">
        <v>0</v>
      </c>
      <c r="N939" t="b">
        <v>0</v>
      </c>
      <c r="O939" t="s">
        <v>3</v>
      </c>
      <c r="P939" t="s">
        <v>952</v>
      </c>
      <c r="Q939" t="s">
        <v>2276</v>
      </c>
      <c r="R939">
        <v>0</v>
      </c>
      <c r="S939" t="s">
        <v>3975</v>
      </c>
      <c r="T939">
        <v>1541320</v>
      </c>
      <c r="U939" t="s">
        <v>4924</v>
      </c>
      <c r="V939">
        <v>37.18</v>
      </c>
      <c r="W939" t="s">
        <v>7142</v>
      </c>
      <c r="X939" t="s">
        <v>968</v>
      </c>
      <c r="Y939" t="s">
        <v>10202</v>
      </c>
      <c r="Z939" t="s">
        <v>10215</v>
      </c>
    </row>
    <row r="940" spans="1:28">
      <c r="A940" s="2">
        <f>HYPERLINK("https://finance.naver.com/item/coinfo.nhn?code=226950", "A226950")</f>
        <v>0</v>
      </c>
      <c r="B940">
        <f>HYPERLINK("http://comp.fnguide.com/SVO2/ASP/SVD_Consensus.asp?pGB=1&amp;gicode=A226950&amp;cID=&amp;MenuYn=Y&amp;ReportGB=&amp;NewMenuID=108&amp;stkGb=701", "올릭스")</f>
        <v>0</v>
      </c>
      <c r="C940">
        <v>0</v>
      </c>
      <c r="D940">
        <v>57000</v>
      </c>
      <c r="E940">
        <v>0</v>
      </c>
      <c r="G940">
        <v>0</v>
      </c>
      <c r="H940">
        <v>1855</v>
      </c>
      <c r="I940">
        <v>2383</v>
      </c>
      <c r="J940">
        <v>100</v>
      </c>
      <c r="K940">
        <v>96.75</v>
      </c>
      <c r="L940">
        <v>95.81999999999999</v>
      </c>
      <c r="M940">
        <v>0</v>
      </c>
      <c r="N940" t="b">
        <v>0</v>
      </c>
      <c r="O940">
        <v>-1102</v>
      </c>
      <c r="P940" t="s">
        <v>953</v>
      </c>
      <c r="Q940" t="s">
        <v>2276</v>
      </c>
      <c r="R940">
        <v>0</v>
      </c>
      <c r="S940">
        <v>7604</v>
      </c>
      <c r="T940">
        <v>1031719</v>
      </c>
      <c r="U940" t="s">
        <v>4925</v>
      </c>
      <c r="V940">
        <v>30.33</v>
      </c>
      <c r="W940" t="s">
        <v>7143</v>
      </c>
      <c r="X940" t="s">
        <v>968</v>
      </c>
      <c r="Y940">
        <v>11</v>
      </c>
      <c r="Z940">
        <v>-151</v>
      </c>
    </row>
    <row r="941" spans="1:28">
      <c r="A941" s="2">
        <f>HYPERLINK("https://finance.naver.com/item/coinfo.nhn?code=059120", "A059120")</f>
        <v>0</v>
      </c>
      <c r="B941">
        <f>HYPERLINK("http://comp.fnguide.com/SVO2/ASP/SVD_Consensus.asp?pGB=1&amp;gicode=A059120&amp;cID=&amp;MenuYn=Y&amp;ReportGB=&amp;NewMenuID=108&amp;stkGb=701", "아진엑스텍")</f>
        <v>0</v>
      </c>
      <c r="C941">
        <v>0</v>
      </c>
      <c r="D941">
        <v>5470</v>
      </c>
      <c r="E941">
        <v>1.11</v>
      </c>
      <c r="F941">
        <v>21.49</v>
      </c>
      <c r="G941">
        <v>5428</v>
      </c>
      <c r="H941">
        <v>4886</v>
      </c>
      <c r="I941">
        <v>4731</v>
      </c>
      <c r="J941">
        <v>0.77</v>
      </c>
      <c r="K941">
        <v>10.69</v>
      </c>
      <c r="L941">
        <v>13.51</v>
      </c>
      <c r="M941">
        <v>9.56</v>
      </c>
      <c r="N941" t="b">
        <v>1</v>
      </c>
      <c r="O941">
        <v>240</v>
      </c>
      <c r="P941" t="s">
        <v>954</v>
      </c>
      <c r="Q941" t="s">
        <v>3095</v>
      </c>
      <c r="R941">
        <v>19.34388859110672</v>
      </c>
      <c r="S941">
        <v>533</v>
      </c>
      <c r="T941">
        <v>87226</v>
      </c>
      <c r="U941" t="s">
        <v>4926</v>
      </c>
      <c r="V941">
        <v>34.02</v>
      </c>
      <c r="W941" t="s">
        <v>7144</v>
      </c>
      <c r="X941" t="s">
        <v>9255</v>
      </c>
      <c r="Y941">
        <v>206</v>
      </c>
      <c r="Z941">
        <v>20</v>
      </c>
      <c r="AA941">
        <v>157770</v>
      </c>
      <c r="AB941">
        <v>1.3</v>
      </c>
    </row>
    <row r="942" spans="1:28">
      <c r="A942" s="2">
        <f>HYPERLINK("https://finance.naver.com/item/coinfo.nhn?code=082210", "A082210")</f>
        <v>0</v>
      </c>
      <c r="B942">
        <f>HYPERLINK("http://comp.fnguide.com/SVO2/ASP/SVD_Consensus.asp?pGB=1&amp;gicode=A082210&amp;cID=&amp;MenuYn=Y&amp;ReportGB=&amp;NewMenuID=108&amp;stkGb=701", "옵트론텍")</f>
        <v>0</v>
      </c>
      <c r="C942">
        <v>0</v>
      </c>
      <c r="D942">
        <v>7800</v>
      </c>
      <c r="E942">
        <v>0.61</v>
      </c>
      <c r="F942">
        <v>16.68</v>
      </c>
      <c r="G942">
        <v>4122</v>
      </c>
      <c r="H942">
        <v>4468</v>
      </c>
      <c r="I942">
        <v>4567</v>
      </c>
      <c r="J942">
        <v>47.15</v>
      </c>
      <c r="K942">
        <v>42.72</v>
      </c>
      <c r="L942">
        <v>41.45</v>
      </c>
      <c r="M942">
        <v>6.99</v>
      </c>
      <c r="N942" t="b">
        <v>1</v>
      </c>
      <c r="O942">
        <v>444</v>
      </c>
      <c r="P942" t="s">
        <v>955</v>
      </c>
      <c r="Q942" t="s">
        <v>3096</v>
      </c>
      <c r="R942">
        <v>27.48738396685777</v>
      </c>
      <c r="S942">
        <v>1847</v>
      </c>
      <c r="T942">
        <v>1325348</v>
      </c>
      <c r="U942" t="s">
        <v>4927</v>
      </c>
      <c r="V942">
        <v>19.8</v>
      </c>
      <c r="W942" t="s">
        <v>7145</v>
      </c>
      <c r="X942" t="s">
        <v>9256</v>
      </c>
      <c r="Y942">
        <v>2389</v>
      </c>
      <c r="Z942">
        <v>223</v>
      </c>
      <c r="AA942">
        <v>857239</v>
      </c>
      <c r="AB942">
        <v>0.41</v>
      </c>
    </row>
    <row r="943" spans="1:28">
      <c r="A943" s="2">
        <f>HYPERLINK("https://finance.naver.com/item/coinfo.nhn?code=109080", "A109080")</f>
        <v>0</v>
      </c>
      <c r="B943">
        <f>HYPERLINK("http://comp.fnguide.com/SVO2/ASP/SVD_Consensus.asp?pGB=1&amp;gicode=A109080&amp;cID=&amp;MenuYn=Y&amp;ReportGB=&amp;NewMenuID=108&amp;stkGb=701", "옵티시스")</f>
        <v>0</v>
      </c>
      <c r="C943">
        <v>0</v>
      </c>
      <c r="D943">
        <v>7960</v>
      </c>
      <c r="E943">
        <v>-4.35</v>
      </c>
      <c r="F943">
        <v>15.47</v>
      </c>
      <c r="G943">
        <v>7242</v>
      </c>
      <c r="H943">
        <v>7549</v>
      </c>
      <c r="I943">
        <v>7637</v>
      </c>
      <c r="J943">
        <v>9.02</v>
      </c>
      <c r="K943">
        <v>5.16</v>
      </c>
      <c r="L943">
        <v>4.06</v>
      </c>
      <c r="M943">
        <v>7.45</v>
      </c>
      <c r="N943" t="b">
        <v>1</v>
      </c>
      <c r="O943">
        <v>503</v>
      </c>
      <c r="P943" t="s">
        <v>956</v>
      </c>
      <c r="Q943" t="s">
        <v>3097</v>
      </c>
      <c r="R943">
        <v>-3.555912392771654</v>
      </c>
      <c r="S943">
        <v>449</v>
      </c>
      <c r="T943">
        <v>56189</v>
      </c>
      <c r="U943" t="s">
        <v>4928</v>
      </c>
      <c r="V943">
        <v>31.23</v>
      </c>
      <c r="W943" t="s">
        <v>7146</v>
      </c>
      <c r="X943" t="s">
        <v>9257</v>
      </c>
      <c r="Y943">
        <v>197</v>
      </c>
      <c r="Z943">
        <v>22</v>
      </c>
      <c r="AA943">
        <v>747598</v>
      </c>
      <c r="AB943">
        <v>0.64</v>
      </c>
    </row>
    <row r="944" spans="1:28">
      <c r="A944" s="2">
        <f>HYPERLINK("https://finance.naver.com/item/coinfo.nhn?code=002680", "A002680")</f>
        <v>0</v>
      </c>
      <c r="B944">
        <f>HYPERLINK("http://comp.fnguide.com/SVO2/ASP/SVD_Consensus.asp?pGB=1&amp;gicode=A002680&amp;cID=&amp;MenuYn=Y&amp;ReportGB=&amp;NewMenuID=108&amp;stkGb=701", "한탑")</f>
        <v>0</v>
      </c>
      <c r="C944">
        <v>0</v>
      </c>
      <c r="D944">
        <v>2980</v>
      </c>
      <c r="G944">
        <v>56</v>
      </c>
      <c r="H944">
        <v>915</v>
      </c>
      <c r="I944">
        <v>1160</v>
      </c>
      <c r="J944">
        <v>98.12</v>
      </c>
      <c r="K944">
        <v>69.29000000000001</v>
      </c>
      <c r="L944">
        <v>61.08</v>
      </c>
      <c r="M944">
        <v>0.3</v>
      </c>
      <c r="N944" t="b">
        <v>0</v>
      </c>
      <c r="O944">
        <v>-541</v>
      </c>
      <c r="P944" t="s">
        <v>957</v>
      </c>
      <c r="Q944" t="s">
        <v>3098</v>
      </c>
      <c r="R944">
        <v>8.800000000000008</v>
      </c>
      <c r="S944">
        <v>665</v>
      </c>
      <c r="T944">
        <v>2425517</v>
      </c>
      <c r="U944" t="s">
        <v>4929</v>
      </c>
      <c r="V944">
        <v>43.44</v>
      </c>
      <c r="W944" t="s">
        <v>7147</v>
      </c>
      <c r="X944" t="s">
        <v>9258</v>
      </c>
      <c r="Y944">
        <v>922</v>
      </c>
      <c r="Z944">
        <v>-78</v>
      </c>
      <c r="AA944">
        <v>1300000</v>
      </c>
    </row>
    <row r="945" spans="1:28">
      <c r="A945" s="2">
        <f>HYPERLINK("https://finance.naver.com/item/coinfo.nhn?code=153710", "A153710")</f>
        <v>0</v>
      </c>
      <c r="B945">
        <f>HYPERLINK("http://comp.fnguide.com/SVO2/ASP/SVD_Consensus.asp?pGB=1&amp;gicode=A153710&amp;cID=&amp;MenuYn=Y&amp;ReportGB=&amp;NewMenuID=108&amp;stkGb=701", "옵티팜")</f>
        <v>0</v>
      </c>
      <c r="C945">
        <v>0</v>
      </c>
      <c r="D945">
        <v>17300</v>
      </c>
      <c r="E945">
        <v>0</v>
      </c>
      <c r="G945">
        <v>0</v>
      </c>
      <c r="H945">
        <v>1478</v>
      </c>
      <c r="I945">
        <v>1899</v>
      </c>
      <c r="J945">
        <v>100</v>
      </c>
      <c r="K945">
        <v>91.45999999999999</v>
      </c>
      <c r="L945">
        <v>89.02</v>
      </c>
      <c r="M945">
        <v>0</v>
      </c>
      <c r="N945" t="b">
        <v>0</v>
      </c>
      <c r="O945">
        <v>-46</v>
      </c>
      <c r="P945" t="s">
        <v>958</v>
      </c>
      <c r="Q945" t="s">
        <v>2276</v>
      </c>
      <c r="R945">
        <v>0</v>
      </c>
      <c r="S945">
        <v>2503</v>
      </c>
      <c r="T945">
        <v>301390</v>
      </c>
      <c r="U945" t="s">
        <v>4930</v>
      </c>
      <c r="V945">
        <v>42.1</v>
      </c>
      <c r="W945" t="s">
        <v>7148</v>
      </c>
      <c r="X945" t="s">
        <v>968</v>
      </c>
      <c r="Y945">
        <v>137</v>
      </c>
      <c r="Z945">
        <v>-12</v>
      </c>
    </row>
    <row r="946" spans="1:28">
      <c r="A946" s="2">
        <f>HYPERLINK("https://finance.naver.com/item/coinfo.nhn?code=232140", "A232140")</f>
        <v>0</v>
      </c>
      <c r="B946">
        <f>HYPERLINK("http://comp.fnguide.com/SVO2/ASP/SVD_Consensus.asp?pGB=1&amp;gicode=A232140&amp;cID=&amp;MenuYn=Y&amp;ReportGB=&amp;NewMenuID=108&amp;stkGb=701", "와이아이케이")</f>
        <v>0</v>
      </c>
      <c r="C946">
        <v>0</v>
      </c>
      <c r="D946">
        <v>5790</v>
      </c>
      <c r="G946">
        <v>2295</v>
      </c>
      <c r="H946">
        <v>1657</v>
      </c>
      <c r="I946">
        <v>1476</v>
      </c>
      <c r="J946">
        <v>60.37</v>
      </c>
      <c r="K946">
        <v>71.38</v>
      </c>
      <c r="L946">
        <v>74.51000000000001</v>
      </c>
      <c r="M946">
        <v>14.82</v>
      </c>
      <c r="N946" t="b">
        <v>0</v>
      </c>
      <c r="O946">
        <v>-177</v>
      </c>
      <c r="P946" t="s">
        <v>959</v>
      </c>
      <c r="Q946" t="s">
        <v>3099</v>
      </c>
      <c r="R946">
        <v>33.09677905262638</v>
      </c>
      <c r="S946">
        <v>4614</v>
      </c>
      <c r="T946">
        <v>977002</v>
      </c>
      <c r="U946" t="s">
        <v>4931</v>
      </c>
      <c r="V946">
        <v>57.53</v>
      </c>
      <c r="W946" t="s">
        <v>7149</v>
      </c>
      <c r="X946" t="s">
        <v>9259</v>
      </c>
      <c r="Y946">
        <v>500</v>
      </c>
      <c r="Z946">
        <v>-118</v>
      </c>
      <c r="AA946">
        <v>503416</v>
      </c>
    </row>
    <row r="947" spans="1:28">
      <c r="A947" s="2">
        <f>HYPERLINK("https://finance.naver.com/item/coinfo.nhn?code=067900", "A067900")</f>
        <v>0</v>
      </c>
      <c r="B947">
        <f>HYPERLINK("http://comp.fnguide.com/SVO2/ASP/SVD_Consensus.asp?pGB=1&amp;gicode=A067900&amp;cID=&amp;MenuYn=Y&amp;ReportGB=&amp;NewMenuID=108&amp;stkGb=701", "와이엔텍")</f>
        <v>0</v>
      </c>
      <c r="C947">
        <v>0</v>
      </c>
      <c r="D947">
        <v>12950</v>
      </c>
      <c r="E947">
        <v>0.23</v>
      </c>
      <c r="F947">
        <v>10.32</v>
      </c>
      <c r="G947">
        <v>11059</v>
      </c>
      <c r="H947">
        <v>8865</v>
      </c>
      <c r="I947">
        <v>8239</v>
      </c>
      <c r="J947">
        <v>14.6</v>
      </c>
      <c r="K947">
        <v>31.55</v>
      </c>
      <c r="L947">
        <v>36.38</v>
      </c>
      <c r="M947">
        <v>11.9</v>
      </c>
      <c r="N947" t="b">
        <v>0</v>
      </c>
      <c r="O947">
        <v>1012</v>
      </c>
      <c r="P947" t="s">
        <v>960</v>
      </c>
      <c r="Q947" t="s">
        <v>3100</v>
      </c>
      <c r="R947">
        <v>44.17241446880495</v>
      </c>
      <c r="S947">
        <v>2357</v>
      </c>
      <c r="T947">
        <v>494307</v>
      </c>
      <c r="U947" t="s">
        <v>4932</v>
      </c>
      <c r="V947">
        <v>46.21</v>
      </c>
      <c r="W947" t="s">
        <v>7150</v>
      </c>
      <c r="X947" t="s">
        <v>9260</v>
      </c>
      <c r="Y947">
        <v>986</v>
      </c>
      <c r="Z947">
        <v>262</v>
      </c>
    </row>
    <row r="948" spans="1:28">
      <c r="A948" s="2">
        <f>HYPERLINK("https://finance.naver.com/item/coinfo.nhn?code=155650", "A155650")</f>
        <v>0</v>
      </c>
      <c r="B948">
        <f>HYPERLINK("http://comp.fnguide.com/SVO2/ASP/SVD_Consensus.asp?pGB=1&amp;gicode=A155650&amp;cID=&amp;MenuYn=Y&amp;ReportGB=&amp;NewMenuID=108&amp;stkGb=701", "와이엠씨")</f>
        <v>0</v>
      </c>
      <c r="C948">
        <v>0</v>
      </c>
      <c r="D948">
        <v>10550</v>
      </c>
      <c r="G948">
        <v>6008</v>
      </c>
      <c r="H948">
        <v>4993</v>
      </c>
      <c r="I948">
        <v>4704</v>
      </c>
      <c r="J948">
        <v>43.05</v>
      </c>
      <c r="K948">
        <v>52.67</v>
      </c>
      <c r="L948">
        <v>55.41</v>
      </c>
      <c r="M948">
        <v>11.09</v>
      </c>
      <c r="N948" t="b">
        <v>0</v>
      </c>
      <c r="O948">
        <v>-81</v>
      </c>
      <c r="P948" t="s">
        <v>961</v>
      </c>
      <c r="Q948" t="s">
        <v>3101</v>
      </c>
      <c r="R948">
        <v>96.98988503125815</v>
      </c>
      <c r="S948">
        <v>2107</v>
      </c>
      <c r="T948">
        <v>378442</v>
      </c>
      <c r="U948" t="s">
        <v>4933</v>
      </c>
      <c r="V948">
        <v>31.35</v>
      </c>
      <c r="W948" t="s">
        <v>7151</v>
      </c>
      <c r="X948" t="s">
        <v>9261</v>
      </c>
      <c r="Y948">
        <v>1671</v>
      </c>
      <c r="Z948">
        <v>-59</v>
      </c>
      <c r="AA948">
        <v>1267220</v>
      </c>
    </row>
    <row r="949" spans="1:28">
      <c r="A949" s="2">
        <f>HYPERLINK("https://finance.naver.com/item/coinfo.nhn?code=251370", "A251370")</f>
        <v>0</v>
      </c>
      <c r="B949">
        <f>HYPERLINK("http://comp.fnguide.com/SVO2/ASP/SVD_Consensus.asp?pGB=1&amp;gicode=A251370&amp;cID=&amp;MenuYn=Y&amp;ReportGB=&amp;NewMenuID=108&amp;stkGb=701", "와이엠티")</f>
        <v>0</v>
      </c>
      <c r="C949">
        <v>0</v>
      </c>
      <c r="D949">
        <v>16950</v>
      </c>
      <c r="E949">
        <v>0.86</v>
      </c>
      <c r="F949">
        <v>16.33</v>
      </c>
      <c r="G949">
        <v>10177</v>
      </c>
      <c r="H949">
        <v>7173</v>
      </c>
      <c r="I949">
        <v>6316</v>
      </c>
      <c r="J949">
        <v>39.96</v>
      </c>
      <c r="K949">
        <v>57.68</v>
      </c>
      <c r="L949">
        <v>62.74</v>
      </c>
      <c r="M949">
        <v>15.67</v>
      </c>
      <c r="N949" t="b">
        <v>1</v>
      </c>
      <c r="O949">
        <v>886</v>
      </c>
      <c r="P949" t="s">
        <v>962</v>
      </c>
      <c r="Q949" t="s">
        <v>3102</v>
      </c>
      <c r="R949">
        <v>18.98899693885705</v>
      </c>
      <c r="S949">
        <v>2535</v>
      </c>
      <c r="T949">
        <v>224054</v>
      </c>
      <c r="U949" t="s">
        <v>4934</v>
      </c>
      <c r="V949">
        <v>42.88</v>
      </c>
      <c r="W949" t="s">
        <v>7152</v>
      </c>
      <c r="X949" t="s">
        <v>9262</v>
      </c>
      <c r="Y949">
        <v>955</v>
      </c>
      <c r="Z949">
        <v>221</v>
      </c>
      <c r="AA949">
        <v>21692</v>
      </c>
    </row>
    <row r="950" spans="1:28">
      <c r="A950" s="2">
        <f>HYPERLINK("https://finance.naver.com/item/coinfo.nhn?code=140670", "A140670")</f>
        <v>0</v>
      </c>
      <c r="B950">
        <f>HYPERLINK("http://comp.fnguide.com/SVO2/ASP/SVD_Consensus.asp?pGB=1&amp;gicode=A140670&amp;cID=&amp;MenuYn=Y&amp;ReportGB=&amp;NewMenuID=108&amp;stkGb=701", "알에스오토메이션")</f>
        <v>0</v>
      </c>
      <c r="C950">
        <v>0</v>
      </c>
      <c r="D950">
        <v>8200</v>
      </c>
      <c r="E950">
        <v>-11.37</v>
      </c>
      <c r="F950">
        <v>557.3</v>
      </c>
      <c r="G950">
        <v>1479</v>
      </c>
      <c r="H950">
        <v>3213</v>
      </c>
      <c r="I950">
        <v>3707</v>
      </c>
      <c r="J950">
        <v>81.97</v>
      </c>
      <c r="K950">
        <v>60.82</v>
      </c>
      <c r="L950">
        <v>54.8</v>
      </c>
      <c r="M950">
        <v>2.7</v>
      </c>
      <c r="N950" t="b">
        <v>0</v>
      </c>
      <c r="O950">
        <v>16</v>
      </c>
      <c r="P950" t="s">
        <v>963</v>
      </c>
      <c r="Q950" t="s">
        <v>3103</v>
      </c>
      <c r="R950">
        <v>-49.02020828982923</v>
      </c>
      <c r="S950">
        <v>746</v>
      </c>
      <c r="T950">
        <v>110048</v>
      </c>
      <c r="U950" t="s">
        <v>4935</v>
      </c>
      <c r="V950">
        <v>31.91</v>
      </c>
      <c r="W950" t="s">
        <v>7153</v>
      </c>
      <c r="X950" t="s">
        <v>9263</v>
      </c>
      <c r="Y950">
        <v>822</v>
      </c>
      <c r="Z950">
        <v>1</v>
      </c>
      <c r="AA950">
        <v>121656</v>
      </c>
    </row>
    <row r="951" spans="1:28">
      <c r="A951" s="2">
        <f>HYPERLINK("https://finance.naver.com/item/coinfo.nhn?code=182400", "A182400")</f>
        <v>0</v>
      </c>
      <c r="B951">
        <f>HYPERLINK("http://comp.fnguide.com/SVO2/ASP/SVD_Consensus.asp?pGB=1&amp;gicode=A182400&amp;cID=&amp;MenuYn=Y&amp;ReportGB=&amp;NewMenuID=108&amp;stkGb=701", "엔케이맥스")</f>
        <v>0</v>
      </c>
      <c r="C951">
        <v>0</v>
      </c>
      <c r="D951">
        <v>14100</v>
      </c>
      <c r="E951">
        <v>0</v>
      </c>
      <c r="G951">
        <v>0</v>
      </c>
      <c r="H951">
        <v>1904</v>
      </c>
      <c r="I951">
        <v>2447</v>
      </c>
      <c r="J951">
        <v>100</v>
      </c>
      <c r="K951">
        <v>86.48999999999999</v>
      </c>
      <c r="L951">
        <v>82.65000000000001</v>
      </c>
      <c r="M951">
        <v>0</v>
      </c>
      <c r="N951" t="b">
        <v>0</v>
      </c>
      <c r="O951">
        <v>-402</v>
      </c>
      <c r="P951" t="s">
        <v>964</v>
      </c>
      <c r="Q951" t="s">
        <v>2276</v>
      </c>
      <c r="R951">
        <v>0</v>
      </c>
      <c r="S951">
        <v>4783</v>
      </c>
      <c r="T951">
        <v>195023</v>
      </c>
      <c r="U951" t="s">
        <v>4936</v>
      </c>
      <c r="V951">
        <v>18.35</v>
      </c>
      <c r="W951" t="s">
        <v>7154</v>
      </c>
      <c r="X951" t="s">
        <v>968</v>
      </c>
      <c r="Y951">
        <v>87</v>
      </c>
      <c r="Z951">
        <v>-241</v>
      </c>
      <c r="AA951">
        <v>1435</v>
      </c>
    </row>
    <row r="952" spans="1:28">
      <c r="A952" s="2">
        <f>HYPERLINK("https://finance.naver.com/item/coinfo.nhn?code=053280", "A053280")</f>
        <v>0</v>
      </c>
      <c r="B952">
        <f>HYPERLINK("http://comp.fnguide.com/SVO2/ASP/SVD_Consensus.asp?pGB=1&amp;gicode=A053280&amp;cID=&amp;MenuYn=Y&amp;ReportGB=&amp;NewMenuID=108&amp;stkGb=701", "예스24")</f>
        <v>0</v>
      </c>
      <c r="C952">
        <v>0</v>
      </c>
      <c r="D952">
        <v>18400</v>
      </c>
      <c r="E952">
        <v>-383.75</v>
      </c>
      <c r="F952">
        <v>24329.85</v>
      </c>
      <c r="G952">
        <v>2</v>
      </c>
      <c r="H952">
        <v>2233</v>
      </c>
      <c r="I952">
        <v>2869</v>
      </c>
      <c r="J952">
        <v>99.98999999999999</v>
      </c>
      <c r="K952">
        <v>87.86</v>
      </c>
      <c r="L952">
        <v>84.41</v>
      </c>
      <c r="M952">
        <v>0.01</v>
      </c>
      <c r="N952" t="b">
        <v>0</v>
      </c>
      <c r="O952">
        <v>0</v>
      </c>
      <c r="P952" t="s">
        <v>965</v>
      </c>
      <c r="Q952" t="s">
        <v>3104</v>
      </c>
      <c r="R952">
        <v>-63.4</v>
      </c>
      <c r="S952">
        <v>3165</v>
      </c>
      <c r="T952">
        <v>1518763</v>
      </c>
      <c r="U952" t="s">
        <v>4937</v>
      </c>
      <c r="V952">
        <v>55.5</v>
      </c>
      <c r="W952" t="s">
        <v>7155</v>
      </c>
      <c r="X952" t="s">
        <v>9264</v>
      </c>
      <c r="Y952">
        <v>5330</v>
      </c>
      <c r="Z952">
        <v>63</v>
      </c>
      <c r="AB952">
        <v>2.68</v>
      </c>
    </row>
    <row r="953" spans="1:28">
      <c r="A953" s="2">
        <f>HYPERLINK("https://finance.naver.com/item/coinfo.nhn?code=043220", "A043220")</f>
        <v>0</v>
      </c>
      <c r="B953">
        <f>HYPERLINK("http://comp.fnguide.com/SVO2/ASP/SVD_Consensus.asp?pGB=1&amp;gicode=A043220&amp;cID=&amp;MenuYn=Y&amp;ReportGB=&amp;NewMenuID=108&amp;stkGb=701", "에이치엘비파워")</f>
        <v>0</v>
      </c>
      <c r="C953">
        <v>0</v>
      </c>
      <c r="D953">
        <v>1325</v>
      </c>
      <c r="E953">
        <v>-4.92</v>
      </c>
      <c r="F953">
        <v>149.15</v>
      </c>
      <c r="G953">
        <v>85</v>
      </c>
      <c r="H953">
        <v>263</v>
      </c>
      <c r="I953">
        <v>313</v>
      </c>
      <c r="J953">
        <v>93.58</v>
      </c>
      <c r="K953">
        <v>80.17</v>
      </c>
      <c r="L953">
        <v>76.34999999999999</v>
      </c>
      <c r="M953">
        <v>1.78</v>
      </c>
      <c r="N953" t="b">
        <v>1</v>
      </c>
      <c r="O953">
        <v>11</v>
      </c>
      <c r="P953" t="s">
        <v>966</v>
      </c>
      <c r="Q953" t="s">
        <v>3105</v>
      </c>
      <c r="R953">
        <v>-30.29999999999999</v>
      </c>
      <c r="S953">
        <v>1207</v>
      </c>
      <c r="T953">
        <v>1230092</v>
      </c>
      <c r="U953" t="s">
        <v>4938</v>
      </c>
      <c r="V953">
        <v>15.48</v>
      </c>
      <c r="W953" t="s">
        <v>7156</v>
      </c>
      <c r="X953" t="s">
        <v>9265</v>
      </c>
      <c r="Y953">
        <v>427</v>
      </c>
      <c r="Z953">
        <v>34</v>
      </c>
    </row>
    <row r="954" spans="1:28">
      <c r="A954" s="2">
        <f>HYPERLINK("https://finance.naver.com/item/coinfo.nhn?code=145020", "A145020")</f>
        <v>0</v>
      </c>
      <c r="B954">
        <f>HYPERLINK("http://comp.fnguide.com/SVO2/ASP/SVD_Consensus.asp?pGB=1&amp;gicode=A145020&amp;cID=&amp;MenuYn=Y&amp;ReportGB=&amp;NewMenuID=108&amp;stkGb=701", "휴젤")</f>
        <v>0</v>
      </c>
      <c r="C954">
        <v>0</v>
      </c>
      <c r="D954">
        <v>188000</v>
      </c>
      <c r="E954">
        <v>-5.37</v>
      </c>
      <c r="F954">
        <v>41.78</v>
      </c>
      <c r="G954">
        <v>62724</v>
      </c>
      <c r="H954">
        <v>58592</v>
      </c>
      <c r="I954">
        <v>57414</v>
      </c>
      <c r="J954">
        <v>66.64</v>
      </c>
      <c r="K954">
        <v>68.83</v>
      </c>
      <c r="L954">
        <v>69.45999999999999</v>
      </c>
      <c r="M954">
        <v>8.949999999999999</v>
      </c>
      <c r="N954" t="b">
        <v>1</v>
      </c>
      <c r="O954">
        <v>3246</v>
      </c>
      <c r="P954" t="s">
        <v>967</v>
      </c>
      <c r="Q954" t="s">
        <v>3106</v>
      </c>
      <c r="R954">
        <v>-7.782228777668642</v>
      </c>
      <c r="S954">
        <v>23820</v>
      </c>
      <c r="T954">
        <v>257875</v>
      </c>
      <c r="U954" t="s">
        <v>4939</v>
      </c>
      <c r="V954">
        <v>43.73</v>
      </c>
      <c r="W954" t="s">
        <v>7157</v>
      </c>
      <c r="X954" t="s">
        <v>9266</v>
      </c>
      <c r="Y954">
        <v>2046</v>
      </c>
      <c r="Z954">
        <v>681</v>
      </c>
      <c r="AA954">
        <v>144580</v>
      </c>
    </row>
    <row r="955" spans="1:28">
      <c r="A955" s="2">
        <f>HYPERLINK("https://finance.naver.com/item/coinfo.nhn?code=353070", "A353070")</f>
        <v>0</v>
      </c>
      <c r="B955">
        <f>HYPERLINK("http://comp.fnguide.com/SVO2/ASP/SVD_Consensus.asp?pGB=1&amp;gicode=A353070&amp;cID=&amp;MenuYn=Y&amp;ReportGB=&amp;NewMenuID=108&amp;stkGb=701", "에이치엠씨제4호스팩")</f>
        <v>0</v>
      </c>
      <c r="C955">
        <v>0</v>
      </c>
      <c r="D955">
        <v>2025</v>
      </c>
      <c r="E955">
        <v>0</v>
      </c>
      <c r="M955">
        <v>0</v>
      </c>
      <c r="N955" t="b">
        <v>0</v>
      </c>
      <c r="P955" t="s">
        <v>968</v>
      </c>
      <c r="Q955" t="s">
        <v>3026</v>
      </c>
      <c r="R955">
        <v>17.65699495895263</v>
      </c>
      <c r="S955">
        <v>87</v>
      </c>
      <c r="T955">
        <v>10</v>
      </c>
      <c r="U955" t="s">
        <v>968</v>
      </c>
      <c r="V955">
        <v>7.97</v>
      </c>
      <c r="W955" t="s">
        <v>968</v>
      </c>
      <c r="X955" t="s">
        <v>968</v>
      </c>
    </row>
    <row r="956" spans="1:28">
      <c r="A956" s="2">
        <f>HYPERLINK("https://finance.naver.com/item/coinfo.nhn?code=102120", "A102120")</f>
        <v>0</v>
      </c>
      <c r="B956">
        <f>HYPERLINK("http://comp.fnguide.com/SVO2/ASP/SVD_Consensus.asp?pGB=1&amp;gicode=A102120&amp;cID=&amp;MenuYn=Y&amp;ReportGB=&amp;NewMenuID=108&amp;stkGb=701", "어보브반도체")</f>
        <v>0</v>
      </c>
      <c r="C956">
        <v>0</v>
      </c>
      <c r="D956">
        <v>12500</v>
      </c>
      <c r="E956">
        <v>0.17</v>
      </c>
      <c r="F956">
        <v>9.26</v>
      </c>
      <c r="G956">
        <v>7950</v>
      </c>
      <c r="H956">
        <v>6484</v>
      </c>
      <c r="I956">
        <v>6066</v>
      </c>
      <c r="J956">
        <v>36.4</v>
      </c>
      <c r="K956">
        <v>48.13</v>
      </c>
      <c r="L956">
        <v>51.47</v>
      </c>
      <c r="M956">
        <v>11.5</v>
      </c>
      <c r="N956" t="b">
        <v>1</v>
      </c>
      <c r="O956">
        <v>766</v>
      </c>
      <c r="P956" t="s">
        <v>969</v>
      </c>
      <c r="Q956" t="s">
        <v>3107</v>
      </c>
      <c r="R956">
        <v>53.38178096777857</v>
      </c>
      <c r="S956">
        <v>2182</v>
      </c>
      <c r="T956">
        <v>1970999</v>
      </c>
      <c r="U956" t="s">
        <v>4940</v>
      </c>
      <c r="V956">
        <v>23.2</v>
      </c>
      <c r="W956" t="s">
        <v>7158</v>
      </c>
      <c r="X956" t="s">
        <v>9267</v>
      </c>
      <c r="Y956">
        <v>1268</v>
      </c>
      <c r="Z956">
        <v>139</v>
      </c>
      <c r="AA956">
        <v>1070837</v>
      </c>
      <c r="AB956">
        <v>2.82</v>
      </c>
    </row>
    <row r="957" spans="1:28">
      <c r="A957" s="2">
        <f>HYPERLINK("https://finance.naver.com/item/coinfo.nhn?code=018620", "A018620")</f>
        <v>0</v>
      </c>
      <c r="B957">
        <f>HYPERLINK("http://comp.fnguide.com/SVO2/ASP/SVD_Consensus.asp?pGB=1&amp;gicode=A018620&amp;cID=&amp;MenuYn=Y&amp;ReportGB=&amp;NewMenuID=108&amp;stkGb=701", "우진비앤지")</f>
        <v>0</v>
      </c>
      <c r="C957">
        <v>0</v>
      </c>
      <c r="D957">
        <v>3080</v>
      </c>
      <c r="G957">
        <v>0</v>
      </c>
      <c r="H957">
        <v>594</v>
      </c>
      <c r="I957">
        <v>764</v>
      </c>
      <c r="J957">
        <v>100</v>
      </c>
      <c r="K957">
        <v>80.7</v>
      </c>
      <c r="L957">
        <v>75.2</v>
      </c>
      <c r="M957">
        <v>0</v>
      </c>
      <c r="N957" t="b">
        <v>0</v>
      </c>
      <c r="O957">
        <v>-512</v>
      </c>
      <c r="P957" t="s">
        <v>970</v>
      </c>
      <c r="Q957" t="s">
        <v>3108</v>
      </c>
      <c r="R957">
        <v>-51</v>
      </c>
      <c r="S957">
        <v>850</v>
      </c>
      <c r="T957">
        <v>1055146</v>
      </c>
      <c r="U957" t="s">
        <v>4941</v>
      </c>
      <c r="V957">
        <v>23.1</v>
      </c>
      <c r="W957" t="s">
        <v>7159</v>
      </c>
      <c r="X957" t="s">
        <v>968</v>
      </c>
      <c r="Y957">
        <v>336</v>
      </c>
      <c r="Z957">
        <v>-16</v>
      </c>
      <c r="AA957">
        <v>2122</v>
      </c>
    </row>
    <row r="958" spans="1:28">
      <c r="A958" s="2">
        <f>HYPERLINK("https://finance.naver.com/item/coinfo.nhn?code=238120", "A238120")</f>
        <v>0</v>
      </c>
      <c r="B958">
        <f>HYPERLINK("http://comp.fnguide.com/SVO2/ASP/SVD_Consensus.asp?pGB=1&amp;gicode=A238120&amp;cID=&amp;MenuYn=Y&amp;ReportGB=&amp;NewMenuID=108&amp;stkGb=701", "얼라인드")</f>
        <v>0</v>
      </c>
      <c r="C958">
        <v>0</v>
      </c>
      <c r="D958">
        <v>10350</v>
      </c>
      <c r="E958">
        <v>0</v>
      </c>
      <c r="F958">
        <v>417.49</v>
      </c>
      <c r="G958">
        <v>103</v>
      </c>
      <c r="H958">
        <v>1796</v>
      </c>
      <c r="I958">
        <v>2278</v>
      </c>
      <c r="J958">
        <v>99.01000000000001</v>
      </c>
      <c r="K958">
        <v>82.65000000000001</v>
      </c>
      <c r="L958">
        <v>77.98999999999999</v>
      </c>
      <c r="M958">
        <v>0.28</v>
      </c>
      <c r="N958" t="b">
        <v>0</v>
      </c>
      <c r="O958">
        <v>16</v>
      </c>
      <c r="P958" t="s">
        <v>971</v>
      </c>
      <c r="Q958" t="s">
        <v>2276</v>
      </c>
      <c r="R958">
        <v>0</v>
      </c>
      <c r="S958">
        <v>744</v>
      </c>
      <c r="T958">
        <v>79571</v>
      </c>
      <c r="U958" t="s">
        <v>4942</v>
      </c>
      <c r="V958">
        <v>42.02</v>
      </c>
      <c r="W958" t="s">
        <v>7160</v>
      </c>
      <c r="X958" t="s">
        <v>9268</v>
      </c>
      <c r="Y958">
        <v>78</v>
      </c>
      <c r="Z958">
        <v>-4</v>
      </c>
    </row>
    <row r="959" spans="1:28">
      <c r="A959" s="2">
        <f>HYPERLINK("https://finance.naver.com/item/coinfo.nhn?code=019990", "A019990")</f>
        <v>0</v>
      </c>
      <c r="B959">
        <f>HYPERLINK("http://comp.fnguide.com/SVO2/ASP/SVD_Consensus.asp?pGB=1&amp;gicode=A019990&amp;cID=&amp;MenuYn=Y&amp;ReportGB=&amp;NewMenuID=108&amp;stkGb=701", "에너토크")</f>
        <v>0</v>
      </c>
      <c r="C959">
        <v>0</v>
      </c>
      <c r="D959">
        <v>4225</v>
      </c>
      <c r="E959">
        <v>-2.12</v>
      </c>
      <c r="F959">
        <v>69.47</v>
      </c>
      <c r="G959">
        <v>986</v>
      </c>
      <c r="H959">
        <v>2952</v>
      </c>
      <c r="I959">
        <v>3512</v>
      </c>
      <c r="J959">
        <v>76.65000000000001</v>
      </c>
      <c r="K959">
        <v>30.14</v>
      </c>
      <c r="L959">
        <v>16.89</v>
      </c>
      <c r="M959">
        <v>1.85</v>
      </c>
      <c r="N959" t="b">
        <v>1</v>
      </c>
      <c r="O959">
        <v>50</v>
      </c>
      <c r="P959" t="s">
        <v>972</v>
      </c>
      <c r="Q959" t="s">
        <v>3109</v>
      </c>
      <c r="R959">
        <v>-32.78050270835979</v>
      </c>
      <c r="S959">
        <v>412</v>
      </c>
      <c r="T959">
        <v>107361</v>
      </c>
      <c r="U959" t="s">
        <v>4943</v>
      </c>
      <c r="V959">
        <v>24.51</v>
      </c>
      <c r="W959" t="s">
        <v>7161</v>
      </c>
      <c r="X959" t="s">
        <v>9269</v>
      </c>
      <c r="Y959">
        <v>235</v>
      </c>
      <c r="Z959">
        <v>2</v>
      </c>
      <c r="AA959">
        <v>336671</v>
      </c>
      <c r="AB959">
        <v>1.44</v>
      </c>
    </row>
    <row r="960" spans="1:28">
      <c r="A960" s="2">
        <f>HYPERLINK("https://finance.naver.com/item/coinfo.nhn?code=038680", "A038680")</f>
        <v>0</v>
      </c>
      <c r="B960">
        <f>HYPERLINK("http://comp.fnguide.com/SVO2/ASP/SVD_Consensus.asp?pGB=1&amp;gicode=A038680&amp;cID=&amp;MenuYn=Y&amp;ReportGB=&amp;NewMenuID=108&amp;stkGb=701", "에스넷")</f>
        <v>0</v>
      </c>
      <c r="C960">
        <v>0</v>
      </c>
      <c r="D960">
        <v>6700</v>
      </c>
      <c r="E960">
        <v>0.17</v>
      </c>
      <c r="F960">
        <v>18.48</v>
      </c>
      <c r="G960">
        <v>4251</v>
      </c>
      <c r="H960">
        <v>4663</v>
      </c>
      <c r="I960">
        <v>4780</v>
      </c>
      <c r="J960">
        <v>36.55</v>
      </c>
      <c r="K960">
        <v>30.41</v>
      </c>
      <c r="L960">
        <v>28.65</v>
      </c>
      <c r="M960">
        <v>6.86</v>
      </c>
      <c r="N960" t="b">
        <v>1</v>
      </c>
      <c r="O960">
        <v>377</v>
      </c>
      <c r="P960" t="s">
        <v>973</v>
      </c>
      <c r="Q960" t="s">
        <v>3110</v>
      </c>
      <c r="R960">
        <v>106.8255061640126</v>
      </c>
      <c r="S960">
        <v>1077</v>
      </c>
      <c r="T960">
        <v>214525</v>
      </c>
      <c r="U960" t="s">
        <v>4944</v>
      </c>
      <c r="V960">
        <v>26.03</v>
      </c>
      <c r="W960" t="s">
        <v>7162</v>
      </c>
      <c r="X960" t="s">
        <v>9270</v>
      </c>
      <c r="Y960">
        <v>3168</v>
      </c>
      <c r="Z960">
        <v>78</v>
      </c>
      <c r="AA960">
        <v>1510000</v>
      </c>
      <c r="AB960">
        <v>1.72</v>
      </c>
    </row>
    <row r="961" spans="1:28">
      <c r="A961" s="2">
        <f>HYPERLINK("https://finance.naver.com/item/coinfo.nhn?code=071670", "A071670")</f>
        <v>0</v>
      </c>
      <c r="B961">
        <f>HYPERLINK("http://comp.fnguide.com/SVO2/ASP/SVD_Consensus.asp?pGB=1&amp;gicode=A071670&amp;cID=&amp;MenuYn=Y&amp;ReportGB=&amp;NewMenuID=108&amp;stkGb=701", "에이테크솔루션")</f>
        <v>0</v>
      </c>
      <c r="C961">
        <v>0</v>
      </c>
      <c r="D961">
        <v>10100</v>
      </c>
      <c r="E961">
        <v>0.66</v>
      </c>
      <c r="F961">
        <v>51.35</v>
      </c>
      <c r="G961">
        <v>1187</v>
      </c>
      <c r="H961">
        <v>4760</v>
      </c>
      <c r="I961">
        <v>5778</v>
      </c>
      <c r="J961">
        <v>88.23999999999999</v>
      </c>
      <c r="K961">
        <v>52.88</v>
      </c>
      <c r="L961">
        <v>42.8</v>
      </c>
      <c r="M961">
        <v>1.33</v>
      </c>
      <c r="N961" t="b">
        <v>1</v>
      </c>
      <c r="O961">
        <v>144</v>
      </c>
      <c r="P961" t="s">
        <v>974</v>
      </c>
      <c r="Q961" t="s">
        <v>3111</v>
      </c>
      <c r="R961">
        <v>77.60039414370678</v>
      </c>
      <c r="S961">
        <v>1010</v>
      </c>
      <c r="T961">
        <v>150148</v>
      </c>
      <c r="U961" t="s">
        <v>4945</v>
      </c>
      <c r="V961">
        <v>33.34</v>
      </c>
      <c r="W961" t="s">
        <v>7163</v>
      </c>
      <c r="X961" t="s">
        <v>9271</v>
      </c>
      <c r="Y961">
        <v>2282</v>
      </c>
      <c r="Z961">
        <v>28</v>
      </c>
      <c r="AA961">
        <v>172240</v>
      </c>
    </row>
    <row r="962" spans="1:28">
      <c r="A962" s="2">
        <f>HYPERLINK("https://finance.naver.com/item/coinfo.nhn?code=061250", "A061250")</f>
        <v>0</v>
      </c>
      <c r="B962">
        <f>HYPERLINK("http://comp.fnguide.com/SVO2/ASP/SVD_Consensus.asp?pGB=1&amp;gicode=A061250&amp;cID=&amp;MenuYn=Y&amp;ReportGB=&amp;NewMenuID=108&amp;stkGb=701", "화일약품")</f>
        <v>0</v>
      </c>
      <c r="C962">
        <v>0</v>
      </c>
      <c r="D962">
        <v>12100</v>
      </c>
      <c r="E962">
        <v>-2.81</v>
      </c>
      <c r="F962">
        <v>29.59</v>
      </c>
      <c r="G962">
        <v>2919</v>
      </c>
      <c r="H962">
        <v>5059</v>
      </c>
      <c r="I962">
        <v>5669</v>
      </c>
      <c r="J962">
        <v>75.87</v>
      </c>
      <c r="K962">
        <v>58.19</v>
      </c>
      <c r="L962">
        <v>53.15</v>
      </c>
      <c r="M962">
        <v>3.59</v>
      </c>
      <c r="N962" t="b">
        <v>1</v>
      </c>
      <c r="O962">
        <v>221</v>
      </c>
      <c r="P962" t="s">
        <v>975</v>
      </c>
      <c r="Q962" t="s">
        <v>3112</v>
      </c>
      <c r="R962">
        <v>-10.53797293721344</v>
      </c>
      <c r="S962">
        <v>2337</v>
      </c>
      <c r="T962">
        <v>2069966</v>
      </c>
      <c r="U962" t="s">
        <v>4946</v>
      </c>
      <c r="V962">
        <v>31.09</v>
      </c>
      <c r="W962" t="s">
        <v>7164</v>
      </c>
      <c r="X962" t="s">
        <v>9272</v>
      </c>
      <c r="Y962">
        <v>1087</v>
      </c>
      <c r="Z962">
        <v>41</v>
      </c>
      <c r="AA962">
        <v>888057</v>
      </c>
      <c r="AB962">
        <v>1.91</v>
      </c>
    </row>
    <row r="963" spans="1:28">
      <c r="A963" s="2">
        <f>HYPERLINK("https://finance.naver.com/item/coinfo.nhn?code=217480", "A217480")</f>
        <v>0</v>
      </c>
      <c r="B963">
        <f>HYPERLINK("http://comp.fnguide.com/SVO2/ASP/SVD_Consensus.asp?pGB=1&amp;gicode=A217480&amp;cID=&amp;MenuYn=Y&amp;ReportGB=&amp;NewMenuID=108&amp;stkGb=701", "에스디생명공학")</f>
        <v>0</v>
      </c>
      <c r="C963">
        <v>0</v>
      </c>
      <c r="D963">
        <v>5350</v>
      </c>
      <c r="G963">
        <v>2502</v>
      </c>
      <c r="H963">
        <v>3430</v>
      </c>
      <c r="I963">
        <v>3694</v>
      </c>
      <c r="J963">
        <v>53.23</v>
      </c>
      <c r="K963">
        <v>35.89</v>
      </c>
      <c r="L963">
        <v>30.95</v>
      </c>
      <c r="M963">
        <v>4.93</v>
      </c>
      <c r="N963" t="b">
        <v>0</v>
      </c>
      <c r="O963">
        <v>-808</v>
      </c>
      <c r="P963" t="s">
        <v>976</v>
      </c>
      <c r="Q963" t="s">
        <v>3113</v>
      </c>
      <c r="R963">
        <v>-35.11311190864441</v>
      </c>
      <c r="S963">
        <v>1199</v>
      </c>
      <c r="T963">
        <v>127239</v>
      </c>
      <c r="U963" t="s">
        <v>4947</v>
      </c>
      <c r="V963">
        <v>55.96</v>
      </c>
      <c r="W963" t="s">
        <v>7165</v>
      </c>
      <c r="X963" t="s">
        <v>9273</v>
      </c>
      <c r="Y963">
        <v>1563</v>
      </c>
      <c r="Z963">
        <v>-164</v>
      </c>
    </row>
    <row r="964" spans="1:28">
      <c r="A964" s="2">
        <f>HYPERLINK("https://finance.naver.com/item/coinfo.nhn?code=121890", "A121890")</f>
        <v>0</v>
      </c>
      <c r="B964">
        <f>HYPERLINK("http://comp.fnguide.com/SVO2/ASP/SVD_Consensus.asp?pGB=1&amp;gicode=A121890&amp;cID=&amp;MenuYn=Y&amp;ReportGB=&amp;NewMenuID=108&amp;stkGb=701", "에스디시스템")</f>
        <v>0</v>
      </c>
      <c r="C964">
        <v>0</v>
      </c>
      <c r="D964">
        <v>739</v>
      </c>
      <c r="E964">
        <v>0</v>
      </c>
      <c r="G964">
        <v>0</v>
      </c>
      <c r="H964">
        <v>575</v>
      </c>
      <c r="I964">
        <v>739</v>
      </c>
      <c r="J964">
        <v>100</v>
      </c>
      <c r="K964">
        <v>22.16</v>
      </c>
      <c r="L964">
        <v>-0.02</v>
      </c>
      <c r="M964">
        <v>0</v>
      </c>
      <c r="N964" t="b">
        <v>0</v>
      </c>
      <c r="O964">
        <v>-1187</v>
      </c>
      <c r="P964" t="s">
        <v>977</v>
      </c>
      <c r="Q964" t="s">
        <v>2276</v>
      </c>
      <c r="R964">
        <v>0</v>
      </c>
      <c r="S964">
        <v>71</v>
      </c>
      <c r="T964">
        <v>0</v>
      </c>
      <c r="U964" t="s">
        <v>4948</v>
      </c>
      <c r="V964">
        <v>13.62</v>
      </c>
      <c r="W964" t="s">
        <v>7166</v>
      </c>
      <c r="X964" t="s">
        <v>968</v>
      </c>
      <c r="Y964">
        <v>381</v>
      </c>
      <c r="Z964">
        <v>-40</v>
      </c>
    </row>
    <row r="965" spans="1:28">
      <c r="A965" s="2">
        <f>HYPERLINK("https://finance.naver.com/item/coinfo.nhn?code=097780", "A097780")</f>
        <v>0</v>
      </c>
      <c r="B965">
        <f>HYPERLINK("http://comp.fnguide.com/SVO2/ASP/SVD_Consensus.asp?pGB=1&amp;gicode=A097780&amp;cID=&amp;MenuYn=Y&amp;ReportGB=&amp;NewMenuID=108&amp;stkGb=701", "에스맥")</f>
        <v>0</v>
      </c>
      <c r="C965">
        <v>0</v>
      </c>
      <c r="D965">
        <v>1800</v>
      </c>
      <c r="G965">
        <v>261</v>
      </c>
      <c r="H965">
        <v>617</v>
      </c>
      <c r="I965">
        <v>718</v>
      </c>
      <c r="J965">
        <v>85.51000000000001</v>
      </c>
      <c r="K965">
        <v>65.72</v>
      </c>
      <c r="L965">
        <v>60.09</v>
      </c>
      <c r="M965">
        <v>2.44</v>
      </c>
      <c r="N965" t="b">
        <v>0</v>
      </c>
      <c r="O965">
        <v>-64</v>
      </c>
      <c r="P965" t="s">
        <v>978</v>
      </c>
      <c r="Q965" t="s">
        <v>3114</v>
      </c>
      <c r="R965">
        <v>66.25967641012657</v>
      </c>
      <c r="S965">
        <v>4701</v>
      </c>
      <c r="T965">
        <v>6567265</v>
      </c>
      <c r="U965" t="s">
        <v>4949</v>
      </c>
      <c r="V965">
        <v>13.44</v>
      </c>
      <c r="W965" t="s">
        <v>7167</v>
      </c>
      <c r="X965" t="s">
        <v>9274</v>
      </c>
      <c r="Y965">
        <v>1680</v>
      </c>
      <c r="Z965">
        <v>107</v>
      </c>
      <c r="AA965">
        <v>2000000</v>
      </c>
    </row>
    <row r="966" spans="1:28">
      <c r="A966" s="2">
        <f>HYPERLINK("https://finance.naver.com/item/coinfo.nhn?code=073070", "A073070")</f>
        <v>0</v>
      </c>
      <c r="B966">
        <f>HYPERLINK("http://comp.fnguide.com/SVO2/ASP/SVD_Consensus.asp?pGB=1&amp;gicode=A073070&amp;cID=&amp;MenuYn=Y&amp;ReportGB=&amp;NewMenuID=108&amp;stkGb=701", "에스모")</f>
        <v>0</v>
      </c>
      <c r="C966">
        <v>0</v>
      </c>
      <c r="D966">
        <v>407</v>
      </c>
      <c r="G966">
        <v>84</v>
      </c>
      <c r="H966">
        <v>223</v>
      </c>
      <c r="I966">
        <v>262</v>
      </c>
      <c r="J966">
        <v>79.44</v>
      </c>
      <c r="K966">
        <v>45.31</v>
      </c>
      <c r="L966">
        <v>35.59</v>
      </c>
      <c r="M966">
        <v>2.12</v>
      </c>
      <c r="N966" t="b">
        <v>0</v>
      </c>
      <c r="O966">
        <v>-612</v>
      </c>
      <c r="P966" t="s">
        <v>979</v>
      </c>
      <c r="Q966" t="s">
        <v>3115</v>
      </c>
      <c r="R966">
        <v>48.09783928200977</v>
      </c>
      <c r="S966">
        <v>540</v>
      </c>
      <c r="T966">
        <v>0</v>
      </c>
      <c r="U966" t="s">
        <v>4950</v>
      </c>
      <c r="V966">
        <v>5.26</v>
      </c>
      <c r="W966" t="s">
        <v>7168</v>
      </c>
      <c r="X966" t="s">
        <v>9275</v>
      </c>
      <c r="Y966">
        <v>506</v>
      </c>
      <c r="Z966">
        <v>-88</v>
      </c>
    </row>
    <row r="967" spans="1:28">
      <c r="A967" s="2">
        <f>HYPERLINK("https://finance.naver.com/item/coinfo.nhn?code=087730", "A087730")</f>
        <v>0</v>
      </c>
      <c r="B967">
        <f>HYPERLINK("http://comp.fnguide.com/SVO2/ASP/SVD_Consensus.asp?pGB=1&amp;gicode=A087730&amp;cID=&amp;MenuYn=Y&amp;ReportGB=&amp;NewMenuID=108&amp;stkGb=701", "에스모 머티리얼즈")</f>
        <v>0</v>
      </c>
      <c r="C967">
        <v>0</v>
      </c>
      <c r="D967">
        <v>2720</v>
      </c>
      <c r="E967">
        <v>0</v>
      </c>
      <c r="G967">
        <v>0</v>
      </c>
      <c r="H967">
        <v>172</v>
      </c>
      <c r="I967">
        <v>221</v>
      </c>
      <c r="J967">
        <v>100</v>
      </c>
      <c r="K967">
        <v>93.67</v>
      </c>
      <c r="L967">
        <v>91.86</v>
      </c>
      <c r="M967">
        <v>0</v>
      </c>
      <c r="N967" t="b">
        <v>0</v>
      </c>
      <c r="O967">
        <v>-16577</v>
      </c>
      <c r="P967" t="s">
        <v>980</v>
      </c>
      <c r="Q967" t="s">
        <v>2276</v>
      </c>
      <c r="R967">
        <v>0</v>
      </c>
      <c r="S967">
        <v>266</v>
      </c>
      <c r="T967">
        <v>0</v>
      </c>
      <c r="U967" t="s">
        <v>4951</v>
      </c>
      <c r="V967">
        <v>23.58</v>
      </c>
      <c r="W967" t="s">
        <v>7169</v>
      </c>
      <c r="X967" t="s">
        <v>968</v>
      </c>
      <c r="Y967">
        <v>130</v>
      </c>
      <c r="Z967">
        <v>-87</v>
      </c>
    </row>
    <row r="968" spans="1:28">
      <c r="A968" s="2">
        <f>HYPERLINK("https://finance.naver.com/item/coinfo.nhn?code=064240", "A064240")</f>
        <v>0</v>
      </c>
      <c r="B968">
        <f>HYPERLINK("http://comp.fnguide.com/SVO2/ASP/SVD_Consensus.asp?pGB=1&amp;gicode=A064240&amp;cID=&amp;MenuYn=Y&amp;ReportGB=&amp;NewMenuID=108&amp;stkGb=701", "홈캐스트")</f>
        <v>0</v>
      </c>
      <c r="C968">
        <v>0</v>
      </c>
      <c r="D968">
        <v>3240</v>
      </c>
      <c r="G968">
        <v>0</v>
      </c>
      <c r="H968">
        <v>1282</v>
      </c>
      <c r="I968">
        <v>1648</v>
      </c>
      <c r="J968">
        <v>100</v>
      </c>
      <c r="K968">
        <v>60.42</v>
      </c>
      <c r="L968">
        <v>49.14</v>
      </c>
      <c r="M968">
        <v>0</v>
      </c>
      <c r="N968" t="b">
        <v>0</v>
      </c>
      <c r="O968">
        <v>-305</v>
      </c>
      <c r="P968" t="s">
        <v>981</v>
      </c>
      <c r="Q968" t="s">
        <v>3116</v>
      </c>
      <c r="R968">
        <v>52.89999999999999</v>
      </c>
      <c r="S968">
        <v>1072</v>
      </c>
      <c r="T968">
        <v>360446</v>
      </c>
      <c r="U968" t="s">
        <v>4952</v>
      </c>
      <c r="V968">
        <v>10.89</v>
      </c>
      <c r="W968" t="s">
        <v>7170</v>
      </c>
      <c r="X968" t="s">
        <v>968</v>
      </c>
      <c r="Y968">
        <v>528</v>
      </c>
      <c r="Z968">
        <v>-89</v>
      </c>
      <c r="AA968">
        <v>343761</v>
      </c>
    </row>
    <row r="969" spans="1:28">
      <c r="A969" s="2">
        <f>HYPERLINK("https://finance.naver.com/item/coinfo.nhn?code=045660", "A045660")</f>
        <v>0</v>
      </c>
      <c r="B969">
        <f>HYPERLINK("http://comp.fnguide.com/SVO2/ASP/SVD_Consensus.asp?pGB=1&amp;gicode=A045660&amp;cID=&amp;MenuYn=Y&amp;ReportGB=&amp;NewMenuID=108&amp;stkGb=701", "에이텍")</f>
        <v>0</v>
      </c>
      <c r="C969">
        <v>0</v>
      </c>
      <c r="D969">
        <v>31800</v>
      </c>
      <c r="E969">
        <v>2.18</v>
      </c>
      <c r="F969">
        <v>11.83</v>
      </c>
      <c r="G969">
        <v>12883</v>
      </c>
      <c r="H969">
        <v>10742</v>
      </c>
      <c r="I969">
        <v>10131</v>
      </c>
      <c r="J969">
        <v>59.49</v>
      </c>
      <c r="K969">
        <v>66.22</v>
      </c>
      <c r="L969">
        <v>68.14</v>
      </c>
      <c r="M969">
        <v>11.02</v>
      </c>
      <c r="N969" t="b">
        <v>1</v>
      </c>
      <c r="O969">
        <v>777</v>
      </c>
      <c r="P969" t="s">
        <v>982</v>
      </c>
      <c r="Q969" t="s">
        <v>3117</v>
      </c>
      <c r="R969">
        <v>5.422666409046917</v>
      </c>
      <c r="S969">
        <v>2627</v>
      </c>
      <c r="T969">
        <v>3792181</v>
      </c>
      <c r="U969" t="s">
        <v>4953</v>
      </c>
      <c r="V969">
        <v>26.8</v>
      </c>
      <c r="W969" t="s">
        <v>7171</v>
      </c>
      <c r="X969" t="s">
        <v>9276</v>
      </c>
      <c r="Y969">
        <v>993</v>
      </c>
      <c r="Z969">
        <v>44</v>
      </c>
      <c r="AA969">
        <v>158097</v>
      </c>
      <c r="AB969">
        <v>1.09</v>
      </c>
    </row>
    <row r="970" spans="1:28">
      <c r="A970" s="2">
        <f>HYPERLINK("https://finance.naver.com/item/coinfo.nhn?code=042110", "A042110")</f>
        <v>0</v>
      </c>
      <c r="B970">
        <f>HYPERLINK("http://comp.fnguide.com/SVO2/ASP/SVD_Consensus.asp?pGB=1&amp;gicode=A042110&amp;cID=&amp;MenuYn=Y&amp;ReportGB=&amp;NewMenuID=108&amp;stkGb=701", "에스씨디")</f>
        <v>0</v>
      </c>
      <c r="C970">
        <v>0</v>
      </c>
      <c r="D970">
        <v>1935</v>
      </c>
      <c r="G970">
        <v>840</v>
      </c>
      <c r="H970">
        <v>1587</v>
      </c>
      <c r="I970">
        <v>1800</v>
      </c>
      <c r="J970">
        <v>56.59</v>
      </c>
      <c r="K970">
        <v>17.97</v>
      </c>
      <c r="L970">
        <v>6.97</v>
      </c>
      <c r="M970">
        <v>3.21</v>
      </c>
      <c r="N970" t="b">
        <v>0</v>
      </c>
      <c r="O970">
        <v>-21</v>
      </c>
      <c r="P970" t="s">
        <v>983</v>
      </c>
      <c r="Q970" t="s">
        <v>3118</v>
      </c>
      <c r="R970">
        <v>-12.27308616184509</v>
      </c>
      <c r="S970">
        <v>935</v>
      </c>
      <c r="T970">
        <v>8196794</v>
      </c>
      <c r="U970" t="s">
        <v>4954</v>
      </c>
      <c r="V970">
        <v>51.42</v>
      </c>
      <c r="W970" t="s">
        <v>7172</v>
      </c>
      <c r="X970" t="s">
        <v>9277</v>
      </c>
      <c r="Y970">
        <v>1749</v>
      </c>
      <c r="Z970">
        <v>35</v>
      </c>
      <c r="AB970">
        <v>1.14</v>
      </c>
    </row>
    <row r="971" spans="1:28">
      <c r="A971" s="2">
        <f>HYPERLINK("https://finance.naver.com/item/coinfo.nhn?code=089970", "A089970")</f>
        <v>0</v>
      </c>
      <c r="B971">
        <f>HYPERLINK("http://comp.fnguide.com/SVO2/ASP/SVD_Consensus.asp?pGB=1&amp;gicode=A089970&amp;cID=&amp;MenuYn=Y&amp;ReportGB=&amp;NewMenuID=108&amp;stkGb=701", "에이피티씨")</f>
        <v>0</v>
      </c>
      <c r="C971">
        <v>0</v>
      </c>
      <c r="D971">
        <v>15000</v>
      </c>
      <c r="E971">
        <v>-2.21</v>
      </c>
      <c r="F971">
        <v>12.37</v>
      </c>
      <c r="G971">
        <v>13027</v>
      </c>
      <c r="H971">
        <v>6853</v>
      </c>
      <c r="I971">
        <v>5094</v>
      </c>
      <c r="J971">
        <v>13.15</v>
      </c>
      <c r="K971">
        <v>54.31</v>
      </c>
      <c r="L971">
        <v>66.04000000000001</v>
      </c>
      <c r="M971">
        <v>37.73</v>
      </c>
      <c r="N971" t="b">
        <v>1</v>
      </c>
      <c r="O971">
        <v>609</v>
      </c>
      <c r="P971" t="s">
        <v>984</v>
      </c>
      <c r="Q971" t="s">
        <v>3119</v>
      </c>
      <c r="R971">
        <v>-5.594914130546814</v>
      </c>
      <c r="S971">
        <v>3535</v>
      </c>
      <c r="T971">
        <v>151254</v>
      </c>
      <c r="U971" t="s">
        <v>4955</v>
      </c>
      <c r="V971">
        <v>30.27</v>
      </c>
      <c r="W971" t="s">
        <v>7173</v>
      </c>
      <c r="X971" t="s">
        <v>9278</v>
      </c>
      <c r="Y971">
        <v>593</v>
      </c>
      <c r="Z971">
        <v>161</v>
      </c>
      <c r="AA971">
        <v>1943674</v>
      </c>
    </row>
    <row r="972" spans="1:28">
      <c r="A972" s="2">
        <f>HYPERLINK("https://finance.naver.com/item/coinfo.nhn?code=053660", "A053660")</f>
        <v>0</v>
      </c>
      <c r="B972">
        <f>HYPERLINK("http://comp.fnguide.com/SVO2/ASP/SVD_Consensus.asp?pGB=1&amp;gicode=A053660&amp;cID=&amp;MenuYn=Y&amp;ReportGB=&amp;NewMenuID=108&amp;stkGb=701", "현진소재")</f>
        <v>0</v>
      </c>
      <c r="C972">
        <v>0</v>
      </c>
      <c r="D972">
        <v>400</v>
      </c>
      <c r="E972">
        <v>0</v>
      </c>
      <c r="G972">
        <v>0</v>
      </c>
      <c r="H972">
        <v>-98.26676058418475</v>
      </c>
      <c r="I972">
        <v>-126.2676930781409</v>
      </c>
      <c r="J972">
        <v>100</v>
      </c>
      <c r="K972">
        <v>124.57</v>
      </c>
      <c r="L972">
        <v>131.57</v>
      </c>
      <c r="M972">
        <v>0</v>
      </c>
      <c r="N972" t="b">
        <v>0</v>
      </c>
      <c r="O972">
        <v>-1458</v>
      </c>
      <c r="P972" t="s">
        <v>985</v>
      </c>
      <c r="Q972" t="s">
        <v>2276</v>
      </c>
      <c r="R972">
        <v>0</v>
      </c>
      <c r="S972">
        <v>213</v>
      </c>
      <c r="T972">
        <v>0</v>
      </c>
      <c r="U972" t="s">
        <v>4956</v>
      </c>
      <c r="V972">
        <v>11.12</v>
      </c>
      <c r="W972" t="s">
        <v>7174</v>
      </c>
      <c r="X972" t="s">
        <v>968</v>
      </c>
      <c r="Y972">
        <v>1042</v>
      </c>
      <c r="Z972">
        <v>-311</v>
      </c>
      <c r="AA972">
        <v>6392</v>
      </c>
    </row>
    <row r="973" spans="1:28">
      <c r="A973" s="2">
        <f>HYPERLINK("https://finance.naver.com/item/coinfo.nhn?code=174900", "A174900")</f>
        <v>0</v>
      </c>
      <c r="B973">
        <f>HYPERLINK("http://comp.fnguide.com/SVO2/ASP/SVD_Consensus.asp?pGB=1&amp;gicode=A174900&amp;cID=&amp;MenuYn=Y&amp;ReportGB=&amp;NewMenuID=108&amp;stkGb=701", "앱클론")</f>
        <v>0</v>
      </c>
      <c r="C973">
        <v>0</v>
      </c>
      <c r="D973">
        <v>28000</v>
      </c>
      <c r="E973">
        <v>0</v>
      </c>
      <c r="F973">
        <v>112.65</v>
      </c>
      <c r="G973">
        <v>1464</v>
      </c>
      <c r="H973">
        <v>2062</v>
      </c>
      <c r="I973">
        <v>2233</v>
      </c>
      <c r="J973">
        <v>94.77</v>
      </c>
      <c r="K973">
        <v>92.63</v>
      </c>
      <c r="L973">
        <v>92.03</v>
      </c>
      <c r="M973">
        <v>4.75</v>
      </c>
      <c r="N973" t="b">
        <v>1</v>
      </c>
      <c r="O973">
        <v>178</v>
      </c>
      <c r="P973" t="s">
        <v>986</v>
      </c>
      <c r="Q973" t="s">
        <v>2276</v>
      </c>
      <c r="R973">
        <v>0</v>
      </c>
      <c r="S973">
        <v>4030</v>
      </c>
      <c r="T973">
        <v>211139</v>
      </c>
      <c r="U973" t="s">
        <v>4957</v>
      </c>
      <c r="V973">
        <v>18.25</v>
      </c>
      <c r="W973" t="s">
        <v>7175</v>
      </c>
      <c r="X973" t="s">
        <v>9279</v>
      </c>
      <c r="Y973">
        <v>144</v>
      </c>
      <c r="Z973">
        <v>43</v>
      </c>
    </row>
    <row r="974" spans="1:28">
      <c r="A974" s="2">
        <f>HYPERLINK("https://finance.naver.com/item/coinfo.nhn?code=038870", "A038870")</f>
        <v>0</v>
      </c>
      <c r="B974">
        <f>HYPERLINK("http://comp.fnguide.com/SVO2/ASP/SVD_Consensus.asp?pGB=1&amp;gicode=A038870&amp;cID=&amp;MenuYn=Y&amp;ReportGB=&amp;NewMenuID=108&amp;stkGb=701", "에코바이오")</f>
        <v>0</v>
      </c>
      <c r="C974">
        <v>0</v>
      </c>
      <c r="D974">
        <v>9760</v>
      </c>
      <c r="E974">
        <v>-0.57</v>
      </c>
      <c r="F974">
        <v>7.29</v>
      </c>
      <c r="G974">
        <v>4074</v>
      </c>
      <c r="H974">
        <v>4845</v>
      </c>
      <c r="I974">
        <v>5065</v>
      </c>
      <c r="J974">
        <v>58.26</v>
      </c>
      <c r="K974">
        <v>50.35</v>
      </c>
      <c r="L974">
        <v>48.1</v>
      </c>
      <c r="M974">
        <v>6.06</v>
      </c>
      <c r="N974" t="b">
        <v>0</v>
      </c>
      <c r="O974">
        <v>614</v>
      </c>
      <c r="P974" t="s">
        <v>987</v>
      </c>
      <c r="Q974" t="s">
        <v>3120</v>
      </c>
      <c r="R974">
        <v>-12.9</v>
      </c>
      <c r="S974">
        <v>1133</v>
      </c>
      <c r="T974">
        <v>285284</v>
      </c>
      <c r="U974" t="s">
        <v>4958</v>
      </c>
      <c r="V974">
        <v>39.54</v>
      </c>
      <c r="W974" t="s">
        <v>7176</v>
      </c>
      <c r="X974" t="s">
        <v>9280</v>
      </c>
      <c r="Y974">
        <v>173</v>
      </c>
      <c r="Z974">
        <v>10</v>
      </c>
      <c r="AA974">
        <v>2186</v>
      </c>
    </row>
    <row r="975" spans="1:28">
      <c r="A975" s="2">
        <f>HYPERLINK("https://finance.naver.com/item/coinfo.nhn?code=230360", "A230360")</f>
        <v>0</v>
      </c>
      <c r="B975">
        <f>HYPERLINK("http://comp.fnguide.com/SVO2/ASP/SVD_Consensus.asp?pGB=1&amp;gicode=A230360&amp;cID=&amp;MenuYn=Y&amp;ReportGB=&amp;NewMenuID=108&amp;stkGb=701", "에코마케팅")</f>
        <v>0</v>
      </c>
      <c r="C975">
        <v>0</v>
      </c>
      <c r="D975">
        <v>24300</v>
      </c>
      <c r="E975">
        <v>0.41</v>
      </c>
      <c r="F975">
        <v>16.52</v>
      </c>
      <c r="G975">
        <v>10142</v>
      </c>
      <c r="H975">
        <v>6020</v>
      </c>
      <c r="I975">
        <v>4845</v>
      </c>
      <c r="J975">
        <v>58.26</v>
      </c>
      <c r="K975">
        <v>75.23</v>
      </c>
      <c r="L975">
        <v>80.06</v>
      </c>
      <c r="M975">
        <v>24.64</v>
      </c>
      <c r="N975" t="b">
        <v>0</v>
      </c>
      <c r="O975">
        <v>974</v>
      </c>
      <c r="P975" t="s">
        <v>988</v>
      </c>
      <c r="Q975" t="s">
        <v>3121</v>
      </c>
      <c r="R975">
        <v>40.21576381578203</v>
      </c>
      <c r="S975">
        <v>7902</v>
      </c>
      <c r="T975">
        <v>234705</v>
      </c>
      <c r="U975" t="s">
        <v>4959</v>
      </c>
      <c r="V975">
        <v>50.75</v>
      </c>
      <c r="W975" t="s">
        <v>7177</v>
      </c>
      <c r="X975" t="s">
        <v>9281</v>
      </c>
      <c r="Y975">
        <v>1114</v>
      </c>
      <c r="Z975">
        <v>378</v>
      </c>
      <c r="AB975">
        <v>2.08</v>
      </c>
    </row>
    <row r="976" spans="1:28">
      <c r="A976" s="2">
        <f>HYPERLINK("https://finance.naver.com/item/coinfo.nhn?code=064510", "A064510")</f>
        <v>0</v>
      </c>
      <c r="B976">
        <f>HYPERLINK("http://comp.fnguide.com/SVO2/ASP/SVD_Consensus.asp?pGB=1&amp;gicode=A064510&amp;cID=&amp;MenuYn=Y&amp;ReportGB=&amp;NewMenuID=108&amp;stkGb=701", "에코마이스터")</f>
        <v>0</v>
      </c>
      <c r="C976">
        <v>0</v>
      </c>
      <c r="D976">
        <v>1575</v>
      </c>
      <c r="G976">
        <v>0</v>
      </c>
      <c r="H976">
        <v>293</v>
      </c>
      <c r="I976">
        <v>376</v>
      </c>
      <c r="J976">
        <v>100</v>
      </c>
      <c r="K976">
        <v>81.41</v>
      </c>
      <c r="L976">
        <v>76.12</v>
      </c>
      <c r="M976">
        <v>0</v>
      </c>
      <c r="N976" t="b">
        <v>0</v>
      </c>
      <c r="O976">
        <v>-638</v>
      </c>
      <c r="P976" t="s">
        <v>989</v>
      </c>
      <c r="Q976" t="s">
        <v>3122</v>
      </c>
      <c r="R976">
        <v>-80.2</v>
      </c>
      <c r="S976">
        <v>420</v>
      </c>
      <c r="T976">
        <v>393856</v>
      </c>
      <c r="U976" t="s">
        <v>4960</v>
      </c>
      <c r="V976">
        <v>5.31</v>
      </c>
      <c r="W976" t="s">
        <v>7178</v>
      </c>
      <c r="X976" t="s">
        <v>968</v>
      </c>
      <c r="Y976">
        <v>187</v>
      </c>
      <c r="Z976">
        <v>-18</v>
      </c>
      <c r="AA976">
        <v>12000</v>
      </c>
    </row>
    <row r="977" spans="1:28">
      <c r="A977" s="2">
        <f>HYPERLINK("https://finance.naver.com/item/coinfo.nhn?code=230240", "A230240")</f>
        <v>0</v>
      </c>
      <c r="B977">
        <f>HYPERLINK("http://comp.fnguide.com/SVO2/ASP/SVD_Consensus.asp?pGB=1&amp;gicode=A230240&amp;cID=&amp;MenuYn=Y&amp;ReportGB=&amp;NewMenuID=108&amp;stkGb=701", "에치에프알")</f>
        <v>0</v>
      </c>
      <c r="C977">
        <v>0</v>
      </c>
      <c r="D977">
        <v>30100</v>
      </c>
      <c r="E977">
        <v>-11.2</v>
      </c>
      <c r="F977">
        <v>339.98</v>
      </c>
      <c r="G977">
        <v>1655</v>
      </c>
      <c r="H977">
        <v>4753</v>
      </c>
      <c r="I977">
        <v>5636</v>
      </c>
      <c r="J977">
        <v>94.5</v>
      </c>
      <c r="K977">
        <v>84.20999999999999</v>
      </c>
      <c r="L977">
        <v>81.28</v>
      </c>
      <c r="M977">
        <v>1.94</v>
      </c>
      <c r="N977" t="b">
        <v>0</v>
      </c>
      <c r="O977">
        <v>86</v>
      </c>
      <c r="P977" t="s">
        <v>990</v>
      </c>
      <c r="Q977" t="s">
        <v>3123</v>
      </c>
      <c r="R977">
        <v>-30.35896090280732</v>
      </c>
      <c r="S977">
        <v>3877</v>
      </c>
      <c r="T977">
        <v>148142</v>
      </c>
      <c r="U977" t="s">
        <v>4961</v>
      </c>
      <c r="V977">
        <v>34.11</v>
      </c>
      <c r="W977" t="s">
        <v>7179</v>
      </c>
      <c r="X977" t="s">
        <v>9282</v>
      </c>
      <c r="Y977">
        <v>1567</v>
      </c>
      <c r="Z977">
        <v>22</v>
      </c>
      <c r="AA977">
        <v>1467</v>
      </c>
    </row>
    <row r="978" spans="1:28">
      <c r="A978" s="2">
        <f>HYPERLINK("https://finance.naver.com/item/coinfo.nhn?code=011080", "A011080")</f>
        <v>0</v>
      </c>
      <c r="B978">
        <f>HYPERLINK("http://comp.fnguide.com/SVO2/ASP/SVD_Consensus.asp?pGB=1&amp;gicode=A011080&amp;cID=&amp;MenuYn=Y&amp;ReportGB=&amp;NewMenuID=108&amp;stkGb=701", "형지I&amp;C")</f>
        <v>0</v>
      </c>
      <c r="C978">
        <v>0</v>
      </c>
      <c r="D978">
        <v>1120</v>
      </c>
      <c r="E978">
        <v>0</v>
      </c>
      <c r="G978">
        <v>0</v>
      </c>
      <c r="H978">
        <v>349</v>
      </c>
      <c r="I978">
        <v>448</v>
      </c>
      <c r="J978">
        <v>100</v>
      </c>
      <c r="K978">
        <v>68.88</v>
      </c>
      <c r="L978">
        <v>60.01</v>
      </c>
      <c r="M978">
        <v>0</v>
      </c>
      <c r="N978" t="b">
        <v>0</v>
      </c>
      <c r="O978">
        <v>-2</v>
      </c>
      <c r="P978" t="s">
        <v>991</v>
      </c>
      <c r="Q978" t="s">
        <v>2276</v>
      </c>
      <c r="R978">
        <v>0</v>
      </c>
      <c r="S978">
        <v>436</v>
      </c>
      <c r="T978">
        <v>3067651</v>
      </c>
      <c r="U978" t="s">
        <v>4962</v>
      </c>
      <c r="V978">
        <v>52.59</v>
      </c>
      <c r="W978" t="s">
        <v>7180</v>
      </c>
      <c r="X978" t="s">
        <v>968</v>
      </c>
      <c r="Y978">
        <v>1021</v>
      </c>
      <c r="Z978">
        <v>5</v>
      </c>
      <c r="AA978">
        <v>110</v>
      </c>
    </row>
    <row r="979" spans="1:28">
      <c r="A979" s="2">
        <f>HYPERLINK("https://finance.naver.com/item/coinfo.nhn?code=224110", "A224110")</f>
        <v>0</v>
      </c>
      <c r="B979">
        <f>HYPERLINK("http://comp.fnguide.com/SVO2/ASP/SVD_Consensus.asp?pGB=1&amp;gicode=A224110&amp;cID=&amp;MenuYn=Y&amp;ReportGB=&amp;NewMenuID=108&amp;stkGb=701", "에이텍티앤")</f>
        <v>0</v>
      </c>
      <c r="C979">
        <v>0</v>
      </c>
      <c r="D979">
        <v>21400</v>
      </c>
      <c r="E979">
        <v>0.85</v>
      </c>
      <c r="F979">
        <v>18.9</v>
      </c>
      <c r="G979">
        <v>10949</v>
      </c>
      <c r="H979">
        <v>9954</v>
      </c>
      <c r="I979">
        <v>9671</v>
      </c>
      <c r="J979">
        <v>48.84</v>
      </c>
      <c r="K979">
        <v>53.48</v>
      </c>
      <c r="L979">
        <v>54.81</v>
      </c>
      <c r="M979">
        <v>9.390000000000001</v>
      </c>
      <c r="N979" t="b">
        <v>1</v>
      </c>
      <c r="O979">
        <v>475</v>
      </c>
      <c r="P979" t="s">
        <v>992</v>
      </c>
      <c r="Q979" t="s">
        <v>3124</v>
      </c>
      <c r="R979">
        <v>22.13671461946356</v>
      </c>
      <c r="S979">
        <v>1143</v>
      </c>
      <c r="T979">
        <v>3213959</v>
      </c>
      <c r="U979" t="s">
        <v>4963</v>
      </c>
      <c r="V979">
        <v>29.2</v>
      </c>
      <c r="W979" t="s">
        <v>7181</v>
      </c>
      <c r="X979" t="s">
        <v>9283</v>
      </c>
      <c r="Y979">
        <v>1280</v>
      </c>
      <c r="Z979">
        <v>52</v>
      </c>
      <c r="AA979">
        <v>78241</v>
      </c>
    </row>
    <row r="980" spans="1:28">
      <c r="A980" s="2">
        <f>HYPERLINK("https://finance.naver.com/item/coinfo.nhn?code=262260", "A262260")</f>
        <v>0</v>
      </c>
      <c r="B980">
        <f>HYPERLINK("http://comp.fnguide.com/SVO2/ASP/SVD_Consensus.asp?pGB=1&amp;gicode=A262260&amp;cID=&amp;MenuYn=Y&amp;ReportGB=&amp;NewMenuID=108&amp;stkGb=701", "에이프로")</f>
        <v>0</v>
      </c>
      <c r="C980">
        <v>0</v>
      </c>
      <c r="D980">
        <v>34600</v>
      </c>
      <c r="G980">
        <v>10137</v>
      </c>
      <c r="H980">
        <v>5898</v>
      </c>
      <c r="I980">
        <v>4690</v>
      </c>
      <c r="J980">
        <v>70.7</v>
      </c>
      <c r="K980">
        <v>82.95</v>
      </c>
      <c r="L980">
        <v>86.44</v>
      </c>
      <c r="M980">
        <v>26.21</v>
      </c>
      <c r="N980" t="b">
        <v>0</v>
      </c>
      <c r="O980">
        <v>1385</v>
      </c>
      <c r="P980" t="s">
        <v>993</v>
      </c>
      <c r="Q980" t="s">
        <v>3125</v>
      </c>
      <c r="R980">
        <v>-29.93624332081529</v>
      </c>
      <c r="S980">
        <v>2381</v>
      </c>
      <c r="T980">
        <v>86555</v>
      </c>
      <c r="U980" t="s">
        <v>4964</v>
      </c>
      <c r="V980">
        <v>42.62</v>
      </c>
      <c r="W980" t="s">
        <v>7182</v>
      </c>
      <c r="X980" t="s">
        <v>968</v>
      </c>
      <c r="Y980">
        <v>674</v>
      </c>
      <c r="Z980">
        <v>104</v>
      </c>
      <c r="AA980">
        <v>2000</v>
      </c>
    </row>
    <row r="981" spans="1:28">
      <c r="A981" s="2">
        <f>HYPERLINK("https://finance.naver.com/item/coinfo.nhn?code=036180", "A036180")</f>
        <v>0</v>
      </c>
      <c r="B981">
        <f>HYPERLINK("http://comp.fnguide.com/SVO2/ASP/SVD_Consensus.asp?pGB=1&amp;gicode=A036180&amp;cID=&amp;MenuYn=Y&amp;ReportGB=&amp;NewMenuID=108&amp;stkGb=701", "에이프런티어")</f>
        <v>0</v>
      </c>
      <c r="C981">
        <v>0</v>
      </c>
      <c r="D981">
        <v>1205</v>
      </c>
      <c r="G981">
        <v>646</v>
      </c>
      <c r="H981">
        <v>766</v>
      </c>
      <c r="I981">
        <v>800</v>
      </c>
      <c r="J981">
        <v>46.42</v>
      </c>
      <c r="K981">
        <v>36.47</v>
      </c>
      <c r="L981">
        <v>33.64</v>
      </c>
      <c r="M981">
        <v>6.09</v>
      </c>
      <c r="N981" t="b">
        <v>0</v>
      </c>
      <c r="O981">
        <v>-261</v>
      </c>
      <c r="P981" t="s">
        <v>994</v>
      </c>
      <c r="Q981" t="s">
        <v>3126</v>
      </c>
      <c r="R981">
        <v>18.80823455828129</v>
      </c>
      <c r="S981">
        <v>336</v>
      </c>
      <c r="T981">
        <v>0</v>
      </c>
      <c r="U981" t="s">
        <v>4965</v>
      </c>
      <c r="V981">
        <v>24.76</v>
      </c>
      <c r="W981" t="s">
        <v>7183</v>
      </c>
      <c r="X981" t="s">
        <v>9284</v>
      </c>
      <c r="Y981">
        <v>446</v>
      </c>
      <c r="Z981">
        <v>5</v>
      </c>
    </row>
    <row r="982" spans="1:28">
      <c r="A982" s="2">
        <f>HYPERLINK("https://finance.naver.com/item/coinfo.nhn?code=200470", "A200470")</f>
        <v>0</v>
      </c>
      <c r="B982">
        <f>HYPERLINK("http://comp.fnguide.com/SVO2/ASP/SVD_Consensus.asp?pGB=1&amp;gicode=A200470&amp;cID=&amp;MenuYn=Y&amp;ReportGB=&amp;NewMenuID=108&amp;stkGb=701", "에이팩트")</f>
        <v>0</v>
      </c>
      <c r="C982">
        <v>0</v>
      </c>
      <c r="D982">
        <v>7090</v>
      </c>
      <c r="E982">
        <v>0.46</v>
      </c>
      <c r="F982">
        <v>26.15</v>
      </c>
      <c r="G982">
        <v>6104</v>
      </c>
      <c r="H982">
        <v>4514</v>
      </c>
      <c r="I982">
        <v>4061</v>
      </c>
      <c r="J982">
        <v>13.91</v>
      </c>
      <c r="K982">
        <v>36.33</v>
      </c>
      <c r="L982">
        <v>42.72</v>
      </c>
      <c r="M982">
        <v>14.07</v>
      </c>
      <c r="N982" t="b">
        <v>1</v>
      </c>
      <c r="O982">
        <v>239</v>
      </c>
      <c r="P982" t="s">
        <v>995</v>
      </c>
      <c r="Q982" t="s">
        <v>3127</v>
      </c>
      <c r="R982">
        <v>56.78406880725638</v>
      </c>
      <c r="S982">
        <v>1245</v>
      </c>
      <c r="T982">
        <v>489228</v>
      </c>
      <c r="U982" t="s">
        <v>4966</v>
      </c>
      <c r="V982">
        <v>25.41</v>
      </c>
      <c r="W982" t="s">
        <v>7184</v>
      </c>
      <c r="X982" t="s">
        <v>9285</v>
      </c>
      <c r="Y982">
        <v>468</v>
      </c>
      <c r="Z982">
        <v>82</v>
      </c>
      <c r="AA982">
        <v>120</v>
      </c>
    </row>
    <row r="983" spans="1:28">
      <c r="A983" s="2">
        <f>HYPERLINK("https://finance.naver.com/item/coinfo.nhn?code=089530", "A089530")</f>
        <v>0</v>
      </c>
      <c r="B983">
        <f>HYPERLINK("http://comp.fnguide.com/SVO2/ASP/SVD_Consensus.asp?pGB=1&amp;gicode=A089530&amp;cID=&amp;MenuYn=Y&amp;ReportGB=&amp;NewMenuID=108&amp;stkGb=701", "에이티세미콘")</f>
        <v>0</v>
      </c>
      <c r="C983">
        <v>0</v>
      </c>
      <c r="D983">
        <v>862</v>
      </c>
      <c r="G983">
        <v>266</v>
      </c>
      <c r="H983">
        <v>281</v>
      </c>
      <c r="I983">
        <v>285</v>
      </c>
      <c r="J983">
        <v>69.13</v>
      </c>
      <c r="K983">
        <v>67.45</v>
      </c>
      <c r="L983">
        <v>66.97</v>
      </c>
      <c r="M983">
        <v>7.31</v>
      </c>
      <c r="N983" t="b">
        <v>0</v>
      </c>
      <c r="O983">
        <v>-137</v>
      </c>
      <c r="P983" t="s">
        <v>996</v>
      </c>
      <c r="Q983" t="s">
        <v>3128</v>
      </c>
      <c r="R983">
        <v>-42.3</v>
      </c>
      <c r="S983">
        <v>1090</v>
      </c>
      <c r="T983">
        <v>4228621</v>
      </c>
      <c r="U983" t="s">
        <v>4967</v>
      </c>
      <c r="V983">
        <v>12.14</v>
      </c>
      <c r="W983" t="s">
        <v>7185</v>
      </c>
      <c r="X983" t="s">
        <v>9286</v>
      </c>
      <c r="Y983">
        <v>1281</v>
      </c>
      <c r="Z983">
        <v>24</v>
      </c>
    </row>
    <row r="984" spans="1:28">
      <c r="A984" s="2">
        <f>HYPERLINK("https://finance.naver.com/item/coinfo.nhn?code=060560", "A060560")</f>
        <v>0</v>
      </c>
      <c r="B984">
        <f>HYPERLINK("http://comp.fnguide.com/SVO2/ASP/SVD_Consensus.asp?pGB=1&amp;gicode=A060560&amp;cID=&amp;MenuYn=Y&amp;ReportGB=&amp;NewMenuID=108&amp;stkGb=701", "홈센타홀딩스")</f>
        <v>0</v>
      </c>
      <c r="C984">
        <v>0</v>
      </c>
      <c r="D984">
        <v>1215</v>
      </c>
      <c r="G984">
        <v>0</v>
      </c>
      <c r="H984">
        <v>566</v>
      </c>
      <c r="I984">
        <v>727</v>
      </c>
      <c r="J984">
        <v>100</v>
      </c>
      <c r="K984">
        <v>53.41</v>
      </c>
      <c r="L984">
        <v>40.13</v>
      </c>
      <c r="M984">
        <v>0</v>
      </c>
      <c r="N984" t="b">
        <v>0</v>
      </c>
      <c r="O984">
        <v>-23</v>
      </c>
      <c r="P984" t="s">
        <v>997</v>
      </c>
      <c r="Q984" t="s">
        <v>3129</v>
      </c>
      <c r="R984">
        <v>255.8</v>
      </c>
      <c r="S984">
        <v>1034</v>
      </c>
      <c r="T984">
        <v>277978</v>
      </c>
      <c r="U984" t="s">
        <v>4968</v>
      </c>
      <c r="V984">
        <v>51.02</v>
      </c>
      <c r="W984" t="s">
        <v>7186</v>
      </c>
      <c r="X984" t="s">
        <v>968</v>
      </c>
      <c r="Y984">
        <v>2656</v>
      </c>
      <c r="Z984">
        <v>26</v>
      </c>
      <c r="AA984">
        <v>729517</v>
      </c>
    </row>
    <row r="985" spans="1:28">
      <c r="A985" s="2">
        <f>HYPERLINK("https://finance.naver.com/item/coinfo.nhn?code=021080", "A021080")</f>
        <v>0</v>
      </c>
      <c r="B985">
        <f>HYPERLINK("http://comp.fnguide.com/SVO2/ASP/SVD_Consensus.asp?pGB=1&amp;gicode=A021080&amp;cID=&amp;MenuYn=Y&amp;ReportGB=&amp;NewMenuID=108&amp;stkGb=701", "에이티넘인베스트")</f>
        <v>0</v>
      </c>
      <c r="C985">
        <v>0</v>
      </c>
      <c r="D985">
        <v>2815</v>
      </c>
      <c r="E985">
        <v>0</v>
      </c>
      <c r="F985">
        <v>13.8</v>
      </c>
      <c r="G985">
        <v>2020</v>
      </c>
      <c r="H985">
        <v>1804</v>
      </c>
      <c r="I985">
        <v>1743</v>
      </c>
      <c r="J985">
        <v>28.24</v>
      </c>
      <c r="K985">
        <v>35.91</v>
      </c>
      <c r="L985">
        <v>38.1</v>
      </c>
      <c r="M985">
        <v>9.699999999999999</v>
      </c>
      <c r="N985" t="b">
        <v>1</v>
      </c>
      <c r="O985">
        <v>141</v>
      </c>
      <c r="P985" t="s">
        <v>998</v>
      </c>
      <c r="Q985" t="s">
        <v>3124</v>
      </c>
      <c r="R985">
        <v>22.13671461946356</v>
      </c>
      <c r="S985">
        <v>1351</v>
      </c>
      <c r="T985">
        <v>998883</v>
      </c>
      <c r="U985" t="s">
        <v>4969</v>
      </c>
      <c r="V985">
        <v>33.08</v>
      </c>
      <c r="W985" t="s">
        <v>7187</v>
      </c>
      <c r="X985" t="s">
        <v>9287</v>
      </c>
      <c r="Y985">
        <v>214</v>
      </c>
      <c r="Z985">
        <v>85</v>
      </c>
      <c r="AA985">
        <v>5425</v>
      </c>
      <c r="AB985">
        <v>2.58</v>
      </c>
    </row>
    <row r="986" spans="1:28">
      <c r="A986" s="2">
        <f>HYPERLINK("https://finance.naver.com/item/coinfo.nhn?code=047920", "A047920")</f>
        <v>0</v>
      </c>
      <c r="B986">
        <f>HYPERLINK("http://comp.fnguide.com/SVO2/ASP/SVD_Consensus.asp?pGB=1&amp;gicode=A047920&amp;cID=&amp;MenuYn=Y&amp;ReportGB=&amp;NewMenuID=108&amp;stkGb=701", "에이치엘비제약")</f>
        <v>0</v>
      </c>
      <c r="C986">
        <v>0</v>
      </c>
      <c r="D986">
        <v>19150</v>
      </c>
      <c r="E986">
        <v>0</v>
      </c>
      <c r="F986">
        <v>159.09</v>
      </c>
      <c r="G986">
        <v>150</v>
      </c>
      <c r="H986">
        <v>590</v>
      </c>
      <c r="I986">
        <v>716</v>
      </c>
      <c r="J986">
        <v>99.22</v>
      </c>
      <c r="K986">
        <v>96.92</v>
      </c>
      <c r="L986">
        <v>96.26000000000001</v>
      </c>
      <c r="M986">
        <v>1.35</v>
      </c>
      <c r="N986" t="b">
        <v>0</v>
      </c>
      <c r="O986">
        <v>34</v>
      </c>
      <c r="P986" t="s">
        <v>999</v>
      </c>
      <c r="Q986" t="s">
        <v>2276</v>
      </c>
      <c r="R986">
        <v>0</v>
      </c>
      <c r="S986">
        <v>3883</v>
      </c>
      <c r="T986">
        <v>1117912</v>
      </c>
      <c r="U986" t="s">
        <v>4970</v>
      </c>
      <c r="V986">
        <v>18.29</v>
      </c>
      <c r="W986" t="s">
        <v>7188</v>
      </c>
      <c r="X986" t="s">
        <v>9288</v>
      </c>
      <c r="Y986">
        <v>361</v>
      </c>
      <c r="Z986">
        <v>14</v>
      </c>
      <c r="AA986">
        <v>581</v>
      </c>
    </row>
    <row r="987" spans="1:28">
      <c r="A987" s="2">
        <f>HYPERLINK("https://finance.naver.com/item/coinfo.nhn?code=298060", "A298060")</f>
        <v>0</v>
      </c>
      <c r="B987">
        <f>HYPERLINK("http://comp.fnguide.com/SVO2/ASP/SVD_Consensus.asp?pGB=1&amp;gicode=A298060&amp;cID=&amp;MenuYn=Y&amp;ReportGB=&amp;NewMenuID=108&amp;stkGb=701", "에스씨엠생명과학")</f>
        <v>0</v>
      </c>
      <c r="C987">
        <v>0</v>
      </c>
      <c r="D987">
        <v>37150</v>
      </c>
      <c r="E987">
        <v>0</v>
      </c>
      <c r="G987">
        <v>0</v>
      </c>
      <c r="H987">
        <v>855</v>
      </c>
      <c r="I987">
        <v>1099</v>
      </c>
      <c r="J987">
        <v>100</v>
      </c>
      <c r="K987">
        <v>97.7</v>
      </c>
      <c r="L987">
        <v>97.04000000000001</v>
      </c>
      <c r="M987">
        <v>0</v>
      </c>
      <c r="N987" t="b">
        <v>0</v>
      </c>
      <c r="O987" t="s">
        <v>4</v>
      </c>
      <c r="P987" t="s">
        <v>1000</v>
      </c>
      <c r="Q987" t="s">
        <v>2276</v>
      </c>
      <c r="R987">
        <v>0</v>
      </c>
      <c r="S987" t="s">
        <v>3976</v>
      </c>
      <c r="T987">
        <v>1081781</v>
      </c>
      <c r="U987" t="s">
        <v>4971</v>
      </c>
      <c r="V987">
        <v>25.45</v>
      </c>
      <c r="W987" t="s">
        <v>7189</v>
      </c>
      <c r="X987" t="s">
        <v>968</v>
      </c>
      <c r="Y987" t="s">
        <v>10203</v>
      </c>
      <c r="Z987" t="s">
        <v>10216</v>
      </c>
    </row>
    <row r="988" spans="1:28">
      <c r="A988" s="2">
        <f>HYPERLINK("https://finance.naver.com/item/coinfo.nhn?code=250930", "A250930")</f>
        <v>0</v>
      </c>
      <c r="B988">
        <f>HYPERLINK("http://comp.fnguide.com/SVO2/ASP/SVD_Consensus.asp?pGB=1&amp;gicode=A250930&amp;cID=&amp;MenuYn=Y&amp;ReportGB=&amp;NewMenuID=108&amp;stkGb=701", "예선테크")</f>
        <v>0</v>
      </c>
      <c r="C988">
        <v>0</v>
      </c>
      <c r="D988">
        <v>2505</v>
      </c>
      <c r="E988">
        <v>0</v>
      </c>
      <c r="G988">
        <v>2228</v>
      </c>
      <c r="H988">
        <v>1547</v>
      </c>
      <c r="I988">
        <v>1353</v>
      </c>
      <c r="J988">
        <v>11.07</v>
      </c>
      <c r="K988">
        <v>38.24</v>
      </c>
      <c r="L988">
        <v>45.99</v>
      </c>
      <c r="M988">
        <v>16.22</v>
      </c>
      <c r="N988" t="b">
        <v>0</v>
      </c>
      <c r="O988">
        <v>-90</v>
      </c>
      <c r="P988" t="s">
        <v>1001</v>
      </c>
      <c r="Q988" t="s">
        <v>2276</v>
      </c>
      <c r="R988">
        <v>0</v>
      </c>
      <c r="S988">
        <v>827</v>
      </c>
      <c r="T988">
        <v>225618</v>
      </c>
      <c r="U988" t="s">
        <v>4972</v>
      </c>
      <c r="V988">
        <v>37.01</v>
      </c>
      <c r="W988" t="s">
        <v>7190</v>
      </c>
      <c r="X988" t="s">
        <v>9289</v>
      </c>
      <c r="Y988">
        <v>589</v>
      </c>
      <c r="Z988">
        <v>79</v>
      </c>
      <c r="AA988">
        <v>118257</v>
      </c>
    </row>
    <row r="989" spans="1:28">
      <c r="A989" s="2">
        <f>HYPERLINK("https://finance.naver.com/item/coinfo.nhn?code=234300", "A234300")</f>
        <v>0</v>
      </c>
      <c r="B989">
        <f>HYPERLINK("http://comp.fnguide.com/SVO2/ASP/SVD_Consensus.asp?pGB=1&amp;gicode=A234300&amp;cID=&amp;MenuYn=Y&amp;ReportGB=&amp;NewMenuID=108&amp;stkGb=701", "에스트래픽")</f>
        <v>0</v>
      </c>
      <c r="C989">
        <v>0</v>
      </c>
      <c r="D989">
        <v>4550</v>
      </c>
      <c r="G989">
        <v>305</v>
      </c>
      <c r="H989">
        <v>1030</v>
      </c>
      <c r="I989">
        <v>1237</v>
      </c>
      <c r="J989">
        <v>93.3</v>
      </c>
      <c r="K989">
        <v>77.34999999999999</v>
      </c>
      <c r="L989">
        <v>72.81</v>
      </c>
      <c r="M989">
        <v>1.61</v>
      </c>
      <c r="N989" t="b">
        <v>0</v>
      </c>
      <c r="O989">
        <v>-597</v>
      </c>
      <c r="P989" t="s">
        <v>1002</v>
      </c>
      <c r="Q989" t="s">
        <v>3130</v>
      </c>
      <c r="R989">
        <v>-23.82500410239591</v>
      </c>
      <c r="S989">
        <v>948</v>
      </c>
      <c r="T989">
        <v>163218</v>
      </c>
      <c r="U989" t="s">
        <v>4973</v>
      </c>
      <c r="V989">
        <v>0.86</v>
      </c>
      <c r="W989" t="s">
        <v>7191</v>
      </c>
      <c r="X989" t="s">
        <v>9290</v>
      </c>
      <c r="Y989">
        <v>797</v>
      </c>
      <c r="Z989">
        <v>-25</v>
      </c>
      <c r="AA989">
        <v>396279</v>
      </c>
    </row>
    <row r="990" spans="1:28">
      <c r="A990" s="2">
        <f>HYPERLINK("https://finance.naver.com/item/coinfo.nhn?code=317830", "A317830")</f>
        <v>0</v>
      </c>
      <c r="B990">
        <f>HYPERLINK("http://comp.fnguide.com/SVO2/ASP/SVD_Consensus.asp?pGB=1&amp;gicode=A317830&amp;cID=&amp;MenuYn=Y&amp;ReportGB=&amp;NewMenuID=108&amp;stkGb=701", "에스피시스템스")</f>
        <v>0</v>
      </c>
      <c r="C990">
        <v>0</v>
      </c>
      <c r="D990">
        <v>5870</v>
      </c>
      <c r="E990">
        <v>-6.74</v>
      </c>
      <c r="F990">
        <v>37.45</v>
      </c>
      <c r="G990">
        <v>4623</v>
      </c>
      <c r="H990">
        <v>4309</v>
      </c>
      <c r="I990">
        <v>4220</v>
      </c>
      <c r="J990">
        <v>21.25</v>
      </c>
      <c r="K990">
        <v>26.59</v>
      </c>
      <c r="L990">
        <v>28.11</v>
      </c>
      <c r="M990">
        <v>8.98</v>
      </c>
      <c r="N990" t="b">
        <v>1</v>
      </c>
      <c r="O990">
        <v>179</v>
      </c>
      <c r="P990" t="s">
        <v>1003</v>
      </c>
      <c r="Q990" t="s">
        <v>3131</v>
      </c>
      <c r="R990">
        <v>-5.559595222781533</v>
      </c>
      <c r="S990">
        <v>478</v>
      </c>
      <c r="T990">
        <v>38312</v>
      </c>
      <c r="U990" t="s">
        <v>4974</v>
      </c>
      <c r="V990">
        <v>64.04000000000001</v>
      </c>
      <c r="W990" t="s">
        <v>7192</v>
      </c>
      <c r="X990" t="s">
        <v>9291</v>
      </c>
      <c r="Y990">
        <v>320</v>
      </c>
      <c r="Z990">
        <v>10</v>
      </c>
      <c r="AA990">
        <v>733100</v>
      </c>
      <c r="AB990">
        <v>0.3</v>
      </c>
    </row>
    <row r="991" spans="1:28">
      <c r="A991" s="2">
        <f>HYPERLINK("https://finance.naver.com/item/coinfo.nhn?code=288620", "A288620")</f>
        <v>0</v>
      </c>
      <c r="B991">
        <f>HYPERLINK("http://comp.fnguide.com/SVO2/ASP/SVD_Consensus.asp?pGB=1&amp;gicode=A288620&amp;cID=&amp;MenuYn=Y&amp;ReportGB=&amp;NewMenuID=108&amp;stkGb=701", "에스퓨얼셀")</f>
        <v>0</v>
      </c>
      <c r="C991">
        <v>0</v>
      </c>
      <c r="D991">
        <v>34450</v>
      </c>
      <c r="E991">
        <v>0</v>
      </c>
      <c r="F991">
        <v>66.66</v>
      </c>
      <c r="G991">
        <v>10575</v>
      </c>
      <c r="H991">
        <v>7568</v>
      </c>
      <c r="I991">
        <v>6712</v>
      </c>
      <c r="J991">
        <v>69.3</v>
      </c>
      <c r="K991">
        <v>78.03</v>
      </c>
      <c r="L991">
        <v>80.52</v>
      </c>
      <c r="M991">
        <v>15.13</v>
      </c>
      <c r="N991" t="b">
        <v>1</v>
      </c>
      <c r="O991">
        <v>259</v>
      </c>
      <c r="P991" t="s">
        <v>1004</v>
      </c>
      <c r="Q991" t="s">
        <v>3132</v>
      </c>
      <c r="R991">
        <v>0</v>
      </c>
      <c r="S991">
        <v>2255</v>
      </c>
      <c r="T991">
        <v>63011</v>
      </c>
      <c r="U991" t="s">
        <v>4975</v>
      </c>
      <c r="V991">
        <v>46.47</v>
      </c>
      <c r="W991" t="s">
        <v>7193</v>
      </c>
      <c r="X991" t="s">
        <v>9292</v>
      </c>
      <c r="Y991">
        <v>380</v>
      </c>
      <c r="Z991">
        <v>22</v>
      </c>
      <c r="AB991">
        <v>0.29</v>
      </c>
    </row>
    <row r="992" spans="1:28">
      <c r="A992" s="2">
        <f>HYPERLINK("https://finance.naver.com/item/coinfo.nhn?code=050760", "A050760")</f>
        <v>0</v>
      </c>
      <c r="B992">
        <f>HYPERLINK("http://comp.fnguide.com/SVO2/ASP/SVD_Consensus.asp?pGB=1&amp;gicode=A050760&amp;cID=&amp;MenuYn=Y&amp;ReportGB=&amp;NewMenuID=108&amp;stkGb=701", "에스폴리텍")</f>
        <v>0</v>
      </c>
      <c r="C992">
        <v>0</v>
      </c>
      <c r="D992">
        <v>5850</v>
      </c>
      <c r="E992">
        <v>0.05</v>
      </c>
      <c r="F992">
        <v>8.35</v>
      </c>
      <c r="G992">
        <v>5316</v>
      </c>
      <c r="H992">
        <v>4309</v>
      </c>
      <c r="I992">
        <v>4022</v>
      </c>
      <c r="J992">
        <v>9.130000000000001</v>
      </c>
      <c r="K992">
        <v>26.35</v>
      </c>
      <c r="L992">
        <v>31.25</v>
      </c>
      <c r="M992">
        <v>11.64</v>
      </c>
      <c r="N992" t="b">
        <v>1</v>
      </c>
      <c r="O992">
        <v>658</v>
      </c>
      <c r="P992" t="s">
        <v>1005</v>
      </c>
      <c r="Q992" t="s">
        <v>3133</v>
      </c>
      <c r="R992">
        <v>180.078471146927</v>
      </c>
      <c r="S992">
        <v>956</v>
      </c>
      <c r="T992">
        <v>270794</v>
      </c>
      <c r="U992" t="s">
        <v>4976</v>
      </c>
      <c r="V992">
        <v>32.18</v>
      </c>
      <c r="W992" t="s">
        <v>7194</v>
      </c>
      <c r="X992" t="s">
        <v>9293</v>
      </c>
      <c r="Y992">
        <v>1350</v>
      </c>
      <c r="Z992">
        <v>149</v>
      </c>
      <c r="AA992">
        <v>948523</v>
      </c>
      <c r="AB992">
        <v>0.91</v>
      </c>
    </row>
    <row r="993" spans="1:28">
      <c r="A993" s="2">
        <f>HYPERLINK("https://finance.naver.com/item/coinfo.nhn?code=237690", "A237690")</f>
        <v>0</v>
      </c>
      <c r="B993">
        <f>HYPERLINK("http://comp.fnguide.com/SVO2/ASP/SVD_Consensus.asp?pGB=1&amp;gicode=A237690&amp;cID=&amp;MenuYn=Y&amp;ReportGB=&amp;NewMenuID=108&amp;stkGb=701", "에스티팜")</f>
        <v>0</v>
      </c>
      <c r="C993">
        <v>0</v>
      </c>
      <c r="D993">
        <v>105500</v>
      </c>
      <c r="G993">
        <v>4572</v>
      </c>
      <c r="H993">
        <v>11519</v>
      </c>
      <c r="I993">
        <v>13498</v>
      </c>
      <c r="J993">
        <v>95.67</v>
      </c>
      <c r="K993">
        <v>89.08</v>
      </c>
      <c r="L993">
        <v>87.20999999999999</v>
      </c>
      <c r="M993">
        <v>2.26</v>
      </c>
      <c r="N993" t="b">
        <v>0</v>
      </c>
      <c r="O993">
        <v>-993</v>
      </c>
      <c r="P993" t="s">
        <v>1006</v>
      </c>
      <c r="Q993" t="s">
        <v>3134</v>
      </c>
      <c r="R993">
        <v>15.69407936450336</v>
      </c>
      <c r="S993">
        <v>19682</v>
      </c>
      <c r="T993">
        <v>5387494</v>
      </c>
      <c r="U993" t="s">
        <v>4977</v>
      </c>
      <c r="V993">
        <v>48.88</v>
      </c>
      <c r="W993" t="s">
        <v>7195</v>
      </c>
      <c r="X993" t="s">
        <v>9294</v>
      </c>
      <c r="Y993">
        <v>933</v>
      </c>
      <c r="Z993">
        <v>-267</v>
      </c>
    </row>
    <row r="994" spans="1:28">
      <c r="A994" s="2">
        <f>HYPERLINK("https://finance.naver.com/item/coinfo.nhn?code=052020", "A052020")</f>
        <v>0</v>
      </c>
      <c r="B994">
        <f>HYPERLINK("http://comp.fnguide.com/SVO2/ASP/SVD_Consensus.asp?pGB=1&amp;gicode=A052020&amp;cID=&amp;MenuYn=Y&amp;ReportGB=&amp;NewMenuID=108&amp;stkGb=701", "에스티큐브")</f>
        <v>0</v>
      </c>
      <c r="C994">
        <v>0</v>
      </c>
      <c r="D994">
        <v>8030</v>
      </c>
      <c r="E994">
        <v>0</v>
      </c>
      <c r="G994">
        <v>0</v>
      </c>
      <c r="H994">
        <v>570</v>
      </c>
      <c r="I994">
        <v>733</v>
      </c>
      <c r="J994">
        <v>100</v>
      </c>
      <c r="K994">
        <v>92.90000000000001</v>
      </c>
      <c r="L994">
        <v>90.87</v>
      </c>
      <c r="M994">
        <v>0</v>
      </c>
      <c r="N994" t="b">
        <v>0</v>
      </c>
      <c r="O994">
        <v>-430</v>
      </c>
      <c r="P994" t="s">
        <v>1007</v>
      </c>
      <c r="Q994" t="s">
        <v>2276</v>
      </c>
      <c r="R994">
        <v>0</v>
      </c>
      <c r="S994">
        <v>2440</v>
      </c>
      <c r="T994">
        <v>298978</v>
      </c>
      <c r="U994" t="s">
        <v>4978</v>
      </c>
      <c r="V994">
        <v>8.73</v>
      </c>
      <c r="W994" t="s">
        <v>7196</v>
      </c>
      <c r="X994" t="s">
        <v>968</v>
      </c>
      <c r="Y994">
        <v>174</v>
      </c>
      <c r="Z994">
        <v>-31</v>
      </c>
      <c r="AA994">
        <v>50000</v>
      </c>
    </row>
    <row r="995" spans="1:28">
      <c r="A995" s="2">
        <f>HYPERLINK("https://finance.naver.com/item/coinfo.nhn?code=050090", "A050090")</f>
        <v>0</v>
      </c>
      <c r="B995">
        <f>HYPERLINK("http://comp.fnguide.com/SVO2/ASP/SVD_Consensus.asp?pGB=1&amp;gicode=A050090&amp;cID=&amp;MenuYn=Y&amp;ReportGB=&amp;NewMenuID=108&amp;stkGb=701", "휘닉스소재")</f>
        <v>0</v>
      </c>
      <c r="C995">
        <v>0</v>
      </c>
      <c r="D995">
        <v>882</v>
      </c>
      <c r="E995">
        <v>0</v>
      </c>
      <c r="G995">
        <v>0</v>
      </c>
      <c r="H995">
        <v>208</v>
      </c>
      <c r="I995">
        <v>267</v>
      </c>
      <c r="J995">
        <v>100</v>
      </c>
      <c r="K995">
        <v>76.41</v>
      </c>
      <c r="L995">
        <v>69.68000000000001</v>
      </c>
      <c r="M995">
        <v>0</v>
      </c>
      <c r="N995" t="b">
        <v>0</v>
      </c>
      <c r="O995">
        <v>-28</v>
      </c>
      <c r="P995" t="s">
        <v>1008</v>
      </c>
      <c r="Q995" t="s">
        <v>2276</v>
      </c>
      <c r="R995">
        <v>0</v>
      </c>
      <c r="S995">
        <v>698</v>
      </c>
      <c r="T995">
        <v>4879570</v>
      </c>
      <c r="U995" t="s">
        <v>4979</v>
      </c>
      <c r="V995">
        <v>30.02</v>
      </c>
      <c r="W995" t="s">
        <v>7197</v>
      </c>
      <c r="X995" t="s">
        <v>968</v>
      </c>
      <c r="Y995">
        <v>130</v>
      </c>
      <c r="Z995">
        <v>0</v>
      </c>
      <c r="AA995">
        <v>317460</v>
      </c>
    </row>
    <row r="996" spans="1:28">
      <c r="A996" s="2">
        <f>HYPERLINK("https://finance.naver.com/item/coinfo.nhn?code=041910", "A041910")</f>
        <v>0</v>
      </c>
      <c r="B996">
        <f>HYPERLINK("http://comp.fnguide.com/SVO2/ASP/SVD_Consensus.asp?pGB=1&amp;gicode=A041910&amp;cID=&amp;MenuYn=Y&amp;ReportGB=&amp;NewMenuID=108&amp;stkGb=701", "에스텍파마")</f>
        <v>0</v>
      </c>
      <c r="C996">
        <v>0</v>
      </c>
      <c r="D996">
        <v>13250</v>
      </c>
      <c r="E996">
        <v>0.33</v>
      </c>
      <c r="F996">
        <v>8.17</v>
      </c>
      <c r="G996">
        <v>12200</v>
      </c>
      <c r="H996">
        <v>10153</v>
      </c>
      <c r="I996">
        <v>9569</v>
      </c>
      <c r="J996">
        <v>7.92</v>
      </c>
      <c r="K996">
        <v>23.37</v>
      </c>
      <c r="L996">
        <v>27.78</v>
      </c>
      <c r="M996">
        <v>11.06</v>
      </c>
      <c r="N996" t="b">
        <v>1</v>
      </c>
      <c r="O996">
        <v>1280</v>
      </c>
      <c r="P996" t="s">
        <v>1009</v>
      </c>
      <c r="Q996" t="s">
        <v>3135</v>
      </c>
      <c r="R996">
        <v>25.12757585614533</v>
      </c>
      <c r="S996">
        <v>1577</v>
      </c>
      <c r="T996">
        <v>333669</v>
      </c>
      <c r="U996" t="s">
        <v>4980</v>
      </c>
      <c r="V996">
        <v>24.9</v>
      </c>
      <c r="W996" t="s">
        <v>7198</v>
      </c>
      <c r="X996" t="s">
        <v>9295</v>
      </c>
      <c r="Y996">
        <v>465</v>
      </c>
      <c r="Z996">
        <v>38</v>
      </c>
      <c r="AA996">
        <v>218257</v>
      </c>
      <c r="AB996">
        <v>0.96</v>
      </c>
    </row>
    <row r="997" spans="1:28">
      <c r="A997" s="2">
        <f>HYPERLINK("https://finance.naver.com/item/coinfo.nhn?code=043340", "A043340")</f>
        <v>0</v>
      </c>
      <c r="B997">
        <f>HYPERLINK("http://comp.fnguide.com/SVO2/ASP/SVD_Consensus.asp?pGB=1&amp;gicode=A043340&amp;cID=&amp;MenuYn=Y&amp;ReportGB=&amp;NewMenuID=108&amp;stkGb=701", "에쎈테크")</f>
        <v>0</v>
      </c>
      <c r="C997">
        <v>0</v>
      </c>
      <c r="D997">
        <v>1155</v>
      </c>
      <c r="G997">
        <v>128</v>
      </c>
      <c r="H997">
        <v>282</v>
      </c>
      <c r="I997">
        <v>326</v>
      </c>
      <c r="J997">
        <v>88.92</v>
      </c>
      <c r="K997">
        <v>75.56</v>
      </c>
      <c r="L997">
        <v>71.76000000000001</v>
      </c>
      <c r="M997">
        <v>2.65</v>
      </c>
      <c r="N997" t="b">
        <v>0</v>
      </c>
      <c r="O997">
        <v>-7</v>
      </c>
      <c r="P997" t="s">
        <v>1010</v>
      </c>
      <c r="Q997" t="s">
        <v>3136</v>
      </c>
      <c r="R997">
        <v>-36.85646350878671</v>
      </c>
      <c r="S997">
        <v>832</v>
      </c>
      <c r="T997">
        <v>695997</v>
      </c>
      <c r="U997" t="s">
        <v>4981</v>
      </c>
      <c r="V997">
        <v>69.56</v>
      </c>
      <c r="W997" t="s">
        <v>7199</v>
      </c>
      <c r="X997" t="s">
        <v>9296</v>
      </c>
      <c r="Y997">
        <v>517</v>
      </c>
      <c r="Z997">
        <v>4</v>
      </c>
    </row>
    <row r="998" spans="1:28">
      <c r="A998" s="2">
        <f>HYPERLINK("https://finance.naver.com/item/coinfo.nhn?code=290270", "A290270")</f>
        <v>0</v>
      </c>
      <c r="B998">
        <f>HYPERLINK("http://comp.fnguide.com/SVO2/ASP/SVD_Consensus.asp?pGB=1&amp;gicode=A290270&amp;cID=&amp;MenuYn=Y&amp;ReportGB=&amp;NewMenuID=108&amp;stkGb=701", "휴네시온")</f>
        <v>0</v>
      </c>
      <c r="C998">
        <v>0</v>
      </c>
      <c r="D998">
        <v>5650</v>
      </c>
      <c r="E998">
        <v>0</v>
      </c>
      <c r="F998">
        <v>24.93</v>
      </c>
      <c r="G998">
        <v>4282</v>
      </c>
      <c r="H998">
        <v>3220</v>
      </c>
      <c r="I998">
        <v>2918</v>
      </c>
      <c r="J998">
        <v>24.21</v>
      </c>
      <c r="K998">
        <v>43</v>
      </c>
      <c r="L998">
        <v>48.36</v>
      </c>
      <c r="M998">
        <v>13.57</v>
      </c>
      <c r="N998" t="b">
        <v>1</v>
      </c>
      <c r="O998">
        <v>187</v>
      </c>
      <c r="P998" t="s">
        <v>1011</v>
      </c>
      <c r="Q998" t="s">
        <v>3137</v>
      </c>
      <c r="R998">
        <v>0</v>
      </c>
      <c r="S998">
        <v>543</v>
      </c>
      <c r="T998">
        <v>208365</v>
      </c>
      <c r="U998" t="s">
        <v>4982</v>
      </c>
      <c r="V998">
        <v>46.84</v>
      </c>
      <c r="W998" t="s">
        <v>7200</v>
      </c>
      <c r="X998" t="s">
        <v>9297</v>
      </c>
      <c r="Y998">
        <v>188</v>
      </c>
      <c r="Z998">
        <v>19</v>
      </c>
      <c r="AA998">
        <v>144468</v>
      </c>
      <c r="AB998">
        <v>0.75</v>
      </c>
    </row>
    <row r="999" spans="1:28">
      <c r="A999" s="2">
        <f>HYPERLINK("https://finance.naver.com/item/coinfo.nhn?code=090710", "A090710")</f>
        <v>0</v>
      </c>
      <c r="B999">
        <f>HYPERLINK("http://comp.fnguide.com/SVO2/ASP/SVD_Consensus.asp?pGB=1&amp;gicode=A090710&amp;cID=&amp;MenuYn=Y&amp;ReportGB=&amp;NewMenuID=108&amp;stkGb=701", "휴림로봇")</f>
        <v>0</v>
      </c>
      <c r="C999">
        <v>0</v>
      </c>
      <c r="D999">
        <v>1895</v>
      </c>
      <c r="G999">
        <v>66</v>
      </c>
      <c r="H999">
        <v>232</v>
      </c>
      <c r="I999">
        <v>279</v>
      </c>
      <c r="J999">
        <v>96.54000000000001</v>
      </c>
      <c r="K999">
        <v>87.77</v>
      </c>
      <c r="L999">
        <v>85.27</v>
      </c>
      <c r="M999">
        <v>1.53</v>
      </c>
      <c r="N999" t="b">
        <v>0</v>
      </c>
      <c r="O999">
        <v>-117</v>
      </c>
      <c r="P999" t="s">
        <v>1012</v>
      </c>
      <c r="Q999" t="s">
        <v>3138</v>
      </c>
      <c r="R999">
        <v>8.799264703397691</v>
      </c>
      <c r="S999">
        <v>1574</v>
      </c>
      <c r="T999">
        <v>13132189</v>
      </c>
      <c r="U999" t="s">
        <v>4983</v>
      </c>
      <c r="V999">
        <v>13.07</v>
      </c>
      <c r="W999" t="s">
        <v>7201</v>
      </c>
      <c r="X999" t="s">
        <v>9298</v>
      </c>
      <c r="Y999">
        <v>176</v>
      </c>
      <c r="Z999">
        <v>-52</v>
      </c>
      <c r="AA999">
        <v>41541</v>
      </c>
    </row>
    <row r="1000" spans="1:28">
      <c r="A1000" s="2">
        <f>HYPERLINK("https://finance.naver.com/item/coinfo.nhn?code=096630", "A096630")</f>
        <v>0</v>
      </c>
      <c r="B1000">
        <f>HYPERLINK("http://comp.fnguide.com/SVO2/ASP/SVD_Consensus.asp?pGB=1&amp;gicode=A096630&amp;cID=&amp;MenuYn=Y&amp;ReportGB=&amp;NewMenuID=108&amp;stkGb=701", "에스코넥")</f>
        <v>0</v>
      </c>
      <c r="C1000">
        <v>0</v>
      </c>
      <c r="D1000">
        <v>2090</v>
      </c>
      <c r="G1000">
        <v>1541</v>
      </c>
      <c r="H1000">
        <v>1536</v>
      </c>
      <c r="I1000">
        <v>1535</v>
      </c>
      <c r="J1000">
        <v>26.28</v>
      </c>
      <c r="K1000">
        <v>26.49</v>
      </c>
      <c r="L1000">
        <v>26.55</v>
      </c>
      <c r="M1000">
        <v>8.01</v>
      </c>
      <c r="N1000" t="b">
        <v>0</v>
      </c>
      <c r="O1000">
        <v>-187</v>
      </c>
      <c r="P1000" t="s">
        <v>1013</v>
      </c>
      <c r="Q1000" t="s">
        <v>3139</v>
      </c>
      <c r="R1000">
        <v>41.17075274252362</v>
      </c>
      <c r="S1000">
        <v>1364</v>
      </c>
      <c r="T1000">
        <v>2105642</v>
      </c>
      <c r="U1000" t="s">
        <v>4984</v>
      </c>
      <c r="V1000">
        <v>19.37</v>
      </c>
      <c r="W1000" t="s">
        <v>7202</v>
      </c>
      <c r="X1000" t="s">
        <v>9299</v>
      </c>
      <c r="Y1000">
        <v>2545</v>
      </c>
      <c r="Z1000">
        <v>-147</v>
      </c>
      <c r="AA1000">
        <v>6379722</v>
      </c>
    </row>
    <row r="1001" spans="1:28">
      <c r="A1001" s="2">
        <f>HYPERLINK("https://finance.naver.com/item/coinfo.nhn?code=205470", "A205470")</f>
        <v>0</v>
      </c>
      <c r="B1001">
        <f>HYPERLINK("http://comp.fnguide.com/SVO2/ASP/SVD_Consensus.asp?pGB=1&amp;gicode=A205470&amp;cID=&amp;MenuYn=Y&amp;ReportGB=&amp;NewMenuID=108&amp;stkGb=701", "휴마시스")</f>
        <v>0</v>
      </c>
      <c r="C1001">
        <v>0</v>
      </c>
      <c r="D1001">
        <v>8870</v>
      </c>
      <c r="E1001">
        <v>0</v>
      </c>
      <c r="G1001">
        <v>0</v>
      </c>
      <c r="H1001">
        <v>267</v>
      </c>
      <c r="I1001">
        <v>343</v>
      </c>
      <c r="J1001">
        <v>100</v>
      </c>
      <c r="K1001">
        <v>96.98999999999999</v>
      </c>
      <c r="L1001">
        <v>96.13</v>
      </c>
      <c r="M1001">
        <v>0</v>
      </c>
      <c r="N1001" t="b">
        <v>0</v>
      </c>
      <c r="O1001">
        <v>-44</v>
      </c>
      <c r="P1001" t="s">
        <v>1014</v>
      </c>
      <c r="Q1001" t="s">
        <v>2276</v>
      </c>
      <c r="R1001">
        <v>0</v>
      </c>
      <c r="S1001">
        <v>3036</v>
      </c>
      <c r="T1001">
        <v>1821285</v>
      </c>
      <c r="U1001" t="s">
        <v>4985</v>
      </c>
      <c r="V1001">
        <v>9.35</v>
      </c>
      <c r="W1001" t="s">
        <v>7203</v>
      </c>
      <c r="X1001" t="s">
        <v>968</v>
      </c>
      <c r="Y1001">
        <v>92</v>
      </c>
      <c r="Z1001">
        <v>-9</v>
      </c>
      <c r="AA1001">
        <v>29704</v>
      </c>
    </row>
    <row r="1002" spans="1:28">
      <c r="A1002" s="2">
        <f>HYPERLINK("https://finance.naver.com/item/coinfo.nhn?code=109610", "A109610")</f>
        <v>0</v>
      </c>
      <c r="B1002">
        <f>HYPERLINK("http://comp.fnguide.com/SVO2/ASP/SVD_Consensus.asp?pGB=1&amp;gicode=A109610&amp;cID=&amp;MenuYn=Y&amp;ReportGB=&amp;NewMenuID=108&amp;stkGb=701", "에스와이")</f>
        <v>0</v>
      </c>
      <c r="C1002">
        <v>0</v>
      </c>
      <c r="D1002">
        <v>4800</v>
      </c>
      <c r="G1002">
        <v>192</v>
      </c>
      <c r="H1002">
        <v>1614</v>
      </c>
      <c r="I1002">
        <v>2019</v>
      </c>
      <c r="J1002">
        <v>96</v>
      </c>
      <c r="K1002">
        <v>66.37</v>
      </c>
      <c r="L1002">
        <v>57.93</v>
      </c>
      <c r="M1002">
        <v>0.6</v>
      </c>
      <c r="N1002" t="b">
        <v>0</v>
      </c>
      <c r="O1002">
        <v>-564</v>
      </c>
      <c r="P1002" t="s">
        <v>1015</v>
      </c>
      <c r="Q1002" t="s">
        <v>3140</v>
      </c>
      <c r="R1002">
        <v>-51.66161421557782</v>
      </c>
      <c r="S1002">
        <v>2108</v>
      </c>
      <c r="T1002">
        <v>31516985</v>
      </c>
      <c r="U1002" t="s">
        <v>4986</v>
      </c>
      <c r="V1002">
        <v>37.32</v>
      </c>
      <c r="W1002" t="s">
        <v>7204</v>
      </c>
      <c r="X1002" t="s">
        <v>9300</v>
      </c>
      <c r="Y1002">
        <v>3801</v>
      </c>
      <c r="Z1002">
        <v>-84</v>
      </c>
      <c r="AA1002">
        <v>1164228</v>
      </c>
    </row>
    <row r="1003" spans="1:28">
      <c r="A1003" s="2">
        <f>HYPERLINK("https://finance.naver.com/item/coinfo.nhn?code=007820", "A007820")</f>
        <v>0</v>
      </c>
      <c r="B1003">
        <f>HYPERLINK("http://comp.fnguide.com/SVO2/ASP/SVD_Consensus.asp?pGB=1&amp;gicode=A007820&amp;cID=&amp;MenuYn=Y&amp;ReportGB=&amp;NewMenuID=108&amp;stkGb=701", "에스엠코어")</f>
        <v>0</v>
      </c>
      <c r="C1003">
        <v>0</v>
      </c>
      <c r="D1003">
        <v>7410</v>
      </c>
      <c r="E1003">
        <v>-1.54</v>
      </c>
      <c r="F1003">
        <v>47.99</v>
      </c>
      <c r="G1003">
        <v>1793</v>
      </c>
      <c r="H1003">
        <v>3070</v>
      </c>
      <c r="I1003">
        <v>3434</v>
      </c>
      <c r="J1003">
        <v>75.81</v>
      </c>
      <c r="K1003">
        <v>58.57</v>
      </c>
      <c r="L1003">
        <v>53.66</v>
      </c>
      <c r="M1003">
        <v>3.65</v>
      </c>
      <c r="N1003" t="b">
        <v>1</v>
      </c>
      <c r="O1003">
        <v>229</v>
      </c>
      <c r="P1003" t="s">
        <v>1016</v>
      </c>
      <c r="Q1003" t="s">
        <v>3141</v>
      </c>
      <c r="R1003">
        <v>-31.22558615298857</v>
      </c>
      <c r="S1003">
        <v>1485</v>
      </c>
      <c r="T1003">
        <v>308809</v>
      </c>
      <c r="U1003" t="s">
        <v>4987</v>
      </c>
      <c r="V1003">
        <v>26.84</v>
      </c>
      <c r="W1003" t="s">
        <v>7205</v>
      </c>
      <c r="X1003" t="s">
        <v>9301</v>
      </c>
      <c r="Y1003">
        <v>1281</v>
      </c>
      <c r="Z1003">
        <v>51</v>
      </c>
      <c r="AA1003">
        <v>5</v>
      </c>
      <c r="AB1003">
        <v>0.64</v>
      </c>
    </row>
    <row r="1004" spans="1:28">
      <c r="A1004" s="2">
        <f>HYPERLINK("https://finance.naver.com/item/coinfo.nhn?code=058610", "A058610")</f>
        <v>0</v>
      </c>
      <c r="B1004">
        <f>HYPERLINK("http://comp.fnguide.com/SVO2/ASP/SVD_Consensus.asp?pGB=1&amp;gicode=A058610&amp;cID=&amp;MenuYn=Y&amp;ReportGB=&amp;NewMenuID=108&amp;stkGb=701", "에스피지")</f>
        <v>0</v>
      </c>
      <c r="C1004">
        <v>0</v>
      </c>
      <c r="D1004">
        <v>7170</v>
      </c>
      <c r="E1004">
        <v>0.36</v>
      </c>
      <c r="F1004">
        <v>19.89</v>
      </c>
      <c r="G1004">
        <v>4291</v>
      </c>
      <c r="H1004">
        <v>5672</v>
      </c>
      <c r="I1004">
        <v>6066</v>
      </c>
      <c r="J1004">
        <v>40.15</v>
      </c>
      <c r="K1004">
        <v>20.89</v>
      </c>
      <c r="L1004">
        <v>15.4</v>
      </c>
      <c r="M1004">
        <v>5.19</v>
      </c>
      <c r="N1004" t="b">
        <v>1</v>
      </c>
      <c r="O1004">
        <v>356</v>
      </c>
      <c r="P1004" t="s">
        <v>1017</v>
      </c>
      <c r="Q1004" t="s">
        <v>3142</v>
      </c>
      <c r="R1004">
        <v>55.32164981577115</v>
      </c>
      <c r="S1004">
        <v>1497</v>
      </c>
      <c r="T1004">
        <v>117772</v>
      </c>
      <c r="U1004" t="s">
        <v>4988</v>
      </c>
      <c r="V1004">
        <v>42.87</v>
      </c>
      <c r="W1004" t="s">
        <v>7206</v>
      </c>
      <c r="X1004" t="s">
        <v>9302</v>
      </c>
      <c r="Y1004">
        <v>3152</v>
      </c>
      <c r="Z1004">
        <v>103</v>
      </c>
      <c r="AA1004">
        <v>799882</v>
      </c>
      <c r="AB1004">
        <v>1.41</v>
      </c>
    </row>
    <row r="1005" spans="1:28">
      <c r="A1005" s="2">
        <f>HYPERLINK("https://finance.naver.com/item/coinfo.nhn?code=200670", "A200670")</f>
        <v>0</v>
      </c>
      <c r="B1005">
        <f>HYPERLINK("http://comp.fnguide.com/SVO2/ASP/SVD_Consensus.asp?pGB=1&amp;gicode=A200670&amp;cID=&amp;MenuYn=Y&amp;ReportGB=&amp;NewMenuID=108&amp;stkGb=701", "휴메딕스")</f>
        <v>0</v>
      </c>
      <c r="C1005">
        <v>0</v>
      </c>
      <c r="D1005">
        <v>23750</v>
      </c>
      <c r="E1005">
        <v>-23.38</v>
      </c>
      <c r="F1005">
        <v>22.15</v>
      </c>
      <c r="G1005">
        <v>14150</v>
      </c>
      <c r="H1005">
        <v>12800</v>
      </c>
      <c r="I1005">
        <v>12415</v>
      </c>
      <c r="J1005">
        <v>40.42</v>
      </c>
      <c r="K1005">
        <v>46.11</v>
      </c>
      <c r="L1005">
        <v>47.73</v>
      </c>
      <c r="M1005">
        <v>9.470000000000001</v>
      </c>
      <c r="N1005" t="b">
        <v>1</v>
      </c>
      <c r="O1005">
        <v>1045</v>
      </c>
      <c r="P1005" t="s">
        <v>1018</v>
      </c>
      <c r="Q1005" t="s">
        <v>3143</v>
      </c>
      <c r="R1005">
        <v>-0.9472904978192642</v>
      </c>
      <c r="S1005">
        <v>2368</v>
      </c>
      <c r="T1005">
        <v>42442</v>
      </c>
      <c r="U1005" t="s">
        <v>4989</v>
      </c>
      <c r="V1005">
        <v>42.41</v>
      </c>
      <c r="W1005" t="s">
        <v>7207</v>
      </c>
      <c r="X1005" t="s">
        <v>9303</v>
      </c>
      <c r="Y1005">
        <v>786</v>
      </c>
      <c r="Z1005">
        <v>133</v>
      </c>
      <c r="AA1005">
        <v>553194</v>
      </c>
      <c r="AB1005">
        <v>2.16</v>
      </c>
    </row>
    <row r="1006" spans="1:28">
      <c r="A1006" s="2">
        <f>HYPERLINK("https://finance.naver.com/item/coinfo.nhn?code=065420", "A065420")</f>
        <v>0</v>
      </c>
      <c r="B1006">
        <f>HYPERLINK("http://comp.fnguide.com/SVO2/ASP/SVD_Consensus.asp?pGB=1&amp;gicode=A065420&amp;cID=&amp;MenuYn=Y&amp;ReportGB=&amp;NewMenuID=108&amp;stkGb=701", "에스아이리소스")</f>
        <v>0</v>
      </c>
      <c r="C1006">
        <v>0</v>
      </c>
      <c r="D1006">
        <v>639</v>
      </c>
      <c r="E1006">
        <v>0</v>
      </c>
      <c r="G1006">
        <v>0</v>
      </c>
      <c r="H1006">
        <v>107</v>
      </c>
      <c r="I1006">
        <v>137</v>
      </c>
      <c r="J1006">
        <v>100</v>
      </c>
      <c r="K1006">
        <v>83.26000000000001</v>
      </c>
      <c r="L1006">
        <v>78.48999999999999</v>
      </c>
      <c r="M1006">
        <v>0</v>
      </c>
      <c r="N1006" t="b">
        <v>0</v>
      </c>
      <c r="O1006">
        <v>-173</v>
      </c>
      <c r="P1006" t="s">
        <v>1019</v>
      </c>
      <c r="Q1006" t="s">
        <v>2276</v>
      </c>
      <c r="R1006">
        <v>0</v>
      </c>
      <c r="S1006">
        <v>413</v>
      </c>
      <c r="T1006">
        <v>0</v>
      </c>
      <c r="U1006" t="s">
        <v>4990</v>
      </c>
      <c r="V1006">
        <v>25.6</v>
      </c>
      <c r="W1006" t="s">
        <v>7208</v>
      </c>
      <c r="X1006" t="s">
        <v>968</v>
      </c>
      <c r="Y1006">
        <v>128</v>
      </c>
      <c r="Z1006">
        <v>5</v>
      </c>
      <c r="AA1006">
        <v>12565</v>
      </c>
    </row>
    <row r="1007" spans="1:28">
      <c r="A1007" s="2">
        <f>HYPERLINK("https://finance.naver.com/item/coinfo.nhn?code=095910", "A095910")</f>
        <v>0</v>
      </c>
      <c r="B1007">
        <f>HYPERLINK("http://comp.fnguide.com/SVO2/ASP/SVD_Consensus.asp?pGB=1&amp;gicode=A095910&amp;cID=&amp;MenuYn=Y&amp;ReportGB=&amp;NewMenuID=108&amp;stkGb=701", "에스에너지")</f>
        <v>0</v>
      </c>
      <c r="C1007">
        <v>0</v>
      </c>
      <c r="D1007">
        <v>7870</v>
      </c>
      <c r="G1007">
        <v>0</v>
      </c>
      <c r="H1007">
        <v>4298</v>
      </c>
      <c r="I1007">
        <v>5523</v>
      </c>
      <c r="J1007">
        <v>100</v>
      </c>
      <c r="K1007">
        <v>45.39</v>
      </c>
      <c r="L1007">
        <v>29.83</v>
      </c>
      <c r="M1007">
        <v>0</v>
      </c>
      <c r="N1007" t="b">
        <v>0</v>
      </c>
      <c r="O1007">
        <v>-606</v>
      </c>
      <c r="P1007" t="s">
        <v>1020</v>
      </c>
      <c r="Q1007" t="s">
        <v>3144</v>
      </c>
      <c r="R1007">
        <v>-14.2</v>
      </c>
      <c r="S1007">
        <v>1160</v>
      </c>
      <c r="T1007">
        <v>419923</v>
      </c>
      <c r="U1007" t="s">
        <v>4991</v>
      </c>
      <c r="V1007">
        <v>15.07</v>
      </c>
      <c r="W1007" t="s">
        <v>7209</v>
      </c>
      <c r="X1007" t="s">
        <v>968</v>
      </c>
      <c r="Y1007">
        <v>2169</v>
      </c>
      <c r="Z1007">
        <v>14</v>
      </c>
      <c r="AA1007">
        <v>860275</v>
      </c>
      <c r="AB1007">
        <v>1.3</v>
      </c>
    </row>
    <row r="1008" spans="1:28">
      <c r="A1008" s="2">
        <f>HYPERLINK("https://finance.naver.com/item/coinfo.nhn?code=067630", "A067630")</f>
        <v>0</v>
      </c>
      <c r="B1008">
        <f>HYPERLINK("http://comp.fnguide.com/SVO2/ASP/SVD_Consensus.asp?pGB=1&amp;gicode=A067630&amp;cID=&amp;MenuYn=Y&amp;ReportGB=&amp;NewMenuID=108&amp;stkGb=701", "에이치엘비생명과학")</f>
        <v>0</v>
      </c>
      <c r="C1008">
        <v>0</v>
      </c>
      <c r="D1008">
        <v>26800</v>
      </c>
      <c r="E1008">
        <v>0</v>
      </c>
      <c r="G1008">
        <v>2859</v>
      </c>
      <c r="H1008">
        <v>5402</v>
      </c>
      <c r="I1008">
        <v>6127</v>
      </c>
      <c r="J1008">
        <v>89.33</v>
      </c>
      <c r="K1008">
        <v>79.84</v>
      </c>
      <c r="L1008">
        <v>77.14</v>
      </c>
      <c r="M1008">
        <v>3.21</v>
      </c>
      <c r="N1008" t="b">
        <v>0</v>
      </c>
      <c r="O1008">
        <v>-161</v>
      </c>
      <c r="P1008" t="s">
        <v>1021</v>
      </c>
      <c r="Q1008" t="s">
        <v>2276</v>
      </c>
      <c r="R1008">
        <v>0</v>
      </c>
      <c r="S1008">
        <v>12615</v>
      </c>
      <c r="T1008">
        <v>645792</v>
      </c>
      <c r="U1008" t="s">
        <v>4992</v>
      </c>
      <c r="V1008">
        <v>18.5</v>
      </c>
      <c r="W1008" t="s">
        <v>7210</v>
      </c>
      <c r="X1008" t="s">
        <v>9304</v>
      </c>
      <c r="Y1008">
        <v>1140</v>
      </c>
      <c r="Z1008">
        <v>-45</v>
      </c>
    </row>
    <row r="1009" spans="1:28">
      <c r="A1009" s="2">
        <f>HYPERLINK("https://finance.naver.com/item/coinfo.nhn?code=028300", "A028300")</f>
        <v>0</v>
      </c>
      <c r="B1009">
        <f>HYPERLINK("http://comp.fnguide.com/SVO2/ASP/SVD_Consensus.asp?pGB=1&amp;gicode=A028300&amp;cID=&amp;MenuYn=Y&amp;ReportGB=&amp;NewMenuID=108&amp;stkGb=701", "에이치엘비")</f>
        <v>0</v>
      </c>
      <c r="C1009">
        <v>0</v>
      </c>
      <c r="D1009">
        <v>95300</v>
      </c>
      <c r="E1009">
        <v>0</v>
      </c>
      <c r="G1009">
        <v>2960</v>
      </c>
      <c r="H1009">
        <v>3295</v>
      </c>
      <c r="I1009">
        <v>3391</v>
      </c>
      <c r="J1009">
        <v>96.89</v>
      </c>
      <c r="K1009">
        <v>96.54000000000001</v>
      </c>
      <c r="L1009">
        <v>96.44</v>
      </c>
      <c r="M1009">
        <v>6.71</v>
      </c>
      <c r="N1009" t="b">
        <v>0</v>
      </c>
      <c r="O1009">
        <v>-979</v>
      </c>
      <c r="P1009" t="s">
        <v>1022</v>
      </c>
      <c r="Q1009" t="s">
        <v>2276</v>
      </c>
      <c r="R1009">
        <v>0</v>
      </c>
      <c r="S1009">
        <v>50180</v>
      </c>
      <c r="T1009">
        <v>459152</v>
      </c>
      <c r="U1009" t="s">
        <v>4993</v>
      </c>
      <c r="V1009">
        <v>13.91</v>
      </c>
      <c r="W1009" t="s">
        <v>7211</v>
      </c>
      <c r="X1009" t="s">
        <v>9305</v>
      </c>
      <c r="Y1009">
        <v>384</v>
      </c>
      <c r="Z1009">
        <v>-487</v>
      </c>
      <c r="AA1009">
        <v>96859</v>
      </c>
    </row>
    <row r="1010" spans="1:28">
      <c r="A1010" s="2">
        <f>HYPERLINK("https://finance.naver.com/item/coinfo.nhn?code=176440", "A176440")</f>
        <v>0</v>
      </c>
      <c r="B1010">
        <f>HYPERLINK("http://comp.fnguide.com/SVO2/ASP/SVD_Consensus.asp?pGB=1&amp;gicode=A176440&amp;cID=&amp;MenuYn=Y&amp;ReportGB=&amp;NewMenuID=108&amp;stkGb=701", "에이치엔티")</f>
        <v>0</v>
      </c>
      <c r="C1010">
        <v>0</v>
      </c>
      <c r="D1010">
        <v>1920</v>
      </c>
      <c r="G1010">
        <v>14</v>
      </c>
      <c r="H1010">
        <v>431</v>
      </c>
      <c r="I1010">
        <v>550</v>
      </c>
      <c r="J1010">
        <v>99.27</v>
      </c>
      <c r="K1010">
        <v>77.54000000000001</v>
      </c>
      <c r="L1010">
        <v>71.34999999999999</v>
      </c>
      <c r="M1010">
        <v>0.16</v>
      </c>
      <c r="N1010" t="b">
        <v>0</v>
      </c>
      <c r="O1010">
        <v>-25</v>
      </c>
      <c r="P1010" t="s">
        <v>1023</v>
      </c>
      <c r="Q1010" t="s">
        <v>3145</v>
      </c>
      <c r="R1010">
        <v>346.3</v>
      </c>
      <c r="S1010">
        <v>1646</v>
      </c>
      <c r="T1010">
        <v>0</v>
      </c>
      <c r="U1010" t="s">
        <v>4994</v>
      </c>
      <c r="V1010">
        <v>17.87</v>
      </c>
      <c r="W1010" t="s">
        <v>7212</v>
      </c>
      <c r="X1010" t="s">
        <v>9306</v>
      </c>
      <c r="Y1010">
        <v>2420</v>
      </c>
      <c r="Z1010">
        <v>20</v>
      </c>
      <c r="AA1010">
        <v>1750000</v>
      </c>
    </row>
    <row r="1011" spans="1:28">
      <c r="A1011" s="2">
        <f>HYPERLINK("https://finance.naver.com/item/coinfo.nhn?code=072990", "A072990")</f>
        <v>0</v>
      </c>
      <c r="B1011">
        <f>HYPERLINK("http://comp.fnguide.com/SVO2/ASP/SVD_Consensus.asp?pGB=1&amp;gicode=A072990&amp;cID=&amp;MenuYn=Y&amp;ReportGB=&amp;NewMenuID=108&amp;stkGb=701", "에이치시티")</f>
        <v>0</v>
      </c>
      <c r="C1011">
        <v>0</v>
      </c>
      <c r="D1011">
        <v>12850</v>
      </c>
      <c r="E1011">
        <v>-1.65</v>
      </c>
      <c r="F1011">
        <v>11.28</v>
      </c>
      <c r="G1011">
        <v>8528</v>
      </c>
      <c r="H1011">
        <v>7815</v>
      </c>
      <c r="I1011">
        <v>7612</v>
      </c>
      <c r="J1011">
        <v>33.63</v>
      </c>
      <c r="K1011">
        <v>39.18</v>
      </c>
      <c r="L1011">
        <v>40.76</v>
      </c>
      <c r="M1011">
        <v>9.26</v>
      </c>
      <c r="N1011" t="b">
        <v>0</v>
      </c>
      <c r="O1011">
        <v>886</v>
      </c>
      <c r="P1011" t="s">
        <v>1024</v>
      </c>
      <c r="Q1011" t="s">
        <v>3146</v>
      </c>
      <c r="R1011">
        <v>-6.817210758790093</v>
      </c>
      <c r="S1011">
        <v>890</v>
      </c>
      <c r="T1011">
        <v>74678</v>
      </c>
      <c r="U1011" t="s">
        <v>4995</v>
      </c>
      <c r="V1011">
        <v>37.6</v>
      </c>
      <c r="W1011" t="s">
        <v>7213</v>
      </c>
      <c r="X1011" t="s">
        <v>9307</v>
      </c>
      <c r="Y1011">
        <v>474</v>
      </c>
      <c r="Z1011">
        <v>72</v>
      </c>
      <c r="AA1011">
        <v>157742</v>
      </c>
      <c r="AB1011">
        <v>0.3</v>
      </c>
    </row>
    <row r="1012" spans="1:28">
      <c r="A1012" s="2">
        <f>HYPERLINK("https://finance.naver.com/item/coinfo.nhn?code=101490", "A101490")</f>
        <v>0</v>
      </c>
      <c r="B1012">
        <f>HYPERLINK("http://comp.fnguide.com/SVO2/ASP/SVD_Consensus.asp?pGB=1&amp;gicode=A101490&amp;cID=&amp;MenuYn=Y&amp;ReportGB=&amp;NewMenuID=108&amp;stkGb=701", "에스앤에스텍")</f>
        <v>0</v>
      </c>
      <c r="C1012">
        <v>0</v>
      </c>
      <c r="D1012">
        <v>44200</v>
      </c>
      <c r="E1012">
        <v>3.23</v>
      </c>
      <c r="F1012">
        <v>23.84</v>
      </c>
      <c r="G1012">
        <v>4606</v>
      </c>
      <c r="H1012">
        <v>4394</v>
      </c>
      <c r="I1012">
        <v>4334</v>
      </c>
      <c r="J1012">
        <v>89.58</v>
      </c>
      <c r="K1012">
        <v>90.06</v>
      </c>
      <c r="L1012">
        <v>90.2</v>
      </c>
      <c r="M1012">
        <v>8.630000000000001</v>
      </c>
      <c r="N1012" t="b">
        <v>1</v>
      </c>
      <c r="O1012">
        <v>512</v>
      </c>
      <c r="P1012" t="s">
        <v>1025</v>
      </c>
      <c r="Q1012" t="s">
        <v>3147</v>
      </c>
      <c r="R1012">
        <v>7.380375668492212</v>
      </c>
      <c r="S1012">
        <v>9482</v>
      </c>
      <c r="T1012">
        <v>384514</v>
      </c>
      <c r="U1012" t="s">
        <v>4996</v>
      </c>
      <c r="V1012">
        <v>21.68</v>
      </c>
      <c r="W1012" t="s">
        <v>7214</v>
      </c>
      <c r="X1012" t="s">
        <v>9308</v>
      </c>
      <c r="Y1012">
        <v>845</v>
      </c>
      <c r="Z1012">
        <v>111</v>
      </c>
      <c r="AA1012">
        <v>621177</v>
      </c>
      <c r="AB1012">
        <v>0.41</v>
      </c>
    </row>
    <row r="1013" spans="1:28">
      <c r="A1013" s="2">
        <f>HYPERLINK("https://finance.naver.com/item/coinfo.nhn?code=097870", "A097870")</f>
        <v>0</v>
      </c>
      <c r="B1013">
        <f>HYPERLINK("http://comp.fnguide.com/SVO2/ASP/SVD_Consensus.asp?pGB=1&amp;gicode=A097870&amp;cID=&amp;MenuYn=Y&amp;ReportGB=&amp;NewMenuID=108&amp;stkGb=701", "효성오앤비")</f>
        <v>0</v>
      </c>
      <c r="C1013">
        <v>0</v>
      </c>
      <c r="D1013">
        <v>7910</v>
      </c>
      <c r="E1013">
        <v>-1.36</v>
      </c>
      <c r="F1013">
        <v>34.07</v>
      </c>
      <c r="G1013">
        <v>3366</v>
      </c>
      <c r="H1013">
        <v>6098</v>
      </c>
      <c r="I1013">
        <v>6877</v>
      </c>
      <c r="J1013">
        <v>57.45</v>
      </c>
      <c r="K1013">
        <v>22.91</v>
      </c>
      <c r="L1013">
        <v>13.06</v>
      </c>
      <c r="M1013">
        <v>3.39</v>
      </c>
      <c r="N1013" t="b">
        <v>1</v>
      </c>
      <c r="O1013">
        <v>188</v>
      </c>
      <c r="P1013" t="s">
        <v>1026</v>
      </c>
      <c r="Q1013" t="s">
        <v>3148</v>
      </c>
      <c r="R1013">
        <v>-25.1349346046044</v>
      </c>
      <c r="S1013">
        <v>672</v>
      </c>
      <c r="T1013">
        <v>35767</v>
      </c>
      <c r="U1013" t="s">
        <v>4997</v>
      </c>
      <c r="V1013">
        <v>46.31</v>
      </c>
      <c r="W1013" t="s">
        <v>7215</v>
      </c>
      <c r="X1013" t="s">
        <v>9309</v>
      </c>
      <c r="Y1013">
        <v>293</v>
      </c>
      <c r="Z1013">
        <v>20</v>
      </c>
      <c r="AA1013">
        <v>870000</v>
      </c>
      <c r="AB1013">
        <v>1.56</v>
      </c>
    </row>
    <row r="1014" spans="1:28">
      <c r="A1014" s="2">
        <f>HYPERLINK("https://finance.naver.com/item/coinfo.nhn?code=138360", "A138360")</f>
        <v>0</v>
      </c>
      <c r="B1014">
        <f>HYPERLINK("http://comp.fnguide.com/SVO2/ASP/SVD_Consensus.asp?pGB=1&amp;gicode=A138360&amp;cID=&amp;MenuYn=Y&amp;ReportGB=&amp;NewMenuID=108&amp;stkGb=701", "에이씨티")</f>
        <v>0</v>
      </c>
      <c r="C1014">
        <v>0</v>
      </c>
      <c r="D1014">
        <v>4480</v>
      </c>
      <c r="E1014">
        <v>0</v>
      </c>
      <c r="G1014">
        <v>0</v>
      </c>
      <c r="H1014">
        <v>752</v>
      </c>
      <c r="I1014">
        <v>967</v>
      </c>
      <c r="J1014">
        <v>100</v>
      </c>
      <c r="K1014">
        <v>83.20999999999999</v>
      </c>
      <c r="L1014">
        <v>78.42</v>
      </c>
      <c r="M1014">
        <v>0</v>
      </c>
      <c r="N1014" t="b">
        <v>0</v>
      </c>
      <c r="O1014">
        <v>-3</v>
      </c>
      <c r="P1014" t="s">
        <v>1027</v>
      </c>
      <c r="Q1014" t="s">
        <v>2276</v>
      </c>
      <c r="R1014">
        <v>0</v>
      </c>
      <c r="S1014">
        <v>1551</v>
      </c>
      <c r="T1014">
        <v>0</v>
      </c>
      <c r="U1014" t="s">
        <v>4998</v>
      </c>
      <c r="V1014">
        <v>31.42</v>
      </c>
      <c r="W1014" t="s">
        <v>7216</v>
      </c>
      <c r="X1014" t="s">
        <v>968</v>
      </c>
      <c r="Y1014">
        <v>188</v>
      </c>
      <c r="Z1014">
        <v>2</v>
      </c>
      <c r="AA1014">
        <v>31302</v>
      </c>
    </row>
    <row r="1015" spans="1:28">
      <c r="A1015" s="2">
        <f>HYPERLINK("https://finance.naver.com/item/coinfo.nhn?code=054630", "A054630")</f>
        <v>0</v>
      </c>
      <c r="B1015">
        <f>HYPERLINK("http://comp.fnguide.com/SVO2/ASP/SVD_Consensus.asp?pGB=1&amp;gicode=A054630&amp;cID=&amp;MenuYn=Y&amp;ReportGB=&amp;NewMenuID=108&amp;stkGb=701", "에이디칩스")</f>
        <v>0</v>
      </c>
      <c r="C1015">
        <v>0</v>
      </c>
      <c r="D1015">
        <v>1040</v>
      </c>
      <c r="G1015">
        <v>28</v>
      </c>
      <c r="H1015">
        <v>358</v>
      </c>
      <c r="I1015">
        <v>452</v>
      </c>
      <c r="J1015">
        <v>97.33</v>
      </c>
      <c r="K1015">
        <v>65.58</v>
      </c>
      <c r="L1015">
        <v>56.54</v>
      </c>
      <c r="M1015">
        <v>0.38</v>
      </c>
      <c r="N1015" t="b">
        <v>0</v>
      </c>
      <c r="O1015">
        <v>-410</v>
      </c>
      <c r="P1015" t="s">
        <v>1028</v>
      </c>
      <c r="Q1015" t="s">
        <v>3149</v>
      </c>
      <c r="R1015">
        <v>-80.2</v>
      </c>
      <c r="S1015">
        <v>516</v>
      </c>
      <c r="T1015">
        <v>4021752</v>
      </c>
      <c r="U1015" t="s">
        <v>4999</v>
      </c>
      <c r="V1015">
        <v>4.41</v>
      </c>
      <c r="W1015" t="s">
        <v>7217</v>
      </c>
      <c r="X1015" t="s">
        <v>9310</v>
      </c>
      <c r="Y1015">
        <v>177</v>
      </c>
      <c r="Z1015">
        <v>-27</v>
      </c>
    </row>
    <row r="1016" spans="1:28">
      <c r="A1016" s="2">
        <f>HYPERLINK("https://finance.naver.com/item/coinfo.nhn?code=241840", "A241840")</f>
        <v>0</v>
      </c>
      <c r="B1016">
        <f>HYPERLINK("http://comp.fnguide.com/SVO2/ASP/SVD_Consensus.asp?pGB=1&amp;gicode=A241840&amp;cID=&amp;MenuYn=Y&amp;ReportGB=&amp;NewMenuID=108&amp;stkGb=701", "에이스토리")</f>
        <v>0</v>
      </c>
      <c r="C1016">
        <v>0</v>
      </c>
      <c r="D1016">
        <v>16800</v>
      </c>
      <c r="G1016">
        <v>3512</v>
      </c>
      <c r="H1016">
        <v>3937</v>
      </c>
      <c r="I1016">
        <v>4059</v>
      </c>
      <c r="J1016">
        <v>79.09</v>
      </c>
      <c r="K1016">
        <v>76.56</v>
      </c>
      <c r="L1016">
        <v>75.84</v>
      </c>
      <c r="M1016">
        <v>6.63</v>
      </c>
      <c r="N1016" t="b">
        <v>0</v>
      </c>
      <c r="O1016">
        <v>-143</v>
      </c>
      <c r="P1016" t="s">
        <v>1029</v>
      </c>
      <c r="Q1016" t="s">
        <v>3150</v>
      </c>
      <c r="R1016">
        <v>-45.70000000000001</v>
      </c>
      <c r="S1016">
        <v>1565</v>
      </c>
      <c r="T1016">
        <v>425771</v>
      </c>
      <c r="U1016" t="s">
        <v>5000</v>
      </c>
      <c r="V1016">
        <v>26.32</v>
      </c>
      <c r="W1016" t="s">
        <v>7218</v>
      </c>
      <c r="X1016" t="s">
        <v>968</v>
      </c>
      <c r="Y1016">
        <v>282</v>
      </c>
      <c r="Z1016">
        <v>-11</v>
      </c>
      <c r="AA1016">
        <v>171038</v>
      </c>
    </row>
    <row r="1017" spans="1:28">
      <c r="A1017" s="2">
        <f>HYPERLINK("https://finance.naver.com/item/coinfo.nhn?code=088800", "A088800")</f>
        <v>0</v>
      </c>
      <c r="B1017">
        <f>HYPERLINK("http://comp.fnguide.com/SVO2/ASP/SVD_Consensus.asp?pGB=1&amp;gicode=A088800&amp;cID=&amp;MenuYn=Y&amp;ReportGB=&amp;NewMenuID=108&amp;stkGb=701", "에이스테크")</f>
        <v>0</v>
      </c>
      <c r="C1017">
        <v>0</v>
      </c>
      <c r="D1017">
        <v>23550</v>
      </c>
      <c r="E1017">
        <v>0</v>
      </c>
      <c r="G1017">
        <v>400</v>
      </c>
      <c r="H1017">
        <v>1467</v>
      </c>
      <c r="I1017">
        <v>1771</v>
      </c>
      <c r="J1017">
        <v>98.3</v>
      </c>
      <c r="K1017">
        <v>93.77</v>
      </c>
      <c r="L1017">
        <v>92.48</v>
      </c>
      <c r="M1017">
        <v>1.47</v>
      </c>
      <c r="N1017" t="b">
        <v>0</v>
      </c>
      <c r="O1017">
        <v>-237</v>
      </c>
      <c r="P1017" t="s">
        <v>1030</v>
      </c>
      <c r="Q1017" t="s">
        <v>2276</v>
      </c>
      <c r="R1017">
        <v>0</v>
      </c>
      <c r="S1017">
        <v>9646</v>
      </c>
      <c r="T1017">
        <v>652539</v>
      </c>
      <c r="U1017" t="s">
        <v>5001</v>
      </c>
      <c r="V1017">
        <v>24.45</v>
      </c>
      <c r="W1017" t="s">
        <v>7219</v>
      </c>
      <c r="X1017" t="s">
        <v>9311</v>
      </c>
      <c r="Y1017">
        <v>3786</v>
      </c>
      <c r="Z1017">
        <v>27</v>
      </c>
      <c r="AA1017">
        <v>325239</v>
      </c>
    </row>
    <row r="1018" spans="1:28">
      <c r="A1018" s="2">
        <f>HYPERLINK("https://finance.naver.com/item/coinfo.nhn?code=195990", "A195990")</f>
        <v>0</v>
      </c>
      <c r="B1018">
        <f>HYPERLINK("http://comp.fnguide.com/SVO2/ASP/SVD_Consensus.asp?pGB=1&amp;gicode=A195990&amp;cID=&amp;MenuYn=Y&amp;ReportGB=&amp;NewMenuID=108&amp;stkGb=701", "에이비프로바이오")</f>
        <v>0</v>
      </c>
      <c r="C1018">
        <v>0</v>
      </c>
      <c r="D1018">
        <v>2840</v>
      </c>
      <c r="G1018">
        <v>0</v>
      </c>
      <c r="H1018">
        <v>310</v>
      </c>
      <c r="I1018">
        <v>398</v>
      </c>
      <c r="J1018">
        <v>100</v>
      </c>
      <c r="K1018">
        <v>89.09</v>
      </c>
      <c r="L1018">
        <v>85.98</v>
      </c>
      <c r="M1018">
        <v>0</v>
      </c>
      <c r="N1018" t="b">
        <v>0</v>
      </c>
      <c r="O1018">
        <v>-237</v>
      </c>
      <c r="P1018" t="s">
        <v>1031</v>
      </c>
      <c r="Q1018" t="s">
        <v>3151</v>
      </c>
      <c r="R1018">
        <v>-99.90000000000001</v>
      </c>
      <c r="S1018">
        <v>6969</v>
      </c>
      <c r="T1018">
        <v>61335327</v>
      </c>
      <c r="U1018" t="s">
        <v>5002</v>
      </c>
      <c r="V1018">
        <v>5.73</v>
      </c>
      <c r="W1018" t="s">
        <v>7220</v>
      </c>
      <c r="X1018" t="s">
        <v>968</v>
      </c>
      <c r="Y1018">
        <v>319</v>
      </c>
      <c r="Z1018">
        <v>-299</v>
      </c>
      <c r="AA1018">
        <v>1815</v>
      </c>
    </row>
    <row r="1019" spans="1:28">
      <c r="A1019" s="2">
        <f>HYPERLINK("https://finance.naver.com/item/coinfo.nhn?code=298380", "A298380")</f>
        <v>0</v>
      </c>
      <c r="B1019">
        <f>HYPERLINK("http://comp.fnguide.com/SVO2/ASP/SVD_Consensus.asp?pGB=1&amp;gicode=A298380&amp;cID=&amp;MenuYn=Y&amp;ReportGB=&amp;NewMenuID=108&amp;stkGb=701", "에이비엘바이오")</f>
        <v>0</v>
      </c>
      <c r="C1019">
        <v>0</v>
      </c>
      <c r="D1019">
        <v>26150</v>
      </c>
      <c r="E1019">
        <v>0</v>
      </c>
      <c r="G1019">
        <v>0</v>
      </c>
      <c r="H1019">
        <v>1715</v>
      </c>
      <c r="I1019">
        <v>2204</v>
      </c>
      <c r="J1019">
        <v>100</v>
      </c>
      <c r="K1019">
        <v>93.44</v>
      </c>
      <c r="L1019">
        <v>91.56999999999999</v>
      </c>
      <c r="M1019">
        <v>0</v>
      </c>
      <c r="N1019" t="b">
        <v>0</v>
      </c>
      <c r="O1019">
        <v>-818</v>
      </c>
      <c r="P1019" t="s">
        <v>1032</v>
      </c>
      <c r="Q1019" t="s">
        <v>3152</v>
      </c>
      <c r="R1019">
        <v>0</v>
      </c>
      <c r="S1019">
        <v>12093</v>
      </c>
      <c r="T1019">
        <v>705059</v>
      </c>
      <c r="U1019" t="s">
        <v>5003</v>
      </c>
      <c r="V1019">
        <v>32.13</v>
      </c>
      <c r="W1019" t="s">
        <v>7221</v>
      </c>
      <c r="X1019" t="s">
        <v>968</v>
      </c>
      <c r="Y1019">
        <v>40</v>
      </c>
      <c r="Z1019">
        <v>-404</v>
      </c>
    </row>
    <row r="1020" spans="1:28">
      <c r="A1020" s="2">
        <f>HYPERLINK("https://finance.naver.com/item/coinfo.nhn?code=096690", "A096690")</f>
        <v>0</v>
      </c>
      <c r="B1020">
        <f>HYPERLINK("http://comp.fnguide.com/SVO2/ASP/SVD_Consensus.asp?pGB=1&amp;gicode=A096690&amp;cID=&amp;MenuYn=Y&amp;ReportGB=&amp;NewMenuID=108&amp;stkGb=701", "에이루트")</f>
        <v>0</v>
      </c>
      <c r="C1020">
        <v>0</v>
      </c>
      <c r="D1020">
        <v>7260</v>
      </c>
      <c r="E1020">
        <v>0</v>
      </c>
      <c r="F1020">
        <v>24.69</v>
      </c>
      <c r="G1020">
        <v>1334</v>
      </c>
      <c r="H1020">
        <v>5664</v>
      </c>
      <c r="I1020">
        <v>6898</v>
      </c>
      <c r="J1020">
        <v>81.62</v>
      </c>
      <c r="K1020">
        <v>21.98</v>
      </c>
      <c r="L1020">
        <v>4.99</v>
      </c>
      <c r="M1020">
        <v>1.25</v>
      </c>
      <c r="N1020" t="b">
        <v>1</v>
      </c>
      <c r="O1020">
        <v>339</v>
      </c>
      <c r="P1020" t="s">
        <v>1033</v>
      </c>
      <c r="Q1020" t="s">
        <v>2276</v>
      </c>
      <c r="R1020">
        <v>0</v>
      </c>
      <c r="S1020">
        <v>822</v>
      </c>
      <c r="T1020">
        <v>297105</v>
      </c>
      <c r="U1020" t="s">
        <v>5004</v>
      </c>
      <c r="V1020">
        <v>11.59</v>
      </c>
      <c r="W1020" t="s">
        <v>7222</v>
      </c>
      <c r="X1020" t="s">
        <v>9312</v>
      </c>
      <c r="Y1020">
        <v>313</v>
      </c>
      <c r="Z1020">
        <v>-10</v>
      </c>
      <c r="AA1020">
        <v>4488</v>
      </c>
    </row>
    <row r="1021" spans="1:28">
      <c r="A1021" s="2">
        <f>HYPERLINK("https://finance.naver.com/item/coinfo.nhn?code=200710", "A200710")</f>
        <v>0</v>
      </c>
      <c r="B1021">
        <f>HYPERLINK("http://comp.fnguide.com/SVO2/ASP/SVD_Consensus.asp?pGB=1&amp;gicode=A200710&amp;cID=&amp;MenuYn=Y&amp;ReportGB=&amp;NewMenuID=108&amp;stkGb=701", "에이디테크놀로지")</f>
        <v>0</v>
      </c>
      <c r="C1021">
        <v>0</v>
      </c>
      <c r="D1021">
        <v>26250</v>
      </c>
      <c r="E1021">
        <v>0.1</v>
      </c>
      <c r="F1021">
        <v>21.14</v>
      </c>
      <c r="G1021">
        <v>7543</v>
      </c>
      <c r="H1021">
        <v>5557</v>
      </c>
      <c r="I1021">
        <v>4991</v>
      </c>
      <c r="J1021">
        <v>71.26000000000001</v>
      </c>
      <c r="K1021">
        <v>78.83</v>
      </c>
      <c r="L1021">
        <v>80.98999999999999</v>
      </c>
      <c r="M1021">
        <v>14.19</v>
      </c>
      <c r="N1021" t="b">
        <v>1</v>
      </c>
      <c r="O1021">
        <v>809</v>
      </c>
      <c r="P1021" t="s">
        <v>1034</v>
      </c>
      <c r="Q1021" t="s">
        <v>3153</v>
      </c>
      <c r="R1021">
        <v>214.1665778415444</v>
      </c>
      <c r="S1021">
        <v>3485</v>
      </c>
      <c r="T1021">
        <v>186861</v>
      </c>
      <c r="U1021" t="s">
        <v>5005</v>
      </c>
      <c r="V1021">
        <v>18.29</v>
      </c>
      <c r="W1021" t="s">
        <v>7223</v>
      </c>
      <c r="X1021" t="s">
        <v>9313</v>
      </c>
      <c r="Y1021">
        <v>2258</v>
      </c>
      <c r="Z1021">
        <v>122</v>
      </c>
      <c r="AA1021">
        <v>130817</v>
      </c>
    </row>
    <row r="1022" spans="1:28">
      <c r="A1022" s="2">
        <f>HYPERLINK("https://finance.naver.com/item/coinfo.nhn?code=086520", "A086520")</f>
        <v>0</v>
      </c>
      <c r="B1022">
        <f>HYPERLINK("http://comp.fnguide.com/SVO2/ASP/SVD_Consensus.asp?pGB=1&amp;gicode=A086520&amp;cID=&amp;MenuYn=Y&amp;ReportGB=&amp;NewMenuID=108&amp;stkGb=701", "에코프로")</f>
        <v>0</v>
      </c>
      <c r="C1022">
        <v>0</v>
      </c>
      <c r="D1022">
        <v>44950</v>
      </c>
      <c r="E1022">
        <v>-3.72</v>
      </c>
      <c r="F1022">
        <v>23.3</v>
      </c>
      <c r="G1022">
        <v>20011</v>
      </c>
      <c r="H1022">
        <v>15548</v>
      </c>
      <c r="I1022">
        <v>14276</v>
      </c>
      <c r="J1022">
        <v>55.48</v>
      </c>
      <c r="K1022">
        <v>65.41</v>
      </c>
      <c r="L1022">
        <v>68.23999999999999</v>
      </c>
      <c r="M1022">
        <v>12.68</v>
      </c>
      <c r="N1022" t="b">
        <v>1</v>
      </c>
      <c r="O1022">
        <v>964</v>
      </c>
      <c r="P1022" t="s">
        <v>1035</v>
      </c>
      <c r="Q1022" t="s">
        <v>3154</v>
      </c>
      <c r="R1022">
        <v>-6.267188242323596</v>
      </c>
      <c r="S1022">
        <v>9930</v>
      </c>
      <c r="T1022">
        <v>353818</v>
      </c>
      <c r="U1022" t="s">
        <v>5006</v>
      </c>
      <c r="V1022">
        <v>18.05</v>
      </c>
      <c r="W1022" t="s">
        <v>7224</v>
      </c>
      <c r="X1022" t="s">
        <v>9314</v>
      </c>
      <c r="Y1022">
        <v>7023</v>
      </c>
      <c r="Z1022">
        <v>478</v>
      </c>
      <c r="AA1022">
        <v>218698</v>
      </c>
      <c r="AB1022">
        <v>1.34</v>
      </c>
    </row>
    <row r="1023" spans="1:28">
      <c r="A1023" s="2">
        <f>HYPERLINK("https://finance.naver.com/item/coinfo.nhn?code=247540", "A247540")</f>
        <v>0</v>
      </c>
      <c r="B1023">
        <f>HYPERLINK("http://comp.fnguide.com/SVO2/ASP/SVD_Consensus.asp?pGB=1&amp;gicode=A247540&amp;cID=&amp;MenuYn=Y&amp;ReportGB=&amp;NewMenuID=108&amp;stkGb=701", "에코프로비엠")</f>
        <v>0</v>
      </c>
      <c r="C1023">
        <v>0</v>
      </c>
      <c r="D1023">
        <v>149400</v>
      </c>
      <c r="E1023">
        <v>0</v>
      </c>
      <c r="F1023">
        <v>30.39</v>
      </c>
      <c r="G1023">
        <v>39370</v>
      </c>
      <c r="H1023">
        <v>26331</v>
      </c>
      <c r="I1023">
        <v>22615</v>
      </c>
      <c r="J1023">
        <v>73.65000000000001</v>
      </c>
      <c r="K1023">
        <v>82.38</v>
      </c>
      <c r="L1023">
        <v>84.86</v>
      </c>
      <c r="M1023">
        <v>17.76</v>
      </c>
      <c r="N1023" t="b">
        <v>1</v>
      </c>
      <c r="O1023">
        <v>1744</v>
      </c>
      <c r="P1023" t="s">
        <v>1036</v>
      </c>
      <c r="Q1023" t="s">
        <v>3155</v>
      </c>
      <c r="R1023">
        <v>0</v>
      </c>
      <c r="S1023">
        <v>31427</v>
      </c>
      <c r="T1023">
        <v>191739</v>
      </c>
      <c r="U1023" t="s">
        <v>5007</v>
      </c>
      <c r="V1023">
        <v>53.27</v>
      </c>
      <c r="W1023" t="s">
        <v>7225</v>
      </c>
      <c r="X1023" t="s">
        <v>9315</v>
      </c>
      <c r="Y1023">
        <v>6161</v>
      </c>
      <c r="Z1023">
        <v>371</v>
      </c>
      <c r="AA1023">
        <v>81726</v>
      </c>
      <c r="AB1023">
        <v>0.28</v>
      </c>
    </row>
    <row r="1024" spans="1:28">
      <c r="A1024" s="2">
        <f>HYPERLINK("https://finance.naver.com/item/coinfo.nhn?code=129890", "A129890")</f>
        <v>0</v>
      </c>
      <c r="B1024">
        <f>HYPERLINK("http://comp.fnguide.com/SVO2/ASP/SVD_Consensus.asp?pGB=1&amp;gicode=A129890&amp;cID=&amp;MenuYn=Y&amp;ReportGB=&amp;NewMenuID=108&amp;stkGb=701", "앱코")</f>
        <v>0</v>
      </c>
      <c r="C1024">
        <v>0</v>
      </c>
      <c r="D1024">
        <v>30150</v>
      </c>
      <c r="E1024">
        <v>0</v>
      </c>
      <c r="G1024">
        <v>4460</v>
      </c>
      <c r="H1024">
        <v>2413</v>
      </c>
      <c r="I1024">
        <v>1829</v>
      </c>
      <c r="J1024">
        <v>85.20999999999999</v>
      </c>
      <c r="K1024">
        <v>92</v>
      </c>
      <c r="L1024">
        <v>93.93000000000001</v>
      </c>
      <c r="M1024">
        <v>33.76</v>
      </c>
      <c r="N1024" t="b">
        <v>0</v>
      </c>
      <c r="O1024">
        <v>455</v>
      </c>
      <c r="P1024" t="s">
        <v>1037</v>
      </c>
      <c r="Q1024" t="s">
        <v>3156</v>
      </c>
      <c r="R1024">
        <v>0</v>
      </c>
      <c r="S1024">
        <v>2921</v>
      </c>
      <c r="T1024">
        <v>1446064</v>
      </c>
      <c r="U1024" t="s">
        <v>5008</v>
      </c>
      <c r="V1024">
        <v>40.25</v>
      </c>
      <c r="W1024" t="s">
        <v>7226</v>
      </c>
      <c r="X1024" t="s">
        <v>9316</v>
      </c>
      <c r="Y1024">
        <v>843</v>
      </c>
      <c r="Z1024">
        <v>55</v>
      </c>
    </row>
    <row r="1025" spans="1:28">
      <c r="A1025" s="2">
        <f>HYPERLINK("https://finance.naver.com/item/coinfo.nhn?code=083310", "A083310")</f>
        <v>0</v>
      </c>
      <c r="B1025">
        <f>HYPERLINK("http://comp.fnguide.com/SVO2/ASP/SVD_Consensus.asp?pGB=1&amp;gicode=A083310&amp;cID=&amp;MenuYn=Y&amp;ReportGB=&amp;NewMenuID=108&amp;stkGb=701", "엘오티베큠")</f>
        <v>0</v>
      </c>
      <c r="C1025">
        <v>0</v>
      </c>
      <c r="D1025">
        <v>16650</v>
      </c>
      <c r="E1025">
        <v>-12.08</v>
      </c>
      <c r="F1025">
        <v>68.97</v>
      </c>
      <c r="G1025">
        <v>10306</v>
      </c>
      <c r="H1025">
        <v>9089</v>
      </c>
      <c r="I1025">
        <v>8742</v>
      </c>
      <c r="J1025">
        <v>38.1</v>
      </c>
      <c r="K1025">
        <v>45.41</v>
      </c>
      <c r="L1025">
        <v>47.5</v>
      </c>
      <c r="M1025">
        <v>9.92</v>
      </c>
      <c r="N1025" t="b">
        <v>0</v>
      </c>
      <c r="O1025">
        <v>138</v>
      </c>
      <c r="P1025" t="s">
        <v>1038</v>
      </c>
      <c r="Q1025" t="s">
        <v>3157</v>
      </c>
      <c r="R1025">
        <v>-5.708230873805952</v>
      </c>
      <c r="S1025">
        <v>2638</v>
      </c>
      <c r="T1025">
        <v>355546</v>
      </c>
      <c r="U1025" t="s">
        <v>5009</v>
      </c>
      <c r="V1025">
        <v>25.54</v>
      </c>
      <c r="W1025" t="s">
        <v>7227</v>
      </c>
      <c r="X1025" t="s">
        <v>9317</v>
      </c>
      <c r="Y1025">
        <v>1502</v>
      </c>
      <c r="Z1025">
        <v>-10</v>
      </c>
      <c r="AA1025">
        <v>712867</v>
      </c>
      <c r="AB1025">
        <v>0</v>
      </c>
    </row>
    <row r="1026" spans="1:28">
      <c r="A1026" s="2">
        <f>HYPERLINK("https://finance.naver.com/item/coinfo.nhn?code=058630", "A058630")</f>
        <v>0</v>
      </c>
      <c r="B1026">
        <f>HYPERLINK("http://comp.fnguide.com/SVO2/ASP/SVD_Consensus.asp?pGB=1&amp;gicode=A058630&amp;cID=&amp;MenuYn=Y&amp;ReportGB=&amp;NewMenuID=108&amp;stkGb=701", "엠게임")</f>
        <v>0</v>
      </c>
      <c r="C1026">
        <v>0</v>
      </c>
      <c r="D1026">
        <v>6510</v>
      </c>
      <c r="E1026">
        <v>0.16</v>
      </c>
      <c r="F1026">
        <v>8.470000000000001</v>
      </c>
      <c r="G1026">
        <v>3993</v>
      </c>
      <c r="H1026">
        <v>2861</v>
      </c>
      <c r="I1026">
        <v>2539</v>
      </c>
      <c r="J1026">
        <v>38.66</v>
      </c>
      <c r="K1026">
        <v>56.05</v>
      </c>
      <c r="L1026">
        <v>61</v>
      </c>
      <c r="M1026">
        <v>15.09</v>
      </c>
      <c r="N1026" t="b">
        <v>1</v>
      </c>
      <c r="O1026">
        <v>406</v>
      </c>
      <c r="P1026" t="s">
        <v>1039</v>
      </c>
      <c r="Q1026" t="s">
        <v>2970</v>
      </c>
      <c r="R1026">
        <v>53.82754597456567</v>
      </c>
      <c r="S1026">
        <v>1272</v>
      </c>
      <c r="T1026">
        <v>3436832</v>
      </c>
      <c r="U1026" t="s">
        <v>5010</v>
      </c>
      <c r="V1026">
        <v>17.98</v>
      </c>
      <c r="W1026" t="s">
        <v>7228</v>
      </c>
      <c r="X1026" t="s">
        <v>9318</v>
      </c>
      <c r="Y1026">
        <v>376</v>
      </c>
      <c r="Z1026">
        <v>72</v>
      </c>
      <c r="AA1026">
        <v>535000</v>
      </c>
    </row>
    <row r="1027" spans="1:28">
      <c r="A1027" s="2">
        <f>HYPERLINK("https://finance.naver.com/item/coinfo.nhn?code=085810", "A085810")</f>
        <v>0</v>
      </c>
      <c r="B1027">
        <f>HYPERLINK("http://comp.fnguide.com/SVO2/ASP/SVD_Consensus.asp?pGB=1&amp;gicode=A085810&amp;cID=&amp;MenuYn=Y&amp;ReportGB=&amp;NewMenuID=108&amp;stkGb=701", "알티캐스트")</f>
        <v>0</v>
      </c>
      <c r="C1027">
        <v>0</v>
      </c>
      <c r="D1027">
        <v>2640</v>
      </c>
      <c r="G1027">
        <v>101</v>
      </c>
      <c r="H1027">
        <v>1862</v>
      </c>
      <c r="I1027">
        <v>2363</v>
      </c>
      <c r="J1027">
        <v>96.16</v>
      </c>
      <c r="K1027">
        <v>29.48</v>
      </c>
      <c r="L1027">
        <v>10.48</v>
      </c>
      <c r="M1027">
        <v>0.27</v>
      </c>
      <c r="N1027" t="b">
        <v>0</v>
      </c>
      <c r="O1027">
        <v>-1248</v>
      </c>
      <c r="P1027" t="s">
        <v>1040</v>
      </c>
      <c r="Q1027" t="s">
        <v>3158</v>
      </c>
      <c r="R1027">
        <v>85.11666591638907</v>
      </c>
      <c r="S1027">
        <v>560</v>
      </c>
      <c r="T1027">
        <v>517166</v>
      </c>
      <c r="U1027" t="s">
        <v>5011</v>
      </c>
      <c r="V1027">
        <v>37.32</v>
      </c>
      <c r="W1027" t="s">
        <v>7229</v>
      </c>
      <c r="X1027" t="s">
        <v>9319</v>
      </c>
      <c r="Y1027">
        <v>532</v>
      </c>
      <c r="Z1027">
        <v>-157</v>
      </c>
      <c r="AA1027">
        <v>702715</v>
      </c>
    </row>
    <row r="1028" spans="1:28">
      <c r="A1028" s="2">
        <f>HYPERLINK("https://finance.naver.com/item/coinfo.nhn?code=170920", "A170920")</f>
        <v>0</v>
      </c>
      <c r="B1028">
        <f>HYPERLINK("http://comp.fnguide.com/SVO2/ASP/SVD_Consensus.asp?pGB=1&amp;gicode=A170920&amp;cID=&amp;MenuYn=Y&amp;ReportGB=&amp;NewMenuID=108&amp;stkGb=701", "엘티씨")</f>
        <v>0</v>
      </c>
      <c r="C1028">
        <v>0</v>
      </c>
      <c r="D1028">
        <v>11900</v>
      </c>
      <c r="E1028">
        <v>5.57</v>
      </c>
      <c r="F1028">
        <v>125</v>
      </c>
      <c r="G1028">
        <v>1153</v>
      </c>
      <c r="H1028">
        <v>7775</v>
      </c>
      <c r="I1028">
        <v>9662</v>
      </c>
      <c r="J1028">
        <v>90.31</v>
      </c>
      <c r="K1028">
        <v>34.66</v>
      </c>
      <c r="L1028">
        <v>18.8</v>
      </c>
      <c r="M1028">
        <v>0.75</v>
      </c>
      <c r="N1028" t="b">
        <v>0</v>
      </c>
      <c r="O1028">
        <v>101</v>
      </c>
      <c r="P1028" t="s">
        <v>1041</v>
      </c>
      <c r="Q1028" t="s">
        <v>3159</v>
      </c>
      <c r="R1028">
        <v>22.46162664279778</v>
      </c>
      <c r="S1028">
        <v>895</v>
      </c>
      <c r="T1028">
        <v>43169</v>
      </c>
      <c r="U1028" t="s">
        <v>5012</v>
      </c>
      <c r="V1028">
        <v>38.1</v>
      </c>
      <c r="W1028" t="s">
        <v>7230</v>
      </c>
      <c r="X1028" t="s">
        <v>9320</v>
      </c>
      <c r="Y1028">
        <v>921</v>
      </c>
      <c r="Z1028">
        <v>37</v>
      </c>
      <c r="AA1028">
        <v>349341</v>
      </c>
      <c r="AB1028">
        <v>0.79</v>
      </c>
    </row>
    <row r="1029" spans="1:28">
      <c r="A1029" s="2">
        <f>HYPERLINK("https://finance.naver.com/item/coinfo.nhn?code=037950", "A037950")</f>
        <v>0</v>
      </c>
      <c r="B1029">
        <f>HYPERLINK("http://comp.fnguide.com/SVO2/ASP/SVD_Consensus.asp?pGB=1&amp;gicode=A037950&amp;cID=&amp;MenuYn=Y&amp;ReportGB=&amp;NewMenuID=108&amp;stkGb=701", "엘컴텍")</f>
        <v>0</v>
      </c>
      <c r="C1029">
        <v>0</v>
      </c>
      <c r="D1029">
        <v>1495</v>
      </c>
      <c r="E1029">
        <v>-2.86</v>
      </c>
      <c r="F1029">
        <v>119.65</v>
      </c>
      <c r="G1029">
        <v>385</v>
      </c>
      <c r="H1029">
        <v>681</v>
      </c>
      <c r="I1029">
        <v>765</v>
      </c>
      <c r="J1029">
        <v>74.26000000000001</v>
      </c>
      <c r="K1029">
        <v>54.44</v>
      </c>
      <c r="L1029">
        <v>48.8</v>
      </c>
      <c r="M1029">
        <v>3.49</v>
      </c>
      <c r="N1029" t="b">
        <v>0</v>
      </c>
      <c r="O1029">
        <v>13</v>
      </c>
      <c r="P1029" t="s">
        <v>1042</v>
      </c>
      <c r="Q1029" t="s">
        <v>3160</v>
      </c>
      <c r="R1029">
        <v>-41.77162239828201</v>
      </c>
      <c r="S1029">
        <v>1262</v>
      </c>
      <c r="T1029">
        <v>487835</v>
      </c>
      <c r="U1029" t="s">
        <v>5013</v>
      </c>
      <c r="V1029">
        <v>61.32</v>
      </c>
      <c r="W1029" t="s">
        <v>7231</v>
      </c>
      <c r="X1029" t="s">
        <v>9321</v>
      </c>
      <c r="Y1029">
        <v>462</v>
      </c>
      <c r="Z1029">
        <v>35</v>
      </c>
      <c r="AA1029">
        <v>41112</v>
      </c>
      <c r="AB1029">
        <v>2.19</v>
      </c>
    </row>
    <row r="1030" spans="1:28">
      <c r="A1030" s="2">
        <f>HYPERLINK("https://finance.naver.com/item/coinfo.nhn?code=117670", "A117670")</f>
        <v>0</v>
      </c>
      <c r="B1030">
        <f>HYPERLINK("http://comp.fnguide.com/SVO2/ASP/SVD_Consensus.asp?pGB=1&amp;gicode=A117670&amp;cID=&amp;MenuYn=Y&amp;ReportGB=&amp;NewMenuID=108&amp;stkGb=701", "알파홀딩스")</f>
        <v>0</v>
      </c>
      <c r="C1030">
        <v>0</v>
      </c>
      <c r="D1030">
        <v>5090</v>
      </c>
      <c r="E1030">
        <v>0</v>
      </c>
      <c r="G1030">
        <v>0</v>
      </c>
      <c r="H1030">
        <v>1947</v>
      </c>
      <c r="I1030">
        <v>2502</v>
      </c>
      <c r="J1030">
        <v>100</v>
      </c>
      <c r="K1030">
        <v>61.74</v>
      </c>
      <c r="L1030">
        <v>50.84</v>
      </c>
      <c r="M1030">
        <v>0</v>
      </c>
      <c r="N1030" t="b">
        <v>0</v>
      </c>
      <c r="O1030">
        <v>-713</v>
      </c>
      <c r="P1030" t="s">
        <v>1043</v>
      </c>
      <c r="Q1030" t="s">
        <v>2276</v>
      </c>
      <c r="R1030">
        <v>0</v>
      </c>
      <c r="S1030">
        <v>1011</v>
      </c>
      <c r="T1030">
        <v>1045333</v>
      </c>
      <c r="U1030" t="s">
        <v>5014</v>
      </c>
      <c r="V1030">
        <v>6.05</v>
      </c>
      <c r="W1030" t="s">
        <v>7232</v>
      </c>
      <c r="X1030" t="s">
        <v>968</v>
      </c>
      <c r="Y1030">
        <v>732</v>
      </c>
      <c r="Z1030">
        <v>-37</v>
      </c>
      <c r="AA1030">
        <v>615429</v>
      </c>
    </row>
    <row r="1031" spans="1:28">
      <c r="A1031" s="2">
        <f>HYPERLINK("https://finance.naver.com/item/coinfo.nhn?code=291650", "A291650")</f>
        <v>0</v>
      </c>
      <c r="B1031">
        <f>HYPERLINK("http://comp.fnguide.com/SVO2/ASP/SVD_Consensus.asp?pGB=1&amp;gicode=A291650&amp;cID=&amp;MenuYn=Y&amp;ReportGB=&amp;NewMenuID=108&amp;stkGb=701", "압타머사이언스")</f>
        <v>0</v>
      </c>
      <c r="C1031">
        <v>0</v>
      </c>
      <c r="D1031">
        <v>25150</v>
      </c>
      <c r="E1031">
        <v>0</v>
      </c>
      <c r="G1031">
        <v>0</v>
      </c>
      <c r="H1031">
        <v>490</v>
      </c>
      <c r="I1031">
        <v>629</v>
      </c>
      <c r="J1031">
        <v>100</v>
      </c>
      <c r="K1031">
        <v>98.05</v>
      </c>
      <c r="L1031">
        <v>97.5</v>
      </c>
      <c r="M1031">
        <v>0</v>
      </c>
      <c r="N1031" t="b">
        <v>0</v>
      </c>
      <c r="O1031" t="s">
        <v>5</v>
      </c>
      <c r="P1031" t="s">
        <v>1044</v>
      </c>
      <c r="Q1031" t="s">
        <v>3152</v>
      </c>
      <c r="R1031">
        <v>0</v>
      </c>
      <c r="S1031" t="s">
        <v>3977</v>
      </c>
      <c r="T1031">
        <v>431353</v>
      </c>
      <c r="U1031" t="s">
        <v>5015</v>
      </c>
      <c r="V1031">
        <v>32.67</v>
      </c>
      <c r="W1031" t="s">
        <v>7189</v>
      </c>
      <c r="X1031" t="s">
        <v>968</v>
      </c>
      <c r="Y1031" t="s">
        <v>10204</v>
      </c>
      <c r="Z1031" t="s">
        <v>10217</v>
      </c>
    </row>
    <row r="1032" spans="1:28">
      <c r="A1032" s="2">
        <f>HYPERLINK("https://finance.naver.com/item/coinfo.nhn?code=293780", "A293780")</f>
        <v>0</v>
      </c>
      <c r="B1032">
        <f>HYPERLINK("http://comp.fnguide.com/SVO2/ASP/SVD_Consensus.asp?pGB=1&amp;gicode=A293780&amp;cID=&amp;MenuYn=Y&amp;ReportGB=&amp;NewMenuID=108&amp;stkGb=701", "압타바이오")</f>
        <v>0</v>
      </c>
      <c r="C1032">
        <v>0</v>
      </c>
      <c r="D1032">
        <v>37650</v>
      </c>
      <c r="E1032">
        <v>0</v>
      </c>
      <c r="G1032">
        <v>0</v>
      </c>
      <c r="H1032">
        <v>4072</v>
      </c>
      <c r="I1032">
        <v>5233</v>
      </c>
      <c r="J1032">
        <v>100</v>
      </c>
      <c r="K1032">
        <v>89.18000000000001</v>
      </c>
      <c r="L1032">
        <v>86.09999999999999</v>
      </c>
      <c r="M1032">
        <v>0</v>
      </c>
      <c r="N1032" t="b">
        <v>0</v>
      </c>
      <c r="O1032">
        <v>-635</v>
      </c>
      <c r="P1032" t="s">
        <v>1045</v>
      </c>
      <c r="Q1032" t="s">
        <v>3152</v>
      </c>
      <c r="R1032">
        <v>0</v>
      </c>
      <c r="S1032">
        <v>4177</v>
      </c>
      <c r="T1032">
        <v>871663</v>
      </c>
      <c r="U1032" t="s">
        <v>5016</v>
      </c>
      <c r="V1032">
        <v>33.53</v>
      </c>
      <c r="W1032" t="s">
        <v>7233</v>
      </c>
      <c r="X1032" t="s">
        <v>968</v>
      </c>
      <c r="Y1032">
        <v>10</v>
      </c>
      <c r="Z1032">
        <v>-72</v>
      </c>
    </row>
    <row r="1033" spans="1:28">
      <c r="A1033" s="2">
        <f>HYPERLINK("https://finance.naver.com/item/coinfo.nhn?code=123750", "A123750")</f>
        <v>0</v>
      </c>
      <c r="B1033">
        <f>HYPERLINK("http://comp.fnguide.com/SVO2/ASP/SVD_Consensus.asp?pGB=1&amp;gicode=A123750&amp;cID=&amp;MenuYn=Y&amp;ReportGB=&amp;NewMenuID=108&amp;stkGb=701", "알톤스포츠")</f>
        <v>0</v>
      </c>
      <c r="C1033">
        <v>0</v>
      </c>
      <c r="D1033">
        <v>3720</v>
      </c>
      <c r="E1033">
        <v>0</v>
      </c>
      <c r="G1033">
        <v>0</v>
      </c>
      <c r="H1033">
        <v>759</v>
      </c>
      <c r="I1033">
        <v>975</v>
      </c>
      <c r="J1033">
        <v>100</v>
      </c>
      <c r="K1033">
        <v>79.59999999999999</v>
      </c>
      <c r="L1033">
        <v>73.79000000000001</v>
      </c>
      <c r="M1033">
        <v>0</v>
      </c>
      <c r="N1033" t="b">
        <v>0</v>
      </c>
      <c r="O1033">
        <v>-959</v>
      </c>
      <c r="P1033" t="s">
        <v>1046</v>
      </c>
      <c r="Q1033" t="s">
        <v>2276</v>
      </c>
      <c r="R1033">
        <v>0</v>
      </c>
      <c r="S1033">
        <v>474</v>
      </c>
      <c r="T1033">
        <v>93778</v>
      </c>
      <c r="U1033" t="s">
        <v>5017</v>
      </c>
      <c r="V1033">
        <v>46.6</v>
      </c>
      <c r="W1033" t="s">
        <v>7234</v>
      </c>
      <c r="X1033" t="s">
        <v>968</v>
      </c>
      <c r="Y1033">
        <v>312</v>
      </c>
      <c r="Z1033">
        <v>-106</v>
      </c>
      <c r="AA1033">
        <v>158071</v>
      </c>
    </row>
    <row r="1034" spans="1:28">
      <c r="A1034" s="2">
        <f>HYPERLINK("https://finance.naver.com/item/coinfo.nhn?code=196300", "A196300")</f>
        <v>0</v>
      </c>
      <c r="B1034">
        <f>HYPERLINK("http://comp.fnguide.com/SVO2/ASP/SVD_Consensus.asp?pGB=1&amp;gicode=A196300&amp;cID=&amp;MenuYn=Y&amp;ReportGB=&amp;NewMenuID=108&amp;stkGb=701", "애니젠")</f>
        <v>0</v>
      </c>
      <c r="C1034">
        <v>0</v>
      </c>
      <c r="D1034">
        <v>13900</v>
      </c>
      <c r="E1034">
        <v>0</v>
      </c>
      <c r="G1034">
        <v>119</v>
      </c>
      <c r="H1034">
        <v>1844</v>
      </c>
      <c r="I1034">
        <v>2336</v>
      </c>
      <c r="J1034">
        <v>99.14</v>
      </c>
      <c r="K1034">
        <v>86.73</v>
      </c>
      <c r="L1034">
        <v>83.2</v>
      </c>
      <c r="M1034">
        <v>0.32</v>
      </c>
      <c r="N1034" t="b">
        <v>0</v>
      </c>
      <c r="O1034">
        <v>-1325</v>
      </c>
      <c r="P1034" t="s">
        <v>1047</v>
      </c>
      <c r="Q1034" t="s">
        <v>2276</v>
      </c>
      <c r="R1034">
        <v>0</v>
      </c>
      <c r="S1034">
        <v>697</v>
      </c>
      <c r="T1034">
        <v>68055</v>
      </c>
      <c r="U1034" t="s">
        <v>5018</v>
      </c>
      <c r="V1034">
        <v>19</v>
      </c>
      <c r="W1034" t="s">
        <v>7235</v>
      </c>
      <c r="X1034" t="s">
        <v>9322</v>
      </c>
      <c r="Y1034">
        <v>63</v>
      </c>
      <c r="Z1034">
        <v>-43</v>
      </c>
    </row>
    <row r="1035" spans="1:28">
      <c r="A1035" s="2">
        <f>HYPERLINK("https://finance.naver.com/item/coinfo.nhn?code=156100", "A156100")</f>
        <v>0</v>
      </c>
      <c r="B1035">
        <f>HYPERLINK("http://comp.fnguide.com/SVO2/ASP/SVD_Consensus.asp?pGB=1&amp;gicode=A156100&amp;cID=&amp;MenuYn=Y&amp;ReportGB=&amp;NewMenuID=108&amp;stkGb=701", "엘앤케이바이오")</f>
        <v>0</v>
      </c>
      <c r="C1035">
        <v>0</v>
      </c>
      <c r="D1035">
        <v>16800</v>
      </c>
      <c r="G1035">
        <v>0</v>
      </c>
      <c r="H1035">
        <v>1316</v>
      </c>
      <c r="I1035">
        <v>1691</v>
      </c>
      <c r="J1035">
        <v>100</v>
      </c>
      <c r="K1035">
        <v>92.17</v>
      </c>
      <c r="L1035">
        <v>89.94</v>
      </c>
      <c r="M1035">
        <v>0</v>
      </c>
      <c r="N1035" t="b">
        <v>0</v>
      </c>
      <c r="O1035">
        <v>-892</v>
      </c>
      <c r="P1035" t="s">
        <v>1048</v>
      </c>
      <c r="Q1035" t="s">
        <v>3161</v>
      </c>
      <c r="R1035">
        <v>-78.2</v>
      </c>
      <c r="S1035">
        <v>2224</v>
      </c>
      <c r="T1035">
        <v>858841</v>
      </c>
      <c r="U1035" t="s">
        <v>5019</v>
      </c>
      <c r="V1035">
        <v>17.23</v>
      </c>
      <c r="W1035" t="s">
        <v>7236</v>
      </c>
      <c r="X1035" t="s">
        <v>968</v>
      </c>
      <c r="Y1035">
        <v>258</v>
      </c>
      <c r="Z1035">
        <v>-97</v>
      </c>
      <c r="AA1035">
        <v>10</v>
      </c>
    </row>
    <row r="1036" spans="1:28">
      <c r="A1036" s="2">
        <f>HYPERLINK("https://finance.naver.com/item/coinfo.nhn?code=066970", "A066970")</f>
        <v>0</v>
      </c>
      <c r="B1036">
        <f>HYPERLINK("http://comp.fnguide.com/SVO2/ASP/SVD_Consensus.asp?pGB=1&amp;gicode=A066970&amp;cID=&amp;MenuYn=Y&amp;ReportGB=&amp;NewMenuID=108&amp;stkGb=701", "엘앤에프")</f>
        <v>0</v>
      </c>
      <c r="C1036">
        <v>0</v>
      </c>
      <c r="D1036">
        <v>52000</v>
      </c>
      <c r="G1036">
        <v>5418</v>
      </c>
      <c r="H1036">
        <v>5359</v>
      </c>
      <c r="I1036">
        <v>5343</v>
      </c>
      <c r="J1036">
        <v>89.58</v>
      </c>
      <c r="K1036">
        <v>89.69</v>
      </c>
      <c r="L1036">
        <v>89.73</v>
      </c>
      <c r="M1036">
        <v>8.119999999999999</v>
      </c>
      <c r="N1036" t="b">
        <v>0</v>
      </c>
      <c r="O1036">
        <v>-363</v>
      </c>
      <c r="P1036" t="s">
        <v>1049</v>
      </c>
      <c r="Q1036" t="s">
        <v>3162</v>
      </c>
      <c r="R1036">
        <v>73.23914107383472</v>
      </c>
      <c r="S1036">
        <v>14591</v>
      </c>
      <c r="T1036">
        <v>1119253</v>
      </c>
      <c r="U1036" t="s">
        <v>5020</v>
      </c>
      <c r="V1036">
        <v>28.37</v>
      </c>
      <c r="W1036" t="s">
        <v>7237</v>
      </c>
      <c r="X1036" t="s">
        <v>9323</v>
      </c>
      <c r="Y1036">
        <v>3133</v>
      </c>
      <c r="Z1036">
        <v>-77</v>
      </c>
      <c r="AA1036">
        <v>3738705</v>
      </c>
      <c r="AB1036">
        <v>0.24</v>
      </c>
    </row>
    <row r="1037" spans="1:28">
      <c r="A1037" s="2">
        <f>HYPERLINK("https://finance.naver.com/item/coinfo.nhn?code=310200", "A310200")</f>
        <v>0</v>
      </c>
      <c r="B1037">
        <f>HYPERLINK("http://comp.fnguide.com/SVO2/ASP/SVD_Consensus.asp?pGB=1&amp;gicode=A310200&amp;cID=&amp;MenuYn=Y&amp;ReportGB=&amp;NewMenuID=108&amp;stkGb=701", "애니플러스")</f>
        <v>0</v>
      </c>
      <c r="C1037">
        <v>0</v>
      </c>
      <c r="D1037">
        <v>1480</v>
      </c>
      <c r="G1037">
        <v>212</v>
      </c>
      <c r="H1037">
        <v>166</v>
      </c>
      <c r="I1037">
        <v>153</v>
      </c>
      <c r="J1037">
        <v>85.67</v>
      </c>
      <c r="K1037">
        <v>88.76000000000001</v>
      </c>
      <c r="L1037">
        <v>89.64</v>
      </c>
      <c r="M1037">
        <v>12.43</v>
      </c>
      <c r="N1037" t="b">
        <v>0</v>
      </c>
      <c r="O1037">
        <v>-55</v>
      </c>
      <c r="P1037" t="s">
        <v>1050</v>
      </c>
      <c r="Q1037" t="s">
        <v>3163</v>
      </c>
      <c r="R1037">
        <v>18650.7</v>
      </c>
      <c r="S1037">
        <v>420</v>
      </c>
      <c r="T1037">
        <v>298880</v>
      </c>
      <c r="U1037" t="s">
        <v>5021</v>
      </c>
      <c r="V1037">
        <v>51.9</v>
      </c>
      <c r="W1037" t="s">
        <v>7238</v>
      </c>
      <c r="X1037" t="s">
        <v>968</v>
      </c>
      <c r="Y1037">
        <v>184</v>
      </c>
      <c r="Z1037">
        <v>0</v>
      </c>
      <c r="AA1037">
        <v>1206170</v>
      </c>
    </row>
    <row r="1038" spans="1:28">
      <c r="A1038" s="2">
        <f>HYPERLINK("https://finance.naver.com/item/coinfo.nhn?code=290650", "A290650")</f>
        <v>0</v>
      </c>
      <c r="B1038">
        <f>HYPERLINK("http://comp.fnguide.com/SVO2/ASP/SVD_Consensus.asp?pGB=1&amp;gicode=A290650&amp;cID=&amp;MenuYn=Y&amp;ReportGB=&amp;NewMenuID=108&amp;stkGb=701", "엘앤씨바이오")</f>
        <v>0</v>
      </c>
      <c r="C1038">
        <v>0</v>
      </c>
      <c r="D1038">
        <v>35400</v>
      </c>
      <c r="E1038">
        <v>0.78</v>
      </c>
      <c r="F1038">
        <v>25.79</v>
      </c>
      <c r="G1038">
        <v>5415</v>
      </c>
      <c r="H1038">
        <v>3760</v>
      </c>
      <c r="I1038">
        <v>3288</v>
      </c>
      <c r="J1038">
        <v>84.7</v>
      </c>
      <c r="K1038">
        <v>89.38</v>
      </c>
      <c r="L1038">
        <v>90.70999999999999</v>
      </c>
      <c r="M1038">
        <v>16.22</v>
      </c>
      <c r="N1038" t="b">
        <v>1</v>
      </c>
      <c r="O1038">
        <v>331</v>
      </c>
      <c r="P1038" t="s">
        <v>1051</v>
      </c>
      <c r="Q1038" t="s">
        <v>3164</v>
      </c>
      <c r="R1038">
        <v>33.05307021280748</v>
      </c>
      <c r="S1038">
        <v>7744</v>
      </c>
      <c r="T1038">
        <v>421292</v>
      </c>
      <c r="U1038" t="s">
        <v>5022</v>
      </c>
      <c r="V1038">
        <v>34.84</v>
      </c>
      <c r="W1038" t="s">
        <v>7239</v>
      </c>
      <c r="X1038" t="s">
        <v>9324</v>
      </c>
      <c r="Y1038">
        <v>292</v>
      </c>
      <c r="Z1038">
        <v>90</v>
      </c>
      <c r="AB1038">
        <v>0.39</v>
      </c>
    </row>
    <row r="1039" spans="1:28">
      <c r="A1039" s="2">
        <f>HYPERLINK("https://finance.naver.com/item/coinfo.nhn?code=138690", "A138690")</f>
        <v>0</v>
      </c>
      <c r="B1039">
        <f>HYPERLINK("http://comp.fnguide.com/SVO2/ASP/SVD_Consensus.asp?pGB=1&amp;gicode=A138690&amp;cID=&amp;MenuYn=Y&amp;ReportGB=&amp;NewMenuID=108&amp;stkGb=701", "엘아이에스")</f>
        <v>0</v>
      </c>
      <c r="C1039">
        <v>0</v>
      </c>
      <c r="D1039">
        <v>7560</v>
      </c>
      <c r="G1039">
        <v>46</v>
      </c>
      <c r="H1039">
        <v>1597</v>
      </c>
      <c r="I1039">
        <v>2039</v>
      </c>
      <c r="J1039">
        <v>99.39</v>
      </c>
      <c r="K1039">
        <v>78.88</v>
      </c>
      <c r="L1039">
        <v>73.04000000000001</v>
      </c>
      <c r="M1039">
        <v>0.14</v>
      </c>
      <c r="N1039" t="b">
        <v>0</v>
      </c>
      <c r="O1039">
        <v>-132</v>
      </c>
      <c r="P1039" t="s">
        <v>1052</v>
      </c>
      <c r="Q1039" t="s">
        <v>3165</v>
      </c>
      <c r="R1039">
        <v>331.7</v>
      </c>
      <c r="S1039">
        <v>1212</v>
      </c>
      <c r="T1039">
        <v>38110</v>
      </c>
      <c r="U1039" t="s">
        <v>5023</v>
      </c>
      <c r="V1039">
        <v>21.84</v>
      </c>
      <c r="W1039" t="s">
        <v>7240</v>
      </c>
      <c r="X1039" t="s">
        <v>9325</v>
      </c>
      <c r="Y1039">
        <v>1451</v>
      </c>
      <c r="Z1039">
        <v>85</v>
      </c>
    </row>
    <row r="1040" spans="1:28">
      <c r="A1040" s="2">
        <f>HYPERLINK("https://finance.naver.com/item/coinfo.nhn?code=169330", "A169330")</f>
        <v>0</v>
      </c>
      <c r="B1040">
        <f>HYPERLINK("http://comp.fnguide.com/SVO2/ASP/SVD_Consensus.asp?pGB=1&amp;gicode=A169330&amp;cID=&amp;MenuYn=Y&amp;ReportGB=&amp;NewMenuID=108&amp;stkGb=701", "엠브레인")</f>
        <v>0</v>
      </c>
      <c r="C1040">
        <v>0</v>
      </c>
      <c r="D1040">
        <v>7890</v>
      </c>
      <c r="E1040">
        <v>0</v>
      </c>
      <c r="G1040">
        <v>7330</v>
      </c>
      <c r="H1040">
        <v>4440</v>
      </c>
      <c r="I1040">
        <v>3616</v>
      </c>
      <c r="J1040">
        <v>7.1</v>
      </c>
      <c r="K1040">
        <v>43.73</v>
      </c>
      <c r="L1040">
        <v>54.17</v>
      </c>
      <c r="M1040">
        <v>23.18</v>
      </c>
      <c r="N1040" t="b">
        <v>0</v>
      </c>
      <c r="O1040">
        <v>511</v>
      </c>
      <c r="P1040" t="s">
        <v>1053</v>
      </c>
      <c r="Q1040" t="s">
        <v>3166</v>
      </c>
      <c r="R1040">
        <v>0</v>
      </c>
      <c r="S1040">
        <v>708</v>
      </c>
      <c r="T1040">
        <v>68946</v>
      </c>
      <c r="U1040" t="s">
        <v>5024</v>
      </c>
      <c r="V1040">
        <v>64.67</v>
      </c>
      <c r="W1040" t="s">
        <v>7241</v>
      </c>
      <c r="X1040" t="s">
        <v>968</v>
      </c>
      <c r="Y1040">
        <v>411</v>
      </c>
      <c r="Z1040">
        <v>46</v>
      </c>
    </row>
    <row r="1041" spans="1:28">
      <c r="A1041" s="2">
        <f>HYPERLINK("https://finance.naver.com/item/coinfo.nhn?code=196170", "A196170")</f>
        <v>0</v>
      </c>
      <c r="B1041">
        <f>HYPERLINK("http://comp.fnguide.com/SVO2/ASP/SVD_Consensus.asp?pGB=1&amp;gicode=A196170&amp;cID=&amp;MenuYn=Y&amp;ReportGB=&amp;NewMenuID=108&amp;stkGb=701", "알테오젠")</f>
        <v>0</v>
      </c>
      <c r="C1041">
        <v>0</v>
      </c>
      <c r="D1041">
        <v>167600</v>
      </c>
      <c r="E1041">
        <v>0</v>
      </c>
      <c r="G1041">
        <v>0</v>
      </c>
      <c r="H1041">
        <v>1498</v>
      </c>
      <c r="I1041">
        <v>1924</v>
      </c>
      <c r="J1041">
        <v>100</v>
      </c>
      <c r="K1041">
        <v>99.11</v>
      </c>
      <c r="L1041">
        <v>98.84999999999999</v>
      </c>
      <c r="M1041">
        <v>0</v>
      </c>
      <c r="N1041" t="b">
        <v>0</v>
      </c>
      <c r="O1041">
        <v>-26</v>
      </c>
      <c r="P1041" t="s">
        <v>1054</v>
      </c>
      <c r="Q1041" t="s">
        <v>2276</v>
      </c>
      <c r="R1041">
        <v>0</v>
      </c>
      <c r="S1041">
        <v>47067</v>
      </c>
      <c r="T1041">
        <v>219441</v>
      </c>
      <c r="U1041" t="s">
        <v>5025</v>
      </c>
      <c r="V1041">
        <v>25.81</v>
      </c>
      <c r="W1041" t="s">
        <v>7242</v>
      </c>
      <c r="X1041" t="s">
        <v>9326</v>
      </c>
      <c r="Y1041">
        <v>292</v>
      </c>
      <c r="Z1041">
        <v>-23</v>
      </c>
    </row>
    <row r="1042" spans="1:28">
      <c r="A1042" s="2">
        <f>HYPERLINK("https://finance.naver.com/item/coinfo.nhn?code=092600", "A092600")</f>
        <v>0</v>
      </c>
      <c r="B1042">
        <f>HYPERLINK("http://comp.fnguide.com/SVO2/ASP/SVD_Consensus.asp?pGB=1&amp;gicode=A092600&amp;cID=&amp;MenuYn=Y&amp;ReportGB=&amp;NewMenuID=108&amp;stkGb=701", "앤씨앤")</f>
        <v>0</v>
      </c>
      <c r="C1042">
        <v>0</v>
      </c>
      <c r="D1042">
        <v>4050</v>
      </c>
      <c r="G1042">
        <v>0</v>
      </c>
      <c r="H1042">
        <v>1219</v>
      </c>
      <c r="I1042">
        <v>1566</v>
      </c>
      <c r="J1042">
        <v>100</v>
      </c>
      <c r="K1042">
        <v>69.90000000000001</v>
      </c>
      <c r="L1042">
        <v>61.32</v>
      </c>
      <c r="M1042">
        <v>0</v>
      </c>
      <c r="N1042" t="b">
        <v>0</v>
      </c>
      <c r="O1042">
        <v>-351</v>
      </c>
      <c r="P1042" t="s">
        <v>1055</v>
      </c>
      <c r="Q1042" t="s">
        <v>3167</v>
      </c>
      <c r="R1042">
        <v>-86.8</v>
      </c>
      <c r="S1042">
        <v>848</v>
      </c>
      <c r="T1042">
        <v>280989</v>
      </c>
      <c r="U1042" t="s">
        <v>5026</v>
      </c>
      <c r="V1042">
        <v>48.42</v>
      </c>
      <c r="W1042" t="s">
        <v>7243</v>
      </c>
      <c r="X1042" t="s">
        <v>968</v>
      </c>
      <c r="Y1042">
        <v>785</v>
      </c>
      <c r="Z1042">
        <v>-116</v>
      </c>
    </row>
    <row r="1043" spans="1:28">
      <c r="A1043" s="2">
        <f>HYPERLINK("https://finance.naver.com/item/coinfo.nhn?code=061040", "A061040")</f>
        <v>0</v>
      </c>
      <c r="B1043">
        <f>HYPERLINK("http://comp.fnguide.com/SVO2/ASP/SVD_Consensus.asp?pGB=1&amp;gicode=A061040&amp;cID=&amp;MenuYn=Y&amp;ReportGB=&amp;NewMenuID=108&amp;stkGb=701", "알에프텍")</f>
        <v>0</v>
      </c>
      <c r="C1043">
        <v>0</v>
      </c>
      <c r="D1043">
        <v>10650</v>
      </c>
      <c r="G1043">
        <v>1396</v>
      </c>
      <c r="H1043">
        <v>3379</v>
      </c>
      <c r="I1043">
        <v>3944</v>
      </c>
      <c r="J1043">
        <v>86.90000000000001</v>
      </c>
      <c r="K1043">
        <v>68.27</v>
      </c>
      <c r="L1043">
        <v>62.97</v>
      </c>
      <c r="M1043">
        <v>2.37</v>
      </c>
      <c r="N1043" t="b">
        <v>0</v>
      </c>
      <c r="O1043">
        <v>-84</v>
      </c>
      <c r="P1043" t="s">
        <v>1056</v>
      </c>
      <c r="Q1043" t="s">
        <v>3168</v>
      </c>
      <c r="R1043">
        <v>2.617240015323996</v>
      </c>
      <c r="S1043">
        <v>3078</v>
      </c>
      <c r="T1043">
        <v>490784</v>
      </c>
      <c r="U1043" t="s">
        <v>5027</v>
      </c>
      <c r="V1043">
        <v>13.84</v>
      </c>
      <c r="W1043" t="s">
        <v>7244</v>
      </c>
      <c r="X1043" t="s">
        <v>9327</v>
      </c>
      <c r="Y1043">
        <v>2845</v>
      </c>
      <c r="Z1043">
        <v>131</v>
      </c>
      <c r="AA1043">
        <v>622061</v>
      </c>
    </row>
    <row r="1044" spans="1:28">
      <c r="A1044" s="2">
        <f>HYPERLINK("https://finance.naver.com/item/coinfo.nhn?code=220180", "A220180")</f>
        <v>0</v>
      </c>
      <c r="B1044">
        <f>HYPERLINK("http://comp.fnguide.com/SVO2/ASP/SVD_Consensus.asp?pGB=1&amp;gicode=A220180&amp;cID=&amp;MenuYn=Y&amp;ReportGB=&amp;NewMenuID=108&amp;stkGb=701", "핸디소프트")</f>
        <v>0</v>
      </c>
      <c r="C1044">
        <v>0</v>
      </c>
      <c r="D1044">
        <v>3145</v>
      </c>
      <c r="G1044">
        <v>0</v>
      </c>
      <c r="H1044">
        <v>1722</v>
      </c>
      <c r="I1044">
        <v>2213</v>
      </c>
      <c r="J1044">
        <v>100</v>
      </c>
      <c r="K1044">
        <v>45.25</v>
      </c>
      <c r="L1044">
        <v>29.65</v>
      </c>
      <c r="M1044">
        <v>0</v>
      </c>
      <c r="N1044" t="b">
        <v>0</v>
      </c>
      <c r="O1044">
        <v>-701</v>
      </c>
      <c r="P1044" t="s">
        <v>1057</v>
      </c>
      <c r="Q1044" t="s">
        <v>3169</v>
      </c>
      <c r="R1044">
        <v>-73.3</v>
      </c>
      <c r="S1044">
        <v>610</v>
      </c>
      <c r="T1044">
        <v>19547</v>
      </c>
      <c r="U1044" t="s">
        <v>5028</v>
      </c>
      <c r="V1044">
        <v>36.15</v>
      </c>
      <c r="W1044" t="s">
        <v>7245</v>
      </c>
      <c r="X1044" t="s">
        <v>968</v>
      </c>
      <c r="Y1044">
        <v>348</v>
      </c>
      <c r="Z1044">
        <v>-35</v>
      </c>
    </row>
    <row r="1045" spans="1:28">
      <c r="A1045" s="2">
        <f>HYPERLINK("https://finance.naver.com/item/coinfo.nhn?code=265560", "A265560")</f>
        <v>0</v>
      </c>
      <c r="B1045">
        <f>HYPERLINK("http://comp.fnguide.com/SVO2/ASP/SVD_Consensus.asp?pGB=1&amp;gicode=A265560&amp;cID=&amp;MenuYn=Y&amp;ReportGB=&amp;NewMenuID=108&amp;stkGb=701", "영화테크")</f>
        <v>0</v>
      </c>
      <c r="C1045">
        <v>0</v>
      </c>
      <c r="D1045">
        <v>23250</v>
      </c>
      <c r="G1045">
        <v>5572</v>
      </c>
      <c r="H1045">
        <v>7316</v>
      </c>
      <c r="I1045">
        <v>7813</v>
      </c>
      <c r="J1045">
        <v>76.03</v>
      </c>
      <c r="K1045">
        <v>68.53</v>
      </c>
      <c r="L1045">
        <v>66.39</v>
      </c>
      <c r="M1045">
        <v>5.24</v>
      </c>
      <c r="N1045" t="b">
        <v>0</v>
      </c>
      <c r="O1045">
        <v>-278</v>
      </c>
      <c r="P1045" t="s">
        <v>1058</v>
      </c>
      <c r="Q1045" t="s">
        <v>3170</v>
      </c>
      <c r="R1045">
        <v>5.541814081827212</v>
      </c>
      <c r="S1045">
        <v>1243</v>
      </c>
      <c r="T1045">
        <v>152738</v>
      </c>
      <c r="U1045" t="s">
        <v>5029</v>
      </c>
      <c r="V1045">
        <v>49.14</v>
      </c>
      <c r="W1045" t="s">
        <v>7246</v>
      </c>
      <c r="X1045" t="s">
        <v>9328</v>
      </c>
      <c r="Y1045">
        <v>446</v>
      </c>
      <c r="Z1045">
        <v>-15</v>
      </c>
      <c r="AB1045">
        <v>0.52</v>
      </c>
    </row>
    <row r="1046" spans="1:28">
      <c r="A1046" s="2">
        <f>HYPERLINK("https://finance.naver.com/item/coinfo.nhn?code=143540", "A143540")</f>
        <v>0</v>
      </c>
      <c r="B1046">
        <f>HYPERLINK("http://comp.fnguide.com/SVO2/ASP/SVD_Consensus.asp?pGB=1&amp;gicode=A143540&amp;cID=&amp;MenuYn=Y&amp;ReportGB=&amp;NewMenuID=108&amp;stkGb=701", "영우디에스피")</f>
        <v>0</v>
      </c>
      <c r="C1046">
        <v>0</v>
      </c>
      <c r="D1046">
        <v>1695</v>
      </c>
      <c r="G1046">
        <v>0</v>
      </c>
      <c r="H1046">
        <v>263</v>
      </c>
      <c r="I1046">
        <v>338</v>
      </c>
      <c r="J1046">
        <v>100</v>
      </c>
      <c r="K1046">
        <v>84.47</v>
      </c>
      <c r="L1046">
        <v>80.05</v>
      </c>
      <c r="M1046">
        <v>0</v>
      </c>
      <c r="N1046" t="b">
        <v>0</v>
      </c>
      <c r="O1046">
        <v>-69</v>
      </c>
      <c r="P1046" t="s">
        <v>1059</v>
      </c>
      <c r="Q1046" t="s">
        <v>3171</v>
      </c>
      <c r="R1046">
        <v>687.1037860409515</v>
      </c>
      <c r="S1046">
        <v>689</v>
      </c>
      <c r="T1046">
        <v>741201</v>
      </c>
      <c r="U1046" t="s">
        <v>5030</v>
      </c>
      <c r="V1046">
        <v>17.15</v>
      </c>
      <c r="W1046" t="s">
        <v>7247</v>
      </c>
      <c r="X1046" t="s">
        <v>968</v>
      </c>
      <c r="Y1046">
        <v>1004</v>
      </c>
      <c r="Z1046">
        <v>115</v>
      </c>
    </row>
    <row r="1047" spans="1:28">
      <c r="A1047" s="2">
        <f>HYPERLINK("https://finance.naver.com/item/coinfo.nhn?code=096610", "A096610")</f>
        <v>0</v>
      </c>
      <c r="B1047">
        <f>HYPERLINK("http://comp.fnguide.com/SVO2/ASP/SVD_Consensus.asp?pGB=1&amp;gicode=A096610&amp;cID=&amp;MenuYn=Y&amp;ReportGB=&amp;NewMenuID=108&amp;stkGb=701", "알에프세미")</f>
        <v>0</v>
      </c>
      <c r="C1047">
        <v>0</v>
      </c>
      <c r="D1047">
        <v>5740</v>
      </c>
      <c r="G1047">
        <v>101</v>
      </c>
      <c r="H1047">
        <v>3269</v>
      </c>
      <c r="I1047">
        <v>4172</v>
      </c>
      <c r="J1047">
        <v>98.23999999999999</v>
      </c>
      <c r="K1047">
        <v>43.05</v>
      </c>
      <c r="L1047">
        <v>27.32</v>
      </c>
      <c r="M1047">
        <v>0.15</v>
      </c>
      <c r="N1047" t="b">
        <v>0</v>
      </c>
      <c r="O1047">
        <v>-339</v>
      </c>
      <c r="P1047" t="s">
        <v>1060</v>
      </c>
      <c r="Q1047" t="s">
        <v>3172</v>
      </c>
      <c r="R1047">
        <v>-52.90000000000001</v>
      </c>
      <c r="S1047">
        <v>545</v>
      </c>
      <c r="T1047">
        <v>290290</v>
      </c>
      <c r="U1047" t="s">
        <v>5031</v>
      </c>
      <c r="V1047">
        <v>34.63</v>
      </c>
      <c r="W1047" t="s">
        <v>7248</v>
      </c>
      <c r="X1047" t="s">
        <v>9329</v>
      </c>
      <c r="Y1047">
        <v>424</v>
      </c>
      <c r="Z1047">
        <v>-8</v>
      </c>
      <c r="AA1047">
        <v>208469</v>
      </c>
      <c r="AB1047">
        <v>0.24</v>
      </c>
    </row>
    <row r="1048" spans="1:28">
      <c r="A1048" s="2">
        <f>HYPERLINK("https://finance.naver.com/item/coinfo.nhn?code=060850", "A060850")</f>
        <v>0</v>
      </c>
      <c r="B1048">
        <f>HYPERLINK("http://comp.fnguide.com/SVO2/ASP/SVD_Consensus.asp?pGB=1&amp;gicode=A060850&amp;cID=&amp;MenuYn=Y&amp;ReportGB=&amp;NewMenuID=108&amp;stkGb=701", "영림원소프트랩")</f>
        <v>0</v>
      </c>
      <c r="C1048">
        <v>0</v>
      </c>
      <c r="D1048">
        <v>14250</v>
      </c>
      <c r="G1048">
        <v>5135</v>
      </c>
      <c r="H1048">
        <v>2796</v>
      </c>
      <c r="I1048">
        <v>2129</v>
      </c>
      <c r="J1048">
        <v>63.97</v>
      </c>
      <c r="K1048">
        <v>80.38</v>
      </c>
      <c r="L1048">
        <v>85.06</v>
      </c>
      <c r="M1048">
        <v>32.95</v>
      </c>
      <c r="N1048" t="b">
        <v>0</v>
      </c>
      <c r="O1048">
        <v>714</v>
      </c>
      <c r="P1048" t="s">
        <v>1061</v>
      </c>
      <c r="Q1048" t="s">
        <v>3173</v>
      </c>
      <c r="R1048">
        <v>27.10243806971735</v>
      </c>
      <c r="S1048">
        <v>1159</v>
      </c>
      <c r="T1048">
        <v>175621</v>
      </c>
      <c r="U1048" t="s">
        <v>5032</v>
      </c>
      <c r="V1048">
        <v>20.01</v>
      </c>
      <c r="W1048" t="s">
        <v>7249</v>
      </c>
      <c r="X1048" t="s">
        <v>9330</v>
      </c>
      <c r="Y1048">
        <v>380</v>
      </c>
      <c r="Z1048">
        <v>43</v>
      </c>
    </row>
    <row r="1049" spans="1:28">
      <c r="A1049" s="2">
        <f>HYPERLINK("https://finance.naver.com/item/coinfo.nhn?code=115960", "A115960")</f>
        <v>0</v>
      </c>
      <c r="B1049">
        <f>HYPERLINK("http://comp.fnguide.com/SVO2/ASP/SVD_Consensus.asp?pGB=1&amp;gicode=A115960&amp;cID=&amp;MenuYn=Y&amp;ReportGB=&amp;NewMenuID=108&amp;stkGb=701", "연우")</f>
        <v>0</v>
      </c>
      <c r="C1049">
        <v>0</v>
      </c>
      <c r="D1049">
        <v>19150</v>
      </c>
      <c r="E1049">
        <v>-1.48</v>
      </c>
      <c r="F1049">
        <v>17.23</v>
      </c>
      <c r="G1049">
        <v>13134</v>
      </c>
      <c r="H1049">
        <v>15400</v>
      </c>
      <c r="I1049">
        <v>16046</v>
      </c>
      <c r="J1049">
        <v>31.42</v>
      </c>
      <c r="K1049">
        <v>19.58</v>
      </c>
      <c r="L1049">
        <v>16.21</v>
      </c>
      <c r="M1049">
        <v>6.19</v>
      </c>
      <c r="N1049" t="b">
        <v>1</v>
      </c>
      <c r="O1049">
        <v>1355</v>
      </c>
      <c r="P1049" t="s">
        <v>1062</v>
      </c>
      <c r="Q1049" t="s">
        <v>3174</v>
      </c>
      <c r="R1049">
        <v>-11.6196510705493</v>
      </c>
      <c r="S1049">
        <v>2374</v>
      </c>
      <c r="T1049">
        <v>29330</v>
      </c>
      <c r="U1049" t="s">
        <v>5033</v>
      </c>
      <c r="V1049">
        <v>60.38</v>
      </c>
      <c r="W1049" t="s">
        <v>7250</v>
      </c>
      <c r="X1049" t="s">
        <v>9331</v>
      </c>
      <c r="Y1049">
        <v>2946</v>
      </c>
      <c r="Z1049">
        <v>225</v>
      </c>
      <c r="AB1049">
        <v>0.6899999999999999</v>
      </c>
    </row>
    <row r="1050" spans="1:28">
      <c r="A1050" s="2">
        <f>HYPERLINK("https://finance.naver.com/item/coinfo.nhn?code=259630", "A259630")</f>
        <v>0</v>
      </c>
      <c r="B1050">
        <f>HYPERLINK("http://comp.fnguide.com/SVO2/ASP/SVD_Consensus.asp?pGB=1&amp;gicode=A259630&amp;cID=&amp;MenuYn=Y&amp;ReportGB=&amp;NewMenuID=108&amp;stkGb=701", "엠플러스")</f>
        <v>0</v>
      </c>
      <c r="C1050">
        <v>0</v>
      </c>
      <c r="D1050">
        <v>12750</v>
      </c>
      <c r="E1050">
        <v>-1.77</v>
      </c>
      <c r="F1050">
        <v>44.82</v>
      </c>
      <c r="G1050">
        <v>3581</v>
      </c>
      <c r="H1050">
        <v>3673</v>
      </c>
      <c r="I1050">
        <v>3699</v>
      </c>
      <c r="J1050">
        <v>71.91</v>
      </c>
      <c r="K1050">
        <v>71.19</v>
      </c>
      <c r="L1050">
        <v>70.98999999999999</v>
      </c>
      <c r="M1050">
        <v>7.64</v>
      </c>
      <c r="N1050" t="b">
        <v>1</v>
      </c>
      <c r="O1050">
        <v>196</v>
      </c>
      <c r="P1050" t="s">
        <v>1063</v>
      </c>
      <c r="Q1050" t="s">
        <v>3175</v>
      </c>
      <c r="R1050">
        <v>-25.28600103616042</v>
      </c>
      <c r="S1050">
        <v>1430</v>
      </c>
      <c r="T1050">
        <v>237012</v>
      </c>
      <c r="U1050" t="s">
        <v>5034</v>
      </c>
      <c r="V1050">
        <v>26.83</v>
      </c>
      <c r="W1050" t="s">
        <v>7251</v>
      </c>
      <c r="X1050" t="s">
        <v>9332</v>
      </c>
      <c r="Y1050">
        <v>1043</v>
      </c>
      <c r="Z1050">
        <v>27</v>
      </c>
      <c r="AA1050">
        <v>71997</v>
      </c>
    </row>
    <row r="1051" spans="1:28">
      <c r="A1051" s="2">
        <f>HYPERLINK("https://finance.naver.com/item/coinfo.nhn?code=179290", "A179290")</f>
        <v>0</v>
      </c>
      <c r="B1051">
        <f>HYPERLINK("http://comp.fnguide.com/SVO2/ASP/SVD_Consensus.asp?pGB=1&amp;gicode=A179290&amp;cID=&amp;MenuYn=Y&amp;ReportGB=&amp;NewMenuID=108&amp;stkGb=701", "엠아이텍")</f>
        <v>0</v>
      </c>
      <c r="C1051">
        <v>0</v>
      </c>
      <c r="D1051">
        <v>4325</v>
      </c>
      <c r="E1051">
        <v>1.5</v>
      </c>
      <c r="F1051">
        <v>34.88</v>
      </c>
      <c r="G1051">
        <v>1222</v>
      </c>
      <c r="H1051">
        <v>1418</v>
      </c>
      <c r="I1051">
        <v>1474</v>
      </c>
      <c r="J1051">
        <v>71.75</v>
      </c>
      <c r="K1051">
        <v>67.2</v>
      </c>
      <c r="L1051">
        <v>65.91</v>
      </c>
      <c r="M1051">
        <v>6.29</v>
      </c>
      <c r="N1051" t="b">
        <v>1</v>
      </c>
      <c r="O1051">
        <v>120</v>
      </c>
      <c r="P1051" t="s">
        <v>1064</v>
      </c>
      <c r="Q1051" t="s">
        <v>3176</v>
      </c>
      <c r="R1051">
        <v>23.21457505872932</v>
      </c>
      <c r="S1051">
        <v>1349</v>
      </c>
      <c r="T1051">
        <v>304224</v>
      </c>
      <c r="U1051" t="s">
        <v>5035</v>
      </c>
      <c r="V1051">
        <v>65.23</v>
      </c>
      <c r="W1051" t="s">
        <v>7252</v>
      </c>
      <c r="X1051" t="s">
        <v>9333</v>
      </c>
      <c r="Y1051">
        <v>327</v>
      </c>
      <c r="Z1051">
        <v>34</v>
      </c>
      <c r="AA1051">
        <v>2500</v>
      </c>
      <c r="AB1051">
        <v>1.19</v>
      </c>
    </row>
    <row r="1052" spans="1:28">
      <c r="A1052" s="2">
        <f>HYPERLINK("https://finance.naver.com/item/coinfo.nhn?code=033310", "A033310")</f>
        <v>0</v>
      </c>
      <c r="B1052">
        <f>HYPERLINK("http://comp.fnguide.com/SVO2/ASP/SVD_Consensus.asp?pGB=1&amp;gicode=A033310&amp;cID=&amp;MenuYn=Y&amp;ReportGB=&amp;NewMenuID=108&amp;stkGb=701", "엠투엔")</f>
        <v>0</v>
      </c>
      <c r="C1052">
        <v>0</v>
      </c>
      <c r="D1052">
        <v>14200</v>
      </c>
      <c r="E1052">
        <v>-0.89</v>
      </c>
      <c r="F1052">
        <v>16.92</v>
      </c>
      <c r="G1052">
        <v>2604</v>
      </c>
      <c r="H1052">
        <v>2606</v>
      </c>
      <c r="I1052">
        <v>2607</v>
      </c>
      <c r="J1052">
        <v>81.66</v>
      </c>
      <c r="K1052">
        <v>81.65000000000001</v>
      </c>
      <c r="L1052">
        <v>81.64</v>
      </c>
      <c r="M1052">
        <v>7.96</v>
      </c>
      <c r="N1052" t="b">
        <v>1</v>
      </c>
      <c r="O1052">
        <v>189</v>
      </c>
      <c r="P1052" t="s">
        <v>1065</v>
      </c>
      <c r="Q1052" t="s">
        <v>3177</v>
      </c>
      <c r="R1052">
        <v>-18.94375748467059</v>
      </c>
      <c r="S1052">
        <v>3151</v>
      </c>
      <c r="T1052">
        <v>238741</v>
      </c>
      <c r="U1052" t="s">
        <v>5036</v>
      </c>
      <c r="V1052">
        <v>51.93</v>
      </c>
      <c r="W1052" t="s">
        <v>7253</v>
      </c>
      <c r="X1052" t="s">
        <v>9334</v>
      </c>
      <c r="Y1052">
        <v>465</v>
      </c>
      <c r="Z1052">
        <v>4</v>
      </c>
      <c r="AA1052">
        <v>752131</v>
      </c>
    </row>
    <row r="1053" spans="1:28">
      <c r="A1053" s="2">
        <f>HYPERLINK("https://finance.naver.com/item/coinfo.nhn?code=347890", "A347890")</f>
        <v>0</v>
      </c>
      <c r="B1053">
        <f>HYPERLINK("http://comp.fnguide.com/SVO2/ASP/SVD_Consensus.asp?pGB=1&amp;gicode=A347890&amp;cID=&amp;MenuYn=Y&amp;ReportGB=&amp;NewMenuID=108&amp;stkGb=701", "엠투아이")</f>
        <v>0</v>
      </c>
      <c r="C1053">
        <v>0</v>
      </c>
      <c r="D1053">
        <v>16300</v>
      </c>
      <c r="G1053">
        <v>6179</v>
      </c>
      <c r="H1053">
        <v>5127</v>
      </c>
      <c r="I1053">
        <v>4828</v>
      </c>
      <c r="J1053">
        <v>62.09</v>
      </c>
      <c r="K1053">
        <v>68.54000000000001</v>
      </c>
      <c r="L1053">
        <v>70.38</v>
      </c>
      <c r="M1053">
        <v>11.12</v>
      </c>
      <c r="N1053" t="b">
        <v>0</v>
      </c>
      <c r="O1053">
        <v>800</v>
      </c>
      <c r="P1053" t="s">
        <v>1066</v>
      </c>
      <c r="Q1053" t="s">
        <v>3178</v>
      </c>
      <c r="R1053">
        <v>38.23901025408472</v>
      </c>
      <c r="S1053">
        <v>1369</v>
      </c>
      <c r="T1053">
        <v>84422</v>
      </c>
      <c r="U1053" t="s">
        <v>5037</v>
      </c>
      <c r="V1053">
        <v>57.55</v>
      </c>
      <c r="W1053" t="s">
        <v>7254</v>
      </c>
      <c r="X1053" t="s">
        <v>968</v>
      </c>
      <c r="Y1053">
        <v>247</v>
      </c>
      <c r="Z1053">
        <v>67</v>
      </c>
    </row>
    <row r="1054" spans="1:28">
      <c r="A1054" s="2">
        <f>HYPERLINK("https://finance.naver.com/item/coinfo.nhn?code=008800", "A008800")</f>
        <v>0</v>
      </c>
      <c r="B1054">
        <f>HYPERLINK("http://comp.fnguide.com/SVO2/ASP/SVD_Consensus.asp?pGB=1&amp;gicode=A008800&amp;cID=&amp;MenuYn=Y&amp;ReportGB=&amp;NewMenuID=108&amp;stkGb=701", "행남사")</f>
        <v>0</v>
      </c>
      <c r="C1054">
        <v>0</v>
      </c>
      <c r="D1054">
        <v>1770</v>
      </c>
      <c r="E1054">
        <v>0</v>
      </c>
      <c r="G1054">
        <v>0</v>
      </c>
      <c r="H1054">
        <v>403</v>
      </c>
      <c r="I1054">
        <v>518</v>
      </c>
      <c r="J1054">
        <v>100</v>
      </c>
      <c r="K1054">
        <v>77.23</v>
      </c>
      <c r="L1054">
        <v>70.75</v>
      </c>
      <c r="M1054">
        <v>0</v>
      </c>
      <c r="N1054" t="b">
        <v>0</v>
      </c>
      <c r="O1054">
        <v>-1056</v>
      </c>
      <c r="P1054" t="s">
        <v>1067</v>
      </c>
      <c r="Q1054" t="s">
        <v>2276</v>
      </c>
      <c r="R1054">
        <v>0</v>
      </c>
      <c r="S1054">
        <v>808</v>
      </c>
      <c r="T1054">
        <v>0</v>
      </c>
      <c r="U1054" t="s">
        <v>5038</v>
      </c>
      <c r="V1054">
        <v>53.12</v>
      </c>
      <c r="W1054" t="s">
        <v>7255</v>
      </c>
      <c r="X1054" t="s">
        <v>968</v>
      </c>
      <c r="Y1054">
        <v>77</v>
      </c>
      <c r="Z1054">
        <v>-45</v>
      </c>
      <c r="AA1054">
        <v>2936</v>
      </c>
    </row>
    <row r="1055" spans="1:28">
      <c r="A1055" s="2">
        <f>HYPERLINK("https://finance.naver.com/item/coinfo.nhn?code=032790", "A032790")</f>
        <v>0</v>
      </c>
      <c r="B1055">
        <f>HYPERLINK("http://comp.fnguide.com/SVO2/ASP/SVD_Consensus.asp?pGB=1&amp;gicode=A032790&amp;cID=&amp;MenuYn=Y&amp;ReportGB=&amp;NewMenuID=108&amp;stkGb=701", "엠젠플러스")</f>
        <v>0</v>
      </c>
      <c r="C1055">
        <v>0</v>
      </c>
      <c r="D1055">
        <v>4075</v>
      </c>
      <c r="E1055">
        <v>0</v>
      </c>
      <c r="G1055">
        <v>0</v>
      </c>
      <c r="H1055">
        <v>682</v>
      </c>
      <c r="I1055">
        <v>876</v>
      </c>
      <c r="J1055">
        <v>100</v>
      </c>
      <c r="K1055">
        <v>83.27</v>
      </c>
      <c r="L1055">
        <v>78.5</v>
      </c>
      <c r="M1055">
        <v>0</v>
      </c>
      <c r="N1055" t="b">
        <v>0</v>
      </c>
      <c r="O1055">
        <v>-1090</v>
      </c>
      <c r="P1055" t="s">
        <v>1068</v>
      </c>
      <c r="Q1055" t="s">
        <v>2276</v>
      </c>
      <c r="R1055">
        <v>0</v>
      </c>
      <c r="S1055">
        <v>808</v>
      </c>
      <c r="T1055">
        <v>0</v>
      </c>
      <c r="U1055" t="s">
        <v>5039</v>
      </c>
      <c r="V1055">
        <v>15.27</v>
      </c>
      <c r="W1055" t="s">
        <v>7256</v>
      </c>
      <c r="X1055" t="s">
        <v>968</v>
      </c>
      <c r="Y1055">
        <v>519</v>
      </c>
      <c r="Z1055">
        <v>-31</v>
      </c>
    </row>
    <row r="1056" spans="1:28">
      <c r="A1056" s="2">
        <f>HYPERLINK("https://finance.naver.com/item/coinfo.nhn?code=123040", "A123040")</f>
        <v>0</v>
      </c>
      <c r="B1056">
        <f>HYPERLINK("http://comp.fnguide.com/SVO2/ASP/SVD_Consensus.asp?pGB=1&amp;gicode=A123040&amp;cID=&amp;MenuYn=Y&amp;ReportGB=&amp;NewMenuID=108&amp;stkGb=701", "엠에스오토텍")</f>
        <v>0</v>
      </c>
      <c r="C1056">
        <v>0</v>
      </c>
      <c r="D1056">
        <v>11050</v>
      </c>
      <c r="E1056">
        <v>0.04</v>
      </c>
      <c r="F1056">
        <v>11.42</v>
      </c>
      <c r="G1056">
        <v>4936</v>
      </c>
      <c r="H1056">
        <v>4823</v>
      </c>
      <c r="I1056">
        <v>4790</v>
      </c>
      <c r="J1056">
        <v>55.33</v>
      </c>
      <c r="K1056">
        <v>56.36</v>
      </c>
      <c r="L1056">
        <v>56.65</v>
      </c>
      <c r="M1056">
        <v>8.289999999999999</v>
      </c>
      <c r="N1056" t="b">
        <v>1</v>
      </c>
      <c r="O1056">
        <v>527</v>
      </c>
      <c r="P1056" t="s">
        <v>1069</v>
      </c>
      <c r="Q1056" t="s">
        <v>3179</v>
      </c>
      <c r="R1056">
        <v>309.9</v>
      </c>
      <c r="S1056">
        <v>3822</v>
      </c>
      <c r="T1056">
        <v>12463903</v>
      </c>
      <c r="U1056" t="s">
        <v>5040</v>
      </c>
      <c r="V1056">
        <v>31.37</v>
      </c>
      <c r="W1056" t="s">
        <v>7257</v>
      </c>
      <c r="X1056" t="s">
        <v>9335</v>
      </c>
      <c r="Y1056">
        <v>12744</v>
      </c>
      <c r="Z1056">
        <v>667</v>
      </c>
      <c r="AA1056">
        <v>64519</v>
      </c>
      <c r="AB1056">
        <v>1.25</v>
      </c>
    </row>
    <row r="1057" spans="1:28">
      <c r="A1057" s="2">
        <f>HYPERLINK("https://finance.naver.com/item/coinfo.nhn?code=148250", "A148250")</f>
        <v>0</v>
      </c>
      <c r="B1057">
        <f>HYPERLINK("http://comp.fnguide.com/SVO2/ASP/SVD_Consensus.asp?pGB=1&amp;gicode=A148250&amp;cID=&amp;MenuYn=Y&amp;ReportGB=&amp;NewMenuID=108&amp;stkGb=701", "알엔투테크놀로지")</f>
        <v>0</v>
      </c>
      <c r="C1057">
        <v>0</v>
      </c>
      <c r="D1057">
        <v>15900</v>
      </c>
      <c r="E1057">
        <v>61.35</v>
      </c>
      <c r="F1057">
        <v>82.12</v>
      </c>
      <c r="G1057">
        <v>2109</v>
      </c>
      <c r="H1057">
        <v>3516</v>
      </c>
      <c r="I1057">
        <v>3917</v>
      </c>
      <c r="J1057">
        <v>86.73</v>
      </c>
      <c r="K1057">
        <v>77.89</v>
      </c>
      <c r="L1057">
        <v>75.36</v>
      </c>
      <c r="M1057">
        <v>3.78</v>
      </c>
      <c r="N1057" t="b">
        <v>0</v>
      </c>
      <c r="O1057">
        <v>129</v>
      </c>
      <c r="P1057" t="s">
        <v>1070</v>
      </c>
      <c r="Q1057" t="s">
        <v>3180</v>
      </c>
      <c r="R1057">
        <v>1.338600785755895</v>
      </c>
      <c r="S1057">
        <v>1119</v>
      </c>
      <c r="T1057">
        <v>79097</v>
      </c>
      <c r="U1057" t="s">
        <v>5041</v>
      </c>
      <c r="V1057">
        <v>23.21</v>
      </c>
      <c r="W1057" t="s">
        <v>7258</v>
      </c>
      <c r="X1057" t="s">
        <v>9336</v>
      </c>
      <c r="Y1057">
        <v>210</v>
      </c>
      <c r="Z1057">
        <v>28</v>
      </c>
      <c r="AA1057">
        <v>74091</v>
      </c>
      <c r="AB1057">
        <v>0.47</v>
      </c>
    </row>
    <row r="1058" spans="1:28">
      <c r="A1058" s="2">
        <f>HYPERLINK("https://finance.naver.com/item/coinfo.nhn?code=061970", "A061970")</f>
        <v>0</v>
      </c>
      <c r="B1058">
        <f>HYPERLINK("http://comp.fnguide.com/SVO2/ASP/SVD_Consensus.asp?pGB=1&amp;gicode=A061970&amp;cID=&amp;MenuYn=Y&amp;ReportGB=&amp;NewMenuID=108&amp;stkGb=701", "엘비세미콘")</f>
        <v>0</v>
      </c>
      <c r="C1058">
        <v>0</v>
      </c>
      <c r="D1058">
        <v>10950</v>
      </c>
      <c r="E1058">
        <v>1.07</v>
      </c>
      <c r="F1058">
        <v>10.48</v>
      </c>
      <c r="G1058">
        <v>7849</v>
      </c>
      <c r="H1058">
        <v>5187</v>
      </c>
      <c r="I1058">
        <v>4429</v>
      </c>
      <c r="J1058">
        <v>28.32</v>
      </c>
      <c r="K1058">
        <v>52.63</v>
      </c>
      <c r="L1058">
        <v>59.55</v>
      </c>
      <c r="M1058">
        <v>18.3</v>
      </c>
      <c r="N1058" t="b">
        <v>1</v>
      </c>
      <c r="O1058">
        <v>744</v>
      </c>
      <c r="P1058" t="s">
        <v>1071</v>
      </c>
      <c r="Q1058" t="s">
        <v>3181</v>
      </c>
      <c r="R1058">
        <v>9.765144644577095</v>
      </c>
      <c r="S1058">
        <v>4794</v>
      </c>
      <c r="T1058">
        <v>1098261</v>
      </c>
      <c r="U1058" t="s">
        <v>5042</v>
      </c>
      <c r="V1058">
        <v>38.75</v>
      </c>
      <c r="W1058" t="s">
        <v>7259</v>
      </c>
      <c r="X1058" t="s">
        <v>9337</v>
      </c>
      <c r="Y1058">
        <v>3904</v>
      </c>
      <c r="Z1058">
        <v>504</v>
      </c>
      <c r="AB1058">
        <v>0.64</v>
      </c>
    </row>
    <row r="1059" spans="1:28">
      <c r="A1059" s="2">
        <f>HYPERLINK("https://finance.naver.com/item/coinfo.nhn?code=096870", "A096870")</f>
        <v>0</v>
      </c>
      <c r="B1059">
        <f>HYPERLINK("http://comp.fnguide.com/SVO2/ASP/SVD_Consensus.asp?pGB=1&amp;gicode=A096870&amp;cID=&amp;MenuYn=Y&amp;ReportGB=&amp;NewMenuID=108&amp;stkGb=701", "엘디티")</f>
        <v>0</v>
      </c>
      <c r="C1059">
        <v>0</v>
      </c>
      <c r="D1059">
        <v>3150</v>
      </c>
      <c r="E1059">
        <v>0</v>
      </c>
      <c r="G1059">
        <v>239</v>
      </c>
      <c r="H1059">
        <v>986</v>
      </c>
      <c r="I1059">
        <v>1199</v>
      </c>
      <c r="J1059">
        <v>92.40000000000001</v>
      </c>
      <c r="K1059">
        <v>68.69</v>
      </c>
      <c r="L1059">
        <v>61.94</v>
      </c>
      <c r="M1059">
        <v>1.29</v>
      </c>
      <c r="N1059" t="b">
        <v>0</v>
      </c>
      <c r="O1059">
        <v>-209</v>
      </c>
      <c r="P1059" t="s">
        <v>1072</v>
      </c>
      <c r="Q1059" t="s">
        <v>2276</v>
      </c>
      <c r="R1059">
        <v>0</v>
      </c>
      <c r="S1059">
        <v>210</v>
      </c>
      <c r="T1059">
        <v>66581</v>
      </c>
      <c r="U1059" t="s">
        <v>5043</v>
      </c>
      <c r="V1059">
        <v>30.99</v>
      </c>
      <c r="W1059" t="s">
        <v>7260</v>
      </c>
      <c r="X1059" t="s">
        <v>9338</v>
      </c>
      <c r="Y1059">
        <v>70</v>
      </c>
      <c r="Z1059">
        <v>-13</v>
      </c>
    </row>
    <row r="1060" spans="1:28">
      <c r="A1060" s="2">
        <f>HYPERLINK("https://finance.naver.com/item/coinfo.nhn?code=048830", "A048830")</f>
        <v>0</v>
      </c>
      <c r="B1060">
        <f>HYPERLINK("http://comp.fnguide.com/SVO2/ASP/SVD_Consensus.asp?pGB=1&amp;gicode=A048830&amp;cID=&amp;MenuYn=Y&amp;ReportGB=&amp;NewMenuID=108&amp;stkGb=701", "엔피케이")</f>
        <v>0</v>
      </c>
      <c r="C1060">
        <v>0</v>
      </c>
      <c r="D1060">
        <v>1990</v>
      </c>
      <c r="G1060">
        <v>223</v>
      </c>
      <c r="H1060">
        <v>1384</v>
      </c>
      <c r="I1060">
        <v>1715</v>
      </c>
      <c r="J1060">
        <v>88.81</v>
      </c>
      <c r="K1060">
        <v>30.45</v>
      </c>
      <c r="L1060">
        <v>13.82</v>
      </c>
      <c r="M1060">
        <v>0.82</v>
      </c>
      <c r="N1060" t="b">
        <v>0</v>
      </c>
      <c r="O1060">
        <v>-44</v>
      </c>
      <c r="P1060" t="s">
        <v>1073</v>
      </c>
      <c r="Q1060" t="s">
        <v>3182</v>
      </c>
      <c r="R1060">
        <v>-7.799999999999995</v>
      </c>
      <c r="S1060">
        <v>373</v>
      </c>
      <c r="T1060">
        <v>195318</v>
      </c>
      <c r="U1060" t="s">
        <v>5044</v>
      </c>
      <c r="V1060">
        <v>49.29</v>
      </c>
      <c r="W1060" t="s">
        <v>7261</v>
      </c>
      <c r="X1060" t="s">
        <v>9339</v>
      </c>
      <c r="Y1060">
        <v>650</v>
      </c>
      <c r="Z1060">
        <v>-3</v>
      </c>
      <c r="AA1060">
        <v>28526</v>
      </c>
      <c r="AB1060">
        <v>1.64</v>
      </c>
    </row>
    <row r="1061" spans="1:28">
      <c r="A1061" s="2">
        <f>HYPERLINK("https://finance.naver.com/item/coinfo.nhn?code=083500", "A083500")</f>
        <v>0</v>
      </c>
      <c r="B1061">
        <f>HYPERLINK("http://comp.fnguide.com/SVO2/ASP/SVD_Consensus.asp?pGB=1&amp;gicode=A083500&amp;cID=&amp;MenuYn=Y&amp;ReportGB=&amp;NewMenuID=108&amp;stkGb=701", "에프엔에스테크")</f>
        <v>0</v>
      </c>
      <c r="C1061">
        <v>0</v>
      </c>
      <c r="D1061">
        <v>9380</v>
      </c>
      <c r="E1061">
        <v>3.48</v>
      </c>
      <c r="F1061">
        <v>42.96</v>
      </c>
      <c r="G1061">
        <v>3086</v>
      </c>
      <c r="H1061">
        <v>4678</v>
      </c>
      <c r="I1061">
        <v>5132</v>
      </c>
      <c r="J1061">
        <v>67.09999999999999</v>
      </c>
      <c r="K1061">
        <v>50.12</v>
      </c>
      <c r="L1061">
        <v>45.29</v>
      </c>
      <c r="M1061">
        <v>4.29</v>
      </c>
      <c r="N1061" t="b">
        <v>1</v>
      </c>
      <c r="O1061">
        <v>198</v>
      </c>
      <c r="P1061" t="s">
        <v>1074</v>
      </c>
      <c r="Q1061" t="s">
        <v>3183</v>
      </c>
      <c r="R1061">
        <v>12.33040550091502</v>
      </c>
      <c r="S1061">
        <v>787</v>
      </c>
      <c r="T1061">
        <v>134593</v>
      </c>
      <c r="U1061" t="s">
        <v>5045</v>
      </c>
      <c r="V1061">
        <v>34.48</v>
      </c>
      <c r="W1061" t="s">
        <v>7262</v>
      </c>
      <c r="X1061" t="s">
        <v>9340</v>
      </c>
      <c r="Y1061">
        <v>341</v>
      </c>
      <c r="Z1061">
        <v>22</v>
      </c>
      <c r="AA1061">
        <v>383624</v>
      </c>
    </row>
    <row r="1062" spans="1:28">
      <c r="A1062" s="2">
        <f>HYPERLINK("https://finance.naver.com/item/coinfo.nhn?code=070300", "A070300")</f>
        <v>0</v>
      </c>
      <c r="B1062">
        <f>HYPERLINK("http://comp.fnguide.com/SVO2/ASP/SVD_Consensus.asp?pGB=1&amp;gicode=A070300&amp;cID=&amp;MenuYn=Y&amp;ReportGB=&amp;NewMenuID=108&amp;stkGb=701", "엑스큐어")</f>
        <v>0</v>
      </c>
      <c r="C1062">
        <v>0</v>
      </c>
      <c r="D1062">
        <v>4810</v>
      </c>
      <c r="E1062">
        <v>0</v>
      </c>
      <c r="F1062">
        <v>37.4</v>
      </c>
      <c r="G1062">
        <v>2852</v>
      </c>
      <c r="H1062">
        <v>3039</v>
      </c>
      <c r="I1062">
        <v>3092</v>
      </c>
      <c r="J1062">
        <v>40.72</v>
      </c>
      <c r="K1062">
        <v>36.82</v>
      </c>
      <c r="L1062">
        <v>35.71</v>
      </c>
      <c r="M1062">
        <v>7.18</v>
      </c>
      <c r="N1062" t="b">
        <v>0</v>
      </c>
      <c r="O1062">
        <v>175</v>
      </c>
      <c r="P1062" t="s">
        <v>1075</v>
      </c>
      <c r="Q1062" t="s">
        <v>2276</v>
      </c>
      <c r="R1062">
        <v>0</v>
      </c>
      <c r="S1062">
        <v>354</v>
      </c>
      <c r="T1062">
        <v>0</v>
      </c>
      <c r="U1062" t="s">
        <v>5046</v>
      </c>
      <c r="V1062">
        <v>27.25</v>
      </c>
      <c r="W1062" t="s">
        <v>7263</v>
      </c>
      <c r="X1062" t="s">
        <v>9341</v>
      </c>
      <c r="Y1062">
        <v>133</v>
      </c>
      <c r="Z1062">
        <v>5</v>
      </c>
    </row>
    <row r="1063" spans="1:28">
      <c r="A1063" s="2">
        <f>HYPERLINK("https://finance.naver.com/item/coinfo.nhn?code=205100", "A205100")</f>
        <v>0</v>
      </c>
      <c r="B1063">
        <f>HYPERLINK("http://comp.fnguide.com/SVO2/ASP/SVD_Consensus.asp?pGB=1&amp;gicode=A205100&amp;cID=&amp;MenuYn=Y&amp;ReportGB=&amp;NewMenuID=108&amp;stkGb=701", "엑셈")</f>
        <v>0</v>
      </c>
      <c r="C1063">
        <v>0</v>
      </c>
      <c r="D1063">
        <v>3995</v>
      </c>
      <c r="E1063">
        <v>0.36</v>
      </c>
      <c r="F1063">
        <v>20.35</v>
      </c>
      <c r="G1063">
        <v>1912</v>
      </c>
      <c r="H1063">
        <v>1967</v>
      </c>
      <c r="I1063">
        <v>1983</v>
      </c>
      <c r="J1063">
        <v>52.15</v>
      </c>
      <c r="K1063">
        <v>50.76</v>
      </c>
      <c r="L1063">
        <v>50.36</v>
      </c>
      <c r="M1063">
        <v>7.6</v>
      </c>
      <c r="N1063" t="b">
        <v>1</v>
      </c>
      <c r="O1063">
        <v>139</v>
      </c>
      <c r="P1063" t="s">
        <v>1076</v>
      </c>
      <c r="Q1063" t="s">
        <v>3184</v>
      </c>
      <c r="R1063">
        <v>57.00305729507309</v>
      </c>
      <c r="S1063">
        <v>1354</v>
      </c>
      <c r="T1063">
        <v>673591</v>
      </c>
      <c r="U1063" t="s">
        <v>5047</v>
      </c>
      <c r="V1063">
        <v>38.23</v>
      </c>
      <c r="W1063" t="s">
        <v>7264</v>
      </c>
      <c r="X1063" t="s">
        <v>9342</v>
      </c>
      <c r="Y1063">
        <v>345</v>
      </c>
      <c r="Z1063">
        <v>63</v>
      </c>
      <c r="AA1063">
        <v>801115</v>
      </c>
    </row>
    <row r="1064" spans="1:28">
      <c r="A1064" s="2">
        <f>HYPERLINK("https://finance.naver.com/item/coinfo.nhn?code=131400", "A131400")</f>
        <v>0</v>
      </c>
      <c r="B1064">
        <f>HYPERLINK("http://comp.fnguide.com/SVO2/ASP/SVD_Consensus.asp?pGB=1&amp;gicode=A131400&amp;cID=&amp;MenuYn=Y&amp;ReportGB=&amp;NewMenuID=108&amp;stkGb=701", "액트")</f>
        <v>0</v>
      </c>
      <c r="C1064">
        <v>0</v>
      </c>
      <c r="D1064">
        <v>5260</v>
      </c>
      <c r="G1064">
        <v>782</v>
      </c>
      <c r="H1064">
        <v>1594</v>
      </c>
      <c r="I1064">
        <v>1826</v>
      </c>
      <c r="J1064">
        <v>85.13</v>
      </c>
      <c r="K1064">
        <v>69.69</v>
      </c>
      <c r="L1064">
        <v>65.29000000000001</v>
      </c>
      <c r="M1064">
        <v>2.92</v>
      </c>
      <c r="N1064" t="b">
        <v>0</v>
      </c>
      <c r="O1064">
        <v>-77</v>
      </c>
      <c r="P1064" t="s">
        <v>1077</v>
      </c>
      <c r="Q1064" t="s">
        <v>3185</v>
      </c>
      <c r="R1064">
        <v>99.69999999999999</v>
      </c>
      <c r="S1064">
        <v>1204</v>
      </c>
      <c r="T1064">
        <v>297792</v>
      </c>
      <c r="U1064" t="s">
        <v>5048</v>
      </c>
      <c r="V1064">
        <v>15.17</v>
      </c>
      <c r="W1064" t="s">
        <v>7265</v>
      </c>
      <c r="X1064" t="s">
        <v>9343</v>
      </c>
      <c r="Y1064">
        <v>524</v>
      </c>
      <c r="Z1064">
        <v>10</v>
      </c>
      <c r="AA1064">
        <v>1241187</v>
      </c>
    </row>
    <row r="1065" spans="1:28">
      <c r="A1065" s="2">
        <f>HYPERLINK("https://finance.naver.com/item/coinfo.nhn?code=048410", "A048410")</f>
        <v>0</v>
      </c>
      <c r="B1065">
        <f>HYPERLINK("http://comp.fnguide.com/SVO2/ASP/SVD_Consensus.asp?pGB=1&amp;gicode=A048410&amp;cID=&amp;MenuYn=Y&amp;ReportGB=&amp;NewMenuID=108&amp;stkGb=701", "현대바이오")</f>
        <v>0</v>
      </c>
      <c r="C1065">
        <v>0</v>
      </c>
      <c r="D1065">
        <v>10700</v>
      </c>
      <c r="E1065">
        <v>-27.55</v>
      </c>
      <c r="F1065">
        <v>632.12</v>
      </c>
      <c r="G1065">
        <v>681</v>
      </c>
      <c r="H1065">
        <v>1058</v>
      </c>
      <c r="I1065">
        <v>1166</v>
      </c>
      <c r="J1065">
        <v>93.63</v>
      </c>
      <c r="K1065">
        <v>90.11</v>
      </c>
      <c r="L1065">
        <v>89.11</v>
      </c>
      <c r="M1065">
        <v>4.15</v>
      </c>
      <c r="N1065" t="b">
        <v>0</v>
      </c>
      <c r="O1065">
        <v>22</v>
      </c>
      <c r="P1065" t="s">
        <v>1078</v>
      </c>
      <c r="Q1065" t="s">
        <v>3186</v>
      </c>
      <c r="R1065">
        <v>-22.94573340820122</v>
      </c>
      <c r="S1065">
        <v>3843</v>
      </c>
      <c r="T1065">
        <v>501996</v>
      </c>
      <c r="U1065" t="s">
        <v>5049</v>
      </c>
      <c r="V1065">
        <v>12.47</v>
      </c>
      <c r="W1065" t="s">
        <v>7266</v>
      </c>
      <c r="X1065" t="s">
        <v>9344</v>
      </c>
      <c r="Y1065">
        <v>301</v>
      </c>
      <c r="Z1065">
        <v>26</v>
      </c>
      <c r="AA1065">
        <v>2256</v>
      </c>
    </row>
    <row r="1066" spans="1:28">
      <c r="A1066" s="2">
        <f>HYPERLINK("https://finance.naver.com/item/coinfo.nhn?code=950130", "A950130")</f>
        <v>0</v>
      </c>
      <c r="B1066">
        <f>HYPERLINK("http://comp.fnguide.com/SVO2/ASP/SVD_Consensus.asp?pGB=1&amp;gicode=A950130&amp;cID=&amp;MenuYn=Y&amp;ReportGB=&amp;NewMenuID=108&amp;stkGb=701", "엑세스바이오")</f>
        <v>0</v>
      </c>
      <c r="C1066">
        <v>0</v>
      </c>
      <c r="D1066">
        <v>19450</v>
      </c>
      <c r="G1066">
        <v>0</v>
      </c>
      <c r="H1066">
        <v>407</v>
      </c>
      <c r="I1066">
        <v>523</v>
      </c>
      <c r="J1066">
        <v>100</v>
      </c>
      <c r="K1066">
        <v>97.91</v>
      </c>
      <c r="L1066">
        <v>97.31</v>
      </c>
      <c r="M1066">
        <v>0</v>
      </c>
      <c r="N1066" t="b">
        <v>0</v>
      </c>
      <c r="O1066">
        <v>-602</v>
      </c>
      <c r="P1066" t="s">
        <v>1079</v>
      </c>
      <c r="Q1066" t="s">
        <v>3187</v>
      </c>
      <c r="R1066">
        <v>-76</v>
      </c>
      <c r="S1066">
        <v>7063</v>
      </c>
      <c r="T1066">
        <v>1023626</v>
      </c>
      <c r="U1066" t="s">
        <v>5050</v>
      </c>
      <c r="V1066">
        <v>25.26</v>
      </c>
      <c r="W1066" t="s">
        <v>7267</v>
      </c>
      <c r="X1066" t="s">
        <v>968</v>
      </c>
      <c r="Y1066">
        <v>431</v>
      </c>
      <c r="Z1066">
        <v>-80</v>
      </c>
    </row>
    <row r="1067" spans="1:28">
      <c r="A1067" s="2">
        <f>HYPERLINK("https://finance.naver.com/item/coinfo.nhn?code=054940", "A054940")</f>
        <v>0</v>
      </c>
      <c r="B1067">
        <f>HYPERLINK("http://comp.fnguide.com/SVO2/ASP/SVD_Consensus.asp?pGB=1&amp;gicode=A054940&amp;cID=&amp;MenuYn=Y&amp;ReportGB=&amp;NewMenuID=108&amp;stkGb=701", "엑사이엔씨")</f>
        <v>0</v>
      </c>
      <c r="C1067">
        <v>0</v>
      </c>
      <c r="D1067">
        <v>1685</v>
      </c>
      <c r="G1067">
        <v>0</v>
      </c>
      <c r="H1067">
        <v>944</v>
      </c>
      <c r="I1067">
        <v>1213</v>
      </c>
      <c r="J1067">
        <v>100</v>
      </c>
      <c r="K1067">
        <v>44</v>
      </c>
      <c r="L1067">
        <v>28.04</v>
      </c>
      <c r="M1067">
        <v>0</v>
      </c>
      <c r="N1067" t="b">
        <v>0</v>
      </c>
      <c r="O1067">
        <v>-11</v>
      </c>
      <c r="P1067" t="s">
        <v>1080</v>
      </c>
      <c r="Q1067" t="s">
        <v>3188</v>
      </c>
      <c r="R1067">
        <v>67.18211626845736</v>
      </c>
      <c r="S1067">
        <v>559</v>
      </c>
      <c r="T1067">
        <v>9541934</v>
      </c>
      <c r="U1067" t="s">
        <v>5051</v>
      </c>
      <c r="V1067">
        <v>19.73</v>
      </c>
      <c r="W1067" t="s">
        <v>7268</v>
      </c>
      <c r="X1067" t="s">
        <v>968</v>
      </c>
      <c r="Y1067">
        <v>2471</v>
      </c>
      <c r="Z1067">
        <v>30</v>
      </c>
    </row>
    <row r="1068" spans="1:28">
      <c r="A1068" s="2">
        <f>HYPERLINK("https://finance.naver.com/item/coinfo.nhn?code=173940", "A173940")</f>
        <v>0</v>
      </c>
      <c r="B1068">
        <f>HYPERLINK("http://comp.fnguide.com/SVO2/ASP/SVD_Consensus.asp?pGB=1&amp;gicode=A173940&amp;cID=&amp;MenuYn=Y&amp;ReportGB=&amp;NewMenuID=108&amp;stkGb=701", "에프엔씨엔터")</f>
        <v>0</v>
      </c>
      <c r="C1068">
        <v>0</v>
      </c>
      <c r="D1068">
        <v>5940</v>
      </c>
      <c r="E1068">
        <v>0</v>
      </c>
      <c r="G1068">
        <v>0</v>
      </c>
      <c r="H1068">
        <v>2870</v>
      </c>
      <c r="I1068">
        <v>3688</v>
      </c>
      <c r="J1068">
        <v>100</v>
      </c>
      <c r="K1068">
        <v>51.68</v>
      </c>
      <c r="L1068">
        <v>37.91</v>
      </c>
      <c r="M1068">
        <v>0</v>
      </c>
      <c r="N1068" t="b">
        <v>0</v>
      </c>
      <c r="O1068">
        <v>-485</v>
      </c>
      <c r="P1068" t="s">
        <v>1081</v>
      </c>
      <c r="Q1068" t="s">
        <v>2276</v>
      </c>
      <c r="R1068">
        <v>0</v>
      </c>
      <c r="S1068">
        <v>853</v>
      </c>
      <c r="T1068">
        <v>33661</v>
      </c>
      <c r="U1068" t="s">
        <v>5052</v>
      </c>
      <c r="V1068">
        <v>34.15</v>
      </c>
      <c r="W1068" t="s">
        <v>7269</v>
      </c>
      <c r="X1068" t="s">
        <v>968</v>
      </c>
      <c r="Y1068">
        <v>842</v>
      </c>
      <c r="Z1068">
        <v>-49</v>
      </c>
      <c r="AA1068">
        <v>464917</v>
      </c>
    </row>
    <row r="1069" spans="1:28">
      <c r="A1069" s="2">
        <f>HYPERLINK("https://finance.naver.com/item/coinfo.nhn?code=227950", "A227950")</f>
        <v>0</v>
      </c>
      <c r="B1069">
        <f>HYPERLINK("http://comp.fnguide.com/SVO2/ASP/SVD_Consensus.asp?pGB=1&amp;gicode=A227950&amp;cID=&amp;MenuYn=Y&amp;ReportGB=&amp;NewMenuID=108&amp;stkGb=701", "엔투텍")</f>
        <v>0</v>
      </c>
      <c r="C1069">
        <v>0</v>
      </c>
      <c r="D1069">
        <v>7600</v>
      </c>
      <c r="E1069">
        <v>0</v>
      </c>
      <c r="G1069">
        <v>0</v>
      </c>
      <c r="H1069">
        <v>465</v>
      </c>
      <c r="I1069">
        <v>598</v>
      </c>
      <c r="J1069">
        <v>100</v>
      </c>
      <c r="K1069">
        <v>93.88</v>
      </c>
      <c r="L1069">
        <v>92.13</v>
      </c>
      <c r="M1069">
        <v>0</v>
      </c>
      <c r="N1069" t="b">
        <v>0</v>
      </c>
      <c r="O1069">
        <v>-627</v>
      </c>
      <c r="P1069" t="s">
        <v>1082</v>
      </c>
      <c r="Q1069" t="s">
        <v>3152</v>
      </c>
      <c r="R1069">
        <v>0</v>
      </c>
      <c r="S1069">
        <v>3962</v>
      </c>
      <c r="T1069">
        <v>94541408</v>
      </c>
      <c r="U1069" t="s">
        <v>5053</v>
      </c>
      <c r="V1069">
        <v>3.84</v>
      </c>
      <c r="W1069" t="s">
        <v>7270</v>
      </c>
      <c r="X1069" t="s">
        <v>968</v>
      </c>
      <c r="Y1069">
        <v>575</v>
      </c>
      <c r="Z1069">
        <v>17</v>
      </c>
    </row>
    <row r="1070" spans="1:28">
      <c r="A1070" s="2">
        <f>HYPERLINK("https://finance.naver.com/item/coinfo.nhn?code=036810", "A036810")</f>
        <v>0</v>
      </c>
      <c r="B1070">
        <f>HYPERLINK("http://comp.fnguide.com/SVO2/ASP/SVD_Consensus.asp?pGB=1&amp;gicode=A036810&amp;cID=&amp;MenuYn=Y&amp;ReportGB=&amp;NewMenuID=108&amp;stkGb=701", "에프에스티")</f>
        <v>0</v>
      </c>
      <c r="C1070">
        <v>0</v>
      </c>
      <c r="D1070">
        <v>24000</v>
      </c>
      <c r="E1070">
        <v>0.41</v>
      </c>
      <c r="F1070">
        <v>8.58</v>
      </c>
      <c r="G1070">
        <v>13706</v>
      </c>
      <c r="H1070">
        <v>9210</v>
      </c>
      <c r="I1070">
        <v>7929</v>
      </c>
      <c r="J1070">
        <v>42.89</v>
      </c>
      <c r="K1070">
        <v>61.63</v>
      </c>
      <c r="L1070">
        <v>66.95999999999999</v>
      </c>
      <c r="M1070">
        <v>17.55</v>
      </c>
      <c r="N1070" t="b">
        <v>1</v>
      </c>
      <c r="O1070">
        <v>903</v>
      </c>
      <c r="P1070" t="s">
        <v>1083</v>
      </c>
      <c r="Q1070" t="s">
        <v>3189</v>
      </c>
      <c r="R1070">
        <v>20.90548395472727</v>
      </c>
      <c r="S1070">
        <v>4856</v>
      </c>
      <c r="T1070">
        <v>345051</v>
      </c>
      <c r="U1070" t="s">
        <v>5054</v>
      </c>
      <c r="V1070">
        <v>26.17</v>
      </c>
      <c r="W1070" t="s">
        <v>7271</v>
      </c>
      <c r="X1070" t="s">
        <v>9345</v>
      </c>
      <c r="Y1070">
        <v>1257</v>
      </c>
      <c r="Z1070">
        <v>189</v>
      </c>
      <c r="AA1070">
        <v>2043483</v>
      </c>
      <c r="AB1070">
        <v>1.03</v>
      </c>
    </row>
    <row r="1071" spans="1:28">
      <c r="A1071" s="2">
        <f>HYPERLINK("https://finance.naver.com/item/coinfo.nhn?code=052260", "A052260")</f>
        <v>0</v>
      </c>
      <c r="B1071">
        <f>HYPERLINK("http://comp.fnguide.com/SVO2/ASP/SVD_Consensus.asp?pGB=1&amp;gicode=A052260&amp;cID=&amp;MenuYn=Y&amp;ReportGB=&amp;NewMenuID=108&amp;stkGb=701", "현대바이오랜드")</f>
        <v>0</v>
      </c>
      <c r="C1071">
        <v>0</v>
      </c>
      <c r="D1071">
        <v>23050</v>
      </c>
      <c r="E1071">
        <v>-1.36</v>
      </c>
      <c r="F1071">
        <v>29.1</v>
      </c>
      <c r="G1071">
        <v>11133</v>
      </c>
      <c r="H1071">
        <v>10681</v>
      </c>
      <c r="I1071">
        <v>10552</v>
      </c>
      <c r="J1071">
        <v>51.7</v>
      </c>
      <c r="K1071">
        <v>53.66</v>
      </c>
      <c r="L1071">
        <v>54.22</v>
      </c>
      <c r="M1071">
        <v>8.550000000000001</v>
      </c>
      <c r="N1071" t="b">
        <v>1</v>
      </c>
      <c r="O1071">
        <v>723</v>
      </c>
      <c r="P1071" t="s">
        <v>1084</v>
      </c>
      <c r="Q1071" t="s">
        <v>3190</v>
      </c>
      <c r="R1071">
        <v>-21.46881093563042</v>
      </c>
      <c r="S1071">
        <v>3458</v>
      </c>
      <c r="T1071">
        <v>133271</v>
      </c>
      <c r="U1071" t="s">
        <v>5055</v>
      </c>
      <c r="V1071">
        <v>30.68</v>
      </c>
      <c r="W1071" t="s">
        <v>7272</v>
      </c>
      <c r="X1071" t="s">
        <v>9346</v>
      </c>
      <c r="Y1071">
        <v>1063</v>
      </c>
      <c r="Z1071">
        <v>145</v>
      </c>
      <c r="AB1071">
        <v>1.66</v>
      </c>
    </row>
    <row r="1072" spans="1:28">
      <c r="A1072" s="2">
        <f>HYPERLINK("https://finance.naver.com/item/coinfo.nhn?code=064090", "A064090")</f>
        <v>0</v>
      </c>
      <c r="B1072">
        <f>HYPERLINK("http://comp.fnguide.com/SVO2/ASP/SVD_Consensus.asp?pGB=1&amp;gicode=A064090&amp;cID=&amp;MenuYn=Y&amp;ReportGB=&amp;NewMenuID=108&amp;stkGb=701", "에프앤리퍼블릭")</f>
        <v>0</v>
      </c>
      <c r="C1072">
        <v>0</v>
      </c>
      <c r="D1072">
        <v>406</v>
      </c>
      <c r="G1072">
        <v>326</v>
      </c>
      <c r="H1072">
        <v>345</v>
      </c>
      <c r="I1072">
        <v>351</v>
      </c>
      <c r="J1072">
        <v>19.81</v>
      </c>
      <c r="K1072">
        <v>14.91</v>
      </c>
      <c r="L1072">
        <v>13.51</v>
      </c>
      <c r="M1072">
        <v>7.23</v>
      </c>
      <c r="N1072" t="b">
        <v>0</v>
      </c>
      <c r="O1072">
        <v>-684</v>
      </c>
      <c r="P1072" t="s">
        <v>1085</v>
      </c>
      <c r="Q1072" t="s">
        <v>3191</v>
      </c>
      <c r="R1072">
        <v>-66.7</v>
      </c>
      <c r="S1072">
        <v>315</v>
      </c>
      <c r="T1072">
        <v>205515</v>
      </c>
      <c r="U1072" t="s">
        <v>5056</v>
      </c>
      <c r="V1072">
        <v>17.51</v>
      </c>
      <c r="W1072" t="s">
        <v>7273</v>
      </c>
      <c r="X1072" t="s">
        <v>9347</v>
      </c>
      <c r="Y1072">
        <v>341</v>
      </c>
      <c r="Z1072">
        <v>-234</v>
      </c>
    </row>
    <row r="1073" spans="1:28">
      <c r="A1073" s="2">
        <f>HYPERLINK("https://finance.naver.com/item/coinfo.nhn?code=073540", "A073540")</f>
        <v>0</v>
      </c>
      <c r="B1073">
        <f>HYPERLINK("http://comp.fnguide.com/SVO2/ASP/SVD_Consensus.asp?pGB=1&amp;gicode=A073540&amp;cID=&amp;MenuYn=Y&amp;ReportGB=&amp;NewMenuID=108&amp;stkGb=701", "에프알텍")</f>
        <v>0</v>
      </c>
      <c r="C1073">
        <v>0</v>
      </c>
      <c r="D1073">
        <v>6070</v>
      </c>
      <c r="E1073">
        <v>0</v>
      </c>
      <c r="G1073">
        <v>0</v>
      </c>
      <c r="H1073">
        <v>1650</v>
      </c>
      <c r="I1073">
        <v>2120</v>
      </c>
      <c r="J1073">
        <v>100</v>
      </c>
      <c r="K1073">
        <v>72.81999999999999</v>
      </c>
      <c r="L1073">
        <v>65.08</v>
      </c>
      <c r="M1073">
        <v>0</v>
      </c>
      <c r="N1073" t="b">
        <v>0</v>
      </c>
      <c r="O1073">
        <v>-149</v>
      </c>
      <c r="P1073" t="s">
        <v>1086</v>
      </c>
      <c r="Q1073" t="s">
        <v>2276</v>
      </c>
      <c r="R1073">
        <v>0</v>
      </c>
      <c r="S1073">
        <v>692</v>
      </c>
      <c r="T1073">
        <v>89222</v>
      </c>
      <c r="U1073" t="s">
        <v>5057</v>
      </c>
      <c r="V1073">
        <v>37</v>
      </c>
      <c r="W1073" t="s">
        <v>7274</v>
      </c>
      <c r="X1073" t="s">
        <v>968</v>
      </c>
      <c r="Y1073">
        <v>262</v>
      </c>
      <c r="Z1073">
        <v>-12</v>
      </c>
    </row>
    <row r="1074" spans="1:28">
      <c r="A1074" s="2">
        <f>HYPERLINK("https://finance.naver.com/item/coinfo.nhn?code=016790", "A016790")</f>
        <v>0</v>
      </c>
      <c r="B1074">
        <f>HYPERLINK("http://comp.fnguide.com/SVO2/ASP/SVD_Consensus.asp?pGB=1&amp;gicode=A016790&amp;cID=&amp;MenuYn=Y&amp;ReportGB=&amp;NewMenuID=108&amp;stkGb=701", "현대사료")</f>
        <v>0</v>
      </c>
      <c r="C1074">
        <v>0</v>
      </c>
      <c r="D1074">
        <v>13550</v>
      </c>
      <c r="E1074">
        <v>0.41</v>
      </c>
      <c r="F1074">
        <v>23.79</v>
      </c>
      <c r="G1074">
        <v>5818</v>
      </c>
      <c r="H1074">
        <v>8135</v>
      </c>
      <c r="I1074">
        <v>8795</v>
      </c>
      <c r="J1074">
        <v>57.06</v>
      </c>
      <c r="K1074">
        <v>39.96</v>
      </c>
      <c r="L1074">
        <v>35.09</v>
      </c>
      <c r="M1074">
        <v>4.79</v>
      </c>
      <c r="N1074" t="b">
        <v>1</v>
      </c>
      <c r="O1074">
        <v>528</v>
      </c>
      <c r="P1074" t="s">
        <v>1087</v>
      </c>
      <c r="Q1074" t="s">
        <v>3192</v>
      </c>
      <c r="R1074">
        <v>58.3458240687136</v>
      </c>
      <c r="S1074">
        <v>833</v>
      </c>
      <c r="T1074">
        <v>16361</v>
      </c>
      <c r="U1074" t="s">
        <v>5058</v>
      </c>
      <c r="V1074">
        <v>71.09</v>
      </c>
      <c r="W1074" t="s">
        <v>7275</v>
      </c>
      <c r="X1074" t="s">
        <v>9348</v>
      </c>
      <c r="Y1074">
        <v>1182</v>
      </c>
      <c r="Z1074">
        <v>61</v>
      </c>
      <c r="AB1074">
        <v>0.8</v>
      </c>
    </row>
    <row r="1075" spans="1:28">
      <c r="A1075" s="2">
        <f>HYPERLINK("https://finance.naver.com/item/coinfo.nhn?code=238090", "A238090")</f>
        <v>0</v>
      </c>
      <c r="B1075">
        <f>HYPERLINK("http://comp.fnguide.com/SVO2/ASP/SVD_Consensus.asp?pGB=1&amp;gicode=A238090&amp;cID=&amp;MenuYn=Y&amp;ReportGB=&amp;NewMenuID=108&amp;stkGb=701", "앤디포스")</f>
        <v>0</v>
      </c>
      <c r="C1075">
        <v>0</v>
      </c>
      <c r="D1075">
        <v>6440</v>
      </c>
      <c r="G1075">
        <v>431</v>
      </c>
      <c r="H1075">
        <v>1407</v>
      </c>
      <c r="I1075">
        <v>1685</v>
      </c>
      <c r="J1075">
        <v>93.31</v>
      </c>
      <c r="K1075">
        <v>78.15000000000001</v>
      </c>
      <c r="L1075">
        <v>73.83</v>
      </c>
      <c r="M1075">
        <v>1.67</v>
      </c>
      <c r="N1075" t="b">
        <v>0</v>
      </c>
      <c r="O1075">
        <v>-13</v>
      </c>
      <c r="P1075" t="s">
        <v>1088</v>
      </c>
      <c r="Q1075" t="s">
        <v>3193</v>
      </c>
      <c r="R1075">
        <v>-31.66669918699962</v>
      </c>
      <c r="S1075">
        <v>3552</v>
      </c>
      <c r="T1075">
        <v>2188182</v>
      </c>
      <c r="U1075" t="s">
        <v>5059</v>
      </c>
      <c r="V1075">
        <v>22.99</v>
      </c>
      <c r="W1075" t="s">
        <v>7276</v>
      </c>
      <c r="X1075" t="s">
        <v>9349</v>
      </c>
      <c r="Y1075">
        <v>841</v>
      </c>
      <c r="Z1075">
        <v>87</v>
      </c>
      <c r="AA1075">
        <v>1063717</v>
      </c>
    </row>
    <row r="1076" spans="1:28">
      <c r="A1076" s="2">
        <f>HYPERLINK("https://finance.naver.com/item/coinfo.nhn?code=205500", "A205500")</f>
        <v>0</v>
      </c>
      <c r="B1076">
        <f>HYPERLINK("http://comp.fnguide.com/SVO2/ASP/SVD_Consensus.asp?pGB=1&amp;gicode=A205500&amp;cID=&amp;MenuYn=Y&amp;ReportGB=&amp;NewMenuID=108&amp;stkGb=701", "액션스퀘어")</f>
        <v>0</v>
      </c>
      <c r="C1076">
        <v>0</v>
      </c>
      <c r="D1076">
        <v>1710</v>
      </c>
      <c r="E1076">
        <v>0</v>
      </c>
      <c r="G1076">
        <v>0</v>
      </c>
      <c r="H1076">
        <v>294</v>
      </c>
      <c r="I1076">
        <v>377</v>
      </c>
      <c r="J1076">
        <v>100</v>
      </c>
      <c r="K1076">
        <v>82.83</v>
      </c>
      <c r="L1076">
        <v>77.93000000000001</v>
      </c>
      <c r="M1076">
        <v>0</v>
      </c>
      <c r="N1076" t="b">
        <v>0</v>
      </c>
      <c r="O1076">
        <v>-328</v>
      </c>
      <c r="P1076" t="s">
        <v>1089</v>
      </c>
      <c r="Q1076" t="s">
        <v>2276</v>
      </c>
      <c r="R1076">
        <v>0</v>
      </c>
      <c r="S1076">
        <v>707</v>
      </c>
      <c r="T1076">
        <v>205797</v>
      </c>
      <c r="U1076" t="s">
        <v>5060</v>
      </c>
      <c r="V1076">
        <v>27.93</v>
      </c>
      <c r="W1076" t="s">
        <v>7277</v>
      </c>
      <c r="X1076" t="s">
        <v>968</v>
      </c>
      <c r="Y1076">
        <v>58</v>
      </c>
      <c r="Z1076">
        <v>-82</v>
      </c>
      <c r="AA1076">
        <v>1435</v>
      </c>
    </row>
    <row r="1077" spans="1:28">
      <c r="A1077" s="2">
        <f>HYPERLINK("https://finance.naver.com/item/coinfo.nhn?code=092870", "A092870")</f>
        <v>0</v>
      </c>
      <c r="B1077">
        <f>HYPERLINK("http://comp.fnguide.com/SVO2/ASP/SVD_Consensus.asp?pGB=1&amp;gicode=A092870&amp;cID=&amp;MenuYn=Y&amp;ReportGB=&amp;NewMenuID=108&amp;stkGb=701", "엑시콘")</f>
        <v>0</v>
      </c>
      <c r="C1077">
        <v>0</v>
      </c>
      <c r="D1077">
        <v>15150</v>
      </c>
      <c r="G1077">
        <v>3170</v>
      </c>
      <c r="H1077">
        <v>5673</v>
      </c>
      <c r="I1077">
        <v>6387</v>
      </c>
      <c r="J1077">
        <v>79.08</v>
      </c>
      <c r="K1077">
        <v>62.55</v>
      </c>
      <c r="L1077">
        <v>57.84</v>
      </c>
      <c r="M1077">
        <v>3.44</v>
      </c>
      <c r="N1077" t="b">
        <v>0</v>
      </c>
      <c r="O1077">
        <v>-519</v>
      </c>
      <c r="P1077" t="s">
        <v>1090</v>
      </c>
      <c r="Q1077" t="s">
        <v>3194</v>
      </c>
      <c r="R1077">
        <v>-24.55295393386193</v>
      </c>
      <c r="S1077">
        <v>1572</v>
      </c>
      <c r="T1077">
        <v>667030</v>
      </c>
      <c r="U1077" t="s">
        <v>5061</v>
      </c>
      <c r="V1077">
        <v>37.24</v>
      </c>
      <c r="W1077" t="s">
        <v>7278</v>
      </c>
      <c r="X1077" t="s">
        <v>9350</v>
      </c>
      <c r="Y1077">
        <v>382</v>
      </c>
      <c r="Z1077">
        <v>-52</v>
      </c>
      <c r="AA1077">
        <v>192368</v>
      </c>
      <c r="AB1077">
        <v>0.95</v>
      </c>
    </row>
    <row r="1078" spans="1:28">
      <c r="A1078" s="2">
        <f>HYPERLINK("https://finance.naver.com/item/coinfo.nhn?code=170030", "A170030")</f>
        <v>0</v>
      </c>
      <c r="B1078">
        <f>HYPERLINK("http://comp.fnguide.com/SVO2/ASP/SVD_Consensus.asp?pGB=1&amp;gicode=A170030&amp;cID=&amp;MenuYn=Y&amp;ReportGB=&amp;NewMenuID=108&amp;stkGb=701", "현대공업")</f>
        <v>0</v>
      </c>
      <c r="C1078">
        <v>0</v>
      </c>
      <c r="D1078">
        <v>10000</v>
      </c>
      <c r="E1078">
        <v>-1.32</v>
      </c>
      <c r="F1078">
        <v>11.34</v>
      </c>
      <c r="G1078">
        <v>2911</v>
      </c>
      <c r="H1078">
        <v>5175</v>
      </c>
      <c r="I1078">
        <v>5820</v>
      </c>
      <c r="J1078">
        <v>70.89</v>
      </c>
      <c r="K1078">
        <v>48.25</v>
      </c>
      <c r="L1078">
        <v>41.8</v>
      </c>
      <c r="M1078">
        <v>3.47</v>
      </c>
      <c r="N1078" t="b">
        <v>1</v>
      </c>
      <c r="O1078">
        <v>267</v>
      </c>
      <c r="P1078" t="s">
        <v>1091</v>
      </c>
      <c r="Q1078" t="s">
        <v>3195</v>
      </c>
      <c r="R1078">
        <v>-8.596774481964175</v>
      </c>
      <c r="S1078">
        <v>1534</v>
      </c>
      <c r="T1078">
        <v>3715234</v>
      </c>
      <c r="U1078" t="s">
        <v>5062</v>
      </c>
      <c r="V1078">
        <v>51.33</v>
      </c>
      <c r="W1078" t="s">
        <v>7279</v>
      </c>
      <c r="X1078" t="s">
        <v>9351</v>
      </c>
      <c r="Y1078">
        <v>1667</v>
      </c>
      <c r="Z1078">
        <v>34</v>
      </c>
      <c r="AA1078">
        <v>83008</v>
      </c>
      <c r="AB1078">
        <v>2.18</v>
      </c>
    </row>
    <row r="1079" spans="1:28">
      <c r="A1079" s="2">
        <f>HYPERLINK("https://finance.naver.com/item/coinfo.nhn?code=317870", "A317870")</f>
        <v>0</v>
      </c>
      <c r="B1079">
        <f>HYPERLINK("http://comp.fnguide.com/SVO2/ASP/SVD_Consensus.asp?pGB=1&amp;gicode=A317870&amp;cID=&amp;MenuYn=Y&amp;ReportGB=&amp;NewMenuID=108&amp;stkGb=701", "엔바이오니아")</f>
        <v>0</v>
      </c>
      <c r="C1079">
        <v>0</v>
      </c>
      <c r="D1079">
        <v>8460</v>
      </c>
      <c r="E1079">
        <v>5.65</v>
      </c>
      <c r="F1079">
        <v>51.79</v>
      </c>
      <c r="G1079">
        <v>6037</v>
      </c>
      <c r="H1079">
        <v>4121</v>
      </c>
      <c r="I1079">
        <v>3575</v>
      </c>
      <c r="J1079">
        <v>28.64</v>
      </c>
      <c r="K1079">
        <v>51.29</v>
      </c>
      <c r="L1079">
        <v>57.74</v>
      </c>
      <c r="M1079">
        <v>16.89</v>
      </c>
      <c r="N1079" t="b">
        <v>1</v>
      </c>
      <c r="O1079">
        <v>155</v>
      </c>
      <c r="P1079" t="s">
        <v>1092</v>
      </c>
      <c r="Q1079" t="s">
        <v>3196</v>
      </c>
      <c r="R1079">
        <v>9.158451367350562</v>
      </c>
      <c r="S1079">
        <v>642</v>
      </c>
      <c r="T1079">
        <v>451725</v>
      </c>
      <c r="U1079" t="s">
        <v>5063</v>
      </c>
      <c r="V1079">
        <v>32.99</v>
      </c>
      <c r="W1079" t="s">
        <v>7280</v>
      </c>
      <c r="X1079" t="s">
        <v>9352</v>
      </c>
      <c r="Y1079">
        <v>97</v>
      </c>
      <c r="Z1079">
        <v>13</v>
      </c>
    </row>
    <row r="1080" spans="1:28">
      <c r="A1080" s="2">
        <f>HYPERLINK("https://finance.naver.com/item/coinfo.nhn?code=101400", "A101400")</f>
        <v>0</v>
      </c>
      <c r="B1080">
        <f>HYPERLINK("http://comp.fnguide.com/SVO2/ASP/SVD_Consensus.asp?pGB=1&amp;gicode=A101400&amp;cID=&amp;MenuYn=Y&amp;ReportGB=&amp;NewMenuID=108&amp;stkGb=701", "엔시트론")</f>
        <v>0</v>
      </c>
      <c r="C1080">
        <v>0</v>
      </c>
      <c r="D1080">
        <v>1065</v>
      </c>
      <c r="E1080">
        <v>0</v>
      </c>
      <c r="G1080">
        <v>0</v>
      </c>
      <c r="H1080">
        <v>335</v>
      </c>
      <c r="I1080">
        <v>431</v>
      </c>
      <c r="J1080">
        <v>100</v>
      </c>
      <c r="K1080">
        <v>68.51000000000001</v>
      </c>
      <c r="L1080">
        <v>59.53</v>
      </c>
      <c r="M1080">
        <v>0</v>
      </c>
      <c r="N1080" t="b">
        <v>0</v>
      </c>
      <c r="O1080">
        <v>-370</v>
      </c>
      <c r="P1080" t="s">
        <v>1093</v>
      </c>
      <c r="Q1080" t="s">
        <v>2276</v>
      </c>
      <c r="R1080">
        <v>0</v>
      </c>
      <c r="S1080">
        <v>300</v>
      </c>
      <c r="T1080">
        <v>103529</v>
      </c>
      <c r="U1080" t="s">
        <v>5064</v>
      </c>
      <c r="V1080">
        <v>12.92</v>
      </c>
      <c r="W1080" t="s">
        <v>7281</v>
      </c>
      <c r="X1080" t="s">
        <v>968</v>
      </c>
      <c r="Y1080">
        <v>109</v>
      </c>
      <c r="Z1080">
        <v>-58</v>
      </c>
    </row>
    <row r="1081" spans="1:28">
      <c r="A1081" s="2">
        <f>HYPERLINK("https://finance.naver.com/item/coinfo.nhn?code=217820", "A217820")</f>
        <v>0</v>
      </c>
      <c r="B1081">
        <f>HYPERLINK("http://comp.fnguide.com/SVO2/ASP/SVD_Consensus.asp?pGB=1&amp;gicode=A217820&amp;cID=&amp;MenuYn=Y&amp;ReportGB=&amp;NewMenuID=108&amp;stkGb=701", "엔에스")</f>
        <v>0</v>
      </c>
      <c r="C1081">
        <v>0</v>
      </c>
      <c r="D1081">
        <v>10300</v>
      </c>
      <c r="E1081">
        <v>-1.7</v>
      </c>
      <c r="F1081">
        <v>11.5</v>
      </c>
      <c r="G1081">
        <v>4564</v>
      </c>
      <c r="H1081">
        <v>3618</v>
      </c>
      <c r="I1081">
        <v>3349</v>
      </c>
      <c r="J1081">
        <v>55.69</v>
      </c>
      <c r="K1081">
        <v>64.87</v>
      </c>
      <c r="L1081">
        <v>67.48999999999999</v>
      </c>
      <c r="M1081">
        <v>12.17</v>
      </c>
      <c r="N1081" t="b">
        <v>1</v>
      </c>
      <c r="O1081">
        <v>439</v>
      </c>
      <c r="P1081" t="s">
        <v>1094</v>
      </c>
      <c r="Q1081" t="s">
        <v>3197</v>
      </c>
      <c r="R1081">
        <v>-6.745904009769699</v>
      </c>
      <c r="S1081">
        <v>1078</v>
      </c>
      <c r="T1081">
        <v>216409</v>
      </c>
      <c r="U1081" t="s">
        <v>5065</v>
      </c>
      <c r="V1081">
        <v>36.87</v>
      </c>
      <c r="W1081" t="s">
        <v>7282</v>
      </c>
      <c r="X1081" t="s">
        <v>9353</v>
      </c>
      <c r="Y1081">
        <v>651</v>
      </c>
      <c r="Z1081">
        <v>56</v>
      </c>
      <c r="AB1081">
        <v>1.58</v>
      </c>
    </row>
    <row r="1082" spans="1:28">
      <c r="A1082" s="2">
        <f>HYPERLINK("https://finance.naver.com/item/coinfo.nhn?code=031860", "A031860")</f>
        <v>0</v>
      </c>
      <c r="B1082">
        <f>HYPERLINK("http://comp.fnguide.com/SVO2/ASP/SVD_Consensus.asp?pGB=1&amp;gicode=A031860&amp;cID=&amp;MenuYn=Y&amp;ReportGB=&amp;NewMenuID=108&amp;stkGb=701", "엔에스엔")</f>
        <v>0</v>
      </c>
      <c r="C1082">
        <v>0</v>
      </c>
      <c r="D1082">
        <v>1770</v>
      </c>
      <c r="E1082">
        <v>0</v>
      </c>
      <c r="G1082">
        <v>0</v>
      </c>
      <c r="H1082">
        <v>313</v>
      </c>
      <c r="I1082">
        <v>402</v>
      </c>
      <c r="J1082">
        <v>100</v>
      </c>
      <c r="K1082">
        <v>82.31</v>
      </c>
      <c r="L1082">
        <v>77.27</v>
      </c>
      <c r="M1082">
        <v>0</v>
      </c>
      <c r="N1082" t="b">
        <v>0</v>
      </c>
      <c r="O1082">
        <v>-255</v>
      </c>
      <c r="P1082" t="s">
        <v>1095</v>
      </c>
      <c r="Q1082" t="s">
        <v>2276</v>
      </c>
      <c r="R1082">
        <v>0</v>
      </c>
      <c r="S1082">
        <v>771</v>
      </c>
      <c r="T1082">
        <v>8486055</v>
      </c>
      <c r="U1082" t="s">
        <v>5066</v>
      </c>
      <c r="V1082">
        <v>15.19</v>
      </c>
      <c r="W1082" t="s">
        <v>7283</v>
      </c>
      <c r="X1082" t="s">
        <v>968</v>
      </c>
      <c r="Y1082">
        <v>154</v>
      </c>
      <c r="Z1082">
        <v>-79</v>
      </c>
      <c r="AA1082">
        <v>9450</v>
      </c>
    </row>
    <row r="1083" spans="1:28">
      <c r="A1083" s="2">
        <f>HYPERLINK("https://finance.naver.com/item/coinfo.nhn?code=310840", "A310840")</f>
        <v>0</v>
      </c>
      <c r="B1083">
        <f>HYPERLINK("http://comp.fnguide.com/SVO2/ASP/SVD_Consensus.asp?pGB=1&amp;gicode=A310840&amp;cID=&amp;MenuYn=Y&amp;ReportGB=&amp;NewMenuID=108&amp;stkGb=701", "엔에이치스팩13호")</f>
        <v>0</v>
      </c>
      <c r="C1083">
        <v>0</v>
      </c>
      <c r="D1083">
        <v>2070</v>
      </c>
      <c r="E1083">
        <v>0</v>
      </c>
      <c r="F1083">
        <v>119.11</v>
      </c>
      <c r="G1083">
        <v>107</v>
      </c>
      <c r="H1083">
        <v>1185</v>
      </c>
      <c r="I1083">
        <v>1492</v>
      </c>
      <c r="J1083">
        <v>94.81999999999999</v>
      </c>
      <c r="K1083">
        <v>42.76</v>
      </c>
      <c r="L1083">
        <v>27.93</v>
      </c>
      <c r="M1083">
        <v>0.45</v>
      </c>
      <c r="N1083" t="b">
        <v>0</v>
      </c>
      <c r="O1083">
        <v>17</v>
      </c>
      <c r="P1083" t="s">
        <v>1096</v>
      </c>
      <c r="Q1083" t="s">
        <v>2276</v>
      </c>
      <c r="R1083">
        <v>0</v>
      </c>
      <c r="S1083">
        <v>71</v>
      </c>
      <c r="T1083">
        <v>2111</v>
      </c>
      <c r="U1083" t="s">
        <v>5067</v>
      </c>
      <c r="V1083">
        <v>11.7</v>
      </c>
      <c r="W1083" t="s">
        <v>7284</v>
      </c>
      <c r="X1083" t="s">
        <v>9354</v>
      </c>
      <c r="Y1083">
        <v>0</v>
      </c>
      <c r="Z1083">
        <v>0</v>
      </c>
    </row>
    <row r="1084" spans="1:28">
      <c r="A1084" s="2">
        <f>HYPERLINK("https://finance.naver.com/item/coinfo.nhn?code=319400", "A319400")</f>
        <v>0</v>
      </c>
      <c r="B1084">
        <f>HYPERLINK("http://comp.fnguide.com/SVO2/ASP/SVD_Consensus.asp?pGB=1&amp;gicode=A319400&amp;cID=&amp;MenuYn=Y&amp;ReportGB=&amp;NewMenuID=108&amp;stkGb=701", "엔에이치스팩14호")</f>
        <v>0</v>
      </c>
      <c r="C1084">
        <v>0</v>
      </c>
      <c r="D1084">
        <v>3225</v>
      </c>
      <c r="E1084">
        <v>0</v>
      </c>
      <c r="F1084">
        <v>150.38</v>
      </c>
      <c r="G1084">
        <v>0</v>
      </c>
      <c r="H1084">
        <v>1164</v>
      </c>
      <c r="I1084">
        <v>1496</v>
      </c>
      <c r="J1084">
        <v>100</v>
      </c>
      <c r="K1084">
        <v>63.91</v>
      </c>
      <c r="L1084">
        <v>53.62</v>
      </c>
      <c r="M1084">
        <v>0</v>
      </c>
      <c r="N1084" t="b">
        <v>0</v>
      </c>
      <c r="O1084">
        <v>17</v>
      </c>
      <c r="P1084" t="s">
        <v>1097</v>
      </c>
      <c r="Q1084" t="s">
        <v>2276</v>
      </c>
      <c r="R1084">
        <v>0</v>
      </c>
      <c r="S1084">
        <v>278</v>
      </c>
      <c r="T1084">
        <v>1115377</v>
      </c>
      <c r="U1084" t="s">
        <v>5068</v>
      </c>
      <c r="V1084">
        <v>8.35</v>
      </c>
      <c r="W1084" t="s">
        <v>968</v>
      </c>
      <c r="X1084" t="s">
        <v>9355</v>
      </c>
      <c r="Y1084">
        <v>0</v>
      </c>
      <c r="Z1084">
        <v>0</v>
      </c>
    </row>
    <row r="1085" spans="1:28">
      <c r="A1085" s="2">
        <f>HYPERLINK("https://finance.naver.com/item/coinfo.nhn?code=353190", "A353190")</f>
        <v>0</v>
      </c>
      <c r="B1085">
        <f>HYPERLINK("http://comp.fnguide.com/SVO2/ASP/SVD_Consensus.asp?pGB=1&amp;gicode=A353190&amp;cID=&amp;MenuYn=Y&amp;ReportGB=&amp;NewMenuID=108&amp;stkGb=701", "엔에이치스팩16호")</f>
        <v>0</v>
      </c>
      <c r="C1085">
        <v>0</v>
      </c>
      <c r="D1085">
        <v>2070</v>
      </c>
      <c r="E1085">
        <v>0</v>
      </c>
      <c r="M1085">
        <v>0</v>
      </c>
      <c r="N1085" t="b">
        <v>0</v>
      </c>
      <c r="P1085" t="s">
        <v>968</v>
      </c>
      <c r="Q1085" t="s">
        <v>2276</v>
      </c>
      <c r="R1085">
        <v>0</v>
      </c>
      <c r="S1085">
        <v>89</v>
      </c>
      <c r="T1085">
        <v>1972</v>
      </c>
      <c r="U1085" t="s">
        <v>968</v>
      </c>
      <c r="V1085">
        <v>11.6</v>
      </c>
      <c r="W1085" t="s">
        <v>968</v>
      </c>
      <c r="X1085" t="s">
        <v>968</v>
      </c>
    </row>
    <row r="1086" spans="1:28">
      <c r="A1086" s="2">
        <f>HYPERLINK("https://finance.naver.com/item/coinfo.nhn?code=359090", "A359090")</f>
        <v>0</v>
      </c>
      <c r="B1086">
        <f>HYPERLINK("http://comp.fnguide.com/SVO2/ASP/SVD_Consensus.asp?pGB=1&amp;gicode=A359090&amp;cID=&amp;MenuYn=Y&amp;ReportGB=&amp;NewMenuID=108&amp;stkGb=701", "엔에이치스팩17호")</f>
        <v>0</v>
      </c>
      <c r="C1086">
        <v>0</v>
      </c>
      <c r="D1086">
        <v>2020</v>
      </c>
      <c r="E1086">
        <v>0</v>
      </c>
      <c r="M1086">
        <v>0</v>
      </c>
      <c r="N1086" t="b">
        <v>0</v>
      </c>
      <c r="P1086" t="s">
        <v>968</v>
      </c>
      <c r="Q1086" t="s">
        <v>2276</v>
      </c>
      <c r="R1086">
        <v>0</v>
      </c>
      <c r="S1086">
        <v>142</v>
      </c>
      <c r="T1086">
        <v>10842</v>
      </c>
      <c r="U1086" t="s">
        <v>968</v>
      </c>
      <c r="V1086">
        <v>14.27</v>
      </c>
      <c r="W1086" t="s">
        <v>968</v>
      </c>
      <c r="X1086" t="s">
        <v>968</v>
      </c>
    </row>
    <row r="1087" spans="1:28">
      <c r="A1087" s="2">
        <f>HYPERLINK("https://finance.naver.com/item/coinfo.nhn?code=265740", "A265740")</f>
        <v>0</v>
      </c>
      <c r="B1087">
        <f>HYPERLINK("http://comp.fnguide.com/SVO2/ASP/SVD_Consensus.asp?pGB=1&amp;gicode=A265740&amp;cID=&amp;MenuYn=Y&amp;ReportGB=&amp;NewMenuID=108&amp;stkGb=701", "엔에프씨")</f>
        <v>0</v>
      </c>
      <c r="C1087">
        <v>0</v>
      </c>
      <c r="D1087">
        <v>15550</v>
      </c>
      <c r="E1087">
        <v>0</v>
      </c>
      <c r="G1087">
        <v>9790</v>
      </c>
      <c r="H1087">
        <v>5298</v>
      </c>
      <c r="I1087">
        <v>4017</v>
      </c>
      <c r="J1087">
        <v>37.04</v>
      </c>
      <c r="K1087">
        <v>65.93000000000001</v>
      </c>
      <c r="L1087">
        <v>74.16</v>
      </c>
      <c r="M1087">
        <v>33.73</v>
      </c>
      <c r="N1087" t="b">
        <v>0</v>
      </c>
      <c r="O1087">
        <v>924</v>
      </c>
      <c r="P1087" t="s">
        <v>1098</v>
      </c>
      <c r="Q1087" t="s">
        <v>3198</v>
      </c>
      <c r="R1087">
        <v>0</v>
      </c>
      <c r="S1087">
        <v>1351</v>
      </c>
      <c r="T1087">
        <v>1134650</v>
      </c>
      <c r="U1087" t="s">
        <v>5069</v>
      </c>
      <c r="V1087">
        <v>54.17</v>
      </c>
      <c r="W1087" t="s">
        <v>7285</v>
      </c>
      <c r="X1087" t="s">
        <v>968</v>
      </c>
      <c r="Y1087">
        <v>329</v>
      </c>
      <c r="Z1087">
        <v>68</v>
      </c>
    </row>
    <row r="1088" spans="1:28">
      <c r="A1088" s="2">
        <f>HYPERLINK("https://finance.naver.com/item/coinfo.nhn?code=084990", "A084990")</f>
        <v>0</v>
      </c>
      <c r="B1088">
        <f>HYPERLINK("http://comp.fnguide.com/SVO2/ASP/SVD_Consensus.asp?pGB=1&amp;gicode=A084990&amp;cID=&amp;MenuYn=Y&amp;ReportGB=&amp;NewMenuID=108&amp;stkGb=701", "헬릭스미스")</f>
        <v>0</v>
      </c>
      <c r="C1088">
        <v>0</v>
      </c>
      <c r="D1088">
        <v>28000</v>
      </c>
      <c r="E1088">
        <v>0</v>
      </c>
      <c r="G1088">
        <v>0</v>
      </c>
      <c r="H1088">
        <v>4393</v>
      </c>
      <c r="I1088">
        <v>5645</v>
      </c>
      <c r="J1088">
        <v>100</v>
      </c>
      <c r="K1088">
        <v>84.31</v>
      </c>
      <c r="L1088">
        <v>79.84</v>
      </c>
      <c r="M1088">
        <v>0</v>
      </c>
      <c r="N1088" t="b">
        <v>0</v>
      </c>
      <c r="O1088">
        <v>-4150</v>
      </c>
      <c r="P1088" t="s">
        <v>1099</v>
      </c>
      <c r="Q1088" t="s">
        <v>2276</v>
      </c>
      <c r="R1088">
        <v>0</v>
      </c>
      <c r="S1088">
        <v>9594</v>
      </c>
      <c r="T1088">
        <v>813437</v>
      </c>
      <c r="U1088" t="s">
        <v>5070</v>
      </c>
      <c r="V1088">
        <v>11.02</v>
      </c>
      <c r="W1088" t="s">
        <v>7286</v>
      </c>
      <c r="X1088" t="s">
        <v>968</v>
      </c>
      <c r="Y1088">
        <v>45</v>
      </c>
      <c r="Z1088">
        <v>-417</v>
      </c>
      <c r="AA1088">
        <v>12583</v>
      </c>
    </row>
    <row r="1089" spans="1:28">
      <c r="A1089" s="2">
        <f>HYPERLINK("https://finance.naver.com/item/coinfo.nhn?code=208860", "A208860")</f>
        <v>0</v>
      </c>
      <c r="B1089">
        <f>HYPERLINK("http://comp.fnguide.com/SVO2/ASP/SVD_Consensus.asp?pGB=1&amp;gicode=A208860&amp;cID=&amp;MenuYn=Y&amp;ReportGB=&amp;NewMenuID=108&amp;stkGb=701", "엔지스테크널러지")</f>
        <v>0</v>
      </c>
      <c r="C1089">
        <v>0</v>
      </c>
      <c r="D1089">
        <v>4615</v>
      </c>
      <c r="G1089">
        <v>3</v>
      </c>
      <c r="H1089">
        <v>548</v>
      </c>
      <c r="I1089">
        <v>703</v>
      </c>
      <c r="J1089">
        <v>99.93000000000001</v>
      </c>
      <c r="K1089">
        <v>88.13</v>
      </c>
      <c r="L1089">
        <v>84.77</v>
      </c>
      <c r="M1089">
        <v>0.03</v>
      </c>
      <c r="N1089" t="b">
        <v>0</v>
      </c>
      <c r="O1089">
        <v>-816</v>
      </c>
      <c r="P1089" t="s">
        <v>1100</v>
      </c>
      <c r="Q1089" t="s">
        <v>3199</v>
      </c>
      <c r="R1089">
        <v>-91.33974596215562</v>
      </c>
      <c r="S1089">
        <v>464</v>
      </c>
      <c r="T1089">
        <v>54558</v>
      </c>
      <c r="U1089" t="s">
        <v>5071</v>
      </c>
      <c r="V1089">
        <v>42.74</v>
      </c>
      <c r="W1089" t="s">
        <v>7287</v>
      </c>
      <c r="X1089" t="s">
        <v>9356</v>
      </c>
      <c r="Y1089">
        <v>63</v>
      </c>
      <c r="Z1089">
        <v>-35</v>
      </c>
    </row>
    <row r="1090" spans="1:28">
      <c r="A1090" s="2">
        <f>HYPERLINK("https://finance.naver.com/item/coinfo.nhn?code=183490", "A183490")</f>
        <v>0</v>
      </c>
      <c r="B1090">
        <f>HYPERLINK("http://comp.fnguide.com/SVO2/ASP/SVD_Consensus.asp?pGB=1&amp;gicode=A183490&amp;cID=&amp;MenuYn=Y&amp;ReportGB=&amp;NewMenuID=108&amp;stkGb=701", "엔지켐생명과학")</f>
        <v>0</v>
      </c>
      <c r="C1090">
        <v>0</v>
      </c>
      <c r="D1090">
        <v>108100</v>
      </c>
      <c r="E1090">
        <v>0</v>
      </c>
      <c r="G1090">
        <v>0</v>
      </c>
      <c r="H1090">
        <v>5399</v>
      </c>
      <c r="I1090">
        <v>6937</v>
      </c>
      <c r="J1090">
        <v>100</v>
      </c>
      <c r="K1090">
        <v>95.01000000000001</v>
      </c>
      <c r="L1090">
        <v>93.58</v>
      </c>
      <c r="M1090">
        <v>0</v>
      </c>
      <c r="N1090" t="b">
        <v>0</v>
      </c>
      <c r="O1090">
        <v>-2097</v>
      </c>
      <c r="P1090" t="s">
        <v>1101</v>
      </c>
      <c r="Q1090" t="s">
        <v>2276</v>
      </c>
      <c r="R1090">
        <v>0</v>
      </c>
      <c r="S1090">
        <v>8902</v>
      </c>
      <c r="T1090">
        <v>233886</v>
      </c>
      <c r="U1090" t="s">
        <v>5072</v>
      </c>
      <c r="V1090">
        <v>18.96</v>
      </c>
      <c r="W1090" t="s">
        <v>7288</v>
      </c>
      <c r="X1090" t="s">
        <v>968</v>
      </c>
      <c r="Y1090">
        <v>315</v>
      </c>
      <c r="Z1090">
        <v>-164</v>
      </c>
    </row>
    <row r="1091" spans="1:28">
      <c r="A1091" s="2">
        <f>HYPERLINK("https://finance.naver.com/item/coinfo.nhn?code=080000", "A080000")</f>
        <v>0</v>
      </c>
      <c r="B1091">
        <f>HYPERLINK("http://comp.fnguide.com/SVO2/ASP/SVD_Consensus.asp?pGB=1&amp;gicode=A080000&amp;cID=&amp;MenuYn=Y&amp;ReportGB=&amp;NewMenuID=108&amp;stkGb=701", "에스엔유")</f>
        <v>0</v>
      </c>
      <c r="C1091">
        <v>0</v>
      </c>
      <c r="D1091">
        <v>4005</v>
      </c>
      <c r="E1091">
        <v>1.14</v>
      </c>
      <c r="F1091">
        <v>12.09</v>
      </c>
      <c r="G1091">
        <v>3268</v>
      </c>
      <c r="H1091">
        <v>3331</v>
      </c>
      <c r="I1091">
        <v>3349</v>
      </c>
      <c r="J1091">
        <v>18.39</v>
      </c>
      <c r="K1091">
        <v>16.83</v>
      </c>
      <c r="L1091">
        <v>16.38</v>
      </c>
      <c r="M1091">
        <v>7.72</v>
      </c>
      <c r="N1091" t="b">
        <v>1</v>
      </c>
      <c r="O1091">
        <v>225</v>
      </c>
      <c r="P1091" t="s">
        <v>1102</v>
      </c>
      <c r="Q1091" t="s">
        <v>3200</v>
      </c>
      <c r="R1091">
        <v>10.65038426962133</v>
      </c>
      <c r="S1091">
        <v>1375</v>
      </c>
      <c r="T1091">
        <v>350467</v>
      </c>
      <c r="U1091" t="s">
        <v>5073</v>
      </c>
      <c r="V1091">
        <v>45.24</v>
      </c>
      <c r="W1091" t="s">
        <v>7289</v>
      </c>
      <c r="X1091" t="s">
        <v>9357</v>
      </c>
      <c r="Y1091">
        <v>643</v>
      </c>
      <c r="Z1091">
        <v>89</v>
      </c>
      <c r="AA1091">
        <v>106844</v>
      </c>
    </row>
    <row r="1092" spans="1:28">
      <c r="A1092" s="2">
        <f>HYPERLINK("https://finance.naver.com/item/coinfo.nhn?code=069410", "A069410")</f>
        <v>0</v>
      </c>
      <c r="B1092">
        <f>HYPERLINK("http://comp.fnguide.com/SVO2/ASP/SVD_Consensus.asp?pGB=1&amp;gicode=A069410&amp;cID=&amp;MenuYn=Y&amp;ReportGB=&amp;NewMenuID=108&amp;stkGb=701", "엔텔스")</f>
        <v>0</v>
      </c>
      <c r="C1092">
        <v>0</v>
      </c>
      <c r="D1092">
        <v>8500</v>
      </c>
      <c r="E1092">
        <v>0.46</v>
      </c>
      <c r="F1092">
        <v>31.74</v>
      </c>
      <c r="G1092">
        <v>3488</v>
      </c>
      <c r="H1092">
        <v>5173</v>
      </c>
      <c r="I1092">
        <v>5653</v>
      </c>
      <c r="J1092">
        <v>58.96</v>
      </c>
      <c r="K1092">
        <v>39.15</v>
      </c>
      <c r="L1092">
        <v>33.5</v>
      </c>
      <c r="M1092">
        <v>4.42</v>
      </c>
      <c r="N1092" t="b">
        <v>1</v>
      </c>
      <c r="O1092">
        <v>295</v>
      </c>
      <c r="P1092" t="s">
        <v>1103</v>
      </c>
      <c r="Q1092" t="s">
        <v>3201</v>
      </c>
      <c r="R1092">
        <v>68.97751329688813</v>
      </c>
      <c r="S1092">
        <v>586</v>
      </c>
      <c r="T1092">
        <v>21477</v>
      </c>
      <c r="U1092" t="s">
        <v>5074</v>
      </c>
      <c r="V1092">
        <v>19.43</v>
      </c>
      <c r="W1092" t="s">
        <v>7290</v>
      </c>
      <c r="X1092" t="s">
        <v>9358</v>
      </c>
      <c r="Y1092">
        <v>602</v>
      </c>
      <c r="Z1092">
        <v>28</v>
      </c>
      <c r="AA1092">
        <v>208033</v>
      </c>
    </row>
    <row r="1093" spans="1:28">
      <c r="A1093" s="2">
        <f>HYPERLINK("https://finance.naver.com/item/coinfo.nhn?code=049120", "A049120")</f>
        <v>0</v>
      </c>
      <c r="B1093">
        <f>HYPERLINK("http://comp.fnguide.com/SVO2/ASP/SVD_Consensus.asp?pGB=1&amp;gicode=A049120&amp;cID=&amp;MenuYn=Y&amp;ReportGB=&amp;NewMenuID=108&amp;stkGb=701", "파인디앤씨")</f>
        <v>0</v>
      </c>
      <c r="C1093">
        <v>0</v>
      </c>
      <c r="D1093">
        <v>1775</v>
      </c>
      <c r="E1093">
        <v>0</v>
      </c>
      <c r="G1093">
        <v>281</v>
      </c>
      <c r="H1093">
        <v>1151</v>
      </c>
      <c r="I1093">
        <v>1400</v>
      </c>
      <c r="J1093">
        <v>84.19</v>
      </c>
      <c r="K1093">
        <v>35.13</v>
      </c>
      <c r="L1093">
        <v>21.15</v>
      </c>
      <c r="M1093">
        <v>1.29</v>
      </c>
      <c r="N1093" t="b">
        <v>0</v>
      </c>
      <c r="O1093">
        <v>-141</v>
      </c>
      <c r="P1093" t="s">
        <v>1104</v>
      </c>
      <c r="Q1093" t="s">
        <v>2276</v>
      </c>
      <c r="R1093">
        <v>0</v>
      </c>
      <c r="S1093">
        <v>468</v>
      </c>
      <c r="T1093">
        <v>83974</v>
      </c>
      <c r="U1093" t="s">
        <v>5075</v>
      </c>
      <c r="V1093">
        <v>26.53</v>
      </c>
      <c r="W1093" t="s">
        <v>7291</v>
      </c>
      <c r="X1093" t="s">
        <v>9359</v>
      </c>
      <c r="Y1093">
        <v>775</v>
      </c>
      <c r="Z1093">
        <v>-4</v>
      </c>
      <c r="AA1093">
        <v>172774</v>
      </c>
      <c r="AB1093">
        <v>1.18</v>
      </c>
    </row>
    <row r="1094" spans="1:28">
      <c r="A1094" s="2">
        <f>HYPERLINK("https://finance.naver.com/item/coinfo.nhn?code=123570", "A123570")</f>
        <v>0</v>
      </c>
      <c r="B1094">
        <f>HYPERLINK("http://comp.fnguide.com/SVO2/ASP/SVD_Consensus.asp?pGB=1&amp;gicode=A123570&amp;cID=&amp;MenuYn=Y&amp;ReportGB=&amp;NewMenuID=108&amp;stkGb=701", "이엠넷")</f>
        <v>0</v>
      </c>
      <c r="C1094">
        <v>0</v>
      </c>
      <c r="D1094">
        <v>4580</v>
      </c>
      <c r="E1094">
        <v>0.77</v>
      </c>
      <c r="F1094">
        <v>10.96</v>
      </c>
      <c r="G1094">
        <v>3690</v>
      </c>
      <c r="H1094">
        <v>3076</v>
      </c>
      <c r="I1094">
        <v>2901</v>
      </c>
      <c r="J1094">
        <v>19.44</v>
      </c>
      <c r="K1094">
        <v>32.84</v>
      </c>
      <c r="L1094">
        <v>36.67</v>
      </c>
      <c r="M1094">
        <v>11.02</v>
      </c>
      <c r="N1094" t="b">
        <v>0</v>
      </c>
      <c r="O1094">
        <v>323</v>
      </c>
      <c r="P1094" t="s">
        <v>1105</v>
      </c>
      <c r="Q1094" t="s">
        <v>3202</v>
      </c>
      <c r="R1094">
        <v>14.19668460900774</v>
      </c>
      <c r="S1094">
        <v>1020</v>
      </c>
      <c r="T1094">
        <v>23344</v>
      </c>
      <c r="U1094" t="s">
        <v>5076</v>
      </c>
      <c r="V1094">
        <v>41.24</v>
      </c>
      <c r="W1094" t="s">
        <v>7292</v>
      </c>
      <c r="X1094" t="s">
        <v>9360</v>
      </c>
      <c r="Y1094">
        <v>367</v>
      </c>
      <c r="Z1094">
        <v>77</v>
      </c>
      <c r="AA1094">
        <v>422559</v>
      </c>
      <c r="AB1094">
        <v>0.85</v>
      </c>
    </row>
    <row r="1095" spans="1:28">
      <c r="A1095" s="2">
        <f>HYPERLINK("https://finance.naver.com/item/coinfo.nhn?code=053080", "A053080")</f>
        <v>0</v>
      </c>
      <c r="B1095">
        <f>HYPERLINK("http://comp.fnguide.com/SVO2/ASP/SVD_Consensus.asp?pGB=1&amp;gicode=A053080&amp;cID=&amp;MenuYn=Y&amp;ReportGB=&amp;NewMenuID=108&amp;stkGb=701", "원방테크")</f>
        <v>0</v>
      </c>
      <c r="C1095">
        <v>0</v>
      </c>
      <c r="D1095">
        <v>43150</v>
      </c>
      <c r="G1095">
        <v>33155</v>
      </c>
      <c r="H1095">
        <v>27100</v>
      </c>
      <c r="I1095">
        <v>25375</v>
      </c>
      <c r="J1095">
        <v>23.16</v>
      </c>
      <c r="K1095">
        <v>37.2</v>
      </c>
      <c r="L1095">
        <v>41.19</v>
      </c>
      <c r="M1095">
        <v>11.45</v>
      </c>
      <c r="N1095" t="b">
        <v>0</v>
      </c>
      <c r="O1095">
        <v>3545</v>
      </c>
      <c r="P1095" t="s">
        <v>1106</v>
      </c>
      <c r="Q1095" t="s">
        <v>3203</v>
      </c>
      <c r="R1095">
        <v>11.46530029783619</v>
      </c>
      <c r="S1095">
        <v>1853</v>
      </c>
      <c r="T1095">
        <v>72780</v>
      </c>
      <c r="U1095" t="s">
        <v>5077</v>
      </c>
      <c r="V1095">
        <v>56.35</v>
      </c>
      <c r="W1095" t="s">
        <v>7293</v>
      </c>
      <c r="X1095" t="s">
        <v>9361</v>
      </c>
      <c r="Y1095">
        <v>2284</v>
      </c>
      <c r="Z1095">
        <v>193</v>
      </c>
    </row>
    <row r="1096" spans="1:28">
      <c r="A1096" s="2">
        <f>HYPERLINK("https://finance.naver.com/item/coinfo.nhn?code=089150", "A089150")</f>
        <v>0</v>
      </c>
      <c r="B1096">
        <f>HYPERLINK("http://comp.fnguide.com/SVO2/ASP/SVD_Consensus.asp?pGB=1&amp;gicode=A089150&amp;cID=&amp;MenuYn=Y&amp;ReportGB=&amp;NewMenuID=108&amp;stkGb=701", "케이씨티")</f>
        <v>0</v>
      </c>
      <c r="C1096">
        <v>0</v>
      </c>
      <c r="D1096">
        <v>5640</v>
      </c>
      <c r="E1096">
        <v>8.880000000000001</v>
      </c>
      <c r="F1096">
        <v>47.68</v>
      </c>
      <c r="G1096">
        <v>815</v>
      </c>
      <c r="H1096">
        <v>1618</v>
      </c>
      <c r="I1096">
        <v>1847</v>
      </c>
      <c r="J1096">
        <v>85.54000000000001</v>
      </c>
      <c r="K1096">
        <v>71.31</v>
      </c>
      <c r="L1096">
        <v>67.25</v>
      </c>
      <c r="M1096">
        <v>3.02</v>
      </c>
      <c r="N1096" t="b">
        <v>0</v>
      </c>
      <c r="O1096">
        <v>50</v>
      </c>
      <c r="P1096" t="s">
        <v>1107</v>
      </c>
      <c r="Q1096" t="s">
        <v>3204</v>
      </c>
      <c r="R1096">
        <v>5.369162429355456</v>
      </c>
      <c r="S1096">
        <v>967</v>
      </c>
      <c r="T1096">
        <v>253394</v>
      </c>
      <c r="U1096" t="s">
        <v>5078</v>
      </c>
      <c r="V1096">
        <v>63.32</v>
      </c>
      <c r="W1096" t="s">
        <v>7294</v>
      </c>
      <c r="X1096" t="s">
        <v>9362</v>
      </c>
      <c r="Y1096">
        <v>201</v>
      </c>
      <c r="Z1096">
        <v>13</v>
      </c>
      <c r="AB1096">
        <v>2.51</v>
      </c>
    </row>
    <row r="1097" spans="1:28">
      <c r="A1097" s="2">
        <f>HYPERLINK("https://finance.naver.com/item/coinfo.nhn?code=052400", "A052400")</f>
        <v>0</v>
      </c>
      <c r="B1097">
        <f>HYPERLINK("http://comp.fnguide.com/SVO2/ASP/SVD_Consensus.asp?pGB=1&amp;gicode=A052400&amp;cID=&amp;MenuYn=Y&amp;ReportGB=&amp;NewMenuID=108&amp;stkGb=701", "코나아이")</f>
        <v>0</v>
      </c>
      <c r="C1097">
        <v>0</v>
      </c>
      <c r="D1097">
        <v>27350</v>
      </c>
      <c r="G1097">
        <v>0</v>
      </c>
      <c r="H1097">
        <v>3366</v>
      </c>
      <c r="I1097">
        <v>4325</v>
      </c>
      <c r="J1097">
        <v>100</v>
      </c>
      <c r="K1097">
        <v>87.69</v>
      </c>
      <c r="L1097">
        <v>84.19</v>
      </c>
      <c r="M1097">
        <v>0</v>
      </c>
      <c r="N1097" t="b">
        <v>0</v>
      </c>
      <c r="O1097">
        <v>-591</v>
      </c>
      <c r="P1097" t="s">
        <v>1108</v>
      </c>
      <c r="Q1097" t="s">
        <v>3205</v>
      </c>
      <c r="R1097">
        <v>90.59999999999999</v>
      </c>
      <c r="S1097">
        <v>4255</v>
      </c>
      <c r="T1097">
        <v>129644</v>
      </c>
      <c r="U1097" t="s">
        <v>5079</v>
      </c>
      <c r="V1097">
        <v>29.8</v>
      </c>
      <c r="W1097" t="s">
        <v>7295</v>
      </c>
      <c r="X1097" t="s">
        <v>968</v>
      </c>
      <c r="Y1097">
        <v>1220</v>
      </c>
      <c r="Z1097">
        <v>-26</v>
      </c>
      <c r="AA1097">
        <v>813420</v>
      </c>
    </row>
    <row r="1098" spans="1:28">
      <c r="A1098" s="2">
        <f>HYPERLINK("https://finance.naver.com/item/coinfo.nhn?code=137400", "A137400")</f>
        <v>0</v>
      </c>
      <c r="B1098">
        <f>HYPERLINK("http://comp.fnguide.com/SVO2/ASP/SVD_Consensus.asp?pGB=1&amp;gicode=A137400&amp;cID=&amp;MenuYn=Y&amp;ReportGB=&amp;NewMenuID=108&amp;stkGb=701", "피엔티")</f>
        <v>0</v>
      </c>
      <c r="C1098">
        <v>0</v>
      </c>
      <c r="D1098">
        <v>22900</v>
      </c>
      <c r="G1098">
        <v>967</v>
      </c>
      <c r="H1098">
        <v>2574</v>
      </c>
      <c r="I1098">
        <v>3032</v>
      </c>
      <c r="J1098">
        <v>95.78</v>
      </c>
      <c r="K1098">
        <v>88.76000000000001</v>
      </c>
      <c r="L1098">
        <v>86.76000000000001</v>
      </c>
      <c r="M1098">
        <v>2.12</v>
      </c>
      <c r="N1098" t="b">
        <v>0</v>
      </c>
      <c r="O1098">
        <v>-113</v>
      </c>
      <c r="P1098" t="s">
        <v>1109</v>
      </c>
      <c r="Q1098" t="s">
        <v>3206</v>
      </c>
      <c r="R1098">
        <v>-3.362460883096319</v>
      </c>
      <c r="S1098">
        <v>5080</v>
      </c>
      <c r="T1098">
        <v>575757</v>
      </c>
      <c r="U1098" t="s">
        <v>5080</v>
      </c>
      <c r="V1098">
        <v>17.74</v>
      </c>
      <c r="W1098" t="s">
        <v>7296</v>
      </c>
      <c r="X1098" t="s">
        <v>9363</v>
      </c>
      <c r="Y1098">
        <v>3214</v>
      </c>
      <c r="Z1098">
        <v>15</v>
      </c>
      <c r="AA1098">
        <v>485585</v>
      </c>
    </row>
    <row r="1099" spans="1:28">
      <c r="A1099" s="2">
        <f>HYPERLINK("https://finance.naver.com/item/coinfo.nhn?code=220260", "A220260")</f>
        <v>0</v>
      </c>
      <c r="B1099">
        <f>HYPERLINK("http://comp.fnguide.com/SVO2/ASP/SVD_Consensus.asp?pGB=1&amp;gicode=A220260&amp;cID=&amp;MenuYn=Y&amp;ReportGB=&amp;NewMenuID=108&amp;stkGb=701", "켐트로스")</f>
        <v>0</v>
      </c>
      <c r="C1099">
        <v>0</v>
      </c>
      <c r="D1099">
        <v>5550</v>
      </c>
      <c r="E1099">
        <v>-7.13</v>
      </c>
      <c r="F1099">
        <v>286.16</v>
      </c>
      <c r="G1099">
        <v>1405</v>
      </c>
      <c r="H1099">
        <v>1577</v>
      </c>
      <c r="I1099">
        <v>1625</v>
      </c>
      <c r="J1099">
        <v>74.68000000000001</v>
      </c>
      <c r="K1099">
        <v>71.59</v>
      </c>
      <c r="L1099">
        <v>70.70999999999999</v>
      </c>
      <c r="M1099">
        <v>6.62</v>
      </c>
      <c r="N1099" t="b">
        <v>0</v>
      </c>
      <c r="O1099">
        <v>11</v>
      </c>
      <c r="P1099" t="s">
        <v>1110</v>
      </c>
      <c r="Q1099" t="s">
        <v>3207</v>
      </c>
      <c r="R1099">
        <v>-40.14024132500806</v>
      </c>
      <c r="S1099">
        <v>1461</v>
      </c>
      <c r="T1099">
        <v>526773</v>
      </c>
      <c r="U1099" t="s">
        <v>5081</v>
      </c>
      <c r="V1099">
        <v>29.5</v>
      </c>
      <c r="W1099" t="s">
        <v>7297</v>
      </c>
      <c r="X1099" t="s">
        <v>9364</v>
      </c>
      <c r="Y1099">
        <v>438</v>
      </c>
      <c r="Z1099">
        <v>26</v>
      </c>
      <c r="AA1099">
        <v>15</v>
      </c>
    </row>
    <row r="1100" spans="1:28">
      <c r="A1100" s="2">
        <f>HYPERLINK("https://finance.naver.com/item/coinfo.nhn?code=089010", "A089010")</f>
        <v>0</v>
      </c>
      <c r="B1100">
        <f>HYPERLINK("http://comp.fnguide.com/SVO2/ASP/SVD_Consensus.asp?pGB=1&amp;gicode=A089010&amp;cID=&amp;MenuYn=Y&amp;ReportGB=&amp;NewMenuID=108&amp;stkGb=701", "켐트로닉스")</f>
        <v>0</v>
      </c>
      <c r="C1100">
        <v>0</v>
      </c>
      <c r="D1100">
        <v>22250</v>
      </c>
      <c r="E1100">
        <v>0.09</v>
      </c>
      <c r="F1100">
        <v>16.28</v>
      </c>
      <c r="G1100">
        <v>8145</v>
      </c>
      <c r="H1100">
        <v>7265</v>
      </c>
      <c r="I1100">
        <v>7015</v>
      </c>
      <c r="J1100">
        <v>63.39</v>
      </c>
      <c r="K1100">
        <v>67.34999999999999</v>
      </c>
      <c r="L1100">
        <v>68.47</v>
      </c>
      <c r="M1100">
        <v>9.720000000000001</v>
      </c>
      <c r="N1100" t="b">
        <v>1</v>
      </c>
      <c r="O1100">
        <v>1109</v>
      </c>
      <c r="P1100" t="s">
        <v>1111</v>
      </c>
      <c r="Q1100" t="s">
        <v>3208</v>
      </c>
      <c r="R1100">
        <v>190.6421339035344</v>
      </c>
      <c r="S1100">
        <v>3306</v>
      </c>
      <c r="T1100">
        <v>2606149</v>
      </c>
      <c r="U1100" t="s">
        <v>5082</v>
      </c>
      <c r="V1100">
        <v>29.22</v>
      </c>
      <c r="W1100" t="s">
        <v>7298</v>
      </c>
      <c r="X1100" t="s">
        <v>9365</v>
      </c>
      <c r="Y1100">
        <v>4035</v>
      </c>
      <c r="Z1100">
        <v>263</v>
      </c>
      <c r="AA1100">
        <v>428915</v>
      </c>
      <c r="AB1100">
        <v>1.66</v>
      </c>
    </row>
    <row r="1101" spans="1:28">
      <c r="A1101" s="2">
        <f>HYPERLINK("https://finance.naver.com/item/coinfo.nhn?code=217600", "A217600")</f>
        <v>0</v>
      </c>
      <c r="B1101">
        <f>HYPERLINK("http://comp.fnguide.com/SVO2/ASP/SVD_Consensus.asp?pGB=1&amp;gicode=A217600&amp;cID=&amp;MenuYn=Y&amp;ReportGB=&amp;NewMenuID=108&amp;stkGb=701", "켐온")</f>
        <v>0</v>
      </c>
      <c r="C1101">
        <v>0</v>
      </c>
      <c r="D1101">
        <v>5450</v>
      </c>
      <c r="E1101">
        <v>2.12</v>
      </c>
      <c r="F1101">
        <v>45.99</v>
      </c>
      <c r="G1101">
        <v>274</v>
      </c>
      <c r="H1101">
        <v>479</v>
      </c>
      <c r="I1101">
        <v>538</v>
      </c>
      <c r="J1101">
        <v>94.97</v>
      </c>
      <c r="K1101">
        <v>91.20999999999999</v>
      </c>
      <c r="L1101">
        <v>90.13</v>
      </c>
      <c r="M1101">
        <v>3.55</v>
      </c>
      <c r="N1101" t="b">
        <v>0</v>
      </c>
      <c r="O1101">
        <v>30</v>
      </c>
      <c r="P1101" t="s">
        <v>1112</v>
      </c>
      <c r="Q1101" t="s">
        <v>3209</v>
      </c>
      <c r="R1101">
        <v>21.67973804224761</v>
      </c>
      <c r="S1101">
        <v>3480</v>
      </c>
      <c r="T1101">
        <v>5692599</v>
      </c>
      <c r="U1101" t="s">
        <v>5083</v>
      </c>
      <c r="V1101">
        <v>54.72</v>
      </c>
      <c r="W1101" t="s">
        <v>7299</v>
      </c>
      <c r="X1101" t="s">
        <v>9366</v>
      </c>
      <c r="Y1101">
        <v>209</v>
      </c>
      <c r="Z1101">
        <v>19</v>
      </c>
      <c r="AA1101">
        <v>3599014</v>
      </c>
    </row>
    <row r="1102" spans="1:28">
      <c r="A1102" s="2">
        <f>HYPERLINK("https://finance.naver.com/item/coinfo.nhn?code=274090", "A274090")</f>
        <v>0</v>
      </c>
      <c r="B1102">
        <f>HYPERLINK("http://comp.fnguide.com/SVO2/ASP/SVD_Consensus.asp?pGB=1&amp;gicode=A274090&amp;cID=&amp;MenuYn=Y&amp;ReportGB=&amp;NewMenuID=108&amp;stkGb=701", "켄코아에어로스페이스")</f>
        <v>0</v>
      </c>
      <c r="C1102">
        <v>0</v>
      </c>
      <c r="D1102">
        <v>8700</v>
      </c>
      <c r="G1102">
        <v>0</v>
      </c>
      <c r="H1102">
        <v>2247</v>
      </c>
      <c r="I1102">
        <v>2888</v>
      </c>
      <c r="J1102">
        <v>100</v>
      </c>
      <c r="K1102">
        <v>74.17</v>
      </c>
      <c r="L1102">
        <v>66.81</v>
      </c>
      <c r="M1102">
        <v>0</v>
      </c>
      <c r="N1102" t="b">
        <v>0</v>
      </c>
      <c r="O1102">
        <v>-920</v>
      </c>
      <c r="P1102" t="s">
        <v>1113</v>
      </c>
      <c r="Q1102" t="s">
        <v>3210</v>
      </c>
      <c r="R1102">
        <v>-66.90000000000001</v>
      </c>
      <c r="S1102">
        <v>784</v>
      </c>
      <c r="T1102">
        <v>267243</v>
      </c>
      <c r="U1102" t="s">
        <v>5084</v>
      </c>
      <c r="V1102">
        <v>40.04</v>
      </c>
      <c r="W1102" t="s">
        <v>7300</v>
      </c>
      <c r="X1102" t="s">
        <v>968</v>
      </c>
      <c r="Y1102">
        <v>463</v>
      </c>
      <c r="Z1102">
        <v>10</v>
      </c>
    </row>
    <row r="1103" spans="1:28">
      <c r="A1103" s="2">
        <f>HYPERLINK("https://finance.naver.com/item/coinfo.nhn?code=128660", "A128660")</f>
        <v>0</v>
      </c>
      <c r="B1103">
        <f>HYPERLINK("http://comp.fnguide.com/SVO2/ASP/SVD_Consensus.asp?pGB=1&amp;gicode=A128660&amp;cID=&amp;MenuYn=Y&amp;ReportGB=&amp;NewMenuID=108&amp;stkGb=701", "피제이메탈")</f>
        <v>0</v>
      </c>
      <c r="C1103">
        <v>0</v>
      </c>
      <c r="D1103">
        <v>2200</v>
      </c>
      <c r="E1103">
        <v>8.31</v>
      </c>
      <c r="F1103">
        <v>31.94</v>
      </c>
      <c r="G1103">
        <v>1543</v>
      </c>
      <c r="H1103">
        <v>1597</v>
      </c>
      <c r="I1103">
        <v>1612</v>
      </c>
      <c r="J1103">
        <v>29.85</v>
      </c>
      <c r="K1103">
        <v>27.4</v>
      </c>
      <c r="L1103">
        <v>26.71</v>
      </c>
      <c r="M1103">
        <v>7.53</v>
      </c>
      <c r="N1103" t="b">
        <v>1</v>
      </c>
      <c r="O1103">
        <v>85</v>
      </c>
      <c r="P1103" t="s">
        <v>1114</v>
      </c>
      <c r="Q1103" t="s">
        <v>3211</v>
      </c>
      <c r="R1103">
        <v>3.84402072502712</v>
      </c>
      <c r="S1103">
        <v>546</v>
      </c>
      <c r="T1103">
        <v>145526</v>
      </c>
      <c r="U1103" t="s">
        <v>5085</v>
      </c>
      <c r="V1103">
        <v>66.95999999999999</v>
      </c>
      <c r="W1103" t="s">
        <v>7301</v>
      </c>
      <c r="X1103" t="s">
        <v>9367</v>
      </c>
      <c r="Y1103">
        <v>1421</v>
      </c>
      <c r="Z1103">
        <v>44</v>
      </c>
      <c r="AB1103">
        <v>3.68</v>
      </c>
    </row>
    <row r="1104" spans="1:28">
      <c r="A1104" s="2">
        <f>HYPERLINK("https://finance.naver.com/item/coinfo.nhn?code=304840", "A304840")</f>
        <v>0</v>
      </c>
      <c r="B1104">
        <f>HYPERLINK("http://comp.fnguide.com/SVO2/ASP/SVD_Consensus.asp?pGB=1&amp;gicode=A304840&amp;cID=&amp;MenuYn=Y&amp;ReportGB=&amp;NewMenuID=108&amp;stkGb=701", "피플바이오")</f>
        <v>0</v>
      </c>
      <c r="C1104">
        <v>0</v>
      </c>
      <c r="D1104">
        <v>49650</v>
      </c>
      <c r="E1104">
        <v>0</v>
      </c>
      <c r="G1104">
        <v>0</v>
      </c>
      <c r="H1104">
        <v>297</v>
      </c>
      <c r="I1104">
        <v>382</v>
      </c>
      <c r="J1104">
        <v>100</v>
      </c>
      <c r="K1104">
        <v>99.40000000000001</v>
      </c>
      <c r="L1104">
        <v>99.23</v>
      </c>
      <c r="M1104">
        <v>0</v>
      </c>
      <c r="N1104" t="b">
        <v>0</v>
      </c>
      <c r="O1104">
        <v>-802</v>
      </c>
      <c r="P1104" t="s">
        <v>1115</v>
      </c>
      <c r="Q1104" t="s">
        <v>2276</v>
      </c>
      <c r="R1104">
        <v>0</v>
      </c>
      <c r="S1104">
        <v>2733</v>
      </c>
      <c r="T1104">
        <v>923858</v>
      </c>
      <c r="U1104" t="s">
        <v>5086</v>
      </c>
      <c r="V1104">
        <v>23.05</v>
      </c>
      <c r="W1104" t="s">
        <v>7302</v>
      </c>
      <c r="X1104" t="s">
        <v>968</v>
      </c>
      <c r="Y1104">
        <v>9</v>
      </c>
      <c r="Z1104">
        <v>-41</v>
      </c>
      <c r="AA1104">
        <v>50000</v>
      </c>
    </row>
    <row r="1105" spans="1:28">
      <c r="A1105" s="2">
        <f>HYPERLINK("https://finance.naver.com/item/coinfo.nhn?code=042040", "A042040")</f>
        <v>0</v>
      </c>
      <c r="B1105">
        <f>HYPERLINK("http://comp.fnguide.com/SVO2/ASP/SVD_Consensus.asp?pGB=1&amp;gicode=A042040&amp;cID=&amp;MenuYn=Y&amp;ReportGB=&amp;NewMenuID=108&amp;stkGb=701", "케이피엠테크")</f>
        <v>0</v>
      </c>
      <c r="C1105">
        <v>0</v>
      </c>
      <c r="D1105">
        <v>3565</v>
      </c>
      <c r="E1105">
        <v>0</v>
      </c>
      <c r="G1105">
        <v>1078</v>
      </c>
      <c r="H1105">
        <v>898</v>
      </c>
      <c r="I1105">
        <v>846</v>
      </c>
      <c r="J1105">
        <v>69.76000000000001</v>
      </c>
      <c r="K1105">
        <v>74.81999999999999</v>
      </c>
      <c r="L1105">
        <v>76.26000000000001</v>
      </c>
      <c r="M1105">
        <v>11.04</v>
      </c>
      <c r="N1105" t="b">
        <v>0</v>
      </c>
      <c r="O1105">
        <v>-356</v>
      </c>
      <c r="P1105" t="s">
        <v>1116</v>
      </c>
      <c r="Q1105" t="s">
        <v>2276</v>
      </c>
      <c r="R1105">
        <v>0</v>
      </c>
      <c r="S1105">
        <v>4912</v>
      </c>
      <c r="T1105">
        <v>5918598</v>
      </c>
      <c r="U1105" t="s">
        <v>5087</v>
      </c>
      <c r="V1105">
        <v>18.73</v>
      </c>
      <c r="W1105" t="s">
        <v>7303</v>
      </c>
      <c r="X1105" t="s">
        <v>9368</v>
      </c>
      <c r="Y1105">
        <v>177</v>
      </c>
      <c r="Z1105">
        <v>-102</v>
      </c>
      <c r="AA1105">
        <v>14685</v>
      </c>
    </row>
    <row r="1106" spans="1:28">
      <c r="A1106" s="2">
        <f>HYPERLINK("https://finance.naver.com/item/coinfo.nhn?code=256940", "A256940")</f>
        <v>0</v>
      </c>
      <c r="B1106">
        <f>HYPERLINK("http://comp.fnguide.com/SVO2/ASP/SVD_Consensus.asp?pGB=1&amp;gicode=A256940&amp;cID=&amp;MenuYn=Y&amp;ReportGB=&amp;NewMenuID=108&amp;stkGb=701", "케이피에스")</f>
        <v>0</v>
      </c>
      <c r="C1106">
        <v>0</v>
      </c>
      <c r="D1106">
        <v>19850</v>
      </c>
      <c r="G1106">
        <v>2552</v>
      </c>
      <c r="H1106">
        <v>2205</v>
      </c>
      <c r="I1106">
        <v>2107</v>
      </c>
      <c r="J1106">
        <v>87.15000000000001</v>
      </c>
      <c r="K1106">
        <v>88.89</v>
      </c>
      <c r="L1106">
        <v>89.39</v>
      </c>
      <c r="M1106">
        <v>10.29</v>
      </c>
      <c r="N1106" t="b">
        <v>0</v>
      </c>
      <c r="O1106">
        <v>-27</v>
      </c>
      <c r="P1106" t="s">
        <v>1117</v>
      </c>
      <c r="Q1106" t="s">
        <v>3212</v>
      </c>
      <c r="R1106">
        <v>19.17403240639297</v>
      </c>
      <c r="S1106">
        <v>3045</v>
      </c>
      <c r="T1106">
        <v>268567</v>
      </c>
      <c r="U1106" t="s">
        <v>5088</v>
      </c>
      <c r="V1106">
        <v>28.03</v>
      </c>
      <c r="W1106" t="s">
        <v>7304</v>
      </c>
      <c r="X1106" t="s">
        <v>9369</v>
      </c>
      <c r="Y1106">
        <v>142</v>
      </c>
      <c r="Z1106">
        <v>-10</v>
      </c>
    </row>
    <row r="1107" spans="1:28">
      <c r="A1107" s="2">
        <f>HYPERLINK("https://finance.naver.com/item/coinfo.nhn?code=347140", "A347140")</f>
        <v>0</v>
      </c>
      <c r="B1107">
        <f>HYPERLINK("http://comp.fnguide.com/SVO2/ASP/SVD_Consensus.asp?pGB=1&amp;gicode=A347140&amp;cID=&amp;MenuYn=Y&amp;ReportGB=&amp;NewMenuID=108&amp;stkGb=701", "케이프이에스제4호")</f>
        <v>0</v>
      </c>
      <c r="C1107">
        <v>0</v>
      </c>
      <c r="D1107">
        <v>2025</v>
      </c>
      <c r="E1107">
        <v>0</v>
      </c>
      <c r="M1107">
        <v>0</v>
      </c>
      <c r="N1107" t="b">
        <v>0</v>
      </c>
      <c r="P1107" t="s">
        <v>968</v>
      </c>
      <c r="Q1107" t="s">
        <v>3213</v>
      </c>
      <c r="R1107">
        <v>1.412458665258165</v>
      </c>
      <c r="S1107">
        <v>61</v>
      </c>
      <c r="T1107">
        <v>1010</v>
      </c>
      <c r="U1107" t="s">
        <v>968</v>
      </c>
      <c r="V1107">
        <v>16.62</v>
      </c>
      <c r="W1107" t="s">
        <v>968</v>
      </c>
      <c r="X1107" t="s">
        <v>968</v>
      </c>
    </row>
    <row r="1108" spans="1:28">
      <c r="A1108" s="2">
        <f>HYPERLINK("https://finance.naver.com/item/coinfo.nhn?code=064820", "A064820")</f>
        <v>0</v>
      </c>
      <c r="B1108">
        <f>HYPERLINK("http://comp.fnguide.com/SVO2/ASP/SVD_Consensus.asp?pGB=1&amp;gicode=A064820&amp;cID=&amp;MenuYn=Y&amp;ReportGB=&amp;NewMenuID=108&amp;stkGb=701", "케이프")</f>
        <v>0</v>
      </c>
      <c r="C1108">
        <v>0</v>
      </c>
      <c r="D1108">
        <v>5000</v>
      </c>
      <c r="E1108">
        <v>6.09</v>
      </c>
      <c r="F1108">
        <v>8.6</v>
      </c>
      <c r="G1108">
        <v>1831</v>
      </c>
      <c r="H1108">
        <v>3737</v>
      </c>
      <c r="I1108">
        <v>4280</v>
      </c>
      <c r="J1108">
        <v>63.38</v>
      </c>
      <c r="K1108">
        <v>25.27</v>
      </c>
      <c r="L1108">
        <v>14.41</v>
      </c>
      <c r="M1108">
        <v>2.92</v>
      </c>
      <c r="N1108" t="b">
        <v>1</v>
      </c>
      <c r="O1108">
        <v>252</v>
      </c>
      <c r="P1108" t="s">
        <v>1118</v>
      </c>
      <c r="Q1108" t="s">
        <v>3213</v>
      </c>
      <c r="R1108">
        <v>1.412458665258165</v>
      </c>
      <c r="S1108">
        <v>1527</v>
      </c>
      <c r="T1108">
        <v>186715</v>
      </c>
      <c r="U1108" t="s">
        <v>5089</v>
      </c>
      <c r="V1108">
        <v>18.15</v>
      </c>
      <c r="W1108" t="s">
        <v>7305</v>
      </c>
      <c r="X1108" t="s">
        <v>9370</v>
      </c>
      <c r="Y1108">
        <v>3515</v>
      </c>
      <c r="Z1108">
        <v>166</v>
      </c>
    </row>
    <row r="1109" spans="1:28">
      <c r="A1109" s="2">
        <f>HYPERLINK("https://finance.naver.com/item/coinfo.nhn?code=225430", "A225430")</f>
        <v>0</v>
      </c>
      <c r="B1109">
        <f>HYPERLINK("http://comp.fnguide.com/SVO2/ASP/SVD_Consensus.asp?pGB=1&amp;gicode=A225430&amp;cID=&amp;MenuYn=Y&amp;ReportGB=&amp;NewMenuID=108&amp;stkGb=701", "케이엠제약")</f>
        <v>0</v>
      </c>
      <c r="C1109">
        <v>0</v>
      </c>
      <c r="D1109">
        <v>3275</v>
      </c>
      <c r="G1109">
        <v>336</v>
      </c>
      <c r="H1109">
        <v>814</v>
      </c>
      <c r="I1109">
        <v>950</v>
      </c>
      <c r="J1109">
        <v>89.75</v>
      </c>
      <c r="K1109">
        <v>75.15000000000001</v>
      </c>
      <c r="L1109">
        <v>70.98999999999999</v>
      </c>
      <c r="M1109">
        <v>2.36</v>
      </c>
      <c r="N1109" t="b">
        <v>0</v>
      </c>
      <c r="O1109">
        <v>-42</v>
      </c>
      <c r="P1109" t="s">
        <v>1119</v>
      </c>
      <c r="Q1109" t="s">
        <v>3214</v>
      </c>
      <c r="R1109">
        <v>101.8858204022346</v>
      </c>
      <c r="S1109">
        <v>913</v>
      </c>
      <c r="T1109">
        <v>347416</v>
      </c>
      <c r="U1109" t="s">
        <v>5090</v>
      </c>
      <c r="V1109">
        <v>43.86</v>
      </c>
      <c r="W1109" t="s">
        <v>7306</v>
      </c>
      <c r="X1109" t="s">
        <v>968</v>
      </c>
      <c r="Y1109">
        <v>203</v>
      </c>
      <c r="Z1109">
        <v>-15</v>
      </c>
      <c r="AA1109">
        <v>39</v>
      </c>
    </row>
    <row r="1110" spans="1:28">
      <c r="A1110" s="2">
        <f>HYPERLINK("https://finance.naver.com/item/coinfo.nhn?code=032500", "A032500")</f>
        <v>0</v>
      </c>
      <c r="B1110">
        <f>HYPERLINK("http://comp.fnguide.com/SVO2/ASP/SVD_Consensus.asp?pGB=1&amp;gicode=A032500&amp;cID=&amp;MenuYn=Y&amp;ReportGB=&amp;NewMenuID=108&amp;stkGb=701", "케이엠더블유")</f>
        <v>0</v>
      </c>
      <c r="C1110">
        <v>0</v>
      </c>
      <c r="D1110">
        <v>73300</v>
      </c>
      <c r="E1110">
        <v>-0.26</v>
      </c>
      <c r="F1110">
        <v>19.82</v>
      </c>
      <c r="G1110">
        <v>23144</v>
      </c>
      <c r="H1110">
        <v>12509</v>
      </c>
      <c r="I1110">
        <v>9479</v>
      </c>
      <c r="J1110">
        <v>68.43000000000001</v>
      </c>
      <c r="K1110">
        <v>82.93000000000001</v>
      </c>
      <c r="L1110">
        <v>87.06999999999999</v>
      </c>
      <c r="M1110">
        <v>33.88</v>
      </c>
      <c r="N1110" t="b">
        <v>1</v>
      </c>
      <c r="O1110">
        <v>2578</v>
      </c>
      <c r="P1110" t="s">
        <v>1120</v>
      </c>
      <c r="Q1110" t="s">
        <v>3215</v>
      </c>
      <c r="R1110">
        <v>-77.3</v>
      </c>
      <c r="S1110">
        <v>29189</v>
      </c>
      <c r="T1110">
        <v>501975</v>
      </c>
      <c r="U1110" t="s">
        <v>5091</v>
      </c>
      <c r="V1110">
        <v>35.48</v>
      </c>
      <c r="W1110" t="s">
        <v>7307</v>
      </c>
      <c r="X1110" t="s">
        <v>9371</v>
      </c>
      <c r="Y1110">
        <v>6829</v>
      </c>
      <c r="Z1110">
        <v>1367</v>
      </c>
    </row>
    <row r="1111" spans="1:28">
      <c r="A1111" s="2">
        <f>HYPERLINK("https://finance.naver.com/item/coinfo.nhn?code=083550", "A083550")</f>
        <v>0</v>
      </c>
      <c r="B1111">
        <f>HYPERLINK("http://comp.fnguide.com/SVO2/ASP/SVD_Consensus.asp?pGB=1&amp;gicode=A083550&amp;cID=&amp;MenuYn=Y&amp;ReportGB=&amp;NewMenuID=108&amp;stkGb=701", "케이엠")</f>
        <v>0</v>
      </c>
      <c r="C1111">
        <v>0</v>
      </c>
      <c r="D1111">
        <v>12650</v>
      </c>
      <c r="E1111">
        <v>0.26</v>
      </c>
      <c r="F1111">
        <v>11.74</v>
      </c>
      <c r="G1111">
        <v>7903</v>
      </c>
      <c r="H1111">
        <v>8469</v>
      </c>
      <c r="I1111">
        <v>8630</v>
      </c>
      <c r="J1111">
        <v>37.53</v>
      </c>
      <c r="K1111">
        <v>33.05</v>
      </c>
      <c r="L1111">
        <v>31.78</v>
      </c>
      <c r="M1111">
        <v>7.12</v>
      </c>
      <c r="N1111" t="b">
        <v>1</v>
      </c>
      <c r="O1111">
        <v>638</v>
      </c>
      <c r="P1111" t="s">
        <v>1121</v>
      </c>
      <c r="Q1111" t="s">
        <v>3216</v>
      </c>
      <c r="R1111">
        <v>44.54254567872206</v>
      </c>
      <c r="S1111">
        <v>1301</v>
      </c>
      <c r="T1111">
        <v>118564</v>
      </c>
      <c r="U1111" t="s">
        <v>5092</v>
      </c>
      <c r="V1111">
        <v>31.9</v>
      </c>
      <c r="W1111" t="s">
        <v>7308</v>
      </c>
      <c r="X1111" t="s">
        <v>9372</v>
      </c>
      <c r="Y1111">
        <v>1276</v>
      </c>
      <c r="Z1111">
        <v>72</v>
      </c>
      <c r="AA1111">
        <v>818344</v>
      </c>
      <c r="AB1111">
        <v>0.66</v>
      </c>
    </row>
    <row r="1112" spans="1:28">
      <c r="A1112" s="2">
        <f>HYPERLINK("https://finance.naver.com/item/coinfo.nhn?code=039420", "A039420")</f>
        <v>0</v>
      </c>
      <c r="B1112">
        <f>HYPERLINK("http://comp.fnguide.com/SVO2/ASP/SVD_Consensus.asp?pGB=1&amp;gicode=A039420&amp;cID=&amp;MenuYn=Y&amp;ReportGB=&amp;NewMenuID=108&amp;stkGb=701", "케이엘넷")</f>
        <v>0</v>
      </c>
      <c r="C1112">
        <v>0</v>
      </c>
      <c r="D1112">
        <v>2645</v>
      </c>
      <c r="E1112">
        <v>1.86</v>
      </c>
      <c r="F1112">
        <v>14.95</v>
      </c>
      <c r="G1112">
        <v>1751</v>
      </c>
      <c r="H1112">
        <v>1688</v>
      </c>
      <c r="I1112">
        <v>1670</v>
      </c>
      <c r="J1112">
        <v>33.8</v>
      </c>
      <c r="K1112">
        <v>36.18</v>
      </c>
      <c r="L1112">
        <v>36.86</v>
      </c>
      <c r="M1112">
        <v>8.48</v>
      </c>
      <c r="N1112" t="b">
        <v>1</v>
      </c>
      <c r="O1112">
        <v>154</v>
      </c>
      <c r="P1112" t="s">
        <v>1122</v>
      </c>
      <c r="Q1112" t="s">
        <v>3217</v>
      </c>
      <c r="R1112">
        <v>8.018915777111779</v>
      </c>
      <c r="S1112">
        <v>639</v>
      </c>
      <c r="T1112">
        <v>397080</v>
      </c>
      <c r="U1112" t="s">
        <v>5093</v>
      </c>
      <c r="V1112">
        <v>28.11</v>
      </c>
      <c r="W1112" t="s">
        <v>7309</v>
      </c>
      <c r="X1112" t="s">
        <v>9373</v>
      </c>
      <c r="Y1112">
        <v>385</v>
      </c>
      <c r="Z1112">
        <v>41</v>
      </c>
      <c r="AA1112">
        <v>2102371</v>
      </c>
      <c r="AB1112">
        <v>2.6</v>
      </c>
    </row>
    <row r="1113" spans="1:28">
      <c r="A1113" s="2">
        <f>HYPERLINK("https://finance.naver.com/item/coinfo.nhn?code=105330", "A105330")</f>
        <v>0</v>
      </c>
      <c r="B1113">
        <f>HYPERLINK("http://comp.fnguide.com/SVO2/ASP/SVD_Consensus.asp?pGB=1&amp;gicode=A105330&amp;cID=&amp;MenuYn=Y&amp;ReportGB=&amp;NewMenuID=108&amp;stkGb=701", "케이엔더블유")</f>
        <v>0</v>
      </c>
      <c r="C1113">
        <v>0</v>
      </c>
      <c r="D1113">
        <v>6620</v>
      </c>
      <c r="E1113">
        <v>0</v>
      </c>
      <c r="G1113">
        <v>216</v>
      </c>
      <c r="H1113">
        <v>2077</v>
      </c>
      <c r="I1113">
        <v>2607</v>
      </c>
      <c r="J1113">
        <v>96.73</v>
      </c>
      <c r="K1113">
        <v>68.63</v>
      </c>
      <c r="L1113">
        <v>60.62</v>
      </c>
      <c r="M1113">
        <v>0.52</v>
      </c>
      <c r="N1113" t="b">
        <v>0</v>
      </c>
      <c r="O1113">
        <v>-878</v>
      </c>
      <c r="P1113" t="s">
        <v>1123</v>
      </c>
      <c r="Q1113" t="s">
        <v>2276</v>
      </c>
      <c r="R1113">
        <v>0</v>
      </c>
      <c r="S1113">
        <v>679</v>
      </c>
      <c r="T1113">
        <v>110358</v>
      </c>
      <c r="U1113" t="s">
        <v>5094</v>
      </c>
      <c r="V1113">
        <v>33.72</v>
      </c>
      <c r="W1113" t="s">
        <v>7310</v>
      </c>
      <c r="X1113" t="s">
        <v>9374</v>
      </c>
      <c r="Y1113">
        <v>930</v>
      </c>
      <c r="Z1113">
        <v>-34</v>
      </c>
      <c r="AA1113">
        <v>149117</v>
      </c>
    </row>
    <row r="1114" spans="1:28">
      <c r="A1114" s="2">
        <f>HYPERLINK("https://finance.naver.com/item/coinfo.nhn?code=062970", "A062970")</f>
        <v>0</v>
      </c>
      <c r="B1114">
        <f>HYPERLINK("http://comp.fnguide.com/SVO2/ASP/SVD_Consensus.asp?pGB=1&amp;gicode=A062970&amp;cID=&amp;MenuYn=Y&amp;ReportGB=&amp;NewMenuID=108&amp;stkGb=701", "피피아이")</f>
        <v>0</v>
      </c>
      <c r="C1114">
        <v>0</v>
      </c>
      <c r="D1114">
        <v>7030</v>
      </c>
      <c r="E1114">
        <v>0.77</v>
      </c>
      <c r="F1114">
        <v>28.68</v>
      </c>
      <c r="G1114">
        <v>4876</v>
      </c>
      <c r="H1114">
        <v>3392</v>
      </c>
      <c r="I1114">
        <v>2969</v>
      </c>
      <c r="J1114">
        <v>30.64</v>
      </c>
      <c r="K1114">
        <v>51.75</v>
      </c>
      <c r="L1114">
        <v>57.76</v>
      </c>
      <c r="M1114">
        <v>16.15</v>
      </c>
      <c r="N1114" t="b">
        <v>1</v>
      </c>
      <c r="O1114">
        <v>339</v>
      </c>
      <c r="P1114" t="s">
        <v>1124</v>
      </c>
      <c r="Q1114" t="s">
        <v>3218</v>
      </c>
      <c r="R1114">
        <v>37.35858127503015</v>
      </c>
      <c r="S1114">
        <v>654</v>
      </c>
      <c r="T1114">
        <v>68165</v>
      </c>
      <c r="U1114" t="s">
        <v>5095</v>
      </c>
      <c r="V1114">
        <v>25.35</v>
      </c>
      <c r="W1114" t="s">
        <v>7311</v>
      </c>
      <c r="X1114" t="s">
        <v>9375</v>
      </c>
      <c r="Y1114">
        <v>486</v>
      </c>
      <c r="Z1114">
        <v>27</v>
      </c>
    </row>
    <row r="1115" spans="1:28">
      <c r="A1115" s="2">
        <f>HYPERLINK("https://finance.naver.com/item/coinfo.nhn?code=073010", "A073010")</f>
        <v>0</v>
      </c>
      <c r="B1115">
        <f>HYPERLINK("http://comp.fnguide.com/SVO2/ASP/SVD_Consensus.asp?pGB=1&amp;gicode=A073010&amp;cID=&amp;MenuYn=Y&amp;ReportGB=&amp;NewMenuID=108&amp;stkGb=701", "케이에스피")</f>
        <v>0</v>
      </c>
      <c r="C1115">
        <v>0</v>
      </c>
      <c r="D1115">
        <v>1475</v>
      </c>
      <c r="E1115">
        <v>-2.01</v>
      </c>
      <c r="F1115">
        <v>38.7</v>
      </c>
      <c r="G1115">
        <v>296</v>
      </c>
      <c r="H1115">
        <v>498</v>
      </c>
      <c r="I1115">
        <v>556</v>
      </c>
      <c r="J1115">
        <v>79.92</v>
      </c>
      <c r="K1115">
        <v>66.23999999999999</v>
      </c>
      <c r="L1115">
        <v>62.34</v>
      </c>
      <c r="M1115">
        <v>3.73</v>
      </c>
      <c r="N1115" t="b">
        <v>1</v>
      </c>
      <c r="O1115">
        <v>45</v>
      </c>
      <c r="P1115" t="s">
        <v>1125</v>
      </c>
      <c r="Q1115" t="s">
        <v>3219</v>
      </c>
      <c r="R1115">
        <v>-19.3</v>
      </c>
      <c r="S1115">
        <v>534</v>
      </c>
      <c r="T1115">
        <v>218940</v>
      </c>
      <c r="U1115" t="s">
        <v>5096</v>
      </c>
      <c r="V1115">
        <v>69.08</v>
      </c>
      <c r="W1115" t="s">
        <v>7312</v>
      </c>
      <c r="X1115" t="s">
        <v>9376</v>
      </c>
      <c r="Y1115">
        <v>294</v>
      </c>
      <c r="Z1115">
        <v>18</v>
      </c>
      <c r="AA1115">
        <v>121856</v>
      </c>
    </row>
    <row r="1116" spans="1:28">
      <c r="A1116" s="2">
        <f>HYPERLINK("https://finance.naver.com/item/coinfo.nhn?code=347740", "A347740")</f>
        <v>0</v>
      </c>
      <c r="B1116">
        <f>HYPERLINK("http://comp.fnguide.com/SVO2/ASP/SVD_Consensus.asp?pGB=1&amp;gicode=A347740&amp;cID=&amp;MenuYn=Y&amp;ReportGB=&amp;NewMenuID=108&amp;stkGb=701", "피엔케이피부임상연구센타")</f>
        <v>0</v>
      </c>
      <c r="C1116">
        <v>0</v>
      </c>
      <c r="D1116">
        <v>22850</v>
      </c>
      <c r="E1116">
        <v>0</v>
      </c>
      <c r="G1116">
        <v>9310</v>
      </c>
      <c r="H1116">
        <v>5704</v>
      </c>
      <c r="I1116">
        <v>4677</v>
      </c>
      <c r="J1116">
        <v>59.26</v>
      </c>
      <c r="K1116">
        <v>75.04000000000001</v>
      </c>
      <c r="L1116">
        <v>79.53</v>
      </c>
      <c r="M1116">
        <v>22.42</v>
      </c>
      <c r="N1116" t="b">
        <v>0</v>
      </c>
      <c r="O1116">
        <v>951</v>
      </c>
      <c r="P1116" t="s">
        <v>1126</v>
      </c>
      <c r="Q1116" t="s">
        <v>3220</v>
      </c>
      <c r="R1116">
        <v>0</v>
      </c>
      <c r="S1116">
        <v>1714</v>
      </c>
      <c r="T1116">
        <v>74457</v>
      </c>
      <c r="U1116" t="s">
        <v>5097</v>
      </c>
      <c r="V1116">
        <v>58.17</v>
      </c>
      <c r="W1116" t="s">
        <v>7313</v>
      </c>
      <c r="X1116" t="s">
        <v>968</v>
      </c>
      <c r="Y1116">
        <v>125</v>
      </c>
      <c r="Z1116">
        <v>57</v>
      </c>
      <c r="AA1116">
        <v>98600</v>
      </c>
    </row>
    <row r="1117" spans="1:28">
      <c r="A1117" s="2">
        <f>HYPERLINK("https://finance.naver.com/item/coinfo.nhn?code=094860", "A094860")</f>
        <v>0</v>
      </c>
      <c r="B1117">
        <f>HYPERLINK("http://comp.fnguide.com/SVO2/ASP/SVD_Consensus.asp?pGB=1&amp;gicode=A094860&amp;cID=&amp;MenuYn=Y&amp;ReportGB=&amp;NewMenuID=108&amp;stkGb=701", "코닉글로리")</f>
        <v>0</v>
      </c>
      <c r="C1117">
        <v>0</v>
      </c>
      <c r="D1117">
        <v>2655</v>
      </c>
      <c r="G1117">
        <v>6</v>
      </c>
      <c r="H1117">
        <v>130</v>
      </c>
      <c r="I1117">
        <v>166</v>
      </c>
      <c r="J1117">
        <v>99.79000000000001</v>
      </c>
      <c r="K1117">
        <v>95.09</v>
      </c>
      <c r="L1117">
        <v>93.75</v>
      </c>
      <c r="M1117">
        <v>0.21</v>
      </c>
      <c r="N1117" t="b">
        <v>0</v>
      </c>
      <c r="O1117">
        <v>-56</v>
      </c>
      <c r="P1117" t="s">
        <v>1127</v>
      </c>
      <c r="Q1117" t="s">
        <v>3221</v>
      </c>
      <c r="R1117">
        <v>-76.90000000000001</v>
      </c>
      <c r="S1117">
        <v>1345</v>
      </c>
      <c r="T1117">
        <v>3121469</v>
      </c>
      <c r="U1117" t="s">
        <v>5098</v>
      </c>
      <c r="V1117">
        <v>9.33</v>
      </c>
      <c r="W1117" t="s">
        <v>7314</v>
      </c>
      <c r="X1117" t="s">
        <v>9377</v>
      </c>
      <c r="Y1117">
        <v>113</v>
      </c>
      <c r="Z1117">
        <v>3</v>
      </c>
      <c r="AA1117">
        <v>25180</v>
      </c>
    </row>
    <row r="1118" spans="1:28">
      <c r="A1118" s="2">
        <f>HYPERLINK("https://finance.naver.com/item/coinfo.nhn?code=031980", "A031980")</f>
        <v>0</v>
      </c>
      <c r="B1118">
        <f>HYPERLINK("http://comp.fnguide.com/SVO2/ASP/SVD_Consensus.asp?pGB=1&amp;gicode=A031980&amp;cID=&amp;MenuYn=Y&amp;ReportGB=&amp;NewMenuID=108&amp;stkGb=701", "피에스케이홀딩스")</f>
        <v>0</v>
      </c>
      <c r="C1118">
        <v>0</v>
      </c>
      <c r="D1118">
        <v>7790</v>
      </c>
      <c r="E1118">
        <v>0.36</v>
      </c>
      <c r="F1118">
        <v>9.369999999999999</v>
      </c>
      <c r="G1118">
        <v>7142</v>
      </c>
      <c r="H1118">
        <v>5577</v>
      </c>
      <c r="I1118">
        <v>5131</v>
      </c>
      <c r="J1118">
        <v>8.31</v>
      </c>
      <c r="K1118">
        <v>28.4</v>
      </c>
      <c r="L1118">
        <v>34.13</v>
      </c>
      <c r="M1118">
        <v>12.54</v>
      </c>
      <c r="N1118" t="b">
        <v>1</v>
      </c>
      <c r="O1118">
        <v>912</v>
      </c>
      <c r="P1118" t="s">
        <v>1128</v>
      </c>
      <c r="Q1118" t="s">
        <v>3222</v>
      </c>
      <c r="R1118">
        <v>26.33485224936758</v>
      </c>
      <c r="S1118">
        <v>1680</v>
      </c>
      <c r="T1118">
        <v>17990</v>
      </c>
      <c r="U1118" t="s">
        <v>5099</v>
      </c>
      <c r="V1118">
        <v>74.23</v>
      </c>
      <c r="W1118" t="s">
        <v>7315</v>
      </c>
      <c r="X1118" t="s">
        <v>9378</v>
      </c>
      <c r="Y1118">
        <v>421</v>
      </c>
      <c r="Z1118">
        <v>15</v>
      </c>
      <c r="AA1118">
        <v>1992515</v>
      </c>
      <c r="AB1118">
        <v>1.76</v>
      </c>
    </row>
    <row r="1119" spans="1:28">
      <c r="A1119" s="2">
        <f>HYPERLINK("https://finance.naver.com/item/coinfo.nhn?code=224060", "A224060")</f>
        <v>0</v>
      </c>
      <c r="B1119">
        <f>HYPERLINK("http://comp.fnguide.com/SVO2/ASP/SVD_Consensus.asp?pGB=1&amp;gicode=A224060&amp;cID=&amp;MenuYn=Y&amp;ReportGB=&amp;NewMenuID=108&amp;stkGb=701", "코디엠")</f>
        <v>0</v>
      </c>
      <c r="C1119">
        <v>0</v>
      </c>
      <c r="D1119">
        <v>450</v>
      </c>
      <c r="E1119">
        <v>0</v>
      </c>
      <c r="F1119">
        <v>12.5</v>
      </c>
      <c r="G1119">
        <v>155</v>
      </c>
      <c r="H1119">
        <v>212</v>
      </c>
      <c r="I1119">
        <v>228</v>
      </c>
      <c r="J1119">
        <v>65.48</v>
      </c>
      <c r="K1119">
        <v>53</v>
      </c>
      <c r="L1119">
        <v>49.44</v>
      </c>
      <c r="M1119">
        <v>4.97</v>
      </c>
      <c r="N1119" t="b">
        <v>1</v>
      </c>
      <c r="O1119">
        <v>42</v>
      </c>
      <c r="P1119" t="s">
        <v>1129</v>
      </c>
      <c r="Q1119" t="s">
        <v>2276</v>
      </c>
      <c r="R1119">
        <v>0</v>
      </c>
      <c r="S1119">
        <v>1185</v>
      </c>
      <c r="T1119">
        <v>38704888</v>
      </c>
      <c r="U1119" t="s">
        <v>5100</v>
      </c>
      <c r="V1119">
        <v>4.03</v>
      </c>
      <c r="W1119" t="s">
        <v>7316</v>
      </c>
      <c r="X1119" t="s">
        <v>9379</v>
      </c>
      <c r="Y1119">
        <v>118</v>
      </c>
      <c r="Z1119">
        <v>-46</v>
      </c>
    </row>
    <row r="1120" spans="1:28">
      <c r="A1120" s="2">
        <f>HYPERLINK("https://finance.naver.com/item/coinfo.nhn?code=203690", "A203690")</f>
        <v>0</v>
      </c>
      <c r="B1120">
        <f>HYPERLINK("http://comp.fnguide.com/SVO2/ASP/SVD_Consensus.asp?pGB=1&amp;gicode=A203690&amp;cID=&amp;MenuYn=Y&amp;ReportGB=&amp;NewMenuID=108&amp;stkGb=701", "프로스테믹스")</f>
        <v>0</v>
      </c>
      <c r="C1120">
        <v>0</v>
      </c>
      <c r="D1120">
        <v>4155</v>
      </c>
      <c r="E1120">
        <v>0</v>
      </c>
      <c r="G1120">
        <v>0</v>
      </c>
      <c r="H1120">
        <v>380</v>
      </c>
      <c r="I1120">
        <v>488</v>
      </c>
      <c r="J1120">
        <v>100</v>
      </c>
      <c r="K1120">
        <v>90.86</v>
      </c>
      <c r="L1120">
        <v>88.26000000000001</v>
      </c>
      <c r="M1120">
        <v>0</v>
      </c>
      <c r="N1120" t="b">
        <v>0</v>
      </c>
      <c r="O1120">
        <v>-70</v>
      </c>
      <c r="P1120" t="s">
        <v>1130</v>
      </c>
      <c r="Q1120" t="s">
        <v>2276</v>
      </c>
      <c r="R1120">
        <v>0</v>
      </c>
      <c r="S1120">
        <v>1901</v>
      </c>
      <c r="T1120">
        <v>21657515</v>
      </c>
      <c r="U1120" t="s">
        <v>5101</v>
      </c>
      <c r="V1120">
        <v>30.35</v>
      </c>
      <c r="W1120" t="s">
        <v>7317</v>
      </c>
      <c r="X1120" t="s">
        <v>968</v>
      </c>
      <c r="Y1120">
        <v>71</v>
      </c>
      <c r="Z1120">
        <v>-23</v>
      </c>
      <c r="AA1120">
        <v>821912</v>
      </c>
    </row>
    <row r="1121" spans="1:28">
      <c r="A1121" s="2">
        <f>HYPERLINK("https://finance.naver.com/item/coinfo.nhn?code=053160", "A053160")</f>
        <v>0</v>
      </c>
      <c r="B1121">
        <f>HYPERLINK("http://comp.fnguide.com/SVO2/ASP/SVD_Consensus.asp?pGB=1&amp;gicode=A053160&amp;cID=&amp;MenuYn=Y&amp;ReportGB=&amp;NewMenuID=108&amp;stkGb=701", "프리엠스")</f>
        <v>0</v>
      </c>
      <c r="C1121">
        <v>0</v>
      </c>
      <c r="D1121">
        <v>10350</v>
      </c>
      <c r="E1121">
        <v>-2.57</v>
      </c>
      <c r="F1121">
        <v>63.91</v>
      </c>
      <c r="G1121">
        <v>3232</v>
      </c>
      <c r="H1121">
        <v>6874</v>
      </c>
      <c r="I1121">
        <v>7911</v>
      </c>
      <c r="J1121">
        <v>68.77</v>
      </c>
      <c r="K1121">
        <v>33.59</v>
      </c>
      <c r="L1121">
        <v>23.56</v>
      </c>
      <c r="M1121">
        <v>2.77</v>
      </c>
      <c r="N1121" t="b">
        <v>1</v>
      </c>
      <c r="O1121">
        <v>90</v>
      </c>
      <c r="P1121" t="s">
        <v>1131</v>
      </c>
      <c r="Q1121" t="s">
        <v>3223</v>
      </c>
      <c r="R1121">
        <v>-24.84602763744356</v>
      </c>
      <c r="S1121">
        <v>621</v>
      </c>
      <c r="T1121">
        <v>2228063</v>
      </c>
      <c r="U1121" t="s">
        <v>5102</v>
      </c>
      <c r="V1121">
        <v>47.3</v>
      </c>
      <c r="W1121" t="s">
        <v>7318</v>
      </c>
      <c r="X1121" t="s">
        <v>9380</v>
      </c>
      <c r="Y1121">
        <v>184</v>
      </c>
      <c r="Z1121">
        <v>-4</v>
      </c>
      <c r="AA1121">
        <v>1103966</v>
      </c>
      <c r="AB1121">
        <v>0.87</v>
      </c>
    </row>
    <row r="1122" spans="1:28">
      <c r="A1122" s="2">
        <f>HYPERLINK("https://finance.naver.com/item/coinfo.nhn?code=290510", "A290510")</f>
        <v>0</v>
      </c>
      <c r="B1122">
        <f>HYPERLINK("http://comp.fnguide.com/SVO2/ASP/SVD_Consensus.asp?pGB=1&amp;gicode=A290510&amp;cID=&amp;MenuYn=Y&amp;ReportGB=&amp;NewMenuID=108&amp;stkGb=701", "코리아센터")</f>
        <v>0</v>
      </c>
      <c r="C1122">
        <v>0</v>
      </c>
      <c r="D1122">
        <v>8600</v>
      </c>
      <c r="E1122">
        <v>1.33</v>
      </c>
      <c r="F1122">
        <v>65.59999999999999</v>
      </c>
      <c r="G1122">
        <v>1749</v>
      </c>
      <c r="H1122">
        <v>2228</v>
      </c>
      <c r="I1122">
        <v>2364</v>
      </c>
      <c r="J1122">
        <v>79.66</v>
      </c>
      <c r="K1122">
        <v>74.09999999999999</v>
      </c>
      <c r="L1122">
        <v>72.51000000000001</v>
      </c>
      <c r="M1122">
        <v>5.48</v>
      </c>
      <c r="N1122" t="b">
        <v>0</v>
      </c>
      <c r="O1122">
        <v>87</v>
      </c>
      <c r="P1122" t="s">
        <v>1132</v>
      </c>
      <c r="Q1122" t="s">
        <v>3224</v>
      </c>
      <c r="R1122">
        <v>49.41907556459375</v>
      </c>
      <c r="S1122">
        <v>6278</v>
      </c>
      <c r="T1122">
        <v>3410091</v>
      </c>
      <c r="U1122" t="s">
        <v>5103</v>
      </c>
      <c r="V1122">
        <v>68.65000000000001</v>
      </c>
      <c r="W1122" t="s">
        <v>7319</v>
      </c>
      <c r="X1122" t="s">
        <v>9381</v>
      </c>
      <c r="Y1122">
        <v>2515</v>
      </c>
      <c r="Z1122">
        <v>108</v>
      </c>
      <c r="AA1122">
        <v>781918</v>
      </c>
    </row>
    <row r="1123" spans="1:28">
      <c r="A1123" s="2">
        <f>HYPERLINK("https://finance.naver.com/item/coinfo.nhn?code=237820", "A237820")</f>
        <v>0</v>
      </c>
      <c r="B1123">
        <f>HYPERLINK("http://comp.fnguide.com/SVO2/ASP/SVD_Consensus.asp?pGB=1&amp;gicode=A237820&amp;cID=&amp;MenuYn=Y&amp;ReportGB=&amp;NewMenuID=108&amp;stkGb=701", "플레이디")</f>
        <v>0</v>
      </c>
      <c r="C1123">
        <v>0</v>
      </c>
      <c r="D1123">
        <v>8570</v>
      </c>
      <c r="G1123">
        <v>8111</v>
      </c>
      <c r="H1123">
        <v>5130</v>
      </c>
      <c r="I1123">
        <v>4281</v>
      </c>
      <c r="J1123">
        <v>5.36</v>
      </c>
      <c r="K1123">
        <v>40.14</v>
      </c>
      <c r="L1123">
        <v>50.05</v>
      </c>
      <c r="M1123">
        <v>20.53</v>
      </c>
      <c r="N1123" t="b">
        <v>0</v>
      </c>
      <c r="O1123">
        <v>730</v>
      </c>
      <c r="P1123" t="s">
        <v>1133</v>
      </c>
      <c r="Q1123" t="s">
        <v>3225</v>
      </c>
      <c r="R1123">
        <v>-25.82966099558475</v>
      </c>
      <c r="S1123">
        <v>1099</v>
      </c>
      <c r="T1123">
        <v>33143</v>
      </c>
      <c r="U1123" t="s">
        <v>5104</v>
      </c>
      <c r="V1123">
        <v>70.38</v>
      </c>
      <c r="W1123" t="s">
        <v>7320</v>
      </c>
      <c r="X1123" t="s">
        <v>968</v>
      </c>
      <c r="Y1123">
        <v>386</v>
      </c>
      <c r="Z1123">
        <v>88</v>
      </c>
    </row>
    <row r="1124" spans="1:28">
      <c r="A1124" s="2">
        <f>HYPERLINK("https://finance.naver.com/item/coinfo.nhn?code=027050", "A027050")</f>
        <v>0</v>
      </c>
      <c r="B1124">
        <f>HYPERLINK("http://comp.fnguide.com/SVO2/ASP/SVD_Consensus.asp?pGB=1&amp;gicode=A027050&amp;cID=&amp;MenuYn=Y&amp;ReportGB=&amp;NewMenuID=108&amp;stkGb=701", "코리아나")</f>
        <v>0</v>
      </c>
      <c r="C1124">
        <v>0</v>
      </c>
      <c r="D1124">
        <v>5120</v>
      </c>
      <c r="E1124">
        <v>-5.83</v>
      </c>
      <c r="F1124">
        <v>259.25</v>
      </c>
      <c r="G1124">
        <v>474</v>
      </c>
      <c r="H1124">
        <v>1703</v>
      </c>
      <c r="I1124">
        <v>2053</v>
      </c>
      <c r="J1124">
        <v>90.73999999999999</v>
      </c>
      <c r="K1124">
        <v>66.73999999999999</v>
      </c>
      <c r="L1124">
        <v>59.9</v>
      </c>
      <c r="M1124">
        <v>1.5</v>
      </c>
      <c r="N1124" t="b">
        <v>0</v>
      </c>
      <c r="O1124">
        <v>15</v>
      </c>
      <c r="P1124" t="s">
        <v>1134</v>
      </c>
      <c r="Q1124" t="s">
        <v>3226</v>
      </c>
      <c r="R1124">
        <v>-44.47797177409234</v>
      </c>
      <c r="S1124">
        <v>2048</v>
      </c>
      <c r="T1124">
        <v>581752</v>
      </c>
      <c r="U1124" t="s">
        <v>5105</v>
      </c>
      <c r="V1124">
        <v>14.4</v>
      </c>
      <c r="W1124" t="s">
        <v>7321</v>
      </c>
      <c r="X1124" t="s">
        <v>9382</v>
      </c>
      <c r="Y1124">
        <v>1172</v>
      </c>
      <c r="Z1124">
        <v>31</v>
      </c>
      <c r="AA1124">
        <v>9000000</v>
      </c>
    </row>
    <row r="1125" spans="1:28">
      <c r="A1125" s="2">
        <f>HYPERLINK("https://finance.naver.com/item/coinfo.nhn?code=104540", "A104540")</f>
        <v>0</v>
      </c>
      <c r="B1125">
        <f>HYPERLINK("http://comp.fnguide.com/SVO2/ASP/SVD_Consensus.asp?pGB=1&amp;gicode=A104540&amp;cID=&amp;MenuYn=Y&amp;ReportGB=&amp;NewMenuID=108&amp;stkGb=701", "코렌텍")</f>
        <v>0</v>
      </c>
      <c r="C1125">
        <v>0</v>
      </c>
      <c r="D1125">
        <v>13850</v>
      </c>
      <c r="E1125">
        <v>2.24</v>
      </c>
      <c r="F1125">
        <v>27.95</v>
      </c>
      <c r="G1125">
        <v>1644</v>
      </c>
      <c r="H1125">
        <v>2353</v>
      </c>
      <c r="I1125">
        <v>2555</v>
      </c>
      <c r="J1125">
        <v>88.13</v>
      </c>
      <c r="K1125">
        <v>83.01000000000001</v>
      </c>
      <c r="L1125">
        <v>81.55</v>
      </c>
      <c r="M1125">
        <v>4.64</v>
      </c>
      <c r="N1125" t="b">
        <v>1</v>
      </c>
      <c r="O1125">
        <v>240</v>
      </c>
      <c r="P1125" t="s">
        <v>1135</v>
      </c>
      <c r="Q1125" t="s">
        <v>3227</v>
      </c>
      <c r="R1125">
        <v>12.5</v>
      </c>
      <c r="S1125">
        <v>1466</v>
      </c>
      <c r="T1125">
        <v>232654</v>
      </c>
      <c r="U1125" t="s">
        <v>5106</v>
      </c>
      <c r="V1125">
        <v>22.33</v>
      </c>
      <c r="W1125" t="s">
        <v>7322</v>
      </c>
      <c r="X1125" t="s">
        <v>9383</v>
      </c>
      <c r="Y1125">
        <v>402</v>
      </c>
      <c r="Z1125">
        <v>33</v>
      </c>
    </row>
    <row r="1126" spans="1:28">
      <c r="A1126" s="2">
        <f>HYPERLINK("https://finance.naver.com/item/coinfo.nhn?code=078650", "A078650")</f>
        <v>0</v>
      </c>
      <c r="B1126">
        <f>HYPERLINK("http://comp.fnguide.com/SVO2/ASP/SVD_Consensus.asp?pGB=1&amp;gicode=A078650&amp;cID=&amp;MenuYn=Y&amp;ReportGB=&amp;NewMenuID=108&amp;stkGb=701", "코렌")</f>
        <v>0</v>
      </c>
      <c r="C1126">
        <v>0</v>
      </c>
      <c r="D1126">
        <v>1090</v>
      </c>
      <c r="E1126">
        <v>0</v>
      </c>
      <c r="G1126">
        <v>662</v>
      </c>
      <c r="H1126">
        <v>703</v>
      </c>
      <c r="I1126">
        <v>715</v>
      </c>
      <c r="J1126">
        <v>39.3</v>
      </c>
      <c r="K1126">
        <v>35.49</v>
      </c>
      <c r="L1126">
        <v>34.41</v>
      </c>
      <c r="M1126">
        <v>7.22</v>
      </c>
      <c r="N1126" t="b">
        <v>0</v>
      </c>
      <c r="O1126">
        <v>-203</v>
      </c>
      <c r="P1126" t="s">
        <v>1136</v>
      </c>
      <c r="Q1126" t="s">
        <v>2276</v>
      </c>
      <c r="R1126">
        <v>0</v>
      </c>
      <c r="S1126">
        <v>752</v>
      </c>
      <c r="T1126">
        <v>2090083</v>
      </c>
      <c r="U1126" t="s">
        <v>5107</v>
      </c>
      <c r="V1126">
        <v>22.76</v>
      </c>
      <c r="W1126" t="s">
        <v>7323</v>
      </c>
      <c r="X1126" t="s">
        <v>9384</v>
      </c>
      <c r="Y1126">
        <v>677</v>
      </c>
      <c r="Z1126">
        <v>32</v>
      </c>
    </row>
    <row r="1127" spans="1:28">
      <c r="A1127" s="2">
        <f>HYPERLINK("https://finance.naver.com/item/coinfo.nhn?code=300080", "A300080")</f>
        <v>0</v>
      </c>
      <c r="B1127">
        <f>HYPERLINK("http://comp.fnguide.com/SVO2/ASP/SVD_Consensus.asp?pGB=1&amp;gicode=A300080&amp;cID=&amp;MenuYn=Y&amp;ReportGB=&amp;NewMenuID=108&amp;stkGb=701", "플리토")</f>
        <v>0</v>
      </c>
      <c r="C1127">
        <v>0</v>
      </c>
      <c r="D1127">
        <v>12750</v>
      </c>
      <c r="E1127">
        <v>0</v>
      </c>
      <c r="G1127">
        <v>0</v>
      </c>
      <c r="H1127">
        <v>2792</v>
      </c>
      <c r="I1127">
        <v>3588</v>
      </c>
      <c r="J1127">
        <v>100</v>
      </c>
      <c r="K1127">
        <v>78.09999999999999</v>
      </c>
      <c r="L1127">
        <v>71.86</v>
      </c>
      <c r="M1127">
        <v>0</v>
      </c>
      <c r="N1127" t="b">
        <v>0</v>
      </c>
      <c r="O1127">
        <v>-1357</v>
      </c>
      <c r="P1127" t="s">
        <v>1137</v>
      </c>
      <c r="Q1127" t="s">
        <v>3152</v>
      </c>
      <c r="R1127">
        <v>0</v>
      </c>
      <c r="S1127">
        <v>664</v>
      </c>
      <c r="T1127">
        <v>43713</v>
      </c>
      <c r="U1127" t="s">
        <v>5108</v>
      </c>
      <c r="V1127">
        <v>33.92</v>
      </c>
      <c r="W1127" t="s">
        <v>7324</v>
      </c>
      <c r="X1127" t="s">
        <v>968</v>
      </c>
      <c r="Y1127">
        <v>20</v>
      </c>
      <c r="Z1127">
        <v>-57</v>
      </c>
      <c r="AA1127">
        <v>24000</v>
      </c>
    </row>
    <row r="1128" spans="1:28">
      <c r="A1128" s="2">
        <f>HYPERLINK("https://finance.naver.com/item/coinfo.nhn?code=032580", "A032580")</f>
        <v>0</v>
      </c>
      <c r="B1128">
        <f>HYPERLINK("http://comp.fnguide.com/SVO2/ASP/SVD_Consensus.asp?pGB=1&amp;gicode=A032580&amp;cID=&amp;MenuYn=Y&amp;ReportGB=&amp;NewMenuID=108&amp;stkGb=701", "피델릭스")</f>
        <v>0</v>
      </c>
      <c r="C1128">
        <v>0</v>
      </c>
      <c r="D1128">
        <v>1415</v>
      </c>
      <c r="G1128">
        <v>671</v>
      </c>
      <c r="H1128">
        <v>948</v>
      </c>
      <c r="I1128">
        <v>1027</v>
      </c>
      <c r="J1128">
        <v>52.59</v>
      </c>
      <c r="K1128">
        <v>32.99</v>
      </c>
      <c r="L1128">
        <v>27.41</v>
      </c>
      <c r="M1128">
        <v>4.72</v>
      </c>
      <c r="N1128" t="b">
        <v>0</v>
      </c>
      <c r="O1128">
        <v>-51</v>
      </c>
      <c r="P1128" t="s">
        <v>1138</v>
      </c>
      <c r="Q1128" t="s">
        <v>3228</v>
      </c>
      <c r="R1128">
        <v>592</v>
      </c>
      <c r="S1128">
        <v>450</v>
      </c>
      <c r="T1128">
        <v>208207</v>
      </c>
      <c r="U1128" t="s">
        <v>5109</v>
      </c>
      <c r="V1128">
        <v>28.92</v>
      </c>
      <c r="W1128" t="s">
        <v>7325</v>
      </c>
      <c r="X1128" t="s">
        <v>9385</v>
      </c>
      <c r="Y1128">
        <v>560</v>
      </c>
      <c r="Z1128">
        <v>-5</v>
      </c>
      <c r="AA1128">
        <v>17667</v>
      </c>
    </row>
    <row r="1129" spans="1:28">
      <c r="A1129" s="2">
        <f>HYPERLINK("https://finance.naver.com/item/coinfo.nhn?code=319660", "A319660")</f>
        <v>0</v>
      </c>
      <c r="B1129">
        <f>HYPERLINK("http://comp.fnguide.com/SVO2/ASP/SVD_Consensus.asp?pGB=1&amp;gicode=A319660&amp;cID=&amp;MenuYn=Y&amp;ReportGB=&amp;NewMenuID=108&amp;stkGb=701", "피에스케이")</f>
        <v>0</v>
      </c>
      <c r="C1129">
        <v>0</v>
      </c>
      <c r="D1129">
        <v>36950</v>
      </c>
      <c r="E1129">
        <v>0</v>
      </c>
      <c r="F1129">
        <v>23.27</v>
      </c>
      <c r="G1129">
        <v>12648</v>
      </c>
      <c r="H1129">
        <v>12987</v>
      </c>
      <c r="I1129">
        <v>13083</v>
      </c>
      <c r="J1129">
        <v>65.77</v>
      </c>
      <c r="K1129">
        <v>64.84999999999999</v>
      </c>
      <c r="L1129">
        <v>64.59</v>
      </c>
      <c r="M1129">
        <v>7.63</v>
      </c>
      <c r="N1129" t="b">
        <v>1</v>
      </c>
      <c r="O1129">
        <v>1014</v>
      </c>
      <c r="P1129" t="s">
        <v>1139</v>
      </c>
      <c r="Q1129" t="s">
        <v>3229</v>
      </c>
      <c r="R1129">
        <v>0</v>
      </c>
      <c r="S1129">
        <v>5456</v>
      </c>
      <c r="T1129">
        <v>305885</v>
      </c>
      <c r="U1129" t="s">
        <v>5110</v>
      </c>
      <c r="V1129">
        <v>32.36</v>
      </c>
      <c r="W1129" t="s">
        <v>7326</v>
      </c>
      <c r="X1129" t="s">
        <v>9386</v>
      </c>
      <c r="Y1129">
        <v>1546</v>
      </c>
      <c r="Z1129">
        <v>169</v>
      </c>
      <c r="AA1129">
        <v>588480</v>
      </c>
      <c r="AB1129">
        <v>1.27</v>
      </c>
    </row>
    <row r="1130" spans="1:28">
      <c r="A1130" s="2">
        <f>HYPERLINK("https://finance.naver.com/item/coinfo.nhn?code=080530", "A080530")</f>
        <v>0</v>
      </c>
      <c r="B1130">
        <f>HYPERLINK("http://comp.fnguide.com/SVO2/ASP/SVD_Consensus.asp?pGB=1&amp;gicode=A080530&amp;cID=&amp;MenuYn=Y&amp;ReportGB=&amp;NewMenuID=108&amp;stkGb=701", "코디")</f>
        <v>0</v>
      </c>
      <c r="C1130">
        <v>0</v>
      </c>
      <c r="D1130">
        <v>1925</v>
      </c>
      <c r="E1130">
        <v>0</v>
      </c>
      <c r="G1130">
        <v>0</v>
      </c>
      <c r="H1130">
        <v>704</v>
      </c>
      <c r="I1130">
        <v>905</v>
      </c>
      <c r="J1130">
        <v>100</v>
      </c>
      <c r="K1130">
        <v>63.41</v>
      </c>
      <c r="L1130">
        <v>52.99</v>
      </c>
      <c r="M1130">
        <v>0</v>
      </c>
      <c r="N1130" t="b">
        <v>0</v>
      </c>
      <c r="O1130">
        <v>-446</v>
      </c>
      <c r="P1130" t="s">
        <v>1140</v>
      </c>
      <c r="Q1130" t="s">
        <v>2276</v>
      </c>
      <c r="R1130">
        <v>0</v>
      </c>
      <c r="S1130">
        <v>466</v>
      </c>
      <c r="T1130">
        <v>213763</v>
      </c>
      <c r="U1130" t="s">
        <v>5111</v>
      </c>
      <c r="V1130">
        <v>48.18</v>
      </c>
      <c r="W1130" t="s">
        <v>7327</v>
      </c>
      <c r="X1130" t="s">
        <v>968</v>
      </c>
      <c r="Y1130">
        <v>493</v>
      </c>
      <c r="Z1130">
        <v>0</v>
      </c>
      <c r="AA1130">
        <v>147511</v>
      </c>
    </row>
    <row r="1131" spans="1:28">
      <c r="A1131" s="2">
        <f>HYPERLINK("https://finance.naver.com/item/coinfo.nhn?code=078940", "A078940")</f>
        <v>0</v>
      </c>
      <c r="B1131">
        <f>HYPERLINK("http://comp.fnguide.com/SVO2/ASP/SVD_Consensus.asp?pGB=1&amp;gicode=A078940&amp;cID=&amp;MenuYn=Y&amp;ReportGB=&amp;NewMenuID=108&amp;stkGb=701", "코드네이처")</f>
        <v>0</v>
      </c>
      <c r="C1131">
        <v>0</v>
      </c>
      <c r="D1131">
        <v>2120</v>
      </c>
      <c r="E1131">
        <v>0</v>
      </c>
      <c r="G1131">
        <v>0</v>
      </c>
      <c r="H1131">
        <v>418</v>
      </c>
      <c r="I1131">
        <v>538</v>
      </c>
      <c r="J1131">
        <v>100</v>
      </c>
      <c r="K1131">
        <v>80.26000000000001</v>
      </c>
      <c r="L1131">
        <v>74.63</v>
      </c>
      <c r="M1131">
        <v>0</v>
      </c>
      <c r="N1131" t="b">
        <v>0</v>
      </c>
      <c r="O1131">
        <v>-92</v>
      </c>
      <c r="P1131" t="s">
        <v>1141</v>
      </c>
      <c r="Q1131" t="s">
        <v>2276</v>
      </c>
      <c r="R1131">
        <v>0</v>
      </c>
      <c r="S1131">
        <v>639</v>
      </c>
      <c r="T1131">
        <v>969911</v>
      </c>
      <c r="U1131" t="s">
        <v>5112</v>
      </c>
      <c r="V1131">
        <v>29.05</v>
      </c>
      <c r="W1131" t="s">
        <v>7328</v>
      </c>
      <c r="X1131" t="s">
        <v>968</v>
      </c>
      <c r="Y1131">
        <v>425</v>
      </c>
      <c r="Z1131">
        <v>15</v>
      </c>
      <c r="AA1131">
        <v>2188</v>
      </c>
    </row>
    <row r="1132" spans="1:28">
      <c r="A1132" s="2">
        <f>HYPERLINK("https://finance.naver.com/item/coinfo.nhn?code=047770", "A047770")</f>
        <v>0</v>
      </c>
      <c r="B1132">
        <f>HYPERLINK("http://comp.fnguide.com/SVO2/ASP/SVD_Consensus.asp?pGB=1&amp;gicode=A047770&amp;cID=&amp;MenuYn=Y&amp;ReportGB=&amp;NewMenuID=108&amp;stkGb=701", "코데즈컴바인")</f>
        <v>0</v>
      </c>
      <c r="C1132">
        <v>0</v>
      </c>
      <c r="D1132">
        <v>2745</v>
      </c>
      <c r="E1132">
        <v>0.64</v>
      </c>
      <c r="F1132">
        <v>15.64</v>
      </c>
      <c r="G1132">
        <v>1929</v>
      </c>
      <c r="H1132">
        <v>1432</v>
      </c>
      <c r="I1132">
        <v>1291</v>
      </c>
      <c r="J1132">
        <v>29.72</v>
      </c>
      <c r="K1132">
        <v>47.82</v>
      </c>
      <c r="L1132">
        <v>52.98</v>
      </c>
      <c r="M1132">
        <v>13.95</v>
      </c>
      <c r="N1132" t="b">
        <v>1</v>
      </c>
      <c r="O1132">
        <v>180</v>
      </c>
      <c r="P1132" t="s">
        <v>1142</v>
      </c>
      <c r="Q1132" t="s">
        <v>3230</v>
      </c>
      <c r="R1132">
        <v>24.36403268660359</v>
      </c>
      <c r="S1132">
        <v>1039</v>
      </c>
      <c r="T1132">
        <v>297467</v>
      </c>
      <c r="U1132" t="s">
        <v>5113</v>
      </c>
      <c r="V1132">
        <v>60.28</v>
      </c>
      <c r="W1132" t="s">
        <v>7329</v>
      </c>
      <c r="X1132" t="s">
        <v>9387</v>
      </c>
      <c r="Y1132">
        <v>358</v>
      </c>
      <c r="Z1132">
        <v>45</v>
      </c>
      <c r="AA1132">
        <v>93343</v>
      </c>
    </row>
    <row r="1133" spans="1:28">
      <c r="A1133" s="2">
        <f>HYPERLINK("https://finance.naver.com/item/coinfo.nhn?code=051380", "A051380")</f>
        <v>0</v>
      </c>
      <c r="B1133">
        <f>HYPERLINK("http://comp.fnguide.com/SVO2/ASP/SVD_Consensus.asp?pGB=1&amp;gicode=A051380&amp;cID=&amp;MenuYn=Y&amp;ReportGB=&amp;NewMenuID=108&amp;stkGb=701", "피씨디렉트")</f>
        <v>0</v>
      </c>
      <c r="C1133">
        <v>0</v>
      </c>
      <c r="D1133">
        <v>12100</v>
      </c>
      <c r="E1133">
        <v>0.21</v>
      </c>
      <c r="F1133">
        <v>22.52</v>
      </c>
      <c r="G1133">
        <v>6336</v>
      </c>
      <c r="H1133">
        <v>5357</v>
      </c>
      <c r="I1133">
        <v>5079</v>
      </c>
      <c r="J1133">
        <v>47.64</v>
      </c>
      <c r="K1133">
        <v>55.72</v>
      </c>
      <c r="L1133">
        <v>58.03</v>
      </c>
      <c r="M1133">
        <v>10.73</v>
      </c>
      <c r="N1133" t="b">
        <v>1</v>
      </c>
      <c r="O1133">
        <v>477</v>
      </c>
      <c r="P1133" t="s">
        <v>1143</v>
      </c>
      <c r="Q1133" t="s">
        <v>3231</v>
      </c>
      <c r="R1133">
        <v>107.8099083649772</v>
      </c>
      <c r="S1133">
        <v>928</v>
      </c>
      <c r="T1133">
        <v>92178</v>
      </c>
      <c r="U1133" t="s">
        <v>5114</v>
      </c>
      <c r="V1133">
        <v>26.15</v>
      </c>
      <c r="W1133" t="s">
        <v>7330</v>
      </c>
      <c r="X1133" t="s">
        <v>9388</v>
      </c>
      <c r="Y1133">
        <v>2786</v>
      </c>
      <c r="Z1133">
        <v>57</v>
      </c>
      <c r="AB1133">
        <v>0.93</v>
      </c>
    </row>
    <row r="1134" spans="1:28">
      <c r="A1134" s="2">
        <f>HYPERLINK("https://finance.naver.com/item/coinfo.nhn?code=241820", "A241820")</f>
        <v>0</v>
      </c>
      <c r="B1134">
        <f>HYPERLINK("http://comp.fnguide.com/SVO2/ASP/SVD_Consensus.asp?pGB=1&amp;gicode=A241820&amp;cID=&amp;MenuYn=Y&amp;ReportGB=&amp;NewMenuID=108&amp;stkGb=701", "피씨엘")</f>
        <v>0</v>
      </c>
      <c r="C1134">
        <v>0</v>
      </c>
      <c r="D1134">
        <v>26350</v>
      </c>
      <c r="E1134">
        <v>0</v>
      </c>
      <c r="G1134">
        <v>0</v>
      </c>
      <c r="H1134">
        <v>346</v>
      </c>
      <c r="I1134">
        <v>445</v>
      </c>
      <c r="J1134">
        <v>100</v>
      </c>
      <c r="K1134">
        <v>98.69</v>
      </c>
      <c r="L1134">
        <v>98.31</v>
      </c>
      <c r="M1134">
        <v>0</v>
      </c>
      <c r="N1134" t="b">
        <v>0</v>
      </c>
      <c r="O1134">
        <v>-881</v>
      </c>
      <c r="P1134" t="s">
        <v>1144</v>
      </c>
      <c r="Q1134" t="s">
        <v>2276</v>
      </c>
      <c r="R1134">
        <v>0</v>
      </c>
      <c r="S1134">
        <v>2651</v>
      </c>
      <c r="T1134">
        <v>360634</v>
      </c>
      <c r="U1134" t="s">
        <v>5115</v>
      </c>
      <c r="V1134">
        <v>35</v>
      </c>
      <c r="W1134" t="s">
        <v>7331</v>
      </c>
      <c r="X1134" t="s">
        <v>968</v>
      </c>
      <c r="Y1134">
        <v>0</v>
      </c>
      <c r="Z1134">
        <v>-64</v>
      </c>
    </row>
    <row r="1135" spans="1:28">
      <c r="A1135" s="2">
        <f>HYPERLINK("https://finance.naver.com/item/coinfo.nhn?code=046070", "A046070")</f>
        <v>0</v>
      </c>
      <c r="B1135">
        <f>HYPERLINK("http://comp.fnguide.com/SVO2/ASP/SVD_Consensus.asp?pGB=1&amp;gicode=A046070&amp;cID=&amp;MenuYn=Y&amp;ReportGB=&amp;NewMenuID=108&amp;stkGb=701", "코다코")</f>
        <v>0</v>
      </c>
      <c r="C1135">
        <v>0</v>
      </c>
      <c r="D1135">
        <v>1205</v>
      </c>
      <c r="G1135">
        <v>0</v>
      </c>
      <c r="H1135">
        <v>469</v>
      </c>
      <c r="I1135">
        <v>603</v>
      </c>
      <c r="J1135">
        <v>100</v>
      </c>
      <c r="K1135">
        <v>61.06</v>
      </c>
      <c r="L1135">
        <v>49.96</v>
      </c>
      <c r="M1135">
        <v>0</v>
      </c>
      <c r="N1135" t="b">
        <v>0</v>
      </c>
      <c r="O1135">
        <v>-587</v>
      </c>
      <c r="P1135" t="s">
        <v>1145</v>
      </c>
      <c r="Q1135" t="s">
        <v>3232</v>
      </c>
      <c r="R1135">
        <v>9.000000000000007</v>
      </c>
      <c r="S1135">
        <v>471</v>
      </c>
      <c r="T1135">
        <v>172288</v>
      </c>
      <c r="U1135" t="s">
        <v>5116</v>
      </c>
      <c r="V1135">
        <v>18.38</v>
      </c>
      <c r="W1135" t="s">
        <v>7332</v>
      </c>
      <c r="X1135" t="s">
        <v>968</v>
      </c>
      <c r="Y1135">
        <v>2234</v>
      </c>
      <c r="Z1135">
        <v>-108</v>
      </c>
      <c r="AA1135">
        <v>1419062</v>
      </c>
    </row>
    <row r="1136" spans="1:28">
      <c r="A1136" s="2">
        <f>HYPERLINK("https://finance.naver.com/item/coinfo.nhn?code=131390", "A131390")</f>
        <v>0</v>
      </c>
      <c r="B1136">
        <f>HYPERLINK("http://comp.fnguide.com/SVO2/ASP/SVD_Consensus.asp?pGB=1&amp;gicode=A131390&amp;cID=&amp;MenuYn=Y&amp;ReportGB=&amp;NewMenuID=108&amp;stkGb=701", "피앤이솔루션")</f>
        <v>0</v>
      </c>
      <c r="C1136">
        <v>0</v>
      </c>
      <c r="D1136">
        <v>19300</v>
      </c>
      <c r="E1136">
        <v>0.16</v>
      </c>
      <c r="F1136">
        <v>9.9</v>
      </c>
      <c r="G1136">
        <v>12930</v>
      </c>
      <c r="H1136">
        <v>8344</v>
      </c>
      <c r="I1136">
        <v>7037</v>
      </c>
      <c r="J1136">
        <v>33.01</v>
      </c>
      <c r="K1136">
        <v>56.77</v>
      </c>
      <c r="L1136">
        <v>63.54</v>
      </c>
      <c r="M1136">
        <v>19.45</v>
      </c>
      <c r="N1136" t="b">
        <v>1</v>
      </c>
      <c r="O1136">
        <v>1096</v>
      </c>
      <c r="P1136" t="s">
        <v>1146</v>
      </c>
      <c r="Q1136" t="s">
        <v>3233</v>
      </c>
      <c r="R1136">
        <v>62.44688523549144</v>
      </c>
      <c r="S1136">
        <v>2860</v>
      </c>
      <c r="T1136">
        <v>401544</v>
      </c>
      <c r="U1136" t="s">
        <v>5117</v>
      </c>
      <c r="V1136">
        <v>35.17</v>
      </c>
      <c r="W1136" t="s">
        <v>7333</v>
      </c>
      <c r="X1136" t="s">
        <v>9389</v>
      </c>
      <c r="Y1136">
        <v>1472</v>
      </c>
      <c r="Z1136">
        <v>178</v>
      </c>
    </row>
    <row r="1137" spans="1:28">
      <c r="A1137" s="2">
        <f>HYPERLINK("https://finance.naver.com/item/coinfo.nhn?code=024850", "A024850")</f>
        <v>0</v>
      </c>
      <c r="B1137">
        <f>HYPERLINK("http://comp.fnguide.com/SVO2/ASP/SVD_Consensus.asp?pGB=1&amp;gicode=A024850&amp;cID=&amp;MenuYn=Y&amp;ReportGB=&amp;NewMenuID=108&amp;stkGb=701", "피에스엠씨")</f>
        <v>0</v>
      </c>
      <c r="C1137">
        <v>0</v>
      </c>
      <c r="D1137">
        <v>1380</v>
      </c>
      <c r="E1137">
        <v>0</v>
      </c>
      <c r="F1137">
        <v>292.24</v>
      </c>
      <c r="G1137">
        <v>48</v>
      </c>
      <c r="H1137">
        <v>326</v>
      </c>
      <c r="I1137">
        <v>405</v>
      </c>
      <c r="J1137">
        <v>96.5</v>
      </c>
      <c r="K1137">
        <v>76.40000000000001</v>
      </c>
      <c r="L1137">
        <v>70.68000000000001</v>
      </c>
      <c r="M1137">
        <v>0.76</v>
      </c>
      <c r="N1137" t="b">
        <v>0</v>
      </c>
      <c r="O1137">
        <v>2</v>
      </c>
      <c r="P1137" t="s">
        <v>1147</v>
      </c>
      <c r="Q1137" t="s">
        <v>2276</v>
      </c>
      <c r="R1137">
        <v>0</v>
      </c>
      <c r="S1137">
        <v>552</v>
      </c>
      <c r="T1137">
        <v>2425611</v>
      </c>
      <c r="U1137" t="s">
        <v>5118</v>
      </c>
      <c r="V1137">
        <v>27.49</v>
      </c>
      <c r="W1137" t="s">
        <v>7334</v>
      </c>
      <c r="X1137" t="s">
        <v>9390</v>
      </c>
      <c r="Y1137">
        <v>380</v>
      </c>
      <c r="Z1137">
        <v>-9</v>
      </c>
      <c r="AA1137">
        <v>7024</v>
      </c>
    </row>
    <row r="1138" spans="1:28">
      <c r="A1138" s="2">
        <f>HYPERLINK("https://finance.naver.com/item/coinfo.nhn?code=093320", "A093320")</f>
        <v>0</v>
      </c>
      <c r="B1138">
        <f>HYPERLINK("http://comp.fnguide.com/SVO2/ASP/SVD_Consensus.asp?pGB=1&amp;gicode=A093320&amp;cID=&amp;MenuYn=Y&amp;ReportGB=&amp;NewMenuID=108&amp;stkGb=701", "케이아이엔엑스")</f>
        <v>0</v>
      </c>
      <c r="C1138">
        <v>0</v>
      </c>
      <c r="D1138">
        <v>71200</v>
      </c>
      <c r="E1138">
        <v>0.4</v>
      </c>
      <c r="F1138">
        <v>11.82</v>
      </c>
      <c r="G1138">
        <v>38907</v>
      </c>
      <c r="H1138">
        <v>25588</v>
      </c>
      <c r="I1138">
        <v>21793</v>
      </c>
      <c r="J1138">
        <v>45.35</v>
      </c>
      <c r="K1138">
        <v>64.06</v>
      </c>
      <c r="L1138">
        <v>69.39</v>
      </c>
      <c r="M1138">
        <v>18.53</v>
      </c>
      <c r="N1138" t="b">
        <v>1</v>
      </c>
      <c r="O1138">
        <v>3083</v>
      </c>
      <c r="P1138" t="s">
        <v>1148</v>
      </c>
      <c r="Q1138" t="s">
        <v>3234</v>
      </c>
      <c r="R1138">
        <v>29.8684575781335</v>
      </c>
      <c r="S1138">
        <v>3475</v>
      </c>
      <c r="T1138">
        <v>25542</v>
      </c>
      <c r="U1138" t="s">
        <v>5119</v>
      </c>
      <c r="V1138">
        <v>40.23</v>
      </c>
      <c r="W1138" t="s">
        <v>7335</v>
      </c>
      <c r="X1138" t="s">
        <v>9391</v>
      </c>
      <c r="Y1138">
        <v>646</v>
      </c>
      <c r="Z1138">
        <v>165</v>
      </c>
      <c r="AA1138">
        <v>5196</v>
      </c>
      <c r="AB1138">
        <v>1.37</v>
      </c>
    </row>
    <row r="1139" spans="1:28">
      <c r="A1139" s="2">
        <f>HYPERLINK("https://finance.naver.com/item/coinfo.nhn?code=115500", "A115500")</f>
        <v>0</v>
      </c>
      <c r="B1139">
        <f>HYPERLINK("http://comp.fnguide.com/SVO2/ASP/SVD_Consensus.asp?pGB=1&amp;gicode=A115500&amp;cID=&amp;MenuYn=Y&amp;ReportGB=&amp;NewMenuID=108&amp;stkGb=701", "케이씨에스")</f>
        <v>0</v>
      </c>
      <c r="C1139">
        <v>0</v>
      </c>
      <c r="D1139">
        <v>6120</v>
      </c>
      <c r="E1139">
        <v>2.12</v>
      </c>
      <c r="F1139">
        <v>19.09</v>
      </c>
      <c r="G1139">
        <v>2797</v>
      </c>
      <c r="H1139">
        <v>2153</v>
      </c>
      <c r="I1139">
        <v>1969</v>
      </c>
      <c r="J1139">
        <v>54.29</v>
      </c>
      <c r="K1139">
        <v>64.81999999999999</v>
      </c>
      <c r="L1139">
        <v>67.81999999999999</v>
      </c>
      <c r="M1139">
        <v>12.92</v>
      </c>
      <c r="N1139" t="b">
        <v>1</v>
      </c>
      <c r="O1139">
        <v>236</v>
      </c>
      <c r="P1139" t="s">
        <v>1149</v>
      </c>
      <c r="Q1139" t="s">
        <v>3235</v>
      </c>
      <c r="R1139">
        <v>8.985053983762947</v>
      </c>
      <c r="S1139">
        <v>734</v>
      </c>
      <c r="T1139">
        <v>470129</v>
      </c>
      <c r="U1139" t="s">
        <v>5120</v>
      </c>
      <c r="V1139">
        <v>70</v>
      </c>
      <c r="W1139" t="s">
        <v>7336</v>
      </c>
      <c r="X1139" t="s">
        <v>9392</v>
      </c>
      <c r="Y1139">
        <v>395</v>
      </c>
      <c r="Z1139">
        <v>34</v>
      </c>
      <c r="AB1139">
        <v>4.89</v>
      </c>
    </row>
    <row r="1140" spans="1:28">
      <c r="A1140" s="2">
        <f>HYPERLINK("https://finance.naver.com/item/coinfo.nhn?code=204840", "A204840")</f>
        <v>0</v>
      </c>
      <c r="B1140">
        <f>HYPERLINK("http://comp.fnguide.com/SVO2/ASP/SVD_Consensus.asp?pGB=1&amp;gicode=A204840&amp;cID=&amp;MenuYn=Y&amp;ReportGB=&amp;NewMenuID=108&amp;stkGb=701", "지엘팜텍")</f>
        <v>0</v>
      </c>
      <c r="C1140">
        <v>0</v>
      </c>
      <c r="D1140">
        <v>1095</v>
      </c>
      <c r="E1140">
        <v>0</v>
      </c>
      <c r="G1140">
        <v>0</v>
      </c>
      <c r="H1140">
        <v>31</v>
      </c>
      <c r="I1140">
        <v>39</v>
      </c>
      <c r="J1140">
        <v>100</v>
      </c>
      <c r="K1140">
        <v>97.20999999999999</v>
      </c>
      <c r="L1140">
        <v>96.42</v>
      </c>
      <c r="M1140">
        <v>0</v>
      </c>
      <c r="N1140" t="b">
        <v>0</v>
      </c>
      <c r="O1140">
        <v>-147</v>
      </c>
      <c r="P1140" t="s">
        <v>1150</v>
      </c>
      <c r="Q1140" t="s">
        <v>2276</v>
      </c>
      <c r="R1140">
        <v>0</v>
      </c>
      <c r="S1140">
        <v>517</v>
      </c>
      <c r="T1140">
        <v>2252659</v>
      </c>
      <c r="U1140" t="s">
        <v>5121</v>
      </c>
      <c r="V1140">
        <v>9.32</v>
      </c>
      <c r="W1140" t="s">
        <v>7337</v>
      </c>
      <c r="X1140" t="s">
        <v>968</v>
      </c>
      <c r="Y1140">
        <v>106</v>
      </c>
      <c r="Z1140">
        <v>-31</v>
      </c>
      <c r="AA1140">
        <v>20</v>
      </c>
    </row>
    <row r="1141" spans="1:28">
      <c r="A1141" s="2">
        <f>HYPERLINK("https://finance.naver.com/item/coinfo.nhn?code=192250", "A192250")</f>
        <v>0</v>
      </c>
      <c r="B1141">
        <f>HYPERLINK("http://comp.fnguide.com/SVO2/ASP/SVD_Consensus.asp?pGB=1&amp;gicode=A192250&amp;cID=&amp;MenuYn=Y&amp;ReportGB=&amp;NewMenuID=108&amp;stkGb=701", "케이사인")</f>
        <v>0</v>
      </c>
      <c r="C1141">
        <v>0</v>
      </c>
      <c r="D1141">
        <v>1645</v>
      </c>
      <c r="E1141">
        <v>2.06</v>
      </c>
      <c r="F1141">
        <v>19.83</v>
      </c>
      <c r="G1141">
        <v>342</v>
      </c>
      <c r="H1141">
        <v>605</v>
      </c>
      <c r="I1141">
        <v>680</v>
      </c>
      <c r="J1141">
        <v>79.18000000000001</v>
      </c>
      <c r="K1141">
        <v>63.21</v>
      </c>
      <c r="L1141">
        <v>58.65</v>
      </c>
      <c r="M1141">
        <v>3.5</v>
      </c>
      <c r="N1141" t="b">
        <v>1</v>
      </c>
      <c r="O1141">
        <v>56</v>
      </c>
      <c r="P1141" t="s">
        <v>1151</v>
      </c>
      <c r="Q1141" t="s">
        <v>3236</v>
      </c>
      <c r="R1141">
        <v>9.637584796455624</v>
      </c>
      <c r="S1141">
        <v>1146</v>
      </c>
      <c r="T1141">
        <v>4400405</v>
      </c>
      <c r="U1141" t="s">
        <v>5122</v>
      </c>
      <c r="V1141">
        <v>31.77</v>
      </c>
      <c r="W1141" t="s">
        <v>7338</v>
      </c>
      <c r="X1141" t="s">
        <v>9393</v>
      </c>
      <c r="Y1141">
        <v>260</v>
      </c>
      <c r="Z1141">
        <v>38</v>
      </c>
      <c r="AA1141">
        <v>912296</v>
      </c>
    </row>
    <row r="1142" spans="1:28">
      <c r="A1142" s="2">
        <f>HYPERLINK("https://finance.naver.com/item/coinfo.nhn?code=293490", "A293490")</f>
        <v>0</v>
      </c>
      <c r="B1142">
        <f>HYPERLINK("http://comp.fnguide.com/SVO2/ASP/SVD_Consensus.asp?pGB=1&amp;gicode=A293490&amp;cID=&amp;MenuYn=Y&amp;ReportGB=&amp;NewMenuID=108&amp;stkGb=701", "카카오게임즈")</f>
        <v>0</v>
      </c>
      <c r="C1142">
        <v>0</v>
      </c>
      <c r="D1142">
        <v>49900</v>
      </c>
      <c r="G1142">
        <v>7947</v>
      </c>
      <c r="H1142">
        <v>6544</v>
      </c>
      <c r="I1142">
        <v>6144</v>
      </c>
      <c r="J1142">
        <v>84.06999999999999</v>
      </c>
      <c r="K1142">
        <v>86.89</v>
      </c>
      <c r="L1142">
        <v>87.69</v>
      </c>
      <c r="M1142">
        <v>11.28</v>
      </c>
      <c r="N1142" t="b">
        <v>0</v>
      </c>
      <c r="O1142">
        <v>197</v>
      </c>
      <c r="P1142" t="s">
        <v>1152</v>
      </c>
      <c r="Q1142" t="s">
        <v>3237</v>
      </c>
      <c r="R1142">
        <v>28.48787617893349</v>
      </c>
      <c r="S1142">
        <v>36952</v>
      </c>
      <c r="T1142">
        <v>2077596</v>
      </c>
      <c r="U1142" t="s">
        <v>5123</v>
      </c>
      <c r="V1142">
        <v>55.74</v>
      </c>
      <c r="W1142" t="s">
        <v>7339</v>
      </c>
      <c r="X1142" t="s">
        <v>9394</v>
      </c>
      <c r="Y1142">
        <v>3910</v>
      </c>
      <c r="Z1142">
        <v>350</v>
      </c>
    </row>
    <row r="1143" spans="1:28">
      <c r="A1143" s="2">
        <f>HYPERLINK("https://finance.naver.com/item/coinfo.nhn?code=284620", "A284620")</f>
        <v>0</v>
      </c>
      <c r="B1143">
        <f>HYPERLINK("http://comp.fnguide.com/SVO2/ASP/SVD_Consensus.asp?pGB=1&amp;gicode=A284620&amp;cID=&amp;MenuYn=Y&amp;ReportGB=&amp;NewMenuID=108&amp;stkGb=701", "카이노스메드")</f>
        <v>0</v>
      </c>
      <c r="C1143">
        <v>0</v>
      </c>
      <c r="D1143">
        <v>4220</v>
      </c>
      <c r="E1143">
        <v>0</v>
      </c>
      <c r="G1143">
        <v>0</v>
      </c>
      <c r="H1143">
        <v>29</v>
      </c>
      <c r="I1143">
        <v>37</v>
      </c>
      <c r="J1143">
        <v>100</v>
      </c>
      <c r="K1143">
        <v>99.31999999999999</v>
      </c>
      <c r="L1143">
        <v>99.13</v>
      </c>
      <c r="M1143">
        <v>0</v>
      </c>
      <c r="N1143" t="b">
        <v>0</v>
      </c>
      <c r="O1143">
        <v>-78</v>
      </c>
      <c r="P1143" t="s">
        <v>1153</v>
      </c>
      <c r="Q1143" t="s">
        <v>2276</v>
      </c>
      <c r="R1143">
        <v>0</v>
      </c>
      <c r="S1143">
        <v>4429</v>
      </c>
      <c r="T1143">
        <v>697496</v>
      </c>
      <c r="U1143" t="s">
        <v>5124</v>
      </c>
      <c r="V1143">
        <v>25.39</v>
      </c>
      <c r="W1143" t="s">
        <v>7340</v>
      </c>
      <c r="X1143" t="s">
        <v>968</v>
      </c>
      <c r="Y1143">
        <v>0</v>
      </c>
      <c r="Z1143">
        <v>-80</v>
      </c>
      <c r="AA1143">
        <v>11511</v>
      </c>
    </row>
    <row r="1144" spans="1:28">
      <c r="A1144" s="2">
        <f>HYPERLINK("https://finance.naver.com/item/coinfo.nhn?code=149980", "A149980")</f>
        <v>0</v>
      </c>
      <c r="B1144">
        <f>HYPERLINK("http://comp.fnguide.com/SVO2/ASP/SVD_Consensus.asp?pGB=1&amp;gicode=A149980&amp;cID=&amp;MenuYn=Y&amp;ReportGB=&amp;NewMenuID=108&amp;stkGb=701", "하이로닉")</f>
        <v>0</v>
      </c>
      <c r="C1144">
        <v>0</v>
      </c>
      <c r="D1144">
        <v>3965</v>
      </c>
      <c r="E1144">
        <v>-0.51</v>
      </c>
      <c r="F1144">
        <v>27.18</v>
      </c>
      <c r="G1144">
        <v>1660</v>
      </c>
      <c r="H1144">
        <v>2645</v>
      </c>
      <c r="I1144">
        <v>2926</v>
      </c>
      <c r="J1144">
        <v>58.14</v>
      </c>
      <c r="K1144">
        <v>33.29</v>
      </c>
      <c r="L1144">
        <v>26.2</v>
      </c>
      <c r="M1144">
        <v>4.01</v>
      </c>
      <c r="N1144" t="b">
        <v>1</v>
      </c>
      <c r="O1144">
        <v>206</v>
      </c>
      <c r="P1144" t="s">
        <v>1154</v>
      </c>
      <c r="Q1144" t="s">
        <v>3238</v>
      </c>
      <c r="R1144">
        <v>-53.25932346794153</v>
      </c>
      <c r="S1144">
        <v>559</v>
      </c>
      <c r="T1144">
        <v>35083</v>
      </c>
      <c r="U1144" t="s">
        <v>5125</v>
      </c>
      <c r="V1144">
        <v>45.62</v>
      </c>
      <c r="W1144" t="s">
        <v>7341</v>
      </c>
      <c r="X1144" t="s">
        <v>9395</v>
      </c>
      <c r="Y1144">
        <v>201</v>
      </c>
      <c r="Z1144">
        <v>26</v>
      </c>
      <c r="AA1144">
        <v>1766384</v>
      </c>
      <c r="AB1144">
        <v>1</v>
      </c>
    </row>
    <row r="1145" spans="1:28">
      <c r="A1145" s="2">
        <f>HYPERLINK("https://finance.naver.com/item/coinfo.nhn?code=016920", "A016920")</f>
        <v>0</v>
      </c>
      <c r="B1145">
        <f>HYPERLINK("http://comp.fnguide.com/SVO2/ASP/SVD_Consensus.asp?pGB=1&amp;gicode=A016920&amp;cID=&amp;MenuYn=Y&amp;ReportGB=&amp;NewMenuID=108&amp;stkGb=701", "카스")</f>
        <v>0</v>
      </c>
      <c r="C1145">
        <v>0</v>
      </c>
      <c r="D1145">
        <v>2645</v>
      </c>
      <c r="E1145">
        <v>0.86</v>
      </c>
      <c r="F1145">
        <v>11.09</v>
      </c>
      <c r="G1145">
        <v>1604</v>
      </c>
      <c r="H1145">
        <v>1794</v>
      </c>
      <c r="I1145">
        <v>1848</v>
      </c>
      <c r="J1145">
        <v>39.34</v>
      </c>
      <c r="K1145">
        <v>32.16</v>
      </c>
      <c r="L1145">
        <v>30.12</v>
      </c>
      <c r="M1145">
        <v>6.66</v>
      </c>
      <c r="N1145" t="b">
        <v>1</v>
      </c>
      <c r="O1145">
        <v>132</v>
      </c>
      <c r="P1145" t="s">
        <v>1155</v>
      </c>
      <c r="Q1145" t="s">
        <v>3239</v>
      </c>
      <c r="R1145">
        <v>12.92342538198175</v>
      </c>
      <c r="S1145">
        <v>633</v>
      </c>
      <c r="T1145">
        <v>3077247</v>
      </c>
      <c r="U1145" t="s">
        <v>5126</v>
      </c>
      <c r="V1145">
        <v>36.2</v>
      </c>
      <c r="W1145" t="s">
        <v>7342</v>
      </c>
      <c r="X1145" t="s">
        <v>9396</v>
      </c>
      <c r="Y1145">
        <v>1358</v>
      </c>
      <c r="Z1145">
        <v>37</v>
      </c>
      <c r="AA1145">
        <v>1919219</v>
      </c>
      <c r="AB1145">
        <v>0.68</v>
      </c>
    </row>
    <row r="1146" spans="1:28">
      <c r="A1146" s="2">
        <f>HYPERLINK("https://finance.naver.com/item/coinfo.nhn?code=094360", "A094360")</f>
        <v>0</v>
      </c>
      <c r="B1146">
        <f>HYPERLINK("http://comp.fnguide.com/SVO2/ASP/SVD_Consensus.asp?pGB=1&amp;gicode=A094360&amp;cID=&amp;MenuYn=Y&amp;ReportGB=&amp;NewMenuID=108&amp;stkGb=701", "칩스앤미디어")</f>
        <v>0</v>
      </c>
      <c r="C1146">
        <v>0</v>
      </c>
      <c r="D1146">
        <v>11400</v>
      </c>
      <c r="E1146">
        <v>2.24</v>
      </c>
      <c r="F1146">
        <v>15.62</v>
      </c>
      <c r="G1146">
        <v>4452</v>
      </c>
      <c r="H1146">
        <v>3778</v>
      </c>
      <c r="I1146">
        <v>3585</v>
      </c>
      <c r="J1146">
        <v>60.95</v>
      </c>
      <c r="K1146">
        <v>66.86</v>
      </c>
      <c r="L1146">
        <v>68.55</v>
      </c>
      <c r="M1146">
        <v>10.66</v>
      </c>
      <c r="N1146" t="b">
        <v>1</v>
      </c>
      <c r="O1146">
        <v>469</v>
      </c>
      <c r="P1146" t="s">
        <v>1156</v>
      </c>
      <c r="Q1146" t="s">
        <v>3240</v>
      </c>
      <c r="R1146">
        <v>6.975948185247316</v>
      </c>
      <c r="S1146">
        <v>1099</v>
      </c>
      <c r="T1146">
        <v>234082</v>
      </c>
      <c r="U1146" t="s">
        <v>5127</v>
      </c>
      <c r="V1146">
        <v>37.68</v>
      </c>
      <c r="W1146" t="s">
        <v>7343</v>
      </c>
      <c r="X1146" t="s">
        <v>9397</v>
      </c>
      <c r="Y1146">
        <v>161</v>
      </c>
      <c r="Z1146">
        <v>36</v>
      </c>
      <c r="AB1146">
        <v>1.6</v>
      </c>
    </row>
    <row r="1147" spans="1:28">
      <c r="A1147" s="2">
        <f>HYPERLINK("https://finance.naver.com/item/coinfo.nhn?code=047820", "A047820")</f>
        <v>0</v>
      </c>
      <c r="B1147">
        <f>HYPERLINK("http://comp.fnguide.com/SVO2/ASP/SVD_Consensus.asp?pGB=1&amp;gicode=A047820&amp;cID=&amp;MenuYn=Y&amp;ReportGB=&amp;NewMenuID=108&amp;stkGb=701", "초록뱀")</f>
        <v>0</v>
      </c>
      <c r="C1147">
        <v>0</v>
      </c>
      <c r="D1147">
        <v>2145</v>
      </c>
      <c r="E1147">
        <v>0</v>
      </c>
      <c r="F1147">
        <v>18.05</v>
      </c>
      <c r="G1147">
        <v>440</v>
      </c>
      <c r="H1147">
        <v>680</v>
      </c>
      <c r="I1147">
        <v>749</v>
      </c>
      <c r="J1147">
        <v>79.48999999999999</v>
      </c>
      <c r="K1147">
        <v>68.29000000000001</v>
      </c>
      <c r="L1147">
        <v>65.09999999999999</v>
      </c>
      <c r="M1147">
        <v>4.17</v>
      </c>
      <c r="N1147" t="b">
        <v>0</v>
      </c>
      <c r="O1147">
        <v>67</v>
      </c>
      <c r="P1147" t="s">
        <v>1157</v>
      </c>
      <c r="Q1147" t="s">
        <v>2276</v>
      </c>
      <c r="R1147">
        <v>0</v>
      </c>
      <c r="S1147">
        <v>2715</v>
      </c>
      <c r="T1147">
        <v>7165892</v>
      </c>
      <c r="U1147" t="s">
        <v>5128</v>
      </c>
      <c r="W1147" t="s">
        <v>7344</v>
      </c>
      <c r="X1147" t="s">
        <v>9398</v>
      </c>
      <c r="Y1147">
        <v>485</v>
      </c>
      <c r="Z1147">
        <v>14</v>
      </c>
      <c r="AA1147">
        <v>1024</v>
      </c>
    </row>
    <row r="1148" spans="1:28">
      <c r="A1148" s="2">
        <f>HYPERLINK("https://finance.naver.com/item/coinfo.nhn?code=106080", "A106080")</f>
        <v>0</v>
      </c>
      <c r="B1148">
        <f>HYPERLINK("http://comp.fnguide.com/SVO2/ASP/SVD_Consensus.asp?pGB=1&amp;gicode=A106080&amp;cID=&amp;MenuYn=Y&amp;ReportGB=&amp;NewMenuID=108&amp;stkGb=701", "하이소닉")</f>
        <v>0</v>
      </c>
      <c r="C1148">
        <v>0</v>
      </c>
      <c r="D1148">
        <v>3330</v>
      </c>
      <c r="E1148">
        <v>0</v>
      </c>
      <c r="G1148">
        <v>0</v>
      </c>
      <c r="H1148">
        <v>460</v>
      </c>
      <c r="I1148">
        <v>591</v>
      </c>
      <c r="J1148">
        <v>100</v>
      </c>
      <c r="K1148">
        <v>86.2</v>
      </c>
      <c r="L1148">
        <v>82.26000000000001</v>
      </c>
      <c r="M1148">
        <v>0</v>
      </c>
      <c r="N1148" t="b">
        <v>0</v>
      </c>
      <c r="O1148" t="s">
        <v>6</v>
      </c>
      <c r="P1148" t="s">
        <v>1158</v>
      </c>
      <c r="Q1148" t="s">
        <v>2276</v>
      </c>
      <c r="R1148">
        <v>0</v>
      </c>
      <c r="S1148" t="s">
        <v>3978</v>
      </c>
      <c r="T1148">
        <v>0</v>
      </c>
      <c r="U1148" t="s">
        <v>5129</v>
      </c>
      <c r="V1148">
        <v>47.81</v>
      </c>
      <c r="W1148" t="s">
        <v>7345</v>
      </c>
      <c r="X1148" t="s">
        <v>968</v>
      </c>
      <c r="Y1148" t="s">
        <v>10205</v>
      </c>
      <c r="Z1148" t="s">
        <v>10218</v>
      </c>
    </row>
    <row r="1149" spans="1:28">
      <c r="A1149" s="2">
        <f>HYPERLINK("https://finance.naver.com/item/coinfo.nhn?code=013720", "A013720")</f>
        <v>0</v>
      </c>
      <c r="B1149">
        <f>HYPERLINK("http://comp.fnguide.com/SVO2/ASP/SVD_Consensus.asp?pGB=1&amp;gicode=A013720&amp;cID=&amp;MenuYn=Y&amp;ReportGB=&amp;NewMenuID=108&amp;stkGb=701", "청보산업")</f>
        <v>0</v>
      </c>
      <c r="C1149">
        <v>0</v>
      </c>
      <c r="D1149">
        <v>8740</v>
      </c>
      <c r="E1149">
        <v>2.49</v>
      </c>
      <c r="F1149">
        <v>63.68</v>
      </c>
      <c r="G1149">
        <v>311</v>
      </c>
      <c r="H1149">
        <v>1761</v>
      </c>
      <c r="I1149">
        <v>2174</v>
      </c>
      <c r="J1149">
        <v>96.44</v>
      </c>
      <c r="K1149">
        <v>79.84999999999999</v>
      </c>
      <c r="L1149">
        <v>75.12</v>
      </c>
      <c r="M1149">
        <v>0.91</v>
      </c>
      <c r="N1149" t="b">
        <v>1</v>
      </c>
      <c r="O1149">
        <v>38</v>
      </c>
      <c r="P1149" t="s">
        <v>1159</v>
      </c>
      <c r="Q1149" t="s">
        <v>3241</v>
      </c>
      <c r="R1149">
        <v>25.54756070907949</v>
      </c>
      <c r="S1149">
        <v>715</v>
      </c>
      <c r="T1149">
        <v>436819</v>
      </c>
      <c r="U1149" t="s">
        <v>5130</v>
      </c>
      <c r="V1149">
        <v>24.83</v>
      </c>
      <c r="W1149" t="s">
        <v>7346</v>
      </c>
      <c r="X1149" t="s">
        <v>9399</v>
      </c>
      <c r="Y1149">
        <v>221</v>
      </c>
      <c r="Z1149">
        <v>2</v>
      </c>
      <c r="AA1149">
        <v>103898</v>
      </c>
    </row>
    <row r="1150" spans="1:28">
      <c r="A1150" s="2">
        <f>HYPERLINK("https://finance.naver.com/item/coinfo.nhn?code=096240", "A096240")</f>
        <v>0</v>
      </c>
      <c r="B1150">
        <f>HYPERLINK("http://comp.fnguide.com/SVO2/ASP/SVD_Consensus.asp?pGB=1&amp;gicode=A096240&amp;cID=&amp;MenuYn=Y&amp;ReportGB=&amp;NewMenuID=108&amp;stkGb=701", "청담러닝")</f>
        <v>0</v>
      </c>
      <c r="C1150">
        <v>0</v>
      </c>
      <c r="D1150">
        <v>20100</v>
      </c>
      <c r="E1150">
        <v>2.85</v>
      </c>
      <c r="F1150">
        <v>18.08</v>
      </c>
      <c r="G1150">
        <v>12454</v>
      </c>
      <c r="H1150">
        <v>10418</v>
      </c>
      <c r="I1150">
        <v>9838</v>
      </c>
      <c r="J1150">
        <v>38.04</v>
      </c>
      <c r="K1150">
        <v>48.17</v>
      </c>
      <c r="L1150">
        <v>51.05</v>
      </c>
      <c r="M1150">
        <v>10.95</v>
      </c>
      <c r="N1150" t="b">
        <v>0</v>
      </c>
      <c r="O1150">
        <v>1037</v>
      </c>
      <c r="P1150" t="s">
        <v>1160</v>
      </c>
      <c r="Q1150" t="s">
        <v>3242</v>
      </c>
      <c r="R1150">
        <v>6.348341316003547</v>
      </c>
      <c r="S1150">
        <v>1543</v>
      </c>
      <c r="T1150">
        <v>135523</v>
      </c>
      <c r="U1150" t="s">
        <v>5131</v>
      </c>
      <c r="V1150">
        <v>28.64</v>
      </c>
      <c r="W1150" t="s">
        <v>7347</v>
      </c>
      <c r="X1150" t="s">
        <v>9400</v>
      </c>
      <c r="Y1150">
        <v>1750</v>
      </c>
      <c r="Z1150">
        <v>226</v>
      </c>
      <c r="AA1150">
        <v>215825</v>
      </c>
      <c r="AB1150">
        <v>5.33</v>
      </c>
    </row>
    <row r="1151" spans="1:28">
      <c r="A1151" s="2">
        <f>HYPERLINK("https://finance.naver.com/item/coinfo.nhn?code=278280", "A278280")</f>
        <v>0</v>
      </c>
      <c r="B1151">
        <f>HYPERLINK("http://comp.fnguide.com/SVO2/ASP/SVD_Consensus.asp?pGB=1&amp;gicode=A278280&amp;cID=&amp;MenuYn=Y&amp;ReportGB=&amp;NewMenuID=108&amp;stkGb=701", "천보")</f>
        <v>0</v>
      </c>
      <c r="C1151">
        <v>0</v>
      </c>
      <c r="D1151">
        <v>173300</v>
      </c>
      <c r="E1151">
        <v>2.84</v>
      </c>
      <c r="F1151">
        <v>26.28</v>
      </c>
      <c r="G1151">
        <v>50999</v>
      </c>
      <c r="H1151">
        <v>33224</v>
      </c>
      <c r="I1151">
        <v>28159</v>
      </c>
      <c r="J1151">
        <v>70.56999999999999</v>
      </c>
      <c r="K1151">
        <v>80.83</v>
      </c>
      <c r="L1151">
        <v>83.75</v>
      </c>
      <c r="M1151">
        <v>18.98</v>
      </c>
      <c r="N1151" t="b">
        <v>1</v>
      </c>
      <c r="O1151">
        <v>2344</v>
      </c>
      <c r="P1151" t="s">
        <v>1161</v>
      </c>
      <c r="Q1151" t="s">
        <v>3243</v>
      </c>
      <c r="R1151">
        <v>9.240923869877449</v>
      </c>
      <c r="S1151">
        <v>17330</v>
      </c>
      <c r="T1151">
        <v>146316</v>
      </c>
      <c r="U1151" t="s">
        <v>5132</v>
      </c>
      <c r="V1151">
        <v>56.98</v>
      </c>
      <c r="W1151" t="s">
        <v>7348</v>
      </c>
      <c r="X1151" t="s">
        <v>9401</v>
      </c>
      <c r="Y1151">
        <v>1353</v>
      </c>
      <c r="Z1151">
        <v>272</v>
      </c>
      <c r="AA1151">
        <v>165877</v>
      </c>
      <c r="AB1151">
        <v>0.49</v>
      </c>
    </row>
    <row r="1152" spans="1:28">
      <c r="A1152" s="2">
        <f>HYPERLINK("https://finance.naver.com/item/coinfo.nhn?code=311690", "A311690")</f>
        <v>0</v>
      </c>
      <c r="B1152">
        <f>HYPERLINK("http://comp.fnguide.com/SVO2/ASP/SVD_Consensus.asp?pGB=1&amp;gicode=A311690&amp;cID=&amp;MenuYn=Y&amp;ReportGB=&amp;NewMenuID=108&amp;stkGb=701", "천랩")</f>
        <v>0</v>
      </c>
      <c r="C1152">
        <v>0</v>
      </c>
      <c r="D1152">
        <v>41000</v>
      </c>
      <c r="E1152">
        <v>0</v>
      </c>
      <c r="G1152">
        <v>0</v>
      </c>
      <c r="H1152">
        <v>4770</v>
      </c>
      <c r="I1152">
        <v>6129</v>
      </c>
      <c r="J1152">
        <v>100</v>
      </c>
      <c r="K1152">
        <v>88.37</v>
      </c>
      <c r="L1152">
        <v>85.05</v>
      </c>
      <c r="M1152">
        <v>0</v>
      </c>
      <c r="N1152" t="b">
        <v>0</v>
      </c>
      <c r="O1152">
        <v>-1316</v>
      </c>
      <c r="P1152" t="s">
        <v>1162</v>
      </c>
      <c r="Q1152" t="s">
        <v>2276</v>
      </c>
      <c r="R1152">
        <v>0</v>
      </c>
      <c r="S1152">
        <v>1596</v>
      </c>
      <c r="T1152">
        <v>28819</v>
      </c>
      <c r="U1152" t="s">
        <v>5133</v>
      </c>
      <c r="V1152">
        <v>23.97</v>
      </c>
      <c r="W1152" t="s">
        <v>7349</v>
      </c>
      <c r="X1152" t="s">
        <v>968</v>
      </c>
      <c r="Y1152">
        <v>48</v>
      </c>
      <c r="Z1152">
        <v>-45</v>
      </c>
    </row>
    <row r="1153" spans="1:28">
      <c r="A1153" s="2">
        <f>HYPERLINK("https://finance.naver.com/item/coinfo.nhn?code=317240", "A317240")</f>
        <v>0</v>
      </c>
      <c r="B1153">
        <f>HYPERLINK("http://comp.fnguide.com/SVO2/ASP/SVD_Consensus.asp?pGB=1&amp;gicode=A317240&amp;cID=&amp;MenuYn=Y&amp;ReportGB=&amp;NewMenuID=108&amp;stkGb=701", "하이제4호스팩")</f>
        <v>0</v>
      </c>
      <c r="C1153">
        <v>0</v>
      </c>
      <c r="D1153">
        <v>2565</v>
      </c>
      <c r="E1153">
        <v>0</v>
      </c>
      <c r="F1153">
        <v>518.3</v>
      </c>
      <c r="G1153">
        <v>0</v>
      </c>
      <c r="H1153">
        <v>1161</v>
      </c>
      <c r="I1153">
        <v>1491</v>
      </c>
      <c r="J1153">
        <v>100</v>
      </c>
      <c r="K1153">
        <v>54.75</v>
      </c>
      <c r="L1153">
        <v>41.85</v>
      </c>
      <c r="M1153">
        <v>0</v>
      </c>
      <c r="N1153" t="b">
        <v>0</v>
      </c>
      <c r="O1153">
        <v>5</v>
      </c>
      <c r="P1153" t="s">
        <v>1163</v>
      </c>
      <c r="Q1153" t="s">
        <v>2276</v>
      </c>
      <c r="R1153">
        <v>0</v>
      </c>
      <c r="S1153">
        <v>113</v>
      </c>
      <c r="T1153">
        <v>190652</v>
      </c>
      <c r="U1153" t="s">
        <v>5134</v>
      </c>
      <c r="V1153">
        <v>4.74</v>
      </c>
      <c r="W1153" t="s">
        <v>968</v>
      </c>
      <c r="X1153" t="s">
        <v>9402</v>
      </c>
      <c r="Y1153">
        <v>0</v>
      </c>
      <c r="Z1153">
        <v>0</v>
      </c>
    </row>
    <row r="1154" spans="1:28">
      <c r="A1154" s="2">
        <f>HYPERLINK("https://finance.naver.com/item/coinfo.nhn?code=085660", "A085660")</f>
        <v>0</v>
      </c>
      <c r="B1154">
        <f>HYPERLINK("http://comp.fnguide.com/SVO2/ASP/SVD_Consensus.asp?pGB=1&amp;gicode=A085660&amp;cID=&amp;MenuYn=Y&amp;ReportGB=&amp;NewMenuID=108&amp;stkGb=701", "차바이오텍")</f>
        <v>0</v>
      </c>
      <c r="C1154">
        <v>0</v>
      </c>
      <c r="D1154">
        <v>18850</v>
      </c>
      <c r="E1154">
        <v>0.18</v>
      </c>
      <c r="F1154">
        <v>16.35</v>
      </c>
      <c r="G1154">
        <v>8565</v>
      </c>
      <c r="H1154">
        <v>7735</v>
      </c>
      <c r="I1154">
        <v>7499</v>
      </c>
      <c r="J1154">
        <v>54.56</v>
      </c>
      <c r="K1154">
        <v>58.96</v>
      </c>
      <c r="L1154">
        <v>60.22</v>
      </c>
      <c r="M1154">
        <v>9.5</v>
      </c>
      <c r="N1154" t="b">
        <v>1</v>
      </c>
      <c r="O1154">
        <v>884</v>
      </c>
      <c r="P1154" t="s">
        <v>1164</v>
      </c>
      <c r="Q1154" t="s">
        <v>3244</v>
      </c>
      <c r="R1154">
        <v>91.90000000000001</v>
      </c>
      <c r="S1154">
        <v>9897</v>
      </c>
      <c r="T1154">
        <v>1902276</v>
      </c>
      <c r="U1154" t="s">
        <v>5135</v>
      </c>
      <c r="V1154">
        <v>28.39</v>
      </c>
      <c r="W1154" t="s">
        <v>7350</v>
      </c>
      <c r="X1154" t="s">
        <v>9403</v>
      </c>
      <c r="Y1154">
        <v>5346</v>
      </c>
      <c r="Z1154">
        <v>58</v>
      </c>
    </row>
    <row r="1155" spans="1:28">
      <c r="A1155" s="2">
        <f>HYPERLINK("https://finance.naver.com/item/coinfo.nhn?code=007370", "A007370")</f>
        <v>0</v>
      </c>
      <c r="B1155">
        <f>HYPERLINK("http://comp.fnguide.com/SVO2/ASP/SVD_Consensus.asp?pGB=1&amp;gicode=A007370&amp;cID=&amp;MenuYn=Y&amp;ReportGB=&amp;NewMenuID=108&amp;stkGb=701", "진양제약")</f>
        <v>0</v>
      </c>
      <c r="C1155">
        <v>0</v>
      </c>
      <c r="D1155">
        <v>7150</v>
      </c>
      <c r="E1155">
        <v>0.52</v>
      </c>
      <c r="F1155">
        <v>32.06</v>
      </c>
      <c r="G1155">
        <v>1303</v>
      </c>
      <c r="H1155">
        <v>2869</v>
      </c>
      <c r="I1155">
        <v>3315</v>
      </c>
      <c r="J1155">
        <v>81.77</v>
      </c>
      <c r="K1155">
        <v>59.87</v>
      </c>
      <c r="L1155">
        <v>53.63</v>
      </c>
      <c r="M1155">
        <v>2.66</v>
      </c>
      <c r="N1155" t="b">
        <v>1</v>
      </c>
      <c r="O1155">
        <v>137</v>
      </c>
      <c r="P1155" t="s">
        <v>1165</v>
      </c>
      <c r="Q1155" t="s">
        <v>3245</v>
      </c>
      <c r="R1155">
        <v>61.24034854837048</v>
      </c>
      <c r="S1155">
        <v>858</v>
      </c>
      <c r="T1155">
        <v>161205</v>
      </c>
      <c r="U1155" t="s">
        <v>5136</v>
      </c>
      <c r="V1155">
        <v>30.85</v>
      </c>
      <c r="W1155" t="s">
        <v>7351</v>
      </c>
      <c r="X1155" t="s">
        <v>9404</v>
      </c>
      <c r="Y1155">
        <v>474</v>
      </c>
      <c r="Z1155">
        <v>-2</v>
      </c>
      <c r="AA1155">
        <v>822557</v>
      </c>
      <c r="AB1155">
        <v>2.27</v>
      </c>
    </row>
    <row r="1156" spans="1:28">
      <c r="A1156" s="2">
        <f>HYPERLINK("https://finance.naver.com/item/coinfo.nhn?code=086060", "A086060")</f>
        <v>0</v>
      </c>
      <c r="B1156">
        <f>HYPERLINK("http://comp.fnguide.com/SVO2/ASP/SVD_Consensus.asp?pGB=1&amp;gicode=A086060&amp;cID=&amp;MenuYn=Y&amp;ReportGB=&amp;NewMenuID=108&amp;stkGb=701", "진바이오텍")</f>
        <v>0</v>
      </c>
      <c r="C1156">
        <v>0</v>
      </c>
      <c r="D1156">
        <v>5940</v>
      </c>
      <c r="E1156">
        <v>-4.2</v>
      </c>
      <c r="F1156">
        <v>57.15</v>
      </c>
      <c r="G1156">
        <v>2589</v>
      </c>
      <c r="H1156">
        <v>4306</v>
      </c>
      <c r="I1156">
        <v>4795</v>
      </c>
      <c r="J1156">
        <v>56.41</v>
      </c>
      <c r="K1156">
        <v>27.51</v>
      </c>
      <c r="L1156">
        <v>19.27</v>
      </c>
      <c r="M1156">
        <v>3.79</v>
      </c>
      <c r="N1156" t="b">
        <v>1</v>
      </c>
      <c r="O1156">
        <v>98</v>
      </c>
      <c r="P1156" t="s">
        <v>1166</v>
      </c>
      <c r="Q1156" t="s">
        <v>3246</v>
      </c>
      <c r="R1156">
        <v>-13.59249966127257</v>
      </c>
      <c r="S1156">
        <v>511</v>
      </c>
      <c r="T1156">
        <v>93756</v>
      </c>
      <c r="U1156" t="s">
        <v>5137</v>
      </c>
      <c r="V1156">
        <v>28.88</v>
      </c>
      <c r="W1156" t="s">
        <v>7352</v>
      </c>
      <c r="X1156" t="s">
        <v>9405</v>
      </c>
      <c r="Y1156">
        <v>582</v>
      </c>
      <c r="Z1156">
        <v>8</v>
      </c>
      <c r="AB1156">
        <v>0.53</v>
      </c>
    </row>
    <row r="1157" spans="1:28">
      <c r="A1157" s="2">
        <f>HYPERLINK("https://finance.naver.com/item/coinfo.nhn?code=109820", "A109820")</f>
        <v>0</v>
      </c>
      <c r="B1157">
        <f>HYPERLINK("http://comp.fnguide.com/SVO2/ASP/SVD_Consensus.asp?pGB=1&amp;gicode=A109820&amp;cID=&amp;MenuYn=Y&amp;ReportGB=&amp;NewMenuID=108&amp;stkGb=701", "진매트릭스")</f>
        <v>0</v>
      </c>
      <c r="C1157">
        <v>0</v>
      </c>
      <c r="D1157">
        <v>28650</v>
      </c>
      <c r="E1157">
        <v>0</v>
      </c>
      <c r="G1157">
        <v>0</v>
      </c>
      <c r="H1157">
        <v>460</v>
      </c>
      <c r="I1157">
        <v>591</v>
      </c>
      <c r="J1157">
        <v>100</v>
      </c>
      <c r="K1157">
        <v>98.39</v>
      </c>
      <c r="L1157">
        <v>97.94</v>
      </c>
      <c r="M1157">
        <v>0</v>
      </c>
      <c r="N1157" t="b">
        <v>0</v>
      </c>
      <c r="O1157">
        <v>-65</v>
      </c>
      <c r="P1157" t="s">
        <v>1167</v>
      </c>
      <c r="Q1157" t="s">
        <v>2276</v>
      </c>
      <c r="R1157">
        <v>0</v>
      </c>
      <c r="S1157">
        <v>5810</v>
      </c>
      <c r="T1157">
        <v>1083226</v>
      </c>
      <c r="U1157" t="s">
        <v>5138</v>
      </c>
      <c r="V1157">
        <v>15.21</v>
      </c>
      <c r="W1157" t="s">
        <v>7353</v>
      </c>
      <c r="X1157" t="s">
        <v>968</v>
      </c>
      <c r="Y1157">
        <v>51</v>
      </c>
      <c r="Z1157">
        <v>-24</v>
      </c>
      <c r="AA1157">
        <v>429477</v>
      </c>
    </row>
    <row r="1158" spans="1:28">
      <c r="A1158" s="2">
        <f>HYPERLINK("https://finance.naver.com/item/coinfo.nhn?code=018120", "A018120")</f>
        <v>0</v>
      </c>
      <c r="B1158">
        <f>HYPERLINK("http://comp.fnguide.com/SVO2/ASP/SVD_Consensus.asp?pGB=1&amp;gicode=A018120&amp;cID=&amp;MenuYn=Y&amp;ReportGB=&amp;NewMenuID=108&amp;stkGb=701", "진로발효")</f>
        <v>0</v>
      </c>
      <c r="C1158">
        <v>0</v>
      </c>
      <c r="D1158">
        <v>31150</v>
      </c>
      <c r="E1158">
        <v>3.62</v>
      </c>
      <c r="F1158">
        <v>15.67</v>
      </c>
      <c r="G1158">
        <v>23575</v>
      </c>
      <c r="H1158">
        <v>16528</v>
      </c>
      <c r="I1158">
        <v>14520</v>
      </c>
      <c r="J1158">
        <v>24.32</v>
      </c>
      <c r="K1158">
        <v>46.94</v>
      </c>
      <c r="L1158">
        <v>53.39</v>
      </c>
      <c r="M1158">
        <v>15.86</v>
      </c>
      <c r="N1158" t="b">
        <v>1</v>
      </c>
      <c r="O1158">
        <v>1959</v>
      </c>
      <c r="P1158" t="s">
        <v>1168</v>
      </c>
      <c r="Q1158" t="s">
        <v>3247</v>
      </c>
      <c r="R1158">
        <v>4.331868429886399</v>
      </c>
      <c r="S1158">
        <v>2062</v>
      </c>
      <c r="T1158">
        <v>4561</v>
      </c>
      <c r="U1158" t="s">
        <v>5139</v>
      </c>
      <c r="V1158">
        <v>65.59</v>
      </c>
      <c r="W1158" t="s">
        <v>7354</v>
      </c>
      <c r="X1158" t="s">
        <v>9406</v>
      </c>
      <c r="Y1158">
        <v>884</v>
      </c>
      <c r="Z1158">
        <v>165</v>
      </c>
      <c r="AA1158">
        <v>3356</v>
      </c>
      <c r="AB1158">
        <v>4.4</v>
      </c>
    </row>
    <row r="1159" spans="1:28">
      <c r="A1159" s="2">
        <f>HYPERLINK("https://finance.naver.com/item/coinfo.nhn?code=219750", "A219750")</f>
        <v>0</v>
      </c>
      <c r="B1159">
        <f>HYPERLINK("http://comp.fnguide.com/SVO2/ASP/SVD_Consensus.asp?pGB=1&amp;gicode=A219750&amp;cID=&amp;MenuYn=Y&amp;ReportGB=&amp;NewMenuID=108&amp;stkGb=701", "지티지웰니스")</f>
        <v>0</v>
      </c>
      <c r="C1159">
        <v>0</v>
      </c>
      <c r="D1159">
        <v>4915</v>
      </c>
      <c r="G1159">
        <v>512</v>
      </c>
      <c r="H1159">
        <v>799</v>
      </c>
      <c r="I1159">
        <v>881</v>
      </c>
      <c r="J1159">
        <v>89.59</v>
      </c>
      <c r="K1159">
        <v>83.73999999999999</v>
      </c>
      <c r="L1159">
        <v>82.06999999999999</v>
      </c>
      <c r="M1159">
        <v>4.12</v>
      </c>
      <c r="N1159" t="b">
        <v>0</v>
      </c>
      <c r="O1159">
        <v>-418</v>
      </c>
      <c r="P1159" t="s">
        <v>1169</v>
      </c>
      <c r="Q1159" t="s">
        <v>3248</v>
      </c>
      <c r="R1159">
        <v>183.6584918524387</v>
      </c>
      <c r="S1159">
        <v>729</v>
      </c>
      <c r="T1159">
        <v>158972</v>
      </c>
      <c r="U1159" t="s">
        <v>5140</v>
      </c>
      <c r="V1159">
        <v>12.5</v>
      </c>
      <c r="W1159" t="s">
        <v>7355</v>
      </c>
      <c r="X1159" t="s">
        <v>9407</v>
      </c>
      <c r="Y1159">
        <v>303</v>
      </c>
      <c r="Z1159">
        <v>-46</v>
      </c>
      <c r="AA1159">
        <v>183868</v>
      </c>
    </row>
    <row r="1160" spans="1:28">
      <c r="A1160" s="2">
        <f>HYPERLINK("https://finance.naver.com/item/coinfo.nhn?code=115450", "A115450")</f>
        <v>0</v>
      </c>
      <c r="B1160">
        <f>HYPERLINK("http://comp.fnguide.com/SVO2/ASP/SVD_Consensus.asp?pGB=1&amp;gicode=A115450&amp;cID=&amp;MenuYn=Y&amp;ReportGB=&amp;NewMenuID=108&amp;stkGb=701", "지트리비앤티")</f>
        <v>0</v>
      </c>
      <c r="C1160">
        <v>0</v>
      </c>
      <c r="D1160">
        <v>27500</v>
      </c>
      <c r="E1160">
        <v>0</v>
      </c>
      <c r="G1160">
        <v>858</v>
      </c>
      <c r="H1160">
        <v>1786</v>
      </c>
      <c r="I1160">
        <v>2050</v>
      </c>
      <c r="J1160">
        <v>96.88</v>
      </c>
      <c r="K1160">
        <v>93.51000000000001</v>
      </c>
      <c r="L1160">
        <v>92.54000000000001</v>
      </c>
      <c r="M1160">
        <v>2.85</v>
      </c>
      <c r="N1160" t="b">
        <v>0</v>
      </c>
      <c r="O1160">
        <v>-660</v>
      </c>
      <c r="P1160" t="s">
        <v>1170</v>
      </c>
      <c r="Q1160" t="s">
        <v>2276</v>
      </c>
      <c r="R1160">
        <v>0</v>
      </c>
      <c r="S1160">
        <v>7400</v>
      </c>
      <c r="T1160">
        <v>282126</v>
      </c>
      <c r="U1160" t="s">
        <v>5141</v>
      </c>
      <c r="V1160">
        <v>6.49</v>
      </c>
      <c r="W1160" t="s">
        <v>7356</v>
      </c>
      <c r="X1160" t="s">
        <v>9408</v>
      </c>
      <c r="Y1160">
        <v>590</v>
      </c>
      <c r="Z1160">
        <v>-88</v>
      </c>
      <c r="AA1160">
        <v>309638</v>
      </c>
    </row>
    <row r="1161" spans="1:28">
      <c r="A1161" s="2">
        <f>HYPERLINK("https://finance.naver.com/item/coinfo.nhn?code=042000", "A042000")</f>
        <v>0</v>
      </c>
      <c r="B1161">
        <f>HYPERLINK("http://comp.fnguide.com/SVO2/ASP/SVD_Consensus.asp?pGB=1&amp;gicode=A042000&amp;cID=&amp;MenuYn=Y&amp;ReportGB=&amp;NewMenuID=108&amp;stkGb=701", "카페24")</f>
        <v>0</v>
      </c>
      <c r="C1161">
        <v>0</v>
      </c>
      <c r="D1161">
        <v>52600</v>
      </c>
      <c r="E1161">
        <v>-1.79</v>
      </c>
      <c r="F1161">
        <v>72.08</v>
      </c>
      <c r="G1161">
        <v>16247</v>
      </c>
      <c r="H1161">
        <v>13941</v>
      </c>
      <c r="I1161">
        <v>13284</v>
      </c>
      <c r="J1161">
        <v>69.11</v>
      </c>
      <c r="K1161">
        <v>73.5</v>
      </c>
      <c r="L1161">
        <v>74.73999999999999</v>
      </c>
      <c r="M1161">
        <v>10.44</v>
      </c>
      <c r="N1161" t="b">
        <v>0</v>
      </c>
      <c r="O1161">
        <v>710</v>
      </c>
      <c r="P1161" t="s">
        <v>1171</v>
      </c>
      <c r="Q1161" t="s">
        <v>3249</v>
      </c>
      <c r="R1161">
        <v>-40.2</v>
      </c>
      <c r="S1161">
        <v>4960</v>
      </c>
      <c r="T1161">
        <v>85534</v>
      </c>
      <c r="U1161" t="s">
        <v>5142</v>
      </c>
      <c r="V1161">
        <v>30.29</v>
      </c>
      <c r="W1161" t="s">
        <v>7357</v>
      </c>
      <c r="X1161" t="s">
        <v>9409</v>
      </c>
      <c r="Y1161">
        <v>2172</v>
      </c>
      <c r="Z1161">
        <v>98</v>
      </c>
      <c r="AA1161">
        <v>26461</v>
      </c>
    </row>
    <row r="1162" spans="1:28">
      <c r="A1162" s="2">
        <f>HYPERLINK("https://finance.naver.com/item/coinfo.nhn?code=136480", "A136480")</f>
        <v>0</v>
      </c>
      <c r="B1162">
        <f>HYPERLINK("http://comp.fnguide.com/SVO2/ASP/SVD_Consensus.asp?pGB=1&amp;gicode=A136480&amp;cID=&amp;MenuYn=Y&amp;ReportGB=&amp;NewMenuID=108&amp;stkGb=701", "하림")</f>
        <v>0</v>
      </c>
      <c r="C1162">
        <v>0</v>
      </c>
      <c r="D1162">
        <v>2620</v>
      </c>
      <c r="G1162">
        <v>428</v>
      </c>
      <c r="H1162">
        <v>1609</v>
      </c>
      <c r="I1162">
        <v>1946</v>
      </c>
      <c r="J1162">
        <v>83.68000000000001</v>
      </c>
      <c r="K1162">
        <v>38.58</v>
      </c>
      <c r="L1162">
        <v>25.72</v>
      </c>
      <c r="M1162">
        <v>1.42</v>
      </c>
      <c r="N1162" t="b">
        <v>0</v>
      </c>
      <c r="O1162">
        <v>-459</v>
      </c>
      <c r="P1162" t="s">
        <v>1172</v>
      </c>
      <c r="Q1162" t="s">
        <v>3250</v>
      </c>
      <c r="R1162">
        <v>12.59999999999999</v>
      </c>
      <c r="S1162">
        <v>2783</v>
      </c>
      <c r="T1162">
        <v>434874</v>
      </c>
      <c r="U1162" t="s">
        <v>5143</v>
      </c>
      <c r="V1162">
        <v>58.95</v>
      </c>
      <c r="W1162" t="s">
        <v>7358</v>
      </c>
      <c r="X1162" t="s">
        <v>9410</v>
      </c>
      <c r="Y1162">
        <v>8059</v>
      </c>
      <c r="Z1162">
        <v>-434</v>
      </c>
      <c r="AA1162">
        <v>3467</v>
      </c>
    </row>
    <row r="1163" spans="1:28">
      <c r="A1163" s="2">
        <f>HYPERLINK("https://finance.naver.com/item/coinfo.nhn?code=317530", "A317530")</f>
        <v>0</v>
      </c>
      <c r="B1163">
        <f>HYPERLINK("http://comp.fnguide.com/SVO2/ASP/SVD_Consensus.asp?pGB=1&amp;gicode=A317530&amp;cID=&amp;MenuYn=Y&amp;ReportGB=&amp;NewMenuID=108&amp;stkGb=701", "캐리소프트")</f>
        <v>0</v>
      </c>
      <c r="C1163">
        <v>0</v>
      </c>
      <c r="D1163">
        <v>4490</v>
      </c>
      <c r="E1163">
        <v>0</v>
      </c>
      <c r="G1163">
        <v>0</v>
      </c>
      <c r="H1163">
        <v>1618</v>
      </c>
      <c r="I1163">
        <v>2078</v>
      </c>
      <c r="J1163">
        <v>100</v>
      </c>
      <c r="K1163">
        <v>63.98</v>
      </c>
      <c r="L1163">
        <v>53.71</v>
      </c>
      <c r="M1163">
        <v>0</v>
      </c>
      <c r="N1163" t="b">
        <v>0</v>
      </c>
      <c r="O1163">
        <v>-351</v>
      </c>
      <c r="P1163" t="s">
        <v>1173</v>
      </c>
      <c r="Q1163" t="s">
        <v>3152</v>
      </c>
      <c r="R1163">
        <v>0</v>
      </c>
      <c r="S1163">
        <v>304</v>
      </c>
      <c r="T1163">
        <v>52596</v>
      </c>
      <c r="U1163" t="s">
        <v>5144</v>
      </c>
      <c r="V1163">
        <v>32.61</v>
      </c>
      <c r="W1163" t="s">
        <v>7359</v>
      </c>
      <c r="X1163" t="s">
        <v>968</v>
      </c>
      <c r="Y1163">
        <v>97</v>
      </c>
      <c r="Z1163">
        <v>-17</v>
      </c>
      <c r="AA1163">
        <v>149270</v>
      </c>
    </row>
    <row r="1164" spans="1:28">
      <c r="A1164" s="2">
        <f>HYPERLINK("https://finance.naver.com/item/coinfo.nhn?code=214370", "A214370")</f>
        <v>0</v>
      </c>
      <c r="B1164">
        <f>HYPERLINK("http://comp.fnguide.com/SVO2/ASP/SVD_Consensus.asp?pGB=1&amp;gicode=A214370&amp;cID=&amp;MenuYn=Y&amp;ReportGB=&amp;NewMenuID=108&amp;stkGb=701", "케어젠")</f>
        <v>0</v>
      </c>
      <c r="C1164">
        <v>0</v>
      </c>
      <c r="D1164">
        <v>68500</v>
      </c>
      <c r="E1164">
        <v>1.67</v>
      </c>
      <c r="F1164">
        <v>23.42</v>
      </c>
      <c r="G1164">
        <v>29932</v>
      </c>
      <c r="H1164">
        <v>25244</v>
      </c>
      <c r="I1164">
        <v>23908</v>
      </c>
      <c r="J1164">
        <v>56.3</v>
      </c>
      <c r="K1164">
        <v>63.15</v>
      </c>
      <c r="L1164">
        <v>65.09999999999999</v>
      </c>
      <c r="M1164">
        <v>10.78</v>
      </c>
      <c r="N1164" t="b">
        <v>1</v>
      </c>
      <c r="O1164">
        <v>2613</v>
      </c>
      <c r="P1164" t="s">
        <v>1174</v>
      </c>
      <c r="Q1164" t="s">
        <v>3251</v>
      </c>
      <c r="R1164">
        <v>14.03310240589473</v>
      </c>
      <c r="S1164">
        <v>7359</v>
      </c>
      <c r="T1164">
        <v>52175</v>
      </c>
      <c r="U1164" t="s">
        <v>5145</v>
      </c>
      <c r="V1164">
        <v>63.96</v>
      </c>
      <c r="W1164" t="s">
        <v>7360</v>
      </c>
      <c r="X1164" t="s">
        <v>9411</v>
      </c>
      <c r="Y1164">
        <v>647</v>
      </c>
      <c r="Z1164">
        <v>354</v>
      </c>
      <c r="AA1164">
        <v>937073</v>
      </c>
      <c r="AB1164">
        <v>4.58</v>
      </c>
    </row>
    <row r="1165" spans="1:28">
      <c r="A1165" s="2">
        <f>HYPERLINK("https://finance.naver.com/item/coinfo.nhn?code=057880", "A057880")</f>
        <v>0</v>
      </c>
      <c r="B1165">
        <f>HYPERLINK("http://comp.fnguide.com/SVO2/ASP/SVD_Consensus.asp?pGB=1&amp;gicode=A057880&amp;cID=&amp;MenuYn=Y&amp;ReportGB=&amp;NewMenuID=108&amp;stkGb=701", "필로시스헬스케어")</f>
        <v>0</v>
      </c>
      <c r="C1165">
        <v>0</v>
      </c>
      <c r="D1165">
        <v>2565</v>
      </c>
      <c r="E1165">
        <v>0</v>
      </c>
      <c r="G1165">
        <v>0</v>
      </c>
      <c r="H1165">
        <v>188</v>
      </c>
      <c r="I1165">
        <v>241</v>
      </c>
      <c r="J1165">
        <v>100</v>
      </c>
      <c r="K1165">
        <v>92.69</v>
      </c>
      <c r="L1165">
        <v>90.61</v>
      </c>
      <c r="M1165">
        <v>0</v>
      </c>
      <c r="N1165" t="b">
        <v>0</v>
      </c>
      <c r="O1165">
        <v>-601</v>
      </c>
      <c r="P1165" t="s">
        <v>1175</v>
      </c>
      <c r="Q1165" t="s">
        <v>2276</v>
      </c>
      <c r="R1165">
        <v>0</v>
      </c>
      <c r="S1165">
        <v>2019</v>
      </c>
      <c r="T1165">
        <v>6985853</v>
      </c>
      <c r="U1165" t="s">
        <v>5146</v>
      </c>
      <c r="V1165">
        <v>12.66</v>
      </c>
      <c r="W1165" t="s">
        <v>7361</v>
      </c>
      <c r="X1165" t="s">
        <v>968</v>
      </c>
      <c r="Y1165">
        <v>94</v>
      </c>
      <c r="Z1165">
        <v>-65</v>
      </c>
      <c r="AA1165">
        <v>520890</v>
      </c>
    </row>
    <row r="1166" spans="1:28">
      <c r="A1166" s="2">
        <f>HYPERLINK("https://finance.naver.com/item/coinfo.nhn?code=342550", "A342550")</f>
        <v>0</v>
      </c>
      <c r="B1166">
        <f>HYPERLINK("http://comp.fnguide.com/SVO2/ASP/SVD_Consensus.asp?pGB=1&amp;gicode=A342550&amp;cID=&amp;MenuYn=Y&amp;ReportGB=&amp;NewMenuID=108&amp;stkGb=701", "케이비제20호스팩")</f>
        <v>0</v>
      </c>
      <c r="C1166">
        <v>0</v>
      </c>
      <c r="D1166">
        <v>2005</v>
      </c>
      <c r="E1166">
        <v>0</v>
      </c>
      <c r="G1166">
        <v>0</v>
      </c>
      <c r="H1166">
        <v>55</v>
      </c>
      <c r="I1166">
        <v>71</v>
      </c>
      <c r="J1166">
        <v>100</v>
      </c>
      <c r="K1166">
        <v>97.23</v>
      </c>
      <c r="L1166">
        <v>96.45</v>
      </c>
      <c r="M1166">
        <v>0</v>
      </c>
      <c r="N1166" t="b">
        <v>0</v>
      </c>
      <c r="O1166">
        <v>-22</v>
      </c>
      <c r="P1166" t="s">
        <v>1176</v>
      </c>
      <c r="Q1166" t="s">
        <v>3252</v>
      </c>
      <c r="R1166">
        <v>260</v>
      </c>
      <c r="S1166">
        <v>130</v>
      </c>
      <c r="T1166">
        <v>22</v>
      </c>
      <c r="U1166" t="s">
        <v>5147</v>
      </c>
      <c r="V1166">
        <v>8.970000000000001</v>
      </c>
      <c r="W1166" t="s">
        <v>968</v>
      </c>
      <c r="X1166" t="s">
        <v>968</v>
      </c>
      <c r="Y1166">
        <v>0</v>
      </c>
      <c r="Z1166">
        <v>0</v>
      </c>
    </row>
    <row r="1167" spans="1:28">
      <c r="A1167" s="2">
        <f>HYPERLINK("https://finance.naver.com/item/coinfo.nhn?code=330990", "A330990")</f>
        <v>0</v>
      </c>
      <c r="B1167">
        <f>HYPERLINK("http://comp.fnguide.com/SVO2/ASP/SVD_Consensus.asp?pGB=1&amp;gicode=A330990&amp;cID=&amp;MenuYn=Y&amp;ReportGB=&amp;NewMenuID=108&amp;stkGb=701", "케이비제19호스팩")</f>
        <v>0</v>
      </c>
      <c r="C1167">
        <v>0</v>
      </c>
      <c r="D1167">
        <v>2010</v>
      </c>
      <c r="E1167">
        <v>0</v>
      </c>
      <c r="G1167">
        <v>0</v>
      </c>
      <c r="H1167">
        <v>1146</v>
      </c>
      <c r="I1167">
        <v>1472</v>
      </c>
      <c r="J1167">
        <v>100</v>
      </c>
      <c r="K1167">
        <v>43.01</v>
      </c>
      <c r="L1167">
        <v>26.77</v>
      </c>
      <c r="M1167">
        <v>0</v>
      </c>
      <c r="N1167" t="b">
        <v>0</v>
      </c>
      <c r="O1167">
        <v>-13</v>
      </c>
      <c r="P1167" t="s">
        <v>1177</v>
      </c>
      <c r="Q1167" t="s">
        <v>3252</v>
      </c>
      <c r="R1167">
        <v>260</v>
      </c>
      <c r="S1167">
        <v>86</v>
      </c>
      <c r="T1167">
        <v>874</v>
      </c>
      <c r="U1167" t="s">
        <v>5148</v>
      </c>
      <c r="V1167">
        <v>6.09</v>
      </c>
      <c r="W1167" t="s">
        <v>968</v>
      </c>
      <c r="X1167" t="s">
        <v>968</v>
      </c>
      <c r="Y1167">
        <v>0</v>
      </c>
      <c r="Z1167">
        <v>0</v>
      </c>
    </row>
    <row r="1168" spans="1:28">
      <c r="A1168" s="2">
        <f>HYPERLINK("https://finance.naver.com/item/coinfo.nhn?code=323940", "A323940")</f>
        <v>0</v>
      </c>
      <c r="B1168">
        <f>HYPERLINK("http://comp.fnguide.com/SVO2/ASP/SVD_Consensus.asp?pGB=1&amp;gicode=A323940&amp;cID=&amp;MenuYn=Y&amp;ReportGB=&amp;NewMenuID=108&amp;stkGb=701", "케이비제18호스팩")</f>
        <v>0</v>
      </c>
      <c r="C1168">
        <v>0</v>
      </c>
      <c r="D1168">
        <v>2005</v>
      </c>
      <c r="E1168">
        <v>0</v>
      </c>
      <c r="F1168">
        <v>210.65</v>
      </c>
      <c r="G1168">
        <v>0</v>
      </c>
      <c r="H1168">
        <v>1175</v>
      </c>
      <c r="I1168">
        <v>1510</v>
      </c>
      <c r="J1168">
        <v>100</v>
      </c>
      <c r="K1168">
        <v>41.38</v>
      </c>
      <c r="L1168">
        <v>24.68</v>
      </c>
      <c r="M1168">
        <v>0</v>
      </c>
      <c r="N1168" t="b">
        <v>0</v>
      </c>
      <c r="O1168">
        <v>10</v>
      </c>
      <c r="P1168" t="s">
        <v>1178</v>
      </c>
      <c r="Q1168" t="s">
        <v>3252</v>
      </c>
      <c r="R1168">
        <v>260</v>
      </c>
      <c r="S1168">
        <v>157</v>
      </c>
      <c r="T1168">
        <v>14092</v>
      </c>
      <c r="U1168" t="s">
        <v>5149</v>
      </c>
      <c r="V1168">
        <v>3.84</v>
      </c>
      <c r="W1168" t="s">
        <v>968</v>
      </c>
      <c r="X1168" t="s">
        <v>9412</v>
      </c>
      <c r="Y1168">
        <v>0</v>
      </c>
      <c r="Z1168">
        <v>-1</v>
      </c>
    </row>
    <row r="1169" spans="1:28">
      <c r="A1169" s="2">
        <f>HYPERLINK("https://finance.naver.com/item/coinfo.nhn?code=317030", "A317030")</f>
        <v>0</v>
      </c>
      <c r="B1169">
        <f>HYPERLINK("http://comp.fnguide.com/SVO2/ASP/SVD_Consensus.asp?pGB=1&amp;gicode=A317030&amp;cID=&amp;MenuYn=Y&amp;ReportGB=&amp;NewMenuID=108&amp;stkGb=701", "케이비17호스팩")</f>
        <v>0</v>
      </c>
      <c r="C1169">
        <v>0</v>
      </c>
      <c r="D1169">
        <v>2020</v>
      </c>
      <c r="E1169">
        <v>0</v>
      </c>
      <c r="F1169">
        <v>159.77</v>
      </c>
      <c r="G1169">
        <v>0</v>
      </c>
      <c r="H1169">
        <v>1144</v>
      </c>
      <c r="I1169">
        <v>1470</v>
      </c>
      <c r="J1169">
        <v>100</v>
      </c>
      <c r="K1169">
        <v>43.35</v>
      </c>
      <c r="L1169">
        <v>27.21</v>
      </c>
      <c r="M1169">
        <v>0</v>
      </c>
      <c r="N1169" t="b">
        <v>0</v>
      </c>
      <c r="O1169">
        <v>13</v>
      </c>
      <c r="P1169" t="s">
        <v>1179</v>
      </c>
      <c r="Q1169" t="s">
        <v>3252</v>
      </c>
      <c r="R1169">
        <v>260</v>
      </c>
      <c r="S1169">
        <v>110</v>
      </c>
      <c r="T1169">
        <v>3814</v>
      </c>
      <c r="U1169" t="s">
        <v>5150</v>
      </c>
      <c r="V1169">
        <v>5.11</v>
      </c>
      <c r="W1169" t="s">
        <v>968</v>
      </c>
      <c r="X1169" t="s">
        <v>9413</v>
      </c>
      <c r="Y1169">
        <v>0</v>
      </c>
      <c r="Z1169">
        <v>-1</v>
      </c>
    </row>
    <row r="1170" spans="1:28">
      <c r="A1170" s="2">
        <f>HYPERLINK("https://finance.naver.com/item/coinfo.nhn?code=043290", "A043290")</f>
        <v>0</v>
      </c>
      <c r="B1170">
        <f>HYPERLINK("http://comp.fnguide.com/SVO2/ASP/SVD_Consensus.asp?pGB=1&amp;gicode=A043290&amp;cID=&amp;MenuYn=Y&amp;ReportGB=&amp;NewMenuID=108&amp;stkGb=701", "케이맥")</f>
        <v>0</v>
      </c>
      <c r="C1170">
        <v>0</v>
      </c>
      <c r="D1170">
        <v>1780</v>
      </c>
      <c r="G1170">
        <v>713</v>
      </c>
      <c r="H1170">
        <v>998</v>
      </c>
      <c r="I1170">
        <v>1079</v>
      </c>
      <c r="J1170">
        <v>59.93</v>
      </c>
      <c r="K1170">
        <v>43.95</v>
      </c>
      <c r="L1170">
        <v>39.39</v>
      </c>
      <c r="M1170">
        <v>4.79</v>
      </c>
      <c r="N1170" t="b">
        <v>0</v>
      </c>
      <c r="O1170">
        <v>-311</v>
      </c>
      <c r="P1170" t="s">
        <v>1180</v>
      </c>
      <c r="Q1170" t="s">
        <v>3252</v>
      </c>
      <c r="R1170">
        <v>260</v>
      </c>
      <c r="S1170">
        <v>661</v>
      </c>
      <c r="T1170">
        <v>957862</v>
      </c>
      <c r="U1170" t="s">
        <v>5151</v>
      </c>
      <c r="V1170">
        <v>32.41</v>
      </c>
      <c r="W1170" t="s">
        <v>7362</v>
      </c>
      <c r="X1170" t="s">
        <v>9414</v>
      </c>
      <c r="Y1170">
        <v>630</v>
      </c>
      <c r="Z1170">
        <v>-63</v>
      </c>
    </row>
    <row r="1171" spans="1:28">
      <c r="A1171" s="2">
        <f>HYPERLINK("https://finance.naver.com/item/coinfo.nhn?code=161580", "A161580")</f>
        <v>0</v>
      </c>
      <c r="B1171">
        <f>HYPERLINK("http://comp.fnguide.com/SVO2/ASP/SVD_Consensus.asp?pGB=1&amp;gicode=A161580&amp;cID=&amp;MenuYn=Y&amp;ReportGB=&amp;NewMenuID=108&amp;stkGb=701", "필옵틱스")</f>
        <v>0</v>
      </c>
      <c r="C1171">
        <v>0</v>
      </c>
      <c r="D1171">
        <v>12850</v>
      </c>
      <c r="G1171">
        <v>1635</v>
      </c>
      <c r="H1171">
        <v>2417</v>
      </c>
      <c r="I1171">
        <v>2640</v>
      </c>
      <c r="J1171">
        <v>87.28</v>
      </c>
      <c r="K1171">
        <v>81.19</v>
      </c>
      <c r="L1171">
        <v>79.45999999999999</v>
      </c>
      <c r="M1171">
        <v>4.44</v>
      </c>
      <c r="N1171" t="b">
        <v>0</v>
      </c>
      <c r="O1171">
        <v>-873</v>
      </c>
      <c r="P1171" t="s">
        <v>1181</v>
      </c>
      <c r="Q1171" t="s">
        <v>3253</v>
      </c>
      <c r="R1171">
        <v>-2.600000000000002</v>
      </c>
      <c r="S1171">
        <v>2568</v>
      </c>
      <c r="T1171">
        <v>398808</v>
      </c>
      <c r="U1171" t="s">
        <v>5152</v>
      </c>
      <c r="V1171">
        <v>30.68</v>
      </c>
      <c r="W1171" t="s">
        <v>7363</v>
      </c>
      <c r="X1171" t="s">
        <v>9415</v>
      </c>
      <c r="Y1171">
        <v>1404</v>
      </c>
      <c r="Z1171">
        <v>-149</v>
      </c>
      <c r="AA1171">
        <v>164601</v>
      </c>
    </row>
    <row r="1172" spans="1:28">
      <c r="A1172" s="2">
        <f>HYPERLINK("https://finance.naver.com/item/coinfo.nhn?code=347770", "A347770")</f>
        <v>0</v>
      </c>
      <c r="B1172">
        <f>HYPERLINK("http://comp.fnguide.com/SVO2/ASP/SVD_Consensus.asp?pGB=1&amp;gicode=A347770&amp;cID=&amp;MenuYn=Y&amp;ReportGB=&amp;NewMenuID=108&amp;stkGb=701", "핌스")</f>
        <v>0</v>
      </c>
      <c r="C1172">
        <v>0</v>
      </c>
      <c r="D1172">
        <v>16100</v>
      </c>
      <c r="E1172">
        <v>0</v>
      </c>
      <c r="G1172">
        <v>7616</v>
      </c>
      <c r="H1172">
        <v>4272</v>
      </c>
      <c r="I1172">
        <v>3319</v>
      </c>
      <c r="J1172">
        <v>52.7</v>
      </c>
      <c r="K1172">
        <v>73.45999999999999</v>
      </c>
      <c r="L1172">
        <v>79.38</v>
      </c>
      <c r="M1172">
        <v>29.59</v>
      </c>
      <c r="N1172" t="b">
        <v>0</v>
      </c>
      <c r="O1172">
        <v>3129</v>
      </c>
      <c r="P1172" t="s">
        <v>1182</v>
      </c>
      <c r="Q1172" t="s">
        <v>3254</v>
      </c>
      <c r="R1172">
        <v>0</v>
      </c>
      <c r="S1172">
        <v>1170</v>
      </c>
      <c r="T1172">
        <v>109269</v>
      </c>
      <c r="U1172" t="s">
        <v>5153</v>
      </c>
      <c r="V1172">
        <v>38.03</v>
      </c>
      <c r="W1172" t="s">
        <v>7364</v>
      </c>
      <c r="X1172" t="s">
        <v>968</v>
      </c>
      <c r="Y1172">
        <v>378</v>
      </c>
      <c r="Z1172">
        <v>65</v>
      </c>
    </row>
    <row r="1173" spans="1:28">
      <c r="A1173" s="2">
        <f>HYPERLINK("https://finance.naver.com/item/coinfo.nhn?code=185490", "A185490")</f>
        <v>0</v>
      </c>
      <c r="B1173">
        <f>HYPERLINK("http://comp.fnguide.com/SVO2/ASP/SVD_Consensus.asp?pGB=1&amp;gicode=A185490&amp;cID=&amp;MenuYn=Y&amp;ReportGB=&amp;NewMenuID=108&amp;stkGb=701", "아이진")</f>
        <v>0</v>
      </c>
      <c r="C1173">
        <v>0</v>
      </c>
      <c r="D1173">
        <v>14050</v>
      </c>
      <c r="E1173">
        <v>0</v>
      </c>
      <c r="G1173">
        <v>0</v>
      </c>
      <c r="H1173">
        <v>988</v>
      </c>
      <c r="I1173">
        <v>1270</v>
      </c>
      <c r="J1173">
        <v>100</v>
      </c>
      <c r="K1173">
        <v>92.97</v>
      </c>
      <c r="L1173">
        <v>90.95999999999999</v>
      </c>
      <c r="M1173">
        <v>0</v>
      </c>
      <c r="N1173" t="b">
        <v>0</v>
      </c>
      <c r="O1173">
        <v>-755</v>
      </c>
      <c r="P1173" t="s">
        <v>1183</v>
      </c>
      <c r="Q1173" t="s">
        <v>2276</v>
      </c>
      <c r="R1173">
        <v>0</v>
      </c>
      <c r="S1173">
        <v>1623</v>
      </c>
      <c r="T1173">
        <v>1394995</v>
      </c>
      <c r="U1173" t="s">
        <v>5154</v>
      </c>
      <c r="V1173">
        <v>13.87</v>
      </c>
      <c r="W1173" t="s">
        <v>7365</v>
      </c>
      <c r="X1173" t="s">
        <v>968</v>
      </c>
      <c r="Y1173">
        <v>42</v>
      </c>
      <c r="Z1173">
        <v>-94</v>
      </c>
    </row>
    <row r="1174" spans="1:28">
      <c r="A1174" s="2">
        <f>HYPERLINK("https://finance.naver.com/item/coinfo.nhn?code=307160", "A307160")</f>
        <v>0</v>
      </c>
      <c r="B1174">
        <f>HYPERLINK("http://comp.fnguide.com/SVO2/ASP/SVD_Consensus.asp?pGB=1&amp;gicode=A307160&amp;cID=&amp;MenuYn=Y&amp;ReportGB=&amp;NewMenuID=108&amp;stkGb=701", "하나머스트제6호스팩")</f>
        <v>0</v>
      </c>
      <c r="C1174">
        <v>0</v>
      </c>
      <c r="D1174">
        <v>2070</v>
      </c>
      <c r="E1174">
        <v>0</v>
      </c>
      <c r="F1174">
        <v>102.81</v>
      </c>
      <c r="G1174">
        <v>127</v>
      </c>
      <c r="H1174">
        <v>1137</v>
      </c>
      <c r="I1174">
        <v>1425</v>
      </c>
      <c r="J1174">
        <v>93.86</v>
      </c>
      <c r="K1174">
        <v>45.06</v>
      </c>
      <c r="L1174">
        <v>31.16</v>
      </c>
      <c r="M1174">
        <v>0.5600000000000001</v>
      </c>
      <c r="N1174" t="b">
        <v>0</v>
      </c>
      <c r="O1174">
        <v>20</v>
      </c>
      <c r="P1174" t="s">
        <v>1184</v>
      </c>
      <c r="Q1174" t="s">
        <v>3255</v>
      </c>
      <c r="R1174">
        <v>-78.59999999999999</v>
      </c>
      <c r="S1174">
        <v>95</v>
      </c>
      <c r="T1174">
        <v>17090</v>
      </c>
      <c r="U1174" t="s">
        <v>5155</v>
      </c>
      <c r="V1174">
        <v>17.43</v>
      </c>
      <c r="W1174" t="s">
        <v>7366</v>
      </c>
      <c r="X1174" t="s">
        <v>9416</v>
      </c>
      <c r="Y1174">
        <v>0</v>
      </c>
      <c r="Z1174">
        <v>0</v>
      </c>
    </row>
    <row r="1175" spans="1:28">
      <c r="A1175" s="2">
        <f>HYPERLINK("https://finance.naver.com/item/coinfo.nhn?code=332710", "A332710")</f>
        <v>0</v>
      </c>
      <c r="B1175">
        <f>HYPERLINK("http://comp.fnguide.com/SVO2/ASP/SVD_Consensus.asp?pGB=1&amp;gicode=A332710&amp;cID=&amp;MenuYn=Y&amp;ReportGB=&amp;NewMenuID=108&amp;stkGb=701", "하나금융14호스팩")</f>
        <v>0</v>
      </c>
      <c r="C1175">
        <v>0</v>
      </c>
      <c r="D1175">
        <v>2060</v>
      </c>
      <c r="E1175">
        <v>0</v>
      </c>
      <c r="G1175">
        <v>0</v>
      </c>
      <c r="H1175">
        <v>1131</v>
      </c>
      <c r="I1175">
        <v>1453</v>
      </c>
      <c r="J1175">
        <v>100</v>
      </c>
      <c r="K1175">
        <v>45.11</v>
      </c>
      <c r="L1175">
        <v>29.46</v>
      </c>
      <c r="M1175">
        <v>0</v>
      </c>
      <c r="N1175" t="b">
        <v>0</v>
      </c>
      <c r="O1175">
        <v>-39</v>
      </c>
      <c r="P1175" t="s">
        <v>1185</v>
      </c>
      <c r="Q1175" t="s">
        <v>3254</v>
      </c>
      <c r="R1175">
        <v>0</v>
      </c>
      <c r="S1175">
        <v>91</v>
      </c>
      <c r="T1175">
        <v>5031</v>
      </c>
      <c r="U1175" t="s">
        <v>5156</v>
      </c>
      <c r="V1175">
        <v>6.8</v>
      </c>
      <c r="W1175" t="s">
        <v>968</v>
      </c>
      <c r="X1175" t="s">
        <v>968</v>
      </c>
      <c r="Y1175">
        <v>0</v>
      </c>
      <c r="Z1175">
        <v>-1</v>
      </c>
    </row>
    <row r="1176" spans="1:28">
      <c r="A1176" s="2">
        <f>HYPERLINK("https://finance.naver.com/item/coinfo.nhn?code=341160", "A341160")</f>
        <v>0</v>
      </c>
      <c r="B1176">
        <f>HYPERLINK("http://comp.fnguide.com/SVO2/ASP/SVD_Consensus.asp?pGB=1&amp;gicode=A341160&amp;cID=&amp;MenuYn=Y&amp;ReportGB=&amp;NewMenuID=108&amp;stkGb=701", "하나금융15호스팩")</f>
        <v>0</v>
      </c>
      <c r="C1176">
        <v>0</v>
      </c>
      <c r="D1176">
        <v>2070</v>
      </c>
      <c r="E1176">
        <v>0</v>
      </c>
      <c r="G1176">
        <v>0</v>
      </c>
      <c r="H1176">
        <v>38</v>
      </c>
      <c r="I1176">
        <v>49</v>
      </c>
      <c r="J1176">
        <v>100</v>
      </c>
      <c r="K1176">
        <v>98.15000000000001</v>
      </c>
      <c r="L1176">
        <v>97.62</v>
      </c>
      <c r="M1176">
        <v>0</v>
      </c>
      <c r="N1176" t="b">
        <v>0</v>
      </c>
      <c r="O1176">
        <v>-39</v>
      </c>
      <c r="P1176" t="s">
        <v>1185</v>
      </c>
      <c r="Q1176" t="s">
        <v>3254</v>
      </c>
      <c r="R1176">
        <v>0</v>
      </c>
      <c r="S1176">
        <v>98</v>
      </c>
      <c r="T1176">
        <v>10539</v>
      </c>
      <c r="U1176" t="s">
        <v>5157</v>
      </c>
      <c r="V1176">
        <v>4.67</v>
      </c>
      <c r="W1176" t="s">
        <v>968</v>
      </c>
      <c r="X1176" t="s">
        <v>968</v>
      </c>
      <c r="Y1176">
        <v>0</v>
      </c>
      <c r="Z1176">
        <v>0</v>
      </c>
    </row>
    <row r="1177" spans="1:28">
      <c r="A1177" s="2">
        <f>HYPERLINK("https://finance.naver.com/item/coinfo.nhn?code=343510", "A343510")</f>
        <v>0</v>
      </c>
      <c r="B1177">
        <f>HYPERLINK("http://comp.fnguide.com/SVO2/ASP/SVD_Consensus.asp?pGB=1&amp;gicode=A343510&amp;cID=&amp;MenuYn=Y&amp;ReportGB=&amp;NewMenuID=108&amp;stkGb=701", "하나금융16호스팩")</f>
        <v>0</v>
      </c>
      <c r="C1177">
        <v>0</v>
      </c>
      <c r="D1177">
        <v>2085</v>
      </c>
      <c r="E1177">
        <v>0</v>
      </c>
      <c r="G1177">
        <v>0</v>
      </c>
      <c r="H1177">
        <v>90</v>
      </c>
      <c r="I1177">
        <v>116</v>
      </c>
      <c r="J1177">
        <v>100</v>
      </c>
      <c r="K1177">
        <v>95.69</v>
      </c>
      <c r="L1177">
        <v>94.45999999999999</v>
      </c>
      <c r="M1177">
        <v>0</v>
      </c>
      <c r="N1177" t="b">
        <v>0</v>
      </c>
      <c r="O1177">
        <v>-5</v>
      </c>
      <c r="P1177" t="s">
        <v>1186</v>
      </c>
      <c r="Q1177" t="s">
        <v>3254</v>
      </c>
      <c r="R1177">
        <v>0</v>
      </c>
      <c r="S1177">
        <v>84</v>
      </c>
      <c r="T1177">
        <v>28</v>
      </c>
      <c r="U1177" t="s">
        <v>5147</v>
      </c>
      <c r="V1177">
        <v>7.48</v>
      </c>
      <c r="W1177" t="s">
        <v>968</v>
      </c>
      <c r="X1177" t="s">
        <v>968</v>
      </c>
      <c r="Y1177">
        <v>0</v>
      </c>
      <c r="Z1177">
        <v>0</v>
      </c>
    </row>
    <row r="1178" spans="1:28">
      <c r="A1178" s="2">
        <f>HYPERLINK("https://finance.naver.com/item/coinfo.nhn?code=299030", "A299030")</f>
        <v>0</v>
      </c>
      <c r="B1178">
        <f>HYPERLINK("http://comp.fnguide.com/SVO2/ASP/SVD_Consensus.asp?pGB=1&amp;gicode=A299030&amp;cID=&amp;MenuYn=Y&amp;ReportGB=&amp;NewMenuID=108&amp;stkGb=701", "하나기술")</f>
        <v>0</v>
      </c>
      <c r="C1178">
        <v>0</v>
      </c>
      <c r="D1178">
        <v>64700</v>
      </c>
      <c r="E1178">
        <v>0</v>
      </c>
      <c r="G1178">
        <v>19037</v>
      </c>
      <c r="H1178">
        <v>10186</v>
      </c>
      <c r="I1178">
        <v>7664</v>
      </c>
      <c r="J1178">
        <v>70.58</v>
      </c>
      <c r="K1178">
        <v>84.26000000000001</v>
      </c>
      <c r="L1178">
        <v>88.16</v>
      </c>
      <c r="M1178">
        <v>35.24</v>
      </c>
      <c r="N1178" t="b">
        <v>0</v>
      </c>
      <c r="O1178">
        <v>1563</v>
      </c>
      <c r="P1178" t="s">
        <v>1187</v>
      </c>
      <c r="Q1178" t="s">
        <v>3256</v>
      </c>
      <c r="R1178">
        <v>0</v>
      </c>
      <c r="S1178">
        <v>2093</v>
      </c>
      <c r="T1178">
        <v>207488</v>
      </c>
      <c r="U1178" t="s">
        <v>5158</v>
      </c>
      <c r="V1178">
        <v>44.29</v>
      </c>
      <c r="W1178" t="s">
        <v>7367</v>
      </c>
      <c r="X1178" t="s">
        <v>9417</v>
      </c>
      <c r="Y1178">
        <v>593</v>
      </c>
      <c r="Z1178">
        <v>57</v>
      </c>
    </row>
    <row r="1179" spans="1:28">
      <c r="A1179" s="2">
        <f>HYPERLINK("https://finance.naver.com/item/coinfo.nhn?code=067310", "A067310")</f>
        <v>0</v>
      </c>
      <c r="B1179">
        <f>HYPERLINK("http://comp.fnguide.com/SVO2/ASP/SVD_Consensus.asp?pGB=1&amp;gicode=A067310&amp;cID=&amp;MenuYn=Y&amp;ReportGB=&amp;NewMenuID=108&amp;stkGb=701", "하나마이크론")</f>
        <v>0</v>
      </c>
      <c r="C1179">
        <v>0</v>
      </c>
      <c r="D1179">
        <v>8200</v>
      </c>
      <c r="G1179">
        <v>724</v>
      </c>
      <c r="H1179">
        <v>3183</v>
      </c>
      <c r="I1179">
        <v>3884</v>
      </c>
      <c r="J1179">
        <v>91.17</v>
      </c>
      <c r="K1179">
        <v>61.18</v>
      </c>
      <c r="L1179">
        <v>52.64</v>
      </c>
      <c r="M1179">
        <v>1.2</v>
      </c>
      <c r="N1179" t="b">
        <v>0</v>
      </c>
      <c r="O1179">
        <v>-86</v>
      </c>
      <c r="P1179" t="s">
        <v>1188</v>
      </c>
      <c r="Q1179" t="s">
        <v>3255</v>
      </c>
      <c r="R1179">
        <v>-78.59999999999999</v>
      </c>
      <c r="S1179">
        <v>2513</v>
      </c>
      <c r="T1179">
        <v>1090488</v>
      </c>
      <c r="U1179" t="s">
        <v>5159</v>
      </c>
      <c r="V1179">
        <v>19.28</v>
      </c>
      <c r="W1179" t="s">
        <v>7368</v>
      </c>
      <c r="X1179" t="s">
        <v>9418</v>
      </c>
      <c r="Y1179">
        <v>4982</v>
      </c>
      <c r="Z1179">
        <v>453</v>
      </c>
      <c r="AA1179">
        <v>540662</v>
      </c>
      <c r="AB1179">
        <v>0.89</v>
      </c>
    </row>
    <row r="1180" spans="1:28">
      <c r="A1180" s="2">
        <f>HYPERLINK("https://finance.naver.com/item/coinfo.nhn?code=078340", "A078340")</f>
        <v>0</v>
      </c>
      <c r="B1180">
        <f>HYPERLINK("http://comp.fnguide.com/SVO2/ASP/SVD_Consensus.asp?pGB=1&amp;gicode=A078340&amp;cID=&amp;MenuYn=Y&amp;ReportGB=&amp;NewMenuID=108&amp;stkGb=701", "컴투스")</f>
        <v>0</v>
      </c>
      <c r="C1180">
        <v>0</v>
      </c>
      <c r="D1180">
        <v>156500</v>
      </c>
      <c r="E1180">
        <v>-1.48</v>
      </c>
      <c r="F1180">
        <v>12.37</v>
      </c>
      <c r="G1180">
        <v>145159</v>
      </c>
      <c r="H1180">
        <v>103906</v>
      </c>
      <c r="I1180">
        <v>92151</v>
      </c>
      <c r="J1180">
        <v>7.25</v>
      </c>
      <c r="K1180">
        <v>33.61</v>
      </c>
      <c r="L1180">
        <v>41.12</v>
      </c>
      <c r="M1180">
        <v>15.12</v>
      </c>
      <c r="N1180" t="b">
        <v>1</v>
      </c>
      <c r="O1180">
        <v>8693</v>
      </c>
      <c r="P1180" t="s">
        <v>1189</v>
      </c>
      <c r="Q1180" t="s">
        <v>3040</v>
      </c>
      <c r="R1180">
        <v>-8.343042120225707</v>
      </c>
      <c r="S1180">
        <v>20136</v>
      </c>
      <c r="T1180">
        <v>644037</v>
      </c>
      <c r="U1180" t="s">
        <v>5160</v>
      </c>
      <c r="V1180">
        <v>29.45</v>
      </c>
      <c r="W1180" t="s">
        <v>7369</v>
      </c>
      <c r="X1180" t="s">
        <v>9419</v>
      </c>
      <c r="Y1180">
        <v>4693</v>
      </c>
      <c r="Z1180">
        <v>1260</v>
      </c>
      <c r="AA1180">
        <v>844041</v>
      </c>
      <c r="AB1180">
        <v>1.3</v>
      </c>
    </row>
    <row r="1181" spans="1:28">
      <c r="A1181" s="2">
        <f>HYPERLINK("https://finance.naver.com/item/coinfo.nhn?code=050110", "A050110")</f>
        <v>0</v>
      </c>
      <c r="B1181">
        <f>HYPERLINK("http://comp.fnguide.com/SVO2/ASP/SVD_Consensus.asp?pGB=1&amp;gicode=A050110&amp;cID=&amp;MenuYn=Y&amp;ReportGB=&amp;NewMenuID=108&amp;stkGb=701", "캠시스")</f>
        <v>0</v>
      </c>
      <c r="C1181">
        <v>0</v>
      </c>
      <c r="D1181">
        <v>2815</v>
      </c>
      <c r="E1181">
        <v>-1.34</v>
      </c>
      <c r="F1181">
        <v>105.48</v>
      </c>
      <c r="G1181">
        <v>1106</v>
      </c>
      <c r="H1181">
        <v>1329</v>
      </c>
      <c r="I1181">
        <v>1392</v>
      </c>
      <c r="J1181">
        <v>60.72</v>
      </c>
      <c r="K1181">
        <v>52.79</v>
      </c>
      <c r="L1181">
        <v>50.53</v>
      </c>
      <c r="M1181">
        <v>5.97</v>
      </c>
      <c r="N1181" t="b">
        <v>0</v>
      </c>
      <c r="O1181">
        <v>29</v>
      </c>
      <c r="P1181" t="s">
        <v>1190</v>
      </c>
      <c r="Q1181" t="s">
        <v>3257</v>
      </c>
      <c r="R1181">
        <v>-78.67466295694251</v>
      </c>
      <c r="S1181">
        <v>1936</v>
      </c>
      <c r="T1181">
        <v>1297587</v>
      </c>
      <c r="U1181" t="s">
        <v>5161</v>
      </c>
      <c r="V1181">
        <v>20.18</v>
      </c>
      <c r="W1181" t="s">
        <v>7370</v>
      </c>
      <c r="X1181" t="s">
        <v>9420</v>
      </c>
      <c r="Y1181">
        <v>6848</v>
      </c>
      <c r="Z1181">
        <v>160</v>
      </c>
      <c r="AA1181">
        <v>585217</v>
      </c>
    </row>
    <row r="1182" spans="1:28">
      <c r="A1182" s="2">
        <f>HYPERLINK("https://finance.naver.com/item/coinfo.nhn?code=180400", "A180400")</f>
        <v>0</v>
      </c>
      <c r="B1182">
        <f>HYPERLINK("http://comp.fnguide.com/SVO2/ASP/SVD_Consensus.asp?pGB=1&amp;gicode=A180400&amp;cID=&amp;MenuYn=Y&amp;ReportGB=&amp;NewMenuID=108&amp;stkGb=701", "캔서롭")</f>
        <v>0</v>
      </c>
      <c r="C1182">
        <v>0</v>
      </c>
      <c r="D1182">
        <v>7740</v>
      </c>
      <c r="E1182">
        <v>0</v>
      </c>
      <c r="G1182">
        <v>0</v>
      </c>
      <c r="H1182">
        <v>635</v>
      </c>
      <c r="I1182">
        <v>816</v>
      </c>
      <c r="J1182">
        <v>100</v>
      </c>
      <c r="K1182">
        <v>91.79000000000001</v>
      </c>
      <c r="L1182">
        <v>89.45</v>
      </c>
      <c r="M1182">
        <v>0</v>
      </c>
      <c r="N1182" t="b">
        <v>0</v>
      </c>
      <c r="O1182">
        <v>-748</v>
      </c>
      <c r="P1182" t="s">
        <v>1191</v>
      </c>
      <c r="Q1182" t="s">
        <v>2276</v>
      </c>
      <c r="R1182">
        <v>0</v>
      </c>
      <c r="S1182">
        <v>1786</v>
      </c>
      <c r="T1182">
        <v>0</v>
      </c>
      <c r="U1182" t="s">
        <v>5162</v>
      </c>
      <c r="V1182">
        <v>13.23</v>
      </c>
      <c r="W1182" t="s">
        <v>7371</v>
      </c>
      <c r="X1182" t="s">
        <v>968</v>
      </c>
      <c r="Y1182">
        <v>58</v>
      </c>
      <c r="Z1182">
        <v>-70</v>
      </c>
      <c r="AA1182">
        <v>736</v>
      </c>
    </row>
    <row r="1183" spans="1:28">
      <c r="A1183" s="2">
        <f>HYPERLINK("https://finance.naver.com/item/coinfo.nhn?code=036690", "A036690")</f>
        <v>0</v>
      </c>
      <c r="B1183">
        <f>HYPERLINK("http://comp.fnguide.com/SVO2/ASP/SVD_Consensus.asp?pGB=1&amp;gicode=A036690&amp;cID=&amp;MenuYn=Y&amp;ReportGB=&amp;NewMenuID=108&amp;stkGb=701", "코맥스")</f>
        <v>0</v>
      </c>
      <c r="C1183">
        <v>0</v>
      </c>
      <c r="D1183">
        <v>5210</v>
      </c>
      <c r="E1183">
        <v>-0.89</v>
      </c>
      <c r="F1183">
        <v>16.57</v>
      </c>
      <c r="G1183">
        <v>3775</v>
      </c>
      <c r="H1183">
        <v>4325</v>
      </c>
      <c r="I1183">
        <v>4481</v>
      </c>
      <c r="J1183">
        <v>27.54</v>
      </c>
      <c r="K1183">
        <v>17</v>
      </c>
      <c r="L1183">
        <v>13.99</v>
      </c>
      <c r="M1183">
        <v>6.42</v>
      </c>
      <c r="N1183" t="b">
        <v>1</v>
      </c>
      <c r="O1183">
        <v>256</v>
      </c>
      <c r="P1183" t="s">
        <v>1192</v>
      </c>
      <c r="Q1183" t="s">
        <v>3258</v>
      </c>
      <c r="R1183">
        <v>-18.60477217274224</v>
      </c>
      <c r="S1183">
        <v>781</v>
      </c>
      <c r="T1183">
        <v>484712</v>
      </c>
      <c r="U1183" t="s">
        <v>5163</v>
      </c>
      <c r="V1183">
        <v>49.85</v>
      </c>
      <c r="W1183" t="s">
        <v>7372</v>
      </c>
      <c r="X1183" t="s">
        <v>9421</v>
      </c>
      <c r="Y1183">
        <v>1431</v>
      </c>
      <c r="Z1183">
        <v>64</v>
      </c>
      <c r="AA1183">
        <v>213523</v>
      </c>
      <c r="AB1183">
        <v>1.14</v>
      </c>
    </row>
    <row r="1184" spans="1:28">
      <c r="A1184" s="2">
        <f>HYPERLINK("https://finance.naver.com/item/coinfo.nhn?code=183300", "A183300")</f>
        <v>0</v>
      </c>
      <c r="B1184">
        <f>HYPERLINK("http://comp.fnguide.com/SVO2/ASP/SVD_Consensus.asp?pGB=1&amp;gicode=A183300&amp;cID=&amp;MenuYn=Y&amp;ReportGB=&amp;NewMenuID=108&amp;stkGb=701", "코미코")</f>
        <v>0</v>
      </c>
      <c r="C1184">
        <v>0</v>
      </c>
      <c r="D1184">
        <v>45950</v>
      </c>
      <c r="E1184">
        <v>0.54</v>
      </c>
      <c r="F1184">
        <v>11.09</v>
      </c>
      <c r="G1184">
        <v>41235</v>
      </c>
      <c r="H1184">
        <v>23446</v>
      </c>
      <c r="I1184">
        <v>18377</v>
      </c>
      <c r="J1184">
        <v>10.26</v>
      </c>
      <c r="K1184">
        <v>48.98</v>
      </c>
      <c r="L1184">
        <v>60.01</v>
      </c>
      <c r="M1184">
        <v>28.26</v>
      </c>
      <c r="N1184" t="b">
        <v>1</v>
      </c>
      <c r="O1184">
        <v>2515</v>
      </c>
      <c r="P1184" t="s">
        <v>1193</v>
      </c>
      <c r="Q1184" t="s">
        <v>3259</v>
      </c>
      <c r="R1184">
        <v>20.41704858885356</v>
      </c>
      <c r="S1184">
        <v>4443</v>
      </c>
      <c r="T1184">
        <v>91649</v>
      </c>
      <c r="U1184" t="s">
        <v>5164</v>
      </c>
      <c r="V1184">
        <v>36.2</v>
      </c>
      <c r="W1184" t="s">
        <v>7373</v>
      </c>
      <c r="X1184" t="s">
        <v>9422</v>
      </c>
      <c r="Y1184">
        <v>1735</v>
      </c>
      <c r="Z1184">
        <v>345</v>
      </c>
      <c r="AA1184">
        <v>37425</v>
      </c>
      <c r="AB1184">
        <v>1.43</v>
      </c>
    </row>
    <row r="1185" spans="1:28">
      <c r="A1185" s="2">
        <f>HYPERLINK("https://finance.naver.com/item/coinfo.nhn?code=041960", "A041960")</f>
        <v>0</v>
      </c>
      <c r="B1185">
        <f>HYPERLINK("http://comp.fnguide.com/SVO2/ASP/SVD_Consensus.asp?pGB=1&amp;gicode=A041960&amp;cID=&amp;MenuYn=Y&amp;ReportGB=&amp;NewMenuID=108&amp;stkGb=701", "코미팜")</f>
        <v>0</v>
      </c>
      <c r="C1185">
        <v>0</v>
      </c>
      <c r="D1185">
        <v>13100</v>
      </c>
      <c r="E1185">
        <v>0</v>
      </c>
      <c r="G1185">
        <v>0</v>
      </c>
      <c r="H1185">
        <v>689</v>
      </c>
      <c r="I1185">
        <v>886</v>
      </c>
      <c r="J1185">
        <v>100</v>
      </c>
      <c r="K1185">
        <v>94.73999999999999</v>
      </c>
      <c r="L1185">
        <v>93.23999999999999</v>
      </c>
      <c r="M1185">
        <v>0</v>
      </c>
      <c r="N1185" t="b">
        <v>0</v>
      </c>
      <c r="O1185">
        <v>-334</v>
      </c>
      <c r="P1185" t="s">
        <v>1194</v>
      </c>
      <c r="Q1185" t="s">
        <v>2276</v>
      </c>
      <c r="R1185">
        <v>0</v>
      </c>
      <c r="S1185">
        <v>8408</v>
      </c>
      <c r="T1185">
        <v>622960</v>
      </c>
      <c r="U1185" t="s">
        <v>5165</v>
      </c>
      <c r="V1185">
        <v>40.14</v>
      </c>
      <c r="W1185" t="s">
        <v>7374</v>
      </c>
      <c r="X1185" t="s">
        <v>968</v>
      </c>
      <c r="Y1185">
        <v>355</v>
      </c>
      <c r="Z1185">
        <v>-54</v>
      </c>
      <c r="AA1185">
        <v>298437</v>
      </c>
    </row>
    <row r="1186" spans="1:28">
      <c r="A1186" s="2">
        <f>HYPERLINK("https://finance.naver.com/item/coinfo.nhn?code=035200", "A035200")</f>
        <v>0</v>
      </c>
      <c r="B1186">
        <f>HYPERLINK("http://comp.fnguide.com/SVO2/ASP/SVD_Consensus.asp?pGB=1&amp;gicode=A035200&amp;cID=&amp;MenuYn=Y&amp;ReportGB=&amp;NewMenuID=108&amp;stkGb=701", "프럼파스트")</f>
        <v>0</v>
      </c>
      <c r="C1186">
        <v>0</v>
      </c>
      <c r="D1186">
        <v>5220</v>
      </c>
      <c r="E1186">
        <v>-1.99</v>
      </c>
      <c r="F1186">
        <v>27.24</v>
      </c>
      <c r="G1186">
        <v>2845</v>
      </c>
      <c r="H1186">
        <v>3589</v>
      </c>
      <c r="I1186">
        <v>3801</v>
      </c>
      <c r="J1186">
        <v>45.49</v>
      </c>
      <c r="K1186">
        <v>31.24</v>
      </c>
      <c r="L1186">
        <v>27.18</v>
      </c>
      <c r="M1186">
        <v>5.55</v>
      </c>
      <c r="N1186" t="b">
        <v>1</v>
      </c>
      <c r="O1186">
        <v>122</v>
      </c>
      <c r="P1186" t="s">
        <v>1195</v>
      </c>
      <c r="Q1186" t="s">
        <v>3260</v>
      </c>
      <c r="R1186">
        <v>-13.66257484862055</v>
      </c>
      <c r="S1186">
        <v>508</v>
      </c>
      <c r="T1186">
        <v>341039</v>
      </c>
      <c r="U1186" t="s">
        <v>5166</v>
      </c>
      <c r="V1186">
        <v>23.1</v>
      </c>
      <c r="W1186" t="s">
        <v>7375</v>
      </c>
      <c r="X1186" t="s">
        <v>9423</v>
      </c>
      <c r="Y1186">
        <v>294</v>
      </c>
      <c r="Z1186">
        <v>15</v>
      </c>
      <c r="AA1186">
        <v>1110726</v>
      </c>
    </row>
    <row r="1187" spans="1:28">
      <c r="A1187" s="2">
        <f>HYPERLINK("https://finance.naver.com/item/coinfo.nhn?code=222110", "A222110")</f>
        <v>0</v>
      </c>
      <c r="B1187">
        <f>HYPERLINK("http://comp.fnguide.com/SVO2/ASP/SVD_Consensus.asp?pGB=1&amp;gicode=A222110&amp;cID=&amp;MenuYn=Y&amp;ReportGB=&amp;NewMenuID=108&amp;stkGb=701", "팬젠")</f>
        <v>0</v>
      </c>
      <c r="C1187">
        <v>0</v>
      </c>
      <c r="D1187">
        <v>9740</v>
      </c>
      <c r="E1187">
        <v>0</v>
      </c>
      <c r="G1187">
        <v>0</v>
      </c>
      <c r="H1187">
        <v>1147</v>
      </c>
      <c r="I1187">
        <v>1473</v>
      </c>
      <c r="J1187">
        <v>100</v>
      </c>
      <c r="K1187">
        <v>88.23</v>
      </c>
      <c r="L1187">
        <v>84.87</v>
      </c>
      <c r="M1187">
        <v>0</v>
      </c>
      <c r="N1187" t="b">
        <v>0</v>
      </c>
      <c r="O1187">
        <v>-927</v>
      </c>
      <c r="P1187" t="s">
        <v>1196</v>
      </c>
      <c r="Q1187" t="s">
        <v>2276</v>
      </c>
      <c r="R1187">
        <v>0</v>
      </c>
      <c r="S1187">
        <v>939</v>
      </c>
      <c r="T1187">
        <v>36278</v>
      </c>
      <c r="U1187" t="s">
        <v>5167</v>
      </c>
      <c r="V1187">
        <v>32.77</v>
      </c>
      <c r="W1187" t="s">
        <v>7376</v>
      </c>
      <c r="X1187" t="s">
        <v>968</v>
      </c>
      <c r="Y1187">
        <v>29</v>
      </c>
      <c r="Z1187">
        <v>-80</v>
      </c>
    </row>
    <row r="1188" spans="1:28">
      <c r="A1188" s="2">
        <f>HYPERLINK("https://finance.naver.com/item/coinfo.nhn?code=246710", "A246710")</f>
        <v>0</v>
      </c>
      <c r="B1188">
        <f>HYPERLINK("http://comp.fnguide.com/SVO2/ASP/SVD_Consensus.asp?pGB=1&amp;gicode=A246710&amp;cID=&amp;MenuYn=Y&amp;ReportGB=&amp;NewMenuID=108&amp;stkGb=701", "티앤알바이오팹")</f>
        <v>0</v>
      </c>
      <c r="C1188">
        <v>0</v>
      </c>
      <c r="D1188">
        <v>20700</v>
      </c>
      <c r="E1188">
        <v>0</v>
      </c>
      <c r="G1188">
        <v>0</v>
      </c>
      <c r="H1188">
        <v>1772</v>
      </c>
      <c r="I1188">
        <v>2277</v>
      </c>
      <c r="J1188">
        <v>100</v>
      </c>
      <c r="K1188">
        <v>91.44</v>
      </c>
      <c r="L1188">
        <v>89</v>
      </c>
      <c r="M1188">
        <v>0</v>
      </c>
      <c r="N1188" t="b">
        <v>0</v>
      </c>
      <c r="O1188">
        <v>-753</v>
      </c>
      <c r="P1188" t="s">
        <v>1197</v>
      </c>
      <c r="Q1188" t="s">
        <v>2276</v>
      </c>
      <c r="R1188">
        <v>0</v>
      </c>
      <c r="S1188">
        <v>1740</v>
      </c>
      <c r="T1188">
        <v>535665</v>
      </c>
      <c r="U1188" t="s">
        <v>5168</v>
      </c>
      <c r="V1188">
        <v>32.16</v>
      </c>
      <c r="W1188" t="s">
        <v>7377</v>
      </c>
      <c r="X1188" t="s">
        <v>968</v>
      </c>
      <c r="Y1188">
        <v>13</v>
      </c>
      <c r="Z1188">
        <v>-69</v>
      </c>
    </row>
    <row r="1189" spans="1:28">
      <c r="A1189" s="2">
        <f>HYPERLINK("https://finance.naver.com/item/coinfo.nhn?code=064760", "A064760")</f>
        <v>0</v>
      </c>
      <c r="B1189">
        <f>HYPERLINK("http://comp.fnguide.com/SVO2/ASP/SVD_Consensus.asp?pGB=1&amp;gicode=A064760&amp;cID=&amp;MenuYn=Y&amp;ReportGB=&amp;NewMenuID=108&amp;stkGb=701", "티씨케이")</f>
        <v>0</v>
      </c>
      <c r="C1189">
        <v>0</v>
      </c>
      <c r="D1189">
        <v>104500</v>
      </c>
      <c r="E1189">
        <v>0.46</v>
      </c>
      <c r="F1189">
        <v>16.43</v>
      </c>
      <c r="G1189">
        <v>61241</v>
      </c>
      <c r="H1189">
        <v>35793</v>
      </c>
      <c r="I1189">
        <v>28542</v>
      </c>
      <c r="J1189">
        <v>41.4</v>
      </c>
      <c r="K1189">
        <v>65.75</v>
      </c>
      <c r="L1189">
        <v>72.69</v>
      </c>
      <c r="M1189">
        <v>25.84</v>
      </c>
      <c r="N1189" t="b">
        <v>1</v>
      </c>
      <c r="O1189">
        <v>4011</v>
      </c>
      <c r="P1189" t="s">
        <v>1198</v>
      </c>
      <c r="Q1189" t="s">
        <v>3261</v>
      </c>
      <c r="R1189">
        <v>35.49363315097926</v>
      </c>
      <c r="S1189">
        <v>12200</v>
      </c>
      <c r="T1189">
        <v>76680</v>
      </c>
      <c r="U1189" t="s">
        <v>5169</v>
      </c>
      <c r="V1189">
        <v>58.57</v>
      </c>
      <c r="W1189" t="s">
        <v>7378</v>
      </c>
      <c r="X1189" t="s">
        <v>9424</v>
      </c>
      <c r="Y1189">
        <v>1714</v>
      </c>
      <c r="Z1189">
        <v>592</v>
      </c>
      <c r="AB1189">
        <v>1.37</v>
      </c>
    </row>
    <row r="1190" spans="1:28">
      <c r="A1190" s="2">
        <f>HYPERLINK("https://finance.naver.com/item/coinfo.nhn?code=057680", "A057680")</f>
        <v>0</v>
      </c>
      <c r="B1190">
        <f>HYPERLINK("http://comp.fnguide.com/SVO2/ASP/SVD_Consensus.asp?pGB=1&amp;gicode=A057680&amp;cID=&amp;MenuYn=Y&amp;ReportGB=&amp;NewMenuID=108&amp;stkGb=701", "티사이언티픽")</f>
        <v>0</v>
      </c>
      <c r="C1190">
        <v>0</v>
      </c>
      <c r="D1190">
        <v>4205</v>
      </c>
      <c r="E1190">
        <v>-0.51</v>
      </c>
      <c r="F1190">
        <v>26.38</v>
      </c>
      <c r="G1190">
        <v>637</v>
      </c>
      <c r="H1190">
        <v>718</v>
      </c>
      <c r="I1190">
        <v>741</v>
      </c>
      <c r="J1190">
        <v>84.84999999999999</v>
      </c>
      <c r="K1190">
        <v>82.92</v>
      </c>
      <c r="L1190">
        <v>82.37</v>
      </c>
      <c r="M1190">
        <v>6.58</v>
      </c>
      <c r="N1190" t="b">
        <v>1</v>
      </c>
      <c r="O1190">
        <v>53</v>
      </c>
      <c r="P1190" t="s">
        <v>1199</v>
      </c>
      <c r="Q1190" t="s">
        <v>3262</v>
      </c>
      <c r="R1190">
        <v>-51.7921168272242</v>
      </c>
      <c r="S1190">
        <v>1969</v>
      </c>
      <c r="T1190">
        <v>772507</v>
      </c>
      <c r="U1190" t="s">
        <v>5170</v>
      </c>
      <c r="V1190">
        <v>21.03</v>
      </c>
      <c r="W1190" t="s">
        <v>7379</v>
      </c>
      <c r="X1190" t="s">
        <v>9425</v>
      </c>
      <c r="Y1190">
        <v>77</v>
      </c>
      <c r="Z1190">
        <v>20</v>
      </c>
      <c r="AA1190">
        <v>186001</v>
      </c>
    </row>
    <row r="1191" spans="1:28">
      <c r="A1191" s="2">
        <f>HYPERLINK("https://finance.naver.com/item/coinfo.nhn?code=033830", "A033830")</f>
        <v>0</v>
      </c>
      <c r="B1191">
        <f>HYPERLINK("http://comp.fnguide.com/SVO2/ASP/SVD_Consensus.asp?pGB=1&amp;gicode=A033830&amp;cID=&amp;MenuYn=Y&amp;ReportGB=&amp;NewMenuID=108&amp;stkGb=701", "티비씨")</f>
        <v>0</v>
      </c>
      <c r="C1191">
        <v>0</v>
      </c>
      <c r="D1191">
        <v>1235</v>
      </c>
      <c r="E1191">
        <v>3.74</v>
      </c>
      <c r="F1191">
        <v>21.73</v>
      </c>
      <c r="G1191">
        <v>607</v>
      </c>
      <c r="H1191">
        <v>946</v>
      </c>
      <c r="I1191">
        <v>1042</v>
      </c>
      <c r="J1191">
        <v>50.87</v>
      </c>
      <c r="K1191">
        <v>23.42</v>
      </c>
      <c r="L1191">
        <v>15.6</v>
      </c>
      <c r="M1191">
        <v>4.13</v>
      </c>
      <c r="N1191" t="b">
        <v>0</v>
      </c>
      <c r="O1191">
        <v>56</v>
      </c>
      <c r="P1191" t="s">
        <v>1200</v>
      </c>
      <c r="Q1191" t="s">
        <v>3263</v>
      </c>
      <c r="R1191">
        <v>5.812148794536842</v>
      </c>
      <c r="S1191">
        <v>1235</v>
      </c>
      <c r="T1191">
        <v>8991523</v>
      </c>
      <c r="U1191" t="s">
        <v>5171</v>
      </c>
      <c r="V1191">
        <v>33.81</v>
      </c>
      <c r="W1191" t="s">
        <v>7380</v>
      </c>
      <c r="X1191" t="s">
        <v>9426</v>
      </c>
      <c r="Y1191">
        <v>493</v>
      </c>
      <c r="Z1191">
        <v>52</v>
      </c>
      <c r="AA1191">
        <v>5464350</v>
      </c>
      <c r="AB1191">
        <v>1.32</v>
      </c>
    </row>
    <row r="1192" spans="1:28">
      <c r="A1192" s="2">
        <f>HYPERLINK("https://finance.naver.com/item/coinfo.nhn?code=322180", "A322180")</f>
        <v>0</v>
      </c>
      <c r="B1192">
        <f>HYPERLINK("http://comp.fnguide.com/SVO2/ASP/SVD_Consensus.asp?pGB=1&amp;gicode=A322180&amp;cID=&amp;MenuYn=Y&amp;ReportGB=&amp;NewMenuID=108&amp;stkGb=701", "티라유텍")</f>
        <v>0</v>
      </c>
      <c r="C1192">
        <v>0</v>
      </c>
      <c r="D1192">
        <v>13200</v>
      </c>
      <c r="E1192">
        <v>0</v>
      </c>
      <c r="F1192">
        <v>23.43</v>
      </c>
      <c r="G1192">
        <v>10768</v>
      </c>
      <c r="H1192">
        <v>7550</v>
      </c>
      <c r="I1192">
        <v>6633</v>
      </c>
      <c r="J1192">
        <v>18.43</v>
      </c>
      <c r="K1192">
        <v>42.8</v>
      </c>
      <c r="L1192">
        <v>49.75</v>
      </c>
      <c r="M1192">
        <v>15.86</v>
      </c>
      <c r="N1192" t="b">
        <v>1</v>
      </c>
      <c r="O1192">
        <v>634</v>
      </c>
      <c r="P1192" t="s">
        <v>1201</v>
      </c>
      <c r="Q1192" t="s">
        <v>3264</v>
      </c>
      <c r="R1192">
        <v>0</v>
      </c>
      <c r="S1192">
        <v>717</v>
      </c>
      <c r="T1192">
        <v>18148</v>
      </c>
      <c r="U1192" t="s">
        <v>5172</v>
      </c>
      <c r="V1192">
        <v>50.89</v>
      </c>
      <c r="W1192" t="s">
        <v>7381</v>
      </c>
      <c r="X1192" t="s">
        <v>9427</v>
      </c>
      <c r="Y1192">
        <v>285</v>
      </c>
      <c r="Z1192">
        <v>22</v>
      </c>
      <c r="AA1192">
        <v>186275</v>
      </c>
    </row>
    <row r="1193" spans="1:28">
      <c r="A1193" s="2">
        <f>HYPERLINK("https://finance.naver.com/item/coinfo.nhn?code=263750", "A263750")</f>
        <v>0</v>
      </c>
      <c r="B1193">
        <f>HYPERLINK("http://comp.fnguide.com/SVO2/ASP/SVD_Consensus.asp?pGB=1&amp;gicode=A263750&amp;cID=&amp;MenuYn=Y&amp;ReportGB=&amp;NewMenuID=108&amp;stkGb=701", "펄어비스")</f>
        <v>0</v>
      </c>
      <c r="C1193">
        <v>0</v>
      </c>
      <c r="D1193">
        <v>225800</v>
      </c>
      <c r="E1193">
        <v>0.26</v>
      </c>
      <c r="F1193">
        <v>15.28</v>
      </c>
      <c r="G1193">
        <v>191445</v>
      </c>
      <c r="H1193">
        <v>105533</v>
      </c>
      <c r="I1193">
        <v>81052</v>
      </c>
      <c r="J1193">
        <v>15.21</v>
      </c>
      <c r="K1193">
        <v>53.26</v>
      </c>
      <c r="L1193">
        <v>64.09999999999999</v>
      </c>
      <c r="M1193">
        <v>31.49</v>
      </c>
      <c r="N1193" t="b">
        <v>1</v>
      </c>
      <c r="O1193">
        <v>12120</v>
      </c>
      <c r="P1193" t="s">
        <v>1202</v>
      </c>
      <c r="Q1193" t="s">
        <v>3265</v>
      </c>
      <c r="R1193">
        <v>59.71087533674395</v>
      </c>
      <c r="S1193">
        <v>29534</v>
      </c>
      <c r="T1193">
        <v>107470</v>
      </c>
      <c r="U1193" t="s">
        <v>5173</v>
      </c>
      <c r="V1193">
        <v>49.85</v>
      </c>
      <c r="W1193" t="s">
        <v>7382</v>
      </c>
      <c r="X1193" t="s">
        <v>9428</v>
      </c>
      <c r="Y1193">
        <v>5359</v>
      </c>
      <c r="Z1193">
        <v>1506</v>
      </c>
      <c r="AA1193">
        <v>924667</v>
      </c>
    </row>
    <row r="1194" spans="1:28">
      <c r="A1194" s="2">
        <f>HYPERLINK("https://finance.naver.com/item/coinfo.nhn?code=026150", "A026150")</f>
        <v>0</v>
      </c>
      <c r="B1194">
        <f>HYPERLINK("http://comp.fnguide.com/SVO2/ASP/SVD_Consensus.asp?pGB=1&amp;gicode=A026150&amp;cID=&amp;MenuYn=Y&amp;ReportGB=&amp;NewMenuID=108&amp;stkGb=701", "특수건설")</f>
        <v>0</v>
      </c>
      <c r="C1194">
        <v>0</v>
      </c>
      <c r="D1194">
        <v>6870</v>
      </c>
      <c r="E1194">
        <v>3.25</v>
      </c>
      <c r="F1194">
        <v>121.93</v>
      </c>
      <c r="G1194">
        <v>612</v>
      </c>
      <c r="H1194">
        <v>3571</v>
      </c>
      <c r="I1194">
        <v>4413</v>
      </c>
      <c r="J1194">
        <v>91.09</v>
      </c>
      <c r="K1194">
        <v>48.03</v>
      </c>
      <c r="L1194">
        <v>35.76</v>
      </c>
      <c r="M1194">
        <v>0.88</v>
      </c>
      <c r="N1194" t="b">
        <v>0</v>
      </c>
      <c r="O1194">
        <v>52</v>
      </c>
      <c r="P1194" t="s">
        <v>1203</v>
      </c>
      <c r="Q1194" t="s">
        <v>3266</v>
      </c>
      <c r="R1194">
        <v>37.46307624309004</v>
      </c>
      <c r="S1194">
        <v>1073</v>
      </c>
      <c r="T1194">
        <v>351366</v>
      </c>
      <c r="U1194" t="s">
        <v>5174</v>
      </c>
      <c r="V1194">
        <v>28.53</v>
      </c>
      <c r="W1194" t="s">
        <v>7383</v>
      </c>
      <c r="X1194" t="s">
        <v>9429</v>
      </c>
      <c r="Y1194">
        <v>1932</v>
      </c>
      <c r="Z1194">
        <v>9</v>
      </c>
    </row>
    <row r="1195" spans="1:28">
      <c r="A1195" s="2">
        <f>HYPERLINK("https://finance.naver.com/item/coinfo.nhn?code=105550", "A105550")</f>
        <v>0</v>
      </c>
      <c r="B1195">
        <f>HYPERLINK("http://comp.fnguide.com/SVO2/ASP/SVD_Consensus.asp?pGB=1&amp;gicode=A105550&amp;cID=&amp;MenuYn=Y&amp;ReportGB=&amp;NewMenuID=108&amp;stkGb=701", "트루윈")</f>
        <v>0</v>
      </c>
      <c r="C1195">
        <v>0</v>
      </c>
      <c r="D1195">
        <v>3755</v>
      </c>
      <c r="E1195">
        <v>0</v>
      </c>
      <c r="G1195">
        <v>0</v>
      </c>
      <c r="H1195">
        <v>1252</v>
      </c>
      <c r="I1195">
        <v>1609</v>
      </c>
      <c r="J1195">
        <v>100</v>
      </c>
      <c r="K1195">
        <v>66.65000000000001</v>
      </c>
      <c r="L1195">
        <v>57.14</v>
      </c>
      <c r="M1195">
        <v>0</v>
      </c>
      <c r="N1195" t="b">
        <v>0</v>
      </c>
      <c r="O1195">
        <v>-265</v>
      </c>
      <c r="P1195" t="s">
        <v>1204</v>
      </c>
      <c r="Q1195" t="s">
        <v>2276</v>
      </c>
      <c r="R1195">
        <v>0</v>
      </c>
      <c r="S1195">
        <v>457</v>
      </c>
      <c r="T1195">
        <v>245693</v>
      </c>
      <c r="U1195" t="s">
        <v>5175</v>
      </c>
      <c r="V1195">
        <v>21.11</v>
      </c>
      <c r="W1195" t="s">
        <v>7384</v>
      </c>
      <c r="X1195" t="s">
        <v>968</v>
      </c>
      <c r="Y1195">
        <v>296</v>
      </c>
      <c r="Z1195">
        <v>-32</v>
      </c>
      <c r="AA1195">
        <v>274015</v>
      </c>
    </row>
    <row r="1196" spans="1:28">
      <c r="A1196" s="2">
        <f>HYPERLINK("https://finance.naver.com/item/coinfo.nhn?code=079970", "A079970")</f>
        <v>0</v>
      </c>
      <c r="B1196">
        <f>HYPERLINK("http://comp.fnguide.com/SVO2/ASP/SVD_Consensus.asp?pGB=1&amp;gicode=A079970&amp;cID=&amp;MenuYn=Y&amp;ReportGB=&amp;NewMenuID=108&amp;stkGb=701", "투비소프트")</f>
        <v>0</v>
      </c>
      <c r="C1196">
        <v>0</v>
      </c>
      <c r="D1196">
        <v>3335</v>
      </c>
      <c r="E1196">
        <v>0</v>
      </c>
      <c r="G1196">
        <v>0</v>
      </c>
      <c r="H1196">
        <v>906</v>
      </c>
      <c r="I1196">
        <v>1164</v>
      </c>
      <c r="J1196">
        <v>100</v>
      </c>
      <c r="K1196">
        <v>72.83</v>
      </c>
      <c r="L1196">
        <v>65.08</v>
      </c>
      <c r="M1196">
        <v>0</v>
      </c>
      <c r="N1196" t="b">
        <v>0</v>
      </c>
      <c r="O1196">
        <v>-772</v>
      </c>
      <c r="P1196" t="s">
        <v>1205</v>
      </c>
      <c r="Q1196" t="s">
        <v>2276</v>
      </c>
      <c r="R1196">
        <v>0</v>
      </c>
      <c r="S1196">
        <v>1061</v>
      </c>
      <c r="T1196">
        <v>4525120</v>
      </c>
      <c r="U1196" t="s">
        <v>5176</v>
      </c>
      <c r="V1196">
        <v>16.04</v>
      </c>
      <c r="W1196" t="s">
        <v>7385</v>
      </c>
      <c r="X1196" t="s">
        <v>968</v>
      </c>
      <c r="Y1196">
        <v>408</v>
      </c>
      <c r="Z1196">
        <v>-108</v>
      </c>
      <c r="AA1196">
        <v>312202</v>
      </c>
    </row>
    <row r="1197" spans="1:28">
      <c r="A1197" s="2">
        <f>HYPERLINK("https://finance.naver.com/item/coinfo.nhn?code=087010", "A087010")</f>
        <v>0</v>
      </c>
      <c r="B1197">
        <f>HYPERLINK("http://comp.fnguide.com/SVO2/ASP/SVD_Consensus.asp?pGB=1&amp;gicode=A087010&amp;cID=&amp;MenuYn=Y&amp;ReportGB=&amp;NewMenuID=108&amp;stkGb=701", "펩트론")</f>
        <v>0</v>
      </c>
      <c r="C1197">
        <v>0</v>
      </c>
      <c r="D1197">
        <v>15900</v>
      </c>
      <c r="E1197">
        <v>0</v>
      </c>
      <c r="G1197">
        <v>0</v>
      </c>
      <c r="H1197">
        <v>1102</v>
      </c>
      <c r="I1197">
        <v>1415</v>
      </c>
      <c r="J1197">
        <v>100</v>
      </c>
      <c r="K1197">
        <v>93.06999999999999</v>
      </c>
      <c r="L1197">
        <v>91.09999999999999</v>
      </c>
      <c r="M1197">
        <v>0</v>
      </c>
      <c r="N1197" t="b">
        <v>0</v>
      </c>
      <c r="O1197">
        <v>-1156</v>
      </c>
      <c r="P1197" t="s">
        <v>1206</v>
      </c>
      <c r="Q1197" t="s">
        <v>2276</v>
      </c>
      <c r="R1197">
        <v>0</v>
      </c>
      <c r="S1197">
        <v>3280</v>
      </c>
      <c r="T1197">
        <v>459378</v>
      </c>
      <c r="U1197" t="s">
        <v>5177</v>
      </c>
      <c r="V1197">
        <v>11.21</v>
      </c>
      <c r="W1197" t="s">
        <v>7386</v>
      </c>
      <c r="X1197" t="s">
        <v>968</v>
      </c>
      <c r="Y1197">
        <v>18</v>
      </c>
      <c r="Z1197">
        <v>-127</v>
      </c>
    </row>
    <row r="1198" spans="1:28">
      <c r="A1198" s="2">
        <f>HYPERLINK("https://finance.naver.com/item/coinfo.nhn?code=045340", "A045340")</f>
        <v>0</v>
      </c>
      <c r="B1198">
        <f>HYPERLINK("http://comp.fnguide.com/SVO2/ASP/SVD_Consensus.asp?pGB=1&amp;gicode=A045340&amp;cID=&amp;MenuYn=Y&amp;ReportGB=&amp;NewMenuID=108&amp;stkGb=701", "토탈소프트")</f>
        <v>0</v>
      </c>
      <c r="C1198">
        <v>0</v>
      </c>
      <c r="D1198">
        <v>4555</v>
      </c>
      <c r="E1198">
        <v>0.37</v>
      </c>
      <c r="F1198">
        <v>10.54</v>
      </c>
      <c r="G1198">
        <v>4285</v>
      </c>
      <c r="H1198">
        <v>2497</v>
      </c>
      <c r="I1198">
        <v>1987</v>
      </c>
      <c r="J1198">
        <v>5.94</v>
      </c>
      <c r="K1198">
        <v>45.19</v>
      </c>
      <c r="L1198">
        <v>56.38</v>
      </c>
      <c r="M1198">
        <v>26.09</v>
      </c>
      <c r="N1198" t="b">
        <v>1</v>
      </c>
      <c r="O1198">
        <v>301</v>
      </c>
      <c r="P1198" t="s">
        <v>1207</v>
      </c>
      <c r="Q1198" t="s">
        <v>3267</v>
      </c>
      <c r="R1198">
        <v>28.24793601310695</v>
      </c>
      <c r="S1198">
        <v>390</v>
      </c>
      <c r="T1198">
        <v>1267501</v>
      </c>
      <c r="U1198" t="s">
        <v>5178</v>
      </c>
      <c r="V1198">
        <v>30.73</v>
      </c>
      <c r="W1198" t="s">
        <v>7387</v>
      </c>
      <c r="X1198" t="s">
        <v>9430</v>
      </c>
      <c r="Y1198">
        <v>118</v>
      </c>
      <c r="Z1198">
        <v>24</v>
      </c>
    </row>
    <row r="1199" spans="1:28">
      <c r="A1199" s="2">
        <f>HYPERLINK("https://finance.naver.com/item/coinfo.nhn?code=215480", "A215480")</f>
        <v>0</v>
      </c>
      <c r="B1199">
        <f>HYPERLINK("http://comp.fnguide.com/SVO2/ASP/SVD_Consensus.asp?pGB=1&amp;gicode=A215480&amp;cID=&amp;MenuYn=Y&amp;ReportGB=&amp;NewMenuID=108&amp;stkGb=701", "토박스코리아")</f>
        <v>0</v>
      </c>
      <c r="C1199">
        <v>0</v>
      </c>
      <c r="D1199">
        <v>1325</v>
      </c>
      <c r="E1199">
        <v>-6.2</v>
      </c>
      <c r="F1199">
        <v>360.15</v>
      </c>
      <c r="G1199">
        <v>63</v>
      </c>
      <c r="H1199">
        <v>335</v>
      </c>
      <c r="I1199">
        <v>413</v>
      </c>
      <c r="J1199">
        <v>95.23999999999999</v>
      </c>
      <c r="K1199">
        <v>74.70999999999999</v>
      </c>
      <c r="L1199">
        <v>68.86</v>
      </c>
      <c r="M1199">
        <v>0.97</v>
      </c>
      <c r="N1199" t="b">
        <v>0</v>
      </c>
      <c r="O1199">
        <v>4</v>
      </c>
      <c r="P1199" t="s">
        <v>1208</v>
      </c>
      <c r="Q1199" t="s">
        <v>3268</v>
      </c>
      <c r="R1199">
        <v>-58.12064947972571</v>
      </c>
      <c r="S1199">
        <v>558</v>
      </c>
      <c r="T1199">
        <v>5597634</v>
      </c>
      <c r="U1199" t="s">
        <v>5179</v>
      </c>
      <c r="V1199">
        <v>19.75</v>
      </c>
      <c r="W1199" t="s">
        <v>7388</v>
      </c>
      <c r="X1199" t="s">
        <v>9431</v>
      </c>
      <c r="Y1199">
        <v>284</v>
      </c>
      <c r="Z1199">
        <v>11</v>
      </c>
      <c r="AA1199">
        <v>1025889</v>
      </c>
    </row>
    <row r="1200" spans="1:28">
      <c r="A1200" s="2">
        <f>HYPERLINK("https://finance.naver.com/item/coinfo.nhn?code=200230", "A200230")</f>
        <v>0</v>
      </c>
      <c r="B1200">
        <f>HYPERLINK("http://comp.fnguide.com/SVO2/ASP/SVD_Consensus.asp?pGB=1&amp;gicode=A200230&amp;cID=&amp;MenuYn=Y&amp;ReportGB=&amp;NewMenuID=108&amp;stkGb=701", "텔콘RF제약")</f>
        <v>0</v>
      </c>
      <c r="C1200">
        <v>0</v>
      </c>
      <c r="D1200">
        <v>6320</v>
      </c>
      <c r="E1200">
        <v>0</v>
      </c>
      <c r="G1200">
        <v>0</v>
      </c>
      <c r="H1200">
        <v>789</v>
      </c>
      <c r="I1200">
        <v>1014</v>
      </c>
      <c r="J1200">
        <v>100</v>
      </c>
      <c r="K1200">
        <v>87.51000000000001</v>
      </c>
      <c r="L1200">
        <v>83.95999999999999</v>
      </c>
      <c r="M1200">
        <v>0</v>
      </c>
      <c r="N1200" t="b">
        <v>0</v>
      </c>
      <c r="O1200">
        <v>-619</v>
      </c>
      <c r="P1200" t="s">
        <v>1209</v>
      </c>
      <c r="Q1200" t="s">
        <v>2276</v>
      </c>
      <c r="R1200">
        <v>0</v>
      </c>
      <c r="S1200">
        <v>5486</v>
      </c>
      <c r="T1200">
        <v>1579981</v>
      </c>
      <c r="U1200" t="s">
        <v>5180</v>
      </c>
      <c r="V1200">
        <v>8.380000000000001</v>
      </c>
      <c r="W1200" t="s">
        <v>7389</v>
      </c>
      <c r="X1200" t="s">
        <v>968</v>
      </c>
      <c r="Y1200">
        <v>566</v>
      </c>
      <c r="Z1200">
        <v>30</v>
      </c>
    </row>
    <row r="1201" spans="1:28">
      <c r="A1201" s="2">
        <f>HYPERLINK("https://finance.naver.com/item/coinfo.nhn?code=054450", "A054450")</f>
        <v>0</v>
      </c>
      <c r="B1201">
        <f>HYPERLINK("http://comp.fnguide.com/SVO2/ASP/SVD_Consensus.asp?pGB=1&amp;gicode=A054450&amp;cID=&amp;MenuYn=Y&amp;ReportGB=&amp;NewMenuID=108&amp;stkGb=701", "텔레칩스")</f>
        <v>0</v>
      </c>
      <c r="C1201">
        <v>0</v>
      </c>
      <c r="D1201">
        <v>12250</v>
      </c>
      <c r="E1201">
        <v>0.4</v>
      </c>
      <c r="F1201">
        <v>17.13</v>
      </c>
      <c r="G1201">
        <v>8153</v>
      </c>
      <c r="H1201">
        <v>8190</v>
      </c>
      <c r="I1201">
        <v>8201</v>
      </c>
      <c r="J1201">
        <v>33.44</v>
      </c>
      <c r="K1201">
        <v>33.14</v>
      </c>
      <c r="L1201">
        <v>33.05</v>
      </c>
      <c r="M1201">
        <v>7.91</v>
      </c>
      <c r="N1201" t="b">
        <v>1</v>
      </c>
      <c r="O1201">
        <v>616</v>
      </c>
      <c r="P1201" t="s">
        <v>1210</v>
      </c>
      <c r="Q1201" t="s">
        <v>3269</v>
      </c>
      <c r="R1201">
        <v>42.55134295697194</v>
      </c>
      <c r="S1201">
        <v>1654</v>
      </c>
      <c r="T1201">
        <v>601616</v>
      </c>
      <c r="U1201" t="s">
        <v>5181</v>
      </c>
      <c r="V1201">
        <v>22.89</v>
      </c>
      <c r="W1201" t="s">
        <v>7390</v>
      </c>
      <c r="X1201" t="s">
        <v>9432</v>
      </c>
      <c r="Y1201">
        <v>1322</v>
      </c>
      <c r="Z1201">
        <v>76</v>
      </c>
      <c r="AA1201">
        <v>967830</v>
      </c>
      <c r="AB1201">
        <v>1.14</v>
      </c>
    </row>
    <row r="1202" spans="1:28">
      <c r="A1202" s="2">
        <f>HYPERLINK("https://finance.naver.com/item/coinfo.nhn?code=119500", "A119500")</f>
        <v>0</v>
      </c>
      <c r="B1202">
        <f>HYPERLINK("http://comp.fnguide.com/SVO2/ASP/SVD_Consensus.asp?pGB=1&amp;gicode=A119500&amp;cID=&amp;MenuYn=Y&amp;ReportGB=&amp;NewMenuID=108&amp;stkGb=701", "포메탈")</f>
        <v>0</v>
      </c>
      <c r="C1202">
        <v>0</v>
      </c>
      <c r="D1202">
        <v>3625</v>
      </c>
      <c r="E1202">
        <v>0.9399999999999999</v>
      </c>
      <c r="F1202">
        <v>15.76</v>
      </c>
      <c r="G1202">
        <v>2431</v>
      </c>
      <c r="H1202">
        <v>3237</v>
      </c>
      <c r="I1202">
        <v>3467</v>
      </c>
      <c r="J1202">
        <v>32.94</v>
      </c>
      <c r="K1202">
        <v>10.69</v>
      </c>
      <c r="L1202">
        <v>4.36</v>
      </c>
      <c r="M1202">
        <v>5.14</v>
      </c>
      <c r="N1202" t="b">
        <v>1</v>
      </c>
      <c r="O1202">
        <v>186</v>
      </c>
      <c r="P1202" t="s">
        <v>1211</v>
      </c>
      <c r="Q1202" t="s">
        <v>3270</v>
      </c>
      <c r="R1202">
        <v>16.71763998428328</v>
      </c>
      <c r="S1202">
        <v>429</v>
      </c>
      <c r="T1202">
        <v>485995</v>
      </c>
      <c r="U1202" t="s">
        <v>5182</v>
      </c>
      <c r="V1202">
        <v>34.2</v>
      </c>
      <c r="W1202" t="s">
        <v>7391</v>
      </c>
      <c r="X1202" t="s">
        <v>9433</v>
      </c>
      <c r="Y1202">
        <v>516</v>
      </c>
      <c r="Z1202">
        <v>21</v>
      </c>
      <c r="AB1202">
        <v>2.05</v>
      </c>
    </row>
    <row r="1203" spans="1:28">
      <c r="A1203" s="2">
        <f>HYPERLINK("https://finance.naver.com/item/coinfo.nhn?code=089030", "A089030")</f>
        <v>0</v>
      </c>
      <c r="B1203">
        <f>HYPERLINK("http://comp.fnguide.com/SVO2/ASP/SVD_Consensus.asp?pGB=1&amp;gicode=A089030&amp;cID=&amp;MenuYn=Y&amp;ReportGB=&amp;NewMenuID=108&amp;stkGb=701", "테크윙")</f>
        <v>0</v>
      </c>
      <c r="C1203">
        <v>0</v>
      </c>
      <c r="D1203">
        <v>19950</v>
      </c>
      <c r="E1203">
        <v>-1.94</v>
      </c>
      <c r="F1203">
        <v>24.74</v>
      </c>
      <c r="G1203">
        <v>14479</v>
      </c>
      <c r="H1203">
        <v>11405</v>
      </c>
      <c r="I1203">
        <v>10529</v>
      </c>
      <c r="J1203">
        <v>27.42</v>
      </c>
      <c r="K1203">
        <v>42.83</v>
      </c>
      <c r="L1203">
        <v>47.22</v>
      </c>
      <c r="M1203">
        <v>12.33</v>
      </c>
      <c r="N1203" t="b">
        <v>1</v>
      </c>
      <c r="O1203">
        <v>562</v>
      </c>
      <c r="P1203" t="s">
        <v>1212</v>
      </c>
      <c r="Q1203" t="s">
        <v>3271</v>
      </c>
      <c r="R1203">
        <v>-12.76040312105783</v>
      </c>
      <c r="S1203">
        <v>3854</v>
      </c>
      <c r="T1203">
        <v>434840</v>
      </c>
      <c r="U1203" t="s">
        <v>5183</v>
      </c>
      <c r="V1203">
        <v>21.66</v>
      </c>
      <c r="W1203" t="s">
        <v>7392</v>
      </c>
      <c r="X1203" t="s">
        <v>9434</v>
      </c>
      <c r="Y1203">
        <v>1869</v>
      </c>
      <c r="Z1203">
        <v>244</v>
      </c>
      <c r="AA1203">
        <v>595865</v>
      </c>
      <c r="AB1203">
        <v>1.65</v>
      </c>
    </row>
    <row r="1204" spans="1:28">
      <c r="A1204" s="2">
        <f>HYPERLINK("https://finance.naver.com/item/coinfo.nhn?code=131970", "A131970")</f>
        <v>0</v>
      </c>
      <c r="B1204">
        <f>HYPERLINK("http://comp.fnguide.com/SVO2/ASP/SVD_Consensus.asp?pGB=1&amp;gicode=A131970&amp;cID=&amp;MenuYn=Y&amp;ReportGB=&amp;NewMenuID=108&amp;stkGb=701", "테스나")</f>
        <v>0</v>
      </c>
      <c r="C1204">
        <v>0</v>
      </c>
      <c r="D1204">
        <v>43150</v>
      </c>
      <c r="E1204">
        <v>0.13</v>
      </c>
      <c r="F1204">
        <v>16.56</v>
      </c>
      <c r="G1204">
        <v>25737</v>
      </c>
      <c r="H1204">
        <v>16961</v>
      </c>
      <c r="I1204">
        <v>14460</v>
      </c>
      <c r="J1204">
        <v>40.35</v>
      </c>
      <c r="K1204">
        <v>60.69</v>
      </c>
      <c r="L1204">
        <v>66.48999999999999</v>
      </c>
      <c r="M1204">
        <v>18.43</v>
      </c>
      <c r="N1204" t="b">
        <v>1</v>
      </c>
      <c r="O1204">
        <v>1549</v>
      </c>
      <c r="P1204" t="s">
        <v>1213</v>
      </c>
      <c r="Q1204" t="s">
        <v>3272</v>
      </c>
      <c r="R1204">
        <v>128.3274743873558</v>
      </c>
      <c r="S1204">
        <v>6369</v>
      </c>
      <c r="T1204">
        <v>366828</v>
      </c>
      <c r="U1204" t="s">
        <v>5184</v>
      </c>
      <c r="V1204">
        <v>19.71</v>
      </c>
      <c r="W1204" t="s">
        <v>7393</v>
      </c>
      <c r="X1204" t="s">
        <v>9435</v>
      </c>
      <c r="Y1204">
        <v>968</v>
      </c>
      <c r="Z1204">
        <v>242</v>
      </c>
      <c r="AA1204">
        <v>88705</v>
      </c>
      <c r="AB1204">
        <v>0.39</v>
      </c>
    </row>
    <row r="1205" spans="1:28">
      <c r="A1205" s="2">
        <f>HYPERLINK("https://finance.naver.com/item/coinfo.nhn?code=095610", "A095610")</f>
        <v>0</v>
      </c>
      <c r="B1205">
        <f>HYPERLINK("http://comp.fnguide.com/SVO2/ASP/SVD_Consensus.asp?pGB=1&amp;gicode=A095610&amp;cID=&amp;MenuYn=Y&amp;ReportGB=&amp;NewMenuID=108&amp;stkGb=701", "테스")</f>
        <v>0</v>
      </c>
      <c r="C1205">
        <v>0</v>
      </c>
      <c r="D1205">
        <v>28900</v>
      </c>
      <c r="E1205">
        <v>3.12</v>
      </c>
      <c r="F1205">
        <v>50.68</v>
      </c>
      <c r="G1205">
        <v>20620</v>
      </c>
      <c r="H1205">
        <v>14961</v>
      </c>
      <c r="I1205">
        <v>13348</v>
      </c>
      <c r="J1205">
        <v>28.65</v>
      </c>
      <c r="K1205">
        <v>48.23</v>
      </c>
      <c r="L1205">
        <v>53.81</v>
      </c>
      <c r="M1205">
        <v>14.67</v>
      </c>
      <c r="N1205" t="b">
        <v>0</v>
      </c>
      <c r="O1205">
        <v>493</v>
      </c>
      <c r="P1205" t="s">
        <v>1214</v>
      </c>
      <c r="Q1205" t="s">
        <v>3273</v>
      </c>
      <c r="R1205">
        <v>16.23570143723898</v>
      </c>
      <c r="S1205">
        <v>5713</v>
      </c>
      <c r="T1205">
        <v>450469</v>
      </c>
      <c r="U1205" t="s">
        <v>5185</v>
      </c>
      <c r="V1205">
        <v>29.26</v>
      </c>
      <c r="W1205" t="s">
        <v>7394</v>
      </c>
      <c r="X1205" t="s">
        <v>9436</v>
      </c>
      <c r="Y1205">
        <v>1784</v>
      </c>
      <c r="Z1205">
        <v>117</v>
      </c>
      <c r="AA1205">
        <v>582464</v>
      </c>
      <c r="AB1205">
        <v>1.2</v>
      </c>
    </row>
    <row r="1206" spans="1:28">
      <c r="A1206" s="2">
        <f>HYPERLINK("https://finance.naver.com/item/coinfo.nhn?code=340570", "A340570")</f>
        <v>0</v>
      </c>
      <c r="B1206">
        <f>HYPERLINK("http://comp.fnguide.com/SVO2/ASP/SVD_Consensus.asp?pGB=1&amp;gicode=A340570&amp;cID=&amp;MenuYn=Y&amp;ReportGB=&amp;NewMenuID=108&amp;stkGb=701", "티앤엘")</f>
        <v>0</v>
      </c>
      <c r="C1206">
        <v>0</v>
      </c>
      <c r="D1206">
        <v>41750</v>
      </c>
      <c r="G1206">
        <v>16776</v>
      </c>
      <c r="H1206">
        <v>11605</v>
      </c>
      <c r="I1206">
        <v>10131</v>
      </c>
      <c r="J1206">
        <v>59.82</v>
      </c>
      <c r="K1206">
        <v>72.2</v>
      </c>
      <c r="L1206">
        <v>75.73</v>
      </c>
      <c r="M1206">
        <v>16.37</v>
      </c>
      <c r="N1206" t="b">
        <v>0</v>
      </c>
      <c r="O1206">
        <v>2277</v>
      </c>
      <c r="P1206" t="s">
        <v>1215</v>
      </c>
      <c r="Q1206" t="s">
        <v>3274</v>
      </c>
      <c r="R1206">
        <v>22.92536599736234</v>
      </c>
      <c r="S1206">
        <v>1697</v>
      </c>
      <c r="T1206">
        <v>256203</v>
      </c>
      <c r="U1206" t="s">
        <v>5186</v>
      </c>
      <c r="V1206">
        <v>56.63</v>
      </c>
      <c r="W1206" t="s">
        <v>7395</v>
      </c>
      <c r="X1206" t="s">
        <v>9437</v>
      </c>
      <c r="Y1206">
        <v>327</v>
      </c>
      <c r="Z1206">
        <v>77</v>
      </c>
    </row>
    <row r="1207" spans="1:28">
      <c r="A1207" s="2">
        <f>HYPERLINK("https://finance.naver.com/item/coinfo.nhn?code=277880", "A277880")</f>
        <v>0</v>
      </c>
      <c r="B1207">
        <f>HYPERLINK("http://comp.fnguide.com/SVO2/ASP/SVD_Consensus.asp?pGB=1&amp;gicode=A277880&amp;cID=&amp;MenuYn=Y&amp;ReportGB=&amp;NewMenuID=108&amp;stkGb=701", "티에스아이")</f>
        <v>0</v>
      </c>
      <c r="C1207">
        <v>0</v>
      </c>
      <c r="D1207">
        <v>11000</v>
      </c>
      <c r="E1207">
        <v>0</v>
      </c>
      <c r="G1207">
        <v>4089</v>
      </c>
      <c r="H1207">
        <v>3214</v>
      </c>
      <c r="I1207">
        <v>2965</v>
      </c>
      <c r="J1207">
        <v>62.83</v>
      </c>
      <c r="K1207">
        <v>70.78</v>
      </c>
      <c r="L1207">
        <v>73.05</v>
      </c>
      <c r="M1207">
        <v>12.38</v>
      </c>
      <c r="N1207" t="b">
        <v>0</v>
      </c>
      <c r="O1207">
        <v>-1602</v>
      </c>
      <c r="P1207" t="s">
        <v>1216</v>
      </c>
      <c r="Q1207" t="s">
        <v>3275</v>
      </c>
      <c r="R1207">
        <v>0</v>
      </c>
      <c r="S1207">
        <v>1019</v>
      </c>
      <c r="T1207">
        <v>600163</v>
      </c>
      <c r="U1207" t="s">
        <v>5187</v>
      </c>
      <c r="V1207">
        <v>44.52</v>
      </c>
      <c r="W1207" t="s">
        <v>7396</v>
      </c>
      <c r="X1207" t="s">
        <v>9438</v>
      </c>
      <c r="Y1207">
        <v>610</v>
      </c>
      <c r="Z1207">
        <v>58</v>
      </c>
    </row>
    <row r="1208" spans="1:28">
      <c r="A1208" s="2">
        <f>HYPERLINK("https://finance.naver.com/item/coinfo.nhn?code=068050", "A068050")</f>
        <v>0</v>
      </c>
      <c r="B1208">
        <f>HYPERLINK("http://comp.fnguide.com/SVO2/ASP/SVD_Consensus.asp?pGB=1&amp;gicode=A068050&amp;cID=&amp;MenuYn=Y&amp;ReportGB=&amp;NewMenuID=108&amp;stkGb=701", "팬엔터테인먼트")</f>
        <v>0</v>
      </c>
      <c r="C1208">
        <v>0</v>
      </c>
      <c r="D1208">
        <v>4390</v>
      </c>
      <c r="E1208">
        <v>0.27</v>
      </c>
      <c r="F1208">
        <v>63.23</v>
      </c>
      <c r="G1208">
        <v>266</v>
      </c>
      <c r="H1208">
        <v>1170</v>
      </c>
      <c r="I1208">
        <v>1427</v>
      </c>
      <c r="J1208">
        <v>93.93000000000001</v>
      </c>
      <c r="K1208">
        <v>73.36</v>
      </c>
      <c r="L1208">
        <v>67.48999999999999</v>
      </c>
      <c r="M1208">
        <v>1.2</v>
      </c>
      <c r="N1208" t="b">
        <v>0</v>
      </c>
      <c r="O1208">
        <v>42</v>
      </c>
      <c r="P1208" t="s">
        <v>1217</v>
      </c>
      <c r="Q1208" t="s">
        <v>3276</v>
      </c>
      <c r="R1208">
        <v>230.7</v>
      </c>
      <c r="S1208">
        <v>1196</v>
      </c>
      <c r="T1208">
        <v>5431026</v>
      </c>
      <c r="U1208" t="s">
        <v>5188</v>
      </c>
      <c r="V1208">
        <v>41.51</v>
      </c>
      <c r="W1208" t="s">
        <v>7397</v>
      </c>
      <c r="X1208" t="s">
        <v>9439</v>
      </c>
      <c r="Y1208">
        <v>402</v>
      </c>
      <c r="Z1208">
        <v>11</v>
      </c>
      <c r="AA1208">
        <v>238012</v>
      </c>
    </row>
    <row r="1209" spans="1:28">
      <c r="A1209" s="2">
        <f>HYPERLINK("https://finance.naver.com/item/coinfo.nhn?code=106240", "A106240")</f>
        <v>0</v>
      </c>
      <c r="B1209">
        <f>HYPERLINK("http://comp.fnguide.com/SVO2/ASP/SVD_Consensus.asp?pGB=1&amp;gicode=A106240&amp;cID=&amp;MenuYn=Y&amp;ReportGB=&amp;NewMenuID=108&amp;stkGb=701", "파인테크닉스")</f>
        <v>0</v>
      </c>
      <c r="C1209">
        <v>0</v>
      </c>
      <c r="D1209">
        <v>4140</v>
      </c>
      <c r="E1209">
        <v>-8.289999999999999</v>
      </c>
      <c r="F1209">
        <v>583.85</v>
      </c>
      <c r="G1209">
        <v>49</v>
      </c>
      <c r="H1209">
        <v>809</v>
      </c>
      <c r="I1209">
        <v>1026</v>
      </c>
      <c r="J1209">
        <v>98.83</v>
      </c>
      <c r="K1209">
        <v>80.45999999999999</v>
      </c>
      <c r="L1209">
        <v>75.23</v>
      </c>
      <c r="M1209">
        <v>0.29</v>
      </c>
      <c r="N1209" t="b">
        <v>0</v>
      </c>
      <c r="O1209">
        <v>7</v>
      </c>
      <c r="P1209" t="s">
        <v>1218</v>
      </c>
      <c r="Q1209" t="s">
        <v>3277</v>
      </c>
      <c r="R1209">
        <v>-70.42331999699765</v>
      </c>
      <c r="S1209">
        <v>1797</v>
      </c>
      <c r="T1209">
        <v>948334</v>
      </c>
      <c r="U1209" t="s">
        <v>5189</v>
      </c>
      <c r="V1209">
        <v>30.33</v>
      </c>
      <c r="W1209" t="s">
        <v>7398</v>
      </c>
      <c r="X1209" t="s">
        <v>9440</v>
      </c>
      <c r="Y1209">
        <v>1343</v>
      </c>
      <c r="Z1209">
        <v>69</v>
      </c>
      <c r="AA1209">
        <v>107239</v>
      </c>
    </row>
    <row r="1210" spans="1:28">
      <c r="A1210" s="2">
        <f>HYPERLINK("https://finance.naver.com/item/coinfo.nhn?code=170790", "A170790")</f>
        <v>0</v>
      </c>
      <c r="B1210">
        <f>HYPERLINK("http://comp.fnguide.com/SVO2/ASP/SVD_Consensus.asp?pGB=1&amp;gicode=A170790&amp;cID=&amp;MenuYn=Y&amp;ReportGB=&amp;NewMenuID=108&amp;stkGb=701", "파이오링크")</f>
        <v>0</v>
      </c>
      <c r="C1210">
        <v>0</v>
      </c>
      <c r="D1210">
        <v>12900</v>
      </c>
      <c r="E1210">
        <v>0.02</v>
      </c>
      <c r="F1210">
        <v>9.99</v>
      </c>
      <c r="G1210">
        <v>5930</v>
      </c>
      <c r="H1210">
        <v>5848</v>
      </c>
      <c r="I1210">
        <v>5825</v>
      </c>
      <c r="J1210">
        <v>54.03</v>
      </c>
      <c r="K1210">
        <v>54.67</v>
      </c>
      <c r="L1210">
        <v>54.85</v>
      </c>
      <c r="M1210">
        <v>8.16</v>
      </c>
      <c r="N1210" t="b">
        <v>1</v>
      </c>
      <c r="O1210">
        <v>820</v>
      </c>
      <c r="P1210" t="s">
        <v>1219</v>
      </c>
      <c r="Q1210" t="s">
        <v>3278</v>
      </c>
      <c r="R1210">
        <v>613.8150180543977</v>
      </c>
      <c r="S1210">
        <v>884</v>
      </c>
      <c r="T1210">
        <v>208905</v>
      </c>
      <c r="U1210" t="s">
        <v>5190</v>
      </c>
      <c r="V1210">
        <v>39.28</v>
      </c>
      <c r="W1210" t="s">
        <v>7399</v>
      </c>
      <c r="X1210" t="s">
        <v>9441</v>
      </c>
      <c r="Y1210">
        <v>351</v>
      </c>
      <c r="Z1210">
        <v>42</v>
      </c>
      <c r="AA1210">
        <v>176221</v>
      </c>
      <c r="AB1210">
        <v>1.22</v>
      </c>
    </row>
    <row r="1211" spans="1:28">
      <c r="A1211" s="2">
        <f>HYPERLINK("https://finance.naver.com/item/coinfo.nhn?code=150900", "A150900")</f>
        <v>0</v>
      </c>
      <c r="B1211">
        <f>HYPERLINK("http://comp.fnguide.com/SVO2/ASP/SVD_Consensus.asp?pGB=1&amp;gicode=A150900&amp;cID=&amp;MenuYn=Y&amp;ReportGB=&amp;NewMenuID=108&amp;stkGb=701", "파수")</f>
        <v>0</v>
      </c>
      <c r="C1211">
        <v>0</v>
      </c>
      <c r="D1211">
        <v>8030</v>
      </c>
      <c r="G1211">
        <v>441</v>
      </c>
      <c r="H1211">
        <v>1093</v>
      </c>
      <c r="I1211">
        <v>1279</v>
      </c>
      <c r="J1211">
        <v>94.51000000000001</v>
      </c>
      <c r="K1211">
        <v>86.39</v>
      </c>
      <c r="L1211">
        <v>84.08</v>
      </c>
      <c r="M1211">
        <v>2.3</v>
      </c>
      <c r="N1211" t="b">
        <v>0</v>
      </c>
      <c r="O1211">
        <v>-407</v>
      </c>
      <c r="P1211" t="s">
        <v>1220</v>
      </c>
      <c r="Q1211" t="s">
        <v>3279</v>
      </c>
      <c r="R1211">
        <v>33.09999999999999</v>
      </c>
      <c r="S1211">
        <v>896</v>
      </c>
      <c r="T1211">
        <v>163890</v>
      </c>
      <c r="U1211" t="s">
        <v>5191</v>
      </c>
      <c r="V1211">
        <v>26.07</v>
      </c>
      <c r="W1211" t="s">
        <v>7400</v>
      </c>
      <c r="X1211" t="s">
        <v>9442</v>
      </c>
      <c r="Y1211">
        <v>354</v>
      </c>
      <c r="Z1211">
        <v>-30</v>
      </c>
      <c r="AA1211">
        <v>210000</v>
      </c>
    </row>
    <row r="1212" spans="1:28">
      <c r="A1212" s="2">
        <f>HYPERLINK("https://finance.naver.com/item/coinfo.nhn?code=037070", "A037070")</f>
        <v>0</v>
      </c>
      <c r="B1212">
        <f>HYPERLINK("http://comp.fnguide.com/SVO2/ASP/SVD_Consensus.asp?pGB=1&amp;gicode=A037070&amp;cID=&amp;MenuYn=Y&amp;ReportGB=&amp;NewMenuID=108&amp;stkGb=701", "파세코")</f>
        <v>0</v>
      </c>
      <c r="C1212">
        <v>0</v>
      </c>
      <c r="D1212">
        <v>13050</v>
      </c>
      <c r="E1212">
        <v>0.72</v>
      </c>
      <c r="F1212">
        <v>14.42</v>
      </c>
      <c r="G1212">
        <v>6210</v>
      </c>
      <c r="H1212">
        <v>5736</v>
      </c>
      <c r="I1212">
        <v>5601</v>
      </c>
      <c r="J1212">
        <v>52.42</v>
      </c>
      <c r="K1212">
        <v>56.04</v>
      </c>
      <c r="L1212">
        <v>57.08</v>
      </c>
      <c r="M1212">
        <v>9.130000000000001</v>
      </c>
      <c r="N1212" t="b">
        <v>1</v>
      </c>
      <c r="O1212">
        <v>617</v>
      </c>
      <c r="P1212" t="s">
        <v>1221</v>
      </c>
      <c r="Q1212" t="s">
        <v>3280</v>
      </c>
      <c r="R1212">
        <v>20.06446312649983</v>
      </c>
      <c r="S1212">
        <v>1827</v>
      </c>
      <c r="T1212">
        <v>142762</v>
      </c>
      <c r="U1212" t="s">
        <v>5192</v>
      </c>
      <c r="V1212">
        <v>71.64</v>
      </c>
      <c r="W1212" t="s">
        <v>7401</v>
      </c>
      <c r="X1212" t="s">
        <v>9443</v>
      </c>
      <c r="Y1212">
        <v>1804</v>
      </c>
      <c r="Z1212">
        <v>108</v>
      </c>
      <c r="AA1212">
        <v>19394</v>
      </c>
      <c r="AB1212">
        <v>2.81</v>
      </c>
    </row>
    <row r="1213" spans="1:28">
      <c r="A1213" s="2">
        <f>HYPERLINK("https://finance.naver.com/item/coinfo.nhn?code=177830", "A177830")</f>
        <v>0</v>
      </c>
      <c r="B1213">
        <f>HYPERLINK("http://comp.fnguide.com/SVO2/ASP/SVD_Consensus.asp?pGB=1&amp;gicode=A177830&amp;cID=&amp;MenuYn=Y&amp;ReportGB=&amp;NewMenuID=108&amp;stkGb=701", "파버나인")</f>
        <v>0</v>
      </c>
      <c r="C1213">
        <v>0</v>
      </c>
      <c r="D1213">
        <v>5930</v>
      </c>
      <c r="G1213">
        <v>1416</v>
      </c>
      <c r="H1213">
        <v>2726</v>
      </c>
      <c r="I1213">
        <v>3100</v>
      </c>
      <c r="J1213">
        <v>76.13</v>
      </c>
      <c r="K1213">
        <v>54.03</v>
      </c>
      <c r="L1213">
        <v>47.73</v>
      </c>
      <c r="M1213">
        <v>3.14</v>
      </c>
      <c r="N1213" t="b">
        <v>0</v>
      </c>
      <c r="O1213">
        <v>-1142</v>
      </c>
      <c r="P1213" t="s">
        <v>1222</v>
      </c>
      <c r="Q1213" t="s">
        <v>3281</v>
      </c>
      <c r="R1213">
        <v>16.00853416882742</v>
      </c>
      <c r="S1213">
        <v>802</v>
      </c>
      <c r="T1213">
        <v>1593775</v>
      </c>
      <c r="U1213" t="s">
        <v>5193</v>
      </c>
      <c r="V1213">
        <v>27.95</v>
      </c>
      <c r="W1213" t="s">
        <v>7402</v>
      </c>
      <c r="X1213" t="s">
        <v>9444</v>
      </c>
      <c r="Y1213">
        <v>1036</v>
      </c>
      <c r="Z1213">
        <v>-50</v>
      </c>
      <c r="AA1213">
        <v>882255</v>
      </c>
    </row>
    <row r="1214" spans="1:28">
      <c r="A1214" s="2">
        <f>HYPERLINK("https://finance.naver.com/item/coinfo.nhn?code=208340", "A208340")</f>
        <v>0</v>
      </c>
      <c r="B1214">
        <f>HYPERLINK("http://comp.fnguide.com/SVO2/ASP/SVD_Consensus.asp?pGB=1&amp;gicode=A208340&amp;cID=&amp;MenuYn=Y&amp;ReportGB=&amp;NewMenuID=108&amp;stkGb=701", "파멥신")</f>
        <v>0</v>
      </c>
      <c r="C1214">
        <v>0</v>
      </c>
      <c r="D1214">
        <v>17800</v>
      </c>
      <c r="E1214">
        <v>0</v>
      </c>
      <c r="G1214">
        <v>0</v>
      </c>
      <c r="H1214">
        <v>2862</v>
      </c>
      <c r="I1214">
        <v>3677</v>
      </c>
      <c r="J1214">
        <v>100</v>
      </c>
      <c r="K1214">
        <v>83.92</v>
      </c>
      <c r="L1214">
        <v>79.34</v>
      </c>
      <c r="M1214">
        <v>0</v>
      </c>
      <c r="N1214" t="b">
        <v>0</v>
      </c>
      <c r="O1214">
        <v>-737</v>
      </c>
      <c r="P1214" t="s">
        <v>1223</v>
      </c>
      <c r="Q1214" t="s">
        <v>2276</v>
      </c>
      <c r="R1214">
        <v>0</v>
      </c>
      <c r="S1214">
        <v>2534</v>
      </c>
      <c r="T1214">
        <v>336187</v>
      </c>
      <c r="U1214" t="s">
        <v>5194</v>
      </c>
      <c r="V1214">
        <v>7.9</v>
      </c>
      <c r="W1214" t="s">
        <v>7403</v>
      </c>
      <c r="X1214" t="s">
        <v>968</v>
      </c>
      <c r="Y1214">
        <v>0</v>
      </c>
      <c r="Z1214">
        <v>-101</v>
      </c>
    </row>
    <row r="1215" spans="1:28">
      <c r="A1215" s="2">
        <f>HYPERLINK("https://finance.naver.com/item/coinfo.nhn?code=214450", "A214450")</f>
        <v>0</v>
      </c>
      <c r="B1215">
        <f>HYPERLINK("http://comp.fnguide.com/SVO2/ASP/SVD_Consensus.asp?pGB=1&amp;gicode=A214450&amp;cID=&amp;MenuYn=Y&amp;ReportGB=&amp;NewMenuID=108&amp;stkGb=701", "파마리서치프로덕트")</f>
        <v>0</v>
      </c>
      <c r="C1215">
        <v>0</v>
      </c>
      <c r="D1215">
        <v>56600</v>
      </c>
      <c r="E1215">
        <v>1.48</v>
      </c>
      <c r="F1215">
        <v>21.69</v>
      </c>
      <c r="G1215">
        <v>21421</v>
      </c>
      <c r="H1215">
        <v>21566</v>
      </c>
      <c r="I1215">
        <v>21607</v>
      </c>
      <c r="J1215">
        <v>62.15</v>
      </c>
      <c r="K1215">
        <v>61.9</v>
      </c>
      <c r="L1215">
        <v>61.83</v>
      </c>
      <c r="M1215">
        <v>7.88</v>
      </c>
      <c r="N1215" t="b">
        <v>1</v>
      </c>
      <c r="O1215">
        <v>1678</v>
      </c>
      <c r="P1215" t="s">
        <v>1224</v>
      </c>
      <c r="Q1215" t="s">
        <v>3282</v>
      </c>
      <c r="R1215">
        <v>14.6244907745283</v>
      </c>
      <c r="S1215">
        <v>5541</v>
      </c>
      <c r="T1215">
        <v>90586</v>
      </c>
      <c r="U1215" t="s">
        <v>5195</v>
      </c>
      <c r="V1215">
        <v>41.13</v>
      </c>
      <c r="W1215" t="s">
        <v>7404</v>
      </c>
      <c r="X1215" t="s">
        <v>9445</v>
      </c>
      <c r="Y1215">
        <v>839</v>
      </c>
      <c r="Z1215">
        <v>191</v>
      </c>
      <c r="AA1215">
        <v>136017</v>
      </c>
      <c r="AB1215">
        <v>0.82</v>
      </c>
    </row>
    <row r="1216" spans="1:28">
      <c r="A1216" s="2">
        <f>HYPERLINK("https://finance.naver.com/item/coinfo.nhn?code=043200", "A043200")</f>
        <v>0</v>
      </c>
      <c r="B1216">
        <f>HYPERLINK("http://comp.fnguide.com/SVO2/ASP/SVD_Consensus.asp?pGB=1&amp;gicode=A043200&amp;cID=&amp;MenuYn=Y&amp;ReportGB=&amp;NewMenuID=108&amp;stkGb=701", "파루")</f>
        <v>0</v>
      </c>
      <c r="C1216">
        <v>0</v>
      </c>
      <c r="D1216">
        <v>2975</v>
      </c>
      <c r="E1216">
        <v>-2.45</v>
      </c>
      <c r="F1216">
        <v>160.77</v>
      </c>
      <c r="G1216">
        <v>83</v>
      </c>
      <c r="H1216">
        <v>740</v>
      </c>
      <c r="I1216">
        <v>927</v>
      </c>
      <c r="J1216">
        <v>97.22</v>
      </c>
      <c r="K1216">
        <v>75.14</v>
      </c>
      <c r="L1216">
        <v>68.84999999999999</v>
      </c>
      <c r="M1216">
        <v>0.5600000000000001</v>
      </c>
      <c r="N1216" t="b">
        <v>0</v>
      </c>
      <c r="O1216">
        <v>13</v>
      </c>
      <c r="P1216" t="s">
        <v>1225</v>
      </c>
      <c r="Q1216" t="s">
        <v>3283</v>
      </c>
      <c r="R1216">
        <v>-65.59999999999999</v>
      </c>
      <c r="S1216">
        <v>1154</v>
      </c>
      <c r="T1216">
        <v>2057031</v>
      </c>
      <c r="U1216" t="s">
        <v>5196</v>
      </c>
      <c r="V1216">
        <v>19.27</v>
      </c>
      <c r="W1216" t="s">
        <v>7405</v>
      </c>
      <c r="X1216" t="s">
        <v>9446</v>
      </c>
      <c r="Y1216">
        <v>531</v>
      </c>
      <c r="Z1216">
        <v>2</v>
      </c>
      <c r="AA1216">
        <v>11583</v>
      </c>
    </row>
    <row r="1217" spans="1:28">
      <c r="A1217" s="2">
        <f>HYPERLINK("https://finance.naver.com/item/coinfo.nhn?code=033540", "A033540")</f>
        <v>0</v>
      </c>
      <c r="B1217">
        <f>HYPERLINK("http://comp.fnguide.com/SVO2/ASP/SVD_Consensus.asp?pGB=1&amp;gicode=A033540&amp;cID=&amp;MenuYn=Y&amp;ReportGB=&amp;NewMenuID=108&amp;stkGb=701", "파라텍")</f>
        <v>0</v>
      </c>
      <c r="C1217">
        <v>0</v>
      </c>
      <c r="D1217">
        <v>12600</v>
      </c>
      <c r="G1217">
        <v>1085</v>
      </c>
      <c r="H1217">
        <v>2370</v>
      </c>
      <c r="I1217">
        <v>2736</v>
      </c>
      <c r="J1217">
        <v>91.39</v>
      </c>
      <c r="K1217">
        <v>81.19</v>
      </c>
      <c r="L1217">
        <v>78.28</v>
      </c>
      <c r="M1217">
        <v>2.68</v>
      </c>
      <c r="N1217" t="b">
        <v>0</v>
      </c>
      <c r="O1217">
        <v>-1725</v>
      </c>
      <c r="P1217" t="s">
        <v>1226</v>
      </c>
      <c r="Q1217" t="s">
        <v>3284</v>
      </c>
      <c r="R1217">
        <v>-50.31873633957207</v>
      </c>
      <c r="S1217">
        <v>2140</v>
      </c>
      <c r="T1217">
        <v>266049</v>
      </c>
      <c r="U1217" t="s">
        <v>5197</v>
      </c>
      <c r="V1217">
        <v>34.22</v>
      </c>
      <c r="W1217" t="s">
        <v>7406</v>
      </c>
      <c r="X1217" t="s">
        <v>9447</v>
      </c>
      <c r="Y1217">
        <v>1266</v>
      </c>
      <c r="Z1217">
        <v>-370</v>
      </c>
      <c r="AA1217">
        <v>449892</v>
      </c>
    </row>
    <row r="1218" spans="1:28">
      <c r="A1218" s="2">
        <f>HYPERLINK("https://finance.naver.com/item/coinfo.nhn?code=034230", "A034230")</f>
        <v>0</v>
      </c>
      <c r="B1218">
        <f>HYPERLINK("http://comp.fnguide.com/SVO2/ASP/SVD_Consensus.asp?pGB=1&amp;gicode=A034230&amp;cID=&amp;MenuYn=Y&amp;ReportGB=&amp;NewMenuID=108&amp;stkGb=701", "파라다이스")</f>
        <v>0</v>
      </c>
      <c r="C1218">
        <v>0</v>
      </c>
      <c r="D1218">
        <v>15750</v>
      </c>
      <c r="E1218">
        <v>-7.67</v>
      </c>
      <c r="F1218">
        <v>118.91</v>
      </c>
      <c r="G1218">
        <v>1105</v>
      </c>
      <c r="H1218">
        <v>9337</v>
      </c>
      <c r="I1218">
        <v>11682</v>
      </c>
      <c r="J1218">
        <v>92.98</v>
      </c>
      <c r="K1218">
        <v>40.72</v>
      </c>
      <c r="L1218">
        <v>25.83</v>
      </c>
      <c r="M1218">
        <v>0.59</v>
      </c>
      <c r="N1218" t="b">
        <v>0</v>
      </c>
      <c r="O1218">
        <v>166</v>
      </c>
      <c r="P1218" t="s">
        <v>1227</v>
      </c>
      <c r="Q1218" t="s">
        <v>3285</v>
      </c>
      <c r="R1218">
        <v>-15.5</v>
      </c>
      <c r="S1218">
        <v>14323</v>
      </c>
      <c r="T1218">
        <v>928038</v>
      </c>
      <c r="U1218" t="s">
        <v>5198</v>
      </c>
      <c r="V1218">
        <v>46.38</v>
      </c>
      <c r="W1218" t="s">
        <v>7407</v>
      </c>
      <c r="X1218" t="s">
        <v>9448</v>
      </c>
      <c r="Y1218">
        <v>9794</v>
      </c>
      <c r="Z1218">
        <v>519</v>
      </c>
      <c r="AA1218">
        <v>5411298</v>
      </c>
      <c r="AB1218">
        <v>0.51</v>
      </c>
    </row>
    <row r="1219" spans="1:28">
      <c r="A1219" s="2">
        <f>HYPERLINK("https://finance.naver.com/item/coinfo.nhn?code=131290", "A131290")</f>
        <v>0</v>
      </c>
      <c r="B1219">
        <f>HYPERLINK("http://comp.fnguide.com/SVO2/ASP/SVD_Consensus.asp?pGB=1&amp;gicode=A131290&amp;cID=&amp;MenuYn=Y&amp;ReportGB=&amp;NewMenuID=108&amp;stkGb=701", "티에스이")</f>
        <v>0</v>
      </c>
      <c r="C1219">
        <v>0</v>
      </c>
      <c r="D1219">
        <v>58700</v>
      </c>
      <c r="E1219">
        <v>0.21</v>
      </c>
      <c r="F1219">
        <v>9.44</v>
      </c>
      <c r="G1219">
        <v>19420</v>
      </c>
      <c r="H1219">
        <v>17057</v>
      </c>
      <c r="I1219">
        <v>16384</v>
      </c>
      <c r="J1219">
        <v>66.92</v>
      </c>
      <c r="K1219">
        <v>70.94</v>
      </c>
      <c r="L1219">
        <v>72.09</v>
      </c>
      <c r="M1219">
        <v>9.99</v>
      </c>
      <c r="N1219" t="b">
        <v>1</v>
      </c>
      <c r="O1219">
        <v>1462</v>
      </c>
      <c r="P1219" t="s">
        <v>1228</v>
      </c>
      <c r="Q1219" t="s">
        <v>3286</v>
      </c>
      <c r="R1219">
        <v>44.89590410602445</v>
      </c>
      <c r="S1219">
        <v>6493</v>
      </c>
      <c r="T1219">
        <v>79505</v>
      </c>
      <c r="U1219" t="s">
        <v>5199</v>
      </c>
      <c r="V1219">
        <v>64.44</v>
      </c>
      <c r="W1219" t="s">
        <v>7408</v>
      </c>
      <c r="X1219" t="s">
        <v>9449</v>
      </c>
      <c r="Y1219">
        <v>1915</v>
      </c>
      <c r="Z1219">
        <v>207</v>
      </c>
      <c r="AA1219">
        <v>446700</v>
      </c>
      <c r="AB1219">
        <v>1.45</v>
      </c>
    </row>
    <row r="1220" spans="1:28">
      <c r="A1220" s="2">
        <f>HYPERLINK("https://finance.naver.com/item/coinfo.nhn?code=046210", "A046210")</f>
        <v>0</v>
      </c>
      <c r="B1220">
        <f>HYPERLINK("http://comp.fnguide.com/SVO2/ASP/SVD_Consensus.asp?pGB=1&amp;gicode=A046210&amp;cID=&amp;MenuYn=Y&amp;ReportGB=&amp;NewMenuID=108&amp;stkGb=701", "파나진")</f>
        <v>0</v>
      </c>
      <c r="C1220">
        <v>0</v>
      </c>
      <c r="D1220">
        <v>4500</v>
      </c>
      <c r="E1220">
        <v>1.4</v>
      </c>
      <c r="F1220">
        <v>21.49</v>
      </c>
      <c r="G1220">
        <v>757</v>
      </c>
      <c r="H1220">
        <v>680</v>
      </c>
      <c r="I1220">
        <v>658</v>
      </c>
      <c r="J1220">
        <v>83.18000000000001</v>
      </c>
      <c r="K1220">
        <v>84.89</v>
      </c>
      <c r="L1220">
        <v>85.38</v>
      </c>
      <c r="M1220">
        <v>9.6</v>
      </c>
      <c r="N1220" t="b">
        <v>1</v>
      </c>
      <c r="O1220">
        <v>109</v>
      </c>
      <c r="P1220" t="s">
        <v>1229</v>
      </c>
      <c r="Q1220" t="s">
        <v>3287</v>
      </c>
      <c r="R1220">
        <v>15.3</v>
      </c>
      <c r="S1220">
        <v>1446</v>
      </c>
      <c r="T1220">
        <v>266431</v>
      </c>
      <c r="U1220" t="s">
        <v>5200</v>
      </c>
      <c r="V1220">
        <v>12.93</v>
      </c>
      <c r="W1220" t="s">
        <v>7409</v>
      </c>
      <c r="X1220" t="s">
        <v>9450</v>
      </c>
      <c r="Y1220">
        <v>80</v>
      </c>
      <c r="Z1220">
        <v>-6</v>
      </c>
    </row>
    <row r="1221" spans="1:28">
      <c r="A1221" s="2">
        <f>HYPERLINK("https://finance.naver.com/item/coinfo.nhn?code=131760", "A131760")</f>
        <v>0</v>
      </c>
      <c r="B1221">
        <f>HYPERLINK("http://comp.fnguide.com/SVO2/ASP/SVD_Consensus.asp?pGB=1&amp;gicode=A131760&amp;cID=&amp;MenuYn=Y&amp;ReportGB=&amp;NewMenuID=108&amp;stkGb=701", "파인텍")</f>
        <v>0</v>
      </c>
      <c r="C1221">
        <v>0</v>
      </c>
      <c r="D1221">
        <v>1615</v>
      </c>
      <c r="E1221">
        <v>0</v>
      </c>
      <c r="F1221">
        <v>791.91</v>
      </c>
      <c r="G1221">
        <v>18</v>
      </c>
      <c r="H1221">
        <v>889</v>
      </c>
      <c r="I1221">
        <v>1137</v>
      </c>
      <c r="J1221">
        <v>98.86</v>
      </c>
      <c r="K1221">
        <v>44.96</v>
      </c>
      <c r="L1221">
        <v>29.6</v>
      </c>
      <c r="M1221">
        <v>0.1</v>
      </c>
      <c r="N1221" t="b">
        <v>0</v>
      </c>
      <c r="O1221">
        <v>3</v>
      </c>
      <c r="P1221" t="s">
        <v>1230</v>
      </c>
      <c r="Q1221" t="s">
        <v>2276</v>
      </c>
      <c r="R1221">
        <v>0</v>
      </c>
      <c r="S1221">
        <v>693</v>
      </c>
      <c r="T1221">
        <v>494557</v>
      </c>
      <c r="U1221" t="s">
        <v>5201</v>
      </c>
      <c r="V1221">
        <v>7.46</v>
      </c>
      <c r="W1221" t="s">
        <v>7410</v>
      </c>
      <c r="X1221" t="s">
        <v>9451</v>
      </c>
      <c r="Y1221">
        <v>779</v>
      </c>
      <c r="Z1221">
        <v>36</v>
      </c>
      <c r="AA1221">
        <v>259819</v>
      </c>
    </row>
    <row r="1222" spans="1:28">
      <c r="A1222" s="2">
        <f>HYPERLINK("https://finance.naver.com/item/coinfo.nhn?code=140860", "A140860")</f>
        <v>0</v>
      </c>
      <c r="B1222">
        <f>HYPERLINK("http://comp.fnguide.com/SVO2/ASP/SVD_Consensus.asp?pGB=1&amp;gicode=A140860&amp;cID=&amp;MenuYn=Y&amp;ReportGB=&amp;NewMenuID=108&amp;stkGb=701", "파크시스템스")</f>
        <v>0</v>
      </c>
      <c r="C1222">
        <v>0</v>
      </c>
      <c r="D1222">
        <v>72600</v>
      </c>
      <c r="E1222">
        <v>0.44</v>
      </c>
      <c r="F1222">
        <v>31.74</v>
      </c>
      <c r="G1222">
        <v>15795</v>
      </c>
      <c r="H1222">
        <v>10324</v>
      </c>
      <c r="I1222">
        <v>8765</v>
      </c>
      <c r="J1222">
        <v>78.23999999999999</v>
      </c>
      <c r="K1222">
        <v>85.78</v>
      </c>
      <c r="L1222">
        <v>87.93000000000001</v>
      </c>
      <c r="M1222">
        <v>18.82</v>
      </c>
      <c r="N1222" t="b">
        <v>1</v>
      </c>
      <c r="O1222">
        <v>1277</v>
      </c>
      <c r="P1222" t="s">
        <v>1231</v>
      </c>
      <c r="Q1222" t="s">
        <v>3288</v>
      </c>
      <c r="R1222">
        <v>72.45789536397247</v>
      </c>
      <c r="S1222">
        <v>4841</v>
      </c>
      <c r="T1222">
        <v>53622</v>
      </c>
      <c r="U1222" t="s">
        <v>5202</v>
      </c>
      <c r="V1222">
        <v>34.53</v>
      </c>
      <c r="W1222" t="s">
        <v>7411</v>
      </c>
      <c r="X1222" t="s">
        <v>9452</v>
      </c>
      <c r="Y1222">
        <v>520</v>
      </c>
      <c r="Z1222">
        <v>80</v>
      </c>
      <c r="AA1222">
        <v>30051</v>
      </c>
      <c r="AB1222">
        <v>0.3</v>
      </c>
    </row>
    <row r="1223" spans="1:28">
      <c r="A1223" s="2">
        <f>HYPERLINK("https://finance.naver.com/item/coinfo.nhn?code=091700", "A091700")</f>
        <v>0</v>
      </c>
      <c r="B1223">
        <f>HYPERLINK("http://comp.fnguide.com/SVO2/ASP/SVD_Consensus.asp?pGB=1&amp;gicode=A091700&amp;cID=&amp;MenuYn=Y&amp;ReportGB=&amp;NewMenuID=108&amp;stkGb=701", "파트론")</f>
        <v>0</v>
      </c>
      <c r="C1223">
        <v>0</v>
      </c>
      <c r="D1223">
        <v>10150</v>
      </c>
      <c r="E1223">
        <v>-0.74</v>
      </c>
      <c r="F1223">
        <v>11.72</v>
      </c>
      <c r="G1223">
        <v>9047</v>
      </c>
      <c r="H1223">
        <v>7765</v>
      </c>
      <c r="I1223">
        <v>7400</v>
      </c>
      <c r="J1223">
        <v>10.87</v>
      </c>
      <c r="K1223">
        <v>23.49</v>
      </c>
      <c r="L1223">
        <v>27.09</v>
      </c>
      <c r="M1223">
        <v>10.43</v>
      </c>
      <c r="N1223" t="b">
        <v>1</v>
      </c>
      <c r="O1223">
        <v>1126</v>
      </c>
      <c r="P1223" t="s">
        <v>1232</v>
      </c>
      <c r="Q1223" t="s">
        <v>3289</v>
      </c>
      <c r="R1223">
        <v>-15.80644881034952</v>
      </c>
      <c r="S1223">
        <v>5497</v>
      </c>
      <c r="T1223">
        <v>824672</v>
      </c>
      <c r="U1223" t="s">
        <v>5203</v>
      </c>
      <c r="V1223">
        <v>26.45</v>
      </c>
      <c r="W1223" t="s">
        <v>7412</v>
      </c>
      <c r="X1223" t="s">
        <v>9453</v>
      </c>
      <c r="Y1223">
        <v>12546</v>
      </c>
      <c r="Z1223">
        <v>1052</v>
      </c>
      <c r="AA1223">
        <v>3000000</v>
      </c>
      <c r="AB1223">
        <v>2.65</v>
      </c>
    </row>
    <row r="1224" spans="1:28">
      <c r="A1224" s="2">
        <f>HYPERLINK("https://finance.naver.com/item/coinfo.nhn?code=038160", "A038160")</f>
        <v>0</v>
      </c>
      <c r="B1224">
        <f>HYPERLINK("http://comp.fnguide.com/SVO2/ASP/SVD_Consensus.asp?pGB=1&amp;gicode=A038160&amp;cID=&amp;MenuYn=Y&amp;ReportGB=&amp;NewMenuID=108&amp;stkGb=701", "팍스넷")</f>
        <v>0</v>
      </c>
      <c r="C1224">
        <v>0</v>
      </c>
      <c r="D1224">
        <v>862</v>
      </c>
      <c r="G1224">
        <v>98</v>
      </c>
      <c r="H1224">
        <v>685</v>
      </c>
      <c r="I1224">
        <v>852</v>
      </c>
      <c r="J1224">
        <v>88.68000000000001</v>
      </c>
      <c r="K1224">
        <v>20.57</v>
      </c>
      <c r="L1224">
        <v>1.16</v>
      </c>
      <c r="M1224">
        <v>0.72</v>
      </c>
      <c r="N1224" t="b">
        <v>0</v>
      </c>
      <c r="O1224">
        <v>-2598</v>
      </c>
      <c r="P1224" t="s">
        <v>1233</v>
      </c>
      <c r="Q1224" t="s">
        <v>3290</v>
      </c>
      <c r="R1224">
        <v>-38.06777898379552</v>
      </c>
      <c r="S1224">
        <v>106</v>
      </c>
      <c r="T1224">
        <v>0</v>
      </c>
      <c r="U1224" t="s">
        <v>5204</v>
      </c>
      <c r="V1224">
        <v>1.98</v>
      </c>
      <c r="W1224" t="s">
        <v>7413</v>
      </c>
      <c r="X1224" t="s">
        <v>9454</v>
      </c>
      <c r="Y1224">
        <v>107</v>
      </c>
      <c r="Z1224">
        <v>-162</v>
      </c>
      <c r="AA1224">
        <v>145346</v>
      </c>
    </row>
    <row r="1225" spans="1:28">
      <c r="A1225" s="2">
        <f>HYPERLINK("https://finance.naver.com/item/coinfo.nhn?code=032800", "A032800")</f>
        <v>0</v>
      </c>
      <c r="B1225">
        <f>HYPERLINK("http://comp.fnguide.com/SVO2/ASP/SVD_Consensus.asp?pGB=1&amp;gicode=A032800&amp;cID=&amp;MenuYn=Y&amp;ReportGB=&amp;NewMenuID=108&amp;stkGb=701", "판타지오")</f>
        <v>0</v>
      </c>
      <c r="C1225">
        <v>0</v>
      </c>
      <c r="D1225">
        <v>934</v>
      </c>
      <c r="E1225">
        <v>0</v>
      </c>
      <c r="G1225">
        <v>0</v>
      </c>
      <c r="H1225">
        <v>201</v>
      </c>
      <c r="I1225">
        <v>258</v>
      </c>
      <c r="J1225">
        <v>100</v>
      </c>
      <c r="K1225">
        <v>78.47</v>
      </c>
      <c r="L1225">
        <v>72.33</v>
      </c>
      <c r="M1225">
        <v>0</v>
      </c>
      <c r="N1225" t="b">
        <v>0</v>
      </c>
      <c r="O1225">
        <v>-218</v>
      </c>
      <c r="P1225" t="s">
        <v>1234</v>
      </c>
      <c r="Q1225" t="s">
        <v>2276</v>
      </c>
      <c r="R1225">
        <v>0</v>
      </c>
      <c r="S1225">
        <v>679</v>
      </c>
      <c r="T1225">
        <v>1858216</v>
      </c>
      <c r="U1225" t="s">
        <v>5205</v>
      </c>
      <c r="V1225">
        <v>11.46</v>
      </c>
      <c r="W1225" t="s">
        <v>7414</v>
      </c>
      <c r="X1225" t="s">
        <v>968</v>
      </c>
      <c r="Y1225">
        <v>185</v>
      </c>
      <c r="Z1225">
        <v>5</v>
      </c>
      <c r="AA1225">
        <v>2500338</v>
      </c>
    </row>
    <row r="1226" spans="1:28">
      <c r="A1226" s="2">
        <f>HYPERLINK("https://finance.naver.com/item/coinfo.nhn?code=054300", "A054300")</f>
        <v>0</v>
      </c>
      <c r="B1226">
        <f>HYPERLINK("http://comp.fnguide.com/SVO2/ASP/SVD_Consensus.asp?pGB=1&amp;gicode=A054300&amp;cID=&amp;MenuYn=Y&amp;ReportGB=&amp;NewMenuID=108&amp;stkGb=701", "팬스타엔터프라이즈")</f>
        <v>0</v>
      </c>
      <c r="C1226">
        <v>0</v>
      </c>
      <c r="D1226">
        <v>732</v>
      </c>
      <c r="E1226">
        <v>0</v>
      </c>
      <c r="F1226">
        <v>59.17</v>
      </c>
      <c r="G1226">
        <v>233</v>
      </c>
      <c r="H1226">
        <v>586</v>
      </c>
      <c r="I1226">
        <v>686</v>
      </c>
      <c r="J1226">
        <v>68.23</v>
      </c>
      <c r="K1226">
        <v>19.99</v>
      </c>
      <c r="L1226">
        <v>6.25</v>
      </c>
      <c r="M1226">
        <v>2.26</v>
      </c>
      <c r="N1226" t="b">
        <v>1</v>
      </c>
      <c r="O1226">
        <v>16</v>
      </c>
      <c r="P1226" t="s">
        <v>1235</v>
      </c>
      <c r="Q1226" t="s">
        <v>2276</v>
      </c>
      <c r="R1226">
        <v>0</v>
      </c>
      <c r="S1226">
        <v>384</v>
      </c>
      <c r="T1226">
        <v>409355</v>
      </c>
      <c r="U1226" t="s">
        <v>5206</v>
      </c>
      <c r="V1226">
        <v>19.25</v>
      </c>
      <c r="W1226" t="s">
        <v>7415</v>
      </c>
      <c r="X1226" t="s">
        <v>9455</v>
      </c>
      <c r="Y1226">
        <v>372</v>
      </c>
      <c r="Z1226">
        <v>16</v>
      </c>
      <c r="AA1226">
        <v>22117</v>
      </c>
    </row>
    <row r="1227" spans="1:28">
      <c r="A1227" s="2">
        <f>HYPERLINK("https://finance.naver.com/item/coinfo.nhn?code=321550", "A321550")</f>
        <v>0</v>
      </c>
      <c r="B1227">
        <f>HYPERLINK("http://comp.fnguide.com/SVO2/ASP/SVD_Consensus.asp?pGB=1&amp;gicode=A321550&amp;cID=&amp;MenuYn=Y&amp;ReportGB=&amp;NewMenuID=108&amp;stkGb=701", "티움바이오")</f>
        <v>0</v>
      </c>
      <c r="C1227">
        <v>0</v>
      </c>
      <c r="D1227">
        <v>16200</v>
      </c>
      <c r="E1227">
        <v>0</v>
      </c>
      <c r="G1227">
        <v>0</v>
      </c>
      <c r="H1227">
        <v>2368</v>
      </c>
      <c r="I1227">
        <v>3043</v>
      </c>
      <c r="J1227">
        <v>100</v>
      </c>
      <c r="K1227">
        <v>85.38</v>
      </c>
      <c r="L1227">
        <v>81.22</v>
      </c>
      <c r="M1227">
        <v>0</v>
      </c>
      <c r="N1227" t="b">
        <v>0</v>
      </c>
      <c r="O1227">
        <v>-354</v>
      </c>
      <c r="P1227" t="s">
        <v>1236</v>
      </c>
      <c r="Q1227" t="s">
        <v>3291</v>
      </c>
      <c r="R1227">
        <v>0</v>
      </c>
      <c r="S1227">
        <v>3802</v>
      </c>
      <c r="T1227">
        <v>341067</v>
      </c>
      <c r="U1227" t="s">
        <v>5207</v>
      </c>
      <c r="V1227">
        <v>36.44</v>
      </c>
      <c r="W1227" t="s">
        <v>7416</v>
      </c>
      <c r="X1227" t="s">
        <v>968</v>
      </c>
      <c r="Y1227">
        <v>11</v>
      </c>
      <c r="Z1227">
        <v>-80</v>
      </c>
    </row>
    <row r="1228" spans="1:28">
      <c r="A1228" s="2">
        <f>HYPERLINK("https://finance.naver.com/item/coinfo.nhn?code=016670", "A016670")</f>
        <v>0</v>
      </c>
      <c r="B1228">
        <f>HYPERLINK("http://comp.fnguide.com/SVO2/ASP/SVD_Consensus.asp?pGB=1&amp;gicode=A016670&amp;cID=&amp;MenuYn=Y&amp;ReportGB=&amp;NewMenuID=108&amp;stkGb=701", "포비스티앤씨")</f>
        <v>0</v>
      </c>
      <c r="C1228">
        <v>0</v>
      </c>
      <c r="D1228">
        <v>1005</v>
      </c>
      <c r="G1228">
        <v>131</v>
      </c>
      <c r="H1228">
        <v>444</v>
      </c>
      <c r="I1228">
        <v>534</v>
      </c>
      <c r="J1228">
        <v>86.98</v>
      </c>
      <c r="K1228">
        <v>55.78</v>
      </c>
      <c r="L1228">
        <v>46.89</v>
      </c>
      <c r="M1228">
        <v>1.6</v>
      </c>
      <c r="N1228" t="b">
        <v>0</v>
      </c>
      <c r="O1228">
        <v>-43</v>
      </c>
      <c r="P1228" t="s">
        <v>1237</v>
      </c>
      <c r="Q1228" t="s">
        <v>3292</v>
      </c>
      <c r="R1228">
        <v>-25.66096473301296</v>
      </c>
      <c r="S1228">
        <v>870</v>
      </c>
      <c r="T1228">
        <v>1725935</v>
      </c>
      <c r="U1228" t="s">
        <v>5208</v>
      </c>
      <c r="V1228">
        <v>19.67</v>
      </c>
      <c r="W1228" t="s">
        <v>7417</v>
      </c>
      <c r="X1228" t="s">
        <v>9456</v>
      </c>
      <c r="Y1228">
        <v>204</v>
      </c>
      <c r="Z1228">
        <v>78</v>
      </c>
    </row>
    <row r="1229" spans="1:28">
      <c r="A1229" s="2">
        <f>HYPERLINK("https://finance.naver.com/item/coinfo.nhn?code=056730", "A056730")</f>
        <v>0</v>
      </c>
      <c r="B1229">
        <f>HYPERLINK("http://comp.fnguide.com/SVO2/ASP/SVD_Consensus.asp?pGB=1&amp;gicode=A056730&amp;cID=&amp;MenuYn=Y&amp;ReportGB=&amp;NewMenuID=108&amp;stkGb=701", "포스링크")</f>
        <v>0</v>
      </c>
      <c r="C1229">
        <v>0</v>
      </c>
      <c r="D1229">
        <v>1550</v>
      </c>
      <c r="E1229">
        <v>0</v>
      </c>
      <c r="G1229">
        <v>0</v>
      </c>
      <c r="H1229">
        <v>-28.04311053737609</v>
      </c>
      <c r="I1229">
        <v>-36.03394325038602</v>
      </c>
      <c r="J1229">
        <v>100</v>
      </c>
      <c r="K1229">
        <v>101.81</v>
      </c>
      <c r="L1229">
        <v>102.32</v>
      </c>
      <c r="M1229">
        <v>0</v>
      </c>
      <c r="N1229" t="b">
        <v>0</v>
      </c>
      <c r="O1229">
        <v>-12221</v>
      </c>
      <c r="P1229" t="s">
        <v>1238</v>
      </c>
      <c r="Q1229" t="s">
        <v>2276</v>
      </c>
      <c r="R1229">
        <v>0</v>
      </c>
      <c r="S1229">
        <v>1096</v>
      </c>
      <c r="T1229">
        <v>0</v>
      </c>
      <c r="U1229" t="s">
        <v>5209</v>
      </c>
      <c r="V1229">
        <v>84.86</v>
      </c>
      <c r="W1229" t="s">
        <v>7418</v>
      </c>
      <c r="X1229" t="s">
        <v>968</v>
      </c>
      <c r="Y1229">
        <v>72</v>
      </c>
      <c r="Z1229">
        <v>-35</v>
      </c>
      <c r="AA1229">
        <v>108</v>
      </c>
    </row>
    <row r="1230" spans="1:28">
      <c r="A1230" s="2">
        <f>HYPERLINK("https://finance.naver.com/item/coinfo.nhn?code=022100", "A022100")</f>
        <v>0</v>
      </c>
      <c r="B1230">
        <f>HYPERLINK("http://comp.fnguide.com/SVO2/ASP/SVD_Consensus.asp?pGB=1&amp;gicode=A022100&amp;cID=&amp;MenuYn=Y&amp;ReportGB=&amp;NewMenuID=108&amp;stkGb=701", "포스코 ICT")</f>
        <v>0</v>
      </c>
      <c r="C1230">
        <v>0</v>
      </c>
      <c r="D1230">
        <v>7120</v>
      </c>
      <c r="E1230">
        <v>18.44</v>
      </c>
      <c r="F1230">
        <v>20.54</v>
      </c>
      <c r="G1230">
        <v>2225</v>
      </c>
      <c r="H1230">
        <v>2333</v>
      </c>
      <c r="I1230">
        <v>2364</v>
      </c>
      <c r="J1230">
        <v>68.76000000000001</v>
      </c>
      <c r="K1230">
        <v>67.23</v>
      </c>
      <c r="L1230">
        <v>66.79000000000001</v>
      </c>
      <c r="M1230">
        <v>7.37</v>
      </c>
      <c r="N1230" t="b">
        <v>0</v>
      </c>
      <c r="O1230">
        <v>258</v>
      </c>
      <c r="P1230" t="s">
        <v>1239</v>
      </c>
      <c r="Q1230" t="s">
        <v>3293</v>
      </c>
      <c r="R1230">
        <v>1.113797278116313</v>
      </c>
      <c r="S1230">
        <v>10825</v>
      </c>
      <c r="T1230">
        <v>4667420</v>
      </c>
      <c r="U1230" t="s">
        <v>5210</v>
      </c>
      <c r="V1230">
        <v>66.29000000000001</v>
      </c>
      <c r="W1230" t="s">
        <v>7419</v>
      </c>
      <c r="X1230" t="s">
        <v>9457</v>
      </c>
      <c r="Y1230">
        <v>9698</v>
      </c>
      <c r="Z1230">
        <v>481</v>
      </c>
      <c r="AA1230">
        <v>227212</v>
      </c>
      <c r="AB1230">
        <v>0.95</v>
      </c>
    </row>
    <row r="1231" spans="1:28">
      <c r="A1231" s="2">
        <f>HYPERLINK("https://finance.naver.com/item/coinfo.nhn?code=029960", "A029960")</f>
        <v>0</v>
      </c>
      <c r="B1231">
        <f>HYPERLINK("http://comp.fnguide.com/SVO2/ASP/SVD_Consensus.asp?pGB=1&amp;gicode=A029960&amp;cID=&amp;MenuYn=Y&amp;ReportGB=&amp;NewMenuID=108&amp;stkGb=701", "코엔텍")</f>
        <v>0</v>
      </c>
      <c r="C1231">
        <v>0</v>
      </c>
      <c r="D1231">
        <v>8860</v>
      </c>
      <c r="E1231">
        <v>0.72</v>
      </c>
      <c r="F1231">
        <v>20.58</v>
      </c>
      <c r="G1231">
        <v>6248</v>
      </c>
      <c r="H1231">
        <v>4338</v>
      </c>
      <c r="I1231">
        <v>3794</v>
      </c>
      <c r="J1231">
        <v>29.48</v>
      </c>
      <c r="K1231">
        <v>51.04</v>
      </c>
      <c r="L1231">
        <v>57.18</v>
      </c>
      <c r="M1231">
        <v>16.22</v>
      </c>
      <c r="N1231" t="b">
        <v>0</v>
      </c>
      <c r="O1231">
        <v>483</v>
      </c>
      <c r="P1231" t="s">
        <v>1240</v>
      </c>
      <c r="Q1231" t="s">
        <v>3294</v>
      </c>
      <c r="R1231">
        <v>28.42399566374638</v>
      </c>
      <c r="S1231">
        <v>4430</v>
      </c>
      <c r="T1231">
        <v>287927</v>
      </c>
      <c r="U1231" t="s">
        <v>5211</v>
      </c>
      <c r="V1231">
        <v>59.29</v>
      </c>
      <c r="W1231" t="s">
        <v>7420</v>
      </c>
      <c r="X1231" t="s">
        <v>9458</v>
      </c>
      <c r="Y1231">
        <v>711</v>
      </c>
      <c r="Z1231">
        <v>284</v>
      </c>
      <c r="AA1231">
        <v>214280</v>
      </c>
      <c r="AB1231">
        <v>5.44</v>
      </c>
    </row>
    <row r="1232" spans="1:28">
      <c r="A1232" s="2">
        <f>HYPERLINK("https://finance.naver.com/item/coinfo.nhn?code=051780", "A051780")</f>
        <v>0</v>
      </c>
      <c r="B1232">
        <f>HYPERLINK("http://comp.fnguide.com/SVO2/ASP/SVD_Consensus.asp?pGB=1&amp;gicode=A051780&amp;cID=&amp;MenuYn=Y&amp;ReportGB=&amp;NewMenuID=108&amp;stkGb=701", "큐로홀딩스")</f>
        <v>0</v>
      </c>
      <c r="C1232">
        <v>0</v>
      </c>
      <c r="D1232">
        <v>638</v>
      </c>
      <c r="E1232">
        <v>0</v>
      </c>
      <c r="G1232">
        <v>0</v>
      </c>
      <c r="H1232">
        <v>124</v>
      </c>
      <c r="I1232">
        <v>160</v>
      </c>
      <c r="J1232">
        <v>100</v>
      </c>
      <c r="K1232">
        <v>80.51000000000001</v>
      </c>
      <c r="L1232">
        <v>74.95999999999999</v>
      </c>
      <c r="M1232">
        <v>0</v>
      </c>
      <c r="N1232" t="b">
        <v>0</v>
      </c>
      <c r="O1232">
        <v>-94</v>
      </c>
      <c r="P1232" t="s">
        <v>1241</v>
      </c>
      <c r="Q1232" t="s">
        <v>2276</v>
      </c>
      <c r="R1232">
        <v>0</v>
      </c>
      <c r="S1232">
        <v>659</v>
      </c>
      <c r="T1232">
        <v>393558</v>
      </c>
      <c r="U1232" t="s">
        <v>5212</v>
      </c>
      <c r="V1232">
        <v>32.42</v>
      </c>
      <c r="W1232" t="s">
        <v>7421</v>
      </c>
      <c r="X1232" t="s">
        <v>968</v>
      </c>
      <c r="Y1232">
        <v>258</v>
      </c>
      <c r="Z1232">
        <v>8</v>
      </c>
      <c r="AA1232">
        <v>607474</v>
      </c>
    </row>
    <row r="1233" spans="1:28">
      <c r="A1233" s="2">
        <f>HYPERLINK("https://finance.naver.com/item/coinfo.nhn?code=040350", "A040350")</f>
        <v>0</v>
      </c>
      <c r="B1233">
        <f>HYPERLINK("http://comp.fnguide.com/SVO2/ASP/SVD_Consensus.asp?pGB=1&amp;gicode=A040350&amp;cID=&amp;MenuYn=Y&amp;ReportGB=&amp;NewMenuID=108&amp;stkGb=701", "큐로컴")</f>
        <v>0</v>
      </c>
      <c r="C1233">
        <v>0</v>
      </c>
      <c r="D1233">
        <v>2090</v>
      </c>
      <c r="E1233">
        <v>0</v>
      </c>
      <c r="G1233">
        <v>0</v>
      </c>
      <c r="H1233">
        <v>238</v>
      </c>
      <c r="I1233">
        <v>306</v>
      </c>
      <c r="J1233">
        <v>100</v>
      </c>
      <c r="K1233">
        <v>88.59999999999999</v>
      </c>
      <c r="L1233">
        <v>85.36</v>
      </c>
      <c r="M1233">
        <v>0</v>
      </c>
      <c r="N1233" t="b">
        <v>0</v>
      </c>
      <c r="O1233">
        <v>-169</v>
      </c>
      <c r="P1233" t="s">
        <v>1242</v>
      </c>
      <c r="Q1233" t="s">
        <v>2276</v>
      </c>
      <c r="R1233">
        <v>0</v>
      </c>
      <c r="S1233">
        <v>2378</v>
      </c>
      <c r="T1233">
        <v>2492437</v>
      </c>
      <c r="U1233" t="s">
        <v>5213</v>
      </c>
      <c r="V1233">
        <v>19.28</v>
      </c>
      <c r="W1233" t="s">
        <v>7422</v>
      </c>
      <c r="X1233" t="s">
        <v>968</v>
      </c>
      <c r="Y1233">
        <v>151</v>
      </c>
      <c r="Z1233">
        <v>-118</v>
      </c>
      <c r="AA1233">
        <v>396453</v>
      </c>
    </row>
    <row r="1234" spans="1:28">
      <c r="A1234" s="2">
        <f>HYPERLINK("https://finance.naver.com/item/coinfo.nhn?code=060280", "A060280")</f>
        <v>0</v>
      </c>
      <c r="B1234">
        <f>HYPERLINK("http://comp.fnguide.com/SVO2/ASP/SVD_Consensus.asp?pGB=1&amp;gicode=A060280&amp;cID=&amp;MenuYn=Y&amp;ReportGB=&amp;NewMenuID=108&amp;stkGb=701", "큐렉소")</f>
        <v>0</v>
      </c>
      <c r="C1234">
        <v>0</v>
      </c>
      <c r="D1234">
        <v>6340</v>
      </c>
      <c r="E1234">
        <v>0</v>
      </c>
      <c r="G1234">
        <v>0</v>
      </c>
      <c r="H1234">
        <v>791</v>
      </c>
      <c r="I1234">
        <v>1017</v>
      </c>
      <c r="J1234">
        <v>100</v>
      </c>
      <c r="K1234">
        <v>87.52</v>
      </c>
      <c r="L1234">
        <v>83.95999999999999</v>
      </c>
      <c r="M1234">
        <v>0</v>
      </c>
      <c r="N1234" t="b">
        <v>0</v>
      </c>
      <c r="O1234">
        <v>-777</v>
      </c>
      <c r="P1234" t="s">
        <v>1243</v>
      </c>
      <c r="Q1234" t="s">
        <v>2276</v>
      </c>
      <c r="R1234">
        <v>0</v>
      </c>
      <c r="S1234">
        <v>2118</v>
      </c>
      <c r="T1234">
        <v>53324</v>
      </c>
      <c r="U1234" t="s">
        <v>5214</v>
      </c>
      <c r="V1234">
        <v>36.64</v>
      </c>
      <c r="W1234" t="s">
        <v>7423</v>
      </c>
      <c r="X1234" t="s">
        <v>968</v>
      </c>
      <c r="Y1234">
        <v>344</v>
      </c>
      <c r="Z1234">
        <v>-43</v>
      </c>
    </row>
    <row r="1235" spans="1:28">
      <c r="A1235" s="2">
        <f>HYPERLINK("https://finance.naver.com/item/coinfo.nhn?code=200130", "A200130")</f>
        <v>0</v>
      </c>
      <c r="B1235">
        <f>HYPERLINK("http://comp.fnguide.com/SVO2/ASP/SVD_Consensus.asp?pGB=1&amp;gicode=A200130&amp;cID=&amp;MenuYn=Y&amp;ReportGB=&amp;NewMenuID=108&amp;stkGb=701", "콜마비앤에이치")</f>
        <v>0</v>
      </c>
      <c r="C1235">
        <v>0</v>
      </c>
      <c r="D1235">
        <v>49200</v>
      </c>
      <c r="E1235">
        <v>0.11</v>
      </c>
      <c r="F1235">
        <v>15.05</v>
      </c>
      <c r="G1235">
        <v>27558</v>
      </c>
      <c r="H1235">
        <v>16134</v>
      </c>
      <c r="I1235">
        <v>12878</v>
      </c>
      <c r="J1235">
        <v>43.99</v>
      </c>
      <c r="K1235">
        <v>67.20999999999999</v>
      </c>
      <c r="L1235">
        <v>73.81999999999999</v>
      </c>
      <c r="M1235">
        <v>25.71</v>
      </c>
      <c r="N1235" t="b">
        <v>1</v>
      </c>
      <c r="O1235">
        <v>1844</v>
      </c>
      <c r="P1235" t="s">
        <v>1244</v>
      </c>
      <c r="Q1235" t="s">
        <v>3295</v>
      </c>
      <c r="R1235">
        <v>135.7355023476479</v>
      </c>
      <c r="S1235">
        <v>14535</v>
      </c>
      <c r="T1235">
        <v>315613</v>
      </c>
      <c r="U1235" t="s">
        <v>5215</v>
      </c>
      <c r="V1235">
        <v>55.38</v>
      </c>
      <c r="W1235" t="s">
        <v>7424</v>
      </c>
      <c r="X1235" t="s">
        <v>9459</v>
      </c>
      <c r="Y1235">
        <v>4389</v>
      </c>
      <c r="Z1235">
        <v>741</v>
      </c>
      <c r="AA1235">
        <v>2166</v>
      </c>
      <c r="AB1235">
        <v>0.9</v>
      </c>
    </row>
    <row r="1236" spans="1:28">
      <c r="A1236" s="2">
        <f>HYPERLINK("https://finance.naver.com/item/coinfo.nhn?code=121850", "A121850")</f>
        <v>0</v>
      </c>
      <c r="B1236">
        <f>HYPERLINK("http://comp.fnguide.com/SVO2/ASP/SVD_Consensus.asp?pGB=1&amp;gicode=A121850&amp;cID=&amp;MenuYn=Y&amp;ReportGB=&amp;NewMenuID=108&amp;stkGb=701", "코이즈")</f>
        <v>0</v>
      </c>
      <c r="C1236">
        <v>0</v>
      </c>
      <c r="D1236">
        <v>1330</v>
      </c>
      <c r="E1236">
        <v>0</v>
      </c>
      <c r="G1236">
        <v>0</v>
      </c>
      <c r="H1236">
        <v>761</v>
      </c>
      <c r="I1236">
        <v>977</v>
      </c>
      <c r="J1236">
        <v>100</v>
      </c>
      <c r="K1236">
        <v>42.8</v>
      </c>
      <c r="L1236">
        <v>26.51</v>
      </c>
      <c r="M1236">
        <v>0</v>
      </c>
      <c r="N1236" t="b">
        <v>0</v>
      </c>
      <c r="O1236">
        <v>-3</v>
      </c>
      <c r="P1236" t="s">
        <v>1245</v>
      </c>
      <c r="Q1236" t="s">
        <v>2276</v>
      </c>
      <c r="R1236">
        <v>0</v>
      </c>
      <c r="S1236">
        <v>205</v>
      </c>
      <c r="T1236">
        <v>140254</v>
      </c>
      <c r="U1236" t="s">
        <v>5216</v>
      </c>
      <c r="V1236">
        <v>45.19</v>
      </c>
      <c r="W1236" t="s">
        <v>7425</v>
      </c>
      <c r="X1236" t="s">
        <v>968</v>
      </c>
      <c r="Y1236">
        <v>355</v>
      </c>
      <c r="Z1236">
        <v>-19</v>
      </c>
      <c r="AA1236">
        <v>246759</v>
      </c>
    </row>
    <row r="1237" spans="1:28">
      <c r="A1237" s="2">
        <f>HYPERLINK("https://finance.naver.com/item/coinfo.nhn?code=023900", "A023900")</f>
        <v>0</v>
      </c>
      <c r="B1237">
        <f>HYPERLINK("http://comp.fnguide.com/SVO2/ASP/SVD_Consensus.asp?pGB=1&amp;gicode=A023900&amp;cID=&amp;MenuYn=Y&amp;ReportGB=&amp;NewMenuID=108&amp;stkGb=701", "풍국주정")</f>
        <v>0</v>
      </c>
      <c r="C1237">
        <v>0</v>
      </c>
      <c r="D1237">
        <v>21150</v>
      </c>
      <c r="E1237">
        <v>228.98</v>
      </c>
      <c r="F1237">
        <v>27.1</v>
      </c>
      <c r="G1237">
        <v>10507</v>
      </c>
      <c r="H1237">
        <v>10569</v>
      </c>
      <c r="I1237">
        <v>10587</v>
      </c>
      <c r="J1237">
        <v>50.32</v>
      </c>
      <c r="K1237">
        <v>50.03</v>
      </c>
      <c r="L1237">
        <v>49.94</v>
      </c>
      <c r="M1237">
        <v>7.89</v>
      </c>
      <c r="N1237" t="b">
        <v>1</v>
      </c>
      <c r="O1237">
        <v>618</v>
      </c>
      <c r="P1237" t="s">
        <v>1246</v>
      </c>
      <c r="Q1237" t="s">
        <v>3296</v>
      </c>
      <c r="R1237">
        <v>0.118349089620029</v>
      </c>
      <c r="S1237">
        <v>2665</v>
      </c>
      <c r="T1237">
        <v>165966</v>
      </c>
      <c r="U1237" t="s">
        <v>5217</v>
      </c>
      <c r="V1237">
        <v>68</v>
      </c>
      <c r="W1237" t="s">
        <v>7426</v>
      </c>
      <c r="X1237" t="s">
        <v>9460</v>
      </c>
      <c r="Y1237">
        <v>1214</v>
      </c>
      <c r="Z1237">
        <v>105</v>
      </c>
      <c r="AB1237">
        <v>0.96</v>
      </c>
    </row>
    <row r="1238" spans="1:28">
      <c r="A1238" s="2">
        <f>HYPERLINK("https://finance.naver.com/item/coinfo.nhn?code=950160", "A950160")</f>
        <v>0</v>
      </c>
      <c r="B1238">
        <f>HYPERLINK("http://comp.fnguide.com/SVO2/ASP/SVD_Consensus.asp?pGB=1&amp;gicode=A950160&amp;cID=&amp;MenuYn=Y&amp;ReportGB=&amp;NewMenuID=108&amp;stkGb=701", "코오롱티슈진")</f>
        <v>0</v>
      </c>
      <c r="C1238">
        <v>0</v>
      </c>
      <c r="D1238">
        <v>8010</v>
      </c>
      <c r="E1238">
        <v>0</v>
      </c>
      <c r="G1238">
        <v>0</v>
      </c>
      <c r="H1238">
        <v>920</v>
      </c>
      <c r="I1238">
        <v>1182</v>
      </c>
      <c r="J1238">
        <v>100</v>
      </c>
      <c r="K1238">
        <v>88.51000000000001</v>
      </c>
      <c r="L1238">
        <v>85.23999999999999</v>
      </c>
      <c r="M1238">
        <v>0</v>
      </c>
      <c r="N1238" t="b">
        <v>0</v>
      </c>
      <c r="O1238">
        <v>-807</v>
      </c>
      <c r="P1238" t="s">
        <v>1247</v>
      </c>
      <c r="Q1238" t="s">
        <v>2276</v>
      </c>
      <c r="R1238">
        <v>0</v>
      </c>
      <c r="S1238">
        <v>4896</v>
      </c>
      <c r="T1238">
        <v>0</v>
      </c>
      <c r="U1238" t="s">
        <v>5218</v>
      </c>
      <c r="V1238">
        <v>61.96</v>
      </c>
      <c r="W1238" t="s">
        <v>7427</v>
      </c>
      <c r="X1238" t="s">
        <v>968</v>
      </c>
      <c r="Y1238">
        <v>31</v>
      </c>
      <c r="Z1238">
        <v>-445</v>
      </c>
    </row>
    <row r="1239" spans="1:28">
      <c r="A1239" s="2">
        <f>HYPERLINK("https://finance.naver.com/item/coinfo.nhn?code=102940", "A102940")</f>
        <v>0</v>
      </c>
      <c r="B1239">
        <f>HYPERLINK("http://comp.fnguide.com/SVO2/ASP/SVD_Consensus.asp?pGB=1&amp;gicode=A102940&amp;cID=&amp;MenuYn=Y&amp;ReportGB=&amp;NewMenuID=108&amp;stkGb=701", "코오롱생명과학")</f>
        <v>0</v>
      </c>
      <c r="C1239">
        <v>0</v>
      </c>
      <c r="D1239">
        <v>29400</v>
      </c>
      <c r="G1239">
        <v>0</v>
      </c>
      <c r="H1239">
        <v>5323</v>
      </c>
      <c r="I1239">
        <v>6840</v>
      </c>
      <c r="J1239">
        <v>100</v>
      </c>
      <c r="K1239">
        <v>81.89</v>
      </c>
      <c r="L1239">
        <v>76.73</v>
      </c>
      <c r="M1239">
        <v>0</v>
      </c>
      <c r="N1239" t="b">
        <v>0</v>
      </c>
      <c r="O1239">
        <v>-8090</v>
      </c>
      <c r="P1239" t="s">
        <v>1248</v>
      </c>
      <c r="Q1239" t="s">
        <v>3297</v>
      </c>
      <c r="R1239">
        <v>1393.3</v>
      </c>
      <c r="S1239">
        <v>3355</v>
      </c>
      <c r="T1239">
        <v>73410</v>
      </c>
      <c r="U1239" t="s">
        <v>5219</v>
      </c>
      <c r="V1239">
        <v>35.56</v>
      </c>
      <c r="W1239" t="s">
        <v>7428</v>
      </c>
      <c r="X1239" t="s">
        <v>968</v>
      </c>
      <c r="Y1239">
        <v>1485</v>
      </c>
      <c r="Z1239">
        <v>-265</v>
      </c>
      <c r="AA1239">
        <v>12187</v>
      </c>
    </row>
    <row r="1240" spans="1:28">
      <c r="A1240" s="2">
        <f>HYPERLINK("https://finance.naver.com/item/coinfo.nhn?code=045970", "A045970")</f>
        <v>0</v>
      </c>
      <c r="B1240">
        <f>HYPERLINK("http://comp.fnguide.com/SVO2/ASP/SVD_Consensus.asp?pGB=1&amp;gicode=A045970&amp;cID=&amp;MenuYn=Y&amp;ReportGB=&amp;NewMenuID=108&amp;stkGb=701", "코아시아")</f>
        <v>0</v>
      </c>
      <c r="C1240">
        <v>0</v>
      </c>
      <c r="D1240">
        <v>8810</v>
      </c>
      <c r="E1240">
        <v>0</v>
      </c>
      <c r="F1240">
        <v>22.87</v>
      </c>
      <c r="G1240">
        <v>2438</v>
      </c>
      <c r="H1240">
        <v>4259</v>
      </c>
      <c r="I1240">
        <v>4778</v>
      </c>
      <c r="J1240">
        <v>72.33</v>
      </c>
      <c r="K1240">
        <v>51.66</v>
      </c>
      <c r="L1240">
        <v>45.77</v>
      </c>
      <c r="M1240">
        <v>3.55</v>
      </c>
      <c r="N1240" t="b">
        <v>1</v>
      </c>
      <c r="O1240">
        <v>275</v>
      </c>
      <c r="P1240" t="s">
        <v>1249</v>
      </c>
      <c r="Q1240" t="s">
        <v>2276</v>
      </c>
      <c r="R1240">
        <v>0</v>
      </c>
      <c r="S1240">
        <v>2318</v>
      </c>
      <c r="T1240">
        <v>144292</v>
      </c>
      <c r="U1240" t="s">
        <v>5220</v>
      </c>
      <c r="V1240">
        <v>19.56</v>
      </c>
      <c r="W1240" t="s">
        <v>7429</v>
      </c>
      <c r="X1240" t="s">
        <v>9461</v>
      </c>
      <c r="Y1240">
        <v>4389</v>
      </c>
      <c r="Z1240">
        <v>205</v>
      </c>
      <c r="AA1240">
        <v>4371483</v>
      </c>
      <c r="AB1240">
        <v>0.92</v>
      </c>
    </row>
    <row r="1241" spans="1:28">
      <c r="A1241" s="2">
        <f>HYPERLINK("https://finance.naver.com/item/coinfo.nhn?code=043090", "A043090")</f>
        <v>0</v>
      </c>
      <c r="B1241">
        <f>HYPERLINK("http://comp.fnguide.com/SVO2/ASP/SVD_Consensus.asp?pGB=1&amp;gicode=A043090&amp;cID=&amp;MenuYn=Y&amp;ReportGB=&amp;NewMenuID=108&amp;stkGb=701", "큐브앤컴퍼니")</f>
        <v>0</v>
      </c>
      <c r="C1241">
        <v>0</v>
      </c>
      <c r="D1241">
        <v>1820</v>
      </c>
      <c r="E1241">
        <v>0</v>
      </c>
      <c r="G1241">
        <v>36</v>
      </c>
      <c r="H1241">
        <v>424</v>
      </c>
      <c r="I1241">
        <v>534</v>
      </c>
      <c r="J1241">
        <v>98</v>
      </c>
      <c r="K1241">
        <v>76.70999999999999</v>
      </c>
      <c r="L1241">
        <v>70.65000000000001</v>
      </c>
      <c r="M1241">
        <v>0.43</v>
      </c>
      <c r="N1241" t="b">
        <v>0</v>
      </c>
      <c r="O1241">
        <v>-275</v>
      </c>
      <c r="P1241" t="s">
        <v>1250</v>
      </c>
      <c r="Q1241" t="s">
        <v>2276</v>
      </c>
      <c r="R1241">
        <v>0</v>
      </c>
      <c r="S1241">
        <v>593</v>
      </c>
      <c r="T1241">
        <v>643578</v>
      </c>
      <c r="U1241" t="s">
        <v>5221</v>
      </c>
      <c r="V1241">
        <v>5.11</v>
      </c>
      <c r="W1241" t="s">
        <v>7430</v>
      </c>
      <c r="X1241" t="s">
        <v>9462</v>
      </c>
      <c r="Y1241">
        <v>74</v>
      </c>
      <c r="Z1241">
        <v>-42</v>
      </c>
    </row>
    <row r="1242" spans="1:28">
      <c r="A1242" s="2">
        <f>HYPERLINK("https://finance.naver.com/item/coinfo.nhn?code=166480", "A166480")</f>
        <v>0</v>
      </c>
      <c r="B1242">
        <f>HYPERLINK("http://comp.fnguide.com/SVO2/ASP/SVD_Consensus.asp?pGB=1&amp;gicode=A166480&amp;cID=&amp;MenuYn=Y&amp;ReportGB=&amp;NewMenuID=108&amp;stkGb=701", "코아스템")</f>
        <v>0</v>
      </c>
      <c r="C1242">
        <v>0</v>
      </c>
      <c r="D1242">
        <v>23750</v>
      </c>
      <c r="E1242">
        <v>0</v>
      </c>
      <c r="G1242">
        <v>0</v>
      </c>
      <c r="H1242">
        <v>2206</v>
      </c>
      <c r="I1242">
        <v>2834</v>
      </c>
      <c r="J1242">
        <v>100</v>
      </c>
      <c r="K1242">
        <v>90.70999999999999</v>
      </c>
      <c r="L1242">
        <v>88.06999999999999</v>
      </c>
      <c r="M1242">
        <v>0</v>
      </c>
      <c r="N1242" t="b">
        <v>0</v>
      </c>
      <c r="O1242">
        <v>-329</v>
      </c>
      <c r="P1242" t="s">
        <v>1251</v>
      </c>
      <c r="Q1242" t="s">
        <v>2276</v>
      </c>
      <c r="R1242">
        <v>0</v>
      </c>
      <c r="S1242">
        <v>3733</v>
      </c>
      <c r="T1242">
        <v>1088485</v>
      </c>
      <c r="U1242" t="s">
        <v>5222</v>
      </c>
      <c r="V1242">
        <v>26.95</v>
      </c>
      <c r="W1242" t="s">
        <v>7431</v>
      </c>
      <c r="X1242" t="s">
        <v>968</v>
      </c>
      <c r="Y1242">
        <v>243</v>
      </c>
      <c r="Z1242">
        <v>-51</v>
      </c>
    </row>
    <row r="1243" spans="1:28">
      <c r="A1243" s="2">
        <f>HYPERLINK("https://finance.naver.com/item/coinfo.nhn?code=069110", "A069110")</f>
        <v>0</v>
      </c>
      <c r="B1243">
        <f>HYPERLINK("http://comp.fnguide.com/SVO2/ASP/SVD_Consensus.asp?pGB=1&amp;gicode=A069110&amp;cID=&amp;MenuYn=Y&amp;ReportGB=&amp;NewMenuID=108&amp;stkGb=701", "코스온")</f>
        <v>0</v>
      </c>
      <c r="C1243">
        <v>0</v>
      </c>
      <c r="D1243">
        <v>5370</v>
      </c>
      <c r="G1243">
        <v>185</v>
      </c>
      <c r="H1243">
        <v>3143</v>
      </c>
      <c r="I1243">
        <v>3986</v>
      </c>
      <c r="J1243">
        <v>96.56</v>
      </c>
      <c r="K1243">
        <v>41.47</v>
      </c>
      <c r="L1243">
        <v>25.77</v>
      </c>
      <c r="M1243">
        <v>0.29</v>
      </c>
      <c r="N1243" t="b">
        <v>0</v>
      </c>
      <c r="O1243">
        <v>-239</v>
      </c>
      <c r="P1243" t="s">
        <v>1252</v>
      </c>
      <c r="Q1243" t="s">
        <v>3298</v>
      </c>
      <c r="R1243">
        <v>-52.61666959784276</v>
      </c>
      <c r="S1243">
        <v>1064</v>
      </c>
      <c r="T1243">
        <v>150725</v>
      </c>
      <c r="U1243" t="s">
        <v>5223</v>
      </c>
      <c r="V1243">
        <v>1.09</v>
      </c>
      <c r="W1243" t="s">
        <v>7432</v>
      </c>
      <c r="X1243" t="s">
        <v>9463</v>
      </c>
      <c r="Y1243">
        <v>1093</v>
      </c>
      <c r="Z1243">
        <v>6</v>
      </c>
      <c r="AA1243">
        <v>63694</v>
      </c>
    </row>
    <row r="1244" spans="1:28">
      <c r="A1244" s="2">
        <f>HYPERLINK("https://finance.naver.com/item/coinfo.nhn?code=241710", "A241710")</f>
        <v>0</v>
      </c>
      <c r="B1244">
        <f>HYPERLINK("http://comp.fnguide.com/SVO2/ASP/SVD_Consensus.asp?pGB=1&amp;gicode=A241710&amp;cID=&amp;MenuYn=Y&amp;ReportGB=&amp;NewMenuID=108&amp;stkGb=701", "코스메카코리아")</f>
        <v>0</v>
      </c>
      <c r="C1244">
        <v>0</v>
      </c>
      <c r="D1244">
        <v>13150</v>
      </c>
      <c r="E1244">
        <v>-1.31</v>
      </c>
      <c r="F1244">
        <v>24.91</v>
      </c>
      <c r="G1244">
        <v>8929</v>
      </c>
      <c r="H1244">
        <v>10748</v>
      </c>
      <c r="I1244">
        <v>11267</v>
      </c>
      <c r="J1244">
        <v>32.1</v>
      </c>
      <c r="K1244">
        <v>18.26</v>
      </c>
      <c r="L1244">
        <v>14.32</v>
      </c>
      <c r="M1244">
        <v>5.95</v>
      </c>
      <c r="N1244" t="b">
        <v>1</v>
      </c>
      <c r="O1244">
        <v>456</v>
      </c>
      <c r="P1244" t="s">
        <v>1253</v>
      </c>
      <c r="Q1244" t="s">
        <v>3299</v>
      </c>
      <c r="R1244">
        <v>-19.00512301854956</v>
      </c>
      <c r="S1244">
        <v>1404</v>
      </c>
      <c r="T1244">
        <v>139303</v>
      </c>
      <c r="U1244" t="s">
        <v>5224</v>
      </c>
      <c r="V1244">
        <v>38.95</v>
      </c>
      <c r="W1244" t="s">
        <v>7433</v>
      </c>
      <c r="X1244" t="s">
        <v>9464</v>
      </c>
      <c r="Y1244">
        <v>3470</v>
      </c>
      <c r="Z1244">
        <v>83</v>
      </c>
    </row>
    <row r="1245" spans="1:28">
      <c r="A1245" s="2">
        <f>HYPERLINK("https://finance.naver.com/item/coinfo.nhn?code=214270", "A214270")</f>
        <v>0</v>
      </c>
      <c r="B1245">
        <f>HYPERLINK("http://comp.fnguide.com/SVO2/ASP/SVD_Consensus.asp?pGB=1&amp;gicode=A214270&amp;cID=&amp;MenuYn=Y&amp;ReportGB=&amp;NewMenuID=108&amp;stkGb=701", "퓨쳐스트림네트웍스")</f>
        <v>0</v>
      </c>
      <c r="C1245">
        <v>0</v>
      </c>
      <c r="D1245">
        <v>1160</v>
      </c>
      <c r="E1245">
        <v>-0.71</v>
      </c>
      <c r="F1245">
        <v>32.36</v>
      </c>
      <c r="G1245">
        <v>518</v>
      </c>
      <c r="H1245">
        <v>544</v>
      </c>
      <c r="I1245">
        <v>551</v>
      </c>
      <c r="J1245">
        <v>55.32</v>
      </c>
      <c r="K1245">
        <v>53.1</v>
      </c>
      <c r="L1245">
        <v>52.47</v>
      </c>
      <c r="M1245">
        <v>7.36</v>
      </c>
      <c r="N1245" t="b">
        <v>1</v>
      </c>
      <c r="O1245">
        <v>35</v>
      </c>
      <c r="P1245" t="s">
        <v>1254</v>
      </c>
      <c r="Q1245" t="s">
        <v>3300</v>
      </c>
      <c r="R1245">
        <v>-45.32136498743628</v>
      </c>
      <c r="S1245">
        <v>1170</v>
      </c>
      <c r="T1245">
        <v>2385995</v>
      </c>
      <c r="U1245" t="s">
        <v>5225</v>
      </c>
      <c r="V1245">
        <v>38.65</v>
      </c>
      <c r="W1245" t="s">
        <v>7434</v>
      </c>
      <c r="X1245" t="s">
        <v>9465</v>
      </c>
      <c r="Y1245">
        <v>1454</v>
      </c>
      <c r="Z1245">
        <v>77</v>
      </c>
      <c r="AA1245">
        <v>8</v>
      </c>
    </row>
    <row r="1246" spans="1:28">
      <c r="A1246" s="2">
        <f>HYPERLINK("https://finance.naver.com/item/coinfo.nhn?code=222040", "A222040")</f>
        <v>0</v>
      </c>
      <c r="B1246">
        <f>HYPERLINK("http://comp.fnguide.com/SVO2/ASP/SVD_Consensus.asp?pGB=1&amp;gicode=A222040&amp;cID=&amp;MenuYn=Y&amp;ReportGB=&amp;NewMenuID=108&amp;stkGb=701", "코스맥스엔비티")</f>
        <v>0</v>
      </c>
      <c r="C1246">
        <v>0</v>
      </c>
      <c r="D1246">
        <v>7580</v>
      </c>
      <c r="G1246">
        <v>1775</v>
      </c>
      <c r="H1246">
        <v>2759</v>
      </c>
      <c r="I1246">
        <v>3039</v>
      </c>
      <c r="J1246">
        <v>76.58</v>
      </c>
      <c r="K1246">
        <v>63.6</v>
      </c>
      <c r="L1246">
        <v>59.9</v>
      </c>
      <c r="M1246">
        <v>4.15</v>
      </c>
      <c r="N1246" t="b">
        <v>0</v>
      </c>
      <c r="O1246">
        <v>-861</v>
      </c>
      <c r="P1246" t="s">
        <v>1255</v>
      </c>
      <c r="Q1246" t="s">
        <v>3301</v>
      </c>
      <c r="R1246">
        <v>-10.39029006829814</v>
      </c>
      <c r="S1246">
        <v>1564</v>
      </c>
      <c r="T1246">
        <v>168727</v>
      </c>
      <c r="U1246" t="s">
        <v>5226</v>
      </c>
      <c r="V1246">
        <v>39.07</v>
      </c>
      <c r="W1246" t="s">
        <v>7435</v>
      </c>
      <c r="X1246" t="s">
        <v>9466</v>
      </c>
      <c r="Y1246">
        <v>1943</v>
      </c>
      <c r="Z1246">
        <v>-99</v>
      </c>
    </row>
    <row r="1247" spans="1:28">
      <c r="A1247" s="2">
        <f>HYPERLINK("https://finance.naver.com/item/coinfo.nhn?code=082660", "A082660")</f>
        <v>0</v>
      </c>
      <c r="B1247">
        <f>HYPERLINK("http://comp.fnguide.com/SVO2/ASP/SVD_Consensus.asp?pGB=1&amp;gicode=A082660&amp;cID=&amp;MenuYn=Y&amp;ReportGB=&amp;NewMenuID=108&amp;stkGb=701", "코스나인")</f>
        <v>0</v>
      </c>
      <c r="C1247">
        <v>0</v>
      </c>
      <c r="D1247">
        <v>1910</v>
      </c>
      <c r="E1247">
        <v>0</v>
      </c>
      <c r="G1247">
        <v>0</v>
      </c>
      <c r="H1247">
        <v>270</v>
      </c>
      <c r="I1247">
        <v>346</v>
      </c>
      <c r="J1247">
        <v>100</v>
      </c>
      <c r="K1247">
        <v>85.88</v>
      </c>
      <c r="L1247">
        <v>81.86</v>
      </c>
      <c r="M1247">
        <v>0</v>
      </c>
      <c r="N1247" t="b">
        <v>0</v>
      </c>
      <c r="O1247">
        <v>-2510</v>
      </c>
      <c r="P1247" t="s">
        <v>1256</v>
      </c>
      <c r="Q1247" t="s">
        <v>2276</v>
      </c>
      <c r="R1247">
        <v>0</v>
      </c>
      <c r="S1247">
        <v>540</v>
      </c>
      <c r="T1247">
        <v>1375041</v>
      </c>
      <c r="U1247" t="s">
        <v>5227</v>
      </c>
      <c r="V1247">
        <v>15.7</v>
      </c>
      <c r="W1247" t="s">
        <v>7436</v>
      </c>
      <c r="X1247" t="s">
        <v>968</v>
      </c>
      <c r="Y1247">
        <v>184</v>
      </c>
      <c r="Z1247">
        <v>-32</v>
      </c>
      <c r="AA1247">
        <v>1044</v>
      </c>
    </row>
    <row r="1248" spans="1:28">
      <c r="A1248" s="2">
        <f>HYPERLINK("https://finance.naver.com/item/coinfo.nhn?code=009730", "A009730")</f>
        <v>0</v>
      </c>
      <c r="B1248">
        <f>HYPERLINK("http://comp.fnguide.com/SVO2/ASP/SVD_Consensus.asp?pGB=1&amp;gicode=A009730&amp;cID=&amp;MenuYn=Y&amp;ReportGB=&amp;NewMenuID=108&amp;stkGb=701", "코센")</f>
        <v>0</v>
      </c>
      <c r="C1248">
        <v>0</v>
      </c>
      <c r="D1248">
        <v>905</v>
      </c>
      <c r="E1248">
        <v>0</v>
      </c>
      <c r="G1248">
        <v>38</v>
      </c>
      <c r="H1248">
        <v>81</v>
      </c>
      <c r="I1248">
        <v>93</v>
      </c>
      <c r="J1248">
        <v>95.86</v>
      </c>
      <c r="K1248">
        <v>91.06</v>
      </c>
      <c r="L1248">
        <v>89.7</v>
      </c>
      <c r="M1248">
        <v>2.73</v>
      </c>
      <c r="N1248" t="b">
        <v>0</v>
      </c>
      <c r="O1248">
        <v>-4220</v>
      </c>
      <c r="P1248" t="s">
        <v>1257</v>
      </c>
      <c r="Q1248" t="s">
        <v>2276</v>
      </c>
      <c r="R1248">
        <v>0</v>
      </c>
      <c r="S1248">
        <v>264</v>
      </c>
      <c r="T1248">
        <v>0</v>
      </c>
      <c r="U1248" t="s">
        <v>5228</v>
      </c>
      <c r="V1248">
        <v>16.34</v>
      </c>
      <c r="W1248" t="s">
        <v>7437</v>
      </c>
      <c r="X1248" t="s">
        <v>9467</v>
      </c>
      <c r="Y1248">
        <v>583</v>
      </c>
      <c r="Z1248">
        <v>-37</v>
      </c>
    </row>
    <row r="1249" spans="1:28">
      <c r="A1249" s="2">
        <f>HYPERLINK("https://finance.naver.com/item/coinfo.nhn?code=220100", "A220100")</f>
        <v>0</v>
      </c>
      <c r="B1249">
        <f>HYPERLINK("http://comp.fnguide.com/SVO2/ASP/SVD_Consensus.asp?pGB=1&amp;gicode=A220100&amp;cID=&amp;MenuYn=Y&amp;ReportGB=&amp;NewMenuID=108&amp;stkGb=701", "퓨쳐켐")</f>
        <v>0</v>
      </c>
      <c r="C1249">
        <v>0</v>
      </c>
      <c r="D1249">
        <v>14600</v>
      </c>
      <c r="E1249">
        <v>0</v>
      </c>
      <c r="G1249">
        <v>0</v>
      </c>
      <c r="H1249">
        <v>546</v>
      </c>
      <c r="I1249">
        <v>702</v>
      </c>
      <c r="J1249">
        <v>100</v>
      </c>
      <c r="K1249">
        <v>96.26000000000001</v>
      </c>
      <c r="L1249">
        <v>95.19</v>
      </c>
      <c r="M1249">
        <v>0</v>
      </c>
      <c r="N1249" t="b">
        <v>0</v>
      </c>
      <c r="O1249">
        <v>-713</v>
      </c>
      <c r="P1249" t="s">
        <v>1258</v>
      </c>
      <c r="Q1249" t="s">
        <v>2276</v>
      </c>
      <c r="R1249">
        <v>0</v>
      </c>
      <c r="S1249">
        <v>1763</v>
      </c>
      <c r="T1249">
        <v>145329</v>
      </c>
      <c r="U1249" t="s">
        <v>5229</v>
      </c>
      <c r="V1249">
        <v>18.73</v>
      </c>
      <c r="W1249" t="s">
        <v>7438</v>
      </c>
      <c r="X1249" t="s">
        <v>968</v>
      </c>
      <c r="Y1249">
        <v>82</v>
      </c>
      <c r="Z1249">
        <v>-54</v>
      </c>
    </row>
    <row r="1250" spans="1:28">
      <c r="A1250" s="2">
        <f>HYPERLINK("https://finance.naver.com/item/coinfo.nhn?code=115180", "A115180")</f>
        <v>0</v>
      </c>
      <c r="B1250">
        <f>HYPERLINK("http://comp.fnguide.com/SVO2/ASP/SVD_Consensus.asp?pGB=1&amp;gicode=A115180&amp;cID=&amp;MenuYn=Y&amp;ReportGB=&amp;NewMenuID=108&amp;stkGb=701", "큐리언트")</f>
        <v>0</v>
      </c>
      <c r="C1250">
        <v>0</v>
      </c>
      <c r="D1250">
        <v>31400</v>
      </c>
      <c r="E1250">
        <v>0</v>
      </c>
      <c r="G1250">
        <v>0</v>
      </c>
      <c r="H1250">
        <v>1182</v>
      </c>
      <c r="I1250">
        <v>1519</v>
      </c>
      <c r="J1250">
        <v>100</v>
      </c>
      <c r="K1250">
        <v>96.23999999999999</v>
      </c>
      <c r="L1250">
        <v>95.16</v>
      </c>
      <c r="M1250">
        <v>0</v>
      </c>
      <c r="N1250" t="b">
        <v>0</v>
      </c>
      <c r="O1250">
        <v>-2339</v>
      </c>
      <c r="P1250" t="s">
        <v>1259</v>
      </c>
      <c r="Q1250" t="s">
        <v>2276</v>
      </c>
      <c r="R1250">
        <v>0</v>
      </c>
      <c r="S1250">
        <v>2777</v>
      </c>
      <c r="T1250">
        <v>159612</v>
      </c>
      <c r="U1250" t="s">
        <v>5230</v>
      </c>
      <c r="V1250">
        <v>12.16</v>
      </c>
      <c r="W1250" t="s">
        <v>7439</v>
      </c>
      <c r="X1250" t="s">
        <v>968</v>
      </c>
      <c r="Y1250">
        <v>0</v>
      </c>
      <c r="Z1250">
        <v>-232</v>
      </c>
    </row>
    <row r="1251" spans="1:28">
      <c r="A1251" s="2">
        <f>HYPERLINK("https://finance.naver.com/item/coinfo.nhn?code=182360", "A182360")</f>
        <v>0</v>
      </c>
      <c r="B1251">
        <f>HYPERLINK("http://comp.fnguide.com/SVO2/ASP/SVD_Consensus.asp?pGB=1&amp;gicode=A182360&amp;cID=&amp;MenuYn=Y&amp;ReportGB=&amp;NewMenuID=108&amp;stkGb=701", "큐브엔터")</f>
        <v>0</v>
      </c>
      <c r="C1251">
        <v>0</v>
      </c>
      <c r="D1251">
        <v>3580</v>
      </c>
      <c r="E1251">
        <v>-6.28</v>
      </c>
      <c r="F1251">
        <v>110.7</v>
      </c>
      <c r="G1251">
        <v>329</v>
      </c>
      <c r="H1251">
        <v>437</v>
      </c>
      <c r="I1251">
        <v>469</v>
      </c>
      <c r="J1251">
        <v>90.81999999999999</v>
      </c>
      <c r="K1251">
        <v>87.78</v>
      </c>
      <c r="L1251">
        <v>86.91</v>
      </c>
      <c r="M1251">
        <v>5.14</v>
      </c>
      <c r="N1251" t="b">
        <v>0</v>
      </c>
      <c r="O1251">
        <v>37</v>
      </c>
      <c r="P1251" t="s">
        <v>1260</v>
      </c>
      <c r="Q1251" t="s">
        <v>3302</v>
      </c>
      <c r="R1251">
        <v>-17.63435182067709</v>
      </c>
      <c r="S1251">
        <v>1236</v>
      </c>
      <c r="T1251">
        <v>213273</v>
      </c>
      <c r="U1251" t="s">
        <v>5231</v>
      </c>
      <c r="V1251">
        <v>33.97</v>
      </c>
      <c r="W1251" t="s">
        <v>7440</v>
      </c>
      <c r="X1251" t="s">
        <v>9468</v>
      </c>
      <c r="Y1251">
        <v>298</v>
      </c>
      <c r="Z1251">
        <v>10</v>
      </c>
      <c r="AA1251">
        <v>4</v>
      </c>
    </row>
    <row r="1252" spans="1:28">
      <c r="A1252" s="2">
        <f>HYPERLINK("https://finance.naver.com/item/coinfo.nhn?code=182690", "A182690")</f>
        <v>0</v>
      </c>
      <c r="B1252">
        <f>HYPERLINK("http://comp.fnguide.com/SVO2/ASP/SVD_Consensus.asp?pGB=1&amp;gicode=A182690&amp;cID=&amp;MenuYn=Y&amp;ReportGB=&amp;NewMenuID=108&amp;stkGb=701", "테라셈")</f>
        <v>0</v>
      </c>
      <c r="C1252">
        <v>0</v>
      </c>
      <c r="D1252">
        <v>2300</v>
      </c>
      <c r="E1252">
        <v>0</v>
      </c>
      <c r="G1252">
        <v>0</v>
      </c>
      <c r="H1252">
        <v>329</v>
      </c>
      <c r="I1252">
        <v>423</v>
      </c>
      <c r="J1252">
        <v>100</v>
      </c>
      <c r="K1252">
        <v>85.68000000000001</v>
      </c>
      <c r="L1252">
        <v>81.59999999999999</v>
      </c>
      <c r="M1252">
        <v>0</v>
      </c>
      <c r="N1252" t="b">
        <v>0</v>
      </c>
      <c r="O1252">
        <v>-327</v>
      </c>
      <c r="P1252" t="s">
        <v>1261</v>
      </c>
      <c r="Q1252" t="s">
        <v>2276</v>
      </c>
      <c r="R1252">
        <v>0</v>
      </c>
      <c r="S1252">
        <v>487</v>
      </c>
      <c r="T1252">
        <v>169216</v>
      </c>
      <c r="U1252" t="s">
        <v>5232</v>
      </c>
      <c r="V1252">
        <v>25.92</v>
      </c>
      <c r="W1252" t="s">
        <v>7441</v>
      </c>
      <c r="X1252" t="s">
        <v>968</v>
      </c>
      <c r="Y1252">
        <v>123</v>
      </c>
      <c r="Z1252">
        <v>-42</v>
      </c>
    </row>
    <row r="1253" spans="1:28">
      <c r="A1253" s="2">
        <f>HYPERLINK("https://finance.naver.com/item/coinfo.nhn?code=311270", "A311270")</f>
        <v>0</v>
      </c>
      <c r="B1253">
        <f>HYPERLINK("http://comp.fnguide.com/SVO2/ASP/SVD_Consensus.asp?pGB=1&amp;gicode=A311270&amp;cID=&amp;MenuYn=Y&amp;ReportGB=&amp;NewMenuID=108&amp;stkGb=701", "키움제5호스팩")</f>
        <v>0</v>
      </c>
      <c r="C1253">
        <v>0</v>
      </c>
      <c r="D1253">
        <v>2030</v>
      </c>
      <c r="E1253">
        <v>0</v>
      </c>
      <c r="F1253">
        <v>171.74</v>
      </c>
      <c r="G1253">
        <v>74</v>
      </c>
      <c r="H1253">
        <v>1215</v>
      </c>
      <c r="I1253">
        <v>1540</v>
      </c>
      <c r="J1253">
        <v>96.34</v>
      </c>
      <c r="K1253">
        <v>40.17</v>
      </c>
      <c r="L1253">
        <v>24.16</v>
      </c>
      <c r="M1253">
        <v>0.3</v>
      </c>
      <c r="N1253" t="b">
        <v>0</v>
      </c>
      <c r="O1253">
        <v>12</v>
      </c>
      <c r="P1253" t="s">
        <v>1262</v>
      </c>
      <c r="Q1253" t="s">
        <v>2276</v>
      </c>
      <c r="R1253">
        <v>0</v>
      </c>
      <c r="S1253">
        <v>73</v>
      </c>
      <c r="T1253">
        <v>9621</v>
      </c>
      <c r="U1253" t="s">
        <v>5233</v>
      </c>
      <c r="V1253">
        <v>9.94</v>
      </c>
      <c r="W1253" t="s">
        <v>7442</v>
      </c>
      <c r="X1253" t="s">
        <v>9469</v>
      </c>
      <c r="Y1253">
        <v>0</v>
      </c>
      <c r="Z1253">
        <v>0</v>
      </c>
    </row>
    <row r="1254" spans="1:28">
      <c r="A1254" s="2">
        <f>HYPERLINK("https://finance.naver.com/item/coinfo.nhn?code=009520", "A009520")</f>
        <v>0</v>
      </c>
      <c r="B1254">
        <f>HYPERLINK("http://comp.fnguide.com/SVO2/ASP/SVD_Consensus.asp?pGB=1&amp;gicode=A009520&amp;cID=&amp;MenuYn=Y&amp;ReportGB=&amp;NewMenuID=108&amp;stkGb=701", "포스코엠텍")</f>
        <v>0</v>
      </c>
      <c r="C1254">
        <v>0</v>
      </c>
      <c r="D1254">
        <v>4750</v>
      </c>
      <c r="E1254">
        <v>-1</v>
      </c>
      <c r="F1254">
        <v>18.82</v>
      </c>
      <c r="G1254">
        <v>3661</v>
      </c>
      <c r="H1254">
        <v>2760</v>
      </c>
      <c r="I1254">
        <v>2503</v>
      </c>
      <c r="J1254">
        <v>22.93</v>
      </c>
      <c r="K1254">
        <v>41.9</v>
      </c>
      <c r="L1254">
        <v>47.3</v>
      </c>
      <c r="M1254">
        <v>13.5</v>
      </c>
      <c r="N1254" t="b">
        <v>1</v>
      </c>
      <c r="O1254">
        <v>254</v>
      </c>
      <c r="P1254" t="s">
        <v>1263</v>
      </c>
      <c r="Q1254" t="s">
        <v>3303</v>
      </c>
      <c r="R1254">
        <v>-18.84976621412246</v>
      </c>
      <c r="S1254">
        <v>1978</v>
      </c>
      <c r="T1254">
        <v>1383817</v>
      </c>
      <c r="U1254" t="s">
        <v>5234</v>
      </c>
      <c r="V1254">
        <v>50.65</v>
      </c>
      <c r="W1254" t="s">
        <v>7443</v>
      </c>
      <c r="X1254" t="s">
        <v>9470</v>
      </c>
      <c r="Y1254">
        <v>2887</v>
      </c>
      <c r="Z1254">
        <v>131</v>
      </c>
      <c r="AA1254">
        <v>9</v>
      </c>
      <c r="AB1254">
        <v>1.67</v>
      </c>
    </row>
    <row r="1255" spans="1:28">
      <c r="A1255" s="2">
        <f>HYPERLINK("https://finance.naver.com/item/coinfo.nhn?code=189690", "A189690")</f>
        <v>0</v>
      </c>
      <c r="B1255">
        <f>HYPERLINK("http://comp.fnguide.com/SVO2/ASP/SVD_Consensus.asp?pGB=1&amp;gicode=A189690&amp;cID=&amp;MenuYn=Y&amp;ReportGB=&amp;NewMenuID=108&amp;stkGb=701", "포시에스")</f>
        <v>0</v>
      </c>
      <c r="C1255">
        <v>0</v>
      </c>
      <c r="D1255">
        <v>7320</v>
      </c>
      <c r="E1255">
        <v>2.54</v>
      </c>
      <c r="F1255">
        <v>11.99</v>
      </c>
      <c r="G1255">
        <v>7214</v>
      </c>
      <c r="H1255">
        <v>6972</v>
      </c>
      <c r="I1255">
        <v>6903</v>
      </c>
      <c r="J1255">
        <v>1.45</v>
      </c>
      <c r="K1255">
        <v>4.75</v>
      </c>
      <c r="L1255">
        <v>5.69</v>
      </c>
      <c r="M1255">
        <v>8.44</v>
      </c>
      <c r="N1255" t="b">
        <v>1</v>
      </c>
      <c r="O1255">
        <v>620</v>
      </c>
      <c r="P1255" t="s">
        <v>1264</v>
      </c>
      <c r="Q1255" t="s">
        <v>3304</v>
      </c>
      <c r="R1255">
        <v>4.718570418812762</v>
      </c>
      <c r="S1255">
        <v>605</v>
      </c>
      <c r="T1255">
        <v>87765</v>
      </c>
      <c r="U1255" t="s">
        <v>5235</v>
      </c>
      <c r="V1255">
        <v>51.35</v>
      </c>
      <c r="W1255" t="s">
        <v>7444</v>
      </c>
      <c r="X1255" t="s">
        <v>9471</v>
      </c>
      <c r="Y1255">
        <v>217</v>
      </c>
      <c r="Z1255">
        <v>48</v>
      </c>
      <c r="AA1255">
        <v>274553</v>
      </c>
      <c r="AB1255">
        <v>1.28</v>
      </c>
    </row>
    <row r="1256" spans="1:28">
      <c r="A1256" s="2">
        <f>HYPERLINK("https://finance.naver.com/item/coinfo.nhn?code=073640", "A073640")</f>
        <v>0</v>
      </c>
      <c r="B1256">
        <f>HYPERLINK("http://comp.fnguide.com/SVO2/ASP/SVD_Consensus.asp?pGB=1&amp;gicode=A073640&amp;cID=&amp;MenuYn=Y&amp;ReportGB=&amp;NewMenuID=108&amp;stkGb=701", "테라사이언스")</f>
        <v>0</v>
      </c>
      <c r="C1256">
        <v>0</v>
      </c>
      <c r="D1256">
        <v>1650</v>
      </c>
      <c r="E1256">
        <v>0</v>
      </c>
      <c r="G1256">
        <v>0</v>
      </c>
      <c r="H1256">
        <v>273</v>
      </c>
      <c r="I1256">
        <v>350</v>
      </c>
      <c r="J1256">
        <v>100</v>
      </c>
      <c r="K1256">
        <v>83.47</v>
      </c>
      <c r="L1256">
        <v>78.77</v>
      </c>
      <c r="M1256">
        <v>0</v>
      </c>
      <c r="N1256" t="b">
        <v>0</v>
      </c>
      <c r="O1256">
        <v>-45</v>
      </c>
      <c r="P1256" t="s">
        <v>1265</v>
      </c>
      <c r="Q1256" t="s">
        <v>2276</v>
      </c>
      <c r="R1256">
        <v>0</v>
      </c>
      <c r="S1256">
        <v>967</v>
      </c>
      <c r="T1256">
        <v>118718</v>
      </c>
      <c r="U1256" t="s">
        <v>5236</v>
      </c>
      <c r="V1256">
        <v>17.21</v>
      </c>
      <c r="W1256" t="s">
        <v>7445</v>
      </c>
      <c r="X1256" t="s">
        <v>968</v>
      </c>
      <c r="Y1256">
        <v>162</v>
      </c>
      <c r="Z1256">
        <v>-29</v>
      </c>
      <c r="AA1256">
        <v>2805</v>
      </c>
    </row>
    <row r="1257" spans="1:28">
      <c r="A1257" s="2">
        <f>HYPERLINK("https://finance.naver.com/item/coinfo.nhn?code=191420", "A191420")</f>
        <v>0</v>
      </c>
      <c r="B1257">
        <f>HYPERLINK("http://comp.fnguide.com/SVO2/ASP/SVD_Consensus.asp?pGB=1&amp;gicode=A191420&amp;cID=&amp;MenuYn=Y&amp;ReportGB=&amp;NewMenuID=108&amp;stkGb=701", "테고사이언스")</f>
        <v>0</v>
      </c>
      <c r="C1257">
        <v>0</v>
      </c>
      <c r="D1257">
        <v>29000</v>
      </c>
      <c r="E1257">
        <v>11.15</v>
      </c>
      <c r="F1257">
        <v>221.48</v>
      </c>
      <c r="G1257">
        <v>675</v>
      </c>
      <c r="H1257">
        <v>3841</v>
      </c>
      <c r="I1257">
        <v>4744</v>
      </c>
      <c r="J1257">
        <v>97.67</v>
      </c>
      <c r="K1257">
        <v>86.75</v>
      </c>
      <c r="L1257">
        <v>83.64</v>
      </c>
      <c r="M1257">
        <v>0.9</v>
      </c>
      <c r="N1257" t="b">
        <v>0</v>
      </c>
      <c r="O1257">
        <v>106</v>
      </c>
      <c r="P1257" t="s">
        <v>1266</v>
      </c>
      <c r="Q1257" t="s">
        <v>3305</v>
      </c>
      <c r="R1257">
        <v>19.86692621403121</v>
      </c>
      <c r="S1257">
        <v>2345</v>
      </c>
      <c r="T1257">
        <v>261237</v>
      </c>
      <c r="U1257" t="s">
        <v>5237</v>
      </c>
      <c r="V1257">
        <v>42.38</v>
      </c>
      <c r="W1257" t="s">
        <v>7446</v>
      </c>
      <c r="X1257" t="s">
        <v>9472</v>
      </c>
      <c r="Y1257">
        <v>63</v>
      </c>
      <c r="Z1257">
        <v>3</v>
      </c>
      <c r="AA1257">
        <v>45383</v>
      </c>
    </row>
    <row r="1258" spans="1:28">
      <c r="A1258" s="2">
        <f>HYPERLINK("https://finance.naver.com/item/coinfo.nhn?code=318020", "A318020")</f>
        <v>0</v>
      </c>
      <c r="B1258">
        <f>HYPERLINK("http://comp.fnguide.com/SVO2/ASP/SVD_Consensus.asp?pGB=1&amp;gicode=A318020&amp;cID=&amp;MenuYn=Y&amp;ReportGB=&amp;NewMenuID=108&amp;stkGb=701", "포인트모바일")</f>
        <v>0</v>
      </c>
      <c r="C1258">
        <v>0</v>
      </c>
      <c r="D1258">
        <v>27900</v>
      </c>
      <c r="G1258">
        <v>13609</v>
      </c>
      <c r="H1258">
        <v>9048</v>
      </c>
      <c r="I1258">
        <v>7748</v>
      </c>
      <c r="J1258">
        <v>51.22</v>
      </c>
      <c r="K1258">
        <v>67.56999999999999</v>
      </c>
      <c r="L1258">
        <v>72.23</v>
      </c>
      <c r="M1258">
        <v>18.02</v>
      </c>
      <c r="N1258" t="b">
        <v>0</v>
      </c>
      <c r="O1258">
        <v>1647</v>
      </c>
      <c r="P1258" t="s">
        <v>1267</v>
      </c>
      <c r="Q1258" t="s">
        <v>3306</v>
      </c>
      <c r="R1258">
        <v>59.01542715828923</v>
      </c>
      <c r="S1258">
        <v>1720</v>
      </c>
      <c r="T1258">
        <v>1194874</v>
      </c>
      <c r="U1258" t="s">
        <v>5238</v>
      </c>
      <c r="V1258">
        <v>30.3</v>
      </c>
      <c r="W1258" t="s">
        <v>7447</v>
      </c>
      <c r="X1258" t="s">
        <v>9473</v>
      </c>
      <c r="Y1258">
        <v>622</v>
      </c>
      <c r="Z1258">
        <v>90</v>
      </c>
    </row>
    <row r="1259" spans="1:28">
      <c r="A1259" s="2">
        <f>HYPERLINK("https://finance.naver.com/item/coinfo.nhn?code=256630", "A256630")</f>
        <v>0</v>
      </c>
      <c r="B1259">
        <f>HYPERLINK("http://comp.fnguide.com/SVO2/ASP/SVD_Consensus.asp?pGB=1&amp;gicode=A256630&amp;cID=&amp;MenuYn=Y&amp;ReportGB=&amp;NewMenuID=108&amp;stkGb=701", "포인트엔지니어링")</f>
        <v>0</v>
      </c>
      <c r="C1259">
        <v>0</v>
      </c>
      <c r="D1259">
        <v>2985</v>
      </c>
      <c r="E1259">
        <v>17.33</v>
      </c>
      <c r="F1259">
        <v>96.37</v>
      </c>
      <c r="G1259">
        <v>1875</v>
      </c>
      <c r="H1259">
        <v>1452</v>
      </c>
      <c r="I1259">
        <v>1331</v>
      </c>
      <c r="J1259">
        <v>37.2</v>
      </c>
      <c r="K1259">
        <v>51.37</v>
      </c>
      <c r="L1259">
        <v>55.41</v>
      </c>
      <c r="M1259">
        <v>12.76</v>
      </c>
      <c r="N1259" t="b">
        <v>1</v>
      </c>
      <c r="O1259">
        <v>21</v>
      </c>
      <c r="P1259" t="s">
        <v>1268</v>
      </c>
      <c r="Q1259" t="s">
        <v>3307</v>
      </c>
      <c r="R1259">
        <v>5.559497987241802</v>
      </c>
      <c r="S1259">
        <v>1686</v>
      </c>
      <c r="T1259">
        <v>412367</v>
      </c>
      <c r="U1259" t="s">
        <v>5239</v>
      </c>
      <c r="V1259">
        <v>49.32</v>
      </c>
      <c r="W1259" t="s">
        <v>7448</v>
      </c>
      <c r="X1259" t="s">
        <v>9474</v>
      </c>
      <c r="Y1259">
        <v>467</v>
      </c>
      <c r="Z1259">
        <v>47</v>
      </c>
      <c r="AB1259">
        <v>0.98</v>
      </c>
    </row>
    <row r="1260" spans="1:28">
      <c r="A1260" s="2">
        <f>HYPERLINK("https://finance.naver.com/item/coinfo.nhn?code=219130", "A219130")</f>
        <v>0</v>
      </c>
      <c r="B1260">
        <f>HYPERLINK("http://comp.fnguide.com/SVO2/ASP/SVD_Consensus.asp?pGB=1&amp;gicode=A219130&amp;cID=&amp;MenuYn=Y&amp;ReportGB=&amp;NewMenuID=108&amp;stkGb=701", "타이거일렉")</f>
        <v>0</v>
      </c>
      <c r="C1260">
        <v>0</v>
      </c>
      <c r="D1260">
        <v>16350</v>
      </c>
      <c r="E1260">
        <v>0.49</v>
      </c>
      <c r="F1260">
        <v>21.45</v>
      </c>
      <c r="G1260">
        <v>4633</v>
      </c>
      <c r="H1260">
        <v>6007</v>
      </c>
      <c r="I1260">
        <v>6399</v>
      </c>
      <c r="J1260">
        <v>71.67</v>
      </c>
      <c r="K1260">
        <v>63.26</v>
      </c>
      <c r="L1260">
        <v>60.86</v>
      </c>
      <c r="M1260">
        <v>5.33</v>
      </c>
      <c r="N1260" t="b">
        <v>1</v>
      </c>
      <c r="O1260">
        <v>255</v>
      </c>
      <c r="P1260" t="s">
        <v>1269</v>
      </c>
      <c r="Q1260" t="s">
        <v>3308</v>
      </c>
      <c r="R1260">
        <v>43.87779250056898</v>
      </c>
      <c r="S1260">
        <v>1032</v>
      </c>
      <c r="T1260">
        <v>127623</v>
      </c>
      <c r="U1260" t="s">
        <v>5240</v>
      </c>
      <c r="V1260">
        <v>52.48</v>
      </c>
      <c r="W1260" t="s">
        <v>7449</v>
      </c>
      <c r="X1260" t="s">
        <v>9475</v>
      </c>
      <c r="Y1260">
        <v>351</v>
      </c>
      <c r="Z1260">
        <v>15</v>
      </c>
    </row>
    <row r="1261" spans="1:28">
      <c r="A1261" s="2">
        <f>HYPERLINK("https://finance.naver.com/item/coinfo.nhn?code=054780", "A054780")</f>
        <v>0</v>
      </c>
      <c r="B1261">
        <f>HYPERLINK("http://comp.fnguide.com/SVO2/ASP/SVD_Consensus.asp?pGB=1&amp;gicode=A054780&amp;cID=&amp;MenuYn=Y&amp;ReportGB=&amp;NewMenuID=108&amp;stkGb=701", "키이스트")</f>
        <v>0</v>
      </c>
      <c r="C1261">
        <v>0</v>
      </c>
      <c r="D1261">
        <v>11500</v>
      </c>
      <c r="E1261">
        <v>0</v>
      </c>
      <c r="G1261">
        <v>0</v>
      </c>
      <c r="H1261">
        <v>1535</v>
      </c>
      <c r="I1261">
        <v>1972</v>
      </c>
      <c r="J1261">
        <v>100</v>
      </c>
      <c r="K1261">
        <v>86.66</v>
      </c>
      <c r="L1261">
        <v>82.84999999999999</v>
      </c>
      <c r="M1261">
        <v>0</v>
      </c>
      <c r="N1261" t="b">
        <v>0</v>
      </c>
      <c r="O1261">
        <v>-485</v>
      </c>
      <c r="P1261" t="s">
        <v>1270</v>
      </c>
      <c r="Q1261" t="s">
        <v>2276</v>
      </c>
      <c r="R1261">
        <v>0</v>
      </c>
      <c r="S1261">
        <v>1963</v>
      </c>
      <c r="T1261">
        <v>118877</v>
      </c>
      <c r="U1261" t="s">
        <v>5241</v>
      </c>
      <c r="V1261">
        <v>31.84</v>
      </c>
      <c r="W1261" t="s">
        <v>7450</v>
      </c>
      <c r="X1261" t="s">
        <v>968</v>
      </c>
      <c r="Y1261">
        <v>1002</v>
      </c>
      <c r="Z1261">
        <v>-15</v>
      </c>
      <c r="AA1261">
        <v>55</v>
      </c>
    </row>
    <row r="1262" spans="1:28">
      <c r="A1262" s="2">
        <f>HYPERLINK("https://finance.naver.com/item/coinfo.nhn?code=139670", "A139670")</f>
        <v>0</v>
      </c>
      <c r="B1262">
        <f>HYPERLINK("http://comp.fnguide.com/SVO2/ASP/SVD_Consensus.asp?pGB=1&amp;gicode=A139670&amp;cID=&amp;MenuYn=Y&amp;ReportGB=&amp;NewMenuID=108&amp;stkGb=701", "키네마스터")</f>
        <v>0</v>
      </c>
      <c r="C1262">
        <v>0</v>
      </c>
      <c r="D1262">
        <v>29050</v>
      </c>
      <c r="E1262">
        <v>0</v>
      </c>
      <c r="F1262">
        <v>1480.36</v>
      </c>
      <c r="G1262">
        <v>30</v>
      </c>
      <c r="H1262">
        <v>587</v>
      </c>
      <c r="I1262">
        <v>746</v>
      </c>
      <c r="J1262">
        <v>99.90000000000001</v>
      </c>
      <c r="K1262">
        <v>97.98</v>
      </c>
      <c r="L1262">
        <v>97.43000000000001</v>
      </c>
      <c r="M1262">
        <v>0.25</v>
      </c>
      <c r="N1262" t="b">
        <v>0</v>
      </c>
      <c r="O1262">
        <v>5</v>
      </c>
      <c r="P1262" t="s">
        <v>1271</v>
      </c>
      <c r="Q1262" t="s">
        <v>2276</v>
      </c>
      <c r="R1262">
        <v>0</v>
      </c>
      <c r="S1262">
        <v>3935</v>
      </c>
      <c r="T1262">
        <v>991729</v>
      </c>
      <c r="U1262" t="s">
        <v>5242</v>
      </c>
      <c r="V1262">
        <v>55.02</v>
      </c>
      <c r="W1262" t="s">
        <v>7451</v>
      </c>
      <c r="X1262" t="s">
        <v>9476</v>
      </c>
      <c r="Y1262">
        <v>194</v>
      </c>
      <c r="Z1262">
        <v>3</v>
      </c>
      <c r="AA1262">
        <v>487515</v>
      </c>
    </row>
    <row r="1263" spans="1:28">
      <c r="A1263" s="2">
        <f>HYPERLINK("https://finance.naver.com/item/coinfo.nhn?code=066310", "A066310")</f>
        <v>0</v>
      </c>
      <c r="B1263">
        <f>HYPERLINK("http://comp.fnguide.com/SVO2/ASP/SVD_Consensus.asp?pGB=1&amp;gicode=A066310&amp;cID=&amp;MenuYn=Y&amp;ReportGB=&amp;NewMenuID=108&amp;stkGb=701", "큐에스아이")</f>
        <v>0</v>
      </c>
      <c r="C1263">
        <v>0</v>
      </c>
      <c r="D1263">
        <v>15800</v>
      </c>
      <c r="E1263">
        <v>-1.67</v>
      </c>
      <c r="F1263">
        <v>101.21</v>
      </c>
      <c r="G1263">
        <v>1057</v>
      </c>
      <c r="H1263">
        <v>4379</v>
      </c>
      <c r="I1263">
        <v>5326</v>
      </c>
      <c r="J1263">
        <v>93.31</v>
      </c>
      <c r="K1263">
        <v>72.28</v>
      </c>
      <c r="L1263">
        <v>66.29000000000001</v>
      </c>
      <c r="M1263">
        <v>1.28</v>
      </c>
      <c r="N1263" t="b">
        <v>0</v>
      </c>
      <c r="O1263">
        <v>133</v>
      </c>
      <c r="P1263" t="s">
        <v>1272</v>
      </c>
      <c r="Q1263" t="s">
        <v>2433</v>
      </c>
      <c r="R1263">
        <v>-60.56473563573411</v>
      </c>
      <c r="S1263">
        <v>1308</v>
      </c>
      <c r="T1263">
        <v>127118</v>
      </c>
      <c r="U1263" t="s">
        <v>5243</v>
      </c>
      <c r="V1263">
        <v>31.63</v>
      </c>
      <c r="W1263" t="s">
        <v>7452</v>
      </c>
      <c r="X1263" t="s">
        <v>9477</v>
      </c>
      <c r="Y1263">
        <v>227</v>
      </c>
      <c r="Z1263">
        <v>4</v>
      </c>
      <c r="AA1263">
        <v>4331</v>
      </c>
      <c r="AB1263">
        <v>0.37</v>
      </c>
    </row>
    <row r="1264" spans="1:28">
      <c r="A1264" s="2">
        <f>HYPERLINK("https://finance.naver.com/item/coinfo.nhn?code=237880", "A237880")</f>
        <v>0</v>
      </c>
      <c r="B1264">
        <f>HYPERLINK("http://comp.fnguide.com/SVO2/ASP/SVD_Consensus.asp?pGB=1&amp;gicode=A237880&amp;cID=&amp;MenuYn=Y&amp;ReportGB=&amp;NewMenuID=108&amp;stkGb=701", "클리오")</f>
        <v>0</v>
      </c>
      <c r="C1264">
        <v>0</v>
      </c>
      <c r="D1264">
        <v>16950</v>
      </c>
      <c r="E1264">
        <v>-4.2</v>
      </c>
      <c r="F1264">
        <v>126.58</v>
      </c>
      <c r="G1264">
        <v>2399</v>
      </c>
      <c r="H1264">
        <v>6220</v>
      </c>
      <c r="I1264">
        <v>7309</v>
      </c>
      <c r="J1264">
        <v>85.84</v>
      </c>
      <c r="K1264">
        <v>63.3</v>
      </c>
      <c r="L1264">
        <v>56.88</v>
      </c>
      <c r="M1264">
        <v>2.18</v>
      </c>
      <c r="N1264" t="b">
        <v>1</v>
      </c>
      <c r="O1264">
        <v>173</v>
      </c>
      <c r="P1264" t="s">
        <v>1273</v>
      </c>
      <c r="Q1264" t="s">
        <v>3309</v>
      </c>
      <c r="R1264">
        <v>-30.10895085549056</v>
      </c>
      <c r="S1264">
        <v>2907</v>
      </c>
      <c r="T1264">
        <v>74723</v>
      </c>
      <c r="U1264" t="s">
        <v>5244</v>
      </c>
      <c r="V1264">
        <v>67.3</v>
      </c>
      <c r="W1264" t="s">
        <v>7453</v>
      </c>
      <c r="X1264" t="s">
        <v>9478</v>
      </c>
      <c r="Y1264">
        <v>2504</v>
      </c>
      <c r="Z1264">
        <v>186</v>
      </c>
      <c r="AA1264">
        <v>561430</v>
      </c>
      <c r="AB1264">
        <v>1</v>
      </c>
    </row>
    <row r="1265" spans="1:28">
      <c r="A1265" s="2">
        <f>HYPERLINK("https://finance.naver.com/item/coinfo.nhn?code=352770", "A352770")</f>
        <v>0</v>
      </c>
      <c r="B1265">
        <f>HYPERLINK("http://comp.fnguide.com/SVO2/ASP/SVD_Consensus.asp?pGB=1&amp;gicode=A352770&amp;cID=&amp;MenuYn=Y&amp;ReportGB=&amp;NewMenuID=108&amp;stkGb=701", "클리노믹스")</f>
        <v>0</v>
      </c>
      <c r="C1265">
        <v>0</v>
      </c>
      <c r="D1265">
        <v>19000</v>
      </c>
      <c r="E1265">
        <v>0</v>
      </c>
      <c r="G1265">
        <v>0</v>
      </c>
      <c r="H1265">
        <v>228</v>
      </c>
      <c r="I1265">
        <v>292</v>
      </c>
      <c r="J1265">
        <v>100</v>
      </c>
      <c r="K1265">
        <v>98.8</v>
      </c>
      <c r="L1265">
        <v>98.45999999999999</v>
      </c>
      <c r="M1265">
        <v>0</v>
      </c>
      <c r="N1265" t="b">
        <v>0</v>
      </c>
      <c r="O1265">
        <v>-551</v>
      </c>
      <c r="P1265" t="s">
        <v>1274</v>
      </c>
      <c r="Q1265" t="s">
        <v>3310</v>
      </c>
      <c r="R1265">
        <v>0</v>
      </c>
      <c r="S1265">
        <v>2509</v>
      </c>
      <c r="T1265">
        <v>16176247</v>
      </c>
      <c r="U1265" t="s">
        <v>5245</v>
      </c>
      <c r="V1265">
        <v>23.87</v>
      </c>
      <c r="W1265" t="s">
        <v>7454</v>
      </c>
      <c r="X1265" t="s">
        <v>968</v>
      </c>
      <c r="Y1265">
        <v>41</v>
      </c>
      <c r="Z1265">
        <v>-45</v>
      </c>
    </row>
    <row r="1266" spans="1:28">
      <c r="A1266" s="2">
        <f>HYPERLINK("https://finance.naver.com/item/coinfo.nhn?code=214150", "A214150")</f>
        <v>0</v>
      </c>
      <c r="B1266">
        <f>HYPERLINK("http://comp.fnguide.com/SVO2/ASP/SVD_Consensus.asp?pGB=1&amp;gicode=A214150&amp;cID=&amp;MenuYn=Y&amp;ReportGB=&amp;NewMenuID=108&amp;stkGb=701", "클래시스")</f>
        <v>0</v>
      </c>
      <c r="C1266">
        <v>0</v>
      </c>
      <c r="D1266">
        <v>14850</v>
      </c>
      <c r="E1266">
        <v>0.51</v>
      </c>
      <c r="F1266">
        <v>26.49</v>
      </c>
      <c r="G1266">
        <v>6056</v>
      </c>
      <c r="H1266">
        <v>3234</v>
      </c>
      <c r="I1266">
        <v>2429</v>
      </c>
      <c r="J1266">
        <v>59.22</v>
      </c>
      <c r="K1266">
        <v>78.22</v>
      </c>
      <c r="L1266">
        <v>83.64</v>
      </c>
      <c r="M1266">
        <v>35.53</v>
      </c>
      <c r="N1266" t="b">
        <v>1</v>
      </c>
      <c r="O1266">
        <v>534</v>
      </c>
      <c r="P1266" t="s">
        <v>1275</v>
      </c>
      <c r="Q1266" t="s">
        <v>3311</v>
      </c>
      <c r="R1266">
        <v>51.64844468330108</v>
      </c>
      <c r="S1266">
        <v>9609</v>
      </c>
      <c r="T1266">
        <v>122529</v>
      </c>
      <c r="U1266" t="s">
        <v>5246</v>
      </c>
      <c r="V1266">
        <v>85.09999999999999</v>
      </c>
      <c r="W1266" t="s">
        <v>7455</v>
      </c>
      <c r="X1266" t="s">
        <v>9479</v>
      </c>
      <c r="Y1266">
        <v>811</v>
      </c>
      <c r="Z1266">
        <v>417</v>
      </c>
      <c r="AB1266">
        <v>0.33</v>
      </c>
    </row>
    <row r="1267" spans="1:28">
      <c r="A1267" s="2">
        <f>HYPERLINK("https://finance.naver.com/item/coinfo.nhn?code=045520", "A045520")</f>
        <v>0</v>
      </c>
      <c r="B1267">
        <f>HYPERLINK("http://comp.fnguide.com/SVO2/ASP/SVD_Consensus.asp?pGB=1&amp;gicode=A045520&amp;cID=&amp;MenuYn=Y&amp;ReportGB=&amp;NewMenuID=108&amp;stkGb=701", "크린앤사이언스")</f>
        <v>0</v>
      </c>
      <c r="C1267">
        <v>0</v>
      </c>
      <c r="D1267">
        <v>28550</v>
      </c>
      <c r="E1267">
        <v>0.61</v>
      </c>
      <c r="F1267">
        <v>22.1</v>
      </c>
      <c r="G1267">
        <v>16992</v>
      </c>
      <c r="H1267">
        <v>10927</v>
      </c>
      <c r="I1267">
        <v>9198</v>
      </c>
      <c r="J1267">
        <v>40.48</v>
      </c>
      <c r="K1267">
        <v>61.73</v>
      </c>
      <c r="L1267">
        <v>67.78</v>
      </c>
      <c r="M1267">
        <v>19.64</v>
      </c>
      <c r="N1267" t="b">
        <v>1</v>
      </c>
      <c r="O1267">
        <v>1249</v>
      </c>
      <c r="P1267" t="s">
        <v>1276</v>
      </c>
      <c r="Q1267" t="s">
        <v>3312</v>
      </c>
      <c r="R1267">
        <v>36.0144101333266</v>
      </c>
      <c r="S1267">
        <v>1856</v>
      </c>
      <c r="T1267">
        <v>124291</v>
      </c>
      <c r="U1267" t="s">
        <v>5247</v>
      </c>
      <c r="V1267">
        <v>32.66</v>
      </c>
      <c r="W1267" t="s">
        <v>7456</v>
      </c>
      <c r="X1267" t="s">
        <v>9480</v>
      </c>
      <c r="Y1267">
        <v>1183</v>
      </c>
      <c r="Z1267">
        <v>109</v>
      </c>
      <c r="AA1267">
        <v>381619</v>
      </c>
      <c r="AB1267">
        <v>1.09</v>
      </c>
    </row>
    <row r="1268" spans="1:28">
      <c r="A1268" s="2">
        <f>HYPERLINK("https://finance.naver.com/item/coinfo.nhn?code=083790", "A083790")</f>
        <v>0</v>
      </c>
      <c r="B1268">
        <f>HYPERLINK("http://comp.fnguide.com/SVO2/ASP/SVD_Consensus.asp?pGB=1&amp;gicode=A083790&amp;cID=&amp;MenuYn=Y&amp;ReportGB=&amp;NewMenuID=108&amp;stkGb=701", "크리스탈지노믹스")</f>
        <v>0</v>
      </c>
      <c r="C1268">
        <v>0</v>
      </c>
      <c r="D1268">
        <v>15600</v>
      </c>
      <c r="E1268">
        <v>0</v>
      </c>
      <c r="G1268">
        <v>679</v>
      </c>
      <c r="H1268">
        <v>2222</v>
      </c>
      <c r="I1268">
        <v>2662</v>
      </c>
      <c r="J1268">
        <v>95.65000000000001</v>
      </c>
      <c r="K1268">
        <v>85.75</v>
      </c>
      <c r="L1268">
        <v>82.94</v>
      </c>
      <c r="M1268">
        <v>1.67</v>
      </c>
      <c r="N1268" t="b">
        <v>0</v>
      </c>
      <c r="O1268">
        <v>-898</v>
      </c>
      <c r="P1268" t="s">
        <v>1277</v>
      </c>
      <c r="Q1268" t="s">
        <v>2276</v>
      </c>
      <c r="R1268">
        <v>0</v>
      </c>
      <c r="S1268">
        <v>7159</v>
      </c>
      <c r="T1268">
        <v>530624</v>
      </c>
      <c r="U1268" t="s">
        <v>5248</v>
      </c>
      <c r="V1268">
        <v>9.119999999999999</v>
      </c>
      <c r="W1268" t="s">
        <v>7457</v>
      </c>
      <c r="X1268" t="s">
        <v>9481</v>
      </c>
      <c r="Y1268">
        <v>140</v>
      </c>
      <c r="Z1268">
        <v>-106</v>
      </c>
      <c r="AA1268">
        <v>9287</v>
      </c>
    </row>
    <row r="1269" spans="1:28">
      <c r="A1269" s="2">
        <f>HYPERLINK("https://finance.naver.com/item/coinfo.nhn?code=114120", "A114120")</f>
        <v>0</v>
      </c>
      <c r="B1269">
        <f>HYPERLINK("http://comp.fnguide.com/SVO2/ASP/SVD_Consensus.asp?pGB=1&amp;gicode=A114120&amp;cID=&amp;MenuYn=Y&amp;ReportGB=&amp;NewMenuID=108&amp;stkGb=701", "크루셜텍")</f>
        <v>0</v>
      </c>
      <c r="C1269">
        <v>0</v>
      </c>
      <c r="D1269">
        <v>1625</v>
      </c>
      <c r="G1269">
        <v>0</v>
      </c>
      <c r="H1269">
        <v>1260</v>
      </c>
      <c r="I1269">
        <v>1619</v>
      </c>
      <c r="J1269">
        <v>100</v>
      </c>
      <c r="K1269">
        <v>22.47</v>
      </c>
      <c r="L1269">
        <v>0.37</v>
      </c>
      <c r="M1269">
        <v>0</v>
      </c>
      <c r="N1269" t="b">
        <v>0</v>
      </c>
      <c r="O1269">
        <v>-3106</v>
      </c>
      <c r="P1269" t="s">
        <v>1278</v>
      </c>
      <c r="Q1269" t="s">
        <v>3313</v>
      </c>
      <c r="R1269">
        <v>-97.2</v>
      </c>
      <c r="S1269">
        <v>341</v>
      </c>
      <c r="T1269">
        <v>219416</v>
      </c>
      <c r="U1269" t="s">
        <v>5249</v>
      </c>
      <c r="V1269">
        <v>8.890000000000001</v>
      </c>
      <c r="W1269" t="s">
        <v>7458</v>
      </c>
      <c r="X1269" t="s">
        <v>968</v>
      </c>
      <c r="Y1269">
        <v>651</v>
      </c>
      <c r="Z1269">
        <v>-291</v>
      </c>
      <c r="AA1269">
        <v>26411</v>
      </c>
    </row>
    <row r="1270" spans="1:28">
      <c r="A1270" s="2">
        <f>HYPERLINK("https://finance.naver.com/item/coinfo.nhn?code=094940", "A094940")</f>
        <v>0</v>
      </c>
      <c r="B1270">
        <f>HYPERLINK("http://comp.fnguide.com/SVO2/ASP/SVD_Consensus.asp?pGB=1&amp;gicode=A094940&amp;cID=&amp;MenuYn=Y&amp;ReportGB=&amp;NewMenuID=108&amp;stkGb=701", "푸른기술")</f>
        <v>0</v>
      </c>
      <c r="C1270">
        <v>0</v>
      </c>
      <c r="D1270">
        <v>13000</v>
      </c>
      <c r="E1270">
        <v>-10.44</v>
      </c>
      <c r="F1270">
        <v>174.38</v>
      </c>
      <c r="G1270">
        <v>2069</v>
      </c>
      <c r="H1270">
        <v>3710</v>
      </c>
      <c r="I1270">
        <v>4178</v>
      </c>
      <c r="J1270">
        <v>84.08</v>
      </c>
      <c r="K1270">
        <v>71.45999999999999</v>
      </c>
      <c r="L1270">
        <v>67.86</v>
      </c>
      <c r="M1270">
        <v>3.44</v>
      </c>
      <c r="N1270" t="b">
        <v>0</v>
      </c>
      <c r="O1270">
        <v>91</v>
      </c>
      <c r="P1270" t="s">
        <v>1279</v>
      </c>
      <c r="Q1270" t="s">
        <v>2877</v>
      </c>
      <c r="R1270">
        <v>-16.70070494091571</v>
      </c>
      <c r="S1270">
        <v>855</v>
      </c>
      <c r="T1270">
        <v>154868</v>
      </c>
      <c r="U1270" t="s">
        <v>5250</v>
      </c>
      <c r="V1270">
        <v>20.03</v>
      </c>
      <c r="W1270" t="s">
        <v>7459</v>
      </c>
      <c r="X1270" t="s">
        <v>9482</v>
      </c>
      <c r="Y1270">
        <v>234</v>
      </c>
      <c r="Z1270">
        <v>4</v>
      </c>
      <c r="AA1270">
        <v>616921</v>
      </c>
      <c r="AB1270">
        <v>0.19</v>
      </c>
    </row>
    <row r="1271" spans="1:28">
      <c r="A1271" s="2">
        <f>HYPERLINK("https://finance.naver.com/item/coinfo.nhn?code=043590", "A043590")</f>
        <v>0</v>
      </c>
      <c r="B1271">
        <f>HYPERLINK("http://comp.fnguide.com/SVO2/ASP/SVD_Consensus.asp?pGB=1&amp;gicode=A043590&amp;cID=&amp;MenuYn=Y&amp;ReportGB=&amp;NewMenuID=108&amp;stkGb=701", "크로바하이텍")</f>
        <v>0</v>
      </c>
      <c r="C1271">
        <v>0</v>
      </c>
      <c r="D1271">
        <v>1490</v>
      </c>
      <c r="E1271">
        <v>0</v>
      </c>
      <c r="G1271">
        <v>0</v>
      </c>
      <c r="H1271">
        <v>430</v>
      </c>
      <c r="I1271">
        <v>553</v>
      </c>
      <c r="J1271">
        <v>100</v>
      </c>
      <c r="K1271">
        <v>71.13</v>
      </c>
      <c r="L1271">
        <v>62.9</v>
      </c>
      <c r="M1271">
        <v>0</v>
      </c>
      <c r="N1271" t="b">
        <v>0</v>
      </c>
      <c r="O1271">
        <v>-321</v>
      </c>
      <c r="P1271" t="s">
        <v>1280</v>
      </c>
      <c r="Q1271" t="s">
        <v>2276</v>
      </c>
      <c r="R1271">
        <v>0</v>
      </c>
      <c r="S1271">
        <v>347</v>
      </c>
      <c r="T1271">
        <v>0</v>
      </c>
      <c r="U1271" t="s">
        <v>5251</v>
      </c>
      <c r="V1271">
        <v>5.38</v>
      </c>
      <c r="W1271" t="s">
        <v>7460</v>
      </c>
      <c r="X1271" t="s">
        <v>968</v>
      </c>
      <c r="Y1271">
        <v>355</v>
      </c>
      <c r="Z1271">
        <v>-42</v>
      </c>
      <c r="AA1271">
        <v>954502</v>
      </c>
    </row>
    <row r="1272" spans="1:28">
      <c r="A1272" s="2">
        <f>HYPERLINK("https://finance.naver.com/item/coinfo.nhn?code=111820", "A111820")</f>
        <v>0</v>
      </c>
      <c r="B1272">
        <f>HYPERLINK("http://comp.fnguide.com/SVO2/ASP/SVD_Consensus.asp?pGB=1&amp;gicode=A111820&amp;cID=&amp;MenuYn=Y&amp;ReportGB=&amp;NewMenuID=108&amp;stkGb=701", "지와이커머스")</f>
        <v>0</v>
      </c>
      <c r="C1272">
        <v>0</v>
      </c>
      <c r="D1272">
        <v>2465</v>
      </c>
      <c r="E1272">
        <v>0</v>
      </c>
      <c r="G1272">
        <v>0</v>
      </c>
      <c r="H1272">
        <v>7</v>
      </c>
      <c r="I1272">
        <v>9</v>
      </c>
      <c r="J1272">
        <v>100</v>
      </c>
      <c r="K1272">
        <v>99.70999999999999</v>
      </c>
      <c r="L1272">
        <v>99.63</v>
      </c>
      <c r="M1272">
        <v>0</v>
      </c>
      <c r="N1272" t="b">
        <v>0</v>
      </c>
      <c r="O1272">
        <v>-2387</v>
      </c>
      <c r="P1272" t="s">
        <v>1281</v>
      </c>
      <c r="Q1272" t="s">
        <v>2276</v>
      </c>
      <c r="R1272">
        <v>0</v>
      </c>
      <c r="S1272">
        <v>623</v>
      </c>
      <c r="T1272">
        <v>0</v>
      </c>
      <c r="U1272" t="s">
        <v>5252</v>
      </c>
      <c r="V1272">
        <v>63.3</v>
      </c>
      <c r="W1272" t="s">
        <v>7461</v>
      </c>
      <c r="X1272" t="s">
        <v>968</v>
      </c>
      <c r="Y1272">
        <v>42</v>
      </c>
      <c r="Z1272">
        <v>-23</v>
      </c>
      <c r="AA1272">
        <v>562</v>
      </c>
    </row>
    <row r="1273" spans="1:28">
      <c r="A1273" s="2">
        <f>HYPERLINK("https://finance.naver.com/item/coinfo.nhn?code=065060", "A065060")</f>
        <v>0</v>
      </c>
      <c r="B1273">
        <f>HYPERLINK("http://comp.fnguide.com/SVO2/ASP/SVD_Consensus.asp?pGB=1&amp;gicode=A065060&amp;cID=&amp;MenuYn=Y&amp;ReportGB=&amp;NewMenuID=108&amp;stkGb=701", "지엔코")</f>
        <v>0</v>
      </c>
      <c r="C1273">
        <v>0</v>
      </c>
      <c r="D1273">
        <v>1120</v>
      </c>
      <c r="E1273">
        <v>0</v>
      </c>
      <c r="G1273">
        <v>0</v>
      </c>
      <c r="H1273">
        <v>561</v>
      </c>
      <c r="I1273">
        <v>720</v>
      </c>
      <c r="J1273">
        <v>100</v>
      </c>
      <c r="K1273">
        <v>49.95</v>
      </c>
      <c r="L1273">
        <v>35.69</v>
      </c>
      <c r="M1273">
        <v>0</v>
      </c>
      <c r="N1273" t="b">
        <v>0</v>
      </c>
      <c r="O1273">
        <v>-240</v>
      </c>
      <c r="P1273" t="s">
        <v>1282</v>
      </c>
      <c r="Q1273" t="s">
        <v>2276</v>
      </c>
      <c r="R1273">
        <v>0</v>
      </c>
      <c r="S1273">
        <v>1098</v>
      </c>
      <c r="T1273">
        <v>493791</v>
      </c>
      <c r="U1273" t="s">
        <v>5253</v>
      </c>
      <c r="V1273">
        <v>30.78</v>
      </c>
      <c r="W1273" t="s">
        <v>7462</v>
      </c>
      <c r="X1273" t="s">
        <v>968</v>
      </c>
      <c r="Y1273">
        <v>1559</v>
      </c>
      <c r="Z1273">
        <v>-76</v>
      </c>
      <c r="AA1273">
        <v>146466</v>
      </c>
    </row>
    <row r="1274" spans="1:28">
      <c r="A1274" s="2">
        <f>HYPERLINK("https://finance.naver.com/item/coinfo.nhn?code=240810", "A240810")</f>
        <v>0</v>
      </c>
      <c r="B1274">
        <f>HYPERLINK("http://comp.fnguide.com/SVO2/ASP/SVD_Consensus.asp?pGB=1&amp;gicode=A240810&amp;cID=&amp;MenuYn=Y&amp;ReportGB=&amp;NewMenuID=108&amp;stkGb=701", "원익IPS")</f>
        <v>0</v>
      </c>
      <c r="C1274">
        <v>0</v>
      </c>
      <c r="D1274">
        <v>44100</v>
      </c>
      <c r="E1274">
        <v>0</v>
      </c>
      <c r="F1274">
        <v>40.5</v>
      </c>
      <c r="G1274">
        <v>28038</v>
      </c>
      <c r="H1274">
        <v>18245</v>
      </c>
      <c r="I1274">
        <v>15455</v>
      </c>
      <c r="J1274">
        <v>36.42</v>
      </c>
      <c r="K1274">
        <v>58.63</v>
      </c>
      <c r="L1274">
        <v>64.95</v>
      </c>
      <c r="M1274">
        <v>19.04</v>
      </c>
      <c r="N1274" t="b">
        <v>1</v>
      </c>
      <c r="O1274">
        <v>885</v>
      </c>
      <c r="P1274" t="s">
        <v>1283</v>
      </c>
      <c r="Q1274" t="s">
        <v>3314</v>
      </c>
      <c r="R1274">
        <v>0</v>
      </c>
      <c r="S1274">
        <v>21646</v>
      </c>
      <c r="T1274">
        <v>1467951</v>
      </c>
      <c r="U1274" t="s">
        <v>5254</v>
      </c>
      <c r="V1274">
        <v>33.06</v>
      </c>
      <c r="W1274" t="s">
        <v>7463</v>
      </c>
      <c r="X1274" t="s">
        <v>9483</v>
      </c>
      <c r="Y1274">
        <v>6692</v>
      </c>
      <c r="Z1274">
        <v>411</v>
      </c>
      <c r="AA1274">
        <v>819702</v>
      </c>
    </row>
    <row r="1275" spans="1:28">
      <c r="A1275" s="2">
        <f>HYPERLINK("https://finance.naver.com/item/coinfo.nhn?code=340360", "A340360")</f>
        <v>0</v>
      </c>
      <c r="B1275">
        <f>HYPERLINK("http://comp.fnguide.com/SVO2/ASP/SVD_Consensus.asp?pGB=1&amp;gicode=A340360&amp;cID=&amp;MenuYn=Y&amp;ReportGB=&amp;NewMenuID=108&amp;stkGb=701", "유안타제6호스팩")</f>
        <v>0</v>
      </c>
      <c r="C1275">
        <v>0</v>
      </c>
      <c r="D1275">
        <v>1995</v>
      </c>
      <c r="E1275">
        <v>0</v>
      </c>
      <c r="G1275">
        <v>0</v>
      </c>
      <c r="H1275">
        <v>1167</v>
      </c>
      <c r="I1275">
        <v>1500</v>
      </c>
      <c r="J1275">
        <v>100</v>
      </c>
      <c r="K1275">
        <v>41.48</v>
      </c>
      <c r="L1275">
        <v>24.81</v>
      </c>
      <c r="M1275">
        <v>0</v>
      </c>
      <c r="N1275" t="b">
        <v>0</v>
      </c>
      <c r="O1275">
        <v>-18</v>
      </c>
      <c r="P1275" t="s">
        <v>1284</v>
      </c>
      <c r="Q1275" t="s">
        <v>2588</v>
      </c>
      <c r="R1275">
        <v>-10.43613343694285</v>
      </c>
      <c r="S1275">
        <v>137</v>
      </c>
      <c r="T1275">
        <v>0</v>
      </c>
      <c r="U1275" t="s">
        <v>5255</v>
      </c>
      <c r="V1275">
        <v>8.16</v>
      </c>
      <c r="W1275" t="s">
        <v>968</v>
      </c>
      <c r="X1275" t="s">
        <v>968</v>
      </c>
      <c r="Y1275">
        <v>0</v>
      </c>
      <c r="Z1275">
        <v>0</v>
      </c>
    </row>
    <row r="1276" spans="1:28">
      <c r="A1276" s="2">
        <f>HYPERLINK("https://finance.naver.com/item/coinfo.nhn?code=264850", "A264850")</f>
        <v>0</v>
      </c>
      <c r="B1276">
        <f>HYPERLINK("http://comp.fnguide.com/SVO2/ASP/SVD_Consensus.asp?pGB=1&amp;gicode=A264850&amp;cID=&amp;MenuYn=Y&amp;ReportGB=&amp;NewMenuID=108&amp;stkGb=701", "이랜시스")</f>
        <v>0</v>
      </c>
      <c r="C1276">
        <v>0</v>
      </c>
      <c r="D1276">
        <v>2390</v>
      </c>
      <c r="E1276">
        <v>0</v>
      </c>
      <c r="F1276">
        <v>48.82</v>
      </c>
      <c r="G1276">
        <v>319</v>
      </c>
      <c r="H1276">
        <v>657</v>
      </c>
      <c r="I1276">
        <v>753</v>
      </c>
      <c r="J1276">
        <v>86.64</v>
      </c>
      <c r="K1276">
        <v>72.53</v>
      </c>
      <c r="L1276">
        <v>68.51000000000001</v>
      </c>
      <c r="M1276">
        <v>2.89</v>
      </c>
      <c r="N1276" t="b">
        <v>1</v>
      </c>
      <c r="O1276">
        <v>41</v>
      </c>
      <c r="P1276" t="s">
        <v>1285</v>
      </c>
      <c r="Q1276" t="s">
        <v>3315</v>
      </c>
      <c r="R1276">
        <v>0</v>
      </c>
      <c r="S1276">
        <v>687</v>
      </c>
      <c r="T1276">
        <v>92826</v>
      </c>
      <c r="U1276" t="s">
        <v>5256</v>
      </c>
      <c r="V1276">
        <v>73.7</v>
      </c>
      <c r="W1276" t="s">
        <v>7464</v>
      </c>
      <c r="X1276" t="s">
        <v>9484</v>
      </c>
      <c r="Y1276">
        <v>523</v>
      </c>
      <c r="Z1276">
        <v>41</v>
      </c>
      <c r="AA1276">
        <v>1273328</v>
      </c>
      <c r="AB1276">
        <v>2.01</v>
      </c>
    </row>
    <row r="1277" spans="1:28">
      <c r="A1277" s="2">
        <f>HYPERLINK("https://finance.naver.com/item/coinfo.nhn?code=215090", "A215090")</f>
        <v>0</v>
      </c>
      <c r="B1277">
        <f>HYPERLINK("http://comp.fnguide.com/SVO2/ASP/SVD_Consensus.asp?pGB=1&amp;gicode=A215090&amp;cID=&amp;MenuYn=Y&amp;ReportGB=&amp;NewMenuID=108&amp;stkGb=701", "이디티")</f>
        <v>0</v>
      </c>
      <c r="C1277">
        <v>0</v>
      </c>
      <c r="D1277">
        <v>903</v>
      </c>
      <c r="E1277">
        <v>0</v>
      </c>
      <c r="G1277">
        <v>120</v>
      </c>
      <c r="H1277">
        <v>412</v>
      </c>
      <c r="I1277">
        <v>495</v>
      </c>
      <c r="J1277">
        <v>86.68000000000001</v>
      </c>
      <c r="K1277">
        <v>54.4</v>
      </c>
      <c r="L1277">
        <v>45.21</v>
      </c>
      <c r="M1277">
        <v>1.58</v>
      </c>
      <c r="N1277" t="b">
        <v>0</v>
      </c>
      <c r="O1277">
        <v>-293</v>
      </c>
      <c r="P1277" t="s">
        <v>1286</v>
      </c>
      <c r="Q1277" t="s">
        <v>3291</v>
      </c>
      <c r="R1277">
        <v>0</v>
      </c>
      <c r="S1277">
        <v>236</v>
      </c>
      <c r="T1277">
        <v>509574</v>
      </c>
      <c r="U1277" t="s">
        <v>5257</v>
      </c>
      <c r="V1277">
        <v>26.79</v>
      </c>
      <c r="W1277" t="s">
        <v>7465</v>
      </c>
      <c r="X1277" t="s">
        <v>968</v>
      </c>
      <c r="Y1277">
        <v>178</v>
      </c>
      <c r="Z1277">
        <v>-33</v>
      </c>
      <c r="AA1277">
        <v>45003</v>
      </c>
    </row>
    <row r="1278" spans="1:28">
      <c r="A1278" s="2">
        <f>HYPERLINK("https://finance.naver.com/item/coinfo.nhn?code=258610", "A258610")</f>
        <v>0</v>
      </c>
      <c r="B1278">
        <f>HYPERLINK("http://comp.fnguide.com/SVO2/ASP/SVD_Consensus.asp?pGB=1&amp;gicode=A258610&amp;cID=&amp;MenuYn=Y&amp;ReportGB=&amp;NewMenuID=108&amp;stkGb=701", "이더블유케이")</f>
        <v>0</v>
      </c>
      <c r="C1278">
        <v>0</v>
      </c>
      <c r="D1278">
        <v>10550</v>
      </c>
      <c r="G1278">
        <v>1386</v>
      </c>
      <c r="H1278">
        <v>1953</v>
      </c>
      <c r="I1278">
        <v>2115</v>
      </c>
      <c r="J1278">
        <v>86.87</v>
      </c>
      <c r="K1278">
        <v>81.48999999999999</v>
      </c>
      <c r="L1278">
        <v>79.95999999999999</v>
      </c>
      <c r="M1278">
        <v>4.74</v>
      </c>
      <c r="N1278" t="b">
        <v>0</v>
      </c>
      <c r="O1278">
        <v>-122</v>
      </c>
      <c r="P1278" t="s">
        <v>1287</v>
      </c>
      <c r="Q1278" t="s">
        <v>3316</v>
      </c>
      <c r="R1278">
        <v>34.1976977120035</v>
      </c>
      <c r="S1278">
        <v>1527</v>
      </c>
      <c r="T1278">
        <v>204851</v>
      </c>
      <c r="U1278" t="s">
        <v>5258</v>
      </c>
      <c r="V1278">
        <v>23.54</v>
      </c>
      <c r="W1278" t="s">
        <v>7466</v>
      </c>
      <c r="X1278" t="s">
        <v>9485</v>
      </c>
      <c r="Y1278">
        <v>205</v>
      </c>
      <c r="Z1278">
        <v>6</v>
      </c>
      <c r="AA1278">
        <v>267082</v>
      </c>
    </row>
    <row r="1279" spans="1:28">
      <c r="A1279" s="2">
        <f>HYPERLINK("https://finance.naver.com/item/coinfo.nhn?code=246960", "A246960")</f>
        <v>0</v>
      </c>
      <c r="B1279">
        <f>HYPERLINK("http://comp.fnguide.com/SVO2/ASP/SVD_Consensus.asp?pGB=1&amp;gicode=A246960&amp;cID=&amp;MenuYn=Y&amp;ReportGB=&amp;NewMenuID=108&amp;stkGb=701", "이노테라피")</f>
        <v>0</v>
      </c>
      <c r="C1279">
        <v>0</v>
      </c>
      <c r="D1279">
        <v>25350</v>
      </c>
      <c r="E1279">
        <v>0</v>
      </c>
      <c r="G1279">
        <v>0</v>
      </c>
      <c r="H1279">
        <v>1799</v>
      </c>
      <c r="I1279">
        <v>2311</v>
      </c>
      <c r="J1279">
        <v>100</v>
      </c>
      <c r="K1279">
        <v>92.90000000000001</v>
      </c>
      <c r="L1279">
        <v>90.88</v>
      </c>
      <c r="M1279">
        <v>0</v>
      </c>
      <c r="N1279" t="b">
        <v>0</v>
      </c>
      <c r="O1279">
        <v>-825</v>
      </c>
      <c r="P1279" t="s">
        <v>1288</v>
      </c>
      <c r="Q1279" t="s">
        <v>2276</v>
      </c>
      <c r="R1279">
        <v>0</v>
      </c>
      <c r="S1279">
        <v>1279</v>
      </c>
      <c r="T1279">
        <v>164849</v>
      </c>
      <c r="U1279" t="s">
        <v>5259</v>
      </c>
      <c r="V1279">
        <v>27.71</v>
      </c>
      <c r="W1279" t="s">
        <v>7467</v>
      </c>
      <c r="X1279" t="s">
        <v>968</v>
      </c>
      <c r="Y1279">
        <v>7</v>
      </c>
      <c r="Z1279">
        <v>-39</v>
      </c>
    </row>
    <row r="1280" spans="1:28">
      <c r="A1280" s="2">
        <f>HYPERLINK("https://finance.naver.com/item/coinfo.nhn?code=215790", "A215790")</f>
        <v>0</v>
      </c>
      <c r="B1280">
        <f>HYPERLINK("http://comp.fnguide.com/SVO2/ASP/SVD_Consensus.asp?pGB=1&amp;gicode=A215790&amp;cID=&amp;MenuYn=Y&amp;ReportGB=&amp;NewMenuID=108&amp;stkGb=701", "이노인스트루먼트")</f>
        <v>0</v>
      </c>
      <c r="C1280">
        <v>0</v>
      </c>
      <c r="D1280">
        <v>1925</v>
      </c>
      <c r="G1280">
        <v>159</v>
      </c>
      <c r="H1280">
        <v>617</v>
      </c>
      <c r="I1280">
        <v>747</v>
      </c>
      <c r="J1280">
        <v>91.75</v>
      </c>
      <c r="K1280">
        <v>67.95999999999999</v>
      </c>
      <c r="L1280">
        <v>61.18</v>
      </c>
      <c r="M1280">
        <v>1.38</v>
      </c>
      <c r="N1280" t="b">
        <v>0</v>
      </c>
      <c r="O1280">
        <v>-934</v>
      </c>
      <c r="P1280" t="s">
        <v>1289</v>
      </c>
      <c r="Q1280" t="s">
        <v>3317</v>
      </c>
      <c r="R1280">
        <v>-41.42782230444219</v>
      </c>
      <c r="S1280">
        <v>775</v>
      </c>
      <c r="T1280">
        <v>535994</v>
      </c>
      <c r="U1280" t="s">
        <v>5260</v>
      </c>
      <c r="V1280">
        <v>32.66</v>
      </c>
      <c r="W1280" t="s">
        <v>7468</v>
      </c>
      <c r="X1280" t="s">
        <v>9486</v>
      </c>
      <c r="Y1280">
        <v>435</v>
      </c>
      <c r="Z1280">
        <v>-175</v>
      </c>
      <c r="AA1280">
        <v>721</v>
      </c>
    </row>
    <row r="1281" spans="1:28">
      <c r="A1281" s="2">
        <f>HYPERLINK("https://finance.naver.com/item/coinfo.nhn?code=086250", "A086250")</f>
        <v>0</v>
      </c>
      <c r="B1281">
        <f>HYPERLINK("http://comp.fnguide.com/SVO2/ASP/SVD_Consensus.asp?pGB=1&amp;gicode=A086250&amp;cID=&amp;MenuYn=Y&amp;ReportGB=&amp;NewMenuID=108&amp;stkGb=701", "이노와이즈")</f>
        <v>0</v>
      </c>
      <c r="C1281">
        <v>0</v>
      </c>
      <c r="D1281">
        <v>1405</v>
      </c>
      <c r="E1281">
        <v>0</v>
      </c>
      <c r="M1281">
        <v>0</v>
      </c>
      <c r="N1281" t="b">
        <v>0</v>
      </c>
      <c r="P1281" t="s">
        <v>1290</v>
      </c>
      <c r="Q1281" t="s">
        <v>3318</v>
      </c>
      <c r="R1281">
        <v>0</v>
      </c>
      <c r="S1281">
        <v>433</v>
      </c>
      <c r="T1281">
        <v>0</v>
      </c>
      <c r="U1281" t="s">
        <v>5261</v>
      </c>
      <c r="V1281">
        <v>15.76</v>
      </c>
      <c r="W1281" t="s">
        <v>7469</v>
      </c>
      <c r="X1281" t="s">
        <v>968</v>
      </c>
    </row>
    <row r="1282" spans="1:28">
      <c r="A1282" s="2">
        <f>HYPERLINK("https://finance.naver.com/item/coinfo.nhn?code=073490", "A073490")</f>
        <v>0</v>
      </c>
      <c r="B1282">
        <f>HYPERLINK("http://comp.fnguide.com/SVO2/ASP/SVD_Consensus.asp?pGB=1&amp;gicode=A073490&amp;cID=&amp;MenuYn=Y&amp;ReportGB=&amp;NewMenuID=108&amp;stkGb=701", "이노와이어리스")</f>
        <v>0</v>
      </c>
      <c r="C1282">
        <v>0</v>
      </c>
      <c r="D1282">
        <v>61600</v>
      </c>
      <c r="E1282">
        <v>0.02</v>
      </c>
      <c r="F1282">
        <v>15.16</v>
      </c>
      <c r="G1282">
        <v>13544</v>
      </c>
      <c r="H1282">
        <v>12621</v>
      </c>
      <c r="I1282">
        <v>12358</v>
      </c>
      <c r="J1282">
        <v>78.01000000000001</v>
      </c>
      <c r="K1282">
        <v>79.51000000000001</v>
      </c>
      <c r="L1282">
        <v>79.94</v>
      </c>
      <c r="M1282">
        <v>8.99</v>
      </c>
      <c r="N1282" t="b">
        <v>1</v>
      </c>
      <c r="O1282">
        <v>2190</v>
      </c>
      <c r="P1282" t="s">
        <v>1291</v>
      </c>
      <c r="Q1282" t="s">
        <v>3319</v>
      </c>
      <c r="R1282">
        <v>681.3206896019072</v>
      </c>
      <c r="S1282">
        <v>4150</v>
      </c>
      <c r="T1282">
        <v>370941</v>
      </c>
      <c r="U1282" t="s">
        <v>5262</v>
      </c>
      <c r="V1282">
        <v>21.07</v>
      </c>
      <c r="W1282" t="s">
        <v>7470</v>
      </c>
      <c r="X1282" t="s">
        <v>9487</v>
      </c>
      <c r="Y1282">
        <v>968</v>
      </c>
      <c r="Z1282">
        <v>153</v>
      </c>
      <c r="AB1282">
        <v>0.75</v>
      </c>
    </row>
    <row r="1283" spans="1:28">
      <c r="A1283" s="2">
        <f>HYPERLINK("https://finance.naver.com/item/coinfo.nhn?code=302430", "A302430")</f>
        <v>0</v>
      </c>
      <c r="B1283">
        <f>HYPERLINK("http://comp.fnguide.com/SVO2/ASP/SVD_Consensus.asp?pGB=1&amp;gicode=A302430&amp;cID=&amp;MenuYn=Y&amp;ReportGB=&amp;NewMenuID=108&amp;stkGb=701", "이노메트리")</f>
        <v>0</v>
      </c>
      <c r="C1283">
        <v>0</v>
      </c>
      <c r="D1283">
        <v>18850</v>
      </c>
      <c r="E1283">
        <v>0</v>
      </c>
      <c r="F1283">
        <v>31.9</v>
      </c>
      <c r="G1283">
        <v>9818</v>
      </c>
      <c r="H1283">
        <v>7175</v>
      </c>
      <c r="I1283">
        <v>6422</v>
      </c>
      <c r="J1283">
        <v>47.92</v>
      </c>
      <c r="K1283">
        <v>61.93</v>
      </c>
      <c r="L1283">
        <v>65.93000000000001</v>
      </c>
      <c r="M1283">
        <v>14.44</v>
      </c>
      <c r="N1283" t="b">
        <v>1</v>
      </c>
      <c r="O1283">
        <v>480</v>
      </c>
      <c r="P1283" t="s">
        <v>1292</v>
      </c>
      <c r="Q1283" t="s">
        <v>3320</v>
      </c>
      <c r="R1283">
        <v>0</v>
      </c>
      <c r="S1283">
        <v>1819</v>
      </c>
      <c r="T1283">
        <v>58938</v>
      </c>
      <c r="U1283" t="s">
        <v>5263</v>
      </c>
      <c r="V1283">
        <v>43.52</v>
      </c>
      <c r="W1283" t="s">
        <v>7471</v>
      </c>
      <c r="X1283" t="s">
        <v>9488</v>
      </c>
      <c r="Y1283">
        <v>319</v>
      </c>
      <c r="Z1283">
        <v>53</v>
      </c>
      <c r="AB1283">
        <v>1.31</v>
      </c>
    </row>
    <row r="1284" spans="1:28">
      <c r="A1284" s="2">
        <f>HYPERLINK("https://finance.naver.com/item/coinfo.nhn?code=044960", "A044960")</f>
        <v>0</v>
      </c>
      <c r="B1284">
        <f>HYPERLINK("http://comp.fnguide.com/SVO2/ASP/SVD_Consensus.asp?pGB=1&amp;gicode=A044960&amp;cID=&amp;MenuYn=Y&amp;ReportGB=&amp;NewMenuID=108&amp;stkGb=701", "이글벳")</f>
        <v>0</v>
      </c>
      <c r="C1284">
        <v>0</v>
      </c>
      <c r="D1284">
        <v>11300</v>
      </c>
      <c r="E1284">
        <v>5.78</v>
      </c>
      <c r="F1284">
        <v>68.84</v>
      </c>
      <c r="G1284">
        <v>1314</v>
      </c>
      <c r="H1284">
        <v>2262</v>
      </c>
      <c r="I1284">
        <v>2532</v>
      </c>
      <c r="J1284">
        <v>88.37</v>
      </c>
      <c r="K1284">
        <v>79.98</v>
      </c>
      <c r="L1284">
        <v>77.59</v>
      </c>
      <c r="M1284">
        <v>3.62</v>
      </c>
      <c r="N1284" t="b">
        <v>1</v>
      </c>
      <c r="O1284">
        <v>97</v>
      </c>
      <c r="P1284" t="s">
        <v>1293</v>
      </c>
      <c r="Q1284" t="s">
        <v>3321</v>
      </c>
      <c r="R1284">
        <v>11.91251348825784</v>
      </c>
      <c r="S1284">
        <v>1429</v>
      </c>
      <c r="T1284">
        <v>2023800</v>
      </c>
      <c r="U1284" t="s">
        <v>5264</v>
      </c>
      <c r="V1284">
        <v>38.47</v>
      </c>
      <c r="W1284" t="s">
        <v>7472</v>
      </c>
      <c r="X1284" t="s">
        <v>9489</v>
      </c>
      <c r="Y1284">
        <v>344</v>
      </c>
      <c r="Z1284">
        <v>19</v>
      </c>
      <c r="AA1284">
        <v>366986</v>
      </c>
      <c r="AB1284">
        <v>0.3</v>
      </c>
    </row>
    <row r="1285" spans="1:28">
      <c r="A1285" s="2">
        <f>HYPERLINK("https://finance.naver.com/item/coinfo.nhn?code=060230", "A060230")</f>
        <v>0</v>
      </c>
      <c r="B1285">
        <f>HYPERLINK("http://comp.fnguide.com/SVO2/ASP/SVD_Consensus.asp?pGB=1&amp;gicode=A060230&amp;cID=&amp;MenuYn=Y&amp;ReportGB=&amp;NewMenuID=108&amp;stkGb=701", "이그잭스")</f>
        <v>0</v>
      </c>
      <c r="C1285">
        <v>0</v>
      </c>
      <c r="D1285">
        <v>1510</v>
      </c>
      <c r="E1285">
        <v>0</v>
      </c>
      <c r="G1285">
        <v>0</v>
      </c>
      <c r="H1285">
        <v>429</v>
      </c>
      <c r="I1285">
        <v>551</v>
      </c>
      <c r="J1285">
        <v>100</v>
      </c>
      <c r="K1285">
        <v>71.62</v>
      </c>
      <c r="L1285">
        <v>63.53</v>
      </c>
      <c r="M1285">
        <v>0</v>
      </c>
      <c r="N1285" t="b">
        <v>0</v>
      </c>
      <c r="O1285">
        <v>-14</v>
      </c>
      <c r="P1285" t="s">
        <v>1294</v>
      </c>
      <c r="Q1285" t="s">
        <v>2276</v>
      </c>
      <c r="R1285">
        <v>0</v>
      </c>
      <c r="S1285">
        <v>1165</v>
      </c>
      <c r="T1285">
        <v>1060043</v>
      </c>
      <c r="U1285" t="s">
        <v>5265</v>
      </c>
      <c r="V1285">
        <v>17.67</v>
      </c>
      <c r="W1285" t="s">
        <v>7473</v>
      </c>
      <c r="X1285" t="s">
        <v>968</v>
      </c>
      <c r="Y1285">
        <v>369</v>
      </c>
      <c r="Z1285">
        <v>25</v>
      </c>
      <c r="AA1285">
        <v>61104</v>
      </c>
    </row>
    <row r="1286" spans="1:28">
      <c r="A1286" s="2">
        <f>HYPERLINK("https://finance.naver.com/item/coinfo.nhn?code=072770", "A072770")</f>
        <v>0</v>
      </c>
      <c r="B1286">
        <f>HYPERLINK("http://comp.fnguide.com/SVO2/ASP/SVD_Consensus.asp?pGB=1&amp;gicode=A072770&amp;cID=&amp;MenuYn=Y&amp;ReportGB=&amp;NewMenuID=108&amp;stkGb=701", "율호")</f>
        <v>0</v>
      </c>
      <c r="C1286">
        <v>0</v>
      </c>
      <c r="D1286">
        <v>1545</v>
      </c>
      <c r="G1286">
        <v>0</v>
      </c>
      <c r="H1286">
        <v>375</v>
      </c>
      <c r="I1286">
        <v>482</v>
      </c>
      <c r="J1286">
        <v>100</v>
      </c>
      <c r="K1286">
        <v>75.72</v>
      </c>
      <c r="L1286">
        <v>68.8</v>
      </c>
      <c r="M1286">
        <v>0</v>
      </c>
      <c r="N1286" t="b">
        <v>0</v>
      </c>
      <c r="O1286">
        <v>-62</v>
      </c>
      <c r="P1286" t="s">
        <v>1295</v>
      </c>
      <c r="Q1286" t="s">
        <v>3322</v>
      </c>
      <c r="R1286">
        <v>353.8</v>
      </c>
      <c r="S1286">
        <v>567</v>
      </c>
      <c r="T1286">
        <v>322146</v>
      </c>
      <c r="U1286" t="s">
        <v>5266</v>
      </c>
      <c r="V1286">
        <v>10.41</v>
      </c>
      <c r="W1286" t="s">
        <v>7474</v>
      </c>
      <c r="X1286" t="s">
        <v>968</v>
      </c>
      <c r="Y1286">
        <v>637</v>
      </c>
      <c r="Z1286">
        <v>16</v>
      </c>
    </row>
    <row r="1287" spans="1:28">
      <c r="A1287" s="2">
        <f>HYPERLINK("https://finance.naver.com/item/coinfo.nhn?code=263050", "A263050")</f>
        <v>0</v>
      </c>
      <c r="B1287">
        <f>HYPERLINK("http://comp.fnguide.com/SVO2/ASP/SVD_Consensus.asp?pGB=1&amp;gicode=A263050&amp;cID=&amp;MenuYn=Y&amp;ReportGB=&amp;NewMenuID=108&amp;stkGb=701", "유틸렉스")</f>
        <v>0</v>
      </c>
      <c r="C1287">
        <v>0</v>
      </c>
      <c r="D1287">
        <v>30100</v>
      </c>
      <c r="E1287">
        <v>0</v>
      </c>
      <c r="G1287">
        <v>0</v>
      </c>
      <c r="H1287">
        <v>2514</v>
      </c>
      <c r="I1287">
        <v>3230</v>
      </c>
      <c r="J1287">
        <v>100</v>
      </c>
      <c r="K1287">
        <v>91.65000000000001</v>
      </c>
      <c r="L1287">
        <v>89.27</v>
      </c>
      <c r="M1287">
        <v>0</v>
      </c>
      <c r="N1287" t="b">
        <v>0</v>
      </c>
      <c r="O1287">
        <v>-1175</v>
      </c>
      <c r="P1287" t="s">
        <v>1296</v>
      </c>
      <c r="Q1287" t="s">
        <v>2276</v>
      </c>
      <c r="R1287">
        <v>0</v>
      </c>
      <c r="S1287">
        <v>4518</v>
      </c>
      <c r="T1287">
        <v>101046</v>
      </c>
      <c r="U1287" t="s">
        <v>5267</v>
      </c>
      <c r="V1287">
        <v>37.92</v>
      </c>
      <c r="W1287" t="s">
        <v>7475</v>
      </c>
      <c r="X1287" t="s">
        <v>968</v>
      </c>
      <c r="Y1287">
        <v>4</v>
      </c>
      <c r="Z1287">
        <v>-183</v>
      </c>
    </row>
    <row r="1288" spans="1:28">
      <c r="A1288" s="2">
        <f>HYPERLINK("https://finance.naver.com/item/coinfo.nhn?code=179900", "A179900")</f>
        <v>0</v>
      </c>
      <c r="B1288">
        <f>HYPERLINK("http://comp.fnguide.com/SVO2/ASP/SVD_Consensus.asp?pGB=1&amp;gicode=A179900&amp;cID=&amp;MenuYn=Y&amp;ReportGB=&amp;NewMenuID=108&amp;stkGb=701", "유티아이")</f>
        <v>0</v>
      </c>
      <c r="C1288">
        <v>0</v>
      </c>
      <c r="D1288">
        <v>15200</v>
      </c>
      <c r="E1288">
        <v>-0.78</v>
      </c>
      <c r="F1288">
        <v>59.68</v>
      </c>
      <c r="G1288">
        <v>6256</v>
      </c>
      <c r="H1288">
        <v>4860</v>
      </c>
      <c r="I1288">
        <v>4462</v>
      </c>
      <c r="J1288">
        <v>58.84</v>
      </c>
      <c r="K1288">
        <v>68.03</v>
      </c>
      <c r="L1288">
        <v>70.64</v>
      </c>
      <c r="M1288">
        <v>12.68</v>
      </c>
      <c r="N1288" t="b">
        <v>0</v>
      </c>
      <c r="O1288">
        <v>310</v>
      </c>
      <c r="P1288" t="s">
        <v>1297</v>
      </c>
      <c r="Q1288" t="s">
        <v>3323</v>
      </c>
      <c r="R1288">
        <v>-76.98302562203284</v>
      </c>
      <c r="S1288">
        <v>2463</v>
      </c>
      <c r="T1288">
        <v>221842</v>
      </c>
      <c r="U1288" t="s">
        <v>5268</v>
      </c>
      <c r="V1288">
        <v>30.35</v>
      </c>
      <c r="W1288" t="s">
        <v>7476</v>
      </c>
      <c r="X1288" t="s">
        <v>9490</v>
      </c>
      <c r="Y1288">
        <v>631</v>
      </c>
      <c r="Z1288">
        <v>63</v>
      </c>
      <c r="AA1288">
        <v>465302</v>
      </c>
      <c r="AB1288">
        <v>0.54</v>
      </c>
    </row>
    <row r="1289" spans="1:28">
      <c r="A1289" s="2">
        <f>HYPERLINK("https://finance.naver.com/item/coinfo.nhn?code=178780", "A178780")</f>
        <v>0</v>
      </c>
      <c r="B1289">
        <f>HYPERLINK("http://comp.fnguide.com/SVO2/ASP/SVD_Consensus.asp?pGB=1&amp;gicode=A178780&amp;cID=&amp;MenuYn=Y&amp;ReportGB=&amp;NewMenuID=108&amp;stkGb=701", "유테크")</f>
        <v>0</v>
      </c>
      <c r="C1289">
        <v>0</v>
      </c>
      <c r="D1289">
        <v>5310</v>
      </c>
      <c r="E1289">
        <v>0</v>
      </c>
      <c r="G1289">
        <v>0</v>
      </c>
      <c r="H1289">
        <v>387</v>
      </c>
      <c r="I1289">
        <v>498</v>
      </c>
      <c r="J1289">
        <v>100</v>
      </c>
      <c r="K1289">
        <v>92.70999999999999</v>
      </c>
      <c r="L1289">
        <v>90.63</v>
      </c>
      <c r="M1289">
        <v>0</v>
      </c>
      <c r="N1289" t="b">
        <v>0</v>
      </c>
      <c r="O1289">
        <v>-123</v>
      </c>
      <c r="P1289" t="s">
        <v>1298</v>
      </c>
      <c r="Q1289" t="s">
        <v>2276</v>
      </c>
      <c r="R1289">
        <v>0</v>
      </c>
      <c r="S1289">
        <v>1820</v>
      </c>
      <c r="T1289">
        <v>3661609</v>
      </c>
      <c r="U1289" t="s">
        <v>5269</v>
      </c>
      <c r="V1289">
        <v>6.22</v>
      </c>
      <c r="W1289" t="s">
        <v>7477</v>
      </c>
      <c r="X1289" t="s">
        <v>968</v>
      </c>
      <c r="Y1289">
        <v>434</v>
      </c>
      <c r="Z1289">
        <v>-90</v>
      </c>
    </row>
    <row r="1290" spans="1:28">
      <c r="A1290" s="2">
        <f>HYPERLINK("https://finance.naver.com/item/coinfo.nhn?code=084370", "A084370")</f>
        <v>0</v>
      </c>
      <c r="B1290">
        <f>HYPERLINK("http://comp.fnguide.com/SVO2/ASP/SVD_Consensus.asp?pGB=1&amp;gicode=A084370&amp;cID=&amp;MenuYn=Y&amp;ReportGB=&amp;NewMenuID=108&amp;stkGb=701", "유진테크")</f>
        <v>0</v>
      </c>
      <c r="C1290">
        <v>0</v>
      </c>
      <c r="D1290">
        <v>31700</v>
      </c>
      <c r="E1290">
        <v>-1.69</v>
      </c>
      <c r="F1290">
        <v>65.56</v>
      </c>
      <c r="G1290">
        <v>8086</v>
      </c>
      <c r="H1290">
        <v>9609</v>
      </c>
      <c r="I1290">
        <v>10043</v>
      </c>
      <c r="J1290">
        <v>74.48999999999999</v>
      </c>
      <c r="K1290">
        <v>69.69</v>
      </c>
      <c r="L1290">
        <v>68.31999999999999</v>
      </c>
      <c r="M1290">
        <v>6.07</v>
      </c>
      <c r="N1290" t="b">
        <v>0</v>
      </c>
      <c r="O1290">
        <v>252</v>
      </c>
      <c r="P1290" t="s">
        <v>1299</v>
      </c>
      <c r="Q1290" t="s">
        <v>3324</v>
      </c>
      <c r="R1290">
        <v>-38.82037582531566</v>
      </c>
      <c r="S1290">
        <v>7264</v>
      </c>
      <c r="T1290">
        <v>284373</v>
      </c>
      <c r="U1290" t="s">
        <v>5270</v>
      </c>
      <c r="V1290">
        <v>37.46</v>
      </c>
      <c r="W1290" t="s">
        <v>7478</v>
      </c>
      <c r="X1290" t="s">
        <v>9491</v>
      </c>
      <c r="Y1290">
        <v>2055</v>
      </c>
      <c r="Z1290">
        <v>238</v>
      </c>
      <c r="AA1290">
        <v>543669</v>
      </c>
      <c r="AB1290">
        <v>1.39</v>
      </c>
    </row>
    <row r="1291" spans="1:28">
      <c r="A1291" s="2">
        <f>HYPERLINK("https://finance.naver.com/item/coinfo.nhn?code=331380", "A331380")</f>
        <v>0</v>
      </c>
      <c r="B1291">
        <f>HYPERLINK("http://comp.fnguide.com/SVO2/ASP/SVD_Consensus.asp?pGB=1&amp;gicode=A331380&amp;cID=&amp;MenuYn=Y&amp;ReportGB=&amp;NewMenuID=108&amp;stkGb=701", "유진스팩5호")</f>
        <v>0</v>
      </c>
      <c r="C1291">
        <v>0</v>
      </c>
      <c r="D1291">
        <v>2010</v>
      </c>
      <c r="E1291">
        <v>0</v>
      </c>
      <c r="G1291">
        <v>0</v>
      </c>
      <c r="H1291">
        <v>1124</v>
      </c>
      <c r="I1291">
        <v>1444</v>
      </c>
      <c r="J1291">
        <v>100</v>
      </c>
      <c r="K1291">
        <v>44.09</v>
      </c>
      <c r="L1291">
        <v>28.16</v>
      </c>
      <c r="M1291">
        <v>0</v>
      </c>
      <c r="N1291" t="b">
        <v>0</v>
      </c>
      <c r="O1291">
        <v>-1</v>
      </c>
      <c r="P1291" t="s">
        <v>1300</v>
      </c>
      <c r="Q1291" t="s">
        <v>2276</v>
      </c>
      <c r="R1291">
        <v>0</v>
      </c>
      <c r="S1291">
        <v>81</v>
      </c>
      <c r="T1291">
        <v>0</v>
      </c>
      <c r="U1291" t="s">
        <v>5271</v>
      </c>
      <c r="V1291">
        <v>12.47</v>
      </c>
      <c r="W1291" t="s">
        <v>968</v>
      </c>
      <c r="X1291" t="s">
        <v>968</v>
      </c>
      <c r="Y1291">
        <v>0</v>
      </c>
      <c r="Z1291">
        <v>0</v>
      </c>
    </row>
    <row r="1292" spans="1:28">
      <c r="A1292" s="2">
        <f>HYPERLINK("https://finance.naver.com/item/coinfo.nhn?code=321260", "A321260")</f>
        <v>0</v>
      </c>
      <c r="B1292">
        <f>HYPERLINK("http://comp.fnguide.com/SVO2/ASP/SVD_Consensus.asp?pGB=1&amp;gicode=A321260&amp;cID=&amp;MenuYn=Y&amp;ReportGB=&amp;NewMenuID=108&amp;stkGb=701", "유진스팩4호")</f>
        <v>0</v>
      </c>
      <c r="C1292">
        <v>0</v>
      </c>
      <c r="D1292">
        <v>2005</v>
      </c>
      <c r="E1292">
        <v>0</v>
      </c>
      <c r="F1292">
        <v>214.32</v>
      </c>
      <c r="G1292">
        <v>0</v>
      </c>
      <c r="H1292">
        <v>1171</v>
      </c>
      <c r="I1292">
        <v>1504</v>
      </c>
      <c r="J1292">
        <v>100</v>
      </c>
      <c r="K1292">
        <v>41.61</v>
      </c>
      <c r="L1292">
        <v>24.97</v>
      </c>
      <c r="M1292">
        <v>0</v>
      </c>
      <c r="N1292" t="b">
        <v>0</v>
      </c>
      <c r="O1292">
        <v>9</v>
      </c>
      <c r="P1292" t="s">
        <v>1301</v>
      </c>
      <c r="Q1292" t="s">
        <v>2276</v>
      </c>
      <c r="R1292">
        <v>0</v>
      </c>
      <c r="S1292">
        <v>70</v>
      </c>
      <c r="T1292">
        <v>34282</v>
      </c>
      <c r="U1292" t="s">
        <v>5272</v>
      </c>
      <c r="V1292">
        <v>5.73</v>
      </c>
      <c r="W1292" t="s">
        <v>968</v>
      </c>
      <c r="X1292" t="s">
        <v>9492</v>
      </c>
      <c r="Y1292">
        <v>0</v>
      </c>
      <c r="Z1292">
        <v>0</v>
      </c>
    </row>
    <row r="1293" spans="1:28">
      <c r="A1293" s="2">
        <f>HYPERLINK("https://finance.naver.com/item/coinfo.nhn?code=056080", "A056080")</f>
        <v>0</v>
      </c>
      <c r="B1293">
        <f>HYPERLINK("http://comp.fnguide.com/SVO2/ASP/SVD_Consensus.asp?pGB=1&amp;gicode=A056080&amp;cID=&amp;MenuYn=Y&amp;ReportGB=&amp;NewMenuID=108&amp;stkGb=701", "유진로봇")</f>
        <v>0</v>
      </c>
      <c r="C1293">
        <v>0</v>
      </c>
      <c r="D1293">
        <v>2455</v>
      </c>
      <c r="E1293">
        <v>0</v>
      </c>
      <c r="G1293">
        <v>0</v>
      </c>
      <c r="H1293">
        <v>831</v>
      </c>
      <c r="I1293">
        <v>1068</v>
      </c>
      <c r="J1293">
        <v>100</v>
      </c>
      <c r="K1293">
        <v>66.14</v>
      </c>
      <c r="L1293">
        <v>56.49</v>
      </c>
      <c r="M1293">
        <v>0</v>
      </c>
      <c r="N1293" t="b">
        <v>0</v>
      </c>
      <c r="O1293">
        <v>-474</v>
      </c>
      <c r="P1293" t="s">
        <v>1302</v>
      </c>
      <c r="Q1293" t="s">
        <v>2276</v>
      </c>
      <c r="R1293">
        <v>0</v>
      </c>
      <c r="S1293">
        <v>921</v>
      </c>
      <c r="T1293">
        <v>172803</v>
      </c>
      <c r="U1293" t="s">
        <v>5273</v>
      </c>
      <c r="V1293">
        <v>51.36</v>
      </c>
      <c r="W1293" t="s">
        <v>7479</v>
      </c>
      <c r="X1293" t="s">
        <v>968</v>
      </c>
      <c r="Y1293">
        <v>727</v>
      </c>
      <c r="Z1293">
        <v>-157</v>
      </c>
    </row>
    <row r="1294" spans="1:28">
      <c r="A1294" s="2">
        <f>HYPERLINK("https://finance.naver.com/item/coinfo.nhn?code=263770", "A263770")</f>
        <v>0</v>
      </c>
      <c r="B1294">
        <f>HYPERLINK("http://comp.fnguide.com/SVO2/ASP/SVD_Consensus.asp?pGB=1&amp;gicode=A263770&amp;cID=&amp;MenuYn=Y&amp;ReportGB=&amp;NewMenuID=108&amp;stkGb=701", "유에스티")</f>
        <v>0</v>
      </c>
      <c r="C1294">
        <v>0</v>
      </c>
      <c r="D1294">
        <v>5460</v>
      </c>
      <c r="E1294">
        <v>2.99</v>
      </c>
      <c r="F1294">
        <v>31.69</v>
      </c>
      <c r="G1294">
        <v>1465</v>
      </c>
      <c r="H1294">
        <v>1771</v>
      </c>
      <c r="I1294">
        <v>1858</v>
      </c>
      <c r="J1294">
        <v>73.16</v>
      </c>
      <c r="K1294">
        <v>67.56999999999999</v>
      </c>
      <c r="L1294">
        <v>65.98</v>
      </c>
      <c r="M1294">
        <v>5.92</v>
      </c>
      <c r="N1294" t="b">
        <v>1</v>
      </c>
      <c r="O1294">
        <v>107</v>
      </c>
      <c r="P1294" t="s">
        <v>1303</v>
      </c>
      <c r="Q1294" t="s">
        <v>3325</v>
      </c>
      <c r="R1294">
        <v>10.6097283393759</v>
      </c>
      <c r="S1294">
        <v>1294</v>
      </c>
      <c r="T1294">
        <v>299397</v>
      </c>
      <c r="U1294" t="s">
        <v>5274</v>
      </c>
      <c r="V1294">
        <v>74.14</v>
      </c>
      <c r="W1294" t="s">
        <v>7480</v>
      </c>
      <c r="X1294" t="s">
        <v>9493</v>
      </c>
      <c r="Y1294">
        <v>524</v>
      </c>
      <c r="Z1294">
        <v>38</v>
      </c>
      <c r="AA1294">
        <v>187513</v>
      </c>
    </row>
    <row r="1295" spans="1:28">
      <c r="A1295" s="2">
        <f>HYPERLINK("https://finance.naver.com/item/coinfo.nhn?code=054210", "A054210")</f>
        <v>0</v>
      </c>
      <c r="B1295">
        <f>HYPERLINK("http://comp.fnguide.com/SVO2/ASP/SVD_Consensus.asp?pGB=1&amp;gicode=A054210&amp;cID=&amp;MenuYn=Y&amp;ReportGB=&amp;NewMenuID=108&amp;stkGb=701", "이랜텍")</f>
        <v>0</v>
      </c>
      <c r="C1295">
        <v>0</v>
      </c>
      <c r="D1295">
        <v>7220</v>
      </c>
      <c r="E1295">
        <v>-0.5</v>
      </c>
      <c r="F1295">
        <v>9.890000000000001</v>
      </c>
      <c r="G1295">
        <v>3474</v>
      </c>
      <c r="H1295">
        <v>5587</v>
      </c>
      <c r="I1295">
        <v>6190</v>
      </c>
      <c r="J1295">
        <v>51.89</v>
      </c>
      <c r="K1295">
        <v>22.61</v>
      </c>
      <c r="L1295">
        <v>14.27</v>
      </c>
      <c r="M1295">
        <v>3.96</v>
      </c>
      <c r="N1295" t="b">
        <v>1</v>
      </c>
      <c r="O1295">
        <v>560</v>
      </c>
      <c r="P1295" t="s">
        <v>1304</v>
      </c>
      <c r="Q1295" t="s">
        <v>3326</v>
      </c>
      <c r="R1295">
        <v>-19.59999999999999</v>
      </c>
      <c r="S1295">
        <v>1736</v>
      </c>
      <c r="T1295">
        <v>1073486</v>
      </c>
      <c r="U1295" t="s">
        <v>5275</v>
      </c>
      <c r="V1295">
        <v>35.65</v>
      </c>
      <c r="W1295" t="s">
        <v>7481</v>
      </c>
      <c r="X1295" t="s">
        <v>9494</v>
      </c>
      <c r="Y1295">
        <v>7290</v>
      </c>
      <c r="Z1295">
        <v>363</v>
      </c>
      <c r="AA1295">
        <v>509007</v>
      </c>
      <c r="AB1295">
        <v>1.81</v>
      </c>
    </row>
    <row r="1296" spans="1:28">
      <c r="A1296" s="2">
        <f>HYPERLINK("https://finance.naver.com/item/coinfo.nhn?code=164060", "A164060")</f>
        <v>0</v>
      </c>
      <c r="B1296">
        <f>HYPERLINK("http://comp.fnguide.com/SVO2/ASP/SVD_Consensus.asp?pGB=1&amp;gicode=A164060&amp;cID=&amp;MenuYn=Y&amp;ReportGB=&amp;NewMenuID=108&amp;stkGb=701", "이루다")</f>
        <v>0</v>
      </c>
      <c r="C1296">
        <v>0</v>
      </c>
      <c r="D1296">
        <v>12800</v>
      </c>
      <c r="G1296">
        <v>4495</v>
      </c>
      <c r="H1296">
        <v>2905</v>
      </c>
      <c r="I1296">
        <v>2452</v>
      </c>
      <c r="J1296">
        <v>64.89</v>
      </c>
      <c r="K1296">
        <v>77.3</v>
      </c>
      <c r="L1296">
        <v>80.84</v>
      </c>
      <c r="M1296">
        <v>19.37</v>
      </c>
      <c r="N1296" t="b">
        <v>0</v>
      </c>
      <c r="O1296">
        <v>505</v>
      </c>
      <c r="P1296" t="s">
        <v>1305</v>
      </c>
      <c r="Q1296" t="s">
        <v>3327</v>
      </c>
      <c r="R1296">
        <v>-14.09047398694685</v>
      </c>
      <c r="S1296">
        <v>990</v>
      </c>
      <c r="T1296">
        <v>50253</v>
      </c>
      <c r="U1296" t="s">
        <v>5276</v>
      </c>
      <c r="V1296">
        <v>41.37</v>
      </c>
      <c r="W1296" t="s">
        <v>7482</v>
      </c>
      <c r="X1296" t="s">
        <v>968</v>
      </c>
      <c r="Y1296">
        <v>214</v>
      </c>
      <c r="Z1296">
        <v>35</v>
      </c>
    </row>
    <row r="1297" spans="1:28">
      <c r="A1297" s="2">
        <f>HYPERLINK("https://finance.naver.com/item/coinfo.nhn?code=065440", "A065440")</f>
        <v>0</v>
      </c>
      <c r="B1297">
        <f>HYPERLINK("http://comp.fnguide.com/SVO2/ASP/SVD_Consensus.asp?pGB=1&amp;gicode=A065440&amp;cID=&amp;MenuYn=Y&amp;ReportGB=&amp;NewMenuID=108&amp;stkGb=701", "이루온")</f>
        <v>0</v>
      </c>
      <c r="C1297">
        <v>0</v>
      </c>
      <c r="D1297">
        <v>1390</v>
      </c>
      <c r="E1297">
        <v>-1.28</v>
      </c>
      <c r="F1297">
        <v>75.55</v>
      </c>
      <c r="G1297">
        <v>320</v>
      </c>
      <c r="H1297">
        <v>912</v>
      </c>
      <c r="I1297">
        <v>1081</v>
      </c>
      <c r="J1297">
        <v>76.95</v>
      </c>
      <c r="K1297">
        <v>34.39</v>
      </c>
      <c r="L1297">
        <v>22.26</v>
      </c>
      <c r="M1297">
        <v>1.96</v>
      </c>
      <c r="N1297" t="b">
        <v>0</v>
      </c>
      <c r="O1297">
        <v>20</v>
      </c>
      <c r="P1297" t="s">
        <v>1306</v>
      </c>
      <c r="Q1297" t="s">
        <v>3328</v>
      </c>
      <c r="R1297">
        <v>-58.95928850519281</v>
      </c>
      <c r="S1297">
        <v>379</v>
      </c>
      <c r="T1297">
        <v>228934</v>
      </c>
      <c r="U1297" t="s">
        <v>5277</v>
      </c>
      <c r="V1297">
        <v>15.82</v>
      </c>
      <c r="W1297" t="s">
        <v>7483</v>
      </c>
      <c r="X1297" t="s">
        <v>9495</v>
      </c>
      <c r="Y1297">
        <v>494</v>
      </c>
      <c r="Z1297">
        <v>10</v>
      </c>
      <c r="AA1297">
        <v>838942</v>
      </c>
    </row>
    <row r="1298" spans="1:28">
      <c r="A1298" s="2">
        <f>HYPERLINK("https://finance.naver.com/item/coinfo.nhn?code=102710", "A102710")</f>
        <v>0</v>
      </c>
      <c r="B1298">
        <f>HYPERLINK("http://comp.fnguide.com/SVO2/ASP/SVD_Consensus.asp?pGB=1&amp;gicode=A102710&amp;cID=&amp;MenuYn=Y&amp;ReportGB=&amp;NewMenuID=108&amp;stkGb=701", "이엔에프테크놀로지")</f>
        <v>0</v>
      </c>
      <c r="C1298">
        <v>0</v>
      </c>
      <c r="D1298">
        <v>41850</v>
      </c>
      <c r="E1298">
        <v>0.75</v>
      </c>
      <c r="F1298">
        <v>8.83</v>
      </c>
      <c r="G1298">
        <v>39272</v>
      </c>
      <c r="H1298">
        <v>26881</v>
      </c>
      <c r="I1298">
        <v>23351</v>
      </c>
      <c r="J1298">
        <v>6.16</v>
      </c>
      <c r="K1298">
        <v>35.77</v>
      </c>
      <c r="L1298">
        <v>44.2</v>
      </c>
      <c r="M1298">
        <v>16.78</v>
      </c>
      <c r="N1298" t="b">
        <v>1</v>
      </c>
      <c r="O1298">
        <v>3239</v>
      </c>
      <c r="P1298" t="s">
        <v>1307</v>
      </c>
      <c r="Q1298" t="s">
        <v>3329</v>
      </c>
      <c r="R1298">
        <v>11.70827642689651</v>
      </c>
      <c r="S1298">
        <v>5967</v>
      </c>
      <c r="T1298">
        <v>302436</v>
      </c>
      <c r="U1298" t="s">
        <v>5278</v>
      </c>
      <c r="V1298">
        <v>35.66</v>
      </c>
      <c r="W1298" t="s">
        <v>7484</v>
      </c>
      <c r="X1298" t="s">
        <v>9496</v>
      </c>
      <c r="Y1298">
        <v>4810</v>
      </c>
      <c r="Z1298">
        <v>596</v>
      </c>
      <c r="AB1298">
        <v>0.52</v>
      </c>
    </row>
    <row r="1299" spans="1:28">
      <c r="A1299" s="2">
        <f>HYPERLINK("https://finance.naver.com/item/coinfo.nhn?code=353810", "A353810")</f>
        <v>0</v>
      </c>
      <c r="B1299">
        <f>HYPERLINK("http://comp.fnguide.com/SVO2/ASP/SVD_Consensus.asp?pGB=1&amp;gicode=A353810&amp;cID=&amp;MenuYn=Y&amp;ReportGB=&amp;NewMenuID=108&amp;stkGb=701", "이지바이오")</f>
        <v>0</v>
      </c>
      <c r="C1299">
        <v>0</v>
      </c>
      <c r="D1299">
        <v>31200</v>
      </c>
      <c r="E1299">
        <v>0</v>
      </c>
      <c r="M1299">
        <v>0</v>
      </c>
      <c r="N1299" t="b">
        <v>0</v>
      </c>
      <c r="P1299" t="s">
        <v>968</v>
      </c>
      <c r="Q1299" t="s">
        <v>2757</v>
      </c>
      <c r="R1299">
        <v>0</v>
      </c>
      <c r="S1299">
        <v>2134</v>
      </c>
      <c r="T1299">
        <v>351336</v>
      </c>
      <c r="U1299" t="s">
        <v>968</v>
      </c>
      <c r="V1299">
        <v>41.79</v>
      </c>
      <c r="W1299" t="s">
        <v>968</v>
      </c>
      <c r="X1299" t="s">
        <v>968</v>
      </c>
    </row>
    <row r="1300" spans="1:28">
      <c r="A1300" s="2">
        <f>HYPERLINK("https://finance.naver.com/item/coinfo.nhn?code=181340", "A181340")</f>
        <v>0</v>
      </c>
      <c r="B1300">
        <f>HYPERLINK("http://comp.fnguide.com/SVO2/ASP/SVD_Consensus.asp?pGB=1&amp;gicode=A181340&amp;cID=&amp;MenuYn=Y&amp;ReportGB=&amp;NewMenuID=108&amp;stkGb=701", "이즈미디어")</f>
        <v>0</v>
      </c>
      <c r="C1300">
        <v>0</v>
      </c>
      <c r="D1300">
        <v>5620</v>
      </c>
      <c r="G1300">
        <v>2240</v>
      </c>
      <c r="H1300">
        <v>4038</v>
      </c>
      <c r="I1300">
        <v>4551</v>
      </c>
      <c r="J1300">
        <v>60.14</v>
      </c>
      <c r="K1300">
        <v>28.15</v>
      </c>
      <c r="L1300">
        <v>19.03</v>
      </c>
      <c r="M1300">
        <v>3.41</v>
      </c>
      <c r="N1300" t="b">
        <v>0</v>
      </c>
      <c r="O1300">
        <v>-251</v>
      </c>
      <c r="P1300" t="s">
        <v>1308</v>
      </c>
      <c r="Q1300" t="s">
        <v>3330</v>
      </c>
      <c r="R1300">
        <v>4.542923111667196</v>
      </c>
      <c r="S1300">
        <v>398</v>
      </c>
      <c r="T1300">
        <v>1203139</v>
      </c>
      <c r="U1300" t="s">
        <v>5279</v>
      </c>
      <c r="V1300">
        <v>41.06</v>
      </c>
      <c r="W1300" t="s">
        <v>7485</v>
      </c>
      <c r="X1300" t="s">
        <v>9497</v>
      </c>
      <c r="Y1300">
        <v>671</v>
      </c>
      <c r="Z1300">
        <v>-26</v>
      </c>
      <c r="AA1300">
        <v>216666</v>
      </c>
    </row>
    <row r="1301" spans="1:28">
      <c r="A1301" s="2">
        <f>HYPERLINK("https://finance.naver.com/item/coinfo.nhn?code=088290", "A088290")</f>
        <v>0</v>
      </c>
      <c r="B1301">
        <f>HYPERLINK("http://comp.fnguide.com/SVO2/ASP/SVD_Consensus.asp?pGB=1&amp;gicode=A088290&amp;cID=&amp;MenuYn=Y&amp;ReportGB=&amp;NewMenuID=108&amp;stkGb=701", "이원컴포텍")</f>
        <v>0</v>
      </c>
      <c r="C1301">
        <v>0</v>
      </c>
      <c r="D1301">
        <v>7860</v>
      </c>
      <c r="E1301">
        <v>0</v>
      </c>
      <c r="F1301">
        <v>105.79</v>
      </c>
      <c r="G1301">
        <v>1116</v>
      </c>
      <c r="H1301">
        <v>1082</v>
      </c>
      <c r="I1301">
        <v>1072</v>
      </c>
      <c r="J1301">
        <v>85.8</v>
      </c>
      <c r="K1301">
        <v>86.23</v>
      </c>
      <c r="L1301">
        <v>86.36</v>
      </c>
      <c r="M1301">
        <v>8.4</v>
      </c>
      <c r="N1301" t="b">
        <v>1</v>
      </c>
      <c r="O1301">
        <v>163</v>
      </c>
      <c r="P1301" t="s">
        <v>1309</v>
      </c>
      <c r="Q1301" t="s">
        <v>2276</v>
      </c>
      <c r="R1301">
        <v>0</v>
      </c>
      <c r="S1301">
        <v>1349</v>
      </c>
      <c r="T1301">
        <v>597876</v>
      </c>
      <c r="U1301" t="s">
        <v>5280</v>
      </c>
      <c r="V1301">
        <v>16.66</v>
      </c>
      <c r="W1301" t="s">
        <v>7486</v>
      </c>
      <c r="X1301" t="s">
        <v>9498</v>
      </c>
      <c r="Y1301">
        <v>479</v>
      </c>
      <c r="Z1301">
        <v>14</v>
      </c>
      <c r="AA1301">
        <v>426</v>
      </c>
    </row>
    <row r="1302" spans="1:28">
      <c r="A1302" s="2">
        <f>HYPERLINK("https://finance.naver.com/item/coinfo.nhn?code=294090", "A294090")</f>
        <v>0</v>
      </c>
      <c r="B1302">
        <f>HYPERLINK("http://comp.fnguide.com/SVO2/ASP/SVD_Consensus.asp?pGB=1&amp;gicode=A294090&amp;cID=&amp;MenuYn=Y&amp;ReportGB=&amp;NewMenuID=108&amp;stkGb=701", "이오플로우")</f>
        <v>0</v>
      </c>
      <c r="C1302">
        <v>0</v>
      </c>
      <c r="D1302">
        <v>48200</v>
      </c>
      <c r="E1302">
        <v>0</v>
      </c>
      <c r="G1302">
        <v>0</v>
      </c>
      <c r="H1302">
        <v>187</v>
      </c>
      <c r="I1302">
        <v>240</v>
      </c>
      <c r="J1302">
        <v>100</v>
      </c>
      <c r="K1302">
        <v>99.61</v>
      </c>
      <c r="L1302">
        <v>99.5</v>
      </c>
      <c r="M1302">
        <v>0</v>
      </c>
      <c r="N1302" t="b">
        <v>0</v>
      </c>
      <c r="O1302">
        <v>-1000</v>
      </c>
      <c r="P1302" t="s">
        <v>1310</v>
      </c>
      <c r="Q1302" t="s">
        <v>3152</v>
      </c>
      <c r="R1302">
        <v>0</v>
      </c>
      <c r="S1302">
        <v>5301</v>
      </c>
      <c r="T1302">
        <v>1372257</v>
      </c>
      <c r="U1302" t="s">
        <v>5281</v>
      </c>
      <c r="V1302">
        <v>22.05</v>
      </c>
      <c r="W1302" t="s">
        <v>7487</v>
      </c>
      <c r="X1302" t="s">
        <v>968</v>
      </c>
      <c r="Y1302">
        <v>0</v>
      </c>
      <c r="Z1302">
        <v>-85</v>
      </c>
    </row>
    <row r="1303" spans="1:28">
      <c r="A1303" s="2">
        <f>HYPERLINK("https://finance.naver.com/item/coinfo.nhn?code=039030", "A039030")</f>
        <v>0</v>
      </c>
      <c r="B1303">
        <f>HYPERLINK("http://comp.fnguide.com/SVO2/ASP/SVD_Consensus.asp?pGB=1&amp;gicode=A039030&amp;cID=&amp;MenuYn=Y&amp;ReportGB=&amp;NewMenuID=108&amp;stkGb=701", "이오테크닉스")</f>
        <v>0</v>
      </c>
      <c r="C1303">
        <v>0</v>
      </c>
      <c r="D1303">
        <v>105200</v>
      </c>
      <c r="E1303">
        <v>30.69</v>
      </c>
      <c r="F1303">
        <v>105.13</v>
      </c>
      <c r="G1303">
        <v>22756</v>
      </c>
      <c r="H1303">
        <v>28218</v>
      </c>
      <c r="I1303">
        <v>29775</v>
      </c>
      <c r="J1303">
        <v>78.37</v>
      </c>
      <c r="K1303">
        <v>73.18000000000001</v>
      </c>
      <c r="L1303">
        <v>71.7</v>
      </c>
      <c r="M1303">
        <v>5.7</v>
      </c>
      <c r="N1303" t="b">
        <v>0</v>
      </c>
      <c r="O1303">
        <v>983</v>
      </c>
      <c r="P1303" t="s">
        <v>1311</v>
      </c>
      <c r="Q1303" t="s">
        <v>3331</v>
      </c>
      <c r="R1303">
        <v>3.425934447454559</v>
      </c>
      <c r="S1303">
        <v>12960</v>
      </c>
      <c r="T1303">
        <v>247823</v>
      </c>
      <c r="U1303" t="s">
        <v>5282</v>
      </c>
      <c r="V1303">
        <v>31.09</v>
      </c>
      <c r="W1303" t="s">
        <v>7488</v>
      </c>
      <c r="X1303" t="s">
        <v>9499</v>
      </c>
      <c r="Y1303">
        <v>2065</v>
      </c>
      <c r="Z1303">
        <v>71</v>
      </c>
      <c r="AA1303">
        <v>98617</v>
      </c>
      <c r="AB1303">
        <v>0.15</v>
      </c>
    </row>
    <row r="1304" spans="1:28">
      <c r="A1304" s="2">
        <f>HYPERLINK("https://finance.naver.com/item/coinfo.nhn?code=091120", "A091120")</f>
        <v>0</v>
      </c>
      <c r="B1304">
        <f>HYPERLINK("http://comp.fnguide.com/SVO2/ASP/SVD_Consensus.asp?pGB=1&amp;gicode=A091120&amp;cID=&amp;MenuYn=Y&amp;ReportGB=&amp;NewMenuID=108&amp;stkGb=701", "이엠텍")</f>
        <v>0</v>
      </c>
      <c r="C1304">
        <v>0</v>
      </c>
      <c r="D1304">
        <v>13050</v>
      </c>
      <c r="E1304">
        <v>-5.95</v>
      </c>
      <c r="F1304">
        <v>353.5</v>
      </c>
      <c r="G1304">
        <v>8371</v>
      </c>
      <c r="H1304">
        <v>10597</v>
      </c>
      <c r="I1304">
        <v>11231</v>
      </c>
      <c r="J1304">
        <v>35.86</v>
      </c>
      <c r="K1304">
        <v>18.8</v>
      </c>
      <c r="L1304">
        <v>13.94</v>
      </c>
      <c r="M1304">
        <v>5.52</v>
      </c>
      <c r="N1304" t="b">
        <v>0</v>
      </c>
      <c r="O1304">
        <v>24</v>
      </c>
      <c r="P1304" t="s">
        <v>1312</v>
      </c>
      <c r="Q1304" t="s">
        <v>3332</v>
      </c>
      <c r="R1304">
        <v>-59.39008397238003</v>
      </c>
      <c r="S1304">
        <v>2096</v>
      </c>
      <c r="T1304">
        <v>220570</v>
      </c>
      <c r="U1304" t="s">
        <v>5283</v>
      </c>
      <c r="V1304">
        <v>14.97</v>
      </c>
      <c r="W1304" t="s">
        <v>7489</v>
      </c>
      <c r="X1304" t="s">
        <v>9500</v>
      </c>
      <c r="Y1304">
        <v>2682</v>
      </c>
      <c r="Z1304">
        <v>-56</v>
      </c>
      <c r="AA1304">
        <v>1187500</v>
      </c>
    </row>
    <row r="1305" spans="1:28">
      <c r="A1305" s="2">
        <f>HYPERLINK("https://finance.naver.com/item/coinfo.nhn?code=095190", "A095190")</f>
        <v>0</v>
      </c>
      <c r="B1305">
        <f>HYPERLINK("http://comp.fnguide.com/SVO2/ASP/SVD_Consensus.asp?pGB=1&amp;gicode=A095190&amp;cID=&amp;MenuYn=Y&amp;ReportGB=&amp;NewMenuID=108&amp;stkGb=701", "이엠코리아")</f>
        <v>0</v>
      </c>
      <c r="C1305">
        <v>0</v>
      </c>
      <c r="D1305">
        <v>5980</v>
      </c>
      <c r="E1305">
        <v>0</v>
      </c>
      <c r="G1305">
        <v>0</v>
      </c>
      <c r="H1305">
        <v>1139</v>
      </c>
      <c r="I1305">
        <v>1463</v>
      </c>
      <c r="J1305">
        <v>100</v>
      </c>
      <c r="K1305">
        <v>80.95999999999999</v>
      </c>
      <c r="L1305">
        <v>75.53</v>
      </c>
      <c r="M1305">
        <v>0</v>
      </c>
      <c r="N1305" t="b">
        <v>0</v>
      </c>
      <c r="O1305">
        <v>-439</v>
      </c>
      <c r="P1305" t="s">
        <v>1313</v>
      </c>
      <c r="Q1305" t="s">
        <v>2276</v>
      </c>
      <c r="R1305">
        <v>0</v>
      </c>
      <c r="S1305">
        <v>2379</v>
      </c>
      <c r="T1305">
        <v>2150774</v>
      </c>
      <c r="U1305" t="s">
        <v>5284</v>
      </c>
      <c r="V1305">
        <v>13.27</v>
      </c>
      <c r="W1305" t="s">
        <v>7490</v>
      </c>
      <c r="X1305" t="s">
        <v>968</v>
      </c>
      <c r="Y1305">
        <v>848</v>
      </c>
      <c r="Z1305">
        <v>-115</v>
      </c>
    </row>
    <row r="1306" spans="1:28">
      <c r="A1306" s="2">
        <f>HYPERLINK("https://finance.naver.com/item/coinfo.nhn?code=083470", "A083470")</f>
        <v>0</v>
      </c>
      <c r="B1306">
        <f>HYPERLINK("http://comp.fnguide.com/SVO2/ASP/SVD_Consensus.asp?pGB=1&amp;gicode=A083470&amp;cID=&amp;MenuYn=Y&amp;ReportGB=&amp;NewMenuID=108&amp;stkGb=701", "이엠앤아이")</f>
        <v>0</v>
      </c>
      <c r="C1306">
        <v>0</v>
      </c>
      <c r="D1306">
        <v>1585</v>
      </c>
      <c r="E1306">
        <v>0</v>
      </c>
      <c r="F1306" t="s">
        <v>0</v>
      </c>
      <c r="G1306">
        <v>0</v>
      </c>
      <c r="H1306">
        <v>121</v>
      </c>
      <c r="I1306">
        <v>155</v>
      </c>
      <c r="J1306">
        <v>100</v>
      </c>
      <c r="K1306">
        <v>92.39</v>
      </c>
      <c r="L1306">
        <v>90.23</v>
      </c>
      <c r="M1306">
        <v>0</v>
      </c>
      <c r="N1306" t="b">
        <v>1</v>
      </c>
      <c r="O1306" t="s">
        <v>7</v>
      </c>
      <c r="P1306" t="s">
        <v>1314</v>
      </c>
      <c r="Q1306" t="s">
        <v>2276</v>
      </c>
      <c r="R1306">
        <v>0</v>
      </c>
      <c r="S1306" t="s">
        <v>3979</v>
      </c>
      <c r="T1306">
        <v>0</v>
      </c>
      <c r="U1306" t="s">
        <v>5285</v>
      </c>
      <c r="V1306">
        <v>31.22</v>
      </c>
      <c r="W1306" t="s">
        <v>7491</v>
      </c>
      <c r="X1306" t="s">
        <v>9501</v>
      </c>
      <c r="Y1306" t="s">
        <v>10206</v>
      </c>
      <c r="Z1306" t="s">
        <v>10219</v>
      </c>
    </row>
    <row r="1307" spans="1:28">
      <c r="A1307" s="2">
        <f>HYPERLINK("https://finance.naver.com/item/coinfo.nhn?code=101360", "A101360")</f>
        <v>0</v>
      </c>
      <c r="B1307">
        <f>HYPERLINK("http://comp.fnguide.com/SVO2/ASP/SVD_Consensus.asp?pGB=1&amp;gicode=A101360&amp;cID=&amp;MenuYn=Y&amp;ReportGB=&amp;NewMenuID=108&amp;stkGb=701", "이엔드디")</f>
        <v>0</v>
      </c>
      <c r="C1307">
        <v>0</v>
      </c>
      <c r="D1307">
        <v>28050</v>
      </c>
      <c r="E1307">
        <v>0.04</v>
      </c>
      <c r="F1307">
        <v>3.36</v>
      </c>
      <c r="G1307">
        <v>5466</v>
      </c>
      <c r="H1307">
        <v>2807</v>
      </c>
      <c r="I1307">
        <v>2049</v>
      </c>
      <c r="J1307">
        <v>80.51000000000001</v>
      </c>
      <c r="K1307">
        <v>89.98999999999999</v>
      </c>
      <c r="L1307">
        <v>92.69</v>
      </c>
      <c r="M1307">
        <v>41.88</v>
      </c>
      <c r="N1307" t="b">
        <v>1</v>
      </c>
      <c r="O1307">
        <v>929</v>
      </c>
      <c r="P1307" t="s">
        <v>1315</v>
      </c>
      <c r="Q1307" t="s">
        <v>3333</v>
      </c>
      <c r="R1307">
        <v>80.90000000000002</v>
      </c>
      <c r="S1307">
        <v>2824</v>
      </c>
      <c r="T1307">
        <v>658157</v>
      </c>
      <c r="U1307" t="s">
        <v>5286</v>
      </c>
      <c r="V1307">
        <v>22.31</v>
      </c>
      <c r="W1307" t="s">
        <v>7492</v>
      </c>
      <c r="X1307" t="s">
        <v>9502</v>
      </c>
      <c r="Y1307">
        <v>583</v>
      </c>
      <c r="Z1307">
        <v>98</v>
      </c>
      <c r="AA1307">
        <v>226660</v>
      </c>
    </row>
    <row r="1308" spans="1:28">
      <c r="A1308" s="2">
        <f>HYPERLINK("https://finance.naver.com/item/coinfo.nhn?code=036260", "A036260")</f>
        <v>0</v>
      </c>
      <c r="B1308">
        <f>HYPERLINK("http://comp.fnguide.com/SVO2/ASP/SVD_Consensus.asp?pGB=1&amp;gicode=A036260&amp;cID=&amp;MenuYn=Y&amp;ReportGB=&amp;NewMenuID=108&amp;stkGb=701", "이매진아시아")</f>
        <v>0</v>
      </c>
      <c r="C1308">
        <v>0</v>
      </c>
      <c r="D1308">
        <v>2220</v>
      </c>
      <c r="E1308">
        <v>0</v>
      </c>
      <c r="G1308">
        <v>0</v>
      </c>
      <c r="H1308">
        <v>167</v>
      </c>
      <c r="I1308">
        <v>215</v>
      </c>
      <c r="J1308">
        <v>100</v>
      </c>
      <c r="K1308">
        <v>92.45999999999999</v>
      </c>
      <c r="L1308">
        <v>90.31</v>
      </c>
      <c r="M1308">
        <v>0</v>
      </c>
      <c r="N1308" t="b">
        <v>0</v>
      </c>
      <c r="O1308">
        <v>-519</v>
      </c>
      <c r="P1308" t="s">
        <v>1316</v>
      </c>
      <c r="Q1308" t="s">
        <v>2276</v>
      </c>
      <c r="R1308">
        <v>0</v>
      </c>
      <c r="S1308">
        <v>972</v>
      </c>
      <c r="T1308">
        <v>0</v>
      </c>
      <c r="U1308" t="s">
        <v>5287</v>
      </c>
      <c r="V1308">
        <v>18.5</v>
      </c>
      <c r="W1308" t="s">
        <v>7493</v>
      </c>
      <c r="X1308" t="s">
        <v>968</v>
      </c>
      <c r="Y1308">
        <v>127</v>
      </c>
      <c r="Z1308">
        <v>-38</v>
      </c>
    </row>
    <row r="1309" spans="1:28">
      <c r="A1309" s="2">
        <f>HYPERLINK("https://finance.naver.com/item/coinfo.nhn?code=226360", "A226360")</f>
        <v>0</v>
      </c>
      <c r="B1309">
        <f>HYPERLINK("http://comp.fnguide.com/SVO2/ASP/SVD_Consensus.asp?pGB=1&amp;gicode=A226360&amp;cID=&amp;MenuYn=Y&amp;ReportGB=&amp;NewMenuID=108&amp;stkGb=701", "이엑스티")</f>
        <v>0</v>
      </c>
      <c r="C1309">
        <v>0</v>
      </c>
      <c r="D1309">
        <v>2895</v>
      </c>
      <c r="G1309">
        <v>464</v>
      </c>
      <c r="H1309">
        <v>652</v>
      </c>
      <c r="I1309">
        <v>705</v>
      </c>
      <c r="J1309">
        <v>83.98</v>
      </c>
      <c r="K1309">
        <v>77.48999999999999</v>
      </c>
      <c r="L1309">
        <v>75.64</v>
      </c>
      <c r="M1309">
        <v>4.76</v>
      </c>
      <c r="N1309" t="b">
        <v>0</v>
      </c>
      <c r="O1309">
        <v>-176</v>
      </c>
      <c r="P1309" t="s">
        <v>1317</v>
      </c>
      <c r="Q1309" t="s">
        <v>3334</v>
      </c>
      <c r="R1309">
        <v>-5.239509333557136</v>
      </c>
      <c r="S1309">
        <v>1520</v>
      </c>
      <c r="T1309">
        <v>644061</v>
      </c>
      <c r="U1309" t="s">
        <v>5288</v>
      </c>
      <c r="V1309">
        <v>26.17</v>
      </c>
      <c r="W1309" t="s">
        <v>7494</v>
      </c>
      <c r="X1309" t="s">
        <v>9503</v>
      </c>
      <c r="Y1309">
        <v>317</v>
      </c>
      <c r="Z1309">
        <v>36</v>
      </c>
      <c r="AA1309">
        <v>626577</v>
      </c>
    </row>
    <row r="1310" spans="1:28">
      <c r="A1310" s="2">
        <f>HYPERLINK("https://finance.naver.com/item/coinfo.nhn?code=310870", "A310870")</f>
        <v>0</v>
      </c>
      <c r="B1310">
        <f>HYPERLINK("http://comp.fnguide.com/SVO2/ASP/SVD_Consensus.asp?pGB=1&amp;gicode=A310870&amp;cID=&amp;MenuYn=Y&amp;ReportGB=&amp;NewMenuID=108&amp;stkGb=701", "한국제8호스팩")</f>
        <v>0</v>
      </c>
      <c r="C1310">
        <v>0</v>
      </c>
      <c r="D1310">
        <v>2035</v>
      </c>
      <c r="E1310">
        <v>0</v>
      </c>
      <c r="F1310">
        <v>110.49</v>
      </c>
      <c r="G1310">
        <v>116</v>
      </c>
      <c r="H1310">
        <v>1171</v>
      </c>
      <c r="I1310">
        <v>1471</v>
      </c>
      <c r="J1310">
        <v>94.29000000000001</v>
      </c>
      <c r="K1310">
        <v>42.47</v>
      </c>
      <c r="L1310">
        <v>27.7</v>
      </c>
      <c r="M1310">
        <v>0.49</v>
      </c>
      <c r="N1310" t="b">
        <v>0</v>
      </c>
      <c r="O1310">
        <v>19</v>
      </c>
      <c r="P1310" t="s">
        <v>1318</v>
      </c>
      <c r="Q1310" t="s">
        <v>2816</v>
      </c>
      <c r="R1310">
        <v>-5.316520177583229</v>
      </c>
      <c r="S1310">
        <v>70</v>
      </c>
      <c r="T1310">
        <v>1600</v>
      </c>
      <c r="U1310" t="s">
        <v>5289</v>
      </c>
      <c r="V1310">
        <v>11.7</v>
      </c>
      <c r="W1310" t="s">
        <v>7495</v>
      </c>
      <c r="X1310" t="s">
        <v>9504</v>
      </c>
      <c r="Y1310">
        <v>0</v>
      </c>
      <c r="Z1310">
        <v>0</v>
      </c>
    </row>
    <row r="1311" spans="1:28">
      <c r="A1311" s="2">
        <f>HYPERLINK("https://finance.naver.com/item/coinfo.nhn?code=067010", "A067010")</f>
        <v>0</v>
      </c>
      <c r="B1311">
        <f>HYPERLINK("http://comp.fnguide.com/SVO2/ASP/SVD_Consensus.asp?pGB=1&amp;gicode=A067010&amp;cID=&amp;MenuYn=Y&amp;ReportGB=&amp;NewMenuID=108&amp;stkGb=701", "이씨에스")</f>
        <v>0</v>
      </c>
      <c r="C1311">
        <v>0</v>
      </c>
      <c r="D1311">
        <v>6410</v>
      </c>
      <c r="E1311">
        <v>0.9</v>
      </c>
      <c r="F1311">
        <v>14.64</v>
      </c>
      <c r="G1311">
        <v>3185</v>
      </c>
      <c r="H1311">
        <v>3461</v>
      </c>
      <c r="I1311">
        <v>3539</v>
      </c>
      <c r="J1311">
        <v>50.32</v>
      </c>
      <c r="K1311">
        <v>46.01</v>
      </c>
      <c r="L1311">
        <v>44.78</v>
      </c>
      <c r="M1311">
        <v>6.97</v>
      </c>
      <c r="N1311" t="b">
        <v>1</v>
      </c>
      <c r="O1311">
        <v>276</v>
      </c>
      <c r="P1311" t="s">
        <v>1319</v>
      </c>
      <c r="Q1311" t="s">
        <v>3335</v>
      </c>
      <c r="R1311">
        <v>16.3186775847252</v>
      </c>
      <c r="S1311">
        <v>788</v>
      </c>
      <c r="T1311">
        <v>35386398</v>
      </c>
      <c r="U1311" t="s">
        <v>5290</v>
      </c>
      <c r="V1311">
        <v>26.36</v>
      </c>
      <c r="W1311" t="s">
        <v>7496</v>
      </c>
      <c r="X1311" t="s">
        <v>9505</v>
      </c>
      <c r="Y1311">
        <v>704</v>
      </c>
      <c r="Z1311">
        <v>35</v>
      </c>
      <c r="AB1311">
        <v>2.48</v>
      </c>
    </row>
    <row r="1312" spans="1:28">
      <c r="A1312" s="2">
        <f>HYPERLINK("https://finance.naver.com/item/coinfo.nhn?code=047560", "A047560")</f>
        <v>0</v>
      </c>
      <c r="B1312">
        <f>HYPERLINK("http://comp.fnguide.com/SVO2/ASP/SVD_Consensus.asp?pGB=1&amp;gicode=A047560&amp;cID=&amp;MenuYn=Y&amp;ReportGB=&amp;NewMenuID=108&amp;stkGb=701", "이스트소프트")</f>
        <v>0</v>
      </c>
      <c r="C1312">
        <v>0</v>
      </c>
      <c r="D1312">
        <v>9750</v>
      </c>
      <c r="E1312">
        <v>0</v>
      </c>
      <c r="G1312">
        <v>1265</v>
      </c>
      <c r="H1312">
        <v>3116</v>
      </c>
      <c r="I1312">
        <v>3644</v>
      </c>
      <c r="J1312">
        <v>87.03</v>
      </c>
      <c r="K1312">
        <v>68.04000000000001</v>
      </c>
      <c r="L1312">
        <v>62.63</v>
      </c>
      <c r="M1312">
        <v>2.32</v>
      </c>
      <c r="N1312" t="b">
        <v>0</v>
      </c>
      <c r="O1312">
        <v>-1146</v>
      </c>
      <c r="P1312" t="s">
        <v>1320</v>
      </c>
      <c r="Q1312" t="s">
        <v>2276</v>
      </c>
      <c r="R1312">
        <v>0</v>
      </c>
      <c r="S1312">
        <v>965</v>
      </c>
      <c r="T1312">
        <v>78878</v>
      </c>
      <c r="U1312" t="s">
        <v>5291</v>
      </c>
      <c r="V1312">
        <v>29.37</v>
      </c>
      <c r="W1312" t="s">
        <v>7497</v>
      </c>
      <c r="X1312" t="s">
        <v>9506</v>
      </c>
      <c r="Y1312">
        <v>689</v>
      </c>
      <c r="Z1312">
        <v>-28</v>
      </c>
      <c r="AA1312">
        <v>1178544</v>
      </c>
    </row>
    <row r="1313" spans="1:28">
      <c r="A1313" s="2">
        <f>HYPERLINK("https://finance.naver.com/item/coinfo.nhn?code=086890", "A086890")</f>
        <v>0</v>
      </c>
      <c r="B1313">
        <f>HYPERLINK("http://comp.fnguide.com/SVO2/ASP/SVD_Consensus.asp?pGB=1&amp;gicode=A086890&amp;cID=&amp;MenuYn=Y&amp;ReportGB=&amp;NewMenuID=108&amp;stkGb=701", "이수앱지스")</f>
        <v>0</v>
      </c>
      <c r="C1313">
        <v>0</v>
      </c>
      <c r="D1313">
        <v>7160</v>
      </c>
      <c r="E1313">
        <v>0</v>
      </c>
      <c r="G1313">
        <v>0</v>
      </c>
      <c r="H1313">
        <v>1173</v>
      </c>
      <c r="I1313">
        <v>1508</v>
      </c>
      <c r="J1313">
        <v>100</v>
      </c>
      <c r="K1313">
        <v>83.61</v>
      </c>
      <c r="L1313">
        <v>78.94</v>
      </c>
      <c r="M1313">
        <v>0</v>
      </c>
      <c r="N1313" t="b">
        <v>0</v>
      </c>
      <c r="O1313">
        <v>-669</v>
      </c>
      <c r="P1313" t="s">
        <v>1321</v>
      </c>
      <c r="Q1313" t="s">
        <v>2276</v>
      </c>
      <c r="R1313">
        <v>0</v>
      </c>
      <c r="S1313">
        <v>2024</v>
      </c>
      <c r="T1313">
        <v>218643</v>
      </c>
      <c r="U1313" t="s">
        <v>5292</v>
      </c>
      <c r="V1313">
        <v>34.93</v>
      </c>
      <c r="W1313" t="s">
        <v>7498</v>
      </c>
      <c r="X1313" t="s">
        <v>968</v>
      </c>
      <c r="Y1313">
        <v>210</v>
      </c>
      <c r="Z1313">
        <v>-158</v>
      </c>
    </row>
    <row r="1314" spans="1:28">
      <c r="A1314" s="2">
        <f>HYPERLINK("https://finance.naver.com/item/coinfo.nhn?code=323210", "A323210")</f>
        <v>0</v>
      </c>
      <c r="B1314">
        <f>HYPERLINK("http://comp.fnguide.com/SVO2/ASP/SVD_Consensus.asp?pGB=1&amp;gicode=A323210&amp;cID=&amp;MenuYn=Y&amp;ReportGB=&amp;NewMenuID=108&amp;stkGb=701", "이베스트이안스팩1호")</f>
        <v>0</v>
      </c>
      <c r="C1314">
        <v>0</v>
      </c>
      <c r="D1314">
        <v>2010</v>
      </c>
      <c r="E1314">
        <v>0</v>
      </c>
      <c r="F1314">
        <v>2441.19</v>
      </c>
      <c r="G1314">
        <v>0</v>
      </c>
      <c r="H1314">
        <v>1164</v>
      </c>
      <c r="I1314">
        <v>1496</v>
      </c>
      <c r="J1314">
        <v>100</v>
      </c>
      <c r="K1314">
        <v>42.08</v>
      </c>
      <c r="L1314">
        <v>25.58</v>
      </c>
      <c r="M1314">
        <v>0</v>
      </c>
      <c r="N1314" t="b">
        <v>0</v>
      </c>
      <c r="O1314">
        <v>1</v>
      </c>
      <c r="P1314" t="s">
        <v>1322</v>
      </c>
      <c r="Q1314" t="s">
        <v>3336</v>
      </c>
      <c r="R1314">
        <v>-11.5</v>
      </c>
      <c r="S1314">
        <v>64</v>
      </c>
      <c r="T1314">
        <v>4519</v>
      </c>
      <c r="U1314" t="s">
        <v>5293</v>
      </c>
      <c r="V1314">
        <v>5.97</v>
      </c>
      <c r="W1314" t="s">
        <v>968</v>
      </c>
      <c r="X1314" t="s">
        <v>9507</v>
      </c>
      <c r="Y1314">
        <v>0</v>
      </c>
      <c r="Z1314">
        <v>0</v>
      </c>
    </row>
    <row r="1315" spans="1:28">
      <c r="A1315" s="2">
        <f>HYPERLINK("https://finance.naver.com/item/coinfo.nhn?code=349720", "A349720")</f>
        <v>0</v>
      </c>
      <c r="B1315">
        <f>HYPERLINK("http://comp.fnguide.com/SVO2/ASP/SVD_Consensus.asp?pGB=1&amp;gicode=A349720&amp;cID=&amp;MenuYn=Y&amp;ReportGB=&amp;NewMenuID=108&amp;stkGb=701", "이베스트스팩5호")</f>
        <v>0</v>
      </c>
      <c r="C1315">
        <v>0</v>
      </c>
      <c r="D1315">
        <v>2000</v>
      </c>
      <c r="E1315">
        <v>0</v>
      </c>
      <c r="M1315">
        <v>0</v>
      </c>
      <c r="N1315" t="b">
        <v>0</v>
      </c>
      <c r="P1315" t="s">
        <v>968</v>
      </c>
      <c r="Q1315" t="s">
        <v>3336</v>
      </c>
      <c r="R1315">
        <v>-11.5</v>
      </c>
      <c r="S1315">
        <v>72</v>
      </c>
      <c r="T1315">
        <v>16012</v>
      </c>
      <c r="U1315" t="s">
        <v>968</v>
      </c>
      <c r="V1315">
        <v>12.83</v>
      </c>
      <c r="W1315" t="s">
        <v>968</v>
      </c>
      <c r="X1315" t="s">
        <v>968</v>
      </c>
    </row>
    <row r="1316" spans="1:28">
      <c r="A1316" s="2">
        <f>HYPERLINK("https://finance.naver.com/item/coinfo.nhn?code=115610", "A115610")</f>
        <v>0</v>
      </c>
      <c r="B1316">
        <f>HYPERLINK("http://comp.fnguide.com/SVO2/ASP/SVD_Consensus.asp?pGB=1&amp;gicode=A115610&amp;cID=&amp;MenuYn=Y&amp;ReportGB=&amp;NewMenuID=108&amp;stkGb=701", "이미지스")</f>
        <v>0</v>
      </c>
      <c r="C1316">
        <v>0</v>
      </c>
      <c r="D1316">
        <v>2800</v>
      </c>
      <c r="G1316">
        <v>0</v>
      </c>
      <c r="H1316">
        <v>922</v>
      </c>
      <c r="I1316">
        <v>1185</v>
      </c>
      <c r="J1316">
        <v>100</v>
      </c>
      <c r="K1316">
        <v>67.06999999999999</v>
      </c>
      <c r="L1316">
        <v>57.69</v>
      </c>
      <c r="M1316">
        <v>0</v>
      </c>
      <c r="N1316" t="b">
        <v>0</v>
      </c>
      <c r="O1316">
        <v>-1045</v>
      </c>
      <c r="P1316" t="s">
        <v>1323</v>
      </c>
      <c r="Q1316" t="s">
        <v>3336</v>
      </c>
      <c r="R1316">
        <v>-11.5</v>
      </c>
      <c r="S1316">
        <v>215</v>
      </c>
      <c r="T1316">
        <v>277499</v>
      </c>
      <c r="U1316" t="s">
        <v>5294</v>
      </c>
      <c r="V1316">
        <v>28.73</v>
      </c>
      <c r="W1316" t="s">
        <v>7499</v>
      </c>
      <c r="X1316" t="s">
        <v>968</v>
      </c>
      <c r="Y1316">
        <v>190</v>
      </c>
      <c r="Z1316">
        <v>-64</v>
      </c>
      <c r="AA1316">
        <v>43980</v>
      </c>
    </row>
    <row r="1317" spans="1:28">
      <c r="A1317" s="2">
        <f>HYPERLINK("https://finance.naver.com/item/coinfo.nhn?code=056090", "A056090")</f>
        <v>0</v>
      </c>
      <c r="B1317">
        <f>HYPERLINK("http://comp.fnguide.com/SVO2/ASP/SVD_Consensus.asp?pGB=1&amp;gicode=A056090&amp;cID=&amp;MenuYn=Y&amp;ReportGB=&amp;NewMenuID=108&amp;stkGb=701", "유앤아이")</f>
        <v>0</v>
      </c>
      <c r="C1317">
        <v>0</v>
      </c>
      <c r="D1317">
        <v>5260</v>
      </c>
      <c r="E1317">
        <v>0</v>
      </c>
      <c r="G1317">
        <v>0</v>
      </c>
      <c r="H1317">
        <v>2982</v>
      </c>
      <c r="I1317">
        <v>3832</v>
      </c>
      <c r="J1317">
        <v>100</v>
      </c>
      <c r="K1317">
        <v>43.3</v>
      </c>
      <c r="L1317">
        <v>27.15</v>
      </c>
      <c r="M1317">
        <v>0</v>
      </c>
      <c r="N1317" t="b">
        <v>0</v>
      </c>
      <c r="O1317">
        <v>-243</v>
      </c>
      <c r="P1317" t="s">
        <v>1324</v>
      </c>
      <c r="Q1317" t="s">
        <v>2276</v>
      </c>
      <c r="R1317">
        <v>0</v>
      </c>
      <c r="S1317">
        <v>408</v>
      </c>
      <c r="T1317">
        <v>195318</v>
      </c>
      <c r="U1317" t="s">
        <v>5295</v>
      </c>
      <c r="V1317">
        <v>28.52</v>
      </c>
      <c r="W1317" t="s">
        <v>7500</v>
      </c>
      <c r="X1317" t="s">
        <v>968</v>
      </c>
      <c r="Y1317">
        <v>348</v>
      </c>
      <c r="Z1317">
        <v>-12</v>
      </c>
      <c r="AA1317">
        <v>108993</v>
      </c>
    </row>
    <row r="1318" spans="1:28">
      <c r="A1318" s="2">
        <f>HYPERLINK("https://finance.naver.com/item/coinfo.nhn?code=336060", "A336060")</f>
        <v>0</v>
      </c>
      <c r="B1318">
        <f>HYPERLINK("http://comp.fnguide.com/SVO2/ASP/SVD_Consensus.asp?pGB=1&amp;gicode=A336060&amp;cID=&amp;MenuYn=Y&amp;ReportGB=&amp;NewMenuID=108&amp;stkGb=701", "유안타제5호스팩")</f>
        <v>0</v>
      </c>
      <c r="C1318">
        <v>0</v>
      </c>
      <c r="D1318">
        <v>2005</v>
      </c>
      <c r="E1318">
        <v>0</v>
      </c>
      <c r="G1318">
        <v>0</v>
      </c>
      <c r="H1318">
        <v>1155</v>
      </c>
      <c r="I1318">
        <v>1484</v>
      </c>
      <c r="J1318">
        <v>100</v>
      </c>
      <c r="K1318">
        <v>42.39</v>
      </c>
      <c r="L1318">
        <v>25.98</v>
      </c>
      <c r="M1318">
        <v>0</v>
      </c>
      <c r="N1318" t="b">
        <v>0</v>
      </c>
      <c r="O1318">
        <v>-6</v>
      </c>
      <c r="P1318" t="s">
        <v>1325</v>
      </c>
      <c r="Q1318" t="s">
        <v>2588</v>
      </c>
      <c r="R1318">
        <v>-10.43613343694285</v>
      </c>
      <c r="S1318">
        <v>119</v>
      </c>
      <c r="T1318">
        <v>10026</v>
      </c>
      <c r="U1318" t="s">
        <v>5296</v>
      </c>
      <c r="V1318">
        <v>10.67</v>
      </c>
      <c r="W1318" t="s">
        <v>968</v>
      </c>
      <c r="X1318" t="s">
        <v>968</v>
      </c>
      <c r="Y1318">
        <v>0</v>
      </c>
      <c r="Z1318">
        <v>0</v>
      </c>
    </row>
    <row r="1319" spans="1:28">
      <c r="A1319" s="2">
        <f>HYPERLINK("https://finance.naver.com/item/coinfo.nhn?code=270520", "A270520")</f>
        <v>0</v>
      </c>
      <c r="B1319">
        <f>HYPERLINK("http://comp.fnguide.com/SVO2/ASP/SVD_Consensus.asp?pGB=1&amp;gicode=A270520&amp;cID=&amp;MenuYn=Y&amp;ReportGB=&amp;NewMenuID=108&amp;stkGb=701", "지엔원에너지")</f>
        <v>0</v>
      </c>
      <c r="C1319">
        <v>0</v>
      </c>
      <c r="D1319">
        <v>2540</v>
      </c>
      <c r="E1319">
        <v>0</v>
      </c>
      <c r="G1319">
        <v>967</v>
      </c>
      <c r="H1319">
        <v>737</v>
      </c>
      <c r="I1319">
        <v>672</v>
      </c>
      <c r="J1319">
        <v>61.93</v>
      </c>
      <c r="K1319">
        <v>70.97</v>
      </c>
      <c r="L1319">
        <v>73.55</v>
      </c>
      <c r="M1319">
        <v>13.18</v>
      </c>
      <c r="N1319" t="b">
        <v>0</v>
      </c>
      <c r="O1319">
        <v>99</v>
      </c>
      <c r="P1319" t="s">
        <v>1326</v>
      </c>
      <c r="Q1319" t="s">
        <v>3337</v>
      </c>
      <c r="R1319">
        <v>0</v>
      </c>
      <c r="S1319">
        <v>791</v>
      </c>
      <c r="T1319">
        <v>269395</v>
      </c>
      <c r="U1319" t="s">
        <v>5297</v>
      </c>
      <c r="V1319">
        <v>38.06</v>
      </c>
      <c r="W1319" t="s">
        <v>7501</v>
      </c>
      <c r="X1319" t="s">
        <v>9508</v>
      </c>
      <c r="Y1319">
        <v>358</v>
      </c>
      <c r="Z1319">
        <v>32</v>
      </c>
    </row>
    <row r="1320" spans="1:28">
      <c r="A1320" s="2">
        <f>HYPERLINK("https://finance.naver.com/item/coinfo.nhn?code=313750", "A313750")</f>
        <v>0</v>
      </c>
      <c r="B1320">
        <f>HYPERLINK("http://comp.fnguide.com/SVO2/ASP/SVD_Consensus.asp?pGB=1&amp;gicode=A313750&amp;cID=&amp;MenuYn=Y&amp;ReportGB=&amp;NewMenuID=108&amp;stkGb=701", "유안타제4호스팩")</f>
        <v>0</v>
      </c>
      <c r="C1320">
        <v>0</v>
      </c>
      <c r="D1320">
        <v>2020</v>
      </c>
      <c r="E1320">
        <v>0</v>
      </c>
      <c r="F1320">
        <v>375.74</v>
      </c>
      <c r="G1320">
        <v>53</v>
      </c>
      <c r="H1320">
        <v>1145</v>
      </c>
      <c r="I1320">
        <v>1457</v>
      </c>
      <c r="J1320">
        <v>97.39</v>
      </c>
      <c r="K1320">
        <v>43.31</v>
      </c>
      <c r="L1320">
        <v>27.9</v>
      </c>
      <c r="M1320">
        <v>0.23</v>
      </c>
      <c r="N1320" t="b">
        <v>0</v>
      </c>
      <c r="O1320">
        <v>5</v>
      </c>
      <c r="P1320" t="s">
        <v>1327</v>
      </c>
      <c r="Q1320" t="s">
        <v>2588</v>
      </c>
      <c r="R1320">
        <v>-10.43613343694285</v>
      </c>
      <c r="S1320">
        <v>94</v>
      </c>
      <c r="T1320">
        <v>3143</v>
      </c>
      <c r="U1320" t="s">
        <v>5298</v>
      </c>
      <c r="V1320">
        <v>10.75</v>
      </c>
      <c r="W1320" t="s">
        <v>7502</v>
      </c>
      <c r="X1320" t="s">
        <v>9509</v>
      </c>
      <c r="Y1320">
        <v>0</v>
      </c>
      <c r="Z1320">
        <v>-1</v>
      </c>
    </row>
    <row r="1321" spans="1:28">
      <c r="A1321" s="2">
        <f>HYPERLINK("https://finance.naver.com/item/coinfo.nhn?code=136540", "A136540")</f>
        <v>0</v>
      </c>
      <c r="B1321">
        <f>HYPERLINK("http://comp.fnguide.com/SVO2/ASP/SVD_Consensus.asp?pGB=1&amp;gicode=A136540&amp;cID=&amp;MenuYn=Y&amp;ReportGB=&amp;NewMenuID=108&amp;stkGb=701", "윈스")</f>
        <v>0</v>
      </c>
      <c r="C1321">
        <v>0</v>
      </c>
      <c r="D1321">
        <v>17000</v>
      </c>
      <c r="E1321">
        <v>0.66</v>
      </c>
      <c r="F1321">
        <v>11.01</v>
      </c>
      <c r="G1321">
        <v>15676</v>
      </c>
      <c r="H1321">
        <v>12345</v>
      </c>
      <c r="I1321">
        <v>11395</v>
      </c>
      <c r="J1321">
        <v>7.79</v>
      </c>
      <c r="K1321">
        <v>27.38</v>
      </c>
      <c r="L1321">
        <v>32.97</v>
      </c>
      <c r="M1321">
        <v>12.33</v>
      </c>
      <c r="N1321" t="b">
        <v>1</v>
      </c>
      <c r="O1321">
        <v>1207</v>
      </c>
      <c r="P1321" t="s">
        <v>1328</v>
      </c>
      <c r="Q1321" t="s">
        <v>3338</v>
      </c>
      <c r="R1321">
        <v>16.59375800812106</v>
      </c>
      <c r="S1321">
        <v>2074</v>
      </c>
      <c r="T1321">
        <v>93397</v>
      </c>
      <c r="U1321" t="s">
        <v>5299</v>
      </c>
      <c r="V1321">
        <v>37.91</v>
      </c>
      <c r="W1321" t="s">
        <v>7503</v>
      </c>
      <c r="X1321" t="s">
        <v>9510</v>
      </c>
      <c r="Y1321">
        <v>821</v>
      </c>
      <c r="Z1321">
        <v>154</v>
      </c>
      <c r="AA1321">
        <v>1054473</v>
      </c>
      <c r="AB1321">
        <v>2.63</v>
      </c>
    </row>
    <row r="1322" spans="1:28">
      <c r="A1322" s="2">
        <f>HYPERLINK("https://finance.naver.com/item/coinfo.nhn?code=036090", "A036090")</f>
        <v>0</v>
      </c>
      <c r="B1322">
        <f>HYPERLINK("http://comp.fnguide.com/SVO2/ASP/SVD_Consensus.asp?pGB=1&amp;gicode=A036090&amp;cID=&amp;MenuYn=Y&amp;ReportGB=&amp;NewMenuID=108&amp;stkGb=701", "위지트")</f>
        <v>0</v>
      </c>
      <c r="C1322">
        <v>0</v>
      </c>
      <c r="D1322">
        <v>1245</v>
      </c>
      <c r="E1322">
        <v>-1.91</v>
      </c>
      <c r="F1322">
        <v>22.05</v>
      </c>
      <c r="G1322">
        <v>750</v>
      </c>
      <c r="H1322">
        <v>827</v>
      </c>
      <c r="I1322">
        <v>848</v>
      </c>
      <c r="J1322">
        <v>39.77</v>
      </c>
      <c r="K1322">
        <v>33.61</v>
      </c>
      <c r="L1322">
        <v>31.86</v>
      </c>
      <c r="M1322">
        <v>6.81</v>
      </c>
      <c r="N1322" t="b">
        <v>1</v>
      </c>
      <c r="O1322">
        <v>40</v>
      </c>
      <c r="P1322" t="s">
        <v>1329</v>
      </c>
      <c r="Q1322" t="s">
        <v>3339</v>
      </c>
      <c r="R1322">
        <v>-11.51762501986302</v>
      </c>
      <c r="S1322">
        <v>1046</v>
      </c>
      <c r="T1322">
        <v>5571010</v>
      </c>
      <c r="U1322" t="s">
        <v>5300</v>
      </c>
      <c r="V1322">
        <v>13.07</v>
      </c>
      <c r="W1322" t="s">
        <v>7504</v>
      </c>
      <c r="X1322" t="s">
        <v>9511</v>
      </c>
      <c r="Y1322">
        <v>317</v>
      </c>
      <c r="Z1322">
        <v>-11</v>
      </c>
      <c r="AA1322">
        <v>446849</v>
      </c>
    </row>
    <row r="1323" spans="1:28">
      <c r="A1323" s="2">
        <f>HYPERLINK("https://finance.naver.com/item/coinfo.nhn?code=299900", "A299900")</f>
        <v>0</v>
      </c>
      <c r="B1323">
        <f>HYPERLINK("http://comp.fnguide.com/SVO2/ASP/SVD_Consensus.asp?pGB=1&amp;gicode=A299900&amp;cID=&amp;MenuYn=Y&amp;ReportGB=&amp;NewMenuID=108&amp;stkGb=701", "위지윅스튜디오")</f>
        <v>0</v>
      </c>
      <c r="C1323">
        <v>0</v>
      </c>
      <c r="D1323">
        <v>4350</v>
      </c>
      <c r="E1323">
        <v>0</v>
      </c>
      <c r="F1323">
        <v>26.11</v>
      </c>
      <c r="G1323">
        <v>3407</v>
      </c>
      <c r="H1323">
        <v>2456</v>
      </c>
      <c r="I1323">
        <v>2185</v>
      </c>
      <c r="J1323">
        <v>21.67</v>
      </c>
      <c r="K1323">
        <v>43.54</v>
      </c>
      <c r="L1323">
        <v>49.77</v>
      </c>
      <c r="M1323">
        <v>14.89</v>
      </c>
      <c r="N1323" t="b">
        <v>0</v>
      </c>
      <c r="O1323">
        <v>206</v>
      </c>
      <c r="P1323" t="s">
        <v>1330</v>
      </c>
      <c r="Q1323" t="s">
        <v>3340</v>
      </c>
      <c r="R1323">
        <v>0</v>
      </c>
      <c r="S1323">
        <v>1361</v>
      </c>
      <c r="T1323">
        <v>289751</v>
      </c>
      <c r="U1323" t="s">
        <v>5301</v>
      </c>
      <c r="V1323">
        <v>30.19</v>
      </c>
      <c r="W1323" t="s">
        <v>7505</v>
      </c>
      <c r="X1323" t="s">
        <v>9512</v>
      </c>
      <c r="Y1323">
        <v>464</v>
      </c>
      <c r="Z1323">
        <v>66</v>
      </c>
      <c r="AA1323">
        <v>212069</v>
      </c>
    </row>
    <row r="1324" spans="1:28">
      <c r="A1324" s="2">
        <f>HYPERLINK("https://finance.naver.com/item/coinfo.nhn?code=038620", "A038620")</f>
        <v>0</v>
      </c>
      <c r="B1324">
        <f>HYPERLINK("http://comp.fnguide.com/SVO2/ASP/SVD_Consensus.asp?pGB=1&amp;gicode=A038620&amp;cID=&amp;MenuYn=Y&amp;ReportGB=&amp;NewMenuID=108&amp;stkGb=701", "위즈코프")</f>
        <v>0</v>
      </c>
      <c r="C1324">
        <v>0</v>
      </c>
      <c r="D1324">
        <v>1195</v>
      </c>
      <c r="E1324">
        <v>-411.78</v>
      </c>
      <c r="F1324">
        <v>802.52</v>
      </c>
      <c r="G1324">
        <v>128</v>
      </c>
      <c r="H1324">
        <v>735</v>
      </c>
      <c r="I1324">
        <v>908</v>
      </c>
      <c r="J1324">
        <v>89.3</v>
      </c>
      <c r="K1324">
        <v>38.51</v>
      </c>
      <c r="L1324">
        <v>24.03</v>
      </c>
      <c r="M1324">
        <v>0.9</v>
      </c>
      <c r="N1324" t="b">
        <v>0</v>
      </c>
      <c r="O1324">
        <v>1</v>
      </c>
      <c r="P1324" t="s">
        <v>1331</v>
      </c>
      <c r="Q1324" t="s">
        <v>3341</v>
      </c>
      <c r="R1324">
        <v>-1.948902385995266</v>
      </c>
      <c r="S1324">
        <v>464</v>
      </c>
      <c r="T1324">
        <v>475180</v>
      </c>
      <c r="U1324" t="s">
        <v>5302</v>
      </c>
      <c r="V1324">
        <v>28.95</v>
      </c>
      <c r="W1324" t="s">
        <v>7506</v>
      </c>
      <c r="X1324" t="s">
        <v>9513</v>
      </c>
      <c r="Y1324">
        <v>368</v>
      </c>
      <c r="Z1324">
        <v>10</v>
      </c>
      <c r="AA1324">
        <v>3685493</v>
      </c>
    </row>
    <row r="1325" spans="1:28">
      <c r="A1325" s="2">
        <f>HYPERLINK("https://finance.naver.com/item/coinfo.nhn?code=065370", "A065370")</f>
        <v>0</v>
      </c>
      <c r="B1325">
        <f>HYPERLINK("http://comp.fnguide.com/SVO2/ASP/SVD_Consensus.asp?pGB=1&amp;gicode=A065370&amp;cID=&amp;MenuYn=Y&amp;ReportGB=&amp;NewMenuID=108&amp;stkGb=701", "위세아이텍")</f>
        <v>0</v>
      </c>
      <c r="C1325">
        <v>0</v>
      </c>
      <c r="D1325">
        <v>16600</v>
      </c>
      <c r="E1325">
        <v>0.3</v>
      </c>
      <c r="F1325">
        <v>16.07</v>
      </c>
      <c r="G1325">
        <v>7582</v>
      </c>
      <c r="H1325">
        <v>4598</v>
      </c>
      <c r="I1325">
        <v>3747</v>
      </c>
      <c r="J1325">
        <v>54.32</v>
      </c>
      <c r="K1325">
        <v>72.3</v>
      </c>
      <c r="L1325">
        <v>77.42</v>
      </c>
      <c r="M1325">
        <v>23.11</v>
      </c>
      <c r="N1325" t="b">
        <v>1</v>
      </c>
      <c r="O1325">
        <v>784</v>
      </c>
      <c r="P1325" t="s">
        <v>1332</v>
      </c>
      <c r="Q1325" t="s">
        <v>3342</v>
      </c>
      <c r="R1325">
        <v>53.25745003714915</v>
      </c>
      <c r="S1325">
        <v>739</v>
      </c>
      <c r="T1325">
        <v>8784</v>
      </c>
      <c r="U1325" t="s">
        <v>5303</v>
      </c>
      <c r="V1325">
        <v>39.49</v>
      </c>
      <c r="W1325" t="s">
        <v>7507</v>
      </c>
      <c r="X1325" t="s">
        <v>9514</v>
      </c>
      <c r="Y1325">
        <v>197</v>
      </c>
      <c r="Z1325">
        <v>29</v>
      </c>
      <c r="AA1325">
        <v>209084</v>
      </c>
      <c r="AB1325">
        <v>0.4</v>
      </c>
    </row>
    <row r="1326" spans="1:28">
      <c r="A1326" s="2">
        <f>HYPERLINK("https://finance.naver.com/item/coinfo.nhn?code=112040", "A112040")</f>
        <v>0</v>
      </c>
      <c r="B1326">
        <f>HYPERLINK("http://comp.fnguide.com/SVO2/ASP/SVD_Consensus.asp?pGB=1&amp;gicode=A112040&amp;cID=&amp;MenuYn=Y&amp;ReportGB=&amp;NewMenuID=108&amp;stkGb=701", "위메이드")</f>
        <v>0</v>
      </c>
      <c r="C1326">
        <v>0</v>
      </c>
      <c r="D1326">
        <v>43050</v>
      </c>
      <c r="E1326">
        <v>0</v>
      </c>
      <c r="G1326">
        <v>997</v>
      </c>
      <c r="H1326">
        <v>9080</v>
      </c>
      <c r="I1326">
        <v>11384</v>
      </c>
      <c r="J1326">
        <v>97.68000000000001</v>
      </c>
      <c r="K1326">
        <v>78.91</v>
      </c>
      <c r="L1326">
        <v>73.56</v>
      </c>
      <c r="M1326">
        <v>0.55</v>
      </c>
      <c r="N1326" t="b">
        <v>0</v>
      </c>
      <c r="O1326">
        <v>-595</v>
      </c>
      <c r="P1326" t="s">
        <v>1333</v>
      </c>
      <c r="Q1326" t="s">
        <v>2276</v>
      </c>
      <c r="R1326">
        <v>0</v>
      </c>
      <c r="S1326">
        <v>7232</v>
      </c>
      <c r="T1326">
        <v>1143503</v>
      </c>
      <c r="U1326" t="s">
        <v>5304</v>
      </c>
      <c r="V1326">
        <v>46.4</v>
      </c>
      <c r="W1326" t="s">
        <v>7508</v>
      </c>
      <c r="X1326" t="s">
        <v>9515</v>
      </c>
      <c r="Y1326">
        <v>1136</v>
      </c>
      <c r="Z1326">
        <v>-93</v>
      </c>
      <c r="AA1326">
        <v>399206</v>
      </c>
      <c r="AB1326">
        <v>2.02</v>
      </c>
    </row>
    <row r="1327" spans="1:28">
      <c r="A1327" s="2">
        <f>HYPERLINK("https://finance.naver.com/item/coinfo.nhn?code=348350", "A348350")</f>
        <v>0</v>
      </c>
      <c r="B1327">
        <f>HYPERLINK("http://comp.fnguide.com/SVO2/ASP/SVD_Consensus.asp?pGB=1&amp;gicode=A348350&amp;cID=&amp;MenuYn=Y&amp;ReportGB=&amp;NewMenuID=108&amp;stkGb=701", "위드텍")</f>
        <v>0</v>
      </c>
      <c r="C1327">
        <v>0</v>
      </c>
      <c r="D1327">
        <v>46500</v>
      </c>
      <c r="G1327">
        <v>19815</v>
      </c>
      <c r="H1327">
        <v>13916</v>
      </c>
      <c r="I1327">
        <v>12235</v>
      </c>
      <c r="J1327">
        <v>57.39</v>
      </c>
      <c r="K1327">
        <v>70.06999999999999</v>
      </c>
      <c r="L1327">
        <v>73.69</v>
      </c>
      <c r="M1327">
        <v>15.8</v>
      </c>
      <c r="N1327" t="b">
        <v>0</v>
      </c>
      <c r="O1327">
        <v>2969</v>
      </c>
      <c r="P1327" t="s">
        <v>1334</v>
      </c>
      <c r="Q1327" t="s">
        <v>3343</v>
      </c>
      <c r="R1327">
        <v>6.534464014645858</v>
      </c>
      <c r="S1327">
        <v>2368</v>
      </c>
      <c r="T1327">
        <v>59044</v>
      </c>
      <c r="U1327" t="s">
        <v>5305</v>
      </c>
      <c r="V1327">
        <v>66.55</v>
      </c>
      <c r="W1327" t="s">
        <v>7509</v>
      </c>
      <c r="X1327" t="s">
        <v>9516</v>
      </c>
      <c r="Y1327">
        <v>589</v>
      </c>
      <c r="Z1327">
        <v>127</v>
      </c>
    </row>
    <row r="1328" spans="1:28">
      <c r="A1328" s="2">
        <f>HYPERLINK("https://finance.naver.com/item/coinfo.nhn?code=330350", "A330350")</f>
        <v>0</v>
      </c>
      <c r="B1328">
        <f>HYPERLINK("http://comp.fnguide.com/SVO2/ASP/SVD_Consensus.asp?pGB=1&amp;gicode=A330350&amp;cID=&amp;MenuYn=Y&amp;ReportGB=&amp;NewMenuID=108&amp;stkGb=701", "위더스제약")</f>
        <v>0</v>
      </c>
      <c r="C1328">
        <v>0</v>
      </c>
      <c r="D1328">
        <v>20150</v>
      </c>
      <c r="G1328">
        <v>17283</v>
      </c>
      <c r="H1328">
        <v>12147</v>
      </c>
      <c r="I1328">
        <v>10684</v>
      </c>
      <c r="J1328">
        <v>14.23</v>
      </c>
      <c r="K1328">
        <v>39.72</v>
      </c>
      <c r="L1328">
        <v>46.98</v>
      </c>
      <c r="M1328">
        <v>15.77</v>
      </c>
      <c r="N1328" t="b">
        <v>0</v>
      </c>
      <c r="O1328">
        <v>1037</v>
      </c>
      <c r="P1328" t="s">
        <v>1335</v>
      </c>
      <c r="Q1328" t="s">
        <v>3344</v>
      </c>
      <c r="R1328">
        <v>4.740528725853288</v>
      </c>
      <c r="S1328">
        <v>1772</v>
      </c>
      <c r="T1328">
        <v>66667</v>
      </c>
      <c r="U1328" t="s">
        <v>5306</v>
      </c>
      <c r="V1328">
        <v>52.98</v>
      </c>
      <c r="W1328" t="s">
        <v>7510</v>
      </c>
      <c r="X1328" t="s">
        <v>968</v>
      </c>
      <c r="Y1328">
        <v>524</v>
      </c>
      <c r="Z1328">
        <v>97</v>
      </c>
    </row>
    <row r="1329" spans="1:28">
      <c r="A1329" s="2">
        <f>HYPERLINK("https://finance.naver.com/item/coinfo.nhn?code=071460", "A071460")</f>
        <v>0</v>
      </c>
      <c r="B1329">
        <f>HYPERLINK("http://comp.fnguide.com/SVO2/ASP/SVD_Consensus.asp?pGB=1&amp;gicode=A071460&amp;cID=&amp;MenuYn=Y&amp;ReportGB=&amp;NewMenuID=108&amp;stkGb=701", "위니아딤채")</f>
        <v>0</v>
      </c>
      <c r="C1329">
        <v>0</v>
      </c>
      <c r="D1329">
        <v>2610</v>
      </c>
      <c r="E1329">
        <v>-0.44</v>
      </c>
      <c r="F1329">
        <v>22.81</v>
      </c>
      <c r="G1329">
        <v>1104</v>
      </c>
      <c r="H1329">
        <v>1895</v>
      </c>
      <c r="I1329">
        <v>2121</v>
      </c>
      <c r="J1329">
        <v>57.7</v>
      </c>
      <c r="K1329">
        <v>27.39</v>
      </c>
      <c r="L1329">
        <v>18.75</v>
      </c>
      <c r="M1329">
        <v>3.63</v>
      </c>
      <c r="N1329" t="b">
        <v>1</v>
      </c>
      <c r="O1329">
        <v>130</v>
      </c>
      <c r="P1329" t="s">
        <v>1336</v>
      </c>
      <c r="Q1329" t="s">
        <v>3345</v>
      </c>
      <c r="R1329">
        <v>-51.32248979251302</v>
      </c>
      <c r="S1329">
        <v>939</v>
      </c>
      <c r="T1329">
        <v>74189</v>
      </c>
      <c r="U1329" t="s">
        <v>5307</v>
      </c>
      <c r="V1329">
        <v>51.87</v>
      </c>
      <c r="W1329" t="s">
        <v>7511</v>
      </c>
      <c r="X1329" t="s">
        <v>9517</v>
      </c>
      <c r="Y1329">
        <v>7505</v>
      </c>
      <c r="Z1329">
        <v>206</v>
      </c>
      <c r="AA1329">
        <v>400000</v>
      </c>
    </row>
    <row r="1330" spans="1:28">
      <c r="A1330" s="2">
        <f>HYPERLINK("https://finance.naver.com/item/coinfo.nhn?code=053580", "A053580")</f>
        <v>0</v>
      </c>
      <c r="B1330">
        <f>HYPERLINK("http://comp.fnguide.com/SVO2/ASP/SVD_Consensus.asp?pGB=1&amp;gicode=A053580&amp;cID=&amp;MenuYn=Y&amp;ReportGB=&amp;NewMenuID=108&amp;stkGb=701", "웹케시")</f>
        <v>0</v>
      </c>
      <c r="C1330">
        <v>0</v>
      </c>
      <c r="D1330">
        <v>73800</v>
      </c>
      <c r="E1330">
        <v>0.98</v>
      </c>
      <c r="F1330">
        <v>30.97</v>
      </c>
      <c r="G1330">
        <v>26434</v>
      </c>
      <c r="H1330">
        <v>15505</v>
      </c>
      <c r="I1330">
        <v>12391</v>
      </c>
      <c r="J1330">
        <v>64.18000000000001</v>
      </c>
      <c r="K1330">
        <v>78.98999999999999</v>
      </c>
      <c r="L1330">
        <v>83.20999999999999</v>
      </c>
      <c r="M1330">
        <v>25.55</v>
      </c>
      <c r="N1330" t="b">
        <v>0</v>
      </c>
      <c r="O1330">
        <v>1384</v>
      </c>
      <c r="P1330" t="s">
        <v>1337</v>
      </c>
      <c r="Q1330" t="s">
        <v>3346</v>
      </c>
      <c r="R1330">
        <v>31.52697853676381</v>
      </c>
      <c r="S1330">
        <v>4992</v>
      </c>
      <c r="T1330">
        <v>22250</v>
      </c>
      <c r="U1330" t="s">
        <v>5308</v>
      </c>
      <c r="V1330">
        <v>36.99</v>
      </c>
      <c r="W1330" t="s">
        <v>7512</v>
      </c>
      <c r="X1330" t="s">
        <v>9518</v>
      </c>
      <c r="Y1330">
        <v>612</v>
      </c>
      <c r="Z1330">
        <v>93</v>
      </c>
      <c r="AA1330">
        <v>189817</v>
      </c>
      <c r="AB1330">
        <v>0.47</v>
      </c>
    </row>
    <row r="1331" spans="1:28">
      <c r="A1331" s="2">
        <f>HYPERLINK("https://finance.naver.com/item/coinfo.nhn?code=069080", "A069080")</f>
        <v>0</v>
      </c>
      <c r="B1331">
        <f>HYPERLINK("http://comp.fnguide.com/SVO2/ASP/SVD_Consensus.asp?pGB=1&amp;gicode=A069080&amp;cID=&amp;MenuYn=Y&amp;ReportGB=&amp;NewMenuID=108&amp;stkGb=701", "웹젠")</f>
        <v>0</v>
      </c>
      <c r="C1331">
        <v>0</v>
      </c>
      <c r="D1331">
        <v>34950</v>
      </c>
      <c r="E1331">
        <v>4.09</v>
      </c>
      <c r="F1331">
        <v>13.51</v>
      </c>
      <c r="G1331">
        <v>20555</v>
      </c>
      <c r="H1331">
        <v>15178</v>
      </c>
      <c r="I1331">
        <v>13646</v>
      </c>
      <c r="J1331">
        <v>41.19</v>
      </c>
      <c r="K1331">
        <v>56.57</v>
      </c>
      <c r="L1331">
        <v>60.96</v>
      </c>
      <c r="M1331">
        <v>14.12</v>
      </c>
      <c r="N1331" t="b">
        <v>1</v>
      </c>
      <c r="O1331">
        <v>1207</v>
      </c>
      <c r="P1331" t="s">
        <v>1338</v>
      </c>
      <c r="Q1331" t="s">
        <v>3347</v>
      </c>
      <c r="R1331">
        <v>3.306320486384906</v>
      </c>
      <c r="S1331">
        <v>12341</v>
      </c>
      <c r="T1331">
        <v>459119</v>
      </c>
      <c r="U1331" t="s">
        <v>5309</v>
      </c>
      <c r="V1331">
        <v>27.19</v>
      </c>
      <c r="W1331" t="s">
        <v>7513</v>
      </c>
      <c r="X1331" t="s">
        <v>9519</v>
      </c>
      <c r="Y1331">
        <v>1761</v>
      </c>
      <c r="Z1331">
        <v>518</v>
      </c>
      <c r="AA1331">
        <v>4689069</v>
      </c>
    </row>
    <row r="1332" spans="1:28">
      <c r="A1332" s="2">
        <f>HYPERLINK("https://finance.naver.com/item/coinfo.nhn?code=226440", "A226440")</f>
        <v>0</v>
      </c>
      <c r="B1332">
        <f>HYPERLINK("http://comp.fnguide.com/SVO2/ASP/SVD_Consensus.asp?pGB=1&amp;gicode=A226440&amp;cID=&amp;MenuYn=Y&amp;ReportGB=&amp;NewMenuID=108&amp;stkGb=701", "한송네오텍")</f>
        <v>0</v>
      </c>
      <c r="C1332">
        <v>0</v>
      </c>
      <c r="D1332">
        <v>2470</v>
      </c>
      <c r="E1332">
        <v>0.4</v>
      </c>
      <c r="F1332">
        <v>150.35</v>
      </c>
      <c r="G1332">
        <v>531</v>
      </c>
      <c r="H1332">
        <v>460</v>
      </c>
      <c r="I1332">
        <v>440</v>
      </c>
      <c r="J1332">
        <v>78.51000000000001</v>
      </c>
      <c r="K1332">
        <v>81.38</v>
      </c>
      <c r="L1332">
        <v>82.2</v>
      </c>
      <c r="M1332">
        <v>10.25</v>
      </c>
      <c r="N1332" t="b">
        <v>1</v>
      </c>
      <c r="O1332">
        <v>9</v>
      </c>
      <c r="P1332" t="s">
        <v>1339</v>
      </c>
      <c r="Q1332" t="s">
        <v>3348</v>
      </c>
      <c r="R1332">
        <v>373.3000000000001</v>
      </c>
      <c r="S1332">
        <v>1178</v>
      </c>
      <c r="T1332">
        <v>6737321</v>
      </c>
      <c r="U1332" t="s">
        <v>5310</v>
      </c>
      <c r="V1332">
        <v>8.1</v>
      </c>
      <c r="W1332" t="s">
        <v>7514</v>
      </c>
      <c r="X1332" t="s">
        <v>9520</v>
      </c>
      <c r="Y1332">
        <v>215</v>
      </c>
      <c r="Z1332">
        <v>8</v>
      </c>
      <c r="AA1332">
        <v>1182178</v>
      </c>
    </row>
    <row r="1333" spans="1:28">
      <c r="A1333" s="2">
        <f>HYPERLINK("https://finance.naver.com/item/coinfo.nhn?code=042520", "A042520")</f>
        <v>0</v>
      </c>
      <c r="B1333">
        <f>HYPERLINK("http://comp.fnguide.com/SVO2/ASP/SVD_Consensus.asp?pGB=1&amp;gicode=A042520&amp;cID=&amp;MenuYn=Y&amp;ReportGB=&amp;NewMenuID=108&amp;stkGb=701", "한스바이오메드")</f>
        <v>0</v>
      </c>
      <c r="C1333">
        <v>0</v>
      </c>
      <c r="D1333">
        <v>12000</v>
      </c>
      <c r="E1333">
        <v>-1.38</v>
      </c>
      <c r="F1333">
        <v>21.67</v>
      </c>
      <c r="G1333">
        <v>11287</v>
      </c>
      <c r="H1333">
        <v>9000</v>
      </c>
      <c r="I1333">
        <v>8349</v>
      </c>
      <c r="J1333">
        <v>5.94</v>
      </c>
      <c r="K1333">
        <v>25</v>
      </c>
      <c r="L1333">
        <v>30.43</v>
      </c>
      <c r="M1333">
        <v>12.02</v>
      </c>
      <c r="N1333" t="b">
        <v>1</v>
      </c>
      <c r="O1333">
        <v>1008</v>
      </c>
      <c r="P1333" t="s">
        <v>1340</v>
      </c>
      <c r="Q1333" t="s">
        <v>3349</v>
      </c>
      <c r="R1333">
        <v>-15.65483397983306</v>
      </c>
      <c r="S1333">
        <v>1212</v>
      </c>
      <c r="T1333">
        <v>267806</v>
      </c>
      <c r="U1333" t="s">
        <v>5311</v>
      </c>
      <c r="V1333">
        <v>27.43</v>
      </c>
      <c r="W1333" t="s">
        <v>7515</v>
      </c>
      <c r="X1333" t="s">
        <v>9521</v>
      </c>
      <c r="Y1333">
        <v>670</v>
      </c>
      <c r="Z1333">
        <v>126</v>
      </c>
      <c r="AA1333">
        <v>91105</v>
      </c>
      <c r="AB1333">
        <v>0.55</v>
      </c>
    </row>
    <row r="1334" spans="1:28">
      <c r="A1334" s="2">
        <f>HYPERLINK("https://finance.naver.com/item/coinfo.nhn?code=076080", "A076080")</f>
        <v>0</v>
      </c>
      <c r="B1334">
        <f>HYPERLINK("http://comp.fnguide.com/SVO2/ASP/SVD_Consensus.asp?pGB=1&amp;gicode=A076080&amp;cID=&amp;MenuYn=Y&amp;ReportGB=&amp;NewMenuID=108&amp;stkGb=701", "웰크론한텍")</f>
        <v>0</v>
      </c>
      <c r="C1334">
        <v>0</v>
      </c>
      <c r="D1334">
        <v>2595</v>
      </c>
      <c r="E1334">
        <v>0</v>
      </c>
      <c r="G1334">
        <v>0</v>
      </c>
      <c r="H1334">
        <v>2010</v>
      </c>
      <c r="I1334">
        <v>2583</v>
      </c>
      <c r="J1334">
        <v>100</v>
      </c>
      <c r="K1334">
        <v>22.54</v>
      </c>
      <c r="L1334">
        <v>0.47</v>
      </c>
      <c r="M1334">
        <v>0</v>
      </c>
      <c r="N1334" t="b">
        <v>0</v>
      </c>
      <c r="O1334">
        <v>-98</v>
      </c>
      <c r="P1334" t="s">
        <v>1341</v>
      </c>
      <c r="Q1334" t="s">
        <v>2276</v>
      </c>
      <c r="R1334">
        <v>0</v>
      </c>
      <c r="S1334">
        <v>518</v>
      </c>
      <c r="T1334">
        <v>469875</v>
      </c>
      <c r="U1334" t="s">
        <v>5312</v>
      </c>
      <c r="V1334">
        <v>36.97</v>
      </c>
      <c r="W1334" t="s">
        <v>7516</v>
      </c>
      <c r="X1334" t="s">
        <v>968</v>
      </c>
      <c r="Y1334">
        <v>2708</v>
      </c>
      <c r="Z1334">
        <v>-58</v>
      </c>
      <c r="AA1334">
        <v>521275</v>
      </c>
    </row>
    <row r="1335" spans="1:28">
      <c r="A1335" s="2">
        <f>HYPERLINK("https://finance.naver.com/item/coinfo.nhn?code=065950", "A065950")</f>
        <v>0</v>
      </c>
      <c r="B1335">
        <f>HYPERLINK("http://comp.fnguide.com/SVO2/ASP/SVD_Consensus.asp?pGB=1&amp;gicode=A065950&amp;cID=&amp;MenuYn=Y&amp;ReportGB=&amp;NewMenuID=108&amp;stkGb=701", "웰크론")</f>
        <v>0</v>
      </c>
      <c r="C1335">
        <v>0</v>
      </c>
      <c r="D1335">
        <v>6140</v>
      </c>
      <c r="E1335">
        <v>0</v>
      </c>
      <c r="G1335">
        <v>914</v>
      </c>
      <c r="H1335">
        <v>1665</v>
      </c>
      <c r="I1335">
        <v>1879</v>
      </c>
      <c r="J1335">
        <v>85.11</v>
      </c>
      <c r="K1335">
        <v>72.88</v>
      </c>
      <c r="L1335">
        <v>69.39</v>
      </c>
      <c r="M1335">
        <v>3.37</v>
      </c>
      <c r="N1335" t="b">
        <v>0</v>
      </c>
      <c r="O1335">
        <v>-195</v>
      </c>
      <c r="P1335" t="s">
        <v>1342</v>
      </c>
      <c r="Q1335" t="s">
        <v>2276</v>
      </c>
      <c r="R1335">
        <v>0</v>
      </c>
      <c r="S1335">
        <v>1733</v>
      </c>
      <c r="T1335">
        <v>566079</v>
      </c>
      <c r="U1335" t="s">
        <v>5313</v>
      </c>
      <c r="V1335">
        <v>18.21</v>
      </c>
      <c r="W1335" t="s">
        <v>7517</v>
      </c>
      <c r="X1335" t="s">
        <v>9522</v>
      </c>
      <c r="Y1335">
        <v>3919</v>
      </c>
      <c r="Z1335">
        <v>28</v>
      </c>
    </row>
    <row r="1336" spans="1:28">
      <c r="A1336" s="2">
        <f>HYPERLINK("https://finance.naver.com/item/coinfo.nhn?code=078350", "A078350")</f>
        <v>0</v>
      </c>
      <c r="B1336">
        <f>HYPERLINK("http://comp.fnguide.com/SVO2/ASP/SVD_Consensus.asp?pGB=1&amp;gicode=A078350&amp;cID=&amp;MenuYn=Y&amp;ReportGB=&amp;NewMenuID=108&amp;stkGb=701", "한양디지텍")</f>
        <v>0</v>
      </c>
      <c r="C1336">
        <v>0</v>
      </c>
      <c r="D1336">
        <v>5400</v>
      </c>
      <c r="E1336">
        <v>0</v>
      </c>
      <c r="G1336">
        <v>223</v>
      </c>
      <c r="H1336">
        <v>1457</v>
      </c>
      <c r="I1336">
        <v>1809</v>
      </c>
      <c r="J1336">
        <v>95.87</v>
      </c>
      <c r="K1336">
        <v>73.01000000000001</v>
      </c>
      <c r="L1336">
        <v>66.5</v>
      </c>
      <c r="M1336">
        <v>0.78</v>
      </c>
      <c r="N1336" t="b">
        <v>0</v>
      </c>
      <c r="O1336">
        <v>-1278</v>
      </c>
      <c r="P1336" t="s">
        <v>1343</v>
      </c>
      <c r="Q1336" t="s">
        <v>2276</v>
      </c>
      <c r="R1336">
        <v>0</v>
      </c>
      <c r="S1336">
        <v>610</v>
      </c>
      <c r="T1336">
        <v>26373</v>
      </c>
      <c r="U1336" t="s">
        <v>5314</v>
      </c>
      <c r="V1336">
        <v>71.81999999999999</v>
      </c>
      <c r="W1336" t="s">
        <v>7518</v>
      </c>
      <c r="X1336" t="s">
        <v>9523</v>
      </c>
      <c r="Y1336">
        <v>680</v>
      </c>
      <c r="Z1336">
        <v>-79</v>
      </c>
      <c r="AA1336">
        <v>375275</v>
      </c>
    </row>
    <row r="1337" spans="1:28">
      <c r="A1337" s="2">
        <f>HYPERLINK("https://finance.naver.com/item/coinfo.nhn?code=095270", "A095270")</f>
        <v>0</v>
      </c>
      <c r="B1337">
        <f>HYPERLINK("http://comp.fnguide.com/SVO2/ASP/SVD_Consensus.asp?pGB=1&amp;gicode=A095270&amp;cID=&amp;MenuYn=Y&amp;ReportGB=&amp;NewMenuID=108&amp;stkGb=701", "웨이브일렉트로")</f>
        <v>0</v>
      </c>
      <c r="C1337">
        <v>0</v>
      </c>
      <c r="D1337">
        <v>5580</v>
      </c>
      <c r="E1337">
        <v>0</v>
      </c>
      <c r="G1337">
        <v>22</v>
      </c>
      <c r="H1337">
        <v>624</v>
      </c>
      <c r="I1337">
        <v>795</v>
      </c>
      <c r="J1337">
        <v>99.61</v>
      </c>
      <c r="K1337">
        <v>88.81999999999999</v>
      </c>
      <c r="L1337">
        <v>85.75</v>
      </c>
      <c r="M1337">
        <v>0.17</v>
      </c>
      <c r="N1337" t="b">
        <v>0</v>
      </c>
      <c r="O1337">
        <v>-3237</v>
      </c>
      <c r="P1337" t="s">
        <v>1344</v>
      </c>
      <c r="Q1337" t="s">
        <v>2276</v>
      </c>
      <c r="R1337">
        <v>0</v>
      </c>
      <c r="S1337">
        <v>821</v>
      </c>
      <c r="T1337">
        <v>150492</v>
      </c>
      <c r="U1337" t="s">
        <v>5315</v>
      </c>
      <c r="V1337">
        <v>20.81</v>
      </c>
      <c r="W1337" t="s">
        <v>7519</v>
      </c>
      <c r="X1337" t="s">
        <v>9524</v>
      </c>
      <c r="Y1337">
        <v>373</v>
      </c>
      <c r="Z1337">
        <v>-245</v>
      </c>
      <c r="AA1337">
        <v>150298</v>
      </c>
    </row>
    <row r="1338" spans="1:28">
      <c r="A1338" s="2">
        <f>HYPERLINK("https://finance.naver.com/item/coinfo.nhn?code=008290", "A008290")</f>
        <v>0</v>
      </c>
      <c r="B1338">
        <f>HYPERLINK("http://comp.fnguide.com/SVO2/ASP/SVD_Consensus.asp?pGB=1&amp;gicode=A008290&amp;cID=&amp;MenuYn=Y&amp;ReportGB=&amp;NewMenuID=108&amp;stkGb=701", "원풍물산")</f>
        <v>0</v>
      </c>
      <c r="C1338">
        <v>0</v>
      </c>
      <c r="D1338">
        <v>2715</v>
      </c>
      <c r="E1338">
        <v>0</v>
      </c>
      <c r="G1338">
        <v>7</v>
      </c>
      <c r="H1338">
        <v>688</v>
      </c>
      <c r="I1338">
        <v>883</v>
      </c>
      <c r="J1338">
        <v>99.75</v>
      </c>
      <c r="K1338">
        <v>74.65000000000001</v>
      </c>
      <c r="L1338">
        <v>67.48999999999999</v>
      </c>
      <c r="M1338">
        <v>0.05</v>
      </c>
      <c r="N1338" t="b">
        <v>0</v>
      </c>
      <c r="O1338">
        <v>-134</v>
      </c>
      <c r="P1338" t="s">
        <v>1345</v>
      </c>
      <c r="Q1338" t="s">
        <v>2276</v>
      </c>
      <c r="R1338">
        <v>0</v>
      </c>
      <c r="S1338">
        <v>1105</v>
      </c>
      <c r="T1338">
        <v>305307</v>
      </c>
      <c r="U1338" t="s">
        <v>5316</v>
      </c>
      <c r="V1338">
        <v>33.5</v>
      </c>
      <c r="W1338" t="s">
        <v>7520</v>
      </c>
      <c r="X1338" t="s">
        <v>9525</v>
      </c>
      <c r="Y1338">
        <v>408</v>
      </c>
      <c r="Z1338">
        <v>-13</v>
      </c>
      <c r="AA1338">
        <v>738282</v>
      </c>
    </row>
    <row r="1339" spans="1:28">
      <c r="A1339" s="2">
        <f>HYPERLINK("https://finance.naver.com/item/coinfo.nhn?code=074600", "A074600")</f>
        <v>0</v>
      </c>
      <c r="B1339">
        <f>HYPERLINK("http://comp.fnguide.com/SVO2/ASP/SVD_Consensus.asp?pGB=1&amp;gicode=A074600&amp;cID=&amp;MenuYn=Y&amp;ReportGB=&amp;NewMenuID=108&amp;stkGb=701", "원익QnC")</f>
        <v>0</v>
      </c>
      <c r="C1339">
        <v>0</v>
      </c>
      <c r="D1339">
        <v>18650</v>
      </c>
      <c r="E1339">
        <v>-4.38</v>
      </c>
      <c r="F1339">
        <v>157.36</v>
      </c>
      <c r="G1339">
        <v>10895</v>
      </c>
      <c r="H1339">
        <v>9217</v>
      </c>
      <c r="I1339">
        <v>8739</v>
      </c>
      <c r="J1339">
        <v>41.58</v>
      </c>
      <c r="K1339">
        <v>50.58</v>
      </c>
      <c r="L1339">
        <v>53.14</v>
      </c>
      <c r="M1339">
        <v>10.72</v>
      </c>
      <c r="N1339" t="b">
        <v>1</v>
      </c>
      <c r="O1339">
        <v>99</v>
      </c>
      <c r="P1339" t="s">
        <v>1346</v>
      </c>
      <c r="Q1339" t="s">
        <v>3350</v>
      </c>
      <c r="R1339">
        <v>-35.91062930364136</v>
      </c>
      <c r="S1339">
        <v>4903</v>
      </c>
      <c r="T1339">
        <v>661015</v>
      </c>
      <c r="U1339" t="s">
        <v>5317</v>
      </c>
      <c r="V1339">
        <v>40.54</v>
      </c>
      <c r="W1339" t="s">
        <v>7521</v>
      </c>
      <c r="X1339" t="s">
        <v>9526</v>
      </c>
      <c r="Y1339">
        <v>2631</v>
      </c>
      <c r="Z1339">
        <v>274</v>
      </c>
    </row>
    <row r="1340" spans="1:28">
      <c r="A1340" s="2">
        <f>HYPERLINK("https://finance.naver.com/item/coinfo.nhn?code=320000", "A320000")</f>
        <v>0</v>
      </c>
      <c r="B1340">
        <f>HYPERLINK("http://comp.fnguide.com/SVO2/ASP/SVD_Consensus.asp?pGB=1&amp;gicode=A320000&amp;cID=&amp;MenuYn=Y&amp;ReportGB=&amp;NewMenuID=108&amp;stkGb=701", "윈텍")</f>
        <v>0</v>
      </c>
      <c r="C1340">
        <v>0</v>
      </c>
      <c r="D1340">
        <v>2700</v>
      </c>
      <c r="G1340">
        <v>1446</v>
      </c>
      <c r="H1340">
        <v>1050</v>
      </c>
      <c r="I1340">
        <v>938</v>
      </c>
      <c r="J1340">
        <v>46.45</v>
      </c>
      <c r="K1340">
        <v>61.09</v>
      </c>
      <c r="L1340">
        <v>65.27</v>
      </c>
      <c r="M1340">
        <v>14.63</v>
      </c>
      <c r="N1340" t="b">
        <v>0</v>
      </c>
      <c r="O1340">
        <v>115</v>
      </c>
      <c r="P1340" t="s">
        <v>1347</v>
      </c>
      <c r="Q1340" t="s">
        <v>3351</v>
      </c>
      <c r="R1340">
        <v>38.23624764963136</v>
      </c>
      <c r="S1340">
        <v>483</v>
      </c>
      <c r="T1340">
        <v>111632</v>
      </c>
      <c r="U1340" t="s">
        <v>5318</v>
      </c>
      <c r="V1340">
        <v>40.5</v>
      </c>
      <c r="W1340" t="s">
        <v>7522</v>
      </c>
      <c r="X1340" t="s">
        <v>968</v>
      </c>
      <c r="Y1340">
        <v>199</v>
      </c>
      <c r="Z1340">
        <v>25</v>
      </c>
    </row>
    <row r="1341" spans="1:28">
      <c r="A1341" s="2">
        <f>HYPERLINK("https://finance.naver.com/item/coinfo.nhn?code=070590", "A070590")</f>
        <v>0</v>
      </c>
      <c r="B1341">
        <f>HYPERLINK("http://comp.fnguide.com/SVO2/ASP/SVD_Consensus.asp?pGB=1&amp;gicode=A070590&amp;cID=&amp;MenuYn=Y&amp;ReportGB=&amp;NewMenuID=108&amp;stkGb=701", "한솔인티큐브")</f>
        <v>0</v>
      </c>
      <c r="C1341">
        <v>0</v>
      </c>
      <c r="D1341">
        <v>2620</v>
      </c>
      <c r="E1341">
        <v>0</v>
      </c>
      <c r="G1341">
        <v>594</v>
      </c>
      <c r="H1341">
        <v>1279</v>
      </c>
      <c r="I1341">
        <v>1475</v>
      </c>
      <c r="J1341">
        <v>77.31999999999999</v>
      </c>
      <c r="K1341">
        <v>51.17</v>
      </c>
      <c r="L1341">
        <v>43.71</v>
      </c>
      <c r="M1341">
        <v>2.73</v>
      </c>
      <c r="N1341" t="b">
        <v>0</v>
      </c>
      <c r="O1341">
        <v>-64</v>
      </c>
      <c r="P1341" t="s">
        <v>1348</v>
      </c>
      <c r="Q1341" t="s">
        <v>2276</v>
      </c>
      <c r="R1341">
        <v>0</v>
      </c>
      <c r="S1341">
        <v>364</v>
      </c>
      <c r="T1341">
        <v>92613</v>
      </c>
      <c r="U1341" t="s">
        <v>5319</v>
      </c>
      <c r="V1341">
        <v>42.25</v>
      </c>
      <c r="W1341" t="s">
        <v>7523</v>
      </c>
      <c r="X1341" t="s">
        <v>9527</v>
      </c>
      <c r="Y1341">
        <v>590</v>
      </c>
      <c r="Z1341">
        <v>-10</v>
      </c>
      <c r="AA1341">
        <v>217045</v>
      </c>
    </row>
    <row r="1342" spans="1:28">
      <c r="A1342" s="2">
        <f>HYPERLINK("https://finance.naver.com/item/coinfo.nhn?code=313760", "A313760")</f>
        <v>0</v>
      </c>
      <c r="B1342">
        <f>HYPERLINK("http://comp.fnguide.com/SVO2/ASP/SVD_Consensus.asp?pGB=1&amp;gicode=A313760&amp;cID=&amp;MenuYn=Y&amp;ReportGB=&amp;NewMenuID=108&amp;stkGb=701", "윌링스")</f>
        <v>0</v>
      </c>
      <c r="C1342">
        <v>0</v>
      </c>
      <c r="D1342">
        <v>16800</v>
      </c>
      <c r="E1342">
        <v>-0.43</v>
      </c>
      <c r="F1342">
        <v>16.38</v>
      </c>
      <c r="G1342">
        <v>6561</v>
      </c>
      <c r="H1342">
        <v>7092</v>
      </c>
      <c r="I1342">
        <v>7244</v>
      </c>
      <c r="J1342">
        <v>60.95</v>
      </c>
      <c r="K1342">
        <v>57.78</v>
      </c>
      <c r="L1342">
        <v>56.88</v>
      </c>
      <c r="M1342">
        <v>7.02</v>
      </c>
      <c r="N1342" t="b">
        <v>1</v>
      </c>
      <c r="O1342">
        <v>717</v>
      </c>
      <c r="P1342" t="s">
        <v>1349</v>
      </c>
      <c r="Q1342" t="s">
        <v>3352</v>
      </c>
      <c r="R1342">
        <v>-37.75473446753319</v>
      </c>
      <c r="S1342">
        <v>817</v>
      </c>
      <c r="T1342">
        <v>28307</v>
      </c>
      <c r="U1342" t="s">
        <v>5320</v>
      </c>
      <c r="V1342">
        <v>60.8</v>
      </c>
      <c r="W1342" t="s">
        <v>7524</v>
      </c>
      <c r="X1342" t="s">
        <v>9528</v>
      </c>
      <c r="Y1342">
        <v>429</v>
      </c>
      <c r="Z1342">
        <v>35</v>
      </c>
      <c r="AB1342">
        <v>0.68</v>
      </c>
    </row>
    <row r="1343" spans="1:28">
      <c r="A1343" s="2">
        <f>HYPERLINK("https://finance.naver.com/item/coinfo.nhn?code=206650", "A206650")</f>
        <v>0</v>
      </c>
      <c r="B1343">
        <f>HYPERLINK("http://comp.fnguide.com/SVO2/ASP/SVD_Consensus.asp?pGB=1&amp;gicode=A206650&amp;cID=&amp;MenuYn=Y&amp;ReportGB=&amp;NewMenuID=108&amp;stkGb=701", "유바이오로직스")</f>
        <v>0</v>
      </c>
      <c r="C1343">
        <v>0</v>
      </c>
      <c r="D1343">
        <v>21600</v>
      </c>
      <c r="E1343">
        <v>0</v>
      </c>
      <c r="G1343">
        <v>823</v>
      </c>
      <c r="H1343">
        <v>1012</v>
      </c>
      <c r="I1343">
        <v>1066</v>
      </c>
      <c r="J1343">
        <v>96.19</v>
      </c>
      <c r="K1343">
        <v>95.31999999999999</v>
      </c>
      <c r="L1343">
        <v>95.06999999999999</v>
      </c>
      <c r="M1343">
        <v>5.77</v>
      </c>
      <c r="N1343" t="b">
        <v>0</v>
      </c>
      <c r="O1343">
        <v>-32</v>
      </c>
      <c r="P1343" t="s">
        <v>1350</v>
      </c>
      <c r="Q1343" t="s">
        <v>2276</v>
      </c>
      <c r="R1343">
        <v>0</v>
      </c>
      <c r="S1343">
        <v>7531</v>
      </c>
      <c r="T1343">
        <v>793130</v>
      </c>
      <c r="U1343" t="s">
        <v>5321</v>
      </c>
      <c r="V1343">
        <v>10.83</v>
      </c>
      <c r="W1343" t="s">
        <v>7525</v>
      </c>
      <c r="X1343" t="s">
        <v>9529</v>
      </c>
      <c r="Y1343">
        <v>331</v>
      </c>
      <c r="Z1343">
        <v>98</v>
      </c>
    </row>
    <row r="1344" spans="1:28">
      <c r="A1344" s="2">
        <f>HYPERLINK("https://finance.naver.com/item/coinfo.nhn?code=287410", "A287410")</f>
        <v>0</v>
      </c>
      <c r="B1344">
        <f>HYPERLINK("http://comp.fnguide.com/SVO2/ASP/SVD_Consensus.asp?pGB=1&amp;gicode=A287410&amp;cID=&amp;MenuYn=Y&amp;ReportGB=&amp;NewMenuID=108&amp;stkGb=701", "유안타제3호스팩")</f>
        <v>0</v>
      </c>
      <c r="C1344">
        <v>0</v>
      </c>
      <c r="D1344">
        <v>2070</v>
      </c>
      <c r="E1344">
        <v>0</v>
      </c>
      <c r="F1344">
        <v>224.03</v>
      </c>
      <c r="G1344">
        <v>59</v>
      </c>
      <c r="H1344">
        <v>1116</v>
      </c>
      <c r="I1344">
        <v>1417</v>
      </c>
      <c r="J1344">
        <v>97.13</v>
      </c>
      <c r="K1344">
        <v>46.08</v>
      </c>
      <c r="L1344">
        <v>31.53</v>
      </c>
      <c r="M1344">
        <v>0.26</v>
      </c>
      <c r="N1344" t="b">
        <v>0</v>
      </c>
      <c r="O1344">
        <v>9</v>
      </c>
      <c r="P1344" t="s">
        <v>1351</v>
      </c>
      <c r="Q1344" t="s">
        <v>2588</v>
      </c>
      <c r="R1344">
        <v>-10.43613343694285</v>
      </c>
      <c r="S1344">
        <v>88</v>
      </c>
      <c r="T1344">
        <v>0</v>
      </c>
      <c r="U1344" t="s">
        <v>5322</v>
      </c>
      <c r="V1344">
        <v>16.53</v>
      </c>
      <c r="W1344" t="s">
        <v>7526</v>
      </c>
      <c r="X1344" t="s">
        <v>9530</v>
      </c>
      <c r="Y1344">
        <v>0</v>
      </c>
      <c r="Z1344">
        <v>-1</v>
      </c>
    </row>
    <row r="1345" spans="1:28">
      <c r="A1345" s="2">
        <f>HYPERLINK("https://finance.naver.com/item/coinfo.nhn?code=021650", "A021650")</f>
        <v>0</v>
      </c>
      <c r="B1345">
        <f>HYPERLINK("http://comp.fnguide.com/SVO2/ASP/SVD_Consensus.asp?pGB=1&amp;gicode=A021650&amp;cID=&amp;MenuYn=Y&amp;ReportGB=&amp;NewMenuID=108&amp;stkGb=701", "한국큐빅")</f>
        <v>0</v>
      </c>
      <c r="C1345">
        <v>0</v>
      </c>
      <c r="D1345">
        <v>4130</v>
      </c>
      <c r="E1345">
        <v>0.87</v>
      </c>
      <c r="F1345">
        <v>13.31</v>
      </c>
      <c r="G1345">
        <v>1656</v>
      </c>
      <c r="H1345">
        <v>2776</v>
      </c>
      <c r="I1345">
        <v>3095</v>
      </c>
      <c r="J1345">
        <v>59.9</v>
      </c>
      <c r="K1345">
        <v>32.78</v>
      </c>
      <c r="L1345">
        <v>25.06</v>
      </c>
      <c r="M1345">
        <v>3.75</v>
      </c>
      <c r="N1345" t="b">
        <v>1</v>
      </c>
      <c r="O1345">
        <v>205</v>
      </c>
      <c r="P1345" t="s">
        <v>1352</v>
      </c>
      <c r="Q1345" t="s">
        <v>3353</v>
      </c>
      <c r="R1345">
        <v>15.23315490378581</v>
      </c>
      <c r="S1345">
        <v>675</v>
      </c>
      <c r="T1345">
        <v>218462</v>
      </c>
      <c r="U1345" t="s">
        <v>5323</v>
      </c>
      <c r="V1345">
        <v>45.25</v>
      </c>
      <c r="W1345" t="s">
        <v>7527</v>
      </c>
      <c r="X1345" t="s">
        <v>9531</v>
      </c>
      <c r="Y1345">
        <v>1568</v>
      </c>
      <c r="Z1345">
        <v>60</v>
      </c>
      <c r="AA1345">
        <v>100474</v>
      </c>
      <c r="AB1345">
        <v>0.92</v>
      </c>
    </row>
    <row r="1346" spans="1:28">
      <c r="A1346" s="2">
        <f>HYPERLINK("https://finance.naver.com/item/coinfo.nhn?code=069330", "A069330")</f>
        <v>0</v>
      </c>
      <c r="B1346">
        <f>HYPERLINK("http://comp.fnguide.com/SVO2/ASP/SVD_Consensus.asp?pGB=1&amp;gicode=A069330&amp;cID=&amp;MenuYn=Y&amp;ReportGB=&amp;NewMenuID=108&amp;stkGb=701", "유아이디")</f>
        <v>0</v>
      </c>
      <c r="C1346">
        <v>0</v>
      </c>
      <c r="D1346">
        <v>1055</v>
      </c>
      <c r="E1346">
        <v>0</v>
      </c>
      <c r="G1346">
        <v>0</v>
      </c>
      <c r="H1346">
        <v>779</v>
      </c>
      <c r="I1346">
        <v>1001</v>
      </c>
      <c r="J1346">
        <v>100</v>
      </c>
      <c r="K1346">
        <v>26.18</v>
      </c>
      <c r="L1346">
        <v>5.15</v>
      </c>
      <c r="M1346">
        <v>0</v>
      </c>
      <c r="N1346" t="b">
        <v>0</v>
      </c>
      <c r="O1346">
        <v>-1126</v>
      </c>
      <c r="P1346" t="s">
        <v>1353</v>
      </c>
      <c r="Q1346" t="s">
        <v>2276</v>
      </c>
      <c r="R1346">
        <v>0</v>
      </c>
      <c r="S1346">
        <v>125</v>
      </c>
      <c r="T1346">
        <v>0</v>
      </c>
      <c r="U1346" t="s">
        <v>5324</v>
      </c>
      <c r="V1346">
        <v>41.18</v>
      </c>
      <c r="W1346" t="s">
        <v>7528</v>
      </c>
      <c r="X1346" t="s">
        <v>968</v>
      </c>
      <c r="Y1346">
        <v>258</v>
      </c>
      <c r="Z1346">
        <v>-54</v>
      </c>
      <c r="AA1346">
        <v>83800</v>
      </c>
    </row>
    <row r="1347" spans="1:28">
      <c r="A1347" s="2">
        <f>HYPERLINK("https://finance.naver.com/item/coinfo.nhn?code=053590", "A053590")</f>
        <v>0</v>
      </c>
      <c r="B1347">
        <f>HYPERLINK("http://comp.fnguide.com/SVO2/ASP/SVD_Consensus.asp?pGB=1&amp;gicode=A053590&amp;cID=&amp;MenuYn=Y&amp;ReportGB=&amp;NewMenuID=108&amp;stkGb=701", "한국테크놀로지")</f>
        <v>0</v>
      </c>
      <c r="C1347">
        <v>0</v>
      </c>
      <c r="D1347">
        <v>1260</v>
      </c>
      <c r="E1347">
        <v>0</v>
      </c>
      <c r="G1347">
        <v>0</v>
      </c>
      <c r="H1347">
        <v>145</v>
      </c>
      <c r="I1347">
        <v>186</v>
      </c>
      <c r="J1347">
        <v>100</v>
      </c>
      <c r="K1347">
        <v>88.48999999999999</v>
      </c>
      <c r="L1347">
        <v>85.2</v>
      </c>
      <c r="M1347">
        <v>0</v>
      </c>
      <c r="N1347" t="b">
        <v>0</v>
      </c>
      <c r="O1347">
        <v>-163</v>
      </c>
      <c r="P1347" t="s">
        <v>1354</v>
      </c>
      <c r="Q1347" t="s">
        <v>2276</v>
      </c>
      <c r="R1347">
        <v>0</v>
      </c>
      <c r="S1347">
        <v>1336</v>
      </c>
      <c r="T1347">
        <v>2304452</v>
      </c>
      <c r="U1347" t="s">
        <v>5325</v>
      </c>
      <c r="V1347">
        <v>8.25</v>
      </c>
      <c r="W1347" t="s">
        <v>7529</v>
      </c>
      <c r="X1347" t="s">
        <v>968</v>
      </c>
      <c r="Y1347">
        <v>2162</v>
      </c>
      <c r="Z1347">
        <v>-42</v>
      </c>
      <c r="AA1347">
        <v>859</v>
      </c>
    </row>
    <row r="1348" spans="1:28">
      <c r="A1348" s="2">
        <f>HYPERLINK("https://finance.naver.com/item/coinfo.nhn?code=032300", "A032300")</f>
        <v>0</v>
      </c>
      <c r="B1348">
        <f>HYPERLINK("http://comp.fnguide.com/SVO2/ASP/SVD_Consensus.asp?pGB=1&amp;gicode=A032300&amp;cID=&amp;MenuYn=Y&amp;ReportGB=&amp;NewMenuID=108&amp;stkGb=701", "한국파마")</f>
        <v>0</v>
      </c>
      <c r="C1348">
        <v>0</v>
      </c>
      <c r="D1348">
        <v>21000</v>
      </c>
      <c r="G1348">
        <v>6173</v>
      </c>
      <c r="H1348">
        <v>3929</v>
      </c>
      <c r="I1348">
        <v>3290</v>
      </c>
      <c r="J1348">
        <v>70.61</v>
      </c>
      <c r="K1348">
        <v>81.29000000000001</v>
      </c>
      <c r="L1348">
        <v>84.33</v>
      </c>
      <c r="M1348">
        <v>20.17</v>
      </c>
      <c r="N1348" t="b">
        <v>0</v>
      </c>
      <c r="O1348">
        <v>629</v>
      </c>
      <c r="P1348" t="s">
        <v>1355</v>
      </c>
      <c r="Q1348" t="s">
        <v>3354</v>
      </c>
      <c r="R1348">
        <v>0.6569612345892262</v>
      </c>
      <c r="S1348">
        <v>2290</v>
      </c>
      <c r="T1348">
        <v>167439</v>
      </c>
      <c r="U1348" t="s">
        <v>5326</v>
      </c>
      <c r="V1348">
        <v>66.23</v>
      </c>
      <c r="W1348" t="s">
        <v>7530</v>
      </c>
      <c r="X1348" t="s">
        <v>968</v>
      </c>
      <c r="Y1348">
        <v>661</v>
      </c>
      <c r="Z1348">
        <v>72</v>
      </c>
    </row>
    <row r="1349" spans="1:28">
      <c r="A1349" s="2">
        <f>HYPERLINK("https://finance.naver.com/item/coinfo.nhn?code=078070", "A078070")</f>
        <v>0</v>
      </c>
      <c r="B1349">
        <f>HYPERLINK("http://comp.fnguide.com/SVO2/ASP/SVD_Consensus.asp?pGB=1&amp;gicode=A078070&amp;cID=&amp;MenuYn=Y&amp;ReportGB=&amp;NewMenuID=108&amp;stkGb=701", "유비쿼스홀딩스")</f>
        <v>0</v>
      </c>
      <c r="C1349">
        <v>0</v>
      </c>
      <c r="D1349">
        <v>28250</v>
      </c>
      <c r="E1349">
        <v>-4.04</v>
      </c>
      <c r="F1349">
        <v>53.82</v>
      </c>
      <c r="G1349">
        <v>18418</v>
      </c>
      <c r="H1349">
        <v>14640</v>
      </c>
      <c r="I1349">
        <v>13563</v>
      </c>
      <c r="J1349">
        <v>34.8</v>
      </c>
      <c r="K1349">
        <v>48.18</v>
      </c>
      <c r="L1349">
        <v>51.99</v>
      </c>
      <c r="M1349">
        <v>12.1</v>
      </c>
      <c r="N1349" t="b">
        <v>1</v>
      </c>
      <c r="O1349">
        <v>374</v>
      </c>
      <c r="P1349" t="s">
        <v>1356</v>
      </c>
      <c r="Q1349" t="s">
        <v>3355</v>
      </c>
      <c r="R1349">
        <v>-13.33718359709027</v>
      </c>
      <c r="S1349">
        <v>5282</v>
      </c>
      <c r="T1349">
        <v>42893</v>
      </c>
      <c r="U1349" t="s">
        <v>5327</v>
      </c>
      <c r="V1349">
        <v>50.09</v>
      </c>
      <c r="W1349" t="s">
        <v>7531</v>
      </c>
      <c r="X1349" t="s">
        <v>9532</v>
      </c>
      <c r="Y1349">
        <v>1125</v>
      </c>
      <c r="Z1349">
        <v>137</v>
      </c>
      <c r="AA1349">
        <v>2183714</v>
      </c>
      <c r="AB1349">
        <v>0.65</v>
      </c>
    </row>
    <row r="1350" spans="1:28">
      <c r="A1350" s="2">
        <f>HYPERLINK("https://finance.naver.com/item/coinfo.nhn?code=032620", "A032620")</f>
        <v>0</v>
      </c>
      <c r="B1350">
        <f>HYPERLINK("http://comp.fnguide.com/SVO2/ASP/SVD_Consensus.asp?pGB=1&amp;gicode=A032620&amp;cID=&amp;MenuYn=Y&amp;ReportGB=&amp;NewMenuID=108&amp;stkGb=701", "유비케어")</f>
        <v>0</v>
      </c>
      <c r="C1350">
        <v>0</v>
      </c>
      <c r="D1350">
        <v>10650</v>
      </c>
      <c r="E1350">
        <v>36.41</v>
      </c>
      <c r="F1350">
        <v>44.08</v>
      </c>
      <c r="G1350">
        <v>1826</v>
      </c>
      <c r="H1350">
        <v>1944</v>
      </c>
      <c r="I1350">
        <v>1977</v>
      </c>
      <c r="J1350">
        <v>82.84999999999999</v>
      </c>
      <c r="K1350">
        <v>81.75</v>
      </c>
      <c r="L1350">
        <v>81.43000000000001</v>
      </c>
      <c r="M1350">
        <v>7.2</v>
      </c>
      <c r="N1350" t="b">
        <v>0</v>
      </c>
      <c r="O1350">
        <v>130</v>
      </c>
      <c r="P1350" t="s">
        <v>1357</v>
      </c>
      <c r="Q1350" t="s">
        <v>3356</v>
      </c>
      <c r="R1350">
        <v>1.21055511842163</v>
      </c>
      <c r="S1350">
        <v>5559</v>
      </c>
      <c r="T1350">
        <v>2158766</v>
      </c>
      <c r="U1350" t="s">
        <v>5328</v>
      </c>
      <c r="V1350">
        <v>52.66</v>
      </c>
      <c r="W1350" t="s">
        <v>7532</v>
      </c>
      <c r="X1350" t="s">
        <v>9533</v>
      </c>
      <c r="Y1350">
        <v>1109</v>
      </c>
      <c r="Z1350">
        <v>124</v>
      </c>
      <c r="AA1350">
        <v>1454497</v>
      </c>
      <c r="AB1350">
        <v>0.7</v>
      </c>
    </row>
    <row r="1351" spans="1:28">
      <c r="A1351" s="2">
        <f>HYPERLINK("https://finance.naver.com/item/coinfo.nhn?code=037230", "A037230")</f>
        <v>0</v>
      </c>
      <c r="B1351">
        <f>HYPERLINK("http://comp.fnguide.com/SVO2/ASP/SVD_Consensus.asp?pGB=1&amp;gicode=A037230&amp;cID=&amp;MenuYn=Y&amp;ReportGB=&amp;NewMenuID=108&amp;stkGb=701", "한국팩키지")</f>
        <v>0</v>
      </c>
      <c r="C1351">
        <v>0</v>
      </c>
      <c r="D1351">
        <v>6240</v>
      </c>
      <c r="E1351">
        <v>1.07</v>
      </c>
      <c r="F1351">
        <v>29.94</v>
      </c>
      <c r="G1351">
        <v>949</v>
      </c>
      <c r="H1351">
        <v>1336</v>
      </c>
      <c r="I1351">
        <v>1446</v>
      </c>
      <c r="J1351">
        <v>84.78</v>
      </c>
      <c r="K1351">
        <v>78.59999999999999</v>
      </c>
      <c r="L1351">
        <v>76.83</v>
      </c>
      <c r="M1351">
        <v>4.75</v>
      </c>
      <c r="N1351" t="b">
        <v>1</v>
      </c>
      <c r="O1351">
        <v>72</v>
      </c>
      <c r="P1351" t="s">
        <v>1358</v>
      </c>
      <c r="Q1351" t="s">
        <v>3357</v>
      </c>
      <c r="R1351">
        <v>27.94947953008695</v>
      </c>
      <c r="S1351">
        <v>1560</v>
      </c>
      <c r="T1351">
        <v>20200526</v>
      </c>
      <c r="U1351" t="s">
        <v>5329</v>
      </c>
      <c r="V1351">
        <v>64</v>
      </c>
      <c r="W1351" t="s">
        <v>7533</v>
      </c>
      <c r="X1351" t="s">
        <v>9534</v>
      </c>
      <c r="Y1351">
        <v>584</v>
      </c>
      <c r="Z1351">
        <v>26</v>
      </c>
      <c r="AB1351">
        <v>1.62</v>
      </c>
    </row>
    <row r="1352" spans="1:28">
      <c r="A1352" s="2">
        <f>HYPERLINK("https://finance.naver.com/item/coinfo.nhn?code=048430", "A048430")</f>
        <v>0</v>
      </c>
      <c r="B1352">
        <f>HYPERLINK("http://comp.fnguide.com/SVO2/ASP/SVD_Consensus.asp?pGB=1&amp;gicode=A048430&amp;cID=&amp;MenuYn=Y&amp;ReportGB=&amp;NewMenuID=108&amp;stkGb=701", "유라테크")</f>
        <v>0</v>
      </c>
      <c r="C1352">
        <v>0</v>
      </c>
      <c r="D1352">
        <v>14050</v>
      </c>
      <c r="E1352">
        <v>-3.48</v>
      </c>
      <c r="F1352">
        <v>29.63</v>
      </c>
      <c r="G1352">
        <v>3597</v>
      </c>
      <c r="H1352">
        <v>7086</v>
      </c>
      <c r="I1352">
        <v>8080</v>
      </c>
      <c r="J1352">
        <v>74.40000000000001</v>
      </c>
      <c r="K1352">
        <v>49.57</v>
      </c>
      <c r="L1352">
        <v>42.49</v>
      </c>
      <c r="M1352">
        <v>3.05</v>
      </c>
      <c r="N1352" t="b">
        <v>1</v>
      </c>
      <c r="O1352">
        <v>201</v>
      </c>
      <c r="P1352" t="s">
        <v>1359</v>
      </c>
      <c r="Q1352" t="s">
        <v>3358</v>
      </c>
      <c r="R1352">
        <v>-8.502674796693732</v>
      </c>
      <c r="S1352">
        <v>1619</v>
      </c>
      <c r="T1352">
        <v>436782</v>
      </c>
      <c r="U1352" t="s">
        <v>5330</v>
      </c>
      <c r="V1352">
        <v>69.69</v>
      </c>
      <c r="W1352" t="s">
        <v>7534</v>
      </c>
      <c r="X1352" t="s">
        <v>9535</v>
      </c>
      <c r="Y1352">
        <v>2035</v>
      </c>
      <c r="Z1352">
        <v>22</v>
      </c>
      <c r="AA1352">
        <v>67048</v>
      </c>
      <c r="AB1352">
        <v>1.68</v>
      </c>
    </row>
    <row r="1353" spans="1:28">
      <c r="A1353" s="2">
        <f>HYPERLINK("https://finance.naver.com/item/coinfo.nhn?code=047080", "A047080")</f>
        <v>0</v>
      </c>
      <c r="B1353">
        <f>HYPERLINK("http://comp.fnguide.com/SVO2/ASP/SVD_Consensus.asp?pGB=1&amp;gicode=A047080&amp;cID=&amp;MenuYn=Y&amp;ReportGB=&amp;NewMenuID=108&amp;stkGb=701", "한빛소프트")</f>
        <v>0</v>
      </c>
      <c r="C1353">
        <v>0</v>
      </c>
      <c r="D1353">
        <v>3630</v>
      </c>
      <c r="E1353">
        <v>0.13</v>
      </c>
      <c r="F1353">
        <v>35.15</v>
      </c>
      <c r="G1353">
        <v>739</v>
      </c>
      <c r="H1353">
        <v>656</v>
      </c>
      <c r="I1353">
        <v>633</v>
      </c>
      <c r="J1353">
        <v>79.64</v>
      </c>
      <c r="K1353">
        <v>81.92</v>
      </c>
      <c r="L1353">
        <v>82.56999999999999</v>
      </c>
      <c r="M1353">
        <v>9.800000000000001</v>
      </c>
      <c r="N1353" t="b">
        <v>1</v>
      </c>
      <c r="O1353">
        <v>97</v>
      </c>
      <c r="P1353" t="s">
        <v>1360</v>
      </c>
      <c r="Q1353" t="s">
        <v>3359</v>
      </c>
      <c r="R1353">
        <v>261.1</v>
      </c>
      <c r="S1353">
        <v>900</v>
      </c>
      <c r="T1353">
        <v>180554</v>
      </c>
      <c r="U1353" t="s">
        <v>5331</v>
      </c>
      <c r="V1353">
        <v>42.75</v>
      </c>
      <c r="W1353" t="s">
        <v>7535</v>
      </c>
      <c r="X1353" t="s">
        <v>9536</v>
      </c>
      <c r="Y1353">
        <v>435</v>
      </c>
      <c r="Z1353">
        <v>-3</v>
      </c>
    </row>
    <row r="1354" spans="1:28">
      <c r="A1354" s="2">
        <f>HYPERLINK("https://finance.naver.com/item/coinfo.nhn?code=030520", "A030520")</f>
        <v>0</v>
      </c>
      <c r="B1354">
        <f>HYPERLINK("http://comp.fnguide.com/SVO2/ASP/SVD_Consensus.asp?pGB=1&amp;gicode=A030520&amp;cID=&amp;MenuYn=Y&amp;ReportGB=&amp;NewMenuID=108&amp;stkGb=701", "한글과컴퓨터")</f>
        <v>0</v>
      </c>
      <c r="C1354">
        <v>0</v>
      </c>
      <c r="D1354">
        <v>17550</v>
      </c>
      <c r="E1354">
        <v>1.38</v>
      </c>
      <c r="F1354">
        <v>12.69</v>
      </c>
      <c r="G1354">
        <v>9520</v>
      </c>
      <c r="H1354">
        <v>9861</v>
      </c>
      <c r="I1354">
        <v>9958</v>
      </c>
      <c r="J1354">
        <v>45.75</v>
      </c>
      <c r="K1354">
        <v>43.81</v>
      </c>
      <c r="L1354">
        <v>43.26</v>
      </c>
      <c r="M1354">
        <v>7.52</v>
      </c>
      <c r="N1354" t="b">
        <v>1</v>
      </c>
      <c r="O1354">
        <v>788</v>
      </c>
      <c r="P1354" t="s">
        <v>1361</v>
      </c>
      <c r="Q1354" t="s">
        <v>3360</v>
      </c>
      <c r="R1354">
        <v>9.164792219360374</v>
      </c>
      <c r="S1354">
        <v>4313</v>
      </c>
      <c r="T1354">
        <v>201814</v>
      </c>
      <c r="U1354" t="s">
        <v>5332</v>
      </c>
      <c r="V1354">
        <v>31.36</v>
      </c>
      <c r="W1354" t="s">
        <v>7536</v>
      </c>
      <c r="X1354" t="s">
        <v>9537</v>
      </c>
      <c r="Y1354">
        <v>3193</v>
      </c>
      <c r="Z1354">
        <v>332</v>
      </c>
      <c r="AA1354">
        <v>1239780</v>
      </c>
    </row>
    <row r="1355" spans="1:28">
      <c r="A1355" s="2">
        <f>HYPERLINK("https://finance.naver.com/item/coinfo.nhn?code=052600", "A052600")</f>
        <v>0</v>
      </c>
      <c r="B1355">
        <f>HYPERLINK("http://comp.fnguide.com/SVO2/ASP/SVD_Consensus.asp?pGB=1&amp;gicode=A052600&amp;cID=&amp;MenuYn=Y&amp;ReportGB=&amp;NewMenuID=108&amp;stkGb=701", "한네트")</f>
        <v>0</v>
      </c>
      <c r="C1355">
        <v>0</v>
      </c>
      <c r="D1355">
        <v>7340</v>
      </c>
      <c r="E1355">
        <v>-4.12</v>
      </c>
      <c r="F1355">
        <v>31.6</v>
      </c>
      <c r="G1355">
        <v>1230</v>
      </c>
      <c r="H1355">
        <v>2315</v>
      </c>
      <c r="I1355">
        <v>2624</v>
      </c>
      <c r="J1355">
        <v>83.25</v>
      </c>
      <c r="K1355">
        <v>68.47</v>
      </c>
      <c r="L1355">
        <v>64.25</v>
      </c>
      <c r="M1355">
        <v>3.23</v>
      </c>
      <c r="N1355" t="b">
        <v>0</v>
      </c>
      <c r="O1355">
        <v>98</v>
      </c>
      <c r="P1355" t="s">
        <v>1362</v>
      </c>
      <c r="Q1355" t="s">
        <v>3361</v>
      </c>
      <c r="R1355">
        <v>-7.678367045174528</v>
      </c>
      <c r="S1355">
        <v>849</v>
      </c>
      <c r="T1355">
        <v>493477</v>
      </c>
      <c r="U1355" t="s">
        <v>5333</v>
      </c>
      <c r="V1355">
        <v>45.09</v>
      </c>
      <c r="W1355" t="s">
        <v>7537</v>
      </c>
      <c r="X1355" t="s">
        <v>9538</v>
      </c>
      <c r="Y1355">
        <v>259</v>
      </c>
      <c r="Z1355">
        <v>19</v>
      </c>
      <c r="AB1355">
        <v>3.23</v>
      </c>
    </row>
    <row r="1356" spans="1:28">
      <c r="A1356" s="2">
        <f>HYPERLINK("https://finance.naver.com/item/coinfo.nhn?code=142210", "A142210")</f>
        <v>0</v>
      </c>
      <c r="B1356">
        <f>HYPERLINK("http://comp.fnguide.com/SVO2/ASP/SVD_Consensus.asp?pGB=1&amp;gicode=A142210&amp;cID=&amp;MenuYn=Y&amp;ReportGB=&amp;NewMenuID=108&amp;stkGb=701", "유니트론텍")</f>
        <v>0</v>
      </c>
      <c r="C1356">
        <v>0</v>
      </c>
      <c r="D1356">
        <v>6280</v>
      </c>
      <c r="E1356">
        <v>-2.02</v>
      </c>
      <c r="F1356">
        <v>24.85</v>
      </c>
      <c r="G1356">
        <v>5116</v>
      </c>
      <c r="H1356">
        <v>4239</v>
      </c>
      <c r="I1356">
        <v>3989</v>
      </c>
      <c r="J1356">
        <v>18.54</v>
      </c>
      <c r="K1356">
        <v>32.5</v>
      </c>
      <c r="L1356">
        <v>36.48</v>
      </c>
      <c r="M1356">
        <v>11.15</v>
      </c>
      <c r="N1356" t="b">
        <v>1</v>
      </c>
      <c r="O1356">
        <v>272</v>
      </c>
      <c r="P1356" t="s">
        <v>1363</v>
      </c>
      <c r="Q1356" t="s">
        <v>3362</v>
      </c>
      <c r="R1356">
        <v>-12.2832280361584</v>
      </c>
      <c r="S1356">
        <v>758</v>
      </c>
      <c r="T1356">
        <v>178769</v>
      </c>
      <c r="U1356" t="s">
        <v>5334</v>
      </c>
      <c r="V1356">
        <v>25.92</v>
      </c>
      <c r="W1356" t="s">
        <v>7538</v>
      </c>
      <c r="X1356" t="s">
        <v>9539</v>
      </c>
      <c r="Y1356">
        <v>2836</v>
      </c>
      <c r="Z1356">
        <v>102</v>
      </c>
      <c r="AA1356">
        <v>345839</v>
      </c>
      <c r="AB1356">
        <v>1.48</v>
      </c>
    </row>
    <row r="1357" spans="1:28">
      <c r="A1357" s="2">
        <f>HYPERLINK("https://finance.naver.com/item/coinfo.nhn?code=241690", "A241690")</f>
        <v>0</v>
      </c>
      <c r="B1357">
        <f>HYPERLINK("http://comp.fnguide.com/SVO2/ASP/SVD_Consensus.asp?pGB=1&amp;gicode=A241690&amp;cID=&amp;MenuYn=Y&amp;ReportGB=&amp;NewMenuID=108&amp;stkGb=701", "유니테크노")</f>
        <v>0</v>
      </c>
      <c r="C1357">
        <v>0</v>
      </c>
      <c r="D1357">
        <v>11150</v>
      </c>
      <c r="E1357">
        <v>-10</v>
      </c>
      <c r="F1357">
        <v>17.94</v>
      </c>
      <c r="G1357">
        <v>6669</v>
      </c>
      <c r="H1357">
        <v>6032</v>
      </c>
      <c r="I1357">
        <v>5851</v>
      </c>
      <c r="J1357">
        <v>40.19</v>
      </c>
      <c r="K1357">
        <v>45.9</v>
      </c>
      <c r="L1357">
        <v>47.53</v>
      </c>
      <c r="M1357">
        <v>9.48</v>
      </c>
      <c r="N1357" t="b">
        <v>1</v>
      </c>
      <c r="O1357">
        <v>468</v>
      </c>
      <c r="P1357" t="s">
        <v>1364</v>
      </c>
      <c r="Q1357" t="s">
        <v>3363</v>
      </c>
      <c r="R1357">
        <v>-1.79388427767897</v>
      </c>
      <c r="S1357">
        <v>1330</v>
      </c>
      <c r="T1357">
        <v>140343</v>
      </c>
      <c r="U1357" t="s">
        <v>5335</v>
      </c>
      <c r="V1357">
        <v>65.78</v>
      </c>
      <c r="W1357" t="s">
        <v>7539</v>
      </c>
      <c r="X1357" t="s">
        <v>9540</v>
      </c>
      <c r="Y1357">
        <v>821</v>
      </c>
      <c r="Z1357">
        <v>60</v>
      </c>
      <c r="AA1357">
        <v>249450</v>
      </c>
    </row>
    <row r="1358" spans="1:28">
      <c r="A1358" s="2">
        <f>HYPERLINK("https://finance.naver.com/item/coinfo.nhn?code=011320", "A011320")</f>
        <v>0</v>
      </c>
      <c r="B1358">
        <f>HYPERLINK("http://comp.fnguide.com/SVO2/ASP/SVD_Consensus.asp?pGB=1&amp;gicode=A011320&amp;cID=&amp;MenuYn=Y&amp;ReportGB=&amp;NewMenuID=108&amp;stkGb=701", "유니크")</f>
        <v>0</v>
      </c>
      <c r="C1358">
        <v>0</v>
      </c>
      <c r="D1358">
        <v>8710</v>
      </c>
      <c r="E1358">
        <v>-2.26</v>
      </c>
      <c r="F1358">
        <v>28.51</v>
      </c>
      <c r="G1358">
        <v>2396</v>
      </c>
      <c r="H1358">
        <v>4072</v>
      </c>
      <c r="I1358">
        <v>4550</v>
      </c>
      <c r="J1358">
        <v>72.48999999999999</v>
      </c>
      <c r="K1358">
        <v>53.25</v>
      </c>
      <c r="L1358">
        <v>47.76</v>
      </c>
      <c r="M1358">
        <v>3.68</v>
      </c>
      <c r="N1358" t="b">
        <v>1</v>
      </c>
      <c r="O1358">
        <v>216</v>
      </c>
      <c r="P1358" t="s">
        <v>1365</v>
      </c>
      <c r="Q1358" t="s">
        <v>3364</v>
      </c>
      <c r="R1358">
        <v>-12.61150828023369</v>
      </c>
      <c r="S1358">
        <v>1683</v>
      </c>
      <c r="T1358">
        <v>920180</v>
      </c>
      <c r="U1358" t="s">
        <v>5336</v>
      </c>
      <c r="V1358">
        <v>36.48</v>
      </c>
      <c r="W1358" t="s">
        <v>7540</v>
      </c>
      <c r="X1358" t="s">
        <v>9541</v>
      </c>
      <c r="Y1358">
        <v>2249</v>
      </c>
      <c r="Z1358">
        <v>31</v>
      </c>
      <c r="AB1358">
        <v>0.2</v>
      </c>
    </row>
    <row r="1359" spans="1:28">
      <c r="A1359" s="2">
        <f>HYPERLINK("https://finance.naver.com/item/coinfo.nhn?code=203450", "A203450")</f>
        <v>0</v>
      </c>
      <c r="B1359">
        <f>HYPERLINK("http://comp.fnguide.com/SVO2/ASP/SVD_Consensus.asp?pGB=1&amp;gicode=A203450&amp;cID=&amp;MenuYn=Y&amp;ReportGB=&amp;NewMenuID=108&amp;stkGb=701", "유니온커뮤니티")</f>
        <v>0</v>
      </c>
      <c r="C1359">
        <v>0</v>
      </c>
      <c r="D1359">
        <v>3860</v>
      </c>
      <c r="E1359">
        <v>-2.41</v>
      </c>
      <c r="F1359">
        <v>9.970000000000001</v>
      </c>
      <c r="G1359">
        <v>3481</v>
      </c>
      <c r="H1359">
        <v>2938</v>
      </c>
      <c r="I1359">
        <v>2783</v>
      </c>
      <c r="J1359">
        <v>9.83</v>
      </c>
      <c r="K1359">
        <v>23.89</v>
      </c>
      <c r="L1359">
        <v>27.89</v>
      </c>
      <c r="M1359">
        <v>10.76</v>
      </c>
      <c r="N1359" t="b">
        <v>1</v>
      </c>
      <c r="O1359">
        <v>279</v>
      </c>
      <c r="P1359" t="s">
        <v>1366</v>
      </c>
      <c r="Q1359" t="s">
        <v>3365</v>
      </c>
      <c r="R1359">
        <v>-4.136676178537845</v>
      </c>
      <c r="S1359">
        <v>567</v>
      </c>
      <c r="T1359">
        <v>923203</v>
      </c>
      <c r="U1359" t="s">
        <v>5337</v>
      </c>
      <c r="V1359">
        <v>23.33</v>
      </c>
      <c r="W1359" t="s">
        <v>7541</v>
      </c>
      <c r="X1359" t="s">
        <v>9542</v>
      </c>
      <c r="Y1359">
        <v>410</v>
      </c>
      <c r="Z1359">
        <v>35</v>
      </c>
      <c r="AA1359">
        <v>1254349</v>
      </c>
      <c r="AB1359">
        <v>2.52</v>
      </c>
    </row>
    <row r="1360" spans="1:28">
      <c r="A1360" s="2">
        <f>HYPERLINK("https://finance.naver.com/item/coinfo.nhn?code=018000", "A018000")</f>
        <v>0</v>
      </c>
      <c r="B1360">
        <f>HYPERLINK("http://comp.fnguide.com/SVO2/ASP/SVD_Consensus.asp?pGB=1&amp;gicode=A018000&amp;cID=&amp;MenuYn=Y&amp;ReportGB=&amp;NewMenuID=108&amp;stkGb=701", "유니슨")</f>
        <v>0</v>
      </c>
      <c r="C1360">
        <v>0</v>
      </c>
      <c r="D1360">
        <v>5200</v>
      </c>
      <c r="E1360">
        <v>0</v>
      </c>
      <c r="G1360">
        <v>40</v>
      </c>
      <c r="H1360">
        <v>369</v>
      </c>
      <c r="I1360">
        <v>463</v>
      </c>
      <c r="J1360">
        <v>99.22</v>
      </c>
      <c r="K1360">
        <v>92.90000000000001</v>
      </c>
      <c r="L1360">
        <v>91.09</v>
      </c>
      <c r="M1360">
        <v>0.55</v>
      </c>
      <c r="N1360" t="b">
        <v>0</v>
      </c>
      <c r="O1360">
        <v>-42</v>
      </c>
      <c r="P1360" t="s">
        <v>1367</v>
      </c>
      <c r="Q1360" t="s">
        <v>2276</v>
      </c>
      <c r="R1360">
        <v>0</v>
      </c>
      <c r="S1360">
        <v>6297</v>
      </c>
      <c r="T1360">
        <v>3220482</v>
      </c>
      <c r="U1360" t="s">
        <v>5338</v>
      </c>
      <c r="V1360">
        <v>12.81</v>
      </c>
      <c r="W1360" t="s">
        <v>7542</v>
      </c>
      <c r="X1360" t="s">
        <v>9543</v>
      </c>
      <c r="Y1360">
        <v>759</v>
      </c>
      <c r="Z1360">
        <v>-138</v>
      </c>
    </row>
    <row r="1361" spans="1:28">
      <c r="A1361" s="2">
        <f>HYPERLINK("https://finance.naver.com/item/coinfo.nhn?code=039670", "A039670")</f>
        <v>0</v>
      </c>
      <c r="B1361">
        <f>HYPERLINK("http://comp.fnguide.com/SVO2/ASP/SVD_Consensus.asp?pGB=1&amp;gicode=A039670&amp;cID=&amp;MenuYn=Y&amp;ReportGB=&amp;NewMenuID=108&amp;stkGb=701", "한류타임즈")</f>
        <v>0</v>
      </c>
      <c r="C1361">
        <v>0</v>
      </c>
      <c r="D1361">
        <v>3680</v>
      </c>
      <c r="E1361">
        <v>0</v>
      </c>
      <c r="G1361">
        <v>0</v>
      </c>
      <c r="H1361">
        <v>-207.7974642212148</v>
      </c>
      <c r="I1361">
        <v>-267.0089690422045</v>
      </c>
      <c r="J1361">
        <v>100</v>
      </c>
      <c r="K1361">
        <v>105.65</v>
      </c>
      <c r="L1361">
        <v>107.26</v>
      </c>
      <c r="M1361">
        <v>0</v>
      </c>
      <c r="N1361" t="b">
        <v>0</v>
      </c>
      <c r="O1361">
        <v>-7081</v>
      </c>
      <c r="P1361" t="s">
        <v>1368</v>
      </c>
      <c r="Q1361" t="s">
        <v>2276</v>
      </c>
      <c r="R1361">
        <v>0</v>
      </c>
      <c r="S1361">
        <v>678</v>
      </c>
      <c r="T1361">
        <v>0</v>
      </c>
      <c r="U1361" t="s">
        <v>5339</v>
      </c>
      <c r="V1361">
        <v>70.58</v>
      </c>
      <c r="W1361" t="s">
        <v>7543</v>
      </c>
      <c r="X1361" t="s">
        <v>968</v>
      </c>
      <c r="Y1361">
        <v>124</v>
      </c>
      <c r="Z1361">
        <v>-59</v>
      </c>
      <c r="AA1361">
        <v>206107</v>
      </c>
    </row>
    <row r="1362" spans="1:28">
      <c r="A1362" s="2">
        <f>HYPERLINK("https://finance.naver.com/item/coinfo.nhn?code=090850", "A090850")</f>
        <v>0</v>
      </c>
      <c r="B1362">
        <f>HYPERLINK("http://comp.fnguide.com/SVO2/ASP/SVD_Consensus.asp?pGB=1&amp;gicode=A090850&amp;cID=&amp;MenuYn=Y&amp;ReportGB=&amp;NewMenuID=108&amp;stkGb=701", "이지웰")</f>
        <v>0</v>
      </c>
      <c r="C1362">
        <v>0</v>
      </c>
      <c r="D1362">
        <v>11150</v>
      </c>
      <c r="E1362">
        <v>0.58</v>
      </c>
      <c r="F1362">
        <v>24.31</v>
      </c>
      <c r="G1362">
        <v>2263</v>
      </c>
      <c r="H1362">
        <v>1822</v>
      </c>
      <c r="I1362">
        <v>1696</v>
      </c>
      <c r="J1362">
        <v>79.7</v>
      </c>
      <c r="K1362">
        <v>83.66</v>
      </c>
      <c r="L1362">
        <v>84.79000000000001</v>
      </c>
      <c r="M1362">
        <v>11.8</v>
      </c>
      <c r="N1362" t="b">
        <v>0</v>
      </c>
      <c r="O1362">
        <v>226</v>
      </c>
      <c r="P1362" t="s">
        <v>1369</v>
      </c>
      <c r="Q1362" t="s">
        <v>3366</v>
      </c>
      <c r="R1362">
        <v>42.00366716708083</v>
      </c>
      <c r="S1362">
        <v>2648</v>
      </c>
      <c r="T1362">
        <v>436957</v>
      </c>
      <c r="U1362" t="s">
        <v>5340</v>
      </c>
      <c r="V1362">
        <v>26.91</v>
      </c>
      <c r="W1362" t="s">
        <v>7544</v>
      </c>
      <c r="X1362" t="s">
        <v>9544</v>
      </c>
      <c r="Y1362">
        <v>823</v>
      </c>
      <c r="Z1362">
        <v>94</v>
      </c>
      <c r="AB1362">
        <v>0.82</v>
      </c>
    </row>
    <row r="1363" spans="1:28">
      <c r="A1363" s="2">
        <f>HYPERLINK("https://finance.naver.com/item/coinfo.nhn?code=099750", "A099750")</f>
        <v>0</v>
      </c>
      <c r="B1363">
        <f>HYPERLINK("http://comp.fnguide.com/SVO2/ASP/SVD_Consensus.asp?pGB=1&amp;gicode=A099750&amp;cID=&amp;MenuYn=Y&amp;ReportGB=&amp;NewMenuID=108&amp;stkGb=701", "이지케어텍")</f>
        <v>0</v>
      </c>
      <c r="C1363">
        <v>0</v>
      </c>
      <c r="D1363">
        <v>19600</v>
      </c>
      <c r="G1363">
        <v>4724</v>
      </c>
      <c r="H1363">
        <v>5881</v>
      </c>
      <c r="I1363">
        <v>6211</v>
      </c>
      <c r="J1363">
        <v>75.90000000000001</v>
      </c>
      <c r="K1363">
        <v>70</v>
      </c>
      <c r="L1363">
        <v>68.31</v>
      </c>
      <c r="M1363">
        <v>5.66</v>
      </c>
      <c r="N1363" t="b">
        <v>0</v>
      </c>
      <c r="O1363">
        <v>-155</v>
      </c>
      <c r="P1363" t="s">
        <v>1370</v>
      </c>
      <c r="Q1363" t="s">
        <v>3367</v>
      </c>
      <c r="R1363">
        <v>4.710430821864042</v>
      </c>
      <c r="S1363">
        <v>1252</v>
      </c>
      <c r="T1363">
        <v>39300</v>
      </c>
      <c r="U1363" t="s">
        <v>5341</v>
      </c>
      <c r="V1363">
        <v>38.81</v>
      </c>
      <c r="W1363" t="s">
        <v>7545</v>
      </c>
      <c r="X1363" t="s">
        <v>9545</v>
      </c>
      <c r="Y1363">
        <v>647</v>
      </c>
      <c r="Z1363">
        <v>-21</v>
      </c>
      <c r="AA1363">
        <v>145162</v>
      </c>
      <c r="AB1363">
        <v>0.65</v>
      </c>
    </row>
    <row r="1364" spans="1:28">
      <c r="A1364" s="2">
        <f>HYPERLINK("https://finance.naver.com/item/coinfo.nhn?code=291210", "A291210")</f>
        <v>0</v>
      </c>
      <c r="B1364">
        <f>HYPERLINK("http://comp.fnguide.com/SVO2/ASP/SVD_Consensus.asp?pGB=1&amp;gicode=A291210&amp;cID=&amp;MenuYn=Y&amp;ReportGB=&amp;NewMenuID=108&amp;stkGb=701", "한국제7호스팩")</f>
        <v>0</v>
      </c>
      <c r="C1364">
        <v>0</v>
      </c>
      <c r="D1364">
        <v>2035</v>
      </c>
      <c r="E1364">
        <v>0</v>
      </c>
      <c r="F1364">
        <v>136.64</v>
      </c>
      <c r="G1364">
        <v>95</v>
      </c>
      <c r="H1364">
        <v>1142</v>
      </c>
      <c r="I1364">
        <v>1441</v>
      </c>
      <c r="J1364">
        <v>95.34999999999999</v>
      </c>
      <c r="K1364">
        <v>43.88</v>
      </c>
      <c r="L1364">
        <v>29.21</v>
      </c>
      <c r="M1364">
        <v>0.41</v>
      </c>
      <c r="N1364" t="b">
        <v>0</v>
      </c>
      <c r="O1364">
        <v>15</v>
      </c>
      <c r="P1364" t="s">
        <v>1371</v>
      </c>
      <c r="Q1364" t="s">
        <v>2816</v>
      </c>
      <c r="R1364">
        <v>-5.316520177583229</v>
      </c>
      <c r="S1364">
        <v>103</v>
      </c>
      <c r="T1364">
        <v>15751</v>
      </c>
      <c r="U1364" t="s">
        <v>5342</v>
      </c>
      <c r="V1364">
        <v>13.83</v>
      </c>
      <c r="W1364" t="s">
        <v>7546</v>
      </c>
      <c r="X1364" t="s">
        <v>9546</v>
      </c>
      <c r="Y1364">
        <v>0</v>
      </c>
      <c r="Z1364">
        <v>0</v>
      </c>
    </row>
    <row r="1365" spans="1:28">
      <c r="A1365" s="2">
        <f>HYPERLINK("https://finance.naver.com/item/coinfo.nhn?code=160600", "A160600")</f>
        <v>0</v>
      </c>
      <c r="B1365">
        <f>HYPERLINK("http://comp.fnguide.com/SVO2/ASP/SVD_Consensus.asp?pGB=1&amp;gicode=A160600&amp;cID=&amp;MenuYn=Y&amp;ReportGB=&amp;NewMenuID=108&amp;stkGb=701", "이큐셀")</f>
        <v>0</v>
      </c>
      <c r="C1365">
        <v>0</v>
      </c>
      <c r="D1365">
        <v>310</v>
      </c>
      <c r="G1365">
        <v>66</v>
      </c>
      <c r="H1365">
        <v>161</v>
      </c>
      <c r="I1365">
        <v>188</v>
      </c>
      <c r="J1365">
        <v>78.65000000000001</v>
      </c>
      <c r="K1365">
        <v>48</v>
      </c>
      <c r="L1365">
        <v>39.27</v>
      </c>
      <c r="M1365">
        <v>2.35</v>
      </c>
      <c r="N1365" t="b">
        <v>0</v>
      </c>
      <c r="O1365">
        <v>-290</v>
      </c>
      <c r="P1365" t="s">
        <v>1372</v>
      </c>
      <c r="Q1365" t="s">
        <v>3368</v>
      </c>
      <c r="R1365">
        <v>192.4277688592518</v>
      </c>
      <c r="S1365">
        <v>186</v>
      </c>
      <c r="T1365">
        <v>0</v>
      </c>
      <c r="U1365" t="s">
        <v>5343</v>
      </c>
      <c r="V1365">
        <v>49.89</v>
      </c>
      <c r="W1365" t="s">
        <v>7547</v>
      </c>
      <c r="X1365" t="s">
        <v>9547</v>
      </c>
      <c r="Y1365">
        <v>219</v>
      </c>
      <c r="Z1365">
        <v>-27</v>
      </c>
      <c r="AA1365">
        <v>399437</v>
      </c>
    </row>
    <row r="1366" spans="1:28">
      <c r="A1366" s="2">
        <f>HYPERLINK("https://finance.naver.com/item/coinfo.nhn?code=066130", "A066130")</f>
        <v>0</v>
      </c>
      <c r="B1366">
        <f>HYPERLINK("http://comp.fnguide.com/SVO2/ASP/SVD_Consensus.asp?pGB=1&amp;gicode=A066130&amp;cID=&amp;MenuYn=Y&amp;ReportGB=&amp;NewMenuID=108&amp;stkGb=701", "하츠")</f>
        <v>0</v>
      </c>
      <c r="C1366">
        <v>0</v>
      </c>
      <c r="D1366">
        <v>7480</v>
      </c>
      <c r="E1366">
        <v>2.92</v>
      </c>
      <c r="F1366">
        <v>40.45</v>
      </c>
      <c r="G1366">
        <v>2583</v>
      </c>
      <c r="H1366">
        <v>5130</v>
      </c>
      <c r="I1366">
        <v>5855</v>
      </c>
      <c r="J1366">
        <v>65.45999999999999</v>
      </c>
      <c r="K1366">
        <v>31.42</v>
      </c>
      <c r="L1366">
        <v>21.72</v>
      </c>
      <c r="M1366">
        <v>3.02</v>
      </c>
      <c r="N1366" t="b">
        <v>1</v>
      </c>
      <c r="O1366">
        <v>185</v>
      </c>
      <c r="P1366" t="s">
        <v>1373</v>
      </c>
      <c r="Q1366" t="s">
        <v>3369</v>
      </c>
      <c r="R1366">
        <v>13.86611050065825</v>
      </c>
      <c r="S1366">
        <v>957</v>
      </c>
      <c r="T1366">
        <v>341019</v>
      </c>
      <c r="U1366" t="s">
        <v>5344</v>
      </c>
      <c r="V1366">
        <v>46.33</v>
      </c>
      <c r="W1366" t="s">
        <v>7548</v>
      </c>
      <c r="X1366" t="s">
        <v>9548</v>
      </c>
      <c r="Y1366">
        <v>1123</v>
      </c>
      <c r="Z1366">
        <v>25</v>
      </c>
      <c r="AA1366">
        <v>661544</v>
      </c>
      <c r="AB1366">
        <v>0.4</v>
      </c>
    </row>
    <row r="1367" spans="1:28">
      <c r="A1367" s="2">
        <f>HYPERLINK("https://finance.naver.com/item/coinfo.nhn?code=023440", "A023440")</f>
        <v>0</v>
      </c>
      <c r="B1367">
        <f>HYPERLINK("http://comp.fnguide.com/SVO2/ASP/SVD_Consensus.asp?pGB=1&amp;gicode=A023440&amp;cID=&amp;MenuYn=Y&amp;ReportGB=&amp;NewMenuID=108&amp;stkGb=701", "제일제강")</f>
        <v>0</v>
      </c>
      <c r="C1367">
        <v>0</v>
      </c>
      <c r="D1367">
        <v>2460</v>
      </c>
      <c r="G1367">
        <v>173</v>
      </c>
      <c r="H1367">
        <v>1312</v>
      </c>
      <c r="I1367">
        <v>1636</v>
      </c>
      <c r="J1367">
        <v>92.95</v>
      </c>
      <c r="K1367">
        <v>46.67</v>
      </c>
      <c r="L1367">
        <v>33.48</v>
      </c>
      <c r="M1367">
        <v>0.67</v>
      </c>
      <c r="N1367" t="b">
        <v>0</v>
      </c>
      <c r="O1367">
        <v>-122</v>
      </c>
      <c r="P1367" t="s">
        <v>1374</v>
      </c>
      <c r="Q1367" t="s">
        <v>3370</v>
      </c>
      <c r="R1367">
        <v>-78.3</v>
      </c>
      <c r="S1367">
        <v>726</v>
      </c>
      <c r="T1367">
        <v>246260</v>
      </c>
      <c r="U1367" t="s">
        <v>5345</v>
      </c>
      <c r="V1367">
        <v>26.21</v>
      </c>
      <c r="W1367" t="s">
        <v>7549</v>
      </c>
      <c r="X1367" t="s">
        <v>9549</v>
      </c>
      <c r="Y1367">
        <v>251</v>
      </c>
      <c r="Z1367">
        <v>-33</v>
      </c>
    </row>
    <row r="1368" spans="1:28">
      <c r="A1368" s="2">
        <f>HYPERLINK("https://finance.naver.com/item/coinfo.nhn?code=199820", "A199820")</f>
        <v>0</v>
      </c>
      <c r="B1368">
        <f>HYPERLINK("http://comp.fnguide.com/SVO2/ASP/SVD_Consensus.asp?pGB=1&amp;gicode=A199820&amp;cID=&amp;MenuYn=Y&amp;ReportGB=&amp;NewMenuID=108&amp;stkGb=701", "제일전기공업")</f>
        <v>0</v>
      </c>
      <c r="C1368">
        <v>0</v>
      </c>
      <c r="D1368">
        <v>23600</v>
      </c>
      <c r="G1368">
        <v>15461</v>
      </c>
      <c r="H1368">
        <v>9606</v>
      </c>
      <c r="I1368">
        <v>7937</v>
      </c>
      <c r="J1368">
        <v>34.49</v>
      </c>
      <c r="K1368">
        <v>59.3</v>
      </c>
      <c r="L1368">
        <v>66.37</v>
      </c>
      <c r="M1368">
        <v>21.56</v>
      </c>
      <c r="N1368" t="b">
        <v>0</v>
      </c>
      <c r="O1368">
        <v>1472</v>
      </c>
      <c r="P1368" t="s">
        <v>1375</v>
      </c>
      <c r="Q1368" t="s">
        <v>3371</v>
      </c>
      <c r="R1368">
        <v>16.57742625757472</v>
      </c>
      <c r="S1368">
        <v>2622</v>
      </c>
      <c r="T1368">
        <v>283352</v>
      </c>
      <c r="U1368" t="s">
        <v>5346</v>
      </c>
      <c r="V1368">
        <v>60.52</v>
      </c>
      <c r="W1368" t="s">
        <v>7550</v>
      </c>
      <c r="X1368" t="s">
        <v>968</v>
      </c>
      <c r="Y1368">
        <v>1461</v>
      </c>
      <c r="Z1368">
        <v>169</v>
      </c>
    </row>
    <row r="1369" spans="1:28">
      <c r="A1369" s="2">
        <f>HYPERLINK("https://finance.naver.com/item/coinfo.nhn?code=052670", "A052670")</f>
        <v>0</v>
      </c>
      <c r="B1369">
        <f>HYPERLINK("http://comp.fnguide.com/SVO2/ASP/SVD_Consensus.asp?pGB=1&amp;gicode=A052670&amp;cID=&amp;MenuYn=Y&amp;ReportGB=&amp;NewMenuID=108&amp;stkGb=701", "제일바이오")</f>
        <v>0</v>
      </c>
      <c r="C1369">
        <v>0</v>
      </c>
      <c r="D1369">
        <v>8360</v>
      </c>
      <c r="E1369">
        <v>-5.47</v>
      </c>
      <c r="F1369">
        <v>50.88</v>
      </c>
      <c r="G1369">
        <v>1374</v>
      </c>
      <c r="H1369">
        <v>1892</v>
      </c>
      <c r="I1369">
        <v>2040</v>
      </c>
      <c r="J1369">
        <v>83.56999999999999</v>
      </c>
      <c r="K1369">
        <v>77.37</v>
      </c>
      <c r="L1369">
        <v>75.59999999999999</v>
      </c>
      <c r="M1369">
        <v>4.89</v>
      </c>
      <c r="N1369" t="b">
        <v>1</v>
      </c>
      <c r="O1369">
        <v>136</v>
      </c>
      <c r="P1369" t="s">
        <v>1376</v>
      </c>
      <c r="Q1369" t="s">
        <v>3372</v>
      </c>
      <c r="R1369">
        <v>-9.309075705750535</v>
      </c>
      <c r="S1369">
        <v>1254</v>
      </c>
      <c r="T1369">
        <v>938408</v>
      </c>
      <c r="U1369" t="s">
        <v>5347</v>
      </c>
      <c r="V1369">
        <v>26.45</v>
      </c>
      <c r="W1369" t="s">
        <v>7551</v>
      </c>
      <c r="X1369" t="s">
        <v>9550</v>
      </c>
      <c r="Y1369">
        <v>230</v>
      </c>
      <c r="Z1369">
        <v>5</v>
      </c>
      <c r="AA1369">
        <v>870936</v>
      </c>
    </row>
    <row r="1370" spans="1:28">
      <c r="A1370" s="2">
        <f>HYPERLINK("https://finance.naver.com/item/coinfo.nhn?code=089790", "A089790")</f>
        <v>0</v>
      </c>
      <c r="B1370">
        <f>HYPERLINK("http://comp.fnguide.com/SVO2/ASP/SVD_Consensus.asp?pGB=1&amp;gicode=A089790&amp;cID=&amp;MenuYn=Y&amp;ReportGB=&amp;NewMenuID=108&amp;stkGb=701", "제이티")</f>
        <v>0</v>
      </c>
      <c r="C1370">
        <v>0</v>
      </c>
      <c r="D1370">
        <v>10250</v>
      </c>
      <c r="E1370">
        <v>0.6899999999999999</v>
      </c>
      <c r="F1370">
        <v>14.71</v>
      </c>
      <c r="G1370">
        <v>4049</v>
      </c>
      <c r="H1370">
        <v>3215</v>
      </c>
      <c r="I1370">
        <v>2978</v>
      </c>
      <c r="J1370">
        <v>60.5</v>
      </c>
      <c r="K1370">
        <v>68.63</v>
      </c>
      <c r="L1370">
        <v>70.95</v>
      </c>
      <c r="M1370">
        <v>12.12</v>
      </c>
      <c r="N1370" t="b">
        <v>1</v>
      </c>
      <c r="O1370">
        <v>367</v>
      </c>
      <c r="P1370" t="s">
        <v>1377</v>
      </c>
      <c r="Q1370" t="s">
        <v>3373</v>
      </c>
      <c r="R1370">
        <v>21.38624304261172</v>
      </c>
      <c r="S1370">
        <v>1057</v>
      </c>
      <c r="T1370">
        <v>1845015</v>
      </c>
      <c r="U1370" t="s">
        <v>5348</v>
      </c>
      <c r="V1370">
        <v>27.77</v>
      </c>
      <c r="W1370" t="s">
        <v>7552</v>
      </c>
      <c r="X1370" t="s">
        <v>9551</v>
      </c>
      <c r="Y1370">
        <v>424</v>
      </c>
      <c r="Z1370">
        <v>62</v>
      </c>
      <c r="AA1370">
        <v>283926</v>
      </c>
    </row>
    <row r="1371" spans="1:28">
      <c r="A1371" s="2">
        <f>HYPERLINK("https://finance.naver.com/item/coinfo.nhn?code=058420", "A058420")</f>
        <v>0</v>
      </c>
      <c r="B1371">
        <f>HYPERLINK("http://comp.fnguide.com/SVO2/ASP/SVD_Consensus.asp?pGB=1&amp;gicode=A058420&amp;cID=&amp;MenuYn=Y&amp;ReportGB=&amp;NewMenuID=108&amp;stkGb=701", "제이웨이")</f>
        <v>0</v>
      </c>
      <c r="C1371">
        <v>0</v>
      </c>
      <c r="D1371">
        <v>775</v>
      </c>
      <c r="E1371">
        <v>0</v>
      </c>
      <c r="G1371">
        <v>0</v>
      </c>
      <c r="H1371">
        <v>355</v>
      </c>
      <c r="I1371">
        <v>456</v>
      </c>
      <c r="J1371">
        <v>100</v>
      </c>
      <c r="K1371">
        <v>54.22</v>
      </c>
      <c r="L1371">
        <v>41.17</v>
      </c>
      <c r="M1371">
        <v>0</v>
      </c>
      <c r="N1371" t="b">
        <v>0</v>
      </c>
      <c r="O1371">
        <v>-164</v>
      </c>
      <c r="P1371" t="s">
        <v>1378</v>
      </c>
      <c r="Q1371" t="s">
        <v>2276</v>
      </c>
      <c r="R1371">
        <v>0</v>
      </c>
      <c r="S1371">
        <v>168</v>
      </c>
      <c r="T1371">
        <v>423675</v>
      </c>
      <c r="U1371" t="s">
        <v>5349</v>
      </c>
      <c r="V1371">
        <v>18.16</v>
      </c>
      <c r="W1371" t="s">
        <v>7553</v>
      </c>
      <c r="X1371" t="s">
        <v>968</v>
      </c>
      <c r="Y1371">
        <v>114</v>
      </c>
      <c r="Z1371">
        <v>-12</v>
      </c>
      <c r="AA1371">
        <v>615</v>
      </c>
    </row>
    <row r="1372" spans="1:28">
      <c r="A1372" s="2">
        <f>HYPERLINK("https://finance.naver.com/item/coinfo.nhn?code=033050", "A033050")</f>
        <v>0</v>
      </c>
      <c r="B1372">
        <f>HYPERLINK("http://comp.fnguide.com/SVO2/ASP/SVD_Consensus.asp?pGB=1&amp;gicode=A033050&amp;cID=&amp;MenuYn=Y&amp;ReportGB=&amp;NewMenuID=108&amp;stkGb=701", "제이엠아이")</f>
        <v>0</v>
      </c>
      <c r="C1372">
        <v>0</v>
      </c>
      <c r="D1372">
        <v>1115</v>
      </c>
      <c r="E1372">
        <v>0</v>
      </c>
      <c r="G1372">
        <v>26</v>
      </c>
      <c r="H1372">
        <v>680</v>
      </c>
      <c r="I1372">
        <v>867</v>
      </c>
      <c r="J1372">
        <v>97.7</v>
      </c>
      <c r="K1372">
        <v>39</v>
      </c>
      <c r="L1372">
        <v>22.27</v>
      </c>
      <c r="M1372">
        <v>0.18</v>
      </c>
      <c r="N1372" t="b">
        <v>0</v>
      </c>
      <c r="O1372">
        <v>-245</v>
      </c>
      <c r="P1372" t="s">
        <v>1379</v>
      </c>
      <c r="Q1372" t="s">
        <v>2276</v>
      </c>
      <c r="R1372">
        <v>0</v>
      </c>
      <c r="S1372">
        <v>363</v>
      </c>
      <c r="T1372">
        <v>373855</v>
      </c>
      <c r="U1372" t="s">
        <v>5350</v>
      </c>
      <c r="V1372">
        <v>36.97</v>
      </c>
      <c r="W1372" t="s">
        <v>7554</v>
      </c>
      <c r="X1372" t="s">
        <v>9552</v>
      </c>
      <c r="Y1372">
        <v>701</v>
      </c>
      <c r="Z1372">
        <v>-49</v>
      </c>
      <c r="AA1372">
        <v>740014</v>
      </c>
    </row>
    <row r="1373" spans="1:28">
      <c r="A1373" s="2">
        <f>HYPERLINK("https://finance.naver.com/item/coinfo.nhn?code=322510", "A322510")</f>
        <v>0</v>
      </c>
      <c r="B1373">
        <f>HYPERLINK("http://comp.fnguide.com/SVO2/ASP/SVD_Consensus.asp?pGB=1&amp;gicode=A322510&amp;cID=&amp;MenuYn=Y&amp;ReportGB=&amp;NewMenuID=108&amp;stkGb=701", "제이엘케이")</f>
        <v>0</v>
      </c>
      <c r="C1373">
        <v>0</v>
      </c>
      <c r="D1373">
        <v>11100</v>
      </c>
      <c r="E1373">
        <v>0</v>
      </c>
      <c r="G1373">
        <v>0</v>
      </c>
      <c r="H1373">
        <v>1477</v>
      </c>
      <c r="I1373">
        <v>1898</v>
      </c>
      <c r="J1373">
        <v>100</v>
      </c>
      <c r="K1373">
        <v>86.69</v>
      </c>
      <c r="L1373">
        <v>82.90000000000001</v>
      </c>
      <c r="M1373">
        <v>0</v>
      </c>
      <c r="N1373" t="b">
        <v>0</v>
      </c>
      <c r="O1373">
        <v>-850</v>
      </c>
      <c r="P1373" t="s">
        <v>1380</v>
      </c>
      <c r="Q1373" t="s">
        <v>2276</v>
      </c>
      <c r="R1373">
        <v>0</v>
      </c>
      <c r="S1373">
        <v>1675</v>
      </c>
      <c r="T1373">
        <v>396527</v>
      </c>
      <c r="U1373" t="s">
        <v>5351</v>
      </c>
      <c r="V1373">
        <v>25.47</v>
      </c>
      <c r="W1373" t="s">
        <v>7555</v>
      </c>
      <c r="X1373" t="s">
        <v>968</v>
      </c>
      <c r="Y1373">
        <v>2</v>
      </c>
      <c r="Z1373">
        <v>-108</v>
      </c>
      <c r="AA1373">
        <v>332000</v>
      </c>
    </row>
    <row r="1374" spans="1:28">
      <c r="A1374" s="2">
        <f>HYPERLINK("https://finance.naver.com/item/coinfo.nhn?code=126880", "A126880")</f>
        <v>0</v>
      </c>
      <c r="B1374">
        <f>HYPERLINK("http://comp.fnguide.com/SVO2/ASP/SVD_Consensus.asp?pGB=1&amp;gicode=A126880&amp;cID=&amp;MenuYn=Y&amp;ReportGB=&amp;NewMenuID=108&amp;stkGb=701", "제이엔케이히터")</f>
        <v>0</v>
      </c>
      <c r="C1374">
        <v>0</v>
      </c>
      <c r="D1374">
        <v>8540</v>
      </c>
      <c r="E1374">
        <v>0</v>
      </c>
      <c r="F1374">
        <v>14.85</v>
      </c>
      <c r="G1374">
        <v>2382</v>
      </c>
      <c r="H1374">
        <v>3207</v>
      </c>
      <c r="I1374">
        <v>3442</v>
      </c>
      <c r="J1374">
        <v>72.11</v>
      </c>
      <c r="K1374">
        <v>62.45</v>
      </c>
      <c r="L1374">
        <v>59.69</v>
      </c>
      <c r="M1374">
        <v>5.05</v>
      </c>
      <c r="N1374" t="b">
        <v>1</v>
      </c>
      <c r="O1374">
        <v>324</v>
      </c>
      <c r="P1374" t="s">
        <v>1381</v>
      </c>
      <c r="Q1374" t="s">
        <v>2276</v>
      </c>
      <c r="R1374">
        <v>0</v>
      </c>
      <c r="S1374">
        <v>1982</v>
      </c>
      <c r="T1374">
        <v>678408</v>
      </c>
      <c r="U1374" t="s">
        <v>5352</v>
      </c>
      <c r="V1374">
        <v>17.19</v>
      </c>
      <c r="W1374" t="s">
        <v>7556</v>
      </c>
      <c r="X1374" t="s">
        <v>9553</v>
      </c>
      <c r="Y1374">
        <v>2255</v>
      </c>
      <c r="Z1374">
        <v>173</v>
      </c>
      <c r="AA1374">
        <v>36780</v>
      </c>
    </row>
    <row r="1375" spans="1:28">
      <c r="A1375" s="2">
        <f>HYPERLINK("https://finance.naver.com/item/coinfo.nhn?code=034950", "A034950")</f>
        <v>0</v>
      </c>
      <c r="B1375">
        <f>HYPERLINK("http://comp.fnguide.com/SVO2/ASP/SVD_Consensus.asp?pGB=1&amp;gicode=A034950&amp;cID=&amp;MenuYn=Y&amp;ReportGB=&amp;NewMenuID=108&amp;stkGb=701", "한국기업평가")</f>
        <v>0</v>
      </c>
      <c r="C1375">
        <v>0</v>
      </c>
      <c r="D1375">
        <v>103300</v>
      </c>
      <c r="E1375">
        <v>0.99</v>
      </c>
      <c r="F1375">
        <v>13.05</v>
      </c>
      <c r="G1375">
        <v>59028</v>
      </c>
      <c r="H1375">
        <v>37987</v>
      </c>
      <c r="I1375">
        <v>31992</v>
      </c>
      <c r="J1375">
        <v>42.86</v>
      </c>
      <c r="K1375">
        <v>63.23</v>
      </c>
      <c r="L1375">
        <v>69.03</v>
      </c>
      <c r="M1375">
        <v>19.6</v>
      </c>
      <c r="N1375" t="b">
        <v>0</v>
      </c>
      <c r="O1375">
        <v>4483</v>
      </c>
      <c r="P1375" t="s">
        <v>1382</v>
      </c>
      <c r="Q1375" t="s">
        <v>3374</v>
      </c>
      <c r="R1375">
        <v>13.14185362076437</v>
      </c>
      <c r="S1375">
        <v>4690</v>
      </c>
      <c r="T1375">
        <v>24153</v>
      </c>
      <c r="U1375" t="s">
        <v>5353</v>
      </c>
      <c r="V1375">
        <v>73.55</v>
      </c>
      <c r="W1375" t="s">
        <v>7557</v>
      </c>
      <c r="X1375" t="s">
        <v>9554</v>
      </c>
      <c r="Y1375">
        <v>927</v>
      </c>
      <c r="Z1375">
        <v>316</v>
      </c>
      <c r="AA1375">
        <v>79643</v>
      </c>
      <c r="AB1375">
        <v>14.73</v>
      </c>
    </row>
    <row r="1376" spans="1:28">
      <c r="A1376" s="2">
        <f>HYPERLINK("https://finance.naver.com/item/coinfo.nhn?code=033320", "A033320")</f>
        <v>0</v>
      </c>
      <c r="B1376">
        <f>HYPERLINK("http://comp.fnguide.com/SVO2/ASP/SVD_Consensus.asp?pGB=1&amp;gicode=A033320&amp;cID=&amp;MenuYn=Y&amp;ReportGB=&amp;NewMenuID=108&amp;stkGb=701", "제이씨현시스템")</f>
        <v>0</v>
      </c>
      <c r="C1376">
        <v>0</v>
      </c>
      <c r="D1376">
        <v>8370</v>
      </c>
      <c r="E1376">
        <v>1.34</v>
      </c>
      <c r="F1376">
        <v>134.37</v>
      </c>
      <c r="G1376">
        <v>4090</v>
      </c>
      <c r="H1376">
        <v>4346</v>
      </c>
      <c r="I1376">
        <v>4418</v>
      </c>
      <c r="J1376">
        <v>51.13</v>
      </c>
      <c r="K1376">
        <v>48.08</v>
      </c>
      <c r="L1376">
        <v>47.21</v>
      </c>
      <c r="M1376">
        <v>7.22</v>
      </c>
      <c r="N1376" t="b">
        <v>1</v>
      </c>
      <c r="O1376">
        <v>37</v>
      </c>
      <c r="P1376" t="s">
        <v>1383</v>
      </c>
      <c r="Q1376" t="s">
        <v>3375</v>
      </c>
      <c r="R1376">
        <v>100.0235154598409</v>
      </c>
      <c r="S1376">
        <v>1600</v>
      </c>
      <c r="T1376">
        <v>587998</v>
      </c>
      <c r="U1376" t="s">
        <v>5354</v>
      </c>
      <c r="V1376">
        <v>46.29</v>
      </c>
      <c r="W1376" t="s">
        <v>7558</v>
      </c>
      <c r="X1376" t="s">
        <v>9555</v>
      </c>
      <c r="Y1376">
        <v>2092</v>
      </c>
      <c r="Z1376">
        <v>25</v>
      </c>
      <c r="AA1376">
        <v>222481</v>
      </c>
    </row>
    <row r="1377" spans="1:28">
      <c r="A1377" s="2">
        <f>HYPERLINK("https://finance.naver.com/item/coinfo.nhn?code=137950", "A137950")</f>
        <v>0</v>
      </c>
      <c r="B1377">
        <f>HYPERLINK("http://comp.fnguide.com/SVO2/ASP/SVD_Consensus.asp?pGB=1&amp;gicode=A137950&amp;cID=&amp;MenuYn=Y&amp;ReportGB=&amp;NewMenuID=108&amp;stkGb=701", "제이씨케미칼")</f>
        <v>0</v>
      </c>
      <c r="C1377">
        <v>0</v>
      </c>
      <c r="D1377">
        <v>6790</v>
      </c>
      <c r="E1377">
        <v>5.68</v>
      </c>
      <c r="F1377">
        <v>11.7</v>
      </c>
      <c r="G1377">
        <v>4816</v>
      </c>
      <c r="H1377">
        <v>4488</v>
      </c>
      <c r="I1377">
        <v>4395</v>
      </c>
      <c r="J1377">
        <v>29.08</v>
      </c>
      <c r="K1377">
        <v>33.9</v>
      </c>
      <c r="L1377">
        <v>35.27</v>
      </c>
      <c r="M1377">
        <v>8.99</v>
      </c>
      <c r="N1377" t="b">
        <v>1</v>
      </c>
      <c r="O1377">
        <v>513</v>
      </c>
      <c r="P1377" t="s">
        <v>1384</v>
      </c>
      <c r="Q1377" t="s">
        <v>3376</v>
      </c>
      <c r="R1377">
        <v>2.060127579294613</v>
      </c>
      <c r="S1377">
        <v>1512</v>
      </c>
      <c r="T1377">
        <v>448780</v>
      </c>
      <c r="U1377" t="s">
        <v>5355</v>
      </c>
      <c r="V1377">
        <v>43.74</v>
      </c>
      <c r="W1377" t="s">
        <v>7559</v>
      </c>
      <c r="X1377" t="s">
        <v>9556</v>
      </c>
      <c r="Y1377">
        <v>2024</v>
      </c>
      <c r="Z1377">
        <v>130</v>
      </c>
      <c r="AA1377">
        <v>305361</v>
      </c>
      <c r="AB1377">
        <v>1</v>
      </c>
    </row>
    <row r="1378" spans="1:28">
      <c r="A1378" s="2">
        <f>HYPERLINK("https://finance.naver.com/item/coinfo.nhn?code=054950", "A054950")</f>
        <v>0</v>
      </c>
      <c r="B1378">
        <f>HYPERLINK("http://comp.fnguide.com/SVO2/ASP/SVD_Consensus.asp?pGB=1&amp;gicode=A054950&amp;cID=&amp;MenuYn=Y&amp;ReportGB=&amp;NewMenuID=108&amp;stkGb=701", "제이브이엠")</f>
        <v>0</v>
      </c>
      <c r="C1378">
        <v>0</v>
      </c>
      <c r="D1378">
        <v>37050</v>
      </c>
      <c r="E1378">
        <v>4.68</v>
      </c>
      <c r="F1378">
        <v>32.31</v>
      </c>
      <c r="G1378">
        <v>16732</v>
      </c>
      <c r="H1378">
        <v>19574</v>
      </c>
      <c r="I1378">
        <v>20384</v>
      </c>
      <c r="J1378">
        <v>54.84</v>
      </c>
      <c r="K1378">
        <v>47.17</v>
      </c>
      <c r="L1378">
        <v>44.98</v>
      </c>
      <c r="M1378">
        <v>6.21</v>
      </c>
      <c r="N1378" t="b">
        <v>1</v>
      </c>
      <c r="O1378">
        <v>916</v>
      </c>
      <c r="P1378" t="s">
        <v>1385</v>
      </c>
      <c r="Q1378" t="s">
        <v>3377</v>
      </c>
      <c r="R1378">
        <v>6.908701099820846</v>
      </c>
      <c r="S1378">
        <v>2346</v>
      </c>
      <c r="T1378">
        <v>107478</v>
      </c>
      <c r="U1378" t="s">
        <v>5356</v>
      </c>
      <c r="V1378">
        <v>42.58</v>
      </c>
      <c r="W1378" t="s">
        <v>7560</v>
      </c>
      <c r="X1378" t="s">
        <v>9557</v>
      </c>
      <c r="Y1378">
        <v>1101</v>
      </c>
      <c r="Z1378">
        <v>105</v>
      </c>
      <c r="AA1378">
        <v>571924</v>
      </c>
      <c r="AB1378">
        <v>1.35</v>
      </c>
    </row>
    <row r="1379" spans="1:28">
      <c r="A1379" s="2">
        <f>HYPERLINK("https://finance.naver.com/item/coinfo.nhn?code=033100", "A033100")</f>
        <v>0</v>
      </c>
      <c r="B1379">
        <f>HYPERLINK("http://comp.fnguide.com/SVO2/ASP/SVD_Consensus.asp?pGB=1&amp;gicode=A033100&amp;cID=&amp;MenuYn=Y&amp;ReportGB=&amp;NewMenuID=108&amp;stkGb=701", "제룡전기")</f>
        <v>0</v>
      </c>
      <c r="C1379">
        <v>0</v>
      </c>
      <c r="D1379">
        <v>5070</v>
      </c>
      <c r="E1379">
        <v>0.47</v>
      </c>
      <c r="F1379">
        <v>19.36</v>
      </c>
      <c r="G1379">
        <v>3130</v>
      </c>
      <c r="H1379">
        <v>3348</v>
      </c>
      <c r="I1379">
        <v>3410</v>
      </c>
      <c r="J1379">
        <v>38.25</v>
      </c>
      <c r="K1379">
        <v>33.96</v>
      </c>
      <c r="L1379">
        <v>32.74</v>
      </c>
      <c r="M1379">
        <v>7.14</v>
      </c>
      <c r="N1379" t="b">
        <v>1</v>
      </c>
      <c r="O1379">
        <v>348</v>
      </c>
      <c r="P1379" t="s">
        <v>1386</v>
      </c>
      <c r="Q1379" t="s">
        <v>3378</v>
      </c>
      <c r="R1379">
        <v>41.57860007783663</v>
      </c>
      <c r="S1379">
        <v>814</v>
      </c>
      <c r="T1379">
        <v>100355</v>
      </c>
      <c r="U1379" t="s">
        <v>5357</v>
      </c>
      <c r="V1379">
        <v>37.48</v>
      </c>
      <c r="W1379" t="s">
        <v>7561</v>
      </c>
      <c r="X1379" t="s">
        <v>9558</v>
      </c>
      <c r="Y1379">
        <v>452</v>
      </c>
      <c r="Z1379">
        <v>57</v>
      </c>
      <c r="AA1379">
        <v>554</v>
      </c>
      <c r="AB1379">
        <v>0.74</v>
      </c>
    </row>
    <row r="1380" spans="1:28">
      <c r="A1380" s="2">
        <f>HYPERLINK("https://finance.naver.com/item/coinfo.nhn?code=222980", "A222980")</f>
        <v>0</v>
      </c>
      <c r="B1380">
        <f>HYPERLINK("http://comp.fnguide.com/SVO2/ASP/SVD_Consensus.asp?pGB=1&amp;gicode=A222980&amp;cID=&amp;MenuYn=Y&amp;ReportGB=&amp;NewMenuID=108&amp;stkGb=701", "한국맥널티")</f>
        <v>0</v>
      </c>
      <c r="C1380">
        <v>0</v>
      </c>
      <c r="D1380">
        <v>6470</v>
      </c>
      <c r="G1380">
        <v>520</v>
      </c>
      <c r="H1380">
        <v>1802</v>
      </c>
      <c r="I1380">
        <v>2168</v>
      </c>
      <c r="J1380">
        <v>91.97</v>
      </c>
      <c r="K1380">
        <v>72.14</v>
      </c>
      <c r="L1380">
        <v>66.5</v>
      </c>
      <c r="M1380">
        <v>1.56</v>
      </c>
      <c r="N1380" t="b">
        <v>0</v>
      </c>
      <c r="O1380">
        <v>-106</v>
      </c>
      <c r="P1380" t="s">
        <v>1387</v>
      </c>
      <c r="Q1380" t="s">
        <v>3379</v>
      </c>
      <c r="R1380">
        <v>-14.7727622777811</v>
      </c>
      <c r="S1380">
        <v>666</v>
      </c>
      <c r="T1380">
        <v>74264</v>
      </c>
      <c r="U1380" t="s">
        <v>5358</v>
      </c>
      <c r="V1380">
        <v>34.01</v>
      </c>
      <c r="W1380" t="s">
        <v>7562</v>
      </c>
      <c r="X1380" t="s">
        <v>9559</v>
      </c>
      <c r="Y1380">
        <v>428</v>
      </c>
      <c r="Z1380">
        <v>21</v>
      </c>
      <c r="AA1380">
        <v>57612</v>
      </c>
    </row>
    <row r="1381" spans="1:28">
      <c r="A1381" s="2">
        <f>HYPERLINK("https://finance.naver.com/item/coinfo.nhn?code=159580", "A159580")</f>
        <v>0</v>
      </c>
      <c r="B1381">
        <f>HYPERLINK("http://comp.fnguide.com/SVO2/ASP/SVD_Consensus.asp?pGB=1&amp;gicode=A159580&amp;cID=&amp;MenuYn=Y&amp;ReportGB=&amp;NewMenuID=108&amp;stkGb=701", "제로투세븐")</f>
        <v>0</v>
      </c>
      <c r="C1381">
        <v>0</v>
      </c>
      <c r="D1381">
        <v>8650</v>
      </c>
      <c r="E1381">
        <v>-0.27</v>
      </c>
      <c r="F1381">
        <v>22.45</v>
      </c>
      <c r="G1381">
        <v>3174</v>
      </c>
      <c r="H1381">
        <v>3486</v>
      </c>
      <c r="I1381">
        <v>3575</v>
      </c>
      <c r="J1381">
        <v>63.3</v>
      </c>
      <c r="K1381">
        <v>59.7</v>
      </c>
      <c r="L1381">
        <v>58.67</v>
      </c>
      <c r="M1381">
        <v>6.85</v>
      </c>
      <c r="N1381" t="b">
        <v>1</v>
      </c>
      <c r="O1381">
        <v>466</v>
      </c>
      <c r="P1381" t="s">
        <v>1388</v>
      </c>
      <c r="Q1381" t="s">
        <v>3380</v>
      </c>
      <c r="R1381">
        <v>-83.8</v>
      </c>
      <c r="S1381">
        <v>1733</v>
      </c>
      <c r="T1381">
        <v>203510</v>
      </c>
      <c r="U1381" t="s">
        <v>5359</v>
      </c>
      <c r="V1381">
        <v>57.87</v>
      </c>
      <c r="W1381" t="s">
        <v>7563</v>
      </c>
      <c r="X1381" t="s">
        <v>9560</v>
      </c>
      <c r="Y1381">
        <v>2136</v>
      </c>
      <c r="Z1381">
        <v>112</v>
      </c>
      <c r="AA1381">
        <v>321467</v>
      </c>
    </row>
    <row r="1382" spans="1:28">
      <c r="A1382" s="2">
        <f>HYPERLINK("https://finance.naver.com/item/coinfo.nhn?code=123330", "A123330")</f>
        <v>0</v>
      </c>
      <c r="B1382">
        <f>HYPERLINK("http://comp.fnguide.com/SVO2/ASP/SVD_Consensus.asp?pGB=1&amp;gicode=A123330&amp;cID=&amp;MenuYn=Y&amp;ReportGB=&amp;NewMenuID=108&amp;stkGb=701", "제닉")</f>
        <v>0</v>
      </c>
      <c r="C1382">
        <v>0</v>
      </c>
      <c r="D1382">
        <v>3790</v>
      </c>
      <c r="G1382">
        <v>0</v>
      </c>
      <c r="H1382">
        <v>2375</v>
      </c>
      <c r="I1382">
        <v>3052</v>
      </c>
      <c r="J1382">
        <v>100</v>
      </c>
      <c r="K1382">
        <v>37.34</v>
      </c>
      <c r="L1382">
        <v>19.48</v>
      </c>
      <c r="M1382">
        <v>0</v>
      </c>
      <c r="N1382" t="b">
        <v>0</v>
      </c>
      <c r="O1382">
        <v>-1708</v>
      </c>
      <c r="P1382" t="s">
        <v>1389</v>
      </c>
      <c r="Q1382" t="s">
        <v>3381</v>
      </c>
      <c r="R1382">
        <v>-58.10000000000001</v>
      </c>
      <c r="S1382">
        <v>265</v>
      </c>
      <c r="T1382">
        <v>46149</v>
      </c>
      <c r="U1382" t="s">
        <v>5360</v>
      </c>
      <c r="V1382">
        <v>25.49</v>
      </c>
      <c r="W1382" t="s">
        <v>7564</v>
      </c>
      <c r="X1382" t="s">
        <v>968</v>
      </c>
      <c r="Y1382">
        <v>523</v>
      </c>
      <c r="Z1382">
        <v>-50</v>
      </c>
      <c r="AA1382">
        <v>143994</v>
      </c>
    </row>
    <row r="1383" spans="1:28">
      <c r="A1383" s="2">
        <f>HYPERLINK("https://finance.naver.com/item/coinfo.nhn?code=225220", "A225220")</f>
        <v>0</v>
      </c>
      <c r="B1383">
        <f>HYPERLINK("http://comp.fnguide.com/SVO2/ASP/SVD_Consensus.asp?pGB=1&amp;gicode=A225220&amp;cID=&amp;MenuYn=Y&amp;ReportGB=&amp;NewMenuID=108&amp;stkGb=701", "제놀루션")</f>
        <v>0</v>
      </c>
      <c r="C1383">
        <v>0</v>
      </c>
      <c r="D1383">
        <v>25150</v>
      </c>
      <c r="E1383">
        <v>0</v>
      </c>
      <c r="G1383">
        <v>283</v>
      </c>
      <c r="H1383">
        <v>439</v>
      </c>
      <c r="I1383">
        <v>484</v>
      </c>
      <c r="J1383">
        <v>98.88</v>
      </c>
      <c r="K1383">
        <v>98.25</v>
      </c>
      <c r="L1383">
        <v>98.08</v>
      </c>
      <c r="M1383">
        <v>4.15</v>
      </c>
      <c r="N1383" t="b">
        <v>0</v>
      </c>
      <c r="O1383">
        <v>-74</v>
      </c>
      <c r="P1383" t="s">
        <v>1390</v>
      </c>
      <c r="Q1383" t="s">
        <v>3382</v>
      </c>
      <c r="R1383">
        <v>0</v>
      </c>
      <c r="S1383">
        <v>1203</v>
      </c>
      <c r="T1383">
        <v>111716</v>
      </c>
      <c r="U1383" t="s">
        <v>5361</v>
      </c>
      <c r="V1383">
        <v>24.31</v>
      </c>
      <c r="W1383" t="s">
        <v>7565</v>
      </c>
      <c r="X1383" t="s">
        <v>9561</v>
      </c>
      <c r="Y1383">
        <v>40</v>
      </c>
      <c r="Z1383">
        <v>1</v>
      </c>
    </row>
    <row r="1384" spans="1:28">
      <c r="A1384" s="2">
        <f>HYPERLINK("https://finance.naver.com/item/coinfo.nhn?code=187420", "A187420")</f>
        <v>0</v>
      </c>
      <c r="B1384">
        <f>HYPERLINK("http://comp.fnguide.com/SVO2/ASP/SVD_Consensus.asp?pGB=1&amp;gicode=A187420&amp;cID=&amp;MenuYn=Y&amp;ReportGB=&amp;NewMenuID=108&amp;stkGb=701", "제노포커스")</f>
        <v>0</v>
      </c>
      <c r="C1384">
        <v>0</v>
      </c>
      <c r="D1384">
        <v>9760</v>
      </c>
      <c r="G1384">
        <v>108</v>
      </c>
      <c r="H1384">
        <v>1441</v>
      </c>
      <c r="I1384">
        <v>1820</v>
      </c>
      <c r="J1384">
        <v>98.89</v>
      </c>
      <c r="K1384">
        <v>85.23999999999999</v>
      </c>
      <c r="L1384">
        <v>81.34999999999999</v>
      </c>
      <c r="M1384">
        <v>0.37</v>
      </c>
      <c r="N1384" t="b">
        <v>0</v>
      </c>
      <c r="O1384">
        <v>-263</v>
      </c>
      <c r="P1384" t="s">
        <v>1391</v>
      </c>
      <c r="Q1384" t="s">
        <v>3383</v>
      </c>
      <c r="R1384">
        <v>-1.166807195153297</v>
      </c>
      <c r="S1384">
        <v>2186</v>
      </c>
      <c r="T1384">
        <v>267587</v>
      </c>
      <c r="U1384" t="s">
        <v>5362</v>
      </c>
      <c r="V1384">
        <v>34.64</v>
      </c>
      <c r="W1384" t="s">
        <v>7566</v>
      </c>
      <c r="X1384" t="s">
        <v>9562</v>
      </c>
      <c r="Y1384">
        <v>149</v>
      </c>
      <c r="Z1384">
        <v>-29</v>
      </c>
    </row>
    <row r="1385" spans="1:28">
      <c r="A1385" s="2">
        <f>HYPERLINK("https://finance.naver.com/item/coinfo.nhn?code=080220", "A080220")</f>
        <v>0</v>
      </c>
      <c r="B1385">
        <f>HYPERLINK("http://comp.fnguide.com/SVO2/ASP/SVD_Consensus.asp?pGB=1&amp;gicode=A080220&amp;cID=&amp;MenuYn=Y&amp;ReportGB=&amp;NewMenuID=108&amp;stkGb=701", "제주반도체")</f>
        <v>0</v>
      </c>
      <c r="C1385">
        <v>0</v>
      </c>
      <c r="D1385">
        <v>3695</v>
      </c>
      <c r="G1385">
        <v>1970</v>
      </c>
      <c r="H1385">
        <v>2117</v>
      </c>
      <c r="I1385">
        <v>2159</v>
      </c>
      <c r="J1385">
        <v>46.68</v>
      </c>
      <c r="K1385">
        <v>42.71</v>
      </c>
      <c r="L1385">
        <v>41.58</v>
      </c>
      <c r="M1385">
        <v>7.09</v>
      </c>
      <c r="N1385" t="b">
        <v>0</v>
      </c>
      <c r="O1385">
        <v>-168</v>
      </c>
      <c r="P1385" t="s">
        <v>1392</v>
      </c>
      <c r="Q1385" t="s">
        <v>3384</v>
      </c>
      <c r="R1385">
        <v>154.0214361033336</v>
      </c>
      <c r="S1385">
        <v>1202</v>
      </c>
      <c r="T1385">
        <v>601008</v>
      </c>
      <c r="U1385" t="s">
        <v>5363</v>
      </c>
      <c r="V1385">
        <v>12.95</v>
      </c>
      <c r="W1385" t="s">
        <v>7567</v>
      </c>
      <c r="X1385" t="s">
        <v>9563</v>
      </c>
      <c r="Y1385">
        <v>1621</v>
      </c>
      <c r="Z1385">
        <v>61</v>
      </c>
      <c r="AA1385">
        <v>1089729</v>
      </c>
    </row>
    <row r="1386" spans="1:28">
      <c r="A1386" s="2">
        <f>HYPERLINK("https://finance.naver.com/item/coinfo.nhn?code=216080", "A216080")</f>
        <v>0</v>
      </c>
      <c r="B1386">
        <f>HYPERLINK("http://comp.fnguide.com/SVO2/ASP/SVD_Consensus.asp?pGB=1&amp;gicode=A216080&amp;cID=&amp;MenuYn=Y&amp;ReportGB=&amp;NewMenuID=108&amp;stkGb=701", "제테마")</f>
        <v>0</v>
      </c>
      <c r="C1386">
        <v>0</v>
      </c>
      <c r="D1386">
        <v>23900</v>
      </c>
      <c r="E1386">
        <v>0</v>
      </c>
      <c r="G1386">
        <v>0</v>
      </c>
      <c r="H1386">
        <v>1163</v>
      </c>
      <c r="I1386">
        <v>1494</v>
      </c>
      <c r="J1386">
        <v>100</v>
      </c>
      <c r="K1386">
        <v>95.13</v>
      </c>
      <c r="L1386">
        <v>93.75</v>
      </c>
      <c r="M1386">
        <v>0</v>
      </c>
      <c r="N1386" t="b">
        <v>0</v>
      </c>
      <c r="O1386">
        <v>-1069</v>
      </c>
      <c r="P1386" t="s">
        <v>1393</v>
      </c>
      <c r="Q1386" t="s">
        <v>3152</v>
      </c>
      <c r="R1386">
        <v>0</v>
      </c>
      <c r="S1386">
        <v>4186</v>
      </c>
      <c r="T1386">
        <v>138004</v>
      </c>
      <c r="U1386" t="s">
        <v>5364</v>
      </c>
      <c r="V1386">
        <v>30.29</v>
      </c>
      <c r="W1386" t="s">
        <v>7568</v>
      </c>
      <c r="X1386" t="s">
        <v>968</v>
      </c>
      <c r="Y1386">
        <v>133</v>
      </c>
      <c r="Z1386">
        <v>-107</v>
      </c>
    </row>
    <row r="1387" spans="1:28">
      <c r="A1387" s="2">
        <f>HYPERLINK("https://finance.naver.com/item/coinfo.nhn?code=229000", "A229000")</f>
        <v>0</v>
      </c>
      <c r="B1387">
        <f>HYPERLINK("http://comp.fnguide.com/SVO2/ASP/SVD_Consensus.asp?pGB=1&amp;gicode=A229000&amp;cID=&amp;MenuYn=Y&amp;ReportGB=&amp;NewMenuID=108&amp;stkGb=701", "젠큐릭스")</f>
        <v>0</v>
      </c>
      <c r="C1387">
        <v>0</v>
      </c>
      <c r="D1387">
        <v>20000</v>
      </c>
      <c r="E1387">
        <v>0</v>
      </c>
      <c r="G1387">
        <v>0</v>
      </c>
      <c r="H1387">
        <v>19</v>
      </c>
      <c r="I1387">
        <v>24</v>
      </c>
      <c r="J1387">
        <v>100</v>
      </c>
      <c r="K1387">
        <v>99.91</v>
      </c>
      <c r="L1387">
        <v>99.88</v>
      </c>
      <c r="M1387">
        <v>0</v>
      </c>
      <c r="N1387" t="b">
        <v>0</v>
      </c>
      <c r="O1387">
        <v>-1699</v>
      </c>
      <c r="P1387" t="s">
        <v>1394</v>
      </c>
      <c r="Q1387" t="s">
        <v>3385</v>
      </c>
      <c r="R1387">
        <v>0</v>
      </c>
      <c r="S1387">
        <v>1280</v>
      </c>
      <c r="T1387">
        <v>157366</v>
      </c>
      <c r="U1387" t="s">
        <v>5365</v>
      </c>
      <c r="V1387">
        <v>17.25</v>
      </c>
      <c r="W1387" t="s">
        <v>7569</v>
      </c>
      <c r="X1387" t="s">
        <v>968</v>
      </c>
      <c r="Y1387">
        <v>1</v>
      </c>
      <c r="Z1387">
        <v>-66</v>
      </c>
    </row>
    <row r="1388" spans="1:28">
      <c r="A1388" s="2">
        <f>HYPERLINK("https://finance.naver.com/item/coinfo.nhn?code=000440", "A000440")</f>
        <v>0</v>
      </c>
      <c r="B1388">
        <f>HYPERLINK("http://comp.fnguide.com/SVO2/ASP/SVD_Consensus.asp?pGB=1&amp;gicode=A000440&amp;cID=&amp;MenuYn=Y&amp;ReportGB=&amp;NewMenuID=108&amp;stkGb=701", "중앙에너비스")</f>
        <v>0</v>
      </c>
      <c r="C1388">
        <v>0</v>
      </c>
      <c r="D1388">
        <v>8770</v>
      </c>
      <c r="E1388">
        <v>-2.76</v>
      </c>
      <c r="F1388">
        <v>81.87</v>
      </c>
      <c r="G1388">
        <v>2361</v>
      </c>
      <c r="H1388">
        <v>6832</v>
      </c>
      <c r="I1388">
        <v>8106</v>
      </c>
      <c r="J1388">
        <v>73.06999999999999</v>
      </c>
      <c r="K1388">
        <v>22.1</v>
      </c>
      <c r="L1388">
        <v>7.57</v>
      </c>
      <c r="M1388">
        <v>1.92</v>
      </c>
      <c r="N1388" t="b">
        <v>1</v>
      </c>
      <c r="O1388">
        <v>99</v>
      </c>
      <c r="P1388" t="s">
        <v>1395</v>
      </c>
      <c r="Q1388" t="s">
        <v>3386</v>
      </c>
      <c r="R1388">
        <v>-29.70012048287185</v>
      </c>
      <c r="S1388">
        <v>546</v>
      </c>
      <c r="T1388">
        <v>35374</v>
      </c>
      <c r="U1388" t="s">
        <v>5366</v>
      </c>
      <c r="V1388">
        <v>49.88</v>
      </c>
      <c r="W1388" t="s">
        <v>7570</v>
      </c>
      <c r="X1388" t="s">
        <v>9564</v>
      </c>
      <c r="Y1388">
        <v>657</v>
      </c>
      <c r="Z1388">
        <v>6</v>
      </c>
      <c r="AA1388">
        <v>1626106</v>
      </c>
      <c r="AB1388">
        <v>1.98</v>
      </c>
    </row>
    <row r="1389" spans="1:28">
      <c r="A1389" s="2">
        <f>HYPERLINK("https://finance.naver.com/item/coinfo.nhn?code=119850", "A119850")</f>
        <v>0</v>
      </c>
      <c r="B1389">
        <f>HYPERLINK("http://comp.fnguide.com/SVO2/ASP/SVD_Consensus.asp?pGB=1&amp;gicode=A119850&amp;cID=&amp;MenuYn=Y&amp;ReportGB=&amp;NewMenuID=108&amp;stkGb=701", "지엔씨에너지")</f>
        <v>0</v>
      </c>
      <c r="C1389">
        <v>0</v>
      </c>
      <c r="D1389">
        <v>6130</v>
      </c>
      <c r="E1389">
        <v>-0.92</v>
      </c>
      <c r="F1389">
        <v>10.92</v>
      </c>
      <c r="G1389">
        <v>5709</v>
      </c>
      <c r="H1389">
        <v>5292</v>
      </c>
      <c r="I1389">
        <v>5174</v>
      </c>
      <c r="J1389">
        <v>6.87</v>
      </c>
      <c r="K1389">
        <v>13.67</v>
      </c>
      <c r="L1389">
        <v>15.6</v>
      </c>
      <c r="M1389">
        <v>9.07</v>
      </c>
      <c r="N1389" t="b">
        <v>1</v>
      </c>
      <c r="O1389">
        <v>411</v>
      </c>
      <c r="P1389" t="s">
        <v>1396</v>
      </c>
      <c r="Q1389" t="s">
        <v>3387</v>
      </c>
      <c r="R1389">
        <v>-11.8641944110059</v>
      </c>
      <c r="S1389">
        <v>999</v>
      </c>
      <c r="T1389">
        <v>260777</v>
      </c>
      <c r="U1389" t="s">
        <v>5367</v>
      </c>
      <c r="V1389">
        <v>34.86</v>
      </c>
      <c r="W1389" t="s">
        <v>7571</v>
      </c>
      <c r="X1389" t="s">
        <v>9565</v>
      </c>
      <c r="Y1389">
        <v>1683</v>
      </c>
      <c r="Z1389">
        <v>91</v>
      </c>
      <c r="AA1389">
        <v>225528</v>
      </c>
      <c r="AB1389">
        <v>1.11</v>
      </c>
    </row>
    <row r="1390" spans="1:28">
      <c r="A1390" s="2">
        <f>HYPERLINK("https://finance.naver.com/item/coinfo.nhn?code=051160", "A051160")</f>
        <v>0</v>
      </c>
      <c r="B1390">
        <f>HYPERLINK("http://comp.fnguide.com/SVO2/ASP/SVD_Consensus.asp?pGB=1&amp;gicode=A051160&amp;cID=&amp;MenuYn=Y&amp;ReportGB=&amp;NewMenuID=108&amp;stkGb=701", "지어소프트")</f>
        <v>0</v>
      </c>
      <c r="C1390">
        <v>0</v>
      </c>
      <c r="D1390">
        <v>13300</v>
      </c>
      <c r="E1390">
        <v>0</v>
      </c>
      <c r="G1390">
        <v>296</v>
      </c>
      <c r="H1390">
        <v>460</v>
      </c>
      <c r="I1390">
        <v>507</v>
      </c>
      <c r="J1390">
        <v>97.78</v>
      </c>
      <c r="K1390">
        <v>96.54000000000001</v>
      </c>
      <c r="L1390">
        <v>96.19</v>
      </c>
      <c r="M1390">
        <v>4.14</v>
      </c>
      <c r="N1390" t="b">
        <v>0</v>
      </c>
      <c r="O1390">
        <v>-110</v>
      </c>
      <c r="P1390" t="s">
        <v>1397</v>
      </c>
      <c r="Q1390" t="s">
        <v>2276</v>
      </c>
      <c r="R1390">
        <v>0</v>
      </c>
      <c r="S1390">
        <v>1938</v>
      </c>
      <c r="T1390">
        <v>521659</v>
      </c>
      <c r="U1390" t="s">
        <v>5368</v>
      </c>
      <c r="V1390">
        <v>23.56</v>
      </c>
      <c r="W1390" t="s">
        <v>7572</v>
      </c>
      <c r="X1390" t="s">
        <v>9566</v>
      </c>
      <c r="Y1390">
        <v>1596</v>
      </c>
      <c r="Z1390">
        <v>-1</v>
      </c>
    </row>
    <row r="1391" spans="1:28">
      <c r="A1391" s="2">
        <f>HYPERLINK("https://finance.naver.com/item/coinfo.nhn?code=340120", "A340120")</f>
        <v>0</v>
      </c>
      <c r="B1391">
        <f>HYPERLINK("http://comp.fnguide.com/SVO2/ASP/SVD_Consensus.asp?pGB=1&amp;gicode=A340120&amp;cID=&amp;MenuYn=Y&amp;ReportGB=&amp;NewMenuID=108&amp;stkGb=701", "하이제5호스팩")</f>
        <v>0</v>
      </c>
      <c r="C1391">
        <v>0</v>
      </c>
      <c r="D1391">
        <v>2010</v>
      </c>
      <c r="E1391">
        <v>0</v>
      </c>
      <c r="G1391">
        <v>0</v>
      </c>
      <c r="H1391">
        <v>1101</v>
      </c>
      <c r="I1391">
        <v>1415</v>
      </c>
      <c r="J1391">
        <v>100</v>
      </c>
      <c r="K1391">
        <v>45.22</v>
      </c>
      <c r="L1391">
        <v>29.61</v>
      </c>
      <c r="M1391">
        <v>0</v>
      </c>
      <c r="N1391" t="b">
        <v>0</v>
      </c>
      <c r="O1391">
        <v>-14</v>
      </c>
      <c r="P1391" t="s">
        <v>1398</v>
      </c>
      <c r="Q1391" t="s">
        <v>2276</v>
      </c>
      <c r="R1391">
        <v>0</v>
      </c>
      <c r="S1391">
        <v>101</v>
      </c>
      <c r="T1391">
        <v>1131</v>
      </c>
      <c r="U1391" t="s">
        <v>5369</v>
      </c>
      <c r="V1391">
        <v>15.84</v>
      </c>
      <c r="W1391" t="s">
        <v>968</v>
      </c>
      <c r="X1391" t="s">
        <v>968</v>
      </c>
      <c r="Y1391">
        <v>0</v>
      </c>
      <c r="Z1391">
        <v>0</v>
      </c>
    </row>
    <row r="1392" spans="1:28">
      <c r="A1392" s="2">
        <f>HYPERLINK("https://finance.naver.com/item/coinfo.nhn?code=303030", "A303030")</f>
        <v>0</v>
      </c>
      <c r="B1392">
        <f>HYPERLINK("http://comp.fnguide.com/SVO2/ASP/SVD_Consensus.asp?pGB=1&amp;gicode=A303030&amp;cID=&amp;MenuYn=Y&amp;ReportGB=&amp;NewMenuID=108&amp;stkGb=701", "지니틱스")</f>
        <v>0</v>
      </c>
      <c r="C1392">
        <v>0</v>
      </c>
      <c r="D1392">
        <v>2510</v>
      </c>
      <c r="E1392">
        <v>-6.26</v>
      </c>
      <c r="F1392">
        <v>207.08</v>
      </c>
      <c r="G1392">
        <v>1110</v>
      </c>
      <c r="H1392">
        <v>926</v>
      </c>
      <c r="I1392">
        <v>874</v>
      </c>
      <c r="J1392">
        <v>55.79</v>
      </c>
      <c r="K1392">
        <v>63.11</v>
      </c>
      <c r="L1392">
        <v>65.2</v>
      </c>
      <c r="M1392">
        <v>11</v>
      </c>
      <c r="N1392" t="b">
        <v>0</v>
      </c>
      <c r="O1392">
        <v>14</v>
      </c>
      <c r="P1392" t="s">
        <v>1399</v>
      </c>
      <c r="Q1392" t="s">
        <v>3388</v>
      </c>
      <c r="R1392">
        <v>-33.06570385818642</v>
      </c>
      <c r="S1392">
        <v>893</v>
      </c>
      <c r="T1392">
        <v>484694</v>
      </c>
      <c r="U1392" t="s">
        <v>5370</v>
      </c>
      <c r="V1392">
        <v>26.13</v>
      </c>
      <c r="W1392" t="s">
        <v>7573</v>
      </c>
      <c r="X1392" t="s">
        <v>9567</v>
      </c>
      <c r="Y1392">
        <v>549</v>
      </c>
      <c r="Z1392">
        <v>54</v>
      </c>
      <c r="AA1392">
        <v>9516</v>
      </c>
    </row>
    <row r="1393" spans="1:28">
      <c r="A1393" s="2">
        <f>HYPERLINK("https://finance.naver.com/item/coinfo.nhn?code=263860", "A263860")</f>
        <v>0</v>
      </c>
      <c r="B1393">
        <f>HYPERLINK("http://comp.fnguide.com/SVO2/ASP/SVD_Consensus.asp?pGB=1&amp;gicode=A263860&amp;cID=&amp;MenuYn=Y&amp;ReportGB=&amp;NewMenuID=108&amp;stkGb=701", "지니언스")</f>
        <v>0</v>
      </c>
      <c r="C1393">
        <v>0</v>
      </c>
      <c r="D1393">
        <v>5540</v>
      </c>
      <c r="E1393">
        <v>-2.04</v>
      </c>
      <c r="F1393">
        <v>15.59</v>
      </c>
      <c r="G1393">
        <v>4866</v>
      </c>
      <c r="H1393">
        <v>4334</v>
      </c>
      <c r="I1393">
        <v>4182</v>
      </c>
      <c r="J1393">
        <v>12.16</v>
      </c>
      <c r="K1393">
        <v>21.77</v>
      </c>
      <c r="L1393">
        <v>24.51</v>
      </c>
      <c r="M1393">
        <v>9.74</v>
      </c>
      <c r="N1393" t="b">
        <v>1</v>
      </c>
      <c r="O1393">
        <v>329</v>
      </c>
      <c r="P1393" t="s">
        <v>1400</v>
      </c>
      <c r="Q1393" t="s">
        <v>3389</v>
      </c>
      <c r="R1393">
        <v>-7.655044406030298</v>
      </c>
      <c r="S1393">
        <v>523</v>
      </c>
      <c r="T1393">
        <v>42847</v>
      </c>
      <c r="U1393" t="s">
        <v>5371</v>
      </c>
      <c r="V1393">
        <v>45.92</v>
      </c>
      <c r="W1393" t="s">
        <v>7574</v>
      </c>
      <c r="X1393" t="s">
        <v>9568</v>
      </c>
      <c r="Y1393">
        <v>249</v>
      </c>
      <c r="Z1393">
        <v>23</v>
      </c>
      <c r="AA1393">
        <v>927968</v>
      </c>
    </row>
    <row r="1394" spans="1:28">
      <c r="A1394" s="2">
        <f>HYPERLINK("https://finance.naver.com/item/coinfo.nhn?code=221840", "A221840")</f>
        <v>0</v>
      </c>
      <c r="B1394">
        <f>HYPERLINK("http://comp.fnguide.com/SVO2/ASP/SVD_Consensus.asp?pGB=1&amp;gicode=A221840&amp;cID=&amp;MenuYn=Y&amp;ReportGB=&amp;NewMenuID=108&amp;stkGb=701", "하이즈항공")</f>
        <v>0</v>
      </c>
      <c r="C1394">
        <v>0</v>
      </c>
      <c r="D1394">
        <v>5100</v>
      </c>
      <c r="E1394">
        <v>0.17</v>
      </c>
      <c r="F1394">
        <v>23.7</v>
      </c>
      <c r="G1394">
        <v>1763</v>
      </c>
      <c r="H1394">
        <v>3542</v>
      </c>
      <c r="I1394">
        <v>4049</v>
      </c>
      <c r="J1394">
        <v>65.43000000000001</v>
      </c>
      <c r="K1394">
        <v>30.55</v>
      </c>
      <c r="L1394">
        <v>20.62</v>
      </c>
      <c r="M1394">
        <v>2.97</v>
      </c>
      <c r="N1394" t="b">
        <v>1</v>
      </c>
      <c r="O1394">
        <v>208</v>
      </c>
      <c r="P1394" t="s">
        <v>1401</v>
      </c>
      <c r="Q1394" t="s">
        <v>3390</v>
      </c>
      <c r="R1394">
        <v>135.9538938013103</v>
      </c>
      <c r="S1394">
        <v>903</v>
      </c>
      <c r="T1394">
        <v>347363</v>
      </c>
      <c r="U1394" t="s">
        <v>5372</v>
      </c>
      <c r="V1394">
        <v>45.7</v>
      </c>
      <c r="W1394" t="s">
        <v>7575</v>
      </c>
      <c r="X1394" t="s">
        <v>9569</v>
      </c>
      <c r="Y1394">
        <v>737</v>
      </c>
      <c r="Z1394">
        <v>38</v>
      </c>
      <c r="AA1394">
        <v>1500163</v>
      </c>
      <c r="AB1394">
        <v>1.24</v>
      </c>
    </row>
    <row r="1395" spans="1:28">
      <c r="A1395" s="2">
        <f>HYPERLINK("https://finance.naver.com/item/coinfo.nhn?code=043610", "A043610")</f>
        <v>0</v>
      </c>
      <c r="B1395">
        <f>HYPERLINK("http://comp.fnguide.com/SVO2/ASP/SVD_Consensus.asp?pGB=1&amp;gicode=A043610&amp;cID=&amp;MenuYn=Y&amp;ReportGB=&amp;NewMenuID=108&amp;stkGb=701", "지니뮤직")</f>
        <v>0</v>
      </c>
      <c r="C1395">
        <v>0</v>
      </c>
      <c r="D1395">
        <v>3810</v>
      </c>
      <c r="E1395">
        <v>0.48</v>
      </c>
      <c r="F1395">
        <v>28.01</v>
      </c>
      <c r="G1395">
        <v>1370</v>
      </c>
      <c r="H1395">
        <v>2136</v>
      </c>
      <c r="I1395">
        <v>2354</v>
      </c>
      <c r="J1395">
        <v>64.05</v>
      </c>
      <c r="K1395">
        <v>43.95</v>
      </c>
      <c r="L1395">
        <v>38.22</v>
      </c>
      <c r="M1395">
        <v>4.13</v>
      </c>
      <c r="N1395" t="b">
        <v>1</v>
      </c>
      <c r="O1395">
        <v>126</v>
      </c>
      <c r="P1395" t="s">
        <v>1402</v>
      </c>
      <c r="Q1395" t="s">
        <v>3391</v>
      </c>
      <c r="R1395">
        <v>58.70448882423196</v>
      </c>
      <c r="S1395">
        <v>2214</v>
      </c>
      <c r="T1395">
        <v>207906</v>
      </c>
      <c r="U1395" t="s">
        <v>5373</v>
      </c>
      <c r="V1395">
        <v>35.97</v>
      </c>
      <c r="W1395" t="s">
        <v>7576</v>
      </c>
      <c r="X1395" t="s">
        <v>9570</v>
      </c>
      <c r="Y1395">
        <v>2305</v>
      </c>
      <c r="Z1395">
        <v>81</v>
      </c>
      <c r="AA1395">
        <v>368478</v>
      </c>
    </row>
    <row r="1396" spans="1:28">
      <c r="A1396" s="2">
        <f>HYPERLINK("https://finance.naver.com/item/coinfo.nhn?code=228760", "A228760")</f>
        <v>0</v>
      </c>
      <c r="B1396">
        <f>HYPERLINK("http://comp.fnguide.com/SVO2/ASP/SVD_Consensus.asp?pGB=1&amp;gicode=A228760&amp;cID=&amp;MenuYn=Y&amp;ReportGB=&amp;NewMenuID=108&amp;stkGb=701", "지노믹트리")</f>
        <v>0</v>
      </c>
      <c r="C1396">
        <v>0</v>
      </c>
      <c r="D1396">
        <v>16250</v>
      </c>
      <c r="E1396">
        <v>0</v>
      </c>
      <c r="G1396">
        <v>0</v>
      </c>
      <c r="H1396">
        <v>3274</v>
      </c>
      <c r="I1396">
        <v>4207</v>
      </c>
      <c r="J1396">
        <v>100</v>
      </c>
      <c r="K1396">
        <v>79.84999999999999</v>
      </c>
      <c r="L1396">
        <v>74.11</v>
      </c>
      <c r="M1396">
        <v>0</v>
      </c>
      <c r="N1396" t="b">
        <v>0</v>
      </c>
      <c r="O1396">
        <v>-534</v>
      </c>
      <c r="P1396" t="s">
        <v>1403</v>
      </c>
      <c r="Q1396" t="s">
        <v>2276</v>
      </c>
      <c r="R1396">
        <v>0</v>
      </c>
      <c r="S1396">
        <v>3248</v>
      </c>
      <c r="T1396">
        <v>133980</v>
      </c>
      <c r="U1396" t="s">
        <v>5374</v>
      </c>
      <c r="V1396">
        <v>26.52</v>
      </c>
      <c r="W1396" t="s">
        <v>7577</v>
      </c>
      <c r="X1396" t="s">
        <v>968</v>
      </c>
      <c r="Y1396">
        <v>3</v>
      </c>
      <c r="Z1396">
        <v>-103</v>
      </c>
    </row>
    <row r="1397" spans="1:28">
      <c r="A1397" s="2">
        <f>HYPERLINK("https://finance.naver.com/item/coinfo.nhn?code=072020", "A072020")</f>
        <v>0</v>
      </c>
      <c r="B1397">
        <f>HYPERLINK("http://comp.fnguide.com/SVO2/ASP/SVD_Consensus.asp?pGB=1&amp;gicode=A072020&amp;cID=&amp;MenuYn=Y&amp;ReportGB=&amp;NewMenuID=108&amp;stkGb=701", "중앙백신")</f>
        <v>0</v>
      </c>
      <c r="C1397">
        <v>0</v>
      </c>
      <c r="D1397">
        <v>17700</v>
      </c>
      <c r="E1397">
        <v>11.62</v>
      </c>
      <c r="F1397">
        <v>96.69</v>
      </c>
      <c r="G1397">
        <v>4222</v>
      </c>
      <c r="H1397">
        <v>6951</v>
      </c>
      <c r="I1397">
        <v>7729</v>
      </c>
      <c r="J1397">
        <v>76.14</v>
      </c>
      <c r="K1397">
        <v>60.73</v>
      </c>
      <c r="L1397">
        <v>56.34</v>
      </c>
      <c r="M1397">
        <v>3.84</v>
      </c>
      <c r="N1397" t="b">
        <v>1</v>
      </c>
      <c r="O1397">
        <v>186</v>
      </c>
      <c r="P1397" t="s">
        <v>1404</v>
      </c>
      <c r="Q1397" t="s">
        <v>3392</v>
      </c>
      <c r="R1397">
        <v>8.320197934952557</v>
      </c>
      <c r="S1397">
        <v>1763</v>
      </c>
      <c r="T1397">
        <v>224178</v>
      </c>
      <c r="U1397" t="s">
        <v>5375</v>
      </c>
      <c r="V1397">
        <v>34.33</v>
      </c>
      <c r="W1397" t="s">
        <v>7578</v>
      </c>
      <c r="X1397" t="s">
        <v>9571</v>
      </c>
      <c r="Y1397">
        <v>329</v>
      </c>
      <c r="Z1397">
        <v>27</v>
      </c>
      <c r="AA1397">
        <v>101313</v>
      </c>
      <c r="AB1397">
        <v>0.28</v>
      </c>
    </row>
    <row r="1398" spans="1:28">
      <c r="A1398" s="2">
        <f>HYPERLINK("https://finance.naver.com/item/coinfo.nhn?code=082270", "A082270")</f>
        <v>0</v>
      </c>
      <c r="B1398">
        <f>HYPERLINK("http://comp.fnguide.com/SVO2/ASP/SVD_Consensus.asp?pGB=1&amp;gicode=A082270&amp;cID=&amp;MenuYn=Y&amp;ReportGB=&amp;NewMenuID=108&amp;stkGb=701", "젬백스")</f>
        <v>0</v>
      </c>
      <c r="C1398">
        <v>0</v>
      </c>
      <c r="D1398">
        <v>23500</v>
      </c>
      <c r="E1398">
        <v>0</v>
      </c>
      <c r="G1398">
        <v>0</v>
      </c>
      <c r="H1398">
        <v>1446</v>
      </c>
      <c r="I1398">
        <v>1858</v>
      </c>
      <c r="J1398">
        <v>100</v>
      </c>
      <c r="K1398">
        <v>93.84999999999999</v>
      </c>
      <c r="L1398">
        <v>92.09</v>
      </c>
      <c r="M1398">
        <v>0</v>
      </c>
      <c r="N1398" t="b">
        <v>0</v>
      </c>
      <c r="O1398">
        <v>-2393</v>
      </c>
      <c r="P1398" t="s">
        <v>1405</v>
      </c>
      <c r="Q1398" t="s">
        <v>2276</v>
      </c>
      <c r="R1398">
        <v>0</v>
      </c>
      <c r="S1398">
        <v>9305</v>
      </c>
      <c r="T1398">
        <v>323266</v>
      </c>
      <c r="U1398" t="s">
        <v>5376</v>
      </c>
      <c r="V1398">
        <v>19.66</v>
      </c>
      <c r="W1398" t="s">
        <v>7579</v>
      </c>
      <c r="X1398" t="s">
        <v>968</v>
      </c>
      <c r="Y1398">
        <v>427</v>
      </c>
      <c r="Z1398">
        <v>-84</v>
      </c>
      <c r="AA1398">
        <v>126758</v>
      </c>
    </row>
    <row r="1399" spans="1:28">
      <c r="A1399" s="2">
        <f>HYPERLINK("https://finance.naver.com/item/coinfo.nhn?code=239340", "A239340")</f>
        <v>0</v>
      </c>
      <c r="B1399">
        <f>HYPERLINK("http://comp.fnguide.com/SVO2/ASP/SVD_Consensus.asp?pGB=1&amp;gicode=A239340&amp;cID=&amp;MenuYn=Y&amp;ReportGB=&amp;NewMenuID=108&amp;stkGb=701", "줌인터넷")</f>
        <v>0</v>
      </c>
      <c r="C1399">
        <v>0</v>
      </c>
      <c r="D1399">
        <v>6510</v>
      </c>
      <c r="G1399">
        <v>2082</v>
      </c>
      <c r="H1399">
        <v>1417</v>
      </c>
      <c r="I1399">
        <v>1227</v>
      </c>
      <c r="J1399">
        <v>68.02</v>
      </c>
      <c r="K1399">
        <v>78.23999999999999</v>
      </c>
      <c r="L1399">
        <v>81.15000000000001</v>
      </c>
      <c r="M1399">
        <v>17.03</v>
      </c>
      <c r="N1399" t="b">
        <v>0</v>
      </c>
      <c r="O1399">
        <v>-443</v>
      </c>
      <c r="P1399" t="s">
        <v>1406</v>
      </c>
      <c r="Q1399" t="s">
        <v>3393</v>
      </c>
      <c r="R1399">
        <v>224.2888547321296</v>
      </c>
      <c r="S1399">
        <v>1750</v>
      </c>
      <c r="T1399">
        <v>2578752</v>
      </c>
      <c r="U1399" t="s">
        <v>5377</v>
      </c>
      <c r="V1399">
        <v>55.24</v>
      </c>
      <c r="W1399" t="s">
        <v>7580</v>
      </c>
      <c r="X1399" t="s">
        <v>968</v>
      </c>
      <c r="Y1399">
        <v>247</v>
      </c>
      <c r="Z1399">
        <v>9</v>
      </c>
      <c r="AA1399">
        <v>72</v>
      </c>
    </row>
    <row r="1400" spans="1:28">
      <c r="A1400" s="2">
        <f>HYPERLINK("https://finance.naver.com/item/coinfo.nhn?code=033340", "A033340")</f>
        <v>0</v>
      </c>
      <c r="B1400">
        <f>HYPERLINK("http://comp.fnguide.com/SVO2/ASP/SVD_Consensus.asp?pGB=1&amp;gicode=A033340&amp;cID=&amp;MenuYn=Y&amp;ReportGB=&amp;NewMenuID=108&amp;stkGb=701", "좋은사람들")</f>
        <v>0</v>
      </c>
      <c r="C1400">
        <v>0</v>
      </c>
      <c r="D1400">
        <v>1545</v>
      </c>
      <c r="E1400">
        <v>0</v>
      </c>
      <c r="G1400">
        <v>296</v>
      </c>
      <c r="H1400">
        <v>1045</v>
      </c>
      <c r="I1400">
        <v>1258</v>
      </c>
      <c r="J1400">
        <v>80.87</v>
      </c>
      <c r="K1400">
        <v>32.37</v>
      </c>
      <c r="L1400">
        <v>18.54</v>
      </c>
      <c r="M1400">
        <v>1.53</v>
      </c>
      <c r="N1400" t="b">
        <v>0</v>
      </c>
      <c r="O1400">
        <v>-299</v>
      </c>
      <c r="P1400" t="s">
        <v>1407</v>
      </c>
      <c r="Q1400" t="s">
        <v>2276</v>
      </c>
      <c r="R1400">
        <v>0</v>
      </c>
      <c r="S1400">
        <v>771</v>
      </c>
      <c r="T1400">
        <v>729792</v>
      </c>
      <c r="U1400" t="s">
        <v>5378</v>
      </c>
      <c r="V1400">
        <v>13.29</v>
      </c>
      <c r="W1400" t="s">
        <v>7581</v>
      </c>
      <c r="X1400" t="s">
        <v>9572</v>
      </c>
      <c r="Y1400">
        <v>1267</v>
      </c>
      <c r="Z1400">
        <v>-92</v>
      </c>
    </row>
    <row r="1401" spans="1:28">
      <c r="A1401" s="2">
        <f>HYPERLINK("https://finance.naver.com/item/coinfo.nhn?code=067000", "A067000")</f>
        <v>0</v>
      </c>
      <c r="B1401">
        <f>HYPERLINK("http://comp.fnguide.com/SVO2/ASP/SVD_Consensus.asp?pGB=1&amp;gicode=A067000&amp;cID=&amp;MenuYn=Y&amp;ReportGB=&amp;NewMenuID=108&amp;stkGb=701", "조이시티")</f>
        <v>0</v>
      </c>
      <c r="C1401">
        <v>0</v>
      </c>
      <c r="D1401">
        <v>19800</v>
      </c>
      <c r="E1401">
        <v>0</v>
      </c>
      <c r="G1401">
        <v>0</v>
      </c>
      <c r="H1401">
        <v>1067</v>
      </c>
      <c r="I1401">
        <v>1371</v>
      </c>
      <c r="J1401">
        <v>100</v>
      </c>
      <c r="K1401">
        <v>94.61</v>
      </c>
      <c r="L1401">
        <v>93.06999999999999</v>
      </c>
      <c r="M1401">
        <v>0</v>
      </c>
      <c r="N1401" t="b">
        <v>0</v>
      </c>
      <c r="O1401">
        <v>-109</v>
      </c>
      <c r="P1401" t="s">
        <v>1408</v>
      </c>
      <c r="Q1401" t="s">
        <v>2276</v>
      </c>
      <c r="R1401">
        <v>0</v>
      </c>
      <c r="S1401">
        <v>3046</v>
      </c>
      <c r="T1401">
        <v>88430</v>
      </c>
      <c r="U1401" t="s">
        <v>5379</v>
      </c>
      <c r="V1401">
        <v>35.71</v>
      </c>
      <c r="W1401" t="s">
        <v>7582</v>
      </c>
      <c r="X1401" t="s">
        <v>9573</v>
      </c>
      <c r="Y1401">
        <v>1031</v>
      </c>
      <c r="Z1401">
        <v>85</v>
      </c>
      <c r="AA1401">
        <v>854869</v>
      </c>
    </row>
    <row r="1402" spans="1:28">
      <c r="A1402" s="2">
        <f>HYPERLINK("https://finance.naver.com/item/coinfo.nhn?code=101730", "A101730")</f>
        <v>0</v>
      </c>
      <c r="B1402">
        <f>HYPERLINK("http://comp.fnguide.com/SVO2/ASP/SVD_Consensus.asp?pGB=1&amp;gicode=A101730&amp;cID=&amp;MenuYn=Y&amp;ReportGB=&amp;NewMenuID=108&amp;stkGb=701", "조이맥스")</f>
        <v>0</v>
      </c>
      <c r="C1402">
        <v>0</v>
      </c>
      <c r="D1402">
        <v>3565</v>
      </c>
      <c r="E1402">
        <v>0</v>
      </c>
      <c r="G1402">
        <v>0</v>
      </c>
      <c r="H1402">
        <v>563</v>
      </c>
      <c r="I1402">
        <v>724</v>
      </c>
      <c r="J1402">
        <v>100</v>
      </c>
      <c r="K1402">
        <v>84.2</v>
      </c>
      <c r="L1402">
        <v>79.69</v>
      </c>
      <c r="M1402">
        <v>0</v>
      </c>
      <c r="N1402" t="b">
        <v>0</v>
      </c>
      <c r="O1402">
        <v>-1638</v>
      </c>
      <c r="P1402" t="s">
        <v>1409</v>
      </c>
      <c r="Q1402" t="s">
        <v>2276</v>
      </c>
      <c r="R1402">
        <v>0</v>
      </c>
      <c r="S1402">
        <v>563</v>
      </c>
      <c r="T1402">
        <v>132137</v>
      </c>
      <c r="U1402" t="s">
        <v>5380</v>
      </c>
      <c r="V1402">
        <v>45.42</v>
      </c>
      <c r="W1402" t="s">
        <v>7583</v>
      </c>
      <c r="X1402" t="s">
        <v>968</v>
      </c>
      <c r="Y1402">
        <v>305</v>
      </c>
      <c r="Z1402">
        <v>-110</v>
      </c>
      <c r="AA1402">
        <v>293399</v>
      </c>
    </row>
    <row r="1403" spans="1:28">
      <c r="A1403" s="2">
        <f>HYPERLINK("https://finance.naver.com/item/coinfo.nhn?code=034940", "A034940")</f>
        <v>0</v>
      </c>
      <c r="B1403">
        <f>HYPERLINK("http://comp.fnguide.com/SVO2/ASP/SVD_Consensus.asp?pGB=1&amp;gicode=A034940&amp;cID=&amp;MenuYn=Y&amp;ReportGB=&amp;NewMenuID=108&amp;stkGb=701", "조아제약")</f>
        <v>0</v>
      </c>
      <c r="C1403">
        <v>0</v>
      </c>
      <c r="D1403">
        <v>5170</v>
      </c>
      <c r="G1403">
        <v>199</v>
      </c>
      <c r="H1403">
        <v>1109</v>
      </c>
      <c r="I1403">
        <v>1369</v>
      </c>
      <c r="J1403">
        <v>96.15000000000001</v>
      </c>
      <c r="K1403">
        <v>78.54000000000001</v>
      </c>
      <c r="L1403">
        <v>73.53</v>
      </c>
      <c r="M1403">
        <v>0.93</v>
      </c>
      <c r="N1403" t="b">
        <v>0</v>
      </c>
      <c r="O1403">
        <v>-32</v>
      </c>
      <c r="P1403" t="s">
        <v>1410</v>
      </c>
      <c r="Q1403" t="s">
        <v>3394</v>
      </c>
      <c r="R1403">
        <v>-14.1425907150591</v>
      </c>
      <c r="S1403">
        <v>1602</v>
      </c>
      <c r="T1403">
        <v>674513</v>
      </c>
      <c r="U1403" t="s">
        <v>5381</v>
      </c>
      <c r="V1403">
        <v>19.57</v>
      </c>
      <c r="W1403" t="s">
        <v>7584</v>
      </c>
      <c r="X1403" t="s">
        <v>9574</v>
      </c>
      <c r="Y1403">
        <v>675</v>
      </c>
      <c r="Z1403">
        <v>-4</v>
      </c>
    </row>
    <row r="1404" spans="1:28">
      <c r="A1404" s="2">
        <f>HYPERLINK("https://finance.naver.com/item/coinfo.nhn?code=044060", "A044060")</f>
        <v>0</v>
      </c>
      <c r="B1404">
        <f>HYPERLINK("http://comp.fnguide.com/SVO2/ASP/SVD_Consensus.asp?pGB=1&amp;gicode=A044060&amp;cID=&amp;MenuYn=Y&amp;ReportGB=&amp;NewMenuID=108&amp;stkGb=701", "조광ILI")</f>
        <v>0</v>
      </c>
      <c r="C1404">
        <v>0</v>
      </c>
      <c r="D1404">
        <v>9020</v>
      </c>
      <c r="E1404">
        <v>-1.49</v>
      </c>
      <c r="F1404">
        <v>21.23</v>
      </c>
      <c r="G1404">
        <v>4272</v>
      </c>
      <c r="H1404">
        <v>4496</v>
      </c>
      <c r="I1404">
        <v>4560</v>
      </c>
      <c r="J1404">
        <v>52.64</v>
      </c>
      <c r="K1404">
        <v>50.15</v>
      </c>
      <c r="L1404">
        <v>49.44</v>
      </c>
      <c r="M1404">
        <v>7.33</v>
      </c>
      <c r="N1404" t="b">
        <v>1</v>
      </c>
      <c r="O1404">
        <v>359</v>
      </c>
      <c r="P1404" t="s">
        <v>1411</v>
      </c>
      <c r="Q1404" t="s">
        <v>3395</v>
      </c>
      <c r="R1404">
        <v>-14.20126161370726</v>
      </c>
      <c r="S1404">
        <v>892</v>
      </c>
      <c r="T1404">
        <v>470707</v>
      </c>
      <c r="U1404" t="s">
        <v>5382</v>
      </c>
      <c r="V1404">
        <v>21.68</v>
      </c>
      <c r="W1404" t="s">
        <v>7585</v>
      </c>
      <c r="X1404" t="s">
        <v>9575</v>
      </c>
      <c r="Y1404">
        <v>245</v>
      </c>
      <c r="Z1404">
        <v>42</v>
      </c>
      <c r="AA1404">
        <v>246850</v>
      </c>
    </row>
    <row r="1405" spans="1:28">
      <c r="A1405" s="2">
        <f>HYPERLINK("https://finance.naver.com/item/coinfo.nhn?code=106190", "A106190")</f>
        <v>0</v>
      </c>
      <c r="B1405">
        <f>HYPERLINK("http://comp.fnguide.com/SVO2/ASP/SVD_Consensus.asp?pGB=1&amp;gicode=A106190&amp;cID=&amp;MenuYn=Y&amp;ReportGB=&amp;NewMenuID=108&amp;stkGb=701", "하이텍팜")</f>
        <v>0</v>
      </c>
      <c r="C1405">
        <v>0</v>
      </c>
      <c r="D1405">
        <v>14200</v>
      </c>
      <c r="G1405">
        <v>2077</v>
      </c>
      <c r="H1405">
        <v>9186</v>
      </c>
      <c r="I1405">
        <v>11212</v>
      </c>
      <c r="J1405">
        <v>85.37</v>
      </c>
      <c r="K1405">
        <v>35.31</v>
      </c>
      <c r="L1405">
        <v>21.04</v>
      </c>
      <c r="M1405">
        <v>1.19</v>
      </c>
      <c r="N1405" t="b">
        <v>0</v>
      </c>
      <c r="O1405">
        <v>-595</v>
      </c>
      <c r="P1405" t="s">
        <v>1412</v>
      </c>
      <c r="Q1405" t="s">
        <v>3396</v>
      </c>
      <c r="R1405">
        <v>-26.38617220860222</v>
      </c>
      <c r="S1405">
        <v>1007</v>
      </c>
      <c r="T1405">
        <v>428455</v>
      </c>
      <c r="U1405" t="s">
        <v>5383</v>
      </c>
      <c r="V1405">
        <v>45.35</v>
      </c>
      <c r="W1405" t="s">
        <v>7586</v>
      </c>
      <c r="X1405" t="s">
        <v>9576</v>
      </c>
      <c r="Y1405">
        <v>631</v>
      </c>
      <c r="Z1405">
        <v>-45</v>
      </c>
      <c r="AB1405">
        <v>0.44</v>
      </c>
    </row>
    <row r="1406" spans="1:28">
      <c r="A1406" s="2">
        <f>HYPERLINK("https://finance.naver.com/item/coinfo.nhn?code=064800", "A064800")</f>
        <v>0</v>
      </c>
      <c r="B1406">
        <f>HYPERLINK("http://comp.fnguide.com/SVO2/ASP/SVD_Consensus.asp?pGB=1&amp;gicode=A064800&amp;cID=&amp;MenuYn=Y&amp;ReportGB=&amp;NewMenuID=108&amp;stkGb=701", "젬백스링크")</f>
        <v>0</v>
      </c>
      <c r="C1406">
        <v>0</v>
      </c>
      <c r="D1406">
        <v>1370</v>
      </c>
      <c r="E1406">
        <v>-4.25</v>
      </c>
      <c r="F1406">
        <v>32.56</v>
      </c>
      <c r="G1406">
        <v>292</v>
      </c>
      <c r="H1406">
        <v>1131</v>
      </c>
      <c r="I1406">
        <v>1370</v>
      </c>
      <c r="J1406">
        <v>78.67</v>
      </c>
      <c r="K1406">
        <v>17.47</v>
      </c>
      <c r="L1406">
        <v>0.03</v>
      </c>
      <c r="M1406">
        <v>1.38</v>
      </c>
      <c r="N1406" t="b">
        <v>1</v>
      </c>
      <c r="O1406">
        <v>47</v>
      </c>
      <c r="P1406" t="s">
        <v>1413</v>
      </c>
      <c r="Q1406" t="s">
        <v>3397</v>
      </c>
      <c r="R1406">
        <v>-7.664308092699057</v>
      </c>
      <c r="S1406">
        <v>1076</v>
      </c>
      <c r="T1406">
        <v>1281305</v>
      </c>
      <c r="U1406" t="s">
        <v>5384</v>
      </c>
      <c r="V1406">
        <v>25</v>
      </c>
      <c r="W1406" t="s">
        <v>7587</v>
      </c>
      <c r="X1406" t="s">
        <v>9577</v>
      </c>
      <c r="Y1406">
        <v>951</v>
      </c>
      <c r="Z1406">
        <v>59</v>
      </c>
      <c r="AB1406">
        <v>0.66</v>
      </c>
    </row>
    <row r="1407" spans="1:28">
      <c r="A1407" s="2">
        <f>HYPERLINK("https://finance.naver.com/item/coinfo.nhn?code=318000", "A318000")</f>
        <v>0</v>
      </c>
      <c r="B1407">
        <f>HYPERLINK("http://comp.fnguide.com/SVO2/ASP/SVD_Consensus.asp?pGB=1&amp;gicode=A318000&amp;cID=&amp;MenuYn=Y&amp;ReportGB=&amp;NewMenuID=108&amp;stkGb=701", "한국바이오젠")</f>
        <v>0</v>
      </c>
      <c r="C1407">
        <v>0</v>
      </c>
      <c r="D1407">
        <v>7430</v>
      </c>
      <c r="G1407">
        <v>2859</v>
      </c>
      <c r="H1407">
        <v>3059</v>
      </c>
      <c r="I1407">
        <v>3116</v>
      </c>
      <c r="J1407">
        <v>61.53</v>
      </c>
      <c r="K1407">
        <v>58.83</v>
      </c>
      <c r="L1407">
        <v>58.06</v>
      </c>
      <c r="M1407">
        <v>7.14</v>
      </c>
      <c r="N1407" t="b">
        <v>0</v>
      </c>
      <c r="O1407">
        <v>-197</v>
      </c>
      <c r="P1407" t="s">
        <v>1414</v>
      </c>
      <c r="Q1407" t="s">
        <v>3398</v>
      </c>
      <c r="R1407">
        <v>21.88359200483056</v>
      </c>
      <c r="S1407">
        <v>604</v>
      </c>
      <c r="T1407">
        <v>66284</v>
      </c>
      <c r="U1407" t="s">
        <v>5385</v>
      </c>
      <c r="V1407">
        <v>38.49</v>
      </c>
      <c r="W1407" t="s">
        <v>7588</v>
      </c>
      <c r="X1407" t="s">
        <v>968</v>
      </c>
      <c r="Y1407">
        <v>185</v>
      </c>
      <c r="Z1407">
        <v>30</v>
      </c>
      <c r="AA1407">
        <v>79364</v>
      </c>
      <c r="AB1407">
        <v>0.73</v>
      </c>
    </row>
    <row r="1408" spans="1:28">
      <c r="A1408" s="2">
        <f>HYPERLINK("https://finance.naver.com/item/coinfo.nhn?code=072520", "A072520")</f>
        <v>0</v>
      </c>
      <c r="B1408">
        <f>HYPERLINK("http://comp.fnguide.com/SVO2/ASP/SVD_Consensus.asp?pGB=1&amp;gicode=A072520&amp;cID=&amp;MenuYn=Y&amp;ReportGB=&amp;NewMenuID=108&amp;stkGb=701", "제넨바이오")</f>
        <v>0</v>
      </c>
      <c r="C1408">
        <v>0</v>
      </c>
      <c r="D1408">
        <v>3850</v>
      </c>
      <c r="E1408">
        <v>0</v>
      </c>
      <c r="G1408">
        <v>0</v>
      </c>
      <c r="H1408">
        <v>159</v>
      </c>
      <c r="I1408">
        <v>204</v>
      </c>
      <c r="J1408">
        <v>100</v>
      </c>
      <c r="K1408">
        <v>95.88</v>
      </c>
      <c r="L1408">
        <v>94.70999999999999</v>
      </c>
      <c r="M1408">
        <v>0</v>
      </c>
      <c r="N1408" t="b">
        <v>0</v>
      </c>
      <c r="O1408">
        <v>-573</v>
      </c>
      <c r="P1408" t="s">
        <v>1415</v>
      </c>
      <c r="Q1408" t="s">
        <v>2276</v>
      </c>
      <c r="R1408">
        <v>0</v>
      </c>
      <c r="S1408">
        <v>3722</v>
      </c>
      <c r="T1408">
        <v>2925705</v>
      </c>
      <c r="U1408" t="s">
        <v>5386</v>
      </c>
      <c r="V1408">
        <v>13.79</v>
      </c>
      <c r="W1408" t="s">
        <v>7589</v>
      </c>
      <c r="X1408" t="s">
        <v>968</v>
      </c>
      <c r="Y1408">
        <v>220</v>
      </c>
      <c r="Z1408">
        <v>-165</v>
      </c>
      <c r="AA1408">
        <v>87155</v>
      </c>
    </row>
    <row r="1409" spans="1:28">
      <c r="A1409" s="2">
        <f>HYPERLINK("https://finance.naver.com/item/coinfo.nhn?code=095700", "A095700")</f>
        <v>0</v>
      </c>
      <c r="B1409">
        <f>HYPERLINK("http://comp.fnguide.com/SVO2/ASP/SVD_Consensus.asp?pGB=1&amp;gicode=A095700&amp;cID=&amp;MenuYn=Y&amp;ReportGB=&amp;NewMenuID=108&amp;stkGb=701", "제넥신")</f>
        <v>0</v>
      </c>
      <c r="C1409">
        <v>0</v>
      </c>
      <c r="D1409">
        <v>151200</v>
      </c>
      <c r="E1409">
        <v>0</v>
      </c>
      <c r="G1409">
        <v>0</v>
      </c>
      <c r="H1409">
        <v>7351</v>
      </c>
      <c r="I1409">
        <v>9445</v>
      </c>
      <c r="J1409">
        <v>100</v>
      </c>
      <c r="K1409">
        <v>95.14</v>
      </c>
      <c r="L1409">
        <v>93.75</v>
      </c>
      <c r="M1409">
        <v>0</v>
      </c>
      <c r="N1409" t="b">
        <v>0</v>
      </c>
      <c r="O1409">
        <v>-718</v>
      </c>
      <c r="P1409" t="s">
        <v>1416</v>
      </c>
      <c r="Q1409" t="s">
        <v>2276</v>
      </c>
      <c r="R1409">
        <v>0</v>
      </c>
      <c r="S1409">
        <v>36694</v>
      </c>
      <c r="T1409">
        <v>2468523</v>
      </c>
      <c r="U1409" t="s">
        <v>5387</v>
      </c>
      <c r="V1409">
        <v>15.59</v>
      </c>
      <c r="W1409" t="s">
        <v>7590</v>
      </c>
      <c r="X1409" t="s">
        <v>968</v>
      </c>
      <c r="Y1409">
        <v>113</v>
      </c>
      <c r="Z1409">
        <v>-445</v>
      </c>
    </row>
    <row r="1410" spans="1:28">
      <c r="A1410" s="2">
        <f>HYPERLINK("https://finance.naver.com/item/coinfo.nhn?code=083640", "A083640")</f>
        <v>0</v>
      </c>
      <c r="B1410">
        <f>HYPERLINK("http://comp.fnguide.com/SVO2/ASP/SVD_Consensus.asp?pGB=1&amp;gicode=A083640&amp;cID=&amp;MenuYn=Y&amp;ReportGB=&amp;NewMenuID=108&amp;stkGb=701", "인콘")</f>
        <v>0</v>
      </c>
      <c r="C1410">
        <v>0</v>
      </c>
      <c r="D1410">
        <v>4210</v>
      </c>
      <c r="E1410">
        <v>0</v>
      </c>
      <c r="G1410">
        <v>59</v>
      </c>
      <c r="H1410">
        <v>833</v>
      </c>
      <c r="I1410">
        <v>1053</v>
      </c>
      <c r="J1410">
        <v>98.61</v>
      </c>
      <c r="K1410">
        <v>80.22</v>
      </c>
      <c r="L1410">
        <v>74.98</v>
      </c>
      <c r="M1410">
        <v>0.35</v>
      </c>
      <c r="N1410" t="b">
        <v>0</v>
      </c>
      <c r="O1410">
        <v>-646</v>
      </c>
      <c r="P1410" t="s">
        <v>1417</v>
      </c>
      <c r="Q1410" t="s">
        <v>2276</v>
      </c>
      <c r="R1410">
        <v>0</v>
      </c>
      <c r="S1410">
        <v>1694</v>
      </c>
      <c r="T1410">
        <v>25500405</v>
      </c>
      <c r="U1410" t="s">
        <v>5388</v>
      </c>
      <c r="V1410">
        <v>17.16</v>
      </c>
      <c r="W1410" t="s">
        <v>7591</v>
      </c>
      <c r="X1410" t="s">
        <v>9578</v>
      </c>
      <c r="Y1410">
        <v>308</v>
      </c>
      <c r="Z1410">
        <v>-24</v>
      </c>
      <c r="AA1410">
        <v>606073</v>
      </c>
    </row>
    <row r="1411" spans="1:28">
      <c r="A1411" s="2">
        <f>HYPERLINK("https://finance.naver.com/item/coinfo.nhn?code=048530", "A048530")</f>
        <v>0</v>
      </c>
      <c r="B1411">
        <f>HYPERLINK("http://comp.fnguide.com/SVO2/ASP/SVD_Consensus.asp?pGB=1&amp;gicode=A048530&amp;cID=&amp;MenuYn=Y&amp;ReportGB=&amp;NewMenuID=108&amp;stkGb=701", "인트론바이오")</f>
        <v>0</v>
      </c>
      <c r="C1411">
        <v>0</v>
      </c>
      <c r="D1411">
        <v>14900</v>
      </c>
      <c r="G1411">
        <v>2079</v>
      </c>
      <c r="H1411">
        <v>2019</v>
      </c>
      <c r="I1411">
        <v>2001</v>
      </c>
      <c r="J1411">
        <v>86.05</v>
      </c>
      <c r="K1411">
        <v>86.45</v>
      </c>
      <c r="L1411">
        <v>86.56999999999999</v>
      </c>
      <c r="M1411">
        <v>8.380000000000001</v>
      </c>
      <c r="N1411" t="b">
        <v>0</v>
      </c>
      <c r="O1411">
        <v>-101</v>
      </c>
      <c r="P1411" t="s">
        <v>1418</v>
      </c>
      <c r="Q1411" t="s">
        <v>3399</v>
      </c>
      <c r="R1411">
        <v>8199</v>
      </c>
      <c r="S1411">
        <v>4906</v>
      </c>
      <c r="T1411">
        <v>305396</v>
      </c>
      <c r="U1411" t="s">
        <v>5389</v>
      </c>
      <c r="V1411">
        <v>16.31</v>
      </c>
      <c r="W1411" t="s">
        <v>7592</v>
      </c>
      <c r="X1411" t="s">
        <v>9579</v>
      </c>
      <c r="Y1411">
        <v>83</v>
      </c>
      <c r="Z1411">
        <v>-44</v>
      </c>
      <c r="AA1411">
        <v>66179</v>
      </c>
    </row>
    <row r="1412" spans="1:28">
      <c r="A1412" s="2">
        <f>HYPERLINK("https://finance.naver.com/item/coinfo.nhn?code=150840", "A150840")</f>
        <v>0</v>
      </c>
      <c r="B1412">
        <f>HYPERLINK("http://comp.fnguide.com/SVO2/ASP/SVD_Consensus.asp?pGB=1&amp;gicode=A150840&amp;cID=&amp;MenuYn=Y&amp;ReportGB=&amp;NewMenuID=108&amp;stkGb=701", "인트로메딕")</f>
        <v>0</v>
      </c>
      <c r="C1412">
        <v>0</v>
      </c>
      <c r="D1412">
        <v>3720</v>
      </c>
      <c r="E1412">
        <v>0</v>
      </c>
      <c r="G1412">
        <v>0</v>
      </c>
      <c r="H1412">
        <v>303</v>
      </c>
      <c r="I1412">
        <v>389</v>
      </c>
      <c r="J1412">
        <v>100</v>
      </c>
      <c r="K1412">
        <v>91.86</v>
      </c>
      <c r="L1412">
        <v>89.55</v>
      </c>
      <c r="M1412">
        <v>0</v>
      </c>
      <c r="N1412" t="b">
        <v>0</v>
      </c>
      <c r="O1412">
        <v>-840</v>
      </c>
      <c r="P1412" t="s">
        <v>1419</v>
      </c>
      <c r="Q1412" t="s">
        <v>2276</v>
      </c>
      <c r="R1412">
        <v>0</v>
      </c>
      <c r="S1412">
        <v>1167</v>
      </c>
      <c r="T1412">
        <v>1120087</v>
      </c>
      <c r="U1412" t="s">
        <v>5390</v>
      </c>
      <c r="V1412">
        <v>3.95</v>
      </c>
      <c r="W1412" t="s">
        <v>7593</v>
      </c>
      <c r="X1412" t="s">
        <v>968</v>
      </c>
      <c r="Y1412">
        <v>88</v>
      </c>
      <c r="Z1412">
        <v>-53</v>
      </c>
    </row>
    <row r="1413" spans="1:28">
      <c r="A1413" s="2">
        <f>HYPERLINK("https://finance.naver.com/item/coinfo.nhn?code=189300", "A189300")</f>
        <v>0</v>
      </c>
      <c r="B1413">
        <f>HYPERLINK("http://comp.fnguide.com/SVO2/ASP/SVD_Consensus.asp?pGB=1&amp;gicode=A189300&amp;cID=&amp;MenuYn=Y&amp;ReportGB=&amp;NewMenuID=108&amp;stkGb=701", "인텔리안테크")</f>
        <v>0</v>
      </c>
      <c r="C1413">
        <v>0</v>
      </c>
      <c r="D1413">
        <v>37150</v>
      </c>
      <c r="E1413">
        <v>-0.8100000000000001</v>
      </c>
      <c r="F1413">
        <v>33.73</v>
      </c>
      <c r="G1413">
        <v>15136</v>
      </c>
      <c r="H1413">
        <v>13041</v>
      </c>
      <c r="I1413">
        <v>12443</v>
      </c>
      <c r="J1413">
        <v>59.26</v>
      </c>
      <c r="K1413">
        <v>64.90000000000001</v>
      </c>
      <c r="L1413">
        <v>66.51000000000001</v>
      </c>
      <c r="M1413">
        <v>10.36</v>
      </c>
      <c r="N1413" t="b">
        <v>1</v>
      </c>
      <c r="O1413">
        <v>1063</v>
      </c>
      <c r="P1413" t="s">
        <v>1420</v>
      </c>
      <c r="Q1413" t="s">
        <v>3400</v>
      </c>
      <c r="R1413">
        <v>-41.66629618662287</v>
      </c>
      <c r="S1413">
        <v>2809</v>
      </c>
      <c r="T1413">
        <v>268612</v>
      </c>
      <c r="U1413" t="s">
        <v>5391</v>
      </c>
      <c r="V1413">
        <v>37.03</v>
      </c>
      <c r="W1413" t="s">
        <v>7594</v>
      </c>
      <c r="X1413" t="s">
        <v>9580</v>
      </c>
      <c r="Y1413">
        <v>1180</v>
      </c>
      <c r="Z1413">
        <v>82</v>
      </c>
      <c r="AA1413">
        <v>264096</v>
      </c>
      <c r="AB1413">
        <v>0.28</v>
      </c>
    </row>
    <row r="1414" spans="1:28">
      <c r="A1414" s="2">
        <f>HYPERLINK("https://finance.naver.com/item/coinfo.nhn?code=064290", "A064290")</f>
        <v>0</v>
      </c>
      <c r="B1414">
        <f>HYPERLINK("http://comp.fnguide.com/SVO2/ASP/SVD_Consensus.asp?pGB=1&amp;gicode=A064290&amp;cID=&amp;MenuYn=Y&amp;ReportGB=&amp;NewMenuID=108&amp;stkGb=701", "인텍플러스")</f>
        <v>0</v>
      </c>
      <c r="C1414">
        <v>0</v>
      </c>
      <c r="D1414">
        <v>13650</v>
      </c>
      <c r="E1414">
        <v>0.22</v>
      </c>
      <c r="F1414">
        <v>11.3</v>
      </c>
      <c r="G1414">
        <v>3174</v>
      </c>
      <c r="H1414">
        <v>2334</v>
      </c>
      <c r="I1414">
        <v>2095</v>
      </c>
      <c r="J1414">
        <v>76.75</v>
      </c>
      <c r="K1414">
        <v>82.90000000000001</v>
      </c>
      <c r="L1414">
        <v>84.66</v>
      </c>
      <c r="M1414">
        <v>14.24</v>
      </c>
      <c r="N1414" t="b">
        <v>1</v>
      </c>
      <c r="O1414">
        <v>434</v>
      </c>
      <c r="P1414" t="s">
        <v>1421</v>
      </c>
      <c r="Q1414" t="s">
        <v>3401</v>
      </c>
      <c r="R1414">
        <v>51.90000000000001</v>
      </c>
      <c r="S1414">
        <v>1722</v>
      </c>
      <c r="T1414">
        <v>125954</v>
      </c>
      <c r="U1414" t="s">
        <v>5392</v>
      </c>
      <c r="V1414">
        <v>16.25</v>
      </c>
      <c r="W1414" t="s">
        <v>7595</v>
      </c>
      <c r="X1414" t="s">
        <v>9581</v>
      </c>
      <c r="Y1414">
        <v>405</v>
      </c>
      <c r="Z1414">
        <v>47</v>
      </c>
      <c r="AA1414">
        <v>392642</v>
      </c>
    </row>
    <row r="1415" spans="1:28">
      <c r="A1415" s="2">
        <f>HYPERLINK("https://finance.naver.com/item/coinfo.nhn?code=063570", "A063570")</f>
        <v>0</v>
      </c>
      <c r="B1415">
        <f>HYPERLINK("http://comp.fnguide.com/SVO2/ASP/SVD_Consensus.asp?pGB=1&amp;gicode=A063570&amp;cID=&amp;MenuYn=Y&amp;ReportGB=&amp;NewMenuID=108&amp;stkGb=701", "한국전자금융")</f>
        <v>0</v>
      </c>
      <c r="C1415">
        <v>0</v>
      </c>
      <c r="D1415">
        <v>6130</v>
      </c>
      <c r="E1415">
        <v>-2.28</v>
      </c>
      <c r="F1415">
        <v>58.94</v>
      </c>
      <c r="G1415">
        <v>5657</v>
      </c>
      <c r="H1415">
        <v>5356</v>
      </c>
      <c r="I1415">
        <v>5271</v>
      </c>
      <c r="J1415">
        <v>7.72</v>
      </c>
      <c r="K1415">
        <v>12.62</v>
      </c>
      <c r="L1415">
        <v>14.02</v>
      </c>
      <c r="M1415">
        <v>8.74</v>
      </c>
      <c r="N1415" t="b">
        <v>0</v>
      </c>
      <c r="O1415">
        <v>132</v>
      </c>
      <c r="P1415" t="s">
        <v>1422</v>
      </c>
      <c r="Q1415" t="s">
        <v>3402</v>
      </c>
      <c r="R1415">
        <v>-25.87533135281863</v>
      </c>
      <c r="S1415">
        <v>2093</v>
      </c>
      <c r="T1415">
        <v>343747</v>
      </c>
      <c r="U1415" t="s">
        <v>5393</v>
      </c>
      <c r="V1415">
        <v>35.8</v>
      </c>
      <c r="W1415" t="s">
        <v>7596</v>
      </c>
      <c r="X1415" t="s">
        <v>9582</v>
      </c>
      <c r="Y1415">
        <v>2829</v>
      </c>
      <c r="Z1415">
        <v>160</v>
      </c>
      <c r="AA1415">
        <v>3817360</v>
      </c>
      <c r="AB1415">
        <v>1.41</v>
      </c>
    </row>
    <row r="1416" spans="1:28">
      <c r="A1416" s="2">
        <f>HYPERLINK("https://finance.naver.com/item/coinfo.nhn?code=041460", "A041460")</f>
        <v>0</v>
      </c>
      <c r="B1416">
        <f>HYPERLINK("http://comp.fnguide.com/SVO2/ASP/SVD_Consensus.asp?pGB=1&amp;gicode=A041460&amp;cID=&amp;MenuYn=Y&amp;ReportGB=&amp;NewMenuID=108&amp;stkGb=701", "한국전자인증")</f>
        <v>0</v>
      </c>
      <c r="C1416">
        <v>0</v>
      </c>
      <c r="D1416">
        <v>7380</v>
      </c>
      <c r="E1416">
        <v>-3.76</v>
      </c>
      <c r="F1416">
        <v>57.61</v>
      </c>
      <c r="G1416">
        <v>1802</v>
      </c>
      <c r="H1416">
        <v>2005</v>
      </c>
      <c r="I1416">
        <v>2064</v>
      </c>
      <c r="J1416">
        <v>75.59</v>
      </c>
      <c r="K1416">
        <v>72.83</v>
      </c>
      <c r="L1416">
        <v>72.04000000000001</v>
      </c>
      <c r="M1416">
        <v>6.71</v>
      </c>
      <c r="N1416" t="b">
        <v>0</v>
      </c>
      <c r="O1416">
        <v>78</v>
      </c>
      <c r="P1416" t="s">
        <v>1423</v>
      </c>
      <c r="Q1416" t="s">
        <v>3403</v>
      </c>
      <c r="R1416">
        <v>-15.31414005950054</v>
      </c>
      <c r="S1416">
        <v>1584</v>
      </c>
      <c r="T1416">
        <v>1540195</v>
      </c>
      <c r="U1416" t="s">
        <v>5394</v>
      </c>
      <c r="V1416">
        <v>15.69</v>
      </c>
      <c r="W1416" t="s">
        <v>7597</v>
      </c>
      <c r="X1416" t="s">
        <v>9583</v>
      </c>
      <c r="Y1416">
        <v>287</v>
      </c>
      <c r="Z1416">
        <v>23</v>
      </c>
      <c r="AA1416">
        <v>2541874</v>
      </c>
      <c r="AB1416">
        <v>1.03</v>
      </c>
    </row>
    <row r="1417" spans="1:28">
      <c r="A1417" s="2">
        <f>HYPERLINK("https://finance.naver.com/item/coinfo.nhn?code=051370", "A051370")</f>
        <v>0</v>
      </c>
      <c r="B1417">
        <f>HYPERLINK("http://comp.fnguide.com/SVO2/ASP/SVD_Consensus.asp?pGB=1&amp;gicode=A051370&amp;cID=&amp;MenuYn=Y&amp;ReportGB=&amp;NewMenuID=108&amp;stkGb=701", "인터플렉스")</f>
        <v>0</v>
      </c>
      <c r="C1417">
        <v>0</v>
      </c>
      <c r="D1417">
        <v>16650</v>
      </c>
      <c r="E1417">
        <v>0</v>
      </c>
      <c r="G1417">
        <v>2614</v>
      </c>
      <c r="H1417">
        <v>6653</v>
      </c>
      <c r="I1417">
        <v>7804</v>
      </c>
      <c r="J1417">
        <v>84.3</v>
      </c>
      <c r="K1417">
        <v>60.04</v>
      </c>
      <c r="L1417">
        <v>53.13</v>
      </c>
      <c r="M1417">
        <v>2.23</v>
      </c>
      <c r="N1417" t="b">
        <v>0</v>
      </c>
      <c r="O1417">
        <v>-1212</v>
      </c>
      <c r="P1417" t="s">
        <v>1424</v>
      </c>
      <c r="Q1417" t="s">
        <v>2276</v>
      </c>
      <c r="R1417">
        <v>0</v>
      </c>
      <c r="S1417">
        <v>3884</v>
      </c>
      <c r="T1417">
        <v>649254</v>
      </c>
      <c r="U1417" t="s">
        <v>5395</v>
      </c>
      <c r="V1417">
        <v>47.72</v>
      </c>
      <c r="W1417" t="s">
        <v>7598</v>
      </c>
      <c r="X1417" t="s">
        <v>9584</v>
      </c>
      <c r="Y1417">
        <v>4392</v>
      </c>
      <c r="Z1417">
        <v>-168</v>
      </c>
    </row>
    <row r="1418" spans="1:28">
      <c r="A1418" s="2">
        <f>HYPERLINK("https://finance.naver.com/item/coinfo.nhn?code=216050", "A216050")</f>
        <v>0</v>
      </c>
      <c r="B1418">
        <f>HYPERLINK("http://comp.fnguide.com/SVO2/ASP/SVD_Consensus.asp?pGB=1&amp;gicode=A216050&amp;cID=&amp;MenuYn=Y&amp;ReportGB=&amp;NewMenuID=108&amp;stkGb=701", "인크로스")</f>
        <v>0</v>
      </c>
      <c r="C1418">
        <v>0</v>
      </c>
      <c r="D1418">
        <v>48200</v>
      </c>
      <c r="E1418">
        <v>1.69</v>
      </c>
      <c r="F1418">
        <v>21.73</v>
      </c>
      <c r="G1418">
        <v>16429</v>
      </c>
      <c r="H1418">
        <v>12025</v>
      </c>
      <c r="I1418">
        <v>10770</v>
      </c>
      <c r="J1418">
        <v>65.92</v>
      </c>
      <c r="K1418">
        <v>75.05</v>
      </c>
      <c r="L1418">
        <v>77.66</v>
      </c>
      <c r="M1418">
        <v>14.39</v>
      </c>
      <c r="N1418" t="b">
        <v>0</v>
      </c>
      <c r="O1418">
        <v>1157</v>
      </c>
      <c r="P1418" t="s">
        <v>1425</v>
      </c>
      <c r="Q1418" t="s">
        <v>3404</v>
      </c>
      <c r="R1418">
        <v>12.8619955443122</v>
      </c>
      <c r="S1418">
        <v>3883</v>
      </c>
      <c r="T1418">
        <v>56020</v>
      </c>
      <c r="U1418" t="s">
        <v>5396</v>
      </c>
      <c r="V1418">
        <v>39.4</v>
      </c>
      <c r="W1418" t="s">
        <v>7599</v>
      </c>
      <c r="X1418" t="s">
        <v>9585</v>
      </c>
      <c r="Y1418">
        <v>345</v>
      </c>
      <c r="Z1418">
        <v>122</v>
      </c>
      <c r="AA1418">
        <v>836405</v>
      </c>
    </row>
    <row r="1419" spans="1:28">
      <c r="A1419" s="2">
        <f>HYPERLINK("https://finance.naver.com/item/coinfo.nhn?code=033230", "A033230")</f>
        <v>0</v>
      </c>
      <c r="B1419">
        <f>HYPERLINK("http://comp.fnguide.com/SVO2/ASP/SVD_Consensus.asp?pGB=1&amp;gicode=A033230&amp;cID=&amp;MenuYn=Y&amp;ReportGB=&amp;NewMenuID=108&amp;stkGb=701", "인성정보")</f>
        <v>0</v>
      </c>
      <c r="C1419">
        <v>0</v>
      </c>
      <c r="D1419">
        <v>3380</v>
      </c>
      <c r="E1419">
        <v>0</v>
      </c>
      <c r="G1419">
        <v>0</v>
      </c>
      <c r="H1419">
        <v>1087</v>
      </c>
      <c r="I1419">
        <v>1396</v>
      </c>
      <c r="J1419">
        <v>100</v>
      </c>
      <c r="K1419">
        <v>67.84999999999999</v>
      </c>
      <c r="L1419">
        <v>58.69</v>
      </c>
      <c r="M1419">
        <v>0</v>
      </c>
      <c r="N1419" t="b">
        <v>0</v>
      </c>
      <c r="O1419">
        <v>-21</v>
      </c>
      <c r="P1419" t="s">
        <v>1426</v>
      </c>
      <c r="Q1419" t="s">
        <v>2276</v>
      </c>
      <c r="R1419">
        <v>0</v>
      </c>
      <c r="S1419">
        <v>729</v>
      </c>
      <c r="T1419">
        <v>287116</v>
      </c>
      <c r="U1419" t="s">
        <v>5397</v>
      </c>
      <c r="V1419">
        <v>19.44</v>
      </c>
      <c r="W1419" t="s">
        <v>7600</v>
      </c>
      <c r="X1419" t="s">
        <v>968</v>
      </c>
      <c r="Y1419">
        <v>2467</v>
      </c>
      <c r="Z1419">
        <v>35</v>
      </c>
      <c r="AA1419">
        <v>404250</v>
      </c>
    </row>
    <row r="1420" spans="1:28">
      <c r="A1420" s="2">
        <f>HYPERLINK("https://finance.naver.com/item/coinfo.nhn?code=175140", "A175140")</f>
        <v>0</v>
      </c>
      <c r="B1420">
        <f>HYPERLINK("http://comp.fnguide.com/SVO2/ASP/SVD_Consensus.asp?pGB=1&amp;gicode=A175140&amp;cID=&amp;MenuYn=Y&amp;ReportGB=&amp;NewMenuID=108&amp;stkGb=701", "인포마크")</f>
        <v>0</v>
      </c>
      <c r="C1420">
        <v>0</v>
      </c>
      <c r="D1420">
        <v>6200</v>
      </c>
      <c r="E1420">
        <v>0</v>
      </c>
      <c r="G1420">
        <v>76</v>
      </c>
      <c r="H1420">
        <v>1922</v>
      </c>
      <c r="I1420">
        <v>2448</v>
      </c>
      <c r="J1420">
        <v>98.77</v>
      </c>
      <c r="K1420">
        <v>69</v>
      </c>
      <c r="L1420">
        <v>60.52</v>
      </c>
      <c r="M1420">
        <v>0.19</v>
      </c>
      <c r="N1420" t="b">
        <v>0</v>
      </c>
      <c r="O1420">
        <v>-2910</v>
      </c>
      <c r="P1420" t="s">
        <v>1427</v>
      </c>
      <c r="Q1420" t="s">
        <v>2276</v>
      </c>
      <c r="R1420">
        <v>0</v>
      </c>
      <c r="S1420">
        <v>227</v>
      </c>
      <c r="T1420">
        <v>25281</v>
      </c>
      <c r="U1420" t="s">
        <v>5398</v>
      </c>
      <c r="V1420">
        <v>24.43</v>
      </c>
      <c r="W1420" t="s">
        <v>7601</v>
      </c>
      <c r="X1420" t="s">
        <v>9586</v>
      </c>
      <c r="Y1420">
        <v>752</v>
      </c>
      <c r="Z1420">
        <v>-118</v>
      </c>
    </row>
    <row r="1421" spans="1:28">
      <c r="A1421" s="2">
        <f>HYPERLINK("https://finance.naver.com/item/coinfo.nhn?code=060150", "A060150")</f>
        <v>0</v>
      </c>
      <c r="B1421">
        <f>HYPERLINK("http://comp.fnguide.com/SVO2/ASP/SVD_Consensus.asp?pGB=1&amp;gicode=A060150&amp;cID=&amp;MenuYn=Y&amp;ReportGB=&amp;NewMenuID=108&amp;stkGb=701", "인선이엔티")</f>
        <v>0</v>
      </c>
      <c r="C1421">
        <v>0</v>
      </c>
      <c r="D1421">
        <v>10050</v>
      </c>
      <c r="E1421">
        <v>0.1</v>
      </c>
      <c r="F1421">
        <v>19.18</v>
      </c>
      <c r="G1421">
        <v>4197</v>
      </c>
      <c r="H1421">
        <v>4337</v>
      </c>
      <c r="I1421">
        <v>4377</v>
      </c>
      <c r="J1421">
        <v>58.24</v>
      </c>
      <c r="K1421">
        <v>56.85</v>
      </c>
      <c r="L1421">
        <v>56.45</v>
      </c>
      <c r="M1421">
        <v>7.55</v>
      </c>
      <c r="N1421" t="b">
        <v>0</v>
      </c>
      <c r="O1421">
        <v>434</v>
      </c>
      <c r="P1421" t="s">
        <v>1428</v>
      </c>
      <c r="Q1421" t="s">
        <v>3405</v>
      </c>
      <c r="R1421">
        <v>201.5077694712317</v>
      </c>
      <c r="S1421">
        <v>4669</v>
      </c>
      <c r="T1421">
        <v>546267</v>
      </c>
      <c r="U1421" t="s">
        <v>5399</v>
      </c>
      <c r="V1421">
        <v>45.08</v>
      </c>
      <c r="W1421" t="s">
        <v>7602</v>
      </c>
      <c r="X1421" t="s">
        <v>9587</v>
      </c>
      <c r="Y1421">
        <v>1839</v>
      </c>
      <c r="Z1421">
        <v>296</v>
      </c>
    </row>
    <row r="1422" spans="1:28">
      <c r="A1422" s="2">
        <f>HYPERLINK("https://finance.naver.com/item/coinfo.nhn?code=277410", "A277410")</f>
        <v>0</v>
      </c>
      <c r="B1422">
        <f>HYPERLINK("http://comp.fnguide.com/SVO2/ASP/SVD_Consensus.asp?pGB=1&amp;gicode=A277410&amp;cID=&amp;MenuYn=Y&amp;ReportGB=&amp;NewMenuID=108&amp;stkGb=701", "인산가")</f>
        <v>0</v>
      </c>
      <c r="C1422">
        <v>0</v>
      </c>
      <c r="D1422">
        <v>2055</v>
      </c>
      <c r="E1422">
        <v>0.2</v>
      </c>
      <c r="F1422">
        <v>16.13</v>
      </c>
      <c r="G1422">
        <v>1491</v>
      </c>
      <c r="H1422">
        <v>1290</v>
      </c>
      <c r="I1422">
        <v>1233</v>
      </c>
      <c r="J1422">
        <v>27.42</v>
      </c>
      <c r="K1422">
        <v>37.22</v>
      </c>
      <c r="L1422">
        <v>40.01</v>
      </c>
      <c r="M1422">
        <v>10.28</v>
      </c>
      <c r="N1422" t="b">
        <v>1</v>
      </c>
      <c r="O1422">
        <v>119</v>
      </c>
      <c r="P1422" t="s">
        <v>1429</v>
      </c>
      <c r="Q1422" t="s">
        <v>3406</v>
      </c>
      <c r="R1422">
        <v>79.93382116767262</v>
      </c>
      <c r="S1422">
        <v>545</v>
      </c>
      <c r="T1422">
        <v>2389786</v>
      </c>
      <c r="U1422" t="s">
        <v>5400</v>
      </c>
      <c r="V1422">
        <v>30.47</v>
      </c>
      <c r="W1422" t="s">
        <v>7603</v>
      </c>
      <c r="X1422" t="s">
        <v>9588</v>
      </c>
      <c r="Y1422">
        <v>259</v>
      </c>
      <c r="Z1422">
        <v>40</v>
      </c>
      <c r="AA1422">
        <v>44106</v>
      </c>
      <c r="AB1422">
        <v>1.57</v>
      </c>
    </row>
    <row r="1423" spans="1:28">
      <c r="A1423" s="2">
        <f>HYPERLINK("https://finance.naver.com/item/coinfo.nhn?code=079950", "A079950")</f>
        <v>0</v>
      </c>
      <c r="B1423">
        <f>HYPERLINK("http://comp.fnguide.com/SVO2/ASP/SVD_Consensus.asp?pGB=1&amp;gicode=A079950&amp;cID=&amp;MenuYn=Y&amp;ReportGB=&amp;NewMenuID=108&amp;stkGb=701", "인베니아")</f>
        <v>0</v>
      </c>
      <c r="C1423">
        <v>0</v>
      </c>
      <c r="D1423">
        <v>2945</v>
      </c>
      <c r="E1423">
        <v>-54.93</v>
      </c>
      <c r="F1423">
        <v>51.13</v>
      </c>
      <c r="G1423">
        <v>1542</v>
      </c>
      <c r="H1423">
        <v>1845</v>
      </c>
      <c r="I1423">
        <v>1931</v>
      </c>
      <c r="J1423">
        <v>47.65</v>
      </c>
      <c r="K1423">
        <v>37.35</v>
      </c>
      <c r="L1423">
        <v>34.42</v>
      </c>
      <c r="M1423">
        <v>6</v>
      </c>
      <c r="N1423" t="b">
        <v>1</v>
      </c>
      <c r="O1423">
        <v>50</v>
      </c>
      <c r="P1423" t="s">
        <v>1430</v>
      </c>
      <c r="Q1423" t="s">
        <v>3407</v>
      </c>
      <c r="R1423">
        <v>-0.9308050295706027</v>
      </c>
      <c r="S1423">
        <v>683</v>
      </c>
      <c r="T1423">
        <v>140238</v>
      </c>
      <c r="U1423" t="s">
        <v>5401</v>
      </c>
      <c r="V1423">
        <v>29.94</v>
      </c>
      <c r="W1423" t="s">
        <v>7604</v>
      </c>
      <c r="X1423" t="s">
        <v>9589</v>
      </c>
      <c r="Y1423">
        <v>1462</v>
      </c>
      <c r="Z1423">
        <v>41</v>
      </c>
      <c r="AA1423">
        <v>1160000</v>
      </c>
    </row>
    <row r="1424" spans="1:28">
      <c r="A1424" s="2">
        <f>HYPERLINK("https://finance.naver.com/item/coinfo.nhn?code=001840", "A001840")</f>
        <v>0</v>
      </c>
      <c r="B1424">
        <f>HYPERLINK("http://comp.fnguide.com/SVO2/ASP/SVD_Consensus.asp?pGB=1&amp;gicode=A001840&amp;cID=&amp;MenuYn=Y&amp;ReportGB=&amp;NewMenuID=108&amp;stkGb=701", "이화공영")</f>
        <v>0</v>
      </c>
      <c r="C1424">
        <v>0</v>
      </c>
      <c r="D1424">
        <v>5350</v>
      </c>
      <c r="E1424">
        <v>-9.800000000000001</v>
      </c>
      <c r="F1424">
        <v>340.35</v>
      </c>
      <c r="G1424">
        <v>360</v>
      </c>
      <c r="H1424">
        <v>1439</v>
      </c>
      <c r="I1424">
        <v>1747</v>
      </c>
      <c r="J1424">
        <v>93.27</v>
      </c>
      <c r="K1424">
        <v>73.09999999999999</v>
      </c>
      <c r="L1424">
        <v>67.34999999999999</v>
      </c>
      <c r="M1424">
        <v>1.33</v>
      </c>
      <c r="N1424" t="b">
        <v>0</v>
      </c>
      <c r="O1424">
        <v>14</v>
      </c>
      <c r="P1424" t="s">
        <v>1431</v>
      </c>
      <c r="Q1424" t="s">
        <v>3408</v>
      </c>
      <c r="R1424">
        <v>-34.71928727011031</v>
      </c>
      <c r="S1424">
        <v>1060</v>
      </c>
      <c r="T1424">
        <v>127652</v>
      </c>
      <c r="U1424" t="s">
        <v>5402</v>
      </c>
      <c r="V1424">
        <v>45.47</v>
      </c>
      <c r="W1424" t="s">
        <v>7605</v>
      </c>
      <c r="X1424" t="s">
        <v>9590</v>
      </c>
      <c r="Y1424">
        <v>1384</v>
      </c>
      <c r="Z1424">
        <v>1</v>
      </c>
      <c r="AA1424">
        <v>1994</v>
      </c>
      <c r="AB1424">
        <v>0.22</v>
      </c>
    </row>
    <row r="1425" spans="1:28">
      <c r="A1425" s="2">
        <f>HYPERLINK("https://finance.naver.com/item/coinfo.nhn?code=134060", "A134060")</f>
        <v>0</v>
      </c>
      <c r="B1425">
        <f>HYPERLINK("http://comp.fnguide.com/SVO2/ASP/SVD_Consensus.asp?pGB=1&amp;gicode=A134060&amp;cID=&amp;MenuYn=Y&amp;ReportGB=&amp;NewMenuID=108&amp;stkGb=701", "이퓨쳐")</f>
        <v>0</v>
      </c>
      <c r="C1425">
        <v>0</v>
      </c>
      <c r="D1425">
        <v>13350</v>
      </c>
      <c r="E1425">
        <v>-1.24</v>
      </c>
      <c r="F1425">
        <v>17.65</v>
      </c>
      <c r="G1425">
        <v>2916</v>
      </c>
      <c r="H1425">
        <v>3690</v>
      </c>
      <c r="I1425">
        <v>3911</v>
      </c>
      <c r="J1425">
        <v>78.16</v>
      </c>
      <c r="K1425">
        <v>72.36</v>
      </c>
      <c r="L1425">
        <v>70.70999999999999</v>
      </c>
      <c r="M1425">
        <v>5.53</v>
      </c>
      <c r="N1425" t="b">
        <v>1</v>
      </c>
      <c r="O1425">
        <v>359</v>
      </c>
      <c r="P1425" t="s">
        <v>1432</v>
      </c>
      <c r="Q1425" t="s">
        <v>3409</v>
      </c>
      <c r="R1425">
        <v>-14.25835317653389</v>
      </c>
      <c r="S1425">
        <v>637</v>
      </c>
      <c r="T1425">
        <v>408302</v>
      </c>
      <c r="U1425" t="s">
        <v>5403</v>
      </c>
      <c r="V1425">
        <v>28.17</v>
      </c>
      <c r="W1425" t="s">
        <v>7606</v>
      </c>
      <c r="X1425" t="s">
        <v>9591</v>
      </c>
      <c r="Y1425">
        <v>107</v>
      </c>
      <c r="Z1425">
        <v>10</v>
      </c>
      <c r="AA1425">
        <v>393083</v>
      </c>
    </row>
    <row r="1426" spans="1:28">
      <c r="A1426" s="2">
        <f>HYPERLINK("https://finance.naver.com/item/coinfo.nhn?code=096040", "A096040")</f>
        <v>0</v>
      </c>
      <c r="B1426">
        <f>HYPERLINK("http://comp.fnguide.com/SVO2/ASP/SVD_Consensus.asp?pGB=1&amp;gicode=A096040&amp;cID=&amp;MenuYn=Y&amp;ReportGB=&amp;NewMenuID=108&amp;stkGb=701", "이트론")</f>
        <v>0</v>
      </c>
      <c r="C1426">
        <v>0</v>
      </c>
      <c r="D1426">
        <v>290</v>
      </c>
      <c r="E1426">
        <v>0</v>
      </c>
      <c r="G1426">
        <v>0</v>
      </c>
      <c r="H1426">
        <v>112</v>
      </c>
      <c r="I1426">
        <v>144</v>
      </c>
      <c r="J1426">
        <v>100</v>
      </c>
      <c r="K1426">
        <v>61.24</v>
      </c>
      <c r="L1426">
        <v>50.2</v>
      </c>
      <c r="M1426">
        <v>0</v>
      </c>
      <c r="N1426" t="b">
        <v>0</v>
      </c>
      <c r="O1426">
        <v>-11</v>
      </c>
      <c r="P1426" t="s">
        <v>1433</v>
      </c>
      <c r="Q1426" t="s">
        <v>2276</v>
      </c>
      <c r="R1426">
        <v>0</v>
      </c>
      <c r="S1426">
        <v>1014</v>
      </c>
      <c r="T1426">
        <v>17313944</v>
      </c>
      <c r="U1426" t="s">
        <v>5404</v>
      </c>
      <c r="V1426">
        <v>31.55</v>
      </c>
      <c r="W1426" t="s">
        <v>7607</v>
      </c>
      <c r="X1426" t="s">
        <v>968</v>
      </c>
      <c r="Y1426">
        <v>290</v>
      </c>
      <c r="Z1426">
        <v>-23</v>
      </c>
      <c r="AA1426">
        <v>216</v>
      </c>
    </row>
    <row r="1427" spans="1:28">
      <c r="A1427" s="2">
        <f>HYPERLINK("https://finance.naver.com/item/coinfo.nhn?code=053300", "A053300")</f>
        <v>0</v>
      </c>
      <c r="B1427">
        <f>HYPERLINK("http://comp.fnguide.com/SVO2/ASP/SVD_Consensus.asp?pGB=1&amp;gicode=A053300&amp;cID=&amp;MenuYn=Y&amp;ReportGB=&amp;NewMenuID=108&amp;stkGb=701", "한국정보인증")</f>
        <v>0</v>
      </c>
      <c r="C1427">
        <v>0</v>
      </c>
      <c r="D1427">
        <v>9950</v>
      </c>
      <c r="E1427">
        <v>1.36</v>
      </c>
      <c r="F1427">
        <v>16.52</v>
      </c>
      <c r="G1427">
        <v>3087</v>
      </c>
      <c r="H1427">
        <v>2875</v>
      </c>
      <c r="I1427">
        <v>2814</v>
      </c>
      <c r="J1427">
        <v>68.97</v>
      </c>
      <c r="K1427">
        <v>71.11</v>
      </c>
      <c r="L1427">
        <v>71.70999999999999</v>
      </c>
      <c r="M1427">
        <v>9</v>
      </c>
      <c r="N1427" t="b">
        <v>1</v>
      </c>
      <c r="O1427">
        <v>229</v>
      </c>
      <c r="P1427" t="s">
        <v>1434</v>
      </c>
      <c r="Q1427" t="s">
        <v>3410</v>
      </c>
      <c r="R1427">
        <v>12.11448574688969</v>
      </c>
      <c r="S1427">
        <v>3101</v>
      </c>
      <c r="T1427">
        <v>3463138</v>
      </c>
      <c r="U1427" t="s">
        <v>5405</v>
      </c>
      <c r="V1427">
        <v>37.47</v>
      </c>
      <c r="W1427" t="s">
        <v>7608</v>
      </c>
      <c r="X1427" t="s">
        <v>9592</v>
      </c>
      <c r="Y1427">
        <v>426</v>
      </c>
      <c r="Z1427">
        <v>93</v>
      </c>
      <c r="AB1427">
        <v>2.64</v>
      </c>
    </row>
    <row r="1428" spans="1:28">
      <c r="A1428" s="2">
        <f>HYPERLINK("https://finance.naver.com/item/coinfo.nhn?code=092130", "A092130")</f>
        <v>0</v>
      </c>
      <c r="B1428">
        <f>HYPERLINK("http://comp.fnguide.com/SVO2/ASP/SVD_Consensus.asp?pGB=1&amp;gicode=A092130&amp;cID=&amp;MenuYn=Y&amp;ReportGB=&amp;NewMenuID=108&amp;stkGb=701", "이크레더블")</f>
        <v>0</v>
      </c>
      <c r="C1428">
        <v>0</v>
      </c>
      <c r="D1428">
        <v>23850</v>
      </c>
      <c r="E1428">
        <v>1.26</v>
      </c>
      <c r="F1428">
        <v>16.37</v>
      </c>
      <c r="G1428">
        <v>15243</v>
      </c>
      <c r="H1428">
        <v>8764</v>
      </c>
      <c r="I1428">
        <v>6917</v>
      </c>
      <c r="J1428">
        <v>36.09</v>
      </c>
      <c r="K1428">
        <v>63.26</v>
      </c>
      <c r="L1428">
        <v>71</v>
      </c>
      <c r="M1428">
        <v>27.25</v>
      </c>
      <c r="N1428" t="b">
        <v>0</v>
      </c>
      <c r="O1428">
        <v>1134</v>
      </c>
      <c r="P1428" t="s">
        <v>1435</v>
      </c>
      <c r="Q1428" t="s">
        <v>3411</v>
      </c>
      <c r="R1428">
        <v>13.01629752654552</v>
      </c>
      <c r="S1428">
        <v>2872</v>
      </c>
      <c r="T1428">
        <v>19436</v>
      </c>
      <c r="U1428" t="s">
        <v>5406</v>
      </c>
      <c r="V1428">
        <v>67.77</v>
      </c>
      <c r="W1428" t="s">
        <v>7609</v>
      </c>
      <c r="X1428" t="s">
        <v>9593</v>
      </c>
      <c r="Y1428">
        <v>409</v>
      </c>
      <c r="Z1428">
        <v>167</v>
      </c>
      <c r="AB1428">
        <v>3.99</v>
      </c>
    </row>
    <row r="1429" spans="1:28">
      <c r="A1429" s="2">
        <f>HYPERLINK("https://finance.naver.com/item/coinfo.nhn?code=080720", "A080720")</f>
        <v>0</v>
      </c>
      <c r="B1429">
        <f>HYPERLINK("http://comp.fnguide.com/SVO2/ASP/SVD_Consensus.asp?pGB=1&amp;gicode=A080720&amp;cID=&amp;MenuYn=Y&amp;ReportGB=&amp;NewMenuID=108&amp;stkGb=701", "한국유니온제약")</f>
        <v>0</v>
      </c>
      <c r="C1429">
        <v>0</v>
      </c>
      <c r="D1429">
        <v>21000</v>
      </c>
      <c r="E1429">
        <v>-3.1</v>
      </c>
      <c r="F1429">
        <v>184.4</v>
      </c>
      <c r="G1429">
        <v>6919</v>
      </c>
      <c r="H1429">
        <v>7171</v>
      </c>
      <c r="I1429">
        <v>7243</v>
      </c>
      <c r="J1429">
        <v>67.05</v>
      </c>
      <c r="K1429">
        <v>65.84999999999999</v>
      </c>
      <c r="L1429">
        <v>65.51000000000001</v>
      </c>
      <c r="M1429">
        <v>7.52</v>
      </c>
      <c r="N1429" t="b">
        <v>0</v>
      </c>
      <c r="O1429">
        <v>70</v>
      </c>
      <c r="P1429" t="s">
        <v>1436</v>
      </c>
      <c r="Q1429" t="s">
        <v>3412</v>
      </c>
      <c r="R1429">
        <v>-59.56096965404694</v>
      </c>
      <c r="S1429">
        <v>1660</v>
      </c>
      <c r="T1429">
        <v>1945764</v>
      </c>
      <c r="U1429" t="s">
        <v>5407</v>
      </c>
      <c r="V1429">
        <v>23.29</v>
      </c>
      <c r="W1429" t="s">
        <v>7610</v>
      </c>
      <c r="X1429" t="s">
        <v>9594</v>
      </c>
      <c r="Y1429">
        <v>513</v>
      </c>
      <c r="Z1429">
        <v>8</v>
      </c>
    </row>
    <row r="1430" spans="1:28">
      <c r="A1430" s="2">
        <f>HYPERLINK("https://finance.naver.com/item/coinfo.nhn?code=039290", "A039290")</f>
        <v>0</v>
      </c>
      <c r="B1430">
        <f>HYPERLINK("http://comp.fnguide.com/SVO2/ASP/SVD_Consensus.asp?pGB=1&amp;gicode=A039290&amp;cID=&amp;MenuYn=Y&amp;ReportGB=&amp;NewMenuID=108&amp;stkGb=701", "인포뱅크")</f>
        <v>0</v>
      </c>
      <c r="C1430">
        <v>0</v>
      </c>
      <c r="D1430">
        <v>7740</v>
      </c>
      <c r="E1430">
        <v>-14.52</v>
      </c>
      <c r="F1430">
        <v>64.04000000000001</v>
      </c>
      <c r="G1430">
        <v>2540</v>
      </c>
      <c r="H1430">
        <v>4743</v>
      </c>
      <c r="I1430">
        <v>5371</v>
      </c>
      <c r="J1430">
        <v>67.18000000000001</v>
      </c>
      <c r="K1430">
        <v>38.72</v>
      </c>
      <c r="L1430">
        <v>30.61</v>
      </c>
      <c r="M1430">
        <v>3.26</v>
      </c>
      <c r="N1430" t="b">
        <v>0</v>
      </c>
      <c r="O1430">
        <v>97</v>
      </c>
      <c r="P1430" t="s">
        <v>1437</v>
      </c>
      <c r="Q1430" t="s">
        <v>3413</v>
      </c>
      <c r="R1430">
        <v>-4.410623893021503</v>
      </c>
      <c r="S1430">
        <v>673</v>
      </c>
      <c r="T1430">
        <v>65883</v>
      </c>
      <c r="U1430" t="s">
        <v>5408</v>
      </c>
      <c r="V1430">
        <v>41.39</v>
      </c>
      <c r="W1430" t="s">
        <v>7611</v>
      </c>
      <c r="X1430" t="s">
        <v>9595</v>
      </c>
      <c r="Y1430">
        <v>1195</v>
      </c>
      <c r="Z1430">
        <v>8</v>
      </c>
      <c r="AA1430">
        <v>250969</v>
      </c>
      <c r="AB1430">
        <v>0.16</v>
      </c>
    </row>
    <row r="1431" spans="1:28">
      <c r="A1431" s="2">
        <f>HYPERLINK("https://finance.naver.com/item/coinfo.nhn?code=256840", "A256840")</f>
        <v>0</v>
      </c>
      <c r="B1431">
        <f>HYPERLINK("http://comp.fnguide.com/SVO2/ASP/SVD_Consensus.asp?pGB=1&amp;gicode=A256840&amp;cID=&amp;MenuYn=Y&amp;ReportGB=&amp;NewMenuID=108&amp;stkGb=701", "한국비엔씨")</f>
        <v>0</v>
      </c>
      <c r="C1431">
        <v>0</v>
      </c>
      <c r="D1431">
        <v>4005</v>
      </c>
      <c r="G1431">
        <v>919</v>
      </c>
      <c r="H1431">
        <v>703</v>
      </c>
      <c r="I1431">
        <v>641</v>
      </c>
      <c r="J1431">
        <v>77.06</v>
      </c>
      <c r="K1431">
        <v>82.45</v>
      </c>
      <c r="L1431">
        <v>83.98</v>
      </c>
      <c r="M1431">
        <v>13.09</v>
      </c>
      <c r="N1431" t="b">
        <v>0</v>
      </c>
      <c r="O1431">
        <v>-110</v>
      </c>
      <c r="P1431" t="s">
        <v>1438</v>
      </c>
      <c r="Q1431" t="s">
        <v>3414</v>
      </c>
      <c r="R1431">
        <v>12.45603338735721</v>
      </c>
      <c r="S1431">
        <v>2045</v>
      </c>
      <c r="T1431">
        <v>802178</v>
      </c>
      <c r="U1431" t="s">
        <v>5409</v>
      </c>
      <c r="V1431">
        <v>26.45</v>
      </c>
      <c r="W1431" t="s">
        <v>7612</v>
      </c>
      <c r="X1431" t="s">
        <v>968</v>
      </c>
      <c r="Y1431">
        <v>177</v>
      </c>
      <c r="Z1431">
        <v>23</v>
      </c>
      <c r="AA1431">
        <v>1737162</v>
      </c>
    </row>
    <row r="1432" spans="1:28">
      <c r="A1432" s="2">
        <f>HYPERLINK("https://finance.naver.com/item/coinfo.nhn?code=174880", "A174880")</f>
        <v>0</v>
      </c>
      <c r="B1432">
        <f>HYPERLINK("http://comp.fnguide.com/SVO2/ASP/SVD_Consensus.asp?pGB=1&amp;gicode=A174880&amp;cID=&amp;MenuYn=Y&amp;ReportGB=&amp;NewMenuID=108&amp;stkGb=701", "장원테크")</f>
        <v>0</v>
      </c>
      <c r="C1432">
        <v>0</v>
      </c>
      <c r="D1432">
        <v>2370</v>
      </c>
      <c r="G1432">
        <v>615</v>
      </c>
      <c r="H1432">
        <v>835</v>
      </c>
      <c r="I1432">
        <v>898</v>
      </c>
      <c r="J1432">
        <v>74.04000000000001</v>
      </c>
      <c r="K1432">
        <v>64.75</v>
      </c>
      <c r="L1432">
        <v>62.11</v>
      </c>
      <c r="M1432">
        <v>5</v>
      </c>
      <c r="N1432" t="b">
        <v>0</v>
      </c>
      <c r="O1432">
        <v>-162</v>
      </c>
      <c r="P1432" t="s">
        <v>1439</v>
      </c>
      <c r="Q1432" t="s">
        <v>3415</v>
      </c>
      <c r="R1432">
        <v>-86.20000000000002</v>
      </c>
      <c r="S1432">
        <v>1300</v>
      </c>
      <c r="T1432">
        <v>3848164</v>
      </c>
      <c r="U1432" t="s">
        <v>5410</v>
      </c>
      <c r="V1432">
        <v>17.82</v>
      </c>
      <c r="W1432" t="s">
        <v>7613</v>
      </c>
      <c r="X1432" t="s">
        <v>9596</v>
      </c>
      <c r="Y1432">
        <v>948</v>
      </c>
      <c r="Z1432">
        <v>-39</v>
      </c>
      <c r="AA1432">
        <v>1377500</v>
      </c>
    </row>
    <row r="1433" spans="1:28">
      <c r="A1433" s="2">
        <f>HYPERLINK("https://finance.naver.com/item/coinfo.nhn?code=217190", "A217190")</f>
        <v>0</v>
      </c>
      <c r="B1433">
        <f>HYPERLINK("http://comp.fnguide.com/SVO2/ASP/SVD_Consensus.asp?pGB=1&amp;gicode=A217190&amp;cID=&amp;MenuYn=Y&amp;ReportGB=&amp;NewMenuID=108&amp;stkGb=701", "제너셈")</f>
        <v>0</v>
      </c>
      <c r="C1433">
        <v>0</v>
      </c>
      <c r="D1433">
        <v>3630</v>
      </c>
      <c r="E1433">
        <v>0</v>
      </c>
      <c r="F1433">
        <v>8.26</v>
      </c>
      <c r="G1433">
        <v>2464</v>
      </c>
      <c r="H1433">
        <v>2416</v>
      </c>
      <c r="I1433">
        <v>2402</v>
      </c>
      <c r="J1433">
        <v>32.12</v>
      </c>
      <c r="K1433">
        <v>33.46</v>
      </c>
      <c r="L1433">
        <v>33.84</v>
      </c>
      <c r="M1433">
        <v>8.24</v>
      </c>
      <c r="N1433" t="b">
        <v>1</v>
      </c>
      <c r="O1433">
        <v>368</v>
      </c>
      <c r="P1433" t="s">
        <v>1440</v>
      </c>
      <c r="Q1433" t="s">
        <v>2276</v>
      </c>
      <c r="R1433">
        <v>0</v>
      </c>
      <c r="S1433">
        <v>318</v>
      </c>
      <c r="T1433">
        <v>82646</v>
      </c>
      <c r="U1433" t="s">
        <v>5411</v>
      </c>
      <c r="V1433">
        <v>44.36</v>
      </c>
      <c r="W1433" t="s">
        <v>7614</v>
      </c>
      <c r="X1433" t="s">
        <v>9597</v>
      </c>
      <c r="Y1433">
        <v>370</v>
      </c>
      <c r="Z1433">
        <v>30</v>
      </c>
      <c r="AB1433">
        <v>1.64</v>
      </c>
    </row>
    <row r="1434" spans="1:28">
      <c r="A1434" s="2">
        <f>HYPERLINK("https://finance.naver.com/item/coinfo.nhn?code=065620", "A065620")</f>
        <v>0</v>
      </c>
      <c r="B1434">
        <f>HYPERLINK("http://comp.fnguide.com/SVO2/ASP/SVD_Consensus.asp?pGB=1&amp;gicode=A065620&amp;cID=&amp;MenuYn=Y&amp;ReportGB=&amp;NewMenuID=108&amp;stkGb=701", "제낙스")</f>
        <v>0</v>
      </c>
      <c r="C1434">
        <v>0</v>
      </c>
      <c r="D1434">
        <v>3190</v>
      </c>
      <c r="E1434">
        <v>0</v>
      </c>
      <c r="G1434">
        <v>0</v>
      </c>
      <c r="H1434">
        <v>37</v>
      </c>
      <c r="I1434">
        <v>48</v>
      </c>
      <c r="J1434">
        <v>100</v>
      </c>
      <c r="K1434">
        <v>98.81999999999999</v>
      </c>
      <c r="L1434">
        <v>98.48999999999999</v>
      </c>
      <c r="M1434">
        <v>0</v>
      </c>
      <c r="N1434" t="b">
        <v>0</v>
      </c>
      <c r="O1434">
        <v>-476</v>
      </c>
      <c r="P1434" t="s">
        <v>1441</v>
      </c>
      <c r="Q1434" t="s">
        <v>2276</v>
      </c>
      <c r="R1434">
        <v>0</v>
      </c>
      <c r="S1434">
        <v>790</v>
      </c>
      <c r="T1434">
        <v>0</v>
      </c>
      <c r="U1434" t="s">
        <v>5412</v>
      </c>
      <c r="V1434">
        <v>16.44</v>
      </c>
      <c r="W1434" t="s">
        <v>7615</v>
      </c>
      <c r="X1434" t="s">
        <v>968</v>
      </c>
      <c r="Y1434">
        <v>36</v>
      </c>
      <c r="Z1434">
        <v>-87</v>
      </c>
      <c r="AA1434">
        <v>717400</v>
      </c>
    </row>
    <row r="1435" spans="1:28">
      <c r="A1435" s="2">
        <f>HYPERLINK("https://finance.naver.com/item/coinfo.nhn?code=045510", "A045510")</f>
        <v>0</v>
      </c>
      <c r="B1435">
        <f>HYPERLINK("http://comp.fnguide.com/SVO2/ASP/SVD_Consensus.asp?pGB=1&amp;gicode=A045510&amp;cID=&amp;MenuYn=Y&amp;ReportGB=&amp;NewMenuID=108&amp;stkGb=701", "정원엔시스")</f>
        <v>0</v>
      </c>
      <c r="C1435">
        <v>0</v>
      </c>
      <c r="D1435">
        <v>1930</v>
      </c>
      <c r="E1435">
        <v>-1.08</v>
      </c>
      <c r="F1435">
        <v>69.98999999999999</v>
      </c>
      <c r="G1435">
        <v>743</v>
      </c>
      <c r="H1435">
        <v>1027</v>
      </c>
      <c r="I1435">
        <v>1107</v>
      </c>
      <c r="J1435">
        <v>61.49</v>
      </c>
      <c r="K1435">
        <v>46.81</v>
      </c>
      <c r="L1435">
        <v>42.63</v>
      </c>
      <c r="M1435">
        <v>4.88</v>
      </c>
      <c r="N1435" t="b">
        <v>0</v>
      </c>
      <c r="O1435">
        <v>25</v>
      </c>
      <c r="P1435" t="s">
        <v>1442</v>
      </c>
      <c r="Q1435" t="s">
        <v>3416</v>
      </c>
      <c r="R1435">
        <v>-64.60282497147548</v>
      </c>
      <c r="S1435">
        <v>622</v>
      </c>
      <c r="T1435">
        <v>47677</v>
      </c>
      <c r="U1435" t="s">
        <v>5413</v>
      </c>
      <c r="V1435">
        <v>21.17</v>
      </c>
      <c r="W1435" t="s">
        <v>7616</v>
      </c>
      <c r="X1435" t="s">
        <v>9598</v>
      </c>
      <c r="Y1435">
        <v>1692</v>
      </c>
      <c r="Z1435">
        <v>18</v>
      </c>
      <c r="AA1435">
        <v>349335</v>
      </c>
    </row>
    <row r="1436" spans="1:28">
      <c r="A1436" s="2">
        <f>HYPERLINK("https://finance.naver.com/item/coinfo.nhn?code=040420", "A040420")</f>
        <v>0</v>
      </c>
      <c r="B1436">
        <f>HYPERLINK("http://comp.fnguide.com/SVO2/ASP/SVD_Consensus.asp?pGB=1&amp;gicode=A040420&amp;cID=&amp;MenuYn=Y&amp;ReportGB=&amp;NewMenuID=108&amp;stkGb=701", "정상제이엘에스")</f>
        <v>0</v>
      </c>
      <c r="C1436">
        <v>0</v>
      </c>
      <c r="D1436">
        <v>6580</v>
      </c>
      <c r="E1436">
        <v>-20.94</v>
      </c>
      <c r="F1436">
        <v>15.47</v>
      </c>
      <c r="G1436">
        <v>5460</v>
      </c>
      <c r="H1436">
        <v>4754</v>
      </c>
      <c r="I1436">
        <v>4552</v>
      </c>
      <c r="J1436">
        <v>17.01</v>
      </c>
      <c r="K1436">
        <v>27.76</v>
      </c>
      <c r="L1436">
        <v>30.82</v>
      </c>
      <c r="M1436">
        <v>10.16</v>
      </c>
      <c r="N1436" t="b">
        <v>0</v>
      </c>
      <c r="O1436">
        <v>489</v>
      </c>
      <c r="P1436" t="s">
        <v>1443</v>
      </c>
      <c r="Q1436" t="s">
        <v>3417</v>
      </c>
      <c r="R1436">
        <v>-0.7389288232068636</v>
      </c>
      <c r="S1436">
        <v>1032</v>
      </c>
      <c r="T1436">
        <v>62396</v>
      </c>
      <c r="U1436" t="s">
        <v>5414</v>
      </c>
      <c r="V1436">
        <v>40.67</v>
      </c>
      <c r="W1436" t="s">
        <v>7617</v>
      </c>
      <c r="X1436" t="s">
        <v>9599</v>
      </c>
      <c r="Y1436">
        <v>936</v>
      </c>
      <c r="Z1436">
        <v>134</v>
      </c>
      <c r="AA1436">
        <v>738810</v>
      </c>
      <c r="AB1436">
        <v>5.68</v>
      </c>
    </row>
    <row r="1437" spans="1:28">
      <c r="A1437" s="2">
        <f>HYPERLINK("https://finance.naver.com/item/coinfo.nhn?code=208140", "A208140")</f>
        <v>0</v>
      </c>
      <c r="B1437">
        <f>HYPERLINK("http://comp.fnguide.com/SVO2/ASP/SVD_Consensus.asp?pGB=1&amp;gicode=A208140&amp;cID=&amp;MenuYn=Y&amp;ReportGB=&amp;NewMenuID=108&amp;stkGb=701", "정다운")</f>
        <v>0</v>
      </c>
      <c r="C1437">
        <v>0</v>
      </c>
      <c r="D1437">
        <v>2455</v>
      </c>
      <c r="E1437">
        <v>-0.8</v>
      </c>
      <c r="F1437">
        <v>56.01</v>
      </c>
      <c r="G1437">
        <v>2433</v>
      </c>
      <c r="H1437">
        <v>1891</v>
      </c>
      <c r="I1437">
        <v>1737</v>
      </c>
      <c r="J1437">
        <v>0.89</v>
      </c>
      <c r="K1437">
        <v>22.97</v>
      </c>
      <c r="L1437">
        <v>29.26</v>
      </c>
      <c r="M1437">
        <v>12.67</v>
      </c>
      <c r="N1437" t="b">
        <v>1</v>
      </c>
      <c r="O1437">
        <v>39</v>
      </c>
      <c r="P1437" t="s">
        <v>1444</v>
      </c>
      <c r="Q1437" t="s">
        <v>3418</v>
      </c>
      <c r="R1437">
        <v>-70.23290407177751</v>
      </c>
      <c r="S1437">
        <v>799</v>
      </c>
      <c r="T1437">
        <v>4011303</v>
      </c>
      <c r="U1437" t="s">
        <v>5415</v>
      </c>
      <c r="V1437">
        <v>38.41</v>
      </c>
      <c r="W1437" t="s">
        <v>7618</v>
      </c>
      <c r="X1437" t="s">
        <v>9600</v>
      </c>
      <c r="Y1437">
        <v>1258</v>
      </c>
      <c r="Z1437">
        <v>32</v>
      </c>
      <c r="AA1437">
        <v>10</v>
      </c>
    </row>
    <row r="1438" spans="1:28">
      <c r="A1438" s="2">
        <f>HYPERLINK("https://finance.naver.com/item/coinfo.nhn?code=065530", "A065530")</f>
        <v>0</v>
      </c>
      <c r="B1438">
        <f>HYPERLINK("http://comp.fnguide.com/SVO2/ASP/SVD_Consensus.asp?pGB=1&amp;gicode=A065530&amp;cID=&amp;MenuYn=Y&amp;ReportGB=&amp;NewMenuID=108&amp;stkGb=701", "전파기지국")</f>
        <v>0</v>
      </c>
      <c r="C1438">
        <v>0</v>
      </c>
      <c r="D1438">
        <v>4720</v>
      </c>
      <c r="E1438">
        <v>-3.55</v>
      </c>
      <c r="F1438">
        <v>83.73</v>
      </c>
      <c r="G1438">
        <v>538</v>
      </c>
      <c r="H1438">
        <v>1127</v>
      </c>
      <c r="I1438">
        <v>1295</v>
      </c>
      <c r="J1438">
        <v>88.61</v>
      </c>
      <c r="K1438">
        <v>76.12</v>
      </c>
      <c r="L1438">
        <v>72.56</v>
      </c>
      <c r="M1438">
        <v>2.82</v>
      </c>
      <c r="N1438" t="b">
        <v>0</v>
      </c>
      <c r="O1438">
        <v>39</v>
      </c>
      <c r="P1438" t="s">
        <v>1445</v>
      </c>
      <c r="Q1438" t="s">
        <v>3419</v>
      </c>
      <c r="R1438">
        <v>-23.60426944433642</v>
      </c>
      <c r="S1438">
        <v>2495</v>
      </c>
      <c r="T1438">
        <v>3064759</v>
      </c>
      <c r="U1438" t="s">
        <v>5416</v>
      </c>
      <c r="V1438">
        <v>45.21</v>
      </c>
      <c r="W1438" t="s">
        <v>7619</v>
      </c>
      <c r="X1438" t="s">
        <v>9601</v>
      </c>
      <c r="Y1438">
        <v>863</v>
      </c>
      <c r="Z1438">
        <v>35</v>
      </c>
      <c r="AA1438">
        <v>6829241</v>
      </c>
      <c r="AB1438">
        <v>1.52</v>
      </c>
    </row>
    <row r="1439" spans="1:28">
      <c r="A1439" s="2">
        <f>HYPERLINK("https://finance.naver.com/item/coinfo.nhn?code=110020", "A110020")</f>
        <v>0</v>
      </c>
      <c r="B1439">
        <f>HYPERLINK("http://comp.fnguide.com/SVO2/ASP/SVD_Consensus.asp?pGB=1&amp;gicode=A110020&amp;cID=&amp;MenuYn=Y&amp;ReportGB=&amp;NewMenuID=108&amp;stkGb=701", "전진바이오팜")</f>
        <v>0</v>
      </c>
      <c r="C1439">
        <v>0</v>
      </c>
      <c r="D1439">
        <v>13350</v>
      </c>
      <c r="E1439">
        <v>0</v>
      </c>
      <c r="G1439">
        <v>0</v>
      </c>
      <c r="H1439">
        <v>363</v>
      </c>
      <c r="I1439">
        <v>467</v>
      </c>
      <c r="J1439">
        <v>100</v>
      </c>
      <c r="K1439">
        <v>97.28</v>
      </c>
      <c r="L1439">
        <v>96.5</v>
      </c>
      <c r="M1439">
        <v>0</v>
      </c>
      <c r="N1439" t="b">
        <v>0</v>
      </c>
      <c r="O1439">
        <v>-305</v>
      </c>
      <c r="P1439" t="s">
        <v>1446</v>
      </c>
      <c r="Q1439" t="s">
        <v>2276</v>
      </c>
      <c r="R1439">
        <v>0</v>
      </c>
      <c r="S1439">
        <v>807</v>
      </c>
      <c r="T1439">
        <v>168565</v>
      </c>
      <c r="U1439" t="s">
        <v>5417</v>
      </c>
      <c r="V1439">
        <v>10.44</v>
      </c>
      <c r="W1439" t="s">
        <v>7620</v>
      </c>
      <c r="X1439" t="s">
        <v>968</v>
      </c>
      <c r="Y1439">
        <v>39</v>
      </c>
      <c r="Z1439">
        <v>-20</v>
      </c>
    </row>
    <row r="1440" spans="1:28">
      <c r="A1440" s="2">
        <f>HYPERLINK("https://finance.naver.com/item/coinfo.nhn?code=049630", "A049630")</f>
        <v>0</v>
      </c>
      <c r="B1440">
        <f>HYPERLINK("http://comp.fnguide.com/SVO2/ASP/SVD_Consensus.asp?pGB=1&amp;gicode=A049630&amp;cID=&amp;MenuYn=Y&amp;ReportGB=&amp;NewMenuID=108&amp;stkGb=701", "재영솔루텍")</f>
        <v>0</v>
      </c>
      <c r="C1440">
        <v>0</v>
      </c>
      <c r="D1440">
        <v>947</v>
      </c>
      <c r="E1440">
        <v>0.15</v>
      </c>
      <c r="F1440">
        <v>12.82</v>
      </c>
      <c r="G1440">
        <v>841</v>
      </c>
      <c r="H1440">
        <v>780</v>
      </c>
      <c r="I1440">
        <v>762</v>
      </c>
      <c r="J1440">
        <v>11.22</v>
      </c>
      <c r="K1440">
        <v>17.66</v>
      </c>
      <c r="L1440">
        <v>19.5</v>
      </c>
      <c r="M1440">
        <v>9.06</v>
      </c>
      <c r="N1440" t="b">
        <v>1</v>
      </c>
      <c r="O1440">
        <v>83</v>
      </c>
      <c r="P1440" t="s">
        <v>1447</v>
      </c>
      <c r="Q1440" t="s">
        <v>3420</v>
      </c>
      <c r="R1440">
        <v>84.60000000000001</v>
      </c>
      <c r="S1440">
        <v>694</v>
      </c>
      <c r="T1440">
        <v>731373</v>
      </c>
      <c r="U1440" t="s">
        <v>5418</v>
      </c>
      <c r="V1440">
        <v>12.44</v>
      </c>
      <c r="W1440" t="s">
        <v>7621</v>
      </c>
      <c r="X1440" t="s">
        <v>9602</v>
      </c>
      <c r="Y1440">
        <v>1334</v>
      </c>
      <c r="Z1440">
        <v>80</v>
      </c>
    </row>
    <row r="1441" spans="1:28">
      <c r="A1441" s="2">
        <f>HYPERLINK("https://finance.naver.com/item/coinfo.nhn?code=234920", "A234920")</f>
        <v>0</v>
      </c>
      <c r="B1441">
        <f>HYPERLINK("http://comp.fnguide.com/SVO2/ASP/SVD_Consensus.asp?pGB=1&amp;gicode=A234920&amp;cID=&amp;MenuYn=Y&amp;ReportGB=&amp;NewMenuID=108&amp;stkGb=701", "자이글")</f>
        <v>0</v>
      </c>
      <c r="C1441">
        <v>0</v>
      </c>
      <c r="D1441">
        <v>4440</v>
      </c>
      <c r="G1441">
        <v>499</v>
      </c>
      <c r="H1441">
        <v>2513</v>
      </c>
      <c r="I1441">
        <v>3087</v>
      </c>
      <c r="J1441">
        <v>88.76000000000001</v>
      </c>
      <c r="K1441">
        <v>43.4</v>
      </c>
      <c r="L1441">
        <v>30.48</v>
      </c>
      <c r="M1441">
        <v>1.03</v>
      </c>
      <c r="N1441" t="b">
        <v>0</v>
      </c>
      <c r="O1441">
        <v>-2211</v>
      </c>
      <c r="P1441" t="s">
        <v>1448</v>
      </c>
      <c r="Q1441" t="s">
        <v>3421</v>
      </c>
      <c r="R1441">
        <v>-52.78686623406577</v>
      </c>
      <c r="S1441">
        <v>601</v>
      </c>
      <c r="T1441">
        <v>152490</v>
      </c>
      <c r="U1441" t="s">
        <v>5419</v>
      </c>
      <c r="V1441">
        <v>68.23999999999999</v>
      </c>
      <c r="W1441" t="s">
        <v>7622</v>
      </c>
      <c r="X1441" t="s">
        <v>9603</v>
      </c>
      <c r="Y1441">
        <v>297</v>
      </c>
      <c r="Z1441">
        <v>-156</v>
      </c>
      <c r="AA1441">
        <v>105389</v>
      </c>
    </row>
    <row r="1442" spans="1:28">
      <c r="A1442" s="2">
        <f>HYPERLINK("https://finance.naver.com/item/coinfo.nhn?code=041020", "A041020")</f>
        <v>0</v>
      </c>
      <c r="B1442">
        <f>HYPERLINK("http://comp.fnguide.com/SVO2/ASP/SVD_Consensus.asp?pGB=1&amp;gicode=A041020&amp;cID=&amp;MenuYn=Y&amp;ReportGB=&amp;NewMenuID=108&amp;stkGb=701", "인프라웨어")</f>
        <v>0</v>
      </c>
      <c r="C1442">
        <v>0</v>
      </c>
      <c r="D1442">
        <v>2420</v>
      </c>
      <c r="E1442">
        <v>0</v>
      </c>
      <c r="G1442">
        <v>0</v>
      </c>
      <c r="H1442">
        <v>448</v>
      </c>
      <c r="I1442">
        <v>576</v>
      </c>
      <c r="J1442">
        <v>100</v>
      </c>
      <c r="K1442">
        <v>81.48999999999999</v>
      </c>
      <c r="L1442">
        <v>76.20999999999999</v>
      </c>
      <c r="M1442">
        <v>0</v>
      </c>
      <c r="N1442" t="b">
        <v>0</v>
      </c>
      <c r="O1442">
        <v>-183</v>
      </c>
      <c r="P1442" t="s">
        <v>1449</v>
      </c>
      <c r="Q1442" t="s">
        <v>2276</v>
      </c>
      <c r="R1442">
        <v>0</v>
      </c>
      <c r="S1442">
        <v>907</v>
      </c>
      <c r="T1442">
        <v>3288882</v>
      </c>
      <c r="U1442" t="s">
        <v>5420</v>
      </c>
      <c r="V1442">
        <v>13.18</v>
      </c>
      <c r="W1442" t="s">
        <v>7623</v>
      </c>
      <c r="X1442" t="s">
        <v>968</v>
      </c>
      <c r="Y1442">
        <v>210</v>
      </c>
      <c r="Z1442">
        <v>-59</v>
      </c>
      <c r="AA1442">
        <v>41705</v>
      </c>
    </row>
    <row r="1443" spans="1:28">
      <c r="A1443" s="2">
        <f>HYPERLINK("https://finance.naver.com/item/coinfo.nhn?code=043910", "A043910")</f>
        <v>0</v>
      </c>
      <c r="B1443">
        <f>HYPERLINK("http://comp.fnguide.com/SVO2/ASP/SVD_Consensus.asp?pGB=1&amp;gicode=A043910&amp;cID=&amp;MenuYn=Y&amp;ReportGB=&amp;NewMenuID=108&amp;stkGb=701", "자연과환경")</f>
        <v>0</v>
      </c>
      <c r="C1443">
        <v>0</v>
      </c>
      <c r="D1443">
        <v>1385</v>
      </c>
      <c r="E1443">
        <v>0</v>
      </c>
      <c r="G1443">
        <v>105</v>
      </c>
      <c r="H1443">
        <v>544</v>
      </c>
      <c r="I1443">
        <v>669</v>
      </c>
      <c r="J1443">
        <v>92.41</v>
      </c>
      <c r="K1443">
        <v>60.73</v>
      </c>
      <c r="L1443">
        <v>51.7</v>
      </c>
      <c r="M1443">
        <v>1</v>
      </c>
      <c r="N1443" t="b">
        <v>0</v>
      </c>
      <c r="O1443">
        <v>-28</v>
      </c>
      <c r="P1443" t="s">
        <v>1450</v>
      </c>
      <c r="Q1443" t="s">
        <v>2276</v>
      </c>
      <c r="R1443">
        <v>0</v>
      </c>
      <c r="S1443">
        <v>736</v>
      </c>
      <c r="T1443">
        <v>810411</v>
      </c>
      <c r="U1443" t="s">
        <v>5421</v>
      </c>
      <c r="V1443">
        <v>6.27</v>
      </c>
      <c r="W1443" t="s">
        <v>7624</v>
      </c>
      <c r="X1443" t="s">
        <v>9604</v>
      </c>
      <c r="Y1443">
        <v>317</v>
      </c>
      <c r="Z1443">
        <v>8</v>
      </c>
      <c r="AA1443">
        <v>2003</v>
      </c>
    </row>
    <row r="1444" spans="1:28">
      <c r="A1444" s="2">
        <f>HYPERLINK("https://finance.naver.com/item/coinfo.nhn?code=221610", "A221610")</f>
        <v>0</v>
      </c>
      <c r="B1444">
        <f>HYPERLINK("http://comp.fnguide.com/SVO2/ASP/SVD_Consensus.asp?pGB=1&amp;gicode=A221610&amp;cID=&amp;MenuYn=Y&amp;ReportGB=&amp;NewMenuID=108&amp;stkGb=701", "자안")</f>
        <v>0</v>
      </c>
      <c r="C1444">
        <v>0</v>
      </c>
      <c r="D1444">
        <v>352</v>
      </c>
      <c r="E1444">
        <v>4.91</v>
      </c>
      <c r="F1444">
        <v>44.2</v>
      </c>
      <c r="G1444">
        <v>30</v>
      </c>
      <c r="H1444">
        <v>120</v>
      </c>
      <c r="I1444">
        <v>146</v>
      </c>
      <c r="J1444">
        <v>91.44</v>
      </c>
      <c r="K1444">
        <v>65.90000000000001</v>
      </c>
      <c r="L1444">
        <v>58.62</v>
      </c>
      <c r="M1444">
        <v>1.33</v>
      </c>
      <c r="N1444" t="b">
        <v>1</v>
      </c>
      <c r="O1444">
        <v>7</v>
      </c>
      <c r="P1444" t="s">
        <v>1451</v>
      </c>
      <c r="Q1444" t="s">
        <v>3232</v>
      </c>
      <c r="R1444">
        <v>9.000000000000007</v>
      </c>
      <c r="S1444">
        <v>990</v>
      </c>
      <c r="T1444">
        <v>197116858</v>
      </c>
      <c r="U1444" t="s">
        <v>5422</v>
      </c>
      <c r="V1444">
        <v>30.27</v>
      </c>
      <c r="W1444" t="s">
        <v>7625</v>
      </c>
      <c r="X1444" t="s">
        <v>9605</v>
      </c>
      <c r="Y1444">
        <v>439</v>
      </c>
      <c r="Z1444">
        <v>4</v>
      </c>
    </row>
    <row r="1445" spans="1:28">
      <c r="A1445" s="2">
        <f>HYPERLINK("https://finance.naver.com/item/coinfo.nhn?code=254120", "A254120")</f>
        <v>0</v>
      </c>
      <c r="B1445">
        <f>HYPERLINK("http://comp.fnguide.com/SVO2/ASP/SVD_Consensus.asp?pGB=1&amp;gicode=A254120&amp;cID=&amp;MenuYn=Y&amp;ReportGB=&amp;NewMenuID=108&amp;stkGb=701", "자비스")</f>
        <v>0</v>
      </c>
      <c r="C1445">
        <v>0</v>
      </c>
      <c r="D1445">
        <v>2940</v>
      </c>
      <c r="G1445">
        <v>0</v>
      </c>
      <c r="H1445">
        <v>445</v>
      </c>
      <c r="I1445">
        <v>572</v>
      </c>
      <c r="J1445">
        <v>100</v>
      </c>
      <c r="K1445">
        <v>84.87</v>
      </c>
      <c r="L1445">
        <v>80.56</v>
      </c>
      <c r="M1445">
        <v>0</v>
      </c>
      <c r="N1445" t="b">
        <v>0</v>
      </c>
      <c r="O1445">
        <v>-1910</v>
      </c>
      <c r="P1445" t="s">
        <v>1452</v>
      </c>
      <c r="Q1445" t="s">
        <v>3422</v>
      </c>
      <c r="R1445">
        <v>-28.3</v>
      </c>
      <c r="S1445">
        <v>597</v>
      </c>
      <c r="T1445">
        <v>10470924</v>
      </c>
      <c r="U1445" t="s">
        <v>5423</v>
      </c>
      <c r="V1445">
        <v>43.24</v>
      </c>
      <c r="W1445" t="s">
        <v>7626</v>
      </c>
      <c r="X1445" t="s">
        <v>968</v>
      </c>
      <c r="Y1445">
        <v>171</v>
      </c>
      <c r="Z1445">
        <v>-6</v>
      </c>
      <c r="AA1445">
        <v>42100</v>
      </c>
    </row>
    <row r="1446" spans="1:28">
      <c r="A1446" s="2">
        <f>HYPERLINK("https://finance.naver.com/item/coinfo.nhn?code=049550", "A049550")</f>
        <v>0</v>
      </c>
      <c r="B1446">
        <f>HYPERLINK("http://comp.fnguide.com/SVO2/ASP/SVD_Consensus.asp?pGB=1&amp;gicode=A049550&amp;cID=&amp;MenuYn=Y&amp;ReportGB=&amp;NewMenuID=108&amp;stkGb=701", "잉크테크")</f>
        <v>0</v>
      </c>
      <c r="C1446">
        <v>0</v>
      </c>
      <c r="D1446">
        <v>4155</v>
      </c>
      <c r="G1446">
        <v>0</v>
      </c>
      <c r="H1446">
        <v>1351</v>
      </c>
      <c r="I1446">
        <v>1736</v>
      </c>
      <c r="J1446">
        <v>100</v>
      </c>
      <c r="K1446">
        <v>67.48</v>
      </c>
      <c r="L1446">
        <v>58.21</v>
      </c>
      <c r="M1446">
        <v>0</v>
      </c>
      <c r="N1446" t="b">
        <v>0</v>
      </c>
      <c r="O1446">
        <v>-177</v>
      </c>
      <c r="P1446" t="s">
        <v>1453</v>
      </c>
      <c r="Q1446" t="s">
        <v>3423</v>
      </c>
      <c r="R1446">
        <v>18.59999999999999</v>
      </c>
      <c r="S1446">
        <v>666</v>
      </c>
      <c r="T1446">
        <v>41143</v>
      </c>
      <c r="U1446" t="s">
        <v>5424</v>
      </c>
      <c r="V1446">
        <v>18.1</v>
      </c>
      <c r="W1446" t="s">
        <v>7627</v>
      </c>
      <c r="X1446" t="s">
        <v>968</v>
      </c>
      <c r="Y1446">
        <v>591</v>
      </c>
      <c r="Z1446">
        <v>-13</v>
      </c>
      <c r="AA1446">
        <v>12653</v>
      </c>
    </row>
    <row r="1447" spans="1:28">
      <c r="A1447" s="2">
        <f>HYPERLINK("https://finance.naver.com/item/coinfo.nhn?code=950140", "A950140")</f>
        <v>0</v>
      </c>
      <c r="B1447">
        <f>HYPERLINK("http://comp.fnguide.com/SVO2/ASP/SVD_Consensus.asp?pGB=1&amp;gicode=A950140&amp;cID=&amp;MenuYn=Y&amp;ReportGB=&amp;NewMenuID=108&amp;stkGb=701", "잉글우드랩")</f>
        <v>0</v>
      </c>
      <c r="C1447">
        <v>0</v>
      </c>
      <c r="D1447">
        <v>5030</v>
      </c>
      <c r="E1447">
        <v>-2.25</v>
      </c>
      <c r="F1447">
        <v>38.71</v>
      </c>
      <c r="G1447">
        <v>743</v>
      </c>
      <c r="H1447">
        <v>2144</v>
      </c>
      <c r="I1447">
        <v>2544</v>
      </c>
      <c r="J1447">
        <v>85.23</v>
      </c>
      <c r="K1447">
        <v>57.37</v>
      </c>
      <c r="L1447">
        <v>49.43</v>
      </c>
      <c r="M1447">
        <v>1.93</v>
      </c>
      <c r="N1447" t="b">
        <v>0</v>
      </c>
      <c r="O1447">
        <v>114</v>
      </c>
      <c r="P1447" t="s">
        <v>1454</v>
      </c>
      <c r="Q1447" t="s">
        <v>3424</v>
      </c>
      <c r="R1447">
        <v>-17.19999999999999</v>
      </c>
      <c r="S1447">
        <v>999</v>
      </c>
      <c r="T1447">
        <v>153541</v>
      </c>
      <c r="U1447" t="s">
        <v>5425</v>
      </c>
      <c r="V1447">
        <v>44.08</v>
      </c>
      <c r="W1447" t="s">
        <v>7628</v>
      </c>
      <c r="X1447" t="s">
        <v>9606</v>
      </c>
      <c r="Y1447">
        <v>1333</v>
      </c>
      <c r="Z1447">
        <v>67</v>
      </c>
    </row>
    <row r="1448" spans="1:28">
      <c r="A1448" s="2">
        <f>HYPERLINK("https://finance.naver.com/item/coinfo.nhn?code=058450", "A058450")</f>
        <v>0</v>
      </c>
      <c r="B1448">
        <f>HYPERLINK("http://comp.fnguide.com/SVO2/ASP/SVD_Consensus.asp?pGB=1&amp;gicode=A058450&amp;cID=&amp;MenuYn=Y&amp;ReportGB=&amp;NewMenuID=108&amp;stkGb=701", "일야")</f>
        <v>0</v>
      </c>
      <c r="C1448">
        <v>0</v>
      </c>
      <c r="D1448">
        <v>685</v>
      </c>
      <c r="G1448">
        <v>0</v>
      </c>
      <c r="H1448">
        <v>201</v>
      </c>
      <c r="I1448">
        <v>258</v>
      </c>
      <c r="J1448">
        <v>100</v>
      </c>
      <c r="K1448">
        <v>70.65000000000001</v>
      </c>
      <c r="L1448">
        <v>62.29</v>
      </c>
      <c r="M1448">
        <v>0</v>
      </c>
      <c r="N1448" t="b">
        <v>0</v>
      </c>
      <c r="O1448">
        <v>-210</v>
      </c>
      <c r="P1448" t="s">
        <v>1455</v>
      </c>
      <c r="Q1448" t="s">
        <v>3425</v>
      </c>
      <c r="R1448">
        <v>-26.9</v>
      </c>
      <c r="S1448">
        <v>217</v>
      </c>
      <c r="T1448">
        <v>0</v>
      </c>
      <c r="U1448" t="s">
        <v>5426</v>
      </c>
      <c r="V1448">
        <v>21.2</v>
      </c>
      <c r="W1448" t="s">
        <v>7629</v>
      </c>
      <c r="X1448" t="s">
        <v>968</v>
      </c>
      <c r="Y1448">
        <v>302</v>
      </c>
      <c r="Z1448">
        <v>-41</v>
      </c>
      <c r="AA1448">
        <v>60000</v>
      </c>
    </row>
    <row r="1449" spans="1:28">
      <c r="A1449" s="2">
        <f>HYPERLINK("https://finance.naver.com/item/coinfo.nhn?code=068330", "A068330")</f>
        <v>0</v>
      </c>
      <c r="B1449">
        <f>HYPERLINK("http://comp.fnguide.com/SVO2/ASP/SVD_Consensus.asp?pGB=1&amp;gicode=A068330&amp;cID=&amp;MenuYn=Y&amp;ReportGB=&amp;NewMenuID=108&amp;stkGb=701", "일신바이오")</f>
        <v>0</v>
      </c>
      <c r="C1449">
        <v>0</v>
      </c>
      <c r="D1449">
        <v>8230</v>
      </c>
      <c r="E1449">
        <v>2.27</v>
      </c>
      <c r="F1449">
        <v>20.05</v>
      </c>
      <c r="G1449">
        <v>1192</v>
      </c>
      <c r="H1449">
        <v>1039</v>
      </c>
      <c r="I1449">
        <v>996</v>
      </c>
      <c r="J1449">
        <v>85.52</v>
      </c>
      <c r="K1449">
        <v>87.37</v>
      </c>
      <c r="L1449">
        <v>87.90000000000001</v>
      </c>
      <c r="M1449">
        <v>10.13</v>
      </c>
      <c r="N1449" t="b">
        <v>1</v>
      </c>
      <c r="O1449">
        <v>105</v>
      </c>
      <c r="P1449" t="s">
        <v>1456</v>
      </c>
      <c r="Q1449" t="s">
        <v>3426</v>
      </c>
      <c r="R1449">
        <v>8.815654131888895</v>
      </c>
      <c r="S1449">
        <v>3639</v>
      </c>
      <c r="T1449">
        <v>7503457</v>
      </c>
      <c r="U1449" t="s">
        <v>5427</v>
      </c>
      <c r="V1449">
        <v>30.66</v>
      </c>
      <c r="W1449" t="s">
        <v>7630</v>
      </c>
      <c r="X1449" t="s">
        <v>9607</v>
      </c>
      <c r="Y1449">
        <v>196</v>
      </c>
      <c r="Z1449">
        <v>52</v>
      </c>
      <c r="AA1449">
        <v>1350000</v>
      </c>
      <c r="AB1449">
        <v>0.33</v>
      </c>
    </row>
    <row r="1450" spans="1:28">
      <c r="A1450" s="2">
        <f>HYPERLINK("https://finance.naver.com/item/coinfo.nhn?code=071200", "A071200")</f>
        <v>0</v>
      </c>
      <c r="B1450">
        <f>HYPERLINK("http://comp.fnguide.com/SVO2/ASP/SVD_Consensus.asp?pGB=1&amp;gicode=A071200&amp;cID=&amp;MenuYn=Y&amp;ReportGB=&amp;NewMenuID=108&amp;stkGb=701", "인피니트헬스케어")</f>
        <v>0</v>
      </c>
      <c r="C1450">
        <v>0</v>
      </c>
      <c r="D1450">
        <v>7340</v>
      </c>
      <c r="E1450">
        <v>-1.74</v>
      </c>
      <c r="F1450">
        <v>19.42</v>
      </c>
      <c r="G1450">
        <v>3075</v>
      </c>
      <c r="H1450">
        <v>3313</v>
      </c>
      <c r="I1450">
        <v>3380</v>
      </c>
      <c r="J1450">
        <v>58.11</v>
      </c>
      <c r="K1450">
        <v>54.87</v>
      </c>
      <c r="L1450">
        <v>53.95</v>
      </c>
      <c r="M1450">
        <v>7.06</v>
      </c>
      <c r="N1450" t="b">
        <v>1</v>
      </c>
      <c r="O1450">
        <v>297</v>
      </c>
      <c r="P1450" t="s">
        <v>1457</v>
      </c>
      <c r="Q1450" t="s">
        <v>3427</v>
      </c>
      <c r="R1450">
        <v>-11.18983692989626</v>
      </c>
      <c r="S1450">
        <v>1791</v>
      </c>
      <c r="T1450">
        <v>764019</v>
      </c>
      <c r="U1450" t="s">
        <v>5428</v>
      </c>
      <c r="V1450">
        <v>45.47</v>
      </c>
      <c r="W1450" t="s">
        <v>7631</v>
      </c>
      <c r="X1450" t="s">
        <v>9608</v>
      </c>
      <c r="Y1450">
        <v>743</v>
      </c>
      <c r="Z1450">
        <v>71</v>
      </c>
      <c r="AA1450">
        <v>20005</v>
      </c>
    </row>
    <row r="1451" spans="1:28">
      <c r="A1451" s="2">
        <f>HYPERLINK("https://finance.naver.com/item/coinfo.nhn?code=263700", "A263700")</f>
        <v>0</v>
      </c>
      <c r="B1451">
        <f>HYPERLINK("http://comp.fnguide.com/SVO2/ASP/SVD_Consensus.asp?pGB=1&amp;gicode=A263700&amp;cID=&amp;MenuYn=Y&amp;ReportGB=&amp;NewMenuID=108&amp;stkGb=701", "케어랩스")</f>
        <v>0</v>
      </c>
      <c r="C1451">
        <v>0</v>
      </c>
      <c r="D1451">
        <v>8550</v>
      </c>
      <c r="E1451">
        <v>-12.71</v>
      </c>
      <c r="F1451">
        <v>166.19</v>
      </c>
      <c r="G1451">
        <v>3646</v>
      </c>
      <c r="H1451">
        <v>3627</v>
      </c>
      <c r="I1451">
        <v>3622</v>
      </c>
      <c r="J1451">
        <v>57.36</v>
      </c>
      <c r="K1451">
        <v>57.58</v>
      </c>
      <c r="L1451">
        <v>57.64</v>
      </c>
      <c r="M1451">
        <v>8.039999999999999</v>
      </c>
      <c r="N1451" t="b">
        <v>0</v>
      </c>
      <c r="O1451">
        <v>46</v>
      </c>
      <c r="P1451" t="s">
        <v>1458</v>
      </c>
      <c r="Q1451" t="s">
        <v>3428</v>
      </c>
      <c r="R1451">
        <v>-13.0724545943223</v>
      </c>
      <c r="S1451">
        <v>1474</v>
      </c>
      <c r="T1451">
        <v>310931</v>
      </c>
      <c r="U1451" t="s">
        <v>5429</v>
      </c>
      <c r="V1451">
        <v>20.15</v>
      </c>
      <c r="W1451" t="s">
        <v>7632</v>
      </c>
      <c r="X1451" t="s">
        <v>9609</v>
      </c>
      <c r="Y1451">
        <v>683</v>
      </c>
      <c r="Z1451">
        <v>36</v>
      </c>
    </row>
    <row r="1452" spans="1:28">
      <c r="A1452" s="2">
        <f>HYPERLINK("https://finance.naver.com/item/coinfo.nhn?code=019570", "A019570")</f>
        <v>0</v>
      </c>
      <c r="B1452">
        <f>HYPERLINK("http://comp.fnguide.com/SVO2/ASP/SVD_Consensus.asp?pGB=1&amp;gicode=A019570&amp;cID=&amp;MenuYn=Y&amp;ReportGB=&amp;NewMenuID=108&amp;stkGb=701", "리더스 기술투자")</f>
        <v>0</v>
      </c>
      <c r="C1452">
        <v>0</v>
      </c>
      <c r="D1452">
        <v>540</v>
      </c>
      <c r="E1452">
        <v>0</v>
      </c>
      <c r="G1452">
        <v>0</v>
      </c>
      <c r="H1452">
        <v>138</v>
      </c>
      <c r="I1452">
        <v>177</v>
      </c>
      <c r="J1452">
        <v>100</v>
      </c>
      <c r="K1452">
        <v>74.47</v>
      </c>
      <c r="L1452">
        <v>67.2</v>
      </c>
      <c r="M1452">
        <v>0</v>
      </c>
      <c r="N1452" t="b">
        <v>0</v>
      </c>
      <c r="O1452">
        <v>-200</v>
      </c>
      <c r="P1452" t="s">
        <v>1459</v>
      </c>
      <c r="Q1452" t="s">
        <v>2601</v>
      </c>
      <c r="R1452">
        <v>-46.28803362708658</v>
      </c>
      <c r="S1452">
        <v>518</v>
      </c>
      <c r="T1452">
        <v>557959</v>
      </c>
      <c r="U1452" t="s">
        <v>5430</v>
      </c>
      <c r="V1452">
        <v>24.47</v>
      </c>
      <c r="W1452" t="s">
        <v>7633</v>
      </c>
      <c r="X1452" t="s">
        <v>968</v>
      </c>
      <c r="Y1452">
        <v>89</v>
      </c>
      <c r="Z1452">
        <v>-110</v>
      </c>
    </row>
    <row r="1453" spans="1:28">
      <c r="A1453" s="2">
        <f>HYPERLINK("https://finance.naver.com/item/coinfo.nhn?code=114810", "A114810")</f>
        <v>0</v>
      </c>
      <c r="B1453">
        <f>HYPERLINK("http://comp.fnguide.com/SVO2/ASP/SVD_Consensus.asp?pGB=1&amp;gicode=A114810&amp;cID=&amp;MenuYn=Y&amp;ReportGB=&amp;NewMenuID=108&amp;stkGb=701", "아이원스")</f>
        <v>0</v>
      </c>
      <c r="C1453">
        <v>0</v>
      </c>
      <c r="D1453">
        <v>9260</v>
      </c>
      <c r="G1453">
        <v>2585</v>
      </c>
      <c r="H1453">
        <v>6998</v>
      </c>
      <c r="I1453">
        <v>8255</v>
      </c>
      <c r="J1453">
        <v>72.08</v>
      </c>
      <c r="K1453">
        <v>24.43</v>
      </c>
      <c r="L1453">
        <v>10.85</v>
      </c>
      <c r="M1453">
        <v>2.07</v>
      </c>
      <c r="N1453" t="b">
        <v>0</v>
      </c>
      <c r="O1453">
        <v>-247</v>
      </c>
      <c r="P1453" t="s">
        <v>1460</v>
      </c>
      <c r="Q1453" t="s">
        <v>3429</v>
      </c>
      <c r="R1453">
        <v>-31.25291922037112</v>
      </c>
      <c r="S1453">
        <v>1242</v>
      </c>
      <c r="T1453">
        <v>177664</v>
      </c>
      <c r="U1453" t="s">
        <v>5431</v>
      </c>
      <c r="V1453">
        <v>32.32</v>
      </c>
      <c r="W1453" t="s">
        <v>7634</v>
      </c>
      <c r="X1453" t="s">
        <v>9610</v>
      </c>
      <c r="Y1453">
        <v>1255</v>
      </c>
      <c r="Z1453">
        <v>10</v>
      </c>
      <c r="AA1453">
        <v>1128967</v>
      </c>
    </row>
    <row r="1454" spans="1:28">
      <c r="A1454" s="2">
        <f>HYPERLINK("https://finance.naver.com/item/coinfo.nhn?code=033180", "A033180")</f>
        <v>0</v>
      </c>
      <c r="B1454">
        <f>HYPERLINK("http://comp.fnguide.com/SVO2/ASP/SVD_Consensus.asp?pGB=1&amp;gicode=A033180&amp;cID=&amp;MenuYn=Y&amp;ReportGB=&amp;NewMenuID=108&amp;stkGb=701", "필룩스")</f>
        <v>0</v>
      </c>
      <c r="C1454">
        <v>0</v>
      </c>
      <c r="D1454">
        <v>5280</v>
      </c>
      <c r="G1454">
        <v>320</v>
      </c>
      <c r="H1454">
        <v>1944</v>
      </c>
      <c r="I1454">
        <v>2406</v>
      </c>
      <c r="J1454">
        <v>93.93000000000001</v>
      </c>
      <c r="K1454">
        <v>63.19</v>
      </c>
      <c r="L1454">
        <v>54.43</v>
      </c>
      <c r="M1454">
        <v>0.85</v>
      </c>
      <c r="N1454" t="b">
        <v>0</v>
      </c>
      <c r="O1454">
        <v>-156</v>
      </c>
      <c r="P1454" t="s">
        <v>1461</v>
      </c>
      <c r="Q1454" t="s">
        <v>3430</v>
      </c>
      <c r="R1454">
        <v>6.940871513187141</v>
      </c>
      <c r="S1454">
        <v>4754</v>
      </c>
      <c r="T1454">
        <v>24831751</v>
      </c>
      <c r="U1454" t="s">
        <v>5432</v>
      </c>
      <c r="V1454">
        <v>18.38</v>
      </c>
      <c r="W1454" t="s">
        <v>7635</v>
      </c>
      <c r="X1454" t="s">
        <v>9611</v>
      </c>
      <c r="Y1454">
        <v>1351</v>
      </c>
      <c r="Z1454">
        <v>29</v>
      </c>
      <c r="AA1454">
        <v>2802</v>
      </c>
    </row>
    <row r="1455" spans="1:28">
      <c r="A1455" s="2">
        <f>HYPERLINK("https://finance.naver.com/item/coinfo.nhn?code=007630", "A007630")</f>
        <v>0</v>
      </c>
      <c r="B1455">
        <f>HYPERLINK("http://comp.fnguide.com/SVO2/ASP/SVD_Consensus.asp?pGB=1&amp;gicode=A007630&amp;cID=&amp;MenuYn=Y&amp;ReportGB=&amp;NewMenuID=108&amp;stkGb=701", "폴루스바이오팜")</f>
        <v>0</v>
      </c>
      <c r="C1455">
        <v>0</v>
      </c>
      <c r="D1455">
        <v>1225</v>
      </c>
      <c r="E1455">
        <v>0</v>
      </c>
      <c r="G1455">
        <v>0</v>
      </c>
      <c r="H1455">
        <v>804</v>
      </c>
      <c r="I1455">
        <v>1034</v>
      </c>
      <c r="J1455">
        <v>100</v>
      </c>
      <c r="K1455">
        <v>34.33</v>
      </c>
      <c r="L1455">
        <v>15.62</v>
      </c>
      <c r="M1455">
        <v>0</v>
      </c>
      <c r="N1455" t="b">
        <v>0</v>
      </c>
      <c r="O1455">
        <v>-339</v>
      </c>
      <c r="P1455" t="s">
        <v>1462</v>
      </c>
      <c r="Q1455" t="s">
        <v>2276</v>
      </c>
      <c r="R1455">
        <v>0</v>
      </c>
      <c r="S1455">
        <v>543</v>
      </c>
      <c r="T1455">
        <v>0</v>
      </c>
      <c r="U1455" t="s">
        <v>5433</v>
      </c>
      <c r="V1455">
        <v>10.91</v>
      </c>
      <c r="W1455" t="s">
        <v>7636</v>
      </c>
      <c r="X1455" t="s">
        <v>968</v>
      </c>
      <c r="Y1455">
        <v>95</v>
      </c>
      <c r="Z1455">
        <v>-43</v>
      </c>
      <c r="AA1455">
        <v>18246</v>
      </c>
    </row>
    <row r="1456" spans="1:28">
      <c r="A1456" s="2">
        <f>HYPERLINK("https://finance.naver.com/item/coinfo.nhn?code=003670", "A003670")</f>
        <v>0</v>
      </c>
      <c r="B1456">
        <f>HYPERLINK("http://comp.fnguide.com/SVO2/ASP/SVD_Consensus.asp?pGB=1&amp;gicode=A003670&amp;cID=&amp;MenuYn=Y&amp;ReportGB=&amp;NewMenuID=108&amp;stkGb=701", "포스코케미칼")</f>
        <v>0</v>
      </c>
      <c r="C1456">
        <v>0</v>
      </c>
      <c r="D1456">
        <v>98600</v>
      </c>
      <c r="E1456">
        <v>-1.99</v>
      </c>
      <c r="F1456">
        <v>29.46</v>
      </c>
      <c r="G1456">
        <v>30710</v>
      </c>
      <c r="H1456">
        <v>22086</v>
      </c>
      <c r="I1456">
        <v>19628</v>
      </c>
      <c r="J1456">
        <v>68.84999999999999</v>
      </c>
      <c r="K1456">
        <v>77.59999999999999</v>
      </c>
      <c r="L1456">
        <v>80.09</v>
      </c>
      <c r="M1456">
        <v>14.96</v>
      </c>
      <c r="N1456" t="b">
        <v>0</v>
      </c>
      <c r="O1456">
        <v>1672</v>
      </c>
      <c r="P1456" t="s">
        <v>1463</v>
      </c>
      <c r="Q1456" t="s">
        <v>3431</v>
      </c>
      <c r="R1456">
        <v>-14.82477887661506</v>
      </c>
      <c r="S1456">
        <v>60134</v>
      </c>
      <c r="T1456">
        <v>1190166</v>
      </c>
      <c r="U1456" t="s">
        <v>5434</v>
      </c>
      <c r="V1456">
        <v>64.65000000000001</v>
      </c>
      <c r="W1456" t="s">
        <v>7637</v>
      </c>
      <c r="X1456" t="s">
        <v>9612</v>
      </c>
      <c r="Y1456">
        <v>14838</v>
      </c>
      <c r="Z1456">
        <v>899</v>
      </c>
      <c r="AB1456">
        <v>0.8100000000000001</v>
      </c>
    </row>
    <row r="1457" spans="1:28">
      <c r="A1457" s="2">
        <f>HYPERLINK("https://finance.naver.com/item/coinfo.nhn?code=090080", "A090080")</f>
        <v>0</v>
      </c>
      <c r="B1457">
        <f>HYPERLINK("http://comp.fnguide.com/SVO2/ASP/SVD_Consensus.asp?pGB=1&amp;gicode=A090080&amp;cID=&amp;MenuYn=Y&amp;ReportGB=&amp;NewMenuID=108&amp;stkGb=701", "평화산업")</f>
        <v>0</v>
      </c>
      <c r="C1457">
        <v>0</v>
      </c>
      <c r="D1457">
        <v>1125</v>
      </c>
      <c r="G1457">
        <v>0</v>
      </c>
      <c r="H1457">
        <v>367</v>
      </c>
      <c r="I1457">
        <v>471</v>
      </c>
      <c r="J1457">
        <v>100</v>
      </c>
      <c r="K1457">
        <v>67.41</v>
      </c>
      <c r="L1457">
        <v>58.13</v>
      </c>
      <c r="M1457">
        <v>0</v>
      </c>
      <c r="N1457" t="b">
        <v>0</v>
      </c>
      <c r="O1457">
        <v>-156</v>
      </c>
      <c r="P1457" t="s">
        <v>1464</v>
      </c>
      <c r="Q1457" t="s">
        <v>3432</v>
      </c>
      <c r="R1457">
        <v>-40.5</v>
      </c>
      <c r="S1457">
        <v>618</v>
      </c>
      <c r="T1457">
        <v>149147</v>
      </c>
      <c r="U1457" t="s">
        <v>5435</v>
      </c>
      <c r="V1457">
        <v>64.69</v>
      </c>
      <c r="W1457" t="s">
        <v>7638</v>
      </c>
      <c r="X1457" t="s">
        <v>968</v>
      </c>
      <c r="Y1457">
        <v>3533</v>
      </c>
      <c r="Z1457">
        <v>-23</v>
      </c>
    </row>
    <row r="1458" spans="1:28">
      <c r="A1458" s="2">
        <f>HYPERLINK("https://finance.naver.com/item/coinfo.nhn?code=001020", "A001020")</f>
        <v>0</v>
      </c>
      <c r="B1458">
        <f>HYPERLINK("http://comp.fnguide.com/SVO2/ASP/SVD_Consensus.asp?pGB=1&amp;gicode=A001020&amp;cID=&amp;MenuYn=Y&amp;ReportGB=&amp;NewMenuID=108&amp;stkGb=701", "페이퍼코리아")</f>
        <v>0</v>
      </c>
      <c r="C1458">
        <v>0</v>
      </c>
      <c r="D1458">
        <v>2860</v>
      </c>
      <c r="E1458">
        <v>0</v>
      </c>
      <c r="G1458">
        <v>0</v>
      </c>
      <c r="H1458">
        <v>223</v>
      </c>
      <c r="I1458">
        <v>286</v>
      </c>
      <c r="J1458">
        <v>100</v>
      </c>
      <c r="K1458">
        <v>92.22</v>
      </c>
      <c r="L1458">
        <v>90</v>
      </c>
      <c r="M1458">
        <v>0</v>
      </c>
      <c r="N1458" t="b">
        <v>0</v>
      </c>
      <c r="O1458">
        <v>-972</v>
      </c>
      <c r="P1458" t="s">
        <v>1465</v>
      </c>
      <c r="Q1458" t="s">
        <v>2276</v>
      </c>
      <c r="R1458">
        <v>0</v>
      </c>
      <c r="S1458">
        <v>1006</v>
      </c>
      <c r="T1458">
        <v>7241815</v>
      </c>
      <c r="U1458" t="s">
        <v>5436</v>
      </c>
      <c r="V1458">
        <v>66.18000000000001</v>
      </c>
      <c r="W1458" t="s">
        <v>7639</v>
      </c>
      <c r="X1458" t="s">
        <v>968</v>
      </c>
      <c r="Y1458">
        <v>2656</v>
      </c>
      <c r="Z1458">
        <v>-13</v>
      </c>
      <c r="AA1458">
        <v>61831</v>
      </c>
    </row>
    <row r="1459" spans="1:28">
      <c r="A1459" s="2">
        <f>HYPERLINK("https://finance.naver.com/item/coinfo.nhn?code=010820", "A010820")</f>
        <v>0</v>
      </c>
      <c r="B1459">
        <f>HYPERLINK("http://comp.fnguide.com/SVO2/ASP/SVD_Consensus.asp?pGB=1&amp;gicode=A010820&amp;cID=&amp;MenuYn=Y&amp;ReportGB=&amp;NewMenuID=108&amp;stkGb=701", "퍼스텍")</f>
        <v>0</v>
      </c>
      <c r="C1459">
        <v>0</v>
      </c>
      <c r="D1459">
        <v>2135</v>
      </c>
      <c r="E1459">
        <v>0</v>
      </c>
      <c r="G1459">
        <v>59</v>
      </c>
      <c r="H1459">
        <v>366</v>
      </c>
      <c r="I1459">
        <v>454</v>
      </c>
      <c r="J1459">
        <v>97.25</v>
      </c>
      <c r="K1459">
        <v>82.86</v>
      </c>
      <c r="L1459">
        <v>78.76000000000001</v>
      </c>
      <c r="M1459">
        <v>0.82</v>
      </c>
      <c r="N1459" t="b">
        <v>0</v>
      </c>
      <c r="O1459">
        <v>-224</v>
      </c>
      <c r="P1459" t="s">
        <v>1466</v>
      </c>
      <c r="Q1459" t="s">
        <v>2276</v>
      </c>
      <c r="R1459">
        <v>0</v>
      </c>
      <c r="S1459">
        <v>1026</v>
      </c>
      <c r="T1459">
        <v>532540</v>
      </c>
      <c r="U1459" t="s">
        <v>5437</v>
      </c>
      <c r="V1459">
        <v>45.48</v>
      </c>
      <c r="W1459" t="s">
        <v>7640</v>
      </c>
      <c r="X1459" t="s">
        <v>9613</v>
      </c>
      <c r="Y1459">
        <v>1263</v>
      </c>
      <c r="Z1459">
        <v>-47</v>
      </c>
      <c r="AA1459">
        <v>177101</v>
      </c>
    </row>
    <row r="1460" spans="1:28">
      <c r="A1460" s="2">
        <f>HYPERLINK("https://finance.naver.com/item/coinfo.nhn?code=005690", "A005690")</f>
        <v>0</v>
      </c>
      <c r="B1460">
        <f>HYPERLINK("http://comp.fnguide.com/SVO2/ASP/SVD_Consensus.asp?pGB=1&amp;gicode=A005690&amp;cID=&amp;MenuYn=Y&amp;ReportGB=&amp;NewMenuID=108&amp;stkGb=701", "파미셀")</f>
        <v>0</v>
      </c>
      <c r="C1460">
        <v>0</v>
      </c>
      <c r="D1460">
        <v>21850</v>
      </c>
      <c r="E1460">
        <v>0.91</v>
      </c>
      <c r="F1460">
        <v>117.1</v>
      </c>
      <c r="G1460">
        <v>473</v>
      </c>
      <c r="H1460">
        <v>705</v>
      </c>
      <c r="I1460">
        <v>771</v>
      </c>
      <c r="J1460">
        <v>97.83</v>
      </c>
      <c r="K1460">
        <v>96.77</v>
      </c>
      <c r="L1460">
        <v>96.47</v>
      </c>
      <c r="M1460">
        <v>4.39</v>
      </c>
      <c r="N1460" t="b">
        <v>0</v>
      </c>
      <c r="O1460">
        <v>73</v>
      </c>
      <c r="P1460" t="s">
        <v>1467</v>
      </c>
      <c r="Q1460" t="s">
        <v>3433</v>
      </c>
      <c r="R1460">
        <v>128.8</v>
      </c>
      <c r="S1460">
        <v>13101</v>
      </c>
      <c r="T1460">
        <v>3836150</v>
      </c>
      <c r="U1460" t="s">
        <v>5438</v>
      </c>
      <c r="V1460">
        <v>9.41</v>
      </c>
      <c r="W1460" t="s">
        <v>7641</v>
      </c>
      <c r="X1460" t="s">
        <v>9614</v>
      </c>
      <c r="Y1460">
        <v>325</v>
      </c>
      <c r="Z1460">
        <v>20</v>
      </c>
      <c r="AA1460">
        <v>12950</v>
      </c>
    </row>
    <row r="1461" spans="1:28">
      <c r="A1461" s="2">
        <f>HYPERLINK("https://finance.naver.com/item/coinfo.nhn?code=363280", "A363280")</f>
        <v>0</v>
      </c>
      <c r="B1461">
        <f>HYPERLINK("http://comp.fnguide.com/SVO2/ASP/SVD_Consensus.asp?pGB=1&amp;gicode=A363280&amp;cID=&amp;MenuYn=Y&amp;ReportGB=&amp;NewMenuID=108&amp;stkGb=701", "티와이홀딩스")</f>
        <v>0</v>
      </c>
      <c r="C1461">
        <v>0</v>
      </c>
      <c r="D1461">
        <v>24000</v>
      </c>
      <c r="E1461">
        <v>0</v>
      </c>
      <c r="G1461">
        <v>0</v>
      </c>
      <c r="H1461">
        <v>13372</v>
      </c>
      <c r="I1461">
        <v>17182</v>
      </c>
      <c r="J1461">
        <v>100</v>
      </c>
      <c r="K1461">
        <v>44.28</v>
      </c>
      <c r="L1461">
        <v>28.41</v>
      </c>
      <c r="M1461">
        <v>0</v>
      </c>
      <c r="N1461" t="b">
        <v>0</v>
      </c>
      <c r="P1461" t="s">
        <v>1468</v>
      </c>
      <c r="Q1461" t="s">
        <v>2757</v>
      </c>
      <c r="R1461">
        <v>0</v>
      </c>
      <c r="S1461">
        <v>9000</v>
      </c>
      <c r="T1461">
        <v>257007</v>
      </c>
      <c r="U1461" t="s">
        <v>5439</v>
      </c>
      <c r="V1461">
        <v>38.32</v>
      </c>
      <c r="W1461" t="s">
        <v>968</v>
      </c>
      <c r="X1461" t="s">
        <v>968</v>
      </c>
      <c r="AA1461">
        <v>3985697</v>
      </c>
    </row>
    <row r="1462" spans="1:28">
      <c r="A1462" s="2">
        <f>HYPERLINK("https://finance.naver.com/item/coinfo.nhn?code=214420", "A214420")</f>
        <v>0</v>
      </c>
      <c r="B1462">
        <f>HYPERLINK("http://comp.fnguide.com/SVO2/ASP/SVD_Consensus.asp?pGB=1&amp;gicode=A214420&amp;cID=&amp;MenuYn=Y&amp;ReportGB=&amp;NewMenuID=108&amp;stkGb=701", "토니모리")</f>
        <v>0</v>
      </c>
      <c r="C1462">
        <v>0</v>
      </c>
      <c r="D1462">
        <v>9390</v>
      </c>
      <c r="G1462">
        <v>0</v>
      </c>
      <c r="H1462">
        <v>3394</v>
      </c>
      <c r="I1462">
        <v>4362</v>
      </c>
      <c r="J1462">
        <v>100</v>
      </c>
      <c r="K1462">
        <v>63.85</v>
      </c>
      <c r="L1462">
        <v>53.55</v>
      </c>
      <c r="M1462">
        <v>0</v>
      </c>
      <c r="N1462" t="b">
        <v>0</v>
      </c>
      <c r="O1462">
        <v>-308</v>
      </c>
      <c r="P1462" t="s">
        <v>1469</v>
      </c>
      <c r="Q1462" t="s">
        <v>3434</v>
      </c>
      <c r="R1462">
        <v>-11.4</v>
      </c>
      <c r="S1462">
        <v>1656</v>
      </c>
      <c r="T1462">
        <v>64041</v>
      </c>
      <c r="U1462" t="s">
        <v>5440</v>
      </c>
      <c r="V1462">
        <v>66.13</v>
      </c>
      <c r="W1462" t="s">
        <v>7642</v>
      </c>
      <c r="X1462" t="s">
        <v>968</v>
      </c>
      <c r="Y1462">
        <v>1720</v>
      </c>
      <c r="Z1462">
        <v>-3</v>
      </c>
      <c r="AA1462">
        <v>152148</v>
      </c>
    </row>
    <row r="1463" spans="1:28">
      <c r="A1463" s="2">
        <f>HYPERLINK("https://finance.naver.com/item/coinfo.nhn?code=055490", "A055490")</f>
        <v>0</v>
      </c>
      <c r="B1463">
        <f>HYPERLINK("http://comp.fnguide.com/SVO2/ASP/SVD_Consensus.asp?pGB=1&amp;gicode=A055490&amp;cID=&amp;MenuYn=Y&amp;ReportGB=&amp;NewMenuID=108&amp;stkGb=701", "테이팩스")</f>
        <v>0</v>
      </c>
      <c r="C1463">
        <v>0</v>
      </c>
      <c r="D1463">
        <v>36700</v>
      </c>
      <c r="E1463">
        <v>0.76</v>
      </c>
      <c r="F1463">
        <v>13.6</v>
      </c>
      <c r="G1463">
        <v>19850</v>
      </c>
      <c r="H1463">
        <v>20748</v>
      </c>
      <c r="I1463">
        <v>21004</v>
      </c>
      <c r="J1463">
        <v>45.91</v>
      </c>
      <c r="K1463">
        <v>43.46</v>
      </c>
      <c r="L1463">
        <v>42.77</v>
      </c>
      <c r="M1463">
        <v>7.41</v>
      </c>
      <c r="N1463" t="b">
        <v>1</v>
      </c>
      <c r="O1463">
        <v>1617</v>
      </c>
      <c r="P1463" t="s">
        <v>1470</v>
      </c>
      <c r="Q1463" t="s">
        <v>3435</v>
      </c>
      <c r="R1463">
        <v>17.96501963310835</v>
      </c>
      <c r="S1463">
        <v>1731</v>
      </c>
      <c r="T1463">
        <v>63707</v>
      </c>
      <c r="U1463" t="s">
        <v>5441</v>
      </c>
      <c r="V1463">
        <v>45.55</v>
      </c>
      <c r="W1463" t="s">
        <v>7643</v>
      </c>
      <c r="X1463" t="s">
        <v>9615</v>
      </c>
      <c r="Y1463">
        <v>1126</v>
      </c>
      <c r="Z1463">
        <v>83</v>
      </c>
    </row>
    <row r="1464" spans="1:28">
      <c r="A1464" s="2">
        <f>HYPERLINK("https://finance.naver.com/item/coinfo.nhn?code=001420", "A001420")</f>
        <v>0</v>
      </c>
      <c r="B1464">
        <f>HYPERLINK("http://comp.fnguide.com/SVO2/ASP/SVD_Consensus.asp?pGB=1&amp;gicode=A001420&amp;cID=&amp;MenuYn=Y&amp;ReportGB=&amp;NewMenuID=108&amp;stkGb=701", "태원물산")</f>
        <v>0</v>
      </c>
      <c r="C1464">
        <v>0</v>
      </c>
      <c r="D1464">
        <v>3955</v>
      </c>
      <c r="E1464">
        <v>-10.34</v>
      </c>
      <c r="F1464">
        <v>56.86</v>
      </c>
      <c r="G1464">
        <v>895</v>
      </c>
      <c r="H1464">
        <v>2996</v>
      </c>
      <c r="I1464">
        <v>3594</v>
      </c>
      <c r="J1464">
        <v>77.36</v>
      </c>
      <c r="K1464">
        <v>24.26</v>
      </c>
      <c r="L1464">
        <v>9.119999999999999</v>
      </c>
      <c r="M1464">
        <v>1.62</v>
      </c>
      <c r="N1464" t="b">
        <v>0</v>
      </c>
      <c r="O1464">
        <v>71</v>
      </c>
      <c r="P1464" t="s">
        <v>1471</v>
      </c>
      <c r="Q1464" t="s">
        <v>3436</v>
      </c>
      <c r="R1464">
        <v>-5.498233883209758</v>
      </c>
      <c r="S1464">
        <v>301</v>
      </c>
      <c r="T1464">
        <v>21165</v>
      </c>
      <c r="U1464" t="s">
        <v>5442</v>
      </c>
      <c r="V1464">
        <v>40.7</v>
      </c>
      <c r="W1464" t="s">
        <v>7644</v>
      </c>
      <c r="X1464" t="s">
        <v>9616</v>
      </c>
      <c r="Y1464">
        <v>219</v>
      </c>
      <c r="Z1464">
        <v>1</v>
      </c>
      <c r="AA1464">
        <v>266893</v>
      </c>
      <c r="AB1464">
        <v>2.11</v>
      </c>
    </row>
    <row r="1465" spans="1:28">
      <c r="A1465" s="2">
        <f>HYPERLINK("https://finance.naver.com/item/coinfo.nhn?code=011280", "A011280")</f>
        <v>0</v>
      </c>
      <c r="B1465">
        <f>HYPERLINK("http://comp.fnguide.com/SVO2/ASP/SVD_Consensus.asp?pGB=1&amp;gicode=A011280&amp;cID=&amp;MenuYn=Y&amp;ReportGB=&amp;NewMenuID=108&amp;stkGb=701", "태림포장")</f>
        <v>0</v>
      </c>
      <c r="C1465">
        <v>0</v>
      </c>
      <c r="D1465">
        <v>6930</v>
      </c>
      <c r="E1465">
        <v>0.04</v>
      </c>
      <c r="F1465">
        <v>16.19</v>
      </c>
      <c r="G1465">
        <v>2932</v>
      </c>
      <c r="H1465">
        <v>3843</v>
      </c>
      <c r="I1465">
        <v>4102</v>
      </c>
      <c r="J1465">
        <v>57.69</v>
      </c>
      <c r="K1465">
        <v>44.55</v>
      </c>
      <c r="L1465">
        <v>40.8</v>
      </c>
      <c r="M1465">
        <v>5.25</v>
      </c>
      <c r="N1465" t="b">
        <v>1</v>
      </c>
      <c r="O1465">
        <v>263</v>
      </c>
      <c r="P1465" t="s">
        <v>1472</v>
      </c>
      <c r="Q1465" t="s">
        <v>3437</v>
      </c>
      <c r="R1465">
        <v>370.9017803285378</v>
      </c>
      <c r="S1465">
        <v>4907</v>
      </c>
      <c r="T1465">
        <v>32099185</v>
      </c>
      <c r="U1465" t="s">
        <v>5443</v>
      </c>
      <c r="V1465">
        <v>68.78</v>
      </c>
      <c r="W1465" t="s">
        <v>7645</v>
      </c>
      <c r="X1465" t="s">
        <v>9617</v>
      </c>
      <c r="Y1465">
        <v>5729</v>
      </c>
      <c r="Z1465">
        <v>208</v>
      </c>
      <c r="AA1465">
        <v>1966819</v>
      </c>
      <c r="AB1465">
        <v>6.82</v>
      </c>
    </row>
    <row r="1466" spans="1:28">
      <c r="A1466" s="2">
        <f>HYPERLINK("https://finance.naver.com/item/coinfo.nhn?code=006890", "A006890")</f>
        <v>0</v>
      </c>
      <c r="B1466">
        <f>HYPERLINK("http://comp.fnguide.com/SVO2/ASP/SVD_Consensus.asp?pGB=1&amp;gicode=A006890&amp;cID=&amp;MenuYn=Y&amp;ReportGB=&amp;NewMenuID=108&amp;stkGb=701", "태경케미컬")</f>
        <v>0</v>
      </c>
      <c r="C1466">
        <v>0</v>
      </c>
      <c r="D1466">
        <v>15500</v>
      </c>
      <c r="E1466">
        <v>0.27</v>
      </c>
      <c r="F1466">
        <v>6.2</v>
      </c>
      <c r="G1466">
        <v>7296</v>
      </c>
      <c r="H1466">
        <v>9194</v>
      </c>
      <c r="I1466">
        <v>9735</v>
      </c>
      <c r="J1466">
        <v>52.93</v>
      </c>
      <c r="K1466">
        <v>40.68</v>
      </c>
      <c r="L1466">
        <v>37.19</v>
      </c>
      <c r="M1466">
        <v>5.56</v>
      </c>
      <c r="N1466" t="b">
        <v>1</v>
      </c>
      <c r="O1466">
        <v>847</v>
      </c>
      <c r="P1466" t="s">
        <v>1473</v>
      </c>
      <c r="Q1466" t="s">
        <v>3438</v>
      </c>
      <c r="R1466">
        <v>22.61333902711955</v>
      </c>
      <c r="S1466">
        <v>1798</v>
      </c>
      <c r="T1466">
        <v>2334186</v>
      </c>
      <c r="U1466" t="s">
        <v>5444</v>
      </c>
      <c r="V1466">
        <v>58.76</v>
      </c>
      <c r="W1466" t="s">
        <v>7646</v>
      </c>
      <c r="X1466" t="s">
        <v>9618</v>
      </c>
      <c r="Y1466">
        <v>418</v>
      </c>
      <c r="Z1466">
        <v>12</v>
      </c>
      <c r="AA1466">
        <v>266101</v>
      </c>
      <c r="AB1466">
        <v>2.86</v>
      </c>
    </row>
    <row r="1467" spans="1:28">
      <c r="A1467" s="2">
        <f>HYPERLINK("https://finance.naver.com/item/coinfo.nhn?code=012170", "A012170")</f>
        <v>0</v>
      </c>
      <c r="B1467">
        <f>HYPERLINK("http://comp.fnguide.com/SVO2/ASP/SVD_Consensus.asp?pGB=1&amp;gicode=A012170&amp;cID=&amp;MenuYn=Y&amp;ReportGB=&amp;NewMenuID=108&amp;stkGb=701", "키위미디어그룹")</f>
        <v>0</v>
      </c>
      <c r="C1467">
        <v>0</v>
      </c>
      <c r="D1467">
        <v>1485</v>
      </c>
      <c r="E1467">
        <v>0</v>
      </c>
      <c r="G1467">
        <v>0</v>
      </c>
      <c r="H1467">
        <v>-73.82579411445876</v>
      </c>
      <c r="I1467">
        <v>-94.86231821500353</v>
      </c>
      <c r="J1467">
        <v>100</v>
      </c>
      <c r="K1467">
        <v>104.97</v>
      </c>
      <c r="L1467">
        <v>106.39</v>
      </c>
      <c r="M1467">
        <v>0</v>
      </c>
      <c r="N1467" t="b">
        <v>0</v>
      </c>
      <c r="O1467">
        <v>-14221</v>
      </c>
      <c r="P1467" t="s">
        <v>1474</v>
      </c>
      <c r="Q1467" t="s">
        <v>2276</v>
      </c>
      <c r="R1467">
        <v>0</v>
      </c>
      <c r="S1467">
        <v>550</v>
      </c>
      <c r="T1467">
        <v>0</v>
      </c>
      <c r="U1467" t="s">
        <v>5445</v>
      </c>
      <c r="V1467">
        <v>41.07</v>
      </c>
      <c r="W1467" t="s">
        <v>7647</v>
      </c>
      <c r="X1467" t="s">
        <v>968</v>
      </c>
      <c r="Y1467">
        <v>314</v>
      </c>
      <c r="Z1467">
        <v>-108</v>
      </c>
      <c r="AA1467">
        <v>102</v>
      </c>
    </row>
    <row r="1468" spans="1:28">
      <c r="A1468" s="2">
        <f>HYPERLINK("https://finance.naver.com/item/coinfo.nhn?code=020120", "A020120")</f>
        <v>0</v>
      </c>
      <c r="B1468">
        <f>HYPERLINK("http://comp.fnguide.com/SVO2/ASP/SVD_Consensus.asp?pGB=1&amp;gicode=A020120&amp;cID=&amp;MenuYn=Y&amp;ReportGB=&amp;NewMenuID=108&amp;stkGb=701", "키다리스튜디오")</f>
        <v>0</v>
      </c>
      <c r="C1468">
        <v>0</v>
      </c>
      <c r="D1468">
        <v>8450</v>
      </c>
      <c r="E1468">
        <v>0.03</v>
      </c>
      <c r="F1468">
        <v>24.31</v>
      </c>
      <c r="G1468">
        <v>1055</v>
      </c>
      <c r="H1468">
        <v>1090</v>
      </c>
      <c r="I1468">
        <v>1100</v>
      </c>
      <c r="J1468">
        <v>87.51000000000001</v>
      </c>
      <c r="K1468">
        <v>87.09999999999999</v>
      </c>
      <c r="L1468">
        <v>86.98</v>
      </c>
      <c r="M1468">
        <v>7.55</v>
      </c>
      <c r="N1468" t="b">
        <v>1</v>
      </c>
      <c r="O1468">
        <v>166</v>
      </c>
      <c r="P1468" t="s">
        <v>1475</v>
      </c>
      <c r="Q1468" t="s">
        <v>3439</v>
      </c>
      <c r="R1468">
        <v>734.7311423446474</v>
      </c>
      <c r="S1468">
        <v>1564</v>
      </c>
      <c r="T1468">
        <v>113861</v>
      </c>
      <c r="U1468" t="s">
        <v>5446</v>
      </c>
      <c r="V1468">
        <v>60.68</v>
      </c>
      <c r="W1468" t="s">
        <v>7648</v>
      </c>
      <c r="X1468" t="s">
        <v>9619</v>
      </c>
      <c r="Y1468">
        <v>267</v>
      </c>
      <c r="Z1468">
        <v>7</v>
      </c>
      <c r="AA1468">
        <v>555</v>
      </c>
    </row>
    <row r="1469" spans="1:28">
      <c r="A1469" s="2">
        <f>HYPERLINK("https://finance.naver.com/item/coinfo.nhn?code=015590", "A015590")</f>
        <v>0</v>
      </c>
      <c r="B1469">
        <f>HYPERLINK("http://comp.fnguide.com/SVO2/ASP/SVD_Consensus.asp?pGB=1&amp;gicode=A015590&amp;cID=&amp;MenuYn=Y&amp;ReportGB=&amp;NewMenuID=108&amp;stkGb=701", "큐로")</f>
        <v>0</v>
      </c>
      <c r="C1469">
        <v>0</v>
      </c>
      <c r="D1469">
        <v>671</v>
      </c>
      <c r="E1469">
        <v>-0.84</v>
      </c>
      <c r="F1469">
        <v>50.5</v>
      </c>
      <c r="G1469">
        <v>101</v>
      </c>
      <c r="H1469">
        <v>287</v>
      </c>
      <c r="I1469">
        <v>340</v>
      </c>
      <c r="J1469">
        <v>85.01000000000001</v>
      </c>
      <c r="K1469">
        <v>57.21</v>
      </c>
      <c r="L1469">
        <v>49.29</v>
      </c>
      <c r="M1469">
        <v>1.95</v>
      </c>
      <c r="N1469" t="b">
        <v>0</v>
      </c>
      <c r="O1469">
        <v>15</v>
      </c>
      <c r="P1469" t="s">
        <v>1476</v>
      </c>
      <c r="Q1469" t="s">
        <v>3440</v>
      </c>
      <c r="R1469">
        <v>-60.3</v>
      </c>
      <c r="S1469">
        <v>1525</v>
      </c>
      <c r="T1469">
        <v>3706842</v>
      </c>
      <c r="U1469" t="s">
        <v>5447</v>
      </c>
      <c r="V1469">
        <v>48.14</v>
      </c>
      <c r="W1469" t="s">
        <v>7649</v>
      </c>
      <c r="X1469" t="s">
        <v>9620</v>
      </c>
      <c r="Y1469">
        <v>1471</v>
      </c>
      <c r="Z1469">
        <v>198</v>
      </c>
    </row>
    <row r="1470" spans="1:28">
      <c r="A1470" s="2">
        <f>HYPERLINK("https://finance.naver.com/item/coinfo.nhn?code=284740", "A284740")</f>
        <v>0</v>
      </c>
      <c r="B1470">
        <f>HYPERLINK("http://comp.fnguide.com/SVO2/ASP/SVD_Consensus.asp?pGB=1&amp;gicode=A284740&amp;cID=&amp;MenuYn=Y&amp;ReportGB=&amp;NewMenuID=108&amp;stkGb=701", "쿠쿠홈시스")</f>
        <v>0</v>
      </c>
      <c r="C1470">
        <v>0</v>
      </c>
      <c r="D1470">
        <v>37900</v>
      </c>
      <c r="E1470">
        <v>0</v>
      </c>
      <c r="F1470">
        <v>14.95</v>
      </c>
      <c r="G1470">
        <v>27223</v>
      </c>
      <c r="H1470">
        <v>22485</v>
      </c>
      <c r="I1470">
        <v>21135</v>
      </c>
      <c r="J1470">
        <v>28.17</v>
      </c>
      <c r="K1470">
        <v>40.67</v>
      </c>
      <c r="L1470">
        <v>44.23</v>
      </c>
      <c r="M1470">
        <v>11.22</v>
      </c>
      <c r="N1470" t="b">
        <v>1</v>
      </c>
      <c r="O1470">
        <v>2890</v>
      </c>
      <c r="P1470" t="s">
        <v>1477</v>
      </c>
      <c r="Q1470" t="s">
        <v>3441</v>
      </c>
      <c r="R1470">
        <v>0</v>
      </c>
      <c r="S1470">
        <v>8504</v>
      </c>
      <c r="T1470">
        <v>120149</v>
      </c>
      <c r="U1470" t="s">
        <v>5448</v>
      </c>
      <c r="V1470">
        <v>75.44</v>
      </c>
      <c r="W1470" t="s">
        <v>7650</v>
      </c>
      <c r="X1470" t="s">
        <v>9621</v>
      </c>
      <c r="Y1470">
        <v>6637</v>
      </c>
      <c r="Z1470">
        <v>1206</v>
      </c>
      <c r="AA1470">
        <v>14950</v>
      </c>
      <c r="AB1470">
        <v>1.3</v>
      </c>
    </row>
    <row r="1471" spans="1:28">
      <c r="A1471" s="2">
        <f>HYPERLINK("https://finance.naver.com/item/coinfo.nhn?code=031820", "A031820")</f>
        <v>0</v>
      </c>
      <c r="B1471">
        <f>HYPERLINK("http://comp.fnguide.com/SVO2/ASP/SVD_Consensus.asp?pGB=1&amp;gicode=A031820&amp;cID=&amp;MenuYn=Y&amp;ReportGB=&amp;NewMenuID=108&amp;stkGb=701", "콤텍시스템")</f>
        <v>0</v>
      </c>
      <c r="C1471">
        <v>0</v>
      </c>
      <c r="D1471">
        <v>1740</v>
      </c>
      <c r="E1471">
        <v>-3.86</v>
      </c>
      <c r="F1471">
        <v>78.95999999999999</v>
      </c>
      <c r="G1471">
        <v>721</v>
      </c>
      <c r="H1471">
        <v>1128</v>
      </c>
      <c r="I1471">
        <v>1244</v>
      </c>
      <c r="J1471">
        <v>58.55</v>
      </c>
      <c r="K1471">
        <v>35.16</v>
      </c>
      <c r="L1471">
        <v>28.49</v>
      </c>
      <c r="M1471">
        <v>4.11</v>
      </c>
      <c r="N1471" t="b">
        <v>0</v>
      </c>
      <c r="O1471">
        <v>19</v>
      </c>
      <c r="P1471" t="s">
        <v>1478</v>
      </c>
      <c r="Q1471" t="s">
        <v>3442</v>
      </c>
      <c r="R1471">
        <v>-20.47424812574148</v>
      </c>
      <c r="S1471">
        <v>1181</v>
      </c>
      <c r="T1471">
        <v>22762297</v>
      </c>
      <c r="U1471" t="s">
        <v>5449</v>
      </c>
      <c r="V1471">
        <v>23.96</v>
      </c>
      <c r="W1471" t="s">
        <v>7651</v>
      </c>
      <c r="X1471" t="s">
        <v>9622</v>
      </c>
      <c r="Y1471">
        <v>2388</v>
      </c>
      <c r="Z1471">
        <v>30</v>
      </c>
    </row>
    <row r="1472" spans="1:28">
      <c r="A1472" s="2">
        <f>HYPERLINK("https://finance.naver.com/item/coinfo.nhn?code=021240", "A021240")</f>
        <v>0</v>
      </c>
      <c r="B1472">
        <f>HYPERLINK("http://comp.fnguide.com/SVO2/ASP/SVD_Consensus.asp?pGB=1&amp;gicode=A021240&amp;cID=&amp;MenuYn=Y&amp;ReportGB=&amp;NewMenuID=108&amp;stkGb=701", "코웨이")</f>
        <v>0</v>
      </c>
      <c r="C1472">
        <v>0</v>
      </c>
      <c r="D1472">
        <v>71100</v>
      </c>
      <c r="E1472">
        <v>11.61</v>
      </c>
      <c r="F1472">
        <v>20.64</v>
      </c>
      <c r="G1472">
        <v>59055</v>
      </c>
      <c r="H1472">
        <v>32502</v>
      </c>
      <c r="I1472">
        <v>24936</v>
      </c>
      <c r="J1472">
        <v>16.94</v>
      </c>
      <c r="K1472">
        <v>54.29</v>
      </c>
      <c r="L1472">
        <v>64.93000000000001</v>
      </c>
      <c r="M1472">
        <v>31.67</v>
      </c>
      <c r="N1472" t="b">
        <v>1</v>
      </c>
      <c r="O1472">
        <v>4511</v>
      </c>
      <c r="P1472" t="s">
        <v>1479</v>
      </c>
      <c r="Q1472" t="s">
        <v>3443</v>
      </c>
      <c r="R1472">
        <v>1.777393336875122</v>
      </c>
      <c r="S1472">
        <v>52472</v>
      </c>
      <c r="T1472">
        <v>266748</v>
      </c>
      <c r="U1472" t="s">
        <v>5450</v>
      </c>
      <c r="V1472">
        <v>25.13</v>
      </c>
      <c r="W1472" t="s">
        <v>7652</v>
      </c>
      <c r="X1472" t="s">
        <v>9623</v>
      </c>
      <c r="Y1472">
        <v>30189</v>
      </c>
      <c r="Z1472">
        <v>4583</v>
      </c>
      <c r="AA1472">
        <v>1243994</v>
      </c>
      <c r="AB1472">
        <v>2.58</v>
      </c>
    </row>
    <row r="1473" spans="1:28">
      <c r="A1473" s="2">
        <f>HYPERLINK("https://finance.naver.com/item/coinfo.nhn?code=144620", "A144620")</f>
        <v>0</v>
      </c>
      <c r="B1473">
        <f>HYPERLINK("http://comp.fnguide.com/SVO2/ASP/SVD_Consensus.asp?pGB=1&amp;gicode=A144620&amp;cID=&amp;MenuYn=Y&amp;ReportGB=&amp;NewMenuID=108&amp;stkGb=701", "코오롱머티리얼")</f>
        <v>0</v>
      </c>
      <c r="C1473">
        <v>0</v>
      </c>
      <c r="D1473">
        <v>3155</v>
      </c>
      <c r="E1473">
        <v>0</v>
      </c>
      <c r="G1473">
        <v>0</v>
      </c>
      <c r="H1473">
        <v>618</v>
      </c>
      <c r="I1473">
        <v>794</v>
      </c>
      <c r="J1473">
        <v>100</v>
      </c>
      <c r="K1473">
        <v>80.42</v>
      </c>
      <c r="L1473">
        <v>74.84</v>
      </c>
      <c r="M1473">
        <v>0</v>
      </c>
      <c r="N1473" t="b">
        <v>0</v>
      </c>
      <c r="O1473">
        <v>-722</v>
      </c>
      <c r="P1473" t="s">
        <v>1480</v>
      </c>
      <c r="Q1473" t="s">
        <v>2276</v>
      </c>
      <c r="R1473">
        <v>0</v>
      </c>
      <c r="S1473">
        <v>2166</v>
      </c>
      <c r="T1473">
        <v>430022</v>
      </c>
      <c r="U1473" t="s">
        <v>5451</v>
      </c>
      <c r="V1473">
        <v>78.15000000000001</v>
      </c>
      <c r="W1473" t="s">
        <v>7653</v>
      </c>
      <c r="X1473" t="s">
        <v>968</v>
      </c>
      <c r="Y1473">
        <v>993</v>
      </c>
      <c r="Z1473">
        <v>-67</v>
      </c>
    </row>
    <row r="1474" spans="1:28">
      <c r="A1474" s="2">
        <f>HYPERLINK("https://finance.naver.com/item/coinfo.nhn?code=003070", "A003070")</f>
        <v>0</v>
      </c>
      <c r="B1474">
        <f>HYPERLINK("http://comp.fnguide.com/SVO2/ASP/SVD_Consensus.asp?pGB=1&amp;gicode=A003070&amp;cID=&amp;MenuYn=Y&amp;ReportGB=&amp;NewMenuID=108&amp;stkGb=701", "코오롱글로벌")</f>
        <v>0</v>
      </c>
      <c r="C1474">
        <v>0</v>
      </c>
      <c r="D1474">
        <v>20400</v>
      </c>
      <c r="E1474">
        <v>0.05</v>
      </c>
      <c r="F1474">
        <v>5.07</v>
      </c>
      <c r="G1474">
        <v>16592</v>
      </c>
      <c r="H1474">
        <v>17766</v>
      </c>
      <c r="I1474">
        <v>18101</v>
      </c>
      <c r="J1474">
        <v>18.67</v>
      </c>
      <c r="K1474">
        <v>12.91</v>
      </c>
      <c r="L1474">
        <v>11.27</v>
      </c>
      <c r="M1474">
        <v>7.13</v>
      </c>
      <c r="N1474" t="b">
        <v>1</v>
      </c>
      <c r="O1474">
        <v>1911</v>
      </c>
      <c r="P1474" t="s">
        <v>1481</v>
      </c>
      <c r="Q1474" t="s">
        <v>3444</v>
      </c>
      <c r="R1474">
        <v>93.18710713285101</v>
      </c>
      <c r="S1474">
        <v>5143</v>
      </c>
      <c r="T1474">
        <v>274685</v>
      </c>
      <c r="U1474" t="s">
        <v>5452</v>
      </c>
      <c r="V1474">
        <v>76.59</v>
      </c>
      <c r="W1474" t="s">
        <v>7654</v>
      </c>
      <c r="X1474" t="s">
        <v>9624</v>
      </c>
      <c r="Y1474">
        <v>34841</v>
      </c>
      <c r="Z1474">
        <v>1256</v>
      </c>
      <c r="AA1474">
        <v>84095</v>
      </c>
      <c r="AB1474">
        <v>3.61</v>
      </c>
    </row>
    <row r="1475" spans="1:28">
      <c r="A1475" s="2">
        <f>HYPERLINK("https://finance.naver.com/item/coinfo.nhn?code=071950", "A071950")</f>
        <v>0</v>
      </c>
      <c r="B1475">
        <f>HYPERLINK("http://comp.fnguide.com/SVO2/ASP/SVD_Consensus.asp?pGB=1&amp;gicode=A071950&amp;cID=&amp;MenuYn=Y&amp;ReportGB=&amp;NewMenuID=108&amp;stkGb=701", "코아스")</f>
        <v>0</v>
      </c>
      <c r="C1475">
        <v>0</v>
      </c>
      <c r="D1475">
        <v>1090</v>
      </c>
      <c r="E1475">
        <v>0</v>
      </c>
      <c r="F1475">
        <v>18.41</v>
      </c>
      <c r="G1475">
        <v>457</v>
      </c>
      <c r="H1475">
        <v>670</v>
      </c>
      <c r="I1475">
        <v>731</v>
      </c>
      <c r="J1475">
        <v>58.07</v>
      </c>
      <c r="K1475">
        <v>38.5</v>
      </c>
      <c r="L1475">
        <v>32.92</v>
      </c>
      <c r="M1475">
        <v>4.49</v>
      </c>
      <c r="N1475" t="b">
        <v>1</v>
      </c>
      <c r="O1475">
        <v>70</v>
      </c>
      <c r="P1475" t="s">
        <v>1482</v>
      </c>
      <c r="Q1475" t="s">
        <v>2276</v>
      </c>
      <c r="R1475">
        <v>0</v>
      </c>
      <c r="S1475">
        <v>337</v>
      </c>
      <c r="T1475">
        <v>357480</v>
      </c>
      <c r="U1475" t="s">
        <v>5453</v>
      </c>
      <c r="V1475">
        <v>28.71</v>
      </c>
      <c r="W1475" t="s">
        <v>7655</v>
      </c>
      <c r="X1475" t="s">
        <v>9625</v>
      </c>
      <c r="Y1475">
        <v>1129</v>
      </c>
      <c r="Z1475">
        <v>31</v>
      </c>
    </row>
    <row r="1476" spans="1:28">
      <c r="A1476" s="2">
        <f>HYPERLINK("https://finance.naver.com/item/coinfo.nhn?code=017810", "A017810")</f>
        <v>0</v>
      </c>
      <c r="B1476">
        <f>HYPERLINK("http://comp.fnguide.com/SVO2/ASP/SVD_Consensus.asp?pGB=1&amp;gicode=A017810&amp;cID=&amp;MenuYn=Y&amp;ReportGB=&amp;NewMenuID=108&amp;stkGb=701", "풀무원")</f>
        <v>0</v>
      </c>
      <c r="C1476">
        <v>0</v>
      </c>
      <c r="D1476">
        <v>16200</v>
      </c>
      <c r="E1476">
        <v>-6.78</v>
      </c>
      <c r="F1476">
        <v>135.73</v>
      </c>
      <c r="G1476">
        <v>7106</v>
      </c>
      <c r="H1476">
        <v>9236</v>
      </c>
      <c r="I1476">
        <v>9843</v>
      </c>
      <c r="J1476">
        <v>56.14</v>
      </c>
      <c r="K1476">
        <v>42.99</v>
      </c>
      <c r="L1476">
        <v>39.24</v>
      </c>
      <c r="M1476">
        <v>5.32</v>
      </c>
      <c r="N1476" t="b">
        <v>0</v>
      </c>
      <c r="O1476">
        <v>83</v>
      </c>
      <c r="P1476" t="s">
        <v>1483</v>
      </c>
      <c r="Q1476" t="s">
        <v>3445</v>
      </c>
      <c r="R1476">
        <v>-20.03332061492059</v>
      </c>
      <c r="S1476">
        <v>6176</v>
      </c>
      <c r="T1476">
        <v>130315</v>
      </c>
      <c r="U1476" t="s">
        <v>5454</v>
      </c>
      <c r="V1476">
        <v>60.72</v>
      </c>
      <c r="W1476" t="s">
        <v>7656</v>
      </c>
      <c r="X1476" t="s">
        <v>9626</v>
      </c>
      <c r="Y1476">
        <v>23815</v>
      </c>
      <c r="Z1476">
        <v>306</v>
      </c>
      <c r="AA1476">
        <v>849700</v>
      </c>
      <c r="AB1476">
        <v>0.91</v>
      </c>
    </row>
    <row r="1477" spans="1:28">
      <c r="A1477" s="2">
        <f>HYPERLINK("https://finance.naver.com/item/coinfo.nhn?code=039130", "A039130")</f>
        <v>0</v>
      </c>
      <c r="B1477">
        <f>HYPERLINK("http://comp.fnguide.com/SVO2/ASP/SVD_Consensus.asp?pGB=1&amp;gicode=A039130&amp;cID=&amp;MenuYn=Y&amp;ReportGB=&amp;NewMenuID=108&amp;stkGb=701", "하나투어")</f>
        <v>0</v>
      </c>
      <c r="C1477">
        <v>0</v>
      </c>
      <c r="D1477">
        <v>57200</v>
      </c>
      <c r="G1477">
        <v>4286</v>
      </c>
      <c r="H1477">
        <v>9824</v>
      </c>
      <c r="I1477">
        <v>11402</v>
      </c>
      <c r="J1477">
        <v>92.51000000000001</v>
      </c>
      <c r="K1477">
        <v>82.83</v>
      </c>
      <c r="L1477">
        <v>80.06999999999999</v>
      </c>
      <c r="M1477">
        <v>2.53</v>
      </c>
      <c r="N1477" t="b">
        <v>0</v>
      </c>
      <c r="O1477">
        <v>-691</v>
      </c>
      <c r="P1477" t="s">
        <v>1484</v>
      </c>
      <c r="Q1477" t="s">
        <v>3446</v>
      </c>
      <c r="R1477">
        <v>-34.91727518958571</v>
      </c>
      <c r="S1477">
        <v>7973</v>
      </c>
      <c r="T1477">
        <v>514990</v>
      </c>
      <c r="U1477" t="s">
        <v>5455</v>
      </c>
      <c r="V1477">
        <v>28.24</v>
      </c>
      <c r="W1477" t="s">
        <v>7657</v>
      </c>
      <c r="X1477" t="s">
        <v>9627</v>
      </c>
      <c r="Y1477">
        <v>7632</v>
      </c>
      <c r="Z1477">
        <v>59</v>
      </c>
      <c r="AA1477">
        <v>549253</v>
      </c>
      <c r="AB1477">
        <v>1.96</v>
      </c>
    </row>
    <row r="1478" spans="1:28">
      <c r="A1478" s="2">
        <f>HYPERLINK("https://finance.naver.com/item/coinfo.nhn?code=078860", "A078860")</f>
        <v>0</v>
      </c>
      <c r="B1478">
        <f>HYPERLINK("http://comp.fnguide.com/SVO2/ASP/SVD_Consensus.asp?pGB=1&amp;gicode=A078860&amp;cID=&amp;MenuYn=Y&amp;ReportGB=&amp;NewMenuID=108&amp;stkGb=701", "아이오케이")</f>
        <v>0</v>
      </c>
      <c r="C1478">
        <v>0</v>
      </c>
      <c r="D1478">
        <v>2115</v>
      </c>
      <c r="E1478">
        <v>0</v>
      </c>
      <c r="G1478">
        <v>0</v>
      </c>
      <c r="H1478">
        <v>1223</v>
      </c>
      <c r="I1478">
        <v>1572</v>
      </c>
      <c r="J1478">
        <v>100</v>
      </c>
      <c r="K1478">
        <v>42.15</v>
      </c>
      <c r="L1478">
        <v>25.67</v>
      </c>
      <c r="M1478">
        <v>0</v>
      </c>
      <c r="N1478" t="b">
        <v>0</v>
      </c>
      <c r="O1478">
        <v>-171</v>
      </c>
      <c r="P1478" t="s">
        <v>1485</v>
      </c>
      <c r="Q1478" t="s">
        <v>2276</v>
      </c>
      <c r="R1478">
        <v>0</v>
      </c>
      <c r="S1478">
        <v>1073</v>
      </c>
      <c r="T1478">
        <v>1040874</v>
      </c>
      <c r="U1478" t="s">
        <v>5456</v>
      </c>
      <c r="V1478">
        <v>38.45</v>
      </c>
      <c r="W1478" t="s">
        <v>7658</v>
      </c>
      <c r="X1478" t="s">
        <v>968</v>
      </c>
      <c r="Y1478">
        <v>487</v>
      </c>
      <c r="Z1478">
        <v>6</v>
      </c>
      <c r="AA1478">
        <v>21210</v>
      </c>
    </row>
    <row r="1479" spans="1:28">
      <c r="A1479" s="2">
        <f>HYPERLINK("https://finance.naver.com/item/coinfo.nhn?code=019490", "A019490")</f>
        <v>0</v>
      </c>
      <c r="B1479">
        <f>HYPERLINK("http://comp.fnguide.com/SVO2/ASP/SVD_Consensus.asp?pGB=1&amp;gicode=A019490&amp;cID=&amp;MenuYn=Y&amp;ReportGB=&amp;NewMenuID=108&amp;stkGb=701", "하이트론")</f>
        <v>0</v>
      </c>
      <c r="C1479">
        <v>0</v>
      </c>
      <c r="D1479">
        <v>3150</v>
      </c>
      <c r="E1479">
        <v>0</v>
      </c>
      <c r="G1479">
        <v>299</v>
      </c>
      <c r="H1479">
        <v>2129</v>
      </c>
      <c r="I1479">
        <v>2650</v>
      </c>
      <c r="J1479">
        <v>90.5</v>
      </c>
      <c r="K1479">
        <v>32.42</v>
      </c>
      <c r="L1479">
        <v>15.87</v>
      </c>
      <c r="M1479">
        <v>0.71</v>
      </c>
      <c r="N1479" t="b">
        <v>0</v>
      </c>
      <c r="O1479">
        <v>-3223</v>
      </c>
      <c r="P1479" t="s">
        <v>1486</v>
      </c>
      <c r="Q1479" t="s">
        <v>2276</v>
      </c>
      <c r="R1479">
        <v>0</v>
      </c>
      <c r="S1479">
        <v>174</v>
      </c>
      <c r="T1479">
        <v>73316</v>
      </c>
      <c r="U1479" t="s">
        <v>5457</v>
      </c>
      <c r="V1479">
        <v>26.56</v>
      </c>
      <c r="W1479" t="s">
        <v>7659</v>
      </c>
      <c r="X1479" t="s">
        <v>9628</v>
      </c>
      <c r="Y1479">
        <v>347</v>
      </c>
      <c r="Z1479">
        <v>-153</v>
      </c>
      <c r="AA1479">
        <v>496977</v>
      </c>
    </row>
    <row r="1480" spans="1:28">
      <c r="A1480" s="2">
        <f>HYPERLINK("https://finance.naver.com/item/coinfo.nhn?code=025750", "A025750")</f>
        <v>0</v>
      </c>
      <c r="B1480">
        <f>HYPERLINK("http://comp.fnguide.com/SVO2/ASP/SVD_Consensus.asp?pGB=1&amp;gicode=A025750&amp;cID=&amp;MenuYn=Y&amp;ReportGB=&amp;NewMenuID=108&amp;stkGb=701", "한솔홈데코")</f>
        <v>0</v>
      </c>
      <c r="C1480">
        <v>0</v>
      </c>
      <c r="D1480">
        <v>2085</v>
      </c>
      <c r="G1480">
        <v>687</v>
      </c>
      <c r="H1480">
        <v>1424</v>
      </c>
      <c r="I1480">
        <v>1634</v>
      </c>
      <c r="J1480">
        <v>67.06</v>
      </c>
      <c r="K1480">
        <v>31.7</v>
      </c>
      <c r="L1480">
        <v>21.62</v>
      </c>
      <c r="M1480">
        <v>2.86</v>
      </c>
      <c r="N1480" t="b">
        <v>0</v>
      </c>
      <c r="O1480">
        <v>-57</v>
      </c>
      <c r="P1480" t="s">
        <v>1487</v>
      </c>
      <c r="Q1480" t="s">
        <v>3447</v>
      </c>
      <c r="R1480">
        <v>144.0840256733337</v>
      </c>
      <c r="S1480">
        <v>1680</v>
      </c>
      <c r="T1480">
        <v>5953189</v>
      </c>
      <c r="U1480" t="s">
        <v>5458</v>
      </c>
      <c r="V1480">
        <v>23.49</v>
      </c>
      <c r="W1480" t="s">
        <v>7660</v>
      </c>
      <c r="X1480" t="s">
        <v>9629</v>
      </c>
      <c r="Y1480">
        <v>2639</v>
      </c>
      <c r="Z1480">
        <v>-17</v>
      </c>
    </row>
    <row r="1481" spans="1:28">
      <c r="A1481" s="2">
        <f>HYPERLINK("https://finance.naver.com/item/coinfo.nhn?code=004710", "A004710")</f>
        <v>0</v>
      </c>
      <c r="B1481">
        <f>HYPERLINK("http://comp.fnguide.com/SVO2/ASP/SVD_Consensus.asp?pGB=1&amp;gicode=A004710&amp;cID=&amp;MenuYn=Y&amp;ReportGB=&amp;NewMenuID=108&amp;stkGb=701", "한솔테크닉스")</f>
        <v>0</v>
      </c>
      <c r="C1481">
        <v>0</v>
      </c>
      <c r="D1481">
        <v>9750</v>
      </c>
      <c r="E1481">
        <v>8.619999999999999</v>
      </c>
      <c r="F1481">
        <v>38.81</v>
      </c>
      <c r="G1481">
        <v>3016</v>
      </c>
      <c r="H1481">
        <v>6205</v>
      </c>
      <c r="I1481">
        <v>7114</v>
      </c>
      <c r="J1481">
        <v>69.06</v>
      </c>
      <c r="K1481">
        <v>36.36</v>
      </c>
      <c r="L1481">
        <v>27.04</v>
      </c>
      <c r="M1481">
        <v>2.89</v>
      </c>
      <c r="N1481" t="b">
        <v>0</v>
      </c>
      <c r="O1481">
        <v>230</v>
      </c>
      <c r="P1481" t="s">
        <v>1488</v>
      </c>
      <c r="Q1481" t="s">
        <v>3448</v>
      </c>
      <c r="R1481">
        <v>4.499999999999993</v>
      </c>
      <c r="S1481">
        <v>3131</v>
      </c>
      <c r="T1481">
        <v>1278624</v>
      </c>
      <c r="U1481" t="s">
        <v>5459</v>
      </c>
      <c r="V1481">
        <v>20.26</v>
      </c>
      <c r="W1481" t="s">
        <v>7661</v>
      </c>
      <c r="X1481" t="s">
        <v>9630</v>
      </c>
      <c r="Y1481">
        <v>9722</v>
      </c>
      <c r="Z1481">
        <v>255</v>
      </c>
      <c r="AA1481">
        <v>692361</v>
      </c>
    </row>
    <row r="1482" spans="1:28">
      <c r="A1482" s="2">
        <f>HYPERLINK("https://finance.naver.com/item/coinfo.nhn?code=014680", "A014680")</f>
        <v>0</v>
      </c>
      <c r="B1482">
        <f>HYPERLINK("http://comp.fnguide.com/SVO2/ASP/SVD_Consensus.asp?pGB=1&amp;gicode=A014680&amp;cID=&amp;MenuYn=Y&amp;ReportGB=&amp;NewMenuID=108&amp;stkGb=701", "한솔케미칼")</f>
        <v>0</v>
      </c>
      <c r="C1482">
        <v>0</v>
      </c>
      <c r="D1482">
        <v>159500</v>
      </c>
      <c r="E1482">
        <v>0.47</v>
      </c>
      <c r="F1482">
        <v>13.85</v>
      </c>
      <c r="G1482">
        <v>102259</v>
      </c>
      <c r="H1482">
        <v>65126</v>
      </c>
      <c r="I1482">
        <v>54545</v>
      </c>
      <c r="J1482">
        <v>35.89</v>
      </c>
      <c r="K1482">
        <v>59.17</v>
      </c>
      <c r="L1482">
        <v>65.8</v>
      </c>
      <c r="M1482">
        <v>20.14</v>
      </c>
      <c r="N1482" t="b">
        <v>1</v>
      </c>
      <c r="O1482">
        <v>7655</v>
      </c>
      <c r="P1482" t="s">
        <v>1489</v>
      </c>
      <c r="Q1482" t="s">
        <v>3449</v>
      </c>
      <c r="R1482">
        <v>29.26784832978513</v>
      </c>
      <c r="S1482">
        <v>18016</v>
      </c>
      <c r="T1482">
        <v>58391</v>
      </c>
      <c r="U1482" t="s">
        <v>5460</v>
      </c>
      <c r="V1482">
        <v>14.99</v>
      </c>
      <c r="W1482" t="s">
        <v>7662</v>
      </c>
      <c r="X1482" t="s">
        <v>9631</v>
      </c>
      <c r="Y1482">
        <v>5876</v>
      </c>
      <c r="Z1482">
        <v>1114</v>
      </c>
      <c r="AA1482">
        <v>206880</v>
      </c>
      <c r="AB1482">
        <v>1.42</v>
      </c>
    </row>
    <row r="1483" spans="1:28">
      <c r="A1483" s="2">
        <f>HYPERLINK("https://finance.naver.com/item/coinfo.nhn?code=009180", "A009180")</f>
        <v>0</v>
      </c>
      <c r="B1483">
        <f>HYPERLINK("http://comp.fnguide.com/SVO2/ASP/SVD_Consensus.asp?pGB=1&amp;gicode=A009180&amp;cID=&amp;MenuYn=Y&amp;ReportGB=&amp;NewMenuID=108&amp;stkGb=701", "한솔로지스틱스")</f>
        <v>0</v>
      </c>
      <c r="C1483">
        <v>0</v>
      </c>
      <c r="D1483">
        <v>2325</v>
      </c>
      <c r="E1483">
        <v>-0.27</v>
      </c>
      <c r="F1483">
        <v>7.14</v>
      </c>
      <c r="G1483">
        <v>1658</v>
      </c>
      <c r="H1483">
        <v>1692</v>
      </c>
      <c r="I1483">
        <v>1702</v>
      </c>
      <c r="J1483">
        <v>28.71</v>
      </c>
      <c r="K1483">
        <v>27.23</v>
      </c>
      <c r="L1483">
        <v>26.81</v>
      </c>
      <c r="M1483">
        <v>7.71</v>
      </c>
      <c r="N1483" t="b">
        <v>0</v>
      </c>
      <c r="O1483">
        <v>215</v>
      </c>
      <c r="P1483" t="s">
        <v>1490</v>
      </c>
      <c r="Q1483" t="s">
        <v>3450</v>
      </c>
      <c r="R1483">
        <v>-26.89112655029796</v>
      </c>
      <c r="S1483">
        <v>639</v>
      </c>
      <c r="T1483">
        <v>778325</v>
      </c>
      <c r="U1483" t="s">
        <v>5461</v>
      </c>
      <c r="V1483">
        <v>22.03</v>
      </c>
      <c r="W1483" t="s">
        <v>7663</v>
      </c>
      <c r="X1483" t="s">
        <v>9632</v>
      </c>
      <c r="Y1483">
        <v>4607</v>
      </c>
      <c r="Z1483">
        <v>95</v>
      </c>
      <c r="AA1483">
        <v>6691</v>
      </c>
      <c r="AB1483">
        <v>2.61</v>
      </c>
    </row>
    <row r="1484" spans="1:28">
      <c r="A1484" s="2">
        <f>HYPERLINK("https://finance.naver.com/item/coinfo.nhn?code=016450", "A016450")</f>
        <v>0</v>
      </c>
      <c r="B1484">
        <f>HYPERLINK("http://comp.fnguide.com/SVO2/ASP/SVD_Consensus.asp?pGB=1&amp;gicode=A016450&amp;cID=&amp;MenuYn=Y&amp;ReportGB=&amp;NewMenuID=108&amp;stkGb=701", "한세예스24홀딩스")</f>
        <v>0</v>
      </c>
      <c r="C1484">
        <v>0</v>
      </c>
      <c r="D1484">
        <v>8080</v>
      </c>
      <c r="E1484">
        <v>-0.71</v>
      </c>
      <c r="F1484">
        <v>14.65</v>
      </c>
      <c r="G1484">
        <v>4954</v>
      </c>
      <c r="H1484">
        <v>6132</v>
      </c>
      <c r="I1484">
        <v>6468</v>
      </c>
      <c r="J1484">
        <v>38.69</v>
      </c>
      <c r="K1484">
        <v>24.1</v>
      </c>
      <c r="L1484">
        <v>19.95</v>
      </c>
      <c r="M1484">
        <v>5.71</v>
      </c>
      <c r="N1484" t="b">
        <v>1</v>
      </c>
      <c r="O1484">
        <v>504</v>
      </c>
      <c r="P1484" t="s">
        <v>1491</v>
      </c>
      <c r="Q1484" t="s">
        <v>3451</v>
      </c>
      <c r="R1484">
        <v>-20.55697142385314</v>
      </c>
      <c r="S1484">
        <v>3232</v>
      </c>
      <c r="T1484">
        <v>2189207</v>
      </c>
      <c r="U1484" t="s">
        <v>5462</v>
      </c>
      <c r="V1484">
        <v>79.87</v>
      </c>
      <c r="W1484" t="s">
        <v>7664</v>
      </c>
      <c r="X1484" t="s">
        <v>9633</v>
      </c>
      <c r="Y1484">
        <v>27710</v>
      </c>
      <c r="Z1484">
        <v>977</v>
      </c>
      <c r="AA1484">
        <v>738213</v>
      </c>
      <c r="AB1484">
        <v>3.39</v>
      </c>
    </row>
    <row r="1485" spans="1:28">
      <c r="A1485" s="2">
        <f>HYPERLINK("https://finance.naver.com/item/coinfo.nhn?code=105630", "A105630")</f>
        <v>0</v>
      </c>
      <c r="B1485">
        <f>HYPERLINK("http://comp.fnguide.com/SVO2/ASP/SVD_Consensus.asp?pGB=1&amp;gicode=A105630&amp;cID=&amp;MenuYn=Y&amp;ReportGB=&amp;NewMenuID=108&amp;stkGb=701", "한세실업")</f>
        <v>0</v>
      </c>
      <c r="C1485">
        <v>0</v>
      </c>
      <c r="D1485">
        <v>16600</v>
      </c>
      <c r="G1485">
        <v>1980</v>
      </c>
      <c r="H1485">
        <v>6881</v>
      </c>
      <c r="I1485">
        <v>8278</v>
      </c>
      <c r="J1485">
        <v>88.06999999999999</v>
      </c>
      <c r="K1485">
        <v>58.55</v>
      </c>
      <c r="L1485">
        <v>50.13</v>
      </c>
      <c r="M1485">
        <v>1.56</v>
      </c>
      <c r="N1485" t="b">
        <v>0</v>
      </c>
      <c r="O1485">
        <v>-6</v>
      </c>
      <c r="P1485" t="s">
        <v>1492</v>
      </c>
      <c r="Q1485" t="s">
        <v>3452</v>
      </c>
      <c r="R1485">
        <v>-19.66359574725211</v>
      </c>
      <c r="S1485">
        <v>6640</v>
      </c>
      <c r="T1485">
        <v>176044</v>
      </c>
      <c r="U1485" t="s">
        <v>5463</v>
      </c>
      <c r="V1485">
        <v>56.66</v>
      </c>
      <c r="W1485" t="s">
        <v>7665</v>
      </c>
      <c r="X1485" t="s">
        <v>9634</v>
      </c>
      <c r="Y1485">
        <v>19224</v>
      </c>
      <c r="Z1485">
        <v>590</v>
      </c>
      <c r="AA1485">
        <v>760530</v>
      </c>
      <c r="AB1485">
        <v>2.89</v>
      </c>
    </row>
    <row r="1486" spans="1:28">
      <c r="A1486" s="2">
        <f>HYPERLINK("https://finance.naver.com/item/coinfo.nhn?code=003680", "A003680")</f>
        <v>0</v>
      </c>
      <c r="B1486">
        <f>HYPERLINK("http://comp.fnguide.com/SVO2/ASP/SVD_Consensus.asp?pGB=1&amp;gicode=A003680&amp;cID=&amp;MenuYn=Y&amp;ReportGB=&amp;NewMenuID=108&amp;stkGb=701", "한성기업")</f>
        <v>0</v>
      </c>
      <c r="C1486">
        <v>0</v>
      </c>
      <c r="D1486">
        <v>8760</v>
      </c>
      <c r="G1486">
        <v>878</v>
      </c>
      <c r="H1486">
        <v>5659</v>
      </c>
      <c r="I1486">
        <v>7021</v>
      </c>
      <c r="J1486">
        <v>89.98</v>
      </c>
      <c r="K1486">
        <v>35.4</v>
      </c>
      <c r="L1486">
        <v>19.85</v>
      </c>
      <c r="M1486">
        <v>0.79</v>
      </c>
      <c r="N1486" t="b">
        <v>0</v>
      </c>
      <c r="O1486">
        <v>-2815</v>
      </c>
      <c r="P1486" t="s">
        <v>1493</v>
      </c>
      <c r="Q1486" t="s">
        <v>3453</v>
      </c>
      <c r="R1486">
        <v>4257.2</v>
      </c>
      <c r="S1486">
        <v>544</v>
      </c>
      <c r="T1486">
        <v>103630</v>
      </c>
      <c r="U1486" t="s">
        <v>5464</v>
      </c>
      <c r="V1486">
        <v>39.14</v>
      </c>
      <c r="W1486" t="s">
        <v>7666</v>
      </c>
      <c r="X1486" t="s">
        <v>9635</v>
      </c>
      <c r="Y1486">
        <v>2701</v>
      </c>
      <c r="Z1486">
        <v>-83</v>
      </c>
      <c r="AA1486">
        <v>561460</v>
      </c>
    </row>
    <row r="1487" spans="1:28">
      <c r="A1487" s="2">
        <f>HYPERLINK("https://finance.naver.com/item/coinfo.nhn?code=009240", "A009240")</f>
        <v>0</v>
      </c>
      <c r="B1487">
        <f>HYPERLINK("http://comp.fnguide.com/SVO2/ASP/SVD_Consensus.asp?pGB=1&amp;gicode=A009240&amp;cID=&amp;MenuYn=Y&amp;ReportGB=&amp;NewMenuID=108&amp;stkGb=701", "한샘")</f>
        <v>0</v>
      </c>
      <c r="C1487">
        <v>0</v>
      </c>
      <c r="D1487">
        <v>96400</v>
      </c>
      <c r="E1487">
        <v>-8.52</v>
      </c>
      <c r="F1487">
        <v>34.26</v>
      </c>
      <c r="G1487">
        <v>52850</v>
      </c>
      <c r="H1487">
        <v>41753</v>
      </c>
      <c r="I1487">
        <v>38591</v>
      </c>
      <c r="J1487">
        <v>45.18</v>
      </c>
      <c r="K1487">
        <v>56.69</v>
      </c>
      <c r="L1487">
        <v>59.97</v>
      </c>
      <c r="M1487">
        <v>12.25</v>
      </c>
      <c r="N1487" t="b">
        <v>0</v>
      </c>
      <c r="O1487">
        <v>1815</v>
      </c>
      <c r="P1487" t="s">
        <v>1494</v>
      </c>
      <c r="Q1487" t="s">
        <v>3454</v>
      </c>
      <c r="R1487">
        <v>-4.021524660577547</v>
      </c>
      <c r="S1487">
        <v>22687</v>
      </c>
      <c r="T1487">
        <v>109046</v>
      </c>
      <c r="U1487" t="s">
        <v>5465</v>
      </c>
      <c r="V1487">
        <v>30.18</v>
      </c>
      <c r="W1487" t="s">
        <v>7667</v>
      </c>
      <c r="X1487" t="s">
        <v>9636</v>
      </c>
      <c r="Y1487">
        <v>16984</v>
      </c>
      <c r="Z1487">
        <v>558</v>
      </c>
      <c r="AA1487">
        <v>6274004</v>
      </c>
      <c r="AB1487">
        <v>1.93</v>
      </c>
    </row>
    <row r="1488" spans="1:28">
      <c r="A1488" s="2">
        <f>HYPERLINK("https://finance.naver.com/item/coinfo.nhn?code=128940", "A128940")</f>
        <v>0</v>
      </c>
      <c r="B1488">
        <f>HYPERLINK("http://comp.fnguide.com/SVO2/ASP/SVD_Consensus.asp?pGB=1&amp;gicode=A128940&amp;cID=&amp;MenuYn=Y&amp;ReportGB=&amp;NewMenuID=108&amp;stkGb=701", "한미약품")</f>
        <v>0</v>
      </c>
      <c r="C1488">
        <v>0</v>
      </c>
      <c r="D1488">
        <v>370000</v>
      </c>
      <c r="E1488">
        <v>-2.83</v>
      </c>
      <c r="F1488">
        <v>67.39</v>
      </c>
      <c r="G1488">
        <v>48576</v>
      </c>
      <c r="H1488">
        <v>56361</v>
      </c>
      <c r="I1488">
        <v>58580</v>
      </c>
      <c r="J1488">
        <v>86.87</v>
      </c>
      <c r="K1488">
        <v>84.77</v>
      </c>
      <c r="L1488">
        <v>84.17</v>
      </c>
      <c r="M1488">
        <v>6.29</v>
      </c>
      <c r="N1488" t="b">
        <v>1</v>
      </c>
      <c r="O1488">
        <v>4400</v>
      </c>
      <c r="P1488" t="s">
        <v>1495</v>
      </c>
      <c r="Q1488" t="s">
        <v>3455</v>
      </c>
      <c r="R1488">
        <v>-23.77813631441156</v>
      </c>
      <c r="S1488">
        <v>43819</v>
      </c>
      <c r="T1488">
        <v>276711</v>
      </c>
      <c r="U1488" t="s">
        <v>5466</v>
      </c>
      <c r="V1488">
        <v>41.4</v>
      </c>
      <c r="W1488" t="s">
        <v>7668</v>
      </c>
      <c r="X1488" t="s">
        <v>9637</v>
      </c>
      <c r="Y1488">
        <v>11136</v>
      </c>
      <c r="Z1488">
        <v>1039</v>
      </c>
      <c r="AA1488">
        <v>80369</v>
      </c>
      <c r="AB1488">
        <v>0.17</v>
      </c>
    </row>
    <row r="1489" spans="1:28">
      <c r="A1489" s="2">
        <f>HYPERLINK("https://finance.naver.com/item/coinfo.nhn?code=008930", "A008930")</f>
        <v>0</v>
      </c>
      <c r="B1489">
        <f>HYPERLINK("http://comp.fnguide.com/SVO2/ASP/SVD_Consensus.asp?pGB=1&amp;gicode=A008930&amp;cID=&amp;MenuYn=Y&amp;ReportGB=&amp;NewMenuID=108&amp;stkGb=701", "한미사이언스")</f>
        <v>0</v>
      </c>
      <c r="C1489">
        <v>0</v>
      </c>
      <c r="D1489">
        <v>77200</v>
      </c>
      <c r="E1489">
        <v>-1.84</v>
      </c>
      <c r="F1489">
        <v>82.34999999999999</v>
      </c>
      <c r="G1489">
        <v>5061</v>
      </c>
      <c r="H1489">
        <v>8019</v>
      </c>
      <c r="I1489">
        <v>8862</v>
      </c>
      <c r="J1489">
        <v>93.44</v>
      </c>
      <c r="K1489">
        <v>89.61</v>
      </c>
      <c r="L1489">
        <v>88.52</v>
      </c>
      <c r="M1489">
        <v>4.04</v>
      </c>
      <c r="N1489" t="b">
        <v>0</v>
      </c>
      <c r="O1489">
        <v>466</v>
      </c>
      <c r="P1489" t="s">
        <v>1496</v>
      </c>
      <c r="Q1489" t="s">
        <v>3456</v>
      </c>
      <c r="R1489">
        <v>-44.68684689948051</v>
      </c>
      <c r="S1489">
        <v>50961</v>
      </c>
      <c r="T1489">
        <v>2316057</v>
      </c>
      <c r="U1489" t="s">
        <v>5467</v>
      </c>
      <c r="V1489">
        <v>66.43000000000001</v>
      </c>
      <c r="W1489" t="s">
        <v>7669</v>
      </c>
      <c r="X1489" t="s">
        <v>9638</v>
      </c>
      <c r="Y1489">
        <v>8166</v>
      </c>
      <c r="Z1489">
        <v>161</v>
      </c>
      <c r="AA1489">
        <v>1338041</v>
      </c>
      <c r="AB1489">
        <v>0.51</v>
      </c>
    </row>
    <row r="1490" spans="1:28">
      <c r="A1490" s="2">
        <f>HYPERLINK("https://finance.naver.com/item/coinfo.nhn?code=042700", "A042700")</f>
        <v>0</v>
      </c>
      <c r="B1490">
        <f>HYPERLINK("http://comp.fnguide.com/SVO2/ASP/SVD_Consensus.asp?pGB=1&amp;gicode=A042700&amp;cID=&amp;MenuYn=Y&amp;ReportGB=&amp;NewMenuID=108&amp;stkGb=701", "한미반도체")</f>
        <v>0</v>
      </c>
      <c r="C1490">
        <v>0</v>
      </c>
      <c r="D1490">
        <v>12400</v>
      </c>
      <c r="E1490">
        <v>0.93</v>
      </c>
      <c r="F1490">
        <v>24.06</v>
      </c>
      <c r="G1490">
        <v>7274</v>
      </c>
      <c r="H1490">
        <v>5588</v>
      </c>
      <c r="I1490">
        <v>5107</v>
      </c>
      <c r="J1490">
        <v>41.34</v>
      </c>
      <c r="K1490">
        <v>54.94</v>
      </c>
      <c r="L1490">
        <v>58.81</v>
      </c>
      <c r="M1490">
        <v>12.98</v>
      </c>
      <c r="N1490" t="b">
        <v>1</v>
      </c>
      <c r="O1490">
        <v>337</v>
      </c>
      <c r="P1490" t="s">
        <v>1497</v>
      </c>
      <c r="Q1490" t="s">
        <v>3457</v>
      </c>
      <c r="R1490">
        <v>25.77674976602138</v>
      </c>
      <c r="S1490">
        <v>6386</v>
      </c>
      <c r="T1490">
        <v>456381</v>
      </c>
      <c r="U1490" t="s">
        <v>5468</v>
      </c>
      <c r="V1490">
        <v>53.79</v>
      </c>
      <c r="W1490" t="s">
        <v>7670</v>
      </c>
      <c r="X1490" t="s">
        <v>9639</v>
      </c>
      <c r="Y1490">
        <v>1204</v>
      </c>
      <c r="Z1490">
        <v>137</v>
      </c>
      <c r="AA1490">
        <v>2322717</v>
      </c>
      <c r="AB1490">
        <v>1.23</v>
      </c>
    </row>
    <row r="1491" spans="1:28">
      <c r="A1491" s="2">
        <f>HYPERLINK("https://finance.naver.com/item/coinfo.nhn?code=002390", "A002390")</f>
        <v>0</v>
      </c>
      <c r="B1491">
        <f>HYPERLINK("http://comp.fnguide.com/SVO2/ASP/SVD_Consensus.asp?pGB=1&amp;gicode=A002390&amp;cID=&amp;MenuYn=Y&amp;ReportGB=&amp;NewMenuID=108&amp;stkGb=701", "한독")</f>
        <v>0</v>
      </c>
      <c r="C1491">
        <v>0</v>
      </c>
      <c r="D1491">
        <v>32450</v>
      </c>
      <c r="E1491">
        <v>0.12</v>
      </c>
      <c r="F1491">
        <v>8.93</v>
      </c>
      <c r="G1491">
        <v>20426</v>
      </c>
      <c r="H1491">
        <v>23026</v>
      </c>
      <c r="I1491">
        <v>23767</v>
      </c>
      <c r="J1491">
        <v>37.05</v>
      </c>
      <c r="K1491">
        <v>29.04</v>
      </c>
      <c r="L1491">
        <v>26.76</v>
      </c>
      <c r="M1491">
        <v>6.58</v>
      </c>
      <c r="N1491" t="b">
        <v>1</v>
      </c>
      <c r="O1491">
        <v>2538</v>
      </c>
      <c r="P1491" t="s">
        <v>1498</v>
      </c>
      <c r="Q1491" t="s">
        <v>3458</v>
      </c>
      <c r="R1491">
        <v>74.34434833546358</v>
      </c>
      <c r="S1491">
        <v>4466</v>
      </c>
      <c r="T1491">
        <v>186901</v>
      </c>
      <c r="U1491" t="s">
        <v>5469</v>
      </c>
      <c r="V1491">
        <v>43.39</v>
      </c>
      <c r="W1491" t="s">
        <v>7671</v>
      </c>
      <c r="X1491" t="s">
        <v>9640</v>
      </c>
      <c r="Y1491">
        <v>4730</v>
      </c>
      <c r="Z1491">
        <v>275</v>
      </c>
      <c r="AB1491">
        <v>1.21</v>
      </c>
    </row>
    <row r="1492" spans="1:28">
      <c r="A1492" s="2">
        <f>HYPERLINK("https://finance.naver.com/item/coinfo.nhn?code=011500", "A011500")</f>
        <v>0</v>
      </c>
      <c r="B1492">
        <f>HYPERLINK("http://comp.fnguide.com/SVO2/ASP/SVD_Consensus.asp?pGB=1&amp;gicode=A011500&amp;cID=&amp;MenuYn=Y&amp;ReportGB=&amp;NewMenuID=108&amp;stkGb=701", "한농화성")</f>
        <v>0</v>
      </c>
      <c r="C1492">
        <v>0</v>
      </c>
      <c r="D1492">
        <v>8060</v>
      </c>
      <c r="E1492">
        <v>0.67</v>
      </c>
      <c r="F1492">
        <v>6.67</v>
      </c>
      <c r="G1492">
        <v>7348</v>
      </c>
      <c r="H1492">
        <v>7659</v>
      </c>
      <c r="I1492">
        <v>7748</v>
      </c>
      <c r="J1492">
        <v>8.84</v>
      </c>
      <c r="K1492">
        <v>4.98</v>
      </c>
      <c r="L1492">
        <v>3.87</v>
      </c>
      <c r="M1492">
        <v>7.45</v>
      </c>
      <c r="N1492" t="b">
        <v>1</v>
      </c>
      <c r="O1492">
        <v>638</v>
      </c>
      <c r="P1492" t="s">
        <v>1499</v>
      </c>
      <c r="Q1492" t="s">
        <v>3459</v>
      </c>
      <c r="R1492">
        <v>10.02011726055157</v>
      </c>
      <c r="S1492">
        <v>1260</v>
      </c>
      <c r="T1492">
        <v>257950</v>
      </c>
      <c r="U1492" t="s">
        <v>5470</v>
      </c>
      <c r="V1492">
        <v>47.74</v>
      </c>
      <c r="W1492" t="s">
        <v>7672</v>
      </c>
      <c r="X1492" t="s">
        <v>9641</v>
      </c>
      <c r="Y1492">
        <v>2047</v>
      </c>
      <c r="Z1492">
        <v>120</v>
      </c>
      <c r="AA1492">
        <v>343022</v>
      </c>
      <c r="AB1492">
        <v>3.53</v>
      </c>
    </row>
    <row r="1493" spans="1:28">
      <c r="A1493" s="2">
        <f>HYPERLINK("https://finance.naver.com/item/coinfo.nhn?code=003350", "A003350")</f>
        <v>0</v>
      </c>
      <c r="B1493">
        <f>HYPERLINK("http://comp.fnguide.com/SVO2/ASP/SVD_Consensus.asp?pGB=1&amp;gicode=A003350&amp;cID=&amp;MenuYn=Y&amp;ReportGB=&amp;NewMenuID=108&amp;stkGb=701", "한국화장품제조")</f>
        <v>0</v>
      </c>
      <c r="C1493">
        <v>0</v>
      </c>
      <c r="D1493">
        <v>38800</v>
      </c>
      <c r="G1493">
        <v>6441</v>
      </c>
      <c r="H1493">
        <v>10527</v>
      </c>
      <c r="I1493">
        <v>11691</v>
      </c>
      <c r="J1493">
        <v>83.40000000000001</v>
      </c>
      <c r="K1493">
        <v>72.87</v>
      </c>
      <c r="L1493">
        <v>69.87</v>
      </c>
      <c r="M1493">
        <v>3.88</v>
      </c>
      <c r="N1493" t="b">
        <v>0</v>
      </c>
      <c r="O1493">
        <v>-328</v>
      </c>
      <c r="P1493" t="s">
        <v>1500</v>
      </c>
      <c r="Q1493" t="s">
        <v>3460</v>
      </c>
      <c r="R1493">
        <v>18.70316329260808</v>
      </c>
      <c r="S1493">
        <v>1758</v>
      </c>
      <c r="T1493">
        <v>29138</v>
      </c>
      <c r="U1493" t="s">
        <v>5471</v>
      </c>
      <c r="V1493">
        <v>46.71</v>
      </c>
      <c r="W1493" t="s">
        <v>7673</v>
      </c>
      <c r="X1493" t="s">
        <v>9642</v>
      </c>
      <c r="Y1493">
        <v>765</v>
      </c>
      <c r="Z1493">
        <v>13</v>
      </c>
      <c r="AA1493">
        <v>906993</v>
      </c>
      <c r="AB1493">
        <v>0.32</v>
      </c>
    </row>
    <row r="1494" spans="1:28">
      <c r="A1494" s="2">
        <f>HYPERLINK("https://finance.naver.com/item/coinfo.nhn?code=123690", "A123690")</f>
        <v>0</v>
      </c>
      <c r="B1494">
        <f>HYPERLINK("http://comp.fnguide.com/SVO2/ASP/SVD_Consensus.asp?pGB=1&amp;gicode=A123690&amp;cID=&amp;MenuYn=Y&amp;ReportGB=&amp;NewMenuID=108&amp;stkGb=701", "한국화장품")</f>
        <v>0</v>
      </c>
      <c r="C1494">
        <v>0</v>
      </c>
      <c r="D1494">
        <v>13200</v>
      </c>
      <c r="G1494">
        <v>321</v>
      </c>
      <c r="H1494">
        <v>1445</v>
      </c>
      <c r="I1494">
        <v>1765</v>
      </c>
      <c r="J1494">
        <v>97.56999999999999</v>
      </c>
      <c r="K1494">
        <v>89.06</v>
      </c>
      <c r="L1494">
        <v>86.63</v>
      </c>
      <c r="M1494">
        <v>1.17</v>
      </c>
      <c r="N1494" t="b">
        <v>0</v>
      </c>
      <c r="O1494">
        <v>-1072</v>
      </c>
      <c r="P1494" t="s">
        <v>1501</v>
      </c>
      <c r="Q1494" t="s">
        <v>3461</v>
      </c>
      <c r="R1494">
        <v>-72.40000000000001</v>
      </c>
      <c r="S1494">
        <v>2121</v>
      </c>
      <c r="T1494">
        <v>160701</v>
      </c>
      <c r="U1494" t="s">
        <v>5472</v>
      </c>
      <c r="V1494">
        <v>52.94</v>
      </c>
      <c r="W1494" t="s">
        <v>7674</v>
      </c>
      <c r="X1494" t="s">
        <v>9643</v>
      </c>
      <c r="Y1494">
        <v>1312</v>
      </c>
      <c r="Z1494">
        <v>-174</v>
      </c>
      <c r="AA1494">
        <v>929</v>
      </c>
    </row>
    <row r="1495" spans="1:28">
      <c r="A1495" s="2">
        <f>HYPERLINK("https://finance.naver.com/item/coinfo.nhn?code=047810", "A047810")</f>
        <v>0</v>
      </c>
      <c r="B1495">
        <f>HYPERLINK("http://comp.fnguide.com/SVO2/ASP/SVD_Consensus.asp?pGB=1&amp;gicode=A047810&amp;cID=&amp;MenuYn=Y&amp;ReportGB=&amp;NewMenuID=108&amp;stkGb=701", "한국항공우주")</f>
        <v>0</v>
      </c>
      <c r="C1495">
        <v>0</v>
      </c>
      <c r="D1495">
        <v>24150</v>
      </c>
      <c r="E1495">
        <v>0.58</v>
      </c>
      <c r="F1495">
        <v>19.48</v>
      </c>
      <c r="G1495">
        <v>14248</v>
      </c>
      <c r="H1495">
        <v>12726</v>
      </c>
      <c r="I1495">
        <v>12292</v>
      </c>
      <c r="J1495">
        <v>41</v>
      </c>
      <c r="K1495">
        <v>47.3</v>
      </c>
      <c r="L1495">
        <v>49.1</v>
      </c>
      <c r="M1495">
        <v>9.69</v>
      </c>
      <c r="N1495" t="b">
        <v>0</v>
      </c>
      <c r="O1495">
        <v>1748</v>
      </c>
      <c r="P1495" t="s">
        <v>1502</v>
      </c>
      <c r="Q1495" t="s">
        <v>3462</v>
      </c>
      <c r="R1495">
        <v>33.4871306685266</v>
      </c>
      <c r="S1495">
        <v>23540</v>
      </c>
      <c r="T1495">
        <v>394134</v>
      </c>
      <c r="U1495" t="s">
        <v>5473</v>
      </c>
      <c r="V1495">
        <v>26.41</v>
      </c>
      <c r="W1495" t="s">
        <v>7675</v>
      </c>
      <c r="X1495" t="s">
        <v>9644</v>
      </c>
      <c r="Y1495">
        <v>31102</v>
      </c>
      <c r="Z1495">
        <v>2756</v>
      </c>
      <c r="AB1495">
        <v>1.17</v>
      </c>
    </row>
    <row r="1496" spans="1:28">
      <c r="A1496" s="2">
        <f>HYPERLINK("https://finance.naver.com/item/coinfo.nhn?code=007280", "A007280")</f>
        <v>0</v>
      </c>
      <c r="B1496">
        <f>HYPERLINK("http://comp.fnguide.com/SVO2/ASP/SVD_Consensus.asp?pGB=1&amp;gicode=A007280&amp;cID=&amp;MenuYn=Y&amp;ReportGB=&amp;NewMenuID=108&amp;stkGb=701", "한국특수형강")</f>
        <v>0</v>
      </c>
      <c r="C1496">
        <v>0</v>
      </c>
      <c r="D1496">
        <v>2130</v>
      </c>
      <c r="G1496">
        <v>510</v>
      </c>
      <c r="H1496">
        <v>965</v>
      </c>
      <c r="I1496">
        <v>1095</v>
      </c>
      <c r="J1496">
        <v>76.08</v>
      </c>
      <c r="K1496">
        <v>54.69</v>
      </c>
      <c r="L1496">
        <v>48.59</v>
      </c>
      <c r="M1496">
        <v>3.2</v>
      </c>
      <c r="N1496" t="b">
        <v>0</v>
      </c>
      <c r="O1496">
        <v>-690</v>
      </c>
      <c r="P1496" t="s">
        <v>1503</v>
      </c>
      <c r="Q1496" t="s">
        <v>3463</v>
      </c>
      <c r="R1496">
        <v>16.19999999999999</v>
      </c>
      <c r="S1496">
        <v>1134</v>
      </c>
      <c r="T1496">
        <v>656137</v>
      </c>
      <c r="U1496" t="s">
        <v>5474</v>
      </c>
      <c r="V1496">
        <v>49.19</v>
      </c>
      <c r="W1496" t="s">
        <v>7676</v>
      </c>
      <c r="X1496" t="s">
        <v>9645</v>
      </c>
      <c r="Y1496">
        <v>3910</v>
      </c>
      <c r="Z1496">
        <v>-82</v>
      </c>
    </row>
    <row r="1497" spans="1:28">
      <c r="A1497" s="2">
        <f>HYPERLINK("https://finance.naver.com/item/coinfo.nhn?code=161890", "A161890")</f>
        <v>0</v>
      </c>
      <c r="B1497">
        <f>HYPERLINK("http://comp.fnguide.com/SVO2/ASP/SVD_Consensus.asp?pGB=1&amp;gicode=A161890&amp;cID=&amp;MenuYn=Y&amp;ReportGB=&amp;NewMenuID=108&amp;stkGb=701", "한국콜마")</f>
        <v>0</v>
      </c>
      <c r="C1497">
        <v>0</v>
      </c>
      <c r="D1497">
        <v>45100</v>
      </c>
      <c r="E1497">
        <v>-4.29</v>
      </c>
      <c r="F1497">
        <v>36.78</v>
      </c>
      <c r="G1497">
        <v>25147</v>
      </c>
      <c r="H1497">
        <v>22416</v>
      </c>
      <c r="I1497">
        <v>21638</v>
      </c>
      <c r="J1497">
        <v>44.24</v>
      </c>
      <c r="K1497">
        <v>50.3</v>
      </c>
      <c r="L1497">
        <v>52.02</v>
      </c>
      <c r="M1497">
        <v>9.73</v>
      </c>
      <c r="N1497" t="b">
        <v>1</v>
      </c>
      <c r="O1497">
        <v>1285</v>
      </c>
      <c r="P1497" t="s">
        <v>1504</v>
      </c>
      <c r="Q1497" t="s">
        <v>3464</v>
      </c>
      <c r="R1497">
        <v>-8.582679470897869</v>
      </c>
      <c r="S1497">
        <v>10319</v>
      </c>
      <c r="T1497">
        <v>193960</v>
      </c>
      <c r="U1497" t="s">
        <v>5475</v>
      </c>
      <c r="V1497">
        <v>30.39</v>
      </c>
      <c r="W1497" t="s">
        <v>7677</v>
      </c>
      <c r="X1497" t="s">
        <v>9646</v>
      </c>
      <c r="Y1497">
        <v>15407</v>
      </c>
      <c r="Z1497">
        <v>1178</v>
      </c>
      <c r="AB1497">
        <v>0.7</v>
      </c>
    </row>
    <row r="1498" spans="1:28">
      <c r="A1498" s="2">
        <f>HYPERLINK("https://finance.naver.com/item/coinfo.nhn?code=017960", "A017960")</f>
        <v>0</v>
      </c>
      <c r="B1498">
        <f>HYPERLINK("http://comp.fnguide.com/SVO2/ASP/SVD_Consensus.asp?pGB=1&amp;gicode=A017960&amp;cID=&amp;MenuYn=Y&amp;ReportGB=&amp;NewMenuID=108&amp;stkGb=701", "한국카본")</f>
        <v>0</v>
      </c>
      <c r="C1498">
        <v>0</v>
      </c>
      <c r="D1498">
        <v>12700</v>
      </c>
      <c r="E1498">
        <v>-0.53</v>
      </c>
      <c r="F1498">
        <v>19.45</v>
      </c>
      <c r="G1498">
        <v>2654</v>
      </c>
      <c r="H1498">
        <v>5426</v>
      </c>
      <c r="I1498">
        <v>6216</v>
      </c>
      <c r="J1498">
        <v>79.09999999999999</v>
      </c>
      <c r="K1498">
        <v>57.27</v>
      </c>
      <c r="L1498">
        <v>51.05</v>
      </c>
      <c r="M1498">
        <v>2.91</v>
      </c>
      <c r="N1498" t="b">
        <v>1</v>
      </c>
      <c r="O1498">
        <v>403</v>
      </c>
      <c r="P1498" t="s">
        <v>1505</v>
      </c>
      <c r="Q1498" t="s">
        <v>3465</v>
      </c>
      <c r="R1498">
        <v>-36.65962011306265</v>
      </c>
      <c r="S1498">
        <v>5583</v>
      </c>
      <c r="T1498">
        <v>1055298</v>
      </c>
      <c r="U1498" t="s">
        <v>5476</v>
      </c>
      <c r="V1498">
        <v>32.98</v>
      </c>
      <c r="W1498" t="s">
        <v>7678</v>
      </c>
      <c r="X1498" t="s">
        <v>9647</v>
      </c>
      <c r="Y1498">
        <v>2734</v>
      </c>
      <c r="Z1498">
        <v>253</v>
      </c>
      <c r="AA1498">
        <v>938592</v>
      </c>
      <c r="AB1498">
        <v>1.53</v>
      </c>
    </row>
    <row r="1499" spans="1:28">
      <c r="A1499" s="2">
        <f>HYPERLINK("https://finance.naver.com/item/coinfo.nhn?code=002960", "A002960")</f>
        <v>0</v>
      </c>
      <c r="B1499">
        <f>HYPERLINK("http://comp.fnguide.com/SVO2/ASP/SVD_Consensus.asp?pGB=1&amp;gicode=A002960&amp;cID=&amp;MenuYn=Y&amp;ReportGB=&amp;NewMenuID=108&amp;stkGb=701", "한국쉘석유")</f>
        <v>0</v>
      </c>
      <c r="C1499">
        <v>0</v>
      </c>
      <c r="D1499">
        <v>266000</v>
      </c>
      <c r="E1499">
        <v>-4.29</v>
      </c>
      <c r="F1499">
        <v>19.97</v>
      </c>
      <c r="G1499">
        <v>218458</v>
      </c>
      <c r="H1499">
        <v>132449</v>
      </c>
      <c r="I1499">
        <v>107940</v>
      </c>
      <c r="J1499">
        <v>17.87</v>
      </c>
      <c r="K1499">
        <v>50.21</v>
      </c>
      <c r="L1499">
        <v>59.42</v>
      </c>
      <c r="M1499">
        <v>23.12</v>
      </c>
      <c r="N1499" t="b">
        <v>1</v>
      </c>
      <c r="O1499">
        <v>16174</v>
      </c>
      <c r="P1499" t="s">
        <v>1506</v>
      </c>
      <c r="Q1499" t="s">
        <v>2271</v>
      </c>
      <c r="R1499">
        <v>-4.660336327460035</v>
      </c>
      <c r="S1499">
        <v>3458</v>
      </c>
      <c r="T1499">
        <v>2945</v>
      </c>
      <c r="U1499" t="s">
        <v>5477</v>
      </c>
      <c r="V1499">
        <v>53.85</v>
      </c>
      <c r="W1499" t="s">
        <v>7679</v>
      </c>
      <c r="X1499" t="s">
        <v>9648</v>
      </c>
      <c r="Y1499">
        <v>2118</v>
      </c>
      <c r="Z1499">
        <v>257</v>
      </c>
      <c r="AB1499">
        <v>4.95</v>
      </c>
    </row>
    <row r="1500" spans="1:28">
      <c r="A1500" s="2">
        <f>HYPERLINK("https://finance.naver.com/item/coinfo.nhn?code=000080", "A000080")</f>
        <v>0</v>
      </c>
      <c r="B1500">
        <f>HYPERLINK("http://comp.fnguide.com/SVO2/ASP/SVD_Consensus.asp?pGB=1&amp;gicode=A000080&amp;cID=&amp;MenuYn=Y&amp;ReportGB=&amp;NewMenuID=108&amp;stkGb=701", "하이트진로")</f>
        <v>0</v>
      </c>
      <c r="C1500">
        <v>0</v>
      </c>
      <c r="D1500">
        <v>31800</v>
      </c>
      <c r="G1500">
        <v>1494</v>
      </c>
      <c r="H1500">
        <v>9633</v>
      </c>
      <c r="I1500">
        <v>11952</v>
      </c>
      <c r="J1500">
        <v>95.3</v>
      </c>
      <c r="K1500">
        <v>69.70999999999999</v>
      </c>
      <c r="L1500">
        <v>62.41</v>
      </c>
      <c r="M1500">
        <v>0.79</v>
      </c>
      <c r="N1500" t="b">
        <v>0</v>
      </c>
      <c r="O1500">
        <v>-594</v>
      </c>
      <c r="P1500" t="s">
        <v>1507</v>
      </c>
      <c r="Q1500" t="s">
        <v>3466</v>
      </c>
      <c r="R1500">
        <v>-25.30491798639425</v>
      </c>
      <c r="S1500">
        <v>22302</v>
      </c>
      <c r="T1500">
        <v>537664</v>
      </c>
      <c r="U1500" t="s">
        <v>5478</v>
      </c>
      <c r="V1500">
        <v>53.81</v>
      </c>
      <c r="W1500" t="s">
        <v>7680</v>
      </c>
      <c r="X1500" t="s">
        <v>9649</v>
      </c>
      <c r="Y1500">
        <v>20351</v>
      </c>
      <c r="Z1500">
        <v>882</v>
      </c>
      <c r="AA1500">
        <v>1484184</v>
      </c>
      <c r="AB1500">
        <v>2.41</v>
      </c>
    </row>
    <row r="1501" spans="1:28">
      <c r="A1501" s="2">
        <f>HYPERLINK("https://finance.naver.com/item/coinfo.nhn?code=005420", "A005420")</f>
        <v>0</v>
      </c>
      <c r="B1501">
        <f>HYPERLINK("http://comp.fnguide.com/SVO2/ASP/SVD_Consensus.asp?pGB=1&amp;gicode=A005420&amp;cID=&amp;MenuYn=Y&amp;ReportGB=&amp;NewMenuID=108&amp;stkGb=701", "코스모화학")</f>
        <v>0</v>
      </c>
      <c r="C1501">
        <v>0</v>
      </c>
      <c r="D1501">
        <v>9840</v>
      </c>
      <c r="E1501">
        <v>0</v>
      </c>
      <c r="G1501">
        <v>2671</v>
      </c>
      <c r="H1501">
        <v>4284</v>
      </c>
      <c r="I1501">
        <v>4744</v>
      </c>
      <c r="J1501">
        <v>72.84999999999999</v>
      </c>
      <c r="K1501">
        <v>56.46</v>
      </c>
      <c r="L1501">
        <v>51.79</v>
      </c>
      <c r="M1501">
        <v>3.98</v>
      </c>
      <c r="N1501" t="b">
        <v>0</v>
      </c>
      <c r="O1501">
        <v>-729</v>
      </c>
      <c r="P1501" t="s">
        <v>1508</v>
      </c>
      <c r="Q1501" t="s">
        <v>2276</v>
      </c>
      <c r="R1501">
        <v>0</v>
      </c>
      <c r="S1501">
        <v>2569</v>
      </c>
      <c r="T1501">
        <v>786065</v>
      </c>
      <c r="U1501" t="s">
        <v>5479</v>
      </c>
      <c r="V1501">
        <v>33</v>
      </c>
      <c r="W1501" t="s">
        <v>7681</v>
      </c>
      <c r="X1501" t="s">
        <v>9650</v>
      </c>
      <c r="Y1501">
        <v>4068</v>
      </c>
      <c r="Z1501">
        <v>-52</v>
      </c>
      <c r="AA1501">
        <v>26230</v>
      </c>
    </row>
    <row r="1502" spans="1:28">
      <c r="A1502" s="2">
        <f>HYPERLINK("https://finance.naver.com/item/coinfo.nhn?code=005070", "A005070")</f>
        <v>0</v>
      </c>
      <c r="B1502">
        <f>HYPERLINK("http://comp.fnguide.com/SVO2/ASP/SVD_Consensus.asp?pGB=1&amp;gicode=A005070&amp;cID=&amp;MenuYn=Y&amp;ReportGB=&amp;NewMenuID=108&amp;stkGb=701", "코스모신소재")</f>
        <v>0</v>
      </c>
      <c r="C1502">
        <v>0</v>
      </c>
      <c r="D1502">
        <v>15500</v>
      </c>
      <c r="G1502">
        <v>4083</v>
      </c>
      <c r="H1502">
        <v>4651</v>
      </c>
      <c r="I1502">
        <v>4813</v>
      </c>
      <c r="J1502">
        <v>73.66</v>
      </c>
      <c r="K1502">
        <v>70</v>
      </c>
      <c r="L1502">
        <v>68.95</v>
      </c>
      <c r="M1502">
        <v>6.47</v>
      </c>
      <c r="N1502" t="b">
        <v>0</v>
      </c>
      <c r="O1502">
        <v>-264</v>
      </c>
      <c r="P1502" t="s">
        <v>1509</v>
      </c>
      <c r="Q1502" t="s">
        <v>3467</v>
      </c>
      <c r="R1502">
        <v>139.3986633212475</v>
      </c>
      <c r="S1502">
        <v>4533</v>
      </c>
      <c r="T1502">
        <v>929964</v>
      </c>
      <c r="U1502" t="s">
        <v>5480</v>
      </c>
      <c r="V1502">
        <v>29.31</v>
      </c>
      <c r="W1502" t="s">
        <v>7682</v>
      </c>
      <c r="X1502" t="s">
        <v>9651</v>
      </c>
      <c r="Y1502">
        <v>2439</v>
      </c>
      <c r="Z1502">
        <v>-36</v>
      </c>
      <c r="AA1502">
        <v>11760</v>
      </c>
    </row>
    <row r="1503" spans="1:28">
      <c r="A1503" s="2">
        <f>HYPERLINK("https://finance.naver.com/item/coinfo.nhn?code=192820", "A192820")</f>
        <v>0</v>
      </c>
      <c r="B1503">
        <f>HYPERLINK("http://comp.fnguide.com/SVO2/ASP/SVD_Consensus.asp?pGB=1&amp;gicode=A192820&amp;cID=&amp;MenuYn=Y&amp;ReportGB=&amp;NewMenuID=108&amp;stkGb=701", "코스맥스")</f>
        <v>0</v>
      </c>
      <c r="C1503">
        <v>0</v>
      </c>
      <c r="D1503">
        <v>93500</v>
      </c>
      <c r="E1503">
        <v>1.81</v>
      </c>
      <c r="F1503">
        <v>25.23</v>
      </c>
      <c r="G1503">
        <v>47994</v>
      </c>
      <c r="H1503">
        <v>39703</v>
      </c>
      <c r="I1503">
        <v>37340</v>
      </c>
      <c r="J1503">
        <v>48.67</v>
      </c>
      <c r="K1503">
        <v>57.54</v>
      </c>
      <c r="L1503">
        <v>60.06</v>
      </c>
      <c r="M1503">
        <v>11.19</v>
      </c>
      <c r="N1503" t="b">
        <v>1</v>
      </c>
      <c r="O1503">
        <v>3167</v>
      </c>
      <c r="P1503" t="s">
        <v>1510</v>
      </c>
      <c r="Q1503" t="s">
        <v>3468</v>
      </c>
      <c r="R1503">
        <v>13.95147328022763</v>
      </c>
      <c r="S1503">
        <v>9396</v>
      </c>
      <c r="T1503">
        <v>142638</v>
      </c>
      <c r="U1503" t="s">
        <v>5481</v>
      </c>
      <c r="V1503">
        <v>26.57</v>
      </c>
      <c r="W1503" t="s">
        <v>7683</v>
      </c>
      <c r="X1503" t="s">
        <v>9652</v>
      </c>
      <c r="Y1503">
        <v>13307</v>
      </c>
      <c r="Z1503">
        <v>540</v>
      </c>
      <c r="AA1503">
        <v>3847</v>
      </c>
      <c r="AB1503">
        <v>1.13</v>
      </c>
    </row>
    <row r="1504" spans="1:28">
      <c r="A1504" s="2">
        <f>HYPERLINK("https://finance.naver.com/item/coinfo.nhn?code=007810", "A007810")</f>
        <v>0</v>
      </c>
      <c r="B1504">
        <f>HYPERLINK("http://comp.fnguide.com/SVO2/ASP/SVD_Consensus.asp?pGB=1&amp;gicode=A007810&amp;cID=&amp;MenuYn=Y&amp;ReportGB=&amp;NewMenuID=108&amp;stkGb=701", "코리아써키트")</f>
        <v>0</v>
      </c>
      <c r="C1504">
        <v>0</v>
      </c>
      <c r="D1504">
        <v>13750</v>
      </c>
      <c r="E1504">
        <v>2.63</v>
      </c>
      <c r="F1504">
        <v>475.2</v>
      </c>
      <c r="G1504">
        <v>2117</v>
      </c>
      <c r="H1504">
        <v>9315</v>
      </c>
      <c r="I1504">
        <v>11367</v>
      </c>
      <c r="J1504">
        <v>84.61</v>
      </c>
      <c r="K1504">
        <v>32.25</v>
      </c>
      <c r="L1504">
        <v>17.33</v>
      </c>
      <c r="M1504">
        <v>1.2</v>
      </c>
      <c r="N1504" t="b">
        <v>0</v>
      </c>
      <c r="O1504">
        <v>25</v>
      </c>
      <c r="P1504" t="s">
        <v>1511</v>
      </c>
      <c r="Q1504" t="s">
        <v>3469</v>
      </c>
      <c r="R1504">
        <v>180.8</v>
      </c>
      <c r="S1504">
        <v>3248</v>
      </c>
      <c r="T1504">
        <v>288478</v>
      </c>
      <c r="U1504" t="s">
        <v>5482</v>
      </c>
      <c r="V1504">
        <v>57.95</v>
      </c>
      <c r="W1504" t="s">
        <v>7684</v>
      </c>
      <c r="X1504" t="s">
        <v>9653</v>
      </c>
      <c r="Y1504">
        <v>5434</v>
      </c>
      <c r="Z1504">
        <v>139</v>
      </c>
    </row>
    <row r="1505" spans="1:28">
      <c r="A1505" s="2">
        <f>HYPERLINK("https://finance.naver.com/item/coinfo.nhn?code=025620", "A025620")</f>
        <v>0</v>
      </c>
      <c r="B1505">
        <f>HYPERLINK("http://comp.fnguide.com/SVO2/ASP/SVD_Consensus.asp?pGB=1&amp;gicode=A025620&amp;cID=&amp;MenuYn=Y&amp;ReportGB=&amp;NewMenuID=108&amp;stkGb=701", "제이준코스메틱")</f>
        <v>0</v>
      </c>
      <c r="C1505">
        <v>0</v>
      </c>
      <c r="D1505">
        <v>2495</v>
      </c>
      <c r="G1505">
        <v>787</v>
      </c>
      <c r="H1505">
        <v>1195</v>
      </c>
      <c r="I1505">
        <v>1311</v>
      </c>
      <c r="J1505">
        <v>68.45999999999999</v>
      </c>
      <c r="K1505">
        <v>52.11</v>
      </c>
      <c r="L1505">
        <v>47.45</v>
      </c>
      <c r="M1505">
        <v>4.28</v>
      </c>
      <c r="N1505" t="b">
        <v>0</v>
      </c>
      <c r="O1505">
        <v>-2974</v>
      </c>
      <c r="P1505" t="s">
        <v>1512</v>
      </c>
      <c r="Q1505" t="s">
        <v>3470</v>
      </c>
      <c r="R1505">
        <v>35.60000000000001</v>
      </c>
      <c r="S1505">
        <v>921</v>
      </c>
      <c r="T1505">
        <v>229012</v>
      </c>
      <c r="U1505" t="s">
        <v>5483</v>
      </c>
      <c r="V1505">
        <v>11.47</v>
      </c>
      <c r="W1505" t="s">
        <v>7685</v>
      </c>
      <c r="X1505" t="s">
        <v>9654</v>
      </c>
      <c r="Y1505">
        <v>526</v>
      </c>
      <c r="Z1505">
        <v>-520</v>
      </c>
      <c r="AA1505">
        <v>4778</v>
      </c>
    </row>
    <row r="1506" spans="1:28">
      <c r="A1506" s="2">
        <f>HYPERLINK("https://finance.naver.com/item/coinfo.nhn?code=033240", "A033240")</f>
        <v>0</v>
      </c>
      <c r="B1506">
        <f>HYPERLINK("http://comp.fnguide.com/SVO2/ASP/SVD_Consensus.asp?pGB=1&amp;gicode=A033240&amp;cID=&amp;MenuYn=Y&amp;ReportGB=&amp;NewMenuID=108&amp;stkGb=701", "자화전자")</f>
        <v>0</v>
      </c>
      <c r="C1506">
        <v>0</v>
      </c>
      <c r="D1506">
        <v>16200</v>
      </c>
      <c r="G1506">
        <v>2936</v>
      </c>
      <c r="H1506">
        <v>11118</v>
      </c>
      <c r="I1506">
        <v>13450</v>
      </c>
      <c r="J1506">
        <v>81.88</v>
      </c>
      <c r="K1506">
        <v>31.37</v>
      </c>
      <c r="L1506">
        <v>16.98</v>
      </c>
      <c r="M1506">
        <v>1.41</v>
      </c>
      <c r="N1506" t="b">
        <v>0</v>
      </c>
      <c r="O1506">
        <v>-16</v>
      </c>
      <c r="P1506" t="s">
        <v>1513</v>
      </c>
      <c r="Q1506" t="s">
        <v>3471</v>
      </c>
      <c r="R1506">
        <v>9.166661577608014</v>
      </c>
      <c r="S1506">
        <v>2900</v>
      </c>
      <c r="T1506">
        <v>384047</v>
      </c>
      <c r="U1506" t="s">
        <v>5484</v>
      </c>
      <c r="V1506">
        <v>32.63</v>
      </c>
      <c r="W1506" t="s">
        <v>7686</v>
      </c>
      <c r="X1506" t="s">
        <v>9655</v>
      </c>
      <c r="Y1506">
        <v>3630</v>
      </c>
      <c r="Z1506">
        <v>-92</v>
      </c>
      <c r="AA1506">
        <v>1070670</v>
      </c>
    </row>
    <row r="1507" spans="1:28">
      <c r="A1507" s="2">
        <f>HYPERLINK("https://finance.naver.com/item/coinfo.nhn?code=226320", "A226320")</f>
        <v>0</v>
      </c>
      <c r="B1507">
        <f>HYPERLINK("http://comp.fnguide.com/SVO2/ASP/SVD_Consensus.asp?pGB=1&amp;gicode=A226320&amp;cID=&amp;MenuYn=Y&amp;ReportGB=&amp;NewMenuID=108&amp;stkGb=701", "잇츠한불")</f>
        <v>0</v>
      </c>
      <c r="C1507">
        <v>0</v>
      </c>
      <c r="D1507">
        <v>28350</v>
      </c>
      <c r="G1507">
        <v>5967</v>
      </c>
      <c r="H1507">
        <v>16433</v>
      </c>
      <c r="I1507">
        <v>19416</v>
      </c>
      <c r="J1507">
        <v>78.95</v>
      </c>
      <c r="K1507">
        <v>42.03</v>
      </c>
      <c r="L1507">
        <v>31.51</v>
      </c>
      <c r="M1507">
        <v>2.03</v>
      </c>
      <c r="N1507" t="b">
        <v>0</v>
      </c>
      <c r="O1507">
        <v>-215</v>
      </c>
      <c r="P1507" t="s">
        <v>1514</v>
      </c>
      <c r="Q1507" t="s">
        <v>3472</v>
      </c>
      <c r="R1507">
        <v>-58.41308003371837</v>
      </c>
      <c r="S1507">
        <v>6217</v>
      </c>
      <c r="T1507">
        <v>144973</v>
      </c>
      <c r="U1507" t="s">
        <v>5485</v>
      </c>
      <c r="V1507">
        <v>61.59</v>
      </c>
      <c r="W1507" t="s">
        <v>7687</v>
      </c>
      <c r="X1507" t="s">
        <v>9656</v>
      </c>
      <c r="Y1507">
        <v>2045</v>
      </c>
      <c r="Z1507">
        <v>109</v>
      </c>
      <c r="AA1507">
        <v>4312720</v>
      </c>
      <c r="AB1507">
        <v>0.52</v>
      </c>
    </row>
    <row r="1508" spans="1:28">
      <c r="A1508" s="2">
        <f>HYPERLINK("https://finance.naver.com/item/coinfo.nhn?code=020150", "A020150")</f>
        <v>0</v>
      </c>
      <c r="B1508">
        <f>HYPERLINK("http://comp.fnguide.com/SVO2/ASP/SVD_Consensus.asp?pGB=1&amp;gicode=A020150&amp;cID=&amp;MenuYn=Y&amp;ReportGB=&amp;NewMenuID=108&amp;stkGb=701", "일진머티리얼즈")</f>
        <v>0</v>
      </c>
      <c r="C1508">
        <v>0</v>
      </c>
      <c r="D1508">
        <v>47150</v>
      </c>
      <c r="E1508">
        <v>-98.56999999999999</v>
      </c>
      <c r="F1508">
        <v>42.09</v>
      </c>
      <c r="G1508">
        <v>13341</v>
      </c>
      <c r="H1508">
        <v>12769</v>
      </c>
      <c r="I1508">
        <v>12606</v>
      </c>
      <c r="J1508">
        <v>71.70999999999999</v>
      </c>
      <c r="K1508">
        <v>72.92</v>
      </c>
      <c r="L1508">
        <v>73.26000000000001</v>
      </c>
      <c r="M1508">
        <v>8.58</v>
      </c>
      <c r="N1508" t="b">
        <v>0</v>
      </c>
      <c r="O1508">
        <v>1016</v>
      </c>
      <c r="P1508" t="s">
        <v>1515</v>
      </c>
      <c r="Q1508" t="s">
        <v>3473</v>
      </c>
      <c r="R1508">
        <v>-0.4269971877413514</v>
      </c>
      <c r="S1508">
        <v>21741</v>
      </c>
      <c r="T1508">
        <v>387453</v>
      </c>
      <c r="U1508" t="s">
        <v>5486</v>
      </c>
      <c r="V1508">
        <v>53.37</v>
      </c>
      <c r="W1508" t="s">
        <v>7688</v>
      </c>
      <c r="X1508" t="s">
        <v>9657</v>
      </c>
      <c r="Y1508">
        <v>5502</v>
      </c>
      <c r="Z1508">
        <v>469</v>
      </c>
      <c r="AB1508">
        <v>0.12</v>
      </c>
    </row>
    <row r="1509" spans="1:28">
      <c r="A1509" s="2">
        <f>HYPERLINK("https://finance.naver.com/item/coinfo.nhn?code=020760", "A020760")</f>
        <v>0</v>
      </c>
      <c r="B1509">
        <f>HYPERLINK("http://comp.fnguide.com/SVO2/ASP/SVD_Consensus.asp?pGB=1&amp;gicode=A020760&amp;cID=&amp;MenuYn=Y&amp;ReportGB=&amp;NewMenuID=108&amp;stkGb=701", "일진디스플")</f>
        <v>0</v>
      </c>
      <c r="C1509">
        <v>0</v>
      </c>
      <c r="D1509">
        <v>4520</v>
      </c>
      <c r="G1509">
        <v>1044</v>
      </c>
      <c r="H1509">
        <v>1486</v>
      </c>
      <c r="I1509">
        <v>1613</v>
      </c>
      <c r="J1509">
        <v>76.90000000000001</v>
      </c>
      <c r="K1509">
        <v>67.11</v>
      </c>
      <c r="L1509">
        <v>64.31999999999999</v>
      </c>
      <c r="M1509">
        <v>4.67</v>
      </c>
      <c r="N1509" t="b">
        <v>0</v>
      </c>
      <c r="O1509">
        <v>-1074</v>
      </c>
      <c r="P1509" t="s">
        <v>1516</v>
      </c>
      <c r="Q1509" t="s">
        <v>3474</v>
      </c>
      <c r="R1509">
        <v>-90.59999999999999</v>
      </c>
      <c r="S1509">
        <v>1280</v>
      </c>
      <c r="T1509">
        <v>257147</v>
      </c>
      <c r="U1509" t="s">
        <v>5487</v>
      </c>
      <c r="V1509">
        <v>45.94</v>
      </c>
      <c r="W1509" t="s">
        <v>7689</v>
      </c>
      <c r="X1509" t="s">
        <v>9658</v>
      </c>
      <c r="Y1509">
        <v>957</v>
      </c>
      <c r="Z1509">
        <v>-308</v>
      </c>
      <c r="AA1509">
        <v>62834</v>
      </c>
    </row>
    <row r="1510" spans="1:28">
      <c r="A1510" s="2">
        <f>HYPERLINK("https://finance.naver.com/item/coinfo.nhn?code=081000", "A081000")</f>
        <v>0</v>
      </c>
      <c r="B1510">
        <f>HYPERLINK("http://comp.fnguide.com/SVO2/ASP/SVD_Consensus.asp?pGB=1&amp;gicode=A081000&amp;cID=&amp;MenuYn=Y&amp;ReportGB=&amp;NewMenuID=108&amp;stkGb=701", "일진다이아")</f>
        <v>0</v>
      </c>
      <c r="C1510">
        <v>0</v>
      </c>
      <c r="D1510">
        <v>47350</v>
      </c>
      <c r="E1510">
        <v>-2.51</v>
      </c>
      <c r="F1510">
        <v>31.33</v>
      </c>
      <c r="G1510">
        <v>12703</v>
      </c>
      <c r="H1510">
        <v>12679</v>
      </c>
      <c r="I1510">
        <v>12673</v>
      </c>
      <c r="J1510">
        <v>73.17</v>
      </c>
      <c r="K1510">
        <v>73.22</v>
      </c>
      <c r="L1510">
        <v>73.23999999999999</v>
      </c>
      <c r="M1510">
        <v>8</v>
      </c>
      <c r="N1510" t="b">
        <v>1</v>
      </c>
      <c r="O1510">
        <v>892</v>
      </c>
      <c r="P1510" t="s">
        <v>1517</v>
      </c>
      <c r="Q1510" t="s">
        <v>3475</v>
      </c>
      <c r="R1510">
        <v>-12.45892161845122</v>
      </c>
      <c r="S1510">
        <v>6725</v>
      </c>
      <c r="T1510">
        <v>432337</v>
      </c>
      <c r="U1510" t="s">
        <v>5488</v>
      </c>
      <c r="V1510">
        <v>55.51</v>
      </c>
      <c r="W1510" t="s">
        <v>7690</v>
      </c>
      <c r="X1510" t="s">
        <v>9659</v>
      </c>
      <c r="Y1510">
        <v>1611</v>
      </c>
      <c r="Z1510">
        <v>132</v>
      </c>
      <c r="AA1510">
        <v>4845</v>
      </c>
      <c r="AB1510">
        <v>1.07</v>
      </c>
    </row>
    <row r="1511" spans="1:28">
      <c r="A1511" s="2">
        <f>HYPERLINK("https://finance.naver.com/item/coinfo.nhn?code=007570", "A007570")</f>
        <v>0</v>
      </c>
      <c r="B1511">
        <f>HYPERLINK("http://comp.fnguide.com/SVO2/ASP/SVD_Consensus.asp?pGB=1&amp;gicode=A007570&amp;cID=&amp;MenuYn=Y&amp;ReportGB=&amp;NewMenuID=108&amp;stkGb=701", "일양약품")</f>
        <v>0</v>
      </c>
      <c r="C1511">
        <v>0</v>
      </c>
      <c r="D1511">
        <v>62000</v>
      </c>
      <c r="E1511">
        <v>1.98</v>
      </c>
      <c r="F1511">
        <v>44.11</v>
      </c>
      <c r="G1511">
        <v>4270</v>
      </c>
      <c r="H1511">
        <v>8203</v>
      </c>
      <c r="I1511">
        <v>9324</v>
      </c>
      <c r="J1511">
        <v>93.11</v>
      </c>
      <c r="K1511">
        <v>86.77</v>
      </c>
      <c r="L1511">
        <v>84.95999999999999</v>
      </c>
      <c r="M1511">
        <v>3.15</v>
      </c>
      <c r="N1511" t="b">
        <v>1</v>
      </c>
      <c r="O1511">
        <v>511</v>
      </c>
      <c r="P1511" t="s">
        <v>1518</v>
      </c>
      <c r="Q1511" t="s">
        <v>3476</v>
      </c>
      <c r="R1511">
        <v>22.30248223974898</v>
      </c>
      <c r="S1511">
        <v>11833</v>
      </c>
      <c r="T1511">
        <v>345361</v>
      </c>
      <c r="U1511" t="s">
        <v>5489</v>
      </c>
      <c r="V1511">
        <v>26.27</v>
      </c>
      <c r="W1511" t="s">
        <v>7691</v>
      </c>
      <c r="X1511" t="s">
        <v>9660</v>
      </c>
      <c r="Y1511">
        <v>3246</v>
      </c>
      <c r="Z1511">
        <v>325</v>
      </c>
      <c r="AA1511">
        <v>880484</v>
      </c>
      <c r="AB1511">
        <v>0.53</v>
      </c>
    </row>
    <row r="1512" spans="1:28">
      <c r="A1512" s="2">
        <f>HYPERLINK("https://finance.naver.com/item/coinfo.nhn?code=007110", "A007110")</f>
        <v>0</v>
      </c>
      <c r="B1512">
        <f>HYPERLINK("http://comp.fnguide.com/SVO2/ASP/SVD_Consensus.asp?pGB=1&amp;gicode=A007110&amp;cID=&amp;MenuYn=Y&amp;ReportGB=&amp;NewMenuID=108&amp;stkGb=701", "일신석재")</f>
        <v>0</v>
      </c>
      <c r="C1512">
        <v>0</v>
      </c>
      <c r="D1512">
        <v>1975</v>
      </c>
      <c r="E1512">
        <v>2.2</v>
      </c>
      <c r="F1512">
        <v>206.14</v>
      </c>
      <c r="G1512">
        <v>102</v>
      </c>
      <c r="H1512">
        <v>443</v>
      </c>
      <c r="I1512">
        <v>541</v>
      </c>
      <c r="J1512">
        <v>94.84999999999999</v>
      </c>
      <c r="K1512">
        <v>77.55</v>
      </c>
      <c r="L1512">
        <v>72.62</v>
      </c>
      <c r="M1512">
        <v>1.21</v>
      </c>
      <c r="N1512" t="b">
        <v>0</v>
      </c>
      <c r="O1512">
        <v>12</v>
      </c>
      <c r="P1512" t="s">
        <v>1519</v>
      </c>
      <c r="Q1512" t="s">
        <v>3477</v>
      </c>
      <c r="R1512">
        <v>93.50389592139892</v>
      </c>
      <c r="S1512">
        <v>1530</v>
      </c>
      <c r="T1512">
        <v>796282</v>
      </c>
      <c r="U1512" t="s">
        <v>5490</v>
      </c>
      <c r="V1512">
        <v>41.32</v>
      </c>
      <c r="W1512" t="s">
        <v>7692</v>
      </c>
      <c r="X1512" t="s">
        <v>9661</v>
      </c>
      <c r="Y1512">
        <v>667</v>
      </c>
      <c r="Z1512">
        <v>18</v>
      </c>
      <c r="AA1512">
        <v>27600</v>
      </c>
    </row>
    <row r="1513" spans="1:28">
      <c r="A1513" s="2">
        <f>HYPERLINK("https://finance.naver.com/item/coinfo.nhn?code=000230", "A000230")</f>
        <v>0</v>
      </c>
      <c r="B1513">
        <f>HYPERLINK("http://comp.fnguide.com/SVO2/ASP/SVD_Consensus.asp?pGB=1&amp;gicode=A000230&amp;cID=&amp;MenuYn=Y&amp;ReportGB=&amp;NewMenuID=108&amp;stkGb=701", "일동홀딩스")</f>
        <v>0</v>
      </c>
      <c r="C1513">
        <v>0</v>
      </c>
      <c r="D1513">
        <v>10450</v>
      </c>
      <c r="E1513">
        <v>0</v>
      </c>
      <c r="G1513">
        <v>13</v>
      </c>
      <c r="H1513">
        <v>7327</v>
      </c>
      <c r="I1513">
        <v>9411</v>
      </c>
      <c r="J1513">
        <v>99.88</v>
      </c>
      <c r="K1513">
        <v>29.89</v>
      </c>
      <c r="L1513">
        <v>9.949999999999999</v>
      </c>
      <c r="M1513">
        <v>0.01</v>
      </c>
      <c r="N1513" t="b">
        <v>0</v>
      </c>
      <c r="O1513">
        <v>-1946</v>
      </c>
      <c r="P1513" t="s">
        <v>1520</v>
      </c>
      <c r="Q1513" t="s">
        <v>3478</v>
      </c>
      <c r="R1513">
        <v>0</v>
      </c>
      <c r="S1513">
        <v>1206</v>
      </c>
      <c r="T1513">
        <v>84265</v>
      </c>
      <c r="U1513" t="s">
        <v>5491</v>
      </c>
      <c r="V1513">
        <v>61.17</v>
      </c>
      <c r="W1513" t="s">
        <v>7693</v>
      </c>
      <c r="X1513" t="s">
        <v>9662</v>
      </c>
      <c r="Y1513">
        <v>2922</v>
      </c>
      <c r="Z1513">
        <v>-259</v>
      </c>
      <c r="AA1513">
        <v>248307</v>
      </c>
      <c r="AB1513">
        <v>0.9</v>
      </c>
    </row>
    <row r="1514" spans="1:28">
      <c r="A1514" s="2">
        <f>HYPERLINK("https://finance.naver.com/item/coinfo.nhn?code=249420", "A249420")</f>
        <v>0</v>
      </c>
      <c r="B1514">
        <f>HYPERLINK("http://comp.fnguide.com/SVO2/ASP/SVD_Consensus.asp?pGB=1&amp;gicode=A249420&amp;cID=&amp;MenuYn=Y&amp;ReportGB=&amp;NewMenuID=108&amp;stkGb=701", "일동제약")</f>
        <v>0</v>
      </c>
      <c r="C1514">
        <v>0</v>
      </c>
      <c r="D1514">
        <v>19650</v>
      </c>
      <c r="E1514">
        <v>0</v>
      </c>
      <c r="G1514">
        <v>3611</v>
      </c>
      <c r="H1514">
        <v>7830</v>
      </c>
      <c r="I1514">
        <v>9032</v>
      </c>
      <c r="J1514">
        <v>81.62</v>
      </c>
      <c r="K1514">
        <v>60.15</v>
      </c>
      <c r="L1514">
        <v>54.04</v>
      </c>
      <c r="M1514">
        <v>2.71</v>
      </c>
      <c r="N1514" t="b">
        <v>0</v>
      </c>
      <c r="O1514">
        <v>-565</v>
      </c>
      <c r="P1514" t="s">
        <v>1521</v>
      </c>
      <c r="Q1514" t="s">
        <v>3479</v>
      </c>
      <c r="R1514">
        <v>0</v>
      </c>
      <c r="S1514">
        <v>4677</v>
      </c>
      <c r="T1514">
        <v>333738</v>
      </c>
      <c r="U1514" t="s">
        <v>5492</v>
      </c>
      <c r="V1514">
        <v>47.07</v>
      </c>
      <c r="W1514" t="s">
        <v>7694</v>
      </c>
      <c r="X1514" t="s">
        <v>9663</v>
      </c>
      <c r="Y1514">
        <v>5175</v>
      </c>
      <c r="Z1514">
        <v>-14</v>
      </c>
      <c r="AA1514">
        <v>17970</v>
      </c>
      <c r="AB1514">
        <v>0</v>
      </c>
    </row>
    <row r="1515" spans="1:28">
      <c r="A1515" s="2">
        <f>HYPERLINK("https://finance.naver.com/item/coinfo.nhn?code=023800", "A023800")</f>
        <v>0</v>
      </c>
      <c r="B1515">
        <f>HYPERLINK("http://comp.fnguide.com/SVO2/ASP/SVD_Consensus.asp?pGB=1&amp;gicode=A023800&amp;cID=&amp;MenuYn=Y&amp;ReportGB=&amp;NewMenuID=108&amp;stkGb=701", "인지컨트롤스")</f>
        <v>0</v>
      </c>
      <c r="C1515">
        <v>0</v>
      </c>
      <c r="D1515">
        <v>11300</v>
      </c>
      <c r="G1515">
        <v>806</v>
      </c>
      <c r="H1515">
        <v>7746</v>
      </c>
      <c r="I1515">
        <v>9723</v>
      </c>
      <c r="J1515">
        <v>92.87</v>
      </c>
      <c r="K1515">
        <v>31.46</v>
      </c>
      <c r="L1515">
        <v>13.96</v>
      </c>
      <c r="M1515">
        <v>0.52</v>
      </c>
      <c r="N1515" t="b">
        <v>0</v>
      </c>
      <c r="O1515">
        <v>-545</v>
      </c>
      <c r="P1515" t="s">
        <v>1522</v>
      </c>
      <c r="Q1515" t="s">
        <v>3480</v>
      </c>
      <c r="R1515">
        <v>-14.1</v>
      </c>
      <c r="S1515">
        <v>1713</v>
      </c>
      <c r="T1515">
        <v>386856</v>
      </c>
      <c r="U1515" t="s">
        <v>5493</v>
      </c>
      <c r="V1515">
        <v>42.47</v>
      </c>
      <c r="W1515" t="s">
        <v>7695</v>
      </c>
      <c r="X1515" t="s">
        <v>9664</v>
      </c>
      <c r="Y1515">
        <v>4942</v>
      </c>
      <c r="Z1515">
        <v>56</v>
      </c>
      <c r="AA1515">
        <v>640500</v>
      </c>
      <c r="AB1515">
        <v>2.02</v>
      </c>
    </row>
    <row r="1516" spans="1:28">
      <c r="A1516" s="2">
        <f>HYPERLINK("https://finance.naver.com/item/coinfo.nhn?code=006490", "A006490")</f>
        <v>0</v>
      </c>
      <c r="B1516">
        <f>HYPERLINK("http://comp.fnguide.com/SVO2/ASP/SVD_Consensus.asp?pGB=1&amp;gicode=A006490&amp;cID=&amp;MenuYn=Y&amp;ReportGB=&amp;NewMenuID=108&amp;stkGb=701", "인스코비")</f>
        <v>0</v>
      </c>
      <c r="C1516">
        <v>0</v>
      </c>
      <c r="D1516">
        <v>2220</v>
      </c>
      <c r="G1516">
        <v>0</v>
      </c>
      <c r="H1516">
        <v>152</v>
      </c>
      <c r="I1516">
        <v>196</v>
      </c>
      <c r="J1516">
        <v>100</v>
      </c>
      <c r="K1516">
        <v>93.13</v>
      </c>
      <c r="L1516">
        <v>91.18000000000001</v>
      </c>
      <c r="M1516">
        <v>0</v>
      </c>
      <c r="N1516" t="b">
        <v>0</v>
      </c>
      <c r="O1516">
        <v>-262</v>
      </c>
      <c r="P1516" t="s">
        <v>1523</v>
      </c>
      <c r="Q1516" t="s">
        <v>3481</v>
      </c>
      <c r="R1516">
        <v>-64.5</v>
      </c>
      <c r="S1516">
        <v>2225</v>
      </c>
      <c r="T1516">
        <v>1010349</v>
      </c>
      <c r="U1516" t="s">
        <v>5494</v>
      </c>
      <c r="V1516">
        <v>11.23</v>
      </c>
      <c r="W1516" t="s">
        <v>7696</v>
      </c>
      <c r="X1516" t="s">
        <v>968</v>
      </c>
      <c r="Y1516">
        <v>753</v>
      </c>
      <c r="Z1516">
        <v>47</v>
      </c>
      <c r="AA1516">
        <v>903885</v>
      </c>
    </row>
    <row r="1517" spans="1:28">
      <c r="A1517" s="2">
        <f>HYPERLINK("https://finance.naver.com/item/coinfo.nhn?code=014990", "A014990")</f>
        <v>0</v>
      </c>
      <c r="B1517">
        <f>HYPERLINK("http://comp.fnguide.com/SVO2/ASP/SVD_Consensus.asp?pGB=1&amp;gicode=A014990&amp;cID=&amp;MenuYn=Y&amp;ReportGB=&amp;NewMenuID=108&amp;stkGb=701", "인디에프")</f>
        <v>0</v>
      </c>
      <c r="C1517">
        <v>0</v>
      </c>
      <c r="D1517">
        <v>1645</v>
      </c>
      <c r="G1517">
        <v>41</v>
      </c>
      <c r="H1517">
        <v>656</v>
      </c>
      <c r="I1517">
        <v>831</v>
      </c>
      <c r="J1517">
        <v>97.51000000000001</v>
      </c>
      <c r="K1517">
        <v>60.15</v>
      </c>
      <c r="L1517">
        <v>49.5</v>
      </c>
      <c r="M1517">
        <v>0.31</v>
      </c>
      <c r="N1517" t="b">
        <v>0</v>
      </c>
      <c r="O1517">
        <v>-55</v>
      </c>
      <c r="P1517" t="s">
        <v>1524</v>
      </c>
      <c r="Q1517" t="s">
        <v>3482</v>
      </c>
      <c r="R1517">
        <v>-70.40000000000001</v>
      </c>
      <c r="S1517">
        <v>969</v>
      </c>
      <c r="T1517">
        <v>493297</v>
      </c>
      <c r="U1517" t="s">
        <v>5495</v>
      </c>
      <c r="V1517">
        <v>57.95</v>
      </c>
      <c r="W1517" t="s">
        <v>7697</v>
      </c>
      <c r="X1517" t="s">
        <v>9665</v>
      </c>
      <c r="Y1517">
        <v>2025</v>
      </c>
      <c r="Z1517">
        <v>-16</v>
      </c>
      <c r="AA1517">
        <v>3005</v>
      </c>
    </row>
    <row r="1518" spans="1:28">
      <c r="A1518" s="2">
        <f>HYPERLINK("https://finance.naver.com/item/coinfo.nhn?code=102460", "A102460")</f>
        <v>0</v>
      </c>
      <c r="B1518">
        <f>HYPERLINK("http://comp.fnguide.com/SVO2/ASP/SVD_Consensus.asp?pGB=1&amp;gicode=A102460&amp;cID=&amp;MenuYn=Y&amp;ReportGB=&amp;NewMenuID=108&amp;stkGb=701", "이연제약")</f>
        <v>0</v>
      </c>
      <c r="C1518">
        <v>0</v>
      </c>
      <c r="D1518">
        <v>24400</v>
      </c>
      <c r="E1518">
        <v>-1.7</v>
      </c>
      <c r="F1518">
        <v>45.16</v>
      </c>
      <c r="G1518">
        <v>4179</v>
      </c>
      <c r="H1518">
        <v>9307</v>
      </c>
      <c r="I1518">
        <v>10768</v>
      </c>
      <c r="J1518">
        <v>82.87</v>
      </c>
      <c r="K1518">
        <v>61.86</v>
      </c>
      <c r="L1518">
        <v>55.87</v>
      </c>
      <c r="M1518">
        <v>2.62</v>
      </c>
      <c r="N1518" t="b">
        <v>1</v>
      </c>
      <c r="O1518">
        <v>354</v>
      </c>
      <c r="P1518" t="s">
        <v>1525</v>
      </c>
      <c r="Q1518" t="s">
        <v>3483</v>
      </c>
      <c r="R1518">
        <v>-26.57549087960792</v>
      </c>
      <c r="S1518">
        <v>4257</v>
      </c>
      <c r="T1518">
        <v>720367</v>
      </c>
      <c r="U1518" t="s">
        <v>5496</v>
      </c>
      <c r="V1518">
        <v>62.1</v>
      </c>
      <c r="W1518" t="s">
        <v>7698</v>
      </c>
      <c r="X1518" t="s">
        <v>9666</v>
      </c>
      <c r="Y1518">
        <v>1316</v>
      </c>
      <c r="Z1518">
        <v>79</v>
      </c>
      <c r="AA1518">
        <v>242125</v>
      </c>
      <c r="AB1518">
        <v>2.19</v>
      </c>
    </row>
    <row r="1519" spans="1:28">
      <c r="A1519" s="2">
        <f>HYPERLINK("https://finance.naver.com/item/coinfo.nhn?code=074610", "A074610")</f>
        <v>0</v>
      </c>
      <c r="B1519">
        <f>HYPERLINK("http://comp.fnguide.com/SVO2/ASP/SVD_Consensus.asp?pGB=1&amp;gicode=A074610&amp;cID=&amp;MenuYn=Y&amp;ReportGB=&amp;NewMenuID=108&amp;stkGb=701", "이엔플러스")</f>
        <v>0</v>
      </c>
      <c r="C1519">
        <v>0</v>
      </c>
      <c r="D1519">
        <v>4090</v>
      </c>
      <c r="G1519">
        <v>0</v>
      </c>
      <c r="H1519">
        <v>672</v>
      </c>
      <c r="I1519">
        <v>863</v>
      </c>
      <c r="J1519">
        <v>100</v>
      </c>
      <c r="K1519">
        <v>83.58</v>
      </c>
      <c r="L1519">
        <v>78.90000000000001</v>
      </c>
      <c r="M1519">
        <v>0</v>
      </c>
      <c r="N1519" t="b">
        <v>0</v>
      </c>
      <c r="O1519">
        <v>-923</v>
      </c>
      <c r="P1519" t="s">
        <v>1526</v>
      </c>
      <c r="Q1519" t="s">
        <v>3484</v>
      </c>
      <c r="R1519">
        <v>183.3</v>
      </c>
      <c r="S1519">
        <v>1676</v>
      </c>
      <c r="T1519">
        <v>547493</v>
      </c>
      <c r="U1519" t="s">
        <v>5497</v>
      </c>
      <c r="V1519">
        <v>7.32</v>
      </c>
      <c r="W1519" t="s">
        <v>7699</v>
      </c>
      <c r="X1519" t="s">
        <v>968</v>
      </c>
      <c r="Y1519">
        <v>404</v>
      </c>
      <c r="Z1519">
        <v>-154</v>
      </c>
    </row>
    <row r="1520" spans="1:28">
      <c r="A1520" s="2">
        <f>HYPERLINK("https://finance.naver.com/item/coinfo.nhn?code=093230", "A093230")</f>
        <v>0</v>
      </c>
      <c r="B1520">
        <f>HYPERLINK("http://comp.fnguide.com/SVO2/ASP/SVD_Consensus.asp?pGB=1&amp;gicode=A093230&amp;cID=&amp;MenuYn=Y&amp;ReportGB=&amp;NewMenuID=108&amp;stkGb=701", "이아이디")</f>
        <v>0</v>
      </c>
      <c r="C1520">
        <v>0</v>
      </c>
      <c r="D1520">
        <v>338</v>
      </c>
      <c r="E1520">
        <v>0</v>
      </c>
      <c r="F1520">
        <v>221.15</v>
      </c>
      <c r="G1520">
        <v>13</v>
      </c>
      <c r="H1520">
        <v>134</v>
      </c>
      <c r="I1520">
        <v>169</v>
      </c>
      <c r="J1520">
        <v>96.26000000000001</v>
      </c>
      <c r="K1520">
        <v>60.22</v>
      </c>
      <c r="L1520">
        <v>49.95</v>
      </c>
      <c r="M1520">
        <v>0.47</v>
      </c>
      <c r="N1520" t="b">
        <v>0</v>
      </c>
      <c r="O1520">
        <v>1</v>
      </c>
      <c r="P1520" t="s">
        <v>1527</v>
      </c>
      <c r="Q1520" t="s">
        <v>2276</v>
      </c>
      <c r="R1520">
        <v>0</v>
      </c>
      <c r="S1520">
        <v>2141</v>
      </c>
      <c r="T1520">
        <v>46469047</v>
      </c>
      <c r="U1520" t="s">
        <v>5498</v>
      </c>
      <c r="V1520">
        <v>33.22</v>
      </c>
      <c r="W1520" t="s">
        <v>7700</v>
      </c>
      <c r="X1520" t="s">
        <v>9667</v>
      </c>
      <c r="Y1520">
        <v>1410</v>
      </c>
      <c r="Z1520">
        <v>15</v>
      </c>
    </row>
    <row r="1521" spans="1:28">
      <c r="A1521" s="2">
        <f>HYPERLINK("https://finance.naver.com/item/coinfo.nhn?code=005950", "A005950")</f>
        <v>0</v>
      </c>
      <c r="B1521">
        <f>HYPERLINK("http://comp.fnguide.com/SVO2/ASP/SVD_Consensus.asp?pGB=1&amp;gicode=A005950&amp;cID=&amp;MenuYn=Y&amp;ReportGB=&amp;NewMenuID=108&amp;stkGb=701", "이수화학")</f>
        <v>0</v>
      </c>
      <c r="C1521">
        <v>0</v>
      </c>
      <c r="D1521">
        <v>13300</v>
      </c>
      <c r="G1521">
        <v>1602</v>
      </c>
      <c r="H1521">
        <v>8534</v>
      </c>
      <c r="I1521">
        <v>10509</v>
      </c>
      <c r="J1521">
        <v>87.95999999999999</v>
      </c>
      <c r="K1521">
        <v>35.84</v>
      </c>
      <c r="L1521">
        <v>20.98</v>
      </c>
      <c r="M1521">
        <v>0.97</v>
      </c>
      <c r="N1521" t="b">
        <v>0</v>
      </c>
      <c r="O1521">
        <v>-449</v>
      </c>
      <c r="P1521" t="s">
        <v>1528</v>
      </c>
      <c r="Q1521" t="s">
        <v>3485</v>
      </c>
      <c r="R1521">
        <v>7.770689731978297</v>
      </c>
      <c r="S1521">
        <v>3174</v>
      </c>
      <c r="T1521">
        <v>785657</v>
      </c>
      <c r="U1521" t="s">
        <v>5499</v>
      </c>
      <c r="V1521">
        <v>33.03</v>
      </c>
      <c r="W1521" t="s">
        <v>7701</v>
      </c>
      <c r="X1521" t="s">
        <v>9668</v>
      </c>
      <c r="Y1521">
        <v>15162</v>
      </c>
      <c r="Z1521">
        <v>94</v>
      </c>
      <c r="AA1521">
        <v>753588</v>
      </c>
      <c r="AB1521">
        <v>3.89</v>
      </c>
    </row>
    <row r="1522" spans="1:28">
      <c r="A1522" s="2">
        <f>HYPERLINK("https://finance.naver.com/item/coinfo.nhn?code=007660", "A007660")</f>
        <v>0</v>
      </c>
      <c r="B1522">
        <f>HYPERLINK("http://comp.fnguide.com/SVO2/ASP/SVD_Consensus.asp?pGB=1&amp;gicode=A007660&amp;cID=&amp;MenuYn=Y&amp;ReportGB=&amp;NewMenuID=108&amp;stkGb=701", "이수페타시스")</f>
        <v>0</v>
      </c>
      <c r="C1522">
        <v>0</v>
      </c>
      <c r="D1522">
        <v>4010</v>
      </c>
      <c r="G1522">
        <v>0</v>
      </c>
      <c r="H1522">
        <v>1106</v>
      </c>
      <c r="I1522">
        <v>1422</v>
      </c>
      <c r="J1522">
        <v>100</v>
      </c>
      <c r="K1522">
        <v>72.41</v>
      </c>
      <c r="L1522">
        <v>64.54000000000001</v>
      </c>
      <c r="M1522">
        <v>0</v>
      </c>
      <c r="N1522" t="b">
        <v>0</v>
      </c>
      <c r="O1522">
        <v>-2207</v>
      </c>
      <c r="P1522" t="s">
        <v>1529</v>
      </c>
      <c r="Q1522" t="s">
        <v>3486</v>
      </c>
      <c r="R1522">
        <v>-76.2</v>
      </c>
      <c r="S1522">
        <v>1655</v>
      </c>
      <c r="T1522">
        <v>503624</v>
      </c>
      <c r="U1522" t="s">
        <v>5500</v>
      </c>
      <c r="V1522">
        <v>31.06</v>
      </c>
      <c r="W1522" t="s">
        <v>7702</v>
      </c>
      <c r="X1522" t="s">
        <v>968</v>
      </c>
      <c r="Y1522">
        <v>5142</v>
      </c>
      <c r="Z1522">
        <v>-240</v>
      </c>
      <c r="AB1522">
        <v>1.47</v>
      </c>
    </row>
    <row r="1523" spans="1:28">
      <c r="A1523" s="2">
        <f>HYPERLINK("https://finance.naver.com/item/coinfo.nhn?code=214320", "A214320")</f>
        <v>0</v>
      </c>
      <c r="B1523">
        <f>HYPERLINK("http://comp.fnguide.com/SVO2/ASP/SVD_Consensus.asp?pGB=1&amp;gicode=A214320&amp;cID=&amp;MenuYn=Y&amp;ReportGB=&amp;NewMenuID=108&amp;stkGb=701", "이노션")</f>
        <v>0</v>
      </c>
      <c r="C1523">
        <v>0</v>
      </c>
      <c r="D1523">
        <v>60000</v>
      </c>
      <c r="E1523">
        <v>-4.8</v>
      </c>
      <c r="F1523">
        <v>19.26</v>
      </c>
      <c r="G1523">
        <v>48606</v>
      </c>
      <c r="H1523">
        <v>42345</v>
      </c>
      <c r="I1523">
        <v>40560</v>
      </c>
      <c r="J1523">
        <v>18.99</v>
      </c>
      <c r="K1523">
        <v>29.43</v>
      </c>
      <c r="L1523">
        <v>32.4</v>
      </c>
      <c r="M1523">
        <v>10.15</v>
      </c>
      <c r="N1523" t="b">
        <v>1</v>
      </c>
      <c r="O1523">
        <v>3681</v>
      </c>
      <c r="P1523" t="s">
        <v>1530</v>
      </c>
      <c r="Q1523" t="s">
        <v>3487</v>
      </c>
      <c r="R1523">
        <v>-4.012618854731286</v>
      </c>
      <c r="S1523">
        <v>12000</v>
      </c>
      <c r="T1523">
        <v>71553</v>
      </c>
      <c r="U1523" t="s">
        <v>5501</v>
      </c>
      <c r="V1523">
        <v>28.7</v>
      </c>
      <c r="W1523" t="s">
        <v>7703</v>
      </c>
      <c r="X1523" t="s">
        <v>9669</v>
      </c>
      <c r="Y1523">
        <v>12743</v>
      </c>
      <c r="Z1523">
        <v>1219</v>
      </c>
      <c r="AB1523">
        <v>2.12</v>
      </c>
    </row>
    <row r="1524" spans="1:28">
      <c r="A1524" s="2">
        <f>HYPERLINK("https://finance.naver.com/item/coinfo.nhn?code=008730", "A008730")</f>
        <v>0</v>
      </c>
      <c r="B1524">
        <f>HYPERLINK("http://comp.fnguide.com/SVO2/ASP/SVD_Consensus.asp?pGB=1&amp;gicode=A008730&amp;cID=&amp;MenuYn=Y&amp;ReportGB=&amp;NewMenuID=108&amp;stkGb=701", "율촌화학")</f>
        <v>0</v>
      </c>
      <c r="C1524">
        <v>0</v>
      </c>
      <c r="D1524">
        <v>20200</v>
      </c>
      <c r="E1524">
        <v>1.63</v>
      </c>
      <c r="F1524">
        <v>19.06</v>
      </c>
      <c r="G1524">
        <v>9568</v>
      </c>
      <c r="H1524">
        <v>12105</v>
      </c>
      <c r="I1524">
        <v>12828</v>
      </c>
      <c r="J1524">
        <v>52.63</v>
      </c>
      <c r="K1524">
        <v>40.07</v>
      </c>
      <c r="L1524">
        <v>36.5</v>
      </c>
      <c r="M1524">
        <v>5.53</v>
      </c>
      <c r="N1524" t="b">
        <v>1</v>
      </c>
      <c r="O1524">
        <v>734</v>
      </c>
      <c r="P1524" t="s">
        <v>1531</v>
      </c>
      <c r="Q1524" t="s">
        <v>3488</v>
      </c>
      <c r="R1524">
        <v>11.66995288341586</v>
      </c>
      <c r="S1524">
        <v>5010</v>
      </c>
      <c r="T1524">
        <v>159848</v>
      </c>
      <c r="U1524" t="s">
        <v>5502</v>
      </c>
      <c r="V1524">
        <v>65.12</v>
      </c>
      <c r="W1524" t="s">
        <v>7704</v>
      </c>
      <c r="X1524" t="s">
        <v>9670</v>
      </c>
      <c r="Y1524">
        <v>5066</v>
      </c>
      <c r="Z1524">
        <v>258</v>
      </c>
      <c r="AB1524">
        <v>3.57</v>
      </c>
    </row>
    <row r="1525" spans="1:28">
      <c r="A1525" s="2">
        <f>HYPERLINK("https://finance.naver.com/item/coinfo.nhn?code=000100", "A000100")</f>
        <v>0</v>
      </c>
      <c r="B1525">
        <f>HYPERLINK("http://comp.fnguide.com/SVO2/ASP/SVD_Consensus.asp?pGB=1&amp;gicode=A000100&amp;cID=&amp;MenuYn=Y&amp;ReportGB=&amp;NewMenuID=108&amp;stkGb=701", "유한양행")</f>
        <v>0</v>
      </c>
      <c r="C1525">
        <v>0</v>
      </c>
      <c r="D1525">
        <v>65100</v>
      </c>
      <c r="E1525">
        <v>7.99</v>
      </c>
      <c r="F1525">
        <v>80.44</v>
      </c>
      <c r="G1525">
        <v>12060</v>
      </c>
      <c r="H1525">
        <v>20983</v>
      </c>
      <c r="I1525">
        <v>23526</v>
      </c>
      <c r="J1525">
        <v>81.47</v>
      </c>
      <c r="K1525">
        <v>67.77</v>
      </c>
      <c r="L1525">
        <v>63.86</v>
      </c>
      <c r="M1525">
        <v>3.57</v>
      </c>
      <c r="N1525" t="b">
        <v>0</v>
      </c>
      <c r="O1525">
        <v>588</v>
      </c>
      <c r="P1525" t="s">
        <v>1532</v>
      </c>
      <c r="Q1525" t="s">
        <v>3489</v>
      </c>
      <c r="R1525">
        <v>10.06320477932712</v>
      </c>
      <c r="S1525">
        <v>43524</v>
      </c>
      <c r="T1525">
        <v>352398</v>
      </c>
      <c r="U1525" t="s">
        <v>5503</v>
      </c>
      <c r="V1525">
        <v>23.34</v>
      </c>
      <c r="W1525" t="s">
        <v>7705</v>
      </c>
      <c r="X1525" t="s">
        <v>9671</v>
      </c>
      <c r="Y1525">
        <v>14804</v>
      </c>
      <c r="Z1525">
        <v>125</v>
      </c>
      <c r="AA1525">
        <v>5682165</v>
      </c>
      <c r="AB1525">
        <v>0.8100000000000001</v>
      </c>
    </row>
    <row r="1526" spans="1:28">
      <c r="A1526" s="2">
        <f>HYPERLINK("https://finance.naver.com/item/coinfo.nhn?code=036420", "A036420")</f>
        <v>0</v>
      </c>
      <c r="B1526">
        <f>HYPERLINK("http://comp.fnguide.com/SVO2/ASP/SVD_Consensus.asp?pGB=1&amp;gicode=A036420&amp;cID=&amp;MenuYn=Y&amp;ReportGB=&amp;NewMenuID=108&amp;stkGb=701", "제이콘텐트리")</f>
        <v>0</v>
      </c>
      <c r="C1526">
        <v>0</v>
      </c>
      <c r="D1526">
        <v>31900</v>
      </c>
      <c r="E1526">
        <v>-10.07</v>
      </c>
      <c r="F1526">
        <v>494.42</v>
      </c>
      <c r="G1526">
        <v>8722</v>
      </c>
      <c r="H1526">
        <v>15285</v>
      </c>
      <c r="I1526">
        <v>17156</v>
      </c>
      <c r="J1526">
        <v>72.66</v>
      </c>
      <c r="K1526">
        <v>52.08</v>
      </c>
      <c r="L1526">
        <v>46.22</v>
      </c>
      <c r="M1526">
        <v>3.54</v>
      </c>
      <c r="N1526" t="b">
        <v>0</v>
      </c>
      <c r="O1526">
        <v>78</v>
      </c>
      <c r="P1526" t="s">
        <v>1533</v>
      </c>
      <c r="Q1526" t="s">
        <v>3490</v>
      </c>
      <c r="R1526">
        <v>-49.09769965092453</v>
      </c>
      <c r="S1526">
        <v>5227</v>
      </c>
      <c r="T1526">
        <v>291754</v>
      </c>
      <c r="U1526" t="s">
        <v>5504</v>
      </c>
      <c r="V1526">
        <v>41.37</v>
      </c>
      <c r="W1526" t="s">
        <v>7706</v>
      </c>
      <c r="X1526" t="s">
        <v>9672</v>
      </c>
      <c r="Y1526">
        <v>5542</v>
      </c>
      <c r="Z1526">
        <v>354</v>
      </c>
      <c r="AA1526">
        <v>157751</v>
      </c>
    </row>
    <row r="1527" spans="1:28">
      <c r="A1527" s="2">
        <f>HYPERLINK("https://finance.naver.com/item/coinfo.nhn?code=030000", "A030000")</f>
        <v>0</v>
      </c>
      <c r="B1527">
        <f>HYPERLINK("http://comp.fnguide.com/SVO2/ASP/SVD_Consensus.asp?pGB=1&amp;gicode=A030000&amp;cID=&amp;MenuYn=Y&amp;ReportGB=&amp;NewMenuID=108&amp;stkGb=701", "제일기획")</f>
        <v>0</v>
      </c>
      <c r="C1527">
        <v>0</v>
      </c>
      <c r="D1527">
        <v>21100</v>
      </c>
      <c r="E1527">
        <v>1.8</v>
      </c>
      <c r="F1527">
        <v>20.04</v>
      </c>
      <c r="G1527">
        <v>17804</v>
      </c>
      <c r="H1527">
        <v>12722</v>
      </c>
      <c r="I1527">
        <v>11274</v>
      </c>
      <c r="J1527">
        <v>15.62</v>
      </c>
      <c r="K1527">
        <v>39.7</v>
      </c>
      <c r="L1527">
        <v>46.57</v>
      </c>
      <c r="M1527">
        <v>15.18</v>
      </c>
      <c r="N1527" t="b">
        <v>1</v>
      </c>
      <c r="O1527">
        <v>1200</v>
      </c>
      <c r="P1527" t="s">
        <v>1534</v>
      </c>
      <c r="Q1527" t="s">
        <v>3491</v>
      </c>
      <c r="R1527">
        <v>11.14365243826345</v>
      </c>
      <c r="S1527">
        <v>24274</v>
      </c>
      <c r="T1527">
        <v>531503</v>
      </c>
      <c r="U1527" t="s">
        <v>5505</v>
      </c>
      <c r="V1527">
        <v>28.58</v>
      </c>
      <c r="W1527" t="s">
        <v>7707</v>
      </c>
      <c r="X1527" t="s">
        <v>9673</v>
      </c>
      <c r="Y1527">
        <v>34217</v>
      </c>
      <c r="Z1527">
        <v>2058</v>
      </c>
      <c r="AA1527">
        <v>13762500</v>
      </c>
      <c r="AB1527">
        <v>3.41</v>
      </c>
    </row>
    <row r="1528" spans="1:28">
      <c r="A1528" s="2">
        <f>HYPERLINK("https://finance.naver.com/item/coinfo.nhn?code=271980", "A271980")</f>
        <v>0</v>
      </c>
      <c r="B1528">
        <f>HYPERLINK("http://comp.fnguide.com/SVO2/ASP/SVD_Consensus.asp?pGB=1&amp;gicode=A271980&amp;cID=&amp;MenuYn=Y&amp;ReportGB=&amp;NewMenuID=108&amp;stkGb=701", "제일약품")</f>
        <v>0</v>
      </c>
      <c r="C1528">
        <v>0</v>
      </c>
      <c r="D1528">
        <v>81400</v>
      </c>
      <c r="E1528">
        <v>0</v>
      </c>
      <c r="G1528">
        <v>506</v>
      </c>
      <c r="H1528">
        <v>7191</v>
      </c>
      <c r="I1528">
        <v>9096</v>
      </c>
      <c r="J1528">
        <v>99.38</v>
      </c>
      <c r="K1528">
        <v>91.17</v>
      </c>
      <c r="L1528">
        <v>88.83</v>
      </c>
      <c r="M1528">
        <v>0.35</v>
      </c>
      <c r="N1528" t="b">
        <v>0</v>
      </c>
      <c r="O1528">
        <v>-720</v>
      </c>
      <c r="P1528" t="s">
        <v>1535</v>
      </c>
      <c r="Q1528" t="s">
        <v>3492</v>
      </c>
      <c r="R1528">
        <v>0</v>
      </c>
      <c r="S1528">
        <v>11970</v>
      </c>
      <c r="T1528">
        <v>903810</v>
      </c>
      <c r="U1528" t="s">
        <v>5506</v>
      </c>
      <c r="V1528">
        <v>62.74</v>
      </c>
      <c r="W1528" t="s">
        <v>7708</v>
      </c>
      <c r="X1528" t="s">
        <v>9674</v>
      </c>
      <c r="Y1528">
        <v>6714</v>
      </c>
      <c r="Z1528">
        <v>4</v>
      </c>
      <c r="AA1528">
        <v>90414</v>
      </c>
      <c r="AB1528">
        <v>0.19</v>
      </c>
    </row>
    <row r="1529" spans="1:28">
      <c r="A1529" s="2">
        <f>HYPERLINK("https://finance.naver.com/item/coinfo.nhn?code=011000", "A011000")</f>
        <v>0</v>
      </c>
      <c r="B1529">
        <f>HYPERLINK("http://comp.fnguide.com/SVO2/ASP/SVD_Consensus.asp?pGB=1&amp;gicode=A011000&amp;cID=&amp;MenuYn=Y&amp;ReportGB=&amp;NewMenuID=108&amp;stkGb=701", "진원생명과학")</f>
        <v>0</v>
      </c>
      <c r="C1529">
        <v>0</v>
      </c>
      <c r="D1529">
        <v>26850</v>
      </c>
      <c r="E1529">
        <v>0</v>
      </c>
      <c r="G1529">
        <v>0</v>
      </c>
      <c r="H1529">
        <v>325</v>
      </c>
      <c r="I1529">
        <v>417</v>
      </c>
      <c r="J1529">
        <v>100</v>
      </c>
      <c r="K1529">
        <v>98.79000000000001</v>
      </c>
      <c r="L1529">
        <v>98.45</v>
      </c>
      <c r="M1529">
        <v>0</v>
      </c>
      <c r="N1529" t="b">
        <v>0</v>
      </c>
      <c r="O1529">
        <v>-249</v>
      </c>
      <c r="P1529" t="s">
        <v>1536</v>
      </c>
      <c r="Q1529" t="s">
        <v>2276</v>
      </c>
      <c r="R1529">
        <v>0</v>
      </c>
      <c r="S1529">
        <v>12019</v>
      </c>
      <c r="T1529">
        <v>1756664</v>
      </c>
      <c r="U1529" t="s">
        <v>5507</v>
      </c>
      <c r="V1529">
        <v>8.25</v>
      </c>
      <c r="W1529" t="s">
        <v>7709</v>
      </c>
      <c r="X1529" t="s">
        <v>968</v>
      </c>
      <c r="Y1529">
        <v>412</v>
      </c>
      <c r="Z1529">
        <v>-82</v>
      </c>
      <c r="AA1529">
        <v>174179</v>
      </c>
    </row>
    <row r="1530" spans="1:28">
      <c r="A1530" s="2">
        <f>HYPERLINK("https://finance.naver.com/item/coinfo.nhn?code=281820", "A281820")</f>
        <v>0</v>
      </c>
      <c r="B1530">
        <f>HYPERLINK("http://comp.fnguide.com/SVO2/ASP/SVD_Consensus.asp?pGB=1&amp;gicode=A281820&amp;cID=&amp;MenuYn=Y&amp;ReportGB=&amp;NewMenuID=108&amp;stkGb=701", "케이씨텍")</f>
        <v>0</v>
      </c>
      <c r="C1530">
        <v>0</v>
      </c>
      <c r="D1530">
        <v>26650</v>
      </c>
      <c r="E1530">
        <v>0</v>
      </c>
      <c r="F1530">
        <v>12.57</v>
      </c>
      <c r="G1530">
        <v>25351</v>
      </c>
      <c r="H1530">
        <v>18430</v>
      </c>
      <c r="I1530">
        <v>16458</v>
      </c>
      <c r="J1530">
        <v>4.88</v>
      </c>
      <c r="K1530">
        <v>30.84</v>
      </c>
      <c r="L1530">
        <v>38.24</v>
      </c>
      <c r="M1530">
        <v>14.61</v>
      </c>
      <c r="N1530" t="b">
        <v>1</v>
      </c>
      <c r="O1530">
        <v>1858</v>
      </c>
      <c r="P1530" t="s">
        <v>1537</v>
      </c>
      <c r="Q1530" t="s">
        <v>3493</v>
      </c>
      <c r="R1530">
        <v>0</v>
      </c>
      <c r="S1530">
        <v>5560</v>
      </c>
      <c r="T1530">
        <v>499253</v>
      </c>
      <c r="U1530" t="s">
        <v>5508</v>
      </c>
      <c r="V1530">
        <v>47.45</v>
      </c>
      <c r="W1530" t="s">
        <v>7710</v>
      </c>
      <c r="X1530" t="s">
        <v>9675</v>
      </c>
      <c r="Y1530">
        <v>2653</v>
      </c>
      <c r="Z1530">
        <v>491</v>
      </c>
      <c r="AA1530">
        <v>4778</v>
      </c>
      <c r="AB1530">
        <v>0.86</v>
      </c>
    </row>
    <row r="1531" spans="1:28">
      <c r="A1531" s="2">
        <f>HYPERLINK("https://finance.naver.com/item/coinfo.nhn?code=344820", "A344820")</f>
        <v>0</v>
      </c>
      <c r="B1531">
        <f>HYPERLINK("http://comp.fnguide.com/SVO2/ASP/SVD_Consensus.asp?pGB=1&amp;gicode=A344820&amp;cID=&amp;MenuYn=Y&amp;ReportGB=&amp;NewMenuID=108&amp;stkGb=701", "케이씨씨글라스")</f>
        <v>0</v>
      </c>
      <c r="C1531">
        <v>0</v>
      </c>
      <c r="D1531">
        <v>37600</v>
      </c>
      <c r="E1531">
        <v>0</v>
      </c>
      <c r="M1531">
        <v>0</v>
      </c>
      <c r="N1531" t="b">
        <v>0</v>
      </c>
      <c r="P1531" t="s">
        <v>968</v>
      </c>
      <c r="Q1531" t="s">
        <v>2757</v>
      </c>
      <c r="R1531">
        <v>0</v>
      </c>
      <c r="S1531">
        <v>3140</v>
      </c>
      <c r="T1531">
        <v>72402</v>
      </c>
      <c r="U1531" t="s">
        <v>968</v>
      </c>
      <c r="V1531">
        <v>46.21</v>
      </c>
      <c r="W1531" t="s">
        <v>968</v>
      </c>
      <c r="X1531" t="s">
        <v>968</v>
      </c>
      <c r="AA1531">
        <v>7422</v>
      </c>
    </row>
    <row r="1532" spans="1:28">
      <c r="A1532" s="2">
        <f>HYPERLINK("https://finance.naver.com/item/coinfo.nhn?code=109070", "A109070")</f>
        <v>0</v>
      </c>
      <c r="B1532">
        <f>HYPERLINK("http://comp.fnguide.com/SVO2/ASP/SVD_Consensus.asp?pGB=1&amp;gicode=A109070&amp;cID=&amp;MenuYn=Y&amp;ReportGB=&amp;NewMenuID=108&amp;stkGb=701", "컨버즈")</f>
        <v>0</v>
      </c>
      <c r="C1532">
        <v>0</v>
      </c>
      <c r="D1532">
        <v>4100</v>
      </c>
      <c r="E1532">
        <v>0</v>
      </c>
      <c r="G1532">
        <v>0</v>
      </c>
      <c r="H1532">
        <v>-146.338674849858</v>
      </c>
      <c r="I1532">
        <v>-188.0376108009974</v>
      </c>
      <c r="J1532">
        <v>100</v>
      </c>
      <c r="K1532">
        <v>103.57</v>
      </c>
      <c r="L1532">
        <v>104.59</v>
      </c>
      <c r="M1532">
        <v>0</v>
      </c>
      <c r="N1532" t="b">
        <v>0</v>
      </c>
      <c r="O1532" t="s">
        <v>8</v>
      </c>
      <c r="P1532" t="s">
        <v>1538</v>
      </c>
      <c r="Q1532" t="s">
        <v>2276</v>
      </c>
      <c r="R1532">
        <v>0</v>
      </c>
      <c r="S1532" t="s">
        <v>3980</v>
      </c>
      <c r="T1532">
        <v>0</v>
      </c>
      <c r="U1532" t="s">
        <v>5509</v>
      </c>
      <c r="V1532">
        <v>20.41</v>
      </c>
      <c r="W1532" t="s">
        <v>7711</v>
      </c>
      <c r="X1532" t="s">
        <v>968</v>
      </c>
      <c r="Y1532" t="s">
        <v>10207</v>
      </c>
      <c r="Z1532" t="s">
        <v>10220</v>
      </c>
      <c r="AA1532">
        <v>2885</v>
      </c>
    </row>
    <row r="1533" spans="1:28">
      <c r="A1533" s="2">
        <f>HYPERLINK("https://finance.naver.com/item/coinfo.nhn?code=006380", "A006380")</f>
        <v>0</v>
      </c>
      <c r="B1533">
        <f>HYPERLINK("http://comp.fnguide.com/SVO2/ASP/SVD_Consensus.asp?pGB=1&amp;gicode=A006380&amp;cID=&amp;MenuYn=Y&amp;ReportGB=&amp;NewMenuID=108&amp;stkGb=701", "카프로")</f>
        <v>0</v>
      </c>
      <c r="C1533">
        <v>0</v>
      </c>
      <c r="D1533">
        <v>3955</v>
      </c>
      <c r="G1533">
        <v>1189</v>
      </c>
      <c r="H1533">
        <v>3246</v>
      </c>
      <c r="I1533">
        <v>3832</v>
      </c>
      <c r="J1533">
        <v>69.93000000000001</v>
      </c>
      <c r="K1533">
        <v>17.92</v>
      </c>
      <c r="L1533">
        <v>3.11</v>
      </c>
      <c r="M1533">
        <v>2.06</v>
      </c>
      <c r="N1533" t="b">
        <v>0</v>
      </c>
      <c r="O1533">
        <v>-2070</v>
      </c>
      <c r="P1533" t="s">
        <v>1539</v>
      </c>
      <c r="Q1533" t="s">
        <v>3494</v>
      </c>
      <c r="R1533">
        <v>-18.70000000000001</v>
      </c>
      <c r="S1533">
        <v>1582</v>
      </c>
      <c r="T1533">
        <v>914073</v>
      </c>
      <c r="U1533" t="s">
        <v>5510</v>
      </c>
      <c r="V1533">
        <v>12.75</v>
      </c>
      <c r="W1533" t="s">
        <v>7712</v>
      </c>
      <c r="X1533" t="s">
        <v>9676</v>
      </c>
      <c r="Y1533">
        <v>4402</v>
      </c>
      <c r="Z1533">
        <v>-474</v>
      </c>
    </row>
    <row r="1534" spans="1:28">
      <c r="A1534" s="2">
        <f>HYPERLINK("https://finance.naver.com/item/coinfo.nhn?code=035720", "A035720")</f>
        <v>0</v>
      </c>
      <c r="B1534">
        <f>HYPERLINK("http://comp.fnguide.com/SVO2/ASP/SVD_Consensus.asp?pGB=1&amp;gicode=A035720&amp;cID=&amp;MenuYn=Y&amp;ReportGB=&amp;NewMenuID=108&amp;stkGb=701", "카카오")</f>
        <v>0</v>
      </c>
      <c r="C1534">
        <v>0</v>
      </c>
      <c r="D1534">
        <v>389500</v>
      </c>
      <c r="G1534">
        <v>6356</v>
      </c>
      <c r="H1534">
        <v>39134</v>
      </c>
      <c r="I1534">
        <v>48473</v>
      </c>
      <c r="J1534">
        <v>98.37</v>
      </c>
      <c r="K1534">
        <v>89.95</v>
      </c>
      <c r="L1534">
        <v>87.55</v>
      </c>
      <c r="M1534">
        <v>0.83</v>
      </c>
      <c r="N1534" t="b">
        <v>0</v>
      </c>
      <c r="O1534">
        <v>-3578</v>
      </c>
      <c r="P1534" t="s">
        <v>1540</v>
      </c>
      <c r="Q1534" t="s">
        <v>3495</v>
      </c>
      <c r="R1534">
        <v>6.744310274838861</v>
      </c>
      <c r="S1534">
        <v>343849</v>
      </c>
      <c r="T1534">
        <v>1561745</v>
      </c>
      <c r="U1534" t="s">
        <v>5511</v>
      </c>
      <c r="V1534">
        <v>25.56</v>
      </c>
      <c r="W1534" t="s">
        <v>7713</v>
      </c>
      <c r="X1534" t="s">
        <v>9677</v>
      </c>
      <c r="Y1534">
        <v>30701</v>
      </c>
      <c r="Z1534">
        <v>2068</v>
      </c>
      <c r="AA1534">
        <v>2489934</v>
      </c>
      <c r="AB1534">
        <v>0.08</v>
      </c>
    </row>
    <row r="1535" spans="1:28">
      <c r="A1535" s="2">
        <f>HYPERLINK("https://finance.naver.com/item/coinfo.nhn?code=033250", "A033250")</f>
        <v>0</v>
      </c>
      <c r="B1535">
        <f>HYPERLINK("http://comp.fnguide.com/SVO2/ASP/SVD_Consensus.asp?pGB=1&amp;gicode=A033250&amp;cID=&amp;MenuYn=Y&amp;ReportGB=&amp;NewMenuID=108&amp;stkGb=701", "체시스")</f>
        <v>0</v>
      </c>
      <c r="C1535">
        <v>0</v>
      </c>
      <c r="D1535">
        <v>2365</v>
      </c>
      <c r="E1535">
        <v>0</v>
      </c>
      <c r="G1535">
        <v>0</v>
      </c>
      <c r="H1535">
        <v>573</v>
      </c>
      <c r="I1535">
        <v>737</v>
      </c>
      <c r="J1535">
        <v>100</v>
      </c>
      <c r="K1535">
        <v>75.76000000000001</v>
      </c>
      <c r="L1535">
        <v>68.84999999999999</v>
      </c>
      <c r="M1535">
        <v>0</v>
      </c>
      <c r="N1535" t="b">
        <v>0</v>
      </c>
      <c r="O1535">
        <v>-167</v>
      </c>
      <c r="P1535" t="s">
        <v>1541</v>
      </c>
      <c r="Q1535" t="s">
        <v>2276</v>
      </c>
      <c r="R1535">
        <v>0</v>
      </c>
      <c r="S1535">
        <v>757</v>
      </c>
      <c r="T1535">
        <v>635126</v>
      </c>
      <c r="U1535" t="s">
        <v>5512</v>
      </c>
      <c r="V1535">
        <v>35.09</v>
      </c>
      <c r="W1535" t="s">
        <v>7714</v>
      </c>
      <c r="X1535" t="s">
        <v>968</v>
      </c>
      <c r="Y1535">
        <v>502</v>
      </c>
      <c r="Z1535">
        <v>-29</v>
      </c>
    </row>
    <row r="1536" spans="1:28">
      <c r="A1536" s="2">
        <f>HYPERLINK("https://finance.naver.com/item/coinfo.nhn?code=000650", "A000650")</f>
        <v>0</v>
      </c>
      <c r="B1536">
        <f>HYPERLINK("http://comp.fnguide.com/SVO2/ASP/SVD_Consensus.asp?pGB=1&amp;gicode=A000650&amp;cID=&amp;MenuYn=Y&amp;ReportGB=&amp;NewMenuID=108&amp;stkGb=701", "천일고속")</f>
        <v>0</v>
      </c>
      <c r="C1536">
        <v>0</v>
      </c>
      <c r="D1536">
        <v>78000</v>
      </c>
      <c r="E1536">
        <v>0.98</v>
      </c>
      <c r="F1536">
        <v>138.47</v>
      </c>
      <c r="G1536">
        <v>49982</v>
      </c>
      <c r="H1536">
        <v>41424</v>
      </c>
      <c r="I1536">
        <v>38985</v>
      </c>
      <c r="J1536">
        <v>35.92</v>
      </c>
      <c r="K1536">
        <v>46.89</v>
      </c>
      <c r="L1536">
        <v>50.02</v>
      </c>
      <c r="M1536">
        <v>11.15</v>
      </c>
      <c r="N1536" t="b">
        <v>0</v>
      </c>
      <c r="O1536">
        <v>506</v>
      </c>
      <c r="P1536" t="s">
        <v>1542</v>
      </c>
      <c r="Q1536" t="s">
        <v>3496</v>
      </c>
      <c r="R1536">
        <v>141.9979338754775</v>
      </c>
      <c r="S1536">
        <v>1115</v>
      </c>
      <c r="T1536">
        <v>4984</v>
      </c>
      <c r="U1536" t="s">
        <v>5513</v>
      </c>
      <c r="V1536">
        <v>85.73999999999999</v>
      </c>
      <c r="W1536" t="s">
        <v>7715</v>
      </c>
      <c r="X1536" t="s">
        <v>9678</v>
      </c>
      <c r="Y1536">
        <v>596</v>
      </c>
      <c r="Z1536">
        <v>6</v>
      </c>
      <c r="AA1536">
        <v>2166</v>
      </c>
      <c r="AB1536">
        <v>7.14</v>
      </c>
    </row>
    <row r="1537" spans="1:28">
      <c r="A1537" s="2">
        <f>HYPERLINK("https://finance.naver.com/item/coinfo.nhn?code=009310", "A009310")</f>
        <v>0</v>
      </c>
      <c r="B1537">
        <f>HYPERLINK("http://comp.fnguide.com/SVO2/ASP/SVD_Consensus.asp?pGB=1&amp;gicode=A009310&amp;cID=&amp;MenuYn=Y&amp;ReportGB=&amp;NewMenuID=108&amp;stkGb=701", "참엔지니어링")</f>
        <v>0</v>
      </c>
      <c r="C1537">
        <v>0</v>
      </c>
      <c r="D1537">
        <v>1695</v>
      </c>
      <c r="G1537">
        <v>1064</v>
      </c>
      <c r="H1537">
        <v>1000</v>
      </c>
      <c r="I1537">
        <v>981</v>
      </c>
      <c r="J1537">
        <v>37.2</v>
      </c>
      <c r="K1537">
        <v>41.02</v>
      </c>
      <c r="L1537">
        <v>42.1</v>
      </c>
      <c r="M1537">
        <v>8.869999999999999</v>
      </c>
      <c r="N1537" t="b">
        <v>0</v>
      </c>
      <c r="O1537">
        <v>-381</v>
      </c>
      <c r="P1537" t="s">
        <v>1543</v>
      </c>
      <c r="Q1537" t="s">
        <v>3497</v>
      </c>
      <c r="R1537">
        <v>26.77862595879481</v>
      </c>
      <c r="S1537">
        <v>940</v>
      </c>
      <c r="T1537">
        <v>617000</v>
      </c>
      <c r="U1537" t="s">
        <v>5514</v>
      </c>
      <c r="V1537">
        <v>29.41</v>
      </c>
      <c r="W1537" t="s">
        <v>7716</v>
      </c>
      <c r="X1537" t="s">
        <v>9679</v>
      </c>
      <c r="Y1537">
        <v>1125</v>
      </c>
      <c r="Z1537">
        <v>-136</v>
      </c>
      <c r="AA1537">
        <v>471015</v>
      </c>
    </row>
    <row r="1538" spans="1:28">
      <c r="A1538" s="2">
        <f>HYPERLINK("https://finance.naver.com/item/coinfo.nhn?code=002780", "A002780")</f>
        <v>0</v>
      </c>
      <c r="B1538">
        <f>HYPERLINK("http://comp.fnguide.com/SVO2/ASP/SVD_Consensus.asp?pGB=1&amp;gicode=A002780&amp;cID=&amp;MenuYn=Y&amp;ReportGB=&amp;NewMenuID=108&amp;stkGb=701", "진흥기업")</f>
        <v>0</v>
      </c>
      <c r="C1538">
        <v>0</v>
      </c>
      <c r="D1538">
        <v>2540</v>
      </c>
      <c r="E1538">
        <v>-0.5</v>
      </c>
      <c r="F1538">
        <v>16.65</v>
      </c>
      <c r="G1538">
        <v>2118</v>
      </c>
      <c r="H1538">
        <v>1248</v>
      </c>
      <c r="I1538">
        <v>1000</v>
      </c>
      <c r="J1538">
        <v>16.63</v>
      </c>
      <c r="K1538">
        <v>50.88</v>
      </c>
      <c r="L1538">
        <v>60.63</v>
      </c>
      <c r="M1538">
        <v>25.2</v>
      </c>
      <c r="N1538" t="b">
        <v>0</v>
      </c>
      <c r="O1538">
        <v>139</v>
      </c>
      <c r="P1538" t="s">
        <v>1544</v>
      </c>
      <c r="Q1538" t="s">
        <v>3498</v>
      </c>
      <c r="R1538">
        <v>-33.6038862534817</v>
      </c>
      <c r="S1538">
        <v>3695</v>
      </c>
      <c r="T1538">
        <v>583305</v>
      </c>
      <c r="U1538" t="s">
        <v>5515</v>
      </c>
      <c r="V1538">
        <v>48.57</v>
      </c>
      <c r="W1538" t="s">
        <v>7717</v>
      </c>
      <c r="X1538" t="s">
        <v>9680</v>
      </c>
      <c r="Y1538">
        <v>5465</v>
      </c>
      <c r="Z1538">
        <v>280</v>
      </c>
      <c r="AA1538">
        <v>58131</v>
      </c>
    </row>
    <row r="1539" spans="1:28">
      <c r="A1539" s="2">
        <f>HYPERLINK("https://finance.naver.com/item/coinfo.nhn?code=272450", "A272450")</f>
        <v>0</v>
      </c>
      <c r="B1539">
        <f>HYPERLINK("http://comp.fnguide.com/SVO2/ASP/SVD_Consensus.asp?pGB=1&amp;gicode=A272450&amp;cID=&amp;MenuYn=Y&amp;ReportGB=&amp;NewMenuID=108&amp;stkGb=701", "진에어")</f>
        <v>0</v>
      </c>
      <c r="C1539">
        <v>0</v>
      </c>
      <c r="D1539">
        <v>12400</v>
      </c>
      <c r="G1539">
        <v>7559</v>
      </c>
      <c r="H1539">
        <v>5617</v>
      </c>
      <c r="I1539">
        <v>5063</v>
      </c>
      <c r="J1539">
        <v>39.04</v>
      </c>
      <c r="K1539">
        <v>54.7</v>
      </c>
      <c r="L1539">
        <v>59.17</v>
      </c>
      <c r="M1539">
        <v>13.93</v>
      </c>
      <c r="N1539" t="b">
        <v>0</v>
      </c>
      <c r="O1539">
        <v>-1760</v>
      </c>
      <c r="P1539" t="s">
        <v>1545</v>
      </c>
      <c r="Q1539" t="s">
        <v>3499</v>
      </c>
      <c r="R1539">
        <v>20.83441549354523</v>
      </c>
      <c r="S1539">
        <v>5580</v>
      </c>
      <c r="T1539">
        <v>739428</v>
      </c>
      <c r="U1539" t="s">
        <v>5516</v>
      </c>
      <c r="V1539">
        <v>56.39</v>
      </c>
      <c r="W1539" t="s">
        <v>7718</v>
      </c>
      <c r="X1539" t="s">
        <v>9681</v>
      </c>
      <c r="Y1539">
        <v>9102</v>
      </c>
      <c r="Z1539">
        <v>-488</v>
      </c>
      <c r="AA1539">
        <v>688057</v>
      </c>
    </row>
    <row r="1540" spans="1:28">
      <c r="A1540" s="2">
        <f>HYPERLINK("https://finance.naver.com/item/coinfo.nhn?code=089590", "A089590")</f>
        <v>0</v>
      </c>
      <c r="B1540">
        <f>HYPERLINK("http://comp.fnguide.com/SVO2/ASP/SVD_Consensus.asp?pGB=1&amp;gicode=A089590&amp;cID=&amp;MenuYn=Y&amp;ReportGB=&amp;NewMenuID=108&amp;stkGb=701", "제주항공")</f>
        <v>0</v>
      </c>
      <c r="C1540">
        <v>0</v>
      </c>
      <c r="D1540">
        <v>18850</v>
      </c>
      <c r="G1540">
        <v>11589</v>
      </c>
      <c r="H1540">
        <v>9709</v>
      </c>
      <c r="I1540">
        <v>9173</v>
      </c>
      <c r="J1540">
        <v>38.52</v>
      </c>
      <c r="K1540">
        <v>48.49</v>
      </c>
      <c r="L1540">
        <v>51.34</v>
      </c>
      <c r="M1540">
        <v>10.92</v>
      </c>
      <c r="N1540" t="b">
        <v>0</v>
      </c>
      <c r="O1540">
        <v>-1257</v>
      </c>
      <c r="P1540" t="s">
        <v>1546</v>
      </c>
      <c r="Q1540" t="s">
        <v>3500</v>
      </c>
      <c r="R1540">
        <v>9.36385657138179</v>
      </c>
      <c r="S1540">
        <v>7257</v>
      </c>
      <c r="T1540">
        <v>690874</v>
      </c>
      <c r="U1540" t="s">
        <v>5517</v>
      </c>
      <c r="V1540">
        <v>55.18</v>
      </c>
      <c r="W1540" t="s">
        <v>7719</v>
      </c>
      <c r="X1540" t="s">
        <v>9682</v>
      </c>
      <c r="Y1540">
        <v>13840</v>
      </c>
      <c r="Z1540">
        <v>-329</v>
      </c>
      <c r="AA1540">
        <v>69874</v>
      </c>
    </row>
    <row r="1541" spans="1:28">
      <c r="A1541" s="2">
        <f>HYPERLINK("https://finance.naver.com/item/coinfo.nhn?code=051630", "A051630")</f>
        <v>0</v>
      </c>
      <c r="B1541">
        <f>HYPERLINK("http://comp.fnguide.com/SVO2/ASP/SVD_Consensus.asp?pGB=1&amp;gicode=A051630&amp;cID=&amp;MenuYn=Y&amp;ReportGB=&amp;NewMenuID=108&amp;stkGb=701", "진양화학")</f>
        <v>0</v>
      </c>
      <c r="C1541">
        <v>0</v>
      </c>
      <c r="D1541">
        <v>4890</v>
      </c>
      <c r="G1541">
        <v>0</v>
      </c>
      <c r="H1541">
        <v>1337</v>
      </c>
      <c r="I1541">
        <v>1718</v>
      </c>
      <c r="J1541">
        <v>100</v>
      </c>
      <c r="K1541">
        <v>72.66</v>
      </c>
      <c r="L1541">
        <v>64.87</v>
      </c>
      <c r="M1541">
        <v>0</v>
      </c>
      <c r="N1541" t="b">
        <v>0</v>
      </c>
      <c r="O1541">
        <v>-175</v>
      </c>
      <c r="P1541" t="s">
        <v>1547</v>
      </c>
      <c r="Q1541" t="s">
        <v>3501</v>
      </c>
      <c r="R1541">
        <v>-48.9</v>
      </c>
      <c r="S1541">
        <v>587</v>
      </c>
      <c r="T1541">
        <v>259640</v>
      </c>
      <c r="U1541" t="s">
        <v>5518</v>
      </c>
      <c r="V1541">
        <v>60.58</v>
      </c>
      <c r="W1541" t="s">
        <v>7720</v>
      </c>
      <c r="X1541" t="s">
        <v>968</v>
      </c>
      <c r="Y1541">
        <v>445</v>
      </c>
      <c r="Z1541">
        <v>-27</v>
      </c>
    </row>
    <row r="1542" spans="1:28">
      <c r="A1542" s="2">
        <f>HYPERLINK("https://finance.naver.com/item/coinfo.nhn?code=003780", "A003780")</f>
        <v>0</v>
      </c>
      <c r="B1542">
        <f>HYPERLINK("http://comp.fnguide.com/SVO2/ASP/SVD_Consensus.asp?pGB=1&amp;gicode=A003780&amp;cID=&amp;MenuYn=Y&amp;ReportGB=&amp;NewMenuID=108&amp;stkGb=701", "진양산업")</f>
        <v>0</v>
      </c>
      <c r="C1542">
        <v>0</v>
      </c>
      <c r="D1542">
        <v>4810</v>
      </c>
      <c r="E1542">
        <v>0.92</v>
      </c>
      <c r="F1542">
        <v>7.6</v>
      </c>
      <c r="G1542">
        <v>4771</v>
      </c>
      <c r="H1542">
        <v>3804</v>
      </c>
      <c r="I1542">
        <v>3528</v>
      </c>
      <c r="J1542">
        <v>0.82</v>
      </c>
      <c r="K1542">
        <v>20.92</v>
      </c>
      <c r="L1542">
        <v>26.65</v>
      </c>
      <c r="M1542">
        <v>12.03</v>
      </c>
      <c r="N1542" t="b">
        <v>1</v>
      </c>
      <c r="O1542">
        <v>525</v>
      </c>
      <c r="P1542" t="s">
        <v>1548</v>
      </c>
      <c r="Q1542" t="s">
        <v>3502</v>
      </c>
      <c r="R1542">
        <v>8.290515156466816</v>
      </c>
      <c r="S1542">
        <v>625</v>
      </c>
      <c r="T1542">
        <v>291626</v>
      </c>
      <c r="U1542" t="s">
        <v>5519</v>
      </c>
      <c r="V1542">
        <v>45.18</v>
      </c>
      <c r="W1542" t="s">
        <v>7721</v>
      </c>
      <c r="X1542" t="s">
        <v>9683</v>
      </c>
      <c r="Y1542">
        <v>618</v>
      </c>
      <c r="Z1542">
        <v>91</v>
      </c>
      <c r="AB1542">
        <v>5.01</v>
      </c>
    </row>
    <row r="1543" spans="1:28">
      <c r="A1543" s="2">
        <f>HYPERLINK("https://finance.naver.com/item/coinfo.nhn?code=010580", "A010580")</f>
        <v>0</v>
      </c>
      <c r="B1543">
        <f>HYPERLINK("http://comp.fnguide.com/SVO2/ASP/SVD_Consensus.asp?pGB=1&amp;gicode=A010580&amp;cID=&amp;MenuYn=Y&amp;ReportGB=&amp;NewMenuID=108&amp;stkGb=701", "지코")</f>
        <v>0</v>
      </c>
      <c r="C1543">
        <v>0</v>
      </c>
      <c r="D1543">
        <v>306</v>
      </c>
      <c r="E1543">
        <v>0</v>
      </c>
      <c r="G1543">
        <v>161</v>
      </c>
      <c r="H1543">
        <v>253</v>
      </c>
      <c r="I1543">
        <v>279</v>
      </c>
      <c r="J1543">
        <v>47.52</v>
      </c>
      <c r="K1543">
        <v>17.31</v>
      </c>
      <c r="L1543">
        <v>8.699999999999999</v>
      </c>
      <c r="M1543">
        <v>4.07</v>
      </c>
      <c r="N1543" t="b">
        <v>0</v>
      </c>
      <c r="O1543">
        <v>-164</v>
      </c>
      <c r="P1543" t="s">
        <v>1549</v>
      </c>
      <c r="Q1543" t="s">
        <v>2276</v>
      </c>
      <c r="R1543">
        <v>0</v>
      </c>
      <c r="S1543">
        <v>198</v>
      </c>
      <c r="T1543">
        <v>0</v>
      </c>
      <c r="U1543" t="s">
        <v>5520</v>
      </c>
      <c r="V1543">
        <v>9.59</v>
      </c>
      <c r="W1543" t="s">
        <v>7722</v>
      </c>
      <c r="X1543" t="s">
        <v>9684</v>
      </c>
      <c r="Y1543">
        <v>799</v>
      </c>
      <c r="Z1543">
        <v>-46</v>
      </c>
      <c r="AA1543">
        <v>28190</v>
      </c>
    </row>
    <row r="1544" spans="1:28">
      <c r="A1544" s="2">
        <f>HYPERLINK("https://finance.naver.com/item/coinfo.nhn?code=013890", "A013890")</f>
        <v>0</v>
      </c>
      <c r="B1544">
        <f>HYPERLINK("http://comp.fnguide.com/SVO2/ASP/SVD_Consensus.asp?pGB=1&amp;gicode=A013890&amp;cID=&amp;MenuYn=Y&amp;ReportGB=&amp;NewMenuID=108&amp;stkGb=701", "지누스")</f>
        <v>0</v>
      </c>
      <c r="C1544">
        <v>0</v>
      </c>
      <c r="D1544">
        <v>104000</v>
      </c>
      <c r="E1544">
        <v>0</v>
      </c>
      <c r="F1544">
        <v>16.37</v>
      </c>
      <c r="G1544">
        <v>101415</v>
      </c>
      <c r="H1544">
        <v>57059</v>
      </c>
      <c r="I1544">
        <v>44420</v>
      </c>
      <c r="J1544">
        <v>2.49</v>
      </c>
      <c r="K1544">
        <v>45.14</v>
      </c>
      <c r="L1544">
        <v>57.29</v>
      </c>
      <c r="M1544">
        <v>29.3</v>
      </c>
      <c r="N1544" t="b">
        <v>1</v>
      </c>
      <c r="O1544">
        <v>5669</v>
      </c>
      <c r="P1544" t="s">
        <v>1550</v>
      </c>
      <c r="Q1544" t="s">
        <v>3503</v>
      </c>
      <c r="R1544">
        <v>0</v>
      </c>
      <c r="S1544">
        <v>14983</v>
      </c>
      <c r="T1544">
        <v>69717</v>
      </c>
      <c r="U1544" t="s">
        <v>5521</v>
      </c>
      <c r="V1544">
        <v>39.2</v>
      </c>
      <c r="W1544" t="s">
        <v>7723</v>
      </c>
      <c r="X1544" t="s">
        <v>9685</v>
      </c>
      <c r="Y1544">
        <v>8171</v>
      </c>
      <c r="Z1544">
        <v>1039</v>
      </c>
      <c r="AA1544">
        <v>847930</v>
      </c>
      <c r="AB1544">
        <v>1.35</v>
      </c>
    </row>
    <row r="1545" spans="1:28">
      <c r="A1545" s="2">
        <f>HYPERLINK("https://finance.naver.com/item/coinfo.nhn?code=044380", "A044380")</f>
        <v>0</v>
      </c>
      <c r="B1545">
        <f>HYPERLINK("http://comp.fnguide.com/SVO2/ASP/SVD_Consensus.asp?pGB=1&amp;gicode=A044380&amp;cID=&amp;MenuYn=Y&amp;ReportGB=&amp;NewMenuID=108&amp;stkGb=701", "주연테크")</f>
        <v>0</v>
      </c>
      <c r="C1545">
        <v>0</v>
      </c>
      <c r="D1545">
        <v>1170</v>
      </c>
      <c r="E1545">
        <v>0</v>
      </c>
      <c r="G1545">
        <v>0</v>
      </c>
      <c r="H1545">
        <v>444</v>
      </c>
      <c r="I1545">
        <v>570</v>
      </c>
      <c r="J1545">
        <v>100</v>
      </c>
      <c r="K1545">
        <v>62.09</v>
      </c>
      <c r="L1545">
        <v>51.28</v>
      </c>
      <c r="M1545">
        <v>0</v>
      </c>
      <c r="N1545" t="b">
        <v>0</v>
      </c>
      <c r="O1545">
        <v>-88</v>
      </c>
      <c r="P1545" t="s">
        <v>1551</v>
      </c>
      <c r="Q1545" t="s">
        <v>2276</v>
      </c>
      <c r="R1545">
        <v>0</v>
      </c>
      <c r="S1545">
        <v>639</v>
      </c>
      <c r="T1545">
        <v>1787054</v>
      </c>
      <c r="U1545" t="s">
        <v>5522</v>
      </c>
      <c r="V1545">
        <v>25.09</v>
      </c>
      <c r="W1545" t="s">
        <v>7724</v>
      </c>
      <c r="X1545" t="s">
        <v>968</v>
      </c>
      <c r="Y1545">
        <v>705</v>
      </c>
      <c r="Z1545">
        <v>-38</v>
      </c>
      <c r="AA1545">
        <v>1922270</v>
      </c>
    </row>
    <row r="1546" spans="1:28">
      <c r="A1546" s="2">
        <f>HYPERLINK("https://finance.naver.com/item/coinfo.nhn?code=001630", "A001630")</f>
        <v>0</v>
      </c>
      <c r="B1546">
        <f>HYPERLINK("http://comp.fnguide.com/SVO2/ASP/SVD_Consensus.asp?pGB=1&amp;gicode=A001630&amp;cID=&amp;MenuYn=Y&amp;ReportGB=&amp;NewMenuID=108&amp;stkGb=701", "종근당홀딩스")</f>
        <v>0</v>
      </c>
      <c r="C1546">
        <v>0</v>
      </c>
      <c r="D1546">
        <v>110000</v>
      </c>
      <c r="E1546">
        <v>0.42</v>
      </c>
      <c r="F1546">
        <v>11.24</v>
      </c>
      <c r="G1546">
        <v>109280</v>
      </c>
      <c r="H1546">
        <v>100021</v>
      </c>
      <c r="I1546">
        <v>97383</v>
      </c>
      <c r="J1546">
        <v>0.65</v>
      </c>
      <c r="K1546">
        <v>9.07</v>
      </c>
      <c r="L1546">
        <v>11.47</v>
      </c>
      <c r="M1546">
        <v>9.279999999999999</v>
      </c>
      <c r="N1546" t="b">
        <v>1</v>
      </c>
      <c r="O1546">
        <v>8988</v>
      </c>
      <c r="P1546" t="s">
        <v>1552</v>
      </c>
      <c r="Q1546" t="s">
        <v>3504</v>
      </c>
      <c r="R1546">
        <v>26.62167634380437</v>
      </c>
      <c r="S1546">
        <v>5511</v>
      </c>
      <c r="T1546">
        <v>87172</v>
      </c>
      <c r="U1546" t="s">
        <v>5523</v>
      </c>
      <c r="V1546">
        <v>45.98</v>
      </c>
      <c r="W1546" t="s">
        <v>7725</v>
      </c>
      <c r="X1546" t="s">
        <v>9686</v>
      </c>
      <c r="Y1546">
        <v>7206</v>
      </c>
      <c r="Z1546">
        <v>862</v>
      </c>
      <c r="AA1546">
        <v>14661</v>
      </c>
      <c r="AB1546">
        <v>1.29</v>
      </c>
    </row>
    <row r="1547" spans="1:28">
      <c r="A1547" s="2">
        <f>HYPERLINK("https://finance.naver.com/item/coinfo.nhn?code=063160", "A063160")</f>
        <v>0</v>
      </c>
      <c r="B1547">
        <f>HYPERLINK("http://comp.fnguide.com/SVO2/ASP/SVD_Consensus.asp?pGB=1&amp;gicode=A063160&amp;cID=&amp;MenuYn=Y&amp;ReportGB=&amp;NewMenuID=108&amp;stkGb=701", "종근당바이오")</f>
        <v>0</v>
      </c>
      <c r="C1547">
        <v>0</v>
      </c>
      <c r="D1547">
        <v>70100</v>
      </c>
      <c r="E1547">
        <v>1.54</v>
      </c>
      <c r="F1547">
        <v>13.2</v>
      </c>
      <c r="G1547">
        <v>24645</v>
      </c>
      <c r="H1547">
        <v>27197</v>
      </c>
      <c r="I1547">
        <v>27924</v>
      </c>
      <c r="J1547">
        <v>64.84</v>
      </c>
      <c r="K1547">
        <v>61.2</v>
      </c>
      <c r="L1547">
        <v>60.17</v>
      </c>
      <c r="M1547">
        <v>6.8</v>
      </c>
      <c r="N1547" t="b">
        <v>1</v>
      </c>
      <c r="O1547">
        <v>2236</v>
      </c>
      <c r="P1547" t="s">
        <v>1553</v>
      </c>
      <c r="Q1547" t="s">
        <v>3505</v>
      </c>
      <c r="R1547">
        <v>8.564766148819224</v>
      </c>
      <c r="S1547">
        <v>3846</v>
      </c>
      <c r="T1547">
        <v>1608800</v>
      </c>
      <c r="U1547" t="s">
        <v>5524</v>
      </c>
      <c r="V1547">
        <v>39.16</v>
      </c>
      <c r="W1547" t="s">
        <v>7726</v>
      </c>
      <c r="X1547" t="s">
        <v>9687</v>
      </c>
      <c r="Y1547">
        <v>1372</v>
      </c>
      <c r="Z1547">
        <v>154</v>
      </c>
      <c r="AB1547">
        <v>0.65</v>
      </c>
    </row>
    <row r="1548" spans="1:28">
      <c r="A1548" s="2">
        <f>HYPERLINK("https://finance.naver.com/item/coinfo.nhn?code=185750", "A185750")</f>
        <v>0</v>
      </c>
      <c r="B1548">
        <f>HYPERLINK("http://comp.fnguide.com/SVO2/ASP/SVD_Consensus.asp?pGB=1&amp;gicode=A185750&amp;cID=&amp;MenuYn=Y&amp;ReportGB=&amp;NewMenuID=108&amp;stkGb=701", "종근당")</f>
        <v>0</v>
      </c>
      <c r="C1548">
        <v>0</v>
      </c>
      <c r="D1548">
        <v>177500</v>
      </c>
      <c r="E1548">
        <v>0.67</v>
      </c>
      <c r="F1548">
        <v>19.6</v>
      </c>
      <c r="G1548">
        <v>64568</v>
      </c>
      <c r="H1548">
        <v>52095</v>
      </c>
      <c r="I1548">
        <v>48541</v>
      </c>
      <c r="J1548">
        <v>63.62</v>
      </c>
      <c r="K1548">
        <v>70.65000000000001</v>
      </c>
      <c r="L1548">
        <v>72.65000000000001</v>
      </c>
      <c r="M1548">
        <v>11.75</v>
      </c>
      <c r="N1548" t="b">
        <v>1</v>
      </c>
      <c r="O1548">
        <v>4950</v>
      </c>
      <c r="P1548" t="s">
        <v>1554</v>
      </c>
      <c r="Q1548" t="s">
        <v>3506</v>
      </c>
      <c r="R1548">
        <v>29.18012461602055</v>
      </c>
      <c r="S1548">
        <v>19322</v>
      </c>
      <c r="T1548">
        <v>259487</v>
      </c>
      <c r="U1548" t="s">
        <v>5525</v>
      </c>
      <c r="V1548">
        <v>37.75</v>
      </c>
      <c r="W1548" t="s">
        <v>7727</v>
      </c>
      <c r="X1548" t="s">
        <v>9688</v>
      </c>
      <c r="Y1548">
        <v>10793</v>
      </c>
      <c r="Z1548">
        <v>746</v>
      </c>
      <c r="AA1548">
        <v>77393</v>
      </c>
      <c r="AB1548">
        <v>0.88</v>
      </c>
    </row>
    <row r="1549" spans="1:28">
      <c r="A1549" s="2">
        <f>HYPERLINK("https://finance.naver.com/item/coinfo.nhn?code=001550", "A001550")</f>
        <v>0</v>
      </c>
      <c r="B1549">
        <f>HYPERLINK("http://comp.fnguide.com/SVO2/ASP/SVD_Consensus.asp?pGB=1&amp;gicode=A001550&amp;cID=&amp;MenuYn=Y&amp;ReportGB=&amp;NewMenuID=108&amp;stkGb=701", "조비")</f>
        <v>0</v>
      </c>
      <c r="C1549">
        <v>0</v>
      </c>
      <c r="D1549">
        <v>18700</v>
      </c>
      <c r="G1549">
        <v>750</v>
      </c>
      <c r="H1549">
        <v>5854</v>
      </c>
      <c r="I1549">
        <v>7309</v>
      </c>
      <c r="J1549">
        <v>95.98999999999999</v>
      </c>
      <c r="K1549">
        <v>68.69</v>
      </c>
      <c r="L1549">
        <v>60.92</v>
      </c>
      <c r="M1549">
        <v>0.65</v>
      </c>
      <c r="N1549" t="b">
        <v>0</v>
      </c>
      <c r="O1549">
        <v>-25</v>
      </c>
      <c r="P1549" t="s">
        <v>1555</v>
      </c>
      <c r="Q1549" t="s">
        <v>3507</v>
      </c>
      <c r="R1549">
        <v>-44.80607705789754</v>
      </c>
      <c r="S1549">
        <v>971</v>
      </c>
      <c r="T1549">
        <v>32760</v>
      </c>
      <c r="U1549" t="s">
        <v>5526</v>
      </c>
      <c r="V1549">
        <v>66.95</v>
      </c>
      <c r="W1549" t="s">
        <v>7728</v>
      </c>
      <c r="X1549" t="s">
        <v>9689</v>
      </c>
      <c r="Y1549">
        <v>709</v>
      </c>
      <c r="Z1549">
        <v>10</v>
      </c>
      <c r="AA1549">
        <v>411</v>
      </c>
    </row>
    <row r="1550" spans="1:28">
      <c r="A1550" s="2">
        <f>HYPERLINK("https://finance.naver.com/item/coinfo.nhn?code=018880", "A018880")</f>
        <v>0</v>
      </c>
      <c r="B1550">
        <f>HYPERLINK("http://comp.fnguide.com/SVO2/ASP/SVD_Consensus.asp?pGB=1&amp;gicode=A018880&amp;cID=&amp;MenuYn=Y&amp;ReportGB=&amp;NewMenuID=108&amp;stkGb=701", "한온시스템")</f>
        <v>0</v>
      </c>
      <c r="C1550">
        <v>0</v>
      </c>
      <c r="D1550">
        <v>15750</v>
      </c>
      <c r="E1550">
        <v>-0.62</v>
      </c>
      <c r="F1550">
        <v>18.69</v>
      </c>
      <c r="G1550">
        <v>7623</v>
      </c>
      <c r="H1550">
        <v>5539</v>
      </c>
      <c r="I1550">
        <v>4945</v>
      </c>
      <c r="J1550">
        <v>51.6</v>
      </c>
      <c r="K1550">
        <v>64.83</v>
      </c>
      <c r="L1550">
        <v>68.59999999999999</v>
      </c>
      <c r="M1550">
        <v>14.63</v>
      </c>
      <c r="N1550" t="b">
        <v>1</v>
      </c>
      <c r="O1550">
        <v>597</v>
      </c>
      <c r="P1550" t="s">
        <v>1556</v>
      </c>
      <c r="Q1550" t="s">
        <v>3508</v>
      </c>
      <c r="R1550">
        <v>-30.1943365495648</v>
      </c>
      <c r="S1550">
        <v>84074</v>
      </c>
      <c r="T1550">
        <v>2453853</v>
      </c>
      <c r="U1550" t="s">
        <v>5527</v>
      </c>
      <c r="V1550">
        <v>69.98999999999999</v>
      </c>
      <c r="W1550" t="s">
        <v>7729</v>
      </c>
      <c r="X1550" t="s">
        <v>9690</v>
      </c>
      <c r="Y1550">
        <v>71542</v>
      </c>
      <c r="Z1550">
        <v>4838</v>
      </c>
      <c r="AA1550">
        <v>131570</v>
      </c>
      <c r="AB1550">
        <v>2.87</v>
      </c>
    </row>
    <row r="1551" spans="1:28">
      <c r="A1551" s="2">
        <f>HYPERLINK("https://finance.naver.com/item/coinfo.nhn?code=009420", "A009420")</f>
        <v>0</v>
      </c>
      <c r="B1551">
        <f>HYPERLINK("http://comp.fnguide.com/SVO2/ASP/SVD_Consensus.asp?pGB=1&amp;gicode=A009420&amp;cID=&amp;MenuYn=Y&amp;ReportGB=&amp;NewMenuID=108&amp;stkGb=701", "한올바이오파마")</f>
        <v>0</v>
      </c>
      <c r="C1551">
        <v>0</v>
      </c>
      <c r="D1551">
        <v>37400</v>
      </c>
      <c r="E1551">
        <v>1.28</v>
      </c>
      <c r="F1551">
        <v>98.90000000000001</v>
      </c>
      <c r="G1551">
        <v>3205</v>
      </c>
      <c r="H1551">
        <v>2928</v>
      </c>
      <c r="I1551">
        <v>2849</v>
      </c>
      <c r="J1551">
        <v>91.43000000000001</v>
      </c>
      <c r="K1551">
        <v>92.17</v>
      </c>
      <c r="L1551">
        <v>92.38</v>
      </c>
      <c r="M1551">
        <v>9.31</v>
      </c>
      <c r="N1551" t="b">
        <v>0</v>
      </c>
      <c r="O1551">
        <v>367</v>
      </c>
      <c r="P1551" t="s">
        <v>1557</v>
      </c>
      <c r="Q1551" t="s">
        <v>3509</v>
      </c>
      <c r="R1551">
        <v>77.08817204374488</v>
      </c>
      <c r="S1551">
        <v>19538</v>
      </c>
      <c r="T1551">
        <v>578469</v>
      </c>
      <c r="U1551" t="s">
        <v>5528</v>
      </c>
      <c r="V1551">
        <v>32.33</v>
      </c>
      <c r="W1551" t="s">
        <v>7730</v>
      </c>
      <c r="X1551" t="s">
        <v>9691</v>
      </c>
      <c r="Y1551">
        <v>1085</v>
      </c>
      <c r="Z1551">
        <v>171</v>
      </c>
      <c r="AA1551">
        <v>1063767</v>
      </c>
    </row>
    <row r="1552" spans="1:28">
      <c r="A1552" s="2">
        <f>HYPERLINK("https://finance.naver.com/item/coinfo.nhn?code=014130", "A014130")</f>
        <v>0</v>
      </c>
      <c r="B1552">
        <f>HYPERLINK("http://comp.fnguide.com/SVO2/ASP/SVD_Consensus.asp?pGB=1&amp;gicode=A014130&amp;cID=&amp;MenuYn=Y&amp;ReportGB=&amp;NewMenuID=108&amp;stkGb=701", "한익스프레스")</f>
        <v>0</v>
      </c>
      <c r="C1552">
        <v>0</v>
      </c>
      <c r="D1552">
        <v>7500</v>
      </c>
      <c r="E1552">
        <v>-1.4</v>
      </c>
      <c r="F1552">
        <v>9.210000000000001</v>
      </c>
      <c r="G1552">
        <v>6525</v>
      </c>
      <c r="H1552">
        <v>6185</v>
      </c>
      <c r="I1552">
        <v>6088</v>
      </c>
      <c r="J1552">
        <v>13</v>
      </c>
      <c r="K1552">
        <v>17.54</v>
      </c>
      <c r="L1552">
        <v>18.83</v>
      </c>
      <c r="M1552">
        <v>8.73</v>
      </c>
      <c r="N1552" t="b">
        <v>0</v>
      </c>
      <c r="O1552">
        <v>479</v>
      </c>
      <c r="P1552" t="s">
        <v>1558</v>
      </c>
      <c r="Q1552" t="s">
        <v>3510</v>
      </c>
      <c r="R1552">
        <v>-6.555291650575679</v>
      </c>
      <c r="S1552">
        <v>900</v>
      </c>
      <c r="T1552">
        <v>3082571</v>
      </c>
      <c r="U1552" t="s">
        <v>5529</v>
      </c>
      <c r="V1552">
        <v>47.27</v>
      </c>
      <c r="W1552" t="s">
        <v>7731</v>
      </c>
      <c r="X1552" t="s">
        <v>9692</v>
      </c>
      <c r="Y1552">
        <v>5774</v>
      </c>
      <c r="Z1552">
        <v>119</v>
      </c>
      <c r="AB1552">
        <v>1.59</v>
      </c>
    </row>
    <row r="1553" spans="1:28">
      <c r="A1553" s="2">
        <f>HYPERLINK("https://finance.naver.com/item/coinfo.nhn?code=067290", "A067290")</f>
        <v>0</v>
      </c>
      <c r="B1553">
        <f>HYPERLINK("http://comp.fnguide.com/SVO2/ASP/SVD_Consensus.asp?pGB=1&amp;gicode=A067290&amp;cID=&amp;MenuYn=Y&amp;ReportGB=&amp;NewMenuID=108&amp;stkGb=701", "JW신약")</f>
        <v>0</v>
      </c>
      <c r="C1553">
        <v>0</v>
      </c>
      <c r="D1553">
        <v>5830</v>
      </c>
      <c r="E1553">
        <v>0</v>
      </c>
      <c r="F1553">
        <v>140.29</v>
      </c>
      <c r="G1553">
        <v>288</v>
      </c>
      <c r="H1553">
        <v>1071</v>
      </c>
      <c r="I1553">
        <v>1294</v>
      </c>
      <c r="J1553">
        <v>95.05</v>
      </c>
      <c r="K1553">
        <v>81.63</v>
      </c>
      <c r="L1553">
        <v>77.8</v>
      </c>
      <c r="M1553">
        <v>1.45</v>
      </c>
      <c r="N1553" t="b">
        <v>1</v>
      </c>
      <c r="O1553">
        <v>35</v>
      </c>
      <c r="P1553" t="s">
        <v>1559</v>
      </c>
      <c r="Q1553" t="s">
        <v>2276</v>
      </c>
      <c r="R1553">
        <v>0</v>
      </c>
      <c r="S1553">
        <v>2429</v>
      </c>
      <c r="T1553">
        <v>281589</v>
      </c>
      <c r="U1553" t="s">
        <v>5530</v>
      </c>
      <c r="V1553">
        <v>30.83</v>
      </c>
      <c r="W1553" t="s">
        <v>7732</v>
      </c>
      <c r="X1553" t="s">
        <v>9693</v>
      </c>
      <c r="Y1553">
        <v>1025</v>
      </c>
      <c r="Z1553">
        <v>11</v>
      </c>
      <c r="AA1553">
        <v>119459</v>
      </c>
      <c r="AB1553">
        <v>1.24</v>
      </c>
    </row>
    <row r="1554" spans="1:28">
      <c r="A1554" s="2">
        <f>HYPERLINK("https://finance.naver.com/item/coinfo.nhn?code=036120", "A036120")</f>
        <v>0</v>
      </c>
      <c r="B1554">
        <f>HYPERLINK("http://comp.fnguide.com/SVO2/ASP/SVD_Consensus.asp?pGB=1&amp;gicode=A036120&amp;cID=&amp;MenuYn=Y&amp;ReportGB=&amp;NewMenuID=108&amp;stkGb=701", "SCI평가정보")</f>
        <v>0</v>
      </c>
      <c r="C1554">
        <v>0</v>
      </c>
      <c r="D1554">
        <v>4800</v>
      </c>
      <c r="E1554">
        <v>0.19</v>
      </c>
      <c r="F1554">
        <v>18.46</v>
      </c>
      <c r="G1554">
        <v>1263</v>
      </c>
      <c r="H1554">
        <v>881</v>
      </c>
      <c r="I1554">
        <v>772</v>
      </c>
      <c r="J1554">
        <v>73.68000000000001</v>
      </c>
      <c r="K1554">
        <v>81.64</v>
      </c>
      <c r="L1554">
        <v>83.91</v>
      </c>
      <c r="M1554">
        <v>16.05</v>
      </c>
      <c r="N1554" t="b">
        <v>0</v>
      </c>
      <c r="O1554">
        <v>138</v>
      </c>
      <c r="P1554" t="s">
        <v>1560</v>
      </c>
      <c r="Q1554" t="s">
        <v>3511</v>
      </c>
      <c r="R1554">
        <v>98.6153317344862</v>
      </c>
      <c r="S1554">
        <v>1704</v>
      </c>
      <c r="T1554">
        <v>556578</v>
      </c>
      <c r="U1554" t="s">
        <v>5531</v>
      </c>
      <c r="V1554">
        <v>55.97</v>
      </c>
      <c r="W1554" t="s">
        <v>7733</v>
      </c>
      <c r="X1554" t="s">
        <v>9694</v>
      </c>
      <c r="Y1554">
        <v>526</v>
      </c>
      <c r="Z1554">
        <v>69</v>
      </c>
      <c r="AA1554">
        <v>911970</v>
      </c>
      <c r="AB1554">
        <v>2.72</v>
      </c>
    </row>
    <row r="1555" spans="1:28">
      <c r="A1555" s="2">
        <f>HYPERLINK("https://finance.naver.com/item/coinfo.nhn?code=950110", "A950110")</f>
        <v>0</v>
      </c>
      <c r="B1555">
        <f>HYPERLINK("http://comp.fnguide.com/SVO2/ASP/SVD_Consensus.asp?pGB=1&amp;gicode=A950110&amp;cID=&amp;MenuYn=Y&amp;ReportGB=&amp;NewMenuID=108&amp;stkGb=701", "SBI핀테크솔루션즈")</f>
        <v>0</v>
      </c>
      <c r="C1555">
        <v>0</v>
      </c>
      <c r="D1555">
        <v>8320</v>
      </c>
      <c r="E1555">
        <v>1.26</v>
      </c>
      <c r="F1555">
        <v>18.41</v>
      </c>
      <c r="G1555">
        <v>6706</v>
      </c>
      <c r="H1555">
        <v>3920</v>
      </c>
      <c r="I1555">
        <v>3126</v>
      </c>
      <c r="J1555">
        <v>19.39</v>
      </c>
      <c r="K1555">
        <v>52.89</v>
      </c>
      <c r="L1555">
        <v>62.43</v>
      </c>
      <c r="M1555">
        <v>25.84</v>
      </c>
      <c r="N1555" t="b">
        <v>0</v>
      </c>
      <c r="O1555">
        <v>377</v>
      </c>
      <c r="P1555" t="s">
        <v>1561</v>
      </c>
      <c r="Q1555" t="s">
        <v>3512</v>
      </c>
      <c r="R1555">
        <v>14.66815540110547</v>
      </c>
      <c r="S1555">
        <v>2001</v>
      </c>
      <c r="T1555">
        <v>96038</v>
      </c>
      <c r="U1555" t="s">
        <v>5532</v>
      </c>
      <c r="V1555">
        <v>72.41</v>
      </c>
      <c r="W1555" t="s">
        <v>7734</v>
      </c>
      <c r="X1555" t="s">
        <v>9695</v>
      </c>
      <c r="Y1555">
        <v>947</v>
      </c>
      <c r="Z1555">
        <v>149</v>
      </c>
      <c r="AA1555">
        <v>1619118</v>
      </c>
    </row>
    <row r="1556" spans="1:28">
      <c r="A1556" s="2">
        <f>HYPERLINK("https://finance.naver.com/item/coinfo.nhn?code=019550", "A019550")</f>
        <v>0</v>
      </c>
      <c r="B1556">
        <f>HYPERLINK("http://comp.fnguide.com/SVO2/ASP/SVD_Consensus.asp?pGB=1&amp;gicode=A019550&amp;cID=&amp;MenuYn=Y&amp;ReportGB=&amp;NewMenuID=108&amp;stkGb=701", "SBI인베스트먼트")</f>
        <v>0</v>
      </c>
      <c r="C1556">
        <v>0</v>
      </c>
      <c r="D1556">
        <v>1175</v>
      </c>
      <c r="E1556">
        <v>0</v>
      </c>
      <c r="F1556">
        <v>10.19</v>
      </c>
      <c r="G1556">
        <v>588</v>
      </c>
      <c r="H1556">
        <v>587</v>
      </c>
      <c r="I1556">
        <v>587</v>
      </c>
      <c r="J1556">
        <v>49.97</v>
      </c>
      <c r="K1556">
        <v>50.04</v>
      </c>
      <c r="L1556">
        <v>50.06</v>
      </c>
      <c r="M1556">
        <v>7.99</v>
      </c>
      <c r="N1556" t="b">
        <v>1</v>
      </c>
      <c r="O1556">
        <v>71</v>
      </c>
      <c r="P1556" t="s">
        <v>1562</v>
      </c>
      <c r="Q1556" t="s">
        <v>2306</v>
      </c>
      <c r="R1556">
        <v>55.80898779645362</v>
      </c>
      <c r="S1556">
        <v>1904</v>
      </c>
      <c r="T1556">
        <v>10777870</v>
      </c>
      <c r="U1556" t="s">
        <v>5533</v>
      </c>
      <c r="V1556">
        <v>43.61</v>
      </c>
      <c r="W1556" t="s">
        <v>7735</v>
      </c>
      <c r="X1556" t="s">
        <v>9696</v>
      </c>
      <c r="Y1556">
        <v>236</v>
      </c>
      <c r="Z1556">
        <v>115</v>
      </c>
      <c r="AA1556">
        <v>924172</v>
      </c>
    </row>
    <row r="1557" spans="1:28">
      <c r="A1557" s="2">
        <f>HYPERLINK("https://finance.naver.com/item/coinfo.nhn?code=218410", "A218410")</f>
        <v>0</v>
      </c>
      <c r="B1557">
        <f>HYPERLINK("http://comp.fnguide.com/SVO2/ASP/SVD_Consensus.asp?pGB=1&amp;gicode=A218410&amp;cID=&amp;MenuYn=Y&amp;ReportGB=&amp;NewMenuID=108&amp;stkGb=701", "RFHIC")</f>
        <v>0</v>
      </c>
      <c r="C1557">
        <v>0</v>
      </c>
      <c r="D1557">
        <v>37900</v>
      </c>
      <c r="E1557">
        <v>1.04</v>
      </c>
      <c r="F1557">
        <v>44.02</v>
      </c>
      <c r="G1557">
        <v>12919</v>
      </c>
      <c r="H1557">
        <v>10206</v>
      </c>
      <c r="I1557">
        <v>9433</v>
      </c>
      <c r="J1557">
        <v>65.91</v>
      </c>
      <c r="K1557">
        <v>73.06999999999999</v>
      </c>
      <c r="L1557">
        <v>75.11</v>
      </c>
      <c r="M1557">
        <v>12.25</v>
      </c>
      <c r="N1557" t="b">
        <v>1</v>
      </c>
      <c r="O1557">
        <v>837</v>
      </c>
      <c r="P1557" t="s">
        <v>1563</v>
      </c>
      <c r="Q1557" t="s">
        <v>3513</v>
      </c>
      <c r="R1557">
        <v>42.19345300692827</v>
      </c>
      <c r="S1557">
        <v>9038</v>
      </c>
      <c r="T1557">
        <v>246884</v>
      </c>
      <c r="U1557" t="s">
        <v>5534</v>
      </c>
      <c r="V1557">
        <v>37.77</v>
      </c>
      <c r="W1557" t="s">
        <v>7736</v>
      </c>
      <c r="X1557" t="s">
        <v>9697</v>
      </c>
      <c r="Y1557">
        <v>1078</v>
      </c>
      <c r="Z1557">
        <v>179</v>
      </c>
      <c r="AA1557">
        <v>157275</v>
      </c>
      <c r="AB1557">
        <v>0.54</v>
      </c>
    </row>
    <row r="1558" spans="1:28">
      <c r="A1558" s="2">
        <f>HYPERLINK("https://finance.naver.com/item/coinfo.nhn?code=178920", "A178920")</f>
        <v>0</v>
      </c>
      <c r="B1558">
        <f>HYPERLINK("http://comp.fnguide.com/SVO2/ASP/SVD_Consensus.asp?pGB=1&amp;gicode=A178920&amp;cID=&amp;MenuYn=Y&amp;ReportGB=&amp;NewMenuID=108&amp;stkGb=701", "PI첨단소재")</f>
        <v>0</v>
      </c>
      <c r="C1558">
        <v>0</v>
      </c>
      <c r="D1558">
        <v>32250</v>
      </c>
      <c r="E1558">
        <v>3.42</v>
      </c>
      <c r="F1558">
        <v>58.01</v>
      </c>
      <c r="G1558">
        <v>11131</v>
      </c>
      <c r="H1558">
        <v>9585</v>
      </c>
      <c r="I1558">
        <v>9144</v>
      </c>
      <c r="J1558">
        <v>65.48999999999999</v>
      </c>
      <c r="K1558">
        <v>70.28</v>
      </c>
      <c r="L1558">
        <v>71.65000000000001</v>
      </c>
      <c r="M1558">
        <v>10.37</v>
      </c>
      <c r="N1558" t="b">
        <v>1</v>
      </c>
      <c r="O1558">
        <v>603</v>
      </c>
      <c r="P1558" t="s">
        <v>1564</v>
      </c>
      <c r="Q1558" t="s">
        <v>3514</v>
      </c>
      <c r="R1558">
        <v>16.94742455013107</v>
      </c>
      <c r="S1558">
        <v>9471</v>
      </c>
      <c r="T1558">
        <v>281847</v>
      </c>
      <c r="U1558" t="s">
        <v>5535</v>
      </c>
      <c r="V1558">
        <v>54.14</v>
      </c>
      <c r="W1558" t="s">
        <v>7737</v>
      </c>
      <c r="X1558" t="s">
        <v>9698</v>
      </c>
      <c r="Y1558">
        <v>2237</v>
      </c>
      <c r="Z1558">
        <v>336</v>
      </c>
      <c r="AB1558">
        <v>0.9</v>
      </c>
    </row>
    <row r="1559" spans="1:28">
      <c r="A1559" s="2">
        <f>HYPERLINK("https://finance.naver.com/item/coinfo.nhn?code=078590", "A078590")</f>
        <v>0</v>
      </c>
      <c r="B1559">
        <f>HYPERLINK("http://comp.fnguide.com/SVO2/ASP/SVD_Consensus.asp?pGB=1&amp;gicode=A078590&amp;cID=&amp;MenuYn=Y&amp;ReportGB=&amp;NewMenuID=108&amp;stkGb=701", "OQP")</f>
        <v>0</v>
      </c>
      <c r="C1559">
        <v>0</v>
      </c>
      <c r="D1559">
        <v>5150</v>
      </c>
      <c r="G1559">
        <v>108</v>
      </c>
      <c r="H1559">
        <v>232</v>
      </c>
      <c r="I1559">
        <v>267</v>
      </c>
      <c r="J1559">
        <v>97.91</v>
      </c>
      <c r="K1559">
        <v>95.5</v>
      </c>
      <c r="L1559">
        <v>94.81999999999999</v>
      </c>
      <c r="M1559">
        <v>2.74</v>
      </c>
      <c r="N1559" t="b">
        <v>0</v>
      </c>
      <c r="O1559">
        <v>-110</v>
      </c>
      <c r="P1559" t="s">
        <v>1565</v>
      </c>
      <c r="Q1559" t="s">
        <v>3515</v>
      </c>
      <c r="R1559">
        <v>36.87644063168798</v>
      </c>
      <c r="S1559">
        <v>4054</v>
      </c>
      <c r="T1559">
        <v>1775140</v>
      </c>
      <c r="U1559" t="s">
        <v>5536</v>
      </c>
      <c r="V1559">
        <v>7.91</v>
      </c>
      <c r="W1559" t="s">
        <v>7738</v>
      </c>
      <c r="X1559" t="s">
        <v>9699</v>
      </c>
      <c r="Y1559">
        <v>646</v>
      </c>
      <c r="Z1559">
        <v>19</v>
      </c>
    </row>
    <row r="1560" spans="1:28">
      <c r="A1560" s="2">
        <f>HYPERLINK("https://finance.naver.com/item/coinfo.nhn?code=030190", "A030190")</f>
        <v>0</v>
      </c>
      <c r="B1560">
        <f>HYPERLINK("http://comp.fnguide.com/SVO2/ASP/SVD_Consensus.asp?pGB=1&amp;gicode=A030190&amp;cID=&amp;MenuYn=Y&amp;ReportGB=&amp;NewMenuID=108&amp;stkGb=701", "NICE평가정보")</f>
        <v>0</v>
      </c>
      <c r="C1560">
        <v>0</v>
      </c>
      <c r="D1560">
        <v>21200</v>
      </c>
      <c r="E1560">
        <v>1.29</v>
      </c>
      <c r="F1560">
        <v>20.77</v>
      </c>
      <c r="G1560">
        <v>9261</v>
      </c>
      <c r="H1560">
        <v>5950</v>
      </c>
      <c r="I1560">
        <v>5006</v>
      </c>
      <c r="J1560">
        <v>56.32</v>
      </c>
      <c r="K1560">
        <v>71.93000000000001</v>
      </c>
      <c r="L1560">
        <v>76.38</v>
      </c>
      <c r="M1560">
        <v>19.68</v>
      </c>
      <c r="N1560" t="b">
        <v>0</v>
      </c>
      <c r="O1560">
        <v>672</v>
      </c>
      <c r="P1560" t="s">
        <v>1566</v>
      </c>
      <c r="Q1560" t="s">
        <v>3516</v>
      </c>
      <c r="R1560">
        <v>16.11318934387014</v>
      </c>
      <c r="S1560">
        <v>12872</v>
      </c>
      <c r="T1560">
        <v>99069</v>
      </c>
      <c r="U1560" t="s">
        <v>5537</v>
      </c>
      <c r="V1560">
        <v>42.99</v>
      </c>
      <c r="W1560" t="s">
        <v>7739</v>
      </c>
      <c r="X1560" t="s">
        <v>9700</v>
      </c>
      <c r="Y1560">
        <v>4109</v>
      </c>
      <c r="Z1560">
        <v>513</v>
      </c>
      <c r="AA1560">
        <v>932027</v>
      </c>
      <c r="AB1560">
        <v>1.65</v>
      </c>
    </row>
    <row r="1561" spans="1:28">
      <c r="A1561" s="2">
        <f>HYPERLINK("https://finance.naver.com/item/coinfo.nhn?code=060250", "A060250")</f>
        <v>0</v>
      </c>
      <c r="B1561">
        <f>HYPERLINK("http://comp.fnguide.com/SVO2/ASP/SVD_Consensus.asp?pGB=1&amp;gicode=A060250&amp;cID=&amp;MenuYn=Y&amp;ReportGB=&amp;NewMenuID=108&amp;stkGb=701", "NHN한국사이버결제")</f>
        <v>0</v>
      </c>
      <c r="C1561">
        <v>0</v>
      </c>
      <c r="D1561">
        <v>67000</v>
      </c>
      <c r="E1561">
        <v>1.08</v>
      </c>
      <c r="F1561">
        <v>20.77</v>
      </c>
      <c r="G1561">
        <v>12553</v>
      </c>
      <c r="H1561">
        <v>8536</v>
      </c>
      <c r="I1561">
        <v>7391</v>
      </c>
      <c r="J1561">
        <v>81.26000000000001</v>
      </c>
      <c r="K1561">
        <v>87.26000000000001</v>
      </c>
      <c r="L1561">
        <v>88.97</v>
      </c>
      <c r="M1561">
        <v>17.05</v>
      </c>
      <c r="N1561" t="b">
        <v>1</v>
      </c>
      <c r="O1561">
        <v>1069</v>
      </c>
      <c r="P1561" t="s">
        <v>1567</v>
      </c>
      <c r="Q1561" t="s">
        <v>3517</v>
      </c>
      <c r="R1561">
        <v>19.25323710992393</v>
      </c>
      <c r="S1561">
        <v>15391</v>
      </c>
      <c r="T1561">
        <v>109674</v>
      </c>
      <c r="U1561" t="s">
        <v>5538</v>
      </c>
      <c r="V1561">
        <v>41.46</v>
      </c>
      <c r="W1561" t="s">
        <v>7740</v>
      </c>
      <c r="X1561" t="s">
        <v>9701</v>
      </c>
      <c r="Y1561">
        <v>4699</v>
      </c>
      <c r="Z1561">
        <v>321</v>
      </c>
      <c r="AA1561">
        <v>1289580</v>
      </c>
      <c r="AB1561">
        <v>1.04</v>
      </c>
    </row>
    <row r="1562" spans="1:28">
      <c r="A1562" s="2">
        <f>HYPERLINK("https://finance.naver.com/item/coinfo.nhn?code=104200", "A104200")</f>
        <v>0</v>
      </c>
      <c r="B1562">
        <f>HYPERLINK("http://comp.fnguide.com/SVO2/ASP/SVD_Consensus.asp?pGB=1&amp;gicode=A104200&amp;cID=&amp;MenuYn=Y&amp;ReportGB=&amp;NewMenuID=108&amp;stkGb=701", "NHN벅스")</f>
        <v>0</v>
      </c>
      <c r="C1562">
        <v>0</v>
      </c>
      <c r="D1562">
        <v>5770</v>
      </c>
      <c r="E1562">
        <v>-0.28</v>
      </c>
      <c r="F1562">
        <v>21.1</v>
      </c>
      <c r="G1562">
        <v>4272</v>
      </c>
      <c r="H1562">
        <v>4949</v>
      </c>
      <c r="I1562">
        <v>5142</v>
      </c>
      <c r="J1562">
        <v>25.96</v>
      </c>
      <c r="K1562">
        <v>14.22</v>
      </c>
      <c r="L1562">
        <v>10.88</v>
      </c>
      <c r="M1562">
        <v>6.31</v>
      </c>
      <c r="N1562" t="b">
        <v>1</v>
      </c>
      <c r="O1562">
        <v>268</v>
      </c>
      <c r="P1562" t="s">
        <v>1568</v>
      </c>
      <c r="Q1562" t="s">
        <v>3518</v>
      </c>
      <c r="R1562">
        <v>-74.47942006928527</v>
      </c>
      <c r="S1562">
        <v>856</v>
      </c>
      <c r="T1562">
        <v>24462</v>
      </c>
      <c r="U1562" t="s">
        <v>5539</v>
      </c>
      <c r="V1562">
        <v>45.36</v>
      </c>
      <c r="W1562" t="s">
        <v>7741</v>
      </c>
      <c r="X1562" t="s">
        <v>9702</v>
      </c>
      <c r="Y1562">
        <v>848</v>
      </c>
      <c r="Z1562">
        <v>70</v>
      </c>
      <c r="AA1562">
        <v>2306976</v>
      </c>
    </row>
    <row r="1563" spans="1:28">
      <c r="A1563" s="2">
        <f>HYPERLINK("https://finance.naver.com/item/coinfo.nhn?code=160550", "A160550")</f>
        <v>0</v>
      </c>
      <c r="B1563">
        <f>HYPERLINK("http://comp.fnguide.com/SVO2/ASP/SVD_Consensus.asp?pGB=1&amp;gicode=A160550&amp;cID=&amp;MenuYn=Y&amp;ReportGB=&amp;NewMenuID=108&amp;stkGb=701", "NEW")</f>
        <v>0</v>
      </c>
      <c r="C1563">
        <v>0</v>
      </c>
      <c r="D1563">
        <v>4200</v>
      </c>
      <c r="G1563">
        <v>0</v>
      </c>
      <c r="H1563">
        <v>2390</v>
      </c>
      <c r="I1563">
        <v>3071</v>
      </c>
      <c r="J1563">
        <v>100</v>
      </c>
      <c r="K1563">
        <v>43.1</v>
      </c>
      <c r="L1563">
        <v>26.88</v>
      </c>
      <c r="M1563">
        <v>0</v>
      </c>
      <c r="N1563" t="b">
        <v>0</v>
      </c>
      <c r="O1563">
        <v>-309</v>
      </c>
      <c r="P1563" t="s">
        <v>1569</v>
      </c>
      <c r="Q1563" t="s">
        <v>3519</v>
      </c>
      <c r="R1563">
        <v>217.6</v>
      </c>
      <c r="S1563">
        <v>1172</v>
      </c>
      <c r="T1563">
        <v>785520</v>
      </c>
      <c r="U1563" t="s">
        <v>5540</v>
      </c>
      <c r="V1563">
        <v>36.61</v>
      </c>
      <c r="W1563" t="s">
        <v>7742</v>
      </c>
      <c r="X1563" t="s">
        <v>968</v>
      </c>
      <c r="Y1563">
        <v>1492</v>
      </c>
      <c r="Z1563">
        <v>-81</v>
      </c>
    </row>
    <row r="1564" spans="1:28">
      <c r="A1564" s="2">
        <f>HYPERLINK("https://finance.naver.com/item/coinfo.nhn?code=219550", "A219550")</f>
        <v>0</v>
      </c>
      <c r="B1564">
        <f>HYPERLINK("http://comp.fnguide.com/SVO2/ASP/SVD_Consensus.asp?pGB=1&amp;gicode=A219550&amp;cID=&amp;MenuYn=Y&amp;ReportGB=&amp;NewMenuID=108&amp;stkGb=701", "MP한강")</f>
        <v>0</v>
      </c>
      <c r="C1564">
        <v>0</v>
      </c>
      <c r="D1564">
        <v>1905</v>
      </c>
      <c r="G1564">
        <v>475</v>
      </c>
      <c r="H1564">
        <v>491</v>
      </c>
      <c r="I1564">
        <v>496</v>
      </c>
      <c r="J1564">
        <v>75.05</v>
      </c>
      <c r="K1564">
        <v>74.22</v>
      </c>
      <c r="L1564">
        <v>73.98999999999999</v>
      </c>
      <c r="M1564">
        <v>7.55</v>
      </c>
      <c r="N1564" t="b">
        <v>0</v>
      </c>
      <c r="O1564">
        <v>-51</v>
      </c>
      <c r="P1564" t="s">
        <v>1570</v>
      </c>
      <c r="Q1564" t="s">
        <v>3520</v>
      </c>
      <c r="R1564">
        <v>-13.71896516968014</v>
      </c>
      <c r="S1564">
        <v>1231</v>
      </c>
      <c r="T1564">
        <v>40569231</v>
      </c>
      <c r="U1564" t="s">
        <v>5541</v>
      </c>
      <c r="V1564">
        <v>37.96</v>
      </c>
      <c r="W1564" t="s">
        <v>7743</v>
      </c>
      <c r="X1564" t="s">
        <v>9703</v>
      </c>
      <c r="Y1564">
        <v>481</v>
      </c>
      <c r="Z1564">
        <v>-18</v>
      </c>
      <c r="AA1564">
        <v>3786741</v>
      </c>
    </row>
    <row r="1565" spans="1:28">
      <c r="A1565" s="2">
        <f>HYPERLINK("https://finance.naver.com/item/coinfo.nhn?code=065150", "A065150")</f>
        <v>0</v>
      </c>
      <c r="B1565">
        <f>HYPERLINK("http://comp.fnguide.com/SVO2/ASP/SVD_Consensus.asp?pGB=1&amp;gicode=A065150&amp;cID=&amp;MenuYn=Y&amp;ReportGB=&amp;NewMenuID=108&amp;stkGb=701", "MP그룹")</f>
        <v>0</v>
      </c>
      <c r="C1565">
        <v>0</v>
      </c>
      <c r="D1565">
        <v>1315</v>
      </c>
      <c r="E1565">
        <v>0</v>
      </c>
      <c r="F1565">
        <v>131.29</v>
      </c>
      <c r="G1565">
        <v>70</v>
      </c>
      <c r="H1565">
        <v>188</v>
      </c>
      <c r="I1565">
        <v>222</v>
      </c>
      <c r="J1565">
        <v>94.66</v>
      </c>
      <c r="K1565">
        <v>85.7</v>
      </c>
      <c r="L1565">
        <v>83.15000000000001</v>
      </c>
      <c r="M1565">
        <v>2.1</v>
      </c>
      <c r="N1565" t="b">
        <v>1</v>
      </c>
      <c r="O1565">
        <v>10</v>
      </c>
      <c r="P1565" t="s">
        <v>1571</v>
      </c>
      <c r="Q1565" t="s">
        <v>2276</v>
      </c>
      <c r="R1565">
        <v>0</v>
      </c>
      <c r="S1565">
        <v>1063</v>
      </c>
      <c r="T1565">
        <v>0</v>
      </c>
      <c r="U1565" t="s">
        <v>5542</v>
      </c>
      <c r="V1565">
        <v>48.92</v>
      </c>
      <c r="W1565" t="s">
        <v>7744</v>
      </c>
      <c r="X1565" t="s">
        <v>9704</v>
      </c>
      <c r="Y1565">
        <v>1099</v>
      </c>
      <c r="Z1565">
        <v>-25</v>
      </c>
      <c r="AA1565">
        <v>4202400</v>
      </c>
    </row>
    <row r="1566" spans="1:28">
      <c r="A1566" s="2">
        <f>HYPERLINK("https://finance.naver.com/item/coinfo.nhn?code=060370", "A060370")</f>
        <v>0</v>
      </c>
      <c r="B1566">
        <f>HYPERLINK("http://comp.fnguide.com/SVO2/ASP/SVD_Consensus.asp?pGB=1&amp;gicode=A060370&amp;cID=&amp;MenuYn=Y&amp;ReportGB=&amp;NewMenuID=108&amp;stkGb=701", "KT서브마린")</f>
        <v>0</v>
      </c>
      <c r="C1566">
        <v>0</v>
      </c>
      <c r="D1566">
        <v>5720</v>
      </c>
      <c r="E1566">
        <v>0.88</v>
      </c>
      <c r="F1566">
        <v>213.13</v>
      </c>
      <c r="G1566">
        <v>965</v>
      </c>
      <c r="H1566">
        <v>3381</v>
      </c>
      <c r="I1566">
        <v>4070</v>
      </c>
      <c r="J1566">
        <v>83.14</v>
      </c>
      <c r="K1566">
        <v>40.89</v>
      </c>
      <c r="L1566">
        <v>28.85</v>
      </c>
      <c r="M1566">
        <v>1.54</v>
      </c>
      <c r="N1566" t="b">
        <v>0</v>
      </c>
      <c r="O1566">
        <v>22</v>
      </c>
      <c r="P1566" t="s">
        <v>1572</v>
      </c>
      <c r="Q1566" t="s">
        <v>3521</v>
      </c>
      <c r="R1566">
        <v>240.9617654720133</v>
      </c>
      <c r="S1566">
        <v>1253</v>
      </c>
      <c r="T1566">
        <v>435964</v>
      </c>
      <c r="U1566" t="s">
        <v>5543</v>
      </c>
      <c r="V1566">
        <v>36.92</v>
      </c>
      <c r="W1566" t="s">
        <v>7745</v>
      </c>
      <c r="X1566" t="s">
        <v>9705</v>
      </c>
      <c r="Y1566">
        <v>552</v>
      </c>
      <c r="Z1566">
        <v>10</v>
      </c>
      <c r="AA1566">
        <v>1345875</v>
      </c>
      <c r="AB1566">
        <v>0.63</v>
      </c>
    </row>
    <row r="1567" spans="1:28">
      <c r="A1567" s="2">
        <f>HYPERLINK("https://finance.naver.com/item/coinfo.nhn?code=036030", "A036030")</f>
        <v>0</v>
      </c>
      <c r="B1567">
        <f>HYPERLINK("http://comp.fnguide.com/SVO2/ASP/SVD_Consensus.asp?pGB=1&amp;gicode=A036030&amp;cID=&amp;MenuYn=Y&amp;ReportGB=&amp;NewMenuID=108&amp;stkGb=701", "KTH")</f>
        <v>0</v>
      </c>
      <c r="C1567">
        <v>0</v>
      </c>
      <c r="D1567">
        <v>5450</v>
      </c>
      <c r="E1567">
        <v>-4.04</v>
      </c>
      <c r="F1567">
        <v>135.21</v>
      </c>
      <c r="G1567">
        <v>541</v>
      </c>
      <c r="H1567">
        <v>3665</v>
      </c>
      <c r="I1567">
        <v>4555</v>
      </c>
      <c r="J1567">
        <v>90.06999999999999</v>
      </c>
      <c r="K1567">
        <v>32.76</v>
      </c>
      <c r="L1567">
        <v>16.43</v>
      </c>
      <c r="M1567">
        <v>0.75</v>
      </c>
      <c r="N1567" t="b">
        <v>1</v>
      </c>
      <c r="O1567">
        <v>40</v>
      </c>
      <c r="P1567" t="s">
        <v>1573</v>
      </c>
      <c r="Q1567" t="s">
        <v>3522</v>
      </c>
      <c r="R1567">
        <v>-33.45260899374017</v>
      </c>
      <c r="S1567">
        <v>1946</v>
      </c>
      <c r="T1567">
        <v>249194</v>
      </c>
      <c r="U1567" t="s">
        <v>5544</v>
      </c>
      <c r="V1567">
        <v>67.13</v>
      </c>
      <c r="W1567" t="s">
        <v>7746</v>
      </c>
      <c r="X1567" t="s">
        <v>9706</v>
      </c>
      <c r="Y1567">
        <v>3223</v>
      </c>
      <c r="Z1567">
        <v>107</v>
      </c>
    </row>
    <row r="1568" spans="1:28">
      <c r="A1568" s="2">
        <f>HYPERLINK("https://finance.naver.com/item/coinfo.nhn?code=114450", "A114450")</f>
        <v>0</v>
      </c>
      <c r="B1568">
        <f>HYPERLINK("http://comp.fnguide.com/SVO2/ASP/SVD_Consensus.asp?pGB=1&amp;gicode=A114450&amp;cID=&amp;MenuYn=Y&amp;ReportGB=&amp;NewMenuID=108&amp;stkGb=701", "KPX생명과학")</f>
        <v>0</v>
      </c>
      <c r="C1568">
        <v>0</v>
      </c>
      <c r="D1568">
        <v>15400</v>
      </c>
      <c r="E1568">
        <v>-2.17</v>
      </c>
      <c r="F1568">
        <v>77.40000000000001</v>
      </c>
      <c r="G1568">
        <v>808</v>
      </c>
      <c r="H1568">
        <v>2742</v>
      </c>
      <c r="I1568">
        <v>3293</v>
      </c>
      <c r="J1568">
        <v>94.75</v>
      </c>
      <c r="K1568">
        <v>82.19</v>
      </c>
      <c r="L1568">
        <v>78.62</v>
      </c>
      <c r="M1568">
        <v>1.6</v>
      </c>
      <c r="N1568" t="b">
        <v>1</v>
      </c>
      <c r="O1568">
        <v>80</v>
      </c>
      <c r="P1568" t="s">
        <v>1574</v>
      </c>
      <c r="Q1568" t="s">
        <v>3523</v>
      </c>
      <c r="R1568">
        <v>-35.7361688039065</v>
      </c>
      <c r="S1568">
        <v>2310</v>
      </c>
      <c r="T1568">
        <v>2236528</v>
      </c>
      <c r="U1568" t="s">
        <v>5545</v>
      </c>
      <c r="V1568">
        <v>21</v>
      </c>
      <c r="W1568" t="s">
        <v>7747</v>
      </c>
      <c r="X1568" t="s">
        <v>9707</v>
      </c>
      <c r="Y1568">
        <v>376</v>
      </c>
      <c r="Z1568">
        <v>6</v>
      </c>
    </row>
    <row r="1569" spans="1:28">
      <c r="A1569" s="2">
        <f>HYPERLINK("https://finance.naver.com/item/coinfo.nhn?code=058400", "A058400")</f>
        <v>0</v>
      </c>
      <c r="B1569">
        <f>HYPERLINK("http://comp.fnguide.com/SVO2/ASP/SVD_Consensus.asp?pGB=1&amp;gicode=A058400&amp;cID=&amp;MenuYn=Y&amp;ReportGB=&amp;NewMenuID=108&amp;stkGb=701", "KNN")</f>
        <v>0</v>
      </c>
      <c r="C1569">
        <v>0</v>
      </c>
      <c r="D1569">
        <v>2340</v>
      </c>
      <c r="E1569">
        <v>-1.85</v>
      </c>
      <c r="F1569">
        <v>19.99</v>
      </c>
      <c r="G1569">
        <v>808</v>
      </c>
      <c r="H1569">
        <v>1211</v>
      </c>
      <c r="I1569">
        <v>1326</v>
      </c>
      <c r="J1569">
        <v>65.48</v>
      </c>
      <c r="K1569">
        <v>48.24</v>
      </c>
      <c r="L1569">
        <v>43.33</v>
      </c>
      <c r="M1569">
        <v>4.35</v>
      </c>
      <c r="N1569" t="b">
        <v>1</v>
      </c>
      <c r="O1569">
        <v>61</v>
      </c>
      <c r="P1569" t="s">
        <v>1575</v>
      </c>
      <c r="Q1569" t="s">
        <v>3524</v>
      </c>
      <c r="R1569">
        <v>-10.78373525920817</v>
      </c>
      <c r="S1569">
        <v>3099</v>
      </c>
      <c r="T1569">
        <v>8907633</v>
      </c>
      <c r="U1569" t="s">
        <v>5546</v>
      </c>
      <c r="V1569">
        <v>39.44</v>
      </c>
      <c r="W1569" t="s">
        <v>7748</v>
      </c>
      <c r="X1569" t="s">
        <v>9708</v>
      </c>
      <c r="Y1569">
        <v>711</v>
      </c>
      <c r="Z1569">
        <v>74</v>
      </c>
      <c r="AB1569">
        <v>1.65</v>
      </c>
    </row>
    <row r="1570" spans="1:28">
      <c r="A1570" s="2">
        <f>HYPERLINK("https://finance.naver.com/item/coinfo.nhn?code=052900", "A052900")</f>
        <v>0</v>
      </c>
      <c r="B1570">
        <f>HYPERLINK("http://comp.fnguide.com/SVO2/ASP/SVD_Consensus.asp?pGB=1&amp;gicode=A052900&amp;cID=&amp;MenuYn=Y&amp;ReportGB=&amp;NewMenuID=108&amp;stkGb=701", "KMH하이텍")</f>
        <v>0</v>
      </c>
      <c r="C1570">
        <v>0</v>
      </c>
      <c r="D1570">
        <v>1725</v>
      </c>
      <c r="E1570">
        <v>1.37</v>
      </c>
      <c r="F1570">
        <v>27.02</v>
      </c>
      <c r="G1570">
        <v>754</v>
      </c>
      <c r="H1570">
        <v>1131</v>
      </c>
      <c r="I1570">
        <v>1238</v>
      </c>
      <c r="J1570">
        <v>56.28</v>
      </c>
      <c r="K1570">
        <v>34.45</v>
      </c>
      <c r="L1570">
        <v>28.22</v>
      </c>
      <c r="M1570">
        <v>4.35</v>
      </c>
      <c r="N1570" t="b">
        <v>1</v>
      </c>
      <c r="O1570">
        <v>48</v>
      </c>
      <c r="P1570" t="s">
        <v>1576</v>
      </c>
      <c r="Q1570" t="s">
        <v>3525</v>
      </c>
      <c r="R1570">
        <v>19.78240172824604</v>
      </c>
      <c r="S1570">
        <v>809</v>
      </c>
      <c r="T1570">
        <v>1403895</v>
      </c>
      <c r="U1570" t="s">
        <v>5547</v>
      </c>
      <c r="V1570">
        <v>21.59</v>
      </c>
      <c r="W1570" t="s">
        <v>7749</v>
      </c>
      <c r="X1570" t="s">
        <v>9709</v>
      </c>
      <c r="Y1570">
        <v>590</v>
      </c>
      <c r="Z1570">
        <v>52</v>
      </c>
      <c r="AA1570">
        <v>762797</v>
      </c>
    </row>
    <row r="1571" spans="1:28">
      <c r="A1571" s="2">
        <f>HYPERLINK("https://finance.naver.com/item/coinfo.nhn?code=122450", "A122450")</f>
        <v>0</v>
      </c>
      <c r="B1571">
        <f>HYPERLINK("http://comp.fnguide.com/SVO2/ASP/SVD_Consensus.asp?pGB=1&amp;gicode=A122450&amp;cID=&amp;MenuYn=Y&amp;ReportGB=&amp;NewMenuID=108&amp;stkGb=701", "KMH")</f>
        <v>0</v>
      </c>
      <c r="C1571">
        <v>0</v>
      </c>
      <c r="D1571">
        <v>21200</v>
      </c>
      <c r="E1571">
        <v>0.44</v>
      </c>
      <c r="F1571">
        <v>8.07</v>
      </c>
      <c r="G1571">
        <v>18051</v>
      </c>
      <c r="H1571">
        <v>13008</v>
      </c>
      <c r="I1571">
        <v>11570</v>
      </c>
      <c r="J1571">
        <v>14.85</v>
      </c>
      <c r="K1571">
        <v>38.64</v>
      </c>
      <c r="L1571">
        <v>45.42</v>
      </c>
      <c r="M1571">
        <v>14.9</v>
      </c>
      <c r="N1571" t="b">
        <v>1</v>
      </c>
      <c r="O1571">
        <v>667</v>
      </c>
      <c r="P1571" t="s">
        <v>1577</v>
      </c>
      <c r="Q1571" t="s">
        <v>3526</v>
      </c>
      <c r="R1571">
        <v>18.26999952733623</v>
      </c>
      <c r="S1571">
        <v>4806</v>
      </c>
      <c r="T1571">
        <v>967002</v>
      </c>
      <c r="U1571" t="s">
        <v>5548</v>
      </c>
      <c r="V1571">
        <v>44.51</v>
      </c>
      <c r="W1571" t="s">
        <v>7750</v>
      </c>
      <c r="X1571" t="s">
        <v>9710</v>
      </c>
      <c r="Y1571">
        <v>2580</v>
      </c>
      <c r="Z1571">
        <v>449</v>
      </c>
      <c r="AB1571">
        <v>1.3</v>
      </c>
    </row>
    <row r="1572" spans="1:28">
      <c r="A1572" s="2">
        <f>HYPERLINK("https://finance.naver.com/item/coinfo.nhn?code=060720", "A060720")</f>
        <v>0</v>
      </c>
      <c r="B1572">
        <f>HYPERLINK("http://comp.fnguide.com/SVO2/ASP/SVD_Consensus.asp?pGB=1&amp;gicode=A060720&amp;cID=&amp;MenuYn=Y&amp;ReportGB=&amp;NewMenuID=108&amp;stkGb=701", "KH바텍")</f>
        <v>0</v>
      </c>
      <c r="C1572">
        <v>0</v>
      </c>
      <c r="D1572">
        <v>18300</v>
      </c>
      <c r="G1572">
        <v>0</v>
      </c>
      <c r="H1572">
        <v>4916</v>
      </c>
      <c r="I1572">
        <v>6316</v>
      </c>
      <c r="J1572">
        <v>100</v>
      </c>
      <c r="K1572">
        <v>73.14</v>
      </c>
      <c r="L1572">
        <v>65.48999999999999</v>
      </c>
      <c r="M1572">
        <v>0</v>
      </c>
      <c r="N1572" t="b">
        <v>0</v>
      </c>
      <c r="O1572">
        <v>-494</v>
      </c>
      <c r="P1572" t="s">
        <v>1578</v>
      </c>
      <c r="Q1572" t="s">
        <v>3527</v>
      </c>
      <c r="R1572">
        <v>-88</v>
      </c>
      <c r="S1572">
        <v>4332</v>
      </c>
      <c r="T1572">
        <v>184213</v>
      </c>
      <c r="U1572" t="s">
        <v>5549</v>
      </c>
      <c r="V1572">
        <v>25.27</v>
      </c>
      <c r="W1572" t="s">
        <v>7751</v>
      </c>
      <c r="X1572" t="s">
        <v>9711</v>
      </c>
      <c r="Y1572">
        <v>2036</v>
      </c>
      <c r="Z1572">
        <v>70</v>
      </c>
      <c r="AA1572">
        <v>1000000</v>
      </c>
    </row>
    <row r="1573" spans="1:28">
      <c r="A1573" s="2">
        <f>HYPERLINK("https://finance.naver.com/item/coinfo.nhn?code=035600", "A035600")</f>
        <v>0</v>
      </c>
      <c r="B1573">
        <f>HYPERLINK("http://comp.fnguide.com/SVO2/ASP/SVD_Consensus.asp?pGB=1&amp;gicode=A035600&amp;cID=&amp;MenuYn=Y&amp;ReportGB=&amp;NewMenuID=108&amp;stkGb=701", "KG이니시스")</f>
        <v>0</v>
      </c>
      <c r="C1573">
        <v>0</v>
      </c>
      <c r="D1573">
        <v>19750</v>
      </c>
      <c r="E1573">
        <v>1.49</v>
      </c>
      <c r="F1573">
        <v>9.49</v>
      </c>
      <c r="G1573">
        <v>19603</v>
      </c>
      <c r="H1573">
        <v>13454</v>
      </c>
      <c r="I1573">
        <v>11702</v>
      </c>
      <c r="J1573">
        <v>0.74</v>
      </c>
      <c r="K1573">
        <v>31.88</v>
      </c>
      <c r="L1573">
        <v>40.75</v>
      </c>
      <c r="M1573">
        <v>16.68</v>
      </c>
      <c r="N1573" t="b">
        <v>1</v>
      </c>
      <c r="O1573">
        <v>1792</v>
      </c>
      <c r="P1573" t="s">
        <v>1579</v>
      </c>
      <c r="Q1573" t="s">
        <v>3528</v>
      </c>
      <c r="R1573">
        <v>6.374997062279641</v>
      </c>
      <c r="S1573">
        <v>5511</v>
      </c>
      <c r="T1573">
        <v>176621</v>
      </c>
      <c r="U1573" t="s">
        <v>5550</v>
      </c>
      <c r="V1573">
        <v>41.03</v>
      </c>
      <c r="W1573" t="s">
        <v>7752</v>
      </c>
      <c r="X1573" t="s">
        <v>9712</v>
      </c>
      <c r="Y1573">
        <v>9561</v>
      </c>
      <c r="Z1573">
        <v>861</v>
      </c>
      <c r="AA1573">
        <v>1285946</v>
      </c>
      <c r="AB1573">
        <v>1.94</v>
      </c>
    </row>
    <row r="1574" spans="1:28">
      <c r="A1574" s="2">
        <f>HYPERLINK("https://finance.naver.com/item/coinfo.nhn?code=046440", "A046440")</f>
        <v>0</v>
      </c>
      <c r="B1574">
        <f>HYPERLINK("http://comp.fnguide.com/SVO2/ASP/SVD_Consensus.asp?pGB=1&amp;gicode=A046440&amp;cID=&amp;MenuYn=Y&amp;ReportGB=&amp;NewMenuID=108&amp;stkGb=701", "KG모빌리언스")</f>
        <v>0</v>
      </c>
      <c r="C1574">
        <v>0</v>
      </c>
      <c r="D1574">
        <v>10400</v>
      </c>
      <c r="E1574">
        <v>2.17</v>
      </c>
      <c r="F1574">
        <v>10.2</v>
      </c>
      <c r="G1574">
        <v>5524</v>
      </c>
      <c r="H1574">
        <v>5778</v>
      </c>
      <c r="I1574">
        <v>5851</v>
      </c>
      <c r="J1574">
        <v>46.88</v>
      </c>
      <c r="K1574">
        <v>44.44</v>
      </c>
      <c r="L1574">
        <v>43.74</v>
      </c>
      <c r="M1574">
        <v>7.4</v>
      </c>
      <c r="N1574" t="b">
        <v>1</v>
      </c>
      <c r="O1574">
        <v>601</v>
      </c>
      <c r="P1574" t="s">
        <v>1580</v>
      </c>
      <c r="Q1574" t="s">
        <v>3529</v>
      </c>
      <c r="R1574">
        <v>4.700283902341962</v>
      </c>
      <c r="S1574">
        <v>4038</v>
      </c>
      <c r="T1574">
        <v>1017255</v>
      </c>
      <c r="U1574" t="s">
        <v>5551</v>
      </c>
      <c r="V1574">
        <v>50.71</v>
      </c>
      <c r="W1574" t="s">
        <v>7753</v>
      </c>
      <c r="X1574" t="s">
        <v>9713</v>
      </c>
      <c r="Y1574">
        <v>1922</v>
      </c>
      <c r="Z1574">
        <v>348</v>
      </c>
      <c r="AA1574">
        <v>907780</v>
      </c>
      <c r="AB1574">
        <v>3.26</v>
      </c>
    </row>
    <row r="1575" spans="1:28">
      <c r="A1575" s="2">
        <f>HYPERLINK("https://finance.naver.com/item/coinfo.nhn?code=099220", "A099220")</f>
        <v>0</v>
      </c>
      <c r="B1575">
        <f>HYPERLINK("http://comp.fnguide.com/SVO2/ASP/SVD_Consensus.asp?pGB=1&amp;gicode=A099220&amp;cID=&amp;MenuYn=Y&amp;ReportGB=&amp;NewMenuID=108&amp;stkGb=701", "SDN")</f>
        <v>0</v>
      </c>
      <c r="C1575">
        <v>0</v>
      </c>
      <c r="D1575">
        <v>3950</v>
      </c>
      <c r="E1575">
        <v>2.08</v>
      </c>
      <c r="F1575">
        <v>34.67</v>
      </c>
      <c r="G1575">
        <v>943</v>
      </c>
      <c r="H1575">
        <v>1324</v>
      </c>
      <c r="I1575">
        <v>1433</v>
      </c>
      <c r="J1575">
        <v>76.13</v>
      </c>
      <c r="K1575">
        <v>66.48</v>
      </c>
      <c r="L1575">
        <v>63.73</v>
      </c>
      <c r="M1575">
        <v>4.76</v>
      </c>
      <c r="N1575" t="b">
        <v>1</v>
      </c>
      <c r="O1575">
        <v>86</v>
      </c>
      <c r="P1575" t="s">
        <v>1581</v>
      </c>
      <c r="Q1575" t="s">
        <v>3530</v>
      </c>
      <c r="R1575">
        <v>16.70350585833018</v>
      </c>
      <c r="S1575">
        <v>1903</v>
      </c>
      <c r="T1575">
        <v>2376796</v>
      </c>
      <c r="U1575" t="s">
        <v>5552</v>
      </c>
      <c r="V1575">
        <v>14.13</v>
      </c>
      <c r="W1575" t="s">
        <v>7754</v>
      </c>
      <c r="X1575" t="s">
        <v>9714</v>
      </c>
      <c r="Y1575">
        <v>650</v>
      </c>
      <c r="Z1575">
        <v>30</v>
      </c>
    </row>
    <row r="1576" spans="1:28">
      <c r="A1576" s="2">
        <f>HYPERLINK("https://finance.naver.com/item/coinfo.nhn?code=036540", "A036540")</f>
        <v>0</v>
      </c>
      <c r="B1576">
        <f>HYPERLINK("http://comp.fnguide.com/SVO2/ASP/SVD_Consensus.asp?pGB=1&amp;gicode=A036540&amp;cID=&amp;MenuYn=Y&amp;ReportGB=&amp;NewMenuID=108&amp;stkGb=701", "SFA반도체")</f>
        <v>0</v>
      </c>
      <c r="C1576">
        <v>0</v>
      </c>
      <c r="D1576">
        <v>5420</v>
      </c>
      <c r="E1576">
        <v>1.67</v>
      </c>
      <c r="F1576">
        <v>29.78</v>
      </c>
      <c r="G1576">
        <v>1334</v>
      </c>
      <c r="H1576">
        <v>1611</v>
      </c>
      <c r="I1576">
        <v>1690</v>
      </c>
      <c r="J1576">
        <v>75.39</v>
      </c>
      <c r="K1576">
        <v>70.27</v>
      </c>
      <c r="L1576">
        <v>68.81</v>
      </c>
      <c r="M1576">
        <v>5.92</v>
      </c>
      <c r="N1576" t="b">
        <v>1</v>
      </c>
      <c r="O1576">
        <v>145</v>
      </c>
      <c r="P1576" t="s">
        <v>1582</v>
      </c>
      <c r="Q1576" t="s">
        <v>3531</v>
      </c>
      <c r="R1576">
        <v>17.87312956777378</v>
      </c>
      <c r="S1576">
        <v>8914</v>
      </c>
      <c r="T1576">
        <v>2038018</v>
      </c>
      <c r="U1576" t="s">
        <v>5553</v>
      </c>
      <c r="V1576">
        <v>55</v>
      </c>
      <c r="W1576" t="s">
        <v>7755</v>
      </c>
      <c r="X1576" t="s">
        <v>9715</v>
      </c>
      <c r="Y1576">
        <v>5889</v>
      </c>
      <c r="Z1576">
        <v>391</v>
      </c>
      <c r="AA1576">
        <v>725304</v>
      </c>
    </row>
    <row r="1577" spans="1:28">
      <c r="A1577" s="2">
        <f>HYPERLINK("https://finance.naver.com/item/coinfo.nhn?code=049470", "A049470")</f>
        <v>0</v>
      </c>
      <c r="B1577">
        <f>HYPERLINK("http://comp.fnguide.com/SVO2/ASP/SVD_Consensus.asp?pGB=1&amp;gicode=A049470&amp;cID=&amp;MenuYn=Y&amp;ReportGB=&amp;NewMenuID=108&amp;stkGb=701", "SGA")</f>
        <v>0</v>
      </c>
      <c r="C1577">
        <v>0</v>
      </c>
      <c r="D1577">
        <v>995</v>
      </c>
      <c r="E1577">
        <v>0</v>
      </c>
      <c r="G1577">
        <v>0</v>
      </c>
      <c r="H1577">
        <v>349</v>
      </c>
      <c r="I1577">
        <v>449</v>
      </c>
      <c r="J1577">
        <v>100</v>
      </c>
      <c r="K1577">
        <v>64.89</v>
      </c>
      <c r="L1577">
        <v>54.89</v>
      </c>
      <c r="M1577">
        <v>0</v>
      </c>
      <c r="N1577" t="b">
        <v>0</v>
      </c>
      <c r="O1577">
        <v>-343</v>
      </c>
      <c r="P1577" t="s">
        <v>1583</v>
      </c>
      <c r="Q1577" t="s">
        <v>2276</v>
      </c>
      <c r="R1577">
        <v>0</v>
      </c>
      <c r="S1577">
        <v>481</v>
      </c>
      <c r="T1577">
        <v>12006889</v>
      </c>
      <c r="U1577" t="s">
        <v>5554</v>
      </c>
      <c r="V1577">
        <v>28.93</v>
      </c>
      <c r="W1577" t="s">
        <v>7756</v>
      </c>
      <c r="X1577" t="s">
        <v>968</v>
      </c>
      <c r="Y1577">
        <v>815</v>
      </c>
      <c r="Z1577">
        <v>-110</v>
      </c>
      <c r="AA1577">
        <v>375834</v>
      </c>
    </row>
    <row r="1578" spans="1:28">
      <c r="A1578" s="2">
        <f>HYPERLINK("https://finance.naver.com/item/coinfo.nhn?code=048770", "A048770")</f>
        <v>0</v>
      </c>
      <c r="B1578">
        <f>HYPERLINK("http://comp.fnguide.com/SVO2/ASP/SVD_Consensus.asp?pGB=1&amp;gicode=A048770&amp;cID=&amp;MenuYn=Y&amp;ReportGB=&amp;NewMenuID=108&amp;stkGb=701", "TPC")</f>
        <v>0</v>
      </c>
      <c r="C1578">
        <v>0</v>
      </c>
      <c r="D1578">
        <v>3910</v>
      </c>
      <c r="G1578">
        <v>2007</v>
      </c>
      <c r="H1578">
        <v>2018</v>
      </c>
      <c r="I1578">
        <v>2021</v>
      </c>
      <c r="J1578">
        <v>48.66</v>
      </c>
      <c r="K1578">
        <v>48.39</v>
      </c>
      <c r="L1578">
        <v>48.31</v>
      </c>
      <c r="M1578">
        <v>7.9</v>
      </c>
      <c r="N1578" t="b">
        <v>0</v>
      </c>
      <c r="O1578">
        <v>-303</v>
      </c>
      <c r="P1578" t="s">
        <v>1584</v>
      </c>
      <c r="Q1578" t="s">
        <v>3532</v>
      </c>
      <c r="R1578">
        <v>2.800000000000002</v>
      </c>
      <c r="S1578">
        <v>527</v>
      </c>
      <c r="T1578">
        <v>49813</v>
      </c>
      <c r="U1578" t="s">
        <v>5555</v>
      </c>
      <c r="V1578">
        <v>57.71</v>
      </c>
      <c r="W1578" t="s">
        <v>7757</v>
      </c>
      <c r="X1578" t="s">
        <v>9716</v>
      </c>
      <c r="Y1578">
        <v>1011</v>
      </c>
      <c r="Z1578">
        <v>2</v>
      </c>
      <c r="AB1578">
        <v>0.37</v>
      </c>
    </row>
    <row r="1579" spans="1:28">
      <c r="A1579" s="2">
        <f>HYPERLINK("https://finance.naver.com/item/coinfo.nhn?code=217730", "A217730")</f>
        <v>0</v>
      </c>
      <c r="B1579">
        <f>HYPERLINK("http://comp.fnguide.com/SVO2/ASP/SVD_Consensus.asp?pGB=1&amp;gicode=A217730&amp;cID=&amp;MenuYn=Y&amp;ReportGB=&amp;NewMenuID=108&amp;stkGb=701", "강스템바이오텍")</f>
        <v>0</v>
      </c>
      <c r="C1579">
        <v>0</v>
      </c>
      <c r="D1579">
        <v>7140</v>
      </c>
      <c r="E1579">
        <v>0</v>
      </c>
      <c r="G1579">
        <v>0</v>
      </c>
      <c r="H1579">
        <v>1710</v>
      </c>
      <c r="I1579">
        <v>2198</v>
      </c>
      <c r="J1579">
        <v>100</v>
      </c>
      <c r="K1579">
        <v>76.05</v>
      </c>
      <c r="L1579">
        <v>69.22</v>
      </c>
      <c r="M1579">
        <v>0</v>
      </c>
      <c r="N1579" t="b">
        <v>0</v>
      </c>
      <c r="O1579">
        <v>-1101</v>
      </c>
      <c r="P1579" t="s">
        <v>1585</v>
      </c>
      <c r="Q1579" t="s">
        <v>2276</v>
      </c>
      <c r="R1579">
        <v>0</v>
      </c>
      <c r="S1579">
        <v>1773</v>
      </c>
      <c r="T1579">
        <v>351826</v>
      </c>
      <c r="U1579" t="s">
        <v>5556</v>
      </c>
      <c r="V1579">
        <v>10.26</v>
      </c>
      <c r="W1579" t="s">
        <v>7758</v>
      </c>
      <c r="X1579" t="s">
        <v>968</v>
      </c>
      <c r="Y1579">
        <v>60</v>
      </c>
      <c r="Z1579">
        <v>-232</v>
      </c>
    </row>
    <row r="1580" spans="1:28">
      <c r="A1580" s="2">
        <f>HYPERLINK("https://finance.naver.com/item/coinfo.nhn?code=192410", "A192410")</f>
        <v>0</v>
      </c>
      <c r="B1580">
        <f>HYPERLINK("http://comp.fnguide.com/SVO2/ASP/SVD_Consensus.asp?pGB=1&amp;gicode=A192410&amp;cID=&amp;MenuYn=Y&amp;ReportGB=&amp;NewMenuID=108&amp;stkGb=701", "감마누")</f>
        <v>0</v>
      </c>
      <c r="C1580">
        <v>0</v>
      </c>
      <c r="D1580">
        <v>2825</v>
      </c>
      <c r="E1580">
        <v>0</v>
      </c>
      <c r="F1580">
        <v>129.6</v>
      </c>
      <c r="G1580">
        <v>269</v>
      </c>
      <c r="H1580">
        <v>723</v>
      </c>
      <c r="I1580">
        <v>852</v>
      </c>
      <c r="J1580">
        <v>90.48999999999999</v>
      </c>
      <c r="K1580">
        <v>74.41</v>
      </c>
      <c r="L1580">
        <v>69.83</v>
      </c>
      <c r="M1580">
        <v>2.09</v>
      </c>
      <c r="N1580" t="b">
        <v>0</v>
      </c>
      <c r="O1580">
        <v>47</v>
      </c>
      <c r="P1580" t="s">
        <v>1586</v>
      </c>
      <c r="Q1580" t="s">
        <v>2276</v>
      </c>
      <c r="R1580">
        <v>0</v>
      </c>
      <c r="S1580">
        <v>673</v>
      </c>
      <c r="T1580">
        <v>691785</v>
      </c>
      <c r="U1580" t="s">
        <v>5557</v>
      </c>
      <c r="V1580">
        <v>50.49</v>
      </c>
      <c r="W1580" t="s">
        <v>7759</v>
      </c>
      <c r="X1580" t="s">
        <v>9717</v>
      </c>
      <c r="Y1580">
        <v>313</v>
      </c>
      <c r="Z1580">
        <v>36</v>
      </c>
      <c r="AA1580">
        <v>684</v>
      </c>
    </row>
    <row r="1581" spans="1:28">
      <c r="A1581" s="2">
        <f>HYPERLINK("https://finance.naver.com/item/coinfo.nhn?code=079940", "A079940")</f>
        <v>0</v>
      </c>
      <c r="B1581">
        <f>HYPERLINK("http://comp.fnguide.com/SVO2/ASP/SVD_Consensus.asp?pGB=1&amp;gicode=A079940&amp;cID=&amp;MenuYn=Y&amp;ReportGB=&amp;NewMenuID=108&amp;stkGb=701", "가비아")</f>
        <v>0</v>
      </c>
      <c r="C1581">
        <v>0</v>
      </c>
      <c r="D1581">
        <v>12650</v>
      </c>
      <c r="E1581">
        <v>0.6</v>
      </c>
      <c r="F1581">
        <v>10.48</v>
      </c>
      <c r="G1581">
        <v>9539</v>
      </c>
      <c r="H1581">
        <v>7182</v>
      </c>
      <c r="I1581">
        <v>6510</v>
      </c>
      <c r="J1581">
        <v>24.59</v>
      </c>
      <c r="K1581">
        <v>43.23</v>
      </c>
      <c r="L1581">
        <v>48.54</v>
      </c>
      <c r="M1581">
        <v>13.54</v>
      </c>
      <c r="N1581" t="b">
        <v>1</v>
      </c>
      <c r="O1581">
        <v>790</v>
      </c>
      <c r="P1581" t="s">
        <v>1587</v>
      </c>
      <c r="Q1581" t="s">
        <v>3533</v>
      </c>
      <c r="R1581">
        <v>17.55431439425426</v>
      </c>
      <c r="S1581">
        <v>1712</v>
      </c>
      <c r="T1581">
        <v>130428</v>
      </c>
      <c r="U1581" t="s">
        <v>5558</v>
      </c>
      <c r="V1581">
        <v>24.89</v>
      </c>
      <c r="W1581" t="s">
        <v>7760</v>
      </c>
      <c r="X1581" t="s">
        <v>9718</v>
      </c>
      <c r="Y1581">
        <v>1483</v>
      </c>
      <c r="Z1581">
        <v>237</v>
      </c>
      <c r="AA1581">
        <v>500366</v>
      </c>
      <c r="AB1581">
        <v>0.48</v>
      </c>
    </row>
    <row r="1582" spans="1:28">
      <c r="A1582" s="2">
        <f>HYPERLINK("https://finance.naver.com/item/coinfo.nhn?code=052220", "A052220")</f>
        <v>0</v>
      </c>
      <c r="B1582">
        <f>HYPERLINK("http://comp.fnguide.com/SVO2/ASP/SVD_Consensus.asp?pGB=1&amp;gicode=A052220&amp;cID=&amp;MenuYn=Y&amp;ReportGB=&amp;NewMenuID=108&amp;stkGb=701", "iMBC")</f>
        <v>0</v>
      </c>
      <c r="C1582">
        <v>0</v>
      </c>
      <c r="D1582">
        <v>3320</v>
      </c>
      <c r="E1582">
        <v>-1.27</v>
      </c>
      <c r="F1582">
        <v>26.06</v>
      </c>
      <c r="G1582">
        <v>594</v>
      </c>
      <c r="H1582">
        <v>1601</v>
      </c>
      <c r="I1582">
        <v>1888</v>
      </c>
      <c r="J1582">
        <v>82.12</v>
      </c>
      <c r="K1582">
        <v>51.79</v>
      </c>
      <c r="L1582">
        <v>43.15</v>
      </c>
      <c r="M1582">
        <v>2.08</v>
      </c>
      <c r="N1582" t="b">
        <v>1</v>
      </c>
      <c r="O1582">
        <v>93</v>
      </c>
      <c r="P1582" t="s">
        <v>1588</v>
      </c>
      <c r="Q1582" t="s">
        <v>3534</v>
      </c>
      <c r="R1582">
        <v>-20.57154162392424</v>
      </c>
      <c r="S1582">
        <v>764</v>
      </c>
      <c r="T1582">
        <v>917054</v>
      </c>
      <c r="U1582" t="s">
        <v>5559</v>
      </c>
      <c r="V1582">
        <v>58.26</v>
      </c>
      <c r="W1582" t="s">
        <v>7761</v>
      </c>
      <c r="X1582" t="s">
        <v>9719</v>
      </c>
      <c r="Y1582">
        <v>516</v>
      </c>
      <c r="Z1582">
        <v>17</v>
      </c>
    </row>
    <row r="1583" spans="1:28">
      <c r="A1583" s="2">
        <f>HYPERLINK("https://finance.naver.com/item/coinfo.nhn?code=057030", "A057030")</f>
        <v>0</v>
      </c>
      <c r="B1583">
        <f>HYPERLINK("http://comp.fnguide.com/SVO2/ASP/SVD_Consensus.asp?pGB=1&amp;gicode=A057030&amp;cID=&amp;MenuYn=Y&amp;ReportGB=&amp;NewMenuID=108&amp;stkGb=701", "YBM넷")</f>
        <v>0</v>
      </c>
      <c r="C1583">
        <v>0</v>
      </c>
      <c r="D1583">
        <v>10450</v>
      </c>
      <c r="E1583">
        <v>0.09</v>
      </c>
      <c r="F1583">
        <v>35.49</v>
      </c>
      <c r="G1583">
        <v>787</v>
      </c>
      <c r="H1583">
        <v>1877</v>
      </c>
      <c r="I1583">
        <v>2188</v>
      </c>
      <c r="J1583">
        <v>92.47</v>
      </c>
      <c r="K1583">
        <v>82.04000000000001</v>
      </c>
      <c r="L1583">
        <v>79.06999999999999</v>
      </c>
      <c r="M1583">
        <v>2.41</v>
      </c>
      <c r="N1583" t="b">
        <v>0</v>
      </c>
      <c r="O1583">
        <v>109</v>
      </c>
      <c r="P1583" t="s">
        <v>1589</v>
      </c>
      <c r="Q1583" t="s">
        <v>3535</v>
      </c>
      <c r="R1583">
        <v>382.4</v>
      </c>
      <c r="S1583">
        <v>1705</v>
      </c>
      <c r="T1583">
        <v>8471035</v>
      </c>
      <c r="U1583" t="s">
        <v>5560</v>
      </c>
      <c r="V1583">
        <v>48.3</v>
      </c>
      <c r="W1583" t="s">
        <v>7762</v>
      </c>
      <c r="X1583" t="s">
        <v>9720</v>
      </c>
      <c r="Y1583">
        <v>601</v>
      </c>
      <c r="Z1583">
        <v>26</v>
      </c>
      <c r="AA1583">
        <v>128350</v>
      </c>
    </row>
    <row r="1584" spans="1:28">
      <c r="A1584" s="2">
        <f>HYPERLINK("https://finance.naver.com/item/coinfo.nhn?code=052300", "A052300")</f>
        <v>0</v>
      </c>
      <c r="B1584">
        <f>HYPERLINK("http://comp.fnguide.com/SVO2/ASP/SVD_Consensus.asp?pGB=1&amp;gicode=A052300&amp;cID=&amp;MenuYn=Y&amp;ReportGB=&amp;NewMenuID=108&amp;stkGb=701", "W홀딩컴퍼니")</f>
        <v>0</v>
      </c>
      <c r="C1584">
        <v>0</v>
      </c>
      <c r="D1584">
        <v>330</v>
      </c>
      <c r="G1584">
        <v>31</v>
      </c>
      <c r="H1584">
        <v>237</v>
      </c>
      <c r="I1584">
        <v>296</v>
      </c>
      <c r="J1584">
        <v>90.63</v>
      </c>
      <c r="K1584">
        <v>28.09</v>
      </c>
      <c r="L1584">
        <v>10.27</v>
      </c>
      <c r="M1584">
        <v>0.66</v>
      </c>
      <c r="N1584" t="b">
        <v>0</v>
      </c>
      <c r="O1584">
        <v>-94</v>
      </c>
      <c r="P1584" t="s">
        <v>1590</v>
      </c>
      <c r="Q1584" t="s">
        <v>3536</v>
      </c>
      <c r="R1584">
        <v>-30.9521904764532</v>
      </c>
      <c r="S1584">
        <v>767</v>
      </c>
      <c r="T1584">
        <v>3977773</v>
      </c>
      <c r="U1584" t="s">
        <v>5561</v>
      </c>
      <c r="V1584">
        <v>15.31</v>
      </c>
      <c r="W1584" t="s">
        <v>7763</v>
      </c>
      <c r="X1584" t="s">
        <v>9721</v>
      </c>
      <c r="Y1584">
        <v>180</v>
      </c>
      <c r="Z1584">
        <v>-38</v>
      </c>
      <c r="AA1584">
        <v>43910</v>
      </c>
    </row>
    <row r="1585" spans="1:28">
      <c r="A1585" s="2">
        <f>HYPERLINK("https://finance.naver.com/item/coinfo.nhn?code=073570", "A073570")</f>
        <v>0</v>
      </c>
      <c r="B1585">
        <f>HYPERLINK("http://comp.fnguide.com/SVO2/ASP/SVD_Consensus.asp?pGB=1&amp;gicode=A073570&amp;cID=&amp;MenuYn=Y&amp;ReportGB=&amp;NewMenuID=108&amp;stkGb=701", "WI")</f>
        <v>0</v>
      </c>
      <c r="C1585">
        <v>0</v>
      </c>
      <c r="D1585">
        <v>1500</v>
      </c>
      <c r="E1585">
        <v>0</v>
      </c>
      <c r="F1585">
        <v>97.06999999999999</v>
      </c>
      <c r="G1585">
        <v>123</v>
      </c>
      <c r="H1585">
        <v>352</v>
      </c>
      <c r="I1585">
        <v>417</v>
      </c>
      <c r="J1585">
        <v>91.8</v>
      </c>
      <c r="K1585">
        <v>76.55</v>
      </c>
      <c r="L1585">
        <v>72.20999999999999</v>
      </c>
      <c r="M1585">
        <v>1.95</v>
      </c>
      <c r="N1585" t="b">
        <v>0</v>
      </c>
      <c r="O1585">
        <v>20</v>
      </c>
      <c r="P1585" t="s">
        <v>1591</v>
      </c>
      <c r="Q1585" t="s">
        <v>2276</v>
      </c>
      <c r="R1585">
        <v>0</v>
      </c>
      <c r="S1585">
        <v>1138</v>
      </c>
      <c r="T1585">
        <v>2285016</v>
      </c>
      <c r="U1585" t="s">
        <v>5562</v>
      </c>
      <c r="V1585">
        <v>37.21</v>
      </c>
      <c r="W1585" t="s">
        <v>7764</v>
      </c>
      <c r="X1585" t="s">
        <v>9722</v>
      </c>
      <c r="Y1585">
        <v>241</v>
      </c>
      <c r="Z1585">
        <v>9</v>
      </c>
      <c r="AA1585">
        <v>5140</v>
      </c>
    </row>
    <row r="1586" spans="1:28">
      <c r="A1586" s="2">
        <f>HYPERLINK("https://finance.naver.com/item/coinfo.nhn?code=038340", "A038340")</f>
        <v>0</v>
      </c>
      <c r="B1586">
        <f>HYPERLINK("http://comp.fnguide.com/SVO2/ASP/SVD_Consensus.asp?pGB=1&amp;gicode=A038340&amp;cID=&amp;MenuYn=Y&amp;ReportGB=&amp;NewMenuID=108&amp;stkGb=701", "UCI")</f>
        <v>0</v>
      </c>
      <c r="C1586">
        <v>0</v>
      </c>
      <c r="D1586">
        <v>2005</v>
      </c>
      <c r="E1586">
        <v>0</v>
      </c>
      <c r="G1586">
        <v>0</v>
      </c>
      <c r="H1586">
        <v>591</v>
      </c>
      <c r="I1586">
        <v>760</v>
      </c>
      <c r="J1586">
        <v>100</v>
      </c>
      <c r="K1586">
        <v>70.51000000000001</v>
      </c>
      <c r="L1586">
        <v>62.11</v>
      </c>
      <c r="M1586">
        <v>0</v>
      </c>
      <c r="N1586" t="b">
        <v>0</v>
      </c>
      <c r="O1586">
        <v>-362</v>
      </c>
      <c r="P1586" t="s">
        <v>1592</v>
      </c>
      <c r="Q1586" t="s">
        <v>2276</v>
      </c>
      <c r="R1586">
        <v>0</v>
      </c>
      <c r="S1586">
        <v>750</v>
      </c>
      <c r="T1586">
        <v>1071706</v>
      </c>
      <c r="U1586" t="s">
        <v>5563</v>
      </c>
      <c r="V1586">
        <v>6.83</v>
      </c>
      <c r="W1586" t="s">
        <v>7765</v>
      </c>
      <c r="X1586" t="s">
        <v>968</v>
      </c>
      <c r="Y1586">
        <v>187</v>
      </c>
      <c r="Z1586">
        <v>-46</v>
      </c>
      <c r="AA1586">
        <v>2056</v>
      </c>
    </row>
    <row r="1587" spans="1:28">
      <c r="A1587" s="2">
        <f>HYPERLINK("https://finance.naver.com/item/coinfo.nhn?code=246690", "A246690")</f>
        <v>0</v>
      </c>
      <c r="B1587">
        <f>HYPERLINK("http://comp.fnguide.com/SVO2/ASP/SVD_Consensus.asp?pGB=1&amp;gicode=A246690&amp;cID=&amp;MenuYn=Y&amp;ReportGB=&amp;NewMenuID=108&amp;stkGb=701", "TS인베스트먼트")</f>
        <v>0</v>
      </c>
      <c r="C1587">
        <v>0</v>
      </c>
      <c r="D1587">
        <v>4025</v>
      </c>
      <c r="E1587">
        <v>0</v>
      </c>
      <c r="F1587">
        <v>12.8</v>
      </c>
      <c r="G1587">
        <v>2320</v>
      </c>
      <c r="H1587">
        <v>1721</v>
      </c>
      <c r="I1587">
        <v>1550</v>
      </c>
      <c r="J1587">
        <v>42.35</v>
      </c>
      <c r="K1587">
        <v>57.24</v>
      </c>
      <c r="L1587">
        <v>61.48</v>
      </c>
      <c r="M1587">
        <v>13.98</v>
      </c>
      <c r="N1587" t="b">
        <v>1</v>
      </c>
      <c r="O1587">
        <v>201</v>
      </c>
      <c r="P1587" t="s">
        <v>1593</v>
      </c>
      <c r="Q1587" t="s">
        <v>3532</v>
      </c>
      <c r="R1587">
        <v>2.800000000000002</v>
      </c>
      <c r="S1587">
        <v>977</v>
      </c>
      <c r="T1587">
        <v>14304544</v>
      </c>
      <c r="U1587" t="s">
        <v>5564</v>
      </c>
      <c r="V1587">
        <v>51.3</v>
      </c>
      <c r="W1587" t="s">
        <v>7766</v>
      </c>
      <c r="X1587" t="s">
        <v>9723</v>
      </c>
      <c r="Y1587">
        <v>117</v>
      </c>
      <c r="Z1587">
        <v>56</v>
      </c>
      <c r="AB1587">
        <v>0.97</v>
      </c>
    </row>
    <row r="1588" spans="1:28">
      <c r="A1588" s="2">
        <f>HYPERLINK("https://finance.naver.com/item/coinfo.nhn?code=161570", "A161570")</f>
        <v>0</v>
      </c>
      <c r="B1588">
        <f>HYPERLINK("http://comp.fnguide.com/SVO2/ASP/SVD_Consensus.asp?pGB=1&amp;gicode=A161570&amp;cID=&amp;MenuYn=Y&amp;ReportGB=&amp;NewMenuID=108&amp;stkGb=701", "THE MIDONG")</f>
        <v>0</v>
      </c>
      <c r="C1588">
        <v>0</v>
      </c>
      <c r="D1588">
        <v>2575</v>
      </c>
      <c r="E1588">
        <v>0</v>
      </c>
      <c r="G1588">
        <v>0</v>
      </c>
      <c r="H1588">
        <v>1273</v>
      </c>
      <c r="I1588">
        <v>1636</v>
      </c>
      <c r="J1588">
        <v>100</v>
      </c>
      <c r="K1588">
        <v>50.57</v>
      </c>
      <c r="L1588">
        <v>36.48</v>
      </c>
      <c r="M1588">
        <v>0</v>
      </c>
      <c r="N1588" t="b">
        <v>0</v>
      </c>
      <c r="O1588">
        <v>-237</v>
      </c>
      <c r="P1588" t="s">
        <v>1594</v>
      </c>
      <c r="Q1588" t="s">
        <v>2276</v>
      </c>
      <c r="R1588">
        <v>0</v>
      </c>
      <c r="S1588">
        <v>355</v>
      </c>
      <c r="T1588">
        <v>360818</v>
      </c>
      <c r="U1588" t="s">
        <v>5565</v>
      </c>
      <c r="V1588">
        <v>18.78</v>
      </c>
      <c r="W1588" t="s">
        <v>7767</v>
      </c>
      <c r="X1588" t="s">
        <v>968</v>
      </c>
      <c r="Y1588">
        <v>249</v>
      </c>
      <c r="Z1588">
        <v>-36</v>
      </c>
      <c r="AA1588">
        <v>197827</v>
      </c>
    </row>
    <row r="1589" spans="1:28">
      <c r="A1589" s="2">
        <f>HYPERLINK("https://finance.naver.com/item/coinfo.nhn?code=184230", "A184230")</f>
        <v>0</v>
      </c>
      <c r="B1589">
        <f>HYPERLINK("http://comp.fnguide.com/SVO2/ASP/SVD_Consensus.asp?pGB=1&amp;gicode=A184230&amp;cID=&amp;MenuYn=Y&amp;ReportGB=&amp;NewMenuID=108&amp;stkGb=701", "SGA솔루션즈")</f>
        <v>0</v>
      </c>
      <c r="C1589">
        <v>0</v>
      </c>
      <c r="D1589">
        <v>1245</v>
      </c>
      <c r="G1589">
        <v>48</v>
      </c>
      <c r="H1589">
        <v>319</v>
      </c>
      <c r="I1589">
        <v>397</v>
      </c>
      <c r="J1589">
        <v>96.14</v>
      </c>
      <c r="K1589">
        <v>74.36</v>
      </c>
      <c r="L1589">
        <v>68.15000000000001</v>
      </c>
      <c r="M1589">
        <v>0.77</v>
      </c>
      <c r="N1589" t="b">
        <v>0</v>
      </c>
      <c r="O1589">
        <v>-672</v>
      </c>
      <c r="P1589" t="s">
        <v>1595</v>
      </c>
      <c r="Q1589" t="s">
        <v>3537</v>
      </c>
      <c r="R1589">
        <v>-36.93003884573893</v>
      </c>
      <c r="S1589">
        <v>457</v>
      </c>
      <c r="T1589">
        <v>3112183</v>
      </c>
      <c r="U1589" t="s">
        <v>5566</v>
      </c>
      <c r="V1589">
        <v>36.73</v>
      </c>
      <c r="W1589" t="s">
        <v>7768</v>
      </c>
      <c r="X1589" t="s">
        <v>9724</v>
      </c>
      <c r="Y1589">
        <v>451</v>
      </c>
      <c r="Z1589">
        <v>-85</v>
      </c>
      <c r="AA1589">
        <v>234169</v>
      </c>
    </row>
    <row r="1590" spans="1:28">
      <c r="A1590" s="2">
        <f>HYPERLINK("https://finance.naver.com/item/coinfo.nhn?code=089230", "A089230")</f>
        <v>0</v>
      </c>
      <c r="B1590">
        <f>HYPERLINK("http://comp.fnguide.com/SVO2/ASP/SVD_Consensus.asp?pGB=1&amp;gicode=A089230&amp;cID=&amp;MenuYn=Y&amp;ReportGB=&amp;NewMenuID=108&amp;stkGb=701", "THE E&amp;M")</f>
        <v>0</v>
      </c>
      <c r="C1590">
        <v>0</v>
      </c>
      <c r="D1590">
        <v>1355</v>
      </c>
      <c r="G1590">
        <v>1100</v>
      </c>
      <c r="H1590">
        <v>705</v>
      </c>
      <c r="I1590">
        <v>592</v>
      </c>
      <c r="J1590">
        <v>18.8</v>
      </c>
      <c r="K1590">
        <v>48</v>
      </c>
      <c r="L1590">
        <v>56.32</v>
      </c>
      <c r="M1590">
        <v>19.85</v>
      </c>
      <c r="N1590" t="b">
        <v>0</v>
      </c>
      <c r="O1590">
        <v>-37</v>
      </c>
      <c r="P1590" t="s">
        <v>1596</v>
      </c>
      <c r="Q1590" t="s">
        <v>3538</v>
      </c>
      <c r="R1590">
        <v>-58.8</v>
      </c>
      <c r="S1590">
        <v>1996</v>
      </c>
      <c r="T1590">
        <v>6379867</v>
      </c>
      <c r="U1590" t="s">
        <v>5567</v>
      </c>
      <c r="V1590">
        <v>10.05</v>
      </c>
      <c r="W1590" t="s">
        <v>7769</v>
      </c>
      <c r="X1590" t="s">
        <v>9725</v>
      </c>
      <c r="Y1590">
        <v>448</v>
      </c>
      <c r="Z1590">
        <v>79</v>
      </c>
      <c r="AA1590">
        <v>11960</v>
      </c>
    </row>
    <row r="1591" spans="1:28">
      <c r="A1591" s="2">
        <f>HYPERLINK("https://finance.naver.com/item/coinfo.nhn?code=289080", "A289080")</f>
        <v>0</v>
      </c>
      <c r="B1591">
        <f>HYPERLINK("http://comp.fnguide.com/SVO2/ASP/SVD_Consensus.asp?pGB=1&amp;gicode=A289080&amp;cID=&amp;MenuYn=Y&amp;ReportGB=&amp;NewMenuID=108&amp;stkGb=701", "SV인베스트먼트")</f>
        <v>0</v>
      </c>
      <c r="C1591">
        <v>0</v>
      </c>
      <c r="D1591">
        <v>6000</v>
      </c>
      <c r="E1591">
        <v>0</v>
      </c>
      <c r="G1591">
        <v>1428</v>
      </c>
      <c r="H1591">
        <v>1175</v>
      </c>
      <c r="I1591">
        <v>1103</v>
      </c>
      <c r="J1591">
        <v>76.2</v>
      </c>
      <c r="K1591">
        <v>80.42</v>
      </c>
      <c r="L1591">
        <v>81.62</v>
      </c>
      <c r="M1591">
        <v>11.3</v>
      </c>
      <c r="N1591" t="b">
        <v>0</v>
      </c>
      <c r="O1591">
        <v>-45</v>
      </c>
      <c r="P1591" t="s">
        <v>1597</v>
      </c>
      <c r="Q1591" t="s">
        <v>2938</v>
      </c>
      <c r="R1591">
        <v>0</v>
      </c>
      <c r="S1591">
        <v>3194</v>
      </c>
      <c r="T1591">
        <v>12303907</v>
      </c>
      <c r="U1591" t="s">
        <v>5568</v>
      </c>
      <c r="V1591">
        <v>27.4</v>
      </c>
      <c r="W1591" t="s">
        <v>7770</v>
      </c>
      <c r="X1591" t="s">
        <v>9726</v>
      </c>
      <c r="Y1591">
        <v>116</v>
      </c>
      <c r="Z1591">
        <v>-24</v>
      </c>
      <c r="AB1591">
        <v>0.67</v>
      </c>
    </row>
    <row r="1592" spans="1:28">
      <c r="A1592" s="2">
        <f>HYPERLINK("https://finance.naver.com/item/coinfo.nhn?code=063440", "A063440")</f>
        <v>0</v>
      </c>
      <c r="B1592">
        <f>HYPERLINK("http://comp.fnguide.com/SVO2/ASP/SVD_Consensus.asp?pGB=1&amp;gicode=A063440&amp;cID=&amp;MenuYn=Y&amp;ReportGB=&amp;NewMenuID=108&amp;stkGb=701", "SM Life Design")</f>
        <v>0</v>
      </c>
      <c r="C1592">
        <v>0</v>
      </c>
      <c r="D1592">
        <v>1790</v>
      </c>
      <c r="E1592">
        <v>0</v>
      </c>
      <c r="G1592">
        <v>43</v>
      </c>
      <c r="H1592">
        <v>668</v>
      </c>
      <c r="I1592">
        <v>846</v>
      </c>
      <c r="J1592">
        <v>97.62</v>
      </c>
      <c r="K1592">
        <v>62.67</v>
      </c>
      <c r="L1592">
        <v>52.71</v>
      </c>
      <c r="M1592">
        <v>0.31</v>
      </c>
      <c r="N1592" t="b">
        <v>0</v>
      </c>
      <c r="O1592">
        <v>-67</v>
      </c>
      <c r="P1592" t="s">
        <v>1598</v>
      </c>
      <c r="Q1592" t="s">
        <v>2276</v>
      </c>
      <c r="R1592">
        <v>0</v>
      </c>
      <c r="S1592">
        <v>806</v>
      </c>
      <c r="T1592">
        <v>588903</v>
      </c>
      <c r="U1592" t="s">
        <v>5569</v>
      </c>
      <c r="V1592">
        <v>32.14</v>
      </c>
      <c r="W1592" t="s">
        <v>7771</v>
      </c>
      <c r="X1592" t="s">
        <v>9727</v>
      </c>
      <c r="Y1592">
        <v>370</v>
      </c>
      <c r="Z1592">
        <v>4</v>
      </c>
    </row>
    <row r="1593" spans="1:28">
      <c r="A1593" s="2">
        <f>HYPERLINK("https://finance.naver.com/item/coinfo.nhn?code=048550", "A048550")</f>
        <v>0</v>
      </c>
      <c r="B1593">
        <f>HYPERLINK("http://comp.fnguide.com/SVO2/ASP/SVD_Consensus.asp?pGB=1&amp;gicode=A048550&amp;cID=&amp;MenuYn=Y&amp;ReportGB=&amp;NewMenuID=108&amp;stkGb=701", "SM C&amp;C")</f>
        <v>0</v>
      </c>
      <c r="C1593">
        <v>0</v>
      </c>
      <c r="D1593">
        <v>1760</v>
      </c>
      <c r="E1593">
        <v>0</v>
      </c>
      <c r="F1593">
        <v>38.8</v>
      </c>
      <c r="G1593">
        <v>252</v>
      </c>
      <c r="H1593">
        <v>847</v>
      </c>
      <c r="I1593">
        <v>1016</v>
      </c>
      <c r="J1593">
        <v>85.66</v>
      </c>
      <c r="K1593">
        <v>51.87</v>
      </c>
      <c r="L1593">
        <v>42.25</v>
      </c>
      <c r="M1593">
        <v>1.62</v>
      </c>
      <c r="N1593" t="b">
        <v>0</v>
      </c>
      <c r="O1593">
        <v>39</v>
      </c>
      <c r="P1593" t="s">
        <v>1599</v>
      </c>
      <c r="Q1593" t="s">
        <v>2276</v>
      </c>
      <c r="R1593">
        <v>0</v>
      </c>
      <c r="S1593">
        <v>1665</v>
      </c>
      <c r="T1593">
        <v>959392</v>
      </c>
      <c r="U1593" t="s">
        <v>5570</v>
      </c>
      <c r="V1593">
        <v>57.31</v>
      </c>
      <c r="W1593" t="s">
        <v>7772</v>
      </c>
      <c r="X1593" t="s">
        <v>9728</v>
      </c>
      <c r="Y1593">
        <v>1667</v>
      </c>
      <c r="Z1593">
        <v>48</v>
      </c>
      <c r="AA1593">
        <v>891293</v>
      </c>
    </row>
    <row r="1594" spans="1:28">
      <c r="A1594" s="2">
        <f>HYPERLINK("https://finance.naver.com/item/coinfo.nhn?code=036490", "A036490")</f>
        <v>0</v>
      </c>
      <c r="B1594">
        <f>HYPERLINK("http://comp.fnguide.com/SVO2/ASP/SVD_Consensus.asp?pGB=1&amp;gicode=A036490&amp;cID=&amp;MenuYn=Y&amp;ReportGB=&amp;NewMenuID=108&amp;stkGb=701", "SK머티리얼즈")</f>
        <v>0</v>
      </c>
      <c r="C1594">
        <v>0</v>
      </c>
      <c r="D1594">
        <v>272400</v>
      </c>
      <c r="E1594">
        <v>1.19</v>
      </c>
      <c r="F1594">
        <v>15.27</v>
      </c>
      <c r="G1594">
        <v>192804</v>
      </c>
      <c r="H1594">
        <v>108606</v>
      </c>
      <c r="I1594">
        <v>84615</v>
      </c>
      <c r="J1594">
        <v>29.22</v>
      </c>
      <c r="K1594">
        <v>60.13</v>
      </c>
      <c r="L1594">
        <v>68.94</v>
      </c>
      <c r="M1594">
        <v>29.18</v>
      </c>
      <c r="N1594" t="b">
        <v>1</v>
      </c>
      <c r="O1594">
        <v>12150</v>
      </c>
      <c r="P1594" t="s">
        <v>1600</v>
      </c>
      <c r="Q1594" t="s">
        <v>3539</v>
      </c>
      <c r="R1594">
        <v>12.79280036736297</v>
      </c>
      <c r="S1594">
        <v>28732</v>
      </c>
      <c r="T1594">
        <v>24304</v>
      </c>
      <c r="U1594" t="s">
        <v>5571</v>
      </c>
      <c r="V1594">
        <v>49.11</v>
      </c>
      <c r="W1594" t="s">
        <v>7773</v>
      </c>
      <c r="X1594" t="s">
        <v>9729</v>
      </c>
      <c r="Y1594">
        <v>7722</v>
      </c>
      <c r="Z1594">
        <v>2148</v>
      </c>
      <c r="AA1594">
        <v>1590000</v>
      </c>
      <c r="AB1594">
        <v>2.08</v>
      </c>
    </row>
    <row r="1595" spans="1:28">
      <c r="A1595" s="2">
        <f>HYPERLINK("https://finance.naver.com/item/coinfo.nhn?code=057500", "A057500")</f>
        <v>0</v>
      </c>
      <c r="B1595">
        <f>HYPERLINK("http://comp.fnguide.com/SVO2/ASP/SVD_Consensus.asp?pGB=1&amp;gicode=A057500&amp;cID=&amp;MenuYn=Y&amp;ReportGB=&amp;NewMenuID=108&amp;stkGb=701", "SKC 솔믹스")</f>
        <v>0</v>
      </c>
      <c r="C1595">
        <v>0</v>
      </c>
      <c r="D1595">
        <v>5950</v>
      </c>
      <c r="E1595">
        <v>-8.31</v>
      </c>
      <c r="F1595">
        <v>576.42</v>
      </c>
      <c r="G1595">
        <v>4421</v>
      </c>
      <c r="H1595">
        <v>2702</v>
      </c>
      <c r="I1595">
        <v>2212</v>
      </c>
      <c r="J1595">
        <v>25.7</v>
      </c>
      <c r="K1595">
        <v>54.6</v>
      </c>
      <c r="L1595">
        <v>62.83</v>
      </c>
      <c r="M1595">
        <v>22.59</v>
      </c>
      <c r="N1595" t="b">
        <v>0</v>
      </c>
      <c r="O1595">
        <v>6</v>
      </c>
      <c r="P1595" t="s">
        <v>1601</v>
      </c>
      <c r="Q1595" t="s">
        <v>3540</v>
      </c>
      <c r="R1595">
        <v>-69.38258356870149</v>
      </c>
      <c r="S1595">
        <v>3659</v>
      </c>
      <c r="T1595">
        <v>0</v>
      </c>
      <c r="U1595" t="s">
        <v>5572</v>
      </c>
      <c r="V1595">
        <v>57.73</v>
      </c>
      <c r="W1595" t="s">
        <v>7774</v>
      </c>
      <c r="X1595" t="s">
        <v>9730</v>
      </c>
      <c r="Y1595">
        <v>1388</v>
      </c>
      <c r="Z1595">
        <v>76</v>
      </c>
      <c r="AA1595">
        <v>-1943</v>
      </c>
    </row>
    <row r="1596" spans="1:28">
      <c r="A1596" s="2">
        <f>HYPERLINK("https://finance.naver.com/item/coinfo.nhn?code=340350", "A340350")</f>
        <v>0</v>
      </c>
      <c r="B1596">
        <f>HYPERLINK("http://comp.fnguide.com/SVO2/ASP/SVD_Consensus.asp?pGB=1&amp;gicode=A340350&amp;cID=&amp;MenuYn=Y&amp;ReportGB=&amp;NewMenuID=108&amp;stkGb=701", "SK6호스팩")</f>
        <v>0</v>
      </c>
      <c r="C1596">
        <v>0</v>
      </c>
      <c r="D1596">
        <v>2015</v>
      </c>
      <c r="E1596">
        <v>0</v>
      </c>
      <c r="G1596">
        <v>0</v>
      </c>
      <c r="H1596">
        <v>42</v>
      </c>
      <c r="I1596">
        <v>54</v>
      </c>
      <c r="J1596">
        <v>100</v>
      </c>
      <c r="K1596">
        <v>97.91</v>
      </c>
      <c r="L1596">
        <v>97.31999999999999</v>
      </c>
      <c r="M1596">
        <v>0</v>
      </c>
      <c r="N1596" t="b">
        <v>0</v>
      </c>
      <c r="O1596">
        <v>-100</v>
      </c>
      <c r="P1596" t="s">
        <v>1602</v>
      </c>
      <c r="Q1596" t="s">
        <v>3537</v>
      </c>
      <c r="R1596">
        <v>-36.93003884573893</v>
      </c>
      <c r="S1596">
        <v>115</v>
      </c>
      <c r="T1596">
        <v>13</v>
      </c>
      <c r="U1596" t="s">
        <v>5573</v>
      </c>
      <c r="V1596">
        <v>10.66</v>
      </c>
      <c r="W1596" t="s">
        <v>968</v>
      </c>
      <c r="X1596" t="s">
        <v>968</v>
      </c>
      <c r="Y1596">
        <v>0</v>
      </c>
      <c r="Z1596">
        <v>0</v>
      </c>
    </row>
    <row r="1597" spans="1:28">
      <c r="A1597" s="2">
        <f>HYPERLINK("https://finance.naver.com/item/coinfo.nhn?code=337450", "A337450")</f>
        <v>0</v>
      </c>
      <c r="B1597">
        <f>HYPERLINK("http://comp.fnguide.com/SVO2/ASP/SVD_Consensus.asp?pGB=1&amp;gicode=A337450&amp;cID=&amp;MenuYn=Y&amp;ReportGB=&amp;NewMenuID=108&amp;stkGb=701", "SK5호스팩")</f>
        <v>0</v>
      </c>
      <c r="C1597">
        <v>0</v>
      </c>
      <c r="D1597">
        <v>2020</v>
      </c>
      <c r="E1597">
        <v>0</v>
      </c>
      <c r="G1597">
        <v>0</v>
      </c>
      <c r="H1597">
        <v>1157</v>
      </c>
      <c r="I1597">
        <v>1487</v>
      </c>
      <c r="J1597">
        <v>100</v>
      </c>
      <c r="K1597">
        <v>42.72</v>
      </c>
      <c r="L1597">
        <v>26.4</v>
      </c>
      <c r="M1597">
        <v>0</v>
      </c>
      <c r="N1597" t="b">
        <v>0</v>
      </c>
      <c r="O1597">
        <v>-5</v>
      </c>
      <c r="P1597" t="s">
        <v>1603</v>
      </c>
      <c r="Q1597" t="s">
        <v>3537</v>
      </c>
      <c r="R1597">
        <v>-36.93003884573893</v>
      </c>
      <c r="S1597">
        <v>87</v>
      </c>
      <c r="T1597">
        <v>5319</v>
      </c>
      <c r="U1597" t="s">
        <v>5574</v>
      </c>
      <c r="V1597">
        <v>7.54</v>
      </c>
      <c r="W1597" t="s">
        <v>7775</v>
      </c>
      <c r="X1597" t="s">
        <v>968</v>
      </c>
      <c r="Y1597">
        <v>0</v>
      </c>
      <c r="Z1597">
        <v>0</v>
      </c>
    </row>
    <row r="1598" spans="1:28">
      <c r="A1598" s="2">
        <f>HYPERLINK("https://finance.naver.com/item/coinfo.nhn?code=307070", "A307070")</f>
        <v>0</v>
      </c>
      <c r="B1598">
        <f>HYPERLINK("http://comp.fnguide.com/SVO2/ASP/SVD_Consensus.asp?pGB=1&amp;gicode=A307070&amp;cID=&amp;MenuYn=Y&amp;ReportGB=&amp;NewMenuID=108&amp;stkGb=701", "SK4호스팩")</f>
        <v>0</v>
      </c>
      <c r="C1598">
        <v>0</v>
      </c>
      <c r="D1598">
        <v>2015</v>
      </c>
      <c r="E1598">
        <v>0</v>
      </c>
      <c r="F1598">
        <v>115.28</v>
      </c>
      <c r="G1598">
        <v>112</v>
      </c>
      <c r="H1598">
        <v>1116</v>
      </c>
      <c r="I1598">
        <v>1402</v>
      </c>
      <c r="J1598">
        <v>94.45</v>
      </c>
      <c r="K1598">
        <v>44.62</v>
      </c>
      <c r="L1598">
        <v>30.42</v>
      </c>
      <c r="M1598">
        <v>0.5</v>
      </c>
      <c r="N1598" t="b">
        <v>0</v>
      </c>
      <c r="O1598">
        <v>18</v>
      </c>
      <c r="P1598" t="s">
        <v>1604</v>
      </c>
      <c r="Q1598" t="s">
        <v>3537</v>
      </c>
      <c r="R1598">
        <v>-36.93003884573893</v>
      </c>
      <c r="S1598">
        <v>104</v>
      </c>
      <c r="T1598">
        <v>0</v>
      </c>
      <c r="U1598" t="s">
        <v>5575</v>
      </c>
      <c r="V1598">
        <v>16.47</v>
      </c>
      <c r="W1598" t="s">
        <v>1322</v>
      </c>
      <c r="X1598" t="s">
        <v>9731</v>
      </c>
      <c r="Y1598">
        <v>0</v>
      </c>
      <c r="Z1598">
        <v>0</v>
      </c>
    </row>
    <row r="1599" spans="1:28">
      <c r="A1599" s="2">
        <f>HYPERLINK("https://finance.naver.com/item/coinfo.nhn?code=035900", "A035900")</f>
        <v>0</v>
      </c>
      <c r="B1599">
        <f>HYPERLINK("http://comp.fnguide.com/SVO2/ASP/SVD_Consensus.asp?pGB=1&amp;gicode=A035900&amp;cID=&amp;MenuYn=Y&amp;ReportGB=&amp;NewMenuID=108&amp;stkGb=701", "JYP Ent.")</f>
        <v>0</v>
      </c>
      <c r="C1599">
        <v>0</v>
      </c>
      <c r="D1599">
        <v>40650</v>
      </c>
      <c r="E1599">
        <v>0.5</v>
      </c>
      <c r="F1599">
        <v>27.36</v>
      </c>
      <c r="G1599">
        <v>13267</v>
      </c>
      <c r="H1599">
        <v>8180</v>
      </c>
      <c r="I1599">
        <v>6731</v>
      </c>
      <c r="J1599">
        <v>67.36</v>
      </c>
      <c r="K1599">
        <v>79.88</v>
      </c>
      <c r="L1599">
        <v>83.44</v>
      </c>
      <c r="M1599">
        <v>22.03</v>
      </c>
      <c r="N1599" t="b">
        <v>0</v>
      </c>
      <c r="O1599">
        <v>883</v>
      </c>
      <c r="P1599" t="s">
        <v>1605</v>
      </c>
      <c r="Q1599" t="s">
        <v>3541</v>
      </c>
      <c r="R1599">
        <v>54.97656003397915</v>
      </c>
      <c r="S1599">
        <v>14430</v>
      </c>
      <c r="T1599">
        <v>2109249</v>
      </c>
      <c r="U1599" t="s">
        <v>5576</v>
      </c>
      <c r="V1599">
        <v>18.37</v>
      </c>
      <c r="W1599" t="s">
        <v>7776</v>
      </c>
      <c r="X1599" t="s">
        <v>9732</v>
      </c>
      <c r="Y1599">
        <v>1554</v>
      </c>
      <c r="Z1599">
        <v>435</v>
      </c>
      <c r="AA1599">
        <v>2399431</v>
      </c>
      <c r="AB1599">
        <v>0.64</v>
      </c>
    </row>
    <row r="1600" spans="1:28">
      <c r="A1600" s="2">
        <f>HYPERLINK("https://finance.naver.com/item/coinfo.nhn?code=099520", "A099520")</f>
        <v>0</v>
      </c>
      <c r="B1600">
        <f>HYPERLINK("http://comp.fnguide.com/SVO2/ASP/SVD_Consensus.asp?pGB=1&amp;gicode=A099520&amp;cID=&amp;MenuYn=Y&amp;ReportGB=&amp;NewMenuID=108&amp;stkGb=701", "ITX-AI")</f>
        <v>0</v>
      </c>
      <c r="C1600">
        <v>0</v>
      </c>
      <c r="D1600">
        <v>2380</v>
      </c>
      <c r="E1600">
        <v>0</v>
      </c>
      <c r="G1600">
        <v>0</v>
      </c>
      <c r="H1600">
        <v>202</v>
      </c>
      <c r="I1600">
        <v>260</v>
      </c>
      <c r="J1600">
        <v>100</v>
      </c>
      <c r="K1600">
        <v>91.48999999999999</v>
      </c>
      <c r="L1600">
        <v>89.06999999999999</v>
      </c>
      <c r="M1600">
        <v>0</v>
      </c>
      <c r="N1600" t="b">
        <v>0</v>
      </c>
      <c r="O1600">
        <v>-305</v>
      </c>
      <c r="P1600" t="s">
        <v>1606</v>
      </c>
      <c r="Q1600" t="s">
        <v>2276</v>
      </c>
      <c r="R1600">
        <v>0</v>
      </c>
      <c r="S1600">
        <v>697</v>
      </c>
      <c r="T1600">
        <v>174000</v>
      </c>
      <c r="U1600" t="s">
        <v>5577</v>
      </c>
      <c r="V1600">
        <v>43.71</v>
      </c>
      <c r="W1600" t="s">
        <v>7777</v>
      </c>
      <c r="X1600" t="s">
        <v>968</v>
      </c>
      <c r="Y1600">
        <v>319</v>
      </c>
      <c r="Z1600">
        <v>-29</v>
      </c>
      <c r="AA1600">
        <v>220000</v>
      </c>
    </row>
    <row r="1601" spans="1:28">
      <c r="A1601" s="2">
        <f>HYPERLINK("https://finance.naver.com/item/coinfo.nhn?code=300720", "A300720")</f>
        <v>0</v>
      </c>
      <c r="B1601">
        <f>HYPERLINK("http://comp.fnguide.com/SVO2/ASP/SVD_Consensus.asp?pGB=1&amp;gicode=A300720&amp;cID=&amp;MenuYn=Y&amp;ReportGB=&amp;NewMenuID=108&amp;stkGb=701", "한일시멘트")</f>
        <v>0</v>
      </c>
      <c r="C1601">
        <v>0</v>
      </c>
      <c r="D1601">
        <v>109000</v>
      </c>
      <c r="E1601">
        <v>0</v>
      </c>
      <c r="F1601">
        <v>9.56</v>
      </c>
      <c r="G1601">
        <v>37122</v>
      </c>
      <c r="H1601">
        <v>91773</v>
      </c>
      <c r="I1601">
        <v>107345</v>
      </c>
      <c r="J1601">
        <v>65.94</v>
      </c>
      <c r="K1601">
        <v>15.8</v>
      </c>
      <c r="L1601">
        <v>1.52</v>
      </c>
      <c r="M1601">
        <v>2.31</v>
      </c>
      <c r="N1601" t="b">
        <v>1</v>
      </c>
      <c r="O1601">
        <v>9772</v>
      </c>
      <c r="P1601" t="s">
        <v>1607</v>
      </c>
      <c r="Q1601" t="s">
        <v>3542</v>
      </c>
      <c r="R1601">
        <v>0</v>
      </c>
      <c r="S1601">
        <v>7550</v>
      </c>
      <c r="T1601">
        <v>16041</v>
      </c>
      <c r="U1601" t="s">
        <v>5578</v>
      </c>
      <c r="V1601">
        <v>73.31999999999999</v>
      </c>
      <c r="W1601" t="s">
        <v>7778</v>
      </c>
      <c r="X1601" t="s">
        <v>9733</v>
      </c>
      <c r="Y1601">
        <v>9462</v>
      </c>
      <c r="Z1601">
        <v>590</v>
      </c>
      <c r="AB1601">
        <v>5.03</v>
      </c>
    </row>
    <row r="1602" spans="1:28">
      <c r="A1602" s="2">
        <f>HYPERLINK("https://finance.naver.com/item/coinfo.nhn?code=095340", "A095340")</f>
        <v>0</v>
      </c>
      <c r="B1602">
        <f>HYPERLINK("http://comp.fnguide.com/SVO2/ASP/SVD_Consensus.asp?pGB=1&amp;gicode=A095340&amp;cID=&amp;MenuYn=Y&amp;ReportGB=&amp;NewMenuID=108&amp;stkGb=701", "ISC")</f>
        <v>0</v>
      </c>
      <c r="C1602">
        <v>0</v>
      </c>
      <c r="D1602">
        <v>19500</v>
      </c>
      <c r="E1602">
        <v>-1.51</v>
      </c>
      <c r="F1602">
        <v>31.7</v>
      </c>
      <c r="G1602">
        <v>8962</v>
      </c>
      <c r="H1602">
        <v>10920</v>
      </c>
      <c r="I1602">
        <v>11478</v>
      </c>
      <c r="J1602">
        <v>54.04</v>
      </c>
      <c r="K1602">
        <v>44</v>
      </c>
      <c r="L1602">
        <v>41.14</v>
      </c>
      <c r="M1602">
        <v>5.84</v>
      </c>
      <c r="N1602" t="b">
        <v>1</v>
      </c>
      <c r="O1602">
        <v>308</v>
      </c>
      <c r="P1602" t="s">
        <v>1608</v>
      </c>
      <c r="Q1602" t="s">
        <v>3543</v>
      </c>
      <c r="R1602">
        <v>-21.00319564978373</v>
      </c>
      <c r="S1602">
        <v>2758</v>
      </c>
      <c r="T1602">
        <v>242031</v>
      </c>
      <c r="U1602" t="s">
        <v>5579</v>
      </c>
      <c r="V1602">
        <v>40.61</v>
      </c>
      <c r="W1602" t="s">
        <v>7779</v>
      </c>
      <c r="X1602" t="s">
        <v>9734</v>
      </c>
      <c r="Y1602">
        <v>877</v>
      </c>
      <c r="Z1602">
        <v>20</v>
      </c>
      <c r="AA1602">
        <v>239378</v>
      </c>
      <c r="AB1602">
        <v>0.51</v>
      </c>
    </row>
    <row r="1603" spans="1:28">
      <c r="A1603" s="2">
        <f>HYPERLINK("https://finance.naver.com/item/coinfo.nhn?code=094280", "A094280")</f>
        <v>0</v>
      </c>
      <c r="B1603">
        <f>HYPERLINK("http://comp.fnguide.com/SVO2/ASP/SVD_Consensus.asp?pGB=1&amp;gicode=A094280&amp;cID=&amp;MenuYn=Y&amp;ReportGB=&amp;NewMenuID=108&amp;stkGb=701", "효성ITX")</f>
        <v>0</v>
      </c>
      <c r="C1603">
        <v>0</v>
      </c>
      <c r="D1603">
        <v>21400</v>
      </c>
      <c r="E1603">
        <v>1.3</v>
      </c>
      <c r="F1603">
        <v>19.16</v>
      </c>
      <c r="G1603">
        <v>10685</v>
      </c>
      <c r="H1603">
        <v>7079</v>
      </c>
      <c r="I1603">
        <v>6052</v>
      </c>
      <c r="J1603">
        <v>50.07</v>
      </c>
      <c r="K1603">
        <v>66.92</v>
      </c>
      <c r="L1603">
        <v>71.72</v>
      </c>
      <c r="M1603">
        <v>18.18</v>
      </c>
      <c r="N1603" t="b">
        <v>1</v>
      </c>
      <c r="O1603">
        <v>871</v>
      </c>
      <c r="P1603" t="s">
        <v>1609</v>
      </c>
      <c r="Q1603" t="s">
        <v>3544</v>
      </c>
      <c r="R1603">
        <v>14.70581054244531</v>
      </c>
      <c r="S1603">
        <v>2473</v>
      </c>
      <c r="T1603">
        <v>22801</v>
      </c>
      <c r="U1603" t="s">
        <v>5580</v>
      </c>
      <c r="V1603">
        <v>68.02</v>
      </c>
      <c r="W1603" t="s">
        <v>7780</v>
      </c>
      <c r="X1603" t="s">
        <v>9735</v>
      </c>
      <c r="Y1603">
        <v>3882</v>
      </c>
      <c r="Z1603">
        <v>130</v>
      </c>
      <c r="AA1603">
        <v>519835</v>
      </c>
      <c r="AB1603">
        <v>2.99</v>
      </c>
    </row>
    <row r="1604" spans="1:28">
      <c r="A1604" s="2">
        <f>HYPERLINK("https://finance.naver.com/item/coinfo.nhn?code=133820", "A133820")</f>
        <v>0</v>
      </c>
      <c r="B1604">
        <f>HYPERLINK("http://comp.fnguide.com/SVO2/ASP/SVD_Consensus.asp?pGB=1&amp;gicode=A133820&amp;cID=&amp;MenuYn=Y&amp;ReportGB=&amp;NewMenuID=108&amp;stkGb=701", "화인베스틸")</f>
        <v>0</v>
      </c>
      <c r="C1604">
        <v>0</v>
      </c>
      <c r="D1604">
        <v>2590</v>
      </c>
      <c r="G1604">
        <v>328</v>
      </c>
      <c r="H1604">
        <v>2004</v>
      </c>
      <c r="I1604">
        <v>2481</v>
      </c>
      <c r="J1604">
        <v>87.34</v>
      </c>
      <c r="K1604">
        <v>22.64</v>
      </c>
      <c r="L1604">
        <v>4.21</v>
      </c>
      <c r="M1604">
        <v>0.84</v>
      </c>
      <c r="N1604" t="b">
        <v>0</v>
      </c>
      <c r="O1604">
        <v>-254</v>
      </c>
      <c r="P1604" t="s">
        <v>1610</v>
      </c>
      <c r="Q1604" t="s">
        <v>3545</v>
      </c>
      <c r="R1604">
        <v>20.42850415803281</v>
      </c>
      <c r="S1604">
        <v>765</v>
      </c>
      <c r="T1604">
        <v>354367</v>
      </c>
      <c r="U1604" t="s">
        <v>5581</v>
      </c>
      <c r="V1604">
        <v>51.91</v>
      </c>
      <c r="W1604" t="s">
        <v>7781</v>
      </c>
      <c r="X1604" t="s">
        <v>9736</v>
      </c>
      <c r="Y1604">
        <v>1348</v>
      </c>
      <c r="Z1604">
        <v>-28</v>
      </c>
    </row>
    <row r="1605" spans="1:28">
      <c r="A1605" s="2">
        <f>HYPERLINK("https://finance.naver.com/item/coinfo.nhn?code=241590", "A241590")</f>
        <v>0</v>
      </c>
      <c r="B1605">
        <f>HYPERLINK("http://comp.fnguide.com/SVO2/ASP/SVD_Consensus.asp?pGB=1&amp;gicode=A241590&amp;cID=&amp;MenuYn=Y&amp;ReportGB=&amp;NewMenuID=108&amp;stkGb=701", "화승엔터프라이즈")</f>
        <v>0</v>
      </c>
      <c r="C1605">
        <v>0</v>
      </c>
      <c r="D1605">
        <v>13550</v>
      </c>
      <c r="E1605">
        <v>-1.46</v>
      </c>
      <c r="F1605">
        <v>16.43</v>
      </c>
      <c r="G1605">
        <v>10934</v>
      </c>
      <c r="H1605">
        <v>7824</v>
      </c>
      <c r="I1605">
        <v>6938</v>
      </c>
      <c r="J1605">
        <v>19.31</v>
      </c>
      <c r="K1605">
        <v>42.26</v>
      </c>
      <c r="L1605">
        <v>48.79</v>
      </c>
      <c r="M1605">
        <v>15.13</v>
      </c>
      <c r="N1605" t="b">
        <v>1</v>
      </c>
      <c r="O1605">
        <v>1031</v>
      </c>
      <c r="P1605" t="s">
        <v>1611</v>
      </c>
      <c r="Q1605" t="s">
        <v>3546</v>
      </c>
      <c r="R1605">
        <v>-11.22368516060773</v>
      </c>
      <c r="S1605">
        <v>8203</v>
      </c>
      <c r="T1605">
        <v>184272</v>
      </c>
      <c r="U1605" t="s">
        <v>5582</v>
      </c>
      <c r="V1605">
        <v>72.02</v>
      </c>
      <c r="W1605" t="s">
        <v>7782</v>
      </c>
      <c r="X1605" t="s">
        <v>9737</v>
      </c>
      <c r="Y1605">
        <v>12016</v>
      </c>
      <c r="Z1605">
        <v>854</v>
      </c>
      <c r="AB1605">
        <v>0.27</v>
      </c>
    </row>
    <row r="1606" spans="1:28">
      <c r="A1606" s="2">
        <f>HYPERLINK("https://finance.naver.com/item/coinfo.nhn?code=008770", "A008770")</f>
        <v>0</v>
      </c>
      <c r="B1606">
        <f>HYPERLINK("http://comp.fnguide.com/SVO2/ASP/SVD_Consensus.asp?pGB=1&amp;gicode=A008770&amp;cID=&amp;MenuYn=Y&amp;ReportGB=&amp;NewMenuID=108&amp;stkGb=701", "호텔신라")</f>
        <v>0</v>
      </c>
      <c r="C1606">
        <v>0</v>
      </c>
      <c r="D1606">
        <v>81700</v>
      </c>
      <c r="E1606">
        <v>0.29</v>
      </c>
      <c r="F1606">
        <v>21.4</v>
      </c>
      <c r="G1606">
        <v>49261</v>
      </c>
      <c r="H1606">
        <v>34544</v>
      </c>
      <c r="I1606">
        <v>30351</v>
      </c>
      <c r="J1606">
        <v>39.71</v>
      </c>
      <c r="K1606">
        <v>57.72</v>
      </c>
      <c r="L1606">
        <v>62.85</v>
      </c>
      <c r="M1606">
        <v>15.85</v>
      </c>
      <c r="N1606" t="b">
        <v>1</v>
      </c>
      <c r="O1606">
        <v>4243</v>
      </c>
      <c r="P1606" t="s">
        <v>1612</v>
      </c>
      <c r="Q1606" t="s">
        <v>3547</v>
      </c>
      <c r="R1606">
        <v>74.07390153072558</v>
      </c>
      <c r="S1606">
        <v>32066</v>
      </c>
      <c r="T1606">
        <v>655778</v>
      </c>
      <c r="U1606" t="s">
        <v>5583</v>
      </c>
      <c r="V1606">
        <v>17.34</v>
      </c>
      <c r="W1606" t="s">
        <v>7783</v>
      </c>
      <c r="X1606" t="s">
        <v>9738</v>
      </c>
      <c r="Y1606">
        <v>57173</v>
      </c>
      <c r="Z1606">
        <v>2959</v>
      </c>
      <c r="AA1606">
        <v>2135000</v>
      </c>
      <c r="AB1606">
        <v>0.39</v>
      </c>
    </row>
    <row r="1607" spans="1:28">
      <c r="A1607" s="2">
        <f>HYPERLINK("https://finance.naver.com/item/coinfo.nhn?code=093240", "A093240")</f>
        <v>0</v>
      </c>
      <c r="B1607">
        <f>HYPERLINK("http://comp.fnguide.com/SVO2/ASP/SVD_Consensus.asp?pGB=1&amp;gicode=A093240&amp;cID=&amp;MenuYn=Y&amp;ReportGB=&amp;NewMenuID=108&amp;stkGb=701", "형지엘리트")</f>
        <v>0</v>
      </c>
      <c r="C1607">
        <v>0</v>
      </c>
      <c r="D1607">
        <v>2785</v>
      </c>
      <c r="E1607">
        <v>0</v>
      </c>
      <c r="G1607">
        <v>0</v>
      </c>
      <c r="H1607">
        <v>1217</v>
      </c>
      <c r="I1607">
        <v>1564</v>
      </c>
      <c r="J1607">
        <v>100</v>
      </c>
      <c r="K1607">
        <v>56.29</v>
      </c>
      <c r="L1607">
        <v>43.84</v>
      </c>
      <c r="M1607">
        <v>0</v>
      </c>
      <c r="N1607" t="b">
        <v>0</v>
      </c>
      <c r="O1607">
        <v>-41</v>
      </c>
      <c r="P1607" t="s">
        <v>1613</v>
      </c>
      <c r="Q1607" t="s">
        <v>2276</v>
      </c>
      <c r="R1607">
        <v>0</v>
      </c>
      <c r="S1607">
        <v>868</v>
      </c>
      <c r="T1607">
        <v>10853903</v>
      </c>
      <c r="U1607" t="s">
        <v>5584</v>
      </c>
      <c r="V1607">
        <v>32.6</v>
      </c>
      <c r="W1607" t="s">
        <v>7784</v>
      </c>
      <c r="X1607" t="s">
        <v>968</v>
      </c>
      <c r="Y1607">
        <v>1479</v>
      </c>
      <c r="Z1607">
        <v>18</v>
      </c>
      <c r="AA1607">
        <v>304342</v>
      </c>
    </row>
    <row r="1608" spans="1:28">
      <c r="A1608" s="2">
        <f>HYPERLINK("https://finance.naver.com/item/coinfo.nhn?code=267260", "A267260")</f>
        <v>0</v>
      </c>
      <c r="B1608">
        <f>HYPERLINK("http://comp.fnguide.com/SVO2/ASP/SVD_Consensus.asp?pGB=1&amp;gicode=A267260&amp;cID=&amp;MenuYn=Y&amp;ReportGB=&amp;NewMenuID=108&amp;stkGb=701", "현대일렉트릭")</f>
        <v>0</v>
      </c>
      <c r="C1608">
        <v>0</v>
      </c>
      <c r="D1608">
        <v>15600</v>
      </c>
      <c r="E1608">
        <v>0</v>
      </c>
      <c r="G1608">
        <v>0</v>
      </c>
      <c r="H1608">
        <v>11685</v>
      </c>
      <c r="I1608">
        <v>15015</v>
      </c>
      <c r="J1608">
        <v>100</v>
      </c>
      <c r="K1608">
        <v>25.09</v>
      </c>
      <c r="L1608">
        <v>3.75</v>
      </c>
      <c r="M1608">
        <v>0</v>
      </c>
      <c r="N1608" t="b">
        <v>0</v>
      </c>
      <c r="O1608">
        <v>-10981</v>
      </c>
      <c r="P1608" t="s">
        <v>1614</v>
      </c>
      <c r="Q1608" t="s">
        <v>3291</v>
      </c>
      <c r="R1608">
        <v>0</v>
      </c>
      <c r="S1608">
        <v>5623</v>
      </c>
      <c r="T1608">
        <v>639992</v>
      </c>
      <c r="U1608" t="s">
        <v>5585</v>
      </c>
      <c r="V1608">
        <v>40.04</v>
      </c>
      <c r="W1608" t="s">
        <v>7785</v>
      </c>
      <c r="X1608" t="s">
        <v>9739</v>
      </c>
      <c r="Y1608">
        <v>17711</v>
      </c>
      <c r="Z1608">
        <v>-1567</v>
      </c>
      <c r="AA1608">
        <v>54431</v>
      </c>
    </row>
    <row r="1609" spans="1:28">
      <c r="A1609" s="2">
        <f>HYPERLINK("https://finance.naver.com/item/coinfo.nhn?code=307950", "A307950")</f>
        <v>0</v>
      </c>
      <c r="B1609">
        <f>HYPERLINK("http://comp.fnguide.com/SVO2/ASP/SVD_Consensus.asp?pGB=1&amp;gicode=A307950&amp;cID=&amp;MenuYn=Y&amp;ReportGB=&amp;NewMenuID=108&amp;stkGb=701", "현대오토에버")</f>
        <v>0</v>
      </c>
      <c r="C1609">
        <v>0</v>
      </c>
      <c r="D1609">
        <v>92200</v>
      </c>
      <c r="E1609">
        <v>14.23</v>
      </c>
      <c r="F1609">
        <v>18.85</v>
      </c>
      <c r="G1609">
        <v>37552</v>
      </c>
      <c r="H1609">
        <v>29564</v>
      </c>
      <c r="I1609">
        <v>27288</v>
      </c>
      <c r="J1609">
        <v>59.27</v>
      </c>
      <c r="K1609">
        <v>67.93000000000001</v>
      </c>
      <c r="L1609">
        <v>70.40000000000001</v>
      </c>
      <c r="M1609">
        <v>12.34</v>
      </c>
      <c r="N1609" t="b">
        <v>1</v>
      </c>
      <c r="O1609">
        <v>2673</v>
      </c>
      <c r="P1609" t="s">
        <v>1615</v>
      </c>
      <c r="Q1609" t="s">
        <v>3548</v>
      </c>
      <c r="R1609">
        <v>1.324215294470577</v>
      </c>
      <c r="S1609">
        <v>19362</v>
      </c>
      <c r="T1609">
        <v>426939</v>
      </c>
      <c r="U1609" t="s">
        <v>5586</v>
      </c>
      <c r="V1609">
        <v>76.17</v>
      </c>
      <c r="W1609" t="s">
        <v>7786</v>
      </c>
      <c r="X1609" t="s">
        <v>9740</v>
      </c>
      <c r="Y1609">
        <v>15718</v>
      </c>
      <c r="Z1609">
        <v>802</v>
      </c>
      <c r="AB1609">
        <v>1.41</v>
      </c>
    </row>
    <row r="1610" spans="1:28">
      <c r="A1610" s="2">
        <f>HYPERLINK("https://finance.naver.com/item/coinfo.nhn?code=017800", "A017800")</f>
        <v>0</v>
      </c>
      <c r="B1610">
        <f>HYPERLINK("http://comp.fnguide.com/SVO2/ASP/SVD_Consensus.asp?pGB=1&amp;gicode=A017800&amp;cID=&amp;MenuYn=Y&amp;ReportGB=&amp;NewMenuID=108&amp;stkGb=701", "현대엘리베이")</f>
        <v>0</v>
      </c>
      <c r="C1610">
        <v>0</v>
      </c>
      <c r="D1610">
        <v>40350</v>
      </c>
      <c r="E1610">
        <v>-8.880000000000001</v>
      </c>
      <c r="F1610">
        <v>38.3</v>
      </c>
      <c r="G1610">
        <v>13940</v>
      </c>
      <c r="H1610">
        <v>19352</v>
      </c>
      <c r="I1610">
        <v>20894</v>
      </c>
      <c r="J1610">
        <v>65.45</v>
      </c>
      <c r="K1610">
        <v>52.04</v>
      </c>
      <c r="L1610">
        <v>48.22</v>
      </c>
      <c r="M1610">
        <v>4.84</v>
      </c>
      <c r="N1610" t="b">
        <v>1</v>
      </c>
      <c r="O1610">
        <v>1189</v>
      </c>
      <c r="P1610" t="s">
        <v>1616</v>
      </c>
      <c r="Q1610" t="s">
        <v>3549</v>
      </c>
      <c r="R1610">
        <v>-4.31329123356986</v>
      </c>
      <c r="S1610">
        <v>16469</v>
      </c>
      <c r="T1610">
        <v>334314</v>
      </c>
      <c r="U1610" t="s">
        <v>5587</v>
      </c>
      <c r="V1610">
        <v>26.52</v>
      </c>
      <c r="W1610" t="s">
        <v>7787</v>
      </c>
      <c r="X1610" t="s">
        <v>9741</v>
      </c>
      <c r="Y1610">
        <v>18725</v>
      </c>
      <c r="Z1610">
        <v>1362</v>
      </c>
      <c r="AB1610">
        <v>1.32</v>
      </c>
    </row>
    <row r="1611" spans="1:28">
      <c r="A1611" s="2">
        <f>HYPERLINK("https://finance.naver.com/item/coinfo.nhn?code=322000", "A322000")</f>
        <v>0</v>
      </c>
      <c r="B1611">
        <f>HYPERLINK("http://comp.fnguide.com/SVO2/ASP/SVD_Consensus.asp?pGB=1&amp;gicode=A322000&amp;cID=&amp;MenuYn=Y&amp;ReportGB=&amp;NewMenuID=108&amp;stkGb=701", "현대에너지솔루션")</f>
        <v>0</v>
      </c>
      <c r="C1611">
        <v>0</v>
      </c>
      <c r="D1611">
        <v>36900</v>
      </c>
      <c r="E1611">
        <v>0</v>
      </c>
      <c r="F1611">
        <v>6.18</v>
      </c>
      <c r="G1611">
        <v>24929</v>
      </c>
      <c r="H1611">
        <v>27005</v>
      </c>
      <c r="I1611">
        <v>27596</v>
      </c>
      <c r="J1611">
        <v>32.44</v>
      </c>
      <c r="K1611">
        <v>26.82</v>
      </c>
      <c r="L1611">
        <v>25.21</v>
      </c>
      <c r="M1611">
        <v>7</v>
      </c>
      <c r="N1611" t="b">
        <v>1</v>
      </c>
      <c r="O1611">
        <v>2791</v>
      </c>
      <c r="P1611" t="s">
        <v>1617</v>
      </c>
      <c r="Q1611" t="s">
        <v>3550</v>
      </c>
      <c r="R1611">
        <v>0</v>
      </c>
      <c r="S1611">
        <v>4133</v>
      </c>
      <c r="T1611">
        <v>261363</v>
      </c>
      <c r="U1611" t="s">
        <v>5588</v>
      </c>
      <c r="V1611">
        <v>53.71</v>
      </c>
      <c r="W1611" t="s">
        <v>7788</v>
      </c>
      <c r="X1611" t="s">
        <v>9742</v>
      </c>
      <c r="Y1611">
        <v>4461</v>
      </c>
      <c r="Z1611">
        <v>221</v>
      </c>
    </row>
    <row r="1612" spans="1:28">
      <c r="A1612" s="2">
        <f>HYPERLINK("https://finance.naver.com/item/coinfo.nhn?code=004310", "A004310")</f>
        <v>0</v>
      </c>
      <c r="B1612">
        <f>HYPERLINK("http://comp.fnguide.com/SVO2/ASP/SVD_Consensus.asp?pGB=1&amp;gicode=A004310&amp;cID=&amp;MenuYn=Y&amp;ReportGB=&amp;NewMenuID=108&amp;stkGb=701", "현대약품")</f>
        <v>0</v>
      </c>
      <c r="C1612">
        <v>0</v>
      </c>
      <c r="D1612">
        <v>6450</v>
      </c>
      <c r="E1612">
        <v>26.62</v>
      </c>
      <c r="F1612">
        <v>142.28</v>
      </c>
      <c r="G1612">
        <v>452</v>
      </c>
      <c r="H1612">
        <v>2068</v>
      </c>
      <c r="I1612">
        <v>2529</v>
      </c>
      <c r="J1612">
        <v>92.98999999999999</v>
      </c>
      <c r="K1612">
        <v>67.93000000000001</v>
      </c>
      <c r="L1612">
        <v>60.79</v>
      </c>
      <c r="M1612">
        <v>1.15</v>
      </c>
      <c r="N1612" t="b">
        <v>0</v>
      </c>
      <c r="O1612">
        <v>36</v>
      </c>
      <c r="P1612" t="s">
        <v>1618</v>
      </c>
      <c r="Q1612" t="s">
        <v>3551</v>
      </c>
      <c r="R1612">
        <v>5.345397640512006</v>
      </c>
      <c r="S1612">
        <v>2064</v>
      </c>
      <c r="T1612">
        <v>717995</v>
      </c>
      <c r="U1612" t="s">
        <v>5589</v>
      </c>
      <c r="V1612">
        <v>23.53</v>
      </c>
      <c r="W1612" t="s">
        <v>7789</v>
      </c>
      <c r="X1612" t="s">
        <v>9743</v>
      </c>
      <c r="Y1612">
        <v>1349</v>
      </c>
      <c r="Z1612">
        <v>16</v>
      </c>
      <c r="AA1612">
        <v>4121638</v>
      </c>
      <c r="AB1612">
        <v>0.87</v>
      </c>
    </row>
    <row r="1613" spans="1:28">
      <c r="A1613" s="2">
        <f>HYPERLINK("https://finance.naver.com/item/coinfo.nhn?code=064350", "A064350")</f>
        <v>0</v>
      </c>
      <c r="B1613">
        <f>HYPERLINK("http://comp.fnguide.com/SVO2/ASP/SVD_Consensus.asp?pGB=1&amp;gicode=A064350&amp;cID=&amp;MenuYn=Y&amp;ReportGB=&amp;NewMenuID=108&amp;stkGb=701", "현대로템")</f>
        <v>0</v>
      </c>
      <c r="C1613">
        <v>0</v>
      </c>
      <c r="D1613">
        <v>15600</v>
      </c>
      <c r="E1613">
        <v>0</v>
      </c>
      <c r="G1613">
        <v>0</v>
      </c>
      <c r="H1613">
        <v>4536</v>
      </c>
      <c r="I1613">
        <v>5829</v>
      </c>
      <c r="J1613">
        <v>100</v>
      </c>
      <c r="K1613">
        <v>70.92</v>
      </c>
      <c r="L1613">
        <v>62.64</v>
      </c>
      <c r="M1613">
        <v>0</v>
      </c>
      <c r="N1613" t="b">
        <v>0</v>
      </c>
      <c r="O1613">
        <v>-4168</v>
      </c>
      <c r="P1613" t="s">
        <v>1619</v>
      </c>
      <c r="Q1613" t="s">
        <v>2276</v>
      </c>
      <c r="R1613">
        <v>0</v>
      </c>
      <c r="S1613">
        <v>17026</v>
      </c>
      <c r="T1613">
        <v>1479848</v>
      </c>
      <c r="U1613" t="s">
        <v>5590</v>
      </c>
      <c r="V1613">
        <v>33.77</v>
      </c>
      <c r="W1613" t="s">
        <v>7790</v>
      </c>
      <c r="X1613" t="s">
        <v>9744</v>
      </c>
      <c r="Y1613">
        <v>24593</v>
      </c>
      <c r="Z1613">
        <v>-2799</v>
      </c>
    </row>
    <row r="1614" spans="1:28">
      <c r="A1614" s="2">
        <f>HYPERLINK("https://finance.naver.com/item/coinfo.nhn?code=101530", "A101530")</f>
        <v>0</v>
      </c>
      <c r="B1614">
        <f>HYPERLINK("http://comp.fnguide.com/SVO2/ASP/SVD_Consensus.asp?pGB=1&amp;gicode=A101530&amp;cID=&amp;MenuYn=Y&amp;ReportGB=&amp;NewMenuID=108&amp;stkGb=701", "해태제과식품")</f>
        <v>0</v>
      </c>
      <c r="C1614">
        <v>0</v>
      </c>
      <c r="D1614">
        <v>8110</v>
      </c>
      <c r="G1614">
        <v>823</v>
      </c>
      <c r="H1614">
        <v>5844</v>
      </c>
      <c r="I1614">
        <v>7274</v>
      </c>
      <c r="J1614">
        <v>89.84999999999999</v>
      </c>
      <c r="K1614">
        <v>27.95</v>
      </c>
      <c r="L1614">
        <v>10.31</v>
      </c>
      <c r="M1614">
        <v>0.71</v>
      </c>
      <c r="N1614" t="b">
        <v>0</v>
      </c>
      <c r="O1614">
        <v>-1192</v>
      </c>
      <c r="P1614" t="s">
        <v>1620</v>
      </c>
      <c r="Q1614" t="s">
        <v>3552</v>
      </c>
      <c r="R1614">
        <v>-2.53977807208019</v>
      </c>
      <c r="S1614">
        <v>2361</v>
      </c>
      <c r="T1614">
        <v>79429</v>
      </c>
      <c r="U1614" t="s">
        <v>5591</v>
      </c>
      <c r="V1614">
        <v>62.05</v>
      </c>
      <c r="W1614" t="s">
        <v>7791</v>
      </c>
      <c r="X1614" t="s">
        <v>9745</v>
      </c>
      <c r="Y1614">
        <v>6900</v>
      </c>
      <c r="Z1614">
        <v>145</v>
      </c>
      <c r="AA1614">
        <v>2599160</v>
      </c>
      <c r="AB1614">
        <v>2.09</v>
      </c>
    </row>
    <row r="1615" spans="1:28">
      <c r="A1615" s="2">
        <f>HYPERLINK("https://finance.naver.com/item/coinfo.nhn?code=195870", "A195870")</f>
        <v>0</v>
      </c>
      <c r="B1615">
        <f>HYPERLINK("http://comp.fnguide.com/SVO2/ASP/SVD_Consensus.asp?pGB=1&amp;gicode=A195870&amp;cID=&amp;MenuYn=Y&amp;ReportGB=&amp;NewMenuID=108&amp;stkGb=701", "해성디에스")</f>
        <v>0</v>
      </c>
      <c r="C1615">
        <v>0</v>
      </c>
      <c r="D1615">
        <v>19800</v>
      </c>
      <c r="E1615">
        <v>0.78</v>
      </c>
      <c r="F1615">
        <v>14.65</v>
      </c>
      <c r="G1615">
        <v>16235</v>
      </c>
      <c r="H1615">
        <v>13849</v>
      </c>
      <c r="I1615">
        <v>13170</v>
      </c>
      <c r="J1615">
        <v>18.01</v>
      </c>
      <c r="K1615">
        <v>30.05</v>
      </c>
      <c r="L1615">
        <v>33.49</v>
      </c>
      <c r="M1615">
        <v>10.55</v>
      </c>
      <c r="N1615" t="b">
        <v>1</v>
      </c>
      <c r="O1615">
        <v>1078</v>
      </c>
      <c r="P1615" t="s">
        <v>1621</v>
      </c>
      <c r="Q1615" t="s">
        <v>3553</v>
      </c>
      <c r="R1615">
        <v>18.87111388612621</v>
      </c>
      <c r="S1615">
        <v>3366</v>
      </c>
      <c r="T1615">
        <v>118684</v>
      </c>
      <c r="U1615" t="s">
        <v>5592</v>
      </c>
      <c r="V1615">
        <v>36.26</v>
      </c>
      <c r="W1615" t="s">
        <v>7792</v>
      </c>
      <c r="X1615" t="s">
        <v>9746</v>
      </c>
      <c r="Y1615">
        <v>3814</v>
      </c>
      <c r="Z1615">
        <v>270</v>
      </c>
      <c r="AB1615">
        <v>2.22</v>
      </c>
    </row>
    <row r="1616" spans="1:28">
      <c r="A1616" s="2">
        <f>HYPERLINK("https://finance.naver.com/item/coinfo.nhn?code=272210", "A272210")</f>
        <v>0</v>
      </c>
      <c r="B1616">
        <f>HYPERLINK("http://comp.fnguide.com/SVO2/ASP/SVD_Consensus.asp?pGB=1&amp;gicode=A272210&amp;cID=&amp;MenuYn=Y&amp;ReportGB=&amp;NewMenuID=108&amp;stkGb=701", "한화시스템")</f>
        <v>0</v>
      </c>
      <c r="C1616">
        <v>0</v>
      </c>
      <c r="D1616">
        <v>12150</v>
      </c>
      <c r="E1616">
        <v>2.69</v>
      </c>
      <c r="F1616">
        <v>14.66</v>
      </c>
      <c r="G1616">
        <v>7882</v>
      </c>
      <c r="H1616">
        <v>8430</v>
      </c>
      <c r="I1616">
        <v>8586</v>
      </c>
      <c r="J1616">
        <v>35.13</v>
      </c>
      <c r="K1616">
        <v>30.62</v>
      </c>
      <c r="L1616">
        <v>29.33</v>
      </c>
      <c r="M1616">
        <v>7.14</v>
      </c>
      <c r="N1616" t="b">
        <v>1</v>
      </c>
      <c r="O1616">
        <v>706</v>
      </c>
      <c r="P1616" t="s">
        <v>1622</v>
      </c>
      <c r="Q1616" t="s">
        <v>3554</v>
      </c>
      <c r="R1616">
        <v>5.451715575682248</v>
      </c>
      <c r="S1616">
        <v>13393</v>
      </c>
      <c r="T1616">
        <v>596720</v>
      </c>
      <c r="U1616" t="s">
        <v>5593</v>
      </c>
      <c r="V1616">
        <v>62.44</v>
      </c>
      <c r="W1616" t="s">
        <v>7793</v>
      </c>
      <c r="X1616" t="s">
        <v>9747</v>
      </c>
      <c r="Y1616">
        <v>15460</v>
      </c>
      <c r="Z1616">
        <v>858</v>
      </c>
      <c r="AA1616">
        <v>108544</v>
      </c>
      <c r="AB1616">
        <v>3</v>
      </c>
    </row>
    <row r="1617" spans="1:28">
      <c r="A1617" s="2">
        <f>HYPERLINK("https://finance.naver.com/item/coinfo.nhn?code=009830", "A009830")</f>
        <v>0</v>
      </c>
      <c r="B1617">
        <f>HYPERLINK("http://comp.fnguide.com/SVO2/ASP/SVD_Consensus.asp?pGB=1&amp;gicode=A009830&amp;cID=&amp;MenuYn=Y&amp;ReportGB=&amp;NewMenuID=108&amp;stkGb=701", "한화솔루션")</f>
        <v>0</v>
      </c>
      <c r="C1617">
        <v>0</v>
      </c>
      <c r="D1617">
        <v>45100</v>
      </c>
      <c r="G1617">
        <v>15595</v>
      </c>
      <c r="H1617">
        <v>27808</v>
      </c>
      <c r="I1617">
        <v>31288</v>
      </c>
      <c r="J1617">
        <v>65.42</v>
      </c>
      <c r="K1617">
        <v>38.34</v>
      </c>
      <c r="L1617">
        <v>30.63</v>
      </c>
      <c r="M1617">
        <v>3.46</v>
      </c>
      <c r="N1617" t="b">
        <v>0</v>
      </c>
      <c r="O1617">
        <v>-1457</v>
      </c>
      <c r="P1617" t="s">
        <v>1623</v>
      </c>
      <c r="Q1617" t="s">
        <v>3555</v>
      </c>
      <c r="R1617">
        <v>11.71990253944455</v>
      </c>
      <c r="S1617">
        <v>72099</v>
      </c>
      <c r="T1617">
        <v>4539851</v>
      </c>
      <c r="U1617" t="s">
        <v>5594</v>
      </c>
      <c r="V1617">
        <v>37.42</v>
      </c>
      <c r="W1617" t="s">
        <v>7794</v>
      </c>
      <c r="X1617" t="s">
        <v>9748</v>
      </c>
      <c r="Y1617">
        <v>95033</v>
      </c>
      <c r="Z1617">
        <v>3783</v>
      </c>
      <c r="AA1617">
        <v>400000</v>
      </c>
      <c r="AB1617">
        <v>1.06</v>
      </c>
    </row>
    <row r="1618" spans="1:28">
      <c r="A1618" s="2">
        <f>HYPERLINK("https://finance.naver.com/item/coinfo.nhn?code=009460", "A009460")</f>
        <v>0</v>
      </c>
      <c r="B1618">
        <f>HYPERLINK("http://comp.fnguide.com/SVO2/ASP/SVD_Consensus.asp?pGB=1&amp;gicode=A009460&amp;cID=&amp;MenuYn=Y&amp;ReportGB=&amp;NewMenuID=108&amp;stkGb=701", "한창제지")</f>
        <v>0</v>
      </c>
      <c r="C1618">
        <v>0</v>
      </c>
      <c r="D1618">
        <v>2430</v>
      </c>
      <c r="E1618">
        <v>1.07</v>
      </c>
      <c r="F1618">
        <v>24.75</v>
      </c>
      <c r="G1618">
        <v>2156</v>
      </c>
      <c r="H1618">
        <v>1726</v>
      </c>
      <c r="I1618">
        <v>1603</v>
      </c>
      <c r="J1618">
        <v>11.26</v>
      </c>
      <c r="K1618">
        <v>28.98</v>
      </c>
      <c r="L1618">
        <v>34.03</v>
      </c>
      <c r="M1618">
        <v>11.94</v>
      </c>
      <c r="N1618" t="b">
        <v>0</v>
      </c>
      <c r="O1618">
        <v>124</v>
      </c>
      <c r="P1618" t="s">
        <v>1624</v>
      </c>
      <c r="Q1618" t="s">
        <v>3556</v>
      </c>
      <c r="R1618">
        <v>23.18948172204833</v>
      </c>
      <c r="S1618">
        <v>1450</v>
      </c>
      <c r="T1618">
        <v>10564011</v>
      </c>
      <c r="U1618" t="s">
        <v>5595</v>
      </c>
      <c r="V1618">
        <v>39.72</v>
      </c>
      <c r="W1618" t="s">
        <v>7795</v>
      </c>
      <c r="X1618" t="s">
        <v>9749</v>
      </c>
      <c r="Y1618">
        <v>1814</v>
      </c>
      <c r="Z1618">
        <v>109</v>
      </c>
      <c r="AB1618">
        <v>0.65</v>
      </c>
    </row>
    <row r="1619" spans="1:28">
      <c r="A1619" s="2">
        <f>HYPERLINK("https://finance.naver.com/item/coinfo.nhn?code=005110", "A005110")</f>
        <v>0</v>
      </c>
      <c r="B1619">
        <f>HYPERLINK("http://comp.fnguide.com/SVO2/ASP/SVD_Consensus.asp?pGB=1&amp;gicode=A005110&amp;cID=&amp;MenuYn=Y&amp;ReportGB=&amp;NewMenuID=108&amp;stkGb=701", "한창")</f>
        <v>0</v>
      </c>
      <c r="C1619">
        <v>0</v>
      </c>
      <c r="D1619">
        <v>1340</v>
      </c>
      <c r="G1619">
        <v>31</v>
      </c>
      <c r="H1619">
        <v>255</v>
      </c>
      <c r="I1619">
        <v>319</v>
      </c>
      <c r="J1619">
        <v>97.70999999999999</v>
      </c>
      <c r="K1619">
        <v>80.95999999999999</v>
      </c>
      <c r="L1619">
        <v>76.19</v>
      </c>
      <c r="M1619">
        <v>0.6</v>
      </c>
      <c r="N1619" t="b">
        <v>0</v>
      </c>
      <c r="O1619">
        <v>-102</v>
      </c>
      <c r="P1619" t="s">
        <v>1625</v>
      </c>
      <c r="Q1619" t="s">
        <v>3557</v>
      </c>
      <c r="R1619">
        <v>31.59574461205041</v>
      </c>
      <c r="S1619">
        <v>895</v>
      </c>
      <c r="T1619">
        <v>1797370</v>
      </c>
      <c r="U1619" t="s">
        <v>5596</v>
      </c>
      <c r="V1619">
        <v>7.47</v>
      </c>
      <c r="W1619" t="s">
        <v>7796</v>
      </c>
      <c r="X1619" t="s">
        <v>9750</v>
      </c>
      <c r="Y1619">
        <v>690</v>
      </c>
      <c r="Z1619">
        <v>74</v>
      </c>
      <c r="AA1619">
        <v>1725055</v>
      </c>
    </row>
    <row r="1620" spans="1:28">
      <c r="A1620" s="2">
        <f>HYPERLINK("https://finance.naver.com/item/coinfo.nhn?code=180640", "A180640")</f>
        <v>0</v>
      </c>
      <c r="B1620">
        <f>HYPERLINK("http://comp.fnguide.com/SVO2/ASP/SVD_Consensus.asp?pGB=1&amp;gicode=A180640&amp;cID=&amp;MenuYn=Y&amp;ReportGB=&amp;NewMenuID=108&amp;stkGb=701", "한진칼")</f>
        <v>0</v>
      </c>
      <c r="C1620">
        <v>0</v>
      </c>
      <c r="D1620">
        <v>68200</v>
      </c>
      <c r="E1620">
        <v>0</v>
      </c>
      <c r="G1620">
        <v>6921</v>
      </c>
      <c r="H1620">
        <v>14068</v>
      </c>
      <c r="I1620">
        <v>16105</v>
      </c>
      <c r="J1620">
        <v>89.84999999999999</v>
      </c>
      <c r="K1620">
        <v>79.37</v>
      </c>
      <c r="L1620">
        <v>76.39</v>
      </c>
      <c r="M1620">
        <v>2.93</v>
      </c>
      <c r="N1620" t="b">
        <v>0</v>
      </c>
      <c r="O1620">
        <v>-4070</v>
      </c>
      <c r="P1620" t="s">
        <v>1626</v>
      </c>
      <c r="Q1620" t="s">
        <v>2276</v>
      </c>
      <c r="R1620">
        <v>0</v>
      </c>
      <c r="S1620">
        <v>40374</v>
      </c>
      <c r="T1620">
        <v>276439</v>
      </c>
      <c r="U1620" t="s">
        <v>5597</v>
      </c>
      <c r="V1620">
        <v>22.43</v>
      </c>
      <c r="W1620" t="s">
        <v>7797</v>
      </c>
      <c r="X1620" t="s">
        <v>9751</v>
      </c>
      <c r="Y1620">
        <v>12035</v>
      </c>
      <c r="Z1620">
        <v>-39</v>
      </c>
      <c r="AA1620">
        <v>39</v>
      </c>
      <c r="AB1620">
        <v>0.64</v>
      </c>
    </row>
    <row r="1621" spans="1:28">
      <c r="A1621" s="2">
        <f>HYPERLINK("https://finance.naver.com/item/coinfo.nhn?code=097230", "A097230")</f>
        <v>0</v>
      </c>
      <c r="B1621">
        <f>HYPERLINK("http://comp.fnguide.com/SVO2/ASP/SVD_Consensus.asp?pGB=1&amp;gicode=A097230&amp;cID=&amp;MenuYn=Y&amp;ReportGB=&amp;NewMenuID=108&amp;stkGb=701", "한진중공업")</f>
        <v>0</v>
      </c>
      <c r="C1621">
        <v>0</v>
      </c>
      <c r="D1621">
        <v>8290</v>
      </c>
      <c r="E1621">
        <v>0</v>
      </c>
      <c r="F1621" t="s">
        <v>1</v>
      </c>
      <c r="G1621">
        <v>0</v>
      </c>
      <c r="H1621">
        <v>1769</v>
      </c>
      <c r="I1621">
        <v>2273</v>
      </c>
      <c r="J1621">
        <v>100</v>
      </c>
      <c r="K1621">
        <v>78.67</v>
      </c>
      <c r="L1621">
        <v>72.59</v>
      </c>
      <c r="M1621">
        <v>0</v>
      </c>
      <c r="N1621" t="b">
        <v>1</v>
      </c>
      <c r="O1621" t="s">
        <v>9</v>
      </c>
      <c r="P1621" t="s">
        <v>1627</v>
      </c>
      <c r="Q1621" t="s">
        <v>3558</v>
      </c>
      <c r="R1621">
        <v>-65.59999999999999</v>
      </c>
      <c r="S1621" t="s">
        <v>3981</v>
      </c>
      <c r="T1621">
        <v>130370</v>
      </c>
      <c r="U1621" t="s">
        <v>5598</v>
      </c>
      <c r="V1621">
        <v>83.45</v>
      </c>
      <c r="W1621" t="s">
        <v>7798</v>
      </c>
      <c r="X1621" t="s">
        <v>9752</v>
      </c>
      <c r="Y1621" t="s">
        <v>10208</v>
      </c>
      <c r="Z1621" t="s">
        <v>10221</v>
      </c>
      <c r="AA1621">
        <v>5941</v>
      </c>
    </row>
    <row r="1622" spans="1:28">
      <c r="A1622" s="2">
        <f>HYPERLINK("https://finance.naver.com/item/coinfo.nhn?code=052690", "A052690")</f>
        <v>0</v>
      </c>
      <c r="B1622">
        <f>HYPERLINK("http://comp.fnguide.com/SVO2/ASP/SVD_Consensus.asp?pGB=1&amp;gicode=A052690&amp;cID=&amp;MenuYn=Y&amp;ReportGB=&amp;NewMenuID=108&amp;stkGb=701", "한전기술")</f>
        <v>0</v>
      </c>
      <c r="C1622">
        <v>0</v>
      </c>
      <c r="D1622">
        <v>16850</v>
      </c>
      <c r="E1622">
        <v>3.94</v>
      </c>
      <c r="F1622">
        <v>29.03</v>
      </c>
      <c r="G1622">
        <v>8046</v>
      </c>
      <c r="H1622">
        <v>10985</v>
      </c>
      <c r="I1622">
        <v>11823</v>
      </c>
      <c r="J1622">
        <v>52.25</v>
      </c>
      <c r="K1622">
        <v>34.81</v>
      </c>
      <c r="L1622">
        <v>29.84</v>
      </c>
      <c r="M1622">
        <v>4.96</v>
      </c>
      <c r="N1622" t="b">
        <v>1</v>
      </c>
      <c r="O1622">
        <v>691</v>
      </c>
      <c r="P1622" t="s">
        <v>1628</v>
      </c>
      <c r="Q1622" t="s">
        <v>3559</v>
      </c>
      <c r="R1622">
        <v>7.375583995185009</v>
      </c>
      <c r="S1622">
        <v>6440</v>
      </c>
      <c r="T1622">
        <v>97165</v>
      </c>
      <c r="U1622" t="s">
        <v>5599</v>
      </c>
      <c r="V1622">
        <v>67.83</v>
      </c>
      <c r="W1622" t="s">
        <v>7799</v>
      </c>
      <c r="X1622" t="s">
        <v>9753</v>
      </c>
      <c r="Y1622">
        <v>4486</v>
      </c>
      <c r="Z1622">
        <v>441</v>
      </c>
      <c r="AA1622">
        <v>176495</v>
      </c>
      <c r="AB1622">
        <v>1.55</v>
      </c>
    </row>
    <row r="1623" spans="1:28">
      <c r="A1623" s="2">
        <f>HYPERLINK("https://finance.naver.com/item/coinfo.nhn?code=006390", "A006390")</f>
        <v>0</v>
      </c>
      <c r="B1623">
        <f>HYPERLINK("http://comp.fnguide.com/SVO2/ASP/SVD_Consensus.asp?pGB=1&amp;gicode=A006390&amp;cID=&amp;MenuYn=Y&amp;ReportGB=&amp;NewMenuID=108&amp;stkGb=701", "한일현대시멘트")</f>
        <v>0</v>
      </c>
      <c r="C1623">
        <v>0</v>
      </c>
      <c r="D1623">
        <v>27500</v>
      </c>
      <c r="E1623">
        <v>0.35</v>
      </c>
      <c r="F1623">
        <v>12.39</v>
      </c>
      <c r="G1623">
        <v>25430</v>
      </c>
      <c r="H1623">
        <v>17459</v>
      </c>
      <c r="I1623">
        <v>15187</v>
      </c>
      <c r="J1623">
        <v>7.53</v>
      </c>
      <c r="K1623">
        <v>36.51</v>
      </c>
      <c r="L1623">
        <v>44.77</v>
      </c>
      <c r="M1623">
        <v>16.66</v>
      </c>
      <c r="N1623" t="b">
        <v>1</v>
      </c>
      <c r="O1623">
        <v>2458</v>
      </c>
      <c r="P1623" t="s">
        <v>1629</v>
      </c>
      <c r="Q1623" t="s">
        <v>3560</v>
      </c>
      <c r="R1623">
        <v>35.60000000000001</v>
      </c>
      <c r="S1623">
        <v>4626</v>
      </c>
      <c r="T1623">
        <v>75175</v>
      </c>
      <c r="U1623" t="s">
        <v>5600</v>
      </c>
      <c r="V1623">
        <v>84.23999999999999</v>
      </c>
      <c r="W1623" t="s">
        <v>7800</v>
      </c>
      <c r="X1623" t="s">
        <v>9754</v>
      </c>
      <c r="Y1623">
        <v>3841</v>
      </c>
      <c r="Z1623">
        <v>352</v>
      </c>
      <c r="AB1623">
        <v>3.28</v>
      </c>
    </row>
    <row r="1624" spans="1:28">
      <c r="A1624" s="2">
        <f>HYPERLINK("https://finance.naver.com/item/coinfo.nhn?code=298050", "A298050")</f>
        <v>0</v>
      </c>
      <c r="B1624">
        <f>HYPERLINK("http://comp.fnguide.com/SVO2/ASP/SVD_Consensus.asp?pGB=1&amp;gicode=A298050&amp;cID=&amp;MenuYn=Y&amp;ReportGB=&amp;NewMenuID=108&amp;stkGb=701", "효성첨단소재")</f>
        <v>0</v>
      </c>
      <c r="C1624">
        <v>0</v>
      </c>
      <c r="D1624">
        <v>151500</v>
      </c>
      <c r="E1624">
        <v>0</v>
      </c>
      <c r="G1624">
        <v>0</v>
      </c>
      <c r="H1624">
        <v>43489</v>
      </c>
      <c r="I1624">
        <v>55881</v>
      </c>
      <c r="J1624">
        <v>100</v>
      </c>
      <c r="K1624">
        <v>71.29000000000001</v>
      </c>
      <c r="L1624">
        <v>63.11</v>
      </c>
      <c r="M1624">
        <v>0</v>
      </c>
      <c r="N1624" t="b">
        <v>0</v>
      </c>
      <c r="O1624">
        <v>-15622</v>
      </c>
      <c r="P1624" t="s">
        <v>1630</v>
      </c>
      <c r="Q1624" t="s">
        <v>3310</v>
      </c>
      <c r="R1624">
        <v>0</v>
      </c>
      <c r="S1624">
        <v>6787</v>
      </c>
      <c r="T1624">
        <v>75731</v>
      </c>
      <c r="U1624" t="s">
        <v>5601</v>
      </c>
      <c r="V1624">
        <v>44.39</v>
      </c>
      <c r="W1624" t="s">
        <v>7801</v>
      </c>
      <c r="X1624" t="s">
        <v>968</v>
      </c>
      <c r="Y1624">
        <v>30536</v>
      </c>
      <c r="Z1624">
        <v>1583</v>
      </c>
      <c r="AA1624">
        <v>11926</v>
      </c>
    </row>
    <row r="1625" spans="1:28">
      <c r="A1625" s="2">
        <f>HYPERLINK("https://finance.naver.com/item/coinfo.nhn?code=298020", "A298020")</f>
        <v>0</v>
      </c>
      <c r="B1625">
        <f>HYPERLINK("http://comp.fnguide.com/SVO2/ASP/SVD_Consensus.asp?pGB=1&amp;gicode=A298020&amp;cID=&amp;MenuYn=Y&amp;ReportGB=&amp;NewMenuID=108&amp;stkGb=701", "효성티앤씨")</f>
        <v>0</v>
      </c>
      <c r="C1625">
        <v>0</v>
      </c>
      <c r="D1625">
        <v>191000</v>
      </c>
      <c r="E1625">
        <v>0</v>
      </c>
      <c r="F1625">
        <v>7.18</v>
      </c>
      <c r="G1625">
        <v>148281</v>
      </c>
      <c r="H1625">
        <v>127268</v>
      </c>
      <c r="I1625">
        <v>121280</v>
      </c>
      <c r="J1625">
        <v>22.37</v>
      </c>
      <c r="K1625">
        <v>33.37</v>
      </c>
      <c r="L1625">
        <v>36.5</v>
      </c>
      <c r="M1625">
        <v>10.43</v>
      </c>
      <c r="N1625" t="b">
        <v>1</v>
      </c>
      <c r="O1625">
        <v>21510</v>
      </c>
      <c r="P1625" t="s">
        <v>1631</v>
      </c>
      <c r="Q1625" t="s">
        <v>3561</v>
      </c>
      <c r="R1625">
        <v>0</v>
      </c>
      <c r="S1625">
        <v>8266</v>
      </c>
      <c r="T1625">
        <v>49595</v>
      </c>
      <c r="U1625" t="s">
        <v>5602</v>
      </c>
      <c r="V1625">
        <v>43.9</v>
      </c>
      <c r="W1625" t="s">
        <v>7802</v>
      </c>
      <c r="X1625" t="s">
        <v>9755</v>
      </c>
      <c r="Y1625">
        <v>59831</v>
      </c>
      <c r="Z1625">
        <v>3229</v>
      </c>
      <c r="AA1625">
        <v>11992</v>
      </c>
      <c r="AB1625">
        <v>1.29</v>
      </c>
    </row>
    <row r="1626" spans="1:28">
      <c r="A1626" s="2">
        <f>HYPERLINK("https://finance.naver.com/item/coinfo.nhn?code=093370", "A093370")</f>
        <v>0</v>
      </c>
      <c r="B1626">
        <f>HYPERLINK("http://comp.fnguide.com/SVO2/ASP/SVD_Consensus.asp?pGB=1&amp;gicode=A093370&amp;cID=&amp;MenuYn=Y&amp;ReportGB=&amp;NewMenuID=108&amp;stkGb=701", "후성")</f>
        <v>0</v>
      </c>
      <c r="C1626">
        <v>0</v>
      </c>
      <c r="D1626">
        <v>9320</v>
      </c>
      <c r="E1626">
        <v>-2.08</v>
      </c>
      <c r="F1626">
        <v>93.40000000000001</v>
      </c>
      <c r="G1626">
        <v>2968</v>
      </c>
      <c r="H1626">
        <v>2564</v>
      </c>
      <c r="I1626">
        <v>2448</v>
      </c>
      <c r="J1626">
        <v>68.15000000000001</v>
      </c>
      <c r="K1626">
        <v>72.48999999999999</v>
      </c>
      <c r="L1626">
        <v>73.73</v>
      </c>
      <c r="M1626">
        <v>10.31</v>
      </c>
      <c r="N1626" t="b">
        <v>0</v>
      </c>
      <c r="O1626">
        <v>87</v>
      </c>
      <c r="P1626" t="s">
        <v>1632</v>
      </c>
      <c r="Q1626" t="s">
        <v>3562</v>
      </c>
      <c r="R1626">
        <v>-44.8666908983436</v>
      </c>
      <c r="S1626">
        <v>8631</v>
      </c>
      <c r="T1626">
        <v>931316</v>
      </c>
      <c r="U1626" t="s">
        <v>5603</v>
      </c>
      <c r="V1626">
        <v>49.6</v>
      </c>
      <c r="W1626" t="s">
        <v>7803</v>
      </c>
      <c r="X1626" t="s">
        <v>9756</v>
      </c>
      <c r="Y1626">
        <v>2489</v>
      </c>
      <c r="Z1626">
        <v>134</v>
      </c>
      <c r="AB1626">
        <v>0.18</v>
      </c>
    </row>
    <row r="1627" spans="1:28">
      <c r="A1627" s="2">
        <f>HYPERLINK("https://finance.naver.com/item/coinfo.nhn?code=245620", "A245620")</f>
        <v>0</v>
      </c>
      <c r="B1627">
        <f>HYPERLINK("http://comp.fnguide.com/SVO2/ASP/SVD_Consensus.asp?pGB=1&amp;gicode=A245620&amp;cID=&amp;MenuYn=Y&amp;ReportGB=&amp;NewMenuID=108&amp;stkGb=701", "EDGC")</f>
        <v>0</v>
      </c>
      <c r="C1627">
        <v>0</v>
      </c>
      <c r="D1627">
        <v>9450</v>
      </c>
      <c r="E1627">
        <v>0</v>
      </c>
      <c r="G1627">
        <v>0</v>
      </c>
      <c r="H1627">
        <v>552</v>
      </c>
      <c r="I1627">
        <v>709</v>
      </c>
      <c r="J1627">
        <v>100</v>
      </c>
      <c r="K1627">
        <v>94.16</v>
      </c>
      <c r="L1627">
        <v>92.5</v>
      </c>
      <c r="M1627">
        <v>0</v>
      </c>
      <c r="N1627" t="b">
        <v>0</v>
      </c>
      <c r="O1627">
        <v>-271</v>
      </c>
      <c r="P1627" t="s">
        <v>1633</v>
      </c>
      <c r="Q1627" t="s">
        <v>2276</v>
      </c>
      <c r="R1627">
        <v>0</v>
      </c>
      <c r="S1627">
        <v>4055</v>
      </c>
      <c r="T1627">
        <v>1447644</v>
      </c>
      <c r="U1627" t="s">
        <v>5604</v>
      </c>
      <c r="V1627">
        <v>30.47</v>
      </c>
      <c r="W1627" t="s">
        <v>7804</v>
      </c>
      <c r="X1627" t="s">
        <v>968</v>
      </c>
      <c r="Y1627">
        <v>567</v>
      </c>
      <c r="Z1627">
        <v>-86</v>
      </c>
    </row>
    <row r="1628" spans="1:28">
      <c r="A1628" s="2">
        <f>HYPERLINK("https://finance.naver.com/item/coinfo.nhn?code=351320", "A351320")</f>
        <v>0</v>
      </c>
      <c r="B1628">
        <f>HYPERLINK("http://comp.fnguide.com/SVO2/ASP/SVD_Consensus.asp?pGB=1&amp;gicode=A351320&amp;cID=&amp;MenuYn=Y&amp;ReportGB=&amp;NewMenuID=108&amp;stkGb=701", "IBKS제14호스팩")</f>
        <v>0</v>
      </c>
      <c r="C1628">
        <v>0</v>
      </c>
      <c r="D1628">
        <v>2100</v>
      </c>
      <c r="E1628">
        <v>0</v>
      </c>
      <c r="M1628">
        <v>0</v>
      </c>
      <c r="N1628" t="b">
        <v>0</v>
      </c>
      <c r="P1628" t="s">
        <v>968</v>
      </c>
      <c r="Q1628" t="s">
        <v>3563</v>
      </c>
      <c r="R1628">
        <v>435.3519009199514</v>
      </c>
      <c r="S1628">
        <v>91</v>
      </c>
      <c r="T1628">
        <v>11</v>
      </c>
      <c r="U1628" t="s">
        <v>968</v>
      </c>
      <c r="V1628">
        <v>7.84</v>
      </c>
      <c r="W1628" t="s">
        <v>968</v>
      </c>
      <c r="X1628" t="s">
        <v>968</v>
      </c>
    </row>
    <row r="1629" spans="1:28">
      <c r="A1629" s="2">
        <f>HYPERLINK("https://finance.naver.com/item/coinfo.nhn?code=351340", "A351340")</f>
        <v>0</v>
      </c>
      <c r="B1629">
        <f>HYPERLINK("http://comp.fnguide.com/SVO2/ASP/SVD_Consensus.asp?pGB=1&amp;gicode=A351340&amp;cID=&amp;MenuYn=Y&amp;ReportGB=&amp;NewMenuID=108&amp;stkGb=701", "IBKS제13호스팩")</f>
        <v>0</v>
      </c>
      <c r="C1629">
        <v>0</v>
      </c>
      <c r="D1629">
        <v>2090</v>
      </c>
      <c r="E1629">
        <v>0</v>
      </c>
      <c r="M1629">
        <v>0</v>
      </c>
      <c r="N1629" t="b">
        <v>0</v>
      </c>
      <c r="P1629" t="s">
        <v>968</v>
      </c>
      <c r="Q1629" t="s">
        <v>3563</v>
      </c>
      <c r="R1629">
        <v>435.3519009199514</v>
      </c>
      <c r="S1629">
        <v>108</v>
      </c>
      <c r="T1629">
        <v>16731</v>
      </c>
      <c r="U1629" t="s">
        <v>968</v>
      </c>
      <c r="V1629">
        <v>7.35</v>
      </c>
      <c r="W1629" t="s">
        <v>968</v>
      </c>
      <c r="X1629" t="s">
        <v>968</v>
      </c>
    </row>
    <row r="1630" spans="1:28">
      <c r="A1630" s="2">
        <f>HYPERLINK("https://finance.naver.com/item/coinfo.nhn?code=335870", "A335870")</f>
        <v>0</v>
      </c>
      <c r="B1630">
        <f>HYPERLINK("http://comp.fnguide.com/SVO2/ASP/SVD_Consensus.asp?pGB=1&amp;gicode=A335870&amp;cID=&amp;MenuYn=Y&amp;ReportGB=&amp;NewMenuID=108&amp;stkGb=701", "IBKS제12호스팩")</f>
        <v>0</v>
      </c>
      <c r="C1630">
        <v>0</v>
      </c>
      <c r="D1630">
        <v>2105</v>
      </c>
      <c r="E1630">
        <v>0</v>
      </c>
      <c r="G1630">
        <v>0</v>
      </c>
      <c r="H1630">
        <v>1155</v>
      </c>
      <c r="I1630">
        <v>1485</v>
      </c>
      <c r="J1630">
        <v>100</v>
      </c>
      <c r="K1630">
        <v>45.11</v>
      </c>
      <c r="L1630">
        <v>29.47</v>
      </c>
      <c r="M1630">
        <v>0</v>
      </c>
      <c r="N1630" t="b">
        <v>0</v>
      </c>
      <c r="O1630">
        <v>-43</v>
      </c>
      <c r="P1630" t="s">
        <v>1634</v>
      </c>
      <c r="Q1630" t="s">
        <v>3563</v>
      </c>
      <c r="R1630">
        <v>435.3519009199514</v>
      </c>
      <c r="S1630">
        <v>66</v>
      </c>
      <c r="T1630">
        <v>1</v>
      </c>
      <c r="U1630" t="s">
        <v>5605</v>
      </c>
      <c r="V1630">
        <v>6.41</v>
      </c>
      <c r="W1630" t="s">
        <v>968</v>
      </c>
      <c r="X1630" t="s">
        <v>968</v>
      </c>
      <c r="Y1630">
        <v>0</v>
      </c>
      <c r="Z1630">
        <v>0</v>
      </c>
    </row>
    <row r="1631" spans="1:28">
      <c r="A1631" s="2">
        <f>HYPERLINK("https://finance.naver.com/item/coinfo.nhn?code=036640", "A036640")</f>
        <v>0</v>
      </c>
      <c r="B1631">
        <f>HYPERLINK("http://comp.fnguide.com/SVO2/ASP/SVD_Consensus.asp?pGB=1&amp;gicode=A036640&amp;cID=&amp;MenuYn=Y&amp;ReportGB=&amp;NewMenuID=108&amp;stkGb=701", "HRS")</f>
        <v>0</v>
      </c>
      <c r="C1631">
        <v>0</v>
      </c>
      <c r="D1631">
        <v>4355</v>
      </c>
      <c r="E1631">
        <v>0.1</v>
      </c>
      <c r="F1631">
        <v>44.52</v>
      </c>
      <c r="G1631">
        <v>1167</v>
      </c>
      <c r="H1631">
        <v>3218</v>
      </c>
      <c r="I1631">
        <v>3802</v>
      </c>
      <c r="J1631">
        <v>73.20999999999999</v>
      </c>
      <c r="K1631">
        <v>26.12</v>
      </c>
      <c r="L1631">
        <v>12.7</v>
      </c>
      <c r="M1631">
        <v>2.03</v>
      </c>
      <c r="N1631" t="b">
        <v>1</v>
      </c>
      <c r="O1631">
        <v>60</v>
      </c>
      <c r="P1631" t="s">
        <v>1635</v>
      </c>
      <c r="Q1631" t="s">
        <v>3563</v>
      </c>
      <c r="R1631">
        <v>435.3519009199514</v>
      </c>
      <c r="S1631">
        <v>712</v>
      </c>
      <c r="T1631">
        <v>132391</v>
      </c>
      <c r="U1631" t="s">
        <v>5606</v>
      </c>
      <c r="V1631">
        <v>45.04</v>
      </c>
      <c r="W1631" t="s">
        <v>7805</v>
      </c>
      <c r="X1631" t="s">
        <v>9757</v>
      </c>
      <c r="Y1631">
        <v>667</v>
      </c>
      <c r="Z1631">
        <v>16</v>
      </c>
      <c r="AA1631">
        <v>373035</v>
      </c>
    </row>
    <row r="1632" spans="1:28">
      <c r="A1632" s="2">
        <f>HYPERLINK("https://finance.naver.com/item/coinfo.nhn?code=078150", "A078150")</f>
        <v>0</v>
      </c>
      <c r="B1632">
        <f>HYPERLINK("http://comp.fnguide.com/SVO2/ASP/SVD_Consensus.asp?pGB=1&amp;gicode=A078150&amp;cID=&amp;MenuYn=Y&amp;ReportGB=&amp;NewMenuID=108&amp;stkGb=701", "HB테크놀러지")</f>
        <v>0</v>
      </c>
      <c r="C1632">
        <v>0</v>
      </c>
      <c r="D1632">
        <v>2140</v>
      </c>
      <c r="E1632">
        <v>0.82</v>
      </c>
      <c r="F1632">
        <v>74.55</v>
      </c>
      <c r="G1632">
        <v>1847</v>
      </c>
      <c r="H1632">
        <v>1999</v>
      </c>
      <c r="I1632">
        <v>2043</v>
      </c>
      <c r="J1632">
        <v>13.7</v>
      </c>
      <c r="K1632">
        <v>6.57</v>
      </c>
      <c r="L1632">
        <v>4.54</v>
      </c>
      <c r="M1632">
        <v>7.01</v>
      </c>
      <c r="N1632" t="b">
        <v>1</v>
      </c>
      <c r="O1632">
        <v>40</v>
      </c>
      <c r="P1632" t="s">
        <v>1636</v>
      </c>
      <c r="Q1632" t="s">
        <v>3564</v>
      </c>
      <c r="R1632">
        <v>91.3728415233569</v>
      </c>
      <c r="S1632">
        <v>1690</v>
      </c>
      <c r="T1632">
        <v>1823547</v>
      </c>
      <c r="U1632" t="s">
        <v>5607</v>
      </c>
      <c r="V1632">
        <v>31.53</v>
      </c>
      <c r="W1632" t="s">
        <v>7806</v>
      </c>
      <c r="X1632" t="s">
        <v>9758</v>
      </c>
      <c r="Y1632">
        <v>2806</v>
      </c>
      <c r="Z1632">
        <v>101</v>
      </c>
      <c r="AA1632">
        <v>2829592</v>
      </c>
      <c r="AB1632">
        <v>0.67</v>
      </c>
    </row>
    <row r="1633" spans="1:28">
      <c r="A1633" s="2">
        <f>HYPERLINK("https://finance.naver.com/item/coinfo.nhn?code=045890", "A045890")</f>
        <v>0</v>
      </c>
      <c r="B1633">
        <f>HYPERLINK("http://comp.fnguide.com/SVO2/ASP/SVD_Consensus.asp?pGB=1&amp;gicode=A045890&amp;cID=&amp;MenuYn=Y&amp;ReportGB=&amp;NewMenuID=108&amp;stkGb=701", "GV")</f>
        <v>0</v>
      </c>
      <c r="C1633">
        <v>0</v>
      </c>
      <c r="D1633">
        <v>573</v>
      </c>
      <c r="G1633">
        <v>0</v>
      </c>
      <c r="H1633">
        <v>258</v>
      </c>
      <c r="I1633">
        <v>331</v>
      </c>
      <c r="J1633">
        <v>100</v>
      </c>
      <c r="K1633">
        <v>55.03</v>
      </c>
      <c r="L1633">
        <v>42.21</v>
      </c>
      <c r="M1633">
        <v>0</v>
      </c>
      <c r="N1633" t="b">
        <v>0</v>
      </c>
      <c r="O1633">
        <v>-1099</v>
      </c>
      <c r="P1633" t="s">
        <v>1637</v>
      </c>
      <c r="Q1633" t="s">
        <v>3565</v>
      </c>
      <c r="R1633">
        <v>-15.3</v>
      </c>
      <c r="S1633">
        <v>400</v>
      </c>
      <c r="T1633">
        <v>2660599</v>
      </c>
      <c r="U1633" t="s">
        <v>5608</v>
      </c>
      <c r="V1633">
        <v>26.04</v>
      </c>
      <c r="W1633" t="s">
        <v>7807</v>
      </c>
      <c r="X1633" t="s">
        <v>968</v>
      </c>
      <c r="Y1633">
        <v>587</v>
      </c>
      <c r="Z1633">
        <v>-161</v>
      </c>
      <c r="AA1633">
        <v>549700</v>
      </c>
    </row>
    <row r="1634" spans="1:28">
      <c r="A1634" s="2">
        <f>HYPERLINK("https://finance.naver.com/item/coinfo.nhn?code=130500", "A130500")</f>
        <v>0</v>
      </c>
      <c r="B1634">
        <f>HYPERLINK("http://comp.fnguide.com/SVO2/ASP/SVD_Consensus.asp?pGB=1&amp;gicode=A130500&amp;cID=&amp;MenuYn=Y&amp;ReportGB=&amp;NewMenuID=108&amp;stkGb=701", "GH신소재")</f>
        <v>0</v>
      </c>
      <c r="C1634">
        <v>0</v>
      </c>
      <c r="D1634">
        <v>10750</v>
      </c>
      <c r="E1634">
        <v>-0.49</v>
      </c>
      <c r="F1634">
        <v>15.1</v>
      </c>
      <c r="G1634">
        <v>1982</v>
      </c>
      <c r="H1634">
        <v>3134</v>
      </c>
      <c r="I1634">
        <v>3463</v>
      </c>
      <c r="J1634">
        <v>81.56</v>
      </c>
      <c r="K1634">
        <v>70.84</v>
      </c>
      <c r="L1634">
        <v>67.79000000000001</v>
      </c>
      <c r="M1634">
        <v>4.05</v>
      </c>
      <c r="N1634" t="b">
        <v>1</v>
      </c>
      <c r="O1634">
        <v>204</v>
      </c>
      <c r="P1634" t="s">
        <v>1638</v>
      </c>
      <c r="Q1634" t="s">
        <v>3566</v>
      </c>
      <c r="R1634">
        <v>-30.55653618555289</v>
      </c>
      <c r="S1634">
        <v>1183</v>
      </c>
      <c r="T1634">
        <v>14645836</v>
      </c>
      <c r="U1634" t="s">
        <v>5609</v>
      </c>
      <c r="V1634">
        <v>50.73</v>
      </c>
      <c r="W1634" t="s">
        <v>7808</v>
      </c>
      <c r="X1634" t="s">
        <v>9759</v>
      </c>
      <c r="Y1634">
        <v>672</v>
      </c>
      <c r="Z1634">
        <v>16</v>
      </c>
      <c r="AA1634">
        <v>19</v>
      </c>
    </row>
    <row r="1635" spans="1:28">
      <c r="A1635" s="2">
        <f>HYPERLINK("https://finance.naver.com/item/coinfo.nhn?code=079190", "A079190")</f>
        <v>0</v>
      </c>
      <c r="B1635">
        <f>HYPERLINK("http://comp.fnguide.com/SVO2/ASP/SVD_Consensus.asp?pGB=1&amp;gicode=A079190&amp;cID=&amp;MenuYn=Y&amp;ReportGB=&amp;NewMenuID=108&amp;stkGb=701", "EMW")</f>
        <v>0</v>
      </c>
      <c r="C1635">
        <v>0</v>
      </c>
      <c r="D1635">
        <v>2780</v>
      </c>
      <c r="E1635">
        <v>0</v>
      </c>
      <c r="F1635">
        <v>274.64</v>
      </c>
      <c r="G1635">
        <v>64</v>
      </c>
      <c r="H1635">
        <v>596</v>
      </c>
      <c r="I1635">
        <v>748</v>
      </c>
      <c r="J1635">
        <v>97.70999999999999</v>
      </c>
      <c r="K1635">
        <v>78.55</v>
      </c>
      <c r="L1635">
        <v>73.09</v>
      </c>
      <c r="M1635">
        <v>0.54</v>
      </c>
      <c r="N1635" t="b">
        <v>0</v>
      </c>
      <c r="O1635">
        <v>10</v>
      </c>
      <c r="P1635" t="s">
        <v>1639</v>
      </c>
      <c r="Q1635" t="s">
        <v>2276</v>
      </c>
      <c r="R1635">
        <v>0</v>
      </c>
      <c r="S1635">
        <v>884</v>
      </c>
      <c r="T1635">
        <v>0</v>
      </c>
      <c r="U1635" t="s">
        <v>5610</v>
      </c>
      <c r="V1635">
        <v>14</v>
      </c>
      <c r="W1635" t="s">
        <v>7809</v>
      </c>
      <c r="X1635" t="s">
        <v>9760</v>
      </c>
      <c r="Y1635">
        <v>614</v>
      </c>
      <c r="Z1635">
        <v>11</v>
      </c>
    </row>
    <row r="1636" spans="1:28">
      <c r="A1636" s="2">
        <f>HYPERLINK("https://finance.naver.com/item/coinfo.nhn?code=037370", "A037370")</f>
        <v>0</v>
      </c>
      <c r="B1636">
        <f>HYPERLINK("http://comp.fnguide.com/SVO2/ASP/SVD_Consensus.asp?pGB=1&amp;gicode=A037370&amp;cID=&amp;MenuYn=Y&amp;ReportGB=&amp;NewMenuID=108&amp;stkGb=701", "EG")</f>
        <v>0</v>
      </c>
      <c r="C1636">
        <v>0</v>
      </c>
      <c r="D1636">
        <v>9530</v>
      </c>
      <c r="E1636">
        <v>0</v>
      </c>
      <c r="G1636">
        <v>0</v>
      </c>
      <c r="H1636">
        <v>2660</v>
      </c>
      <c r="I1636">
        <v>3418</v>
      </c>
      <c r="J1636">
        <v>100</v>
      </c>
      <c r="K1636">
        <v>72.09</v>
      </c>
      <c r="L1636">
        <v>64.14</v>
      </c>
      <c r="M1636">
        <v>0</v>
      </c>
      <c r="N1636" t="b">
        <v>0</v>
      </c>
      <c r="O1636">
        <v>-99</v>
      </c>
      <c r="P1636" t="s">
        <v>1640</v>
      </c>
      <c r="Q1636" t="s">
        <v>2276</v>
      </c>
      <c r="R1636">
        <v>0</v>
      </c>
      <c r="S1636">
        <v>715</v>
      </c>
      <c r="T1636">
        <v>61159</v>
      </c>
      <c r="U1636" t="s">
        <v>5611</v>
      </c>
      <c r="V1636">
        <v>26.31</v>
      </c>
      <c r="W1636" t="s">
        <v>7810</v>
      </c>
      <c r="X1636" t="s">
        <v>968</v>
      </c>
      <c r="Y1636">
        <v>672</v>
      </c>
      <c r="Z1636">
        <v>15</v>
      </c>
    </row>
    <row r="1637" spans="1:28">
      <c r="A1637" s="2">
        <f>HYPERLINK("https://finance.naver.com/item/coinfo.nhn?code=241520", "A241520")</f>
        <v>0</v>
      </c>
      <c r="B1637">
        <f>HYPERLINK("http://comp.fnguide.com/SVO2/ASP/SVD_Consensus.asp?pGB=1&amp;gicode=A241520&amp;cID=&amp;MenuYn=Y&amp;ReportGB=&amp;NewMenuID=108&amp;stkGb=701", "DSC인베스트먼트")</f>
        <v>0</v>
      </c>
      <c r="C1637">
        <v>0</v>
      </c>
      <c r="D1637">
        <v>6280</v>
      </c>
      <c r="E1637">
        <v>0</v>
      </c>
      <c r="F1637">
        <v>9.56</v>
      </c>
      <c r="G1637">
        <v>4512</v>
      </c>
      <c r="H1637">
        <v>3019</v>
      </c>
      <c r="I1637">
        <v>2593</v>
      </c>
      <c r="J1637">
        <v>28.15</v>
      </c>
      <c r="K1637">
        <v>51.93</v>
      </c>
      <c r="L1637">
        <v>58.71</v>
      </c>
      <c r="M1637">
        <v>17.75</v>
      </c>
      <c r="N1637" t="b">
        <v>1</v>
      </c>
      <c r="O1637">
        <v>346</v>
      </c>
      <c r="P1637" t="s">
        <v>1641</v>
      </c>
      <c r="Q1637" t="s">
        <v>3567</v>
      </c>
      <c r="R1637">
        <v>5.964262867774539</v>
      </c>
      <c r="S1637">
        <v>1144</v>
      </c>
      <c r="T1637">
        <v>8484470</v>
      </c>
      <c r="U1637" t="s">
        <v>5612</v>
      </c>
      <c r="V1637">
        <v>27.34</v>
      </c>
      <c r="W1637" t="s">
        <v>7811</v>
      </c>
      <c r="X1637" t="s">
        <v>9761</v>
      </c>
      <c r="Y1637">
        <v>166</v>
      </c>
      <c r="Z1637">
        <v>79</v>
      </c>
      <c r="AA1637">
        <v>305000</v>
      </c>
    </row>
    <row r="1638" spans="1:28">
      <c r="A1638" s="2">
        <f>HYPERLINK("https://finance.naver.com/item/coinfo.nhn?code=003280", "A003280")</f>
        <v>0</v>
      </c>
      <c r="B1638">
        <f>HYPERLINK("http://comp.fnguide.com/SVO2/ASP/SVD_Consensus.asp?pGB=1&amp;gicode=A003280&amp;cID=&amp;MenuYn=Y&amp;ReportGB=&amp;NewMenuID=108&amp;stkGb=701", "흥아해운")</f>
        <v>0</v>
      </c>
      <c r="C1638">
        <v>0</v>
      </c>
      <c r="D1638">
        <v>258</v>
      </c>
      <c r="E1638">
        <v>0</v>
      </c>
      <c r="G1638">
        <v>0</v>
      </c>
      <c r="H1638">
        <v>160</v>
      </c>
      <c r="I1638">
        <v>205</v>
      </c>
      <c r="J1638">
        <v>100</v>
      </c>
      <c r="K1638">
        <v>38.03</v>
      </c>
      <c r="L1638">
        <v>20.37</v>
      </c>
      <c r="M1638">
        <v>0</v>
      </c>
      <c r="N1638" t="b">
        <v>0</v>
      </c>
      <c r="O1638">
        <v>-486</v>
      </c>
      <c r="P1638" t="s">
        <v>1642</v>
      </c>
      <c r="Q1638" t="s">
        <v>2276</v>
      </c>
      <c r="R1638">
        <v>0</v>
      </c>
      <c r="S1638">
        <v>301</v>
      </c>
      <c r="T1638">
        <v>0</v>
      </c>
      <c r="U1638" t="s">
        <v>5613</v>
      </c>
      <c r="V1638">
        <v>23.73</v>
      </c>
      <c r="W1638" t="s">
        <v>7812</v>
      </c>
      <c r="X1638" t="s">
        <v>968</v>
      </c>
      <c r="Y1638">
        <v>1022</v>
      </c>
      <c r="Z1638">
        <v>-124</v>
      </c>
      <c r="AA1638">
        <v>614321</v>
      </c>
    </row>
    <row r="1639" spans="1:28">
      <c r="A1639" s="2">
        <f>HYPERLINK("https://finance.naver.com/item/coinfo.nhn?code=068790", "A068790")</f>
        <v>0</v>
      </c>
      <c r="B1639">
        <f>HYPERLINK("http://comp.fnguide.com/SVO2/ASP/SVD_Consensus.asp?pGB=1&amp;gicode=A068790&amp;cID=&amp;MenuYn=Y&amp;ReportGB=&amp;NewMenuID=108&amp;stkGb=701", "DMS")</f>
        <v>0</v>
      </c>
      <c r="C1639">
        <v>0</v>
      </c>
      <c r="D1639">
        <v>8520</v>
      </c>
      <c r="E1639">
        <v>1.23</v>
      </c>
      <c r="F1639">
        <v>7.31</v>
      </c>
      <c r="G1639">
        <v>8332</v>
      </c>
      <c r="H1639">
        <v>7545</v>
      </c>
      <c r="I1639">
        <v>7321</v>
      </c>
      <c r="J1639">
        <v>2.21</v>
      </c>
      <c r="K1639">
        <v>11.44</v>
      </c>
      <c r="L1639">
        <v>14.07</v>
      </c>
      <c r="M1639">
        <v>9.460000000000001</v>
      </c>
      <c r="N1639" t="b">
        <v>1</v>
      </c>
      <c r="O1639">
        <v>749</v>
      </c>
      <c r="P1639" t="s">
        <v>1643</v>
      </c>
      <c r="Q1639" t="s">
        <v>3567</v>
      </c>
      <c r="R1639">
        <v>5.964262867774539</v>
      </c>
      <c r="S1639">
        <v>2094</v>
      </c>
      <c r="T1639">
        <v>520160</v>
      </c>
      <c r="U1639" t="s">
        <v>5614</v>
      </c>
      <c r="V1639">
        <v>20.92</v>
      </c>
      <c r="W1639" t="s">
        <v>7813</v>
      </c>
      <c r="X1639" t="s">
        <v>9762</v>
      </c>
      <c r="Y1639">
        <v>1962</v>
      </c>
      <c r="Z1639">
        <v>227</v>
      </c>
      <c r="AA1639">
        <v>933797</v>
      </c>
      <c r="AB1639">
        <v>1.37</v>
      </c>
    </row>
    <row r="1640" spans="1:28">
      <c r="A1640" s="2">
        <f>HYPERLINK("https://finance.naver.com/item/coinfo.nhn?code=322780", "A322780")</f>
        <v>0</v>
      </c>
      <c r="B1640">
        <f>HYPERLINK("http://comp.fnguide.com/SVO2/ASP/SVD_Consensus.asp?pGB=1&amp;gicode=A322780&amp;cID=&amp;MenuYn=Y&amp;ReportGB=&amp;NewMenuID=108&amp;stkGb=701", "DB금융스팩7호")</f>
        <v>0</v>
      </c>
      <c r="C1640">
        <v>0</v>
      </c>
      <c r="D1640">
        <v>1975</v>
      </c>
      <c r="E1640">
        <v>0</v>
      </c>
      <c r="F1640">
        <v>267.35</v>
      </c>
      <c r="G1640">
        <v>0</v>
      </c>
      <c r="H1640">
        <v>1122</v>
      </c>
      <c r="I1640">
        <v>1442</v>
      </c>
      <c r="J1640">
        <v>100</v>
      </c>
      <c r="K1640">
        <v>43.17</v>
      </c>
      <c r="L1640">
        <v>26.97</v>
      </c>
      <c r="M1640">
        <v>0</v>
      </c>
      <c r="N1640" t="b">
        <v>0</v>
      </c>
      <c r="O1640">
        <v>8</v>
      </c>
      <c r="P1640" t="s">
        <v>1644</v>
      </c>
      <c r="Q1640" t="s">
        <v>2276</v>
      </c>
      <c r="R1640">
        <v>0</v>
      </c>
      <c r="S1640">
        <v>90</v>
      </c>
      <c r="T1640">
        <v>32946</v>
      </c>
      <c r="U1640" t="s">
        <v>5134</v>
      </c>
      <c r="V1640">
        <v>0.55</v>
      </c>
      <c r="W1640" t="s">
        <v>968</v>
      </c>
      <c r="X1640" t="s">
        <v>9763</v>
      </c>
      <c r="Y1640">
        <v>0</v>
      </c>
      <c r="Z1640">
        <v>0</v>
      </c>
    </row>
    <row r="1641" spans="1:28">
      <c r="A1641" s="2">
        <f>HYPERLINK("https://finance.naver.com/item/coinfo.nhn?code=083660", "A083660")</f>
        <v>0</v>
      </c>
      <c r="B1641">
        <f>HYPERLINK("http://comp.fnguide.com/SVO2/ASP/SVD_Consensus.asp?pGB=1&amp;gicode=A083660&amp;cID=&amp;MenuYn=Y&amp;ReportGB=&amp;NewMenuID=108&amp;stkGb=701", "CSA 코스믹")</f>
        <v>0</v>
      </c>
      <c r="C1641">
        <v>0</v>
      </c>
      <c r="D1641">
        <v>2410</v>
      </c>
      <c r="E1641">
        <v>0</v>
      </c>
      <c r="G1641">
        <v>0</v>
      </c>
      <c r="H1641">
        <v>267</v>
      </c>
      <c r="I1641">
        <v>344</v>
      </c>
      <c r="J1641">
        <v>100</v>
      </c>
      <c r="K1641">
        <v>88.90000000000001</v>
      </c>
      <c r="L1641">
        <v>85.73999999999999</v>
      </c>
      <c r="M1641">
        <v>0</v>
      </c>
      <c r="N1641" t="b">
        <v>0</v>
      </c>
      <c r="O1641">
        <v>-387</v>
      </c>
      <c r="P1641" t="s">
        <v>1645</v>
      </c>
      <c r="Q1641" t="s">
        <v>2276</v>
      </c>
      <c r="R1641">
        <v>0</v>
      </c>
      <c r="S1641">
        <v>893</v>
      </c>
      <c r="T1641">
        <v>161311</v>
      </c>
      <c r="U1641" t="s">
        <v>5615</v>
      </c>
      <c r="V1641">
        <v>44.1</v>
      </c>
      <c r="W1641" t="s">
        <v>7814</v>
      </c>
      <c r="X1641" t="s">
        <v>968</v>
      </c>
      <c r="Y1641">
        <v>643</v>
      </c>
      <c r="Z1641">
        <v>-57</v>
      </c>
    </row>
    <row r="1642" spans="1:28">
      <c r="A1642" s="2">
        <f>HYPERLINK("https://finance.naver.com/item/coinfo.nhn?code=065770", "A065770")</f>
        <v>0</v>
      </c>
      <c r="B1642">
        <f>HYPERLINK("http://comp.fnguide.com/SVO2/ASP/SVD_Consensus.asp?pGB=1&amp;gicode=A065770&amp;cID=&amp;MenuYn=Y&amp;ReportGB=&amp;NewMenuID=108&amp;stkGb=701", "CS")</f>
        <v>0</v>
      </c>
      <c r="C1642">
        <v>0</v>
      </c>
      <c r="D1642">
        <v>2470</v>
      </c>
      <c r="G1642">
        <v>1082</v>
      </c>
      <c r="H1642">
        <v>1127</v>
      </c>
      <c r="I1642">
        <v>1140</v>
      </c>
      <c r="J1642">
        <v>56.18</v>
      </c>
      <c r="K1642">
        <v>54.35</v>
      </c>
      <c r="L1642">
        <v>53.83</v>
      </c>
      <c r="M1642">
        <v>7.45</v>
      </c>
      <c r="N1642" t="b">
        <v>0</v>
      </c>
      <c r="O1642">
        <v>-28</v>
      </c>
      <c r="P1642" t="s">
        <v>1646</v>
      </c>
      <c r="Q1642" t="s">
        <v>3568</v>
      </c>
      <c r="R1642">
        <v>309.5000000000001</v>
      </c>
      <c r="S1642">
        <v>465</v>
      </c>
      <c r="T1642">
        <v>38562</v>
      </c>
      <c r="U1642" t="s">
        <v>5616</v>
      </c>
      <c r="V1642">
        <v>29.6</v>
      </c>
      <c r="W1642" t="s">
        <v>7815</v>
      </c>
      <c r="X1642" t="s">
        <v>9764</v>
      </c>
      <c r="Y1642">
        <v>322</v>
      </c>
      <c r="Z1642">
        <v>-9</v>
      </c>
    </row>
    <row r="1643" spans="1:28">
      <c r="A1643" s="2">
        <f>HYPERLINK("https://finance.naver.com/item/coinfo.nhn?code=058820", "A058820")</f>
        <v>0</v>
      </c>
      <c r="B1643">
        <f>HYPERLINK("http://comp.fnguide.com/SVO2/ASP/SVD_Consensus.asp?pGB=1&amp;gicode=A058820&amp;cID=&amp;MenuYn=Y&amp;ReportGB=&amp;NewMenuID=108&amp;stkGb=701", "CMG제약")</f>
        <v>0</v>
      </c>
      <c r="C1643">
        <v>0</v>
      </c>
      <c r="D1643">
        <v>5310</v>
      </c>
      <c r="E1643">
        <v>6.68</v>
      </c>
      <c r="F1643">
        <v>170.33</v>
      </c>
      <c r="G1643">
        <v>581</v>
      </c>
      <c r="H1643">
        <v>1011</v>
      </c>
      <c r="I1643">
        <v>1134</v>
      </c>
      <c r="J1643">
        <v>89.06</v>
      </c>
      <c r="K1643">
        <v>80.95</v>
      </c>
      <c r="L1643">
        <v>78.64</v>
      </c>
      <c r="M1643">
        <v>3.57</v>
      </c>
      <c r="N1643" t="b">
        <v>0</v>
      </c>
      <c r="O1643">
        <v>25</v>
      </c>
      <c r="P1643" t="s">
        <v>1647</v>
      </c>
      <c r="Q1643" t="s">
        <v>2292</v>
      </c>
      <c r="R1643">
        <v>25.4800234420439</v>
      </c>
      <c r="S1643">
        <v>7375</v>
      </c>
      <c r="T1643">
        <v>9720438</v>
      </c>
      <c r="U1643" t="s">
        <v>5617</v>
      </c>
      <c r="V1643">
        <v>25.84</v>
      </c>
      <c r="W1643" t="s">
        <v>7816</v>
      </c>
      <c r="X1643" t="s">
        <v>9765</v>
      </c>
      <c r="Y1643">
        <v>586</v>
      </c>
      <c r="Z1643">
        <v>26</v>
      </c>
    </row>
    <row r="1644" spans="1:28">
      <c r="A1644" s="2">
        <f>HYPERLINK("https://finance.naver.com/item/coinfo.nhn?code=051500", "A051500")</f>
        <v>0</v>
      </c>
      <c r="B1644">
        <f>HYPERLINK("http://comp.fnguide.com/SVO2/ASP/SVD_Consensus.asp?pGB=1&amp;gicode=A051500&amp;cID=&amp;MenuYn=Y&amp;ReportGB=&amp;NewMenuID=108&amp;stkGb=701", "CJ프레시웨이")</f>
        <v>0</v>
      </c>
      <c r="C1644">
        <v>0</v>
      </c>
      <c r="D1644">
        <v>19100</v>
      </c>
      <c r="E1644">
        <v>-1.06</v>
      </c>
      <c r="F1644">
        <v>66.06</v>
      </c>
      <c r="G1644">
        <v>7929</v>
      </c>
      <c r="H1644">
        <v>13358</v>
      </c>
      <c r="I1644">
        <v>14905</v>
      </c>
      <c r="J1644">
        <v>58.49</v>
      </c>
      <c r="K1644">
        <v>30.06</v>
      </c>
      <c r="L1644">
        <v>21.96</v>
      </c>
      <c r="M1644">
        <v>3.73</v>
      </c>
      <c r="N1644" t="b">
        <v>1</v>
      </c>
      <c r="O1644">
        <v>434</v>
      </c>
      <c r="P1644" t="s">
        <v>1648</v>
      </c>
      <c r="Q1644" t="s">
        <v>3569</v>
      </c>
      <c r="R1644">
        <v>-62.4</v>
      </c>
      <c r="S1644">
        <v>2267</v>
      </c>
      <c r="T1644">
        <v>98425</v>
      </c>
      <c r="U1644" t="s">
        <v>5618</v>
      </c>
      <c r="V1644">
        <v>47.71</v>
      </c>
      <c r="W1644" t="s">
        <v>7817</v>
      </c>
      <c r="X1644" t="s">
        <v>9766</v>
      </c>
      <c r="Y1644">
        <v>30551</v>
      </c>
      <c r="Z1644">
        <v>581</v>
      </c>
      <c r="AB1644">
        <v>0.87</v>
      </c>
    </row>
    <row r="1645" spans="1:28">
      <c r="A1645" s="2">
        <f>HYPERLINK("https://finance.naver.com/item/coinfo.nhn?code=211270", "A211270")</f>
        <v>0</v>
      </c>
      <c r="B1645">
        <f>HYPERLINK("http://comp.fnguide.com/SVO2/ASP/SVD_Consensus.asp?pGB=1&amp;gicode=A211270&amp;cID=&amp;MenuYn=Y&amp;ReportGB=&amp;NewMenuID=108&amp;stkGb=701", "AP위성")</f>
        <v>0</v>
      </c>
      <c r="C1645">
        <v>0</v>
      </c>
      <c r="D1645">
        <v>7060</v>
      </c>
      <c r="E1645">
        <v>-1.73</v>
      </c>
      <c r="F1645">
        <v>147.9</v>
      </c>
      <c r="G1645">
        <v>329</v>
      </c>
      <c r="H1645">
        <v>3642</v>
      </c>
      <c r="I1645">
        <v>4586</v>
      </c>
      <c r="J1645">
        <v>95.34</v>
      </c>
      <c r="K1645">
        <v>48.42</v>
      </c>
      <c r="L1645">
        <v>35.04</v>
      </c>
      <c r="M1645">
        <v>0.45</v>
      </c>
      <c r="N1645" t="b">
        <v>0</v>
      </c>
      <c r="O1645">
        <v>48</v>
      </c>
      <c r="P1645" t="s">
        <v>1649</v>
      </c>
      <c r="Q1645" t="s">
        <v>3570</v>
      </c>
      <c r="R1645">
        <v>-85.31916978860433</v>
      </c>
      <c r="S1645">
        <v>1060</v>
      </c>
      <c r="T1645">
        <v>16560</v>
      </c>
      <c r="U1645" t="s">
        <v>5619</v>
      </c>
      <c r="V1645">
        <v>49.88</v>
      </c>
      <c r="W1645" t="s">
        <v>7818</v>
      </c>
      <c r="X1645" t="s">
        <v>9767</v>
      </c>
      <c r="Y1645">
        <v>457</v>
      </c>
      <c r="Z1645">
        <v>71</v>
      </c>
      <c r="AA1645">
        <v>929203</v>
      </c>
      <c r="AB1645">
        <v>1</v>
      </c>
    </row>
    <row r="1646" spans="1:28">
      <c r="A1646" s="2">
        <f>HYPERLINK("https://finance.naver.com/item/coinfo.nhn?code=265520", "A265520")</f>
        <v>0</v>
      </c>
      <c r="B1646">
        <f>HYPERLINK("http://comp.fnguide.com/SVO2/ASP/SVD_Consensus.asp?pGB=1&amp;gicode=A265520&amp;cID=&amp;MenuYn=Y&amp;ReportGB=&amp;NewMenuID=108&amp;stkGb=701", "AP시스템")</f>
        <v>0</v>
      </c>
      <c r="C1646">
        <v>0</v>
      </c>
      <c r="D1646">
        <v>23450</v>
      </c>
      <c r="E1646">
        <v>0</v>
      </c>
      <c r="F1646">
        <v>54.33</v>
      </c>
      <c r="G1646">
        <v>12821</v>
      </c>
      <c r="H1646">
        <v>9888</v>
      </c>
      <c r="I1646">
        <v>9053</v>
      </c>
      <c r="J1646">
        <v>45.33</v>
      </c>
      <c r="K1646">
        <v>57.83</v>
      </c>
      <c r="L1646">
        <v>61.39</v>
      </c>
      <c r="M1646">
        <v>12.87</v>
      </c>
      <c r="N1646" t="b">
        <v>0</v>
      </c>
      <c r="O1646">
        <v>618</v>
      </c>
      <c r="P1646" t="s">
        <v>1650</v>
      </c>
      <c r="Q1646" t="s">
        <v>3571</v>
      </c>
      <c r="R1646">
        <v>0</v>
      </c>
      <c r="S1646">
        <v>3396</v>
      </c>
      <c r="T1646">
        <v>131440</v>
      </c>
      <c r="U1646" t="s">
        <v>5620</v>
      </c>
      <c r="V1646">
        <v>20.91</v>
      </c>
      <c r="W1646" t="s">
        <v>7819</v>
      </c>
      <c r="X1646" t="s">
        <v>9768</v>
      </c>
      <c r="Y1646">
        <v>4621</v>
      </c>
      <c r="Z1646">
        <v>284</v>
      </c>
      <c r="AA1646">
        <v>110687</v>
      </c>
      <c r="AB1646">
        <v>0.15</v>
      </c>
    </row>
    <row r="1647" spans="1:28">
      <c r="A1647" s="2">
        <f>HYPERLINK("https://finance.naver.com/item/coinfo.nhn?code=060310", "A060310")</f>
        <v>0</v>
      </c>
      <c r="B1647">
        <f>HYPERLINK("http://comp.fnguide.com/SVO2/ASP/SVD_Consensus.asp?pGB=1&amp;gicode=A060310&amp;cID=&amp;MenuYn=Y&amp;ReportGB=&amp;NewMenuID=108&amp;stkGb=701", "3S")</f>
        <v>0</v>
      </c>
      <c r="C1647">
        <v>0</v>
      </c>
      <c r="D1647">
        <v>2150</v>
      </c>
      <c r="E1647">
        <v>0</v>
      </c>
      <c r="G1647">
        <v>135</v>
      </c>
      <c r="H1647">
        <v>502</v>
      </c>
      <c r="I1647">
        <v>606</v>
      </c>
      <c r="J1647">
        <v>93.72</v>
      </c>
      <c r="K1647">
        <v>76.66</v>
      </c>
      <c r="L1647">
        <v>71.8</v>
      </c>
      <c r="M1647">
        <v>1.44</v>
      </c>
      <c r="N1647" t="b">
        <v>0</v>
      </c>
      <c r="O1647">
        <v>-24</v>
      </c>
      <c r="P1647" t="s">
        <v>1651</v>
      </c>
      <c r="Q1647" t="s">
        <v>2276</v>
      </c>
      <c r="R1647">
        <v>0</v>
      </c>
      <c r="S1647">
        <v>963</v>
      </c>
      <c r="T1647">
        <v>244349</v>
      </c>
      <c r="U1647" t="s">
        <v>5621</v>
      </c>
      <c r="V1647">
        <v>8.470000000000001</v>
      </c>
      <c r="W1647" t="s">
        <v>7820</v>
      </c>
      <c r="X1647" t="s">
        <v>9769</v>
      </c>
      <c r="Y1647">
        <v>226</v>
      </c>
      <c r="Z1647">
        <v>5</v>
      </c>
    </row>
    <row r="1648" spans="1:28">
      <c r="A1648" s="2">
        <f>HYPERLINK("https://finance.naver.com/item/coinfo.nhn?code=000220", "A000220")</f>
        <v>0</v>
      </c>
      <c r="B1648">
        <f>HYPERLINK("http://comp.fnguide.com/SVO2/ASP/SVD_Consensus.asp?pGB=1&amp;gicode=A000220&amp;cID=&amp;MenuYn=Y&amp;ReportGB=&amp;NewMenuID=108&amp;stkGb=701", "유유제약")</f>
        <v>0</v>
      </c>
      <c r="C1648">
        <v>0</v>
      </c>
      <c r="D1648">
        <v>14300</v>
      </c>
      <c r="E1648">
        <v>-0.85</v>
      </c>
      <c r="F1648">
        <v>18.43</v>
      </c>
      <c r="G1648">
        <v>7884</v>
      </c>
      <c r="H1648">
        <v>10333</v>
      </c>
      <c r="I1648">
        <v>11031</v>
      </c>
      <c r="J1648">
        <v>44.87</v>
      </c>
      <c r="K1648">
        <v>27.74</v>
      </c>
      <c r="L1648">
        <v>22.86</v>
      </c>
      <c r="M1648">
        <v>5.25</v>
      </c>
      <c r="N1648" t="b">
        <v>1</v>
      </c>
      <c r="O1648">
        <v>616</v>
      </c>
      <c r="P1648" t="s">
        <v>1652</v>
      </c>
      <c r="Q1648" t="s">
        <v>3572</v>
      </c>
      <c r="R1648">
        <v>-21.71910969876609</v>
      </c>
      <c r="S1648">
        <v>1021</v>
      </c>
      <c r="T1648">
        <v>103249</v>
      </c>
      <c r="U1648" t="s">
        <v>5622</v>
      </c>
      <c r="V1648">
        <v>31.32</v>
      </c>
      <c r="W1648" t="s">
        <v>7821</v>
      </c>
      <c r="X1648" t="s">
        <v>9770</v>
      </c>
      <c r="Y1648">
        <v>909</v>
      </c>
      <c r="Z1648">
        <v>81</v>
      </c>
      <c r="AA1648">
        <v>576549</v>
      </c>
      <c r="AB1648">
        <v>1.85</v>
      </c>
    </row>
    <row r="1649" spans="1:28">
      <c r="A1649" s="2">
        <f>HYPERLINK("https://finance.naver.com/item/coinfo.nhn?code=072130", "A072130")</f>
        <v>0</v>
      </c>
      <c r="B1649">
        <f>HYPERLINK("http://comp.fnguide.com/SVO2/ASP/SVD_Consensus.asp?pGB=1&amp;gicode=A072130&amp;cID=&amp;MenuYn=Y&amp;ReportGB=&amp;NewMenuID=108&amp;stkGb=701", "유엔젤")</f>
        <v>0</v>
      </c>
      <c r="C1649">
        <v>0</v>
      </c>
      <c r="D1649">
        <v>4125</v>
      </c>
      <c r="E1649">
        <v>0</v>
      </c>
      <c r="G1649">
        <v>574</v>
      </c>
      <c r="H1649">
        <v>2123</v>
      </c>
      <c r="I1649">
        <v>2565</v>
      </c>
      <c r="J1649">
        <v>86.09999999999999</v>
      </c>
      <c r="K1649">
        <v>48.53</v>
      </c>
      <c r="L1649">
        <v>37.83</v>
      </c>
      <c r="M1649">
        <v>1.45</v>
      </c>
      <c r="N1649" t="b">
        <v>0</v>
      </c>
      <c r="O1649">
        <v>-377</v>
      </c>
      <c r="P1649" t="s">
        <v>1653</v>
      </c>
      <c r="Q1649" t="s">
        <v>2276</v>
      </c>
      <c r="R1649">
        <v>0</v>
      </c>
      <c r="S1649">
        <v>544</v>
      </c>
      <c r="T1649">
        <v>186484</v>
      </c>
      <c r="U1649" t="s">
        <v>5623</v>
      </c>
      <c r="V1649">
        <v>19.71</v>
      </c>
      <c r="W1649" t="s">
        <v>7822</v>
      </c>
      <c r="X1649" t="s">
        <v>9771</v>
      </c>
      <c r="Y1649">
        <v>266</v>
      </c>
      <c r="Z1649">
        <v>-23</v>
      </c>
      <c r="AA1649">
        <v>1712470</v>
      </c>
    </row>
    <row r="1650" spans="1:28">
      <c r="A1650" s="2">
        <f>HYPERLINK("https://finance.naver.com/item/coinfo.nhn?code=077500", "A077500")</f>
        <v>0</v>
      </c>
      <c r="B1650">
        <f>HYPERLINK("http://comp.fnguide.com/SVO2/ASP/SVD_Consensus.asp?pGB=1&amp;gicode=A077500&amp;cID=&amp;MenuYn=Y&amp;ReportGB=&amp;NewMenuID=108&amp;stkGb=701", "유니퀘스트")</f>
        <v>0</v>
      </c>
      <c r="C1650">
        <v>0</v>
      </c>
      <c r="D1650">
        <v>13200</v>
      </c>
      <c r="E1650">
        <v>0.23</v>
      </c>
      <c r="F1650">
        <v>7.14</v>
      </c>
      <c r="G1650">
        <v>9451</v>
      </c>
      <c r="H1650">
        <v>8569</v>
      </c>
      <c r="I1650">
        <v>8317</v>
      </c>
      <c r="J1650">
        <v>28.4</v>
      </c>
      <c r="K1650">
        <v>35.08</v>
      </c>
      <c r="L1650">
        <v>36.99</v>
      </c>
      <c r="M1650">
        <v>9.44</v>
      </c>
      <c r="N1650" t="b">
        <v>1</v>
      </c>
      <c r="O1650">
        <v>935</v>
      </c>
      <c r="P1650" t="s">
        <v>1654</v>
      </c>
      <c r="Q1650" t="s">
        <v>3573</v>
      </c>
      <c r="R1650">
        <v>30.76681909051267</v>
      </c>
      <c r="S1650">
        <v>3605</v>
      </c>
      <c r="T1650">
        <v>905843</v>
      </c>
      <c r="U1650" t="s">
        <v>5624</v>
      </c>
      <c r="V1650">
        <v>45.08</v>
      </c>
      <c r="W1650" t="s">
        <v>7823</v>
      </c>
      <c r="X1650" t="s">
        <v>9772</v>
      </c>
      <c r="Y1650">
        <v>3353</v>
      </c>
      <c r="Z1650">
        <v>69</v>
      </c>
      <c r="AA1650">
        <v>586113</v>
      </c>
      <c r="AB1650">
        <v>2.25</v>
      </c>
    </row>
    <row r="1651" spans="1:28">
      <c r="A1651" s="2">
        <f>HYPERLINK("https://finance.naver.com/item/coinfo.nhn?code=009290", "A009290")</f>
        <v>0</v>
      </c>
      <c r="B1651">
        <f>HYPERLINK("http://comp.fnguide.com/SVO2/ASP/SVD_Consensus.asp?pGB=1&amp;gicode=A009290&amp;cID=&amp;MenuYn=Y&amp;ReportGB=&amp;NewMenuID=108&amp;stkGb=701", "광동제약")</f>
        <v>0</v>
      </c>
      <c r="C1651">
        <v>0</v>
      </c>
      <c r="D1651">
        <v>10100</v>
      </c>
      <c r="E1651">
        <v>1.41</v>
      </c>
      <c r="F1651">
        <v>15.12</v>
      </c>
      <c r="G1651">
        <v>7321</v>
      </c>
      <c r="H1651">
        <v>9109</v>
      </c>
      <c r="I1651">
        <v>9618</v>
      </c>
      <c r="J1651">
        <v>27.51</v>
      </c>
      <c r="K1651">
        <v>9.81</v>
      </c>
      <c r="L1651">
        <v>4.77</v>
      </c>
      <c r="M1651">
        <v>5.67</v>
      </c>
      <c r="N1651" t="b">
        <v>1</v>
      </c>
      <c r="O1651">
        <v>440</v>
      </c>
      <c r="P1651" t="s">
        <v>1655</v>
      </c>
      <c r="Q1651" t="s">
        <v>3574</v>
      </c>
      <c r="R1651">
        <v>10.75964172989739</v>
      </c>
      <c r="S1651">
        <v>5295</v>
      </c>
      <c r="T1651">
        <v>630538</v>
      </c>
      <c r="U1651" t="s">
        <v>5625</v>
      </c>
      <c r="V1651">
        <v>17.64</v>
      </c>
      <c r="W1651" t="s">
        <v>7824</v>
      </c>
      <c r="X1651" t="s">
        <v>9773</v>
      </c>
      <c r="Y1651">
        <v>12383</v>
      </c>
      <c r="Z1651">
        <v>418</v>
      </c>
      <c r="AA1651">
        <v>11340239</v>
      </c>
      <c r="AB1651">
        <v>1.2</v>
      </c>
    </row>
    <row r="1652" spans="1:28">
      <c r="A1652" s="2">
        <f>HYPERLINK("https://finance.naver.com/item/coinfo.nhn?code=003090", "A003090")</f>
        <v>0</v>
      </c>
      <c r="B1652">
        <f>HYPERLINK("http://comp.fnguide.com/SVO2/ASP/SVD_Consensus.asp?pGB=1&amp;gicode=A003090&amp;cID=&amp;MenuYn=Y&amp;ReportGB=&amp;NewMenuID=108&amp;stkGb=701", "대웅")</f>
        <v>0</v>
      </c>
      <c r="C1652">
        <v>0</v>
      </c>
      <c r="D1652">
        <v>30500</v>
      </c>
      <c r="E1652">
        <v>2.62</v>
      </c>
      <c r="F1652">
        <v>12.06</v>
      </c>
      <c r="G1652">
        <v>17332</v>
      </c>
      <c r="H1652">
        <v>15994</v>
      </c>
      <c r="I1652">
        <v>15613</v>
      </c>
      <c r="J1652">
        <v>43.17</v>
      </c>
      <c r="K1652">
        <v>47.56</v>
      </c>
      <c r="L1652">
        <v>48.81</v>
      </c>
      <c r="M1652">
        <v>9.140000000000001</v>
      </c>
      <c r="N1652" t="b">
        <v>0</v>
      </c>
      <c r="O1652">
        <v>1074</v>
      </c>
      <c r="P1652" t="s">
        <v>1656</v>
      </c>
      <c r="Q1652" t="s">
        <v>3575</v>
      </c>
      <c r="R1652">
        <v>4.608078207751687</v>
      </c>
      <c r="S1652">
        <v>17733</v>
      </c>
      <c r="T1652">
        <v>1486612</v>
      </c>
      <c r="U1652" t="s">
        <v>5626</v>
      </c>
      <c r="V1652">
        <v>38.18</v>
      </c>
      <c r="W1652" t="s">
        <v>7825</v>
      </c>
      <c r="X1652" t="s">
        <v>9774</v>
      </c>
      <c r="Y1652">
        <v>13657</v>
      </c>
      <c r="Z1652">
        <v>1075</v>
      </c>
      <c r="AA1652">
        <v>16593414</v>
      </c>
      <c r="AB1652">
        <v>0.77</v>
      </c>
    </row>
    <row r="1653" spans="1:28">
      <c r="A1653" s="2">
        <f>HYPERLINK("https://finance.naver.com/item/coinfo.nhn?code=009320", "A009320")</f>
        <v>0</v>
      </c>
      <c r="B1653">
        <f>HYPERLINK("http://comp.fnguide.com/SVO2/ASP/SVD_Consensus.asp?pGB=1&amp;gicode=A009320&amp;cID=&amp;MenuYn=Y&amp;ReportGB=&amp;NewMenuID=108&amp;stkGb=701", "대우부품")</f>
        <v>0</v>
      </c>
      <c r="C1653">
        <v>0</v>
      </c>
      <c r="D1653">
        <v>2950</v>
      </c>
      <c r="G1653">
        <v>225</v>
      </c>
      <c r="H1653">
        <v>555</v>
      </c>
      <c r="I1653">
        <v>649</v>
      </c>
      <c r="J1653">
        <v>92.39</v>
      </c>
      <c r="K1653">
        <v>81.19</v>
      </c>
      <c r="L1653">
        <v>78</v>
      </c>
      <c r="M1653">
        <v>2.31</v>
      </c>
      <c r="N1653" t="b">
        <v>0</v>
      </c>
      <c r="O1653">
        <v>-52</v>
      </c>
      <c r="P1653" t="s">
        <v>1657</v>
      </c>
      <c r="Q1653" t="s">
        <v>3576</v>
      </c>
      <c r="R1653">
        <v>-15.04978287667811</v>
      </c>
      <c r="S1653">
        <v>1406</v>
      </c>
      <c r="T1653">
        <v>1371765</v>
      </c>
      <c r="U1653" t="s">
        <v>5627</v>
      </c>
      <c r="V1653">
        <v>33.93</v>
      </c>
      <c r="W1653" t="s">
        <v>7826</v>
      </c>
      <c r="X1653" t="s">
        <v>9775</v>
      </c>
      <c r="Y1653">
        <v>534</v>
      </c>
      <c r="Z1653">
        <v>-10</v>
      </c>
    </row>
    <row r="1654" spans="1:28">
      <c r="A1654" s="2">
        <f>HYPERLINK("https://finance.naver.com/item/coinfo.nhn?code=014160", "A014160")</f>
        <v>0</v>
      </c>
      <c r="B1654">
        <f>HYPERLINK("http://comp.fnguide.com/SVO2/ASP/SVD_Consensus.asp?pGB=1&amp;gicode=A014160&amp;cID=&amp;MenuYn=Y&amp;ReportGB=&amp;NewMenuID=108&amp;stkGb=701", "대영포장")</f>
        <v>0</v>
      </c>
      <c r="C1654">
        <v>0</v>
      </c>
      <c r="D1654">
        <v>2060</v>
      </c>
      <c r="E1654">
        <v>-0.26</v>
      </c>
      <c r="F1654">
        <v>11.15</v>
      </c>
      <c r="G1654">
        <v>1160</v>
      </c>
      <c r="H1654">
        <v>1340</v>
      </c>
      <c r="I1654">
        <v>1391</v>
      </c>
      <c r="J1654">
        <v>43.67</v>
      </c>
      <c r="K1654">
        <v>34.94</v>
      </c>
      <c r="L1654">
        <v>32.46</v>
      </c>
      <c r="M1654">
        <v>6.34</v>
      </c>
      <c r="N1654" t="b">
        <v>1</v>
      </c>
      <c r="O1654">
        <v>100</v>
      </c>
      <c r="P1654" t="s">
        <v>1658</v>
      </c>
      <c r="Q1654" t="s">
        <v>3577</v>
      </c>
      <c r="R1654">
        <v>-42.85177168100483</v>
      </c>
      <c r="S1654">
        <v>2233</v>
      </c>
      <c r="T1654">
        <v>261699393</v>
      </c>
      <c r="U1654" t="s">
        <v>5628</v>
      </c>
      <c r="V1654">
        <v>50.81</v>
      </c>
      <c r="W1654" t="s">
        <v>7827</v>
      </c>
      <c r="X1654" t="s">
        <v>9776</v>
      </c>
      <c r="Y1654">
        <v>2701</v>
      </c>
      <c r="Z1654">
        <v>134</v>
      </c>
      <c r="AA1654">
        <v>5285000</v>
      </c>
    </row>
    <row r="1655" spans="1:28">
      <c r="A1655" s="2">
        <f>HYPERLINK("https://finance.naver.com/item/coinfo.nhn?code=016710", "A016710")</f>
        <v>0</v>
      </c>
      <c r="B1655">
        <f>HYPERLINK("http://comp.fnguide.com/SVO2/ASP/SVD_Consensus.asp?pGB=1&amp;gicode=A016710&amp;cID=&amp;MenuYn=Y&amp;ReportGB=&amp;NewMenuID=108&amp;stkGb=701", "대성홀딩스")</f>
        <v>0</v>
      </c>
      <c r="C1655">
        <v>0</v>
      </c>
      <c r="D1655">
        <v>24650</v>
      </c>
      <c r="E1655">
        <v>0.38</v>
      </c>
      <c r="F1655">
        <v>9.960000000000001</v>
      </c>
      <c r="G1655">
        <v>13406</v>
      </c>
      <c r="H1655">
        <v>20983</v>
      </c>
      <c r="I1655">
        <v>23142</v>
      </c>
      <c r="J1655">
        <v>45.62</v>
      </c>
      <c r="K1655">
        <v>14.88</v>
      </c>
      <c r="L1655">
        <v>6.12</v>
      </c>
      <c r="M1655">
        <v>4.11</v>
      </c>
      <c r="N1655" t="b">
        <v>1</v>
      </c>
      <c r="O1655">
        <v>837</v>
      </c>
      <c r="P1655" t="s">
        <v>1659</v>
      </c>
      <c r="Q1655" t="s">
        <v>3578</v>
      </c>
      <c r="R1655">
        <v>26.13801726604645</v>
      </c>
      <c r="S1655">
        <v>3966</v>
      </c>
      <c r="T1655">
        <v>112959</v>
      </c>
      <c r="U1655" t="s">
        <v>5629</v>
      </c>
      <c r="V1655">
        <v>72.73999999999999</v>
      </c>
      <c r="W1655" t="s">
        <v>7828</v>
      </c>
      <c r="X1655" t="s">
        <v>9777</v>
      </c>
      <c r="Y1655">
        <v>9186</v>
      </c>
      <c r="Z1655">
        <v>239</v>
      </c>
      <c r="AB1655">
        <v>3</v>
      </c>
    </row>
    <row r="1656" spans="1:28">
      <c r="A1656" s="2">
        <f>HYPERLINK("https://finance.naver.com/item/coinfo.nhn?code=005250", "A005250")</f>
        <v>0</v>
      </c>
      <c r="B1656">
        <f>HYPERLINK("http://comp.fnguide.com/SVO2/ASP/SVD_Consensus.asp?pGB=1&amp;gicode=A005250&amp;cID=&amp;MenuYn=Y&amp;ReportGB=&amp;NewMenuID=108&amp;stkGb=701", "녹십자홀딩스")</f>
        <v>0</v>
      </c>
      <c r="C1656">
        <v>0</v>
      </c>
      <c r="D1656">
        <v>35550</v>
      </c>
      <c r="E1656">
        <v>-6.92</v>
      </c>
      <c r="F1656">
        <v>372.73</v>
      </c>
      <c r="G1656">
        <v>4214</v>
      </c>
      <c r="H1656">
        <v>12550</v>
      </c>
      <c r="I1656">
        <v>14926</v>
      </c>
      <c r="J1656">
        <v>88.15000000000001</v>
      </c>
      <c r="K1656">
        <v>64.7</v>
      </c>
      <c r="L1656">
        <v>58.01</v>
      </c>
      <c r="M1656">
        <v>1.86</v>
      </c>
      <c r="N1656" t="b">
        <v>0</v>
      </c>
      <c r="O1656">
        <v>60</v>
      </c>
      <c r="P1656" t="s">
        <v>1660</v>
      </c>
      <c r="Q1656" t="s">
        <v>3579</v>
      </c>
      <c r="R1656">
        <v>-53.90061947430065</v>
      </c>
      <c r="S1656">
        <v>16719</v>
      </c>
      <c r="T1656">
        <v>875509</v>
      </c>
      <c r="U1656" t="s">
        <v>5630</v>
      </c>
      <c r="V1656">
        <v>50.7</v>
      </c>
      <c r="W1656" t="s">
        <v>7829</v>
      </c>
      <c r="X1656" t="s">
        <v>9778</v>
      </c>
      <c r="Y1656">
        <v>15248</v>
      </c>
      <c r="Z1656">
        <v>304</v>
      </c>
      <c r="AA1656">
        <v>2094020</v>
      </c>
      <c r="AB1656">
        <v>1.46</v>
      </c>
    </row>
    <row r="1657" spans="1:28">
      <c r="A1657" s="2">
        <f>HYPERLINK("https://finance.naver.com/item/coinfo.nhn?code=006280", "A006280")</f>
        <v>0</v>
      </c>
      <c r="B1657">
        <f>HYPERLINK("http://comp.fnguide.com/SVO2/ASP/SVD_Consensus.asp?pGB=1&amp;gicode=A006280&amp;cID=&amp;MenuYn=Y&amp;ReportGB=&amp;NewMenuID=108&amp;stkGb=701", "녹십자")</f>
        <v>0</v>
      </c>
      <c r="C1657">
        <v>0</v>
      </c>
      <c r="D1657">
        <v>355000</v>
      </c>
      <c r="G1657">
        <v>22673</v>
      </c>
      <c r="H1657">
        <v>64258</v>
      </c>
      <c r="I1657">
        <v>76108</v>
      </c>
      <c r="J1657">
        <v>93.61</v>
      </c>
      <c r="K1657">
        <v>81.90000000000001</v>
      </c>
      <c r="L1657">
        <v>78.56</v>
      </c>
      <c r="M1657">
        <v>1.97</v>
      </c>
      <c r="N1657" t="b">
        <v>0</v>
      </c>
      <c r="O1657">
        <v>-311</v>
      </c>
      <c r="P1657" t="s">
        <v>1661</v>
      </c>
      <c r="Q1657" t="s">
        <v>3580</v>
      </c>
      <c r="R1657">
        <v>5.95543500896647</v>
      </c>
      <c r="S1657">
        <v>41487</v>
      </c>
      <c r="T1657">
        <v>222053</v>
      </c>
      <c r="U1657" t="s">
        <v>5631</v>
      </c>
      <c r="V1657">
        <v>51.41</v>
      </c>
      <c r="W1657" t="s">
        <v>7830</v>
      </c>
      <c r="X1657" t="s">
        <v>9779</v>
      </c>
      <c r="Y1657">
        <v>13697</v>
      </c>
      <c r="Z1657">
        <v>403</v>
      </c>
      <c r="AA1657">
        <v>273360</v>
      </c>
      <c r="AB1657">
        <v>0.75</v>
      </c>
    </row>
    <row r="1658" spans="1:28">
      <c r="A1658" s="2">
        <f>HYPERLINK("https://finance.naver.com/item/coinfo.nhn?code=251270", "A251270")</f>
        <v>0</v>
      </c>
      <c r="B1658">
        <f>HYPERLINK("http://comp.fnguide.com/SVO2/ASP/SVD_Consensus.asp?pGB=1&amp;gicode=A251270&amp;cID=&amp;MenuYn=Y&amp;ReportGB=&amp;NewMenuID=108&amp;stkGb=701", "넷마블")</f>
        <v>0</v>
      </c>
      <c r="C1658">
        <v>0</v>
      </c>
      <c r="D1658">
        <v>132000</v>
      </c>
      <c r="E1658">
        <v>13.57</v>
      </c>
      <c r="F1658">
        <v>50.68</v>
      </c>
      <c r="G1658">
        <v>34678</v>
      </c>
      <c r="H1658">
        <v>46531</v>
      </c>
      <c r="I1658">
        <v>49909</v>
      </c>
      <c r="J1658">
        <v>73.73</v>
      </c>
      <c r="K1658">
        <v>64.75</v>
      </c>
      <c r="L1658">
        <v>62.19</v>
      </c>
      <c r="M1658">
        <v>5.08</v>
      </c>
      <c r="N1658" t="b">
        <v>0</v>
      </c>
      <c r="O1658">
        <v>1823</v>
      </c>
      <c r="P1658" t="s">
        <v>1662</v>
      </c>
      <c r="Q1658" t="s">
        <v>3581</v>
      </c>
      <c r="R1658">
        <v>3.736081903296085</v>
      </c>
      <c r="S1658">
        <v>113314</v>
      </c>
      <c r="T1658">
        <v>585657</v>
      </c>
      <c r="U1658" t="s">
        <v>5632</v>
      </c>
      <c r="V1658">
        <v>70.98999999999999</v>
      </c>
      <c r="W1658" t="s">
        <v>7831</v>
      </c>
      <c r="X1658" t="s">
        <v>9780</v>
      </c>
      <c r="Y1658">
        <v>21787</v>
      </c>
      <c r="Z1658">
        <v>2027</v>
      </c>
      <c r="AA1658">
        <v>4018931</v>
      </c>
    </row>
    <row r="1659" spans="1:28">
      <c r="A1659" s="2">
        <f>HYPERLINK("https://finance.naver.com/item/coinfo.nhn?code=003580", "A003580")</f>
        <v>0</v>
      </c>
      <c r="B1659">
        <f>HYPERLINK("http://comp.fnguide.com/SVO2/ASP/SVD_Consensus.asp?pGB=1&amp;gicode=A003580&amp;cID=&amp;MenuYn=Y&amp;ReportGB=&amp;NewMenuID=108&amp;stkGb=701", "넥스트사이언스")</f>
        <v>0</v>
      </c>
      <c r="C1659">
        <v>0</v>
      </c>
      <c r="D1659">
        <v>5220</v>
      </c>
      <c r="E1659">
        <v>0</v>
      </c>
      <c r="G1659">
        <v>0</v>
      </c>
      <c r="H1659">
        <v>1394</v>
      </c>
      <c r="I1659">
        <v>1791</v>
      </c>
      <c r="J1659">
        <v>100</v>
      </c>
      <c r="K1659">
        <v>73.29000000000001</v>
      </c>
      <c r="L1659">
        <v>65.68000000000001</v>
      </c>
      <c r="M1659">
        <v>0</v>
      </c>
      <c r="N1659" t="b">
        <v>0</v>
      </c>
      <c r="O1659">
        <v>-844</v>
      </c>
      <c r="P1659" t="s">
        <v>1663</v>
      </c>
      <c r="Q1659" t="s">
        <v>2276</v>
      </c>
      <c r="R1659">
        <v>0</v>
      </c>
      <c r="S1659">
        <v>1703</v>
      </c>
      <c r="T1659">
        <v>248007</v>
      </c>
      <c r="U1659" t="s">
        <v>5633</v>
      </c>
      <c r="V1659">
        <v>7.99</v>
      </c>
      <c r="W1659" t="s">
        <v>7832</v>
      </c>
      <c r="X1659" t="s">
        <v>968</v>
      </c>
      <c r="Y1659">
        <v>350</v>
      </c>
      <c r="Z1659">
        <v>-44</v>
      </c>
      <c r="AA1659">
        <v>5860</v>
      </c>
    </row>
    <row r="1660" spans="1:28">
      <c r="A1660" s="2">
        <f>HYPERLINK("https://finance.naver.com/item/coinfo.nhn?code=025860", "A025860")</f>
        <v>0</v>
      </c>
      <c r="B1660">
        <f>HYPERLINK("http://comp.fnguide.com/SVO2/ASP/SVD_Consensus.asp?pGB=1&amp;gicode=A025860&amp;cID=&amp;MenuYn=Y&amp;ReportGB=&amp;NewMenuID=108&amp;stkGb=701", "남해화학")</f>
        <v>0</v>
      </c>
      <c r="C1660">
        <v>0</v>
      </c>
      <c r="D1660">
        <v>8360</v>
      </c>
      <c r="E1660">
        <v>2.17</v>
      </c>
      <c r="F1660">
        <v>25.27</v>
      </c>
      <c r="G1660">
        <v>4111</v>
      </c>
      <c r="H1660">
        <v>7079</v>
      </c>
      <c r="I1660">
        <v>7925</v>
      </c>
      <c r="J1660">
        <v>50.82</v>
      </c>
      <c r="K1660">
        <v>15.32</v>
      </c>
      <c r="L1660">
        <v>5.2</v>
      </c>
      <c r="M1660">
        <v>3.62</v>
      </c>
      <c r="N1660" t="b">
        <v>1</v>
      </c>
      <c r="O1660">
        <v>323</v>
      </c>
      <c r="P1660" t="s">
        <v>1664</v>
      </c>
      <c r="Q1660" t="s">
        <v>3582</v>
      </c>
      <c r="R1660">
        <v>11.65343631677125</v>
      </c>
      <c r="S1660">
        <v>4153</v>
      </c>
      <c r="T1660">
        <v>273410</v>
      </c>
      <c r="U1660" t="s">
        <v>5634</v>
      </c>
      <c r="V1660">
        <v>56</v>
      </c>
      <c r="W1660" t="s">
        <v>7833</v>
      </c>
      <c r="X1660" t="s">
        <v>9781</v>
      </c>
      <c r="Y1660">
        <v>11872</v>
      </c>
      <c r="Z1660">
        <v>153</v>
      </c>
      <c r="AA1660">
        <v>1730148</v>
      </c>
      <c r="AB1660">
        <v>0.74</v>
      </c>
    </row>
    <row r="1661" spans="1:28">
      <c r="A1661" s="2">
        <f>HYPERLINK("https://finance.naver.com/item/coinfo.nhn?code=004270", "A004270")</f>
        <v>0</v>
      </c>
      <c r="B1661">
        <f>HYPERLINK("http://comp.fnguide.com/SVO2/ASP/SVD_Consensus.asp?pGB=1&amp;gicode=A004270&amp;cID=&amp;MenuYn=Y&amp;ReportGB=&amp;NewMenuID=108&amp;stkGb=701", "남성")</f>
        <v>0</v>
      </c>
      <c r="C1661">
        <v>0</v>
      </c>
      <c r="D1661">
        <v>4420</v>
      </c>
      <c r="G1661">
        <v>97</v>
      </c>
      <c r="H1661">
        <v>1692</v>
      </c>
      <c r="I1661">
        <v>2147</v>
      </c>
      <c r="J1661">
        <v>97.81</v>
      </c>
      <c r="K1661">
        <v>61.72</v>
      </c>
      <c r="L1661">
        <v>51.43</v>
      </c>
      <c r="M1661">
        <v>0.28</v>
      </c>
      <c r="N1661" t="b">
        <v>0</v>
      </c>
      <c r="O1661">
        <v>-59</v>
      </c>
      <c r="P1661" t="s">
        <v>1665</v>
      </c>
      <c r="Q1661" t="s">
        <v>3583</v>
      </c>
      <c r="R1661">
        <v>-0.4000000000000004</v>
      </c>
      <c r="S1661">
        <v>1601</v>
      </c>
      <c r="T1661">
        <v>1397826</v>
      </c>
      <c r="U1661" t="s">
        <v>5635</v>
      </c>
      <c r="V1661">
        <v>36.78</v>
      </c>
      <c r="W1661" t="s">
        <v>7834</v>
      </c>
      <c r="X1661" t="s">
        <v>9782</v>
      </c>
      <c r="Y1661">
        <v>730</v>
      </c>
      <c r="Z1661">
        <v>5</v>
      </c>
      <c r="AA1661">
        <v>4889673</v>
      </c>
      <c r="AB1661">
        <v>0.79</v>
      </c>
    </row>
    <row r="1662" spans="1:28">
      <c r="A1662" s="2">
        <f>HYPERLINK("https://finance.naver.com/item/coinfo.nhn?code=008350", "A008350")</f>
        <v>0</v>
      </c>
      <c r="B1662">
        <f>HYPERLINK("http://comp.fnguide.com/SVO2/ASP/SVD_Consensus.asp?pGB=1&amp;gicode=A008350&amp;cID=&amp;MenuYn=Y&amp;ReportGB=&amp;NewMenuID=108&amp;stkGb=701", "남선알미늄")</f>
        <v>0</v>
      </c>
      <c r="C1662">
        <v>0</v>
      </c>
      <c r="D1662">
        <v>4225</v>
      </c>
      <c r="E1662">
        <v>-3.52</v>
      </c>
      <c r="F1662">
        <v>24.65</v>
      </c>
      <c r="G1662">
        <v>2480</v>
      </c>
      <c r="H1662">
        <v>1967</v>
      </c>
      <c r="I1662">
        <v>1820</v>
      </c>
      <c r="J1662">
        <v>41.31</v>
      </c>
      <c r="K1662">
        <v>53.46</v>
      </c>
      <c r="L1662">
        <v>56.92</v>
      </c>
      <c r="M1662">
        <v>12.16</v>
      </c>
      <c r="N1662" t="b">
        <v>0</v>
      </c>
      <c r="O1662">
        <v>131</v>
      </c>
      <c r="P1662" t="s">
        <v>1666</v>
      </c>
      <c r="Q1662" t="s">
        <v>3584</v>
      </c>
      <c r="R1662">
        <v>-6.997608443270497</v>
      </c>
      <c r="S1662">
        <v>4655</v>
      </c>
      <c r="T1662">
        <v>3750491</v>
      </c>
      <c r="U1662" t="s">
        <v>5636</v>
      </c>
      <c r="V1662">
        <v>18.08</v>
      </c>
      <c r="W1662" t="s">
        <v>7835</v>
      </c>
      <c r="X1662" t="s">
        <v>9783</v>
      </c>
      <c r="Y1662">
        <v>3248</v>
      </c>
      <c r="Z1662">
        <v>116</v>
      </c>
    </row>
    <row r="1663" spans="1:28">
      <c r="A1663" s="2">
        <f>HYPERLINK("https://finance.naver.com/item/coinfo.nhn?code=001260", "A001260")</f>
        <v>0</v>
      </c>
      <c r="B1663">
        <f>HYPERLINK("http://comp.fnguide.com/SVO2/ASP/SVD_Consensus.asp?pGB=1&amp;gicode=A001260&amp;cID=&amp;MenuYn=Y&amp;ReportGB=&amp;NewMenuID=108&amp;stkGb=701", "남광토건")</f>
        <v>0</v>
      </c>
      <c r="C1663">
        <v>0</v>
      </c>
      <c r="D1663">
        <v>10150</v>
      </c>
      <c r="E1663">
        <v>0.45</v>
      </c>
      <c r="F1663">
        <v>28.74</v>
      </c>
      <c r="G1663">
        <v>5804</v>
      </c>
      <c r="H1663">
        <v>5553</v>
      </c>
      <c r="I1663">
        <v>5482</v>
      </c>
      <c r="J1663">
        <v>42.81</v>
      </c>
      <c r="K1663">
        <v>45.29</v>
      </c>
      <c r="L1663">
        <v>45.99</v>
      </c>
      <c r="M1663">
        <v>8.59</v>
      </c>
      <c r="N1663" t="b">
        <v>0</v>
      </c>
      <c r="O1663">
        <v>393</v>
      </c>
      <c r="P1663" t="s">
        <v>1667</v>
      </c>
      <c r="Q1663" t="s">
        <v>3585</v>
      </c>
      <c r="R1663">
        <v>63.18019737017701</v>
      </c>
      <c r="S1663">
        <v>998</v>
      </c>
      <c r="T1663">
        <v>152934</v>
      </c>
      <c r="U1663" t="s">
        <v>5637</v>
      </c>
      <c r="V1663">
        <v>62.37</v>
      </c>
      <c r="W1663" t="s">
        <v>7836</v>
      </c>
      <c r="X1663" t="s">
        <v>9784</v>
      </c>
      <c r="Y1663">
        <v>2362</v>
      </c>
      <c r="Z1663">
        <v>48</v>
      </c>
      <c r="AA1663">
        <v>7880</v>
      </c>
    </row>
    <row r="1664" spans="1:28">
      <c r="A1664" s="2">
        <f>HYPERLINK("https://finance.naver.com/item/coinfo.nhn?code=004540", "A004540")</f>
        <v>0</v>
      </c>
      <c r="B1664">
        <f>HYPERLINK("http://comp.fnguide.com/SVO2/ASP/SVD_Consensus.asp?pGB=1&amp;gicode=A004540&amp;cID=&amp;MenuYn=Y&amp;ReportGB=&amp;NewMenuID=108&amp;stkGb=701", "깨끗한나라")</f>
        <v>0</v>
      </c>
      <c r="C1664">
        <v>0</v>
      </c>
      <c r="D1664">
        <v>4635</v>
      </c>
      <c r="E1664">
        <v>0</v>
      </c>
      <c r="G1664">
        <v>0</v>
      </c>
      <c r="H1664">
        <v>2585</v>
      </c>
      <c r="I1664">
        <v>3322</v>
      </c>
      <c r="J1664">
        <v>100</v>
      </c>
      <c r="K1664">
        <v>44.23</v>
      </c>
      <c r="L1664">
        <v>28.33</v>
      </c>
      <c r="M1664">
        <v>0</v>
      </c>
      <c r="N1664" t="b">
        <v>0</v>
      </c>
      <c r="O1664">
        <v>-322</v>
      </c>
      <c r="P1664" t="s">
        <v>1668</v>
      </c>
      <c r="Q1664" t="s">
        <v>2276</v>
      </c>
      <c r="R1664">
        <v>0</v>
      </c>
      <c r="S1664">
        <v>1726</v>
      </c>
      <c r="T1664">
        <v>503194</v>
      </c>
      <c r="U1664" t="s">
        <v>5638</v>
      </c>
      <c r="V1664">
        <v>40.04</v>
      </c>
      <c r="W1664" t="s">
        <v>7837</v>
      </c>
      <c r="X1664" t="s">
        <v>968</v>
      </c>
      <c r="Y1664">
        <v>5942</v>
      </c>
      <c r="Z1664">
        <v>51</v>
      </c>
      <c r="AA1664">
        <v>7230</v>
      </c>
    </row>
    <row r="1665" spans="1:28">
      <c r="A1665" s="2">
        <f>HYPERLINK("https://finance.naver.com/item/coinfo.nhn?code=073240", "A073240")</f>
        <v>0</v>
      </c>
      <c r="B1665">
        <f>HYPERLINK("http://comp.fnguide.com/SVO2/ASP/SVD_Consensus.asp?pGB=1&amp;gicode=A073240&amp;cID=&amp;MenuYn=Y&amp;ReportGB=&amp;NewMenuID=108&amp;stkGb=701", "금호타이어")</f>
        <v>0</v>
      </c>
      <c r="C1665">
        <v>0</v>
      </c>
      <c r="D1665">
        <v>3950</v>
      </c>
      <c r="E1665">
        <v>0</v>
      </c>
      <c r="G1665">
        <v>0</v>
      </c>
      <c r="H1665">
        <v>2704</v>
      </c>
      <c r="I1665">
        <v>3474</v>
      </c>
      <c r="J1665">
        <v>100</v>
      </c>
      <c r="K1665">
        <v>31.55</v>
      </c>
      <c r="L1665">
        <v>12.05</v>
      </c>
      <c r="M1665">
        <v>0</v>
      </c>
      <c r="N1665" t="b">
        <v>0</v>
      </c>
      <c r="O1665">
        <v>-151</v>
      </c>
      <c r="P1665" t="s">
        <v>1669</v>
      </c>
      <c r="Q1665" t="s">
        <v>2276</v>
      </c>
      <c r="R1665">
        <v>0</v>
      </c>
      <c r="S1665">
        <v>11347</v>
      </c>
      <c r="T1665">
        <v>574265</v>
      </c>
      <c r="U1665" t="s">
        <v>5639</v>
      </c>
      <c r="V1665">
        <v>68.09999999999999</v>
      </c>
      <c r="W1665" t="s">
        <v>7838</v>
      </c>
      <c r="X1665" t="s">
        <v>968</v>
      </c>
      <c r="Y1665">
        <v>23692</v>
      </c>
      <c r="Z1665">
        <v>574</v>
      </c>
    </row>
    <row r="1666" spans="1:28">
      <c r="A1666" s="2">
        <f>HYPERLINK("https://finance.naver.com/item/coinfo.nhn?code=001210", "A001210")</f>
        <v>0</v>
      </c>
      <c r="B1666">
        <f>HYPERLINK("http://comp.fnguide.com/SVO2/ASP/SVD_Consensus.asp?pGB=1&amp;gicode=A001210&amp;cID=&amp;MenuYn=Y&amp;ReportGB=&amp;NewMenuID=108&amp;stkGb=701", "금호전기")</f>
        <v>0</v>
      </c>
      <c r="C1666">
        <v>0</v>
      </c>
      <c r="D1666">
        <v>3615</v>
      </c>
      <c r="E1666">
        <v>0</v>
      </c>
      <c r="G1666">
        <v>0</v>
      </c>
      <c r="H1666">
        <v>1719</v>
      </c>
      <c r="I1666">
        <v>2209</v>
      </c>
      <c r="J1666">
        <v>100</v>
      </c>
      <c r="K1666">
        <v>52.45</v>
      </c>
      <c r="L1666">
        <v>38.9</v>
      </c>
      <c r="M1666">
        <v>0</v>
      </c>
      <c r="N1666" t="b">
        <v>0</v>
      </c>
      <c r="O1666">
        <v>-3537</v>
      </c>
      <c r="P1666" t="s">
        <v>1670</v>
      </c>
      <c r="Q1666" t="s">
        <v>2276</v>
      </c>
      <c r="R1666">
        <v>0</v>
      </c>
      <c r="S1666">
        <v>433</v>
      </c>
      <c r="T1666">
        <v>98242</v>
      </c>
      <c r="U1666" t="s">
        <v>5640</v>
      </c>
      <c r="V1666">
        <v>26.53</v>
      </c>
      <c r="W1666" t="s">
        <v>7839</v>
      </c>
      <c r="X1666" t="s">
        <v>968</v>
      </c>
      <c r="Y1666">
        <v>629</v>
      </c>
      <c r="Z1666">
        <v>-42</v>
      </c>
      <c r="AA1666">
        <v>865884</v>
      </c>
    </row>
    <row r="1667" spans="1:28">
      <c r="A1667" s="2">
        <f>HYPERLINK("https://finance.naver.com/item/coinfo.nhn?code=214330", "A214330")</f>
        <v>0</v>
      </c>
      <c r="B1667">
        <f>HYPERLINK("http://comp.fnguide.com/SVO2/ASP/SVD_Consensus.asp?pGB=1&amp;gicode=A214330&amp;cID=&amp;MenuYn=Y&amp;ReportGB=&amp;NewMenuID=108&amp;stkGb=701", "금호에이치티")</f>
        <v>0</v>
      </c>
      <c r="C1667">
        <v>0</v>
      </c>
      <c r="D1667">
        <v>3005</v>
      </c>
      <c r="G1667">
        <v>629</v>
      </c>
      <c r="H1667">
        <v>1154</v>
      </c>
      <c r="I1667">
        <v>1303</v>
      </c>
      <c r="J1667">
        <v>79.06</v>
      </c>
      <c r="K1667">
        <v>61.6</v>
      </c>
      <c r="L1667">
        <v>56.62</v>
      </c>
      <c r="M1667">
        <v>3.34</v>
      </c>
      <c r="N1667" t="b">
        <v>0</v>
      </c>
      <c r="O1667">
        <v>-1</v>
      </c>
      <c r="P1667" t="s">
        <v>1671</v>
      </c>
      <c r="Q1667" t="s">
        <v>3586</v>
      </c>
      <c r="R1667">
        <v>-19.55435316511966</v>
      </c>
      <c r="S1667">
        <v>3452</v>
      </c>
      <c r="T1667">
        <v>15045210</v>
      </c>
      <c r="U1667" t="s">
        <v>5641</v>
      </c>
      <c r="V1667">
        <v>26.21</v>
      </c>
      <c r="W1667" t="s">
        <v>7840</v>
      </c>
      <c r="X1667" t="s">
        <v>9785</v>
      </c>
      <c r="Y1667">
        <v>2511</v>
      </c>
      <c r="Z1667">
        <v>41</v>
      </c>
    </row>
    <row r="1668" spans="1:28">
      <c r="A1668" s="2">
        <f>HYPERLINK("https://finance.naver.com/item/coinfo.nhn?code=001570", "A001570")</f>
        <v>0</v>
      </c>
      <c r="B1668">
        <f>HYPERLINK("http://comp.fnguide.com/SVO2/ASP/SVD_Consensus.asp?pGB=1&amp;gicode=A001570&amp;cID=&amp;MenuYn=Y&amp;ReportGB=&amp;NewMenuID=108&amp;stkGb=701", "금양")</f>
        <v>0</v>
      </c>
      <c r="C1668">
        <v>0</v>
      </c>
      <c r="D1668">
        <v>5320</v>
      </c>
      <c r="G1668">
        <v>3445</v>
      </c>
      <c r="H1668">
        <v>2357</v>
      </c>
      <c r="I1668">
        <v>2046</v>
      </c>
      <c r="J1668">
        <v>35.24</v>
      </c>
      <c r="K1668">
        <v>55.7</v>
      </c>
      <c r="L1668">
        <v>61.53</v>
      </c>
      <c r="M1668">
        <v>16.81</v>
      </c>
      <c r="N1668" t="b">
        <v>0</v>
      </c>
      <c r="O1668">
        <v>-247</v>
      </c>
      <c r="P1668" t="s">
        <v>1672</v>
      </c>
      <c r="Q1668" t="s">
        <v>3587</v>
      </c>
      <c r="R1668">
        <v>7.099999999999995</v>
      </c>
      <c r="S1668">
        <v>2343</v>
      </c>
      <c r="T1668">
        <v>296656</v>
      </c>
      <c r="U1668" t="s">
        <v>5642</v>
      </c>
      <c r="V1668">
        <v>50.77</v>
      </c>
      <c r="W1668" t="s">
        <v>7841</v>
      </c>
      <c r="X1668" t="s">
        <v>9786</v>
      </c>
      <c r="Y1668">
        <v>1727</v>
      </c>
      <c r="Z1668">
        <v>92</v>
      </c>
      <c r="AA1668">
        <v>2661555</v>
      </c>
    </row>
    <row r="1669" spans="1:28">
      <c r="A1669" s="2">
        <f>HYPERLINK("https://finance.naver.com/item/coinfo.nhn?code=083420", "A083420")</f>
        <v>0</v>
      </c>
      <c r="B1669">
        <f>HYPERLINK("http://comp.fnguide.com/SVO2/ASP/SVD_Consensus.asp?pGB=1&amp;gicode=A083420&amp;cID=&amp;MenuYn=Y&amp;ReportGB=&amp;NewMenuID=108&amp;stkGb=701", "그린케미칼")</f>
        <v>0</v>
      </c>
      <c r="C1669">
        <v>0</v>
      </c>
      <c r="D1669">
        <v>6400</v>
      </c>
      <c r="E1669">
        <v>0.42</v>
      </c>
      <c r="F1669">
        <v>14.86</v>
      </c>
      <c r="G1669">
        <v>2178</v>
      </c>
      <c r="H1669">
        <v>3664</v>
      </c>
      <c r="I1669">
        <v>4088</v>
      </c>
      <c r="J1669">
        <v>65.97</v>
      </c>
      <c r="K1669">
        <v>42.75</v>
      </c>
      <c r="L1669">
        <v>36.13</v>
      </c>
      <c r="M1669">
        <v>3.73</v>
      </c>
      <c r="N1669" t="b">
        <v>1</v>
      </c>
      <c r="O1669">
        <v>233</v>
      </c>
      <c r="P1669" t="s">
        <v>1673</v>
      </c>
      <c r="Q1669" t="s">
        <v>3588</v>
      </c>
      <c r="R1669">
        <v>35.28665879411459</v>
      </c>
      <c r="S1669">
        <v>1536</v>
      </c>
      <c r="T1669">
        <v>920785</v>
      </c>
      <c r="U1669" t="s">
        <v>5643</v>
      </c>
      <c r="V1669">
        <v>65.26000000000001</v>
      </c>
      <c r="W1669" t="s">
        <v>7842</v>
      </c>
      <c r="X1669" t="s">
        <v>9787</v>
      </c>
      <c r="Y1669">
        <v>2319</v>
      </c>
      <c r="Z1669">
        <v>78</v>
      </c>
      <c r="AA1669">
        <v>674801</v>
      </c>
      <c r="AB1669">
        <v>4.68</v>
      </c>
    </row>
    <row r="1670" spans="1:28">
      <c r="A1670" s="2">
        <f>HYPERLINK("https://finance.naver.com/item/coinfo.nhn?code=002720", "A002720")</f>
        <v>0</v>
      </c>
      <c r="B1670">
        <f>HYPERLINK("http://comp.fnguide.com/SVO2/ASP/SVD_Consensus.asp?pGB=1&amp;gicode=A002720&amp;cID=&amp;MenuYn=Y&amp;ReportGB=&amp;NewMenuID=108&amp;stkGb=701", "국제약품")</f>
        <v>0</v>
      </c>
      <c r="C1670">
        <v>0</v>
      </c>
      <c r="D1670">
        <v>10400</v>
      </c>
      <c r="G1670">
        <v>585</v>
      </c>
      <c r="H1670">
        <v>2323</v>
      </c>
      <c r="I1670">
        <v>2818</v>
      </c>
      <c r="J1670">
        <v>94.38</v>
      </c>
      <c r="K1670">
        <v>77.66</v>
      </c>
      <c r="L1670">
        <v>72.90000000000001</v>
      </c>
      <c r="M1670">
        <v>1.34</v>
      </c>
      <c r="N1670" t="b">
        <v>0</v>
      </c>
      <c r="O1670">
        <v>-259</v>
      </c>
      <c r="P1670" t="s">
        <v>1674</v>
      </c>
      <c r="Q1670" t="s">
        <v>3589</v>
      </c>
      <c r="R1670">
        <v>68.40103918919267</v>
      </c>
      <c r="S1670">
        <v>1914</v>
      </c>
      <c r="T1670">
        <v>416789</v>
      </c>
      <c r="U1670" t="s">
        <v>5644</v>
      </c>
      <c r="V1670">
        <v>38.18</v>
      </c>
      <c r="W1670" t="s">
        <v>7843</v>
      </c>
      <c r="X1670" t="s">
        <v>9788</v>
      </c>
      <c r="Y1670">
        <v>1111</v>
      </c>
      <c r="Z1670">
        <v>56</v>
      </c>
      <c r="AA1670">
        <v>889105</v>
      </c>
    </row>
    <row r="1671" spans="1:28">
      <c r="A1671" s="2">
        <f>HYPERLINK("https://finance.naver.com/item/coinfo.nhn?code=001140", "A001140")</f>
        <v>0</v>
      </c>
      <c r="B1671">
        <f>HYPERLINK("http://comp.fnguide.com/SVO2/ASP/SVD_Consensus.asp?pGB=1&amp;gicode=A001140&amp;cID=&amp;MenuYn=Y&amp;ReportGB=&amp;NewMenuID=108&amp;stkGb=701", "국보")</f>
        <v>0</v>
      </c>
      <c r="C1671">
        <v>0</v>
      </c>
      <c r="D1671">
        <v>1930</v>
      </c>
      <c r="E1671">
        <v>0</v>
      </c>
      <c r="G1671">
        <v>0</v>
      </c>
      <c r="H1671">
        <v>389</v>
      </c>
      <c r="I1671">
        <v>500</v>
      </c>
      <c r="J1671">
        <v>100</v>
      </c>
      <c r="K1671">
        <v>79.81999999999999</v>
      </c>
      <c r="L1671">
        <v>74.08</v>
      </c>
      <c r="M1671">
        <v>0</v>
      </c>
      <c r="N1671" t="b">
        <v>0</v>
      </c>
      <c r="O1671">
        <v>-424</v>
      </c>
      <c r="P1671" t="s">
        <v>1675</v>
      </c>
      <c r="Q1671" t="s">
        <v>2276</v>
      </c>
      <c r="R1671">
        <v>0</v>
      </c>
      <c r="S1671">
        <v>953</v>
      </c>
      <c r="T1671">
        <v>468946</v>
      </c>
      <c r="U1671" t="s">
        <v>5645</v>
      </c>
      <c r="V1671">
        <v>10.35</v>
      </c>
      <c r="W1671" t="s">
        <v>7844</v>
      </c>
      <c r="X1671" t="s">
        <v>968</v>
      </c>
      <c r="Y1671">
        <v>891</v>
      </c>
      <c r="Z1671">
        <v>-10</v>
      </c>
    </row>
    <row r="1672" spans="1:28">
      <c r="A1672" s="2">
        <f>HYPERLINK("https://finance.naver.com/item/coinfo.nhn?code=005320", "A005320")</f>
        <v>0</v>
      </c>
      <c r="B1672">
        <f>HYPERLINK("http://comp.fnguide.com/SVO2/ASP/SVD_Consensus.asp?pGB=1&amp;gicode=A005320&amp;cID=&amp;MenuYn=Y&amp;ReportGB=&amp;NewMenuID=108&amp;stkGb=701", "국동")</f>
        <v>0</v>
      </c>
      <c r="C1672">
        <v>0</v>
      </c>
      <c r="D1672">
        <v>3800</v>
      </c>
      <c r="G1672">
        <v>456</v>
      </c>
      <c r="H1672">
        <v>1186</v>
      </c>
      <c r="I1672">
        <v>1394</v>
      </c>
      <c r="J1672">
        <v>87.98999999999999</v>
      </c>
      <c r="K1672">
        <v>68.78</v>
      </c>
      <c r="L1672">
        <v>63.31</v>
      </c>
      <c r="M1672">
        <v>2.18</v>
      </c>
      <c r="N1672" t="b">
        <v>0</v>
      </c>
      <c r="O1672">
        <v>-175</v>
      </c>
      <c r="P1672" t="s">
        <v>1676</v>
      </c>
      <c r="Q1672" t="s">
        <v>3590</v>
      </c>
      <c r="R1672">
        <v>-5.800000000000005</v>
      </c>
      <c r="S1672">
        <v>1475</v>
      </c>
      <c r="T1672">
        <v>476086</v>
      </c>
      <c r="U1672" t="s">
        <v>5646</v>
      </c>
      <c r="V1672">
        <v>9.41</v>
      </c>
      <c r="W1672" t="s">
        <v>7845</v>
      </c>
      <c r="X1672" t="s">
        <v>9789</v>
      </c>
      <c r="Y1672">
        <v>2231</v>
      </c>
      <c r="Z1672">
        <v>-42</v>
      </c>
      <c r="AA1672">
        <v>216073</v>
      </c>
    </row>
    <row r="1673" spans="1:28">
      <c r="A1673" s="2">
        <f>HYPERLINK("https://finance.naver.com/item/coinfo.nhn?code=069620", "A069620")</f>
        <v>0</v>
      </c>
      <c r="B1673">
        <f>HYPERLINK("http://comp.fnguide.com/SVO2/ASP/SVD_Consensus.asp?pGB=1&amp;gicode=A069620&amp;cID=&amp;MenuYn=Y&amp;ReportGB=&amp;NewMenuID=108&amp;stkGb=701", "대웅제약")</f>
        <v>0</v>
      </c>
      <c r="C1673">
        <v>0</v>
      </c>
      <c r="D1673">
        <v>118500</v>
      </c>
      <c r="E1673">
        <v>-5.08</v>
      </c>
      <c r="F1673">
        <v>72.40000000000001</v>
      </c>
      <c r="G1673">
        <v>19393</v>
      </c>
      <c r="H1673">
        <v>36731</v>
      </c>
      <c r="I1673">
        <v>41672</v>
      </c>
      <c r="J1673">
        <v>83.63</v>
      </c>
      <c r="K1673">
        <v>69</v>
      </c>
      <c r="L1673">
        <v>64.83</v>
      </c>
      <c r="M1673">
        <v>3.2</v>
      </c>
      <c r="N1673" t="b">
        <v>1</v>
      </c>
      <c r="O1673">
        <v>1899</v>
      </c>
      <c r="P1673" t="s">
        <v>1677</v>
      </c>
      <c r="Q1673" t="s">
        <v>3591</v>
      </c>
      <c r="R1673">
        <v>-14.24523336863426</v>
      </c>
      <c r="S1673">
        <v>13730</v>
      </c>
      <c r="T1673">
        <v>835147</v>
      </c>
      <c r="U1673" t="s">
        <v>5647</v>
      </c>
      <c r="V1673">
        <v>54.55</v>
      </c>
      <c r="W1673" t="s">
        <v>7846</v>
      </c>
      <c r="X1673" t="s">
        <v>9790</v>
      </c>
      <c r="Y1673">
        <v>11134</v>
      </c>
      <c r="Z1673">
        <v>447</v>
      </c>
      <c r="AA1673">
        <v>823880</v>
      </c>
      <c r="AB1673">
        <v>0.44</v>
      </c>
    </row>
    <row r="1674" spans="1:28">
      <c r="A1674" s="2">
        <f>HYPERLINK("https://finance.naver.com/item/coinfo.nhn?code=006340", "A006340")</f>
        <v>0</v>
      </c>
      <c r="B1674">
        <f>HYPERLINK("http://comp.fnguide.com/SVO2/ASP/SVD_Consensus.asp?pGB=1&amp;gicode=A006340&amp;cID=&amp;MenuYn=Y&amp;ReportGB=&amp;NewMenuID=108&amp;stkGb=701", "대원전선")</f>
        <v>0</v>
      </c>
      <c r="C1674">
        <v>0</v>
      </c>
      <c r="D1674">
        <v>1040</v>
      </c>
      <c r="G1674">
        <v>93</v>
      </c>
      <c r="H1674">
        <v>717</v>
      </c>
      <c r="I1674">
        <v>895</v>
      </c>
      <c r="J1674">
        <v>91.09999999999999</v>
      </c>
      <c r="K1674">
        <v>31.04</v>
      </c>
      <c r="L1674">
        <v>13.93</v>
      </c>
      <c r="M1674">
        <v>0.65</v>
      </c>
      <c r="N1674" t="b">
        <v>0</v>
      </c>
      <c r="O1674">
        <v>-12</v>
      </c>
      <c r="P1674" t="s">
        <v>1678</v>
      </c>
      <c r="Q1674" t="s">
        <v>3592</v>
      </c>
      <c r="R1674">
        <v>-15.22696380763515</v>
      </c>
      <c r="S1674">
        <v>739</v>
      </c>
      <c r="T1674">
        <v>748573</v>
      </c>
      <c r="U1674" t="s">
        <v>5648</v>
      </c>
      <c r="V1674">
        <v>32.76</v>
      </c>
      <c r="W1674" t="s">
        <v>7847</v>
      </c>
      <c r="X1674" t="s">
        <v>9791</v>
      </c>
      <c r="Y1674">
        <v>4013</v>
      </c>
      <c r="Z1674">
        <v>10</v>
      </c>
    </row>
    <row r="1675" spans="1:28">
      <c r="A1675" s="2">
        <f>HYPERLINK("https://finance.naver.com/item/coinfo.nhn?code=003220", "A003220")</f>
        <v>0</v>
      </c>
      <c r="B1675">
        <f>HYPERLINK("http://comp.fnguide.com/SVO2/ASP/SVD_Consensus.asp?pGB=1&amp;gicode=A003220&amp;cID=&amp;MenuYn=Y&amp;ReportGB=&amp;NewMenuID=108&amp;stkGb=701", "대원제약")</f>
        <v>0</v>
      </c>
      <c r="C1675">
        <v>0</v>
      </c>
      <c r="D1675">
        <v>18450</v>
      </c>
      <c r="E1675">
        <v>2.49</v>
      </c>
      <c r="F1675">
        <v>12.47</v>
      </c>
      <c r="G1675">
        <v>16526</v>
      </c>
      <c r="H1675">
        <v>12870</v>
      </c>
      <c r="I1675">
        <v>11828</v>
      </c>
      <c r="J1675">
        <v>10.43</v>
      </c>
      <c r="K1675">
        <v>30.24</v>
      </c>
      <c r="L1675">
        <v>35.89</v>
      </c>
      <c r="M1675">
        <v>12.62</v>
      </c>
      <c r="N1675" t="b">
        <v>1</v>
      </c>
      <c r="O1675">
        <v>1348</v>
      </c>
      <c r="P1675" t="s">
        <v>1679</v>
      </c>
      <c r="Q1675" t="s">
        <v>3593</v>
      </c>
      <c r="R1675">
        <v>5.015314404268278</v>
      </c>
      <c r="S1675">
        <v>3735</v>
      </c>
      <c r="T1675">
        <v>237515</v>
      </c>
      <c r="U1675" t="s">
        <v>5649</v>
      </c>
      <c r="V1675">
        <v>38.67</v>
      </c>
      <c r="W1675" t="s">
        <v>7848</v>
      </c>
      <c r="X1675" t="s">
        <v>9792</v>
      </c>
      <c r="Y1675">
        <v>3178</v>
      </c>
      <c r="Z1675">
        <v>351</v>
      </c>
      <c r="AA1675">
        <v>619195</v>
      </c>
      <c r="AB1675">
        <v>1.5</v>
      </c>
    </row>
    <row r="1676" spans="1:28">
      <c r="A1676" s="2">
        <f>HYPERLINK("https://finance.naver.com/item/coinfo.nhn?code=002210", "A002210")</f>
        <v>0</v>
      </c>
      <c r="B1676">
        <f>HYPERLINK("http://comp.fnguide.com/SVO2/ASP/SVD_Consensus.asp?pGB=1&amp;gicode=A002210&amp;cID=&amp;MenuYn=Y&amp;ReportGB=&amp;NewMenuID=108&amp;stkGb=701", "동성제약")</f>
        <v>0</v>
      </c>
      <c r="C1676">
        <v>0</v>
      </c>
      <c r="D1676">
        <v>10900</v>
      </c>
      <c r="E1676">
        <v>0</v>
      </c>
      <c r="G1676">
        <v>0</v>
      </c>
      <c r="H1676">
        <v>1797</v>
      </c>
      <c r="I1676">
        <v>2309</v>
      </c>
      <c r="J1676">
        <v>100</v>
      </c>
      <c r="K1676">
        <v>83.51000000000001</v>
      </c>
      <c r="L1676">
        <v>78.81999999999999</v>
      </c>
      <c r="M1676">
        <v>0</v>
      </c>
      <c r="N1676" t="b">
        <v>0</v>
      </c>
      <c r="O1676">
        <v>-322</v>
      </c>
      <c r="P1676" t="s">
        <v>1680</v>
      </c>
      <c r="Q1676" t="s">
        <v>2276</v>
      </c>
      <c r="R1676">
        <v>0</v>
      </c>
      <c r="S1676">
        <v>2845</v>
      </c>
      <c r="T1676">
        <v>241327</v>
      </c>
      <c r="U1676" t="s">
        <v>5650</v>
      </c>
      <c r="V1676">
        <v>21.04</v>
      </c>
      <c r="W1676" t="s">
        <v>7849</v>
      </c>
      <c r="X1676" t="s">
        <v>968</v>
      </c>
      <c r="Y1676">
        <v>865</v>
      </c>
      <c r="Z1676">
        <v>-75</v>
      </c>
      <c r="AA1676">
        <v>2662948</v>
      </c>
    </row>
    <row r="1677" spans="1:28">
      <c r="A1677" s="2">
        <f>HYPERLINK("https://finance.naver.com/item/coinfo.nhn?code=336260", "A336260")</f>
        <v>0</v>
      </c>
      <c r="B1677">
        <f>HYPERLINK("http://comp.fnguide.com/SVO2/ASP/SVD_Consensus.asp?pGB=1&amp;gicode=A336260&amp;cID=&amp;MenuYn=Y&amp;ReportGB=&amp;NewMenuID=108&amp;stkGb=701", "두산퓨얼셀")</f>
        <v>0</v>
      </c>
      <c r="C1677">
        <v>0</v>
      </c>
      <c r="D1677">
        <v>44200</v>
      </c>
      <c r="E1677">
        <v>0</v>
      </c>
      <c r="F1677">
        <v>43.02</v>
      </c>
      <c r="G1677">
        <v>0</v>
      </c>
      <c r="H1677">
        <v>1806</v>
      </c>
      <c r="I1677">
        <v>2321</v>
      </c>
      <c r="J1677">
        <v>100</v>
      </c>
      <c r="K1677">
        <v>95.91</v>
      </c>
      <c r="L1677">
        <v>94.75</v>
      </c>
      <c r="M1677">
        <v>0</v>
      </c>
      <c r="N1677" t="b">
        <v>0</v>
      </c>
      <c r="O1677">
        <v>200</v>
      </c>
      <c r="P1677" t="s">
        <v>1681</v>
      </c>
      <c r="Q1677" t="s">
        <v>2757</v>
      </c>
      <c r="R1677">
        <v>0</v>
      </c>
      <c r="S1677">
        <v>28005</v>
      </c>
      <c r="T1677">
        <v>1126031</v>
      </c>
      <c r="U1677" t="s">
        <v>5651</v>
      </c>
      <c r="V1677">
        <v>48.16</v>
      </c>
      <c r="W1677" t="s">
        <v>968</v>
      </c>
      <c r="X1677" t="s">
        <v>9793</v>
      </c>
      <c r="Y1677">
        <v>2212</v>
      </c>
      <c r="Z1677">
        <v>195</v>
      </c>
      <c r="AA1677">
        <v>3915</v>
      </c>
    </row>
    <row r="1678" spans="1:28">
      <c r="A1678" s="2">
        <f>HYPERLINK("https://finance.naver.com/item/coinfo.nhn?code=034020", "A034020")</f>
        <v>0</v>
      </c>
      <c r="B1678">
        <f>HYPERLINK("http://comp.fnguide.com/SVO2/ASP/SVD_Consensus.asp?pGB=1&amp;gicode=A034020&amp;cID=&amp;MenuYn=Y&amp;ReportGB=&amp;NewMenuID=108&amp;stkGb=701", "두산중공업")</f>
        <v>0</v>
      </c>
      <c r="C1678">
        <v>0</v>
      </c>
      <c r="D1678">
        <v>14900</v>
      </c>
      <c r="E1678">
        <v>0</v>
      </c>
      <c r="G1678">
        <v>0</v>
      </c>
      <c r="H1678">
        <v>6082</v>
      </c>
      <c r="I1678">
        <v>7814</v>
      </c>
      <c r="J1678">
        <v>100</v>
      </c>
      <c r="K1678">
        <v>59.18</v>
      </c>
      <c r="L1678">
        <v>47.55</v>
      </c>
      <c r="M1678">
        <v>0</v>
      </c>
      <c r="N1678" t="b">
        <v>0</v>
      </c>
      <c r="O1678">
        <v>-2139</v>
      </c>
      <c r="P1678" t="s">
        <v>1682</v>
      </c>
      <c r="Q1678" t="s">
        <v>2276</v>
      </c>
      <c r="R1678">
        <v>0</v>
      </c>
      <c r="S1678">
        <v>55821</v>
      </c>
      <c r="T1678">
        <v>3422729</v>
      </c>
      <c r="U1678" t="s">
        <v>5652</v>
      </c>
      <c r="V1678">
        <v>42.53</v>
      </c>
      <c r="W1678" t="s">
        <v>7850</v>
      </c>
      <c r="X1678" t="s">
        <v>968</v>
      </c>
      <c r="Y1678">
        <v>156597</v>
      </c>
      <c r="Z1678">
        <v>10769</v>
      </c>
      <c r="AA1678">
        <v>14329</v>
      </c>
    </row>
    <row r="1679" spans="1:28">
      <c r="A1679" s="2">
        <f>HYPERLINK("https://finance.naver.com/item/coinfo.nhn?code=336370", "A336370")</f>
        <v>0</v>
      </c>
      <c r="B1679">
        <f>HYPERLINK("http://comp.fnguide.com/SVO2/ASP/SVD_Consensus.asp?pGB=1&amp;gicode=A336370&amp;cID=&amp;MenuYn=Y&amp;ReportGB=&amp;NewMenuID=108&amp;stkGb=701", "두산솔루스")</f>
        <v>0</v>
      </c>
      <c r="C1679">
        <v>0</v>
      </c>
      <c r="D1679">
        <v>51200</v>
      </c>
      <c r="E1679">
        <v>0</v>
      </c>
      <c r="F1679">
        <v>148.32</v>
      </c>
      <c r="G1679">
        <v>0</v>
      </c>
      <c r="H1679">
        <v>2762</v>
      </c>
      <c r="I1679">
        <v>3549</v>
      </c>
      <c r="J1679">
        <v>100</v>
      </c>
      <c r="K1679">
        <v>94.61</v>
      </c>
      <c r="L1679">
        <v>93.06999999999999</v>
      </c>
      <c r="M1679">
        <v>0</v>
      </c>
      <c r="N1679" t="b">
        <v>0</v>
      </c>
      <c r="O1679">
        <v>137</v>
      </c>
      <c r="P1679" t="s">
        <v>1683</v>
      </c>
      <c r="Q1679" t="s">
        <v>2757</v>
      </c>
      <c r="R1679">
        <v>0</v>
      </c>
      <c r="S1679">
        <v>15662</v>
      </c>
      <c r="T1679">
        <v>596384</v>
      </c>
      <c r="U1679" t="s">
        <v>5653</v>
      </c>
      <c r="V1679">
        <v>65.17</v>
      </c>
      <c r="W1679" t="s">
        <v>7851</v>
      </c>
      <c r="X1679" t="s">
        <v>9794</v>
      </c>
      <c r="Y1679">
        <v>700</v>
      </c>
      <c r="Z1679">
        <v>102</v>
      </c>
      <c r="AA1679">
        <v>5046</v>
      </c>
    </row>
    <row r="1680" spans="1:28">
      <c r="A1680" s="2">
        <f>HYPERLINK("https://finance.naver.com/item/coinfo.nhn?code=000020", "A000020")</f>
        <v>0</v>
      </c>
      <c r="B1680">
        <f>HYPERLINK("http://comp.fnguide.com/SVO2/ASP/SVD_Consensus.asp?pGB=1&amp;gicode=A000020&amp;cID=&amp;MenuYn=Y&amp;ReportGB=&amp;NewMenuID=108&amp;stkGb=701", "동화약품")</f>
        <v>0</v>
      </c>
      <c r="C1680">
        <v>0</v>
      </c>
      <c r="D1680">
        <v>19000</v>
      </c>
      <c r="E1680">
        <v>0.28</v>
      </c>
      <c r="F1680">
        <v>24.69</v>
      </c>
      <c r="G1680">
        <v>7590</v>
      </c>
      <c r="H1680">
        <v>9578</v>
      </c>
      <c r="I1680">
        <v>10145</v>
      </c>
      <c r="J1680">
        <v>60.05</v>
      </c>
      <c r="K1680">
        <v>49.59</v>
      </c>
      <c r="L1680">
        <v>46.61</v>
      </c>
      <c r="M1680">
        <v>5.55</v>
      </c>
      <c r="N1680" t="b">
        <v>1</v>
      </c>
      <c r="O1680">
        <v>337</v>
      </c>
      <c r="P1680" t="s">
        <v>1684</v>
      </c>
      <c r="Q1680" t="s">
        <v>3594</v>
      </c>
      <c r="R1680">
        <v>88.75307428395575</v>
      </c>
      <c r="S1680">
        <v>5307</v>
      </c>
      <c r="T1680">
        <v>543537</v>
      </c>
      <c r="U1680" t="s">
        <v>5654</v>
      </c>
      <c r="V1680">
        <v>33.67</v>
      </c>
      <c r="W1680" t="s">
        <v>7852</v>
      </c>
      <c r="X1680" t="s">
        <v>9795</v>
      </c>
      <c r="Y1680">
        <v>3072</v>
      </c>
      <c r="Z1680">
        <v>99</v>
      </c>
      <c r="AA1680">
        <v>323740</v>
      </c>
      <c r="AB1680">
        <v>1.44</v>
      </c>
    </row>
    <row r="1681" spans="1:28">
      <c r="A1681" s="2">
        <f>HYPERLINK("https://finance.naver.com/item/coinfo.nhn?code=014820", "A014820")</f>
        <v>0</v>
      </c>
      <c r="B1681">
        <f>HYPERLINK("http://comp.fnguide.com/SVO2/ASP/SVD_Consensus.asp?pGB=1&amp;gicode=A014820&amp;cID=&amp;MenuYn=Y&amp;ReportGB=&amp;NewMenuID=108&amp;stkGb=701", "동원시스템즈")</f>
        <v>0</v>
      </c>
      <c r="C1681">
        <v>0</v>
      </c>
      <c r="D1681">
        <v>29700</v>
      </c>
      <c r="E1681">
        <v>2.8</v>
      </c>
      <c r="F1681">
        <v>19.94</v>
      </c>
      <c r="G1681">
        <v>27323</v>
      </c>
      <c r="H1681">
        <v>21630</v>
      </c>
      <c r="I1681">
        <v>20007</v>
      </c>
      <c r="J1681">
        <v>8</v>
      </c>
      <c r="K1681">
        <v>27.17</v>
      </c>
      <c r="L1681">
        <v>32.64</v>
      </c>
      <c r="M1681">
        <v>12.2</v>
      </c>
      <c r="N1681" t="b">
        <v>1</v>
      </c>
      <c r="O1681">
        <v>1474</v>
      </c>
      <c r="P1681" t="s">
        <v>1685</v>
      </c>
      <c r="Q1681" t="s">
        <v>3595</v>
      </c>
      <c r="R1681">
        <v>7.128516418889008</v>
      </c>
      <c r="S1681">
        <v>7609</v>
      </c>
      <c r="T1681">
        <v>48402</v>
      </c>
      <c r="U1681" t="s">
        <v>5655</v>
      </c>
      <c r="V1681">
        <v>80.83</v>
      </c>
      <c r="W1681" t="s">
        <v>7853</v>
      </c>
      <c r="X1681" t="s">
        <v>9796</v>
      </c>
      <c r="Y1681">
        <v>10424</v>
      </c>
      <c r="Z1681">
        <v>752</v>
      </c>
      <c r="AA1681">
        <v>197105</v>
      </c>
      <c r="AB1681">
        <v>1.7</v>
      </c>
    </row>
    <row r="1682" spans="1:28">
      <c r="A1682" s="2">
        <f>HYPERLINK("https://finance.naver.com/item/coinfo.nhn?code=008970", "A008970")</f>
        <v>0</v>
      </c>
      <c r="B1682">
        <f>HYPERLINK("http://comp.fnguide.com/SVO2/ASP/SVD_Consensus.asp?pGB=1&amp;gicode=A008970&amp;cID=&amp;MenuYn=Y&amp;ReportGB=&amp;NewMenuID=108&amp;stkGb=701", "동양철관")</f>
        <v>0</v>
      </c>
      <c r="C1682">
        <v>0</v>
      </c>
      <c r="D1682">
        <v>1155</v>
      </c>
      <c r="E1682">
        <v>0.12</v>
      </c>
      <c r="F1682">
        <v>69.5</v>
      </c>
      <c r="G1682">
        <v>94</v>
      </c>
      <c r="H1682">
        <v>441</v>
      </c>
      <c r="I1682">
        <v>540</v>
      </c>
      <c r="J1682">
        <v>91.83</v>
      </c>
      <c r="K1682">
        <v>61.82</v>
      </c>
      <c r="L1682">
        <v>53.26</v>
      </c>
      <c r="M1682">
        <v>1.12</v>
      </c>
      <c r="N1682" t="b">
        <v>0</v>
      </c>
      <c r="O1682">
        <v>15</v>
      </c>
      <c r="P1682" t="s">
        <v>1686</v>
      </c>
      <c r="Q1682" t="s">
        <v>3596</v>
      </c>
      <c r="R1682">
        <v>583.8</v>
      </c>
      <c r="S1682">
        <v>1373</v>
      </c>
      <c r="T1682">
        <v>1269812</v>
      </c>
      <c r="U1682" t="s">
        <v>5656</v>
      </c>
      <c r="V1682">
        <v>23.33</v>
      </c>
      <c r="W1682" t="s">
        <v>7854</v>
      </c>
      <c r="X1682" t="s">
        <v>9797</v>
      </c>
      <c r="Y1682">
        <v>1634</v>
      </c>
      <c r="Z1682">
        <v>37</v>
      </c>
      <c r="AA1682">
        <v>14580</v>
      </c>
    </row>
    <row r="1683" spans="1:28">
      <c r="A1683" s="2">
        <f>HYPERLINK("https://finance.naver.com/item/coinfo.nhn?code=002900", "A002900")</f>
        <v>0</v>
      </c>
      <c r="B1683">
        <f>HYPERLINK("http://comp.fnguide.com/SVO2/ASP/SVD_Consensus.asp?pGB=1&amp;gicode=A002900&amp;cID=&amp;MenuYn=Y&amp;ReportGB=&amp;NewMenuID=108&amp;stkGb=701", "동양물산")</f>
        <v>0</v>
      </c>
      <c r="C1683">
        <v>0</v>
      </c>
      <c r="D1683">
        <v>1625</v>
      </c>
      <c r="E1683">
        <v>4.24</v>
      </c>
      <c r="F1683">
        <v>22.47</v>
      </c>
      <c r="G1683">
        <v>289</v>
      </c>
      <c r="H1683">
        <v>662</v>
      </c>
      <c r="I1683">
        <v>768</v>
      </c>
      <c r="J1683">
        <v>82.19</v>
      </c>
      <c r="K1683">
        <v>59.26</v>
      </c>
      <c r="L1683">
        <v>52.72</v>
      </c>
      <c r="M1683">
        <v>2.54</v>
      </c>
      <c r="N1683" t="b">
        <v>1</v>
      </c>
      <c r="O1683">
        <v>57</v>
      </c>
      <c r="P1683" t="s">
        <v>1687</v>
      </c>
      <c r="Q1683" t="s">
        <v>3597</v>
      </c>
      <c r="R1683">
        <v>5.297673288634464</v>
      </c>
      <c r="S1683">
        <v>2048</v>
      </c>
      <c r="T1683">
        <v>4049111</v>
      </c>
      <c r="U1683" t="s">
        <v>5657</v>
      </c>
      <c r="V1683">
        <v>30.86</v>
      </c>
      <c r="W1683" t="s">
        <v>7855</v>
      </c>
      <c r="X1683" t="s">
        <v>9798</v>
      </c>
      <c r="Y1683">
        <v>6174</v>
      </c>
      <c r="Z1683">
        <v>137</v>
      </c>
      <c r="AA1683">
        <v>3870312</v>
      </c>
    </row>
    <row r="1684" spans="1:28">
      <c r="A1684" s="2">
        <f>HYPERLINK("https://finance.naver.com/item/coinfo.nhn?code=170900", "A170900")</f>
        <v>0</v>
      </c>
      <c r="B1684">
        <f>HYPERLINK("http://comp.fnguide.com/SVO2/ASP/SVD_Consensus.asp?pGB=1&amp;gicode=A170900&amp;cID=&amp;MenuYn=Y&amp;ReportGB=&amp;NewMenuID=108&amp;stkGb=701", "동아에스티")</f>
        <v>0</v>
      </c>
      <c r="C1684">
        <v>0</v>
      </c>
      <c r="D1684">
        <v>87100</v>
      </c>
      <c r="E1684">
        <v>0.86</v>
      </c>
      <c r="F1684">
        <v>14.17</v>
      </c>
      <c r="G1684">
        <v>60024</v>
      </c>
      <c r="H1684">
        <v>69949</v>
      </c>
      <c r="I1684">
        <v>72777</v>
      </c>
      <c r="J1684">
        <v>31.09</v>
      </c>
      <c r="K1684">
        <v>19.69</v>
      </c>
      <c r="L1684">
        <v>16.44</v>
      </c>
      <c r="M1684">
        <v>6.25</v>
      </c>
      <c r="N1684" t="b">
        <v>1</v>
      </c>
      <c r="O1684">
        <v>8398</v>
      </c>
      <c r="P1684" t="s">
        <v>1688</v>
      </c>
      <c r="Q1684" t="s">
        <v>3598</v>
      </c>
      <c r="R1684">
        <v>16.40484361425636</v>
      </c>
      <c r="S1684">
        <v>7355</v>
      </c>
      <c r="T1684">
        <v>94764</v>
      </c>
      <c r="U1684" t="s">
        <v>5658</v>
      </c>
      <c r="V1684">
        <v>38.98</v>
      </c>
      <c r="W1684" t="s">
        <v>7856</v>
      </c>
      <c r="X1684" t="s">
        <v>9799</v>
      </c>
      <c r="Y1684">
        <v>6123</v>
      </c>
      <c r="Z1684">
        <v>566</v>
      </c>
      <c r="AA1684">
        <v>5478</v>
      </c>
      <c r="AB1684">
        <v>0.84</v>
      </c>
    </row>
    <row r="1685" spans="1:28">
      <c r="A1685" s="2">
        <f>HYPERLINK("https://finance.naver.com/item/coinfo.nhn?code=000640", "A000640")</f>
        <v>0</v>
      </c>
      <c r="B1685">
        <f>HYPERLINK("http://comp.fnguide.com/SVO2/ASP/SVD_Consensus.asp?pGB=1&amp;gicode=A000640&amp;cID=&amp;MenuYn=Y&amp;ReportGB=&amp;NewMenuID=108&amp;stkGb=701", "동아쏘시오홀딩스")</f>
        <v>0</v>
      </c>
      <c r="C1685">
        <v>0</v>
      </c>
      <c r="D1685">
        <v>147000</v>
      </c>
      <c r="E1685">
        <v>-2.47</v>
      </c>
      <c r="F1685">
        <v>33.39</v>
      </c>
      <c r="G1685">
        <v>30053</v>
      </c>
      <c r="H1685">
        <v>86114</v>
      </c>
      <c r="I1685">
        <v>102088</v>
      </c>
      <c r="J1685">
        <v>79.56</v>
      </c>
      <c r="K1685">
        <v>41.42</v>
      </c>
      <c r="L1685">
        <v>30.55</v>
      </c>
      <c r="M1685">
        <v>1.94</v>
      </c>
      <c r="N1685" t="b">
        <v>0</v>
      </c>
      <c r="O1685">
        <v>3220</v>
      </c>
      <c r="P1685" t="s">
        <v>1689</v>
      </c>
      <c r="Q1685" t="s">
        <v>3599</v>
      </c>
      <c r="R1685">
        <v>-13.53631078422853</v>
      </c>
      <c r="S1685">
        <v>9023</v>
      </c>
      <c r="T1685">
        <v>755540</v>
      </c>
      <c r="U1685" t="s">
        <v>5659</v>
      </c>
      <c r="V1685">
        <v>40.97</v>
      </c>
      <c r="W1685" t="s">
        <v>7857</v>
      </c>
      <c r="X1685" t="s">
        <v>9800</v>
      </c>
      <c r="Y1685">
        <v>7697</v>
      </c>
      <c r="Z1685">
        <v>528</v>
      </c>
      <c r="AA1685">
        <v>98190</v>
      </c>
      <c r="AB1685">
        <v>0.93</v>
      </c>
    </row>
    <row r="1686" spans="1:28">
      <c r="A1686" s="2">
        <f>HYPERLINK("https://finance.naver.com/item/coinfo.nhn?code=026960", "A026960")</f>
        <v>0</v>
      </c>
      <c r="B1686">
        <f>HYPERLINK("http://comp.fnguide.com/SVO2/ASP/SVD_Consensus.asp?pGB=1&amp;gicode=A026960&amp;cID=&amp;MenuYn=Y&amp;ReportGB=&amp;NewMenuID=108&amp;stkGb=701", "동서")</f>
        <v>0</v>
      </c>
      <c r="C1686">
        <v>0</v>
      </c>
      <c r="D1686">
        <v>32000</v>
      </c>
      <c r="E1686">
        <v>4.65</v>
      </c>
      <c r="F1686">
        <v>12.67</v>
      </c>
      <c r="G1686">
        <v>17177</v>
      </c>
      <c r="H1686">
        <v>15003</v>
      </c>
      <c r="I1686">
        <v>14384</v>
      </c>
      <c r="J1686">
        <v>46.32</v>
      </c>
      <c r="K1686">
        <v>53.12</v>
      </c>
      <c r="L1686">
        <v>55.05</v>
      </c>
      <c r="M1686">
        <v>10.1</v>
      </c>
      <c r="N1686" t="b">
        <v>1</v>
      </c>
      <c r="O1686">
        <v>1373</v>
      </c>
      <c r="P1686" t="s">
        <v>1690</v>
      </c>
      <c r="Q1686" t="s">
        <v>3600</v>
      </c>
      <c r="R1686">
        <v>2.724615222380944</v>
      </c>
      <c r="S1686">
        <v>31904</v>
      </c>
      <c r="T1686">
        <v>209195</v>
      </c>
      <c r="U1686" t="s">
        <v>5660</v>
      </c>
      <c r="V1686">
        <v>67.40000000000001</v>
      </c>
      <c r="W1686" t="s">
        <v>7858</v>
      </c>
      <c r="X1686" t="s">
        <v>9801</v>
      </c>
      <c r="Y1686">
        <v>5022</v>
      </c>
      <c r="Z1686">
        <v>385</v>
      </c>
      <c r="AA1686">
        <v>1027477</v>
      </c>
      <c r="AB1686">
        <v>4.02</v>
      </c>
    </row>
    <row r="1687" spans="1:28">
      <c r="A1687" s="2">
        <f>HYPERLINK("https://finance.naver.com/item/coinfo.nhn?code=015230", "A015230")</f>
        <v>0</v>
      </c>
      <c r="B1687">
        <f>HYPERLINK("http://comp.fnguide.com/SVO2/ASP/SVD_Consensus.asp?pGB=1&amp;gicode=A015230&amp;cID=&amp;MenuYn=Y&amp;ReportGB=&amp;NewMenuID=108&amp;stkGb=701", "대창단조")</f>
        <v>0</v>
      </c>
      <c r="C1687">
        <v>0</v>
      </c>
      <c r="D1687">
        <v>35950</v>
      </c>
      <c r="E1687">
        <v>-8.779999999999999</v>
      </c>
      <c r="F1687">
        <v>28.54</v>
      </c>
      <c r="G1687">
        <v>12538</v>
      </c>
      <c r="H1687">
        <v>12790</v>
      </c>
      <c r="I1687">
        <v>12862</v>
      </c>
      <c r="J1687">
        <v>65.13</v>
      </c>
      <c r="K1687">
        <v>64.42</v>
      </c>
      <c r="L1687">
        <v>64.22</v>
      </c>
      <c r="M1687">
        <v>7.71</v>
      </c>
      <c r="N1687" t="b">
        <v>0</v>
      </c>
      <c r="O1687">
        <v>1011</v>
      </c>
      <c r="P1687" t="s">
        <v>1691</v>
      </c>
      <c r="Q1687" t="s">
        <v>3601</v>
      </c>
      <c r="R1687">
        <v>-3.25188881682591</v>
      </c>
      <c r="S1687">
        <v>1027</v>
      </c>
      <c r="T1687">
        <v>0</v>
      </c>
      <c r="U1687" t="s">
        <v>5661</v>
      </c>
      <c r="V1687">
        <v>43.99</v>
      </c>
      <c r="W1687" t="s">
        <v>7859</v>
      </c>
      <c r="X1687" t="s">
        <v>9802</v>
      </c>
      <c r="Y1687">
        <v>2773</v>
      </c>
      <c r="Z1687">
        <v>187</v>
      </c>
      <c r="AA1687">
        <v>255687</v>
      </c>
      <c r="AB1687">
        <v>0.76</v>
      </c>
    </row>
    <row r="1688" spans="1:28">
      <c r="A1688" s="2">
        <f>HYPERLINK("https://finance.naver.com/item/coinfo.nhn?code=004140", "A004140")</f>
        <v>0</v>
      </c>
      <c r="B1688">
        <f>HYPERLINK("http://comp.fnguide.com/SVO2/ASP/SVD_Consensus.asp?pGB=1&amp;gicode=A004140&amp;cID=&amp;MenuYn=Y&amp;ReportGB=&amp;NewMenuID=108&amp;stkGb=701", "동방")</f>
        <v>0</v>
      </c>
      <c r="C1688">
        <v>0</v>
      </c>
      <c r="D1688">
        <v>2400</v>
      </c>
      <c r="G1688">
        <v>1488</v>
      </c>
      <c r="H1688">
        <v>2051</v>
      </c>
      <c r="I1688">
        <v>2212</v>
      </c>
      <c r="J1688">
        <v>38</v>
      </c>
      <c r="K1688">
        <v>14.54</v>
      </c>
      <c r="L1688">
        <v>7.85</v>
      </c>
      <c r="M1688">
        <v>4.89</v>
      </c>
      <c r="N1688" t="b">
        <v>0</v>
      </c>
      <c r="O1688">
        <v>-243</v>
      </c>
      <c r="P1688" t="s">
        <v>1692</v>
      </c>
      <c r="Q1688" t="s">
        <v>3602</v>
      </c>
      <c r="R1688">
        <v>41.99999999999999</v>
      </c>
      <c r="S1688">
        <v>897</v>
      </c>
      <c r="T1688">
        <v>5382725</v>
      </c>
      <c r="U1688" t="s">
        <v>5662</v>
      </c>
      <c r="V1688">
        <v>24.7</v>
      </c>
      <c r="W1688" t="s">
        <v>7860</v>
      </c>
      <c r="X1688" t="s">
        <v>9803</v>
      </c>
      <c r="Y1688">
        <v>6330</v>
      </c>
      <c r="Z1688">
        <v>209</v>
      </c>
      <c r="AA1688">
        <v>176960</v>
      </c>
    </row>
    <row r="1689" spans="1:28">
      <c r="A1689" s="2">
        <f>HYPERLINK("https://finance.naver.com/item/coinfo.nhn?code=002150", "A002150")</f>
        <v>0</v>
      </c>
      <c r="B1689">
        <f>HYPERLINK("http://comp.fnguide.com/SVO2/ASP/SVD_Consensus.asp?pGB=1&amp;gicode=A002150&amp;cID=&amp;MenuYn=Y&amp;ReportGB=&amp;NewMenuID=108&amp;stkGb=701", "도화엔지니어링")</f>
        <v>0</v>
      </c>
      <c r="C1689">
        <v>0</v>
      </c>
      <c r="D1689">
        <v>7950</v>
      </c>
      <c r="E1689">
        <v>3.01</v>
      </c>
      <c r="F1689">
        <v>17.32</v>
      </c>
      <c r="G1689">
        <v>5908</v>
      </c>
      <c r="H1689">
        <v>6916</v>
      </c>
      <c r="I1689">
        <v>7204</v>
      </c>
      <c r="J1689">
        <v>25.69</v>
      </c>
      <c r="K1689">
        <v>13</v>
      </c>
      <c r="L1689">
        <v>9.390000000000001</v>
      </c>
      <c r="M1689">
        <v>6.21</v>
      </c>
      <c r="N1689" t="b">
        <v>1</v>
      </c>
      <c r="O1689">
        <v>516</v>
      </c>
      <c r="P1689" t="s">
        <v>1693</v>
      </c>
      <c r="Q1689" t="s">
        <v>3603</v>
      </c>
      <c r="R1689">
        <v>5.744660723540229</v>
      </c>
      <c r="S1689">
        <v>2681</v>
      </c>
      <c r="T1689">
        <v>113549</v>
      </c>
      <c r="U1689" t="s">
        <v>5663</v>
      </c>
      <c r="V1689">
        <v>47.52</v>
      </c>
      <c r="W1689" t="s">
        <v>7861</v>
      </c>
      <c r="X1689" t="s">
        <v>9804</v>
      </c>
      <c r="Y1689">
        <v>5161</v>
      </c>
      <c r="Z1689">
        <v>271</v>
      </c>
      <c r="AA1689">
        <v>422975</v>
      </c>
      <c r="AB1689">
        <v>2.8</v>
      </c>
    </row>
    <row r="1690" spans="1:28">
      <c r="A1690" s="2">
        <f>HYPERLINK("https://finance.naver.com/item/coinfo.nhn?code=024900", "A024900")</f>
        <v>0</v>
      </c>
      <c r="B1690">
        <f>HYPERLINK("http://comp.fnguide.com/SVO2/ASP/SVD_Consensus.asp?pGB=1&amp;gicode=A024900&amp;cID=&amp;MenuYn=Y&amp;ReportGB=&amp;NewMenuID=108&amp;stkGb=701", "덕양산업")</f>
        <v>0</v>
      </c>
      <c r="C1690">
        <v>0</v>
      </c>
      <c r="D1690">
        <v>1810</v>
      </c>
      <c r="E1690">
        <v>0</v>
      </c>
      <c r="G1690">
        <v>40</v>
      </c>
      <c r="H1690">
        <v>887</v>
      </c>
      <c r="I1690">
        <v>1128</v>
      </c>
      <c r="J1690">
        <v>97.81</v>
      </c>
      <c r="K1690">
        <v>51.01</v>
      </c>
      <c r="L1690">
        <v>37.68</v>
      </c>
      <c r="M1690">
        <v>0.22</v>
      </c>
      <c r="N1690" t="b">
        <v>0</v>
      </c>
      <c r="O1690">
        <v>-422</v>
      </c>
      <c r="P1690" t="s">
        <v>1694</v>
      </c>
      <c r="Q1690" t="s">
        <v>2276</v>
      </c>
      <c r="R1690">
        <v>0</v>
      </c>
      <c r="S1690">
        <v>589</v>
      </c>
      <c r="T1690">
        <v>412266</v>
      </c>
      <c r="U1690" t="s">
        <v>5664</v>
      </c>
      <c r="V1690">
        <v>43.69</v>
      </c>
      <c r="W1690" t="s">
        <v>7862</v>
      </c>
      <c r="X1690" t="s">
        <v>9805</v>
      </c>
      <c r="Y1690">
        <v>13594</v>
      </c>
      <c r="Z1690">
        <v>-86</v>
      </c>
      <c r="AA1690">
        <v>205700</v>
      </c>
    </row>
    <row r="1691" spans="1:28">
      <c r="A1691" s="2">
        <f>HYPERLINK("https://finance.naver.com/item/coinfo.nhn?code=004830", "A004830")</f>
        <v>0</v>
      </c>
      <c r="B1691">
        <f>HYPERLINK("http://comp.fnguide.com/SVO2/ASP/SVD_Consensus.asp?pGB=1&amp;gicode=A004830&amp;cID=&amp;MenuYn=Y&amp;ReportGB=&amp;NewMenuID=108&amp;stkGb=701", "덕성")</f>
        <v>0</v>
      </c>
      <c r="C1691">
        <v>0</v>
      </c>
      <c r="D1691">
        <v>9600</v>
      </c>
      <c r="E1691">
        <v>2328.27</v>
      </c>
      <c r="F1691">
        <v>269.69</v>
      </c>
      <c r="G1691">
        <v>156</v>
      </c>
      <c r="H1691">
        <v>2749</v>
      </c>
      <c r="I1691">
        <v>3488</v>
      </c>
      <c r="J1691">
        <v>98.37</v>
      </c>
      <c r="K1691">
        <v>71.37</v>
      </c>
      <c r="L1691">
        <v>63.67</v>
      </c>
      <c r="M1691">
        <v>0.28</v>
      </c>
      <c r="N1691" t="b">
        <v>0</v>
      </c>
      <c r="O1691">
        <v>11</v>
      </c>
      <c r="P1691" t="s">
        <v>1695</v>
      </c>
      <c r="Q1691" t="s">
        <v>3604</v>
      </c>
      <c r="R1691">
        <v>0.1158329136805136</v>
      </c>
      <c r="S1691">
        <v>1505</v>
      </c>
      <c r="T1691">
        <v>1796455</v>
      </c>
      <c r="U1691" t="s">
        <v>5665</v>
      </c>
      <c r="V1691">
        <v>25.45</v>
      </c>
      <c r="W1691" t="s">
        <v>7863</v>
      </c>
      <c r="X1691" t="s">
        <v>9806</v>
      </c>
      <c r="Y1691">
        <v>867</v>
      </c>
      <c r="Z1691">
        <v>5</v>
      </c>
      <c r="AA1691">
        <v>1590571</v>
      </c>
      <c r="AB1691">
        <v>0.68</v>
      </c>
    </row>
    <row r="1692" spans="1:28">
      <c r="A1692" s="2">
        <f>HYPERLINK("https://finance.naver.com/item/coinfo.nhn?code=012510", "A012510")</f>
        <v>0</v>
      </c>
      <c r="B1692">
        <f>HYPERLINK("http://comp.fnguide.com/SVO2/ASP/SVD_Consensus.asp?pGB=1&amp;gicode=A012510&amp;cID=&amp;MenuYn=Y&amp;ReportGB=&amp;NewMenuID=108&amp;stkGb=701", "더존비즈온")</f>
        <v>0</v>
      </c>
      <c r="C1692">
        <v>0</v>
      </c>
      <c r="D1692">
        <v>100500</v>
      </c>
      <c r="E1692">
        <v>2.83</v>
      </c>
      <c r="F1692">
        <v>48.53</v>
      </c>
      <c r="G1692">
        <v>32283</v>
      </c>
      <c r="H1692">
        <v>20216</v>
      </c>
      <c r="I1692">
        <v>16777</v>
      </c>
      <c r="J1692">
        <v>67.88</v>
      </c>
      <c r="K1692">
        <v>79.88</v>
      </c>
      <c r="L1692">
        <v>83.31</v>
      </c>
      <c r="M1692">
        <v>21.09</v>
      </c>
      <c r="N1692" t="b">
        <v>0</v>
      </c>
      <c r="O1692">
        <v>1669</v>
      </c>
      <c r="P1692" t="s">
        <v>1696</v>
      </c>
      <c r="Q1692" t="s">
        <v>3605</v>
      </c>
      <c r="R1692">
        <v>17.12756937099669</v>
      </c>
      <c r="S1692">
        <v>30257</v>
      </c>
      <c r="T1692">
        <v>146014</v>
      </c>
      <c r="U1692" t="s">
        <v>5666</v>
      </c>
      <c r="V1692">
        <v>36.19</v>
      </c>
      <c r="W1692" t="s">
        <v>7864</v>
      </c>
      <c r="X1692" t="s">
        <v>9807</v>
      </c>
      <c r="Y1692">
        <v>2627</v>
      </c>
      <c r="Z1692">
        <v>668</v>
      </c>
      <c r="AA1692">
        <v>620120</v>
      </c>
      <c r="AB1692">
        <v>0.58</v>
      </c>
    </row>
    <row r="1693" spans="1:28">
      <c r="A1693" s="2">
        <f>HYPERLINK("https://finance.naver.com/item/coinfo.nhn?code=069460", "A069460")</f>
        <v>0</v>
      </c>
      <c r="B1693">
        <f>HYPERLINK("http://comp.fnguide.com/SVO2/ASP/SVD_Consensus.asp?pGB=1&amp;gicode=A069460&amp;cID=&amp;MenuYn=Y&amp;ReportGB=&amp;NewMenuID=108&amp;stkGb=701", "대호에이엘")</f>
        <v>0</v>
      </c>
      <c r="C1693">
        <v>0</v>
      </c>
      <c r="D1693">
        <v>2495</v>
      </c>
      <c r="G1693">
        <v>515</v>
      </c>
      <c r="H1693">
        <v>792</v>
      </c>
      <c r="I1693">
        <v>871</v>
      </c>
      <c r="J1693">
        <v>79.34999999999999</v>
      </c>
      <c r="K1693">
        <v>68.26000000000001</v>
      </c>
      <c r="L1693">
        <v>65.11</v>
      </c>
      <c r="M1693">
        <v>4.21</v>
      </c>
      <c r="N1693" t="b">
        <v>0</v>
      </c>
      <c r="O1693">
        <v>-129</v>
      </c>
      <c r="P1693" t="s">
        <v>1697</v>
      </c>
      <c r="Q1693" t="s">
        <v>3606</v>
      </c>
      <c r="R1693">
        <v>-84.40000000000001</v>
      </c>
      <c r="S1693">
        <v>677</v>
      </c>
      <c r="T1693">
        <v>740829</v>
      </c>
      <c r="U1693" t="s">
        <v>5667</v>
      </c>
      <c r="V1693">
        <v>19.48</v>
      </c>
      <c r="W1693" t="s">
        <v>7865</v>
      </c>
      <c r="X1693" t="s">
        <v>9808</v>
      </c>
      <c r="Y1693">
        <v>1175</v>
      </c>
      <c r="Z1693">
        <v>-9</v>
      </c>
      <c r="AA1693">
        <v>71435</v>
      </c>
    </row>
    <row r="1694" spans="1:28">
      <c r="A1694" s="2">
        <f>HYPERLINK("https://finance.naver.com/item/coinfo.nhn?code=003490", "A003490")</f>
        <v>0</v>
      </c>
      <c r="B1694">
        <f>HYPERLINK("http://comp.fnguide.com/SVO2/ASP/SVD_Consensus.asp?pGB=1&amp;gicode=A003490&amp;cID=&amp;MenuYn=Y&amp;ReportGB=&amp;NewMenuID=108&amp;stkGb=701", "대한항공")</f>
        <v>0</v>
      </c>
      <c r="C1694">
        <v>0</v>
      </c>
      <c r="D1694">
        <v>26150</v>
      </c>
      <c r="E1694">
        <v>0</v>
      </c>
      <c r="G1694">
        <v>9364</v>
      </c>
      <c r="H1694">
        <v>12899</v>
      </c>
      <c r="I1694">
        <v>13906</v>
      </c>
      <c r="J1694">
        <v>64.19</v>
      </c>
      <c r="K1694">
        <v>50.67</v>
      </c>
      <c r="L1694">
        <v>46.82</v>
      </c>
      <c r="M1694">
        <v>4.9</v>
      </c>
      <c r="N1694" t="b">
        <v>0</v>
      </c>
      <c r="O1694">
        <v>-5898</v>
      </c>
      <c r="P1694" t="s">
        <v>1698</v>
      </c>
      <c r="Q1694" t="s">
        <v>2276</v>
      </c>
      <c r="R1694">
        <v>0</v>
      </c>
      <c r="S1694">
        <v>45556</v>
      </c>
      <c r="T1694">
        <v>2859631</v>
      </c>
      <c r="U1694" t="s">
        <v>5668</v>
      </c>
      <c r="V1694">
        <v>31.14</v>
      </c>
      <c r="W1694" t="s">
        <v>7866</v>
      </c>
      <c r="X1694" t="s">
        <v>9809</v>
      </c>
      <c r="Y1694">
        <v>126834</v>
      </c>
      <c r="Z1694">
        <v>2575</v>
      </c>
      <c r="AA1694">
        <v>36</v>
      </c>
    </row>
    <row r="1695" spans="1:28">
      <c r="A1695" s="2">
        <f>HYPERLINK("https://finance.naver.com/item/coinfo.nhn?code=001440", "A001440")</f>
        <v>0</v>
      </c>
      <c r="B1695">
        <f>HYPERLINK("http://comp.fnguide.com/SVO2/ASP/SVD_Consensus.asp?pGB=1&amp;gicode=A001440&amp;cID=&amp;MenuYn=Y&amp;ReportGB=&amp;NewMenuID=108&amp;stkGb=701", "대한전선")</f>
        <v>0</v>
      </c>
      <c r="C1695">
        <v>0</v>
      </c>
      <c r="D1695">
        <v>1320</v>
      </c>
      <c r="E1695">
        <v>0</v>
      </c>
      <c r="G1695">
        <v>0</v>
      </c>
      <c r="H1695">
        <v>210</v>
      </c>
      <c r="I1695">
        <v>270</v>
      </c>
      <c r="J1695">
        <v>100</v>
      </c>
      <c r="K1695">
        <v>84.11</v>
      </c>
      <c r="L1695">
        <v>79.58</v>
      </c>
      <c r="M1695">
        <v>0</v>
      </c>
      <c r="N1695" t="b">
        <v>0</v>
      </c>
      <c r="O1695">
        <v>-14</v>
      </c>
      <c r="P1695" t="s">
        <v>1699</v>
      </c>
      <c r="Q1695" t="s">
        <v>2276</v>
      </c>
      <c r="R1695">
        <v>0</v>
      </c>
      <c r="S1695">
        <v>11305</v>
      </c>
      <c r="T1695">
        <v>29729786</v>
      </c>
      <c r="U1695" t="s">
        <v>5669</v>
      </c>
      <c r="V1695">
        <v>74.23</v>
      </c>
      <c r="W1695" t="s">
        <v>7867</v>
      </c>
      <c r="X1695" t="s">
        <v>968</v>
      </c>
      <c r="Y1695">
        <v>15547</v>
      </c>
      <c r="Z1695">
        <v>332</v>
      </c>
      <c r="AA1695">
        <v>9586175</v>
      </c>
    </row>
    <row r="1696" spans="1:28">
      <c r="A1696" s="2">
        <f>HYPERLINK("https://finance.naver.com/item/coinfo.nhn?code=001070", "A001070")</f>
        <v>0</v>
      </c>
      <c r="B1696">
        <f>HYPERLINK("http://comp.fnguide.com/SVO2/ASP/SVD_Consensus.asp?pGB=1&amp;gicode=A001070&amp;cID=&amp;MenuYn=Y&amp;ReportGB=&amp;NewMenuID=108&amp;stkGb=701", "대한방직")</f>
        <v>0</v>
      </c>
      <c r="C1696">
        <v>0</v>
      </c>
      <c r="D1696">
        <v>38000</v>
      </c>
      <c r="E1696">
        <v>0</v>
      </c>
      <c r="G1696">
        <v>10689</v>
      </c>
      <c r="H1696">
        <v>25446</v>
      </c>
      <c r="I1696">
        <v>29651</v>
      </c>
      <c r="J1696">
        <v>71.87</v>
      </c>
      <c r="K1696">
        <v>33.04</v>
      </c>
      <c r="L1696">
        <v>21.97</v>
      </c>
      <c r="M1696">
        <v>2.42</v>
      </c>
      <c r="N1696" t="b">
        <v>0</v>
      </c>
      <c r="O1696">
        <v>-2943</v>
      </c>
      <c r="P1696" t="s">
        <v>1700</v>
      </c>
      <c r="Q1696" t="s">
        <v>2276</v>
      </c>
      <c r="R1696">
        <v>0</v>
      </c>
      <c r="S1696">
        <v>2014</v>
      </c>
      <c r="T1696">
        <v>49015</v>
      </c>
      <c r="U1696" t="s">
        <v>5670</v>
      </c>
      <c r="V1696">
        <v>25.62</v>
      </c>
      <c r="W1696" t="s">
        <v>7868</v>
      </c>
      <c r="X1696" t="s">
        <v>9810</v>
      </c>
      <c r="Y1696">
        <v>1563</v>
      </c>
      <c r="Z1696">
        <v>-130</v>
      </c>
      <c r="AA1696">
        <v>1708518</v>
      </c>
    </row>
    <row r="1697" spans="1:28">
      <c r="A1697" s="2">
        <f>HYPERLINK("https://finance.naver.com/item/coinfo.nhn?code=339770", "A339770")</f>
        <v>0</v>
      </c>
      <c r="B1697">
        <f>HYPERLINK("http://comp.fnguide.com/SVO2/ASP/SVD_Consensus.asp?pGB=1&amp;gicode=A339770&amp;cID=&amp;MenuYn=Y&amp;ReportGB=&amp;NewMenuID=108&amp;stkGb=701", "교촌에프앤비")</f>
        <v>0</v>
      </c>
      <c r="C1697">
        <v>0</v>
      </c>
      <c r="D1697">
        <v>21200</v>
      </c>
      <c r="G1697">
        <v>12449</v>
      </c>
      <c r="H1697">
        <v>6898</v>
      </c>
      <c r="I1697">
        <v>5316</v>
      </c>
      <c r="J1697">
        <v>41.28</v>
      </c>
      <c r="K1697">
        <v>67.45999999999999</v>
      </c>
      <c r="L1697">
        <v>74.92</v>
      </c>
      <c r="M1697">
        <v>30.91</v>
      </c>
      <c r="N1697" t="b">
        <v>0</v>
      </c>
      <c r="O1697">
        <v>1411</v>
      </c>
      <c r="P1697" t="s">
        <v>1701</v>
      </c>
      <c r="Q1697" t="s">
        <v>3607</v>
      </c>
      <c r="R1697">
        <v>-46.49439586478891</v>
      </c>
      <c r="S1697">
        <v>5296</v>
      </c>
      <c r="T1697">
        <v>1121844</v>
      </c>
      <c r="U1697" t="s">
        <v>5671</v>
      </c>
      <c r="V1697">
        <v>74.13</v>
      </c>
      <c r="W1697" t="s">
        <v>7869</v>
      </c>
      <c r="X1697" t="s">
        <v>9811</v>
      </c>
      <c r="Y1697">
        <v>3801</v>
      </c>
      <c r="Z1697">
        <v>394</v>
      </c>
    </row>
    <row r="1698" spans="1:28">
      <c r="A1698" s="2">
        <f>HYPERLINK("https://finance.naver.com/item/coinfo.nhn?code=002140", "A002140")</f>
        <v>0</v>
      </c>
      <c r="B1698">
        <f>HYPERLINK("http://comp.fnguide.com/SVO2/ASP/SVD_Consensus.asp?pGB=1&amp;gicode=A002140&amp;cID=&amp;MenuYn=Y&amp;ReportGB=&amp;NewMenuID=108&amp;stkGb=701", "고려산업")</f>
        <v>0</v>
      </c>
      <c r="C1698">
        <v>0</v>
      </c>
      <c r="D1698">
        <v>4140</v>
      </c>
      <c r="E1698">
        <v>1</v>
      </c>
      <c r="F1698">
        <v>18.71</v>
      </c>
      <c r="G1698">
        <v>2343</v>
      </c>
      <c r="H1698">
        <v>3268</v>
      </c>
      <c r="I1698">
        <v>3532</v>
      </c>
      <c r="J1698">
        <v>43.39</v>
      </c>
      <c r="K1698">
        <v>21.05</v>
      </c>
      <c r="L1698">
        <v>14.68</v>
      </c>
      <c r="M1698">
        <v>4.81</v>
      </c>
      <c r="N1698" t="b">
        <v>1</v>
      </c>
      <c r="O1698">
        <v>180</v>
      </c>
      <c r="P1698" t="s">
        <v>1702</v>
      </c>
      <c r="Q1698" t="s">
        <v>3608</v>
      </c>
      <c r="R1698">
        <v>18.62340977221777</v>
      </c>
      <c r="S1698">
        <v>1032</v>
      </c>
      <c r="T1698">
        <v>367059</v>
      </c>
      <c r="U1698" t="s">
        <v>5672</v>
      </c>
      <c r="V1698">
        <v>47.4</v>
      </c>
      <c r="W1698" t="s">
        <v>7870</v>
      </c>
      <c r="X1698" t="s">
        <v>9812</v>
      </c>
      <c r="Y1698">
        <v>1925</v>
      </c>
      <c r="Z1698">
        <v>58</v>
      </c>
      <c r="AA1698">
        <v>268005</v>
      </c>
      <c r="AB1698">
        <v>0.89</v>
      </c>
    </row>
    <row r="1699" spans="1:28">
      <c r="A1699" s="2">
        <f>HYPERLINK("https://finance.naver.com/item/coinfo.nhn?code=026890", "A026890")</f>
        <v>0</v>
      </c>
      <c r="B1699">
        <f>HYPERLINK("http://comp.fnguide.com/SVO2/ASP/SVD_Consensus.asp?pGB=1&amp;gicode=A026890&amp;cID=&amp;MenuYn=Y&amp;ReportGB=&amp;NewMenuID=108&amp;stkGb=701", "디피씨")</f>
        <v>0</v>
      </c>
      <c r="C1699">
        <v>0</v>
      </c>
      <c r="D1699">
        <v>9490</v>
      </c>
      <c r="E1699">
        <v>3.1</v>
      </c>
      <c r="F1699">
        <v>20.2</v>
      </c>
      <c r="G1699">
        <v>3635</v>
      </c>
      <c r="H1699">
        <v>3910</v>
      </c>
      <c r="I1699">
        <v>3988</v>
      </c>
      <c r="J1699">
        <v>61.7</v>
      </c>
      <c r="K1699">
        <v>58.8</v>
      </c>
      <c r="L1699">
        <v>57.97</v>
      </c>
      <c r="M1699">
        <v>7.08</v>
      </c>
      <c r="N1699" t="b">
        <v>1</v>
      </c>
      <c r="O1699">
        <v>256</v>
      </c>
      <c r="P1699" t="s">
        <v>1703</v>
      </c>
      <c r="Q1699" t="s">
        <v>3609</v>
      </c>
      <c r="R1699">
        <v>6.521279227591248</v>
      </c>
      <c r="S1699">
        <v>3955</v>
      </c>
      <c r="T1699">
        <v>1238704</v>
      </c>
      <c r="U1699" t="s">
        <v>5673</v>
      </c>
      <c r="V1699">
        <v>18.36</v>
      </c>
      <c r="W1699" t="s">
        <v>7871</v>
      </c>
      <c r="X1699" t="s">
        <v>9813</v>
      </c>
      <c r="Y1699">
        <v>1654</v>
      </c>
      <c r="Z1699">
        <v>140</v>
      </c>
      <c r="AA1699">
        <v>3952483</v>
      </c>
      <c r="AB1699">
        <v>1.55</v>
      </c>
    </row>
    <row r="1700" spans="1:28">
      <c r="A1700" s="2">
        <f>HYPERLINK("https://finance.naver.com/item/coinfo.nhn?code=012610", "A012610")</f>
        <v>0</v>
      </c>
      <c r="B1700">
        <f>HYPERLINK("http://comp.fnguide.com/SVO2/ASP/SVD_Consensus.asp?pGB=1&amp;gicode=A012610&amp;cID=&amp;MenuYn=Y&amp;ReportGB=&amp;NewMenuID=108&amp;stkGb=701", "경인양행")</f>
        <v>0</v>
      </c>
      <c r="C1700">
        <v>0</v>
      </c>
      <c r="D1700">
        <v>7090</v>
      </c>
      <c r="E1700">
        <v>0.35</v>
      </c>
      <c r="F1700">
        <v>22.44</v>
      </c>
      <c r="G1700">
        <v>3855</v>
      </c>
      <c r="H1700">
        <v>4727</v>
      </c>
      <c r="I1700">
        <v>4976</v>
      </c>
      <c r="J1700">
        <v>45.63</v>
      </c>
      <c r="K1700">
        <v>33.33</v>
      </c>
      <c r="L1700">
        <v>29.82</v>
      </c>
      <c r="M1700">
        <v>5.79</v>
      </c>
      <c r="N1700" t="b">
        <v>1</v>
      </c>
      <c r="O1700">
        <v>345</v>
      </c>
      <c r="P1700" t="s">
        <v>1704</v>
      </c>
      <c r="Q1700" t="s">
        <v>3610</v>
      </c>
      <c r="R1700">
        <v>64.83500950888306</v>
      </c>
      <c r="S1700">
        <v>2926</v>
      </c>
      <c r="T1700">
        <v>291898</v>
      </c>
      <c r="U1700" t="s">
        <v>5674</v>
      </c>
      <c r="V1700">
        <v>33.55</v>
      </c>
      <c r="W1700" t="s">
        <v>7872</v>
      </c>
      <c r="X1700" t="s">
        <v>9814</v>
      </c>
      <c r="Y1700">
        <v>3588</v>
      </c>
      <c r="Z1700">
        <v>236</v>
      </c>
      <c r="AA1700">
        <v>99600</v>
      </c>
      <c r="AB1700">
        <v>0.65</v>
      </c>
    </row>
    <row r="1701" spans="1:28">
      <c r="A1701" s="2">
        <f>HYPERLINK("https://finance.naver.com/item/coinfo.nhn?code=079550", "A079550")</f>
        <v>0</v>
      </c>
      <c r="B1701">
        <f>HYPERLINK("http://comp.fnguide.com/SVO2/ASP/SVD_Consensus.asp?pGB=1&amp;gicode=A079550&amp;cID=&amp;MenuYn=Y&amp;ReportGB=&amp;NewMenuID=108&amp;stkGb=701", "LIG넥스원")</f>
        <v>0</v>
      </c>
      <c r="C1701">
        <v>0</v>
      </c>
      <c r="D1701">
        <v>29150</v>
      </c>
      <c r="E1701">
        <v>12.45</v>
      </c>
      <c r="F1701">
        <v>218.25</v>
      </c>
      <c r="G1701">
        <v>1787</v>
      </c>
      <c r="H1701">
        <v>18292</v>
      </c>
      <c r="I1701">
        <v>22995</v>
      </c>
      <c r="J1701">
        <v>93.87</v>
      </c>
      <c r="K1701">
        <v>37.25</v>
      </c>
      <c r="L1701">
        <v>21.12</v>
      </c>
      <c r="M1701">
        <v>0.49</v>
      </c>
      <c r="N1701" t="b">
        <v>0</v>
      </c>
      <c r="O1701">
        <v>145</v>
      </c>
      <c r="P1701" t="s">
        <v>1705</v>
      </c>
      <c r="Q1701" t="s">
        <v>3611</v>
      </c>
      <c r="R1701">
        <v>17.53582909772047</v>
      </c>
      <c r="S1701">
        <v>6413</v>
      </c>
      <c r="T1701">
        <v>94014</v>
      </c>
      <c r="U1701" t="s">
        <v>5675</v>
      </c>
      <c r="V1701">
        <v>47.05</v>
      </c>
      <c r="W1701" t="s">
        <v>7873</v>
      </c>
      <c r="X1701" t="s">
        <v>9815</v>
      </c>
      <c r="Y1701">
        <v>14527</v>
      </c>
      <c r="Z1701">
        <v>181</v>
      </c>
      <c r="AA1701">
        <v>330000</v>
      </c>
      <c r="AB1701">
        <v>1.9</v>
      </c>
    </row>
    <row r="1702" spans="1:28">
      <c r="A1702" s="2">
        <f>HYPERLINK("https://finance.naver.com/item/coinfo.nhn?code=051910", "A051910")</f>
        <v>0</v>
      </c>
      <c r="B1702">
        <f>HYPERLINK("http://comp.fnguide.com/SVO2/ASP/SVD_Consensus.asp?pGB=1&amp;gicode=A051910&amp;cID=&amp;MenuYn=Y&amp;ReportGB=&amp;NewMenuID=108&amp;stkGb=701", "LG화학")</f>
        <v>0</v>
      </c>
      <c r="C1702">
        <v>0</v>
      </c>
      <c r="D1702">
        <v>846000</v>
      </c>
      <c r="E1702">
        <v>-8.199999999999999</v>
      </c>
      <c r="F1702">
        <v>79.31</v>
      </c>
      <c r="G1702">
        <v>186520</v>
      </c>
      <c r="H1702">
        <v>222656</v>
      </c>
      <c r="I1702">
        <v>232954</v>
      </c>
      <c r="J1702">
        <v>77.95</v>
      </c>
      <c r="K1702">
        <v>73.68000000000001</v>
      </c>
      <c r="L1702">
        <v>72.45999999999999</v>
      </c>
      <c r="M1702">
        <v>6.03</v>
      </c>
      <c r="N1702" t="b">
        <v>0</v>
      </c>
      <c r="O1702">
        <v>4003</v>
      </c>
      <c r="P1702" t="s">
        <v>1706</v>
      </c>
      <c r="Q1702" t="s">
        <v>3612</v>
      </c>
      <c r="R1702">
        <v>-9.670829647286716</v>
      </c>
      <c r="S1702">
        <v>597211</v>
      </c>
      <c r="T1702">
        <v>375662</v>
      </c>
      <c r="U1702" t="s">
        <v>5676</v>
      </c>
      <c r="V1702">
        <v>33.37</v>
      </c>
      <c r="W1702" t="s">
        <v>7874</v>
      </c>
      <c r="X1702" t="s">
        <v>9816</v>
      </c>
      <c r="Y1702">
        <v>286250</v>
      </c>
      <c r="Z1702">
        <v>8956</v>
      </c>
      <c r="AA1702">
        <v>1652417</v>
      </c>
      <c r="AB1702">
        <v>0.63</v>
      </c>
    </row>
    <row r="1703" spans="1:28">
      <c r="A1703" s="2">
        <f>HYPERLINK("https://finance.naver.com/item/coinfo.nhn?code=066570", "A066570")</f>
        <v>0</v>
      </c>
      <c r="B1703">
        <f>HYPERLINK("http://comp.fnguide.com/SVO2/ASP/SVD_Consensus.asp?pGB=1&amp;gicode=A066570&amp;cID=&amp;MenuYn=Y&amp;ReportGB=&amp;NewMenuID=108&amp;stkGb=701", "LG전자")</f>
        <v>0</v>
      </c>
      <c r="C1703">
        <v>0</v>
      </c>
      <c r="D1703">
        <v>90500</v>
      </c>
      <c r="E1703">
        <v>-29.72</v>
      </c>
      <c r="F1703">
        <v>416.75</v>
      </c>
      <c r="G1703">
        <v>59626</v>
      </c>
      <c r="H1703">
        <v>76660</v>
      </c>
      <c r="I1703">
        <v>81514</v>
      </c>
      <c r="J1703">
        <v>34.11</v>
      </c>
      <c r="K1703">
        <v>15.29</v>
      </c>
      <c r="L1703">
        <v>9.93</v>
      </c>
      <c r="M1703">
        <v>5.4</v>
      </c>
      <c r="N1703" t="b">
        <v>0</v>
      </c>
      <c r="O1703">
        <v>173</v>
      </c>
      <c r="P1703" t="s">
        <v>1707</v>
      </c>
      <c r="Q1703" t="s">
        <v>3613</v>
      </c>
      <c r="R1703">
        <v>-14.02282220909888</v>
      </c>
      <c r="S1703">
        <v>148101</v>
      </c>
      <c r="T1703">
        <v>1763876</v>
      </c>
      <c r="U1703" t="s">
        <v>5677</v>
      </c>
      <c r="V1703">
        <v>33.67</v>
      </c>
      <c r="W1703" t="s">
        <v>7875</v>
      </c>
      <c r="X1703" t="s">
        <v>9817</v>
      </c>
      <c r="Y1703">
        <v>623062</v>
      </c>
      <c r="Z1703">
        <v>24361</v>
      </c>
      <c r="AA1703">
        <v>763173</v>
      </c>
      <c r="AB1703">
        <v>1.04</v>
      </c>
    </row>
    <row r="1704" spans="1:28">
      <c r="A1704" s="2">
        <f>HYPERLINK("https://finance.naver.com/item/coinfo.nhn?code=011070", "A011070")</f>
        <v>0</v>
      </c>
      <c r="B1704">
        <f>HYPERLINK("http://comp.fnguide.com/SVO2/ASP/SVD_Consensus.asp?pGB=1&amp;gicode=A011070&amp;cID=&amp;MenuYn=Y&amp;ReportGB=&amp;NewMenuID=108&amp;stkGb=701", "LG이노텍")</f>
        <v>0</v>
      </c>
      <c r="C1704">
        <v>0</v>
      </c>
      <c r="D1704">
        <v>170500</v>
      </c>
      <c r="E1704">
        <v>4.44</v>
      </c>
      <c r="F1704">
        <v>32.39</v>
      </c>
      <c r="G1704">
        <v>77147</v>
      </c>
      <c r="H1704">
        <v>86768</v>
      </c>
      <c r="I1704">
        <v>89510</v>
      </c>
      <c r="J1704">
        <v>54.75</v>
      </c>
      <c r="K1704">
        <v>49.11</v>
      </c>
      <c r="L1704">
        <v>47.5</v>
      </c>
      <c r="M1704">
        <v>6.6</v>
      </c>
      <c r="N1704" t="b">
        <v>0</v>
      </c>
      <c r="O1704">
        <v>4323</v>
      </c>
      <c r="P1704" t="s">
        <v>1708</v>
      </c>
      <c r="Q1704" t="s">
        <v>3614</v>
      </c>
      <c r="R1704">
        <v>7.299843923964899</v>
      </c>
      <c r="S1704">
        <v>40352</v>
      </c>
      <c r="T1704">
        <v>829883</v>
      </c>
      <c r="U1704" t="s">
        <v>5678</v>
      </c>
      <c r="V1704">
        <v>40.79</v>
      </c>
      <c r="W1704" t="s">
        <v>7876</v>
      </c>
      <c r="X1704" t="s">
        <v>9818</v>
      </c>
      <c r="Y1704">
        <v>83021</v>
      </c>
      <c r="Z1704">
        <v>4031</v>
      </c>
      <c r="AA1704">
        <v>2600</v>
      </c>
      <c r="AB1704">
        <v>0.21</v>
      </c>
    </row>
    <row r="1705" spans="1:28">
      <c r="A1705" s="2">
        <f>HYPERLINK("https://finance.naver.com/item/coinfo.nhn?code=051900", "A051900")</f>
        <v>0</v>
      </c>
      <c r="B1705">
        <f>HYPERLINK("http://comp.fnguide.com/SVO2/ASP/SVD_Consensus.asp?pGB=1&amp;gicode=A051900&amp;cID=&amp;MenuYn=Y&amp;ReportGB=&amp;NewMenuID=108&amp;stkGb=701", "LG생활건강")</f>
        <v>0</v>
      </c>
      <c r="C1705">
        <v>0</v>
      </c>
      <c r="D1705">
        <v>1522000</v>
      </c>
      <c r="E1705">
        <v>2.49</v>
      </c>
      <c r="F1705">
        <v>28.71</v>
      </c>
      <c r="G1705">
        <v>738565</v>
      </c>
      <c r="H1705">
        <v>464763</v>
      </c>
      <c r="I1705">
        <v>386744</v>
      </c>
      <c r="J1705">
        <v>51.47</v>
      </c>
      <c r="K1705">
        <v>69.45999999999999</v>
      </c>
      <c r="L1705">
        <v>74.59</v>
      </c>
      <c r="M1705">
        <v>20.81</v>
      </c>
      <c r="N1705" t="b">
        <v>1</v>
      </c>
      <c r="O1705">
        <v>43916</v>
      </c>
      <c r="P1705" t="s">
        <v>1709</v>
      </c>
      <c r="Q1705" t="s">
        <v>3615</v>
      </c>
      <c r="R1705">
        <v>11.50763338765568</v>
      </c>
      <c r="S1705">
        <v>237709</v>
      </c>
      <c r="T1705">
        <v>27133</v>
      </c>
      <c r="U1705" t="s">
        <v>5679</v>
      </c>
      <c r="V1705">
        <v>34.03</v>
      </c>
      <c r="W1705" t="s">
        <v>7877</v>
      </c>
      <c r="X1705" t="s">
        <v>9819</v>
      </c>
      <c r="Y1705">
        <v>76854</v>
      </c>
      <c r="Z1705">
        <v>11764</v>
      </c>
      <c r="AA1705">
        <v>958412</v>
      </c>
      <c r="AB1705">
        <v>0.87</v>
      </c>
    </row>
    <row r="1706" spans="1:28">
      <c r="A1706" s="2">
        <f>HYPERLINK("https://finance.naver.com/item/coinfo.nhn?code=000040", "A000040")</f>
        <v>0</v>
      </c>
      <c r="B1706">
        <f>HYPERLINK("http://comp.fnguide.com/SVO2/ASP/SVD_Consensus.asp?pGB=1&amp;gicode=A000040&amp;cID=&amp;MenuYn=Y&amp;ReportGB=&amp;NewMenuID=108&amp;stkGb=701", "KR모터스")</f>
        <v>0</v>
      </c>
      <c r="C1706">
        <v>0</v>
      </c>
      <c r="D1706">
        <v>1430</v>
      </c>
      <c r="E1706">
        <v>0</v>
      </c>
      <c r="G1706">
        <v>0</v>
      </c>
      <c r="H1706">
        <v>121</v>
      </c>
      <c r="I1706">
        <v>156</v>
      </c>
      <c r="J1706">
        <v>100</v>
      </c>
      <c r="K1706">
        <v>91.52</v>
      </c>
      <c r="L1706">
        <v>89.09999999999999</v>
      </c>
      <c r="M1706">
        <v>0</v>
      </c>
      <c r="N1706" t="b">
        <v>0</v>
      </c>
      <c r="O1706">
        <v>-748</v>
      </c>
      <c r="P1706" t="s">
        <v>1710</v>
      </c>
      <c r="Q1706" t="s">
        <v>2276</v>
      </c>
      <c r="R1706">
        <v>0</v>
      </c>
      <c r="S1706">
        <v>1311</v>
      </c>
      <c r="T1706">
        <v>19563951</v>
      </c>
      <c r="U1706" t="s">
        <v>5680</v>
      </c>
      <c r="V1706">
        <v>51.38</v>
      </c>
      <c r="W1706" t="s">
        <v>7878</v>
      </c>
      <c r="X1706" t="s">
        <v>968</v>
      </c>
      <c r="Y1706">
        <v>1326</v>
      </c>
      <c r="Z1706">
        <v>-247</v>
      </c>
      <c r="AA1706">
        <v>7199</v>
      </c>
    </row>
    <row r="1707" spans="1:28">
      <c r="A1707" s="2">
        <f>HYPERLINK("https://finance.naver.com/item/coinfo.nhn?code=016380", "A016380")</f>
        <v>0</v>
      </c>
      <c r="B1707">
        <f>HYPERLINK("http://comp.fnguide.com/SVO2/ASP/SVD_Consensus.asp?pGB=1&amp;gicode=A016380&amp;cID=&amp;MenuYn=Y&amp;ReportGB=&amp;NewMenuID=108&amp;stkGb=701", "KG동부제철")</f>
        <v>0</v>
      </c>
      <c r="C1707">
        <v>0</v>
      </c>
      <c r="D1707">
        <v>12200</v>
      </c>
      <c r="E1707">
        <v>0</v>
      </c>
      <c r="G1707">
        <v>0</v>
      </c>
      <c r="H1707">
        <v>5342</v>
      </c>
      <c r="I1707">
        <v>6864</v>
      </c>
      <c r="J1707">
        <v>100</v>
      </c>
      <c r="K1707">
        <v>56.21</v>
      </c>
      <c r="L1707">
        <v>43.74</v>
      </c>
      <c r="M1707">
        <v>0</v>
      </c>
      <c r="N1707" t="b">
        <v>0</v>
      </c>
      <c r="O1707">
        <v>-918</v>
      </c>
      <c r="P1707" t="s">
        <v>1711</v>
      </c>
      <c r="Q1707" t="s">
        <v>2276</v>
      </c>
      <c r="R1707">
        <v>0</v>
      </c>
      <c r="S1707">
        <v>12201</v>
      </c>
      <c r="T1707">
        <v>1664221</v>
      </c>
      <c r="U1707" t="s">
        <v>5681</v>
      </c>
      <c r="V1707">
        <v>71.98999999999999</v>
      </c>
      <c r="W1707" t="s">
        <v>7879</v>
      </c>
      <c r="X1707" t="s">
        <v>968</v>
      </c>
      <c r="Y1707">
        <v>24283</v>
      </c>
      <c r="Z1707">
        <v>346</v>
      </c>
      <c r="AA1707">
        <v>6585</v>
      </c>
    </row>
    <row r="1708" spans="1:28">
      <c r="A1708" s="2">
        <f>HYPERLINK("https://finance.naver.com/item/coinfo.nhn?code=092220", "A092220")</f>
        <v>0</v>
      </c>
      <c r="B1708">
        <f>HYPERLINK("http://comp.fnguide.com/SVO2/ASP/SVD_Consensus.asp?pGB=1&amp;gicode=A092220&amp;cID=&amp;MenuYn=Y&amp;ReportGB=&amp;NewMenuID=108&amp;stkGb=701", "KEC")</f>
        <v>0</v>
      </c>
      <c r="C1708">
        <v>0</v>
      </c>
      <c r="D1708">
        <v>3050</v>
      </c>
      <c r="G1708">
        <v>67</v>
      </c>
      <c r="H1708">
        <v>1097</v>
      </c>
      <c r="I1708">
        <v>1391</v>
      </c>
      <c r="J1708">
        <v>97.81</v>
      </c>
      <c r="K1708">
        <v>64.03</v>
      </c>
      <c r="L1708">
        <v>54.41</v>
      </c>
      <c r="M1708">
        <v>0.3</v>
      </c>
      <c r="N1708" t="b">
        <v>0</v>
      </c>
      <c r="O1708">
        <v>-165</v>
      </c>
      <c r="P1708" t="s">
        <v>1712</v>
      </c>
      <c r="Q1708" t="s">
        <v>3616</v>
      </c>
      <c r="R1708">
        <v>-0.3854668712723996</v>
      </c>
      <c r="S1708">
        <v>3560</v>
      </c>
      <c r="T1708">
        <v>18019474</v>
      </c>
      <c r="U1708" t="s">
        <v>5682</v>
      </c>
      <c r="V1708">
        <v>36.85</v>
      </c>
      <c r="W1708" t="s">
        <v>7880</v>
      </c>
      <c r="X1708" t="s">
        <v>9820</v>
      </c>
      <c r="Y1708">
        <v>2017</v>
      </c>
      <c r="Z1708">
        <v>-70</v>
      </c>
    </row>
    <row r="1709" spans="1:28">
      <c r="A1709" s="2">
        <f>HYPERLINK("https://finance.naver.com/item/coinfo.nhn?code=119650", "A119650")</f>
        <v>0</v>
      </c>
      <c r="B1709">
        <f>HYPERLINK("http://comp.fnguide.com/SVO2/ASP/SVD_Consensus.asp?pGB=1&amp;gicode=A119650&amp;cID=&amp;MenuYn=Y&amp;ReportGB=&amp;NewMenuID=108&amp;stkGb=701", "KC코트렐")</f>
        <v>0</v>
      </c>
      <c r="C1709">
        <v>0</v>
      </c>
      <c r="D1709">
        <v>10350</v>
      </c>
      <c r="E1709">
        <v>1.83</v>
      </c>
      <c r="F1709">
        <v>46.11</v>
      </c>
      <c r="G1709">
        <v>3354</v>
      </c>
      <c r="H1709">
        <v>4828</v>
      </c>
      <c r="I1709">
        <v>5248</v>
      </c>
      <c r="J1709">
        <v>67.59</v>
      </c>
      <c r="K1709">
        <v>53.35</v>
      </c>
      <c r="L1709">
        <v>49.29</v>
      </c>
      <c r="M1709">
        <v>4.6</v>
      </c>
      <c r="N1709" t="b">
        <v>0</v>
      </c>
      <c r="O1709">
        <v>149</v>
      </c>
      <c r="P1709" t="s">
        <v>1713</v>
      </c>
      <c r="Q1709" t="s">
        <v>3617</v>
      </c>
      <c r="R1709">
        <v>25.26172549299437</v>
      </c>
      <c r="S1709">
        <v>1346</v>
      </c>
      <c r="T1709">
        <v>996579</v>
      </c>
      <c r="U1709" t="s">
        <v>5683</v>
      </c>
      <c r="V1709">
        <v>35.12</v>
      </c>
      <c r="W1709" t="s">
        <v>7881</v>
      </c>
      <c r="X1709" t="s">
        <v>9821</v>
      </c>
      <c r="Y1709">
        <v>3006</v>
      </c>
      <c r="Z1709">
        <v>85</v>
      </c>
      <c r="AB1709">
        <v>0.44</v>
      </c>
    </row>
    <row r="1710" spans="1:28">
      <c r="A1710" s="2">
        <f>HYPERLINK("https://finance.naver.com/item/coinfo.nhn?code=096760", "A096760")</f>
        <v>0</v>
      </c>
      <c r="B1710">
        <f>HYPERLINK("http://comp.fnguide.com/SVO2/ASP/SVD_Consensus.asp?pGB=1&amp;gicode=A096760&amp;cID=&amp;MenuYn=Y&amp;ReportGB=&amp;NewMenuID=108&amp;stkGb=701", "JW홀딩스")</f>
        <v>0</v>
      </c>
      <c r="C1710">
        <v>0</v>
      </c>
      <c r="D1710">
        <v>5730</v>
      </c>
      <c r="G1710">
        <v>3060</v>
      </c>
      <c r="H1710">
        <v>2577</v>
      </c>
      <c r="I1710">
        <v>2440</v>
      </c>
      <c r="J1710">
        <v>46.59</v>
      </c>
      <c r="K1710">
        <v>55.02</v>
      </c>
      <c r="L1710">
        <v>57.42</v>
      </c>
      <c r="M1710">
        <v>10.81</v>
      </c>
      <c r="N1710" t="b">
        <v>0</v>
      </c>
      <c r="O1710">
        <v>-503</v>
      </c>
      <c r="P1710" t="s">
        <v>1714</v>
      </c>
      <c r="Q1710" t="s">
        <v>3618</v>
      </c>
      <c r="R1710">
        <v>-57.10000000000001</v>
      </c>
      <c r="S1710">
        <v>3808</v>
      </c>
      <c r="T1710">
        <v>259910</v>
      </c>
      <c r="U1710" t="s">
        <v>5684</v>
      </c>
      <c r="V1710">
        <v>50.13</v>
      </c>
      <c r="W1710" t="s">
        <v>7882</v>
      </c>
      <c r="X1710" t="s">
        <v>9822</v>
      </c>
      <c r="Y1710">
        <v>7264</v>
      </c>
      <c r="Z1710">
        <v>27</v>
      </c>
      <c r="AA1710">
        <v>151224</v>
      </c>
      <c r="AB1710">
        <v>1.38</v>
      </c>
    </row>
    <row r="1711" spans="1:28">
      <c r="A1711" s="2">
        <f>HYPERLINK("https://finance.naver.com/item/coinfo.nhn?code=001060", "A001060")</f>
        <v>0</v>
      </c>
      <c r="B1711">
        <f>HYPERLINK("http://comp.fnguide.com/SVO2/ASP/SVD_Consensus.asp?pGB=1&amp;gicode=A001060&amp;cID=&amp;MenuYn=Y&amp;ReportGB=&amp;NewMenuID=108&amp;stkGb=701", "JW중외제약")</f>
        <v>0</v>
      </c>
      <c r="C1711">
        <v>0</v>
      </c>
      <c r="D1711">
        <v>33500</v>
      </c>
      <c r="E1711">
        <v>0</v>
      </c>
      <c r="G1711">
        <v>1416</v>
      </c>
      <c r="H1711">
        <v>7256</v>
      </c>
      <c r="I1711">
        <v>8920</v>
      </c>
      <c r="J1711">
        <v>95.77</v>
      </c>
      <c r="K1711">
        <v>78.34</v>
      </c>
      <c r="L1711">
        <v>73.37</v>
      </c>
      <c r="M1711">
        <v>1.01</v>
      </c>
      <c r="N1711" t="b">
        <v>0</v>
      </c>
      <c r="O1711">
        <v>-1125</v>
      </c>
      <c r="P1711" t="s">
        <v>1715</v>
      </c>
      <c r="Q1711" t="s">
        <v>2276</v>
      </c>
      <c r="R1711">
        <v>0</v>
      </c>
      <c r="S1711">
        <v>7008</v>
      </c>
      <c r="T1711">
        <v>141091</v>
      </c>
      <c r="U1711" t="s">
        <v>5685</v>
      </c>
      <c r="V1711">
        <v>42.83</v>
      </c>
      <c r="W1711" t="s">
        <v>7883</v>
      </c>
      <c r="X1711" t="s">
        <v>9823</v>
      </c>
      <c r="Y1711">
        <v>5113</v>
      </c>
      <c r="Z1711">
        <v>-190</v>
      </c>
      <c r="AA1711">
        <v>257633</v>
      </c>
      <c r="AB1711">
        <v>1.07</v>
      </c>
    </row>
    <row r="1712" spans="1:28">
      <c r="A1712" s="2">
        <f>HYPERLINK("https://finance.naver.com/item/coinfo.nhn?code=234080", "A234080")</f>
        <v>0</v>
      </c>
      <c r="B1712">
        <f>HYPERLINK("http://comp.fnguide.com/SVO2/ASP/SVD_Consensus.asp?pGB=1&amp;gicode=A234080&amp;cID=&amp;MenuYn=Y&amp;ReportGB=&amp;NewMenuID=108&amp;stkGb=701", "JW생명과학")</f>
        <v>0</v>
      </c>
      <c r="C1712">
        <v>0</v>
      </c>
      <c r="D1712">
        <v>18950</v>
      </c>
      <c r="E1712">
        <v>0.78</v>
      </c>
      <c r="F1712">
        <v>14.29</v>
      </c>
      <c r="G1712">
        <v>16863</v>
      </c>
      <c r="H1712">
        <v>11383</v>
      </c>
      <c r="I1712">
        <v>9822</v>
      </c>
      <c r="J1712">
        <v>11.01</v>
      </c>
      <c r="K1712">
        <v>39.93</v>
      </c>
      <c r="L1712">
        <v>48.17</v>
      </c>
      <c r="M1712">
        <v>17.36</v>
      </c>
      <c r="N1712" t="b">
        <v>1</v>
      </c>
      <c r="O1712">
        <v>1385</v>
      </c>
      <c r="P1712" t="s">
        <v>1716</v>
      </c>
      <c r="Q1712" t="s">
        <v>3619</v>
      </c>
      <c r="R1712">
        <v>18.32971194709638</v>
      </c>
      <c r="S1712">
        <v>3001</v>
      </c>
      <c r="T1712">
        <v>75026</v>
      </c>
      <c r="U1712" t="s">
        <v>5686</v>
      </c>
      <c r="V1712">
        <v>43.11</v>
      </c>
      <c r="W1712" t="s">
        <v>7884</v>
      </c>
      <c r="X1712" t="s">
        <v>9824</v>
      </c>
      <c r="Y1712">
        <v>1702</v>
      </c>
      <c r="Z1712">
        <v>297</v>
      </c>
      <c r="AB1712">
        <v>2.53</v>
      </c>
    </row>
    <row r="1713" spans="1:28">
      <c r="A1713" s="2">
        <f>HYPERLINK("https://finance.naver.com/item/coinfo.nhn?code=003560", "A003560")</f>
        <v>0</v>
      </c>
      <c r="B1713">
        <f>HYPERLINK("http://comp.fnguide.com/SVO2/ASP/SVD_Consensus.asp?pGB=1&amp;gicode=A003560&amp;cID=&amp;MenuYn=Y&amp;ReportGB=&amp;NewMenuID=108&amp;stkGb=701", "IHQ")</f>
        <v>0</v>
      </c>
      <c r="C1713">
        <v>0</v>
      </c>
      <c r="D1713">
        <v>1555</v>
      </c>
      <c r="G1713">
        <v>22</v>
      </c>
      <c r="H1713">
        <v>579</v>
      </c>
      <c r="I1713">
        <v>738</v>
      </c>
      <c r="J1713">
        <v>98.56999999999999</v>
      </c>
      <c r="K1713">
        <v>62.74</v>
      </c>
      <c r="L1713">
        <v>52.53</v>
      </c>
      <c r="M1713">
        <v>0.19</v>
      </c>
      <c r="N1713" t="b">
        <v>0</v>
      </c>
      <c r="O1713">
        <v>-453</v>
      </c>
      <c r="P1713" t="s">
        <v>1717</v>
      </c>
      <c r="Q1713" t="s">
        <v>3620</v>
      </c>
      <c r="R1713">
        <v>-35.52612932357791</v>
      </c>
      <c r="S1713">
        <v>2274</v>
      </c>
      <c r="T1713">
        <v>696703</v>
      </c>
      <c r="U1713" t="s">
        <v>5687</v>
      </c>
      <c r="V1713">
        <v>56.78</v>
      </c>
      <c r="W1713" t="s">
        <v>7885</v>
      </c>
      <c r="X1713" t="s">
        <v>9825</v>
      </c>
      <c r="Y1713">
        <v>993</v>
      </c>
      <c r="Z1713">
        <v>-70</v>
      </c>
      <c r="AA1713">
        <v>2599094</v>
      </c>
    </row>
    <row r="1714" spans="1:28">
      <c r="A1714" s="2">
        <f>HYPERLINK("https://finance.naver.com/item/coinfo.nhn?code=082740", "A082740")</f>
        <v>0</v>
      </c>
      <c r="B1714">
        <f>HYPERLINK("http://comp.fnguide.com/SVO2/ASP/SVD_Consensus.asp?pGB=1&amp;gicode=A082740&amp;cID=&amp;MenuYn=Y&amp;ReportGB=&amp;NewMenuID=108&amp;stkGb=701", "HSD엔진")</f>
        <v>0</v>
      </c>
      <c r="C1714">
        <v>0</v>
      </c>
      <c r="D1714">
        <v>8100</v>
      </c>
      <c r="E1714">
        <v>0</v>
      </c>
      <c r="G1714">
        <v>0</v>
      </c>
      <c r="H1714">
        <v>3438</v>
      </c>
      <c r="I1714">
        <v>4418</v>
      </c>
      <c r="J1714">
        <v>100</v>
      </c>
      <c r="K1714">
        <v>57.55</v>
      </c>
      <c r="L1714">
        <v>45.46</v>
      </c>
      <c r="M1714">
        <v>0</v>
      </c>
      <c r="N1714" t="b">
        <v>0</v>
      </c>
      <c r="O1714">
        <v>-1258</v>
      </c>
      <c r="P1714" t="s">
        <v>1718</v>
      </c>
      <c r="Q1714" t="s">
        <v>2276</v>
      </c>
      <c r="R1714">
        <v>0</v>
      </c>
      <c r="S1714">
        <v>2669</v>
      </c>
      <c r="T1714">
        <v>8877056</v>
      </c>
      <c r="U1714" t="s">
        <v>5688</v>
      </c>
      <c r="V1714">
        <v>42.77</v>
      </c>
      <c r="W1714" t="s">
        <v>7886</v>
      </c>
      <c r="X1714" t="s">
        <v>9826</v>
      </c>
      <c r="Y1714">
        <v>6743</v>
      </c>
      <c r="Z1714">
        <v>-218</v>
      </c>
      <c r="AA1714">
        <v>7502</v>
      </c>
    </row>
    <row r="1715" spans="1:28">
      <c r="A1715" s="2">
        <f>HYPERLINK("https://finance.naver.com/item/coinfo.nhn?code=011200", "A011200")</f>
        <v>0</v>
      </c>
      <c r="B1715">
        <f>HYPERLINK("http://comp.fnguide.com/SVO2/ASP/SVD_Consensus.asp?pGB=1&amp;gicode=A011200&amp;cID=&amp;MenuYn=Y&amp;ReportGB=&amp;NewMenuID=108&amp;stkGb=701", "HMM")</f>
        <v>0</v>
      </c>
      <c r="C1715">
        <v>0</v>
      </c>
      <c r="D1715">
        <v>12750</v>
      </c>
      <c r="E1715">
        <v>0</v>
      </c>
      <c r="G1715">
        <v>0</v>
      </c>
      <c r="H1715">
        <v>2003</v>
      </c>
      <c r="I1715">
        <v>2573</v>
      </c>
      <c r="J1715">
        <v>100</v>
      </c>
      <c r="K1715">
        <v>84.29000000000001</v>
      </c>
      <c r="L1715">
        <v>79.81999999999999</v>
      </c>
      <c r="M1715">
        <v>0</v>
      </c>
      <c r="N1715" t="b">
        <v>0</v>
      </c>
      <c r="O1715">
        <v>-1853</v>
      </c>
      <c r="P1715" t="s">
        <v>1719</v>
      </c>
      <c r="Q1715" t="s">
        <v>2276</v>
      </c>
      <c r="R1715">
        <v>0</v>
      </c>
      <c r="S1715">
        <v>41658</v>
      </c>
      <c r="T1715">
        <v>7301150</v>
      </c>
      <c r="U1715" t="s">
        <v>5689</v>
      </c>
      <c r="V1715">
        <v>16.88</v>
      </c>
      <c r="W1715" t="s">
        <v>7887</v>
      </c>
      <c r="X1715" t="s">
        <v>9827</v>
      </c>
      <c r="Y1715">
        <v>55131</v>
      </c>
      <c r="Z1715">
        <v>-2997</v>
      </c>
    </row>
    <row r="1716" spans="1:28">
      <c r="A1716" s="2">
        <f>HYPERLINK("https://finance.naver.com/item/coinfo.nhn?code=007070", "A007070")</f>
        <v>0</v>
      </c>
      <c r="B1716">
        <f>HYPERLINK("http://comp.fnguide.com/SVO2/ASP/SVD_Consensus.asp?pGB=1&amp;gicode=A007070&amp;cID=&amp;MenuYn=Y&amp;ReportGB=&amp;NewMenuID=108&amp;stkGb=701", "GS리테일")</f>
        <v>0</v>
      </c>
      <c r="C1716">
        <v>0</v>
      </c>
      <c r="D1716">
        <v>33850</v>
      </c>
      <c r="E1716">
        <v>27.65</v>
      </c>
      <c r="F1716">
        <v>22.7</v>
      </c>
      <c r="G1716">
        <v>21460</v>
      </c>
      <c r="H1716">
        <v>25528</v>
      </c>
      <c r="I1716">
        <v>26688</v>
      </c>
      <c r="J1716">
        <v>36.6</v>
      </c>
      <c r="K1716">
        <v>24.58</v>
      </c>
      <c r="L1716">
        <v>21.16</v>
      </c>
      <c r="M1716">
        <v>6.06</v>
      </c>
      <c r="N1716" t="b">
        <v>1</v>
      </c>
      <c r="O1716">
        <v>1729</v>
      </c>
      <c r="P1716" t="s">
        <v>1720</v>
      </c>
      <c r="Q1716" t="s">
        <v>3621</v>
      </c>
      <c r="R1716">
        <v>0.8209339307056807</v>
      </c>
      <c r="S1716">
        <v>26065</v>
      </c>
      <c r="T1716">
        <v>337512</v>
      </c>
      <c r="U1716" t="s">
        <v>5690</v>
      </c>
      <c r="V1716">
        <v>65.78</v>
      </c>
      <c r="W1716" t="s">
        <v>7888</v>
      </c>
      <c r="X1716" t="s">
        <v>9828</v>
      </c>
      <c r="Y1716">
        <v>90069</v>
      </c>
      <c r="Z1716">
        <v>2388</v>
      </c>
      <c r="AB1716">
        <v>1.91</v>
      </c>
    </row>
    <row r="1717" spans="1:28">
      <c r="A1717" s="2">
        <f>HYPERLINK("https://finance.naver.com/item/coinfo.nhn?code=114090", "A114090")</f>
        <v>0</v>
      </c>
      <c r="B1717">
        <f>HYPERLINK("http://comp.fnguide.com/SVO2/ASP/SVD_Consensus.asp?pGB=1&amp;gicode=A114090&amp;cID=&amp;MenuYn=Y&amp;ReportGB=&amp;NewMenuID=108&amp;stkGb=701", "GKL")</f>
        <v>0</v>
      </c>
      <c r="C1717">
        <v>0</v>
      </c>
      <c r="D1717">
        <v>16800</v>
      </c>
      <c r="E1717">
        <v>-2.88</v>
      </c>
      <c r="F1717">
        <v>16.62</v>
      </c>
      <c r="G1717">
        <v>16146</v>
      </c>
      <c r="H1717">
        <v>12129</v>
      </c>
      <c r="I1717">
        <v>10985</v>
      </c>
      <c r="J1717">
        <v>3.89</v>
      </c>
      <c r="K1717">
        <v>27.8</v>
      </c>
      <c r="L1717">
        <v>34.62</v>
      </c>
      <c r="M1717">
        <v>13.6</v>
      </c>
      <c r="N1717" t="b">
        <v>1</v>
      </c>
      <c r="O1717">
        <v>1170</v>
      </c>
      <c r="P1717" t="s">
        <v>1721</v>
      </c>
      <c r="Q1717" t="s">
        <v>3622</v>
      </c>
      <c r="R1717">
        <v>-5.761356366183334</v>
      </c>
      <c r="S1717">
        <v>10392</v>
      </c>
      <c r="T1717">
        <v>616384</v>
      </c>
      <c r="U1717" t="s">
        <v>5691</v>
      </c>
      <c r="V1717">
        <v>51</v>
      </c>
      <c r="W1717" t="s">
        <v>7889</v>
      </c>
      <c r="X1717" t="s">
        <v>9829</v>
      </c>
      <c r="Y1717">
        <v>4908</v>
      </c>
      <c r="Z1717">
        <v>968</v>
      </c>
      <c r="AB1717">
        <v>3.39</v>
      </c>
    </row>
    <row r="1718" spans="1:28">
      <c r="A1718" s="2">
        <f>HYPERLINK("https://finance.naver.com/item/coinfo.nhn?code=011150", "A011150")</f>
        <v>0</v>
      </c>
      <c r="B1718">
        <f>HYPERLINK("http://comp.fnguide.com/SVO2/ASP/SVD_Consensus.asp?pGB=1&amp;gicode=A011150&amp;cID=&amp;MenuYn=Y&amp;ReportGB=&amp;NewMenuID=108&amp;stkGb=701", "CJ씨푸드")</f>
        <v>0</v>
      </c>
      <c r="C1718">
        <v>0</v>
      </c>
      <c r="D1718">
        <v>5400</v>
      </c>
      <c r="E1718">
        <v>2.19</v>
      </c>
      <c r="F1718">
        <v>53.27</v>
      </c>
      <c r="G1718">
        <v>890</v>
      </c>
      <c r="H1718">
        <v>1432</v>
      </c>
      <c r="I1718">
        <v>1587</v>
      </c>
      <c r="J1718">
        <v>83.52</v>
      </c>
      <c r="K1718">
        <v>73.48</v>
      </c>
      <c r="L1718">
        <v>70.62</v>
      </c>
      <c r="M1718">
        <v>3.96</v>
      </c>
      <c r="N1718" t="b">
        <v>0</v>
      </c>
      <c r="O1718">
        <v>51</v>
      </c>
      <c r="P1718" t="s">
        <v>1722</v>
      </c>
      <c r="Q1718" t="s">
        <v>3623</v>
      </c>
      <c r="R1718">
        <v>24.32229871079137</v>
      </c>
      <c r="S1718">
        <v>1940</v>
      </c>
      <c r="T1718">
        <v>5567732</v>
      </c>
      <c r="U1718" t="s">
        <v>5692</v>
      </c>
      <c r="V1718">
        <v>46.52</v>
      </c>
      <c r="W1718" t="s">
        <v>7890</v>
      </c>
      <c r="X1718" t="s">
        <v>9830</v>
      </c>
      <c r="Y1718">
        <v>1492</v>
      </c>
      <c r="Z1718">
        <v>37</v>
      </c>
    </row>
    <row r="1719" spans="1:28">
      <c r="A1719" s="2">
        <f>HYPERLINK("https://finance.naver.com/item/coinfo.nhn?code=000120", "A000120")</f>
        <v>0</v>
      </c>
      <c r="B1719">
        <f>HYPERLINK("http://comp.fnguide.com/SVO2/ASP/SVD_Consensus.asp?pGB=1&amp;gicode=A000120&amp;cID=&amp;MenuYn=Y&amp;ReportGB=&amp;NewMenuID=108&amp;stkGb=701", "CJ대한통운")</f>
        <v>0</v>
      </c>
      <c r="C1719">
        <v>0</v>
      </c>
      <c r="D1719">
        <v>161500</v>
      </c>
      <c r="E1719">
        <v>1.16</v>
      </c>
      <c r="F1719">
        <v>89.01000000000001</v>
      </c>
      <c r="G1719">
        <v>32746</v>
      </c>
      <c r="H1719">
        <v>103192</v>
      </c>
      <c r="I1719">
        <v>123265</v>
      </c>
      <c r="J1719">
        <v>79.72</v>
      </c>
      <c r="K1719">
        <v>36.1</v>
      </c>
      <c r="L1719">
        <v>23.67</v>
      </c>
      <c r="M1719">
        <v>1.74</v>
      </c>
      <c r="N1719" t="b">
        <v>0</v>
      </c>
      <c r="O1719">
        <v>1741</v>
      </c>
      <c r="P1719" t="s">
        <v>1723</v>
      </c>
      <c r="Q1719" t="s">
        <v>3624</v>
      </c>
      <c r="R1719">
        <v>76.70547503823775</v>
      </c>
      <c r="S1719">
        <v>36842</v>
      </c>
      <c r="T1719">
        <v>64608</v>
      </c>
      <c r="U1719" t="s">
        <v>5693</v>
      </c>
      <c r="V1719">
        <v>40.17</v>
      </c>
      <c r="W1719" t="s">
        <v>7891</v>
      </c>
      <c r="X1719" t="s">
        <v>9831</v>
      </c>
      <c r="Y1719">
        <v>104151</v>
      </c>
      <c r="Z1719">
        <v>3072</v>
      </c>
      <c r="AA1719">
        <v>2866030</v>
      </c>
    </row>
    <row r="1720" spans="1:28">
      <c r="A1720" s="2">
        <f>HYPERLINK("https://finance.naver.com/item/coinfo.nhn?code=079160", "A079160")</f>
        <v>0</v>
      </c>
      <c r="B1720">
        <f>HYPERLINK("http://comp.fnguide.com/SVO2/ASP/SVD_Consensus.asp?pGB=1&amp;gicode=A079160&amp;cID=&amp;MenuYn=Y&amp;ReportGB=&amp;NewMenuID=108&amp;stkGb=701", "CJ CGV")</f>
        <v>0</v>
      </c>
      <c r="C1720">
        <v>0</v>
      </c>
      <c r="D1720">
        <v>23400</v>
      </c>
      <c r="G1720">
        <v>0</v>
      </c>
      <c r="H1720">
        <v>4629</v>
      </c>
      <c r="I1720">
        <v>5948</v>
      </c>
      <c r="J1720">
        <v>100</v>
      </c>
      <c r="K1720">
        <v>80.22</v>
      </c>
      <c r="L1720">
        <v>74.58</v>
      </c>
      <c r="M1720">
        <v>0</v>
      </c>
      <c r="N1720" t="b">
        <v>0</v>
      </c>
      <c r="O1720">
        <v>-6695</v>
      </c>
      <c r="P1720" t="s">
        <v>1724</v>
      </c>
      <c r="Q1720" t="s">
        <v>3625</v>
      </c>
      <c r="R1720">
        <v>-76.3</v>
      </c>
      <c r="S1720">
        <v>8213</v>
      </c>
      <c r="T1720">
        <v>1512876</v>
      </c>
      <c r="U1720" t="s">
        <v>5694</v>
      </c>
      <c r="V1720">
        <v>38.41</v>
      </c>
      <c r="W1720" t="s">
        <v>7892</v>
      </c>
      <c r="X1720" t="s">
        <v>968</v>
      </c>
      <c r="Y1720">
        <v>19423</v>
      </c>
      <c r="Z1720">
        <v>1220</v>
      </c>
    </row>
    <row r="1721" spans="1:28">
      <c r="A1721" s="2">
        <f>HYPERLINK("https://finance.naver.com/item/coinfo.nhn?code=282330", "A282330")</f>
        <v>0</v>
      </c>
      <c r="B1721">
        <f>HYPERLINK("http://comp.fnguide.com/SVO2/ASP/SVD_Consensus.asp?pGB=1&amp;gicode=A282330&amp;cID=&amp;MenuYn=Y&amp;ReportGB=&amp;NewMenuID=108&amp;stkGb=701", "BGF리테일")</f>
        <v>0</v>
      </c>
      <c r="C1721">
        <v>0</v>
      </c>
      <c r="D1721">
        <v>128000</v>
      </c>
      <c r="E1721">
        <v>0</v>
      </c>
      <c r="F1721">
        <v>19.35</v>
      </c>
      <c r="G1721">
        <v>110895</v>
      </c>
      <c r="H1721">
        <v>65920</v>
      </c>
      <c r="I1721">
        <v>53104</v>
      </c>
      <c r="J1721">
        <v>13.36</v>
      </c>
      <c r="K1721">
        <v>48.5</v>
      </c>
      <c r="L1721">
        <v>58.51</v>
      </c>
      <c r="M1721">
        <v>24.52</v>
      </c>
      <c r="N1721" t="b">
        <v>1</v>
      </c>
      <c r="O1721">
        <v>8758</v>
      </c>
      <c r="P1721" t="s">
        <v>1725</v>
      </c>
      <c r="Q1721" t="s">
        <v>3626</v>
      </c>
      <c r="R1721">
        <v>0</v>
      </c>
      <c r="S1721">
        <v>22123</v>
      </c>
      <c r="T1721">
        <v>38522</v>
      </c>
      <c r="U1721" t="s">
        <v>5695</v>
      </c>
      <c r="V1721">
        <v>55.33</v>
      </c>
      <c r="W1721" t="s">
        <v>7893</v>
      </c>
      <c r="X1721" t="s">
        <v>9832</v>
      </c>
      <c r="Y1721">
        <v>59461</v>
      </c>
      <c r="Z1721">
        <v>1966</v>
      </c>
      <c r="AA1721">
        <v>8891</v>
      </c>
      <c r="AB1721">
        <v>1.59</v>
      </c>
    </row>
    <row r="1722" spans="1:28">
      <c r="A1722" s="2">
        <f>HYPERLINK("https://finance.naver.com/item/coinfo.nhn?code=010120", "A010120")</f>
        <v>0</v>
      </c>
      <c r="B1722">
        <f>HYPERLINK("http://comp.fnguide.com/SVO2/ASP/SVD_Consensus.asp?pGB=1&amp;gicode=A010120&amp;cID=&amp;MenuYn=Y&amp;ReportGB=&amp;NewMenuID=108&amp;stkGb=701", "LS ELECTRIC")</f>
        <v>0</v>
      </c>
      <c r="C1722">
        <v>0</v>
      </c>
      <c r="D1722">
        <v>54200</v>
      </c>
      <c r="E1722">
        <v>15.26</v>
      </c>
      <c r="F1722">
        <v>15.77</v>
      </c>
      <c r="G1722">
        <v>52908</v>
      </c>
      <c r="H1722">
        <v>48996</v>
      </c>
      <c r="I1722">
        <v>47881</v>
      </c>
      <c r="J1722">
        <v>2.38</v>
      </c>
      <c r="K1722">
        <v>9.6</v>
      </c>
      <c r="L1722">
        <v>11.66</v>
      </c>
      <c r="M1722">
        <v>9.09</v>
      </c>
      <c r="N1722" t="b">
        <v>1</v>
      </c>
      <c r="O1722">
        <v>3462</v>
      </c>
      <c r="P1722" t="s">
        <v>1726</v>
      </c>
      <c r="Q1722" t="s">
        <v>3627</v>
      </c>
      <c r="R1722">
        <v>1.033348500858011</v>
      </c>
      <c r="S1722">
        <v>16260</v>
      </c>
      <c r="T1722">
        <v>217679</v>
      </c>
      <c r="U1722" t="s">
        <v>5696</v>
      </c>
      <c r="V1722">
        <v>46</v>
      </c>
      <c r="W1722" t="s">
        <v>7894</v>
      </c>
      <c r="X1722" t="s">
        <v>9833</v>
      </c>
      <c r="Y1722">
        <v>23468</v>
      </c>
      <c r="Z1722">
        <v>1685</v>
      </c>
      <c r="AA1722">
        <v>674974</v>
      </c>
      <c r="AB1722">
        <v>2.2</v>
      </c>
    </row>
    <row r="1723" spans="1:28">
      <c r="A1723" s="2">
        <f>HYPERLINK("https://finance.naver.com/item/coinfo.nhn?code=229640", "A229640")</f>
        <v>0</v>
      </c>
      <c r="B1723">
        <f>HYPERLINK("http://comp.fnguide.com/SVO2/ASP/SVD_Consensus.asp?pGB=1&amp;gicode=A229640&amp;cID=&amp;MenuYn=Y&amp;ReportGB=&amp;NewMenuID=108&amp;stkGb=701", "LS전선아시아")</f>
        <v>0</v>
      </c>
      <c r="C1723">
        <v>0</v>
      </c>
      <c r="D1723">
        <v>7570</v>
      </c>
      <c r="E1723">
        <v>-2.29</v>
      </c>
      <c r="F1723">
        <v>15.33</v>
      </c>
      <c r="G1723">
        <v>6153</v>
      </c>
      <c r="H1723">
        <v>5251</v>
      </c>
      <c r="I1723">
        <v>4994</v>
      </c>
      <c r="J1723">
        <v>18.72</v>
      </c>
      <c r="K1723">
        <v>30.64</v>
      </c>
      <c r="L1723">
        <v>34.03</v>
      </c>
      <c r="M1723">
        <v>10.54</v>
      </c>
      <c r="N1723" t="b">
        <v>0</v>
      </c>
      <c r="O1723">
        <v>523</v>
      </c>
      <c r="P1723" t="s">
        <v>1727</v>
      </c>
      <c r="Q1723" t="s">
        <v>3628</v>
      </c>
      <c r="R1723">
        <v>-6.701793625274133</v>
      </c>
      <c r="S1723">
        <v>2318</v>
      </c>
      <c r="T1723">
        <v>178557</v>
      </c>
      <c r="U1723" t="s">
        <v>5697</v>
      </c>
      <c r="V1723">
        <v>71.44</v>
      </c>
      <c r="W1723" t="s">
        <v>7895</v>
      </c>
      <c r="X1723" t="s">
        <v>9834</v>
      </c>
      <c r="Y1723">
        <v>5203</v>
      </c>
      <c r="Z1723">
        <v>260</v>
      </c>
      <c r="AA1723">
        <v>397303</v>
      </c>
      <c r="AB1723">
        <v>2.24</v>
      </c>
    </row>
    <row r="1724" spans="1:28">
      <c r="A1724" s="2">
        <f>HYPERLINK("https://finance.naver.com/item/coinfo.nhn?code=023150", "A023150")</f>
        <v>0</v>
      </c>
      <c r="B1724">
        <f>HYPERLINK("http://comp.fnguide.com/SVO2/ASP/SVD_Consensus.asp?pGB=1&amp;gicode=A023150&amp;cID=&amp;MenuYn=Y&amp;ReportGB=&amp;NewMenuID=108&amp;stkGb=701", "MH에탄올")</f>
        <v>0</v>
      </c>
      <c r="C1724">
        <v>0</v>
      </c>
      <c r="D1724">
        <v>8930</v>
      </c>
      <c r="G1724">
        <v>1922</v>
      </c>
      <c r="H1724">
        <v>6066</v>
      </c>
      <c r="I1724">
        <v>7247</v>
      </c>
      <c r="J1724">
        <v>78.48</v>
      </c>
      <c r="K1724">
        <v>32.07</v>
      </c>
      <c r="L1724">
        <v>18.85</v>
      </c>
      <c r="M1724">
        <v>1.74</v>
      </c>
      <c r="N1724" t="b">
        <v>0</v>
      </c>
      <c r="O1724">
        <v>-71</v>
      </c>
      <c r="P1724" t="s">
        <v>1728</v>
      </c>
      <c r="Q1724" t="s">
        <v>3629</v>
      </c>
      <c r="R1724">
        <v>24.46214090552501</v>
      </c>
      <c r="S1724">
        <v>659</v>
      </c>
      <c r="T1724">
        <v>282850</v>
      </c>
      <c r="U1724" t="s">
        <v>5698</v>
      </c>
      <c r="V1724">
        <v>44.57</v>
      </c>
      <c r="W1724" t="s">
        <v>7896</v>
      </c>
      <c r="X1724" t="s">
        <v>9835</v>
      </c>
      <c r="Y1724">
        <v>809</v>
      </c>
      <c r="Z1724">
        <v>78</v>
      </c>
      <c r="AA1724">
        <v>870000</v>
      </c>
      <c r="AB1724">
        <v>5.7</v>
      </c>
    </row>
    <row r="1725" spans="1:28">
      <c r="A1725" s="2">
        <f>HYPERLINK("https://finance.naver.com/item/coinfo.nhn?code=285130", "A285130")</f>
        <v>0</v>
      </c>
      <c r="B1725">
        <f>HYPERLINK("http://comp.fnguide.com/SVO2/ASP/SVD_Consensus.asp?pGB=1&amp;gicode=A285130&amp;cID=&amp;MenuYn=Y&amp;ReportGB=&amp;NewMenuID=108&amp;stkGb=701", "SK케미칼")</f>
        <v>0</v>
      </c>
      <c r="C1725">
        <v>0</v>
      </c>
      <c r="D1725">
        <v>392000</v>
      </c>
      <c r="E1725">
        <v>0</v>
      </c>
      <c r="F1725">
        <v>79.34</v>
      </c>
      <c r="G1725">
        <v>7999</v>
      </c>
      <c r="H1725">
        <v>39848</v>
      </c>
      <c r="I1725">
        <v>48924</v>
      </c>
      <c r="J1725">
        <v>97.95999999999999</v>
      </c>
      <c r="K1725">
        <v>89.83</v>
      </c>
      <c r="L1725">
        <v>87.52</v>
      </c>
      <c r="M1725">
        <v>1.05</v>
      </c>
      <c r="N1725" t="b">
        <v>0</v>
      </c>
      <c r="O1725">
        <v>807</v>
      </c>
      <c r="P1725" t="s">
        <v>1729</v>
      </c>
      <c r="Q1725" t="s">
        <v>3630</v>
      </c>
      <c r="R1725">
        <v>0</v>
      </c>
      <c r="S1725">
        <v>46026</v>
      </c>
      <c r="T1725">
        <v>400254</v>
      </c>
      <c r="U1725" t="s">
        <v>5699</v>
      </c>
      <c r="V1725">
        <v>35.87</v>
      </c>
      <c r="W1725" t="s">
        <v>7897</v>
      </c>
      <c r="X1725" t="s">
        <v>9836</v>
      </c>
      <c r="Y1725">
        <v>14272</v>
      </c>
      <c r="Z1725">
        <v>803</v>
      </c>
      <c r="AA1725">
        <v>11680</v>
      </c>
      <c r="AB1725">
        <v>0.7</v>
      </c>
    </row>
    <row r="1726" spans="1:28">
      <c r="A1726" s="2">
        <f>HYPERLINK("https://finance.naver.com/item/coinfo.nhn?code=214390", "A214390")</f>
        <v>0</v>
      </c>
      <c r="B1726">
        <f>HYPERLINK("http://comp.fnguide.com/SVO2/ASP/SVD_Consensus.asp?pGB=1&amp;gicode=A214390&amp;cID=&amp;MenuYn=Y&amp;ReportGB=&amp;NewMenuID=108&amp;stkGb=701", "경보제약")</f>
        <v>0</v>
      </c>
      <c r="C1726">
        <v>0</v>
      </c>
      <c r="D1726">
        <v>16250</v>
      </c>
      <c r="E1726">
        <v>-1.53</v>
      </c>
      <c r="F1726">
        <v>37.36</v>
      </c>
      <c r="G1726">
        <v>5477</v>
      </c>
      <c r="H1726">
        <v>5936</v>
      </c>
      <c r="I1726">
        <v>6067</v>
      </c>
      <c r="J1726">
        <v>66.29000000000001</v>
      </c>
      <c r="K1726">
        <v>63.47</v>
      </c>
      <c r="L1726">
        <v>62.67</v>
      </c>
      <c r="M1726">
        <v>7</v>
      </c>
      <c r="N1726" t="b">
        <v>1</v>
      </c>
      <c r="O1726">
        <v>221</v>
      </c>
      <c r="P1726" t="s">
        <v>1730</v>
      </c>
      <c r="Q1726" t="s">
        <v>3631</v>
      </c>
      <c r="R1726">
        <v>-24.46124184816527</v>
      </c>
      <c r="S1726">
        <v>3885</v>
      </c>
      <c r="T1726">
        <v>13742361</v>
      </c>
      <c r="U1726" t="s">
        <v>5700</v>
      </c>
      <c r="V1726">
        <v>60.53</v>
      </c>
      <c r="W1726" t="s">
        <v>7898</v>
      </c>
      <c r="X1726" t="s">
        <v>9837</v>
      </c>
      <c r="Y1726">
        <v>1917</v>
      </c>
      <c r="Z1726">
        <v>62</v>
      </c>
      <c r="AB1726">
        <v>1.21</v>
      </c>
    </row>
    <row r="1727" spans="1:28">
      <c r="A1727" s="2">
        <f>HYPERLINK("https://finance.naver.com/item/coinfo.nhn?code=009450", "A009450")</f>
        <v>0</v>
      </c>
      <c r="B1727">
        <f>HYPERLINK("http://comp.fnguide.com/SVO2/ASP/SVD_Consensus.asp?pGB=1&amp;gicode=A009450&amp;cID=&amp;MenuYn=Y&amp;ReportGB=&amp;NewMenuID=108&amp;stkGb=701", "경동나비엔")</f>
        <v>0</v>
      </c>
      <c r="C1727">
        <v>0</v>
      </c>
      <c r="D1727">
        <v>52400</v>
      </c>
      <c r="E1727">
        <v>1.01</v>
      </c>
      <c r="F1727">
        <v>21.31</v>
      </c>
      <c r="G1727">
        <v>27028</v>
      </c>
      <c r="H1727">
        <v>24187</v>
      </c>
      <c r="I1727">
        <v>23377</v>
      </c>
      <c r="J1727">
        <v>48.42</v>
      </c>
      <c r="K1727">
        <v>53.84</v>
      </c>
      <c r="L1727">
        <v>55.39</v>
      </c>
      <c r="M1727">
        <v>9.66</v>
      </c>
      <c r="N1727" t="b">
        <v>1</v>
      </c>
      <c r="O1727">
        <v>2186</v>
      </c>
      <c r="P1727" t="s">
        <v>1731</v>
      </c>
      <c r="Q1727" t="s">
        <v>3632</v>
      </c>
      <c r="R1727">
        <v>21.1778739861594</v>
      </c>
      <c r="S1727">
        <v>7129</v>
      </c>
      <c r="T1727">
        <v>86925</v>
      </c>
      <c r="U1727" t="s">
        <v>5701</v>
      </c>
      <c r="V1727">
        <v>54.6</v>
      </c>
      <c r="W1727" t="s">
        <v>7899</v>
      </c>
      <c r="X1727" t="s">
        <v>9838</v>
      </c>
      <c r="Y1727">
        <v>7743</v>
      </c>
      <c r="Z1727">
        <v>448</v>
      </c>
      <c r="AA1727">
        <v>115660</v>
      </c>
      <c r="AB1727">
        <v>0.64</v>
      </c>
    </row>
    <row r="1728" spans="1:28">
      <c r="A1728" s="2">
        <f>HYPERLINK("https://finance.naver.com/item/coinfo.nhn?code=002100", "A002100")</f>
        <v>0</v>
      </c>
      <c r="B1728">
        <f>HYPERLINK("http://comp.fnguide.com/SVO2/ASP/SVD_Consensus.asp?pGB=1&amp;gicode=A002100&amp;cID=&amp;MenuYn=Y&amp;ReportGB=&amp;NewMenuID=108&amp;stkGb=701", "경농")</f>
        <v>0</v>
      </c>
      <c r="C1728">
        <v>0</v>
      </c>
      <c r="D1728">
        <v>12000</v>
      </c>
      <c r="E1728">
        <v>62.16</v>
      </c>
      <c r="F1728">
        <v>54.24</v>
      </c>
      <c r="G1728">
        <v>4178</v>
      </c>
      <c r="H1728">
        <v>7856</v>
      </c>
      <c r="I1728">
        <v>8904</v>
      </c>
      <c r="J1728">
        <v>65.18000000000001</v>
      </c>
      <c r="K1728">
        <v>34.53</v>
      </c>
      <c r="L1728">
        <v>25.8</v>
      </c>
      <c r="M1728">
        <v>3.23</v>
      </c>
      <c r="N1728" t="b">
        <v>0</v>
      </c>
      <c r="O1728">
        <v>209</v>
      </c>
      <c r="P1728" t="s">
        <v>1732</v>
      </c>
      <c r="Q1728" t="s">
        <v>3633</v>
      </c>
      <c r="R1728">
        <v>0.8725321289480004</v>
      </c>
      <c r="S1728">
        <v>2603</v>
      </c>
      <c r="T1728">
        <v>144915</v>
      </c>
      <c r="U1728" t="s">
        <v>5702</v>
      </c>
      <c r="V1728">
        <v>60.13</v>
      </c>
      <c r="W1728" t="s">
        <v>7900</v>
      </c>
      <c r="X1728" t="s">
        <v>9839</v>
      </c>
      <c r="Y1728">
        <v>2275</v>
      </c>
      <c r="Z1728">
        <v>87</v>
      </c>
      <c r="AA1728">
        <v>3827100</v>
      </c>
      <c r="AB1728">
        <v>1.94</v>
      </c>
    </row>
    <row r="1729" spans="1:28">
      <c r="A1729" s="2">
        <f>HYPERLINK("https://finance.naver.com/item/coinfo.nhn?code=011420", "A011420")</f>
        <v>0</v>
      </c>
      <c r="B1729">
        <f>HYPERLINK("http://comp.fnguide.com/SVO2/ASP/SVD_Consensus.asp?pGB=1&amp;gicode=A011420&amp;cID=&amp;MenuYn=Y&amp;ReportGB=&amp;NewMenuID=108&amp;stkGb=701", "갤럭시아에스엠")</f>
        <v>0</v>
      </c>
      <c r="C1729">
        <v>0</v>
      </c>
      <c r="D1729">
        <v>1470</v>
      </c>
      <c r="E1729">
        <v>0</v>
      </c>
      <c r="G1729">
        <v>0</v>
      </c>
      <c r="H1729">
        <v>475</v>
      </c>
      <c r="I1729">
        <v>611</v>
      </c>
      <c r="J1729">
        <v>100</v>
      </c>
      <c r="K1729">
        <v>67.66</v>
      </c>
      <c r="L1729">
        <v>58.44</v>
      </c>
      <c r="M1729">
        <v>0</v>
      </c>
      <c r="N1729" t="b">
        <v>0</v>
      </c>
      <c r="O1729">
        <v>-50</v>
      </c>
      <c r="P1729" t="s">
        <v>1733</v>
      </c>
      <c r="Q1729" t="s">
        <v>2276</v>
      </c>
      <c r="R1729">
        <v>0</v>
      </c>
      <c r="S1729">
        <v>405</v>
      </c>
      <c r="T1729">
        <v>461852</v>
      </c>
      <c r="U1729" t="s">
        <v>5703</v>
      </c>
      <c r="V1729">
        <v>36.66</v>
      </c>
      <c r="W1729" t="s">
        <v>7901</v>
      </c>
      <c r="X1729" t="s">
        <v>968</v>
      </c>
      <c r="Y1729">
        <v>287</v>
      </c>
      <c r="Z1729">
        <v>-5</v>
      </c>
    </row>
    <row r="1730" spans="1:28">
      <c r="A1730" s="2">
        <f>HYPERLINK("https://finance.naver.com/item/coinfo.nhn?code=035250", "A035250")</f>
        <v>0</v>
      </c>
      <c r="B1730">
        <f>HYPERLINK("http://comp.fnguide.com/SVO2/ASP/SVD_Consensus.asp?pGB=1&amp;gicode=A035250&amp;cID=&amp;MenuYn=Y&amp;ReportGB=&amp;NewMenuID=108&amp;stkGb=701", "강원랜드")</f>
        <v>0</v>
      </c>
      <c r="C1730">
        <v>0</v>
      </c>
      <c r="D1730">
        <v>23550</v>
      </c>
      <c r="E1730">
        <v>-2.82</v>
      </c>
      <c r="F1730">
        <v>18.92</v>
      </c>
      <c r="G1730">
        <v>21942</v>
      </c>
      <c r="H1730">
        <v>19776</v>
      </c>
      <c r="I1730">
        <v>19159</v>
      </c>
      <c r="J1730">
        <v>6.83</v>
      </c>
      <c r="K1730">
        <v>16.02</v>
      </c>
      <c r="L1730">
        <v>18.65</v>
      </c>
      <c r="M1730">
        <v>9.539999999999999</v>
      </c>
      <c r="N1730" t="b">
        <v>1</v>
      </c>
      <c r="O1730">
        <v>1564</v>
      </c>
      <c r="P1730" t="s">
        <v>1734</v>
      </c>
      <c r="Q1730" t="s">
        <v>3634</v>
      </c>
      <c r="R1730">
        <v>-6.704121891258119</v>
      </c>
      <c r="S1730">
        <v>50383</v>
      </c>
      <c r="T1730">
        <v>908366</v>
      </c>
      <c r="U1730" t="s">
        <v>5704</v>
      </c>
      <c r="V1730">
        <v>36.27</v>
      </c>
      <c r="W1730" t="s">
        <v>7902</v>
      </c>
      <c r="X1730" t="s">
        <v>9840</v>
      </c>
      <c r="Y1730">
        <v>15201</v>
      </c>
      <c r="Z1730">
        <v>5012</v>
      </c>
      <c r="AA1730">
        <v>11201502</v>
      </c>
      <c r="AB1730">
        <v>3.04</v>
      </c>
    </row>
    <row r="1731" spans="1:28">
      <c r="A1731" s="2">
        <f>HYPERLINK("https://finance.naver.com/item/coinfo.nhn?code=037270", "A037270")</f>
        <v>0</v>
      </c>
      <c r="B1731">
        <f>HYPERLINK("http://comp.fnguide.com/SVO2/ASP/SVD_Consensus.asp?pGB=1&amp;gicode=A037270&amp;cID=&amp;MenuYn=Y&amp;ReportGB=&amp;NewMenuID=108&amp;stkGb=701", "YG PLUS")</f>
        <v>0</v>
      </c>
      <c r="C1731">
        <v>0</v>
      </c>
      <c r="D1731">
        <v>5310</v>
      </c>
      <c r="E1731">
        <v>0</v>
      </c>
      <c r="G1731">
        <v>0</v>
      </c>
      <c r="H1731">
        <v>931</v>
      </c>
      <c r="I1731">
        <v>1196</v>
      </c>
      <c r="J1731">
        <v>100</v>
      </c>
      <c r="K1731">
        <v>82.47</v>
      </c>
      <c r="L1731">
        <v>77.47</v>
      </c>
      <c r="M1731">
        <v>0</v>
      </c>
      <c r="N1731" t="b">
        <v>0</v>
      </c>
      <c r="O1731">
        <v>-55</v>
      </c>
      <c r="P1731" t="s">
        <v>1735</v>
      </c>
      <c r="Q1731" t="s">
        <v>2276</v>
      </c>
      <c r="R1731">
        <v>0</v>
      </c>
      <c r="S1731">
        <v>3159</v>
      </c>
      <c r="T1731">
        <v>1721285</v>
      </c>
      <c r="U1731" t="s">
        <v>5705</v>
      </c>
      <c r="V1731">
        <v>49.04</v>
      </c>
      <c r="W1731" t="s">
        <v>7903</v>
      </c>
      <c r="X1731" t="s">
        <v>968</v>
      </c>
      <c r="Y1731">
        <v>1245</v>
      </c>
      <c r="Z1731">
        <v>0</v>
      </c>
    </row>
    <row r="1732" spans="1:28">
      <c r="A1732" s="2">
        <f>HYPERLINK("https://finance.naver.com/item/coinfo.nhn?code=071970", "A071970")</f>
        <v>0</v>
      </c>
      <c r="B1732">
        <f>HYPERLINK("http://comp.fnguide.com/SVO2/ASP/SVD_Consensus.asp?pGB=1&amp;gicode=A071970&amp;cID=&amp;MenuYn=Y&amp;ReportGB=&amp;NewMenuID=108&amp;stkGb=701", "STX중공업")</f>
        <v>0</v>
      </c>
      <c r="C1732">
        <v>0</v>
      </c>
      <c r="D1732">
        <v>4290</v>
      </c>
      <c r="E1732">
        <v>0</v>
      </c>
      <c r="G1732">
        <v>0</v>
      </c>
      <c r="H1732">
        <v>2864</v>
      </c>
      <c r="I1732">
        <v>3680</v>
      </c>
      <c r="J1732">
        <v>100</v>
      </c>
      <c r="K1732">
        <v>33.25</v>
      </c>
      <c r="L1732">
        <v>14.22</v>
      </c>
      <c r="M1732">
        <v>0</v>
      </c>
      <c r="N1732" t="b">
        <v>0</v>
      </c>
      <c r="O1732">
        <v>-1240</v>
      </c>
      <c r="P1732" t="s">
        <v>1736</v>
      </c>
      <c r="Q1732" t="s">
        <v>2276</v>
      </c>
      <c r="R1732">
        <v>0</v>
      </c>
      <c r="S1732">
        <v>1217</v>
      </c>
      <c r="T1732">
        <v>422608</v>
      </c>
      <c r="U1732" t="s">
        <v>5706</v>
      </c>
      <c r="V1732">
        <v>65.44</v>
      </c>
      <c r="W1732" t="s">
        <v>7904</v>
      </c>
      <c r="X1732" t="s">
        <v>9841</v>
      </c>
      <c r="Y1732">
        <v>2540</v>
      </c>
      <c r="Z1732">
        <v>-107</v>
      </c>
      <c r="AA1732">
        <v>22</v>
      </c>
    </row>
    <row r="1733" spans="1:28">
      <c r="A1733" s="2">
        <f>HYPERLINK("https://finance.naver.com/item/coinfo.nhn?code=011810", "A011810")</f>
        <v>0</v>
      </c>
      <c r="B1733">
        <f>HYPERLINK("http://comp.fnguide.com/SVO2/ASP/SVD_Consensus.asp?pGB=1&amp;gicode=A011810&amp;cID=&amp;MenuYn=Y&amp;ReportGB=&amp;NewMenuID=108&amp;stkGb=701", "STX")</f>
        <v>0</v>
      </c>
      <c r="C1733">
        <v>0</v>
      </c>
      <c r="D1733">
        <v>6350</v>
      </c>
      <c r="G1733">
        <v>2052</v>
      </c>
      <c r="H1733">
        <v>2541</v>
      </c>
      <c r="I1733">
        <v>2680</v>
      </c>
      <c r="J1733">
        <v>67.69</v>
      </c>
      <c r="K1733">
        <v>59.98</v>
      </c>
      <c r="L1733">
        <v>57.79</v>
      </c>
      <c r="M1733">
        <v>5.71</v>
      </c>
      <c r="N1733" t="b">
        <v>0</v>
      </c>
      <c r="O1733">
        <v>-1663</v>
      </c>
      <c r="P1733" t="s">
        <v>1737</v>
      </c>
      <c r="Q1733" t="s">
        <v>3635</v>
      </c>
      <c r="R1733">
        <v>-97.8</v>
      </c>
      <c r="S1733">
        <v>1253</v>
      </c>
      <c r="T1733">
        <v>66285</v>
      </c>
      <c r="U1733" t="s">
        <v>5707</v>
      </c>
      <c r="V1733">
        <v>78.87</v>
      </c>
      <c r="W1733" t="s">
        <v>7905</v>
      </c>
      <c r="X1733" t="s">
        <v>9842</v>
      </c>
      <c r="Y1733">
        <v>14712</v>
      </c>
      <c r="Z1733">
        <v>17</v>
      </c>
      <c r="AA1733">
        <v>11958</v>
      </c>
    </row>
    <row r="1734" spans="1:28">
      <c r="A1734" s="2">
        <f>HYPERLINK("https://finance.naver.com/item/coinfo.nhn?code=005610", "A005610")</f>
        <v>0</v>
      </c>
      <c r="B1734">
        <f>HYPERLINK("http://comp.fnguide.com/SVO2/ASP/SVD_Consensus.asp?pGB=1&amp;gicode=A005610&amp;cID=&amp;MenuYn=Y&amp;ReportGB=&amp;NewMenuID=108&amp;stkGb=701", "SPC삼립")</f>
        <v>0</v>
      </c>
      <c r="C1734">
        <v>0</v>
      </c>
      <c r="D1734">
        <v>73400</v>
      </c>
      <c r="E1734">
        <v>-2.59</v>
      </c>
      <c r="F1734">
        <v>37.25</v>
      </c>
      <c r="G1734">
        <v>50561</v>
      </c>
      <c r="H1734">
        <v>44111</v>
      </c>
      <c r="I1734">
        <v>42273</v>
      </c>
      <c r="J1734">
        <v>31.12</v>
      </c>
      <c r="K1734">
        <v>39.9</v>
      </c>
      <c r="L1734">
        <v>42.41</v>
      </c>
      <c r="M1734">
        <v>10.12</v>
      </c>
      <c r="N1734" t="b">
        <v>0</v>
      </c>
      <c r="O1734">
        <v>2341</v>
      </c>
      <c r="P1734" t="s">
        <v>1738</v>
      </c>
      <c r="Q1734" t="s">
        <v>3636</v>
      </c>
      <c r="R1734">
        <v>-14.38130702148407</v>
      </c>
      <c r="S1734">
        <v>6334</v>
      </c>
      <c r="T1734">
        <v>24676</v>
      </c>
      <c r="U1734" t="s">
        <v>5708</v>
      </c>
      <c r="V1734">
        <v>73.58</v>
      </c>
      <c r="W1734" t="s">
        <v>7906</v>
      </c>
      <c r="X1734" t="s">
        <v>9843</v>
      </c>
      <c r="Y1734">
        <v>24992</v>
      </c>
      <c r="Z1734">
        <v>470</v>
      </c>
      <c r="AA1734">
        <v>523786</v>
      </c>
      <c r="AB1734">
        <v>1.27</v>
      </c>
    </row>
    <row r="1735" spans="1:28">
      <c r="A1735" s="2">
        <f>HYPERLINK("https://finance.naver.com/item/coinfo.nhn?code=326030", "A326030")</f>
        <v>0</v>
      </c>
      <c r="B1735">
        <f>HYPERLINK("http://comp.fnguide.com/SVO2/ASP/SVD_Consensus.asp?pGB=1&amp;gicode=A326030&amp;cID=&amp;MenuYn=Y&amp;ReportGB=&amp;NewMenuID=108&amp;stkGb=701", "SK바이오팜")</f>
        <v>0</v>
      </c>
      <c r="C1735">
        <v>0</v>
      </c>
      <c r="D1735">
        <v>176500</v>
      </c>
      <c r="E1735">
        <v>0</v>
      </c>
      <c r="G1735">
        <v>0</v>
      </c>
      <c r="H1735">
        <v>-99.73856810988838</v>
      </c>
      <c r="I1735">
        <v>-128.1588894483156</v>
      </c>
      <c r="J1735">
        <v>100</v>
      </c>
      <c r="K1735">
        <v>100.06</v>
      </c>
      <c r="L1735">
        <v>100.07</v>
      </c>
      <c r="M1735">
        <v>0</v>
      </c>
      <c r="N1735" t="b">
        <v>0</v>
      </c>
      <c r="O1735">
        <v>-1100</v>
      </c>
      <c r="P1735" t="s">
        <v>1739</v>
      </c>
      <c r="Q1735" t="s">
        <v>2276</v>
      </c>
      <c r="R1735">
        <v>0</v>
      </c>
      <c r="S1735">
        <v>138223</v>
      </c>
      <c r="T1735">
        <v>235976</v>
      </c>
      <c r="U1735" t="s">
        <v>5709</v>
      </c>
      <c r="V1735">
        <v>75</v>
      </c>
      <c r="W1735" t="s">
        <v>7907</v>
      </c>
      <c r="X1735" t="s">
        <v>968</v>
      </c>
      <c r="Y1735">
        <v>1239</v>
      </c>
      <c r="Z1735">
        <v>-793</v>
      </c>
    </row>
    <row r="1736" spans="1:28">
      <c r="A1736" s="2">
        <f>HYPERLINK("https://finance.naver.com/item/coinfo.nhn?code=035420", "A035420")</f>
        <v>0</v>
      </c>
      <c r="B1736">
        <f>HYPERLINK("http://comp.fnguide.com/SVO2/ASP/SVD_Consensus.asp?pGB=1&amp;gicode=A035420&amp;cID=&amp;MenuYn=Y&amp;ReportGB=&amp;NewMenuID=108&amp;stkGb=701", "NAVER")</f>
        <v>0</v>
      </c>
      <c r="C1736">
        <v>0</v>
      </c>
      <c r="D1736">
        <v>294000</v>
      </c>
      <c r="E1736">
        <v>3.7</v>
      </c>
      <c r="F1736">
        <v>52.72</v>
      </c>
      <c r="G1736">
        <v>62666</v>
      </c>
      <c r="H1736">
        <v>48668</v>
      </c>
      <c r="I1736">
        <v>44679</v>
      </c>
      <c r="J1736">
        <v>78.68000000000001</v>
      </c>
      <c r="K1736">
        <v>83.45</v>
      </c>
      <c r="L1736">
        <v>84.8</v>
      </c>
      <c r="M1736">
        <v>12.69</v>
      </c>
      <c r="N1736" t="b">
        <v>0</v>
      </c>
      <c r="O1736">
        <v>3538</v>
      </c>
      <c r="P1736" t="s">
        <v>1740</v>
      </c>
      <c r="Q1736" t="s">
        <v>3637</v>
      </c>
      <c r="R1736">
        <v>14.26768184827056</v>
      </c>
      <c r="S1736">
        <v>482934</v>
      </c>
      <c r="T1736">
        <v>1174932</v>
      </c>
      <c r="U1736" t="s">
        <v>5710</v>
      </c>
      <c r="V1736">
        <v>11.59</v>
      </c>
      <c r="W1736" t="s">
        <v>7908</v>
      </c>
      <c r="X1736" t="s">
        <v>9844</v>
      </c>
      <c r="Y1736">
        <v>65934</v>
      </c>
      <c r="Z1736">
        <v>7101</v>
      </c>
      <c r="AA1736">
        <v>16804360</v>
      </c>
      <c r="AB1736">
        <v>0.2</v>
      </c>
    </row>
    <row r="1737" spans="1:28">
      <c r="A1737" s="2">
        <f>HYPERLINK("https://finance.naver.com/item/coinfo.nhn?code=068400", "A068400")</f>
        <v>0</v>
      </c>
      <c r="B1737">
        <f>HYPERLINK("http://comp.fnguide.com/SVO2/ASP/SVD_Consensus.asp?pGB=1&amp;gicode=A068400&amp;cID=&amp;MenuYn=Y&amp;ReportGB=&amp;NewMenuID=108&amp;stkGb=701", "SK렌터카")</f>
        <v>0</v>
      </c>
      <c r="C1737">
        <v>0</v>
      </c>
      <c r="D1737">
        <v>9100</v>
      </c>
      <c r="E1737">
        <v>-3.4</v>
      </c>
      <c r="F1737">
        <v>16.03</v>
      </c>
      <c r="G1737">
        <v>3767</v>
      </c>
      <c r="H1737">
        <v>6065</v>
      </c>
      <c r="I1737">
        <v>6719</v>
      </c>
      <c r="J1737">
        <v>58.6</v>
      </c>
      <c r="K1737">
        <v>33.35</v>
      </c>
      <c r="L1737">
        <v>26.16</v>
      </c>
      <c r="M1737">
        <v>3.96</v>
      </c>
      <c r="N1737" t="b">
        <v>1</v>
      </c>
      <c r="O1737">
        <v>736</v>
      </c>
      <c r="P1737" t="s">
        <v>1741</v>
      </c>
      <c r="Q1737" t="s">
        <v>3638</v>
      </c>
      <c r="R1737">
        <v>-4.719193397577848</v>
      </c>
      <c r="S1737">
        <v>4303</v>
      </c>
      <c r="T1737">
        <v>77341</v>
      </c>
      <c r="U1737" t="s">
        <v>5711</v>
      </c>
      <c r="V1737">
        <v>72.98</v>
      </c>
      <c r="W1737" t="s">
        <v>7909</v>
      </c>
      <c r="X1737" t="s">
        <v>9845</v>
      </c>
      <c r="Y1737">
        <v>6409</v>
      </c>
      <c r="Z1737">
        <v>415</v>
      </c>
      <c r="AA1737">
        <v>1877845</v>
      </c>
    </row>
    <row r="1738" spans="1:28">
      <c r="A1738" s="2">
        <f>HYPERLINK("https://finance.naver.com/item/coinfo.nhn?code=210980", "A210980")</f>
        <v>0</v>
      </c>
      <c r="B1738">
        <f>HYPERLINK("http://comp.fnguide.com/SVO2/ASP/SVD_Consensus.asp?pGB=1&amp;gicode=A210980&amp;cID=&amp;MenuYn=Y&amp;ReportGB=&amp;NewMenuID=108&amp;stkGb=701", "SK디앤디")</f>
        <v>0</v>
      </c>
      <c r="C1738">
        <v>0</v>
      </c>
      <c r="D1738">
        <v>43150</v>
      </c>
      <c r="E1738">
        <v>0.17</v>
      </c>
      <c r="F1738">
        <v>12.31</v>
      </c>
      <c r="G1738">
        <v>38087</v>
      </c>
      <c r="H1738">
        <v>26638</v>
      </c>
      <c r="I1738">
        <v>23375</v>
      </c>
      <c r="J1738">
        <v>11.73</v>
      </c>
      <c r="K1738">
        <v>38.27</v>
      </c>
      <c r="L1738">
        <v>45.83</v>
      </c>
      <c r="M1738">
        <v>15.95</v>
      </c>
      <c r="N1738" t="b">
        <v>1</v>
      </c>
      <c r="O1738">
        <v>2365</v>
      </c>
      <c r="P1738" t="s">
        <v>1742</v>
      </c>
      <c r="Q1738" t="s">
        <v>3639</v>
      </c>
      <c r="R1738">
        <v>74.21434201528096</v>
      </c>
      <c r="S1738">
        <v>8194</v>
      </c>
      <c r="T1738">
        <v>120517</v>
      </c>
      <c r="U1738" t="s">
        <v>5712</v>
      </c>
      <c r="V1738">
        <v>58.67</v>
      </c>
      <c r="W1738" t="s">
        <v>7910</v>
      </c>
      <c r="X1738" t="s">
        <v>9846</v>
      </c>
      <c r="Y1738">
        <v>4547</v>
      </c>
      <c r="Z1738">
        <v>823</v>
      </c>
      <c r="AA1738">
        <v>640</v>
      </c>
      <c r="AB1738">
        <v>2.06</v>
      </c>
    </row>
    <row r="1739" spans="1:28">
      <c r="A1739" s="2">
        <f>HYPERLINK("https://finance.naver.com/item/coinfo.nhn?code=011790", "A011790")</f>
        <v>0</v>
      </c>
      <c r="B1739">
        <f>HYPERLINK("http://comp.fnguide.com/SVO2/ASP/SVD_Consensus.asp?pGB=1&amp;gicode=A011790&amp;cID=&amp;MenuYn=Y&amp;ReportGB=&amp;NewMenuID=108&amp;stkGb=701", "SKC")</f>
        <v>0</v>
      </c>
      <c r="C1739">
        <v>0</v>
      </c>
      <c r="D1739">
        <v>86600</v>
      </c>
      <c r="E1739">
        <v>-1.55</v>
      </c>
      <c r="F1739">
        <v>32.06</v>
      </c>
      <c r="G1739">
        <v>32653</v>
      </c>
      <c r="H1739">
        <v>39484</v>
      </c>
      <c r="I1739">
        <v>41431</v>
      </c>
      <c r="J1739">
        <v>62.29</v>
      </c>
      <c r="K1739">
        <v>54.41</v>
      </c>
      <c r="L1739">
        <v>52.16</v>
      </c>
      <c r="M1739">
        <v>5.91</v>
      </c>
      <c r="N1739" t="b">
        <v>1</v>
      </c>
      <c r="O1739">
        <v>1591</v>
      </c>
      <c r="P1739" t="s">
        <v>1743</v>
      </c>
      <c r="Q1739" t="s">
        <v>3640</v>
      </c>
      <c r="R1739">
        <v>-20.72648825114464</v>
      </c>
      <c r="S1739">
        <v>32505</v>
      </c>
      <c r="T1739">
        <v>445721</v>
      </c>
      <c r="U1739" t="s">
        <v>5713</v>
      </c>
      <c r="V1739">
        <v>41.55</v>
      </c>
      <c r="W1739" t="s">
        <v>7911</v>
      </c>
      <c r="X1739" t="s">
        <v>9847</v>
      </c>
      <c r="Y1739">
        <v>25398</v>
      </c>
      <c r="Z1739">
        <v>1551</v>
      </c>
      <c r="AA1739">
        <v>2114001</v>
      </c>
      <c r="AB1739">
        <v>1.96</v>
      </c>
    </row>
    <row r="1740" spans="1:28">
      <c r="A1740" s="2">
        <f>HYPERLINK("https://finance.naver.com/item/coinfo.nhn?code=002360", "A002360")</f>
        <v>0</v>
      </c>
      <c r="B1740">
        <f>HYPERLINK("http://comp.fnguide.com/SVO2/ASP/SVD_Consensus.asp?pGB=1&amp;gicode=A002360&amp;cID=&amp;MenuYn=Y&amp;ReportGB=&amp;NewMenuID=108&amp;stkGb=701", "SH에너지화학")</f>
        <v>0</v>
      </c>
      <c r="C1740">
        <v>0</v>
      </c>
      <c r="D1740">
        <v>830</v>
      </c>
      <c r="G1740">
        <v>252</v>
      </c>
      <c r="H1740">
        <v>631</v>
      </c>
      <c r="I1740">
        <v>739</v>
      </c>
      <c r="J1740">
        <v>69.67</v>
      </c>
      <c r="K1740">
        <v>23.96</v>
      </c>
      <c r="L1740">
        <v>10.94</v>
      </c>
      <c r="M1740">
        <v>2.27</v>
      </c>
      <c r="N1740" t="b">
        <v>0</v>
      </c>
      <c r="O1740">
        <v>-26</v>
      </c>
      <c r="P1740" t="s">
        <v>1744</v>
      </c>
      <c r="Q1740" t="s">
        <v>3641</v>
      </c>
      <c r="R1740">
        <v>-43.19898500788831</v>
      </c>
      <c r="S1740">
        <v>922</v>
      </c>
      <c r="T1740">
        <v>1006471</v>
      </c>
      <c r="U1740" t="s">
        <v>5714</v>
      </c>
      <c r="V1740">
        <v>31.13</v>
      </c>
      <c r="W1740" t="s">
        <v>7912</v>
      </c>
      <c r="X1740" t="s">
        <v>9848</v>
      </c>
      <c r="Y1740">
        <v>1409</v>
      </c>
      <c r="Z1740">
        <v>-31</v>
      </c>
      <c r="AA1740">
        <v>845408</v>
      </c>
    </row>
    <row r="1741" spans="1:28">
      <c r="A1741" s="2">
        <f>HYPERLINK("https://finance.naver.com/item/coinfo.nhn?code=005090", "A005090")</f>
        <v>0</v>
      </c>
      <c r="B1741">
        <f>HYPERLINK("http://comp.fnguide.com/SVO2/ASP/SVD_Consensus.asp?pGB=1&amp;gicode=A005090&amp;cID=&amp;MenuYn=Y&amp;ReportGB=&amp;NewMenuID=108&amp;stkGb=701", "SGC에너지")</f>
        <v>0</v>
      </c>
      <c r="C1741">
        <v>0</v>
      </c>
      <c r="D1741">
        <v>34150</v>
      </c>
      <c r="G1741">
        <v>696</v>
      </c>
      <c r="H1741">
        <v>11514</v>
      </c>
      <c r="I1741">
        <v>14596</v>
      </c>
      <c r="J1741">
        <v>97.95999999999999</v>
      </c>
      <c r="K1741">
        <v>66.28</v>
      </c>
      <c r="L1741">
        <v>57.26</v>
      </c>
      <c r="M1741">
        <v>0.3</v>
      </c>
      <c r="N1741" t="b">
        <v>0</v>
      </c>
      <c r="O1741">
        <v>-41</v>
      </c>
      <c r="P1741" t="s">
        <v>1745</v>
      </c>
      <c r="Q1741" t="s">
        <v>3642</v>
      </c>
      <c r="R1741">
        <v>23.84597855629302</v>
      </c>
      <c r="S1741">
        <v>5012</v>
      </c>
      <c r="T1741">
        <v>104453</v>
      </c>
      <c r="U1741" t="s">
        <v>5715</v>
      </c>
      <c r="V1741">
        <v>56.99</v>
      </c>
      <c r="W1741" t="s">
        <v>7913</v>
      </c>
      <c r="X1741" t="s">
        <v>9849</v>
      </c>
      <c r="Y1741">
        <v>2842</v>
      </c>
      <c r="Z1741">
        <v>11</v>
      </c>
      <c r="AA1741">
        <v>51802</v>
      </c>
      <c r="AB1741">
        <v>3.28</v>
      </c>
    </row>
    <row r="1742" spans="1:28">
      <c r="A1742" s="2">
        <f>HYPERLINK("https://finance.naver.com/item/coinfo.nhn?code=010950", "A010950")</f>
        <v>0</v>
      </c>
      <c r="B1742">
        <f>HYPERLINK("http://comp.fnguide.com/SVO2/ASP/SVD_Consensus.asp?pGB=1&amp;gicode=A010950&amp;cID=&amp;MenuYn=Y&amp;ReportGB=&amp;NewMenuID=108&amp;stkGb=701", "S-Oil")</f>
        <v>0</v>
      </c>
      <c r="C1742">
        <v>0</v>
      </c>
      <c r="D1742">
        <v>70200</v>
      </c>
      <c r="E1742">
        <v>-3.93</v>
      </c>
      <c r="F1742">
        <v>169.84</v>
      </c>
      <c r="G1742">
        <v>35755</v>
      </c>
      <c r="H1742">
        <v>48943</v>
      </c>
      <c r="I1742">
        <v>52701</v>
      </c>
      <c r="J1742">
        <v>49.07</v>
      </c>
      <c r="K1742">
        <v>30.28</v>
      </c>
      <c r="L1742">
        <v>24.93</v>
      </c>
      <c r="M1742">
        <v>4.94</v>
      </c>
      <c r="N1742" t="b">
        <v>0</v>
      </c>
      <c r="O1742">
        <v>561</v>
      </c>
      <c r="P1742" t="s">
        <v>1746</v>
      </c>
      <c r="Q1742" t="s">
        <v>3643</v>
      </c>
      <c r="R1742">
        <v>-43.24127484459288</v>
      </c>
      <c r="S1742">
        <v>79033</v>
      </c>
      <c r="T1742">
        <v>401688</v>
      </c>
      <c r="U1742" t="s">
        <v>5716</v>
      </c>
      <c r="V1742">
        <v>63.45</v>
      </c>
      <c r="W1742" t="s">
        <v>7914</v>
      </c>
      <c r="X1742" t="s">
        <v>9850</v>
      </c>
      <c r="Y1742">
        <v>243942</v>
      </c>
      <c r="Z1742">
        <v>4201</v>
      </c>
      <c r="AB1742">
        <v>0.21</v>
      </c>
    </row>
    <row r="1743" spans="1:28">
      <c r="A1743" s="2">
        <f>HYPERLINK("https://finance.naver.com/item/coinfo.nhn?code=064960", "A064960")</f>
        <v>0</v>
      </c>
      <c r="B1743">
        <f>HYPERLINK("http://comp.fnguide.com/SVO2/ASP/SVD_Consensus.asp?pGB=1&amp;gicode=A064960&amp;cID=&amp;MenuYn=Y&amp;ReportGB=&amp;NewMenuID=108&amp;stkGb=701", "S&amp;T모티브")</f>
        <v>0</v>
      </c>
      <c r="C1743">
        <v>0</v>
      </c>
      <c r="D1743">
        <v>50100</v>
      </c>
      <c r="E1743">
        <v>-4.38</v>
      </c>
      <c r="F1743">
        <v>258.23</v>
      </c>
      <c r="G1743">
        <v>27584</v>
      </c>
      <c r="H1743">
        <v>43163</v>
      </c>
      <c r="I1743">
        <v>47602</v>
      </c>
      <c r="J1743">
        <v>44.94</v>
      </c>
      <c r="K1743">
        <v>13.85</v>
      </c>
      <c r="L1743">
        <v>4.99</v>
      </c>
      <c r="M1743">
        <v>4.11</v>
      </c>
      <c r="N1743" t="b">
        <v>0</v>
      </c>
      <c r="O1743">
        <v>166</v>
      </c>
      <c r="P1743" t="s">
        <v>1747</v>
      </c>
      <c r="Q1743" t="s">
        <v>3644</v>
      </c>
      <c r="R1743">
        <v>-58.99604192488889</v>
      </c>
      <c r="S1743">
        <v>7326</v>
      </c>
      <c r="T1743">
        <v>82639</v>
      </c>
      <c r="U1743" t="s">
        <v>5717</v>
      </c>
      <c r="V1743">
        <v>40.03</v>
      </c>
      <c r="W1743" t="s">
        <v>7915</v>
      </c>
      <c r="X1743" t="s">
        <v>9851</v>
      </c>
      <c r="Y1743">
        <v>9763</v>
      </c>
      <c r="Z1743">
        <v>892</v>
      </c>
      <c r="AA1743">
        <v>869299</v>
      </c>
      <c r="AB1743">
        <v>3.27</v>
      </c>
    </row>
    <row r="1744" spans="1:28">
      <c r="A1744" s="2">
        <f>HYPERLINK("https://finance.naver.com/item/coinfo.nhn?code=034310", "A034310")</f>
        <v>0</v>
      </c>
      <c r="B1744">
        <f>HYPERLINK("http://comp.fnguide.com/SVO2/ASP/SVD_Consensus.asp?pGB=1&amp;gicode=A034310&amp;cID=&amp;MenuYn=Y&amp;ReportGB=&amp;NewMenuID=108&amp;stkGb=701", "NICE")</f>
        <v>0</v>
      </c>
      <c r="C1744">
        <v>0</v>
      </c>
      <c r="D1744">
        <v>19700</v>
      </c>
      <c r="E1744">
        <v>-1.93</v>
      </c>
      <c r="F1744">
        <v>27.11</v>
      </c>
      <c r="G1744">
        <v>16061</v>
      </c>
      <c r="H1744">
        <v>17294</v>
      </c>
      <c r="I1744">
        <v>17646</v>
      </c>
      <c r="J1744">
        <v>18.47</v>
      </c>
      <c r="K1744">
        <v>12.21</v>
      </c>
      <c r="L1744">
        <v>10.43</v>
      </c>
      <c r="M1744">
        <v>7.07</v>
      </c>
      <c r="N1744" t="b">
        <v>1</v>
      </c>
      <c r="O1744">
        <v>771</v>
      </c>
      <c r="P1744" t="s">
        <v>1748</v>
      </c>
      <c r="Q1744" t="s">
        <v>3645</v>
      </c>
      <c r="R1744">
        <v>-14.01638477600667</v>
      </c>
      <c r="S1744">
        <v>7463</v>
      </c>
      <c r="T1744">
        <v>52263</v>
      </c>
      <c r="U1744" t="s">
        <v>5718</v>
      </c>
      <c r="V1744">
        <v>47.97</v>
      </c>
      <c r="W1744" t="s">
        <v>7916</v>
      </c>
      <c r="X1744" t="s">
        <v>9852</v>
      </c>
      <c r="Y1744">
        <v>18777</v>
      </c>
      <c r="Z1744">
        <v>1542</v>
      </c>
      <c r="AA1744">
        <v>26812</v>
      </c>
      <c r="AB1744">
        <v>1.1</v>
      </c>
    </row>
    <row r="1745" spans="1:28">
      <c r="A1745" s="2">
        <f>HYPERLINK("https://finance.naver.com/item/coinfo.nhn?code=181710", "A181710")</f>
        <v>0</v>
      </c>
      <c r="B1745">
        <f>HYPERLINK("http://comp.fnguide.com/SVO2/ASP/SVD_Consensus.asp?pGB=1&amp;gicode=A181710&amp;cID=&amp;MenuYn=Y&amp;ReportGB=&amp;NewMenuID=108&amp;stkGb=701", "NHN")</f>
        <v>0</v>
      </c>
      <c r="C1745">
        <v>0</v>
      </c>
      <c r="D1745">
        <v>72100</v>
      </c>
      <c r="E1745">
        <v>-2.87</v>
      </c>
      <c r="F1745">
        <v>105.91</v>
      </c>
      <c r="G1745">
        <v>26770</v>
      </c>
      <c r="H1745">
        <v>61826</v>
      </c>
      <c r="I1745">
        <v>71815</v>
      </c>
      <c r="J1745">
        <v>62.87</v>
      </c>
      <c r="K1745">
        <v>14.25</v>
      </c>
      <c r="L1745">
        <v>0.39</v>
      </c>
      <c r="M1745">
        <v>2.51</v>
      </c>
      <c r="N1745" t="b">
        <v>0</v>
      </c>
      <c r="O1745">
        <v>631</v>
      </c>
      <c r="P1745" t="s">
        <v>1749</v>
      </c>
      <c r="Q1745" t="s">
        <v>3646</v>
      </c>
      <c r="R1745">
        <v>-36.85802614252762</v>
      </c>
      <c r="S1745">
        <v>14106</v>
      </c>
      <c r="T1745">
        <v>130515</v>
      </c>
      <c r="U1745" t="s">
        <v>5719</v>
      </c>
      <c r="V1745">
        <v>47.66</v>
      </c>
      <c r="W1745" t="s">
        <v>7917</v>
      </c>
      <c r="X1745" t="s">
        <v>9853</v>
      </c>
      <c r="Y1745">
        <v>14886</v>
      </c>
      <c r="Z1745">
        <v>867</v>
      </c>
      <c r="AA1745">
        <v>1016171</v>
      </c>
    </row>
    <row r="1746" spans="1:28">
      <c r="A1746" s="2">
        <f>HYPERLINK("https://finance.naver.com/item/coinfo.nhn?code=192650", "A192650")</f>
        <v>0</v>
      </c>
      <c r="B1746">
        <f>HYPERLINK("http://comp.fnguide.com/SVO2/ASP/SVD_Consensus.asp?pGB=1&amp;gicode=A192650&amp;cID=&amp;MenuYn=Y&amp;ReportGB=&amp;NewMenuID=108&amp;stkGb=701", "드림텍")</f>
        <v>0</v>
      </c>
      <c r="C1746">
        <v>0</v>
      </c>
      <c r="D1746">
        <v>12600</v>
      </c>
      <c r="E1746">
        <v>-0.68</v>
      </c>
      <c r="F1746">
        <v>16.46</v>
      </c>
      <c r="G1746">
        <v>9311</v>
      </c>
      <c r="H1746">
        <v>5864</v>
      </c>
      <c r="I1746">
        <v>4882</v>
      </c>
      <c r="J1746">
        <v>26.1</v>
      </c>
      <c r="K1746">
        <v>53.46</v>
      </c>
      <c r="L1746">
        <v>61.25</v>
      </c>
      <c r="M1746">
        <v>20.76</v>
      </c>
      <c r="N1746" t="b">
        <v>1</v>
      </c>
      <c r="O1746">
        <v>406</v>
      </c>
      <c r="P1746" t="s">
        <v>1750</v>
      </c>
      <c r="Q1746" t="s">
        <v>3647</v>
      </c>
      <c r="R1746">
        <v>-24.07478848442128</v>
      </c>
      <c r="S1746">
        <v>8299</v>
      </c>
      <c r="T1746">
        <v>1282921</v>
      </c>
      <c r="U1746" t="s">
        <v>5720</v>
      </c>
      <c r="V1746">
        <v>62.49</v>
      </c>
      <c r="W1746" t="s">
        <v>7918</v>
      </c>
      <c r="X1746" t="s">
        <v>9854</v>
      </c>
      <c r="Y1746">
        <v>5597</v>
      </c>
      <c r="Z1746">
        <v>305</v>
      </c>
      <c r="AA1746">
        <v>274959</v>
      </c>
      <c r="AB1746">
        <v>2.39</v>
      </c>
    </row>
    <row r="1747" spans="1:28">
      <c r="A1747" s="2">
        <f>HYPERLINK("https://finance.naver.com/item/coinfo.nhn?code=032350", "A032350")</f>
        <v>0</v>
      </c>
      <c r="B1747">
        <f>HYPERLINK("http://comp.fnguide.com/SVO2/ASP/SVD_Consensus.asp?pGB=1&amp;gicode=A032350&amp;cID=&amp;MenuYn=Y&amp;ReportGB=&amp;NewMenuID=108&amp;stkGb=701", "롯데관광개발")</f>
        <v>0</v>
      </c>
      <c r="C1747">
        <v>0</v>
      </c>
      <c r="D1747">
        <v>17450</v>
      </c>
      <c r="G1747">
        <v>181</v>
      </c>
      <c r="H1747">
        <v>2685</v>
      </c>
      <c r="I1747">
        <v>3398</v>
      </c>
      <c r="J1747">
        <v>98.95999999999999</v>
      </c>
      <c r="K1747">
        <v>84.62</v>
      </c>
      <c r="L1747">
        <v>80.53</v>
      </c>
      <c r="M1747">
        <v>0.33</v>
      </c>
      <c r="N1747" t="b">
        <v>0</v>
      </c>
      <c r="O1747">
        <v>-201</v>
      </c>
      <c r="P1747" t="s">
        <v>1751</v>
      </c>
      <c r="Q1747" t="s">
        <v>3648</v>
      </c>
      <c r="R1747">
        <v>118.2</v>
      </c>
      <c r="S1747">
        <v>12089</v>
      </c>
      <c r="T1747">
        <v>376001</v>
      </c>
      <c r="U1747" t="s">
        <v>5721</v>
      </c>
      <c r="V1747">
        <v>58.31</v>
      </c>
      <c r="W1747" t="s">
        <v>7919</v>
      </c>
      <c r="X1747" t="s">
        <v>9855</v>
      </c>
      <c r="Y1747">
        <v>884</v>
      </c>
      <c r="Z1747">
        <v>-162</v>
      </c>
    </row>
    <row r="1748" spans="1:28">
      <c r="A1748" s="2">
        <f>HYPERLINK("https://finance.naver.com/item/coinfo.nhn?code=047400", "A047400")</f>
        <v>0</v>
      </c>
      <c r="B1748">
        <f>HYPERLINK("http://comp.fnguide.com/SVO2/ASP/SVD_Consensus.asp?pGB=1&amp;gicode=A047400&amp;cID=&amp;MenuYn=Y&amp;ReportGB=&amp;NewMenuID=108&amp;stkGb=701", "유니온머티리얼")</f>
        <v>0</v>
      </c>
      <c r="C1748">
        <v>0</v>
      </c>
      <c r="D1748">
        <v>4450</v>
      </c>
      <c r="E1748">
        <v>-0.5600000000000001</v>
      </c>
      <c r="F1748">
        <v>42.61</v>
      </c>
      <c r="G1748">
        <v>363</v>
      </c>
      <c r="H1748">
        <v>1374</v>
      </c>
      <c r="I1748">
        <v>1662</v>
      </c>
      <c r="J1748">
        <v>91.84</v>
      </c>
      <c r="K1748">
        <v>69.13</v>
      </c>
      <c r="L1748">
        <v>62.66</v>
      </c>
      <c r="M1748">
        <v>1.42</v>
      </c>
      <c r="N1748" t="b">
        <v>0</v>
      </c>
      <c r="O1748">
        <v>55</v>
      </c>
      <c r="P1748" t="s">
        <v>1752</v>
      </c>
      <c r="Q1748" t="s">
        <v>3649</v>
      </c>
      <c r="R1748">
        <v>-75.442720020328</v>
      </c>
      <c r="S1748">
        <v>1869</v>
      </c>
      <c r="T1748">
        <v>2882920</v>
      </c>
      <c r="U1748" t="s">
        <v>5722</v>
      </c>
      <c r="V1748">
        <v>46.45</v>
      </c>
      <c r="W1748" t="s">
        <v>7920</v>
      </c>
      <c r="X1748" t="s">
        <v>9856</v>
      </c>
      <c r="Y1748">
        <v>1091</v>
      </c>
      <c r="Z1748">
        <v>36</v>
      </c>
      <c r="AB1748">
        <v>2.12</v>
      </c>
    </row>
    <row r="1749" spans="1:28">
      <c r="A1749" s="2">
        <f>HYPERLINK("https://finance.naver.com/item/coinfo.nhn?code=012600", "A012600")</f>
        <v>0</v>
      </c>
      <c r="B1749">
        <f>HYPERLINK("http://comp.fnguide.com/SVO2/ASP/SVD_Consensus.asp?pGB=1&amp;gicode=A012600&amp;cID=&amp;MenuYn=Y&amp;ReportGB=&amp;NewMenuID=108&amp;stkGb=701", "센트럴인사이트")</f>
        <v>0</v>
      </c>
      <c r="C1749">
        <v>0</v>
      </c>
      <c r="D1749">
        <v>11050</v>
      </c>
      <c r="E1749">
        <v>0</v>
      </c>
      <c r="G1749">
        <v>207</v>
      </c>
      <c r="H1749">
        <v>566</v>
      </c>
      <c r="I1749">
        <v>668</v>
      </c>
      <c r="J1749">
        <v>98.12</v>
      </c>
      <c r="K1749">
        <v>94.88</v>
      </c>
      <c r="L1749">
        <v>93.95</v>
      </c>
      <c r="M1749">
        <v>2.05</v>
      </c>
      <c r="N1749" t="b">
        <v>0</v>
      </c>
      <c r="O1749">
        <v>-2299</v>
      </c>
      <c r="P1749" t="s">
        <v>1753</v>
      </c>
      <c r="Q1749" t="s">
        <v>2276</v>
      </c>
      <c r="R1749">
        <v>0</v>
      </c>
      <c r="S1749">
        <v>1182</v>
      </c>
      <c r="T1749">
        <v>379189</v>
      </c>
      <c r="U1749" t="s">
        <v>5723</v>
      </c>
      <c r="V1749">
        <v>11.23</v>
      </c>
      <c r="W1749" t="s">
        <v>7921</v>
      </c>
      <c r="X1749" t="s">
        <v>9857</v>
      </c>
      <c r="Y1749">
        <v>674</v>
      </c>
      <c r="Z1749">
        <v>-80</v>
      </c>
      <c r="AA1749">
        <v>2119130</v>
      </c>
    </row>
    <row r="1750" spans="1:28">
      <c r="A1750" s="2">
        <f>HYPERLINK("https://finance.naver.com/item/coinfo.nhn?code=011090", "A011090")</f>
        <v>0</v>
      </c>
      <c r="B1750">
        <f>HYPERLINK("http://comp.fnguide.com/SVO2/ASP/SVD_Consensus.asp?pGB=1&amp;gicode=A011090&amp;cID=&amp;MenuYn=Y&amp;ReportGB=&amp;NewMenuID=108&amp;stkGb=701", "에넥스")</f>
        <v>0</v>
      </c>
      <c r="C1750">
        <v>0</v>
      </c>
      <c r="D1750">
        <v>1015</v>
      </c>
      <c r="G1750">
        <v>169</v>
      </c>
      <c r="H1750">
        <v>656</v>
      </c>
      <c r="I1750">
        <v>795</v>
      </c>
      <c r="J1750">
        <v>83.38</v>
      </c>
      <c r="K1750">
        <v>35.35</v>
      </c>
      <c r="L1750">
        <v>21.67</v>
      </c>
      <c r="M1750">
        <v>1.37</v>
      </c>
      <c r="N1750" t="b">
        <v>0</v>
      </c>
      <c r="O1750">
        <v>-61</v>
      </c>
      <c r="P1750" t="s">
        <v>1754</v>
      </c>
      <c r="Q1750" t="s">
        <v>3650</v>
      </c>
      <c r="R1750">
        <v>-45.78858598341734</v>
      </c>
      <c r="S1750">
        <v>609</v>
      </c>
      <c r="T1750">
        <v>187848</v>
      </c>
      <c r="U1750" t="s">
        <v>5724</v>
      </c>
      <c r="V1750">
        <v>29.74</v>
      </c>
      <c r="W1750" t="s">
        <v>7922</v>
      </c>
      <c r="X1750" t="s">
        <v>9858</v>
      </c>
      <c r="Y1750">
        <v>3636</v>
      </c>
      <c r="Z1750">
        <v>-28</v>
      </c>
      <c r="AA1750">
        <v>4689080</v>
      </c>
    </row>
    <row r="1751" spans="1:28">
      <c r="A1751" s="2">
        <f>HYPERLINK("https://finance.naver.com/item/coinfo.nhn?code=001780", "A001780")</f>
        <v>0</v>
      </c>
      <c r="B1751">
        <f>HYPERLINK("http://comp.fnguide.com/SVO2/ASP/SVD_Consensus.asp?pGB=1&amp;gicode=A001780&amp;cID=&amp;MenuYn=Y&amp;ReportGB=&amp;NewMenuID=108&amp;stkGb=701", "알루코")</f>
        <v>0</v>
      </c>
      <c r="C1751">
        <v>0</v>
      </c>
      <c r="D1751">
        <v>4610</v>
      </c>
      <c r="G1751">
        <v>422</v>
      </c>
      <c r="H1751">
        <v>1652</v>
      </c>
      <c r="I1751">
        <v>2002</v>
      </c>
      <c r="J1751">
        <v>90.84</v>
      </c>
      <c r="K1751">
        <v>64.17</v>
      </c>
      <c r="L1751">
        <v>56.57</v>
      </c>
      <c r="M1751">
        <v>1.36</v>
      </c>
      <c r="N1751" t="b">
        <v>0</v>
      </c>
      <c r="O1751">
        <v>-98</v>
      </c>
      <c r="P1751" t="s">
        <v>1755</v>
      </c>
      <c r="Q1751" t="s">
        <v>3651</v>
      </c>
      <c r="R1751">
        <v>-56.37487280108681</v>
      </c>
      <c r="S1751">
        <v>3836</v>
      </c>
      <c r="T1751">
        <v>2444478</v>
      </c>
      <c r="U1751" t="s">
        <v>5725</v>
      </c>
      <c r="V1751">
        <v>48.76</v>
      </c>
      <c r="W1751" t="s">
        <v>7923</v>
      </c>
      <c r="X1751" t="s">
        <v>9859</v>
      </c>
      <c r="Y1751">
        <v>4544</v>
      </c>
      <c r="Z1751">
        <v>122</v>
      </c>
    </row>
    <row r="1752" spans="1:28">
      <c r="A1752" s="2">
        <f>HYPERLINK("https://finance.naver.com/item/coinfo.nhn?code=020560", "A020560")</f>
        <v>0</v>
      </c>
      <c r="B1752">
        <f>HYPERLINK("http://comp.fnguide.com/SVO2/ASP/SVD_Consensus.asp?pGB=1&amp;gicode=A020560&amp;cID=&amp;MenuYn=Y&amp;ReportGB=&amp;NewMenuID=108&amp;stkGb=701", "아시아나항공")</f>
        <v>0</v>
      </c>
      <c r="C1752">
        <v>0</v>
      </c>
      <c r="D1752">
        <v>5320</v>
      </c>
      <c r="G1752">
        <v>1836</v>
      </c>
      <c r="H1752">
        <v>2867</v>
      </c>
      <c r="I1752">
        <v>3161</v>
      </c>
      <c r="J1752">
        <v>65.48999999999999</v>
      </c>
      <c r="K1752">
        <v>46.11</v>
      </c>
      <c r="L1752">
        <v>40.59</v>
      </c>
      <c r="M1752">
        <v>4.12</v>
      </c>
      <c r="N1752" t="b">
        <v>0</v>
      </c>
      <c r="O1752">
        <v>-3518</v>
      </c>
      <c r="P1752" t="s">
        <v>1756</v>
      </c>
      <c r="Q1752" t="s">
        <v>3652</v>
      </c>
      <c r="R1752">
        <v>389.7</v>
      </c>
      <c r="S1752">
        <v>11876</v>
      </c>
      <c r="T1752">
        <v>6707479</v>
      </c>
      <c r="U1752" t="s">
        <v>5726</v>
      </c>
      <c r="V1752">
        <v>30.79</v>
      </c>
      <c r="W1752" t="s">
        <v>7924</v>
      </c>
      <c r="X1752" t="s">
        <v>9860</v>
      </c>
      <c r="Y1752">
        <v>69658</v>
      </c>
      <c r="Z1752">
        <v>-4437</v>
      </c>
    </row>
    <row r="1753" spans="1:28">
      <c r="A1753" s="2">
        <f>HYPERLINK("https://finance.naver.com/item/coinfo.nhn?code=267850", "A267850")</f>
        <v>0</v>
      </c>
      <c r="B1753">
        <f>HYPERLINK("http://comp.fnguide.com/SVO2/ASP/SVD_Consensus.asp?pGB=1&amp;gicode=A267850&amp;cID=&amp;MenuYn=Y&amp;ReportGB=&amp;NewMenuID=108&amp;stkGb=701", "아시아나IDT")</f>
        <v>0</v>
      </c>
      <c r="C1753">
        <v>0</v>
      </c>
      <c r="D1753">
        <v>28250</v>
      </c>
      <c r="G1753">
        <v>7576</v>
      </c>
      <c r="H1753">
        <v>10678</v>
      </c>
      <c r="I1753">
        <v>11562</v>
      </c>
      <c r="J1753">
        <v>73.18000000000001</v>
      </c>
      <c r="K1753">
        <v>62.2</v>
      </c>
      <c r="L1753">
        <v>59.07</v>
      </c>
      <c r="M1753">
        <v>4.74</v>
      </c>
      <c r="N1753" t="b">
        <v>0</v>
      </c>
      <c r="O1753">
        <v>-725</v>
      </c>
      <c r="P1753" t="s">
        <v>1757</v>
      </c>
      <c r="Q1753" t="s">
        <v>3653</v>
      </c>
      <c r="R1753">
        <v>-25.63353748452401</v>
      </c>
      <c r="S1753">
        <v>3136</v>
      </c>
      <c r="T1753">
        <v>411517</v>
      </c>
      <c r="U1753" t="s">
        <v>5727</v>
      </c>
      <c r="V1753">
        <v>76.22</v>
      </c>
      <c r="W1753" t="s">
        <v>7925</v>
      </c>
      <c r="X1753" t="s">
        <v>9861</v>
      </c>
      <c r="Y1753">
        <v>2461</v>
      </c>
      <c r="Z1753">
        <v>114</v>
      </c>
      <c r="AB1753">
        <v>2.35</v>
      </c>
    </row>
    <row r="1754" spans="1:28">
      <c r="A1754" s="2">
        <f>HYPERLINK("https://finance.naver.com/item/coinfo.nhn?code=090430", "A090430")</f>
        <v>0</v>
      </c>
      <c r="B1754">
        <f>HYPERLINK("http://comp.fnguide.com/SVO2/ASP/SVD_Consensus.asp?pGB=1&amp;gicode=A090430&amp;cID=&amp;MenuYn=Y&amp;ReportGB=&amp;NewMenuID=108&amp;stkGb=701", "아모레퍼시픽")</f>
        <v>0</v>
      </c>
      <c r="C1754">
        <v>0</v>
      </c>
      <c r="D1754">
        <v>194000</v>
      </c>
      <c r="E1754">
        <v>-1.74</v>
      </c>
      <c r="F1754">
        <v>57.8</v>
      </c>
      <c r="G1754">
        <v>67056</v>
      </c>
      <c r="H1754">
        <v>73315</v>
      </c>
      <c r="I1754">
        <v>75098</v>
      </c>
      <c r="J1754">
        <v>65.44</v>
      </c>
      <c r="K1754">
        <v>62.21</v>
      </c>
      <c r="L1754">
        <v>61.29</v>
      </c>
      <c r="M1754">
        <v>6.9</v>
      </c>
      <c r="N1754" t="b">
        <v>0</v>
      </c>
      <c r="O1754">
        <v>3460</v>
      </c>
      <c r="P1754" t="s">
        <v>1758</v>
      </c>
      <c r="Q1754" t="s">
        <v>3654</v>
      </c>
      <c r="R1754">
        <v>-33.27525000028223</v>
      </c>
      <c r="S1754">
        <v>113409</v>
      </c>
      <c r="T1754">
        <v>298749</v>
      </c>
      <c r="U1754" t="s">
        <v>5728</v>
      </c>
      <c r="V1754">
        <v>49.29</v>
      </c>
      <c r="W1754" t="s">
        <v>7926</v>
      </c>
      <c r="X1754" t="s">
        <v>9862</v>
      </c>
      <c r="Y1754">
        <v>55801</v>
      </c>
      <c r="Z1754">
        <v>4278</v>
      </c>
      <c r="AA1754">
        <v>509088</v>
      </c>
      <c r="AB1754">
        <v>0.5</v>
      </c>
    </row>
    <row r="1755" spans="1:28">
      <c r="A1755" s="2">
        <f>HYPERLINK("https://finance.naver.com/item/coinfo.nhn?code=002790", "A002790")</f>
        <v>0</v>
      </c>
      <c r="B1755">
        <f>HYPERLINK("http://comp.fnguide.com/SVO2/ASP/SVD_Consensus.asp?pGB=1&amp;gicode=A002790&amp;cID=&amp;MenuYn=Y&amp;ReportGB=&amp;NewMenuID=108&amp;stkGb=701", "아모레G")</f>
        <v>0</v>
      </c>
      <c r="C1755">
        <v>0</v>
      </c>
      <c r="D1755">
        <v>54400</v>
      </c>
      <c r="E1755">
        <v>-2.52</v>
      </c>
      <c r="F1755">
        <v>55.19</v>
      </c>
      <c r="G1755">
        <v>26421</v>
      </c>
      <c r="H1755">
        <v>37080</v>
      </c>
      <c r="I1755">
        <v>40118</v>
      </c>
      <c r="J1755">
        <v>51.43</v>
      </c>
      <c r="K1755">
        <v>31.84</v>
      </c>
      <c r="L1755">
        <v>26.25</v>
      </c>
      <c r="M1755">
        <v>4.77</v>
      </c>
      <c r="N1755" t="b">
        <v>0</v>
      </c>
      <c r="O1755">
        <v>1498</v>
      </c>
      <c r="P1755" t="s">
        <v>1759</v>
      </c>
      <c r="Q1755" t="s">
        <v>3655</v>
      </c>
      <c r="R1755">
        <v>-21.87926438600861</v>
      </c>
      <c r="S1755">
        <v>44857</v>
      </c>
      <c r="T1755">
        <v>148996</v>
      </c>
      <c r="U1755" t="s">
        <v>5729</v>
      </c>
      <c r="V1755">
        <v>61.95</v>
      </c>
      <c r="W1755" t="s">
        <v>7927</v>
      </c>
      <c r="X1755" t="s">
        <v>9863</v>
      </c>
      <c r="Y1755">
        <v>62843</v>
      </c>
      <c r="Z1755">
        <v>4982</v>
      </c>
      <c r="AA1755">
        <v>6208913</v>
      </c>
      <c r="AB1755">
        <v>0.36</v>
      </c>
    </row>
    <row r="1756" spans="1:28">
      <c r="A1756" s="2">
        <f>HYPERLINK("https://finance.naver.com/item/coinfo.nhn?code=008700", "A008700")</f>
        <v>0</v>
      </c>
      <c r="B1756">
        <f>HYPERLINK("http://comp.fnguide.com/SVO2/ASP/SVD_Consensus.asp?pGB=1&amp;gicode=A008700&amp;cID=&amp;MenuYn=Y&amp;ReportGB=&amp;NewMenuID=108&amp;stkGb=701", "아남전자")</f>
        <v>0</v>
      </c>
      <c r="C1756">
        <v>0</v>
      </c>
      <c r="D1756">
        <v>2375</v>
      </c>
      <c r="E1756">
        <v>2.86</v>
      </c>
      <c r="F1756">
        <v>360.27</v>
      </c>
      <c r="G1756">
        <v>37</v>
      </c>
      <c r="H1756">
        <v>464</v>
      </c>
      <c r="I1756">
        <v>586</v>
      </c>
      <c r="J1756">
        <v>98.45999999999999</v>
      </c>
      <c r="K1756">
        <v>80.45999999999999</v>
      </c>
      <c r="L1756">
        <v>75.33</v>
      </c>
      <c r="M1756">
        <v>0.39</v>
      </c>
      <c r="N1756" t="b">
        <v>0</v>
      </c>
      <c r="O1756">
        <v>6</v>
      </c>
      <c r="P1756" t="s">
        <v>1760</v>
      </c>
      <c r="Q1756" t="s">
        <v>3656</v>
      </c>
      <c r="R1756">
        <v>126.1082041855182</v>
      </c>
      <c r="S1756">
        <v>1832</v>
      </c>
      <c r="T1756">
        <v>3693688</v>
      </c>
      <c r="U1756" t="s">
        <v>5730</v>
      </c>
      <c r="V1756">
        <v>33.45</v>
      </c>
      <c r="W1756" t="s">
        <v>7928</v>
      </c>
      <c r="X1756" t="s">
        <v>9864</v>
      </c>
      <c r="Y1756">
        <v>2433</v>
      </c>
      <c r="Z1756">
        <v>31</v>
      </c>
      <c r="AA1756">
        <v>3490</v>
      </c>
    </row>
    <row r="1757" spans="1:28">
      <c r="A1757" s="2">
        <f>HYPERLINK("https://finance.naver.com/item/coinfo.nhn?code=112610", "A112610")</f>
        <v>0</v>
      </c>
      <c r="B1757">
        <f>HYPERLINK("http://comp.fnguide.com/SVO2/ASP/SVD_Consensus.asp?pGB=1&amp;gicode=A112610&amp;cID=&amp;MenuYn=Y&amp;ReportGB=&amp;NewMenuID=108&amp;stkGb=701", "씨에스윈드")</f>
        <v>0</v>
      </c>
      <c r="C1757">
        <v>0</v>
      </c>
      <c r="D1757">
        <v>120000</v>
      </c>
      <c r="E1757">
        <v>1.57</v>
      </c>
      <c r="F1757">
        <v>20.59</v>
      </c>
      <c r="G1757">
        <v>20346</v>
      </c>
      <c r="H1757">
        <v>20650</v>
      </c>
      <c r="I1757">
        <v>20737</v>
      </c>
      <c r="J1757">
        <v>83.04000000000001</v>
      </c>
      <c r="K1757">
        <v>82.79000000000001</v>
      </c>
      <c r="L1757">
        <v>82.72</v>
      </c>
      <c r="M1757">
        <v>7.78</v>
      </c>
      <c r="N1757" t="b">
        <v>1</v>
      </c>
      <c r="O1757">
        <v>1846</v>
      </c>
      <c r="P1757" t="s">
        <v>1761</v>
      </c>
      <c r="Q1757" t="s">
        <v>3657</v>
      </c>
      <c r="R1757">
        <v>13.096412456631</v>
      </c>
      <c r="S1757">
        <v>20743</v>
      </c>
      <c r="T1757">
        <v>226807</v>
      </c>
      <c r="U1757" t="s">
        <v>5731</v>
      </c>
      <c r="V1757">
        <v>52.38</v>
      </c>
      <c r="W1757" t="s">
        <v>7929</v>
      </c>
      <c r="X1757" t="s">
        <v>9865</v>
      </c>
      <c r="Y1757">
        <v>7994</v>
      </c>
      <c r="Z1757">
        <v>601</v>
      </c>
      <c r="AA1757">
        <v>932243</v>
      </c>
      <c r="AB1757">
        <v>1.21</v>
      </c>
    </row>
    <row r="1758" spans="1:28">
      <c r="A1758" s="2">
        <f>HYPERLINK("https://finance.naver.com/item/coinfo.nhn?code=004920", "A004920")</f>
        <v>0</v>
      </c>
      <c r="B1758">
        <f>HYPERLINK("http://comp.fnguide.com/SVO2/ASP/SVD_Consensus.asp?pGB=1&amp;gicode=A004920&amp;cID=&amp;MenuYn=Y&amp;ReportGB=&amp;NewMenuID=108&amp;stkGb=701", "씨아이테크")</f>
        <v>0</v>
      </c>
      <c r="C1758">
        <v>0</v>
      </c>
      <c r="D1758">
        <v>959</v>
      </c>
      <c r="E1758">
        <v>0</v>
      </c>
      <c r="G1758">
        <v>0</v>
      </c>
      <c r="H1758">
        <v>694</v>
      </c>
      <c r="I1758">
        <v>892</v>
      </c>
      <c r="J1758">
        <v>100</v>
      </c>
      <c r="K1758">
        <v>27.61</v>
      </c>
      <c r="L1758">
        <v>6.98</v>
      </c>
      <c r="M1758">
        <v>0</v>
      </c>
      <c r="N1758" t="b">
        <v>0</v>
      </c>
      <c r="O1758">
        <v>-237</v>
      </c>
      <c r="P1758" t="s">
        <v>1762</v>
      </c>
      <c r="Q1758" t="s">
        <v>2276</v>
      </c>
      <c r="R1758">
        <v>0</v>
      </c>
      <c r="S1758">
        <v>240</v>
      </c>
      <c r="T1758">
        <v>76219</v>
      </c>
      <c r="U1758" t="s">
        <v>5732</v>
      </c>
      <c r="V1758">
        <v>36.8</v>
      </c>
      <c r="W1758" t="s">
        <v>7930</v>
      </c>
      <c r="X1758" t="s">
        <v>968</v>
      </c>
      <c r="Y1758">
        <v>407</v>
      </c>
      <c r="Z1758">
        <v>-31</v>
      </c>
      <c r="AA1758">
        <v>686535</v>
      </c>
    </row>
    <row r="1759" spans="1:28">
      <c r="A1759" s="2">
        <f>HYPERLINK("https://finance.naver.com/item/coinfo.nhn?code=015540", "A015540")</f>
        <v>0</v>
      </c>
      <c r="B1759">
        <f>HYPERLINK("http://comp.fnguide.com/SVO2/ASP/SVD_Consensus.asp?pGB=1&amp;gicode=A015540&amp;cID=&amp;MenuYn=Y&amp;ReportGB=&amp;NewMenuID=108&amp;stkGb=701", "쎌마테라퓨틱스")</f>
        <v>0</v>
      </c>
      <c r="C1759">
        <v>0</v>
      </c>
      <c r="D1759">
        <v>5400</v>
      </c>
      <c r="E1759">
        <v>0</v>
      </c>
      <c r="G1759">
        <v>0</v>
      </c>
      <c r="H1759">
        <v>169</v>
      </c>
      <c r="I1759">
        <v>217</v>
      </c>
      <c r="J1759">
        <v>100</v>
      </c>
      <c r="K1759">
        <v>96.88</v>
      </c>
      <c r="L1759">
        <v>95.98999999999999</v>
      </c>
      <c r="M1759">
        <v>0</v>
      </c>
      <c r="N1759" t="b">
        <v>0</v>
      </c>
      <c r="O1759">
        <v>-3340</v>
      </c>
      <c r="P1759" t="s">
        <v>1763</v>
      </c>
      <c r="Q1759" t="s">
        <v>2276</v>
      </c>
      <c r="R1759">
        <v>0</v>
      </c>
      <c r="S1759">
        <v>616</v>
      </c>
      <c r="T1759">
        <v>195064</v>
      </c>
      <c r="U1759" t="s">
        <v>5733</v>
      </c>
      <c r="V1759">
        <v>18.22</v>
      </c>
      <c r="W1759" t="s">
        <v>7931</v>
      </c>
      <c r="X1759" t="s">
        <v>968</v>
      </c>
      <c r="Y1759">
        <v>77</v>
      </c>
      <c r="Z1759">
        <v>-127</v>
      </c>
    </row>
    <row r="1760" spans="1:28">
      <c r="A1760" s="2">
        <f>HYPERLINK("https://finance.naver.com/item/coinfo.nhn?code=004770", "A004770")</f>
        <v>0</v>
      </c>
      <c r="B1760">
        <f>HYPERLINK("http://comp.fnguide.com/SVO2/ASP/SVD_Consensus.asp?pGB=1&amp;gicode=A004770&amp;cID=&amp;MenuYn=Y&amp;ReportGB=&amp;NewMenuID=108&amp;stkGb=701", "써니전자")</f>
        <v>0</v>
      </c>
      <c r="C1760">
        <v>0</v>
      </c>
      <c r="D1760">
        <v>4020</v>
      </c>
      <c r="E1760">
        <v>56.73</v>
      </c>
      <c r="F1760">
        <v>211.21</v>
      </c>
      <c r="G1760">
        <v>825</v>
      </c>
      <c r="H1760">
        <v>1259</v>
      </c>
      <c r="I1760">
        <v>1382</v>
      </c>
      <c r="J1760">
        <v>79.48999999999999</v>
      </c>
      <c r="K1760">
        <v>68.69</v>
      </c>
      <c r="L1760">
        <v>65.62</v>
      </c>
      <c r="M1760">
        <v>4.25</v>
      </c>
      <c r="N1760" t="b">
        <v>0</v>
      </c>
      <c r="O1760">
        <v>18</v>
      </c>
      <c r="P1760" t="s">
        <v>1764</v>
      </c>
      <c r="Q1760" t="s">
        <v>3658</v>
      </c>
      <c r="R1760">
        <v>3.722931059069889</v>
      </c>
      <c r="S1760">
        <v>1401</v>
      </c>
      <c r="T1760">
        <v>830625</v>
      </c>
      <c r="U1760" t="s">
        <v>5734</v>
      </c>
      <c r="V1760">
        <v>3.36</v>
      </c>
      <c r="W1760" t="s">
        <v>7932</v>
      </c>
      <c r="X1760" t="s">
        <v>9866</v>
      </c>
      <c r="Y1760">
        <v>256</v>
      </c>
      <c r="Z1760">
        <v>42</v>
      </c>
      <c r="AA1760">
        <v>2</v>
      </c>
    </row>
    <row r="1761" spans="1:28">
      <c r="A1761" s="2">
        <f>HYPERLINK("https://finance.naver.com/item/coinfo.nhn?code=003620", "A003620")</f>
        <v>0</v>
      </c>
      <c r="B1761">
        <f>HYPERLINK("http://comp.fnguide.com/SVO2/ASP/SVD_Consensus.asp?pGB=1&amp;gicode=A003620&amp;cID=&amp;MenuYn=Y&amp;ReportGB=&amp;NewMenuID=108&amp;stkGb=701", "쌍용차")</f>
        <v>0</v>
      </c>
      <c r="C1761">
        <v>0</v>
      </c>
      <c r="D1761">
        <v>3865</v>
      </c>
      <c r="E1761">
        <v>0</v>
      </c>
      <c r="G1761">
        <v>0</v>
      </c>
      <c r="H1761">
        <v>1616</v>
      </c>
      <c r="I1761">
        <v>2077</v>
      </c>
      <c r="J1761">
        <v>100</v>
      </c>
      <c r="K1761">
        <v>58.18</v>
      </c>
      <c r="L1761">
        <v>46.26</v>
      </c>
      <c r="M1761">
        <v>0</v>
      </c>
      <c r="N1761" t="b">
        <v>0</v>
      </c>
      <c r="O1761">
        <v>-2291</v>
      </c>
      <c r="P1761" t="s">
        <v>1765</v>
      </c>
      <c r="Q1761" t="s">
        <v>2276</v>
      </c>
      <c r="R1761">
        <v>0</v>
      </c>
      <c r="S1761">
        <v>5791</v>
      </c>
      <c r="T1761">
        <v>724692</v>
      </c>
      <c r="U1761" t="s">
        <v>5735</v>
      </c>
      <c r="V1761">
        <v>74.65000000000001</v>
      </c>
      <c r="W1761" t="s">
        <v>7933</v>
      </c>
      <c r="X1761" t="s">
        <v>968</v>
      </c>
      <c r="Y1761">
        <v>36239</v>
      </c>
      <c r="Z1761">
        <v>-2819</v>
      </c>
    </row>
    <row r="1762" spans="1:28">
      <c r="A1762" s="2">
        <f>HYPERLINK("https://finance.naver.com/item/coinfo.nhn?code=003410", "A003410")</f>
        <v>0</v>
      </c>
      <c r="B1762">
        <f>HYPERLINK("http://comp.fnguide.com/SVO2/ASP/SVD_Consensus.asp?pGB=1&amp;gicode=A003410&amp;cID=&amp;MenuYn=Y&amp;ReportGB=&amp;NewMenuID=108&amp;stkGb=701", "쌍용양회")</f>
        <v>0</v>
      </c>
      <c r="C1762">
        <v>0</v>
      </c>
      <c r="D1762">
        <v>6700</v>
      </c>
      <c r="E1762">
        <v>4.54</v>
      </c>
      <c r="F1762">
        <v>23.95</v>
      </c>
      <c r="G1762">
        <v>4062</v>
      </c>
      <c r="H1762">
        <v>3840</v>
      </c>
      <c r="I1762">
        <v>3777</v>
      </c>
      <c r="J1762">
        <v>39.37</v>
      </c>
      <c r="K1762">
        <v>42.68</v>
      </c>
      <c r="L1762">
        <v>43.62</v>
      </c>
      <c r="M1762">
        <v>8.77</v>
      </c>
      <c r="N1762" t="b">
        <v>0</v>
      </c>
      <c r="O1762">
        <v>259</v>
      </c>
      <c r="P1762" t="s">
        <v>1766</v>
      </c>
      <c r="Q1762" t="s">
        <v>3659</v>
      </c>
      <c r="R1762">
        <v>5.27623662368959</v>
      </c>
      <c r="S1762">
        <v>33759</v>
      </c>
      <c r="T1762">
        <v>22171425</v>
      </c>
      <c r="U1762" t="s">
        <v>5736</v>
      </c>
      <c r="V1762">
        <v>77.98</v>
      </c>
      <c r="W1762" t="s">
        <v>7934</v>
      </c>
      <c r="X1762" t="s">
        <v>9867</v>
      </c>
      <c r="Y1762">
        <v>15385</v>
      </c>
      <c r="Z1762">
        <v>2284</v>
      </c>
      <c r="AA1762">
        <v>15777900</v>
      </c>
      <c r="AB1762">
        <v>6.76</v>
      </c>
    </row>
    <row r="1763" spans="1:28">
      <c r="A1763" s="2">
        <f>HYPERLINK("https://finance.naver.com/item/coinfo.nhn?code=004080", "A004080")</f>
        <v>0</v>
      </c>
      <c r="B1763">
        <f>HYPERLINK("http://comp.fnguide.com/SVO2/ASP/SVD_Consensus.asp?pGB=1&amp;gicode=A004080&amp;cID=&amp;MenuYn=Y&amp;ReportGB=&amp;NewMenuID=108&amp;stkGb=701", "신흥")</f>
        <v>0</v>
      </c>
      <c r="C1763">
        <v>0</v>
      </c>
      <c r="D1763">
        <v>12050</v>
      </c>
      <c r="E1763">
        <v>1.11</v>
      </c>
      <c r="F1763">
        <v>44.66</v>
      </c>
      <c r="G1763">
        <v>3419</v>
      </c>
      <c r="H1763">
        <v>6902</v>
      </c>
      <c r="I1763">
        <v>7894</v>
      </c>
      <c r="J1763">
        <v>71.63</v>
      </c>
      <c r="K1763">
        <v>42.72</v>
      </c>
      <c r="L1763">
        <v>34.49</v>
      </c>
      <c r="M1763">
        <v>2.96</v>
      </c>
      <c r="N1763" t="b">
        <v>0</v>
      </c>
      <c r="O1763">
        <v>213</v>
      </c>
      <c r="P1763" t="s">
        <v>1767</v>
      </c>
      <c r="Q1763" t="s">
        <v>3660</v>
      </c>
      <c r="R1763">
        <v>40.20656756872756</v>
      </c>
      <c r="S1763">
        <v>1157</v>
      </c>
      <c r="T1763">
        <v>67240</v>
      </c>
      <c r="U1763" t="s">
        <v>5737</v>
      </c>
      <c r="V1763">
        <v>77.36</v>
      </c>
      <c r="W1763" t="s">
        <v>7935</v>
      </c>
      <c r="X1763" t="s">
        <v>9868</v>
      </c>
      <c r="Y1763">
        <v>1230</v>
      </c>
      <c r="Z1763">
        <v>30</v>
      </c>
      <c r="AA1763">
        <v>51258</v>
      </c>
      <c r="AB1763">
        <v>2.1</v>
      </c>
    </row>
    <row r="1764" spans="1:28">
      <c r="A1764" s="2">
        <f>HYPERLINK("https://finance.naver.com/item/coinfo.nhn?code=019170", "A019170")</f>
        <v>0</v>
      </c>
      <c r="B1764">
        <f>HYPERLINK("http://comp.fnguide.com/SVO2/ASP/SVD_Consensus.asp?pGB=1&amp;gicode=A019170&amp;cID=&amp;MenuYn=Y&amp;ReportGB=&amp;NewMenuID=108&amp;stkGb=701", "신풍제약")</f>
        <v>0</v>
      </c>
      <c r="C1764">
        <v>0</v>
      </c>
      <c r="D1764">
        <v>188500</v>
      </c>
      <c r="E1764">
        <v>0.88</v>
      </c>
      <c r="F1764">
        <v>75.05</v>
      </c>
      <c r="G1764">
        <v>958</v>
      </c>
      <c r="H1764">
        <v>2921</v>
      </c>
      <c r="I1764">
        <v>3481</v>
      </c>
      <c r="J1764">
        <v>99.48999999999999</v>
      </c>
      <c r="K1764">
        <v>98.45</v>
      </c>
      <c r="L1764">
        <v>98.15000000000001</v>
      </c>
      <c r="M1764">
        <v>1.81</v>
      </c>
      <c r="N1764" t="b">
        <v>1</v>
      </c>
      <c r="O1764">
        <v>96</v>
      </c>
      <c r="P1764" t="s">
        <v>1768</v>
      </c>
      <c r="Q1764" t="s">
        <v>3661</v>
      </c>
      <c r="R1764">
        <v>85.00619483517011</v>
      </c>
      <c r="S1764">
        <v>99877</v>
      </c>
      <c r="T1764">
        <v>3616479</v>
      </c>
      <c r="U1764" t="s">
        <v>5738</v>
      </c>
      <c r="V1764">
        <v>35.39</v>
      </c>
      <c r="W1764" t="s">
        <v>7936</v>
      </c>
      <c r="X1764" t="s">
        <v>9869</v>
      </c>
      <c r="Y1764">
        <v>1897</v>
      </c>
      <c r="Z1764">
        <v>56</v>
      </c>
      <c r="AA1764">
        <v>3713961</v>
      </c>
    </row>
    <row r="1765" spans="1:28">
      <c r="A1765" s="2">
        <f>HYPERLINK("https://finance.naver.com/item/coinfo.nhn?code=002700", "A002700")</f>
        <v>0</v>
      </c>
      <c r="B1765">
        <f>HYPERLINK("http://comp.fnguide.com/SVO2/ASP/SVD_Consensus.asp?pGB=1&amp;gicode=A002700&amp;cID=&amp;MenuYn=Y&amp;ReportGB=&amp;NewMenuID=108&amp;stkGb=701", "신일전자")</f>
        <v>0</v>
      </c>
      <c r="C1765">
        <v>0</v>
      </c>
      <c r="D1765">
        <v>1785</v>
      </c>
      <c r="E1765">
        <v>4.78</v>
      </c>
      <c r="F1765">
        <v>30.66</v>
      </c>
      <c r="G1765">
        <v>1548</v>
      </c>
      <c r="H1765">
        <v>1216</v>
      </c>
      <c r="I1765">
        <v>1121</v>
      </c>
      <c r="J1765">
        <v>13.25</v>
      </c>
      <c r="K1765">
        <v>31.9</v>
      </c>
      <c r="L1765">
        <v>37.21</v>
      </c>
      <c r="M1765">
        <v>12.41</v>
      </c>
      <c r="N1765" t="b">
        <v>0</v>
      </c>
      <c r="O1765">
        <v>61</v>
      </c>
      <c r="P1765" t="s">
        <v>1769</v>
      </c>
      <c r="Q1765" t="s">
        <v>3662</v>
      </c>
      <c r="R1765">
        <v>6.416931035653528</v>
      </c>
      <c r="S1765">
        <v>1268</v>
      </c>
      <c r="T1765">
        <v>1469607</v>
      </c>
      <c r="U1765" t="s">
        <v>5739</v>
      </c>
      <c r="V1765">
        <v>11.6</v>
      </c>
      <c r="W1765" t="s">
        <v>7937</v>
      </c>
      <c r="X1765" t="s">
        <v>9870</v>
      </c>
      <c r="Y1765">
        <v>1459</v>
      </c>
      <c r="Z1765">
        <v>16</v>
      </c>
      <c r="AA1765">
        <v>1167413</v>
      </c>
      <c r="AB1765">
        <v>1.08</v>
      </c>
    </row>
    <row r="1766" spans="1:28">
      <c r="A1766" s="2">
        <f>HYPERLINK("https://finance.naver.com/item/coinfo.nhn?code=031430", "A031430")</f>
        <v>0</v>
      </c>
      <c r="B1766">
        <f>HYPERLINK("http://comp.fnguide.com/SVO2/ASP/SVD_Consensus.asp?pGB=1&amp;gicode=A031430&amp;cID=&amp;MenuYn=Y&amp;ReportGB=&amp;NewMenuID=108&amp;stkGb=701", "신세계인터내셔날")</f>
        <v>0</v>
      </c>
      <c r="C1766">
        <v>0</v>
      </c>
      <c r="D1766">
        <v>159500</v>
      </c>
      <c r="E1766">
        <v>1.98</v>
      </c>
      <c r="F1766">
        <v>21.19</v>
      </c>
      <c r="G1766">
        <v>115599</v>
      </c>
      <c r="H1766">
        <v>96406</v>
      </c>
      <c r="I1766">
        <v>90937</v>
      </c>
      <c r="J1766">
        <v>27.52</v>
      </c>
      <c r="K1766">
        <v>39.56</v>
      </c>
      <c r="L1766">
        <v>42.99</v>
      </c>
      <c r="M1766">
        <v>11.01</v>
      </c>
      <c r="N1766" t="b">
        <v>1</v>
      </c>
      <c r="O1766">
        <v>10361</v>
      </c>
      <c r="P1766" t="s">
        <v>1770</v>
      </c>
      <c r="Q1766" t="s">
        <v>3663</v>
      </c>
      <c r="R1766">
        <v>10.7196414769434</v>
      </c>
      <c r="S1766">
        <v>11388</v>
      </c>
      <c r="T1766">
        <v>62802</v>
      </c>
      <c r="U1766" t="s">
        <v>5740</v>
      </c>
      <c r="V1766">
        <v>60.93</v>
      </c>
      <c r="W1766" t="s">
        <v>7938</v>
      </c>
      <c r="X1766" t="s">
        <v>9871</v>
      </c>
      <c r="Y1766">
        <v>14250</v>
      </c>
      <c r="Z1766">
        <v>845</v>
      </c>
      <c r="AB1766">
        <v>0.5</v>
      </c>
    </row>
    <row r="1767" spans="1:28">
      <c r="A1767" s="2">
        <f>HYPERLINK("https://finance.naver.com/item/coinfo.nhn?code=005390", "A005390")</f>
        <v>0</v>
      </c>
      <c r="B1767">
        <f>HYPERLINK("http://comp.fnguide.com/SVO2/ASP/SVD_Consensus.asp?pGB=1&amp;gicode=A005390&amp;cID=&amp;MenuYn=Y&amp;ReportGB=&amp;NewMenuID=108&amp;stkGb=701", "신성통상")</f>
        <v>0</v>
      </c>
      <c r="C1767">
        <v>0</v>
      </c>
      <c r="D1767">
        <v>1800</v>
      </c>
      <c r="E1767">
        <v>0.66</v>
      </c>
      <c r="F1767">
        <v>34.35</v>
      </c>
      <c r="G1767">
        <v>594</v>
      </c>
      <c r="H1767">
        <v>1230</v>
      </c>
      <c r="I1767">
        <v>1411</v>
      </c>
      <c r="J1767">
        <v>67.01000000000001</v>
      </c>
      <c r="K1767">
        <v>31.69</v>
      </c>
      <c r="L1767">
        <v>21.63</v>
      </c>
      <c r="M1767">
        <v>2.86</v>
      </c>
      <c r="N1767" t="b">
        <v>0</v>
      </c>
      <c r="O1767">
        <v>51</v>
      </c>
      <c r="P1767" t="s">
        <v>1771</v>
      </c>
      <c r="Q1767" t="s">
        <v>3664</v>
      </c>
      <c r="R1767">
        <v>52.05590100840443</v>
      </c>
      <c r="S1767">
        <v>2587</v>
      </c>
      <c r="T1767">
        <v>1550019</v>
      </c>
      <c r="U1767" t="s">
        <v>5741</v>
      </c>
      <c r="V1767">
        <v>70.37</v>
      </c>
      <c r="W1767" t="s">
        <v>7939</v>
      </c>
      <c r="X1767" t="s">
        <v>9872</v>
      </c>
      <c r="Y1767">
        <v>10272</v>
      </c>
      <c r="Z1767">
        <v>398</v>
      </c>
    </row>
    <row r="1768" spans="1:28">
      <c r="A1768" s="2">
        <f>HYPERLINK("https://finance.naver.com/item/coinfo.nhn?code=011930", "A011930")</f>
        <v>0</v>
      </c>
      <c r="B1768">
        <f>HYPERLINK("http://comp.fnguide.com/SVO2/ASP/SVD_Consensus.asp?pGB=1&amp;gicode=A011930&amp;cID=&amp;MenuYn=Y&amp;ReportGB=&amp;NewMenuID=108&amp;stkGb=701", "신성이엔지")</f>
        <v>0</v>
      </c>
      <c r="C1768">
        <v>0</v>
      </c>
      <c r="D1768">
        <v>3810</v>
      </c>
      <c r="E1768">
        <v>-1.59</v>
      </c>
      <c r="F1768">
        <v>78.78</v>
      </c>
      <c r="G1768">
        <v>368</v>
      </c>
      <c r="H1768">
        <v>537</v>
      </c>
      <c r="I1768">
        <v>585</v>
      </c>
      <c r="J1768">
        <v>90.33</v>
      </c>
      <c r="K1768">
        <v>85.91</v>
      </c>
      <c r="L1768">
        <v>84.65000000000001</v>
      </c>
      <c r="M1768">
        <v>4.52</v>
      </c>
      <c r="N1768" t="b">
        <v>0</v>
      </c>
      <c r="O1768">
        <v>12</v>
      </c>
      <c r="P1768" t="s">
        <v>1772</v>
      </c>
      <c r="Q1768" t="s">
        <v>3665</v>
      </c>
      <c r="R1768">
        <v>-49.5544848375993</v>
      </c>
      <c r="S1768">
        <v>7644</v>
      </c>
      <c r="T1768">
        <v>10156229</v>
      </c>
      <c r="U1768" t="s">
        <v>5742</v>
      </c>
      <c r="V1768">
        <v>21.93</v>
      </c>
      <c r="W1768" t="s">
        <v>7940</v>
      </c>
      <c r="X1768" t="s">
        <v>9873</v>
      </c>
      <c r="Y1768">
        <v>4511</v>
      </c>
      <c r="Z1768">
        <v>97</v>
      </c>
      <c r="AA1768">
        <v>12281978</v>
      </c>
    </row>
    <row r="1769" spans="1:28">
      <c r="A1769" s="2">
        <f>HYPERLINK("https://finance.naver.com/item/coinfo.nhn?code=134790", "A134790")</f>
        <v>0</v>
      </c>
      <c r="B1769">
        <f>HYPERLINK("http://comp.fnguide.com/SVO2/ASP/SVD_Consensus.asp?pGB=1&amp;gicode=A134790&amp;cID=&amp;MenuYn=Y&amp;ReportGB=&amp;NewMenuID=108&amp;stkGb=701", "시디즈")</f>
        <v>0</v>
      </c>
      <c r="C1769">
        <v>0</v>
      </c>
      <c r="D1769">
        <v>51700</v>
      </c>
      <c r="E1769">
        <v>0.05</v>
      </c>
      <c r="F1769">
        <v>11.32</v>
      </c>
      <c r="G1769">
        <v>46911</v>
      </c>
      <c r="H1769">
        <v>30177</v>
      </c>
      <c r="I1769">
        <v>25408</v>
      </c>
      <c r="J1769">
        <v>9.26</v>
      </c>
      <c r="K1769">
        <v>41.63</v>
      </c>
      <c r="L1769">
        <v>50.85</v>
      </c>
      <c r="M1769">
        <v>19.62</v>
      </c>
      <c r="N1769" t="b">
        <v>1</v>
      </c>
      <c r="O1769">
        <v>3907</v>
      </c>
      <c r="P1769" t="s">
        <v>1773</v>
      </c>
      <c r="Q1769" t="s">
        <v>3666</v>
      </c>
      <c r="R1769">
        <v>229.4753044490219</v>
      </c>
      <c r="S1769">
        <v>1034</v>
      </c>
      <c r="T1769">
        <v>4645</v>
      </c>
      <c r="U1769" t="s">
        <v>5743</v>
      </c>
      <c r="V1769">
        <v>60.72</v>
      </c>
      <c r="W1769" t="s">
        <v>7941</v>
      </c>
      <c r="X1769" t="s">
        <v>9874</v>
      </c>
      <c r="Y1769">
        <v>1929</v>
      </c>
      <c r="Z1769">
        <v>86</v>
      </c>
      <c r="AA1769">
        <v>321042</v>
      </c>
      <c r="AB1769">
        <v>0.68</v>
      </c>
    </row>
    <row r="1770" spans="1:28">
      <c r="A1770" s="2">
        <f>HYPERLINK("https://finance.naver.com/item/coinfo.nhn?code=017550", "A017550")</f>
        <v>0</v>
      </c>
      <c r="B1770">
        <f>HYPERLINK("http://comp.fnguide.com/SVO2/ASP/SVD_Consensus.asp?pGB=1&amp;gicode=A017550&amp;cID=&amp;MenuYn=Y&amp;ReportGB=&amp;NewMenuID=108&amp;stkGb=701", "수산중공업")</f>
        <v>0</v>
      </c>
      <c r="C1770">
        <v>0</v>
      </c>
      <c r="D1770">
        <v>3555</v>
      </c>
      <c r="E1770">
        <v>-27.44</v>
      </c>
      <c r="F1770">
        <v>939.72</v>
      </c>
      <c r="G1770">
        <v>714</v>
      </c>
      <c r="H1770">
        <v>1458</v>
      </c>
      <c r="I1770">
        <v>1670</v>
      </c>
      <c r="J1770">
        <v>79.91</v>
      </c>
      <c r="K1770">
        <v>59</v>
      </c>
      <c r="L1770">
        <v>53.04</v>
      </c>
      <c r="M1770">
        <v>2.92</v>
      </c>
      <c r="N1770" t="b">
        <v>0</v>
      </c>
      <c r="O1770">
        <v>3</v>
      </c>
      <c r="P1770" t="s">
        <v>1774</v>
      </c>
      <c r="Q1770" t="s">
        <v>3667</v>
      </c>
      <c r="R1770">
        <v>-34.25165840273411</v>
      </c>
      <c r="S1770">
        <v>1919</v>
      </c>
      <c r="T1770">
        <v>34850842</v>
      </c>
      <c r="U1770" t="s">
        <v>5744</v>
      </c>
      <c r="V1770">
        <v>52.95</v>
      </c>
      <c r="W1770" t="s">
        <v>7942</v>
      </c>
      <c r="X1770" t="s">
        <v>9875</v>
      </c>
      <c r="Y1770">
        <v>1578</v>
      </c>
      <c r="Z1770">
        <v>72</v>
      </c>
      <c r="AA1770">
        <v>2541336</v>
      </c>
      <c r="AB1770">
        <v>0.4</v>
      </c>
    </row>
    <row r="1771" spans="1:28">
      <c r="A1771" s="2">
        <f>HYPERLINK("https://finance.naver.com/item/coinfo.nhn?code=012750", "A012750")</f>
        <v>0</v>
      </c>
      <c r="B1771">
        <f>HYPERLINK("http://comp.fnguide.com/SVO2/ASP/SVD_Consensus.asp?pGB=1&amp;gicode=A012750&amp;cID=&amp;MenuYn=Y&amp;ReportGB=&amp;NewMenuID=108&amp;stkGb=701", "에스원")</f>
        <v>0</v>
      </c>
      <c r="C1771">
        <v>0</v>
      </c>
      <c r="D1771">
        <v>79700</v>
      </c>
      <c r="E1771">
        <v>-18.51</v>
      </c>
      <c r="F1771">
        <v>24.28</v>
      </c>
      <c r="G1771">
        <v>51780</v>
      </c>
      <c r="H1771">
        <v>44261</v>
      </c>
      <c r="I1771">
        <v>42119</v>
      </c>
      <c r="J1771">
        <v>35.03</v>
      </c>
      <c r="K1771">
        <v>44.47</v>
      </c>
      <c r="L1771">
        <v>47.15</v>
      </c>
      <c r="M1771">
        <v>10.51</v>
      </c>
      <c r="N1771" t="b">
        <v>1</v>
      </c>
      <c r="O1771">
        <v>3859</v>
      </c>
      <c r="P1771" t="s">
        <v>1775</v>
      </c>
      <c r="Q1771" t="s">
        <v>3668</v>
      </c>
      <c r="R1771">
        <v>-1.311865100022513</v>
      </c>
      <c r="S1771">
        <v>30285</v>
      </c>
      <c r="T1771">
        <v>76792</v>
      </c>
      <c r="U1771" t="s">
        <v>5745</v>
      </c>
      <c r="V1771">
        <v>25.65</v>
      </c>
      <c r="W1771" t="s">
        <v>7943</v>
      </c>
      <c r="X1771" t="s">
        <v>9876</v>
      </c>
      <c r="Y1771">
        <v>21515</v>
      </c>
      <c r="Z1771">
        <v>1968</v>
      </c>
      <c r="AA1771">
        <v>4188939</v>
      </c>
      <c r="AB1771">
        <v>2.67</v>
      </c>
    </row>
    <row r="1772" spans="1:28">
      <c r="A1772" s="2">
        <f>HYPERLINK("https://finance.naver.com/item/coinfo.nhn?code=023960", "A023960")</f>
        <v>0</v>
      </c>
      <c r="B1772">
        <f>HYPERLINK("http://comp.fnguide.com/SVO2/ASP/SVD_Consensus.asp?pGB=1&amp;gicode=A023960&amp;cID=&amp;MenuYn=Y&amp;ReportGB=&amp;NewMenuID=108&amp;stkGb=701", "에쓰씨엔지니어링")</f>
        <v>0</v>
      </c>
      <c r="C1772">
        <v>0</v>
      </c>
      <c r="D1772">
        <v>3170</v>
      </c>
      <c r="E1772">
        <v>0</v>
      </c>
      <c r="G1772">
        <v>0</v>
      </c>
      <c r="H1772">
        <v>598</v>
      </c>
      <c r="I1772">
        <v>768</v>
      </c>
      <c r="J1772">
        <v>100</v>
      </c>
      <c r="K1772">
        <v>81.13</v>
      </c>
      <c r="L1772">
        <v>75.76000000000001</v>
      </c>
      <c r="M1772">
        <v>0</v>
      </c>
      <c r="N1772" t="b">
        <v>0</v>
      </c>
      <c r="O1772">
        <v>-14</v>
      </c>
      <c r="P1772" t="s">
        <v>1776</v>
      </c>
      <c r="Q1772" t="s">
        <v>2276</v>
      </c>
      <c r="R1772">
        <v>0</v>
      </c>
      <c r="S1772">
        <v>793</v>
      </c>
      <c r="T1772">
        <v>5775418</v>
      </c>
      <c r="U1772" t="s">
        <v>5746</v>
      </c>
      <c r="V1772">
        <v>53.21</v>
      </c>
      <c r="W1772" t="s">
        <v>7944</v>
      </c>
      <c r="X1772" t="s">
        <v>968</v>
      </c>
      <c r="Y1772">
        <v>2401</v>
      </c>
      <c r="Z1772">
        <v>29</v>
      </c>
      <c r="AA1772">
        <v>2</v>
      </c>
    </row>
    <row r="1773" spans="1:28">
      <c r="A1773" s="2">
        <f>HYPERLINK("https://finance.naver.com/item/coinfo.nhn?code=298690", "A298690")</f>
        <v>0</v>
      </c>
      <c r="B1773">
        <f>HYPERLINK("http://comp.fnguide.com/SVO2/ASP/SVD_Consensus.asp?pGB=1&amp;gicode=A298690&amp;cID=&amp;MenuYn=Y&amp;ReportGB=&amp;NewMenuID=108&amp;stkGb=701", "에어부산")</f>
        <v>0</v>
      </c>
      <c r="C1773">
        <v>0</v>
      </c>
      <c r="D1773">
        <v>4055</v>
      </c>
      <c r="G1773">
        <v>2385</v>
      </c>
      <c r="H1773">
        <v>2202</v>
      </c>
      <c r="I1773">
        <v>2150</v>
      </c>
      <c r="J1773">
        <v>41.18</v>
      </c>
      <c r="K1773">
        <v>45.69</v>
      </c>
      <c r="L1773">
        <v>46.98</v>
      </c>
      <c r="M1773">
        <v>9.140000000000001</v>
      </c>
      <c r="N1773" t="b">
        <v>0</v>
      </c>
      <c r="O1773">
        <v>-1400</v>
      </c>
      <c r="P1773" t="s">
        <v>1777</v>
      </c>
      <c r="Q1773" t="s">
        <v>3669</v>
      </c>
      <c r="R1773">
        <v>-11.00326603745547</v>
      </c>
      <c r="S1773">
        <v>3328</v>
      </c>
      <c r="T1773">
        <v>929570</v>
      </c>
      <c r="U1773" t="s">
        <v>5747</v>
      </c>
      <c r="V1773">
        <v>40.98</v>
      </c>
      <c r="W1773" t="s">
        <v>7945</v>
      </c>
      <c r="X1773" t="s">
        <v>9877</v>
      </c>
      <c r="Y1773">
        <v>6332</v>
      </c>
      <c r="Z1773">
        <v>-378</v>
      </c>
      <c r="AA1773">
        <v>108000</v>
      </c>
    </row>
    <row r="1774" spans="1:28">
      <c r="A1774" s="2">
        <f>HYPERLINK("https://finance.naver.com/item/coinfo.nhn?code=271560", "A271560")</f>
        <v>0</v>
      </c>
      <c r="B1774">
        <f>HYPERLINK("http://comp.fnguide.com/SVO2/ASP/SVD_Consensus.asp?pGB=1&amp;gicode=A271560&amp;cID=&amp;MenuYn=Y&amp;ReportGB=&amp;NewMenuID=108&amp;stkGb=701", "오리온")</f>
        <v>0</v>
      </c>
      <c r="C1774">
        <v>0</v>
      </c>
      <c r="D1774">
        <v>121000</v>
      </c>
      <c r="E1774">
        <v>0</v>
      </c>
      <c r="F1774">
        <v>19.35</v>
      </c>
      <c r="G1774">
        <v>54371</v>
      </c>
      <c r="H1774">
        <v>46366</v>
      </c>
      <c r="I1774">
        <v>44086</v>
      </c>
      <c r="J1774">
        <v>55.07</v>
      </c>
      <c r="K1774">
        <v>61.68</v>
      </c>
      <c r="L1774">
        <v>63.57</v>
      </c>
      <c r="M1774">
        <v>10.56</v>
      </c>
      <c r="N1774" t="b">
        <v>1</v>
      </c>
      <c r="O1774">
        <v>5453</v>
      </c>
      <c r="P1774" t="s">
        <v>1778</v>
      </c>
      <c r="Q1774" t="s">
        <v>3670</v>
      </c>
      <c r="R1774">
        <v>0</v>
      </c>
      <c r="S1774">
        <v>47839</v>
      </c>
      <c r="T1774">
        <v>112104</v>
      </c>
      <c r="U1774" t="s">
        <v>5748</v>
      </c>
      <c r="V1774">
        <v>43.8</v>
      </c>
      <c r="W1774" t="s">
        <v>7946</v>
      </c>
      <c r="X1774" t="s">
        <v>9878</v>
      </c>
      <c r="Y1774">
        <v>20233</v>
      </c>
      <c r="Z1774">
        <v>3276</v>
      </c>
      <c r="AA1774">
        <v>7343</v>
      </c>
      <c r="AB1774">
        <v>0.57</v>
      </c>
    </row>
    <row r="1775" spans="1:28">
      <c r="A1775" s="2">
        <f>HYPERLINK("https://finance.naver.com/item/coinfo.nhn?code=000910", "A000910")</f>
        <v>0</v>
      </c>
      <c r="B1775">
        <f>HYPERLINK("http://comp.fnguide.com/SVO2/ASP/SVD_Consensus.asp?pGB=1&amp;gicode=A000910&amp;cID=&amp;MenuYn=Y&amp;ReportGB=&amp;NewMenuID=108&amp;stkGb=701", "유니온")</f>
        <v>0</v>
      </c>
      <c r="C1775">
        <v>0</v>
      </c>
      <c r="D1775">
        <v>6510</v>
      </c>
      <c r="G1775">
        <v>489</v>
      </c>
      <c r="H1775">
        <v>4013</v>
      </c>
      <c r="I1775">
        <v>5017</v>
      </c>
      <c r="J1775">
        <v>92.48999999999999</v>
      </c>
      <c r="K1775">
        <v>38.36</v>
      </c>
      <c r="L1775">
        <v>22.93</v>
      </c>
      <c r="M1775">
        <v>0.61</v>
      </c>
      <c r="N1775" t="b">
        <v>0</v>
      </c>
      <c r="O1775">
        <v>-1012</v>
      </c>
      <c r="P1775" t="s">
        <v>1779</v>
      </c>
      <c r="Q1775" t="s">
        <v>3671</v>
      </c>
      <c r="R1775">
        <v>4153.6</v>
      </c>
      <c r="S1775">
        <v>1016</v>
      </c>
      <c r="T1775">
        <v>833621</v>
      </c>
      <c r="U1775" t="s">
        <v>5749</v>
      </c>
      <c r="V1775">
        <v>38.82</v>
      </c>
      <c r="W1775" t="s">
        <v>7947</v>
      </c>
      <c r="X1775" t="s">
        <v>9879</v>
      </c>
      <c r="Y1775">
        <v>2124</v>
      </c>
      <c r="Z1775">
        <v>109</v>
      </c>
      <c r="AB1775">
        <v>2.5</v>
      </c>
    </row>
    <row r="1776" spans="1:28">
      <c r="A1776" s="2">
        <f>HYPERLINK("https://finance.naver.com/item/coinfo.nhn?code=033270", "A033270")</f>
        <v>0</v>
      </c>
      <c r="B1776">
        <f>HYPERLINK("http://comp.fnguide.com/SVO2/ASP/SVD_Consensus.asp?pGB=1&amp;gicode=A033270&amp;cID=&amp;MenuYn=Y&amp;ReportGB=&amp;NewMenuID=108&amp;stkGb=701", "유나이티드제약")</f>
        <v>0</v>
      </c>
      <c r="C1776">
        <v>0</v>
      </c>
      <c r="D1776">
        <v>50500</v>
      </c>
      <c r="E1776">
        <v>1.47</v>
      </c>
      <c r="F1776">
        <v>9.619999999999999</v>
      </c>
      <c r="G1776">
        <v>29661</v>
      </c>
      <c r="H1776">
        <v>22166</v>
      </c>
      <c r="I1776">
        <v>20030</v>
      </c>
      <c r="J1776">
        <v>41.27</v>
      </c>
      <c r="K1776">
        <v>56.11</v>
      </c>
      <c r="L1776">
        <v>60.34</v>
      </c>
      <c r="M1776">
        <v>13.76</v>
      </c>
      <c r="N1776" t="b">
        <v>1</v>
      </c>
      <c r="O1776">
        <v>1907</v>
      </c>
      <c r="P1776" t="s">
        <v>1780</v>
      </c>
      <c r="Q1776" t="s">
        <v>3672</v>
      </c>
      <c r="R1776">
        <v>6.526675099105117</v>
      </c>
      <c r="S1776">
        <v>8204</v>
      </c>
      <c r="T1776">
        <v>521522</v>
      </c>
      <c r="U1776" t="s">
        <v>5750</v>
      </c>
      <c r="V1776">
        <v>37.2</v>
      </c>
      <c r="W1776" t="s">
        <v>7948</v>
      </c>
      <c r="X1776" t="s">
        <v>9880</v>
      </c>
      <c r="Y1776">
        <v>2213</v>
      </c>
      <c r="Z1776">
        <v>345</v>
      </c>
      <c r="AA1776">
        <v>1401573</v>
      </c>
      <c r="AB1776">
        <v>1.8</v>
      </c>
    </row>
    <row r="1777" spans="1:28">
      <c r="A1777" s="2">
        <f>HYPERLINK("https://finance.naver.com/item/coinfo.nhn?code=008600", "A008600")</f>
        <v>0</v>
      </c>
      <c r="B1777">
        <f>HYPERLINK("http://comp.fnguide.com/SVO2/ASP/SVD_Consensus.asp?pGB=1&amp;gicode=A008600&amp;cID=&amp;MenuYn=Y&amp;ReportGB=&amp;NewMenuID=108&amp;stkGb=701", "윌비스")</f>
        <v>0</v>
      </c>
      <c r="C1777">
        <v>0</v>
      </c>
      <c r="D1777">
        <v>1400</v>
      </c>
      <c r="G1777">
        <v>16</v>
      </c>
      <c r="H1777">
        <v>1076</v>
      </c>
      <c r="I1777">
        <v>1379</v>
      </c>
      <c r="J1777">
        <v>98.88</v>
      </c>
      <c r="K1777">
        <v>23.11</v>
      </c>
      <c r="L1777">
        <v>1.52</v>
      </c>
      <c r="M1777">
        <v>0.07000000000000001</v>
      </c>
      <c r="N1777" t="b">
        <v>0</v>
      </c>
      <c r="O1777">
        <v>-598</v>
      </c>
      <c r="P1777" t="s">
        <v>1781</v>
      </c>
      <c r="Q1777" t="s">
        <v>3673</v>
      </c>
      <c r="R1777">
        <v>-62.18889052143538</v>
      </c>
      <c r="S1777">
        <v>909</v>
      </c>
      <c r="T1777">
        <v>2079074</v>
      </c>
      <c r="U1777" t="s">
        <v>5751</v>
      </c>
      <c r="V1777">
        <v>12.23</v>
      </c>
      <c r="W1777" t="s">
        <v>7949</v>
      </c>
      <c r="X1777" t="s">
        <v>9881</v>
      </c>
      <c r="Y1777">
        <v>2696</v>
      </c>
      <c r="Z1777">
        <v>-197</v>
      </c>
      <c r="AA1777">
        <v>6561093</v>
      </c>
    </row>
    <row r="1778" spans="1:28">
      <c r="A1778" s="2">
        <f>HYPERLINK("https://finance.naver.com/item/coinfo.nhn?code=010600", "A010600")</f>
        <v>0</v>
      </c>
      <c r="B1778">
        <f>HYPERLINK("http://comp.fnguide.com/SVO2/ASP/SVD_Consensus.asp?pGB=1&amp;gicode=A010600&amp;cID=&amp;MenuYn=Y&amp;ReportGB=&amp;NewMenuID=108&amp;stkGb=701", "웰바이오텍")</f>
        <v>0</v>
      </c>
      <c r="C1778">
        <v>0</v>
      </c>
      <c r="D1778">
        <v>2300</v>
      </c>
      <c r="E1778">
        <v>0</v>
      </c>
      <c r="G1778">
        <v>0</v>
      </c>
      <c r="H1778">
        <v>1017</v>
      </c>
      <c r="I1778">
        <v>1307</v>
      </c>
      <c r="J1778">
        <v>100</v>
      </c>
      <c r="K1778">
        <v>55.78</v>
      </c>
      <c r="L1778">
        <v>43.18</v>
      </c>
      <c r="M1778">
        <v>0</v>
      </c>
      <c r="N1778" t="b">
        <v>0</v>
      </c>
      <c r="O1778">
        <v>-362</v>
      </c>
      <c r="P1778" t="s">
        <v>1782</v>
      </c>
      <c r="Q1778" t="s">
        <v>2276</v>
      </c>
      <c r="R1778">
        <v>0</v>
      </c>
      <c r="S1778">
        <v>1037</v>
      </c>
      <c r="T1778">
        <v>1232142</v>
      </c>
      <c r="U1778" t="s">
        <v>5752</v>
      </c>
      <c r="V1778">
        <v>13.29</v>
      </c>
      <c r="W1778" t="s">
        <v>7950</v>
      </c>
      <c r="X1778" t="s">
        <v>968</v>
      </c>
      <c r="Y1778">
        <v>838</v>
      </c>
      <c r="Z1778">
        <v>-114</v>
      </c>
      <c r="AA1778">
        <v>606</v>
      </c>
    </row>
    <row r="1779" spans="1:28">
      <c r="A1779" s="2">
        <f>HYPERLINK("https://finance.naver.com/item/coinfo.nhn?code=016880", "A016880")</f>
        <v>0</v>
      </c>
      <c r="B1779">
        <f>HYPERLINK("http://comp.fnguide.com/SVO2/ASP/SVD_Consensus.asp?pGB=1&amp;gicode=A016880&amp;cID=&amp;MenuYn=Y&amp;ReportGB=&amp;NewMenuID=108&amp;stkGb=701", "웅진")</f>
        <v>0</v>
      </c>
      <c r="C1779">
        <v>0</v>
      </c>
      <c r="D1779">
        <v>1105</v>
      </c>
      <c r="E1779">
        <v>0</v>
      </c>
      <c r="G1779">
        <v>49</v>
      </c>
      <c r="H1779">
        <v>572</v>
      </c>
      <c r="I1779">
        <v>721</v>
      </c>
      <c r="J1779">
        <v>95.58</v>
      </c>
      <c r="K1779">
        <v>48.23</v>
      </c>
      <c r="L1779">
        <v>34.74</v>
      </c>
      <c r="M1779">
        <v>0.42</v>
      </c>
      <c r="N1779" t="b">
        <v>0</v>
      </c>
      <c r="O1779">
        <v>-2212</v>
      </c>
      <c r="P1779" t="s">
        <v>1783</v>
      </c>
      <c r="Q1779" t="s">
        <v>2276</v>
      </c>
      <c r="R1779">
        <v>0</v>
      </c>
      <c r="S1779">
        <v>877</v>
      </c>
      <c r="T1779">
        <v>187604</v>
      </c>
      <c r="U1779" t="s">
        <v>5753</v>
      </c>
      <c r="V1779">
        <v>29.45</v>
      </c>
      <c r="W1779" t="s">
        <v>7951</v>
      </c>
      <c r="X1779" t="s">
        <v>9882</v>
      </c>
      <c r="Y1779">
        <v>8199</v>
      </c>
      <c r="Z1779">
        <v>752</v>
      </c>
      <c r="AA1779">
        <v>215870</v>
      </c>
    </row>
    <row r="1780" spans="1:28">
      <c r="A1780" s="2">
        <f>HYPERLINK("https://finance.naver.com/item/coinfo.nhn?code=049800", "A049800")</f>
        <v>0</v>
      </c>
      <c r="B1780">
        <f>HYPERLINK("http://comp.fnguide.com/SVO2/ASP/SVD_Consensus.asp?pGB=1&amp;gicode=A049800&amp;cID=&amp;MenuYn=Y&amp;ReportGB=&amp;NewMenuID=108&amp;stkGb=701", "우진플라임")</f>
        <v>0</v>
      </c>
      <c r="C1780">
        <v>0</v>
      </c>
      <c r="D1780">
        <v>4630</v>
      </c>
      <c r="G1780">
        <v>101</v>
      </c>
      <c r="H1780">
        <v>3201</v>
      </c>
      <c r="I1780">
        <v>4084</v>
      </c>
      <c r="J1780">
        <v>97.81</v>
      </c>
      <c r="K1780">
        <v>30.87</v>
      </c>
      <c r="L1780">
        <v>11.79</v>
      </c>
      <c r="M1780">
        <v>0.15</v>
      </c>
      <c r="N1780" t="b">
        <v>0</v>
      </c>
      <c r="O1780">
        <v>-1361</v>
      </c>
      <c r="P1780" t="s">
        <v>1784</v>
      </c>
      <c r="Q1780" t="s">
        <v>3674</v>
      </c>
      <c r="R1780">
        <v>-95</v>
      </c>
      <c r="S1780">
        <v>463</v>
      </c>
      <c r="T1780">
        <v>21435</v>
      </c>
      <c r="U1780" t="s">
        <v>5754</v>
      </c>
      <c r="V1780">
        <v>40.8</v>
      </c>
      <c r="W1780" t="s">
        <v>7952</v>
      </c>
      <c r="X1780" t="s">
        <v>9883</v>
      </c>
      <c r="Y1780">
        <v>1818</v>
      </c>
      <c r="Z1780">
        <v>-83</v>
      </c>
    </row>
    <row r="1781" spans="1:28">
      <c r="A1781" s="2">
        <f>HYPERLINK("https://finance.naver.com/item/coinfo.nhn?code=105840", "A105840")</f>
        <v>0</v>
      </c>
      <c r="B1781">
        <f>HYPERLINK("http://comp.fnguide.com/SVO2/ASP/SVD_Consensus.asp?pGB=1&amp;gicode=A105840&amp;cID=&amp;MenuYn=Y&amp;ReportGB=&amp;NewMenuID=108&amp;stkGb=701", "우진")</f>
        <v>0</v>
      </c>
      <c r="C1781">
        <v>0</v>
      </c>
      <c r="D1781">
        <v>4535</v>
      </c>
      <c r="E1781">
        <v>0</v>
      </c>
      <c r="G1781">
        <v>0</v>
      </c>
      <c r="H1781">
        <v>3480</v>
      </c>
      <c r="I1781">
        <v>4472</v>
      </c>
      <c r="J1781">
        <v>100</v>
      </c>
      <c r="K1781">
        <v>23.25</v>
      </c>
      <c r="L1781">
        <v>1.39</v>
      </c>
      <c r="M1781">
        <v>0</v>
      </c>
      <c r="N1781" t="b">
        <v>0</v>
      </c>
      <c r="O1781">
        <v>-587</v>
      </c>
      <c r="P1781" t="s">
        <v>1785</v>
      </c>
      <c r="Q1781" t="s">
        <v>2276</v>
      </c>
      <c r="R1781">
        <v>0</v>
      </c>
      <c r="S1781">
        <v>916</v>
      </c>
      <c r="T1781">
        <v>488517</v>
      </c>
      <c r="U1781" t="s">
        <v>5755</v>
      </c>
      <c r="V1781">
        <v>37.18</v>
      </c>
      <c r="W1781" t="s">
        <v>7953</v>
      </c>
      <c r="X1781" t="s">
        <v>968</v>
      </c>
      <c r="Y1781">
        <v>889</v>
      </c>
      <c r="Z1781">
        <v>-20</v>
      </c>
      <c r="AA1781">
        <v>314955</v>
      </c>
      <c r="AB1781">
        <v>2.38</v>
      </c>
    </row>
    <row r="1782" spans="1:28">
      <c r="A1782" s="2">
        <f>HYPERLINK("https://finance.naver.com/item/coinfo.nhn?code=118000", "A118000")</f>
        <v>0</v>
      </c>
      <c r="B1782">
        <f>HYPERLINK("http://comp.fnguide.com/SVO2/ASP/SVD_Consensus.asp?pGB=1&amp;gicode=A118000&amp;cID=&amp;MenuYn=Y&amp;ReportGB=&amp;NewMenuID=108&amp;stkGb=701", "우리들휴브레인")</f>
        <v>0</v>
      </c>
      <c r="C1782">
        <v>0</v>
      </c>
      <c r="D1782">
        <v>3105</v>
      </c>
      <c r="E1782">
        <v>0</v>
      </c>
      <c r="G1782">
        <v>0</v>
      </c>
      <c r="H1782">
        <v>427</v>
      </c>
      <c r="I1782">
        <v>548</v>
      </c>
      <c r="J1782">
        <v>100</v>
      </c>
      <c r="K1782">
        <v>86.25</v>
      </c>
      <c r="L1782">
        <v>82.34</v>
      </c>
      <c r="M1782">
        <v>0</v>
      </c>
      <c r="N1782" t="b">
        <v>0</v>
      </c>
      <c r="O1782">
        <v>-138</v>
      </c>
      <c r="P1782" t="s">
        <v>1786</v>
      </c>
      <c r="Q1782" t="s">
        <v>2276</v>
      </c>
      <c r="R1782">
        <v>0</v>
      </c>
      <c r="S1782">
        <v>1565</v>
      </c>
      <c r="T1782">
        <v>2062768</v>
      </c>
      <c r="U1782" t="s">
        <v>5756</v>
      </c>
      <c r="W1782" t="s">
        <v>7954</v>
      </c>
      <c r="X1782" t="s">
        <v>968</v>
      </c>
      <c r="Y1782">
        <v>562</v>
      </c>
      <c r="Z1782">
        <v>-1</v>
      </c>
      <c r="AA1782">
        <v>2154</v>
      </c>
    </row>
    <row r="1783" spans="1:28">
      <c r="A1783" s="2">
        <f>HYPERLINK("https://finance.naver.com/item/coinfo.nhn?code=004720", "A004720")</f>
        <v>0</v>
      </c>
      <c r="B1783">
        <f>HYPERLINK("http://comp.fnguide.com/SVO2/ASP/SVD_Consensus.asp?pGB=1&amp;gicode=A004720&amp;cID=&amp;MenuYn=Y&amp;ReportGB=&amp;NewMenuID=108&amp;stkGb=701", "우리들제약")</f>
        <v>0</v>
      </c>
      <c r="C1783">
        <v>0</v>
      </c>
      <c r="D1783">
        <v>11900</v>
      </c>
      <c r="E1783">
        <v>-10.5</v>
      </c>
      <c r="F1783">
        <v>246.51</v>
      </c>
      <c r="G1783">
        <v>2247</v>
      </c>
      <c r="H1783">
        <v>3194</v>
      </c>
      <c r="I1783">
        <v>3464</v>
      </c>
      <c r="J1783">
        <v>81.12</v>
      </c>
      <c r="K1783">
        <v>73.16</v>
      </c>
      <c r="L1783">
        <v>70.89</v>
      </c>
      <c r="M1783">
        <v>4.68</v>
      </c>
      <c r="N1783" t="b">
        <v>0</v>
      </c>
      <c r="O1783">
        <v>26</v>
      </c>
      <c r="P1783" t="s">
        <v>1787</v>
      </c>
      <c r="Q1783" t="s">
        <v>3675</v>
      </c>
      <c r="R1783">
        <v>-23.47748678818487</v>
      </c>
      <c r="S1783">
        <v>1751</v>
      </c>
      <c r="T1783">
        <v>465883</v>
      </c>
      <c r="U1783" t="s">
        <v>5757</v>
      </c>
      <c r="V1783">
        <v>6.18</v>
      </c>
      <c r="W1783" t="s">
        <v>7955</v>
      </c>
      <c r="X1783" t="s">
        <v>9884</v>
      </c>
      <c r="Y1783">
        <v>951</v>
      </c>
      <c r="Z1783">
        <v>12</v>
      </c>
      <c r="AA1783">
        <v>41910</v>
      </c>
    </row>
    <row r="1784" spans="1:28">
      <c r="A1784" s="2">
        <f>HYPERLINK("https://finance.naver.com/item/coinfo.nhn?code=002630", "A002630")</f>
        <v>0</v>
      </c>
      <c r="B1784">
        <f>HYPERLINK("http://comp.fnguide.com/SVO2/ASP/SVD_Consensus.asp?pGB=1&amp;gicode=A002630&amp;cID=&amp;MenuYn=Y&amp;ReportGB=&amp;NewMenuID=108&amp;stkGb=701", "오리엔트바이오")</f>
        <v>0</v>
      </c>
      <c r="C1784">
        <v>0</v>
      </c>
      <c r="D1784">
        <v>1485</v>
      </c>
      <c r="E1784">
        <v>0</v>
      </c>
      <c r="G1784">
        <v>0</v>
      </c>
      <c r="H1784">
        <v>264</v>
      </c>
      <c r="I1784">
        <v>339</v>
      </c>
      <c r="J1784">
        <v>100</v>
      </c>
      <c r="K1784">
        <v>82.25</v>
      </c>
      <c r="L1784">
        <v>77.2</v>
      </c>
      <c r="M1784">
        <v>0</v>
      </c>
      <c r="N1784" t="b">
        <v>0</v>
      </c>
      <c r="O1784">
        <v>-107</v>
      </c>
      <c r="P1784" t="s">
        <v>1788</v>
      </c>
      <c r="Q1784" t="s">
        <v>2276</v>
      </c>
      <c r="R1784">
        <v>0</v>
      </c>
      <c r="S1784">
        <v>1761</v>
      </c>
      <c r="T1784">
        <v>32224496</v>
      </c>
      <c r="U1784" t="s">
        <v>5758</v>
      </c>
      <c r="V1784">
        <v>35.61</v>
      </c>
      <c r="W1784" t="s">
        <v>7956</v>
      </c>
      <c r="X1784" t="s">
        <v>968</v>
      </c>
      <c r="Y1784">
        <v>377</v>
      </c>
      <c r="Z1784">
        <v>-112</v>
      </c>
      <c r="AA1784">
        <v>14848</v>
      </c>
    </row>
    <row r="1785" spans="1:28">
      <c r="A1785" s="2">
        <f>HYPERLINK("https://finance.naver.com/item/coinfo.nhn?code=078520", "A078520")</f>
        <v>0</v>
      </c>
      <c r="B1785">
        <f>HYPERLINK("http://comp.fnguide.com/SVO2/ASP/SVD_Consensus.asp?pGB=1&amp;gicode=A078520&amp;cID=&amp;MenuYn=Y&amp;ReportGB=&amp;NewMenuID=108&amp;stkGb=701", "에이블씨엔씨")</f>
        <v>0</v>
      </c>
      <c r="C1785">
        <v>0</v>
      </c>
      <c r="D1785">
        <v>8020</v>
      </c>
      <c r="G1785">
        <v>650</v>
      </c>
      <c r="H1785">
        <v>5966</v>
      </c>
      <c r="I1785">
        <v>7481</v>
      </c>
      <c r="J1785">
        <v>91.90000000000001</v>
      </c>
      <c r="K1785">
        <v>25.61</v>
      </c>
      <c r="L1785">
        <v>6.72</v>
      </c>
      <c r="M1785">
        <v>0.55</v>
      </c>
      <c r="N1785" t="b">
        <v>0</v>
      </c>
      <c r="O1785">
        <v>-413</v>
      </c>
      <c r="P1785" t="s">
        <v>1789</v>
      </c>
      <c r="Q1785" t="s">
        <v>3676</v>
      </c>
      <c r="R1785">
        <v>-27.63509137710462</v>
      </c>
      <c r="S1785">
        <v>2168</v>
      </c>
      <c r="T1785">
        <v>197223</v>
      </c>
      <c r="U1785" t="s">
        <v>5759</v>
      </c>
      <c r="V1785">
        <v>64.31999999999999</v>
      </c>
      <c r="W1785" t="s">
        <v>7957</v>
      </c>
      <c r="X1785" t="s">
        <v>9885</v>
      </c>
      <c r="Y1785">
        <v>4222</v>
      </c>
      <c r="Z1785">
        <v>18</v>
      </c>
      <c r="AA1785">
        <v>1019301</v>
      </c>
    </row>
    <row r="1786" spans="1:28">
      <c r="A1786" s="2">
        <f>HYPERLINK("https://finance.naver.com/item/coinfo.nhn?code=007310", "A007310")</f>
        <v>0</v>
      </c>
      <c r="B1786">
        <f>HYPERLINK("http://comp.fnguide.com/SVO2/ASP/SVD_Consensus.asp?pGB=1&amp;gicode=A007310&amp;cID=&amp;MenuYn=Y&amp;ReportGB=&amp;NewMenuID=108&amp;stkGb=701", "오뚜기")</f>
        <v>0</v>
      </c>
      <c r="C1786">
        <v>0</v>
      </c>
      <c r="D1786">
        <v>554000</v>
      </c>
      <c r="E1786">
        <v>-107.1</v>
      </c>
      <c r="F1786">
        <v>20.63</v>
      </c>
      <c r="G1786">
        <v>490061</v>
      </c>
      <c r="H1786">
        <v>417528</v>
      </c>
      <c r="I1786">
        <v>396860</v>
      </c>
      <c r="J1786">
        <v>11.54</v>
      </c>
      <c r="K1786">
        <v>24.63</v>
      </c>
      <c r="L1786">
        <v>28.36</v>
      </c>
      <c r="M1786">
        <v>10.58</v>
      </c>
      <c r="N1786" t="b">
        <v>1</v>
      </c>
      <c r="O1786">
        <v>26861</v>
      </c>
      <c r="P1786" t="s">
        <v>1790</v>
      </c>
      <c r="Q1786" t="s">
        <v>3677</v>
      </c>
      <c r="R1786">
        <v>-0.1926187689068048</v>
      </c>
      <c r="S1786">
        <v>20343</v>
      </c>
      <c r="T1786">
        <v>5097</v>
      </c>
      <c r="U1786" t="s">
        <v>5760</v>
      </c>
      <c r="V1786">
        <v>57.15</v>
      </c>
      <c r="W1786" t="s">
        <v>7958</v>
      </c>
      <c r="X1786" t="s">
        <v>9886</v>
      </c>
      <c r="Y1786">
        <v>23597</v>
      </c>
      <c r="Z1786">
        <v>1483</v>
      </c>
      <c r="AA1786">
        <v>212850</v>
      </c>
      <c r="AB1786">
        <v>1.35</v>
      </c>
    </row>
    <row r="1787" spans="1:28">
      <c r="A1787" s="2">
        <f>HYPERLINK("https://finance.naver.com/item/coinfo.nhn?code=012280", "A012280")</f>
        <v>0</v>
      </c>
      <c r="B1787">
        <f>HYPERLINK("http://comp.fnguide.com/SVO2/ASP/SVD_Consensus.asp?pGB=1&amp;gicode=A012280&amp;cID=&amp;MenuYn=Y&amp;ReportGB=&amp;NewMenuID=108&amp;stkGb=701", "영화금속")</f>
        <v>0</v>
      </c>
      <c r="C1787">
        <v>0</v>
      </c>
      <c r="D1787">
        <v>2090</v>
      </c>
      <c r="E1787">
        <v>-4.54</v>
      </c>
      <c r="F1787">
        <v>279.64</v>
      </c>
      <c r="G1787">
        <v>320</v>
      </c>
      <c r="H1787">
        <v>973</v>
      </c>
      <c r="I1787">
        <v>1159</v>
      </c>
      <c r="J1787">
        <v>84.70999999999999</v>
      </c>
      <c r="K1787">
        <v>53.44</v>
      </c>
      <c r="L1787">
        <v>44.53</v>
      </c>
      <c r="M1787">
        <v>1.81</v>
      </c>
      <c r="N1787" t="b">
        <v>0</v>
      </c>
      <c r="O1787">
        <v>6</v>
      </c>
      <c r="P1787" t="s">
        <v>1791</v>
      </c>
      <c r="Q1787" t="s">
        <v>3678</v>
      </c>
      <c r="R1787">
        <v>-61.64463342184028</v>
      </c>
      <c r="S1787">
        <v>1116</v>
      </c>
      <c r="T1787">
        <v>2121004</v>
      </c>
      <c r="U1787" t="s">
        <v>5761</v>
      </c>
      <c r="V1787">
        <v>25.65</v>
      </c>
      <c r="W1787" t="s">
        <v>7959</v>
      </c>
      <c r="X1787" t="s">
        <v>9887</v>
      </c>
      <c r="Y1787">
        <v>2326</v>
      </c>
      <c r="Z1787">
        <v>20</v>
      </c>
      <c r="AA1787">
        <v>3151180</v>
      </c>
    </row>
    <row r="1788" spans="1:28">
      <c r="A1788" s="2">
        <f>HYPERLINK("https://finance.naver.com/item/coinfo.nhn?code=003520", "A003520")</f>
        <v>0</v>
      </c>
      <c r="B1788">
        <f>HYPERLINK("http://comp.fnguide.com/SVO2/ASP/SVD_Consensus.asp?pGB=1&amp;gicode=A003520&amp;cID=&amp;MenuYn=Y&amp;ReportGB=&amp;NewMenuID=108&amp;stkGb=701", "영진약품")</f>
        <v>0</v>
      </c>
      <c r="C1788">
        <v>0</v>
      </c>
      <c r="D1788">
        <v>7900</v>
      </c>
      <c r="E1788">
        <v>-5.19</v>
      </c>
      <c r="F1788">
        <v>241.07</v>
      </c>
      <c r="G1788">
        <v>197</v>
      </c>
      <c r="H1788">
        <v>459</v>
      </c>
      <c r="I1788">
        <v>534</v>
      </c>
      <c r="J1788">
        <v>97.5</v>
      </c>
      <c r="K1788">
        <v>94.19</v>
      </c>
      <c r="L1788">
        <v>93.23999999999999</v>
      </c>
      <c r="M1788">
        <v>2.48</v>
      </c>
      <c r="N1788" t="b">
        <v>0</v>
      </c>
      <c r="O1788">
        <v>28</v>
      </c>
      <c r="P1788" t="s">
        <v>1792</v>
      </c>
      <c r="Q1788" t="s">
        <v>3679</v>
      </c>
      <c r="R1788">
        <v>-46.41468249487174</v>
      </c>
      <c r="S1788">
        <v>14449</v>
      </c>
      <c r="T1788">
        <v>6111762</v>
      </c>
      <c r="U1788" t="s">
        <v>5762</v>
      </c>
      <c r="V1788">
        <v>52.45</v>
      </c>
      <c r="W1788" t="s">
        <v>7960</v>
      </c>
      <c r="X1788" t="s">
        <v>9888</v>
      </c>
      <c r="Y1788">
        <v>2205</v>
      </c>
      <c r="Z1788">
        <v>100</v>
      </c>
      <c r="AA1788">
        <v>277</v>
      </c>
    </row>
    <row r="1789" spans="1:28">
      <c r="A1789" s="2">
        <f>HYPERLINK("https://finance.naver.com/item/coinfo.nhn?code=900140", "A900140")</f>
        <v>0</v>
      </c>
      <c r="B1789">
        <f>HYPERLINK("http://comp.fnguide.com/SVO2/ASP/SVD_Consensus.asp?pGB=1&amp;gicode=A900140&amp;cID=&amp;MenuYn=Y&amp;ReportGB=&amp;NewMenuID=108&amp;stkGb=701", "엘브이엠씨홀딩스")</f>
        <v>0</v>
      </c>
      <c r="C1789">
        <v>0</v>
      </c>
      <c r="D1789">
        <v>4000</v>
      </c>
      <c r="G1789">
        <v>285</v>
      </c>
      <c r="H1789">
        <v>2418</v>
      </c>
      <c r="I1789">
        <v>3026</v>
      </c>
      <c r="J1789">
        <v>92.88</v>
      </c>
      <c r="K1789">
        <v>39.56</v>
      </c>
      <c r="L1789">
        <v>24.36</v>
      </c>
      <c r="M1789">
        <v>0.59</v>
      </c>
      <c r="N1789" t="b">
        <v>0</v>
      </c>
      <c r="O1789">
        <v>-1016</v>
      </c>
      <c r="P1789" t="s">
        <v>1793</v>
      </c>
      <c r="Q1789" t="s">
        <v>3680</v>
      </c>
      <c r="R1789">
        <v>-44.07290459893344</v>
      </c>
      <c r="S1789">
        <v>3374</v>
      </c>
      <c r="T1789">
        <v>2272328</v>
      </c>
      <c r="U1789" t="s">
        <v>5763</v>
      </c>
      <c r="V1789">
        <v>38.46</v>
      </c>
      <c r="W1789" t="s">
        <v>7961</v>
      </c>
      <c r="X1789" t="s">
        <v>9889</v>
      </c>
      <c r="Y1789">
        <v>3637</v>
      </c>
      <c r="Z1789">
        <v>-302</v>
      </c>
      <c r="AA1789">
        <v>1372511</v>
      </c>
    </row>
    <row r="1790" spans="1:28">
      <c r="A1790" s="2">
        <f>HYPERLINK("https://finance.naver.com/item/coinfo.nhn?code=085310", "A085310")</f>
        <v>0</v>
      </c>
      <c r="B1790">
        <f>HYPERLINK("http://comp.fnguide.com/SVO2/ASP/SVD_Consensus.asp?pGB=1&amp;gicode=A085310&amp;cID=&amp;MenuYn=Y&amp;ReportGB=&amp;NewMenuID=108&amp;stkGb=701", "엔케이")</f>
        <v>0</v>
      </c>
      <c r="C1790">
        <v>0</v>
      </c>
      <c r="D1790">
        <v>1135</v>
      </c>
      <c r="E1790">
        <v>0</v>
      </c>
      <c r="G1790">
        <v>0</v>
      </c>
      <c r="H1790">
        <v>683</v>
      </c>
      <c r="I1790">
        <v>878</v>
      </c>
      <c r="J1790">
        <v>100</v>
      </c>
      <c r="K1790">
        <v>39.8</v>
      </c>
      <c r="L1790">
        <v>22.65</v>
      </c>
      <c r="M1790">
        <v>0</v>
      </c>
      <c r="N1790" t="b">
        <v>0</v>
      </c>
      <c r="O1790">
        <v>-333</v>
      </c>
      <c r="P1790" t="s">
        <v>1794</v>
      </c>
      <c r="Q1790" t="s">
        <v>2276</v>
      </c>
      <c r="R1790">
        <v>0</v>
      </c>
      <c r="S1790">
        <v>908</v>
      </c>
      <c r="T1790">
        <v>492121</v>
      </c>
      <c r="U1790" t="s">
        <v>5764</v>
      </c>
      <c r="V1790">
        <v>25.92</v>
      </c>
      <c r="W1790" t="s">
        <v>7962</v>
      </c>
      <c r="X1790" t="s">
        <v>968</v>
      </c>
      <c r="Y1790">
        <v>1085</v>
      </c>
      <c r="Z1790">
        <v>-65</v>
      </c>
      <c r="AA1790">
        <v>1103030</v>
      </c>
    </row>
    <row r="1791" spans="1:28">
      <c r="A1791" s="2">
        <f>HYPERLINK("https://finance.naver.com/item/coinfo.nhn?code=138250", "A138250")</f>
        <v>0</v>
      </c>
      <c r="B1791">
        <f>HYPERLINK("http://comp.fnguide.com/SVO2/ASP/SVD_Consensus.asp?pGB=1&amp;gicode=A138250&amp;cID=&amp;MenuYn=Y&amp;ReportGB=&amp;NewMenuID=108&amp;stkGb=701", "엔에스쇼핑")</f>
        <v>0</v>
      </c>
      <c r="C1791">
        <v>0</v>
      </c>
      <c r="D1791">
        <v>12000</v>
      </c>
      <c r="G1791">
        <v>8058</v>
      </c>
      <c r="H1791">
        <v>10934</v>
      </c>
      <c r="I1791">
        <v>11753</v>
      </c>
      <c r="J1791">
        <v>32.85</v>
      </c>
      <c r="K1791">
        <v>8.880000000000001</v>
      </c>
      <c r="L1791">
        <v>2.06</v>
      </c>
      <c r="M1791">
        <v>5</v>
      </c>
      <c r="N1791" t="b">
        <v>0</v>
      </c>
      <c r="O1791">
        <v>-226</v>
      </c>
      <c r="P1791" t="s">
        <v>1795</v>
      </c>
      <c r="Q1791" t="s">
        <v>3681</v>
      </c>
      <c r="R1791">
        <v>-20.09206183913932</v>
      </c>
      <c r="S1791">
        <v>4044</v>
      </c>
      <c r="T1791">
        <v>88597</v>
      </c>
      <c r="U1791" t="s">
        <v>5765</v>
      </c>
      <c r="V1791">
        <v>61.56</v>
      </c>
      <c r="W1791" t="s">
        <v>7963</v>
      </c>
      <c r="X1791" t="s">
        <v>9890</v>
      </c>
      <c r="Y1791">
        <v>4980</v>
      </c>
      <c r="Z1791">
        <v>287</v>
      </c>
      <c r="AA1791">
        <v>615390</v>
      </c>
      <c r="AB1791">
        <v>1.59</v>
      </c>
    </row>
    <row r="1792" spans="1:28">
      <c r="A1792" s="2">
        <f>HYPERLINK("https://finance.naver.com/item/coinfo.nhn?code=036570", "A036570")</f>
        <v>0</v>
      </c>
      <c r="B1792">
        <f>HYPERLINK("http://comp.fnguide.com/SVO2/ASP/SVD_Consensus.asp?pGB=1&amp;gicode=A036570&amp;cID=&amp;MenuYn=Y&amp;ReportGB=&amp;NewMenuID=108&amp;stkGb=701", "엔씨소프트")</f>
        <v>0</v>
      </c>
      <c r="C1792">
        <v>0</v>
      </c>
      <c r="D1792">
        <v>867000</v>
      </c>
      <c r="E1792">
        <v>1.13</v>
      </c>
      <c r="F1792">
        <v>33.15</v>
      </c>
      <c r="G1792">
        <v>243923</v>
      </c>
      <c r="H1792">
        <v>170233</v>
      </c>
      <c r="I1792">
        <v>149235</v>
      </c>
      <c r="J1792">
        <v>71.87</v>
      </c>
      <c r="K1792">
        <v>80.37</v>
      </c>
      <c r="L1792">
        <v>82.79000000000001</v>
      </c>
      <c r="M1792">
        <v>16.03</v>
      </c>
      <c r="N1792" t="b">
        <v>1</v>
      </c>
      <c r="O1792">
        <v>16320</v>
      </c>
      <c r="P1792" t="s">
        <v>1796</v>
      </c>
      <c r="Q1792" t="s">
        <v>3682</v>
      </c>
      <c r="R1792">
        <v>29.23462182318008</v>
      </c>
      <c r="S1792">
        <v>190341</v>
      </c>
      <c r="T1792">
        <v>87676</v>
      </c>
      <c r="U1792" t="s">
        <v>5766</v>
      </c>
      <c r="V1792">
        <v>12</v>
      </c>
      <c r="W1792" t="s">
        <v>7964</v>
      </c>
      <c r="X1792" t="s">
        <v>9891</v>
      </c>
      <c r="Y1792">
        <v>17012</v>
      </c>
      <c r="Z1792">
        <v>4790</v>
      </c>
      <c r="AA1792">
        <v>1346583</v>
      </c>
      <c r="AB1792">
        <v>0.96</v>
      </c>
    </row>
    <row r="1793" spans="1:28">
      <c r="A1793" s="2">
        <f>HYPERLINK("https://finance.naver.com/item/coinfo.nhn?code=003060", "A003060")</f>
        <v>0</v>
      </c>
      <c r="B1793">
        <f>HYPERLINK("http://comp.fnguide.com/SVO2/ASP/SVD_Consensus.asp?pGB=1&amp;gicode=A003060&amp;cID=&amp;MenuYn=Y&amp;ReportGB=&amp;NewMenuID=108&amp;stkGb=701", "에이프로젠제약")</f>
        <v>0</v>
      </c>
      <c r="C1793">
        <v>0</v>
      </c>
      <c r="D1793">
        <v>1360</v>
      </c>
      <c r="E1793">
        <v>0</v>
      </c>
      <c r="G1793">
        <v>0</v>
      </c>
      <c r="H1793">
        <v>371</v>
      </c>
      <c r="I1793">
        <v>477</v>
      </c>
      <c r="J1793">
        <v>100</v>
      </c>
      <c r="K1793">
        <v>72.7</v>
      </c>
      <c r="L1793">
        <v>64.92</v>
      </c>
      <c r="M1793">
        <v>0</v>
      </c>
      <c r="N1793" t="b">
        <v>0</v>
      </c>
      <c r="O1793">
        <v>-47</v>
      </c>
      <c r="P1793" t="s">
        <v>1797</v>
      </c>
      <c r="Q1793" t="s">
        <v>2276</v>
      </c>
      <c r="R1793">
        <v>0</v>
      </c>
      <c r="S1793">
        <v>5421</v>
      </c>
      <c r="T1793">
        <v>3372131</v>
      </c>
      <c r="U1793" t="s">
        <v>5767</v>
      </c>
      <c r="V1793">
        <v>45.1</v>
      </c>
      <c r="W1793" t="s">
        <v>7965</v>
      </c>
      <c r="X1793" t="s">
        <v>968</v>
      </c>
      <c r="Y1793">
        <v>509</v>
      </c>
      <c r="Z1793">
        <v>-20</v>
      </c>
      <c r="AA1793">
        <v>5361</v>
      </c>
    </row>
    <row r="1794" spans="1:28">
      <c r="A1794" s="2">
        <f>HYPERLINK("https://finance.naver.com/item/coinfo.nhn?code=007460", "A007460")</f>
        <v>0</v>
      </c>
      <c r="B1794">
        <f>HYPERLINK("http://comp.fnguide.com/SVO2/ASP/SVD_Consensus.asp?pGB=1&amp;gicode=A007460&amp;cID=&amp;MenuYn=Y&amp;ReportGB=&amp;NewMenuID=108&amp;stkGb=701", "에이프로젠 KIC")</f>
        <v>0</v>
      </c>
      <c r="C1794">
        <v>0</v>
      </c>
      <c r="D1794">
        <v>2220</v>
      </c>
      <c r="E1794">
        <v>-0.9399999999999999</v>
      </c>
      <c r="F1794">
        <v>34.09</v>
      </c>
      <c r="G1794">
        <v>578</v>
      </c>
      <c r="H1794">
        <v>1230</v>
      </c>
      <c r="I1794">
        <v>1416</v>
      </c>
      <c r="J1794">
        <v>73.94</v>
      </c>
      <c r="K1794">
        <v>44.58</v>
      </c>
      <c r="L1794">
        <v>36.21</v>
      </c>
      <c r="M1794">
        <v>2.77</v>
      </c>
      <c r="N1794" t="b">
        <v>1</v>
      </c>
      <c r="O1794">
        <v>80</v>
      </c>
      <c r="P1794" t="s">
        <v>1798</v>
      </c>
      <c r="Q1794" t="s">
        <v>3683</v>
      </c>
      <c r="R1794">
        <v>-36.17821688482843</v>
      </c>
      <c r="S1794">
        <v>4041</v>
      </c>
      <c r="T1794">
        <v>4799171</v>
      </c>
      <c r="U1794" t="s">
        <v>5768</v>
      </c>
      <c r="V1794">
        <v>25.35</v>
      </c>
      <c r="W1794" t="s">
        <v>7966</v>
      </c>
      <c r="X1794" t="s">
        <v>9892</v>
      </c>
      <c r="Y1794">
        <v>782</v>
      </c>
      <c r="Z1794">
        <v>26</v>
      </c>
      <c r="AA1794">
        <v>1863</v>
      </c>
    </row>
    <row r="1795" spans="1:28">
      <c r="A1795" s="2">
        <f>HYPERLINK("https://finance.naver.com/item/coinfo.nhn?code=068270", "A068270")</f>
        <v>0</v>
      </c>
      <c r="B1795">
        <f>HYPERLINK("http://comp.fnguide.com/SVO2/ASP/SVD_Consensus.asp?pGB=1&amp;gicode=A068270&amp;cID=&amp;MenuYn=Y&amp;ReportGB=&amp;NewMenuID=108&amp;stkGb=701", "셀트리온")</f>
        <v>0</v>
      </c>
      <c r="C1795">
        <v>0</v>
      </c>
      <c r="D1795">
        <v>380000</v>
      </c>
      <c r="E1795">
        <v>2.63</v>
      </c>
      <c r="F1795">
        <v>81.86</v>
      </c>
      <c r="G1795">
        <v>31787</v>
      </c>
      <c r="H1795">
        <v>25237</v>
      </c>
      <c r="I1795">
        <v>23371</v>
      </c>
      <c r="J1795">
        <v>91.63</v>
      </c>
      <c r="K1795">
        <v>93.36</v>
      </c>
      <c r="L1795">
        <v>93.84999999999999</v>
      </c>
      <c r="M1795">
        <v>12.13</v>
      </c>
      <c r="N1795" t="b">
        <v>0</v>
      </c>
      <c r="O1795">
        <v>2211</v>
      </c>
      <c r="P1795" t="s">
        <v>1799</v>
      </c>
      <c r="Q1795" t="s">
        <v>3684</v>
      </c>
      <c r="R1795">
        <v>31.13737056889465</v>
      </c>
      <c r="S1795">
        <v>512992</v>
      </c>
      <c r="T1795">
        <v>4734606</v>
      </c>
      <c r="U1795" t="s">
        <v>5769</v>
      </c>
      <c r="V1795">
        <v>22.82</v>
      </c>
      <c r="W1795" t="s">
        <v>7967</v>
      </c>
      <c r="X1795" t="s">
        <v>9893</v>
      </c>
      <c r="Y1795">
        <v>11285</v>
      </c>
      <c r="Z1795">
        <v>3781</v>
      </c>
      <c r="AA1795">
        <v>1212915</v>
      </c>
      <c r="AB1795">
        <v>0</v>
      </c>
    </row>
    <row r="1796" spans="1:28">
      <c r="A1796" s="2">
        <f>HYPERLINK("https://finance.naver.com/item/coinfo.nhn?code=308170", "A308170")</f>
        <v>0</v>
      </c>
      <c r="B1796">
        <f>HYPERLINK("http://comp.fnguide.com/SVO2/ASP/SVD_Consensus.asp?pGB=1&amp;gicode=A308170&amp;cID=&amp;MenuYn=Y&amp;ReportGB=&amp;NewMenuID=108&amp;stkGb=701", "센트랄모텍")</f>
        <v>0</v>
      </c>
      <c r="C1796">
        <v>0</v>
      </c>
      <c r="D1796">
        <v>20850</v>
      </c>
      <c r="E1796">
        <v>0.77</v>
      </c>
      <c r="F1796">
        <v>20.12</v>
      </c>
      <c r="G1796">
        <v>10828</v>
      </c>
      <c r="H1796">
        <v>11140</v>
      </c>
      <c r="I1796">
        <v>11229</v>
      </c>
      <c r="J1796">
        <v>48.07</v>
      </c>
      <c r="K1796">
        <v>46.57</v>
      </c>
      <c r="L1796">
        <v>46.14</v>
      </c>
      <c r="M1796">
        <v>7.6</v>
      </c>
      <c r="N1796" t="b">
        <v>0</v>
      </c>
      <c r="O1796">
        <v>783</v>
      </c>
      <c r="P1796" t="s">
        <v>1800</v>
      </c>
      <c r="Q1796" t="s">
        <v>3685</v>
      </c>
      <c r="R1796">
        <v>26.16179969867223</v>
      </c>
      <c r="S1796">
        <v>1795</v>
      </c>
      <c r="T1796">
        <v>86782</v>
      </c>
      <c r="U1796" t="s">
        <v>5770</v>
      </c>
      <c r="V1796">
        <v>48.83</v>
      </c>
      <c r="W1796" t="s">
        <v>7968</v>
      </c>
      <c r="X1796" t="s">
        <v>9894</v>
      </c>
      <c r="Y1796">
        <v>2921</v>
      </c>
      <c r="Z1796">
        <v>103</v>
      </c>
    </row>
    <row r="1797" spans="1:28">
      <c r="A1797" s="2">
        <f>HYPERLINK("https://finance.naver.com/item/coinfo.nhn?code=286940", "A286940")</f>
        <v>0</v>
      </c>
      <c r="B1797">
        <f>HYPERLINK("http://comp.fnguide.com/SVO2/ASP/SVD_Consensus.asp?pGB=1&amp;gicode=A286940&amp;cID=&amp;MenuYn=Y&amp;ReportGB=&amp;NewMenuID=108&amp;stkGb=701", "롯데정보통신")</f>
        <v>0</v>
      </c>
      <c r="C1797">
        <v>0</v>
      </c>
      <c r="D1797">
        <v>36550</v>
      </c>
      <c r="E1797">
        <v>0</v>
      </c>
      <c r="F1797">
        <v>11.21</v>
      </c>
      <c r="G1797">
        <v>34325</v>
      </c>
      <c r="H1797">
        <v>29205</v>
      </c>
      <c r="I1797">
        <v>27746</v>
      </c>
      <c r="J1797">
        <v>6.09</v>
      </c>
      <c r="K1797">
        <v>20.1</v>
      </c>
      <c r="L1797">
        <v>24.09</v>
      </c>
      <c r="M1797">
        <v>10.6</v>
      </c>
      <c r="N1797" t="b">
        <v>1</v>
      </c>
      <c r="O1797">
        <v>3679</v>
      </c>
      <c r="P1797" t="s">
        <v>1801</v>
      </c>
      <c r="Q1797" t="s">
        <v>3686</v>
      </c>
      <c r="R1797">
        <v>0</v>
      </c>
      <c r="S1797">
        <v>5627</v>
      </c>
      <c r="T1797">
        <v>36455</v>
      </c>
      <c r="U1797" t="s">
        <v>5771</v>
      </c>
      <c r="V1797">
        <v>65.02</v>
      </c>
      <c r="W1797" t="s">
        <v>7969</v>
      </c>
      <c r="X1797" t="s">
        <v>9895</v>
      </c>
      <c r="Y1797">
        <v>8457</v>
      </c>
      <c r="Z1797">
        <v>411</v>
      </c>
      <c r="AA1797">
        <v>266964</v>
      </c>
      <c r="AB1797">
        <v>1.7</v>
      </c>
    </row>
    <row r="1798" spans="1:28">
      <c r="A1798" s="2">
        <f>HYPERLINK("https://finance.naver.com/item/coinfo.nhn?code=145210", "A145210")</f>
        <v>0</v>
      </c>
      <c r="B1798">
        <f>HYPERLINK("http://comp.fnguide.com/SVO2/ASP/SVD_Consensus.asp?pGB=1&amp;gicode=A145210&amp;cID=&amp;MenuYn=Y&amp;ReportGB=&amp;NewMenuID=108&amp;stkGb=701", "세화아이엠씨")</f>
        <v>0</v>
      </c>
      <c r="C1798">
        <v>0</v>
      </c>
      <c r="D1798">
        <v>588</v>
      </c>
      <c r="E1798">
        <v>0</v>
      </c>
      <c r="G1798">
        <v>0</v>
      </c>
      <c r="H1798">
        <v>84</v>
      </c>
      <c r="I1798">
        <v>108</v>
      </c>
      <c r="J1798">
        <v>100</v>
      </c>
      <c r="K1798">
        <v>85.73999999999999</v>
      </c>
      <c r="L1798">
        <v>81.68000000000001</v>
      </c>
      <c r="M1798">
        <v>0</v>
      </c>
      <c r="N1798" t="b">
        <v>0</v>
      </c>
      <c r="O1798">
        <v>-174</v>
      </c>
      <c r="P1798" t="s">
        <v>1802</v>
      </c>
      <c r="Q1798" t="s">
        <v>2276</v>
      </c>
      <c r="R1798">
        <v>0</v>
      </c>
      <c r="S1798">
        <v>891</v>
      </c>
      <c r="T1798">
        <v>5996438</v>
      </c>
      <c r="U1798" t="s">
        <v>5772</v>
      </c>
      <c r="V1798">
        <v>26.84</v>
      </c>
      <c r="W1798" t="s">
        <v>7970</v>
      </c>
      <c r="X1798" t="s">
        <v>968</v>
      </c>
      <c r="Y1798">
        <v>994</v>
      </c>
      <c r="Z1798">
        <v>-105</v>
      </c>
      <c r="AA1798">
        <v>334790</v>
      </c>
    </row>
    <row r="1799" spans="1:28">
      <c r="A1799" s="2">
        <f>HYPERLINK("https://finance.naver.com/item/coinfo.nhn?code=001470", "A001470")</f>
        <v>0</v>
      </c>
      <c r="B1799">
        <f>HYPERLINK("http://comp.fnguide.com/SVO2/ASP/SVD_Consensus.asp?pGB=1&amp;gicode=A001470&amp;cID=&amp;MenuYn=Y&amp;ReportGB=&amp;NewMenuID=108&amp;stkGb=701", "삼부토건")</f>
        <v>0</v>
      </c>
      <c r="C1799">
        <v>0</v>
      </c>
      <c r="D1799">
        <v>4380</v>
      </c>
      <c r="E1799">
        <v>2.75</v>
      </c>
      <c r="F1799">
        <v>12.37</v>
      </c>
      <c r="G1799">
        <v>348</v>
      </c>
      <c r="H1799">
        <v>1049</v>
      </c>
      <c r="I1799">
        <v>1249</v>
      </c>
      <c r="J1799">
        <v>92.06</v>
      </c>
      <c r="K1799">
        <v>76.05</v>
      </c>
      <c r="L1799">
        <v>71.48</v>
      </c>
      <c r="M1799">
        <v>1.83</v>
      </c>
      <c r="N1799" t="b">
        <v>0</v>
      </c>
      <c r="O1799">
        <v>58</v>
      </c>
      <c r="P1799" t="s">
        <v>1803</v>
      </c>
      <c r="Q1799" t="s">
        <v>3448</v>
      </c>
      <c r="R1799">
        <v>4.499999999999993</v>
      </c>
      <c r="S1799">
        <v>6025</v>
      </c>
      <c r="T1799">
        <v>23016195</v>
      </c>
      <c r="U1799" t="s">
        <v>5773</v>
      </c>
      <c r="V1799">
        <v>10.48</v>
      </c>
      <c r="W1799" t="s">
        <v>7971</v>
      </c>
      <c r="X1799" t="s">
        <v>9896</v>
      </c>
      <c r="Y1799">
        <v>2263</v>
      </c>
      <c r="Z1799">
        <v>50</v>
      </c>
    </row>
    <row r="1800" spans="1:28">
      <c r="A1800" s="2">
        <f>HYPERLINK("https://finance.naver.com/item/coinfo.nhn?code=352820", "A352820")</f>
        <v>0</v>
      </c>
      <c r="B1800">
        <f>HYPERLINK("http://comp.fnguide.com/SVO2/ASP/SVD_Consensus.asp?pGB=1&amp;gicode=A352820&amp;cID=&amp;MenuYn=Y&amp;ReportGB=&amp;NewMenuID=108&amp;stkGb=701", "빅히트")</f>
        <v>0</v>
      </c>
      <c r="C1800">
        <v>0</v>
      </c>
      <c r="D1800">
        <v>187500</v>
      </c>
      <c r="E1800">
        <v>0</v>
      </c>
      <c r="G1800">
        <v>26278</v>
      </c>
      <c r="H1800">
        <v>13427</v>
      </c>
      <c r="I1800">
        <v>9766</v>
      </c>
      <c r="J1800">
        <v>85.98</v>
      </c>
      <c r="K1800">
        <v>92.84</v>
      </c>
      <c r="L1800">
        <v>94.79000000000001</v>
      </c>
      <c r="M1800">
        <v>42.83</v>
      </c>
      <c r="N1800" t="b">
        <v>0</v>
      </c>
      <c r="O1800">
        <v>2601</v>
      </c>
      <c r="P1800" t="s">
        <v>1804</v>
      </c>
      <c r="Q1800" t="s">
        <v>3687</v>
      </c>
      <c r="R1800">
        <v>0</v>
      </c>
      <c r="S1800">
        <v>66795</v>
      </c>
      <c r="T1800">
        <v>258344</v>
      </c>
      <c r="U1800" t="s">
        <v>5774</v>
      </c>
      <c r="V1800">
        <v>56</v>
      </c>
      <c r="W1800" t="s">
        <v>7972</v>
      </c>
      <c r="X1800" t="s">
        <v>9897</v>
      </c>
      <c r="Y1800">
        <v>5872</v>
      </c>
      <c r="Z1800">
        <v>987</v>
      </c>
    </row>
    <row r="1801" spans="1:28">
      <c r="A1801" s="2">
        <f>HYPERLINK("https://finance.naver.com/item/coinfo.nhn?code=101140", "A101140")</f>
        <v>0</v>
      </c>
      <c r="B1801">
        <f>HYPERLINK("http://comp.fnguide.com/SVO2/ASP/SVD_Consensus.asp?pGB=1&amp;gicode=A101140&amp;cID=&amp;MenuYn=Y&amp;ReportGB=&amp;NewMenuID=108&amp;stkGb=701", "비티원")</f>
        <v>0</v>
      </c>
      <c r="C1801">
        <v>0</v>
      </c>
      <c r="D1801">
        <v>6620</v>
      </c>
      <c r="E1801">
        <v>0.02</v>
      </c>
      <c r="F1801">
        <v>7.51</v>
      </c>
      <c r="G1801">
        <v>3064</v>
      </c>
      <c r="H1801">
        <v>2043</v>
      </c>
      <c r="I1801">
        <v>1752</v>
      </c>
      <c r="J1801">
        <v>53.72</v>
      </c>
      <c r="K1801">
        <v>69.14</v>
      </c>
      <c r="L1801">
        <v>73.53</v>
      </c>
      <c r="M1801">
        <v>17.89</v>
      </c>
      <c r="N1801" t="b">
        <v>1</v>
      </c>
      <c r="O1801">
        <v>397</v>
      </c>
      <c r="P1801" t="s">
        <v>1805</v>
      </c>
      <c r="Q1801" t="s">
        <v>3688</v>
      </c>
      <c r="R1801">
        <v>468.6</v>
      </c>
      <c r="S1801">
        <v>3271</v>
      </c>
      <c r="T1801">
        <v>749304</v>
      </c>
      <c r="U1801" t="s">
        <v>5775</v>
      </c>
      <c r="V1801">
        <v>20.64</v>
      </c>
      <c r="W1801" t="s">
        <v>7973</v>
      </c>
      <c r="X1801" t="s">
        <v>9898</v>
      </c>
      <c r="Y1801">
        <v>98</v>
      </c>
      <c r="Z1801">
        <v>-22</v>
      </c>
      <c r="AA1801">
        <v>1055087</v>
      </c>
    </row>
    <row r="1802" spans="1:28">
      <c r="A1802" s="2">
        <f>HYPERLINK("https://finance.naver.com/item/coinfo.nhn?code=030790", "A030790")</f>
        <v>0</v>
      </c>
      <c r="B1802">
        <f>HYPERLINK("http://comp.fnguide.com/SVO2/ASP/SVD_Consensus.asp?pGB=1&amp;gicode=A030790&amp;cID=&amp;MenuYn=Y&amp;ReportGB=&amp;NewMenuID=108&amp;stkGb=701", "비케이탑스")</f>
        <v>0</v>
      </c>
      <c r="C1802">
        <v>0</v>
      </c>
      <c r="D1802">
        <v>19150</v>
      </c>
      <c r="E1802">
        <v>0</v>
      </c>
      <c r="G1802">
        <v>0</v>
      </c>
      <c r="H1802">
        <v>1867</v>
      </c>
      <c r="I1802">
        <v>2400</v>
      </c>
      <c r="J1802">
        <v>100</v>
      </c>
      <c r="K1802">
        <v>90.25</v>
      </c>
      <c r="L1802">
        <v>87.47</v>
      </c>
      <c r="M1802">
        <v>0</v>
      </c>
      <c r="N1802" t="b">
        <v>0</v>
      </c>
      <c r="O1802">
        <v>-7021</v>
      </c>
      <c r="P1802" t="s">
        <v>1806</v>
      </c>
      <c r="Q1802" t="s">
        <v>2276</v>
      </c>
      <c r="R1802">
        <v>0</v>
      </c>
      <c r="S1802">
        <v>2394</v>
      </c>
      <c r="T1802">
        <v>571915</v>
      </c>
      <c r="U1802" t="s">
        <v>5776</v>
      </c>
      <c r="V1802">
        <v>21.8</v>
      </c>
      <c r="W1802" t="s">
        <v>7974</v>
      </c>
      <c r="X1802" t="s">
        <v>968</v>
      </c>
      <c r="Y1802">
        <v>557</v>
      </c>
      <c r="Z1802">
        <v>-140</v>
      </c>
      <c r="AA1802">
        <v>6960</v>
      </c>
    </row>
    <row r="1803" spans="1:28">
      <c r="A1803" s="2">
        <f>HYPERLINK("https://finance.naver.com/item/coinfo.nhn?code=002070", "A002070")</f>
        <v>0</v>
      </c>
      <c r="B1803">
        <f>HYPERLINK("http://comp.fnguide.com/SVO2/ASP/SVD_Consensus.asp?pGB=1&amp;gicode=A002070&amp;cID=&amp;MenuYn=Y&amp;ReportGB=&amp;NewMenuID=108&amp;stkGb=701", "비비안")</f>
        <v>0</v>
      </c>
      <c r="C1803">
        <v>0</v>
      </c>
      <c r="D1803">
        <v>3645</v>
      </c>
      <c r="E1803">
        <v>0</v>
      </c>
      <c r="G1803">
        <v>0</v>
      </c>
      <c r="H1803">
        <v>2395</v>
      </c>
      <c r="I1803">
        <v>3077</v>
      </c>
      <c r="J1803">
        <v>100</v>
      </c>
      <c r="K1803">
        <v>34.3</v>
      </c>
      <c r="L1803">
        <v>15.58</v>
      </c>
      <c r="M1803">
        <v>0</v>
      </c>
      <c r="N1803" t="b">
        <v>0</v>
      </c>
      <c r="O1803">
        <v>-150</v>
      </c>
      <c r="P1803" t="s">
        <v>1807</v>
      </c>
      <c r="Q1803" t="s">
        <v>2276</v>
      </c>
      <c r="R1803">
        <v>0</v>
      </c>
      <c r="S1803">
        <v>975</v>
      </c>
      <c r="T1803">
        <v>5713426</v>
      </c>
      <c r="U1803" t="s">
        <v>5777</v>
      </c>
      <c r="V1803">
        <v>19.29</v>
      </c>
      <c r="W1803" t="s">
        <v>7975</v>
      </c>
      <c r="X1803" t="s">
        <v>968</v>
      </c>
      <c r="Y1803">
        <v>2001</v>
      </c>
      <c r="Z1803">
        <v>-5</v>
      </c>
      <c r="AA1803">
        <v>818030</v>
      </c>
    </row>
    <row r="1804" spans="1:28">
      <c r="A1804" s="2">
        <f>HYPERLINK("https://finance.naver.com/item/coinfo.nhn?code=005030", "A005030")</f>
        <v>0</v>
      </c>
      <c r="B1804">
        <f>HYPERLINK("http://comp.fnguide.com/SVO2/ASP/SVD_Consensus.asp?pGB=1&amp;gicode=A005030&amp;cID=&amp;MenuYn=Y&amp;ReportGB=&amp;NewMenuID=108&amp;stkGb=701", "부산주공")</f>
        <v>0</v>
      </c>
      <c r="C1804">
        <v>0</v>
      </c>
      <c r="D1804">
        <v>997</v>
      </c>
      <c r="E1804">
        <v>0</v>
      </c>
      <c r="G1804">
        <v>0</v>
      </c>
      <c r="H1804">
        <v>420</v>
      </c>
      <c r="I1804">
        <v>540</v>
      </c>
      <c r="J1804">
        <v>100</v>
      </c>
      <c r="K1804">
        <v>57.86</v>
      </c>
      <c r="L1804">
        <v>45.85</v>
      </c>
      <c r="M1804">
        <v>0</v>
      </c>
      <c r="N1804" t="b">
        <v>0</v>
      </c>
      <c r="O1804">
        <v>-509</v>
      </c>
      <c r="P1804" t="s">
        <v>1808</v>
      </c>
      <c r="Q1804" t="s">
        <v>2276</v>
      </c>
      <c r="R1804">
        <v>0</v>
      </c>
      <c r="S1804">
        <v>429</v>
      </c>
      <c r="T1804">
        <v>2660085</v>
      </c>
      <c r="U1804" t="s">
        <v>5778</v>
      </c>
      <c r="V1804">
        <v>18.22</v>
      </c>
      <c r="W1804" t="s">
        <v>7976</v>
      </c>
      <c r="X1804" t="s">
        <v>968</v>
      </c>
      <c r="Y1804">
        <v>2046</v>
      </c>
      <c r="Z1804">
        <v>-89</v>
      </c>
    </row>
    <row r="1805" spans="1:28">
      <c r="A1805" s="2">
        <f>HYPERLINK("https://finance.naver.com/item/coinfo.nhn?code=011390", "A011390")</f>
        <v>0</v>
      </c>
      <c r="B1805">
        <f>HYPERLINK("http://comp.fnguide.com/SVO2/ASP/SVD_Consensus.asp?pGB=1&amp;gicode=A011390&amp;cID=&amp;MenuYn=Y&amp;ReportGB=&amp;NewMenuID=108&amp;stkGb=701", "부산산업")</f>
        <v>0</v>
      </c>
      <c r="C1805">
        <v>0</v>
      </c>
      <c r="D1805">
        <v>116000</v>
      </c>
      <c r="E1805">
        <v>-3.21</v>
      </c>
      <c r="F1805">
        <v>39.5</v>
      </c>
      <c r="G1805">
        <v>44056</v>
      </c>
      <c r="H1805">
        <v>49334</v>
      </c>
      <c r="I1805">
        <v>50838</v>
      </c>
      <c r="J1805">
        <v>62.02</v>
      </c>
      <c r="K1805">
        <v>57.47</v>
      </c>
      <c r="L1805">
        <v>56.17</v>
      </c>
      <c r="M1805">
        <v>6.65</v>
      </c>
      <c r="N1805" t="b">
        <v>0</v>
      </c>
      <c r="O1805">
        <v>3684</v>
      </c>
      <c r="P1805" t="s">
        <v>1809</v>
      </c>
      <c r="Q1805" t="s">
        <v>3689</v>
      </c>
      <c r="R1805">
        <v>-12.30954403754456</v>
      </c>
      <c r="S1805">
        <v>1225</v>
      </c>
      <c r="T1805">
        <v>9237</v>
      </c>
      <c r="U1805" t="s">
        <v>5779</v>
      </c>
      <c r="V1805">
        <v>51.75</v>
      </c>
      <c r="W1805" t="s">
        <v>7977</v>
      </c>
      <c r="X1805" t="s">
        <v>9899</v>
      </c>
      <c r="Y1805">
        <v>1410</v>
      </c>
      <c r="Z1805">
        <v>86</v>
      </c>
      <c r="AB1805">
        <v>0.17</v>
      </c>
    </row>
    <row r="1806" spans="1:28">
      <c r="A1806" s="2">
        <f>HYPERLINK("https://finance.naver.com/item/coinfo.nhn?code=003000", "A003000")</f>
        <v>0</v>
      </c>
      <c r="B1806">
        <f>HYPERLINK("http://comp.fnguide.com/SVO2/ASP/SVD_Consensus.asp?pGB=1&amp;gicode=A003000&amp;cID=&amp;MenuYn=Y&amp;ReportGB=&amp;NewMenuID=108&amp;stkGb=701", "부광약품")</f>
        <v>0</v>
      </c>
      <c r="C1806">
        <v>0</v>
      </c>
      <c r="D1806">
        <v>24500</v>
      </c>
      <c r="G1806">
        <v>10793</v>
      </c>
      <c r="H1806">
        <v>7456</v>
      </c>
      <c r="I1806">
        <v>6506</v>
      </c>
      <c r="J1806">
        <v>55.95</v>
      </c>
      <c r="K1806">
        <v>69.56999999999999</v>
      </c>
      <c r="L1806">
        <v>73.45</v>
      </c>
      <c r="M1806">
        <v>16.41</v>
      </c>
      <c r="N1806" t="b">
        <v>0</v>
      </c>
      <c r="O1806">
        <v>-111</v>
      </c>
      <c r="P1806" t="s">
        <v>1810</v>
      </c>
      <c r="Q1806" t="s">
        <v>3690</v>
      </c>
      <c r="R1806">
        <v>79.48820441675674</v>
      </c>
      <c r="S1806">
        <v>15885</v>
      </c>
      <c r="T1806">
        <v>903105</v>
      </c>
      <c r="U1806" t="s">
        <v>5780</v>
      </c>
      <c r="V1806">
        <v>24.34</v>
      </c>
      <c r="W1806" t="s">
        <v>7978</v>
      </c>
      <c r="X1806" t="s">
        <v>9900</v>
      </c>
      <c r="Y1806">
        <v>1682</v>
      </c>
      <c r="Z1806">
        <v>95</v>
      </c>
      <c r="AA1806">
        <v>2587266</v>
      </c>
      <c r="AB1806">
        <v>1.33</v>
      </c>
    </row>
    <row r="1807" spans="1:28">
      <c r="A1807" s="2">
        <f>HYPERLINK("https://finance.naver.com/item/coinfo.nhn?code=000890", "A000890")</f>
        <v>0</v>
      </c>
      <c r="B1807">
        <f>HYPERLINK("http://comp.fnguide.com/SVO2/ASP/SVD_Consensus.asp?pGB=1&amp;gicode=A000890&amp;cID=&amp;MenuYn=Y&amp;ReportGB=&amp;NewMenuID=108&amp;stkGb=701", "보해양조")</f>
        <v>0</v>
      </c>
      <c r="C1807">
        <v>0</v>
      </c>
      <c r="D1807">
        <v>963</v>
      </c>
      <c r="G1807">
        <v>151</v>
      </c>
      <c r="H1807">
        <v>437</v>
      </c>
      <c r="I1807">
        <v>519</v>
      </c>
      <c r="J1807">
        <v>84.34999999999999</v>
      </c>
      <c r="K1807">
        <v>54.57</v>
      </c>
      <c r="L1807">
        <v>46.09</v>
      </c>
      <c r="M1807">
        <v>1.91</v>
      </c>
      <c r="N1807" t="b">
        <v>0</v>
      </c>
      <c r="O1807">
        <v>-116</v>
      </c>
      <c r="P1807" t="s">
        <v>1811</v>
      </c>
      <c r="Q1807" t="s">
        <v>3691</v>
      </c>
      <c r="R1807">
        <v>-61.1</v>
      </c>
      <c r="S1807">
        <v>1227</v>
      </c>
      <c r="T1807">
        <v>10633210</v>
      </c>
      <c r="U1807" t="s">
        <v>5781</v>
      </c>
      <c r="V1807">
        <v>26.75</v>
      </c>
      <c r="W1807" t="s">
        <v>7979</v>
      </c>
      <c r="X1807" t="s">
        <v>9901</v>
      </c>
      <c r="Y1807">
        <v>760</v>
      </c>
      <c r="Z1807">
        <v>-111</v>
      </c>
      <c r="AA1807">
        <v>44537</v>
      </c>
    </row>
    <row r="1808" spans="1:28">
      <c r="A1808" s="2">
        <f>HYPERLINK("https://finance.naver.com/item/coinfo.nhn?code=003850", "A003850")</f>
        <v>0</v>
      </c>
      <c r="B1808">
        <f>HYPERLINK("http://comp.fnguide.com/SVO2/ASP/SVD_Consensus.asp?pGB=1&amp;gicode=A003850&amp;cID=&amp;MenuYn=Y&amp;ReportGB=&amp;NewMenuID=108&amp;stkGb=701", "보령제약")</f>
        <v>0</v>
      </c>
      <c r="C1808">
        <v>0</v>
      </c>
      <c r="D1808">
        <v>19500</v>
      </c>
      <c r="E1808">
        <v>4.62</v>
      </c>
      <c r="F1808">
        <v>22.77</v>
      </c>
      <c r="G1808">
        <v>10141</v>
      </c>
      <c r="H1808">
        <v>7813</v>
      </c>
      <c r="I1808">
        <v>7150</v>
      </c>
      <c r="J1808">
        <v>47.99</v>
      </c>
      <c r="K1808">
        <v>59.93</v>
      </c>
      <c r="L1808">
        <v>63.33</v>
      </c>
      <c r="M1808">
        <v>12.9</v>
      </c>
      <c r="N1808" t="b">
        <v>1</v>
      </c>
      <c r="O1808">
        <v>729</v>
      </c>
      <c r="P1808" t="s">
        <v>1812</v>
      </c>
      <c r="Q1808" t="s">
        <v>3692</v>
      </c>
      <c r="R1808">
        <v>4.92345684892519</v>
      </c>
      <c r="S1808">
        <v>9286</v>
      </c>
      <c r="T1808">
        <v>1555656</v>
      </c>
      <c r="U1808" t="s">
        <v>5782</v>
      </c>
      <c r="V1808">
        <v>57.28</v>
      </c>
      <c r="W1808" t="s">
        <v>7980</v>
      </c>
      <c r="X1808" t="s">
        <v>9902</v>
      </c>
      <c r="Y1808">
        <v>5243</v>
      </c>
      <c r="Z1808">
        <v>391</v>
      </c>
      <c r="AA1808">
        <v>2459033</v>
      </c>
      <c r="AB1808">
        <v>0.6</v>
      </c>
    </row>
    <row r="1809" spans="1:28">
      <c r="A1809" s="2">
        <f>HYPERLINK("https://finance.naver.com/item/coinfo.nhn?code=002760", "A002760")</f>
        <v>0</v>
      </c>
      <c r="B1809">
        <f>HYPERLINK("http://comp.fnguide.com/SVO2/ASP/SVD_Consensus.asp?pGB=1&amp;gicode=A002760&amp;cID=&amp;MenuYn=Y&amp;ReportGB=&amp;NewMenuID=108&amp;stkGb=701", "보락")</f>
        <v>0</v>
      </c>
      <c r="C1809">
        <v>0</v>
      </c>
      <c r="D1809">
        <v>2660</v>
      </c>
      <c r="E1809">
        <v>-4.95</v>
      </c>
      <c r="F1809">
        <v>188.42</v>
      </c>
      <c r="G1809">
        <v>190</v>
      </c>
      <c r="H1809">
        <v>516</v>
      </c>
      <c r="I1809">
        <v>609</v>
      </c>
      <c r="J1809">
        <v>92.86</v>
      </c>
      <c r="K1809">
        <v>80.59</v>
      </c>
      <c r="L1809">
        <v>77.09999999999999</v>
      </c>
      <c r="M1809">
        <v>2.07</v>
      </c>
      <c r="N1809" t="b">
        <v>0</v>
      </c>
      <c r="O1809">
        <v>11</v>
      </c>
      <c r="P1809" t="s">
        <v>1813</v>
      </c>
      <c r="Q1809" t="s">
        <v>3693</v>
      </c>
      <c r="R1809">
        <v>-38.06008783597527</v>
      </c>
      <c r="S1809">
        <v>1593</v>
      </c>
      <c r="T1809">
        <v>4730310</v>
      </c>
      <c r="U1809" t="s">
        <v>5783</v>
      </c>
      <c r="V1809">
        <v>33.3</v>
      </c>
      <c r="W1809" t="s">
        <v>7981</v>
      </c>
      <c r="X1809" t="s">
        <v>9903</v>
      </c>
      <c r="Y1809">
        <v>361</v>
      </c>
      <c r="Z1809">
        <v>6</v>
      </c>
      <c r="AB1809">
        <v>0.25</v>
      </c>
    </row>
    <row r="1810" spans="1:28">
      <c r="A1810" s="2">
        <f>HYPERLINK("https://finance.naver.com/item/coinfo.nhn?code=268280", "A268280")</f>
        <v>0</v>
      </c>
      <c r="B1810">
        <f>HYPERLINK("http://comp.fnguide.com/SVO2/ASP/SVD_Consensus.asp?pGB=1&amp;gicode=A268280&amp;cID=&amp;MenuYn=Y&amp;ReportGB=&amp;NewMenuID=108&amp;stkGb=701", "미원에스씨")</f>
        <v>0</v>
      </c>
      <c r="C1810">
        <v>0</v>
      </c>
      <c r="D1810">
        <v>105000</v>
      </c>
      <c r="E1810">
        <v>0</v>
      </c>
      <c r="F1810">
        <v>9.57</v>
      </c>
      <c r="G1810">
        <v>88812</v>
      </c>
      <c r="H1810">
        <v>65112</v>
      </c>
      <c r="I1810">
        <v>58358</v>
      </c>
      <c r="J1810">
        <v>15.42</v>
      </c>
      <c r="K1810">
        <v>37.99</v>
      </c>
      <c r="L1810">
        <v>44.42</v>
      </c>
      <c r="M1810">
        <v>14.34</v>
      </c>
      <c r="N1810" t="b">
        <v>1</v>
      </c>
      <c r="O1810">
        <v>7542</v>
      </c>
      <c r="P1810" t="s">
        <v>1814</v>
      </c>
      <c r="Q1810" t="s">
        <v>3694</v>
      </c>
      <c r="R1810">
        <v>0</v>
      </c>
      <c r="S1810">
        <v>5355</v>
      </c>
      <c r="T1810">
        <v>2089</v>
      </c>
      <c r="U1810" t="s">
        <v>5784</v>
      </c>
      <c r="V1810">
        <v>71.84</v>
      </c>
      <c r="W1810" t="s">
        <v>7982</v>
      </c>
      <c r="X1810" t="s">
        <v>9904</v>
      </c>
      <c r="Y1810">
        <v>3779</v>
      </c>
      <c r="Z1810">
        <v>466</v>
      </c>
      <c r="AA1810">
        <v>50000</v>
      </c>
      <c r="AB1810">
        <v>2.35</v>
      </c>
    </row>
    <row r="1811" spans="1:28">
      <c r="A1811" s="2">
        <f>HYPERLINK("https://finance.naver.com/item/coinfo.nhn?code=002840", "A002840")</f>
        <v>0</v>
      </c>
      <c r="B1811">
        <f>HYPERLINK("http://comp.fnguide.com/SVO2/ASP/SVD_Consensus.asp?pGB=1&amp;gicode=A002840&amp;cID=&amp;MenuYn=Y&amp;ReportGB=&amp;NewMenuID=108&amp;stkGb=701", "미원상사")</f>
        <v>0</v>
      </c>
      <c r="C1811">
        <v>0</v>
      </c>
      <c r="D1811">
        <v>109000</v>
      </c>
      <c r="E1811">
        <v>0.31</v>
      </c>
      <c r="F1811">
        <v>9.25</v>
      </c>
      <c r="G1811">
        <v>77388</v>
      </c>
      <c r="H1811">
        <v>58043</v>
      </c>
      <c r="I1811">
        <v>52531</v>
      </c>
      <c r="J1811">
        <v>29</v>
      </c>
      <c r="K1811">
        <v>46.75</v>
      </c>
      <c r="L1811">
        <v>51.81</v>
      </c>
      <c r="M1811">
        <v>13.65</v>
      </c>
      <c r="N1811" t="b">
        <v>1</v>
      </c>
      <c r="O1811">
        <v>6164</v>
      </c>
      <c r="P1811" t="s">
        <v>1815</v>
      </c>
      <c r="Q1811" t="s">
        <v>3695</v>
      </c>
      <c r="R1811">
        <v>29.72361949477469</v>
      </c>
      <c r="S1811">
        <v>5417</v>
      </c>
      <c r="T1811">
        <v>2542</v>
      </c>
      <c r="U1811" t="s">
        <v>5785</v>
      </c>
      <c r="V1811">
        <v>58.23</v>
      </c>
      <c r="W1811" t="s">
        <v>7983</v>
      </c>
      <c r="X1811" t="s">
        <v>9905</v>
      </c>
      <c r="Y1811">
        <v>2500</v>
      </c>
      <c r="Z1811">
        <v>323</v>
      </c>
      <c r="AB1811">
        <v>1.15</v>
      </c>
    </row>
    <row r="1812" spans="1:28">
      <c r="A1812" s="2">
        <f>HYPERLINK("https://finance.naver.com/item/coinfo.nhn?code=025560", "A025560")</f>
        <v>0</v>
      </c>
      <c r="B1812">
        <f>HYPERLINK("http://comp.fnguide.com/SVO2/ASP/SVD_Consensus.asp?pGB=1&amp;gicode=A025560&amp;cID=&amp;MenuYn=Y&amp;ReportGB=&amp;NewMenuID=108&amp;stkGb=701", "미래산업")</f>
        <v>0</v>
      </c>
      <c r="C1812">
        <v>0</v>
      </c>
      <c r="D1812">
        <v>3200</v>
      </c>
      <c r="E1812">
        <v>0</v>
      </c>
      <c r="G1812">
        <v>0</v>
      </c>
      <c r="H1812">
        <v>2325</v>
      </c>
      <c r="I1812">
        <v>2987</v>
      </c>
      <c r="J1812">
        <v>100</v>
      </c>
      <c r="K1812">
        <v>27.35</v>
      </c>
      <c r="L1812">
        <v>6.65</v>
      </c>
      <c r="M1812">
        <v>0</v>
      </c>
      <c r="N1812" t="b">
        <v>0</v>
      </c>
      <c r="O1812">
        <v>-544</v>
      </c>
      <c r="P1812" t="s">
        <v>1816</v>
      </c>
      <c r="Q1812" t="s">
        <v>2276</v>
      </c>
      <c r="R1812">
        <v>0</v>
      </c>
      <c r="S1812">
        <v>540</v>
      </c>
      <c r="T1812">
        <v>414851</v>
      </c>
      <c r="U1812" t="s">
        <v>5786</v>
      </c>
      <c r="V1812">
        <v>3.7</v>
      </c>
      <c r="W1812" t="s">
        <v>7984</v>
      </c>
      <c r="X1812" t="s">
        <v>968</v>
      </c>
      <c r="Y1812">
        <v>277</v>
      </c>
      <c r="Z1812">
        <v>-57</v>
      </c>
      <c r="AA1812">
        <v>39102</v>
      </c>
    </row>
    <row r="1813" spans="1:28">
      <c r="A1813" s="2">
        <f>HYPERLINK("https://finance.naver.com/item/coinfo.nhn?code=005360", "A005360")</f>
        <v>0</v>
      </c>
      <c r="B1813">
        <f>HYPERLINK("http://comp.fnguide.com/SVO2/ASP/SVD_Consensus.asp?pGB=1&amp;gicode=A005360&amp;cID=&amp;MenuYn=Y&amp;ReportGB=&amp;NewMenuID=108&amp;stkGb=701", "모나미")</f>
        <v>0</v>
      </c>
      <c r="C1813">
        <v>0</v>
      </c>
      <c r="D1813">
        <v>6420</v>
      </c>
      <c r="G1813">
        <v>435</v>
      </c>
      <c r="H1813">
        <v>2501</v>
      </c>
      <c r="I1813">
        <v>3090</v>
      </c>
      <c r="J1813">
        <v>93.22</v>
      </c>
      <c r="K1813">
        <v>61.04</v>
      </c>
      <c r="L1813">
        <v>51.87</v>
      </c>
      <c r="M1813">
        <v>0.9</v>
      </c>
      <c r="N1813" t="b">
        <v>0</v>
      </c>
      <c r="O1813">
        <v>-92</v>
      </c>
      <c r="P1813" t="s">
        <v>1817</v>
      </c>
      <c r="Q1813" t="s">
        <v>3696</v>
      </c>
      <c r="R1813">
        <v>-51.12167143937803</v>
      </c>
      <c r="S1813">
        <v>1213</v>
      </c>
      <c r="T1813">
        <v>1373703</v>
      </c>
      <c r="U1813" t="s">
        <v>5787</v>
      </c>
      <c r="V1813">
        <v>28.2</v>
      </c>
      <c r="W1813" t="s">
        <v>7985</v>
      </c>
      <c r="X1813" t="s">
        <v>9906</v>
      </c>
      <c r="Y1813">
        <v>1320</v>
      </c>
      <c r="Z1813">
        <v>18</v>
      </c>
      <c r="AB1813">
        <v>1.91</v>
      </c>
    </row>
    <row r="1814" spans="1:28">
      <c r="A1814" s="2">
        <f>HYPERLINK("https://finance.naver.com/item/coinfo.nhn?code=012690", "A012690")</f>
        <v>0</v>
      </c>
      <c r="B1814">
        <f>HYPERLINK("http://comp.fnguide.com/SVO2/ASP/SVD_Consensus.asp?pGB=1&amp;gicode=A012690&amp;cID=&amp;MenuYn=Y&amp;ReportGB=&amp;NewMenuID=108&amp;stkGb=701", "모나리자")</f>
        <v>0</v>
      </c>
      <c r="C1814">
        <v>0</v>
      </c>
      <c r="D1814">
        <v>5260</v>
      </c>
      <c r="E1814">
        <v>0.95</v>
      </c>
      <c r="F1814">
        <v>54.61</v>
      </c>
      <c r="G1814">
        <v>640</v>
      </c>
      <c r="H1814">
        <v>1325</v>
      </c>
      <c r="I1814">
        <v>1521</v>
      </c>
      <c r="J1814">
        <v>87.81999999999999</v>
      </c>
      <c r="K1814">
        <v>74.8</v>
      </c>
      <c r="L1814">
        <v>71.09</v>
      </c>
      <c r="M1814">
        <v>2.87</v>
      </c>
      <c r="N1814" t="b">
        <v>0</v>
      </c>
      <c r="O1814">
        <v>66</v>
      </c>
      <c r="P1814" t="s">
        <v>1818</v>
      </c>
      <c r="Q1814" t="s">
        <v>3697</v>
      </c>
      <c r="R1814">
        <v>57.57751556484172</v>
      </c>
      <c r="S1814">
        <v>1924</v>
      </c>
      <c r="T1814">
        <v>291920</v>
      </c>
      <c r="U1814" t="s">
        <v>5788</v>
      </c>
      <c r="V1814">
        <v>51.04</v>
      </c>
      <c r="W1814" t="s">
        <v>7986</v>
      </c>
      <c r="X1814" t="s">
        <v>9907</v>
      </c>
      <c r="Y1814">
        <v>1180</v>
      </c>
      <c r="Z1814">
        <v>28</v>
      </c>
      <c r="AA1814">
        <v>10480</v>
      </c>
      <c r="AB1814">
        <v>1.38</v>
      </c>
    </row>
    <row r="1815" spans="1:28">
      <c r="A1815" s="2">
        <f>HYPERLINK("https://finance.naver.com/item/coinfo.nhn?code=009900", "A009900")</f>
        <v>0</v>
      </c>
      <c r="B1815">
        <f>HYPERLINK("http://comp.fnguide.com/SVO2/ASP/SVD_Consensus.asp?pGB=1&amp;gicode=A009900&amp;cID=&amp;MenuYn=Y&amp;ReportGB=&amp;NewMenuID=108&amp;stkGb=701", "명신산업")</f>
        <v>0</v>
      </c>
      <c r="C1815">
        <v>0</v>
      </c>
      <c r="D1815">
        <v>0</v>
      </c>
      <c r="E1815">
        <v>0</v>
      </c>
      <c r="G1815">
        <v>0</v>
      </c>
      <c r="H1815">
        <v>0</v>
      </c>
      <c r="I1815">
        <v>0</v>
      </c>
      <c r="M1815">
        <v>28.61</v>
      </c>
      <c r="N1815" t="b">
        <v>0</v>
      </c>
      <c r="P1815" t="s">
        <v>968</v>
      </c>
      <c r="Q1815" t="s">
        <v>2757</v>
      </c>
      <c r="R1815">
        <v>0</v>
      </c>
      <c r="T1815">
        <v>0</v>
      </c>
      <c r="U1815" t="s">
        <v>5789</v>
      </c>
      <c r="W1815" t="s">
        <v>7987</v>
      </c>
      <c r="X1815" t="s">
        <v>968</v>
      </c>
    </row>
    <row r="1816" spans="1:28">
      <c r="A1816" s="2">
        <f>HYPERLINK("https://finance.naver.com/item/coinfo.nhn?code=017180", "A017180")</f>
        <v>0</v>
      </c>
      <c r="B1816">
        <f>HYPERLINK("http://comp.fnguide.com/SVO2/ASP/SVD_Consensus.asp?pGB=1&amp;gicode=A017180&amp;cID=&amp;MenuYn=Y&amp;ReportGB=&amp;NewMenuID=108&amp;stkGb=701", "명문제약")</f>
        <v>0</v>
      </c>
      <c r="C1816">
        <v>0</v>
      </c>
      <c r="D1816">
        <v>6530</v>
      </c>
      <c r="G1816">
        <v>491</v>
      </c>
      <c r="H1816">
        <v>1556</v>
      </c>
      <c r="I1816">
        <v>1859</v>
      </c>
      <c r="J1816">
        <v>92.48999999999999</v>
      </c>
      <c r="K1816">
        <v>76.18000000000001</v>
      </c>
      <c r="L1816">
        <v>71.53</v>
      </c>
      <c r="M1816">
        <v>1.73</v>
      </c>
      <c r="N1816" t="b">
        <v>0</v>
      </c>
      <c r="O1816">
        <v>-779</v>
      </c>
      <c r="P1816" t="s">
        <v>1819</v>
      </c>
      <c r="Q1816" t="s">
        <v>3698</v>
      </c>
      <c r="R1816">
        <v>-63.22296912473766</v>
      </c>
      <c r="S1816">
        <v>2217</v>
      </c>
      <c r="T1816">
        <v>1271605</v>
      </c>
      <c r="U1816" t="s">
        <v>5790</v>
      </c>
      <c r="V1816">
        <v>20.92</v>
      </c>
      <c r="W1816" t="s">
        <v>7988</v>
      </c>
      <c r="X1816" t="s">
        <v>9908</v>
      </c>
      <c r="Y1816">
        <v>1493</v>
      </c>
      <c r="Z1816">
        <v>-143</v>
      </c>
      <c r="AA1816">
        <v>147664</v>
      </c>
    </row>
    <row r="1817" spans="1:28">
      <c r="A1817" s="2">
        <f>HYPERLINK("https://finance.naver.com/item/coinfo.nhn?code=090370", "A090370")</f>
        <v>0</v>
      </c>
      <c r="B1817">
        <f>HYPERLINK("http://comp.fnguide.com/SVO2/ASP/SVD_Consensus.asp?pGB=1&amp;gicode=A090370&amp;cID=&amp;MenuYn=Y&amp;ReportGB=&amp;NewMenuID=108&amp;stkGb=701", "메타랩스")</f>
        <v>0</v>
      </c>
      <c r="C1817">
        <v>0</v>
      </c>
      <c r="D1817">
        <v>1130</v>
      </c>
      <c r="E1817">
        <v>0</v>
      </c>
      <c r="G1817">
        <v>0</v>
      </c>
      <c r="H1817">
        <v>537</v>
      </c>
      <c r="I1817">
        <v>690</v>
      </c>
      <c r="J1817">
        <v>100</v>
      </c>
      <c r="K1817">
        <v>52.5</v>
      </c>
      <c r="L1817">
        <v>38.96</v>
      </c>
      <c r="M1817">
        <v>0</v>
      </c>
      <c r="N1817" t="b">
        <v>0</v>
      </c>
      <c r="O1817">
        <v>-454</v>
      </c>
      <c r="P1817" t="s">
        <v>1820</v>
      </c>
      <c r="Q1817" t="s">
        <v>2276</v>
      </c>
      <c r="R1817">
        <v>0</v>
      </c>
      <c r="S1817">
        <v>720</v>
      </c>
      <c r="T1817">
        <v>655047</v>
      </c>
      <c r="U1817" t="s">
        <v>5791</v>
      </c>
      <c r="V1817">
        <v>24.84</v>
      </c>
      <c r="W1817" t="s">
        <v>7989</v>
      </c>
      <c r="X1817" t="s">
        <v>968</v>
      </c>
      <c r="Y1817">
        <v>869</v>
      </c>
      <c r="Z1817">
        <v>-20</v>
      </c>
      <c r="AA1817">
        <v>1737</v>
      </c>
    </row>
    <row r="1818" spans="1:28">
      <c r="A1818" s="2">
        <f>HYPERLINK("https://finance.naver.com/item/coinfo.nhn?code=204320", "A204320")</f>
        <v>0</v>
      </c>
      <c r="B1818">
        <f>HYPERLINK("http://comp.fnguide.com/SVO2/ASP/SVD_Consensus.asp?pGB=1&amp;gicode=A204320&amp;cID=&amp;MenuYn=Y&amp;ReportGB=&amp;NewMenuID=108&amp;stkGb=701", "만도")</f>
        <v>0</v>
      </c>
      <c r="C1818">
        <v>0</v>
      </c>
      <c r="D1818">
        <v>54600</v>
      </c>
      <c r="E1818">
        <v>-4.74</v>
      </c>
      <c r="F1818">
        <v>14.96</v>
      </c>
      <c r="G1818">
        <v>25837</v>
      </c>
      <c r="H1818">
        <v>29711</v>
      </c>
      <c r="I1818">
        <v>30815</v>
      </c>
      <c r="J1818">
        <v>52.68</v>
      </c>
      <c r="K1818">
        <v>45.58</v>
      </c>
      <c r="L1818">
        <v>43.56</v>
      </c>
      <c r="M1818">
        <v>6.38</v>
      </c>
      <c r="N1818" t="b">
        <v>1</v>
      </c>
      <c r="O1818">
        <v>2354</v>
      </c>
      <c r="P1818" t="s">
        <v>1821</v>
      </c>
      <c r="Q1818" t="s">
        <v>3699</v>
      </c>
      <c r="R1818">
        <v>-3.15654255822192</v>
      </c>
      <c r="S1818">
        <v>25639</v>
      </c>
      <c r="T1818">
        <v>747197</v>
      </c>
      <c r="U1818" t="s">
        <v>5792</v>
      </c>
      <c r="V1818">
        <v>30.26</v>
      </c>
      <c r="W1818" t="s">
        <v>7990</v>
      </c>
      <c r="X1818" t="s">
        <v>9909</v>
      </c>
      <c r="Y1818">
        <v>59819</v>
      </c>
      <c r="Z1818">
        <v>2186</v>
      </c>
      <c r="AA1818">
        <v>132480</v>
      </c>
      <c r="AB1818">
        <v>1.56</v>
      </c>
    </row>
    <row r="1819" spans="1:28">
      <c r="A1819" s="2">
        <f>HYPERLINK("https://finance.naver.com/item/coinfo.nhn?code=027740", "A027740")</f>
        <v>0</v>
      </c>
      <c r="B1819">
        <f>HYPERLINK("http://comp.fnguide.com/SVO2/ASP/SVD_Consensus.asp?pGB=1&amp;gicode=A027740&amp;cID=&amp;MenuYn=Y&amp;ReportGB=&amp;NewMenuID=108&amp;stkGb=701", "마니커")</f>
        <v>0</v>
      </c>
      <c r="C1819">
        <v>0</v>
      </c>
      <c r="D1819">
        <v>694</v>
      </c>
      <c r="E1819">
        <v>0</v>
      </c>
      <c r="G1819">
        <v>0</v>
      </c>
      <c r="H1819">
        <v>266</v>
      </c>
      <c r="I1819">
        <v>342</v>
      </c>
      <c r="J1819">
        <v>100</v>
      </c>
      <c r="K1819">
        <v>61.66</v>
      </c>
      <c r="L1819">
        <v>50.73</v>
      </c>
      <c r="M1819">
        <v>0</v>
      </c>
      <c r="N1819" t="b">
        <v>0</v>
      </c>
      <c r="O1819">
        <v>-109</v>
      </c>
      <c r="P1819" t="s">
        <v>1822</v>
      </c>
      <c r="Q1819" t="s">
        <v>2276</v>
      </c>
      <c r="R1819">
        <v>0</v>
      </c>
      <c r="S1819">
        <v>1377</v>
      </c>
      <c r="T1819">
        <v>1655628</v>
      </c>
      <c r="U1819" t="s">
        <v>5793</v>
      </c>
      <c r="V1819">
        <v>26.39</v>
      </c>
      <c r="W1819" t="s">
        <v>7991</v>
      </c>
      <c r="X1819" t="s">
        <v>968</v>
      </c>
      <c r="Y1819">
        <v>2417</v>
      </c>
      <c r="Z1819">
        <v>-150</v>
      </c>
    </row>
    <row r="1820" spans="1:28">
      <c r="A1820" s="2">
        <f>HYPERLINK("https://finance.naver.com/item/coinfo.nhn?code=006400", "A006400")</f>
        <v>0</v>
      </c>
      <c r="B1820">
        <f>HYPERLINK("http://comp.fnguide.com/SVO2/ASP/SVD_Consensus.asp?pGB=1&amp;gicode=A006400&amp;cID=&amp;MenuYn=Y&amp;ReportGB=&amp;NewMenuID=108&amp;stkGb=701", "삼성SDI")</f>
        <v>0</v>
      </c>
      <c r="C1820">
        <v>0</v>
      </c>
      <c r="D1820">
        <v>551000</v>
      </c>
      <c r="E1820">
        <v>1.41</v>
      </c>
      <c r="F1820">
        <v>46.59</v>
      </c>
      <c r="G1820">
        <v>105957</v>
      </c>
      <c r="H1820">
        <v>155467</v>
      </c>
      <c r="I1820">
        <v>169574</v>
      </c>
      <c r="J1820">
        <v>80.77</v>
      </c>
      <c r="K1820">
        <v>71.78</v>
      </c>
      <c r="L1820">
        <v>69.22</v>
      </c>
      <c r="M1820">
        <v>4.48</v>
      </c>
      <c r="N1820" t="b">
        <v>0</v>
      </c>
      <c r="O1820">
        <v>5066</v>
      </c>
      <c r="P1820" t="s">
        <v>1823</v>
      </c>
      <c r="Q1820" t="s">
        <v>3700</v>
      </c>
      <c r="R1820">
        <v>33.08998699101131</v>
      </c>
      <c r="S1820">
        <v>378893</v>
      </c>
      <c r="T1820">
        <v>335878</v>
      </c>
      <c r="U1820" t="s">
        <v>5794</v>
      </c>
      <c r="V1820">
        <v>20.57</v>
      </c>
      <c r="W1820" t="s">
        <v>7992</v>
      </c>
      <c r="X1820" t="s">
        <v>9910</v>
      </c>
      <c r="Y1820">
        <v>100974</v>
      </c>
      <c r="Z1820">
        <v>4622</v>
      </c>
      <c r="AA1820">
        <v>3331391</v>
      </c>
      <c r="AB1820">
        <v>0.42</v>
      </c>
    </row>
    <row r="1821" spans="1:28">
      <c r="A1821" s="2">
        <f>HYPERLINK("https://finance.naver.com/item/coinfo.nhn?code=207940", "A207940")</f>
        <v>0</v>
      </c>
      <c r="B1821">
        <f>HYPERLINK("http://comp.fnguide.com/SVO2/ASP/SVD_Consensus.asp?pGB=1&amp;gicode=A207940&amp;cID=&amp;MenuYn=Y&amp;ReportGB=&amp;NewMenuID=108&amp;stkGb=701", "삼성바이오로직스")</f>
        <v>0</v>
      </c>
      <c r="C1821">
        <v>0</v>
      </c>
      <c r="D1821">
        <v>825000</v>
      </c>
      <c r="E1821">
        <v>-14.86</v>
      </c>
      <c r="F1821">
        <v>141.2</v>
      </c>
      <c r="G1821">
        <v>34861</v>
      </c>
      <c r="H1821">
        <v>53458</v>
      </c>
      <c r="I1821">
        <v>58757</v>
      </c>
      <c r="J1821">
        <v>95.77</v>
      </c>
      <c r="K1821">
        <v>93.52</v>
      </c>
      <c r="L1821">
        <v>92.88</v>
      </c>
      <c r="M1821">
        <v>4.22</v>
      </c>
      <c r="N1821" t="b">
        <v>0</v>
      </c>
      <c r="O1821">
        <v>3067</v>
      </c>
      <c r="P1821" t="s">
        <v>1824</v>
      </c>
      <c r="Q1821" t="s">
        <v>3701</v>
      </c>
      <c r="R1821">
        <v>-9.499999999999996</v>
      </c>
      <c r="S1821">
        <v>545861</v>
      </c>
      <c r="T1821">
        <v>301856</v>
      </c>
      <c r="U1821" t="s">
        <v>5795</v>
      </c>
      <c r="V1821">
        <v>75.08</v>
      </c>
      <c r="W1821" t="s">
        <v>7993</v>
      </c>
      <c r="X1821" t="s">
        <v>9911</v>
      </c>
      <c r="Y1821">
        <v>7016</v>
      </c>
      <c r="Z1821">
        <v>917</v>
      </c>
    </row>
    <row r="1822" spans="1:28">
      <c r="A1822" s="2">
        <f>HYPERLINK("https://finance.naver.com/item/coinfo.nhn?code=018260", "A018260")</f>
        <v>0</v>
      </c>
      <c r="B1822">
        <f>HYPERLINK("http://comp.fnguide.com/SVO2/ASP/SVD_Consensus.asp?pGB=1&amp;gicode=A018260&amp;cID=&amp;MenuYn=Y&amp;ReportGB=&amp;NewMenuID=108&amp;stkGb=701", "삼성에스디에스")</f>
        <v>0</v>
      </c>
      <c r="C1822">
        <v>0</v>
      </c>
      <c r="D1822">
        <v>174500</v>
      </c>
      <c r="E1822">
        <v>-16.99</v>
      </c>
      <c r="F1822">
        <v>20.44</v>
      </c>
      <c r="G1822">
        <v>118585</v>
      </c>
      <c r="H1822">
        <v>98181</v>
      </c>
      <c r="I1822">
        <v>92367</v>
      </c>
      <c r="J1822">
        <v>32.04</v>
      </c>
      <c r="K1822">
        <v>43.74</v>
      </c>
      <c r="L1822">
        <v>47.07</v>
      </c>
      <c r="M1822">
        <v>11.17</v>
      </c>
      <c r="N1822" t="b">
        <v>1</v>
      </c>
      <c r="O1822">
        <v>9518</v>
      </c>
      <c r="P1822" t="s">
        <v>1825</v>
      </c>
      <c r="Q1822" t="s">
        <v>3702</v>
      </c>
      <c r="R1822">
        <v>-1.202914777330033</v>
      </c>
      <c r="S1822">
        <v>135024</v>
      </c>
      <c r="T1822">
        <v>173669</v>
      </c>
      <c r="U1822" t="s">
        <v>5796</v>
      </c>
      <c r="V1822">
        <v>56.77</v>
      </c>
      <c r="W1822" t="s">
        <v>7994</v>
      </c>
      <c r="X1822" t="s">
        <v>9912</v>
      </c>
      <c r="Y1822">
        <v>107196</v>
      </c>
      <c r="Z1822">
        <v>9901</v>
      </c>
      <c r="AA1822">
        <v>27614</v>
      </c>
      <c r="AB1822">
        <v>1.23</v>
      </c>
    </row>
    <row r="1823" spans="1:28">
      <c r="A1823" s="2">
        <f>HYPERLINK("https://finance.naver.com/item/coinfo.nhn?code=009470", "A009470")</f>
        <v>0</v>
      </c>
      <c r="B1823">
        <f>HYPERLINK("http://comp.fnguide.com/SVO2/ASP/SVD_Consensus.asp?pGB=1&amp;gicode=A009470&amp;cID=&amp;MenuYn=Y&amp;ReportGB=&amp;NewMenuID=108&amp;stkGb=701", "삼화전기")</f>
        <v>0</v>
      </c>
      <c r="C1823">
        <v>0</v>
      </c>
      <c r="D1823">
        <v>18900</v>
      </c>
      <c r="E1823">
        <v>1.6</v>
      </c>
      <c r="F1823">
        <v>33.51</v>
      </c>
      <c r="G1823">
        <v>11131</v>
      </c>
      <c r="H1823">
        <v>8449</v>
      </c>
      <c r="I1823">
        <v>7685</v>
      </c>
      <c r="J1823">
        <v>41.1</v>
      </c>
      <c r="K1823">
        <v>55.29</v>
      </c>
      <c r="L1823">
        <v>59.34</v>
      </c>
      <c r="M1823">
        <v>13.3</v>
      </c>
      <c r="N1823" t="b">
        <v>0</v>
      </c>
      <c r="O1823">
        <v>460</v>
      </c>
      <c r="P1823" t="s">
        <v>1826</v>
      </c>
      <c r="Q1823" t="s">
        <v>3703</v>
      </c>
      <c r="R1823">
        <v>20.89522920696436</v>
      </c>
      <c r="S1823">
        <v>1250</v>
      </c>
      <c r="T1823">
        <v>47596</v>
      </c>
      <c r="U1823" t="s">
        <v>5797</v>
      </c>
      <c r="V1823">
        <v>25.53</v>
      </c>
      <c r="W1823" t="s">
        <v>7995</v>
      </c>
      <c r="X1823" t="s">
        <v>9913</v>
      </c>
      <c r="Y1823">
        <v>1951</v>
      </c>
      <c r="Z1823">
        <v>51</v>
      </c>
      <c r="AB1823">
        <v>0.65</v>
      </c>
    </row>
    <row r="1824" spans="1:28">
      <c r="A1824" s="2">
        <f>HYPERLINK("https://finance.naver.com/item/coinfo.nhn?code=075580", "A075580")</f>
        <v>0</v>
      </c>
      <c r="B1824">
        <f>HYPERLINK("http://comp.fnguide.com/SVO2/ASP/SVD_Consensus.asp?pGB=1&amp;gicode=A075580&amp;cID=&amp;MenuYn=Y&amp;ReportGB=&amp;NewMenuID=108&amp;stkGb=701", "세진중공업")</f>
        <v>0</v>
      </c>
      <c r="C1824">
        <v>0</v>
      </c>
      <c r="D1824">
        <v>6570</v>
      </c>
      <c r="E1824">
        <v>-1.82</v>
      </c>
      <c r="F1824">
        <v>74.33</v>
      </c>
      <c r="G1824">
        <v>473</v>
      </c>
      <c r="H1824">
        <v>1893</v>
      </c>
      <c r="I1824">
        <v>2297</v>
      </c>
      <c r="J1824">
        <v>92.81</v>
      </c>
      <c r="K1824">
        <v>71.19</v>
      </c>
      <c r="L1824">
        <v>65.03</v>
      </c>
      <c r="M1824">
        <v>1.33</v>
      </c>
      <c r="N1824" t="b">
        <v>0</v>
      </c>
      <c r="O1824">
        <v>42</v>
      </c>
      <c r="P1824" t="s">
        <v>1827</v>
      </c>
      <c r="Q1824" t="s">
        <v>3704</v>
      </c>
      <c r="R1824">
        <v>-40.89603733656973</v>
      </c>
      <c r="S1824">
        <v>3735</v>
      </c>
      <c r="T1824">
        <v>656471</v>
      </c>
      <c r="U1824" t="s">
        <v>5798</v>
      </c>
      <c r="V1824">
        <v>59.75</v>
      </c>
      <c r="W1824" t="s">
        <v>7996</v>
      </c>
      <c r="X1824" t="s">
        <v>9914</v>
      </c>
      <c r="Y1824">
        <v>2959</v>
      </c>
      <c r="Z1824">
        <v>94</v>
      </c>
      <c r="AA1824">
        <v>1419247</v>
      </c>
      <c r="AB1824">
        <v>0.44</v>
      </c>
    </row>
    <row r="1825" spans="1:28">
      <c r="A1825" s="2">
        <f>HYPERLINK("https://finance.naver.com/item/coinfo.nhn?code=091090", "A091090")</f>
        <v>0</v>
      </c>
      <c r="B1825">
        <f>HYPERLINK("http://comp.fnguide.com/SVO2/ASP/SVD_Consensus.asp?pGB=1&amp;gicode=A091090&amp;cID=&amp;MenuYn=Y&amp;ReportGB=&amp;NewMenuID=108&amp;stkGb=701", "세원셀론텍")</f>
        <v>0</v>
      </c>
      <c r="C1825">
        <v>0</v>
      </c>
      <c r="D1825">
        <v>2910</v>
      </c>
      <c r="E1825">
        <v>0</v>
      </c>
      <c r="G1825">
        <v>0</v>
      </c>
      <c r="H1825">
        <v>1700</v>
      </c>
      <c r="I1825">
        <v>2184</v>
      </c>
      <c r="J1825">
        <v>100</v>
      </c>
      <c r="K1825">
        <v>41.6</v>
      </c>
      <c r="L1825">
        <v>24.96</v>
      </c>
      <c r="M1825">
        <v>0</v>
      </c>
      <c r="N1825" t="b">
        <v>0</v>
      </c>
      <c r="O1825">
        <v>-93</v>
      </c>
      <c r="P1825" t="s">
        <v>1828</v>
      </c>
      <c r="Q1825" t="s">
        <v>2276</v>
      </c>
      <c r="R1825">
        <v>0</v>
      </c>
      <c r="S1825">
        <v>1817</v>
      </c>
      <c r="T1825">
        <v>938834</v>
      </c>
      <c r="U1825" t="s">
        <v>5799</v>
      </c>
      <c r="V1825">
        <v>30.32</v>
      </c>
      <c r="W1825" t="s">
        <v>7997</v>
      </c>
      <c r="X1825" t="s">
        <v>968</v>
      </c>
      <c r="Y1825">
        <v>1819</v>
      </c>
      <c r="Z1825">
        <v>16</v>
      </c>
      <c r="AA1825">
        <v>2137</v>
      </c>
    </row>
    <row r="1826" spans="1:28">
      <c r="A1826" s="2">
        <f>HYPERLINK("https://finance.naver.com/item/coinfo.nhn?code=013000", "A013000")</f>
        <v>0</v>
      </c>
      <c r="B1826">
        <f>HYPERLINK("http://comp.fnguide.com/SVO2/ASP/SVD_Consensus.asp?pGB=1&amp;gicode=A013000&amp;cID=&amp;MenuYn=Y&amp;ReportGB=&amp;NewMenuID=108&amp;stkGb=701", "세우글로벌")</f>
        <v>0</v>
      </c>
      <c r="C1826">
        <v>0</v>
      </c>
      <c r="D1826">
        <v>3105</v>
      </c>
      <c r="E1826">
        <v>3.1</v>
      </c>
      <c r="F1826">
        <v>689.86</v>
      </c>
      <c r="G1826">
        <v>155</v>
      </c>
      <c r="H1826">
        <v>895</v>
      </c>
      <c r="I1826">
        <v>1106</v>
      </c>
      <c r="J1826">
        <v>95.01000000000001</v>
      </c>
      <c r="K1826">
        <v>71.18000000000001</v>
      </c>
      <c r="L1826">
        <v>64.39</v>
      </c>
      <c r="M1826">
        <v>0.89</v>
      </c>
      <c r="N1826" t="b">
        <v>0</v>
      </c>
      <c r="O1826">
        <v>3</v>
      </c>
      <c r="P1826" t="s">
        <v>1829</v>
      </c>
      <c r="Q1826" t="s">
        <v>3705</v>
      </c>
      <c r="R1826">
        <v>222.4725104563178</v>
      </c>
      <c r="S1826">
        <v>891</v>
      </c>
      <c r="T1826">
        <v>2088022</v>
      </c>
      <c r="U1826" t="s">
        <v>5800</v>
      </c>
      <c r="V1826">
        <v>34.86</v>
      </c>
      <c r="W1826" t="s">
        <v>7998</v>
      </c>
      <c r="X1826" t="s">
        <v>9915</v>
      </c>
      <c r="Y1826">
        <v>275</v>
      </c>
      <c r="Z1826">
        <v>11</v>
      </c>
      <c r="AA1826">
        <v>2050</v>
      </c>
    </row>
    <row r="1827" spans="1:28">
      <c r="A1827" s="2">
        <f>HYPERLINK("https://finance.naver.com/item/coinfo.nhn?code=002420", "A002420")</f>
        <v>0</v>
      </c>
      <c r="B1827">
        <f>HYPERLINK("http://comp.fnguide.com/SVO2/ASP/SVD_Consensus.asp?pGB=1&amp;gicode=A002420&amp;cID=&amp;MenuYn=Y&amp;ReportGB=&amp;NewMenuID=108&amp;stkGb=701", "세기상사")</f>
        <v>0</v>
      </c>
      <c r="C1827">
        <v>0</v>
      </c>
      <c r="D1827">
        <v>61600</v>
      </c>
      <c r="E1827">
        <v>0</v>
      </c>
      <c r="G1827">
        <v>460</v>
      </c>
      <c r="H1827">
        <v>33204</v>
      </c>
      <c r="I1827">
        <v>42534</v>
      </c>
      <c r="J1827">
        <v>99.25</v>
      </c>
      <c r="K1827">
        <v>46.1</v>
      </c>
      <c r="L1827">
        <v>30.95</v>
      </c>
      <c r="M1827">
        <v>0.07000000000000001</v>
      </c>
      <c r="N1827" t="b">
        <v>0</v>
      </c>
      <c r="O1827">
        <v>-2309</v>
      </c>
      <c r="P1827" t="s">
        <v>1830</v>
      </c>
      <c r="Q1827" t="s">
        <v>2276</v>
      </c>
      <c r="R1827">
        <v>0</v>
      </c>
      <c r="S1827">
        <v>251</v>
      </c>
      <c r="T1827">
        <v>0</v>
      </c>
      <c r="U1827" t="s">
        <v>5801</v>
      </c>
      <c r="V1827">
        <v>52.65</v>
      </c>
      <c r="W1827" t="s">
        <v>7999</v>
      </c>
      <c r="X1827" t="s">
        <v>9916</v>
      </c>
      <c r="Y1827">
        <v>51</v>
      </c>
      <c r="Z1827">
        <v>-5</v>
      </c>
    </row>
    <row r="1828" spans="1:28">
      <c r="A1828" s="2">
        <f>HYPERLINK("https://finance.naver.com/item/coinfo.nhn?code=014910", "A014910")</f>
        <v>0</v>
      </c>
      <c r="B1828">
        <f>HYPERLINK("http://comp.fnguide.com/SVO2/ASP/SVD_Consensus.asp?pGB=1&amp;gicode=A014910&amp;cID=&amp;MenuYn=Y&amp;ReportGB=&amp;NewMenuID=108&amp;stkGb=701", "성문전자")</f>
        <v>0</v>
      </c>
      <c r="C1828">
        <v>0</v>
      </c>
      <c r="D1828">
        <v>1900</v>
      </c>
      <c r="E1828">
        <v>0</v>
      </c>
      <c r="G1828">
        <v>44</v>
      </c>
      <c r="H1828">
        <v>913</v>
      </c>
      <c r="I1828">
        <v>1161</v>
      </c>
      <c r="J1828">
        <v>97.7</v>
      </c>
      <c r="K1828">
        <v>51.93</v>
      </c>
      <c r="L1828">
        <v>38.89</v>
      </c>
      <c r="M1828">
        <v>0.23</v>
      </c>
      <c r="N1828" t="b">
        <v>0</v>
      </c>
      <c r="O1828">
        <v>-92</v>
      </c>
      <c r="P1828" t="s">
        <v>1831</v>
      </c>
      <c r="Q1828" t="s">
        <v>2276</v>
      </c>
      <c r="R1828">
        <v>0</v>
      </c>
      <c r="S1828">
        <v>370</v>
      </c>
      <c r="T1828">
        <v>191939</v>
      </c>
      <c r="U1828" t="s">
        <v>5802</v>
      </c>
      <c r="V1828">
        <v>27.38</v>
      </c>
      <c r="W1828" t="s">
        <v>8000</v>
      </c>
      <c r="X1828" t="s">
        <v>9917</v>
      </c>
      <c r="Y1828">
        <v>359</v>
      </c>
      <c r="Z1828">
        <v>-16</v>
      </c>
      <c r="AA1828">
        <v>1243728</v>
      </c>
      <c r="AB1828">
        <v>0</v>
      </c>
    </row>
    <row r="1829" spans="1:28">
      <c r="A1829" s="2">
        <f>HYPERLINK("https://finance.naver.com/item/coinfo.nhn?code=008490", "A008490")</f>
        <v>0</v>
      </c>
      <c r="B1829">
        <f>HYPERLINK("http://comp.fnguide.com/SVO2/ASP/SVD_Consensus.asp?pGB=1&amp;gicode=A008490&amp;cID=&amp;MenuYn=Y&amp;ReportGB=&amp;NewMenuID=108&amp;stkGb=701", "서흥")</f>
        <v>0</v>
      </c>
      <c r="C1829">
        <v>0</v>
      </c>
      <c r="D1829">
        <v>47650</v>
      </c>
      <c r="E1829">
        <v>0.84</v>
      </c>
      <c r="F1829">
        <v>12.95</v>
      </c>
      <c r="G1829">
        <v>33962</v>
      </c>
      <c r="H1829">
        <v>29530</v>
      </c>
      <c r="I1829">
        <v>28267</v>
      </c>
      <c r="J1829">
        <v>28.73</v>
      </c>
      <c r="K1829">
        <v>38.03</v>
      </c>
      <c r="L1829">
        <v>40.68</v>
      </c>
      <c r="M1829">
        <v>10.18</v>
      </c>
      <c r="N1829" t="b">
        <v>1</v>
      </c>
      <c r="O1829">
        <v>2742</v>
      </c>
      <c r="P1829" t="s">
        <v>1832</v>
      </c>
      <c r="Q1829" t="s">
        <v>3706</v>
      </c>
      <c r="R1829">
        <v>15.44694315800152</v>
      </c>
      <c r="S1829">
        <v>5513</v>
      </c>
      <c r="T1829">
        <v>61173</v>
      </c>
      <c r="U1829" t="s">
        <v>5803</v>
      </c>
      <c r="V1829">
        <v>53.22</v>
      </c>
      <c r="W1829" t="s">
        <v>8001</v>
      </c>
      <c r="X1829" t="s">
        <v>9918</v>
      </c>
      <c r="Y1829">
        <v>4607</v>
      </c>
      <c r="Z1829">
        <v>474</v>
      </c>
      <c r="AA1829">
        <v>450000</v>
      </c>
      <c r="AB1829">
        <v>1.13</v>
      </c>
    </row>
    <row r="1830" spans="1:28">
      <c r="A1830" s="2">
        <f>HYPERLINK("https://finance.naver.com/item/coinfo.nhn?code=021050", "A021050")</f>
        <v>0</v>
      </c>
      <c r="B1830">
        <f>HYPERLINK("http://comp.fnguide.com/SVO2/ASP/SVD_Consensus.asp?pGB=1&amp;gicode=A021050&amp;cID=&amp;MenuYn=Y&amp;ReportGB=&amp;NewMenuID=108&amp;stkGb=701", "서원")</f>
        <v>0</v>
      </c>
      <c r="C1830">
        <v>0</v>
      </c>
      <c r="D1830">
        <v>2925</v>
      </c>
      <c r="E1830">
        <v>-0.79</v>
      </c>
      <c r="F1830">
        <v>43.26</v>
      </c>
      <c r="G1830">
        <v>1183</v>
      </c>
      <c r="H1830">
        <v>1770</v>
      </c>
      <c r="I1830">
        <v>1937</v>
      </c>
      <c r="J1830">
        <v>59.54</v>
      </c>
      <c r="K1830">
        <v>39.5</v>
      </c>
      <c r="L1830">
        <v>33.79</v>
      </c>
      <c r="M1830">
        <v>4.37</v>
      </c>
      <c r="N1830" t="b">
        <v>0</v>
      </c>
      <c r="O1830">
        <v>65</v>
      </c>
      <c r="P1830" t="s">
        <v>1833</v>
      </c>
      <c r="Q1830" t="s">
        <v>3707</v>
      </c>
      <c r="R1830">
        <v>-54.50758440477401</v>
      </c>
      <c r="S1830">
        <v>1389</v>
      </c>
      <c r="T1830">
        <v>1655604</v>
      </c>
      <c r="U1830" t="s">
        <v>5804</v>
      </c>
      <c r="V1830">
        <v>38.69</v>
      </c>
      <c r="W1830" t="s">
        <v>8002</v>
      </c>
      <c r="X1830" t="s">
        <v>9919</v>
      </c>
      <c r="Y1830">
        <v>2577</v>
      </c>
      <c r="Z1830">
        <v>80</v>
      </c>
      <c r="AB1830">
        <v>0.35</v>
      </c>
    </row>
    <row r="1831" spans="1:28">
      <c r="A1831" s="2">
        <f>HYPERLINK("https://finance.naver.com/item/coinfo.nhn?code=004410", "A004410")</f>
        <v>0</v>
      </c>
      <c r="B1831">
        <f>HYPERLINK("http://comp.fnguide.com/SVO2/ASP/SVD_Consensus.asp?pGB=1&amp;gicode=A004410&amp;cID=&amp;MenuYn=Y&amp;ReportGB=&amp;NewMenuID=108&amp;stkGb=701", "서울식품")</f>
        <v>0</v>
      </c>
      <c r="C1831">
        <v>0</v>
      </c>
      <c r="D1831">
        <v>247</v>
      </c>
      <c r="G1831">
        <v>8</v>
      </c>
      <c r="H1831">
        <v>48</v>
      </c>
      <c r="I1831">
        <v>59</v>
      </c>
      <c r="J1831">
        <v>96.67</v>
      </c>
      <c r="K1831">
        <v>80.65000000000001</v>
      </c>
      <c r="L1831">
        <v>76.08</v>
      </c>
      <c r="M1831">
        <v>0.88</v>
      </c>
      <c r="N1831" t="b">
        <v>0</v>
      </c>
      <c r="O1831">
        <v>-6</v>
      </c>
      <c r="P1831" t="s">
        <v>1834</v>
      </c>
      <c r="Q1831" t="s">
        <v>3708</v>
      </c>
      <c r="R1831">
        <v>-18.78923886017239</v>
      </c>
      <c r="S1831">
        <v>833</v>
      </c>
      <c r="T1831">
        <v>413283482</v>
      </c>
      <c r="U1831" t="s">
        <v>5805</v>
      </c>
      <c r="V1831">
        <v>16.2</v>
      </c>
      <c r="W1831" t="s">
        <v>8003</v>
      </c>
      <c r="X1831" t="s">
        <v>9920</v>
      </c>
      <c r="Y1831">
        <v>621</v>
      </c>
      <c r="Z1831">
        <v>4</v>
      </c>
      <c r="AA1831">
        <v>150</v>
      </c>
    </row>
    <row r="1832" spans="1:28">
      <c r="A1832" s="2">
        <f>HYPERLINK("https://finance.naver.com/item/coinfo.nhn?code=011230", "A011230")</f>
        <v>0</v>
      </c>
      <c r="B1832">
        <f>HYPERLINK("http://comp.fnguide.com/SVO2/ASP/SVD_Consensus.asp?pGB=1&amp;gicode=A011230&amp;cID=&amp;MenuYn=Y&amp;ReportGB=&amp;NewMenuID=108&amp;stkGb=701", "삼화전자")</f>
        <v>0</v>
      </c>
      <c r="C1832">
        <v>0</v>
      </c>
      <c r="D1832">
        <v>4610</v>
      </c>
      <c r="E1832">
        <v>0</v>
      </c>
      <c r="G1832">
        <v>0</v>
      </c>
      <c r="H1832">
        <v>678</v>
      </c>
      <c r="I1832">
        <v>871</v>
      </c>
      <c r="J1832">
        <v>100</v>
      </c>
      <c r="K1832">
        <v>85.29000000000001</v>
      </c>
      <c r="L1832">
        <v>81.09999999999999</v>
      </c>
      <c r="M1832">
        <v>0</v>
      </c>
      <c r="N1832" t="b">
        <v>0</v>
      </c>
      <c r="O1832">
        <v>-302</v>
      </c>
      <c r="P1832" t="s">
        <v>1835</v>
      </c>
      <c r="Q1832" t="s">
        <v>2276</v>
      </c>
      <c r="R1832">
        <v>0</v>
      </c>
      <c r="S1832">
        <v>482</v>
      </c>
      <c r="T1832">
        <v>216775</v>
      </c>
      <c r="U1832" t="s">
        <v>5806</v>
      </c>
      <c r="V1832">
        <v>35.69</v>
      </c>
      <c r="W1832" t="s">
        <v>8004</v>
      </c>
      <c r="X1832" t="s">
        <v>968</v>
      </c>
      <c r="Y1832">
        <v>418</v>
      </c>
      <c r="Z1832">
        <v>-2</v>
      </c>
      <c r="AA1832">
        <v>1792</v>
      </c>
    </row>
    <row r="1833" spans="1:28">
      <c r="A1833" s="2">
        <f>HYPERLINK("https://finance.naver.com/item/coinfo.nhn?code=005500", "A005500")</f>
        <v>0</v>
      </c>
      <c r="B1833">
        <f>HYPERLINK("http://comp.fnguide.com/SVO2/ASP/SVD_Consensus.asp?pGB=1&amp;gicode=A005500&amp;cID=&amp;MenuYn=Y&amp;ReportGB=&amp;NewMenuID=108&amp;stkGb=701", "삼진제약")</f>
        <v>0</v>
      </c>
      <c r="C1833">
        <v>0</v>
      </c>
      <c r="D1833">
        <v>26850</v>
      </c>
      <c r="E1833">
        <v>111.53</v>
      </c>
      <c r="F1833">
        <v>29.19</v>
      </c>
      <c r="G1833">
        <v>21210</v>
      </c>
      <c r="H1833">
        <v>18111</v>
      </c>
      <c r="I1833">
        <v>17229</v>
      </c>
      <c r="J1833">
        <v>21.01</v>
      </c>
      <c r="K1833">
        <v>32.55</v>
      </c>
      <c r="L1833">
        <v>35.83</v>
      </c>
      <c r="M1833">
        <v>10.53</v>
      </c>
      <c r="N1833" t="b">
        <v>1</v>
      </c>
      <c r="O1833">
        <v>855</v>
      </c>
      <c r="P1833" t="s">
        <v>1836</v>
      </c>
      <c r="Q1833" t="s">
        <v>3709</v>
      </c>
      <c r="R1833">
        <v>0.2617313880366012</v>
      </c>
      <c r="S1833">
        <v>3732</v>
      </c>
      <c r="T1833">
        <v>85128</v>
      </c>
      <c r="U1833" t="s">
        <v>5807</v>
      </c>
      <c r="V1833">
        <v>12.85</v>
      </c>
      <c r="W1833" t="s">
        <v>8005</v>
      </c>
      <c r="X1833" t="s">
        <v>9921</v>
      </c>
      <c r="Y1833">
        <v>2419</v>
      </c>
      <c r="Z1833">
        <v>449</v>
      </c>
      <c r="AA1833">
        <v>1597178</v>
      </c>
      <c r="AB1833">
        <v>3.21</v>
      </c>
    </row>
    <row r="1834" spans="1:28">
      <c r="A1834" s="2">
        <f>HYPERLINK("https://finance.naver.com/item/coinfo.nhn?code=028050", "A028050")</f>
        <v>0</v>
      </c>
      <c r="B1834">
        <f>HYPERLINK("http://comp.fnguide.com/SVO2/ASP/SVD_Consensus.asp?pGB=1&amp;gicode=A028050&amp;cID=&amp;MenuYn=Y&amp;ReportGB=&amp;NewMenuID=108&amp;stkGb=701", "삼성엔지니어링")</f>
        <v>0</v>
      </c>
      <c r="C1834">
        <v>0</v>
      </c>
      <c r="D1834">
        <v>13900</v>
      </c>
      <c r="E1834">
        <v>0.14</v>
      </c>
      <c r="F1834">
        <v>12.86</v>
      </c>
      <c r="G1834">
        <v>12283</v>
      </c>
      <c r="H1834">
        <v>8958</v>
      </c>
      <c r="I1834">
        <v>8010</v>
      </c>
      <c r="J1834">
        <v>11.63</v>
      </c>
      <c r="K1834">
        <v>35.55</v>
      </c>
      <c r="L1834">
        <v>42.37</v>
      </c>
      <c r="M1834">
        <v>14.51</v>
      </c>
      <c r="N1834" t="b">
        <v>1</v>
      </c>
      <c r="O1834">
        <v>1493</v>
      </c>
      <c r="P1834" t="s">
        <v>1837</v>
      </c>
      <c r="Q1834" t="s">
        <v>3710</v>
      </c>
      <c r="R1834">
        <v>90.08755877226685</v>
      </c>
      <c r="S1834">
        <v>27244</v>
      </c>
      <c r="T1834">
        <v>3183485</v>
      </c>
      <c r="U1834" t="s">
        <v>5808</v>
      </c>
      <c r="V1834">
        <v>20.66</v>
      </c>
      <c r="W1834" t="s">
        <v>8006</v>
      </c>
      <c r="X1834" t="s">
        <v>9922</v>
      </c>
      <c r="Y1834">
        <v>63680</v>
      </c>
      <c r="Z1834">
        <v>3855</v>
      </c>
    </row>
    <row r="1835" spans="1:28">
      <c r="A1835" s="2">
        <f>HYPERLINK("https://finance.naver.com/item/coinfo.nhn?code=000520", "A000520")</f>
        <v>0</v>
      </c>
      <c r="B1835">
        <f>HYPERLINK("http://comp.fnguide.com/SVO2/ASP/SVD_Consensus.asp?pGB=1&amp;gicode=A000520&amp;cID=&amp;MenuYn=Y&amp;ReportGB=&amp;NewMenuID=108&amp;stkGb=701", "삼일제약")</f>
        <v>0</v>
      </c>
      <c r="C1835">
        <v>0</v>
      </c>
      <c r="D1835">
        <v>20450</v>
      </c>
      <c r="E1835">
        <v>6.64</v>
      </c>
      <c r="F1835">
        <v>174.02</v>
      </c>
      <c r="G1835">
        <v>841</v>
      </c>
      <c r="H1835">
        <v>6390</v>
      </c>
      <c r="I1835">
        <v>7972</v>
      </c>
      <c r="J1835">
        <v>95.89</v>
      </c>
      <c r="K1835">
        <v>68.75</v>
      </c>
      <c r="L1835">
        <v>61.02</v>
      </c>
      <c r="M1835">
        <v>0.67</v>
      </c>
      <c r="N1835" t="b">
        <v>0</v>
      </c>
      <c r="O1835">
        <v>121</v>
      </c>
      <c r="P1835" t="s">
        <v>1838</v>
      </c>
      <c r="Q1835" t="s">
        <v>3711</v>
      </c>
      <c r="R1835">
        <v>26.21010260672478</v>
      </c>
      <c r="S1835">
        <v>1369</v>
      </c>
      <c r="T1835">
        <v>55577</v>
      </c>
      <c r="U1835" t="s">
        <v>5809</v>
      </c>
      <c r="V1835">
        <v>37.73</v>
      </c>
      <c r="W1835" t="s">
        <v>8007</v>
      </c>
      <c r="X1835" t="s">
        <v>9923</v>
      </c>
      <c r="Y1835">
        <v>1211</v>
      </c>
      <c r="Z1835">
        <v>48</v>
      </c>
      <c r="AA1835">
        <v>512615</v>
      </c>
      <c r="AB1835">
        <v>0.71</v>
      </c>
    </row>
    <row r="1836" spans="1:28">
      <c r="A1836" s="2">
        <f>HYPERLINK("https://finance.naver.com/item/coinfo.nhn?code=004380", "A004380")</f>
        <v>0</v>
      </c>
      <c r="B1836">
        <f>HYPERLINK("http://comp.fnguide.com/SVO2/ASP/SVD_Consensus.asp?pGB=1&amp;gicode=A004380&amp;cID=&amp;MenuYn=Y&amp;ReportGB=&amp;NewMenuID=108&amp;stkGb=701", "삼익THK")</f>
        <v>0</v>
      </c>
      <c r="C1836">
        <v>0</v>
      </c>
      <c r="D1836">
        <v>11650</v>
      </c>
      <c r="E1836">
        <v>43.27</v>
      </c>
      <c r="F1836">
        <v>74.59999999999999</v>
      </c>
      <c r="G1836">
        <v>7872</v>
      </c>
      <c r="H1836">
        <v>8608</v>
      </c>
      <c r="I1836">
        <v>8817</v>
      </c>
      <c r="J1836">
        <v>32.43</v>
      </c>
      <c r="K1836">
        <v>26.11</v>
      </c>
      <c r="L1836">
        <v>24.31</v>
      </c>
      <c r="M1836">
        <v>6.9</v>
      </c>
      <c r="N1836" t="b">
        <v>0</v>
      </c>
      <c r="O1836">
        <v>156</v>
      </c>
      <c r="P1836" t="s">
        <v>1839</v>
      </c>
      <c r="Q1836" t="s">
        <v>3712</v>
      </c>
      <c r="R1836">
        <v>1.723930024714693</v>
      </c>
      <c r="S1836">
        <v>2447</v>
      </c>
      <c r="T1836">
        <v>105950</v>
      </c>
      <c r="U1836" t="s">
        <v>5810</v>
      </c>
      <c r="V1836">
        <v>65.15000000000001</v>
      </c>
      <c r="W1836" t="s">
        <v>8008</v>
      </c>
      <c r="X1836" t="s">
        <v>9924</v>
      </c>
      <c r="Y1836">
        <v>2320</v>
      </c>
      <c r="Z1836">
        <v>75</v>
      </c>
      <c r="AA1836">
        <v>300000</v>
      </c>
      <c r="AB1836">
        <v>1.29</v>
      </c>
    </row>
    <row r="1837" spans="1:28">
      <c r="A1837" s="2">
        <f>HYPERLINK("https://finance.naver.com/item/coinfo.nhn?code=003720", "A003720")</f>
        <v>0</v>
      </c>
      <c r="B1837">
        <f>HYPERLINK("http://comp.fnguide.com/SVO2/ASP/SVD_Consensus.asp?pGB=1&amp;gicode=A003720&amp;cID=&amp;MenuYn=Y&amp;ReportGB=&amp;NewMenuID=108&amp;stkGb=701", "삼영화학")</f>
        <v>0</v>
      </c>
      <c r="C1837">
        <v>0</v>
      </c>
      <c r="D1837">
        <v>2030</v>
      </c>
      <c r="E1837">
        <v>0</v>
      </c>
      <c r="G1837">
        <v>0</v>
      </c>
      <c r="H1837">
        <v>773</v>
      </c>
      <c r="I1837">
        <v>993</v>
      </c>
      <c r="J1837">
        <v>100</v>
      </c>
      <c r="K1837">
        <v>61.94</v>
      </c>
      <c r="L1837">
        <v>51.1</v>
      </c>
      <c r="M1837">
        <v>0</v>
      </c>
      <c r="N1837" t="b">
        <v>0</v>
      </c>
      <c r="O1837">
        <v>-59</v>
      </c>
      <c r="P1837" t="s">
        <v>1840</v>
      </c>
      <c r="Q1837" t="s">
        <v>2276</v>
      </c>
      <c r="R1837">
        <v>0</v>
      </c>
      <c r="S1837">
        <v>690</v>
      </c>
      <c r="T1837">
        <v>183398</v>
      </c>
      <c r="U1837" t="s">
        <v>5811</v>
      </c>
      <c r="V1837">
        <v>22.23</v>
      </c>
      <c r="W1837" t="s">
        <v>8009</v>
      </c>
      <c r="X1837" t="s">
        <v>968</v>
      </c>
      <c r="Y1837">
        <v>1111</v>
      </c>
      <c r="Z1837">
        <v>-9</v>
      </c>
      <c r="AA1837">
        <v>12260</v>
      </c>
    </row>
    <row r="1838" spans="1:28">
      <c r="A1838" s="2">
        <f>HYPERLINK("https://finance.naver.com/item/coinfo.nhn?code=003230", "A003230")</f>
        <v>0</v>
      </c>
      <c r="B1838">
        <f>HYPERLINK("http://comp.fnguide.com/SVO2/ASP/SVD_Consensus.asp?pGB=1&amp;gicode=A003230&amp;cID=&amp;MenuYn=Y&amp;ReportGB=&amp;NewMenuID=108&amp;stkGb=701", "삼양식품")</f>
        <v>0</v>
      </c>
      <c r="C1838">
        <v>0</v>
      </c>
      <c r="D1838">
        <v>101500</v>
      </c>
      <c r="E1838">
        <v>0.25</v>
      </c>
      <c r="F1838">
        <v>11.37</v>
      </c>
      <c r="G1838">
        <v>92188</v>
      </c>
      <c r="H1838">
        <v>59428</v>
      </c>
      <c r="I1838">
        <v>50092</v>
      </c>
      <c r="J1838">
        <v>9.17</v>
      </c>
      <c r="K1838">
        <v>41.45</v>
      </c>
      <c r="L1838">
        <v>50.65</v>
      </c>
      <c r="M1838">
        <v>19.51</v>
      </c>
      <c r="N1838" t="b">
        <v>1</v>
      </c>
      <c r="O1838">
        <v>7906</v>
      </c>
      <c r="P1838" t="s">
        <v>1841</v>
      </c>
      <c r="Q1838" t="s">
        <v>3713</v>
      </c>
      <c r="R1838">
        <v>45.1392256043234</v>
      </c>
      <c r="S1838">
        <v>7646</v>
      </c>
      <c r="T1838">
        <v>80468</v>
      </c>
      <c r="U1838" t="s">
        <v>5812</v>
      </c>
      <c r="V1838">
        <v>46.11</v>
      </c>
      <c r="W1838" t="s">
        <v>8010</v>
      </c>
      <c r="X1838" t="s">
        <v>9925</v>
      </c>
      <c r="Y1838">
        <v>5436</v>
      </c>
      <c r="Z1838">
        <v>783</v>
      </c>
      <c r="AA1838">
        <v>409</v>
      </c>
      <c r="AB1838">
        <v>0.89</v>
      </c>
    </row>
    <row r="1839" spans="1:28">
      <c r="A1839" s="2">
        <f>HYPERLINK("https://finance.naver.com/item/coinfo.nhn?code=006110", "A006110")</f>
        <v>0</v>
      </c>
      <c r="B1839">
        <f>HYPERLINK("http://comp.fnguide.com/SVO2/ASP/SVD_Consensus.asp?pGB=1&amp;gicode=A006110&amp;cID=&amp;MenuYn=Y&amp;ReportGB=&amp;NewMenuID=108&amp;stkGb=701", "삼아알미늄")</f>
        <v>0</v>
      </c>
      <c r="C1839">
        <v>0</v>
      </c>
      <c r="D1839">
        <v>9020</v>
      </c>
      <c r="E1839">
        <v>0.27</v>
      </c>
      <c r="F1839">
        <v>9.84</v>
      </c>
      <c r="G1839">
        <v>3984</v>
      </c>
      <c r="H1839">
        <v>7533</v>
      </c>
      <c r="I1839">
        <v>8544</v>
      </c>
      <c r="J1839">
        <v>55.84</v>
      </c>
      <c r="K1839">
        <v>16.49</v>
      </c>
      <c r="L1839">
        <v>5.27</v>
      </c>
      <c r="M1839">
        <v>3.21</v>
      </c>
      <c r="N1839" t="b">
        <v>1</v>
      </c>
      <c r="O1839">
        <v>450</v>
      </c>
      <c r="P1839" t="s">
        <v>1842</v>
      </c>
      <c r="Q1839" t="s">
        <v>3714</v>
      </c>
      <c r="R1839">
        <v>36.97419939361737</v>
      </c>
      <c r="S1839">
        <v>992</v>
      </c>
      <c r="T1839">
        <v>148567</v>
      </c>
      <c r="U1839" t="s">
        <v>5813</v>
      </c>
      <c r="V1839">
        <v>54.9</v>
      </c>
      <c r="W1839" t="s">
        <v>8011</v>
      </c>
      <c r="X1839" t="s">
        <v>9926</v>
      </c>
      <c r="Y1839">
        <v>1911</v>
      </c>
      <c r="Z1839">
        <v>64</v>
      </c>
      <c r="AB1839">
        <v>2.48</v>
      </c>
    </row>
    <row r="1840" spans="1:28">
      <c r="A1840" s="2">
        <f>HYPERLINK("https://finance.naver.com/item/coinfo.nhn?code=068290", "A068290")</f>
        <v>0</v>
      </c>
      <c r="B1840">
        <f>HYPERLINK("http://comp.fnguide.com/SVO2/ASP/SVD_Consensus.asp?pGB=1&amp;gicode=A068290&amp;cID=&amp;MenuYn=Y&amp;ReportGB=&amp;NewMenuID=108&amp;stkGb=701", "삼성출판사")</f>
        <v>0</v>
      </c>
      <c r="C1840">
        <v>0</v>
      </c>
      <c r="D1840">
        <v>26650</v>
      </c>
      <c r="E1840">
        <v>-39.22</v>
      </c>
      <c r="F1840">
        <v>52.05</v>
      </c>
      <c r="G1840">
        <v>4012</v>
      </c>
      <c r="H1840">
        <v>7051</v>
      </c>
      <c r="I1840">
        <v>7917</v>
      </c>
      <c r="J1840">
        <v>84.95</v>
      </c>
      <c r="K1840">
        <v>73.54000000000001</v>
      </c>
      <c r="L1840">
        <v>70.29000000000001</v>
      </c>
      <c r="M1840">
        <v>3.52</v>
      </c>
      <c r="N1840" t="b">
        <v>0</v>
      </c>
      <c r="O1840">
        <v>487</v>
      </c>
      <c r="P1840" t="s">
        <v>1843</v>
      </c>
      <c r="Q1840" t="s">
        <v>2925</v>
      </c>
      <c r="R1840">
        <v>-1.327238528506358</v>
      </c>
      <c r="S1840">
        <v>2665</v>
      </c>
      <c r="T1840">
        <v>680782</v>
      </c>
      <c r="U1840" t="s">
        <v>5814</v>
      </c>
      <c r="V1840">
        <v>64.94</v>
      </c>
      <c r="W1840" t="s">
        <v>8012</v>
      </c>
      <c r="X1840" t="s">
        <v>9927</v>
      </c>
      <c r="Y1840">
        <v>2020</v>
      </c>
      <c r="Z1840">
        <v>48</v>
      </c>
      <c r="AB1840">
        <v>0.39</v>
      </c>
    </row>
    <row r="1841" spans="1:28">
      <c r="A1841" s="2">
        <f>HYPERLINK("https://finance.naver.com/item/coinfo.nhn?code=010140", "A010140")</f>
        <v>0</v>
      </c>
      <c r="B1841">
        <f>HYPERLINK("http://comp.fnguide.com/SVO2/ASP/SVD_Consensus.asp?pGB=1&amp;gicode=A010140&amp;cID=&amp;MenuYn=Y&amp;ReportGB=&amp;NewMenuID=108&amp;stkGb=701", "삼성중공업")</f>
        <v>0</v>
      </c>
      <c r="C1841">
        <v>0</v>
      </c>
      <c r="D1841">
        <v>7110</v>
      </c>
      <c r="E1841">
        <v>0</v>
      </c>
      <c r="G1841">
        <v>0</v>
      </c>
      <c r="H1841">
        <v>5217</v>
      </c>
      <c r="I1841">
        <v>6704</v>
      </c>
      <c r="J1841">
        <v>100</v>
      </c>
      <c r="K1841">
        <v>26.62</v>
      </c>
      <c r="L1841">
        <v>5.71</v>
      </c>
      <c r="M1841">
        <v>0</v>
      </c>
      <c r="N1841" t="b">
        <v>0</v>
      </c>
      <c r="O1841">
        <v>-2080</v>
      </c>
      <c r="P1841" t="s">
        <v>1844</v>
      </c>
      <c r="Q1841" t="s">
        <v>2276</v>
      </c>
      <c r="R1841">
        <v>0</v>
      </c>
      <c r="S1841">
        <v>44793</v>
      </c>
      <c r="T1841">
        <v>25238617</v>
      </c>
      <c r="U1841" t="s">
        <v>5815</v>
      </c>
      <c r="V1841">
        <v>21.86</v>
      </c>
      <c r="W1841" t="s">
        <v>8013</v>
      </c>
      <c r="X1841" t="s">
        <v>968</v>
      </c>
      <c r="Y1841">
        <v>73497</v>
      </c>
      <c r="Z1841">
        <v>-6166</v>
      </c>
      <c r="AA1841">
        <v>25964429</v>
      </c>
    </row>
    <row r="1842" spans="1:28">
      <c r="A1842" s="2">
        <f>HYPERLINK("https://finance.naver.com/item/coinfo.nhn?code=001360", "A001360")</f>
        <v>0</v>
      </c>
      <c r="B1842">
        <f>HYPERLINK("http://comp.fnguide.com/SVO2/ASP/SVD_Consensus.asp?pGB=1&amp;gicode=A001360&amp;cID=&amp;MenuYn=Y&amp;ReportGB=&amp;NewMenuID=108&amp;stkGb=701", "삼성제약")</f>
        <v>0</v>
      </c>
      <c r="C1842">
        <v>0</v>
      </c>
      <c r="D1842">
        <v>3735</v>
      </c>
      <c r="E1842">
        <v>0</v>
      </c>
      <c r="F1842">
        <v>35.94</v>
      </c>
      <c r="G1842">
        <v>731</v>
      </c>
      <c r="H1842">
        <v>1687</v>
      </c>
      <c r="I1842">
        <v>1959</v>
      </c>
      <c r="J1842">
        <v>80.42</v>
      </c>
      <c r="K1842">
        <v>54.84</v>
      </c>
      <c r="L1842">
        <v>47.55</v>
      </c>
      <c r="M1842">
        <v>2.51</v>
      </c>
      <c r="N1842" t="b">
        <v>1</v>
      </c>
      <c r="O1842">
        <v>117</v>
      </c>
      <c r="P1842" t="s">
        <v>1845</v>
      </c>
      <c r="Q1842" t="s">
        <v>2276</v>
      </c>
      <c r="R1842">
        <v>0</v>
      </c>
      <c r="S1842">
        <v>2299</v>
      </c>
      <c r="T1842">
        <v>935354</v>
      </c>
      <c r="U1842" t="s">
        <v>5816</v>
      </c>
      <c r="V1842">
        <v>16.35</v>
      </c>
      <c r="W1842" t="s">
        <v>8014</v>
      </c>
      <c r="X1842" t="s">
        <v>9928</v>
      </c>
      <c r="Y1842">
        <v>446</v>
      </c>
      <c r="Z1842">
        <v>-65</v>
      </c>
      <c r="AA1842">
        <v>41783</v>
      </c>
    </row>
    <row r="1843" spans="1:28">
      <c r="A1843" s="2">
        <f>HYPERLINK("https://finance.naver.com/item/coinfo.nhn?code=009150", "A009150")</f>
        <v>0</v>
      </c>
      <c r="B1843">
        <f>HYPERLINK("http://comp.fnguide.com/SVO2/ASP/SVD_Consensus.asp?pGB=1&amp;gicode=A009150&amp;cID=&amp;MenuYn=Y&amp;ReportGB=&amp;NewMenuID=108&amp;stkGb=701", "삼성전기")</f>
        <v>0</v>
      </c>
      <c r="C1843">
        <v>0</v>
      </c>
      <c r="D1843">
        <v>162500</v>
      </c>
      <c r="E1843">
        <v>0.18</v>
      </c>
      <c r="F1843">
        <v>18.86</v>
      </c>
      <c r="G1843">
        <v>96328</v>
      </c>
      <c r="H1843">
        <v>82133</v>
      </c>
      <c r="I1843">
        <v>78088</v>
      </c>
      <c r="J1843">
        <v>40.72</v>
      </c>
      <c r="K1843">
        <v>49.46</v>
      </c>
      <c r="L1843">
        <v>51.95</v>
      </c>
      <c r="M1843">
        <v>10.56</v>
      </c>
      <c r="N1843" t="b">
        <v>1</v>
      </c>
      <c r="O1843">
        <v>6627</v>
      </c>
      <c r="P1843" t="s">
        <v>1846</v>
      </c>
      <c r="Q1843" t="s">
        <v>3715</v>
      </c>
      <c r="R1843">
        <v>102.9198484184699</v>
      </c>
      <c r="S1843">
        <v>121377</v>
      </c>
      <c r="T1843">
        <v>681968</v>
      </c>
      <c r="U1843" t="s">
        <v>5817</v>
      </c>
      <c r="V1843">
        <v>23.95</v>
      </c>
      <c r="W1843" t="s">
        <v>8015</v>
      </c>
      <c r="X1843" t="s">
        <v>9929</v>
      </c>
      <c r="Y1843">
        <v>80408</v>
      </c>
      <c r="Z1843">
        <v>7340</v>
      </c>
      <c r="AA1843">
        <v>2000000</v>
      </c>
      <c r="AB1843">
        <v>0.88</v>
      </c>
    </row>
    <row r="1844" spans="1:28">
      <c r="A1844" s="2">
        <f>HYPERLINK("https://finance.naver.com/item/coinfo.nhn?code=114190", "A114190")</f>
        <v>0</v>
      </c>
      <c r="B1844">
        <f>HYPERLINK("http://comp.fnguide.com/SVO2/ASP/SVD_Consensus.asp?pGB=1&amp;gicode=A114190&amp;cID=&amp;MenuYn=Y&amp;ReportGB=&amp;NewMenuID=108&amp;stkGb=701", "강원")</f>
        <v>0</v>
      </c>
      <c r="C1844">
        <v>0</v>
      </c>
      <c r="D1844">
        <v>2500</v>
      </c>
      <c r="E1844">
        <v>0</v>
      </c>
      <c r="G1844">
        <v>204</v>
      </c>
      <c r="H1844">
        <v>780</v>
      </c>
      <c r="I1844">
        <v>944</v>
      </c>
      <c r="J1844">
        <v>91.84999999999999</v>
      </c>
      <c r="K1844">
        <v>68.81999999999999</v>
      </c>
      <c r="L1844">
        <v>62.25</v>
      </c>
      <c r="M1844">
        <v>1.4</v>
      </c>
      <c r="N1844" t="b">
        <v>0</v>
      </c>
      <c r="O1844">
        <v>-1915</v>
      </c>
      <c r="P1844" t="s">
        <v>1847</v>
      </c>
      <c r="Q1844" t="s">
        <v>2276</v>
      </c>
      <c r="R1844">
        <v>0</v>
      </c>
      <c r="S1844">
        <v>454</v>
      </c>
      <c r="T1844">
        <v>0</v>
      </c>
      <c r="U1844" t="s">
        <v>5818</v>
      </c>
      <c r="V1844">
        <v>21.43</v>
      </c>
      <c r="W1844" t="s">
        <v>8016</v>
      </c>
      <c r="X1844" t="s">
        <v>9930</v>
      </c>
      <c r="Y1844">
        <v>425</v>
      </c>
      <c r="Z1844">
        <v>-172</v>
      </c>
    </row>
    <row r="1845" spans="1:28">
      <c r="A1845" s="2">
        <f>HYPERLINK("https://finance.naver.com/item/coinfo.nhn?code=094480", "A094480")</f>
        <v>0</v>
      </c>
      <c r="B1845">
        <f>HYPERLINK("http://comp.fnguide.com/SVO2/ASP/SVD_Consensus.asp?pGB=1&amp;gicode=A094480&amp;cID=&amp;MenuYn=Y&amp;ReportGB=&amp;NewMenuID=108&amp;stkGb=701", "갤럭시아머니트리")</f>
        <v>0</v>
      </c>
      <c r="C1845">
        <v>0</v>
      </c>
      <c r="D1845">
        <v>3975</v>
      </c>
      <c r="E1845">
        <v>0.43</v>
      </c>
      <c r="F1845">
        <v>14.93</v>
      </c>
      <c r="G1845">
        <v>2562</v>
      </c>
      <c r="H1845">
        <v>2482</v>
      </c>
      <c r="I1845">
        <v>2459</v>
      </c>
      <c r="J1845">
        <v>35.55</v>
      </c>
      <c r="K1845">
        <v>37.57</v>
      </c>
      <c r="L1845">
        <v>38.15</v>
      </c>
      <c r="M1845">
        <v>8.41</v>
      </c>
      <c r="N1845" t="b">
        <v>1</v>
      </c>
      <c r="O1845">
        <v>225</v>
      </c>
      <c r="P1845" t="s">
        <v>1848</v>
      </c>
      <c r="Q1845" t="s">
        <v>3716</v>
      </c>
      <c r="R1845">
        <v>34.91466843508664</v>
      </c>
      <c r="S1845">
        <v>1559</v>
      </c>
      <c r="T1845">
        <v>349308</v>
      </c>
      <c r="U1845" t="s">
        <v>5819</v>
      </c>
      <c r="V1845">
        <v>58.52</v>
      </c>
      <c r="W1845" t="s">
        <v>8017</v>
      </c>
      <c r="X1845" t="s">
        <v>9931</v>
      </c>
      <c r="Y1845">
        <v>856</v>
      </c>
      <c r="Z1845">
        <v>87</v>
      </c>
      <c r="AA1845">
        <v>1338806</v>
      </c>
      <c r="AB1845">
        <v>1.63</v>
      </c>
    </row>
    <row r="1846" spans="1:28">
      <c r="A1846" s="2">
        <f>HYPERLINK("https://finance.naver.com/item/coinfo.nhn?code=063080", "A063080")</f>
        <v>0</v>
      </c>
      <c r="B1846">
        <f>HYPERLINK("http://comp.fnguide.com/SVO2/ASP/SVD_Consensus.asp?pGB=1&amp;gicode=A063080&amp;cID=&amp;MenuYn=Y&amp;ReportGB=&amp;NewMenuID=108&amp;stkGb=701", "게임빌")</f>
        <v>0</v>
      </c>
      <c r="C1846">
        <v>0</v>
      </c>
      <c r="D1846">
        <v>36400</v>
      </c>
      <c r="E1846">
        <v>-0.8</v>
      </c>
      <c r="F1846">
        <v>14.7</v>
      </c>
      <c r="G1846">
        <v>16485</v>
      </c>
      <c r="H1846">
        <v>30051</v>
      </c>
      <c r="I1846">
        <v>33917</v>
      </c>
      <c r="J1846">
        <v>54.71</v>
      </c>
      <c r="K1846">
        <v>17.44</v>
      </c>
      <c r="L1846">
        <v>6.82</v>
      </c>
      <c r="M1846">
        <v>3.36</v>
      </c>
      <c r="N1846" t="b">
        <v>1</v>
      </c>
      <c r="O1846">
        <v>2057</v>
      </c>
      <c r="P1846" t="s">
        <v>1849</v>
      </c>
      <c r="Q1846" t="s">
        <v>3717</v>
      </c>
      <c r="R1846">
        <v>-18.32012179124699</v>
      </c>
      <c r="S1846">
        <v>2401</v>
      </c>
      <c r="T1846">
        <v>177130</v>
      </c>
      <c r="U1846" t="s">
        <v>5820</v>
      </c>
      <c r="V1846">
        <v>35.57</v>
      </c>
      <c r="W1846" t="s">
        <v>8018</v>
      </c>
      <c r="X1846" t="s">
        <v>9932</v>
      </c>
      <c r="Y1846">
        <v>1199</v>
      </c>
      <c r="Z1846">
        <v>-171</v>
      </c>
      <c r="AA1846">
        <v>162195</v>
      </c>
    </row>
    <row r="1847" spans="1:28">
      <c r="A1847" s="2">
        <f>HYPERLINK("https://finance.naver.com/item/coinfo.nhn?code=288330", "A288330")</f>
        <v>0</v>
      </c>
      <c r="B1847">
        <f>HYPERLINK("http://comp.fnguide.com/SVO2/ASP/SVD_Consensus.asp?pGB=1&amp;gicode=A288330&amp;cID=&amp;MenuYn=Y&amp;ReportGB=&amp;NewMenuID=108&amp;stkGb=701", "브릿지바이오테라퓨틱스")</f>
        <v>0</v>
      </c>
      <c r="C1847">
        <v>0</v>
      </c>
      <c r="D1847">
        <v>12500</v>
      </c>
      <c r="E1847">
        <v>0</v>
      </c>
      <c r="F1847">
        <v>167.61</v>
      </c>
      <c r="G1847">
        <v>2237</v>
      </c>
      <c r="H1847">
        <v>3245</v>
      </c>
      <c r="I1847">
        <v>3532</v>
      </c>
      <c r="J1847">
        <v>82.09999999999999</v>
      </c>
      <c r="K1847">
        <v>74.04000000000001</v>
      </c>
      <c r="L1847">
        <v>71.75</v>
      </c>
      <c r="M1847">
        <v>4.55</v>
      </c>
      <c r="N1847" t="b">
        <v>0</v>
      </c>
      <c r="O1847">
        <v>114</v>
      </c>
      <c r="P1847" t="s">
        <v>1850</v>
      </c>
      <c r="Q1847" t="s">
        <v>3152</v>
      </c>
      <c r="R1847">
        <v>0</v>
      </c>
      <c r="S1847">
        <v>2395</v>
      </c>
      <c r="T1847">
        <v>265337</v>
      </c>
      <c r="U1847" t="s">
        <v>5821</v>
      </c>
      <c r="V1847">
        <v>22.86</v>
      </c>
      <c r="W1847" t="s">
        <v>8019</v>
      </c>
      <c r="X1847" t="s">
        <v>9933</v>
      </c>
      <c r="Y1847">
        <v>583</v>
      </c>
      <c r="Z1847">
        <v>6</v>
      </c>
    </row>
    <row r="1848" spans="1:28">
      <c r="A1848" s="2">
        <f>HYPERLINK("https://finance.naver.com/item/coinfo.nhn?code=111870", "A111870")</f>
        <v>0</v>
      </c>
      <c r="B1848">
        <f>HYPERLINK("http://comp.fnguide.com/SVO2/ASP/SVD_Consensus.asp?pGB=1&amp;gicode=A111870&amp;cID=&amp;MenuYn=Y&amp;ReportGB=&amp;NewMenuID=108&amp;stkGb=701", "삼본전자")</f>
        <v>0</v>
      </c>
      <c r="C1848">
        <v>0</v>
      </c>
      <c r="D1848">
        <v>1895</v>
      </c>
      <c r="G1848">
        <v>281</v>
      </c>
      <c r="H1848">
        <v>886</v>
      </c>
      <c r="I1848">
        <v>1058</v>
      </c>
      <c r="J1848">
        <v>85.15000000000001</v>
      </c>
      <c r="K1848">
        <v>53.25</v>
      </c>
      <c r="L1848">
        <v>44.16</v>
      </c>
      <c r="M1848">
        <v>1.74</v>
      </c>
      <c r="N1848" t="b">
        <v>0</v>
      </c>
      <c r="O1848">
        <v>-232</v>
      </c>
      <c r="P1848" t="s">
        <v>1851</v>
      </c>
      <c r="Q1848" t="s">
        <v>3718</v>
      </c>
      <c r="R1848">
        <v>-24.50717013254844</v>
      </c>
      <c r="S1848">
        <v>1597</v>
      </c>
      <c r="T1848">
        <v>2371132</v>
      </c>
      <c r="U1848" t="s">
        <v>5822</v>
      </c>
      <c r="V1848">
        <v>31.12</v>
      </c>
      <c r="W1848" t="s">
        <v>8020</v>
      </c>
      <c r="X1848" t="s">
        <v>9934</v>
      </c>
      <c r="Y1848">
        <v>369</v>
      </c>
      <c r="Z1848">
        <v>-26</v>
      </c>
      <c r="AA1848">
        <v>482000</v>
      </c>
    </row>
    <row r="1849" spans="1:28">
      <c r="A1849" s="2">
        <f>HYPERLINK("https://finance.naver.com/item/coinfo.nhn?code=009620", "A009620")</f>
        <v>0</v>
      </c>
      <c r="B1849">
        <f>HYPERLINK("http://comp.fnguide.com/SVO2/ASP/SVD_Consensus.asp?pGB=1&amp;gicode=A009620&amp;cID=&amp;MenuYn=Y&amp;ReportGB=&amp;NewMenuID=108&amp;stkGb=701", "삼보산업")</f>
        <v>0</v>
      </c>
      <c r="C1849">
        <v>0</v>
      </c>
      <c r="D1849">
        <v>1595</v>
      </c>
      <c r="E1849">
        <v>0</v>
      </c>
      <c r="G1849">
        <v>0</v>
      </c>
      <c r="H1849">
        <v>391</v>
      </c>
      <c r="I1849">
        <v>503</v>
      </c>
      <c r="J1849">
        <v>100</v>
      </c>
      <c r="K1849">
        <v>75.47</v>
      </c>
      <c r="L1849">
        <v>68.48999999999999</v>
      </c>
      <c r="M1849">
        <v>0</v>
      </c>
      <c r="N1849" t="b">
        <v>0</v>
      </c>
      <c r="O1849">
        <v>-225</v>
      </c>
      <c r="P1849" t="s">
        <v>1852</v>
      </c>
      <c r="Q1849" t="s">
        <v>2276</v>
      </c>
      <c r="R1849">
        <v>0</v>
      </c>
      <c r="S1849">
        <v>608</v>
      </c>
      <c r="T1849">
        <v>1981870</v>
      </c>
      <c r="U1849" t="s">
        <v>5823</v>
      </c>
      <c r="V1849">
        <v>23.38</v>
      </c>
      <c r="W1849" t="s">
        <v>8021</v>
      </c>
      <c r="X1849" t="s">
        <v>968</v>
      </c>
      <c r="Y1849">
        <v>3199</v>
      </c>
      <c r="Z1849">
        <v>75</v>
      </c>
      <c r="AA1849">
        <v>1365</v>
      </c>
    </row>
    <row r="1850" spans="1:28">
      <c r="A1850" s="2">
        <f>HYPERLINK("https://finance.naver.com/item/coinfo.nhn?code=014970", "A014970")</f>
        <v>0</v>
      </c>
      <c r="B1850">
        <f>HYPERLINK("http://comp.fnguide.com/SVO2/ASP/SVD_Consensus.asp?pGB=1&amp;gicode=A014970&amp;cID=&amp;MenuYn=Y&amp;ReportGB=&amp;NewMenuID=108&amp;stkGb=701", "삼륭물산")</f>
        <v>0</v>
      </c>
      <c r="C1850">
        <v>0</v>
      </c>
      <c r="D1850">
        <v>10400</v>
      </c>
      <c r="E1850">
        <v>-9.220000000000001</v>
      </c>
      <c r="F1850">
        <v>235.33</v>
      </c>
      <c r="G1850">
        <v>842</v>
      </c>
      <c r="H1850">
        <v>3192</v>
      </c>
      <c r="I1850">
        <v>3862</v>
      </c>
      <c r="J1850">
        <v>91.90000000000001</v>
      </c>
      <c r="K1850">
        <v>69.3</v>
      </c>
      <c r="L1850">
        <v>62.87</v>
      </c>
      <c r="M1850">
        <v>1.41</v>
      </c>
      <c r="N1850" t="b">
        <v>0</v>
      </c>
      <c r="O1850">
        <v>40</v>
      </c>
      <c r="P1850" t="s">
        <v>1853</v>
      </c>
      <c r="Q1850" t="s">
        <v>3719</v>
      </c>
      <c r="R1850">
        <v>-25.51783409633912</v>
      </c>
      <c r="S1850">
        <v>1573</v>
      </c>
      <c r="T1850">
        <v>1485819</v>
      </c>
      <c r="U1850" t="s">
        <v>5824</v>
      </c>
      <c r="V1850">
        <v>80</v>
      </c>
      <c r="W1850" t="s">
        <v>8022</v>
      </c>
      <c r="X1850" t="s">
        <v>9935</v>
      </c>
      <c r="Y1850">
        <v>887</v>
      </c>
      <c r="Z1850">
        <v>16</v>
      </c>
      <c r="AB1850">
        <v>0.8100000000000001</v>
      </c>
    </row>
    <row r="1851" spans="1:28">
      <c r="A1851" s="2">
        <f>HYPERLINK("https://finance.naver.com/item/coinfo.nhn?code=100090", "A100090")</f>
        <v>0</v>
      </c>
      <c r="B1851">
        <f>HYPERLINK("http://comp.fnguide.com/SVO2/ASP/SVD_Consensus.asp?pGB=1&amp;gicode=A100090&amp;cID=&amp;MenuYn=Y&amp;ReportGB=&amp;NewMenuID=108&amp;stkGb=701", "삼강엠앤티")</f>
        <v>0</v>
      </c>
      <c r="C1851">
        <v>0</v>
      </c>
      <c r="D1851">
        <v>19250</v>
      </c>
      <c r="G1851">
        <v>6644</v>
      </c>
      <c r="H1851">
        <v>4955</v>
      </c>
      <c r="I1851">
        <v>4473</v>
      </c>
      <c r="J1851">
        <v>65.48999999999999</v>
      </c>
      <c r="K1851">
        <v>74.26000000000001</v>
      </c>
      <c r="L1851">
        <v>76.76000000000001</v>
      </c>
      <c r="M1851">
        <v>13.81</v>
      </c>
      <c r="N1851" t="b">
        <v>0</v>
      </c>
      <c r="O1851">
        <v>-784</v>
      </c>
      <c r="P1851" t="s">
        <v>1854</v>
      </c>
      <c r="Q1851" t="s">
        <v>3720</v>
      </c>
      <c r="R1851">
        <v>212.1365085984015</v>
      </c>
      <c r="S1851">
        <v>6755</v>
      </c>
      <c r="T1851">
        <v>2087693</v>
      </c>
      <c r="U1851" t="s">
        <v>5825</v>
      </c>
      <c r="V1851">
        <v>37.43</v>
      </c>
      <c r="W1851" t="s">
        <v>8023</v>
      </c>
      <c r="X1851" t="s">
        <v>9936</v>
      </c>
      <c r="Y1851">
        <v>3845</v>
      </c>
      <c r="Z1851">
        <v>-206</v>
      </c>
    </row>
    <row r="1852" spans="1:28">
      <c r="A1852" s="2">
        <f>HYPERLINK("https://finance.naver.com/item/coinfo.nhn?code=143240", "A143240")</f>
        <v>0</v>
      </c>
      <c r="B1852">
        <f>HYPERLINK("http://comp.fnguide.com/SVO2/ASP/SVD_Consensus.asp?pGB=1&amp;gicode=A143240&amp;cID=&amp;MenuYn=Y&amp;ReportGB=&amp;NewMenuID=108&amp;stkGb=701", "사람인에이치알")</f>
        <v>0</v>
      </c>
      <c r="C1852">
        <v>0</v>
      </c>
      <c r="D1852">
        <v>25950</v>
      </c>
      <c r="E1852">
        <v>0.8100000000000001</v>
      </c>
      <c r="F1852">
        <v>14.17</v>
      </c>
      <c r="G1852">
        <v>25471</v>
      </c>
      <c r="H1852">
        <v>16218</v>
      </c>
      <c r="I1852">
        <v>13581</v>
      </c>
      <c r="J1852">
        <v>1.85</v>
      </c>
      <c r="K1852">
        <v>37.5</v>
      </c>
      <c r="L1852">
        <v>47.66</v>
      </c>
      <c r="M1852">
        <v>20.16</v>
      </c>
      <c r="N1852" t="b">
        <v>1</v>
      </c>
      <c r="O1852">
        <v>2188</v>
      </c>
      <c r="P1852" t="s">
        <v>1855</v>
      </c>
      <c r="Q1852" t="s">
        <v>3721</v>
      </c>
      <c r="R1852">
        <v>17.55104839695425</v>
      </c>
      <c r="S1852">
        <v>3026</v>
      </c>
      <c r="T1852">
        <v>24505</v>
      </c>
      <c r="U1852" t="s">
        <v>5826</v>
      </c>
      <c r="V1852">
        <v>47.69</v>
      </c>
      <c r="W1852" t="s">
        <v>8024</v>
      </c>
      <c r="X1852" t="s">
        <v>9937</v>
      </c>
      <c r="Y1852">
        <v>936</v>
      </c>
      <c r="Z1852">
        <v>273</v>
      </c>
      <c r="AA1852">
        <v>607163</v>
      </c>
      <c r="AB1852">
        <v>1.87</v>
      </c>
    </row>
    <row r="1853" spans="1:28">
      <c r="A1853" s="2">
        <f>HYPERLINK("https://finance.naver.com/item/coinfo.nhn?code=065450", "A065450")</f>
        <v>0</v>
      </c>
      <c r="B1853">
        <f>HYPERLINK("http://comp.fnguide.com/SVO2/ASP/SVD_Consensus.asp?pGB=1&amp;gicode=A065450&amp;cID=&amp;MenuYn=Y&amp;ReportGB=&amp;NewMenuID=108&amp;stkGb=701", "빅텍")</f>
        <v>0</v>
      </c>
      <c r="C1853">
        <v>0</v>
      </c>
      <c r="D1853">
        <v>7240</v>
      </c>
      <c r="E1853">
        <v>0.57</v>
      </c>
      <c r="F1853">
        <v>45.02</v>
      </c>
      <c r="G1853">
        <v>607</v>
      </c>
      <c r="H1853">
        <v>1093</v>
      </c>
      <c r="I1853">
        <v>1231</v>
      </c>
      <c r="J1853">
        <v>91.61</v>
      </c>
      <c r="K1853">
        <v>84.91</v>
      </c>
      <c r="L1853">
        <v>83</v>
      </c>
      <c r="M1853">
        <v>3.42</v>
      </c>
      <c r="N1853" t="b">
        <v>1</v>
      </c>
      <c r="O1853">
        <v>75</v>
      </c>
      <c r="P1853" t="s">
        <v>1856</v>
      </c>
      <c r="Q1853" t="s">
        <v>3722</v>
      </c>
      <c r="R1853">
        <v>79.1841231805988</v>
      </c>
      <c r="S1853">
        <v>2074</v>
      </c>
      <c r="T1853">
        <v>1176731</v>
      </c>
      <c r="U1853" t="s">
        <v>5827</v>
      </c>
      <c r="V1853">
        <v>30.26</v>
      </c>
      <c r="W1853" t="s">
        <v>8025</v>
      </c>
      <c r="X1853" t="s">
        <v>9938</v>
      </c>
      <c r="Y1853">
        <v>490</v>
      </c>
      <c r="Z1853">
        <v>26</v>
      </c>
      <c r="AA1853">
        <v>318888</v>
      </c>
    </row>
    <row r="1854" spans="1:28">
      <c r="A1854" s="2">
        <f>HYPERLINK("https://finance.naver.com/item/coinfo.nhn?code=238200", "A238200")</f>
        <v>0</v>
      </c>
      <c r="B1854">
        <f>HYPERLINK("http://comp.fnguide.com/SVO2/ASP/SVD_Consensus.asp?pGB=1&amp;gicode=A238200&amp;cID=&amp;MenuYn=Y&amp;ReportGB=&amp;NewMenuID=108&amp;stkGb=701", "비피도")</f>
        <v>0</v>
      </c>
      <c r="C1854">
        <v>0</v>
      </c>
      <c r="D1854">
        <v>19900</v>
      </c>
      <c r="E1854">
        <v>-2.85</v>
      </c>
      <c r="F1854">
        <v>59.85</v>
      </c>
      <c r="G1854">
        <v>7611</v>
      </c>
      <c r="H1854">
        <v>9951</v>
      </c>
      <c r="I1854">
        <v>10618</v>
      </c>
      <c r="J1854">
        <v>61.76</v>
      </c>
      <c r="K1854">
        <v>49.99</v>
      </c>
      <c r="L1854">
        <v>46.64</v>
      </c>
      <c r="M1854">
        <v>5.27</v>
      </c>
      <c r="N1854" t="b">
        <v>1</v>
      </c>
      <c r="O1854">
        <v>387</v>
      </c>
      <c r="P1854" t="s">
        <v>1857</v>
      </c>
      <c r="Q1854" t="s">
        <v>3723</v>
      </c>
      <c r="R1854">
        <v>-20.96989425219508</v>
      </c>
      <c r="S1854">
        <v>814</v>
      </c>
      <c r="T1854">
        <v>29708</v>
      </c>
      <c r="U1854" t="s">
        <v>5828</v>
      </c>
      <c r="V1854">
        <v>45.15</v>
      </c>
      <c r="W1854" t="s">
        <v>8026</v>
      </c>
      <c r="X1854" t="s">
        <v>9939</v>
      </c>
      <c r="Y1854">
        <v>130</v>
      </c>
      <c r="Z1854">
        <v>14</v>
      </c>
      <c r="AA1854">
        <v>66007</v>
      </c>
    </row>
    <row r="1855" spans="1:28">
      <c r="A1855" s="2">
        <f>HYPERLINK("https://finance.naver.com/item/coinfo.nhn?code=032850", "A032850")</f>
        <v>0</v>
      </c>
      <c r="B1855">
        <f>HYPERLINK("http://comp.fnguide.com/SVO2/ASP/SVD_Consensus.asp?pGB=1&amp;gicode=A032850&amp;cID=&amp;MenuYn=Y&amp;ReportGB=&amp;NewMenuID=108&amp;stkGb=701", "비트컴퓨터")</f>
        <v>0</v>
      </c>
      <c r="C1855">
        <v>0</v>
      </c>
      <c r="D1855">
        <v>13050</v>
      </c>
      <c r="E1855">
        <v>-0.64</v>
      </c>
      <c r="F1855">
        <v>10.23</v>
      </c>
      <c r="G1855">
        <v>3453</v>
      </c>
      <c r="H1855">
        <v>3168</v>
      </c>
      <c r="I1855">
        <v>3087</v>
      </c>
      <c r="J1855">
        <v>73.54000000000001</v>
      </c>
      <c r="K1855">
        <v>75.72</v>
      </c>
      <c r="L1855">
        <v>76.34</v>
      </c>
      <c r="M1855">
        <v>9.24</v>
      </c>
      <c r="N1855" t="b">
        <v>1</v>
      </c>
      <c r="O1855">
        <v>427</v>
      </c>
      <c r="P1855" t="s">
        <v>1858</v>
      </c>
      <c r="Q1855" t="s">
        <v>3724</v>
      </c>
      <c r="R1855">
        <v>-15.94822239846262</v>
      </c>
      <c r="S1855">
        <v>2169</v>
      </c>
      <c r="T1855">
        <v>8561148</v>
      </c>
      <c r="U1855" t="s">
        <v>5829</v>
      </c>
      <c r="V1855">
        <v>25.33</v>
      </c>
      <c r="W1855" t="s">
        <v>8027</v>
      </c>
      <c r="X1855" t="s">
        <v>9940</v>
      </c>
      <c r="Y1855">
        <v>374</v>
      </c>
      <c r="Z1855">
        <v>61</v>
      </c>
      <c r="AA1855">
        <v>176621</v>
      </c>
      <c r="AB1855">
        <v>1.4</v>
      </c>
    </row>
    <row r="1856" spans="1:28">
      <c r="A1856" s="2">
        <f>HYPERLINK("https://finance.naver.com/item/coinfo.nhn?code=042370", "A042370")</f>
        <v>0</v>
      </c>
      <c r="B1856">
        <f>HYPERLINK("http://comp.fnguide.com/SVO2/ASP/SVD_Consensus.asp?pGB=1&amp;gicode=A042370&amp;cID=&amp;MenuYn=Y&amp;ReportGB=&amp;NewMenuID=108&amp;stkGb=701", "비츠로테크")</f>
        <v>0</v>
      </c>
      <c r="C1856">
        <v>0</v>
      </c>
      <c r="D1856">
        <v>8550</v>
      </c>
      <c r="E1856">
        <v>-0.46</v>
      </c>
      <c r="F1856">
        <v>8.49</v>
      </c>
      <c r="G1856">
        <v>7628</v>
      </c>
      <c r="H1856">
        <v>7211</v>
      </c>
      <c r="I1856">
        <v>7092</v>
      </c>
      <c r="J1856">
        <v>10.78</v>
      </c>
      <c r="K1856">
        <v>15.66</v>
      </c>
      <c r="L1856">
        <v>17.05</v>
      </c>
      <c r="M1856">
        <v>8.77</v>
      </c>
      <c r="N1856" t="b">
        <v>1</v>
      </c>
      <c r="O1856">
        <v>746</v>
      </c>
      <c r="P1856" t="s">
        <v>1859</v>
      </c>
      <c r="Q1856" t="s">
        <v>3725</v>
      </c>
      <c r="R1856">
        <v>-18.5716716768459</v>
      </c>
      <c r="S1856">
        <v>1911</v>
      </c>
      <c r="T1856">
        <v>184355</v>
      </c>
      <c r="U1856" t="s">
        <v>5830</v>
      </c>
      <c r="V1856">
        <v>61.94</v>
      </c>
      <c r="W1856" t="s">
        <v>8028</v>
      </c>
      <c r="X1856" t="s">
        <v>9941</v>
      </c>
      <c r="Y1856">
        <v>3130</v>
      </c>
      <c r="Z1856">
        <v>374</v>
      </c>
      <c r="AB1856">
        <v>0.79</v>
      </c>
    </row>
    <row r="1857" spans="1:28">
      <c r="A1857" s="2">
        <f>HYPERLINK("https://finance.naver.com/item/coinfo.nhn?code=054220", "A054220")</f>
        <v>0</v>
      </c>
      <c r="B1857">
        <f>HYPERLINK("http://comp.fnguide.com/SVO2/ASP/SVD_Consensus.asp?pGB=1&amp;gicode=A054220&amp;cID=&amp;MenuYn=Y&amp;ReportGB=&amp;NewMenuID=108&amp;stkGb=701", "비츠로시스")</f>
        <v>0</v>
      </c>
      <c r="C1857">
        <v>0</v>
      </c>
      <c r="D1857">
        <v>5930</v>
      </c>
      <c r="G1857">
        <v>0</v>
      </c>
      <c r="H1857">
        <v>-2430.09468655147</v>
      </c>
      <c r="I1857">
        <v>-3122.545693051836</v>
      </c>
      <c r="J1857">
        <v>100</v>
      </c>
      <c r="K1857">
        <v>140.98</v>
      </c>
      <c r="L1857">
        <v>152.66</v>
      </c>
      <c r="M1857">
        <v>0</v>
      </c>
      <c r="N1857" t="b">
        <v>0</v>
      </c>
      <c r="O1857" t="s">
        <v>10</v>
      </c>
      <c r="P1857" t="s">
        <v>1860</v>
      </c>
      <c r="Q1857" t="s">
        <v>3726</v>
      </c>
      <c r="R1857">
        <v>-84.56044042078919</v>
      </c>
      <c r="S1857" t="s">
        <v>3982</v>
      </c>
      <c r="T1857">
        <v>0</v>
      </c>
      <c r="U1857" t="s">
        <v>5831</v>
      </c>
      <c r="V1857">
        <v>32.47</v>
      </c>
      <c r="W1857" t="s">
        <v>8029</v>
      </c>
      <c r="X1857" t="s">
        <v>968</v>
      </c>
      <c r="Y1857" t="s">
        <v>10209</v>
      </c>
      <c r="Z1857" t="s">
        <v>10222</v>
      </c>
    </row>
    <row r="1858" spans="1:28">
      <c r="A1858" s="2">
        <f>HYPERLINK("https://finance.naver.com/item/coinfo.nhn?code=082920", "A082920")</f>
        <v>0</v>
      </c>
      <c r="B1858">
        <f>HYPERLINK("http://comp.fnguide.com/SVO2/ASP/SVD_Consensus.asp?pGB=1&amp;gicode=A082920&amp;cID=&amp;MenuYn=Y&amp;ReportGB=&amp;NewMenuID=108&amp;stkGb=701", "비츠로셀")</f>
        <v>0</v>
      </c>
      <c r="C1858">
        <v>0</v>
      </c>
      <c r="D1858">
        <v>16500</v>
      </c>
      <c r="E1858">
        <v>1.34</v>
      </c>
      <c r="F1858">
        <v>14.37</v>
      </c>
      <c r="G1858">
        <v>10171</v>
      </c>
      <c r="H1858">
        <v>8004</v>
      </c>
      <c r="I1858">
        <v>7387</v>
      </c>
      <c r="J1858">
        <v>38.36</v>
      </c>
      <c r="K1858">
        <v>51.49</v>
      </c>
      <c r="L1858">
        <v>55.23</v>
      </c>
      <c r="M1858">
        <v>12.35</v>
      </c>
      <c r="N1858" t="b">
        <v>1</v>
      </c>
      <c r="O1858">
        <v>932</v>
      </c>
      <c r="P1858" t="s">
        <v>1861</v>
      </c>
      <c r="Q1858" t="s">
        <v>3727</v>
      </c>
      <c r="R1858">
        <v>10.74976711388904</v>
      </c>
      <c r="S1858">
        <v>3554</v>
      </c>
      <c r="T1858">
        <v>73155</v>
      </c>
      <c r="U1858" t="s">
        <v>5832</v>
      </c>
      <c r="V1858">
        <v>38.7</v>
      </c>
      <c r="W1858" t="s">
        <v>8030</v>
      </c>
      <c r="X1858" t="s">
        <v>9942</v>
      </c>
      <c r="Y1858">
        <v>1334</v>
      </c>
      <c r="Z1858">
        <v>253</v>
      </c>
      <c r="AB1858">
        <v>0.75</v>
      </c>
    </row>
    <row r="1859" spans="1:28">
      <c r="A1859" s="2">
        <f>HYPERLINK("https://finance.naver.com/item/coinfo.nhn?code=138580", "A138580")</f>
        <v>0</v>
      </c>
      <c r="B1859">
        <f>HYPERLINK("http://comp.fnguide.com/SVO2/ASP/SVD_Consensus.asp?pGB=1&amp;gicode=A138580&amp;cID=&amp;MenuYn=Y&amp;ReportGB=&amp;NewMenuID=108&amp;stkGb=701", "비즈니스온")</f>
        <v>0</v>
      </c>
      <c r="C1859">
        <v>0</v>
      </c>
      <c r="D1859">
        <v>15400</v>
      </c>
      <c r="E1859">
        <v>-1.49</v>
      </c>
      <c r="F1859">
        <v>30.62</v>
      </c>
      <c r="G1859">
        <v>6488</v>
      </c>
      <c r="H1859">
        <v>4590</v>
      </c>
      <c r="I1859">
        <v>4049</v>
      </c>
      <c r="J1859">
        <v>57.87</v>
      </c>
      <c r="K1859">
        <v>70.19</v>
      </c>
      <c r="L1859">
        <v>73.7</v>
      </c>
      <c r="M1859">
        <v>15.53</v>
      </c>
      <c r="N1859" t="b">
        <v>1</v>
      </c>
      <c r="O1859">
        <v>462</v>
      </c>
      <c r="P1859" t="s">
        <v>1862</v>
      </c>
      <c r="Q1859" t="s">
        <v>3728</v>
      </c>
      <c r="R1859">
        <v>-20.49252838971878</v>
      </c>
      <c r="S1859">
        <v>1752</v>
      </c>
      <c r="T1859">
        <v>43331</v>
      </c>
      <c r="U1859" t="s">
        <v>5833</v>
      </c>
      <c r="V1859">
        <v>65.36</v>
      </c>
      <c r="W1859" t="s">
        <v>8031</v>
      </c>
      <c r="X1859" t="s">
        <v>9943</v>
      </c>
      <c r="Y1859">
        <v>157</v>
      </c>
      <c r="Z1859">
        <v>62</v>
      </c>
      <c r="AA1859">
        <v>173693</v>
      </c>
      <c r="AB1859">
        <v>2.01</v>
      </c>
    </row>
    <row r="1860" spans="1:28">
      <c r="A1860" s="2">
        <f>HYPERLINK("https://finance.naver.com/item/coinfo.nhn?code=335890", "A335890")</f>
        <v>0</v>
      </c>
      <c r="B1860">
        <f>HYPERLINK("http://comp.fnguide.com/SVO2/ASP/SVD_Consensus.asp?pGB=1&amp;gicode=A335890&amp;cID=&amp;MenuYn=Y&amp;ReportGB=&amp;NewMenuID=108&amp;stkGb=701", "비올")</f>
        <v>0</v>
      </c>
      <c r="C1860">
        <v>0</v>
      </c>
      <c r="D1860">
        <v>2555</v>
      </c>
      <c r="E1860">
        <v>0</v>
      </c>
      <c r="G1860">
        <v>743</v>
      </c>
      <c r="H1860">
        <v>399</v>
      </c>
      <c r="I1860">
        <v>301</v>
      </c>
      <c r="J1860">
        <v>70.92</v>
      </c>
      <c r="K1860">
        <v>84.40000000000001</v>
      </c>
      <c r="L1860">
        <v>88.23999999999999</v>
      </c>
      <c r="M1860">
        <v>34.85</v>
      </c>
      <c r="N1860" t="b">
        <v>0</v>
      </c>
      <c r="O1860">
        <v>60</v>
      </c>
      <c r="P1860" t="s">
        <v>1863</v>
      </c>
      <c r="Q1860" t="s">
        <v>3729</v>
      </c>
      <c r="R1860">
        <v>0</v>
      </c>
      <c r="S1860">
        <v>1399</v>
      </c>
      <c r="T1860">
        <v>292697</v>
      </c>
      <c r="U1860" t="s">
        <v>5834</v>
      </c>
      <c r="V1860">
        <v>40.26</v>
      </c>
      <c r="W1860" t="s">
        <v>8032</v>
      </c>
      <c r="X1860" t="s">
        <v>968</v>
      </c>
      <c r="Y1860">
        <v>111</v>
      </c>
      <c r="Z1860">
        <v>38</v>
      </c>
    </row>
    <row r="1861" spans="1:28">
      <c r="A1861" s="2">
        <f>HYPERLINK("https://finance.naver.com/item/coinfo.nhn?code=086670", "A086670")</f>
        <v>0</v>
      </c>
      <c r="B1861">
        <f>HYPERLINK("http://comp.fnguide.com/SVO2/ASP/SVD_Consensus.asp?pGB=1&amp;gicode=A086670&amp;cID=&amp;MenuYn=Y&amp;ReportGB=&amp;NewMenuID=108&amp;stkGb=701", "비엠티")</f>
        <v>0</v>
      </c>
      <c r="C1861">
        <v>0</v>
      </c>
      <c r="D1861">
        <v>9650</v>
      </c>
      <c r="E1861">
        <v>0.27</v>
      </c>
      <c r="F1861">
        <v>10.26</v>
      </c>
      <c r="G1861">
        <v>9201</v>
      </c>
      <c r="H1861">
        <v>8858</v>
      </c>
      <c r="I1861">
        <v>8760</v>
      </c>
      <c r="J1861">
        <v>4.65</v>
      </c>
      <c r="K1861">
        <v>8.210000000000001</v>
      </c>
      <c r="L1861">
        <v>9.220000000000001</v>
      </c>
      <c r="M1861">
        <v>8.5</v>
      </c>
      <c r="N1861" t="b">
        <v>1</v>
      </c>
      <c r="O1861">
        <v>661</v>
      </c>
      <c r="P1861" t="s">
        <v>1864</v>
      </c>
      <c r="Q1861" t="s">
        <v>3730</v>
      </c>
      <c r="R1861">
        <v>37.99075216331447</v>
      </c>
      <c r="S1861">
        <v>786</v>
      </c>
      <c r="T1861">
        <v>93888</v>
      </c>
      <c r="U1861" t="s">
        <v>5835</v>
      </c>
      <c r="V1861">
        <v>60.43</v>
      </c>
      <c r="W1861" t="s">
        <v>8033</v>
      </c>
      <c r="X1861" t="s">
        <v>9944</v>
      </c>
      <c r="Y1861">
        <v>744</v>
      </c>
      <c r="Z1861">
        <v>64</v>
      </c>
      <c r="AB1861">
        <v>2.21</v>
      </c>
    </row>
    <row r="1862" spans="1:28">
      <c r="A1862" s="2">
        <f>HYPERLINK("https://finance.naver.com/item/coinfo.nhn?code=083650", "A083650")</f>
        <v>0</v>
      </c>
      <c r="B1862">
        <f>HYPERLINK("http://comp.fnguide.com/SVO2/ASP/SVD_Consensus.asp?pGB=1&amp;gicode=A083650&amp;cID=&amp;MenuYn=Y&amp;ReportGB=&amp;NewMenuID=108&amp;stkGb=701", "비에이치아이")</f>
        <v>0</v>
      </c>
      <c r="C1862">
        <v>0</v>
      </c>
      <c r="D1862">
        <v>2520</v>
      </c>
      <c r="G1862">
        <v>432</v>
      </c>
      <c r="H1862">
        <v>1786</v>
      </c>
      <c r="I1862">
        <v>2171</v>
      </c>
      <c r="J1862">
        <v>82.84</v>
      </c>
      <c r="K1862">
        <v>29.14</v>
      </c>
      <c r="L1862">
        <v>13.83</v>
      </c>
      <c r="M1862">
        <v>1.28</v>
      </c>
      <c r="N1862" t="b">
        <v>0</v>
      </c>
      <c r="O1862">
        <v>-569</v>
      </c>
      <c r="P1862" t="s">
        <v>1865</v>
      </c>
      <c r="Q1862" t="s">
        <v>3731</v>
      </c>
      <c r="R1862">
        <v>-20</v>
      </c>
      <c r="S1862">
        <v>655</v>
      </c>
      <c r="T1862">
        <v>850148</v>
      </c>
      <c r="U1862" t="s">
        <v>5836</v>
      </c>
      <c r="V1862">
        <v>63.41</v>
      </c>
      <c r="W1862" t="s">
        <v>8034</v>
      </c>
      <c r="X1862" t="s">
        <v>9945</v>
      </c>
      <c r="Y1862">
        <v>2229</v>
      </c>
      <c r="Z1862">
        <v>-125</v>
      </c>
      <c r="AA1862">
        <v>2241</v>
      </c>
    </row>
    <row r="1863" spans="1:28">
      <c r="A1863" s="2">
        <f>HYPERLINK("https://finance.naver.com/item/coinfo.nhn?code=200780", "A200780")</f>
        <v>0</v>
      </c>
      <c r="B1863">
        <f>HYPERLINK("http://comp.fnguide.com/SVO2/ASP/SVD_Consensus.asp?pGB=1&amp;gicode=A200780&amp;cID=&amp;MenuYn=Y&amp;ReportGB=&amp;NewMenuID=108&amp;stkGb=701", "비씨월드제약")</f>
        <v>0</v>
      </c>
      <c r="C1863">
        <v>0</v>
      </c>
      <c r="D1863">
        <v>22250</v>
      </c>
      <c r="E1863">
        <v>-4.91</v>
      </c>
      <c r="F1863">
        <v>21.08</v>
      </c>
      <c r="G1863">
        <v>11922</v>
      </c>
      <c r="H1863">
        <v>11597</v>
      </c>
      <c r="I1863">
        <v>11505</v>
      </c>
      <c r="J1863">
        <v>46.42</v>
      </c>
      <c r="K1863">
        <v>47.88</v>
      </c>
      <c r="L1863">
        <v>48.29</v>
      </c>
      <c r="M1863">
        <v>8.35</v>
      </c>
      <c r="N1863" t="b">
        <v>1</v>
      </c>
      <c r="O1863">
        <v>685</v>
      </c>
      <c r="P1863" t="s">
        <v>1866</v>
      </c>
      <c r="Q1863" t="s">
        <v>3732</v>
      </c>
      <c r="R1863">
        <v>-4.289024013042653</v>
      </c>
      <c r="S1863">
        <v>1979</v>
      </c>
      <c r="T1863">
        <v>375815</v>
      </c>
      <c r="U1863" t="s">
        <v>5837</v>
      </c>
      <c r="V1863">
        <v>38.28</v>
      </c>
      <c r="W1863" t="s">
        <v>8035</v>
      </c>
      <c r="X1863" t="s">
        <v>9946</v>
      </c>
      <c r="Y1863">
        <v>517</v>
      </c>
      <c r="Z1863">
        <v>66</v>
      </c>
      <c r="AA1863">
        <v>352318</v>
      </c>
      <c r="AB1863">
        <v>0.63</v>
      </c>
    </row>
    <row r="1864" spans="1:28">
      <c r="A1864" s="2">
        <f>HYPERLINK("https://finance.naver.com/item/coinfo.nhn?code=318410", "A318410")</f>
        <v>0</v>
      </c>
      <c r="B1864">
        <f>HYPERLINK("http://comp.fnguide.com/SVO2/ASP/SVD_Consensus.asp?pGB=1&amp;gicode=A318410&amp;cID=&amp;MenuYn=Y&amp;ReportGB=&amp;NewMenuID=108&amp;stkGb=701", "비비씨")</f>
        <v>0</v>
      </c>
      <c r="C1864">
        <v>0</v>
      </c>
      <c r="D1864">
        <v>18150</v>
      </c>
      <c r="G1864">
        <v>12897</v>
      </c>
      <c r="H1864">
        <v>8261</v>
      </c>
      <c r="I1864">
        <v>6940</v>
      </c>
      <c r="J1864">
        <v>28.94</v>
      </c>
      <c r="K1864">
        <v>54.48</v>
      </c>
      <c r="L1864">
        <v>61.76</v>
      </c>
      <c r="M1864">
        <v>19.84</v>
      </c>
      <c r="N1864" t="b">
        <v>0</v>
      </c>
      <c r="O1864">
        <v>1183</v>
      </c>
      <c r="P1864" t="s">
        <v>1867</v>
      </c>
      <c r="Q1864" t="s">
        <v>3733</v>
      </c>
      <c r="R1864">
        <v>79.06409256699676</v>
      </c>
      <c r="S1864">
        <v>981</v>
      </c>
      <c r="T1864">
        <v>107830</v>
      </c>
      <c r="U1864" t="s">
        <v>5838</v>
      </c>
      <c r="V1864">
        <v>40.08</v>
      </c>
      <c r="W1864" t="s">
        <v>8036</v>
      </c>
      <c r="X1864" t="s">
        <v>968</v>
      </c>
      <c r="Y1864">
        <v>311</v>
      </c>
      <c r="Z1864">
        <v>76</v>
      </c>
    </row>
    <row r="1865" spans="1:28">
      <c r="A1865" s="2">
        <f>HYPERLINK("https://finance.naver.com/item/coinfo.nhn?code=082800", "A082800")</f>
        <v>0</v>
      </c>
      <c r="B1865">
        <f>HYPERLINK("http://comp.fnguide.com/SVO2/ASP/SVD_Consensus.asp?pGB=1&amp;gicode=A082800&amp;cID=&amp;MenuYn=Y&amp;ReportGB=&amp;NewMenuID=108&amp;stkGb=701", "비보존 헬스케어")</f>
        <v>0</v>
      </c>
      <c r="C1865">
        <v>0</v>
      </c>
      <c r="D1865">
        <v>2200</v>
      </c>
      <c r="E1865">
        <v>0</v>
      </c>
      <c r="G1865">
        <v>0</v>
      </c>
      <c r="H1865">
        <v>466</v>
      </c>
      <c r="I1865">
        <v>598</v>
      </c>
      <c r="J1865">
        <v>100</v>
      </c>
      <c r="K1865">
        <v>78.84</v>
      </c>
      <c r="L1865">
        <v>72.8</v>
      </c>
      <c r="M1865">
        <v>0</v>
      </c>
      <c r="N1865" t="b">
        <v>0</v>
      </c>
      <c r="O1865">
        <v>-305</v>
      </c>
      <c r="P1865" t="s">
        <v>1868</v>
      </c>
      <c r="Q1865" t="s">
        <v>2276</v>
      </c>
      <c r="R1865">
        <v>0</v>
      </c>
      <c r="S1865">
        <v>3094</v>
      </c>
      <c r="T1865">
        <v>2927548</v>
      </c>
      <c r="U1865" t="s">
        <v>5839</v>
      </c>
      <c r="V1865">
        <v>18.7</v>
      </c>
      <c r="W1865" t="s">
        <v>8037</v>
      </c>
      <c r="X1865" t="s">
        <v>968</v>
      </c>
      <c r="Y1865">
        <v>450</v>
      </c>
      <c r="Z1865">
        <v>-20</v>
      </c>
    </row>
    <row r="1866" spans="1:28">
      <c r="A1866" s="2">
        <f>HYPERLINK("https://finance.naver.com/item/coinfo.nhn?code=148140", "A148140")</f>
        <v>0</v>
      </c>
      <c r="B1866">
        <f>HYPERLINK("http://comp.fnguide.com/SVO2/ASP/SVD_Consensus.asp?pGB=1&amp;gicode=A148140&amp;cID=&amp;MenuYn=Y&amp;ReportGB=&amp;NewMenuID=108&amp;stkGb=701", "비디아이")</f>
        <v>0</v>
      </c>
      <c r="C1866">
        <v>0</v>
      </c>
      <c r="D1866">
        <v>11550</v>
      </c>
      <c r="G1866">
        <v>625</v>
      </c>
      <c r="H1866">
        <v>1159</v>
      </c>
      <c r="I1866">
        <v>1311</v>
      </c>
      <c r="J1866">
        <v>94.59</v>
      </c>
      <c r="K1866">
        <v>89.95999999999999</v>
      </c>
      <c r="L1866">
        <v>88.65000000000001</v>
      </c>
      <c r="M1866">
        <v>3.29</v>
      </c>
      <c r="N1866" t="b">
        <v>0</v>
      </c>
      <c r="O1866">
        <v>-8</v>
      </c>
      <c r="P1866" t="s">
        <v>1869</v>
      </c>
      <c r="Q1866" t="s">
        <v>3734</v>
      </c>
      <c r="R1866">
        <v>-59.44915637209493</v>
      </c>
      <c r="S1866">
        <v>2104</v>
      </c>
      <c r="T1866">
        <v>12881306</v>
      </c>
      <c r="U1866" t="s">
        <v>5840</v>
      </c>
      <c r="V1866">
        <v>17.1</v>
      </c>
      <c r="W1866" t="s">
        <v>8038</v>
      </c>
      <c r="X1866" t="s">
        <v>9947</v>
      </c>
      <c r="Y1866">
        <v>1286</v>
      </c>
      <c r="Z1866">
        <v>30</v>
      </c>
    </row>
    <row r="1867" spans="1:28">
      <c r="A1867" s="2">
        <f>HYPERLINK("https://finance.naver.com/item/coinfo.nhn?code=126340", "A126340")</f>
        <v>0</v>
      </c>
      <c r="B1867">
        <f>HYPERLINK("http://comp.fnguide.com/SVO2/ASP/SVD_Consensus.asp?pGB=1&amp;gicode=A126340&amp;cID=&amp;MenuYn=Y&amp;ReportGB=&amp;NewMenuID=108&amp;stkGb=701", "비나텍")</f>
        <v>0</v>
      </c>
      <c r="C1867">
        <v>0</v>
      </c>
      <c r="D1867">
        <v>52000</v>
      </c>
      <c r="E1867">
        <v>0</v>
      </c>
      <c r="F1867">
        <v>16.23</v>
      </c>
      <c r="G1867">
        <v>12331</v>
      </c>
      <c r="H1867">
        <v>7271</v>
      </c>
      <c r="I1867">
        <v>5830</v>
      </c>
      <c r="J1867">
        <v>76.29000000000001</v>
      </c>
      <c r="K1867">
        <v>86.02</v>
      </c>
      <c r="L1867">
        <v>88.79000000000001</v>
      </c>
      <c r="M1867">
        <v>25.14</v>
      </c>
      <c r="N1867" t="b">
        <v>1</v>
      </c>
      <c r="O1867">
        <v>1057</v>
      </c>
      <c r="P1867" t="s">
        <v>1870</v>
      </c>
      <c r="Q1867" t="s">
        <v>3735</v>
      </c>
      <c r="R1867">
        <v>0</v>
      </c>
      <c r="S1867">
        <v>2533</v>
      </c>
      <c r="T1867">
        <v>55101</v>
      </c>
      <c r="U1867" t="s">
        <v>5841</v>
      </c>
      <c r="V1867">
        <v>35.23</v>
      </c>
      <c r="W1867" t="s">
        <v>8039</v>
      </c>
      <c r="X1867" t="s">
        <v>9948</v>
      </c>
      <c r="Y1867">
        <v>428</v>
      </c>
      <c r="Z1867">
        <v>60</v>
      </c>
      <c r="AA1867">
        <v>63147</v>
      </c>
    </row>
    <row r="1868" spans="1:28">
      <c r="A1868" s="2">
        <f>HYPERLINK("https://finance.naver.com/item/coinfo.nhn?code=263920", "A263920")</f>
        <v>0</v>
      </c>
      <c r="B1868">
        <f>HYPERLINK("http://comp.fnguide.com/SVO2/ASP/SVD_Consensus.asp?pGB=1&amp;gicode=A263920&amp;cID=&amp;MenuYn=Y&amp;ReportGB=&amp;NewMenuID=108&amp;stkGb=701", "블러썸엠앤씨")</f>
        <v>0</v>
      </c>
      <c r="C1868">
        <v>0</v>
      </c>
      <c r="D1868">
        <v>4555</v>
      </c>
      <c r="G1868">
        <v>399</v>
      </c>
      <c r="H1868">
        <v>2891</v>
      </c>
      <c r="I1868">
        <v>3602</v>
      </c>
      <c r="J1868">
        <v>91.23</v>
      </c>
      <c r="K1868">
        <v>36.52</v>
      </c>
      <c r="L1868">
        <v>20.93</v>
      </c>
      <c r="M1868">
        <v>0.7</v>
      </c>
      <c r="N1868" t="b">
        <v>0</v>
      </c>
      <c r="O1868">
        <v>-538</v>
      </c>
      <c r="P1868" t="s">
        <v>1871</v>
      </c>
      <c r="Q1868" t="s">
        <v>3736</v>
      </c>
      <c r="R1868">
        <v>-69.71832237144049</v>
      </c>
      <c r="S1868">
        <v>625</v>
      </c>
      <c r="T1868">
        <v>0</v>
      </c>
      <c r="U1868" t="s">
        <v>5842</v>
      </c>
      <c r="V1868">
        <v>29.27</v>
      </c>
      <c r="W1868" t="s">
        <v>8040</v>
      </c>
      <c r="X1868" t="s">
        <v>9949</v>
      </c>
      <c r="Y1868">
        <v>250</v>
      </c>
      <c r="Z1868">
        <v>8</v>
      </c>
    </row>
    <row r="1869" spans="1:28">
      <c r="A1869" s="2">
        <f>HYPERLINK("https://finance.naver.com/item/coinfo.nhn?code=309930", "A309930")</f>
        <v>0</v>
      </c>
      <c r="B1869">
        <f>HYPERLINK("http://comp.fnguide.com/SVO2/ASP/SVD_Consensus.asp?pGB=1&amp;gicode=A309930&amp;cID=&amp;MenuYn=Y&amp;ReportGB=&amp;NewMenuID=108&amp;stkGb=701", "삼성머스트스팩3호")</f>
        <v>0</v>
      </c>
      <c r="C1869">
        <v>0</v>
      </c>
      <c r="D1869">
        <v>2840</v>
      </c>
      <c r="E1869">
        <v>0</v>
      </c>
      <c r="F1869">
        <v>95.41</v>
      </c>
      <c r="G1869">
        <v>140</v>
      </c>
      <c r="H1869">
        <v>1155</v>
      </c>
      <c r="I1869">
        <v>1445</v>
      </c>
      <c r="J1869">
        <v>95.06999999999999</v>
      </c>
      <c r="K1869">
        <v>59.31</v>
      </c>
      <c r="L1869">
        <v>49.13</v>
      </c>
      <c r="M1869">
        <v>0.61</v>
      </c>
      <c r="N1869" t="b">
        <v>0</v>
      </c>
      <c r="O1869">
        <v>22</v>
      </c>
      <c r="P1869" t="s">
        <v>1872</v>
      </c>
      <c r="Q1869" t="s">
        <v>3718</v>
      </c>
      <c r="R1869">
        <v>-24.50717013254844</v>
      </c>
      <c r="S1869">
        <v>130</v>
      </c>
      <c r="T1869">
        <v>379806</v>
      </c>
      <c r="U1869" t="s">
        <v>5843</v>
      </c>
      <c r="V1869">
        <v>17.43</v>
      </c>
      <c r="W1869" t="s">
        <v>8041</v>
      </c>
      <c r="X1869" t="s">
        <v>9950</v>
      </c>
      <c r="Y1869">
        <v>0</v>
      </c>
      <c r="Z1869">
        <v>0</v>
      </c>
    </row>
    <row r="1870" spans="1:28">
      <c r="A1870" s="2">
        <f>HYPERLINK("https://finance.naver.com/item/coinfo.nhn?code=291230", "A291230")</f>
        <v>0</v>
      </c>
      <c r="B1870">
        <f>HYPERLINK("http://comp.fnguide.com/SVO2/ASP/SVD_Consensus.asp?pGB=1&amp;gicode=A291230&amp;cID=&amp;MenuYn=Y&amp;ReportGB=&amp;NewMenuID=108&amp;stkGb=701", "삼성스팩2호")</f>
        <v>0</v>
      </c>
      <c r="C1870">
        <v>0</v>
      </c>
      <c r="D1870">
        <v>2040</v>
      </c>
      <c r="E1870">
        <v>0</v>
      </c>
      <c r="F1870">
        <v>92.94</v>
      </c>
      <c r="G1870">
        <v>137</v>
      </c>
      <c r="H1870">
        <v>1177</v>
      </c>
      <c r="I1870">
        <v>1473</v>
      </c>
      <c r="J1870">
        <v>93.28</v>
      </c>
      <c r="K1870">
        <v>42.31</v>
      </c>
      <c r="L1870">
        <v>27.79</v>
      </c>
      <c r="M1870">
        <v>0.58</v>
      </c>
      <c r="N1870" t="b">
        <v>0</v>
      </c>
      <c r="O1870">
        <v>22</v>
      </c>
      <c r="P1870" t="s">
        <v>1873</v>
      </c>
      <c r="Q1870" t="s">
        <v>3718</v>
      </c>
      <c r="R1870">
        <v>-24.50717013254844</v>
      </c>
      <c r="S1870">
        <v>154</v>
      </c>
      <c r="T1870">
        <v>2951</v>
      </c>
      <c r="U1870" t="s">
        <v>5844</v>
      </c>
      <c r="V1870">
        <v>13.25</v>
      </c>
      <c r="W1870" t="s">
        <v>8042</v>
      </c>
      <c r="X1870" t="s">
        <v>9951</v>
      </c>
      <c r="Y1870">
        <v>0</v>
      </c>
      <c r="Z1870">
        <v>0</v>
      </c>
    </row>
    <row r="1871" spans="1:28">
      <c r="A1871" s="2">
        <f>HYPERLINK("https://finance.naver.com/item/coinfo.nhn?code=065570", "A065570")</f>
        <v>0</v>
      </c>
      <c r="B1871">
        <f>HYPERLINK("http://comp.fnguide.com/SVO2/ASP/SVD_Consensus.asp?pGB=1&amp;gicode=A065570&amp;cID=&amp;MenuYn=Y&amp;ReportGB=&amp;NewMenuID=108&amp;stkGb=701", "삼영이엔씨")</f>
        <v>0</v>
      </c>
      <c r="C1871">
        <v>0</v>
      </c>
      <c r="D1871">
        <v>7790</v>
      </c>
      <c r="G1871">
        <v>984</v>
      </c>
      <c r="H1871">
        <v>5873</v>
      </c>
      <c r="I1871">
        <v>7266</v>
      </c>
      <c r="J1871">
        <v>87.37</v>
      </c>
      <c r="K1871">
        <v>24.61</v>
      </c>
      <c r="L1871">
        <v>6.73</v>
      </c>
      <c r="M1871">
        <v>0.86</v>
      </c>
      <c r="N1871" t="b">
        <v>0</v>
      </c>
      <c r="O1871">
        <v>-1070</v>
      </c>
      <c r="P1871" t="s">
        <v>1874</v>
      </c>
      <c r="Q1871" t="s">
        <v>3737</v>
      </c>
      <c r="R1871">
        <v>-32.18775988688584</v>
      </c>
      <c r="S1871">
        <v>686</v>
      </c>
      <c r="T1871">
        <v>126494</v>
      </c>
      <c r="U1871" t="s">
        <v>5845</v>
      </c>
      <c r="V1871">
        <v>36.72</v>
      </c>
      <c r="W1871" t="s">
        <v>8043</v>
      </c>
      <c r="X1871" t="s">
        <v>9952</v>
      </c>
      <c r="Y1871">
        <v>370</v>
      </c>
      <c r="Z1871">
        <v>-25</v>
      </c>
      <c r="AA1871">
        <v>555000</v>
      </c>
    </row>
    <row r="1872" spans="1:28">
      <c r="A1872" s="2">
        <f>HYPERLINK("https://finance.naver.com/item/coinfo.nhn?code=042940", "A042940")</f>
        <v>0</v>
      </c>
      <c r="B1872">
        <f>HYPERLINK("http://comp.fnguide.com/SVO2/ASP/SVD_Consensus.asp?pGB=1&amp;gicode=A042940&amp;cID=&amp;MenuYn=Y&amp;ReportGB=&amp;NewMenuID=108&amp;stkGb=701", "상지카일룸")</f>
        <v>0</v>
      </c>
      <c r="C1872">
        <v>0</v>
      </c>
      <c r="D1872">
        <v>1295</v>
      </c>
      <c r="E1872">
        <v>0</v>
      </c>
      <c r="G1872">
        <v>882</v>
      </c>
      <c r="H1872">
        <v>820</v>
      </c>
      <c r="I1872">
        <v>803</v>
      </c>
      <c r="J1872">
        <v>31.89</v>
      </c>
      <c r="K1872">
        <v>36.65</v>
      </c>
      <c r="L1872">
        <v>38.01</v>
      </c>
      <c r="M1872">
        <v>9.02</v>
      </c>
      <c r="N1872" t="b">
        <v>0</v>
      </c>
      <c r="O1872">
        <v>-122</v>
      </c>
      <c r="P1872" t="s">
        <v>1875</v>
      </c>
      <c r="Q1872" t="s">
        <v>2276</v>
      </c>
      <c r="R1872">
        <v>0</v>
      </c>
      <c r="S1872">
        <v>746</v>
      </c>
      <c r="T1872">
        <v>1079112</v>
      </c>
      <c r="U1872" t="s">
        <v>5846</v>
      </c>
      <c r="V1872">
        <v>13.54</v>
      </c>
      <c r="W1872" t="s">
        <v>8044</v>
      </c>
      <c r="X1872" t="s">
        <v>9953</v>
      </c>
      <c r="Y1872">
        <v>1049</v>
      </c>
      <c r="Z1872">
        <v>6</v>
      </c>
      <c r="AA1872">
        <v>421</v>
      </c>
    </row>
    <row r="1873" spans="1:28">
      <c r="A1873" s="2">
        <f>HYPERLINK("https://finance.naver.com/item/coinfo.nhn?code=046890", "A046890")</f>
        <v>0</v>
      </c>
      <c r="B1873">
        <f>HYPERLINK("http://comp.fnguide.com/SVO2/ASP/SVD_Consensus.asp?pGB=1&amp;gicode=A046890&amp;cID=&amp;MenuYn=Y&amp;ReportGB=&amp;NewMenuID=108&amp;stkGb=701", "서울반도체")</f>
        <v>0</v>
      </c>
      <c r="C1873">
        <v>0</v>
      </c>
      <c r="D1873">
        <v>19100</v>
      </c>
      <c r="E1873">
        <v>4.71</v>
      </c>
      <c r="F1873">
        <v>27.47</v>
      </c>
      <c r="G1873">
        <v>10399</v>
      </c>
      <c r="H1873">
        <v>11142</v>
      </c>
      <c r="I1873">
        <v>11354</v>
      </c>
      <c r="J1873">
        <v>45.55</v>
      </c>
      <c r="K1873">
        <v>41.66</v>
      </c>
      <c r="L1873">
        <v>40.56</v>
      </c>
      <c r="M1873">
        <v>7.12</v>
      </c>
      <c r="N1873" t="b">
        <v>1</v>
      </c>
      <c r="O1873">
        <v>592</v>
      </c>
      <c r="P1873" t="s">
        <v>1876</v>
      </c>
      <c r="Q1873" t="s">
        <v>3738</v>
      </c>
      <c r="R1873">
        <v>5.830644681738595</v>
      </c>
      <c r="S1873">
        <v>11136</v>
      </c>
      <c r="T1873">
        <v>905417</v>
      </c>
      <c r="U1873" t="s">
        <v>5847</v>
      </c>
      <c r="V1873">
        <v>31</v>
      </c>
      <c r="W1873" t="s">
        <v>8045</v>
      </c>
      <c r="X1873" t="s">
        <v>9954</v>
      </c>
      <c r="Y1873">
        <v>11299</v>
      </c>
      <c r="Z1873">
        <v>495</v>
      </c>
      <c r="AA1873">
        <v>1488059</v>
      </c>
      <c r="AB1873">
        <v>0.96</v>
      </c>
    </row>
    <row r="1874" spans="1:28">
      <c r="A1874" s="2">
        <f>HYPERLINK("https://finance.naver.com/item/coinfo.nhn?code=092190", "A092190")</f>
        <v>0</v>
      </c>
      <c r="B1874">
        <f>HYPERLINK("http://comp.fnguide.com/SVO2/ASP/SVD_Consensus.asp?pGB=1&amp;gicode=A092190&amp;cID=&amp;MenuYn=Y&amp;ReportGB=&amp;NewMenuID=108&amp;stkGb=701", "서울바이오시스")</f>
        <v>0</v>
      </c>
      <c r="C1874">
        <v>0</v>
      </c>
      <c r="D1874">
        <v>17550</v>
      </c>
      <c r="E1874">
        <v>-4.91</v>
      </c>
      <c r="F1874">
        <v>86.43000000000001</v>
      </c>
      <c r="G1874">
        <v>2561</v>
      </c>
      <c r="H1874">
        <v>3526</v>
      </c>
      <c r="I1874">
        <v>3801</v>
      </c>
      <c r="J1874">
        <v>85.41</v>
      </c>
      <c r="K1874">
        <v>79.91</v>
      </c>
      <c r="L1874">
        <v>78.34</v>
      </c>
      <c r="M1874">
        <v>4.9</v>
      </c>
      <c r="N1874" t="b">
        <v>0</v>
      </c>
      <c r="O1874">
        <v>147</v>
      </c>
      <c r="P1874" t="s">
        <v>1877</v>
      </c>
      <c r="Q1874" t="s">
        <v>3739</v>
      </c>
      <c r="R1874">
        <v>-17.6161746597681</v>
      </c>
      <c r="S1874">
        <v>6708</v>
      </c>
      <c r="T1874">
        <v>630643</v>
      </c>
      <c r="U1874" t="s">
        <v>5848</v>
      </c>
      <c r="V1874">
        <v>63.94</v>
      </c>
      <c r="W1874" t="s">
        <v>8046</v>
      </c>
      <c r="X1874" t="s">
        <v>9955</v>
      </c>
      <c r="Y1874">
        <v>3506</v>
      </c>
      <c r="Z1874">
        <v>103</v>
      </c>
      <c r="AB1874">
        <v>0.3</v>
      </c>
    </row>
    <row r="1875" spans="1:28">
      <c r="A1875" s="2">
        <f>HYPERLINK("https://finance.naver.com/item/coinfo.nhn?code=043710", "A043710")</f>
        <v>0</v>
      </c>
      <c r="B1875">
        <f>HYPERLINK("http://comp.fnguide.com/SVO2/ASP/SVD_Consensus.asp?pGB=1&amp;gicode=A043710&amp;cID=&amp;MenuYn=Y&amp;ReportGB=&amp;NewMenuID=108&amp;stkGb=701", "서울리거")</f>
        <v>0</v>
      </c>
      <c r="C1875">
        <v>0</v>
      </c>
      <c r="D1875">
        <v>1130</v>
      </c>
      <c r="E1875">
        <v>0</v>
      </c>
      <c r="G1875">
        <v>0</v>
      </c>
      <c r="H1875">
        <v>836</v>
      </c>
      <c r="I1875">
        <v>1074</v>
      </c>
      <c r="J1875">
        <v>100</v>
      </c>
      <c r="K1875">
        <v>26.06</v>
      </c>
      <c r="L1875">
        <v>4.99</v>
      </c>
      <c r="M1875">
        <v>0</v>
      </c>
      <c r="N1875" t="b">
        <v>0</v>
      </c>
      <c r="O1875">
        <v>-257</v>
      </c>
      <c r="P1875" t="s">
        <v>1878</v>
      </c>
      <c r="Q1875" t="s">
        <v>2276</v>
      </c>
      <c r="R1875">
        <v>0</v>
      </c>
      <c r="S1875">
        <v>407</v>
      </c>
      <c r="T1875">
        <v>463975</v>
      </c>
      <c r="U1875" t="s">
        <v>5849</v>
      </c>
      <c r="V1875">
        <v>30.72</v>
      </c>
      <c r="W1875" t="s">
        <v>8047</v>
      </c>
      <c r="X1875" t="s">
        <v>968</v>
      </c>
      <c r="Y1875">
        <v>784</v>
      </c>
      <c r="Z1875">
        <v>-87</v>
      </c>
      <c r="AA1875">
        <v>537</v>
      </c>
    </row>
    <row r="1876" spans="1:28">
      <c r="A1876" s="2">
        <f>HYPERLINK("https://finance.naver.com/item/coinfo.nhn?code=019770", "A019770")</f>
        <v>0</v>
      </c>
      <c r="B1876">
        <f>HYPERLINK("http://comp.fnguide.com/SVO2/ASP/SVD_Consensus.asp?pGB=1&amp;gicode=A019770&amp;cID=&amp;MenuYn=Y&amp;ReportGB=&amp;NewMenuID=108&amp;stkGb=701", "서연탑메탈")</f>
        <v>0</v>
      </c>
      <c r="C1876">
        <v>0</v>
      </c>
      <c r="D1876">
        <v>9320</v>
      </c>
      <c r="E1876">
        <v>0</v>
      </c>
      <c r="G1876">
        <v>709</v>
      </c>
      <c r="H1876">
        <v>3656</v>
      </c>
      <c r="I1876">
        <v>4496</v>
      </c>
      <c r="J1876">
        <v>92.39</v>
      </c>
      <c r="K1876">
        <v>60.77</v>
      </c>
      <c r="L1876">
        <v>51.76</v>
      </c>
      <c r="M1876">
        <v>1.01</v>
      </c>
      <c r="N1876" t="b">
        <v>0</v>
      </c>
      <c r="O1876">
        <v>-257</v>
      </c>
      <c r="P1876" t="s">
        <v>1879</v>
      </c>
      <c r="Q1876" t="s">
        <v>2276</v>
      </c>
      <c r="R1876">
        <v>0</v>
      </c>
      <c r="S1876">
        <v>1086</v>
      </c>
      <c r="T1876">
        <v>1923399</v>
      </c>
      <c r="U1876" t="s">
        <v>5850</v>
      </c>
      <c r="V1876">
        <v>51.44</v>
      </c>
      <c r="W1876" t="s">
        <v>8048</v>
      </c>
      <c r="X1876" t="s">
        <v>9956</v>
      </c>
      <c r="Y1876">
        <v>1597</v>
      </c>
      <c r="Z1876">
        <v>4</v>
      </c>
      <c r="AB1876">
        <v>2.27</v>
      </c>
    </row>
    <row r="1877" spans="1:28">
      <c r="A1877" s="2">
        <f>HYPERLINK("https://finance.naver.com/item/coinfo.nhn?code=100660", "A100660")</f>
        <v>0</v>
      </c>
      <c r="B1877">
        <f>HYPERLINK("http://comp.fnguide.com/SVO2/ASP/SVD_Consensus.asp?pGB=1&amp;gicode=A100660&amp;cID=&amp;MenuYn=Y&amp;ReportGB=&amp;NewMenuID=108&amp;stkGb=701", "서암기계공업")</f>
        <v>0</v>
      </c>
      <c r="C1877">
        <v>0</v>
      </c>
      <c r="D1877">
        <v>5460</v>
      </c>
      <c r="E1877">
        <v>-2.49</v>
      </c>
      <c r="F1877">
        <v>32.59</v>
      </c>
      <c r="G1877">
        <v>2717</v>
      </c>
      <c r="H1877">
        <v>4022</v>
      </c>
      <c r="I1877">
        <v>4394</v>
      </c>
      <c r="J1877">
        <v>50.23</v>
      </c>
      <c r="K1877">
        <v>26.33</v>
      </c>
      <c r="L1877">
        <v>19.53</v>
      </c>
      <c r="M1877">
        <v>4.43</v>
      </c>
      <c r="N1877" t="b">
        <v>1</v>
      </c>
      <c r="O1877">
        <v>173</v>
      </c>
      <c r="P1877" t="s">
        <v>1880</v>
      </c>
      <c r="Q1877" t="s">
        <v>3740</v>
      </c>
      <c r="R1877">
        <v>-13.0752407103973</v>
      </c>
      <c r="S1877">
        <v>688</v>
      </c>
      <c r="T1877">
        <v>58372</v>
      </c>
      <c r="U1877" t="s">
        <v>5851</v>
      </c>
      <c r="V1877">
        <v>64.93000000000001</v>
      </c>
      <c r="W1877" t="s">
        <v>8049</v>
      </c>
      <c r="X1877" t="s">
        <v>9957</v>
      </c>
      <c r="Y1877">
        <v>385</v>
      </c>
      <c r="Z1877">
        <v>15</v>
      </c>
      <c r="AB1877">
        <v>0.88</v>
      </c>
    </row>
    <row r="1878" spans="1:28">
      <c r="A1878" s="2">
        <f>HYPERLINK("https://finance.naver.com/item/coinfo.nhn?code=038070", "A038070")</f>
        <v>0</v>
      </c>
      <c r="B1878">
        <f>HYPERLINK("http://comp.fnguide.com/SVO2/ASP/SVD_Consensus.asp?pGB=1&amp;gicode=A038070&amp;cID=&amp;MenuYn=Y&amp;ReportGB=&amp;NewMenuID=108&amp;stkGb=701", "서린바이오")</f>
        <v>0</v>
      </c>
      <c r="C1878">
        <v>0</v>
      </c>
      <c r="D1878">
        <v>13400</v>
      </c>
      <c r="E1878">
        <v>0.57</v>
      </c>
      <c r="F1878">
        <v>7.85</v>
      </c>
      <c r="G1878">
        <v>9915</v>
      </c>
      <c r="H1878">
        <v>8619</v>
      </c>
      <c r="I1878">
        <v>8250</v>
      </c>
      <c r="J1878">
        <v>26.01</v>
      </c>
      <c r="K1878">
        <v>35.68</v>
      </c>
      <c r="L1878">
        <v>38.43</v>
      </c>
      <c r="M1878">
        <v>10.19</v>
      </c>
      <c r="N1878" t="b">
        <v>1</v>
      </c>
      <c r="O1878">
        <v>1126</v>
      </c>
      <c r="P1878" t="s">
        <v>1881</v>
      </c>
      <c r="Q1878" t="s">
        <v>3741</v>
      </c>
      <c r="R1878">
        <v>13.77270020401431</v>
      </c>
      <c r="S1878">
        <v>1072</v>
      </c>
      <c r="T1878">
        <v>300810</v>
      </c>
      <c r="U1878" t="s">
        <v>5852</v>
      </c>
      <c r="V1878">
        <v>30.38</v>
      </c>
      <c r="W1878" t="s">
        <v>8050</v>
      </c>
      <c r="X1878" t="s">
        <v>9958</v>
      </c>
      <c r="Y1878">
        <v>544</v>
      </c>
      <c r="Z1878">
        <v>18</v>
      </c>
      <c r="AA1878">
        <v>306080</v>
      </c>
      <c r="AB1878">
        <v>1.06</v>
      </c>
    </row>
    <row r="1879" spans="1:28">
      <c r="A1879" s="2">
        <f>HYPERLINK("https://finance.naver.com/item/coinfo.nhn?code=294630", "A294630")</f>
        <v>0</v>
      </c>
      <c r="B1879">
        <f>HYPERLINK("http://comp.fnguide.com/SVO2/ASP/SVD_Consensus.asp?pGB=1&amp;gicode=A294630&amp;cID=&amp;MenuYn=Y&amp;ReportGB=&amp;NewMenuID=108&amp;stkGb=701", "서남")</f>
        <v>0</v>
      </c>
      <c r="C1879">
        <v>0</v>
      </c>
      <c r="D1879">
        <v>3670</v>
      </c>
      <c r="E1879">
        <v>0</v>
      </c>
      <c r="G1879">
        <v>0</v>
      </c>
      <c r="H1879">
        <v>177</v>
      </c>
      <c r="I1879">
        <v>227</v>
      </c>
      <c r="J1879">
        <v>100</v>
      </c>
      <c r="K1879">
        <v>95.18000000000001</v>
      </c>
      <c r="L1879">
        <v>93.8</v>
      </c>
      <c r="M1879">
        <v>0</v>
      </c>
      <c r="N1879" t="b">
        <v>0</v>
      </c>
      <c r="O1879">
        <v>-260</v>
      </c>
      <c r="P1879" t="s">
        <v>1882</v>
      </c>
      <c r="Q1879" t="s">
        <v>2276</v>
      </c>
      <c r="R1879">
        <v>0</v>
      </c>
      <c r="S1879">
        <v>747</v>
      </c>
      <c r="T1879">
        <v>1560657</v>
      </c>
      <c r="U1879" t="s">
        <v>5853</v>
      </c>
      <c r="V1879">
        <v>18.27</v>
      </c>
      <c r="W1879" t="s">
        <v>8051</v>
      </c>
      <c r="X1879" t="s">
        <v>968</v>
      </c>
      <c r="Y1879">
        <v>14</v>
      </c>
      <c r="Z1879">
        <v>-44</v>
      </c>
    </row>
    <row r="1880" spans="1:28">
      <c r="A1880" s="2">
        <f>HYPERLINK("https://finance.naver.com/item/coinfo.nhn?code=263540", "A263540")</f>
        <v>0</v>
      </c>
      <c r="B1880">
        <f>HYPERLINK("http://comp.fnguide.com/SVO2/ASP/SVD_Consensus.asp?pGB=1&amp;gicode=A263540&amp;cID=&amp;MenuYn=Y&amp;ReportGB=&amp;NewMenuID=108&amp;stkGb=701", "샘코")</f>
        <v>0</v>
      </c>
      <c r="C1880">
        <v>0</v>
      </c>
      <c r="D1880">
        <v>2015</v>
      </c>
      <c r="G1880">
        <v>25</v>
      </c>
      <c r="H1880">
        <v>312</v>
      </c>
      <c r="I1880">
        <v>394</v>
      </c>
      <c r="J1880">
        <v>98.73999999999999</v>
      </c>
      <c r="K1880">
        <v>84.52</v>
      </c>
      <c r="L1880">
        <v>80.45999999999999</v>
      </c>
      <c r="M1880">
        <v>0.4</v>
      </c>
      <c r="N1880" t="b">
        <v>0</v>
      </c>
      <c r="O1880">
        <v>-4013</v>
      </c>
      <c r="P1880" t="s">
        <v>1883</v>
      </c>
      <c r="Q1880" t="s">
        <v>3742</v>
      </c>
      <c r="R1880">
        <v>-41.88408135458926</v>
      </c>
      <c r="S1880">
        <v>361</v>
      </c>
      <c r="T1880">
        <v>0</v>
      </c>
      <c r="U1880" t="s">
        <v>5854</v>
      </c>
      <c r="V1880">
        <v>20.26</v>
      </c>
      <c r="W1880" t="s">
        <v>8052</v>
      </c>
      <c r="X1880" t="s">
        <v>9959</v>
      </c>
      <c r="Y1880">
        <v>257</v>
      </c>
      <c r="Z1880">
        <v>-240</v>
      </c>
    </row>
    <row r="1881" spans="1:28">
      <c r="A1881" s="2">
        <f>HYPERLINK("https://finance.naver.com/item/coinfo.nhn?code=042600", "A042600")</f>
        <v>0</v>
      </c>
      <c r="B1881">
        <f>HYPERLINK("http://comp.fnguide.com/SVO2/ASP/SVD_Consensus.asp?pGB=1&amp;gicode=A042600&amp;cID=&amp;MenuYn=Y&amp;ReportGB=&amp;NewMenuID=108&amp;stkGb=701", "새로닉스")</f>
        <v>0</v>
      </c>
      <c r="C1881">
        <v>0</v>
      </c>
      <c r="D1881">
        <v>7430</v>
      </c>
      <c r="G1881">
        <v>3285</v>
      </c>
      <c r="H1881">
        <v>5246</v>
      </c>
      <c r="I1881">
        <v>5805</v>
      </c>
      <c r="J1881">
        <v>55.78</v>
      </c>
      <c r="K1881">
        <v>29.39</v>
      </c>
      <c r="L1881">
        <v>21.87</v>
      </c>
      <c r="M1881">
        <v>4</v>
      </c>
      <c r="N1881" t="b">
        <v>0</v>
      </c>
      <c r="O1881">
        <v>-155</v>
      </c>
      <c r="P1881" t="s">
        <v>1884</v>
      </c>
      <c r="Q1881" t="s">
        <v>3743</v>
      </c>
      <c r="R1881">
        <v>10.05217910139364</v>
      </c>
      <c r="S1881">
        <v>923</v>
      </c>
      <c r="T1881">
        <v>544377</v>
      </c>
      <c r="U1881" t="s">
        <v>5855</v>
      </c>
      <c r="V1881">
        <v>65.06999999999999</v>
      </c>
      <c r="W1881" t="s">
        <v>8053</v>
      </c>
      <c r="X1881" t="s">
        <v>9960</v>
      </c>
      <c r="Y1881">
        <v>1638</v>
      </c>
      <c r="Z1881">
        <v>1</v>
      </c>
      <c r="AA1881">
        <v>192005</v>
      </c>
      <c r="AB1881">
        <v>1.14</v>
      </c>
    </row>
    <row r="1882" spans="1:28">
      <c r="A1882" s="2">
        <f>HYPERLINK("https://finance.naver.com/item/coinfo.nhn?code=089980", "A089980")</f>
        <v>0</v>
      </c>
      <c r="B1882">
        <f>HYPERLINK("http://comp.fnguide.com/SVO2/ASP/SVD_Consensus.asp?pGB=1&amp;gicode=A089980&amp;cID=&amp;MenuYn=Y&amp;ReportGB=&amp;NewMenuID=108&amp;stkGb=701", "상아프론테크")</f>
        <v>0</v>
      </c>
      <c r="C1882">
        <v>0</v>
      </c>
      <c r="D1882">
        <v>42100</v>
      </c>
      <c r="E1882">
        <v>-1.22</v>
      </c>
      <c r="F1882">
        <v>18.75</v>
      </c>
      <c r="G1882">
        <v>11219</v>
      </c>
      <c r="H1882">
        <v>10164</v>
      </c>
      <c r="I1882">
        <v>9864</v>
      </c>
      <c r="J1882">
        <v>73.34999999999999</v>
      </c>
      <c r="K1882">
        <v>75.86</v>
      </c>
      <c r="L1882">
        <v>76.56999999999999</v>
      </c>
      <c r="M1882">
        <v>9.449999999999999</v>
      </c>
      <c r="N1882" t="b">
        <v>1</v>
      </c>
      <c r="O1882">
        <v>813</v>
      </c>
      <c r="P1882" t="s">
        <v>1885</v>
      </c>
      <c r="Q1882" t="s">
        <v>3744</v>
      </c>
      <c r="R1882">
        <v>-15.38751562944437</v>
      </c>
      <c r="S1882">
        <v>6620</v>
      </c>
      <c r="T1882">
        <v>201680</v>
      </c>
      <c r="U1882" t="s">
        <v>5856</v>
      </c>
      <c r="V1882">
        <v>45.68</v>
      </c>
      <c r="W1882" t="s">
        <v>8054</v>
      </c>
      <c r="X1882" t="s">
        <v>9961</v>
      </c>
      <c r="Y1882">
        <v>1862</v>
      </c>
      <c r="Z1882">
        <v>149</v>
      </c>
      <c r="AA1882">
        <v>529885</v>
      </c>
      <c r="AB1882">
        <v>1.05</v>
      </c>
    </row>
    <row r="1883" spans="1:28">
      <c r="A1883" s="2">
        <f>HYPERLINK("https://finance.naver.com/item/coinfo.nhn?code=054090", "A054090")</f>
        <v>0</v>
      </c>
      <c r="B1883">
        <f>HYPERLINK("http://comp.fnguide.com/SVO2/ASP/SVD_Consensus.asp?pGB=1&amp;gicode=A054090&amp;cID=&amp;MenuYn=Y&amp;ReportGB=&amp;NewMenuID=108&amp;stkGb=701", "삼진엘앤디")</f>
        <v>0</v>
      </c>
      <c r="C1883">
        <v>0</v>
      </c>
      <c r="D1883">
        <v>3250</v>
      </c>
      <c r="E1883">
        <v>-1.35</v>
      </c>
      <c r="F1883">
        <v>94.77</v>
      </c>
      <c r="G1883">
        <v>493</v>
      </c>
      <c r="H1883">
        <v>2578</v>
      </c>
      <c r="I1883">
        <v>3172</v>
      </c>
      <c r="J1883">
        <v>84.83</v>
      </c>
      <c r="K1883">
        <v>20.67</v>
      </c>
      <c r="L1883">
        <v>2.39</v>
      </c>
      <c r="M1883">
        <v>0.99</v>
      </c>
      <c r="N1883" t="b">
        <v>0</v>
      </c>
      <c r="O1883">
        <v>23</v>
      </c>
      <c r="P1883" t="s">
        <v>1886</v>
      </c>
      <c r="Q1883" t="s">
        <v>3745</v>
      </c>
      <c r="R1883">
        <v>-70.21376156679061</v>
      </c>
      <c r="S1883">
        <v>811</v>
      </c>
      <c r="T1883">
        <v>439214</v>
      </c>
      <c r="U1883" t="s">
        <v>5857</v>
      </c>
      <c r="V1883">
        <v>22.12</v>
      </c>
      <c r="W1883" t="s">
        <v>8055</v>
      </c>
      <c r="X1883" t="s">
        <v>9962</v>
      </c>
      <c r="Y1883">
        <v>2308</v>
      </c>
      <c r="Z1883">
        <v>38</v>
      </c>
      <c r="AA1883">
        <v>1672259</v>
      </c>
      <c r="AB1883">
        <v>3.4</v>
      </c>
    </row>
    <row r="1884" spans="1:28">
      <c r="A1884" s="2">
        <f>HYPERLINK("https://finance.naver.com/item/coinfo.nhn?code=263810", "A263810")</f>
        <v>0</v>
      </c>
      <c r="B1884">
        <f>HYPERLINK("http://comp.fnguide.com/SVO2/ASP/SVD_Consensus.asp?pGB=1&amp;gicode=A263810&amp;cID=&amp;MenuYn=Y&amp;ReportGB=&amp;NewMenuID=108&amp;stkGb=701", "상신전자")</f>
        <v>0</v>
      </c>
      <c r="C1884">
        <v>0</v>
      </c>
      <c r="D1884">
        <v>3960</v>
      </c>
      <c r="E1884">
        <v>-1.47</v>
      </c>
      <c r="F1884">
        <v>20.89</v>
      </c>
      <c r="G1884">
        <v>2726</v>
      </c>
      <c r="H1884">
        <v>2543</v>
      </c>
      <c r="I1884">
        <v>2492</v>
      </c>
      <c r="J1884">
        <v>31.17</v>
      </c>
      <c r="K1884">
        <v>35.77</v>
      </c>
      <c r="L1884">
        <v>37.08</v>
      </c>
      <c r="M1884">
        <v>8.970000000000001</v>
      </c>
      <c r="N1884" t="b">
        <v>1</v>
      </c>
      <c r="O1884">
        <v>176</v>
      </c>
      <c r="P1884" t="s">
        <v>1887</v>
      </c>
      <c r="Q1884" t="s">
        <v>3746</v>
      </c>
      <c r="R1884">
        <v>-14.17173314107243</v>
      </c>
      <c r="S1884">
        <v>564</v>
      </c>
      <c r="T1884">
        <v>93719</v>
      </c>
      <c r="U1884" t="s">
        <v>5858</v>
      </c>
      <c r="V1884">
        <v>45.66</v>
      </c>
      <c r="W1884" t="s">
        <v>8056</v>
      </c>
      <c r="X1884" t="s">
        <v>9963</v>
      </c>
      <c r="Y1884">
        <v>820</v>
      </c>
      <c r="Z1884">
        <v>30</v>
      </c>
      <c r="AA1884">
        <v>3631</v>
      </c>
    </row>
    <row r="1885" spans="1:28">
      <c r="A1885" s="2">
        <f>HYPERLINK("https://finance.naver.com/item/coinfo.nhn?code=091580", "A091580")</f>
        <v>0</v>
      </c>
      <c r="B1885">
        <f>HYPERLINK("http://comp.fnguide.com/SVO2/ASP/SVD_Consensus.asp?pGB=1&amp;gicode=A091580&amp;cID=&amp;MenuYn=Y&amp;ReportGB=&amp;NewMenuID=108&amp;stkGb=701", "상신이디피")</f>
        <v>0</v>
      </c>
      <c r="C1885">
        <v>0</v>
      </c>
      <c r="D1885">
        <v>12900</v>
      </c>
      <c r="E1885">
        <v>0.88</v>
      </c>
      <c r="F1885">
        <v>21.69</v>
      </c>
      <c r="G1885">
        <v>6709</v>
      </c>
      <c r="H1885">
        <v>5606</v>
      </c>
      <c r="I1885">
        <v>5291</v>
      </c>
      <c r="J1885">
        <v>47.99</v>
      </c>
      <c r="K1885">
        <v>56.55</v>
      </c>
      <c r="L1885">
        <v>58.98</v>
      </c>
      <c r="M1885">
        <v>10.97</v>
      </c>
      <c r="N1885" t="b">
        <v>1</v>
      </c>
      <c r="O1885">
        <v>380</v>
      </c>
      <c r="P1885" t="s">
        <v>1888</v>
      </c>
      <c r="Q1885" t="s">
        <v>3747</v>
      </c>
      <c r="R1885">
        <v>24.64799063778198</v>
      </c>
      <c r="S1885">
        <v>1689</v>
      </c>
      <c r="T1885">
        <v>198041</v>
      </c>
      <c r="U1885" t="s">
        <v>5859</v>
      </c>
      <c r="V1885">
        <v>27.69</v>
      </c>
      <c r="W1885" t="s">
        <v>8057</v>
      </c>
      <c r="X1885" t="s">
        <v>9964</v>
      </c>
      <c r="Y1885">
        <v>1412</v>
      </c>
      <c r="Z1885">
        <v>85</v>
      </c>
      <c r="AA1885">
        <v>350000</v>
      </c>
      <c r="AB1885">
        <v>0.61</v>
      </c>
    </row>
    <row r="1886" spans="1:28">
      <c r="A1886" s="2">
        <f>HYPERLINK("https://finance.naver.com/item/coinfo.nhn?code=101000", "A101000")</f>
        <v>0</v>
      </c>
      <c r="B1886">
        <f>HYPERLINK("http://comp.fnguide.com/SVO2/ASP/SVD_Consensus.asp?pGB=1&amp;gicode=A101000&amp;cID=&amp;MenuYn=Y&amp;ReportGB=&amp;NewMenuID=108&amp;stkGb=701", "상상인인더스트리")</f>
        <v>0</v>
      </c>
      <c r="C1886">
        <v>0</v>
      </c>
      <c r="D1886">
        <v>814</v>
      </c>
      <c r="G1886">
        <v>0</v>
      </c>
      <c r="H1886">
        <v>234</v>
      </c>
      <c r="I1886">
        <v>301</v>
      </c>
      <c r="J1886">
        <v>100</v>
      </c>
      <c r="K1886">
        <v>71.20999999999999</v>
      </c>
      <c r="L1886">
        <v>63</v>
      </c>
      <c r="M1886">
        <v>0</v>
      </c>
      <c r="N1886" t="b">
        <v>0</v>
      </c>
      <c r="O1886">
        <v>-192</v>
      </c>
      <c r="P1886" t="s">
        <v>1889</v>
      </c>
      <c r="Q1886" t="s">
        <v>3748</v>
      </c>
      <c r="R1886">
        <v>74.40000000000002</v>
      </c>
      <c r="S1886">
        <v>515</v>
      </c>
      <c r="T1886">
        <v>935530</v>
      </c>
      <c r="U1886" t="s">
        <v>5860</v>
      </c>
      <c r="V1886">
        <v>60.83</v>
      </c>
      <c r="W1886" t="s">
        <v>8058</v>
      </c>
      <c r="X1886" t="s">
        <v>968</v>
      </c>
      <c r="Y1886">
        <v>329</v>
      </c>
      <c r="Z1886">
        <v>-10</v>
      </c>
    </row>
    <row r="1887" spans="1:28">
      <c r="A1887" s="2">
        <f>HYPERLINK("https://finance.naver.com/item/coinfo.nhn?code=329560", "A329560")</f>
        <v>0</v>
      </c>
      <c r="B1887">
        <f>HYPERLINK("http://comp.fnguide.com/SVO2/ASP/SVD_Consensus.asp?pGB=1&amp;gicode=A329560&amp;cID=&amp;MenuYn=Y&amp;ReportGB=&amp;NewMenuID=108&amp;stkGb=701", "상상인이안제2호스팩")</f>
        <v>0</v>
      </c>
      <c r="C1887">
        <v>0</v>
      </c>
      <c r="D1887">
        <v>1995</v>
      </c>
      <c r="E1887">
        <v>0</v>
      </c>
      <c r="G1887">
        <v>0</v>
      </c>
      <c r="H1887">
        <v>1108</v>
      </c>
      <c r="I1887">
        <v>1424</v>
      </c>
      <c r="J1887">
        <v>100</v>
      </c>
      <c r="K1887">
        <v>44.46</v>
      </c>
      <c r="L1887">
        <v>28.63</v>
      </c>
      <c r="M1887">
        <v>0</v>
      </c>
      <c r="N1887" t="b">
        <v>0</v>
      </c>
      <c r="O1887">
        <v>-57</v>
      </c>
      <c r="P1887" t="s">
        <v>1890</v>
      </c>
      <c r="Q1887" t="s">
        <v>2454</v>
      </c>
      <c r="R1887">
        <v>12.53751281964544</v>
      </c>
      <c r="S1887">
        <v>77</v>
      </c>
      <c r="T1887">
        <v>33992</v>
      </c>
      <c r="U1887" t="s">
        <v>5861</v>
      </c>
      <c r="V1887">
        <v>15.06</v>
      </c>
      <c r="W1887" t="s">
        <v>968</v>
      </c>
      <c r="X1887" t="s">
        <v>968</v>
      </c>
      <c r="Y1887">
        <v>0</v>
      </c>
      <c r="Z1887">
        <v>-2</v>
      </c>
    </row>
    <row r="1888" spans="1:28">
      <c r="A1888" s="2">
        <f>HYPERLINK("https://finance.naver.com/item/coinfo.nhn?code=307870", "A307870")</f>
        <v>0</v>
      </c>
      <c r="B1888">
        <f>HYPERLINK("http://comp.fnguide.com/SVO2/ASP/SVD_Consensus.asp?pGB=1&amp;gicode=A307870&amp;cID=&amp;MenuYn=Y&amp;ReportGB=&amp;NewMenuID=108&amp;stkGb=701", "상상인이안1호스팩")</f>
        <v>0</v>
      </c>
      <c r="C1888">
        <v>0</v>
      </c>
      <c r="D1888">
        <v>2010</v>
      </c>
      <c r="E1888">
        <v>0</v>
      </c>
      <c r="F1888">
        <v>102.46</v>
      </c>
      <c r="G1888">
        <v>123</v>
      </c>
      <c r="H1888">
        <v>1175</v>
      </c>
      <c r="I1888">
        <v>1475</v>
      </c>
      <c r="J1888">
        <v>93.86</v>
      </c>
      <c r="K1888">
        <v>41.54</v>
      </c>
      <c r="L1888">
        <v>26.63</v>
      </c>
      <c r="M1888">
        <v>0.53</v>
      </c>
      <c r="N1888" t="b">
        <v>0</v>
      </c>
      <c r="O1888">
        <v>20</v>
      </c>
      <c r="P1888" t="s">
        <v>1891</v>
      </c>
      <c r="Q1888" t="s">
        <v>2454</v>
      </c>
      <c r="R1888">
        <v>12.53751281964544</v>
      </c>
      <c r="S1888">
        <v>95</v>
      </c>
      <c r="T1888">
        <v>11755</v>
      </c>
      <c r="U1888" t="s">
        <v>5862</v>
      </c>
      <c r="V1888">
        <v>10.11</v>
      </c>
      <c r="W1888" t="s">
        <v>8059</v>
      </c>
      <c r="X1888" t="s">
        <v>9965</v>
      </c>
      <c r="Y1888">
        <v>0</v>
      </c>
      <c r="Z1888">
        <v>0</v>
      </c>
    </row>
    <row r="1889" spans="1:28">
      <c r="A1889" s="2">
        <f>HYPERLINK("https://finance.naver.com/item/coinfo.nhn?code=027580", "A027580")</f>
        <v>0</v>
      </c>
      <c r="B1889">
        <f>HYPERLINK("http://comp.fnguide.com/SVO2/ASP/SVD_Consensus.asp?pGB=1&amp;gicode=A027580&amp;cID=&amp;MenuYn=Y&amp;ReportGB=&amp;NewMenuID=108&amp;stkGb=701", "상보")</f>
        <v>0</v>
      </c>
      <c r="C1889">
        <v>0</v>
      </c>
      <c r="D1889">
        <v>1445</v>
      </c>
      <c r="E1889">
        <v>0</v>
      </c>
      <c r="G1889">
        <v>0</v>
      </c>
      <c r="H1889">
        <v>380</v>
      </c>
      <c r="I1889">
        <v>488</v>
      </c>
      <c r="J1889">
        <v>100</v>
      </c>
      <c r="K1889">
        <v>73.70999999999999</v>
      </c>
      <c r="L1889">
        <v>66.20999999999999</v>
      </c>
      <c r="M1889">
        <v>0</v>
      </c>
      <c r="N1889" t="b">
        <v>0</v>
      </c>
      <c r="O1889">
        <v>-279</v>
      </c>
      <c r="P1889" t="s">
        <v>1892</v>
      </c>
      <c r="Q1889" t="s">
        <v>2276</v>
      </c>
      <c r="R1889">
        <v>0</v>
      </c>
      <c r="S1889">
        <v>675</v>
      </c>
      <c r="T1889">
        <v>1542112</v>
      </c>
      <c r="U1889" t="s">
        <v>5863</v>
      </c>
      <c r="V1889">
        <v>14.8</v>
      </c>
      <c r="W1889" t="s">
        <v>8060</v>
      </c>
      <c r="X1889" t="s">
        <v>968</v>
      </c>
      <c r="Y1889">
        <v>489</v>
      </c>
      <c r="Z1889">
        <v>-50</v>
      </c>
      <c r="AA1889">
        <v>216824</v>
      </c>
    </row>
    <row r="1890" spans="1:28">
      <c r="A1890" s="2">
        <f>HYPERLINK("https://finance.naver.com/item/coinfo.nhn?code=046390", "A046390")</f>
        <v>0</v>
      </c>
      <c r="B1890">
        <f>HYPERLINK("http://comp.fnguide.com/SVO2/ASP/SVD_Consensus.asp?pGB=1&amp;gicode=A046390&amp;cID=&amp;MenuYn=Y&amp;ReportGB=&amp;NewMenuID=108&amp;stkGb=701", "삼화네트웍스")</f>
        <v>0</v>
      </c>
      <c r="C1890">
        <v>0</v>
      </c>
      <c r="D1890">
        <v>1435</v>
      </c>
      <c r="E1890">
        <v>-1.01</v>
      </c>
      <c r="F1890">
        <v>91</v>
      </c>
      <c r="G1890">
        <v>155</v>
      </c>
      <c r="H1890">
        <v>605</v>
      </c>
      <c r="I1890">
        <v>734</v>
      </c>
      <c r="J1890">
        <v>89.18000000000001</v>
      </c>
      <c r="K1890">
        <v>57.81</v>
      </c>
      <c r="L1890">
        <v>48.88</v>
      </c>
      <c r="M1890">
        <v>1.37</v>
      </c>
      <c r="N1890" t="b">
        <v>0</v>
      </c>
      <c r="O1890">
        <v>17</v>
      </c>
      <c r="P1890" t="s">
        <v>1893</v>
      </c>
      <c r="Q1890" t="s">
        <v>3749</v>
      </c>
      <c r="R1890">
        <v>-90.09999999999999</v>
      </c>
      <c r="S1890">
        <v>620</v>
      </c>
      <c r="T1890">
        <v>229410</v>
      </c>
      <c r="U1890" t="s">
        <v>5864</v>
      </c>
      <c r="V1890">
        <v>38.7</v>
      </c>
      <c r="W1890" t="s">
        <v>8061</v>
      </c>
      <c r="X1890" t="s">
        <v>9966</v>
      </c>
      <c r="Y1890">
        <v>542</v>
      </c>
      <c r="Z1890">
        <v>2</v>
      </c>
      <c r="AA1890">
        <v>4583547</v>
      </c>
    </row>
    <row r="1891" spans="1:28">
      <c r="A1891" s="2">
        <f>HYPERLINK("https://finance.naver.com/item/coinfo.nhn?code=024950", "A024950")</f>
        <v>0</v>
      </c>
      <c r="B1891">
        <f>HYPERLINK("http://comp.fnguide.com/SVO2/ASP/SVD_Consensus.asp?pGB=1&amp;gicode=A024950&amp;cID=&amp;MenuYn=Y&amp;ReportGB=&amp;NewMenuID=108&amp;stkGb=701", "삼천리자전거")</f>
        <v>0</v>
      </c>
      <c r="C1891">
        <v>0</v>
      </c>
      <c r="D1891">
        <v>9380</v>
      </c>
      <c r="G1891">
        <v>498</v>
      </c>
      <c r="H1891">
        <v>4155</v>
      </c>
      <c r="I1891">
        <v>5197</v>
      </c>
      <c r="J1891">
        <v>94.69</v>
      </c>
      <c r="K1891">
        <v>55.7</v>
      </c>
      <c r="L1891">
        <v>44.59</v>
      </c>
      <c r="M1891">
        <v>0.6</v>
      </c>
      <c r="N1891" t="b">
        <v>0</v>
      </c>
      <c r="O1891">
        <v>-584</v>
      </c>
      <c r="P1891" t="s">
        <v>1894</v>
      </c>
      <c r="Q1891" t="s">
        <v>3750</v>
      </c>
      <c r="R1891">
        <v>-45.64119206605061</v>
      </c>
      <c r="S1891">
        <v>1245</v>
      </c>
      <c r="T1891">
        <v>409638</v>
      </c>
      <c r="U1891" t="s">
        <v>5865</v>
      </c>
      <c r="V1891">
        <v>37.22</v>
      </c>
      <c r="W1891" t="s">
        <v>8062</v>
      </c>
      <c r="X1891" t="s">
        <v>9967</v>
      </c>
      <c r="Y1891">
        <v>871</v>
      </c>
      <c r="Z1891">
        <v>-82</v>
      </c>
      <c r="AA1891">
        <v>1200000</v>
      </c>
    </row>
    <row r="1892" spans="1:28">
      <c r="A1892" s="2">
        <f>HYPERLINK("https://finance.naver.com/item/coinfo.nhn?code=000250", "A000250")</f>
        <v>0</v>
      </c>
      <c r="B1892">
        <f>HYPERLINK("http://comp.fnguide.com/SVO2/ASP/SVD_Consensus.asp?pGB=1&amp;gicode=A000250&amp;cID=&amp;MenuYn=Y&amp;ReportGB=&amp;NewMenuID=108&amp;stkGb=701", "삼천당제약")</f>
        <v>0</v>
      </c>
      <c r="C1892">
        <v>0</v>
      </c>
      <c r="D1892">
        <v>62800</v>
      </c>
      <c r="E1892">
        <v>-20.02</v>
      </c>
      <c r="F1892">
        <v>75.3</v>
      </c>
      <c r="G1892">
        <v>6274</v>
      </c>
      <c r="H1892">
        <v>6803</v>
      </c>
      <c r="I1892">
        <v>6954</v>
      </c>
      <c r="J1892">
        <v>90.01000000000001</v>
      </c>
      <c r="K1892">
        <v>89.17</v>
      </c>
      <c r="L1892">
        <v>88.93000000000001</v>
      </c>
      <c r="M1892">
        <v>6.99</v>
      </c>
      <c r="N1892" t="b">
        <v>1</v>
      </c>
      <c r="O1892">
        <v>473</v>
      </c>
      <c r="P1892" t="s">
        <v>1895</v>
      </c>
      <c r="Q1892" t="s">
        <v>3751</v>
      </c>
      <c r="R1892">
        <v>-3.760387208902261</v>
      </c>
      <c r="S1892">
        <v>14298</v>
      </c>
      <c r="T1892">
        <v>774248</v>
      </c>
      <c r="U1892" t="s">
        <v>5866</v>
      </c>
      <c r="V1892">
        <v>38.65</v>
      </c>
      <c r="W1892" t="s">
        <v>8063</v>
      </c>
      <c r="X1892" t="s">
        <v>9968</v>
      </c>
      <c r="Y1892">
        <v>1866</v>
      </c>
      <c r="Z1892">
        <v>252</v>
      </c>
      <c r="AA1892">
        <v>700000</v>
      </c>
      <c r="AB1892">
        <v>0.14</v>
      </c>
    </row>
    <row r="1893" spans="1:28">
      <c r="A1893" s="2">
        <f>HYPERLINK("https://finance.naver.com/item/coinfo.nhn?code=018290", "A018290")</f>
        <v>0</v>
      </c>
      <c r="B1893">
        <f>HYPERLINK("http://comp.fnguide.com/SVO2/ASP/SVD_Consensus.asp?pGB=1&amp;gicode=A018290&amp;cID=&amp;MenuYn=Y&amp;ReportGB=&amp;NewMenuID=108&amp;stkGb=701", "브이티지엠피")</f>
        <v>0</v>
      </c>
      <c r="C1893">
        <v>0</v>
      </c>
      <c r="D1893">
        <v>9040</v>
      </c>
      <c r="E1893">
        <v>-1.94</v>
      </c>
      <c r="F1893">
        <v>93.94</v>
      </c>
      <c r="G1893">
        <v>1957</v>
      </c>
      <c r="H1893">
        <v>1902</v>
      </c>
      <c r="I1893">
        <v>1886</v>
      </c>
      <c r="J1893">
        <v>78.34999999999999</v>
      </c>
      <c r="K1893">
        <v>78.95999999999999</v>
      </c>
      <c r="L1893">
        <v>79.13</v>
      </c>
      <c r="M1893">
        <v>8.359999999999999</v>
      </c>
      <c r="N1893" t="b">
        <v>1</v>
      </c>
      <c r="O1893">
        <v>96</v>
      </c>
      <c r="P1893" t="s">
        <v>1896</v>
      </c>
      <c r="Q1893" t="s">
        <v>3752</v>
      </c>
      <c r="R1893">
        <v>-48.35747876023093</v>
      </c>
      <c r="S1893">
        <v>3088</v>
      </c>
      <c r="T1893">
        <v>884631</v>
      </c>
      <c r="U1893" t="s">
        <v>5867</v>
      </c>
      <c r="V1893">
        <v>31.11</v>
      </c>
      <c r="W1893" t="s">
        <v>8064</v>
      </c>
      <c r="X1893" t="s">
        <v>9969</v>
      </c>
      <c r="Y1893">
        <v>1128</v>
      </c>
      <c r="Z1893">
        <v>103</v>
      </c>
      <c r="AA1893">
        <v>1725661</v>
      </c>
    </row>
    <row r="1894" spans="1:28">
      <c r="A1894" s="2">
        <f>HYPERLINK("https://finance.naver.com/item/coinfo.nhn?code=064480", "A064480")</f>
        <v>0</v>
      </c>
      <c r="B1894">
        <f>HYPERLINK("http://comp.fnguide.com/SVO2/ASP/SVD_Consensus.asp?pGB=1&amp;gicode=A064480&amp;cID=&amp;MenuYn=Y&amp;ReportGB=&amp;NewMenuID=108&amp;stkGb=701", "브리지텍")</f>
        <v>0</v>
      </c>
      <c r="C1894">
        <v>0</v>
      </c>
      <c r="D1894">
        <v>3950</v>
      </c>
      <c r="G1894">
        <v>599</v>
      </c>
      <c r="H1894">
        <v>1957</v>
      </c>
      <c r="I1894">
        <v>2344</v>
      </c>
      <c r="J1894">
        <v>84.83</v>
      </c>
      <c r="K1894">
        <v>50.45</v>
      </c>
      <c r="L1894">
        <v>40.65</v>
      </c>
      <c r="M1894">
        <v>1.67</v>
      </c>
      <c r="N1894" t="b">
        <v>0</v>
      </c>
      <c r="O1894">
        <v>-266</v>
      </c>
      <c r="P1894" t="s">
        <v>1897</v>
      </c>
      <c r="Q1894" t="s">
        <v>3753</v>
      </c>
      <c r="R1894">
        <v>25.2</v>
      </c>
      <c r="S1894">
        <v>472</v>
      </c>
      <c r="T1894">
        <v>860225</v>
      </c>
      <c r="U1894" t="s">
        <v>5868</v>
      </c>
      <c r="V1894">
        <v>34.68</v>
      </c>
      <c r="W1894" t="s">
        <v>8065</v>
      </c>
      <c r="X1894" t="s">
        <v>9970</v>
      </c>
      <c r="Y1894">
        <v>356</v>
      </c>
      <c r="Z1894">
        <v>-39</v>
      </c>
      <c r="AA1894">
        <v>447046</v>
      </c>
      <c r="AB1894">
        <v>3.28</v>
      </c>
    </row>
    <row r="1895" spans="1:28">
      <c r="A1895" s="2">
        <f>HYPERLINK("https://finance.naver.com/item/coinfo.nhn?code=018680", "A018680")</f>
        <v>0</v>
      </c>
      <c r="B1895">
        <f>HYPERLINK("http://comp.fnguide.com/SVO2/ASP/SVD_Consensus.asp?pGB=1&amp;gicode=A018680&amp;cID=&amp;MenuYn=Y&amp;ReportGB=&amp;NewMenuID=108&amp;stkGb=701", "서울제약")</f>
        <v>0</v>
      </c>
      <c r="C1895">
        <v>0</v>
      </c>
      <c r="D1895">
        <v>12050</v>
      </c>
      <c r="G1895">
        <v>0</v>
      </c>
      <c r="H1895">
        <v>2009</v>
      </c>
      <c r="I1895">
        <v>2581</v>
      </c>
      <c r="J1895">
        <v>100</v>
      </c>
      <c r="K1895">
        <v>83.33</v>
      </c>
      <c r="L1895">
        <v>78.58</v>
      </c>
      <c r="M1895">
        <v>0</v>
      </c>
      <c r="N1895" t="b">
        <v>0</v>
      </c>
      <c r="O1895">
        <v>-220</v>
      </c>
      <c r="P1895" t="s">
        <v>1898</v>
      </c>
      <c r="Q1895" t="s">
        <v>3754</v>
      </c>
      <c r="R1895">
        <v>764.6000000000001</v>
      </c>
      <c r="S1895">
        <v>1027</v>
      </c>
      <c r="T1895">
        <v>327970</v>
      </c>
      <c r="U1895" t="s">
        <v>5869</v>
      </c>
      <c r="V1895">
        <v>44.48</v>
      </c>
      <c r="W1895" t="s">
        <v>8066</v>
      </c>
      <c r="X1895" t="s">
        <v>968</v>
      </c>
      <c r="Y1895">
        <v>540</v>
      </c>
      <c r="Z1895">
        <v>37</v>
      </c>
      <c r="AB1895">
        <v>0.22</v>
      </c>
    </row>
    <row r="1896" spans="1:28">
      <c r="A1896" s="2">
        <f>HYPERLINK("https://finance.naver.com/item/coinfo.nhn?code=066980", "A066980")</f>
        <v>0</v>
      </c>
      <c r="B1896">
        <f>HYPERLINK("http://comp.fnguide.com/SVO2/ASP/SVD_Consensus.asp?pGB=1&amp;gicode=A066980&amp;cID=&amp;MenuYn=Y&amp;ReportGB=&amp;NewMenuID=108&amp;stkGb=701", "브레인콘텐츠")</f>
        <v>0</v>
      </c>
      <c r="C1896">
        <v>0</v>
      </c>
      <c r="D1896">
        <v>520</v>
      </c>
      <c r="E1896">
        <v>-2.19</v>
      </c>
      <c r="F1896">
        <v>129.63</v>
      </c>
      <c r="G1896">
        <v>35</v>
      </c>
      <c r="H1896">
        <v>409</v>
      </c>
      <c r="I1896">
        <v>516</v>
      </c>
      <c r="J1896">
        <v>93.26000000000001</v>
      </c>
      <c r="K1896">
        <v>21.32</v>
      </c>
      <c r="L1896">
        <v>0.83</v>
      </c>
      <c r="M1896">
        <v>0.42</v>
      </c>
      <c r="N1896" t="b">
        <v>0</v>
      </c>
      <c r="O1896">
        <v>5</v>
      </c>
      <c r="P1896" t="s">
        <v>1899</v>
      </c>
      <c r="Q1896" t="s">
        <v>3755</v>
      </c>
      <c r="R1896">
        <v>-59.20000000000001</v>
      </c>
      <c r="S1896">
        <v>824</v>
      </c>
      <c r="T1896">
        <v>1635727</v>
      </c>
      <c r="U1896" t="s">
        <v>5870</v>
      </c>
      <c r="V1896">
        <v>32.03</v>
      </c>
      <c r="W1896" t="s">
        <v>8067</v>
      </c>
      <c r="X1896" t="s">
        <v>9971</v>
      </c>
      <c r="Y1896">
        <v>1106</v>
      </c>
      <c r="Z1896">
        <v>91</v>
      </c>
      <c r="AA1896">
        <v>9243937</v>
      </c>
    </row>
    <row r="1897" spans="1:28">
      <c r="A1897" s="2">
        <f>HYPERLINK("https://finance.naver.com/item/coinfo.nhn?code=059090", "A059090")</f>
        <v>0</v>
      </c>
      <c r="B1897">
        <f>HYPERLINK("http://comp.fnguide.com/SVO2/ASP/SVD_Consensus.asp?pGB=1&amp;gicode=A059090&amp;cID=&amp;MenuYn=Y&amp;ReportGB=&amp;NewMenuID=108&amp;stkGb=701", "미코")</f>
        <v>0</v>
      </c>
      <c r="C1897">
        <v>0</v>
      </c>
      <c r="D1897">
        <v>13900</v>
      </c>
      <c r="E1897">
        <v>0.95</v>
      </c>
      <c r="F1897">
        <v>22.7</v>
      </c>
      <c r="G1897">
        <v>5036</v>
      </c>
      <c r="H1897">
        <v>3843</v>
      </c>
      <c r="I1897">
        <v>3503</v>
      </c>
      <c r="J1897">
        <v>63.77</v>
      </c>
      <c r="K1897">
        <v>72.34999999999999</v>
      </c>
      <c r="L1897">
        <v>74.8</v>
      </c>
      <c r="M1897">
        <v>13.16</v>
      </c>
      <c r="N1897" t="b">
        <v>1</v>
      </c>
      <c r="O1897">
        <v>254</v>
      </c>
      <c r="P1897" t="s">
        <v>1900</v>
      </c>
      <c r="Q1897" t="s">
        <v>3756</v>
      </c>
      <c r="R1897">
        <v>24.01297258549084</v>
      </c>
      <c r="S1897">
        <v>4353</v>
      </c>
      <c r="T1897">
        <v>1425164</v>
      </c>
      <c r="U1897" t="s">
        <v>5871</v>
      </c>
      <c r="V1897">
        <v>18.45</v>
      </c>
      <c r="W1897" t="s">
        <v>8068</v>
      </c>
      <c r="X1897" t="s">
        <v>9972</v>
      </c>
      <c r="Y1897">
        <v>2362</v>
      </c>
      <c r="Z1897">
        <v>382</v>
      </c>
      <c r="AA1897">
        <v>988467</v>
      </c>
      <c r="AB1897">
        <v>0.6899999999999999</v>
      </c>
    </row>
    <row r="1898" spans="1:28">
      <c r="A1898" s="2">
        <f>HYPERLINK("https://finance.naver.com/item/coinfo.nhn?code=207760", "A207760")</f>
        <v>0</v>
      </c>
      <c r="B1898">
        <f>HYPERLINK("http://comp.fnguide.com/SVO2/ASP/SVD_Consensus.asp?pGB=1&amp;gicode=A207760&amp;cID=&amp;MenuYn=Y&amp;ReportGB=&amp;NewMenuID=108&amp;stkGb=701", "미스터블루")</f>
        <v>0</v>
      </c>
      <c r="C1898">
        <v>0</v>
      </c>
      <c r="D1898">
        <v>10500</v>
      </c>
      <c r="E1898">
        <v>0.4</v>
      </c>
      <c r="F1898">
        <v>14.85</v>
      </c>
      <c r="G1898">
        <v>4617</v>
      </c>
      <c r="H1898">
        <v>2908</v>
      </c>
      <c r="I1898">
        <v>2421</v>
      </c>
      <c r="J1898">
        <v>56.03</v>
      </c>
      <c r="K1898">
        <v>72.3</v>
      </c>
      <c r="L1898">
        <v>76.94</v>
      </c>
      <c r="M1898">
        <v>20.76</v>
      </c>
      <c r="N1898" t="b">
        <v>1</v>
      </c>
      <c r="O1898">
        <v>491</v>
      </c>
      <c r="P1898" t="s">
        <v>1901</v>
      </c>
      <c r="Q1898" t="s">
        <v>3757</v>
      </c>
      <c r="R1898">
        <v>37.16299755988062</v>
      </c>
      <c r="S1898">
        <v>2598</v>
      </c>
      <c r="T1898">
        <v>429353</v>
      </c>
      <c r="U1898" t="s">
        <v>5872</v>
      </c>
      <c r="V1898">
        <v>60.77</v>
      </c>
      <c r="W1898" t="s">
        <v>8069</v>
      </c>
      <c r="X1898" t="s">
        <v>9973</v>
      </c>
      <c r="Y1898">
        <v>639</v>
      </c>
      <c r="Z1898">
        <v>139</v>
      </c>
      <c r="AA1898">
        <v>544195</v>
      </c>
      <c r="AB1898">
        <v>0.34</v>
      </c>
    </row>
    <row r="1899" spans="1:28">
      <c r="A1899" s="2">
        <f>HYPERLINK("https://finance.naver.com/item/coinfo.nhn?code=049950", "A049950")</f>
        <v>0</v>
      </c>
      <c r="B1899">
        <f>HYPERLINK("http://comp.fnguide.com/SVO2/ASP/SVD_Consensus.asp?pGB=1&amp;gicode=A049950&amp;cID=&amp;MenuYn=Y&amp;ReportGB=&amp;NewMenuID=108&amp;stkGb=701", "미래컴퍼니")</f>
        <v>0</v>
      </c>
      <c r="C1899">
        <v>0</v>
      </c>
      <c r="D1899">
        <v>38400</v>
      </c>
      <c r="E1899">
        <v>0.66</v>
      </c>
      <c r="F1899">
        <v>24.82</v>
      </c>
      <c r="G1899">
        <v>33220</v>
      </c>
      <c r="H1899">
        <v>22320</v>
      </c>
      <c r="I1899">
        <v>19214</v>
      </c>
      <c r="J1899">
        <v>13.49</v>
      </c>
      <c r="K1899">
        <v>41.87</v>
      </c>
      <c r="L1899">
        <v>49.96</v>
      </c>
      <c r="M1899">
        <v>17.56</v>
      </c>
      <c r="N1899" t="b">
        <v>1</v>
      </c>
      <c r="O1899">
        <v>1430</v>
      </c>
      <c r="P1899" t="s">
        <v>1902</v>
      </c>
      <c r="Q1899" t="s">
        <v>3758</v>
      </c>
      <c r="R1899">
        <v>37.818338433277</v>
      </c>
      <c r="S1899">
        <v>3211</v>
      </c>
      <c r="T1899">
        <v>50669</v>
      </c>
      <c r="U1899" t="s">
        <v>5873</v>
      </c>
      <c r="V1899">
        <v>47.61</v>
      </c>
      <c r="W1899" t="s">
        <v>8070</v>
      </c>
      <c r="X1899" t="s">
        <v>9974</v>
      </c>
      <c r="Y1899">
        <v>974</v>
      </c>
      <c r="Z1899">
        <v>37</v>
      </c>
      <c r="AA1899">
        <v>875079</v>
      </c>
      <c r="AB1899">
        <v>0.6</v>
      </c>
    </row>
    <row r="1900" spans="1:28">
      <c r="A1900" s="2">
        <f>HYPERLINK("https://finance.naver.com/item/coinfo.nhn?code=100790", "A100790")</f>
        <v>0</v>
      </c>
      <c r="B1900">
        <f>HYPERLINK("http://comp.fnguide.com/SVO2/ASP/SVD_Consensus.asp?pGB=1&amp;gicode=A100790&amp;cID=&amp;MenuYn=Y&amp;ReportGB=&amp;NewMenuID=108&amp;stkGb=701", "미래에셋벤처투자")</f>
        <v>0</v>
      </c>
      <c r="C1900">
        <v>0</v>
      </c>
      <c r="D1900">
        <v>4605</v>
      </c>
      <c r="E1900">
        <v>0</v>
      </c>
      <c r="F1900">
        <v>10.42</v>
      </c>
      <c r="G1900">
        <v>4592</v>
      </c>
      <c r="H1900">
        <v>3840</v>
      </c>
      <c r="I1900">
        <v>3626</v>
      </c>
      <c r="J1900">
        <v>0.28</v>
      </c>
      <c r="K1900">
        <v>16.6</v>
      </c>
      <c r="L1900">
        <v>21.25</v>
      </c>
      <c r="M1900">
        <v>10.95</v>
      </c>
      <c r="N1900" t="b">
        <v>1</v>
      </c>
      <c r="O1900">
        <v>310</v>
      </c>
      <c r="P1900" t="s">
        <v>1903</v>
      </c>
      <c r="Q1900" t="s">
        <v>3759</v>
      </c>
      <c r="R1900">
        <v>23.61866546762565</v>
      </c>
      <c r="S1900">
        <v>2118</v>
      </c>
      <c r="T1900">
        <v>2359543</v>
      </c>
      <c r="U1900" t="s">
        <v>5874</v>
      </c>
      <c r="V1900">
        <v>64.01000000000001</v>
      </c>
      <c r="W1900" t="s">
        <v>8071</v>
      </c>
      <c r="X1900" t="s">
        <v>9975</v>
      </c>
      <c r="Y1900">
        <v>921</v>
      </c>
      <c r="Z1900">
        <v>163</v>
      </c>
      <c r="AB1900">
        <v>3.81</v>
      </c>
    </row>
    <row r="1901" spans="1:28">
      <c r="A1901" s="2">
        <f>HYPERLINK("https://finance.naver.com/item/coinfo.nhn?code=333430", "A333430")</f>
        <v>0</v>
      </c>
      <c r="B1901">
        <f>HYPERLINK("http://comp.fnguide.com/SVO2/ASP/SVD_Consensus.asp?pGB=1&amp;gicode=A333430&amp;cID=&amp;MenuYn=Y&amp;ReportGB=&amp;NewMenuID=108&amp;stkGb=701", "미래에셋대우스팩4호")</f>
        <v>0</v>
      </c>
      <c r="C1901">
        <v>0</v>
      </c>
      <c r="D1901">
        <v>2050</v>
      </c>
      <c r="E1901">
        <v>0</v>
      </c>
      <c r="G1901">
        <v>0</v>
      </c>
      <c r="H1901">
        <v>1163</v>
      </c>
      <c r="I1901">
        <v>1495</v>
      </c>
      <c r="J1901">
        <v>100</v>
      </c>
      <c r="K1901">
        <v>43.25</v>
      </c>
      <c r="L1901">
        <v>27.08</v>
      </c>
      <c r="M1901">
        <v>0</v>
      </c>
      <c r="N1901" t="b">
        <v>0</v>
      </c>
      <c r="O1901">
        <v>-15</v>
      </c>
      <c r="P1901" t="s">
        <v>898</v>
      </c>
      <c r="Q1901" t="s">
        <v>3759</v>
      </c>
      <c r="R1901">
        <v>23.61866546762565</v>
      </c>
      <c r="S1901">
        <v>90</v>
      </c>
      <c r="T1901">
        <v>0</v>
      </c>
      <c r="U1901" t="s">
        <v>5134</v>
      </c>
      <c r="V1901">
        <v>6.15</v>
      </c>
      <c r="W1901" t="s">
        <v>968</v>
      </c>
      <c r="X1901" t="s">
        <v>968</v>
      </c>
      <c r="Y1901">
        <v>0</v>
      </c>
      <c r="Z1901">
        <v>0</v>
      </c>
    </row>
    <row r="1902" spans="1:28">
      <c r="A1902" s="2">
        <f>HYPERLINK("https://finance.naver.com/item/coinfo.nhn?code=328380", "A328380")</f>
        <v>0</v>
      </c>
      <c r="B1902">
        <f>HYPERLINK("http://comp.fnguide.com/SVO2/ASP/SVD_Consensus.asp?pGB=1&amp;gicode=A328380&amp;cID=&amp;MenuYn=Y&amp;ReportGB=&amp;NewMenuID=108&amp;stkGb=701", "미래에셋대우스팩3호")</f>
        <v>0</v>
      </c>
      <c r="C1902">
        <v>0</v>
      </c>
      <c r="D1902">
        <v>2025</v>
      </c>
      <c r="E1902">
        <v>0</v>
      </c>
      <c r="F1902">
        <v>440.09</v>
      </c>
      <c r="G1902">
        <v>0</v>
      </c>
      <c r="H1902">
        <v>1168</v>
      </c>
      <c r="I1902">
        <v>1501</v>
      </c>
      <c r="J1902">
        <v>100</v>
      </c>
      <c r="K1902">
        <v>42.32</v>
      </c>
      <c r="L1902">
        <v>25.89</v>
      </c>
      <c r="M1902">
        <v>0</v>
      </c>
      <c r="N1902" t="b">
        <v>0</v>
      </c>
      <c r="O1902">
        <v>5</v>
      </c>
      <c r="P1902" t="s">
        <v>1163</v>
      </c>
      <c r="Q1902" t="s">
        <v>3759</v>
      </c>
      <c r="R1902">
        <v>23.61866546762565</v>
      </c>
      <c r="S1902">
        <v>131</v>
      </c>
      <c r="T1902">
        <v>3438</v>
      </c>
      <c r="U1902" t="s">
        <v>5875</v>
      </c>
      <c r="V1902">
        <v>5.19</v>
      </c>
      <c r="W1902" t="s">
        <v>968</v>
      </c>
      <c r="X1902" t="s">
        <v>9976</v>
      </c>
      <c r="Y1902">
        <v>0</v>
      </c>
      <c r="Z1902">
        <v>0</v>
      </c>
    </row>
    <row r="1903" spans="1:28">
      <c r="A1903" s="2">
        <f>HYPERLINK("https://finance.naver.com/item/coinfo.nhn?code=353490", "A353490")</f>
        <v>0</v>
      </c>
      <c r="B1903">
        <f>HYPERLINK("http://comp.fnguide.com/SVO2/ASP/SVD_Consensus.asp?pGB=1&amp;gicode=A353490&amp;cID=&amp;MenuYn=Y&amp;ReportGB=&amp;NewMenuID=108&amp;stkGb=701", "미래에셋대우스팩 5호")</f>
        <v>0</v>
      </c>
      <c r="C1903">
        <v>0</v>
      </c>
      <c r="D1903">
        <v>2130</v>
      </c>
      <c r="E1903">
        <v>0</v>
      </c>
      <c r="M1903">
        <v>0</v>
      </c>
      <c r="N1903" t="b">
        <v>0</v>
      </c>
      <c r="P1903" t="s">
        <v>968</v>
      </c>
      <c r="Q1903" t="s">
        <v>3759</v>
      </c>
      <c r="R1903">
        <v>23.61866546762565</v>
      </c>
      <c r="S1903">
        <v>108</v>
      </c>
      <c r="T1903">
        <v>21579</v>
      </c>
      <c r="U1903" t="s">
        <v>968</v>
      </c>
      <c r="V1903">
        <v>13.85</v>
      </c>
      <c r="W1903" t="s">
        <v>968</v>
      </c>
      <c r="X1903" t="s">
        <v>968</v>
      </c>
    </row>
    <row r="1904" spans="1:28">
      <c r="A1904" s="2">
        <f>HYPERLINK("https://finance.naver.com/item/coinfo.nhn?code=218150", "A218150")</f>
        <v>0</v>
      </c>
      <c r="B1904">
        <f>HYPERLINK("http://comp.fnguide.com/SVO2/ASP/SVD_Consensus.asp?pGB=1&amp;gicode=A218150&amp;cID=&amp;MenuYn=Y&amp;ReportGB=&amp;NewMenuID=108&amp;stkGb=701", "미래생명자원")</f>
        <v>0</v>
      </c>
      <c r="C1904">
        <v>0</v>
      </c>
      <c r="D1904">
        <v>3030</v>
      </c>
      <c r="E1904">
        <v>2.22</v>
      </c>
      <c r="F1904">
        <v>52.4</v>
      </c>
      <c r="G1904">
        <v>844</v>
      </c>
      <c r="H1904">
        <v>1345</v>
      </c>
      <c r="I1904">
        <v>1488</v>
      </c>
      <c r="J1904">
        <v>72.16</v>
      </c>
      <c r="K1904">
        <v>55.6</v>
      </c>
      <c r="L1904">
        <v>50.88</v>
      </c>
      <c r="M1904">
        <v>4</v>
      </c>
      <c r="N1904" t="b">
        <v>1</v>
      </c>
      <c r="O1904">
        <v>55</v>
      </c>
      <c r="P1904" t="s">
        <v>1904</v>
      </c>
      <c r="Q1904" t="s">
        <v>3759</v>
      </c>
      <c r="R1904">
        <v>23.61866546762565</v>
      </c>
      <c r="S1904">
        <v>566</v>
      </c>
      <c r="T1904">
        <v>55068</v>
      </c>
      <c r="U1904" t="s">
        <v>5876</v>
      </c>
      <c r="V1904">
        <v>60.28</v>
      </c>
      <c r="W1904" t="s">
        <v>8072</v>
      </c>
      <c r="X1904" t="s">
        <v>9977</v>
      </c>
      <c r="Y1904">
        <v>501</v>
      </c>
      <c r="Z1904">
        <v>15</v>
      </c>
      <c r="AA1904">
        <v>978233</v>
      </c>
    </row>
    <row r="1905" spans="1:28">
      <c r="A1905" s="2">
        <f>HYPERLINK("https://finance.naver.com/item/coinfo.nhn?code=279600", "A279600")</f>
        <v>0</v>
      </c>
      <c r="B1905">
        <f>HYPERLINK("http://comp.fnguide.com/SVO2/ASP/SVD_Consensus.asp?pGB=1&amp;gicode=A279600&amp;cID=&amp;MenuYn=Y&amp;ReportGB=&amp;NewMenuID=108&amp;stkGb=701", "미디어젠")</f>
        <v>0</v>
      </c>
      <c r="C1905">
        <v>0</v>
      </c>
      <c r="D1905">
        <v>11350</v>
      </c>
      <c r="E1905">
        <v>0</v>
      </c>
      <c r="G1905">
        <v>0</v>
      </c>
      <c r="H1905">
        <v>2332</v>
      </c>
      <c r="I1905">
        <v>2996</v>
      </c>
      <c r="J1905">
        <v>100</v>
      </c>
      <c r="K1905">
        <v>79.45999999999999</v>
      </c>
      <c r="L1905">
        <v>73.59999999999999</v>
      </c>
      <c r="M1905">
        <v>0</v>
      </c>
      <c r="N1905" t="b">
        <v>0</v>
      </c>
      <c r="O1905">
        <v>-143</v>
      </c>
      <c r="P1905" t="s">
        <v>1905</v>
      </c>
      <c r="Q1905" t="s">
        <v>3760</v>
      </c>
      <c r="R1905">
        <v>0</v>
      </c>
      <c r="S1905">
        <v>526</v>
      </c>
      <c r="T1905">
        <v>100702</v>
      </c>
      <c r="U1905" t="s">
        <v>5877</v>
      </c>
      <c r="V1905">
        <v>25.74</v>
      </c>
      <c r="W1905" t="s">
        <v>8073</v>
      </c>
      <c r="X1905" t="s">
        <v>968</v>
      </c>
      <c r="Y1905">
        <v>138</v>
      </c>
      <c r="Z1905">
        <v>-7</v>
      </c>
    </row>
    <row r="1906" spans="1:28">
      <c r="A1906" s="2">
        <f>HYPERLINK("https://finance.naver.com/item/coinfo.nhn?code=006920", "A006920")</f>
        <v>0</v>
      </c>
      <c r="B1906">
        <f>HYPERLINK("http://comp.fnguide.com/SVO2/ASP/SVD_Consensus.asp?pGB=1&amp;gicode=A006920&amp;cID=&amp;MenuYn=Y&amp;ReportGB=&amp;NewMenuID=108&amp;stkGb=701", "모헨즈")</f>
        <v>0</v>
      </c>
      <c r="C1906">
        <v>0</v>
      </c>
      <c r="D1906">
        <v>4810</v>
      </c>
      <c r="E1906">
        <v>-3.37</v>
      </c>
      <c r="F1906">
        <v>103.67</v>
      </c>
      <c r="G1906">
        <v>1141</v>
      </c>
      <c r="H1906">
        <v>1699</v>
      </c>
      <c r="I1906">
        <v>1858</v>
      </c>
      <c r="J1906">
        <v>76.28</v>
      </c>
      <c r="K1906">
        <v>64.68000000000001</v>
      </c>
      <c r="L1906">
        <v>61.37</v>
      </c>
      <c r="M1906">
        <v>4.39</v>
      </c>
      <c r="N1906" t="b">
        <v>1</v>
      </c>
      <c r="O1906">
        <v>50</v>
      </c>
      <c r="P1906" t="s">
        <v>1906</v>
      </c>
      <c r="Q1906" t="s">
        <v>3761</v>
      </c>
      <c r="R1906">
        <v>-30.79221360773147</v>
      </c>
      <c r="S1906">
        <v>525</v>
      </c>
      <c r="T1906">
        <v>212564</v>
      </c>
      <c r="U1906" t="s">
        <v>5878</v>
      </c>
      <c r="V1906">
        <v>32.41</v>
      </c>
      <c r="W1906" t="s">
        <v>8074</v>
      </c>
      <c r="X1906" t="s">
        <v>9978</v>
      </c>
      <c r="Y1906">
        <v>857</v>
      </c>
      <c r="Z1906">
        <v>7</v>
      </c>
    </row>
    <row r="1907" spans="1:28">
      <c r="A1907" s="2">
        <f>HYPERLINK("https://finance.naver.com/item/coinfo.nhn?code=118990", "A118990")</f>
        <v>0</v>
      </c>
      <c r="B1907">
        <f>HYPERLINK("http://comp.fnguide.com/SVO2/ASP/SVD_Consensus.asp?pGB=1&amp;gicode=A118990&amp;cID=&amp;MenuYn=Y&amp;ReportGB=&amp;NewMenuID=108&amp;stkGb=701", "모트렉스")</f>
        <v>0</v>
      </c>
      <c r="C1907">
        <v>0</v>
      </c>
      <c r="D1907">
        <v>6830</v>
      </c>
      <c r="G1907">
        <v>1016</v>
      </c>
      <c r="H1907">
        <v>1858</v>
      </c>
      <c r="I1907">
        <v>2098</v>
      </c>
      <c r="J1907">
        <v>85.13</v>
      </c>
      <c r="K1907">
        <v>72.8</v>
      </c>
      <c r="L1907">
        <v>69.28</v>
      </c>
      <c r="M1907">
        <v>3.35</v>
      </c>
      <c r="N1907" t="b">
        <v>0</v>
      </c>
      <c r="O1907">
        <v>-1197</v>
      </c>
      <c r="P1907" t="s">
        <v>1907</v>
      </c>
      <c r="Q1907" t="s">
        <v>3762</v>
      </c>
      <c r="R1907">
        <v>-19.8</v>
      </c>
      <c r="S1907">
        <v>2664</v>
      </c>
      <c r="T1907">
        <v>1473034</v>
      </c>
      <c r="U1907" t="s">
        <v>5879</v>
      </c>
      <c r="V1907">
        <v>42.45</v>
      </c>
      <c r="W1907" t="s">
        <v>8075</v>
      </c>
      <c r="X1907" t="s">
        <v>9979</v>
      </c>
      <c r="Y1907">
        <v>3136</v>
      </c>
      <c r="Z1907">
        <v>-26</v>
      </c>
      <c r="AA1907">
        <v>1900010</v>
      </c>
    </row>
    <row r="1908" spans="1:28">
      <c r="A1908" s="2">
        <f>HYPERLINK("https://finance.naver.com/item/coinfo.nhn?code=033200", "A033200")</f>
        <v>0</v>
      </c>
      <c r="B1908">
        <f>HYPERLINK("http://comp.fnguide.com/SVO2/ASP/SVD_Consensus.asp?pGB=1&amp;gicode=A033200&amp;cID=&amp;MenuYn=Y&amp;ReportGB=&amp;NewMenuID=108&amp;stkGb=701", "모아텍")</f>
        <v>0</v>
      </c>
      <c r="C1908">
        <v>0</v>
      </c>
      <c r="D1908">
        <v>13400</v>
      </c>
      <c r="G1908">
        <v>620</v>
      </c>
      <c r="H1908">
        <v>5084</v>
      </c>
      <c r="I1908">
        <v>6356</v>
      </c>
      <c r="J1908">
        <v>95.38</v>
      </c>
      <c r="K1908">
        <v>62.06</v>
      </c>
      <c r="L1908">
        <v>52.56</v>
      </c>
      <c r="M1908">
        <v>0.61</v>
      </c>
      <c r="N1908" t="b">
        <v>0</v>
      </c>
      <c r="O1908">
        <v>-175</v>
      </c>
      <c r="P1908" t="s">
        <v>1908</v>
      </c>
      <c r="Q1908" t="s">
        <v>3763</v>
      </c>
      <c r="R1908">
        <v>-39.72512961440731</v>
      </c>
      <c r="S1908">
        <v>1920</v>
      </c>
      <c r="T1908">
        <v>2842841</v>
      </c>
      <c r="U1908" t="s">
        <v>5880</v>
      </c>
      <c r="V1908">
        <v>50.85</v>
      </c>
      <c r="W1908" t="s">
        <v>8076</v>
      </c>
      <c r="X1908" t="s">
        <v>9980</v>
      </c>
      <c r="Y1908">
        <v>275</v>
      </c>
      <c r="Z1908">
        <v>-28</v>
      </c>
      <c r="AA1908">
        <v>5126656</v>
      </c>
    </row>
    <row r="1909" spans="1:28">
      <c r="A1909" s="2">
        <f>HYPERLINK("https://finance.naver.com/item/coinfo.nhn?code=250060", "A250060")</f>
        <v>0</v>
      </c>
      <c r="B1909">
        <f>HYPERLINK("http://comp.fnguide.com/SVO2/ASP/SVD_Consensus.asp?pGB=1&amp;gicode=A250060&amp;cID=&amp;MenuYn=Y&amp;ReportGB=&amp;NewMenuID=108&amp;stkGb=701", "모비스")</f>
        <v>0</v>
      </c>
      <c r="C1909">
        <v>0</v>
      </c>
      <c r="D1909">
        <v>2690</v>
      </c>
      <c r="G1909">
        <v>0</v>
      </c>
      <c r="H1909">
        <v>499</v>
      </c>
      <c r="I1909">
        <v>641</v>
      </c>
      <c r="J1909">
        <v>100</v>
      </c>
      <c r="K1909">
        <v>81.47</v>
      </c>
      <c r="L1909">
        <v>76.19</v>
      </c>
      <c r="M1909">
        <v>0</v>
      </c>
      <c r="N1909" t="b">
        <v>0</v>
      </c>
      <c r="O1909">
        <v>-18</v>
      </c>
      <c r="P1909" t="s">
        <v>1909</v>
      </c>
      <c r="Q1909" t="s">
        <v>3764</v>
      </c>
      <c r="R1909">
        <v>-28.1</v>
      </c>
      <c r="S1909">
        <v>865</v>
      </c>
      <c r="T1909">
        <v>649497</v>
      </c>
      <c r="U1909" t="s">
        <v>5881</v>
      </c>
      <c r="V1909">
        <v>34.13</v>
      </c>
      <c r="W1909" t="s">
        <v>8077</v>
      </c>
      <c r="X1909" t="s">
        <v>968</v>
      </c>
      <c r="Y1909">
        <v>121</v>
      </c>
      <c r="Z1909">
        <v>-17</v>
      </c>
      <c r="AA1909">
        <v>957427</v>
      </c>
    </row>
    <row r="1910" spans="1:28">
      <c r="A1910" s="2">
        <f>HYPERLINK("https://finance.naver.com/item/coinfo.nhn?code=087260", "A087260")</f>
        <v>0</v>
      </c>
      <c r="B1910">
        <f>HYPERLINK("http://comp.fnguide.com/SVO2/ASP/SVD_Consensus.asp?pGB=1&amp;gicode=A087260&amp;cID=&amp;MenuYn=Y&amp;ReportGB=&amp;NewMenuID=108&amp;stkGb=701", "모바일어플라이언스")</f>
        <v>0</v>
      </c>
      <c r="C1910">
        <v>0</v>
      </c>
      <c r="D1910">
        <v>5200</v>
      </c>
      <c r="G1910">
        <v>375</v>
      </c>
      <c r="H1910">
        <v>671</v>
      </c>
      <c r="I1910">
        <v>756</v>
      </c>
      <c r="J1910">
        <v>92.8</v>
      </c>
      <c r="K1910">
        <v>87.09</v>
      </c>
      <c r="L1910">
        <v>85.45999999999999</v>
      </c>
      <c r="M1910">
        <v>3.44</v>
      </c>
      <c r="N1910" t="b">
        <v>0</v>
      </c>
      <c r="O1910">
        <v>-89</v>
      </c>
      <c r="P1910" t="s">
        <v>1910</v>
      </c>
      <c r="Q1910" t="s">
        <v>3765</v>
      </c>
      <c r="R1910">
        <v>-9.93118152433019</v>
      </c>
      <c r="S1910">
        <v>1688</v>
      </c>
      <c r="T1910">
        <v>1605202</v>
      </c>
      <c r="U1910" t="s">
        <v>5882</v>
      </c>
      <c r="V1910">
        <v>17.9</v>
      </c>
      <c r="W1910" t="s">
        <v>8078</v>
      </c>
      <c r="X1910" t="s">
        <v>9981</v>
      </c>
      <c r="Y1910">
        <v>448</v>
      </c>
      <c r="Z1910">
        <v>-8</v>
      </c>
    </row>
    <row r="1911" spans="1:28">
      <c r="A1911" s="2">
        <f>HYPERLINK("https://finance.naver.com/item/coinfo.nhn?code=100030", "A100030")</f>
        <v>0</v>
      </c>
      <c r="B1911">
        <f>HYPERLINK("http://comp.fnguide.com/SVO2/ASP/SVD_Consensus.asp?pGB=1&amp;gicode=A100030&amp;cID=&amp;MenuYn=Y&amp;ReportGB=&amp;NewMenuID=108&amp;stkGb=701", "모바일리더")</f>
        <v>0</v>
      </c>
      <c r="C1911">
        <v>0</v>
      </c>
      <c r="D1911">
        <v>15800</v>
      </c>
      <c r="G1911">
        <v>7162</v>
      </c>
      <c r="H1911">
        <v>9725</v>
      </c>
      <c r="I1911">
        <v>10455</v>
      </c>
      <c r="J1911">
        <v>54.67</v>
      </c>
      <c r="K1911">
        <v>38.45</v>
      </c>
      <c r="L1911">
        <v>33.83</v>
      </c>
      <c r="M1911">
        <v>5</v>
      </c>
      <c r="N1911" t="b">
        <v>0</v>
      </c>
      <c r="O1911">
        <v>-544</v>
      </c>
      <c r="P1911" t="s">
        <v>1911</v>
      </c>
      <c r="Q1911" t="s">
        <v>3766</v>
      </c>
      <c r="R1911">
        <v>204.7983966285846</v>
      </c>
      <c r="S1911">
        <v>519</v>
      </c>
      <c r="T1911">
        <v>15965</v>
      </c>
      <c r="U1911" t="s">
        <v>5883</v>
      </c>
      <c r="V1911">
        <v>33.08</v>
      </c>
      <c r="W1911" t="s">
        <v>8079</v>
      </c>
      <c r="X1911" t="s">
        <v>9982</v>
      </c>
      <c r="Y1911">
        <v>236</v>
      </c>
      <c r="Z1911">
        <v>50</v>
      </c>
      <c r="AA1911">
        <v>562132</v>
      </c>
    </row>
    <row r="1912" spans="1:28">
      <c r="A1912" s="2">
        <f>HYPERLINK("https://finance.naver.com/item/coinfo.nhn?code=080160", "A080160")</f>
        <v>0</v>
      </c>
      <c r="B1912">
        <f>HYPERLINK("http://comp.fnguide.com/SVO2/ASP/SVD_Consensus.asp?pGB=1&amp;gicode=A080160&amp;cID=&amp;MenuYn=Y&amp;ReportGB=&amp;NewMenuID=108&amp;stkGb=701", "모두투어")</f>
        <v>0</v>
      </c>
      <c r="C1912">
        <v>0</v>
      </c>
      <c r="D1912">
        <v>20700</v>
      </c>
      <c r="E1912">
        <v>-4.88</v>
      </c>
      <c r="F1912">
        <v>192.37</v>
      </c>
      <c r="G1912">
        <v>6509</v>
      </c>
      <c r="H1912">
        <v>6892</v>
      </c>
      <c r="I1912">
        <v>7002</v>
      </c>
      <c r="J1912">
        <v>68.56</v>
      </c>
      <c r="K1912">
        <v>66.7</v>
      </c>
      <c r="L1912">
        <v>66.18000000000001</v>
      </c>
      <c r="M1912">
        <v>7.26</v>
      </c>
      <c r="N1912" t="b">
        <v>0</v>
      </c>
      <c r="O1912">
        <v>95</v>
      </c>
      <c r="P1912" t="s">
        <v>1912</v>
      </c>
      <c r="Q1912" t="s">
        <v>3767</v>
      </c>
      <c r="R1912">
        <v>-39.41545755742811</v>
      </c>
      <c r="S1912">
        <v>3912</v>
      </c>
      <c r="T1912">
        <v>1287198</v>
      </c>
      <c r="U1912" t="s">
        <v>5884</v>
      </c>
      <c r="V1912">
        <v>15.23</v>
      </c>
      <c r="W1912" t="s">
        <v>8080</v>
      </c>
      <c r="X1912" t="s">
        <v>9983</v>
      </c>
      <c r="Y1912">
        <v>2972</v>
      </c>
      <c r="Z1912">
        <v>32</v>
      </c>
      <c r="AA1912">
        <v>1536286</v>
      </c>
      <c r="AB1912">
        <v>0.66</v>
      </c>
    </row>
    <row r="1913" spans="1:28">
      <c r="A1913" s="2">
        <f>HYPERLINK("https://finance.naver.com/item/coinfo.nhn?code=096640", "A096640")</f>
        <v>0</v>
      </c>
      <c r="B1913">
        <f>HYPERLINK("http://comp.fnguide.com/SVO2/ASP/SVD_Consensus.asp?pGB=1&amp;gicode=A096640&amp;cID=&amp;MenuYn=Y&amp;ReportGB=&amp;NewMenuID=108&amp;stkGb=701", "멜파스")</f>
        <v>0</v>
      </c>
      <c r="C1913">
        <v>0</v>
      </c>
      <c r="D1913">
        <v>2245</v>
      </c>
      <c r="E1913">
        <v>0</v>
      </c>
      <c r="G1913">
        <v>0</v>
      </c>
      <c r="H1913">
        <v>640</v>
      </c>
      <c r="I1913">
        <v>823</v>
      </c>
      <c r="J1913">
        <v>100</v>
      </c>
      <c r="K1913">
        <v>71.48</v>
      </c>
      <c r="L1913">
        <v>63.35</v>
      </c>
      <c r="M1913">
        <v>0</v>
      </c>
      <c r="N1913" t="b">
        <v>0</v>
      </c>
      <c r="O1913">
        <v>-533</v>
      </c>
      <c r="P1913" t="s">
        <v>1913</v>
      </c>
      <c r="Q1913" t="s">
        <v>2276</v>
      </c>
      <c r="R1913">
        <v>0</v>
      </c>
      <c r="S1913">
        <v>653</v>
      </c>
      <c r="T1913">
        <v>681230</v>
      </c>
      <c r="U1913" t="s">
        <v>5885</v>
      </c>
      <c r="V1913">
        <v>14.14</v>
      </c>
      <c r="W1913" t="s">
        <v>8081</v>
      </c>
      <c r="X1913" t="s">
        <v>968</v>
      </c>
      <c r="Y1913">
        <v>760</v>
      </c>
      <c r="Z1913">
        <v>40</v>
      </c>
      <c r="AA1913">
        <v>848500</v>
      </c>
    </row>
    <row r="1914" spans="1:28">
      <c r="A1914" s="2">
        <f>HYPERLINK("https://finance.naver.com/item/coinfo.nhn?code=058110", "A058110")</f>
        <v>0</v>
      </c>
      <c r="B1914">
        <f>HYPERLINK("http://comp.fnguide.com/SVO2/ASP/SVD_Consensus.asp?pGB=1&amp;gicode=A058110&amp;cID=&amp;MenuYn=Y&amp;ReportGB=&amp;NewMenuID=108&amp;stkGb=701", "멕아이씨에스")</f>
        <v>0</v>
      </c>
      <c r="C1914">
        <v>0</v>
      </c>
      <c r="D1914">
        <v>43450</v>
      </c>
      <c r="E1914">
        <v>0</v>
      </c>
      <c r="G1914">
        <v>0</v>
      </c>
      <c r="H1914">
        <v>344</v>
      </c>
      <c r="I1914">
        <v>442</v>
      </c>
      <c r="J1914">
        <v>100</v>
      </c>
      <c r="K1914">
        <v>99.20999999999999</v>
      </c>
      <c r="L1914">
        <v>98.98</v>
      </c>
      <c r="M1914">
        <v>0</v>
      </c>
      <c r="N1914" t="b">
        <v>0</v>
      </c>
      <c r="O1914">
        <v>-267</v>
      </c>
      <c r="P1914" t="s">
        <v>1914</v>
      </c>
      <c r="Q1914" t="s">
        <v>2276</v>
      </c>
      <c r="R1914">
        <v>0</v>
      </c>
      <c r="S1914">
        <v>3037</v>
      </c>
      <c r="T1914">
        <v>508678</v>
      </c>
      <c r="U1914" t="s">
        <v>5886</v>
      </c>
      <c r="V1914">
        <v>28.2</v>
      </c>
      <c r="W1914" t="s">
        <v>8082</v>
      </c>
      <c r="X1914" t="s">
        <v>9984</v>
      </c>
      <c r="Y1914">
        <v>129</v>
      </c>
      <c r="Z1914">
        <v>-2</v>
      </c>
    </row>
    <row r="1915" spans="1:28">
      <c r="A1915" s="2">
        <f>HYPERLINK("https://finance.naver.com/item/coinfo.nhn?code=327260", "A327260")</f>
        <v>0</v>
      </c>
      <c r="B1915">
        <f>HYPERLINK("http://comp.fnguide.com/SVO2/ASP/SVD_Consensus.asp?pGB=1&amp;gicode=A327260&amp;cID=&amp;MenuYn=Y&amp;ReportGB=&amp;NewMenuID=108&amp;stkGb=701", "메탈라이프")</f>
        <v>0</v>
      </c>
      <c r="C1915">
        <v>0</v>
      </c>
      <c r="D1915">
        <v>18700</v>
      </c>
      <c r="E1915">
        <v>0</v>
      </c>
      <c r="F1915">
        <v>64.92</v>
      </c>
      <c r="G1915">
        <v>13931</v>
      </c>
      <c r="H1915">
        <v>9854</v>
      </c>
      <c r="I1915">
        <v>8692</v>
      </c>
      <c r="J1915">
        <v>25.5</v>
      </c>
      <c r="K1915">
        <v>47.3</v>
      </c>
      <c r="L1915">
        <v>53.52</v>
      </c>
      <c r="M1915">
        <v>15.54</v>
      </c>
      <c r="N1915" t="b">
        <v>1</v>
      </c>
      <c r="O1915">
        <v>432</v>
      </c>
      <c r="P1915" t="s">
        <v>1915</v>
      </c>
      <c r="Q1915" t="s">
        <v>3768</v>
      </c>
      <c r="R1915">
        <v>0</v>
      </c>
      <c r="S1915">
        <v>673</v>
      </c>
      <c r="T1915">
        <v>12396</v>
      </c>
      <c r="U1915" t="s">
        <v>5887</v>
      </c>
      <c r="V1915">
        <v>56.56</v>
      </c>
      <c r="W1915" t="s">
        <v>8083</v>
      </c>
      <c r="X1915" t="s">
        <v>9985</v>
      </c>
      <c r="Y1915">
        <v>162</v>
      </c>
      <c r="Z1915">
        <v>11</v>
      </c>
      <c r="AA1915">
        <v>1</v>
      </c>
    </row>
    <row r="1916" spans="1:28">
      <c r="A1916" s="2">
        <f>HYPERLINK("https://finance.naver.com/item/coinfo.nhn?code=059210", "A059210")</f>
        <v>0</v>
      </c>
      <c r="B1916">
        <f>HYPERLINK("http://comp.fnguide.com/SVO2/ASP/SVD_Consensus.asp?pGB=1&amp;gicode=A059210&amp;cID=&amp;MenuYn=Y&amp;ReportGB=&amp;NewMenuID=108&amp;stkGb=701", "메타바이오메드")</f>
        <v>0</v>
      </c>
      <c r="C1916">
        <v>0</v>
      </c>
      <c r="D1916">
        <v>2855</v>
      </c>
      <c r="E1916">
        <v>-0.79</v>
      </c>
      <c r="F1916">
        <v>19.86</v>
      </c>
      <c r="G1916">
        <v>946</v>
      </c>
      <c r="H1916">
        <v>1776</v>
      </c>
      <c r="I1916">
        <v>2013</v>
      </c>
      <c r="J1916">
        <v>66.86</v>
      </c>
      <c r="K1916">
        <v>37.79</v>
      </c>
      <c r="L1916">
        <v>29.51</v>
      </c>
      <c r="M1916">
        <v>3.24</v>
      </c>
      <c r="N1916" t="b">
        <v>1</v>
      </c>
      <c r="O1916">
        <v>140</v>
      </c>
      <c r="P1916" t="s">
        <v>1916</v>
      </c>
      <c r="Q1916" t="s">
        <v>3769</v>
      </c>
      <c r="R1916">
        <v>-25.1</v>
      </c>
      <c r="S1916">
        <v>681</v>
      </c>
      <c r="T1916">
        <v>192762</v>
      </c>
      <c r="U1916" t="s">
        <v>5888</v>
      </c>
      <c r="V1916">
        <v>23.51</v>
      </c>
      <c r="W1916" t="s">
        <v>8084</v>
      </c>
      <c r="X1916" t="s">
        <v>9986</v>
      </c>
      <c r="Y1916">
        <v>594</v>
      </c>
      <c r="Z1916">
        <v>58</v>
      </c>
      <c r="AA1916">
        <v>961243</v>
      </c>
      <c r="AB1916">
        <v>0.36</v>
      </c>
    </row>
    <row r="1917" spans="1:28">
      <c r="A1917" s="2">
        <f>HYPERLINK("https://finance.naver.com/item/coinfo.nhn?code=140410", "A140410")</f>
        <v>0</v>
      </c>
      <c r="B1917">
        <f>HYPERLINK("http://comp.fnguide.com/SVO2/ASP/SVD_Consensus.asp?pGB=1&amp;gicode=A140410&amp;cID=&amp;MenuYn=Y&amp;ReportGB=&amp;NewMenuID=108&amp;stkGb=701", "메지온")</f>
        <v>0</v>
      </c>
      <c r="C1917">
        <v>0</v>
      </c>
      <c r="D1917">
        <v>174100</v>
      </c>
      <c r="E1917">
        <v>0</v>
      </c>
      <c r="G1917">
        <v>0</v>
      </c>
      <c r="H1917">
        <v>2906</v>
      </c>
      <c r="I1917">
        <v>3734</v>
      </c>
      <c r="J1917">
        <v>100</v>
      </c>
      <c r="K1917">
        <v>98.33</v>
      </c>
      <c r="L1917">
        <v>97.86</v>
      </c>
      <c r="M1917">
        <v>0</v>
      </c>
      <c r="N1917" t="b">
        <v>0</v>
      </c>
      <c r="O1917">
        <v>-2681</v>
      </c>
      <c r="P1917" t="s">
        <v>1917</v>
      </c>
      <c r="Q1917" t="s">
        <v>2276</v>
      </c>
      <c r="R1917">
        <v>0</v>
      </c>
      <c r="S1917">
        <v>15409</v>
      </c>
      <c r="T1917">
        <v>68065</v>
      </c>
      <c r="U1917" t="s">
        <v>5889</v>
      </c>
      <c r="V1917">
        <v>22.08</v>
      </c>
      <c r="W1917" t="s">
        <v>8085</v>
      </c>
      <c r="X1917" t="s">
        <v>968</v>
      </c>
      <c r="Y1917">
        <v>189</v>
      </c>
      <c r="Z1917">
        <v>-247</v>
      </c>
    </row>
    <row r="1918" spans="1:28">
      <c r="A1918" s="2">
        <f>HYPERLINK("https://finance.naver.com/item/coinfo.nhn?code=214610", "A214610")</f>
        <v>0</v>
      </c>
      <c r="B1918">
        <f>HYPERLINK("http://comp.fnguide.com/SVO2/ASP/SVD_Consensus.asp?pGB=1&amp;gicode=A214610&amp;cID=&amp;MenuYn=Y&amp;ReportGB=&amp;NewMenuID=108&amp;stkGb=701", "미코바이오메드")</f>
        <v>0</v>
      </c>
      <c r="C1918">
        <v>0</v>
      </c>
      <c r="D1918">
        <v>10200</v>
      </c>
      <c r="E1918">
        <v>0</v>
      </c>
      <c r="G1918">
        <v>0</v>
      </c>
      <c r="H1918">
        <v>33</v>
      </c>
      <c r="I1918">
        <v>43</v>
      </c>
      <c r="J1918">
        <v>100</v>
      </c>
      <c r="K1918">
        <v>99.67</v>
      </c>
      <c r="L1918">
        <v>99.58</v>
      </c>
      <c r="M1918">
        <v>0</v>
      </c>
      <c r="N1918" t="b">
        <v>0</v>
      </c>
      <c r="O1918">
        <v>-1233</v>
      </c>
      <c r="P1918" t="s">
        <v>1918</v>
      </c>
      <c r="Q1918" t="s">
        <v>2276</v>
      </c>
      <c r="R1918">
        <v>0</v>
      </c>
      <c r="S1918">
        <v>1796</v>
      </c>
      <c r="T1918">
        <v>400145</v>
      </c>
      <c r="U1918" t="s">
        <v>5890</v>
      </c>
      <c r="V1918">
        <v>33.79</v>
      </c>
      <c r="W1918" t="s">
        <v>8086</v>
      </c>
      <c r="X1918" t="s">
        <v>968</v>
      </c>
      <c r="Y1918">
        <v>41</v>
      </c>
      <c r="Z1918">
        <v>-117</v>
      </c>
      <c r="AA1918">
        <v>5679</v>
      </c>
    </row>
    <row r="1919" spans="1:28">
      <c r="A1919" s="2">
        <f>HYPERLINK("https://finance.naver.com/item/coinfo.nhn?code=201490", "A201490")</f>
        <v>0</v>
      </c>
      <c r="B1919">
        <f>HYPERLINK("http://comp.fnguide.com/SVO2/ASP/SVD_Consensus.asp?pGB=1&amp;gicode=A201490&amp;cID=&amp;MenuYn=Y&amp;ReportGB=&amp;NewMenuID=108&amp;stkGb=701", "미투온")</f>
        <v>0</v>
      </c>
      <c r="C1919">
        <v>0</v>
      </c>
      <c r="D1919">
        <v>6100</v>
      </c>
      <c r="E1919">
        <v>1.23</v>
      </c>
      <c r="F1919">
        <v>16.14</v>
      </c>
      <c r="G1919">
        <v>4092</v>
      </c>
      <c r="H1919">
        <v>2987</v>
      </c>
      <c r="I1919">
        <v>2672</v>
      </c>
      <c r="J1919">
        <v>32.91</v>
      </c>
      <c r="K1919">
        <v>51.04</v>
      </c>
      <c r="L1919">
        <v>56.2</v>
      </c>
      <c r="M1919">
        <v>14.48</v>
      </c>
      <c r="N1919" t="b">
        <v>1</v>
      </c>
      <c r="O1919">
        <v>356</v>
      </c>
      <c r="P1919" t="s">
        <v>1919</v>
      </c>
      <c r="Q1919" t="s">
        <v>3770</v>
      </c>
      <c r="R1919">
        <v>13.12912376047568</v>
      </c>
      <c r="S1919">
        <v>1907</v>
      </c>
      <c r="T1919">
        <v>308250</v>
      </c>
      <c r="U1919" t="s">
        <v>5891</v>
      </c>
      <c r="V1919">
        <v>28.61</v>
      </c>
      <c r="W1919" t="s">
        <v>8087</v>
      </c>
      <c r="X1919" t="s">
        <v>9987</v>
      </c>
      <c r="Y1919">
        <v>1191</v>
      </c>
      <c r="Z1919">
        <v>405</v>
      </c>
    </row>
    <row r="1920" spans="1:28">
      <c r="A1920" s="2">
        <f>HYPERLINK("https://finance.naver.com/item/coinfo.nhn?code=206640", "A206640")</f>
        <v>0</v>
      </c>
      <c r="B1920">
        <f>HYPERLINK("http://comp.fnguide.com/SVO2/ASP/SVD_Consensus.asp?pGB=1&amp;gicode=A206640&amp;cID=&amp;MenuYn=Y&amp;ReportGB=&amp;NewMenuID=108&amp;stkGb=701", "바디텍메드")</f>
        <v>0</v>
      </c>
      <c r="C1920">
        <v>0</v>
      </c>
      <c r="D1920">
        <v>26550</v>
      </c>
      <c r="E1920">
        <v>0.08</v>
      </c>
      <c r="F1920">
        <v>19.43</v>
      </c>
      <c r="G1920">
        <v>3359</v>
      </c>
      <c r="H1920">
        <v>3258</v>
      </c>
      <c r="I1920">
        <v>3229</v>
      </c>
      <c r="J1920">
        <v>87.34999999999999</v>
      </c>
      <c r="K1920">
        <v>87.73</v>
      </c>
      <c r="L1920">
        <v>87.84</v>
      </c>
      <c r="M1920">
        <v>8.390000000000001</v>
      </c>
      <c r="N1920" t="b">
        <v>1</v>
      </c>
      <c r="O1920">
        <v>497</v>
      </c>
      <c r="P1920" t="s">
        <v>1920</v>
      </c>
      <c r="Q1920" t="s">
        <v>3771</v>
      </c>
      <c r="R1920">
        <v>230.9</v>
      </c>
      <c r="S1920">
        <v>6236</v>
      </c>
      <c r="T1920">
        <v>399431</v>
      </c>
      <c r="U1920" t="s">
        <v>5892</v>
      </c>
      <c r="V1920">
        <v>22.76</v>
      </c>
      <c r="W1920" t="s">
        <v>8088</v>
      </c>
      <c r="X1920" t="s">
        <v>9988</v>
      </c>
      <c r="Y1920">
        <v>728</v>
      </c>
      <c r="Z1920">
        <v>150</v>
      </c>
      <c r="AA1920">
        <v>449989</v>
      </c>
      <c r="AB1920">
        <v>0.52</v>
      </c>
    </row>
    <row r="1921" spans="1:28">
      <c r="A1921" s="2">
        <f>HYPERLINK("https://finance.naver.com/item/coinfo.nhn?code=036620", "A036620")</f>
        <v>0</v>
      </c>
      <c r="B1921">
        <f>HYPERLINK("http://comp.fnguide.com/SVO2/ASP/SVD_Consensus.asp?pGB=1&amp;gicode=A036620&amp;cID=&amp;MenuYn=Y&amp;ReportGB=&amp;NewMenuID=108&amp;stkGb=701", "버추얼텍")</f>
        <v>0</v>
      </c>
      <c r="C1921">
        <v>0</v>
      </c>
      <c r="D1921">
        <v>781</v>
      </c>
      <c r="E1921">
        <v>0</v>
      </c>
      <c r="G1921">
        <v>0</v>
      </c>
      <c r="H1921">
        <v>142</v>
      </c>
      <c r="I1921">
        <v>182</v>
      </c>
      <c r="J1921">
        <v>100</v>
      </c>
      <c r="K1921">
        <v>81.86</v>
      </c>
      <c r="L1921">
        <v>76.69</v>
      </c>
      <c r="M1921">
        <v>0</v>
      </c>
      <c r="N1921" t="b">
        <v>0</v>
      </c>
      <c r="O1921">
        <v>-133</v>
      </c>
      <c r="P1921" t="s">
        <v>1921</v>
      </c>
      <c r="Q1921" t="s">
        <v>2276</v>
      </c>
      <c r="R1921">
        <v>0</v>
      </c>
      <c r="S1921">
        <v>530</v>
      </c>
      <c r="T1921">
        <v>269957</v>
      </c>
      <c r="U1921" t="s">
        <v>5893</v>
      </c>
      <c r="V1921">
        <v>41.95</v>
      </c>
      <c r="W1921" t="s">
        <v>8089</v>
      </c>
      <c r="X1921" t="s">
        <v>968</v>
      </c>
      <c r="Y1921">
        <v>74</v>
      </c>
      <c r="Z1921">
        <v>-14</v>
      </c>
    </row>
    <row r="1922" spans="1:28">
      <c r="A1922" s="2">
        <f>HYPERLINK("https://finance.naver.com/item/coinfo.nhn?code=337930", "A337930")</f>
        <v>0</v>
      </c>
      <c r="B1922">
        <f>HYPERLINK("http://comp.fnguide.com/SVO2/ASP/SVD_Consensus.asp?pGB=1&amp;gicode=A337930&amp;cID=&amp;MenuYn=Y&amp;ReportGB=&amp;NewMenuID=108&amp;stkGb=701", "브랜드엑스코퍼레이션")</f>
        <v>0</v>
      </c>
      <c r="C1922">
        <v>0</v>
      </c>
      <c r="D1922">
        <v>11250</v>
      </c>
      <c r="E1922">
        <v>0</v>
      </c>
      <c r="G1922">
        <v>3979</v>
      </c>
      <c r="H1922">
        <v>2042</v>
      </c>
      <c r="I1922">
        <v>1490</v>
      </c>
      <c r="J1922">
        <v>64.63</v>
      </c>
      <c r="K1922">
        <v>81.84999999999999</v>
      </c>
      <c r="L1922">
        <v>86.76000000000001</v>
      </c>
      <c r="M1922">
        <v>42.02</v>
      </c>
      <c r="N1922" t="b">
        <v>0</v>
      </c>
      <c r="O1922">
        <v>413</v>
      </c>
      <c r="P1922" t="s">
        <v>1922</v>
      </c>
      <c r="Q1922" t="s">
        <v>3772</v>
      </c>
      <c r="R1922">
        <v>0</v>
      </c>
      <c r="S1922">
        <v>2145</v>
      </c>
      <c r="T1922">
        <v>51993</v>
      </c>
      <c r="U1922" t="s">
        <v>5894</v>
      </c>
      <c r="V1922">
        <v>48.8</v>
      </c>
      <c r="W1922" t="s">
        <v>8090</v>
      </c>
      <c r="X1922" t="s">
        <v>9989</v>
      </c>
      <c r="Y1922">
        <v>641</v>
      </c>
      <c r="Z1922">
        <v>99</v>
      </c>
      <c r="AA1922">
        <v>245993</v>
      </c>
    </row>
    <row r="1923" spans="1:28">
      <c r="A1923" s="2">
        <f>HYPERLINK("https://finance.naver.com/item/coinfo.nhn?code=226340", "A226340")</f>
        <v>0</v>
      </c>
      <c r="B1923">
        <f>HYPERLINK("http://comp.fnguide.com/SVO2/ASP/SVD_Consensus.asp?pGB=1&amp;gicode=A226340&amp;cID=&amp;MenuYn=Y&amp;ReportGB=&amp;NewMenuID=108&amp;stkGb=701", "본느")</f>
        <v>0</v>
      </c>
      <c r="C1923">
        <v>0</v>
      </c>
      <c r="D1923">
        <v>2320</v>
      </c>
      <c r="E1923">
        <v>0.24</v>
      </c>
      <c r="F1923">
        <v>22.98</v>
      </c>
      <c r="G1923">
        <v>2319</v>
      </c>
      <c r="H1923">
        <v>1591</v>
      </c>
      <c r="I1923">
        <v>1384</v>
      </c>
      <c r="J1923">
        <v>0.03</v>
      </c>
      <c r="K1923">
        <v>31.41</v>
      </c>
      <c r="L1923">
        <v>40.36</v>
      </c>
      <c r="M1923">
        <v>16.69</v>
      </c>
      <c r="N1923" t="b">
        <v>1</v>
      </c>
      <c r="O1923">
        <v>166</v>
      </c>
      <c r="P1923" t="s">
        <v>1923</v>
      </c>
      <c r="Q1923" t="s">
        <v>3773</v>
      </c>
      <c r="R1923">
        <v>95.2088292723122</v>
      </c>
      <c r="S1923">
        <v>712</v>
      </c>
      <c r="T1923">
        <v>139414</v>
      </c>
      <c r="U1923" t="s">
        <v>5895</v>
      </c>
      <c r="V1923">
        <v>52.95</v>
      </c>
      <c r="W1923" t="s">
        <v>8091</v>
      </c>
      <c r="X1923" t="s">
        <v>9990</v>
      </c>
      <c r="Y1923">
        <v>470</v>
      </c>
      <c r="Z1923">
        <v>56</v>
      </c>
      <c r="AA1923">
        <v>40</v>
      </c>
    </row>
    <row r="1924" spans="1:28">
      <c r="A1924" s="2">
        <f>HYPERLINK("https://finance.naver.com/item/coinfo.nhn?code=006910", "A006910")</f>
        <v>0</v>
      </c>
      <c r="B1924">
        <f>HYPERLINK("http://comp.fnguide.com/SVO2/ASP/SVD_Consensus.asp?pGB=1&amp;gicode=A006910&amp;cID=&amp;MenuYn=Y&amp;ReportGB=&amp;NewMenuID=108&amp;stkGb=701", "보성파워텍")</f>
        <v>0</v>
      </c>
      <c r="C1924">
        <v>0</v>
      </c>
      <c r="D1924">
        <v>2035</v>
      </c>
      <c r="E1924">
        <v>-18.09</v>
      </c>
      <c r="F1924">
        <v>110.86</v>
      </c>
      <c r="G1924">
        <v>116</v>
      </c>
      <c r="H1924">
        <v>1093</v>
      </c>
      <c r="I1924">
        <v>1371</v>
      </c>
      <c r="J1924">
        <v>94.31</v>
      </c>
      <c r="K1924">
        <v>46.3</v>
      </c>
      <c r="L1924">
        <v>32.62</v>
      </c>
      <c r="M1924">
        <v>0.53</v>
      </c>
      <c r="N1924" t="b">
        <v>1</v>
      </c>
      <c r="O1924">
        <v>18</v>
      </c>
      <c r="P1924" t="s">
        <v>1924</v>
      </c>
      <c r="Q1924" t="s">
        <v>3774</v>
      </c>
      <c r="R1924">
        <v>-6.127000687098527</v>
      </c>
      <c r="S1924">
        <v>938</v>
      </c>
      <c r="T1924">
        <v>683577</v>
      </c>
      <c r="U1924" t="s">
        <v>5896</v>
      </c>
      <c r="V1924">
        <v>15.53</v>
      </c>
      <c r="W1924" t="s">
        <v>8092</v>
      </c>
      <c r="X1924" t="s">
        <v>9991</v>
      </c>
      <c r="Y1924">
        <v>1117</v>
      </c>
      <c r="Z1924">
        <v>-11</v>
      </c>
      <c r="AA1924">
        <v>200000</v>
      </c>
    </row>
    <row r="1925" spans="1:28">
      <c r="A1925" s="2">
        <f>HYPERLINK("https://finance.naver.com/item/coinfo.nhn?code=250000", "A250000")</f>
        <v>0</v>
      </c>
      <c r="B1925">
        <f>HYPERLINK("http://comp.fnguide.com/SVO2/ASP/SVD_Consensus.asp?pGB=1&amp;gicode=A250000&amp;cID=&amp;MenuYn=Y&amp;ReportGB=&amp;NewMenuID=108&amp;stkGb=701", "보라티알")</f>
        <v>0</v>
      </c>
      <c r="C1925">
        <v>0</v>
      </c>
      <c r="D1925">
        <v>13050</v>
      </c>
      <c r="E1925">
        <v>13.22</v>
      </c>
      <c r="F1925">
        <v>21.4</v>
      </c>
      <c r="G1925">
        <v>11129</v>
      </c>
      <c r="H1925">
        <v>9545</v>
      </c>
      <c r="I1925">
        <v>9094</v>
      </c>
      <c r="J1925">
        <v>14.72</v>
      </c>
      <c r="K1925">
        <v>26.85</v>
      </c>
      <c r="L1925">
        <v>30.31</v>
      </c>
      <c r="M1925">
        <v>10.44</v>
      </c>
      <c r="N1925" t="b">
        <v>1</v>
      </c>
      <c r="O1925">
        <v>493</v>
      </c>
      <c r="P1925" t="s">
        <v>1925</v>
      </c>
      <c r="Q1925" t="s">
        <v>3775</v>
      </c>
      <c r="R1925">
        <v>1.61917270340024</v>
      </c>
      <c r="S1925">
        <v>881</v>
      </c>
      <c r="T1925">
        <v>2128317</v>
      </c>
      <c r="U1925" t="s">
        <v>5897</v>
      </c>
      <c r="V1925">
        <v>73.51000000000001</v>
      </c>
      <c r="W1925" t="s">
        <v>8093</v>
      </c>
      <c r="X1925" t="s">
        <v>9992</v>
      </c>
      <c r="Y1925">
        <v>468</v>
      </c>
      <c r="Z1925">
        <v>32</v>
      </c>
      <c r="AA1925">
        <v>251527</v>
      </c>
      <c r="AB1925">
        <v>1.42</v>
      </c>
    </row>
    <row r="1926" spans="1:28">
      <c r="A1926" s="2">
        <f>HYPERLINK("https://finance.naver.com/item/coinfo.nhn?code=225530", "A225530")</f>
        <v>0</v>
      </c>
      <c r="B1926">
        <f>HYPERLINK("http://comp.fnguide.com/SVO2/ASP/SVD_Consensus.asp?pGB=1&amp;gicode=A225530&amp;cID=&amp;MenuYn=Y&amp;ReportGB=&amp;NewMenuID=108&amp;stkGb=701", "보광산업")</f>
        <v>0</v>
      </c>
      <c r="C1926">
        <v>0</v>
      </c>
      <c r="D1926">
        <v>5580</v>
      </c>
      <c r="E1926">
        <v>-1.82</v>
      </c>
      <c r="F1926">
        <v>29.2</v>
      </c>
      <c r="G1926">
        <v>2409</v>
      </c>
      <c r="H1926">
        <v>2081</v>
      </c>
      <c r="I1926">
        <v>1987</v>
      </c>
      <c r="J1926">
        <v>56.83</v>
      </c>
      <c r="K1926">
        <v>62.71</v>
      </c>
      <c r="L1926">
        <v>64.38</v>
      </c>
      <c r="M1926">
        <v>10.3</v>
      </c>
      <c r="N1926" t="b">
        <v>1</v>
      </c>
      <c r="O1926">
        <v>175</v>
      </c>
      <c r="P1926" t="s">
        <v>1926</v>
      </c>
      <c r="Q1926" t="s">
        <v>3776</v>
      </c>
      <c r="R1926">
        <v>-16.00265583706972</v>
      </c>
      <c r="S1926">
        <v>2028</v>
      </c>
      <c r="T1926">
        <v>164280</v>
      </c>
      <c r="U1926" t="s">
        <v>5898</v>
      </c>
      <c r="V1926">
        <v>68.47</v>
      </c>
      <c r="W1926" t="s">
        <v>8094</v>
      </c>
      <c r="X1926" t="s">
        <v>9993</v>
      </c>
      <c r="Y1926">
        <v>498</v>
      </c>
      <c r="Z1926">
        <v>74</v>
      </c>
      <c r="AA1926">
        <v>676</v>
      </c>
      <c r="AB1926">
        <v>0.98</v>
      </c>
    </row>
    <row r="1927" spans="1:28">
      <c r="A1927" s="2">
        <f>HYPERLINK("https://finance.naver.com/item/coinfo.nhn?code=299910", "A299910")</f>
        <v>0</v>
      </c>
      <c r="B1927">
        <f>HYPERLINK("http://comp.fnguide.com/SVO2/ASP/SVD_Consensus.asp?pGB=1&amp;gicode=A299910&amp;cID=&amp;MenuYn=Y&amp;ReportGB=&amp;NewMenuID=108&amp;stkGb=701", "베스파")</f>
        <v>0</v>
      </c>
      <c r="C1927">
        <v>0</v>
      </c>
      <c r="D1927">
        <v>10000</v>
      </c>
      <c r="E1927">
        <v>0</v>
      </c>
      <c r="G1927">
        <v>0</v>
      </c>
      <c r="H1927">
        <v>6615</v>
      </c>
      <c r="I1927">
        <v>8499</v>
      </c>
      <c r="J1927">
        <v>100</v>
      </c>
      <c r="K1927">
        <v>33.85</v>
      </c>
      <c r="L1927">
        <v>15.01</v>
      </c>
      <c r="M1927">
        <v>0</v>
      </c>
      <c r="N1927" t="b">
        <v>0</v>
      </c>
      <c r="O1927">
        <v>-981</v>
      </c>
      <c r="P1927" t="s">
        <v>1927</v>
      </c>
      <c r="Q1927" t="s">
        <v>3152</v>
      </c>
      <c r="R1927">
        <v>0</v>
      </c>
      <c r="S1927">
        <v>807</v>
      </c>
      <c r="T1927">
        <v>76424</v>
      </c>
      <c r="U1927" t="s">
        <v>5899</v>
      </c>
      <c r="V1927">
        <v>41.19</v>
      </c>
      <c r="W1927" t="s">
        <v>8095</v>
      </c>
      <c r="X1927" t="s">
        <v>968</v>
      </c>
      <c r="Y1927">
        <v>1006</v>
      </c>
      <c r="Z1927">
        <v>-87</v>
      </c>
      <c r="AA1927">
        <v>450692</v>
      </c>
    </row>
    <row r="1928" spans="1:28">
      <c r="A1928" s="2">
        <f>HYPERLINK("https://finance.naver.com/item/coinfo.nhn?code=177350", "A177350")</f>
        <v>0</v>
      </c>
      <c r="B1928">
        <f>HYPERLINK("http://comp.fnguide.com/SVO2/ASP/SVD_Consensus.asp?pGB=1&amp;gicode=A177350&amp;cID=&amp;MenuYn=Y&amp;ReportGB=&amp;NewMenuID=108&amp;stkGb=701", "베셀")</f>
        <v>0</v>
      </c>
      <c r="C1928">
        <v>0</v>
      </c>
      <c r="D1928">
        <v>3590</v>
      </c>
      <c r="G1928">
        <v>710</v>
      </c>
      <c r="H1928">
        <v>1405</v>
      </c>
      <c r="I1928">
        <v>1603</v>
      </c>
      <c r="J1928">
        <v>80.20999999999999</v>
      </c>
      <c r="K1928">
        <v>60.86</v>
      </c>
      <c r="L1928">
        <v>55.34</v>
      </c>
      <c r="M1928">
        <v>3.03</v>
      </c>
      <c r="N1928" t="b">
        <v>0</v>
      </c>
      <c r="O1928">
        <v>-987</v>
      </c>
      <c r="P1928" t="s">
        <v>1928</v>
      </c>
      <c r="Q1928" t="s">
        <v>3777</v>
      </c>
      <c r="R1928">
        <v>-46.59307603329764</v>
      </c>
      <c r="S1928">
        <v>402</v>
      </c>
      <c r="T1928">
        <v>90195</v>
      </c>
      <c r="U1928" t="s">
        <v>5900</v>
      </c>
      <c r="V1928">
        <v>23.25</v>
      </c>
      <c r="W1928" t="s">
        <v>8096</v>
      </c>
      <c r="X1928" t="s">
        <v>9994</v>
      </c>
      <c r="Y1928">
        <v>423</v>
      </c>
      <c r="Z1928">
        <v>-73</v>
      </c>
      <c r="AA1928">
        <v>746294</v>
      </c>
    </row>
    <row r="1929" spans="1:28">
      <c r="A1929" s="2">
        <f>HYPERLINK("https://finance.naver.com/item/coinfo.nhn?code=206400", "A206400")</f>
        <v>0</v>
      </c>
      <c r="B1929">
        <f>HYPERLINK("http://comp.fnguide.com/SVO2/ASP/SVD_Consensus.asp?pGB=1&amp;gicode=A206400&amp;cID=&amp;MenuYn=Y&amp;ReportGB=&amp;NewMenuID=108&amp;stkGb=701", "베노홀딩스")</f>
        <v>0</v>
      </c>
      <c r="C1929">
        <v>0</v>
      </c>
      <c r="D1929">
        <v>8310</v>
      </c>
      <c r="E1929">
        <v>0</v>
      </c>
      <c r="F1929">
        <v>27.91</v>
      </c>
      <c r="G1929">
        <v>890</v>
      </c>
      <c r="H1929">
        <v>1275</v>
      </c>
      <c r="I1929">
        <v>1385</v>
      </c>
      <c r="J1929">
        <v>89.29000000000001</v>
      </c>
      <c r="K1929">
        <v>84.65000000000001</v>
      </c>
      <c r="L1929">
        <v>83.33</v>
      </c>
      <c r="M1929">
        <v>4.63</v>
      </c>
      <c r="N1929" t="b">
        <v>1</v>
      </c>
      <c r="O1929">
        <v>128</v>
      </c>
      <c r="P1929" t="s">
        <v>1929</v>
      </c>
      <c r="Q1929" t="s">
        <v>2276</v>
      </c>
      <c r="R1929">
        <v>0</v>
      </c>
      <c r="S1929">
        <v>1834</v>
      </c>
      <c r="T1929">
        <v>247366</v>
      </c>
      <c r="U1929" t="s">
        <v>5901</v>
      </c>
      <c r="V1929">
        <v>17.74</v>
      </c>
      <c r="W1929" t="s">
        <v>8097</v>
      </c>
      <c r="X1929" t="s">
        <v>9995</v>
      </c>
      <c r="Y1929">
        <v>160</v>
      </c>
      <c r="Z1929">
        <v>27</v>
      </c>
      <c r="AA1929">
        <v>6455</v>
      </c>
    </row>
    <row r="1930" spans="1:28">
      <c r="A1930" s="2">
        <f>HYPERLINK("https://finance.naver.com/item/coinfo.nhn?code=066410", "A066410")</f>
        <v>0</v>
      </c>
      <c r="B1930">
        <f>HYPERLINK("http://comp.fnguide.com/SVO2/ASP/SVD_Consensus.asp?pGB=1&amp;gicode=A066410&amp;cID=&amp;MenuYn=Y&amp;ReportGB=&amp;NewMenuID=108&amp;stkGb=701", "버킷스튜디오")</f>
        <v>0</v>
      </c>
      <c r="C1930">
        <v>0</v>
      </c>
      <c r="D1930">
        <v>2415</v>
      </c>
      <c r="E1930">
        <v>0</v>
      </c>
      <c r="G1930">
        <v>93</v>
      </c>
      <c r="H1930">
        <v>746</v>
      </c>
      <c r="I1930">
        <v>932</v>
      </c>
      <c r="J1930">
        <v>96.14</v>
      </c>
      <c r="K1930">
        <v>69.12</v>
      </c>
      <c r="L1930">
        <v>61.42</v>
      </c>
      <c r="M1930">
        <v>0.63</v>
      </c>
      <c r="N1930" t="b">
        <v>0</v>
      </c>
      <c r="O1930">
        <v>-131</v>
      </c>
      <c r="P1930" t="s">
        <v>1930</v>
      </c>
      <c r="Q1930" t="s">
        <v>2276</v>
      </c>
      <c r="R1930">
        <v>0</v>
      </c>
      <c r="S1930">
        <v>844</v>
      </c>
      <c r="T1930">
        <v>773086</v>
      </c>
      <c r="U1930" t="s">
        <v>5902</v>
      </c>
      <c r="V1930">
        <v>34.51</v>
      </c>
      <c r="W1930" t="s">
        <v>8098</v>
      </c>
      <c r="X1930" t="s">
        <v>9996</v>
      </c>
      <c r="Y1930">
        <v>176</v>
      </c>
      <c r="Z1930">
        <v>8</v>
      </c>
      <c r="AA1930">
        <v>1258</v>
      </c>
    </row>
    <row r="1931" spans="1:28">
      <c r="A1931" s="2">
        <f>HYPERLINK("https://finance.naver.com/item/coinfo.nhn?code=046310", "A046310")</f>
        <v>0</v>
      </c>
      <c r="B1931">
        <f>HYPERLINK("http://comp.fnguide.com/SVO2/ASP/SVD_Consensus.asp?pGB=1&amp;gicode=A046310&amp;cID=&amp;MenuYn=Y&amp;ReportGB=&amp;NewMenuID=108&amp;stkGb=701", "백금T&amp;A")</f>
        <v>0</v>
      </c>
      <c r="C1931">
        <v>0</v>
      </c>
      <c r="D1931">
        <v>2530</v>
      </c>
      <c r="E1931">
        <v>-1.07</v>
      </c>
      <c r="F1931">
        <v>25.32</v>
      </c>
      <c r="G1931">
        <v>2515</v>
      </c>
      <c r="H1931">
        <v>2520</v>
      </c>
      <c r="I1931">
        <v>2522</v>
      </c>
      <c r="J1931">
        <v>0.59</v>
      </c>
      <c r="K1931">
        <v>0.39</v>
      </c>
      <c r="L1931">
        <v>0.34</v>
      </c>
      <c r="M1931">
        <v>7.94</v>
      </c>
      <c r="N1931" t="b">
        <v>1</v>
      </c>
      <c r="O1931">
        <v>118</v>
      </c>
      <c r="P1931" t="s">
        <v>1931</v>
      </c>
      <c r="Q1931" t="s">
        <v>3778</v>
      </c>
      <c r="R1931">
        <v>-23.61282830212916</v>
      </c>
      <c r="S1931">
        <v>411</v>
      </c>
      <c r="T1931">
        <v>181540</v>
      </c>
      <c r="U1931" t="s">
        <v>5903</v>
      </c>
      <c r="V1931">
        <v>24.52</v>
      </c>
      <c r="W1931" t="s">
        <v>8099</v>
      </c>
      <c r="X1931" t="s">
        <v>9997</v>
      </c>
      <c r="Y1931">
        <v>1556</v>
      </c>
      <c r="Z1931">
        <v>185</v>
      </c>
      <c r="AB1931">
        <v>1.68</v>
      </c>
    </row>
    <row r="1932" spans="1:28">
      <c r="A1932" s="2">
        <f>HYPERLINK("https://finance.naver.com/item/coinfo.nhn?code=018700", "A018700")</f>
        <v>0</v>
      </c>
      <c r="B1932">
        <f>HYPERLINK("http://comp.fnguide.com/SVO2/ASP/SVD_Consensus.asp?pGB=1&amp;gicode=A018700&amp;cID=&amp;MenuYn=Y&amp;ReportGB=&amp;NewMenuID=108&amp;stkGb=701", "바른손")</f>
        <v>0</v>
      </c>
      <c r="C1932">
        <v>0</v>
      </c>
      <c r="D1932">
        <v>3500</v>
      </c>
      <c r="E1932">
        <v>0</v>
      </c>
      <c r="G1932">
        <v>0</v>
      </c>
      <c r="H1932">
        <v>1023</v>
      </c>
      <c r="I1932">
        <v>1314</v>
      </c>
      <c r="J1932">
        <v>100</v>
      </c>
      <c r="K1932">
        <v>70.77</v>
      </c>
      <c r="L1932">
        <v>62.44</v>
      </c>
      <c r="M1932">
        <v>0</v>
      </c>
      <c r="N1932" t="b">
        <v>0</v>
      </c>
      <c r="O1932">
        <v>-779</v>
      </c>
      <c r="P1932" t="s">
        <v>1932</v>
      </c>
      <c r="Q1932" t="s">
        <v>2276</v>
      </c>
      <c r="R1932">
        <v>0</v>
      </c>
      <c r="S1932">
        <v>1032</v>
      </c>
      <c r="T1932">
        <v>822483</v>
      </c>
      <c r="U1932" t="s">
        <v>5904</v>
      </c>
      <c r="V1932">
        <v>38.34</v>
      </c>
      <c r="W1932" t="s">
        <v>8100</v>
      </c>
      <c r="X1932" t="s">
        <v>968</v>
      </c>
      <c r="Y1932">
        <v>58</v>
      </c>
      <c r="Z1932">
        <v>-27</v>
      </c>
      <c r="AA1932">
        <v>692063</v>
      </c>
    </row>
    <row r="1933" spans="1:28">
      <c r="A1933" s="2">
        <f>HYPERLINK("https://finance.naver.com/item/coinfo.nhn?code=323990", "A323990")</f>
        <v>0</v>
      </c>
      <c r="B1933">
        <f>HYPERLINK("http://comp.fnguide.com/SVO2/ASP/SVD_Consensus.asp?pGB=1&amp;gicode=A323990&amp;cID=&amp;MenuYn=Y&amp;ReportGB=&amp;NewMenuID=108&amp;stkGb=701", "박셀바이오")</f>
        <v>0</v>
      </c>
      <c r="C1933">
        <v>0</v>
      </c>
      <c r="D1933">
        <v>121100</v>
      </c>
      <c r="E1933">
        <v>0</v>
      </c>
      <c r="G1933">
        <v>0</v>
      </c>
      <c r="H1933">
        <v>727</v>
      </c>
      <c r="I1933">
        <v>934</v>
      </c>
      <c r="J1933">
        <v>100</v>
      </c>
      <c r="K1933">
        <v>99.40000000000001</v>
      </c>
      <c r="L1933">
        <v>99.23</v>
      </c>
      <c r="M1933">
        <v>0</v>
      </c>
      <c r="N1933" t="b">
        <v>0</v>
      </c>
      <c r="O1933" t="s">
        <v>11</v>
      </c>
      <c r="P1933" t="s">
        <v>1933</v>
      </c>
      <c r="Q1933" t="s">
        <v>3310</v>
      </c>
      <c r="R1933">
        <v>0</v>
      </c>
      <c r="S1933" t="s">
        <v>3983</v>
      </c>
      <c r="T1933">
        <v>2980649</v>
      </c>
      <c r="U1933" t="s">
        <v>5905</v>
      </c>
      <c r="V1933">
        <v>31.41</v>
      </c>
      <c r="W1933" t="s">
        <v>8101</v>
      </c>
      <c r="X1933" t="s">
        <v>968</v>
      </c>
      <c r="Y1933" t="s">
        <v>10210</v>
      </c>
      <c r="Z1933" t="s">
        <v>10223</v>
      </c>
    </row>
    <row r="1934" spans="1:28">
      <c r="A1934" s="2">
        <f>HYPERLINK("https://finance.naver.com/item/coinfo.nhn?code=032980", "A032980")</f>
        <v>0</v>
      </c>
      <c r="B1934">
        <f>HYPERLINK("http://comp.fnguide.com/SVO2/ASP/SVD_Consensus.asp?pGB=1&amp;gicode=A032980&amp;cID=&amp;MenuYn=Y&amp;ReportGB=&amp;NewMenuID=108&amp;stkGb=701", "바이온")</f>
        <v>0</v>
      </c>
      <c r="C1934">
        <v>0</v>
      </c>
      <c r="D1934">
        <v>1455</v>
      </c>
      <c r="E1934">
        <v>0</v>
      </c>
      <c r="G1934">
        <v>0</v>
      </c>
      <c r="H1934">
        <v>322</v>
      </c>
      <c r="I1934">
        <v>413</v>
      </c>
      <c r="J1934">
        <v>100</v>
      </c>
      <c r="K1934">
        <v>77.90000000000001</v>
      </c>
      <c r="L1934">
        <v>71.59999999999999</v>
      </c>
      <c r="M1934">
        <v>0</v>
      </c>
      <c r="N1934" t="b">
        <v>0</v>
      </c>
      <c r="O1934">
        <v>-399</v>
      </c>
      <c r="P1934" t="s">
        <v>1934</v>
      </c>
      <c r="Q1934" t="s">
        <v>2276</v>
      </c>
      <c r="R1934">
        <v>0</v>
      </c>
      <c r="S1934">
        <v>914</v>
      </c>
      <c r="T1934">
        <v>1113724</v>
      </c>
      <c r="U1934" t="s">
        <v>5906</v>
      </c>
      <c r="V1934">
        <v>6.88</v>
      </c>
      <c r="W1934" t="s">
        <v>8102</v>
      </c>
      <c r="X1934" t="s">
        <v>968</v>
      </c>
      <c r="Y1934">
        <v>196</v>
      </c>
      <c r="Z1934">
        <v>-100</v>
      </c>
      <c r="AA1934">
        <v>2525</v>
      </c>
    </row>
    <row r="1935" spans="1:28">
      <c r="A1935" s="2">
        <f>HYPERLINK("https://finance.naver.com/item/coinfo.nhn?code=086040", "A086040")</f>
        <v>0</v>
      </c>
      <c r="B1935">
        <f>HYPERLINK("http://comp.fnguide.com/SVO2/ASP/SVD_Consensus.asp?pGB=1&amp;gicode=A086040&amp;cID=&amp;MenuYn=Y&amp;ReportGB=&amp;NewMenuID=108&amp;stkGb=701", "바이오톡스텍")</f>
        <v>0</v>
      </c>
      <c r="C1935">
        <v>0</v>
      </c>
      <c r="D1935">
        <v>20050</v>
      </c>
      <c r="G1935">
        <v>1320</v>
      </c>
      <c r="H1935">
        <v>1770</v>
      </c>
      <c r="I1935">
        <v>1898</v>
      </c>
      <c r="J1935">
        <v>93.42</v>
      </c>
      <c r="K1935">
        <v>91.17</v>
      </c>
      <c r="L1935">
        <v>90.53</v>
      </c>
      <c r="M1935">
        <v>5.08</v>
      </c>
      <c r="N1935" t="b">
        <v>0</v>
      </c>
      <c r="O1935">
        <v>-109</v>
      </c>
      <c r="P1935" t="s">
        <v>1935</v>
      </c>
      <c r="Q1935" t="s">
        <v>3779</v>
      </c>
      <c r="R1935">
        <v>85.46115496243409</v>
      </c>
      <c r="S1935">
        <v>2932</v>
      </c>
      <c r="T1935">
        <v>1677594</v>
      </c>
      <c r="U1935" t="s">
        <v>5907</v>
      </c>
      <c r="V1935">
        <v>15.87</v>
      </c>
      <c r="W1935" t="s">
        <v>8103</v>
      </c>
      <c r="X1935" t="s">
        <v>9998</v>
      </c>
      <c r="Y1935">
        <v>259</v>
      </c>
      <c r="Z1935">
        <v>-1</v>
      </c>
      <c r="AA1935">
        <v>30735</v>
      </c>
    </row>
    <row r="1936" spans="1:28">
      <c r="A1936" s="2">
        <f>HYPERLINK("https://finance.naver.com/item/coinfo.nhn?code=086820", "A086820")</f>
        <v>0</v>
      </c>
      <c r="B1936">
        <f>HYPERLINK("http://comp.fnguide.com/SVO2/ASP/SVD_Consensus.asp?pGB=1&amp;gicode=A086820&amp;cID=&amp;MenuYn=Y&amp;ReportGB=&amp;NewMenuID=108&amp;stkGb=701", "바이오솔루션")</f>
        <v>0</v>
      </c>
      <c r="C1936">
        <v>0</v>
      </c>
      <c r="D1936">
        <v>33200</v>
      </c>
      <c r="E1936">
        <v>0</v>
      </c>
      <c r="G1936">
        <v>1272</v>
      </c>
      <c r="H1936">
        <v>4133</v>
      </c>
      <c r="I1936">
        <v>4948</v>
      </c>
      <c r="J1936">
        <v>96.17</v>
      </c>
      <c r="K1936">
        <v>87.55</v>
      </c>
      <c r="L1936">
        <v>85.09999999999999</v>
      </c>
      <c r="M1936">
        <v>1.68</v>
      </c>
      <c r="N1936" t="b">
        <v>0</v>
      </c>
      <c r="O1936">
        <v>-87</v>
      </c>
      <c r="P1936" t="s">
        <v>1936</v>
      </c>
      <c r="Q1936" t="s">
        <v>2276</v>
      </c>
      <c r="R1936">
        <v>0</v>
      </c>
      <c r="S1936">
        <v>2686</v>
      </c>
      <c r="T1936">
        <v>677808</v>
      </c>
      <c r="U1936" t="s">
        <v>5908</v>
      </c>
      <c r="V1936">
        <v>20.03</v>
      </c>
      <c r="W1936" t="s">
        <v>8104</v>
      </c>
      <c r="X1936" t="s">
        <v>9999</v>
      </c>
      <c r="Y1936">
        <v>89</v>
      </c>
      <c r="Z1936">
        <v>-19</v>
      </c>
      <c r="AA1936">
        <v>119808</v>
      </c>
    </row>
    <row r="1937" spans="1:28">
      <c r="A1937" s="2">
        <f>HYPERLINK("https://finance.naver.com/item/coinfo.nhn?code=142760", "A142760")</f>
        <v>0</v>
      </c>
      <c r="B1937">
        <f>HYPERLINK("http://comp.fnguide.com/SVO2/ASP/SVD_Consensus.asp?pGB=1&amp;gicode=A142760&amp;cID=&amp;MenuYn=Y&amp;ReportGB=&amp;NewMenuID=108&amp;stkGb=701", "바이오리더스")</f>
        <v>0</v>
      </c>
      <c r="C1937">
        <v>0</v>
      </c>
      <c r="D1937">
        <v>6000</v>
      </c>
      <c r="E1937">
        <v>0</v>
      </c>
      <c r="G1937">
        <v>0</v>
      </c>
      <c r="H1937">
        <v>522</v>
      </c>
      <c r="I1937">
        <v>670</v>
      </c>
      <c r="J1937">
        <v>100</v>
      </c>
      <c r="K1937">
        <v>91.31</v>
      </c>
      <c r="L1937">
        <v>88.83</v>
      </c>
      <c r="M1937">
        <v>0</v>
      </c>
      <c r="N1937" t="b">
        <v>0</v>
      </c>
      <c r="O1937">
        <v>-1456</v>
      </c>
      <c r="P1937" t="s">
        <v>1937</v>
      </c>
      <c r="Q1937" t="s">
        <v>2276</v>
      </c>
      <c r="R1937">
        <v>0</v>
      </c>
      <c r="S1937">
        <v>1645</v>
      </c>
      <c r="T1937">
        <v>423515</v>
      </c>
      <c r="U1937" t="s">
        <v>5909</v>
      </c>
      <c r="V1937">
        <v>9.51</v>
      </c>
      <c r="W1937" t="s">
        <v>8105</v>
      </c>
      <c r="X1937" t="s">
        <v>968</v>
      </c>
      <c r="Y1937">
        <v>729</v>
      </c>
      <c r="Z1937">
        <v>-124</v>
      </c>
    </row>
    <row r="1938" spans="1:28">
      <c r="A1938" s="2">
        <f>HYPERLINK("https://finance.naver.com/item/coinfo.nhn?code=064550", "A064550")</f>
        <v>0</v>
      </c>
      <c r="B1938">
        <f>HYPERLINK("http://comp.fnguide.com/SVO2/ASP/SVD_Consensus.asp?pGB=1&amp;gicode=A064550&amp;cID=&amp;MenuYn=Y&amp;ReportGB=&amp;NewMenuID=108&amp;stkGb=701", "바이오니아")</f>
        <v>0</v>
      </c>
      <c r="C1938">
        <v>0</v>
      </c>
      <c r="D1938">
        <v>19300</v>
      </c>
      <c r="E1938">
        <v>0</v>
      </c>
      <c r="G1938">
        <v>0</v>
      </c>
      <c r="H1938">
        <v>732</v>
      </c>
      <c r="I1938">
        <v>940</v>
      </c>
      <c r="J1938">
        <v>100</v>
      </c>
      <c r="K1938">
        <v>96.20999999999999</v>
      </c>
      <c r="L1938">
        <v>95.13</v>
      </c>
      <c r="M1938">
        <v>0</v>
      </c>
      <c r="N1938" t="b">
        <v>0</v>
      </c>
      <c r="O1938">
        <v>-349</v>
      </c>
      <c r="P1938" t="s">
        <v>1938</v>
      </c>
      <c r="Q1938" t="s">
        <v>2276</v>
      </c>
      <c r="R1938">
        <v>0</v>
      </c>
      <c r="S1938">
        <v>4827</v>
      </c>
      <c r="T1938">
        <v>598069</v>
      </c>
      <c r="U1938" t="s">
        <v>5910</v>
      </c>
      <c r="V1938">
        <v>16.35</v>
      </c>
      <c r="W1938" t="s">
        <v>8106</v>
      </c>
      <c r="X1938" t="s">
        <v>968</v>
      </c>
      <c r="Y1938">
        <v>363</v>
      </c>
      <c r="Z1938">
        <v>-85</v>
      </c>
    </row>
    <row r="1939" spans="1:28">
      <c r="A1939" s="2">
        <f>HYPERLINK("https://finance.naver.com/item/coinfo.nhn?code=301300", "A301300")</f>
        <v>0</v>
      </c>
      <c r="B1939">
        <f>HYPERLINK("http://comp.fnguide.com/SVO2/ASP/SVD_Consensus.asp?pGB=1&amp;gicode=A301300&amp;cID=&amp;MenuYn=Y&amp;ReportGB=&amp;NewMenuID=108&amp;stkGb=701", "바이브컴퍼니")</f>
        <v>0</v>
      </c>
      <c r="C1939">
        <v>0</v>
      </c>
      <c r="D1939">
        <v>34500</v>
      </c>
      <c r="G1939">
        <v>906</v>
      </c>
      <c r="H1939">
        <v>2028</v>
      </c>
      <c r="I1939">
        <v>2348</v>
      </c>
      <c r="J1939">
        <v>97.37</v>
      </c>
      <c r="K1939">
        <v>94.12</v>
      </c>
      <c r="L1939">
        <v>93.19</v>
      </c>
      <c r="M1939">
        <v>2.6</v>
      </c>
      <c r="N1939" t="b">
        <v>0</v>
      </c>
      <c r="O1939">
        <v>-164</v>
      </c>
      <c r="P1939" t="s">
        <v>1939</v>
      </c>
      <c r="Q1939" t="s">
        <v>3780</v>
      </c>
      <c r="R1939">
        <v>49.29999999999999</v>
      </c>
      <c r="S1939">
        <v>1861</v>
      </c>
      <c r="T1939">
        <v>177376</v>
      </c>
      <c r="U1939" t="s">
        <v>5911</v>
      </c>
      <c r="V1939">
        <v>40.74</v>
      </c>
      <c r="W1939" t="s">
        <v>8107</v>
      </c>
      <c r="X1939" t="s">
        <v>968</v>
      </c>
      <c r="Y1939">
        <v>163</v>
      </c>
      <c r="Z1939">
        <v>-3</v>
      </c>
      <c r="AA1939">
        <v>22536</v>
      </c>
    </row>
    <row r="1940" spans="1:28">
      <c r="A1940" s="2">
        <f>HYPERLINK("https://finance.naver.com/item/coinfo.nhn?code=053030", "A053030")</f>
        <v>0</v>
      </c>
      <c r="B1940">
        <f>HYPERLINK("http://comp.fnguide.com/SVO2/ASP/SVD_Consensus.asp?pGB=1&amp;gicode=A053030&amp;cID=&amp;MenuYn=Y&amp;ReportGB=&amp;NewMenuID=108&amp;stkGb=701", "바이넥스")</f>
        <v>0</v>
      </c>
      <c r="C1940">
        <v>0</v>
      </c>
      <c r="D1940">
        <v>29950</v>
      </c>
      <c r="E1940">
        <v>0.49</v>
      </c>
      <c r="F1940">
        <v>29.48</v>
      </c>
      <c r="G1940">
        <v>2753</v>
      </c>
      <c r="H1940">
        <v>4190</v>
      </c>
      <c r="I1940">
        <v>4599</v>
      </c>
      <c r="J1940">
        <v>90.81</v>
      </c>
      <c r="K1940">
        <v>86.01000000000001</v>
      </c>
      <c r="L1940">
        <v>84.64</v>
      </c>
      <c r="M1940">
        <v>4.26</v>
      </c>
      <c r="N1940" t="b">
        <v>1</v>
      </c>
      <c r="O1940">
        <v>268</v>
      </c>
      <c r="P1940" t="s">
        <v>1940</v>
      </c>
      <c r="Q1940" t="s">
        <v>3781</v>
      </c>
      <c r="R1940">
        <v>60.44662663951523</v>
      </c>
      <c r="S1940">
        <v>9509</v>
      </c>
      <c r="T1940">
        <v>4053008</v>
      </c>
      <c r="U1940" t="s">
        <v>5912</v>
      </c>
      <c r="V1940">
        <v>11.07</v>
      </c>
      <c r="W1940" t="s">
        <v>8108</v>
      </c>
      <c r="X1940" t="s">
        <v>10000</v>
      </c>
      <c r="Y1940">
        <v>1253</v>
      </c>
      <c r="Z1940">
        <v>113</v>
      </c>
      <c r="AA1940">
        <v>553226</v>
      </c>
    </row>
    <row r="1941" spans="1:28">
      <c r="A1941" s="2">
        <f>HYPERLINK("https://finance.naver.com/item/coinfo.nhn?code=064520", "A064520")</f>
        <v>0</v>
      </c>
      <c r="B1941">
        <f>HYPERLINK("http://comp.fnguide.com/SVO2/ASP/SVD_Consensus.asp?pGB=1&amp;gicode=A064520&amp;cID=&amp;MenuYn=Y&amp;ReportGB=&amp;NewMenuID=108&amp;stkGb=701", "바른전자")</f>
        <v>0</v>
      </c>
      <c r="C1941">
        <v>0</v>
      </c>
      <c r="D1941">
        <v>1005</v>
      </c>
      <c r="G1941">
        <v>0</v>
      </c>
      <c r="H1941">
        <v>321</v>
      </c>
      <c r="I1941">
        <v>413</v>
      </c>
      <c r="J1941">
        <v>100</v>
      </c>
      <c r="K1941">
        <v>68.03</v>
      </c>
      <c r="L1941">
        <v>58.92</v>
      </c>
      <c r="M1941">
        <v>0</v>
      </c>
      <c r="N1941" t="b">
        <v>0</v>
      </c>
      <c r="O1941">
        <v>-14326</v>
      </c>
      <c r="P1941" t="s">
        <v>1941</v>
      </c>
      <c r="Q1941" t="s">
        <v>3782</v>
      </c>
      <c r="R1941">
        <v>-69.7</v>
      </c>
      <c r="S1941">
        <v>741</v>
      </c>
      <c r="T1941">
        <v>0</v>
      </c>
      <c r="U1941" t="s">
        <v>5913</v>
      </c>
      <c r="V1941">
        <v>30.44</v>
      </c>
      <c r="W1941" t="s">
        <v>8109</v>
      </c>
      <c r="X1941" t="s">
        <v>968</v>
      </c>
      <c r="Y1941">
        <v>395</v>
      </c>
      <c r="Z1941">
        <v>-148</v>
      </c>
      <c r="AA1941">
        <v>483</v>
      </c>
    </row>
    <row r="1942" spans="1:28">
      <c r="A1942" s="2">
        <f>HYPERLINK("https://finance.naver.com/item/coinfo.nhn?code=063170", "A063170")</f>
        <v>0</v>
      </c>
      <c r="B1942">
        <f>HYPERLINK("http://comp.fnguide.com/SVO2/ASP/SVD_Consensus.asp?pGB=1&amp;gicode=A063170&amp;cID=&amp;MenuYn=Y&amp;ReportGB=&amp;NewMenuID=108&amp;stkGb=701", "서울옥션")</f>
        <v>0</v>
      </c>
      <c r="C1942">
        <v>0</v>
      </c>
      <c r="D1942">
        <v>6930</v>
      </c>
      <c r="G1942">
        <v>2217</v>
      </c>
      <c r="H1942">
        <v>3497</v>
      </c>
      <c r="I1942">
        <v>3862</v>
      </c>
      <c r="J1942">
        <v>68.01000000000001</v>
      </c>
      <c r="K1942">
        <v>49.54</v>
      </c>
      <c r="L1942">
        <v>44.28</v>
      </c>
      <c r="M1942">
        <v>4.07</v>
      </c>
      <c r="N1942" t="b">
        <v>0</v>
      </c>
      <c r="O1942">
        <v>-395</v>
      </c>
      <c r="P1942" t="s">
        <v>1942</v>
      </c>
      <c r="Q1942" t="s">
        <v>3783</v>
      </c>
      <c r="R1942">
        <v>-17.33090330085244</v>
      </c>
      <c r="S1942">
        <v>1172</v>
      </c>
      <c r="T1942">
        <v>2681668</v>
      </c>
      <c r="U1942" t="s">
        <v>5914</v>
      </c>
      <c r="V1942">
        <v>35.05</v>
      </c>
      <c r="W1942" t="s">
        <v>8110</v>
      </c>
      <c r="X1942" t="s">
        <v>10001</v>
      </c>
      <c r="Y1942">
        <v>451</v>
      </c>
      <c r="Z1942">
        <v>-46</v>
      </c>
      <c r="AA1942">
        <v>1137249</v>
      </c>
    </row>
    <row r="1943" spans="1:28">
      <c r="A1943" s="2">
        <f>HYPERLINK("https://finance.naver.com/item/coinfo.nhn?code=178320", "A178320")</f>
        <v>0</v>
      </c>
      <c r="B1943">
        <f>HYPERLINK("http://comp.fnguide.com/SVO2/ASP/SVD_Consensus.asp?pGB=1&amp;gicode=A178320&amp;cID=&amp;MenuYn=Y&amp;ReportGB=&amp;NewMenuID=108&amp;stkGb=701", "서진시스템")</f>
        <v>0</v>
      </c>
      <c r="C1943">
        <v>0</v>
      </c>
      <c r="D1943">
        <v>48350</v>
      </c>
      <c r="E1943">
        <v>30.55</v>
      </c>
      <c r="F1943">
        <v>10.72</v>
      </c>
      <c r="G1943">
        <v>31139</v>
      </c>
      <c r="H1943">
        <v>21176</v>
      </c>
      <c r="I1943">
        <v>18337</v>
      </c>
      <c r="J1943">
        <v>35.6</v>
      </c>
      <c r="K1943">
        <v>56.2</v>
      </c>
      <c r="L1943">
        <v>62.07</v>
      </c>
      <c r="M1943">
        <v>17.05</v>
      </c>
      <c r="N1943" t="b">
        <v>1</v>
      </c>
      <c r="O1943">
        <v>2688</v>
      </c>
      <c r="P1943" t="s">
        <v>1943</v>
      </c>
      <c r="Q1943" t="s">
        <v>3784</v>
      </c>
      <c r="R1943">
        <v>0.3509091598834502</v>
      </c>
      <c r="S1943">
        <v>8752</v>
      </c>
      <c r="T1943">
        <v>477233</v>
      </c>
      <c r="U1943" t="s">
        <v>5915</v>
      </c>
      <c r="V1943">
        <v>32.98</v>
      </c>
      <c r="W1943" t="s">
        <v>8111</v>
      </c>
      <c r="X1943" t="s">
        <v>10002</v>
      </c>
      <c r="Y1943">
        <v>3924</v>
      </c>
      <c r="Z1943">
        <v>544</v>
      </c>
      <c r="AB1943">
        <v>1.04</v>
      </c>
    </row>
    <row r="1944" spans="1:28">
      <c r="A1944" s="2">
        <f>HYPERLINK("https://finance.naver.com/item/coinfo.nhn?code=065650", "A065650")</f>
        <v>0</v>
      </c>
      <c r="B1944">
        <f>HYPERLINK("http://comp.fnguide.com/SVO2/ASP/SVD_Consensus.asp?pGB=1&amp;gicode=A065650&amp;cID=&amp;MenuYn=Y&amp;ReportGB=&amp;NewMenuID=108&amp;stkGb=701", "메디프론")</f>
        <v>0</v>
      </c>
      <c r="C1944">
        <v>0</v>
      </c>
      <c r="D1944">
        <v>4240</v>
      </c>
      <c r="E1944">
        <v>0</v>
      </c>
      <c r="G1944">
        <v>0</v>
      </c>
      <c r="H1944">
        <v>286</v>
      </c>
      <c r="I1944">
        <v>367</v>
      </c>
      <c r="J1944">
        <v>100</v>
      </c>
      <c r="K1944">
        <v>93.26000000000001</v>
      </c>
      <c r="L1944">
        <v>91.34</v>
      </c>
      <c r="M1944">
        <v>0</v>
      </c>
      <c r="N1944" t="b">
        <v>0</v>
      </c>
      <c r="O1944">
        <v>-60</v>
      </c>
      <c r="P1944" t="s">
        <v>1944</v>
      </c>
      <c r="Q1944" t="s">
        <v>2276</v>
      </c>
      <c r="R1944">
        <v>0</v>
      </c>
      <c r="S1944">
        <v>1577</v>
      </c>
      <c r="T1944">
        <v>213152</v>
      </c>
      <c r="U1944" t="s">
        <v>5916</v>
      </c>
      <c r="V1944">
        <v>21.82</v>
      </c>
      <c r="W1944" t="s">
        <v>8112</v>
      </c>
      <c r="X1944" t="s">
        <v>968</v>
      </c>
      <c r="Y1944">
        <v>174</v>
      </c>
      <c r="Z1944">
        <v>-22</v>
      </c>
    </row>
    <row r="1945" spans="1:28">
      <c r="A1945" s="2">
        <f>HYPERLINK("https://finance.naver.com/item/coinfo.nhn?code=065350", "A065350")</f>
        <v>0</v>
      </c>
      <c r="B1945">
        <f>HYPERLINK("http://comp.fnguide.com/SVO2/ASP/SVD_Consensus.asp?pGB=1&amp;gicode=A065350&amp;cID=&amp;MenuYn=Y&amp;ReportGB=&amp;NewMenuID=108&amp;stkGb=701", "신성델타테크")</f>
        <v>0</v>
      </c>
      <c r="C1945">
        <v>0</v>
      </c>
      <c r="D1945">
        <v>6770</v>
      </c>
      <c r="E1945">
        <v>-1.21</v>
      </c>
      <c r="F1945">
        <v>13.89</v>
      </c>
      <c r="G1945">
        <v>3295</v>
      </c>
      <c r="H1945">
        <v>4224</v>
      </c>
      <c r="I1945">
        <v>4488</v>
      </c>
      <c r="J1945">
        <v>51.33</v>
      </c>
      <c r="K1945">
        <v>37.61</v>
      </c>
      <c r="L1945">
        <v>33.7</v>
      </c>
      <c r="M1945">
        <v>5.42</v>
      </c>
      <c r="N1945" t="b">
        <v>1</v>
      </c>
      <c r="O1945">
        <v>252</v>
      </c>
      <c r="P1945" t="s">
        <v>1945</v>
      </c>
      <c r="Q1945" t="s">
        <v>3785</v>
      </c>
      <c r="R1945">
        <v>-11.5069483238204</v>
      </c>
      <c r="S1945">
        <v>1861</v>
      </c>
      <c r="T1945">
        <v>829479</v>
      </c>
      <c r="U1945" t="s">
        <v>5917</v>
      </c>
      <c r="V1945">
        <v>35.32</v>
      </c>
      <c r="W1945" t="s">
        <v>8113</v>
      </c>
      <c r="X1945" t="s">
        <v>10003</v>
      </c>
      <c r="Y1945">
        <v>4537</v>
      </c>
      <c r="Z1945">
        <v>117</v>
      </c>
      <c r="AA1945">
        <v>1000000</v>
      </c>
      <c r="AB1945">
        <v>2.29</v>
      </c>
    </row>
    <row r="1946" spans="1:28">
      <c r="A1946" s="2">
        <f>HYPERLINK("https://finance.naver.com/item/coinfo.nhn?code=115530", "A115530")</f>
        <v>0</v>
      </c>
      <c r="B1946">
        <f>HYPERLINK("http://comp.fnguide.com/SVO2/ASP/SVD_Consensus.asp?pGB=1&amp;gicode=A115530&amp;cID=&amp;MenuYn=Y&amp;ReportGB=&amp;NewMenuID=108&amp;stkGb=701", "씨엔플러스")</f>
        <v>0</v>
      </c>
      <c r="C1946">
        <v>0</v>
      </c>
      <c r="D1946">
        <v>839</v>
      </c>
      <c r="E1946">
        <v>0</v>
      </c>
      <c r="G1946">
        <v>0</v>
      </c>
      <c r="H1946">
        <v>124</v>
      </c>
      <c r="I1946">
        <v>159</v>
      </c>
      <c r="J1946">
        <v>100</v>
      </c>
      <c r="K1946">
        <v>85.20999999999999</v>
      </c>
      <c r="L1946">
        <v>80.98999999999999</v>
      </c>
      <c r="M1946">
        <v>0</v>
      </c>
      <c r="N1946" t="b">
        <v>0</v>
      </c>
      <c r="O1946">
        <v>-141</v>
      </c>
      <c r="P1946" t="s">
        <v>1946</v>
      </c>
      <c r="Q1946" t="s">
        <v>2276</v>
      </c>
      <c r="R1946">
        <v>0</v>
      </c>
      <c r="S1946">
        <v>520</v>
      </c>
      <c r="T1946">
        <v>0</v>
      </c>
      <c r="U1946" t="s">
        <v>5918</v>
      </c>
      <c r="V1946">
        <v>28.1</v>
      </c>
      <c r="W1946" t="s">
        <v>8114</v>
      </c>
      <c r="X1946" t="s">
        <v>968</v>
      </c>
      <c r="Y1946">
        <v>196</v>
      </c>
      <c r="Z1946">
        <v>-11</v>
      </c>
    </row>
    <row r="1947" spans="1:28">
      <c r="A1947" s="2">
        <f>HYPERLINK("https://finance.naver.com/item/coinfo.nhn?code=297090", "A297090")</f>
        <v>0</v>
      </c>
      <c r="B1947">
        <f>HYPERLINK("http://comp.fnguide.com/SVO2/ASP/SVD_Consensus.asp?pGB=1&amp;gicode=A297090&amp;cID=&amp;MenuYn=Y&amp;ReportGB=&amp;NewMenuID=108&amp;stkGb=701", "씨에스베어링")</f>
        <v>0</v>
      </c>
      <c r="C1947">
        <v>0</v>
      </c>
      <c r="D1947">
        <v>29000</v>
      </c>
      <c r="E1947">
        <v>16.08</v>
      </c>
      <c r="F1947">
        <v>11.35</v>
      </c>
      <c r="G1947">
        <v>8569</v>
      </c>
      <c r="H1947">
        <v>6255</v>
      </c>
      <c r="I1947">
        <v>5596</v>
      </c>
      <c r="J1947">
        <v>70.45</v>
      </c>
      <c r="K1947">
        <v>78.43000000000001</v>
      </c>
      <c r="L1947">
        <v>80.7</v>
      </c>
      <c r="M1947">
        <v>14.47</v>
      </c>
      <c r="N1947" t="b">
        <v>1</v>
      </c>
      <c r="O1947">
        <v>748</v>
      </c>
      <c r="P1947" t="s">
        <v>1947</v>
      </c>
      <c r="Q1947" t="s">
        <v>3786</v>
      </c>
      <c r="R1947">
        <v>0.7059928523945436</v>
      </c>
      <c r="S1947">
        <v>2778</v>
      </c>
      <c r="T1947">
        <v>172615</v>
      </c>
      <c r="U1947" t="s">
        <v>5919</v>
      </c>
      <c r="V1947">
        <v>49.56</v>
      </c>
      <c r="W1947" t="s">
        <v>8115</v>
      </c>
      <c r="X1947" t="s">
        <v>10004</v>
      </c>
      <c r="Y1947">
        <v>1026</v>
      </c>
      <c r="Z1947">
        <v>103</v>
      </c>
    </row>
    <row r="1948" spans="1:28">
      <c r="A1948" s="2">
        <f>HYPERLINK("https://finance.naver.com/item/coinfo.nhn?code=222080", "A222080")</f>
        <v>0</v>
      </c>
      <c r="B1948">
        <f>HYPERLINK("http://comp.fnguide.com/SVO2/ASP/SVD_Consensus.asp?pGB=1&amp;gicode=A222080&amp;cID=&amp;MenuYn=Y&amp;ReportGB=&amp;NewMenuID=108&amp;stkGb=701", "씨아이에스")</f>
        <v>0</v>
      </c>
      <c r="C1948">
        <v>0</v>
      </c>
      <c r="D1948">
        <v>6610</v>
      </c>
      <c r="E1948">
        <v>0.03</v>
      </c>
      <c r="F1948">
        <v>12.57</v>
      </c>
      <c r="G1948">
        <v>1388</v>
      </c>
      <c r="H1948">
        <v>1074</v>
      </c>
      <c r="I1948">
        <v>984</v>
      </c>
      <c r="J1948">
        <v>79</v>
      </c>
      <c r="K1948">
        <v>83.76000000000001</v>
      </c>
      <c r="L1948">
        <v>85.12</v>
      </c>
      <c r="M1948">
        <v>12.8</v>
      </c>
      <c r="N1948" t="b">
        <v>1</v>
      </c>
      <c r="O1948">
        <v>209</v>
      </c>
      <c r="P1948" t="s">
        <v>1948</v>
      </c>
      <c r="Q1948" t="s">
        <v>3787</v>
      </c>
      <c r="R1948">
        <v>415.3000000000001</v>
      </c>
      <c r="S1948">
        <v>3800</v>
      </c>
      <c r="T1948">
        <v>750452</v>
      </c>
      <c r="U1948" t="s">
        <v>5920</v>
      </c>
      <c r="V1948">
        <v>17.59</v>
      </c>
      <c r="W1948" t="s">
        <v>8116</v>
      </c>
      <c r="X1948" t="s">
        <v>10005</v>
      </c>
      <c r="Y1948">
        <v>1006</v>
      </c>
      <c r="Z1948">
        <v>154</v>
      </c>
    </row>
    <row r="1949" spans="1:28">
      <c r="A1949" s="2">
        <f>HYPERLINK("https://finance.naver.com/item/coinfo.nhn?code=066790", "A066790")</f>
        <v>0</v>
      </c>
      <c r="B1949">
        <f>HYPERLINK("http://comp.fnguide.com/SVO2/ASP/SVD_Consensus.asp?pGB=1&amp;gicode=A066790&amp;cID=&amp;MenuYn=Y&amp;ReportGB=&amp;NewMenuID=108&amp;stkGb=701", "씨씨에스")</f>
        <v>0</v>
      </c>
      <c r="C1949">
        <v>0</v>
      </c>
      <c r="D1949">
        <v>846</v>
      </c>
      <c r="E1949">
        <v>0</v>
      </c>
      <c r="G1949">
        <v>0</v>
      </c>
      <c r="H1949">
        <v>354</v>
      </c>
      <c r="I1949">
        <v>455</v>
      </c>
      <c r="J1949">
        <v>100</v>
      </c>
      <c r="K1949">
        <v>58.14</v>
      </c>
      <c r="L1949">
        <v>46.21</v>
      </c>
      <c r="M1949">
        <v>0</v>
      </c>
      <c r="N1949" t="b">
        <v>0</v>
      </c>
      <c r="O1949">
        <v>-4</v>
      </c>
      <c r="P1949" t="s">
        <v>1949</v>
      </c>
      <c r="Q1949" t="s">
        <v>2276</v>
      </c>
      <c r="R1949">
        <v>0</v>
      </c>
      <c r="S1949">
        <v>389</v>
      </c>
      <c r="T1949">
        <v>0</v>
      </c>
      <c r="U1949" t="s">
        <v>5921</v>
      </c>
      <c r="V1949">
        <v>18.66</v>
      </c>
      <c r="W1949" t="s">
        <v>8117</v>
      </c>
      <c r="X1949" t="s">
        <v>968</v>
      </c>
      <c r="Y1949">
        <v>203</v>
      </c>
      <c r="Z1949">
        <v>4</v>
      </c>
      <c r="AA1949">
        <v>1878</v>
      </c>
    </row>
    <row r="1950" spans="1:28">
      <c r="A1950" s="2">
        <f>HYPERLINK("https://finance.naver.com/item/coinfo.nhn?code=050890", "A050890")</f>
        <v>0</v>
      </c>
      <c r="B1950">
        <f>HYPERLINK("http://comp.fnguide.com/SVO2/ASP/SVD_Consensus.asp?pGB=1&amp;gicode=A050890&amp;cID=&amp;MenuYn=Y&amp;ReportGB=&amp;NewMenuID=108&amp;stkGb=701", "쏠리드")</f>
        <v>0</v>
      </c>
      <c r="C1950">
        <v>0</v>
      </c>
      <c r="D1950">
        <v>10600</v>
      </c>
      <c r="E1950">
        <v>-1.24</v>
      </c>
      <c r="F1950">
        <v>49.13</v>
      </c>
      <c r="G1950">
        <v>1676</v>
      </c>
      <c r="H1950">
        <v>2091</v>
      </c>
      <c r="I1950">
        <v>2209</v>
      </c>
      <c r="J1950">
        <v>84.19</v>
      </c>
      <c r="K1950">
        <v>80.28</v>
      </c>
      <c r="L1950">
        <v>79.16</v>
      </c>
      <c r="M1950">
        <v>5.65</v>
      </c>
      <c r="N1950" t="b">
        <v>1</v>
      </c>
      <c r="O1950">
        <v>110</v>
      </c>
      <c r="P1950" t="s">
        <v>1950</v>
      </c>
      <c r="Q1950" t="s">
        <v>3788</v>
      </c>
      <c r="R1950">
        <v>-39.5</v>
      </c>
      <c r="S1950">
        <v>5532</v>
      </c>
      <c r="T1950">
        <v>1130312</v>
      </c>
      <c r="U1950" t="s">
        <v>5922</v>
      </c>
      <c r="V1950">
        <v>11.7</v>
      </c>
      <c r="W1950" t="s">
        <v>8118</v>
      </c>
      <c r="X1950" t="s">
        <v>10006</v>
      </c>
      <c r="Y1950">
        <v>2293</v>
      </c>
      <c r="Z1950">
        <v>-35</v>
      </c>
      <c r="AA1950">
        <v>368284</v>
      </c>
    </row>
    <row r="1951" spans="1:28">
      <c r="A1951" s="2">
        <f>HYPERLINK("https://finance.naver.com/item/coinfo.nhn?code=099320", "A099320")</f>
        <v>0</v>
      </c>
      <c r="B1951">
        <f>HYPERLINK("http://comp.fnguide.com/SVO2/ASP/SVD_Consensus.asp?pGB=1&amp;gicode=A099320&amp;cID=&amp;MenuYn=Y&amp;ReportGB=&amp;NewMenuID=108&amp;stkGb=701", "쎄트렉아이")</f>
        <v>0</v>
      </c>
      <c r="C1951">
        <v>0</v>
      </c>
      <c r="D1951">
        <v>29850</v>
      </c>
      <c r="E1951">
        <v>0.99</v>
      </c>
      <c r="F1951">
        <v>19.77</v>
      </c>
      <c r="G1951">
        <v>11636</v>
      </c>
      <c r="H1951">
        <v>9999</v>
      </c>
      <c r="I1951">
        <v>9533</v>
      </c>
      <c r="J1951">
        <v>61.02</v>
      </c>
      <c r="K1951">
        <v>66.5</v>
      </c>
      <c r="L1951">
        <v>68.06</v>
      </c>
      <c r="M1951">
        <v>10.41</v>
      </c>
      <c r="N1951" t="b">
        <v>1</v>
      </c>
      <c r="O1951">
        <v>984</v>
      </c>
      <c r="P1951" t="s">
        <v>1951</v>
      </c>
      <c r="Q1951" t="s">
        <v>3789</v>
      </c>
      <c r="R1951">
        <v>19.88721387672898</v>
      </c>
      <c r="S1951">
        <v>2170</v>
      </c>
      <c r="T1951">
        <v>178725</v>
      </c>
      <c r="U1951" t="s">
        <v>5923</v>
      </c>
      <c r="V1951">
        <v>24.04</v>
      </c>
      <c r="W1951" t="s">
        <v>8119</v>
      </c>
      <c r="X1951" t="s">
        <v>10007</v>
      </c>
      <c r="Y1951">
        <v>702</v>
      </c>
      <c r="Z1951">
        <v>92</v>
      </c>
      <c r="AA1951">
        <v>109374</v>
      </c>
      <c r="AB1951">
        <v>1.08</v>
      </c>
    </row>
    <row r="1952" spans="1:28">
      <c r="A1952" s="2">
        <f>HYPERLINK("https://finance.naver.com/item/coinfo.nhn?code=136510", "A136510")</f>
        <v>0</v>
      </c>
      <c r="B1952">
        <f>HYPERLINK("http://comp.fnguide.com/SVO2/ASP/SVD_Consensus.asp?pGB=1&amp;gicode=A136510&amp;cID=&amp;MenuYn=Y&amp;ReportGB=&amp;NewMenuID=108&amp;stkGb=701", "쎄미시스코")</f>
        <v>0</v>
      </c>
      <c r="C1952">
        <v>0</v>
      </c>
      <c r="D1952">
        <v>7720</v>
      </c>
      <c r="G1952">
        <v>1601</v>
      </c>
      <c r="H1952">
        <v>3564</v>
      </c>
      <c r="I1952">
        <v>4124</v>
      </c>
      <c r="J1952">
        <v>79.26000000000001</v>
      </c>
      <c r="K1952">
        <v>53.83</v>
      </c>
      <c r="L1952">
        <v>46.58</v>
      </c>
      <c r="M1952">
        <v>2.62</v>
      </c>
      <c r="N1952" t="b">
        <v>0</v>
      </c>
      <c r="O1952">
        <v>-1060</v>
      </c>
      <c r="P1952" t="s">
        <v>1952</v>
      </c>
      <c r="Q1952" t="s">
        <v>3790</v>
      </c>
      <c r="R1952">
        <v>66.3748710531689</v>
      </c>
      <c r="S1952">
        <v>435</v>
      </c>
      <c r="T1952">
        <v>36359</v>
      </c>
      <c r="U1952" t="s">
        <v>5924</v>
      </c>
      <c r="V1952">
        <v>37.88</v>
      </c>
      <c r="W1952" t="s">
        <v>8120</v>
      </c>
      <c r="X1952" t="s">
        <v>10008</v>
      </c>
      <c r="Y1952">
        <v>171</v>
      </c>
      <c r="Z1952">
        <v>-78</v>
      </c>
      <c r="AA1952">
        <v>256054</v>
      </c>
    </row>
    <row r="1953" spans="1:28">
      <c r="A1953" s="2">
        <f>HYPERLINK("https://finance.naver.com/item/coinfo.nhn?code=222420", "A222420")</f>
        <v>0</v>
      </c>
      <c r="B1953">
        <f>HYPERLINK("http://comp.fnguide.com/SVO2/ASP/SVD_Consensus.asp?pGB=1&amp;gicode=A222420&amp;cID=&amp;MenuYn=Y&amp;ReportGB=&amp;NewMenuID=108&amp;stkGb=701", "쎄노텍")</f>
        <v>0</v>
      </c>
      <c r="C1953">
        <v>0</v>
      </c>
      <c r="D1953">
        <v>2020</v>
      </c>
      <c r="G1953">
        <v>115</v>
      </c>
      <c r="H1953">
        <v>568</v>
      </c>
      <c r="I1953">
        <v>697</v>
      </c>
      <c r="J1953">
        <v>94.29000000000001</v>
      </c>
      <c r="K1953">
        <v>71.87</v>
      </c>
      <c r="L1953">
        <v>65.48</v>
      </c>
      <c r="M1953">
        <v>1.06</v>
      </c>
      <c r="N1953" t="b">
        <v>0</v>
      </c>
      <c r="O1953">
        <v>-54</v>
      </c>
      <c r="P1953" t="s">
        <v>1953</v>
      </c>
      <c r="Q1953" t="s">
        <v>3791</v>
      </c>
      <c r="R1953">
        <v>-35.80412785856088</v>
      </c>
      <c r="S1953">
        <v>811</v>
      </c>
      <c r="T1953">
        <v>261282</v>
      </c>
      <c r="U1953" t="s">
        <v>5925</v>
      </c>
      <c r="V1953">
        <v>47.56</v>
      </c>
      <c r="W1953" t="s">
        <v>8121</v>
      </c>
      <c r="X1953" t="s">
        <v>10009</v>
      </c>
      <c r="Y1953">
        <v>282</v>
      </c>
      <c r="Z1953">
        <v>-1</v>
      </c>
      <c r="AA1953">
        <v>3</v>
      </c>
    </row>
    <row r="1954" spans="1:28">
      <c r="A1954" s="2">
        <f>HYPERLINK("https://finance.naver.com/item/coinfo.nhn?code=208640", "A208640")</f>
        <v>0</v>
      </c>
      <c r="B1954">
        <f>HYPERLINK("http://comp.fnguide.com/SVO2/ASP/SVD_Consensus.asp?pGB=1&amp;gicode=A208640&amp;cID=&amp;MenuYn=Y&amp;ReportGB=&amp;NewMenuID=108&amp;stkGb=701", "썸에이지")</f>
        <v>0</v>
      </c>
      <c r="C1954">
        <v>0</v>
      </c>
      <c r="D1954">
        <v>1455</v>
      </c>
      <c r="E1954">
        <v>0</v>
      </c>
      <c r="G1954">
        <v>0</v>
      </c>
      <c r="H1954">
        <v>114</v>
      </c>
      <c r="I1954">
        <v>146</v>
      </c>
      <c r="J1954">
        <v>100</v>
      </c>
      <c r="K1954">
        <v>92.17</v>
      </c>
      <c r="L1954">
        <v>89.93000000000001</v>
      </c>
      <c r="M1954">
        <v>0</v>
      </c>
      <c r="N1954" t="b">
        <v>0</v>
      </c>
      <c r="O1954">
        <v>-150</v>
      </c>
      <c r="P1954" t="s">
        <v>1954</v>
      </c>
      <c r="Q1954" t="s">
        <v>2276</v>
      </c>
      <c r="R1954">
        <v>0</v>
      </c>
      <c r="S1954">
        <v>1964</v>
      </c>
      <c r="T1954">
        <v>1826359</v>
      </c>
      <c r="U1954" t="s">
        <v>5926</v>
      </c>
      <c r="V1954">
        <v>39.12</v>
      </c>
      <c r="W1954" t="s">
        <v>8122</v>
      </c>
      <c r="X1954" t="s">
        <v>968</v>
      </c>
      <c r="Y1954">
        <v>36</v>
      </c>
      <c r="Z1954">
        <v>-133</v>
      </c>
    </row>
    <row r="1955" spans="1:28">
      <c r="A1955" s="2">
        <f>HYPERLINK("https://finance.naver.com/item/coinfo.nhn?code=217330", "A217330")</f>
        <v>0</v>
      </c>
      <c r="B1955">
        <f>HYPERLINK("http://comp.fnguide.com/SVO2/ASP/SVD_Consensus.asp?pGB=1&amp;gicode=A217330&amp;cID=&amp;MenuYn=Y&amp;ReportGB=&amp;NewMenuID=108&amp;stkGb=701", "싸이토젠")</f>
        <v>0</v>
      </c>
      <c r="C1955">
        <v>0</v>
      </c>
      <c r="D1955">
        <v>33900</v>
      </c>
      <c r="E1955">
        <v>0</v>
      </c>
      <c r="G1955">
        <v>0</v>
      </c>
      <c r="H1955">
        <v>1909</v>
      </c>
      <c r="I1955">
        <v>2453</v>
      </c>
      <c r="J1955">
        <v>100</v>
      </c>
      <c r="K1955">
        <v>94.37</v>
      </c>
      <c r="L1955">
        <v>92.76000000000001</v>
      </c>
      <c r="M1955">
        <v>0</v>
      </c>
      <c r="N1955" t="b">
        <v>0</v>
      </c>
      <c r="O1955">
        <v>-735</v>
      </c>
      <c r="P1955" t="s">
        <v>1955</v>
      </c>
      <c r="Q1955" t="s">
        <v>2276</v>
      </c>
      <c r="R1955">
        <v>0</v>
      </c>
      <c r="S1955">
        <v>1910</v>
      </c>
      <c r="T1955">
        <v>42706</v>
      </c>
      <c r="U1955" t="s">
        <v>5927</v>
      </c>
      <c r="V1955">
        <v>20.49</v>
      </c>
      <c r="W1955" t="s">
        <v>8123</v>
      </c>
      <c r="X1955" t="s">
        <v>968</v>
      </c>
      <c r="Y1955">
        <v>8</v>
      </c>
      <c r="Z1955">
        <v>-45</v>
      </c>
    </row>
    <row r="1956" spans="1:28">
      <c r="A1956" s="2">
        <f>HYPERLINK("https://finance.naver.com/item/coinfo.nhn?code=160980", "A160980")</f>
        <v>0</v>
      </c>
      <c r="B1956">
        <f>HYPERLINK("http://comp.fnguide.com/SVO2/ASP/SVD_Consensus.asp?pGB=1&amp;gicode=A160980&amp;cID=&amp;MenuYn=Y&amp;ReportGB=&amp;NewMenuID=108&amp;stkGb=701", "싸이맥스")</f>
        <v>0</v>
      </c>
      <c r="C1956">
        <v>0</v>
      </c>
      <c r="D1956">
        <v>16300</v>
      </c>
      <c r="E1956">
        <v>0.33</v>
      </c>
      <c r="F1956">
        <v>27.44</v>
      </c>
      <c r="G1956">
        <v>12328</v>
      </c>
      <c r="H1956">
        <v>10714</v>
      </c>
      <c r="I1956">
        <v>10255</v>
      </c>
      <c r="J1956">
        <v>24.37</v>
      </c>
      <c r="K1956">
        <v>34.27</v>
      </c>
      <c r="L1956">
        <v>37.09</v>
      </c>
      <c r="M1956">
        <v>10.19</v>
      </c>
      <c r="N1956" t="b">
        <v>1</v>
      </c>
      <c r="O1956">
        <v>401</v>
      </c>
      <c r="P1956" t="s">
        <v>1956</v>
      </c>
      <c r="Q1956" t="s">
        <v>3792</v>
      </c>
      <c r="R1956">
        <v>82.20211001658173</v>
      </c>
      <c r="S1956">
        <v>1781</v>
      </c>
      <c r="T1956">
        <v>231103</v>
      </c>
      <c r="U1956" t="s">
        <v>5928</v>
      </c>
      <c r="V1956">
        <v>40.99</v>
      </c>
      <c r="W1956" t="s">
        <v>8124</v>
      </c>
      <c r="X1956" t="s">
        <v>10010</v>
      </c>
      <c r="Y1956">
        <v>835</v>
      </c>
      <c r="Z1956">
        <v>20</v>
      </c>
      <c r="AA1956">
        <v>252610</v>
      </c>
      <c r="AB1956">
        <v>2.27</v>
      </c>
    </row>
    <row r="1957" spans="1:28">
      <c r="A1957" s="2">
        <f>HYPERLINK("https://finance.naver.com/item/coinfo.nhn?code=036710", "A036710")</f>
        <v>0</v>
      </c>
      <c r="B1957">
        <f>HYPERLINK("http://comp.fnguide.com/SVO2/ASP/SVD_Consensus.asp?pGB=1&amp;gicode=A036710&amp;cID=&amp;MenuYn=Y&amp;ReportGB=&amp;NewMenuID=108&amp;stkGb=701", "심텍홀딩스")</f>
        <v>0</v>
      </c>
      <c r="C1957">
        <v>0</v>
      </c>
      <c r="D1957">
        <v>2550</v>
      </c>
      <c r="G1957">
        <v>145</v>
      </c>
      <c r="H1957">
        <v>1858</v>
      </c>
      <c r="I1957">
        <v>2346</v>
      </c>
      <c r="J1957">
        <v>94.31999999999999</v>
      </c>
      <c r="K1957">
        <v>27.14</v>
      </c>
      <c r="L1957">
        <v>8</v>
      </c>
      <c r="M1957">
        <v>0.39</v>
      </c>
      <c r="N1957" t="b">
        <v>0</v>
      </c>
      <c r="O1957">
        <v>-378</v>
      </c>
      <c r="P1957" t="s">
        <v>1957</v>
      </c>
      <c r="Q1957" t="s">
        <v>3793</v>
      </c>
      <c r="R1957">
        <v>-84.28968722239047</v>
      </c>
      <c r="S1957">
        <v>1037</v>
      </c>
      <c r="T1957">
        <v>471257</v>
      </c>
      <c r="U1957" t="s">
        <v>5929</v>
      </c>
      <c r="V1957">
        <v>47.86</v>
      </c>
      <c r="W1957" t="s">
        <v>8125</v>
      </c>
      <c r="X1957" t="s">
        <v>10011</v>
      </c>
      <c r="Y1957">
        <v>10003</v>
      </c>
      <c r="Z1957">
        <v>-171</v>
      </c>
      <c r="AA1957">
        <v>2013455</v>
      </c>
      <c r="AB1957">
        <v>0.61</v>
      </c>
    </row>
    <row r="1958" spans="1:28">
      <c r="A1958" s="2">
        <f>HYPERLINK("https://finance.naver.com/item/coinfo.nhn?code=222800", "A222800")</f>
        <v>0</v>
      </c>
      <c r="B1958">
        <f>HYPERLINK("http://comp.fnguide.com/SVO2/ASP/SVD_Consensus.asp?pGB=1&amp;gicode=A222800&amp;cID=&amp;MenuYn=Y&amp;ReportGB=&amp;NewMenuID=108&amp;stkGb=701", "심텍")</f>
        <v>0</v>
      </c>
      <c r="C1958">
        <v>0</v>
      </c>
      <c r="D1958">
        <v>19200</v>
      </c>
      <c r="G1958">
        <v>1379</v>
      </c>
      <c r="H1958">
        <v>3616</v>
      </c>
      <c r="I1958">
        <v>4254</v>
      </c>
      <c r="J1958">
        <v>92.81999999999999</v>
      </c>
      <c r="K1958">
        <v>81.17</v>
      </c>
      <c r="L1958">
        <v>77.84</v>
      </c>
      <c r="M1958">
        <v>2.15</v>
      </c>
      <c r="N1958" t="b">
        <v>0</v>
      </c>
      <c r="O1958">
        <v>-1426</v>
      </c>
      <c r="P1958" t="s">
        <v>1958</v>
      </c>
      <c r="Q1958" t="s">
        <v>3794</v>
      </c>
      <c r="R1958">
        <v>-27.36465077774842</v>
      </c>
      <c r="S1958">
        <v>6116</v>
      </c>
      <c r="T1958">
        <v>788998</v>
      </c>
      <c r="U1958" t="s">
        <v>5930</v>
      </c>
      <c r="V1958">
        <v>35.66</v>
      </c>
      <c r="W1958" t="s">
        <v>8126</v>
      </c>
      <c r="X1958" t="s">
        <v>10012</v>
      </c>
      <c r="Y1958">
        <v>10002</v>
      </c>
      <c r="Z1958">
        <v>-179</v>
      </c>
      <c r="AA1958">
        <v>8266</v>
      </c>
      <c r="AB1958">
        <v>1.23</v>
      </c>
    </row>
    <row r="1959" spans="1:28">
      <c r="A1959" s="2">
        <f>HYPERLINK("https://finance.naver.com/item/coinfo.nhn?code=108320", "A108320")</f>
        <v>0</v>
      </c>
      <c r="B1959">
        <f>HYPERLINK("http://comp.fnguide.com/SVO2/ASP/SVD_Consensus.asp?pGB=1&amp;gicode=A108320&amp;cID=&amp;MenuYn=Y&amp;ReportGB=&amp;NewMenuID=108&amp;stkGb=701", "실리콘웍스")</f>
        <v>0</v>
      </c>
      <c r="C1959">
        <v>0</v>
      </c>
      <c r="D1959">
        <v>51600</v>
      </c>
      <c r="E1959">
        <v>0.91</v>
      </c>
      <c r="F1959">
        <v>16.8</v>
      </c>
      <c r="G1959">
        <v>36331</v>
      </c>
      <c r="H1959">
        <v>31946</v>
      </c>
      <c r="I1959">
        <v>30696</v>
      </c>
      <c r="J1959">
        <v>29.59</v>
      </c>
      <c r="K1959">
        <v>38.09</v>
      </c>
      <c r="L1959">
        <v>40.51</v>
      </c>
      <c r="M1959">
        <v>9.970000000000001</v>
      </c>
      <c r="N1959" t="b">
        <v>1</v>
      </c>
      <c r="O1959">
        <v>2370</v>
      </c>
      <c r="P1959" t="s">
        <v>1959</v>
      </c>
      <c r="Q1959" t="s">
        <v>3795</v>
      </c>
      <c r="R1959">
        <v>18.37959698354408</v>
      </c>
      <c r="S1959">
        <v>8392</v>
      </c>
      <c r="T1959">
        <v>464102</v>
      </c>
      <c r="U1959" t="s">
        <v>5931</v>
      </c>
      <c r="V1959">
        <v>33.22</v>
      </c>
      <c r="W1959" t="s">
        <v>8127</v>
      </c>
      <c r="X1959" t="s">
        <v>10013</v>
      </c>
      <c r="Y1959">
        <v>8671</v>
      </c>
      <c r="Z1959">
        <v>473</v>
      </c>
      <c r="AB1959">
        <v>2.09</v>
      </c>
    </row>
    <row r="1960" spans="1:28">
      <c r="A1960" s="2">
        <f>HYPERLINK("https://finance.naver.com/item/coinfo.nhn?code=243840", "A243840")</f>
        <v>0</v>
      </c>
      <c r="B1960">
        <f>HYPERLINK("http://comp.fnguide.com/SVO2/ASP/SVD_Consensus.asp?pGB=1&amp;gicode=A243840&amp;cID=&amp;MenuYn=Y&amp;ReportGB=&amp;NewMenuID=108&amp;stkGb=701", "신흥에스이씨")</f>
        <v>0</v>
      </c>
      <c r="C1960">
        <v>0</v>
      </c>
      <c r="D1960">
        <v>45100</v>
      </c>
      <c r="E1960">
        <v>0.23</v>
      </c>
      <c r="F1960">
        <v>15.72</v>
      </c>
      <c r="G1960">
        <v>26440</v>
      </c>
      <c r="H1960">
        <v>19304</v>
      </c>
      <c r="I1960">
        <v>17271</v>
      </c>
      <c r="J1960">
        <v>41.37</v>
      </c>
      <c r="K1960">
        <v>57.2</v>
      </c>
      <c r="L1960">
        <v>61.71</v>
      </c>
      <c r="M1960">
        <v>14.47</v>
      </c>
      <c r="N1960" t="b">
        <v>1</v>
      </c>
      <c r="O1960">
        <v>2439</v>
      </c>
      <c r="P1960" t="s">
        <v>1960</v>
      </c>
      <c r="Q1960" t="s">
        <v>3796</v>
      </c>
      <c r="R1960">
        <v>67.92096437436423</v>
      </c>
      <c r="S1960">
        <v>3143</v>
      </c>
      <c r="T1960">
        <v>88580</v>
      </c>
      <c r="U1960" t="s">
        <v>5932</v>
      </c>
      <c r="V1960">
        <v>59.67</v>
      </c>
      <c r="W1960" t="s">
        <v>8128</v>
      </c>
      <c r="X1960" t="s">
        <v>10014</v>
      </c>
      <c r="Y1960">
        <v>2395</v>
      </c>
      <c r="Z1960">
        <v>202</v>
      </c>
      <c r="AB1960">
        <v>0.73</v>
      </c>
    </row>
    <row r="1961" spans="1:28">
      <c r="A1961" s="2">
        <f>HYPERLINK("https://finance.naver.com/item/coinfo.nhn?code=333050", "A333050")</f>
        <v>0</v>
      </c>
      <c r="B1961">
        <f>HYPERLINK("http://comp.fnguide.com/SVO2/ASP/SVD_Consensus.asp?pGB=1&amp;gicode=A333050&amp;cID=&amp;MenuYn=Y&amp;ReportGB=&amp;NewMenuID=108&amp;stkGb=701", "신한제6호스팩")</f>
        <v>0</v>
      </c>
      <c r="C1961">
        <v>0</v>
      </c>
      <c r="D1961">
        <v>2015</v>
      </c>
      <c r="E1961">
        <v>0</v>
      </c>
      <c r="G1961">
        <v>0</v>
      </c>
      <c r="H1961">
        <v>1091</v>
      </c>
      <c r="I1961">
        <v>1402</v>
      </c>
      <c r="J1961">
        <v>100</v>
      </c>
      <c r="K1961">
        <v>45.84</v>
      </c>
      <c r="L1961">
        <v>30.41</v>
      </c>
      <c r="M1961">
        <v>0</v>
      </c>
      <c r="N1961" t="b">
        <v>0</v>
      </c>
      <c r="O1961">
        <v>-80</v>
      </c>
      <c r="P1961" t="s">
        <v>1961</v>
      </c>
      <c r="Q1961" t="s">
        <v>3291</v>
      </c>
      <c r="R1961">
        <v>0</v>
      </c>
      <c r="S1961">
        <v>101</v>
      </c>
      <c r="T1961">
        <v>10096</v>
      </c>
      <c r="U1961" t="s">
        <v>5933</v>
      </c>
      <c r="V1961">
        <v>16.97</v>
      </c>
      <c r="W1961" t="s">
        <v>968</v>
      </c>
      <c r="X1961" t="s">
        <v>968</v>
      </c>
      <c r="Y1961">
        <v>0</v>
      </c>
      <c r="Z1961">
        <v>-2</v>
      </c>
    </row>
    <row r="1962" spans="1:28">
      <c r="A1962" s="2">
        <f>HYPERLINK("https://finance.naver.com/item/coinfo.nhn?code=323230", "A323230")</f>
        <v>0</v>
      </c>
      <c r="B1962">
        <f>HYPERLINK("http://comp.fnguide.com/SVO2/ASP/SVD_Consensus.asp?pGB=1&amp;gicode=A323230&amp;cID=&amp;MenuYn=Y&amp;ReportGB=&amp;NewMenuID=108&amp;stkGb=701", "신한제5호스팩")</f>
        <v>0</v>
      </c>
      <c r="C1962">
        <v>0</v>
      </c>
      <c r="D1962">
        <v>2005</v>
      </c>
      <c r="E1962">
        <v>0</v>
      </c>
      <c r="G1962">
        <v>0</v>
      </c>
      <c r="H1962">
        <v>1185</v>
      </c>
      <c r="I1962">
        <v>1523</v>
      </c>
      <c r="J1962">
        <v>100</v>
      </c>
      <c r="K1962">
        <v>40.9</v>
      </c>
      <c r="L1962">
        <v>24.06</v>
      </c>
      <c r="M1962">
        <v>0</v>
      </c>
      <c r="N1962" t="b">
        <v>0</v>
      </c>
      <c r="O1962">
        <v>-5</v>
      </c>
      <c r="P1962" t="s">
        <v>1186</v>
      </c>
      <c r="Q1962" t="s">
        <v>3291</v>
      </c>
      <c r="R1962">
        <v>0</v>
      </c>
      <c r="S1962">
        <v>86</v>
      </c>
      <c r="T1962">
        <v>22557</v>
      </c>
      <c r="U1962" t="s">
        <v>5134</v>
      </c>
      <c r="V1962">
        <v>6.96</v>
      </c>
      <c r="W1962" t="s">
        <v>968</v>
      </c>
      <c r="X1962" t="s">
        <v>968</v>
      </c>
      <c r="Y1962">
        <v>0</v>
      </c>
      <c r="Z1962">
        <v>0</v>
      </c>
    </row>
    <row r="1963" spans="1:28">
      <c r="A1963" s="2">
        <f>HYPERLINK("https://finance.naver.com/item/coinfo.nhn?code=226330", "A226330")</f>
        <v>0</v>
      </c>
      <c r="B1963">
        <f>HYPERLINK("http://comp.fnguide.com/SVO2/ASP/SVD_Consensus.asp?pGB=1&amp;gicode=A226330&amp;cID=&amp;MenuYn=Y&amp;ReportGB=&amp;NewMenuID=108&amp;stkGb=701", "신테카바이오")</f>
        <v>0</v>
      </c>
      <c r="C1963">
        <v>0</v>
      </c>
      <c r="D1963">
        <v>20600</v>
      </c>
      <c r="E1963">
        <v>0</v>
      </c>
      <c r="G1963">
        <v>0</v>
      </c>
      <c r="H1963">
        <v>2073</v>
      </c>
      <c r="I1963">
        <v>2664</v>
      </c>
      <c r="J1963">
        <v>100</v>
      </c>
      <c r="K1963">
        <v>89.94</v>
      </c>
      <c r="L1963">
        <v>87.06999999999999</v>
      </c>
      <c r="M1963">
        <v>0</v>
      </c>
      <c r="N1963" t="b">
        <v>0</v>
      </c>
      <c r="O1963">
        <v>-2199</v>
      </c>
      <c r="P1963" t="s">
        <v>1962</v>
      </c>
      <c r="Q1963" t="s">
        <v>3291</v>
      </c>
      <c r="R1963">
        <v>0</v>
      </c>
      <c r="S1963">
        <v>2753</v>
      </c>
      <c r="T1963">
        <v>644948</v>
      </c>
      <c r="U1963" t="s">
        <v>5934</v>
      </c>
      <c r="V1963">
        <v>26.3</v>
      </c>
      <c r="W1963" t="s">
        <v>8129</v>
      </c>
      <c r="X1963" t="s">
        <v>968</v>
      </c>
      <c r="Y1963">
        <v>5</v>
      </c>
      <c r="Z1963">
        <v>-52</v>
      </c>
    </row>
    <row r="1964" spans="1:28">
      <c r="A1964" s="2">
        <f>HYPERLINK("https://finance.naver.com/item/coinfo.nhn?code=012790", "A012790")</f>
        <v>0</v>
      </c>
      <c r="B1964">
        <f>HYPERLINK("http://comp.fnguide.com/SVO2/ASP/SVD_Consensus.asp?pGB=1&amp;gicode=A012790&amp;cID=&amp;MenuYn=Y&amp;ReportGB=&amp;NewMenuID=108&amp;stkGb=701", "신일제약")</f>
        <v>0</v>
      </c>
      <c r="C1964">
        <v>0</v>
      </c>
      <c r="D1964">
        <v>24150</v>
      </c>
      <c r="E1964">
        <v>-431.27</v>
      </c>
      <c r="F1964">
        <v>10.74</v>
      </c>
      <c r="G1964">
        <v>8829</v>
      </c>
      <c r="H1964">
        <v>9312</v>
      </c>
      <c r="I1964">
        <v>9449</v>
      </c>
      <c r="J1964">
        <v>63.44</v>
      </c>
      <c r="K1964">
        <v>61.44</v>
      </c>
      <c r="L1964">
        <v>60.87</v>
      </c>
      <c r="M1964">
        <v>7.3</v>
      </c>
      <c r="N1964" t="b">
        <v>1</v>
      </c>
      <c r="O1964">
        <v>666</v>
      </c>
      <c r="P1964" t="s">
        <v>1963</v>
      </c>
      <c r="Q1964" t="s">
        <v>3797</v>
      </c>
      <c r="R1964">
        <v>-0.02490323770608649</v>
      </c>
      <c r="S1964">
        <v>2633</v>
      </c>
      <c r="T1964">
        <v>1054210</v>
      </c>
      <c r="U1964" t="s">
        <v>5935</v>
      </c>
      <c r="V1964">
        <v>39.73</v>
      </c>
      <c r="W1964" t="s">
        <v>8130</v>
      </c>
      <c r="X1964" t="s">
        <v>10015</v>
      </c>
      <c r="Y1964">
        <v>606</v>
      </c>
      <c r="Z1964">
        <v>94</v>
      </c>
      <c r="AA1964">
        <v>395798</v>
      </c>
      <c r="AB1964">
        <v>1.52</v>
      </c>
    </row>
    <row r="1965" spans="1:28">
      <c r="A1965" s="2">
        <f>HYPERLINK("https://finance.naver.com/item/coinfo.nhn?code=344050", "A344050")</f>
        <v>0</v>
      </c>
      <c r="B1965">
        <f>HYPERLINK("http://comp.fnguide.com/SVO2/ASP/SVD_Consensus.asp?pGB=1&amp;gicode=A344050&amp;cID=&amp;MenuYn=Y&amp;ReportGB=&amp;NewMenuID=108&amp;stkGb=701", "신영스팩6호")</f>
        <v>0</v>
      </c>
      <c r="C1965">
        <v>0</v>
      </c>
      <c r="D1965">
        <v>2020</v>
      </c>
      <c r="E1965">
        <v>0</v>
      </c>
      <c r="G1965">
        <v>0</v>
      </c>
      <c r="H1965">
        <v>28</v>
      </c>
      <c r="I1965">
        <v>36</v>
      </c>
      <c r="J1965">
        <v>100</v>
      </c>
      <c r="K1965">
        <v>98.62</v>
      </c>
      <c r="L1965">
        <v>98.22</v>
      </c>
      <c r="M1965">
        <v>0</v>
      </c>
      <c r="N1965" t="b">
        <v>0</v>
      </c>
      <c r="O1965">
        <v>-106</v>
      </c>
      <c r="P1965" t="s">
        <v>1964</v>
      </c>
      <c r="Q1965" t="s">
        <v>3798</v>
      </c>
      <c r="R1965">
        <v>-19.88322330794596</v>
      </c>
      <c r="S1965">
        <v>87</v>
      </c>
      <c r="T1965">
        <v>11605</v>
      </c>
      <c r="U1965" t="s">
        <v>5936</v>
      </c>
      <c r="V1965">
        <v>5.44</v>
      </c>
      <c r="W1965" t="s">
        <v>968</v>
      </c>
      <c r="X1965" t="s">
        <v>968</v>
      </c>
      <c r="Y1965">
        <v>0</v>
      </c>
      <c r="Z1965">
        <v>0</v>
      </c>
    </row>
    <row r="1966" spans="1:28">
      <c r="A1966" s="2">
        <f>HYPERLINK("https://finance.naver.com/item/coinfo.nhn?code=323280", "A323280")</f>
        <v>0</v>
      </c>
      <c r="B1966">
        <f>HYPERLINK("http://comp.fnguide.com/SVO2/ASP/SVD_Consensus.asp?pGB=1&amp;gicode=A323280&amp;cID=&amp;MenuYn=Y&amp;ReportGB=&amp;NewMenuID=108&amp;stkGb=701", "신영스팩5호")</f>
        <v>0</v>
      </c>
      <c r="C1966">
        <v>0</v>
      </c>
      <c r="D1966">
        <v>2055</v>
      </c>
      <c r="E1966">
        <v>0</v>
      </c>
      <c r="G1966">
        <v>0</v>
      </c>
      <c r="H1966">
        <v>1183</v>
      </c>
      <c r="I1966">
        <v>1520</v>
      </c>
      <c r="J1966">
        <v>100</v>
      </c>
      <c r="K1966">
        <v>42.44</v>
      </c>
      <c r="L1966">
        <v>26.04</v>
      </c>
      <c r="M1966">
        <v>0</v>
      </c>
      <c r="N1966" t="b">
        <v>0</v>
      </c>
      <c r="O1966">
        <v>-29</v>
      </c>
      <c r="P1966" t="s">
        <v>1965</v>
      </c>
      <c r="Q1966" t="s">
        <v>3798</v>
      </c>
      <c r="R1966">
        <v>-19.88322330794596</v>
      </c>
      <c r="S1966">
        <v>72</v>
      </c>
      <c r="T1966">
        <v>11083</v>
      </c>
      <c r="U1966" t="s">
        <v>5937</v>
      </c>
      <c r="V1966">
        <v>5.57</v>
      </c>
      <c r="W1966" t="s">
        <v>968</v>
      </c>
      <c r="X1966" t="s">
        <v>968</v>
      </c>
      <c r="Y1966">
        <v>0</v>
      </c>
      <c r="Z1966">
        <v>-1</v>
      </c>
    </row>
    <row r="1967" spans="1:28">
      <c r="A1967" s="2">
        <f>HYPERLINK("https://finance.naver.com/item/coinfo.nhn?code=225330", "A225330")</f>
        <v>0</v>
      </c>
      <c r="B1967">
        <f>HYPERLINK("http://comp.fnguide.com/SVO2/ASP/SVD_Consensus.asp?pGB=1&amp;gicode=A225330&amp;cID=&amp;MenuYn=Y&amp;ReportGB=&amp;NewMenuID=108&amp;stkGb=701", "씨엠에스에듀")</f>
        <v>0</v>
      </c>
      <c r="C1967">
        <v>0</v>
      </c>
      <c r="D1967">
        <v>5570</v>
      </c>
      <c r="E1967">
        <v>-1.54</v>
      </c>
      <c r="F1967">
        <v>16.14</v>
      </c>
      <c r="G1967">
        <v>3711</v>
      </c>
      <c r="H1967">
        <v>2729</v>
      </c>
      <c r="I1967">
        <v>2449</v>
      </c>
      <c r="J1967">
        <v>33.38</v>
      </c>
      <c r="K1967">
        <v>51.01</v>
      </c>
      <c r="L1967">
        <v>56.03</v>
      </c>
      <c r="M1967">
        <v>14.24</v>
      </c>
      <c r="N1967" t="b">
        <v>0</v>
      </c>
      <c r="O1967">
        <v>328</v>
      </c>
      <c r="P1967" t="s">
        <v>1966</v>
      </c>
      <c r="Q1967" t="s">
        <v>3799</v>
      </c>
      <c r="R1967">
        <v>-10.48974714526978</v>
      </c>
      <c r="S1967">
        <v>1038</v>
      </c>
      <c r="T1967">
        <v>101849</v>
      </c>
      <c r="U1967" t="s">
        <v>5938</v>
      </c>
      <c r="V1967">
        <v>57</v>
      </c>
      <c r="W1967" t="s">
        <v>8131</v>
      </c>
      <c r="X1967" t="s">
        <v>10016</v>
      </c>
      <c r="Y1967">
        <v>821</v>
      </c>
      <c r="Z1967">
        <v>95</v>
      </c>
      <c r="AB1967">
        <v>8.02</v>
      </c>
    </row>
    <row r="1968" spans="1:28">
      <c r="A1968" s="2">
        <f>HYPERLINK("https://finance.naver.com/item/coinfo.nhn?code=115480", "A115480")</f>
        <v>0</v>
      </c>
      <c r="B1968">
        <f>HYPERLINK("http://comp.fnguide.com/SVO2/ASP/SVD_Consensus.asp?pGB=1&amp;gicode=A115480&amp;cID=&amp;MenuYn=Y&amp;ReportGB=&amp;NewMenuID=108&amp;stkGb=701", "씨유메디칼")</f>
        <v>0</v>
      </c>
      <c r="C1968">
        <v>0</v>
      </c>
      <c r="D1968">
        <v>2930</v>
      </c>
      <c r="E1968">
        <v>0</v>
      </c>
      <c r="G1968">
        <v>325</v>
      </c>
      <c r="H1968">
        <v>1323</v>
      </c>
      <c r="I1968">
        <v>1608</v>
      </c>
      <c r="J1968">
        <v>88.91</v>
      </c>
      <c r="K1968">
        <v>54.84</v>
      </c>
      <c r="L1968">
        <v>45.13</v>
      </c>
      <c r="M1968">
        <v>1.3</v>
      </c>
      <c r="N1968" t="b">
        <v>0</v>
      </c>
      <c r="O1968">
        <v>-159</v>
      </c>
      <c r="P1968" t="s">
        <v>1967</v>
      </c>
      <c r="Q1968" t="s">
        <v>2276</v>
      </c>
      <c r="R1968">
        <v>0</v>
      </c>
      <c r="S1968">
        <v>713</v>
      </c>
      <c r="T1968">
        <v>2025547</v>
      </c>
      <c r="U1968" t="s">
        <v>5939</v>
      </c>
      <c r="V1968">
        <v>12.72</v>
      </c>
      <c r="W1968" t="s">
        <v>8132</v>
      </c>
      <c r="X1968" t="s">
        <v>10017</v>
      </c>
      <c r="Y1968">
        <v>818</v>
      </c>
      <c r="Z1968">
        <v>25</v>
      </c>
      <c r="AA1968">
        <v>100000</v>
      </c>
    </row>
    <row r="1969" spans="1:28">
      <c r="A1969" s="2">
        <f>HYPERLINK("https://finance.naver.com/item/coinfo.nhn?code=096530", "A096530")</f>
        <v>0</v>
      </c>
      <c r="B1969">
        <f>HYPERLINK("http://comp.fnguide.com/SVO2/ASP/SVD_Consensus.asp?pGB=1&amp;gicode=A096530&amp;cID=&amp;MenuYn=Y&amp;ReportGB=&amp;NewMenuID=108&amp;stkGb=701", "씨젠")</f>
        <v>0</v>
      </c>
      <c r="C1969">
        <v>0</v>
      </c>
      <c r="D1969">
        <v>201600</v>
      </c>
      <c r="E1969">
        <v>0.24</v>
      </c>
      <c r="F1969">
        <v>30.15</v>
      </c>
      <c r="G1969">
        <v>9456</v>
      </c>
      <c r="H1969">
        <v>7300</v>
      </c>
      <c r="I1969">
        <v>6685</v>
      </c>
      <c r="J1969">
        <v>95.31</v>
      </c>
      <c r="K1969">
        <v>96.38</v>
      </c>
      <c r="L1969">
        <v>96.68000000000001</v>
      </c>
      <c r="M1969">
        <v>12.84</v>
      </c>
      <c r="N1969" t="b">
        <v>1</v>
      </c>
      <c r="O1969">
        <v>1017</v>
      </c>
      <c r="P1969" t="s">
        <v>1968</v>
      </c>
      <c r="Q1969" t="s">
        <v>3800</v>
      </c>
      <c r="R1969">
        <v>126.0726418063132</v>
      </c>
      <c r="S1969">
        <v>52888</v>
      </c>
      <c r="T1969">
        <v>1582606</v>
      </c>
      <c r="U1969" t="s">
        <v>5940</v>
      </c>
      <c r="V1969">
        <v>31.81</v>
      </c>
      <c r="W1969" t="s">
        <v>8133</v>
      </c>
      <c r="X1969" t="s">
        <v>10018</v>
      </c>
      <c r="Y1969">
        <v>1220</v>
      </c>
      <c r="Z1969">
        <v>224</v>
      </c>
      <c r="AA1969">
        <v>242046</v>
      </c>
      <c r="AB1969">
        <v>0.33</v>
      </c>
    </row>
    <row r="1970" spans="1:28">
      <c r="A1970" s="2">
        <f>HYPERLINK("https://finance.naver.com/item/coinfo.nhn?code=143160", "A143160")</f>
        <v>0</v>
      </c>
      <c r="B1970">
        <f>HYPERLINK("http://comp.fnguide.com/SVO2/ASP/SVD_Consensus.asp?pGB=1&amp;gicode=A143160&amp;cID=&amp;MenuYn=Y&amp;ReportGB=&amp;NewMenuID=108&amp;stkGb=701", "아이디스")</f>
        <v>0</v>
      </c>
      <c r="C1970">
        <v>0</v>
      </c>
      <c r="D1970">
        <v>26600</v>
      </c>
      <c r="E1970">
        <v>-2.55</v>
      </c>
      <c r="F1970">
        <v>143.18</v>
      </c>
      <c r="G1970">
        <v>5006</v>
      </c>
      <c r="H1970">
        <v>10876</v>
      </c>
      <c r="I1970">
        <v>12549</v>
      </c>
      <c r="J1970">
        <v>81.18000000000001</v>
      </c>
      <c r="K1970">
        <v>59.11</v>
      </c>
      <c r="L1970">
        <v>52.82</v>
      </c>
      <c r="M1970">
        <v>2.7</v>
      </c>
      <c r="N1970" t="b">
        <v>0</v>
      </c>
      <c r="O1970">
        <v>178</v>
      </c>
      <c r="P1970" t="s">
        <v>1969</v>
      </c>
      <c r="Q1970" t="s">
        <v>3801</v>
      </c>
      <c r="R1970">
        <v>-56.10045558322957</v>
      </c>
      <c r="S1970">
        <v>2851</v>
      </c>
      <c r="T1970">
        <v>48336</v>
      </c>
      <c r="U1970" t="s">
        <v>5941</v>
      </c>
      <c r="V1970">
        <v>46.18</v>
      </c>
      <c r="W1970" t="s">
        <v>8134</v>
      </c>
      <c r="X1970" t="s">
        <v>10019</v>
      </c>
      <c r="Y1970">
        <v>1119</v>
      </c>
      <c r="Z1970">
        <v>33</v>
      </c>
      <c r="AA1970">
        <v>402713</v>
      </c>
      <c r="AB1970">
        <v>0.98</v>
      </c>
    </row>
    <row r="1971" spans="1:28">
      <c r="A1971" s="2">
        <f>HYPERLINK("https://finance.naver.com/item/coinfo.nhn?code=101390", "A101390")</f>
        <v>0</v>
      </c>
      <c r="B1971">
        <f>HYPERLINK("http://comp.fnguide.com/SVO2/ASP/SVD_Consensus.asp?pGB=1&amp;gicode=A101390&amp;cID=&amp;MenuYn=Y&amp;ReportGB=&amp;NewMenuID=108&amp;stkGb=701", "아이엠")</f>
        <v>0</v>
      </c>
      <c r="C1971">
        <v>0</v>
      </c>
      <c r="D1971">
        <v>739</v>
      </c>
      <c r="E1971">
        <v>0</v>
      </c>
      <c r="G1971">
        <v>0</v>
      </c>
      <c r="H1971">
        <v>466</v>
      </c>
      <c r="I1971">
        <v>598</v>
      </c>
      <c r="J1971">
        <v>100</v>
      </c>
      <c r="K1971">
        <v>36.98</v>
      </c>
      <c r="L1971">
        <v>19.02</v>
      </c>
      <c r="M1971">
        <v>0</v>
      </c>
      <c r="N1971" t="b">
        <v>0</v>
      </c>
      <c r="O1971">
        <v>-501</v>
      </c>
      <c r="P1971" t="s">
        <v>1970</v>
      </c>
      <c r="Q1971" t="s">
        <v>2276</v>
      </c>
      <c r="R1971">
        <v>0</v>
      </c>
      <c r="S1971">
        <v>312</v>
      </c>
      <c r="T1971">
        <v>195000</v>
      </c>
      <c r="U1971" t="s">
        <v>5942</v>
      </c>
      <c r="V1971">
        <v>17.73</v>
      </c>
      <c r="W1971" t="s">
        <v>8135</v>
      </c>
      <c r="X1971" t="s">
        <v>968</v>
      </c>
      <c r="Y1971">
        <v>2022</v>
      </c>
      <c r="Z1971">
        <v>-74</v>
      </c>
      <c r="AA1971">
        <v>297100</v>
      </c>
    </row>
    <row r="1972" spans="1:28">
      <c r="A1972" s="2">
        <f>HYPERLINK("https://finance.naver.com/item/coinfo.nhn?code=307180", "A307180")</f>
        <v>0</v>
      </c>
      <c r="B1972">
        <f>HYPERLINK("http://comp.fnguide.com/SVO2/ASP/SVD_Consensus.asp?pGB=1&amp;gicode=A307180&amp;cID=&amp;MenuYn=Y&amp;ReportGB=&amp;NewMenuID=108&amp;stkGb=701", "아이엘사이언스")</f>
        <v>0</v>
      </c>
      <c r="C1972">
        <v>0</v>
      </c>
      <c r="D1972">
        <v>3040</v>
      </c>
      <c r="G1972">
        <v>1028</v>
      </c>
      <c r="H1972">
        <v>756</v>
      </c>
      <c r="I1972">
        <v>678</v>
      </c>
      <c r="J1972">
        <v>66.17</v>
      </c>
      <c r="K1972">
        <v>75.14</v>
      </c>
      <c r="L1972">
        <v>77.69</v>
      </c>
      <c r="M1972">
        <v>14.26</v>
      </c>
      <c r="N1972" t="b">
        <v>0</v>
      </c>
      <c r="O1972">
        <v>-140</v>
      </c>
      <c r="P1972" t="s">
        <v>1971</v>
      </c>
      <c r="Q1972" t="s">
        <v>3802</v>
      </c>
      <c r="R1972">
        <v>-51.4</v>
      </c>
      <c r="S1972">
        <v>645</v>
      </c>
      <c r="T1972">
        <v>76433</v>
      </c>
      <c r="U1972" t="s">
        <v>5943</v>
      </c>
      <c r="V1972">
        <v>35.75</v>
      </c>
      <c r="W1972" t="s">
        <v>8136</v>
      </c>
      <c r="X1972" t="s">
        <v>968</v>
      </c>
      <c r="Y1972">
        <v>203</v>
      </c>
      <c r="Z1972">
        <v>11</v>
      </c>
      <c r="AA1972">
        <v>337</v>
      </c>
    </row>
    <row r="1973" spans="1:28">
      <c r="A1973" s="2">
        <f>HYPERLINK("https://finance.naver.com/item/coinfo.nhn?code=123010", "A123010")</f>
        <v>0</v>
      </c>
      <c r="B1973">
        <f>HYPERLINK("http://comp.fnguide.com/SVO2/ASP/SVD_Consensus.asp?pGB=1&amp;gicode=A123010&amp;cID=&amp;MenuYn=Y&amp;ReportGB=&amp;NewMenuID=108&amp;stkGb=701", "아이에이네트웍스")</f>
        <v>0</v>
      </c>
      <c r="C1973">
        <v>0</v>
      </c>
      <c r="D1973">
        <v>1605</v>
      </c>
      <c r="E1973">
        <v>0</v>
      </c>
      <c r="G1973">
        <v>0</v>
      </c>
      <c r="H1973">
        <v>96</v>
      </c>
      <c r="I1973">
        <v>123</v>
      </c>
      <c r="J1973">
        <v>100</v>
      </c>
      <c r="K1973">
        <v>94.02</v>
      </c>
      <c r="L1973">
        <v>92.31999999999999</v>
      </c>
      <c r="M1973">
        <v>0</v>
      </c>
      <c r="N1973" t="b">
        <v>0</v>
      </c>
      <c r="O1973">
        <v>-280</v>
      </c>
      <c r="P1973" t="s">
        <v>1972</v>
      </c>
      <c r="Q1973" t="s">
        <v>2276</v>
      </c>
      <c r="R1973">
        <v>0</v>
      </c>
      <c r="S1973">
        <v>792</v>
      </c>
      <c r="T1973">
        <v>518117</v>
      </c>
      <c r="U1973" t="s">
        <v>5944</v>
      </c>
      <c r="V1973">
        <v>27.39</v>
      </c>
      <c r="W1973" t="s">
        <v>8137</v>
      </c>
      <c r="X1973" t="s">
        <v>968</v>
      </c>
      <c r="Y1973">
        <v>54</v>
      </c>
      <c r="Z1973">
        <v>-58</v>
      </c>
      <c r="AA1973">
        <v>1169420</v>
      </c>
    </row>
    <row r="1974" spans="1:28">
      <c r="A1974" s="2">
        <f>HYPERLINK("https://finance.naver.com/item/coinfo.nhn?code=038880", "A038880")</f>
        <v>0</v>
      </c>
      <c r="B1974">
        <f>HYPERLINK("http://comp.fnguide.com/SVO2/ASP/SVD_Consensus.asp?pGB=1&amp;gicode=A038880&amp;cID=&amp;MenuYn=Y&amp;ReportGB=&amp;NewMenuID=108&amp;stkGb=701", "아이에이")</f>
        <v>0</v>
      </c>
      <c r="C1974">
        <v>0</v>
      </c>
      <c r="D1974">
        <v>727</v>
      </c>
      <c r="E1974">
        <v>1.13</v>
      </c>
      <c r="F1974">
        <v>75.89</v>
      </c>
      <c r="G1974">
        <v>46</v>
      </c>
      <c r="H1974">
        <v>149</v>
      </c>
      <c r="I1974">
        <v>179</v>
      </c>
      <c r="J1974">
        <v>93.72</v>
      </c>
      <c r="K1974">
        <v>79.48</v>
      </c>
      <c r="L1974">
        <v>75.42</v>
      </c>
      <c r="M1974">
        <v>1.67</v>
      </c>
      <c r="N1974" t="b">
        <v>0</v>
      </c>
      <c r="O1974">
        <v>7</v>
      </c>
      <c r="P1974" t="s">
        <v>1973</v>
      </c>
      <c r="Q1974" t="s">
        <v>3803</v>
      </c>
      <c r="R1974">
        <v>67.16470919425545</v>
      </c>
      <c r="S1974">
        <v>1950</v>
      </c>
      <c r="T1974">
        <v>92687888</v>
      </c>
      <c r="U1974" t="s">
        <v>5945</v>
      </c>
      <c r="V1974">
        <v>8.98</v>
      </c>
      <c r="W1974" t="s">
        <v>8138</v>
      </c>
      <c r="X1974" t="s">
        <v>10020</v>
      </c>
      <c r="Y1974">
        <v>678</v>
      </c>
      <c r="Z1974">
        <v>27</v>
      </c>
      <c r="AA1974">
        <v>880997</v>
      </c>
    </row>
    <row r="1975" spans="1:28">
      <c r="A1975" s="2">
        <f>HYPERLINK("https://finance.naver.com/item/coinfo.nhn?code=069920", "A069920")</f>
        <v>0</v>
      </c>
      <c r="B1975">
        <f>HYPERLINK("http://comp.fnguide.com/SVO2/ASP/SVD_Consensus.asp?pGB=1&amp;gicode=A069920&amp;cID=&amp;MenuYn=Y&amp;ReportGB=&amp;NewMenuID=108&amp;stkGb=701", "아이에스이커머스")</f>
        <v>0</v>
      </c>
      <c r="C1975">
        <v>0</v>
      </c>
      <c r="D1975">
        <v>4060</v>
      </c>
      <c r="G1975">
        <v>2534</v>
      </c>
      <c r="H1975">
        <v>2206</v>
      </c>
      <c r="I1975">
        <v>2113</v>
      </c>
      <c r="J1975">
        <v>37.59</v>
      </c>
      <c r="K1975">
        <v>45.66</v>
      </c>
      <c r="L1975">
        <v>47.96</v>
      </c>
      <c r="M1975">
        <v>10.15</v>
      </c>
      <c r="N1975" t="b">
        <v>0</v>
      </c>
      <c r="O1975">
        <v>-630</v>
      </c>
      <c r="P1975" t="s">
        <v>1974</v>
      </c>
      <c r="Q1975" t="s">
        <v>3804</v>
      </c>
      <c r="R1975">
        <v>1785.1</v>
      </c>
      <c r="S1975">
        <v>1049</v>
      </c>
      <c r="T1975">
        <v>9568</v>
      </c>
      <c r="U1975" t="s">
        <v>5946</v>
      </c>
      <c r="V1975">
        <v>68.78</v>
      </c>
      <c r="W1975" t="s">
        <v>8139</v>
      </c>
      <c r="X1975" t="s">
        <v>10021</v>
      </c>
      <c r="Y1975">
        <v>361</v>
      </c>
      <c r="Z1975">
        <v>-47</v>
      </c>
      <c r="AA1975">
        <v>735000</v>
      </c>
    </row>
    <row r="1976" spans="1:28">
      <c r="A1976" s="2">
        <f>HYPERLINK("https://finance.naver.com/item/coinfo.nhn?code=068940", "A068940")</f>
        <v>0</v>
      </c>
      <c r="B1976">
        <f>HYPERLINK("http://comp.fnguide.com/SVO2/ASP/SVD_Consensus.asp?pGB=1&amp;gicode=A068940&amp;cID=&amp;MenuYn=Y&amp;ReportGB=&amp;NewMenuID=108&amp;stkGb=701", "아이씨케이")</f>
        <v>0</v>
      </c>
      <c r="C1976">
        <v>0</v>
      </c>
      <c r="D1976">
        <v>3520</v>
      </c>
      <c r="E1976">
        <v>-135.42</v>
      </c>
      <c r="F1976">
        <v>8179.24</v>
      </c>
      <c r="G1976">
        <v>1</v>
      </c>
      <c r="H1976">
        <v>271</v>
      </c>
      <c r="I1976">
        <v>348</v>
      </c>
      <c r="J1976">
        <v>99.95999999999999</v>
      </c>
      <c r="K1976">
        <v>92.29000000000001</v>
      </c>
      <c r="L1976">
        <v>90.11</v>
      </c>
      <c r="M1976">
        <v>0.03</v>
      </c>
      <c r="N1976" t="b">
        <v>0</v>
      </c>
      <c r="O1976">
        <v>0</v>
      </c>
      <c r="P1976" t="s">
        <v>1975</v>
      </c>
      <c r="Q1976" t="s">
        <v>3805</v>
      </c>
      <c r="R1976">
        <v>-60.4</v>
      </c>
      <c r="S1976">
        <v>1160</v>
      </c>
      <c r="T1976">
        <v>511648</v>
      </c>
      <c r="U1976" t="s">
        <v>5947</v>
      </c>
      <c r="V1976">
        <v>22.57</v>
      </c>
      <c r="W1976" t="s">
        <v>8140</v>
      </c>
      <c r="X1976" t="s">
        <v>10022</v>
      </c>
      <c r="Y1976">
        <v>247</v>
      </c>
      <c r="Z1976">
        <v>-2</v>
      </c>
      <c r="AA1976">
        <v>1050589</v>
      </c>
    </row>
    <row r="1977" spans="1:28">
      <c r="A1977" s="2">
        <f>HYPERLINK("https://finance.naver.com/item/coinfo.nhn?code=214430", "A214430")</f>
        <v>0</v>
      </c>
      <c r="B1977">
        <f>HYPERLINK("http://comp.fnguide.com/SVO2/ASP/SVD_Consensus.asp?pGB=1&amp;gicode=A214430&amp;cID=&amp;MenuYn=Y&amp;ReportGB=&amp;NewMenuID=108&amp;stkGb=701", "아이쓰리시스템")</f>
        <v>0</v>
      </c>
      <c r="C1977">
        <v>0</v>
      </c>
      <c r="D1977">
        <v>20050</v>
      </c>
      <c r="E1977">
        <v>-17.29</v>
      </c>
      <c r="F1977">
        <v>865.37</v>
      </c>
      <c r="G1977">
        <v>9476</v>
      </c>
      <c r="H1977">
        <v>9755</v>
      </c>
      <c r="I1977">
        <v>9834</v>
      </c>
      <c r="J1977">
        <v>52.74</v>
      </c>
      <c r="K1977">
        <v>51.35</v>
      </c>
      <c r="L1977">
        <v>50.95</v>
      </c>
      <c r="M1977">
        <v>7.6</v>
      </c>
      <c r="N1977" t="b">
        <v>0</v>
      </c>
      <c r="O1977">
        <v>25</v>
      </c>
      <c r="P1977" t="s">
        <v>1976</v>
      </c>
      <c r="Q1977" t="s">
        <v>3806</v>
      </c>
      <c r="R1977">
        <v>-50.05098534961334</v>
      </c>
      <c r="S1977">
        <v>1425</v>
      </c>
      <c r="T1977">
        <v>110894</v>
      </c>
      <c r="U1977" t="s">
        <v>5948</v>
      </c>
      <c r="V1977">
        <v>39.33</v>
      </c>
      <c r="W1977" t="s">
        <v>8141</v>
      </c>
      <c r="X1977" t="s">
        <v>10023</v>
      </c>
      <c r="Y1977">
        <v>519</v>
      </c>
      <c r="Z1977">
        <v>-24</v>
      </c>
      <c r="AA1977">
        <v>165078</v>
      </c>
      <c r="AB1977">
        <v>0.32</v>
      </c>
    </row>
    <row r="1978" spans="1:28">
      <c r="A1978" s="2">
        <f>HYPERLINK("https://finance.naver.com/item/coinfo.nhn?code=099190", "A099190")</f>
        <v>0</v>
      </c>
      <c r="B1978">
        <f>HYPERLINK("http://comp.fnguide.com/SVO2/ASP/SVD_Consensus.asp?pGB=1&amp;gicode=A099190&amp;cID=&amp;MenuYn=Y&amp;ReportGB=&amp;NewMenuID=108&amp;stkGb=701", "아이센스")</f>
        <v>0</v>
      </c>
      <c r="C1978">
        <v>0</v>
      </c>
      <c r="D1978">
        <v>27900</v>
      </c>
      <c r="E1978">
        <v>3.67</v>
      </c>
      <c r="F1978">
        <v>15.07</v>
      </c>
      <c r="G1978">
        <v>22435</v>
      </c>
      <c r="H1978">
        <v>17732</v>
      </c>
      <c r="I1978">
        <v>16392</v>
      </c>
      <c r="J1978">
        <v>19.59</v>
      </c>
      <c r="K1978">
        <v>36.44</v>
      </c>
      <c r="L1978">
        <v>41.25</v>
      </c>
      <c r="M1978">
        <v>12.24</v>
      </c>
      <c r="N1978" t="b">
        <v>1</v>
      </c>
      <c r="O1978">
        <v>1705</v>
      </c>
      <c r="P1978" t="s">
        <v>1977</v>
      </c>
      <c r="Q1978" t="s">
        <v>3807</v>
      </c>
      <c r="R1978">
        <v>4.10887242162381</v>
      </c>
      <c r="S1978">
        <v>3833</v>
      </c>
      <c r="T1978">
        <v>148010</v>
      </c>
      <c r="U1978" t="s">
        <v>5949</v>
      </c>
      <c r="V1978">
        <v>24.73</v>
      </c>
      <c r="W1978" t="s">
        <v>8142</v>
      </c>
      <c r="X1978" t="s">
        <v>10024</v>
      </c>
      <c r="Y1978">
        <v>1898</v>
      </c>
      <c r="Z1978">
        <v>302</v>
      </c>
      <c r="AA1978">
        <v>142177</v>
      </c>
      <c r="AB1978">
        <v>0.78</v>
      </c>
    </row>
    <row r="1979" spans="1:28">
      <c r="A1979" s="2">
        <f>HYPERLINK("https://finance.naver.com/item/coinfo.nhn?code=332370", "A332370")</f>
        <v>0</v>
      </c>
      <c r="B1979">
        <f>HYPERLINK("http://comp.fnguide.com/SVO2/ASP/SVD_Consensus.asp?pGB=1&amp;gicode=A332370&amp;cID=&amp;MenuYn=Y&amp;ReportGB=&amp;NewMenuID=108&amp;stkGb=701", "아이디피")</f>
        <v>0</v>
      </c>
      <c r="C1979">
        <v>0</v>
      </c>
      <c r="D1979">
        <v>8120</v>
      </c>
      <c r="E1979">
        <v>0</v>
      </c>
      <c r="G1979">
        <v>6952</v>
      </c>
      <c r="H1979">
        <v>4884</v>
      </c>
      <c r="I1979">
        <v>4295</v>
      </c>
      <c r="J1979">
        <v>14.38</v>
      </c>
      <c r="K1979">
        <v>39.85</v>
      </c>
      <c r="L1979">
        <v>47.1</v>
      </c>
      <c r="M1979">
        <v>15.78</v>
      </c>
      <c r="N1979" t="b">
        <v>0</v>
      </c>
      <c r="O1979">
        <v>681</v>
      </c>
      <c r="P1979" t="s">
        <v>1978</v>
      </c>
      <c r="Q1979" t="s">
        <v>3808</v>
      </c>
      <c r="R1979">
        <v>0</v>
      </c>
      <c r="S1979">
        <v>539</v>
      </c>
      <c r="T1979">
        <v>34186</v>
      </c>
      <c r="U1979" t="s">
        <v>5950</v>
      </c>
      <c r="V1979">
        <v>56.35</v>
      </c>
      <c r="W1979" t="s">
        <v>8143</v>
      </c>
      <c r="X1979" t="s">
        <v>968</v>
      </c>
      <c r="Y1979">
        <v>254</v>
      </c>
      <c r="Z1979">
        <v>42</v>
      </c>
    </row>
    <row r="1980" spans="1:28">
      <c r="A1980" s="2">
        <f>HYPERLINK("https://finance.naver.com/item/coinfo.nhn?code=227610", "A227610")</f>
        <v>0</v>
      </c>
      <c r="B1980">
        <f>HYPERLINK("http://comp.fnguide.com/SVO2/ASP/SVD_Consensus.asp?pGB=1&amp;gicode=A227610&amp;cID=&amp;MenuYn=Y&amp;ReportGB=&amp;NewMenuID=108&amp;stkGb=701", "아우딘퓨쳐스")</f>
        <v>0</v>
      </c>
      <c r="C1980">
        <v>0</v>
      </c>
      <c r="D1980">
        <v>4240</v>
      </c>
      <c r="G1980">
        <v>2650</v>
      </c>
      <c r="H1980">
        <v>3134</v>
      </c>
      <c r="I1980">
        <v>3272</v>
      </c>
      <c r="J1980">
        <v>37.51</v>
      </c>
      <c r="K1980">
        <v>26.08</v>
      </c>
      <c r="L1980">
        <v>22.82</v>
      </c>
      <c r="M1980">
        <v>6.11</v>
      </c>
      <c r="N1980" t="b">
        <v>0</v>
      </c>
      <c r="O1980">
        <v>-1858</v>
      </c>
      <c r="P1980" t="s">
        <v>1979</v>
      </c>
      <c r="Q1980" t="s">
        <v>3809</v>
      </c>
      <c r="R1980">
        <v>384.6999999999999</v>
      </c>
      <c r="S1980">
        <v>424</v>
      </c>
      <c r="T1980">
        <v>35145</v>
      </c>
      <c r="U1980" t="s">
        <v>5951</v>
      </c>
      <c r="V1980">
        <v>49.48</v>
      </c>
      <c r="W1980" t="s">
        <v>8144</v>
      </c>
      <c r="X1980" t="s">
        <v>10025</v>
      </c>
      <c r="Y1980">
        <v>541</v>
      </c>
      <c r="Z1980">
        <v>-207</v>
      </c>
      <c r="AA1980">
        <v>133599</v>
      </c>
    </row>
    <row r="1981" spans="1:28">
      <c r="A1981" s="2">
        <f>HYPERLINK("https://finance.naver.com/item/coinfo.nhn?code=060590", "A060590")</f>
        <v>0</v>
      </c>
      <c r="B1981">
        <f>HYPERLINK("http://comp.fnguide.com/SVO2/ASP/SVD_Consensus.asp?pGB=1&amp;gicode=A060590&amp;cID=&amp;MenuYn=Y&amp;ReportGB=&amp;NewMenuID=108&amp;stkGb=701", "씨티씨바이오")</f>
        <v>0</v>
      </c>
      <c r="C1981">
        <v>0</v>
      </c>
      <c r="D1981">
        <v>7560</v>
      </c>
      <c r="E1981">
        <v>0</v>
      </c>
      <c r="G1981">
        <v>0</v>
      </c>
      <c r="H1981">
        <v>2161</v>
      </c>
      <c r="I1981">
        <v>2776</v>
      </c>
      <c r="J1981">
        <v>100</v>
      </c>
      <c r="K1981">
        <v>71.42</v>
      </c>
      <c r="L1981">
        <v>63.28</v>
      </c>
      <c r="M1981">
        <v>0</v>
      </c>
      <c r="N1981" t="b">
        <v>0</v>
      </c>
      <c r="O1981">
        <v>-711</v>
      </c>
      <c r="P1981" t="s">
        <v>1980</v>
      </c>
      <c r="Q1981" t="s">
        <v>2276</v>
      </c>
      <c r="R1981">
        <v>0</v>
      </c>
      <c r="S1981">
        <v>1591</v>
      </c>
      <c r="T1981">
        <v>175204</v>
      </c>
      <c r="U1981" t="s">
        <v>5952</v>
      </c>
      <c r="V1981">
        <v>10.69</v>
      </c>
      <c r="W1981" t="s">
        <v>8145</v>
      </c>
      <c r="X1981" t="s">
        <v>968</v>
      </c>
      <c r="Y1981">
        <v>1361</v>
      </c>
      <c r="Z1981">
        <v>-40</v>
      </c>
      <c r="AA1981">
        <v>272245</v>
      </c>
    </row>
    <row r="1982" spans="1:28">
      <c r="A1982" s="2">
        <f>HYPERLINK("https://finance.naver.com/item/coinfo.nhn?code=154030", "A154030")</f>
        <v>0</v>
      </c>
      <c r="B1982">
        <f>HYPERLINK("http://comp.fnguide.com/SVO2/ASP/SVD_Consensus.asp?pGB=1&amp;gicode=A154030&amp;cID=&amp;MenuYn=Y&amp;ReportGB=&amp;NewMenuID=108&amp;stkGb=701", "아시아종묘")</f>
        <v>0</v>
      </c>
      <c r="C1982">
        <v>0</v>
      </c>
      <c r="D1982">
        <v>6560</v>
      </c>
      <c r="E1982">
        <v>0</v>
      </c>
      <c r="G1982">
        <v>435</v>
      </c>
      <c r="H1982">
        <v>1063</v>
      </c>
      <c r="I1982">
        <v>1242</v>
      </c>
      <c r="J1982">
        <v>93.37</v>
      </c>
      <c r="K1982">
        <v>83.8</v>
      </c>
      <c r="L1982">
        <v>81.06999999999999</v>
      </c>
      <c r="M1982">
        <v>2.34</v>
      </c>
      <c r="N1982" t="b">
        <v>0</v>
      </c>
      <c r="O1982">
        <v>-440</v>
      </c>
      <c r="P1982" t="s">
        <v>1981</v>
      </c>
      <c r="Q1982" t="s">
        <v>2276</v>
      </c>
      <c r="R1982">
        <v>0</v>
      </c>
      <c r="S1982">
        <v>642</v>
      </c>
      <c r="T1982">
        <v>5010424</v>
      </c>
      <c r="U1982" t="s">
        <v>5953</v>
      </c>
      <c r="V1982">
        <v>31.95</v>
      </c>
      <c r="W1982" t="s">
        <v>8146</v>
      </c>
      <c r="X1982" t="s">
        <v>10026</v>
      </c>
      <c r="Y1982">
        <v>181</v>
      </c>
      <c r="Z1982">
        <v>-16</v>
      </c>
    </row>
    <row r="1983" spans="1:28">
      <c r="A1983" s="2">
        <f>HYPERLINK("https://finance.naver.com/item/coinfo.nhn?code=246720", "A246720")</f>
        <v>0</v>
      </c>
      <c r="B1983">
        <f>HYPERLINK("http://comp.fnguide.com/SVO2/ASP/SVD_Consensus.asp?pGB=1&amp;gicode=A246720&amp;cID=&amp;MenuYn=Y&amp;ReportGB=&amp;NewMenuID=108&amp;stkGb=701", "아스타")</f>
        <v>0</v>
      </c>
      <c r="C1983">
        <v>0</v>
      </c>
      <c r="D1983">
        <v>5470</v>
      </c>
      <c r="E1983">
        <v>0</v>
      </c>
      <c r="G1983">
        <v>0</v>
      </c>
      <c r="H1983">
        <v>774</v>
      </c>
      <c r="I1983">
        <v>994</v>
      </c>
      <c r="J1983">
        <v>100</v>
      </c>
      <c r="K1983">
        <v>85.84999999999999</v>
      </c>
      <c r="L1983">
        <v>81.81999999999999</v>
      </c>
      <c r="M1983">
        <v>0</v>
      </c>
      <c r="N1983" t="b">
        <v>0</v>
      </c>
      <c r="O1983">
        <v>-935</v>
      </c>
      <c r="P1983" t="s">
        <v>1982</v>
      </c>
      <c r="Q1983" t="s">
        <v>2276</v>
      </c>
      <c r="R1983">
        <v>0</v>
      </c>
      <c r="S1983">
        <v>629</v>
      </c>
      <c r="T1983">
        <v>46853</v>
      </c>
      <c r="U1983" t="s">
        <v>5954</v>
      </c>
      <c r="V1983">
        <v>48.23</v>
      </c>
      <c r="W1983" t="s">
        <v>8147</v>
      </c>
      <c r="X1983" t="s">
        <v>968</v>
      </c>
      <c r="Y1983">
        <v>13</v>
      </c>
      <c r="Z1983">
        <v>-62</v>
      </c>
    </row>
    <row r="1984" spans="1:28">
      <c r="A1984" s="2">
        <f>HYPERLINK("https://finance.naver.com/item/coinfo.nhn?code=092040", "A092040")</f>
        <v>0</v>
      </c>
      <c r="B1984">
        <f>HYPERLINK("http://comp.fnguide.com/SVO2/ASP/SVD_Consensus.asp?pGB=1&amp;gicode=A092040&amp;cID=&amp;MenuYn=Y&amp;ReportGB=&amp;NewMenuID=108&amp;stkGb=701", "아미코젠")</f>
        <v>0</v>
      </c>
      <c r="C1984">
        <v>0</v>
      </c>
      <c r="D1984">
        <v>33250</v>
      </c>
      <c r="E1984">
        <v>-58.6</v>
      </c>
      <c r="F1984">
        <v>5634.65</v>
      </c>
      <c r="G1984">
        <v>9988</v>
      </c>
      <c r="H1984">
        <v>7842</v>
      </c>
      <c r="I1984">
        <v>7231</v>
      </c>
      <c r="J1984">
        <v>69.95999999999999</v>
      </c>
      <c r="K1984">
        <v>76.41</v>
      </c>
      <c r="L1984">
        <v>78.25</v>
      </c>
      <c r="M1984">
        <v>12.4</v>
      </c>
      <c r="N1984" t="b">
        <v>0</v>
      </c>
      <c r="O1984">
        <v>5</v>
      </c>
      <c r="P1984" t="s">
        <v>1983</v>
      </c>
      <c r="Q1984" t="s">
        <v>3810</v>
      </c>
      <c r="R1984">
        <v>-96.15292318766573</v>
      </c>
      <c r="S1984">
        <v>6389</v>
      </c>
      <c r="T1984">
        <v>333702</v>
      </c>
      <c r="U1984" t="s">
        <v>5955</v>
      </c>
      <c r="V1984">
        <v>16.43</v>
      </c>
      <c r="W1984" t="s">
        <v>8148</v>
      </c>
      <c r="X1984" t="s">
        <v>10027</v>
      </c>
      <c r="Y1984">
        <v>1152</v>
      </c>
      <c r="Z1984">
        <v>-22</v>
      </c>
      <c r="AA1984">
        <v>202129</v>
      </c>
    </row>
    <row r="1985" spans="1:28">
      <c r="A1985" s="2">
        <f>HYPERLINK("https://finance.naver.com/item/coinfo.nhn?code=074430", "A074430")</f>
        <v>0</v>
      </c>
      <c r="B1985">
        <f>HYPERLINK("http://comp.fnguide.com/SVO2/ASP/SVD_Consensus.asp?pGB=1&amp;gicode=A074430&amp;cID=&amp;MenuYn=Y&amp;ReportGB=&amp;NewMenuID=108&amp;stkGb=701", "아미노로직스")</f>
        <v>0</v>
      </c>
      <c r="C1985">
        <v>0</v>
      </c>
      <c r="D1985">
        <v>2740</v>
      </c>
      <c r="G1985">
        <v>417</v>
      </c>
      <c r="H1985">
        <v>521</v>
      </c>
      <c r="I1985">
        <v>551</v>
      </c>
      <c r="J1985">
        <v>84.79000000000001</v>
      </c>
      <c r="K1985">
        <v>80.97</v>
      </c>
      <c r="L1985">
        <v>79.88</v>
      </c>
      <c r="M1985">
        <v>5.62</v>
      </c>
      <c r="N1985" t="b">
        <v>0</v>
      </c>
      <c r="O1985">
        <v>-14</v>
      </c>
      <c r="P1985" t="s">
        <v>1984</v>
      </c>
      <c r="Q1985" t="s">
        <v>3811</v>
      </c>
      <c r="R1985">
        <v>247.1419018211429</v>
      </c>
      <c r="S1985">
        <v>2406</v>
      </c>
      <c r="T1985">
        <v>50271752</v>
      </c>
      <c r="U1985" t="s">
        <v>5956</v>
      </c>
      <c r="V1985">
        <v>31.26</v>
      </c>
      <c r="W1985" t="s">
        <v>8149</v>
      </c>
      <c r="X1985" t="s">
        <v>10028</v>
      </c>
      <c r="Y1985">
        <v>190</v>
      </c>
      <c r="Z1985">
        <v>-8</v>
      </c>
    </row>
    <row r="1986" spans="1:28">
      <c r="A1986" s="2">
        <f>HYPERLINK("https://finance.naver.com/item/coinfo.nhn?code=052710", "A052710")</f>
        <v>0</v>
      </c>
      <c r="B1986">
        <f>HYPERLINK("http://comp.fnguide.com/SVO2/ASP/SVD_Consensus.asp?pGB=1&amp;gicode=A052710&amp;cID=&amp;MenuYn=Y&amp;ReportGB=&amp;NewMenuID=108&amp;stkGb=701", "아모텍")</f>
        <v>0</v>
      </c>
      <c r="C1986">
        <v>0</v>
      </c>
      <c r="D1986">
        <v>31500</v>
      </c>
      <c r="E1986">
        <v>-13.04</v>
      </c>
      <c r="F1986">
        <v>795</v>
      </c>
      <c r="G1986">
        <v>9417</v>
      </c>
      <c r="H1986">
        <v>16024</v>
      </c>
      <c r="I1986">
        <v>17907</v>
      </c>
      <c r="J1986">
        <v>70.09999999999999</v>
      </c>
      <c r="K1986">
        <v>49.13</v>
      </c>
      <c r="L1986">
        <v>43.15</v>
      </c>
      <c r="M1986">
        <v>3.68</v>
      </c>
      <c r="N1986" t="b">
        <v>0</v>
      </c>
      <c r="O1986">
        <v>37</v>
      </c>
      <c r="P1986" t="s">
        <v>1985</v>
      </c>
      <c r="Q1986" t="s">
        <v>3812</v>
      </c>
      <c r="R1986">
        <v>-60.95773816730235</v>
      </c>
      <c r="S1986">
        <v>3069</v>
      </c>
      <c r="T1986">
        <v>136242</v>
      </c>
      <c r="U1986" t="s">
        <v>5957</v>
      </c>
      <c r="V1986">
        <v>25.84</v>
      </c>
      <c r="W1986" t="s">
        <v>8150</v>
      </c>
      <c r="X1986" t="s">
        <v>10029</v>
      </c>
      <c r="Y1986">
        <v>2486</v>
      </c>
      <c r="Z1986">
        <v>70</v>
      </c>
    </row>
    <row r="1987" spans="1:28">
      <c r="A1987" s="2">
        <f>HYPERLINK("https://finance.naver.com/item/coinfo.nhn?code=125210", "A125210")</f>
        <v>0</v>
      </c>
      <c r="B1987">
        <f>HYPERLINK("http://comp.fnguide.com/SVO2/ASP/SVD_Consensus.asp?pGB=1&amp;gicode=A125210&amp;cID=&amp;MenuYn=Y&amp;ReportGB=&amp;NewMenuID=108&amp;stkGb=701", "아모그린텍")</f>
        <v>0</v>
      </c>
      <c r="C1987">
        <v>0</v>
      </c>
      <c r="D1987">
        <v>13650</v>
      </c>
      <c r="E1987">
        <v>0</v>
      </c>
      <c r="F1987">
        <v>118.27</v>
      </c>
      <c r="G1987">
        <v>1251</v>
      </c>
      <c r="H1987">
        <v>1891</v>
      </c>
      <c r="I1987">
        <v>2073</v>
      </c>
      <c r="J1987">
        <v>90.84</v>
      </c>
      <c r="K1987">
        <v>86.15000000000001</v>
      </c>
      <c r="L1987">
        <v>84.81</v>
      </c>
      <c r="M1987">
        <v>4.3</v>
      </c>
      <c r="N1987" t="b">
        <v>0</v>
      </c>
      <c r="O1987">
        <v>109</v>
      </c>
      <c r="P1987" t="s">
        <v>1986</v>
      </c>
      <c r="Q1987" t="s">
        <v>2276</v>
      </c>
      <c r="R1987">
        <v>0</v>
      </c>
      <c r="S1987">
        <v>2252</v>
      </c>
      <c r="T1987">
        <v>212034</v>
      </c>
      <c r="U1987" t="s">
        <v>5958</v>
      </c>
      <c r="V1987">
        <v>60.85</v>
      </c>
      <c r="W1987" t="s">
        <v>8151</v>
      </c>
      <c r="X1987" t="s">
        <v>10030</v>
      </c>
      <c r="Y1987">
        <v>934</v>
      </c>
      <c r="Z1987">
        <v>26</v>
      </c>
    </row>
    <row r="1988" spans="1:28">
      <c r="A1988" s="2">
        <f>HYPERLINK("https://finance.naver.com/item/coinfo.nhn?code=050320", "A050320")</f>
        <v>0</v>
      </c>
      <c r="B1988">
        <f>HYPERLINK("http://comp.fnguide.com/SVO2/ASP/SVD_Consensus.asp?pGB=1&amp;gicode=A050320&amp;cID=&amp;MenuYn=Y&amp;ReportGB=&amp;NewMenuID=108&amp;stkGb=701", "아래스")</f>
        <v>0</v>
      </c>
      <c r="C1988">
        <v>0</v>
      </c>
      <c r="D1988">
        <v>990</v>
      </c>
      <c r="E1988">
        <v>0</v>
      </c>
      <c r="G1988">
        <v>0</v>
      </c>
      <c r="H1988">
        <v>56</v>
      </c>
      <c r="I1988">
        <v>72</v>
      </c>
      <c r="J1988">
        <v>100</v>
      </c>
      <c r="K1988">
        <v>94.34999999999999</v>
      </c>
      <c r="L1988">
        <v>92.75</v>
      </c>
      <c r="M1988">
        <v>0</v>
      </c>
      <c r="N1988" t="b">
        <v>0</v>
      </c>
      <c r="O1988">
        <v>-120</v>
      </c>
      <c r="P1988" t="s">
        <v>1987</v>
      </c>
      <c r="Q1988" t="s">
        <v>2276</v>
      </c>
      <c r="R1988">
        <v>0</v>
      </c>
      <c r="S1988">
        <v>452</v>
      </c>
      <c r="T1988">
        <v>0</v>
      </c>
      <c r="U1988" t="s">
        <v>5959</v>
      </c>
      <c r="V1988">
        <v>37.23</v>
      </c>
      <c r="W1988" t="s">
        <v>8152</v>
      </c>
      <c r="X1988" t="s">
        <v>968</v>
      </c>
      <c r="Y1988">
        <v>1</v>
      </c>
      <c r="Z1988">
        <v>-12</v>
      </c>
      <c r="AA1988">
        <v>515465</v>
      </c>
    </row>
    <row r="1989" spans="1:28">
      <c r="A1989" s="2">
        <f>HYPERLINK("https://finance.naver.com/item/coinfo.nhn?code=025980", "A025980")</f>
        <v>0</v>
      </c>
      <c r="B1989">
        <f>HYPERLINK("http://comp.fnguide.com/SVO2/ASP/SVD_Consensus.asp?pGB=1&amp;gicode=A025980&amp;cID=&amp;MenuYn=Y&amp;ReportGB=&amp;NewMenuID=108&amp;stkGb=701", "아난티")</f>
        <v>0</v>
      </c>
      <c r="C1989">
        <v>0</v>
      </c>
      <c r="D1989">
        <v>8260</v>
      </c>
      <c r="G1989">
        <v>76</v>
      </c>
      <c r="H1989">
        <v>2687</v>
      </c>
      <c r="I1989">
        <v>3432</v>
      </c>
      <c r="J1989">
        <v>99.08</v>
      </c>
      <c r="K1989">
        <v>67.45999999999999</v>
      </c>
      <c r="L1989">
        <v>58.46</v>
      </c>
      <c r="M1989">
        <v>0.14</v>
      </c>
      <c r="N1989" t="b">
        <v>0</v>
      </c>
      <c r="O1989">
        <v>-83</v>
      </c>
      <c r="P1989" t="s">
        <v>1988</v>
      </c>
      <c r="Q1989" t="s">
        <v>3813</v>
      </c>
      <c r="R1989">
        <v>-78.02546928828741</v>
      </c>
      <c r="S1989">
        <v>7036</v>
      </c>
      <c r="T1989">
        <v>1197563</v>
      </c>
      <c r="U1989" t="s">
        <v>5960</v>
      </c>
      <c r="V1989">
        <v>32.13</v>
      </c>
      <c r="W1989" t="s">
        <v>8153</v>
      </c>
      <c r="X1989" t="s">
        <v>10031</v>
      </c>
      <c r="Y1989">
        <v>1427</v>
      </c>
      <c r="Z1989">
        <v>47</v>
      </c>
    </row>
    <row r="1990" spans="1:28">
      <c r="A1990" s="2">
        <f>HYPERLINK("https://finance.naver.com/item/coinfo.nhn?code=123860", "A123860")</f>
        <v>0</v>
      </c>
      <c r="B1990">
        <f>HYPERLINK("http://comp.fnguide.com/SVO2/ASP/SVD_Consensus.asp?pGB=1&amp;gicode=A123860&amp;cID=&amp;MenuYn=Y&amp;ReportGB=&amp;NewMenuID=108&amp;stkGb=701", "아나패스")</f>
        <v>0</v>
      </c>
      <c r="C1990">
        <v>0</v>
      </c>
      <c r="D1990">
        <v>23000</v>
      </c>
      <c r="E1990">
        <v>0</v>
      </c>
      <c r="G1990">
        <v>98</v>
      </c>
      <c r="H1990">
        <v>3215</v>
      </c>
      <c r="I1990">
        <v>4103</v>
      </c>
      <c r="J1990">
        <v>99.56999999999999</v>
      </c>
      <c r="K1990">
        <v>86.02</v>
      </c>
      <c r="L1990">
        <v>82.16</v>
      </c>
      <c r="M1990">
        <v>0.15</v>
      </c>
      <c r="N1990" t="b">
        <v>0</v>
      </c>
      <c r="O1990">
        <v>-2193</v>
      </c>
      <c r="P1990" t="s">
        <v>1989</v>
      </c>
      <c r="Q1990" t="s">
        <v>2276</v>
      </c>
      <c r="R1990">
        <v>0</v>
      </c>
      <c r="S1990">
        <v>2430</v>
      </c>
      <c r="T1990">
        <v>105305</v>
      </c>
      <c r="U1990" t="s">
        <v>5961</v>
      </c>
      <c r="V1990">
        <v>16.01</v>
      </c>
      <c r="W1990" t="s">
        <v>8154</v>
      </c>
      <c r="X1990" t="s">
        <v>10032</v>
      </c>
      <c r="Y1990">
        <v>608</v>
      </c>
      <c r="Z1990">
        <v>-236</v>
      </c>
      <c r="AA1990">
        <v>210000</v>
      </c>
      <c r="AB1990">
        <v>0.34</v>
      </c>
    </row>
    <row r="1991" spans="1:28">
      <c r="A1991" s="2">
        <f>HYPERLINK("https://finance.naver.com/item/coinfo.nhn?code=002800", "A002800")</f>
        <v>0</v>
      </c>
      <c r="B1991">
        <f>HYPERLINK("http://comp.fnguide.com/SVO2/ASP/SVD_Consensus.asp?pGB=1&amp;gicode=A002800&amp;cID=&amp;MenuYn=Y&amp;ReportGB=&amp;NewMenuID=108&amp;stkGb=701", "신신제약")</f>
        <v>0</v>
      </c>
      <c r="C1991">
        <v>0</v>
      </c>
      <c r="D1991">
        <v>10300</v>
      </c>
      <c r="E1991">
        <v>-2.43</v>
      </c>
      <c r="F1991">
        <v>48.4</v>
      </c>
      <c r="G1991">
        <v>2390</v>
      </c>
      <c r="H1991">
        <v>3188</v>
      </c>
      <c r="I1991">
        <v>3415</v>
      </c>
      <c r="J1991">
        <v>76.8</v>
      </c>
      <c r="K1991">
        <v>69.05</v>
      </c>
      <c r="L1991">
        <v>66.84</v>
      </c>
      <c r="M1991">
        <v>5.12</v>
      </c>
      <c r="N1991" t="b">
        <v>1</v>
      </c>
      <c r="O1991">
        <v>141</v>
      </c>
      <c r="P1991" t="s">
        <v>1990</v>
      </c>
      <c r="Q1991" t="s">
        <v>3798</v>
      </c>
      <c r="R1991">
        <v>-19.88322330794596</v>
      </c>
      <c r="S1991">
        <v>1563</v>
      </c>
      <c r="T1991">
        <v>701869</v>
      </c>
      <c r="U1991" t="s">
        <v>5962</v>
      </c>
      <c r="V1991">
        <v>51.6</v>
      </c>
      <c r="W1991" t="s">
        <v>8155</v>
      </c>
      <c r="X1991" t="s">
        <v>10033</v>
      </c>
      <c r="Y1991">
        <v>679</v>
      </c>
      <c r="Z1991">
        <v>23</v>
      </c>
      <c r="AB1991">
        <v>0.41</v>
      </c>
    </row>
    <row r="1992" spans="1:28">
      <c r="A1992" s="2">
        <f>HYPERLINK("https://finance.naver.com/item/coinfo.nhn?code=215600", "A215600")</f>
        <v>0</v>
      </c>
      <c r="B1992">
        <f>HYPERLINK("http://comp.fnguide.com/SVO2/ASP/SVD_Consensus.asp?pGB=1&amp;gicode=A215600&amp;cID=&amp;MenuYn=Y&amp;ReportGB=&amp;NewMenuID=108&amp;stkGb=701", "신라젠")</f>
        <v>0</v>
      </c>
      <c r="C1992">
        <v>0</v>
      </c>
      <c r="D1992">
        <v>12100</v>
      </c>
      <c r="E1992">
        <v>0</v>
      </c>
      <c r="G1992">
        <v>0</v>
      </c>
      <c r="H1992">
        <v>512</v>
      </c>
      <c r="I1992">
        <v>658</v>
      </c>
      <c r="J1992">
        <v>100</v>
      </c>
      <c r="K1992">
        <v>95.77</v>
      </c>
      <c r="L1992">
        <v>94.56</v>
      </c>
      <c r="M1992">
        <v>0</v>
      </c>
      <c r="N1992" t="b">
        <v>0</v>
      </c>
      <c r="O1992">
        <v>-1600</v>
      </c>
      <c r="P1992" t="s">
        <v>1991</v>
      </c>
      <c r="Q1992" t="s">
        <v>2276</v>
      </c>
      <c r="R1992">
        <v>0</v>
      </c>
      <c r="S1992">
        <v>8666</v>
      </c>
      <c r="T1992">
        <v>0</v>
      </c>
      <c r="U1992" t="s">
        <v>5963</v>
      </c>
      <c r="V1992">
        <v>7.39</v>
      </c>
      <c r="W1992" t="s">
        <v>8156</v>
      </c>
      <c r="X1992" t="s">
        <v>968</v>
      </c>
      <c r="Y1992">
        <v>91</v>
      </c>
      <c r="Z1992">
        <v>-585</v>
      </c>
      <c r="AA1992">
        <v>75000</v>
      </c>
    </row>
    <row r="1993" spans="1:28">
      <c r="A1993" s="2">
        <f>HYPERLINK("https://finance.naver.com/item/coinfo.nhn?code=123420", "A123420")</f>
        <v>0</v>
      </c>
      <c r="B1993">
        <f>HYPERLINK("http://comp.fnguide.com/SVO2/ASP/SVD_Consensus.asp?pGB=1&amp;gicode=A123420&amp;cID=&amp;MenuYn=Y&amp;ReportGB=&amp;NewMenuID=108&amp;stkGb=701", "선데이토즈")</f>
        <v>0</v>
      </c>
      <c r="C1993">
        <v>0</v>
      </c>
      <c r="D1993">
        <v>21550</v>
      </c>
      <c r="E1993">
        <v>-3.41</v>
      </c>
      <c r="F1993">
        <v>66.55</v>
      </c>
      <c r="G1993">
        <v>10679</v>
      </c>
      <c r="H1993">
        <v>13669</v>
      </c>
      <c r="I1993">
        <v>14521</v>
      </c>
      <c r="J1993">
        <v>50.44</v>
      </c>
      <c r="K1993">
        <v>36.57</v>
      </c>
      <c r="L1993">
        <v>32.62</v>
      </c>
      <c r="M1993">
        <v>5.44</v>
      </c>
      <c r="N1993" t="b">
        <v>0</v>
      </c>
      <c r="O1993">
        <v>310</v>
      </c>
      <c r="P1993" t="s">
        <v>1992</v>
      </c>
      <c r="Q1993" t="s">
        <v>3814</v>
      </c>
      <c r="R1993">
        <v>-19.49522493778633</v>
      </c>
      <c r="S1993">
        <v>2062</v>
      </c>
      <c r="T1993">
        <v>70061</v>
      </c>
      <c r="U1993" t="s">
        <v>5964</v>
      </c>
      <c r="V1993">
        <v>35.66</v>
      </c>
      <c r="W1993" t="s">
        <v>8157</v>
      </c>
      <c r="X1993" t="s">
        <v>10034</v>
      </c>
      <c r="Y1993">
        <v>844</v>
      </c>
      <c r="Z1993">
        <v>28</v>
      </c>
      <c r="AA1993">
        <v>831591</v>
      </c>
    </row>
    <row r="1994" spans="1:28">
      <c r="A1994" s="2">
        <f>HYPERLINK("https://finance.naver.com/item/coinfo.nhn?code=025870", "A025870")</f>
        <v>0</v>
      </c>
      <c r="B1994">
        <f>HYPERLINK("http://comp.fnguide.com/SVO2/ASP/SVD_Consensus.asp?pGB=1&amp;gicode=A025870&amp;cID=&amp;MenuYn=Y&amp;ReportGB=&amp;NewMenuID=108&amp;stkGb=701", "신라에스지")</f>
        <v>0</v>
      </c>
      <c r="C1994">
        <v>0</v>
      </c>
      <c r="D1994">
        <v>9050</v>
      </c>
      <c r="E1994">
        <v>-1.28</v>
      </c>
      <c r="F1994">
        <v>43.57</v>
      </c>
      <c r="G1994">
        <v>1317</v>
      </c>
      <c r="H1994">
        <v>2914</v>
      </c>
      <c r="I1994">
        <v>3369</v>
      </c>
      <c r="J1994">
        <v>85.45</v>
      </c>
      <c r="K1994">
        <v>67.8</v>
      </c>
      <c r="L1994">
        <v>62.77</v>
      </c>
      <c r="M1994">
        <v>2.64</v>
      </c>
      <c r="N1994" t="b">
        <v>1</v>
      </c>
      <c r="O1994">
        <v>182</v>
      </c>
      <c r="P1994" t="s">
        <v>1993</v>
      </c>
      <c r="Q1994" t="s">
        <v>3815</v>
      </c>
      <c r="R1994">
        <v>-34.00000000000001</v>
      </c>
      <c r="S1994">
        <v>362</v>
      </c>
      <c r="T1994">
        <v>55192</v>
      </c>
      <c r="U1994" t="s">
        <v>5965</v>
      </c>
      <c r="V1994">
        <v>58.25</v>
      </c>
      <c r="W1994" t="s">
        <v>8158</v>
      </c>
      <c r="X1994" t="s">
        <v>10035</v>
      </c>
      <c r="Y1994">
        <v>894</v>
      </c>
      <c r="Z1994">
        <v>21</v>
      </c>
    </row>
    <row r="1995" spans="1:28">
      <c r="A1995" s="2">
        <f>HYPERLINK("https://finance.naver.com/item/coinfo.nhn?code=290690", "A290690")</f>
        <v>0</v>
      </c>
      <c r="B1995">
        <f>HYPERLINK("http://comp.fnguide.com/SVO2/ASP/SVD_Consensus.asp?pGB=1&amp;gicode=A290690&amp;cID=&amp;MenuYn=Y&amp;ReportGB=&amp;NewMenuID=108&amp;stkGb=701", "소룩스")</f>
        <v>0</v>
      </c>
      <c r="C1995">
        <v>0</v>
      </c>
      <c r="D1995">
        <v>23550</v>
      </c>
      <c r="G1995">
        <v>8773</v>
      </c>
      <c r="H1995">
        <v>4997</v>
      </c>
      <c r="I1995">
        <v>3921</v>
      </c>
      <c r="J1995">
        <v>62.75</v>
      </c>
      <c r="K1995">
        <v>78.78</v>
      </c>
      <c r="L1995">
        <v>83.34999999999999</v>
      </c>
      <c r="M1995">
        <v>28.1</v>
      </c>
      <c r="N1995" t="b">
        <v>0</v>
      </c>
      <c r="O1995">
        <v>935</v>
      </c>
      <c r="P1995" t="s">
        <v>1994</v>
      </c>
      <c r="Q1995" t="s">
        <v>3816</v>
      </c>
      <c r="R1995">
        <v>28.64296843188792</v>
      </c>
      <c r="S1995">
        <v>1921</v>
      </c>
      <c r="T1995">
        <v>147939</v>
      </c>
      <c r="U1995" t="s">
        <v>5966</v>
      </c>
      <c r="V1995">
        <v>65.90000000000001</v>
      </c>
      <c r="W1995" t="s">
        <v>8159</v>
      </c>
      <c r="X1995" t="s">
        <v>968</v>
      </c>
      <c r="Y1995">
        <v>711</v>
      </c>
      <c r="Z1995">
        <v>69</v>
      </c>
    </row>
    <row r="1996" spans="1:28">
      <c r="A1996" s="2">
        <f>HYPERLINK("https://finance.naver.com/item/coinfo.nhn?code=091990", "A091990")</f>
        <v>0</v>
      </c>
      <c r="B1996">
        <f>HYPERLINK("http://comp.fnguide.com/SVO2/ASP/SVD_Consensus.asp?pGB=1&amp;gicode=A091990&amp;cID=&amp;MenuYn=Y&amp;ReportGB=&amp;NewMenuID=108&amp;stkGb=701", "셀트리온헬스케어")</f>
        <v>0</v>
      </c>
      <c r="C1996">
        <v>0</v>
      </c>
      <c r="D1996">
        <v>149700</v>
      </c>
      <c r="E1996">
        <v>1.74</v>
      </c>
      <c r="F1996">
        <v>123.04</v>
      </c>
      <c r="G1996">
        <v>6292</v>
      </c>
      <c r="H1996">
        <v>9175</v>
      </c>
      <c r="I1996">
        <v>9997</v>
      </c>
      <c r="J1996">
        <v>95.8</v>
      </c>
      <c r="K1996">
        <v>93.87</v>
      </c>
      <c r="L1996">
        <v>93.31999999999999</v>
      </c>
      <c r="M1996">
        <v>4.52</v>
      </c>
      <c r="N1996" t="b">
        <v>1</v>
      </c>
      <c r="O1996">
        <v>431</v>
      </c>
      <c r="P1996" t="s">
        <v>1995</v>
      </c>
      <c r="Q1996" t="s">
        <v>3817</v>
      </c>
      <c r="R1996">
        <v>70.60166727477697</v>
      </c>
      <c r="S1996">
        <v>227259</v>
      </c>
      <c r="T1996">
        <v>9010188</v>
      </c>
      <c r="U1996" t="s">
        <v>5967</v>
      </c>
      <c r="V1996">
        <v>38.03</v>
      </c>
      <c r="W1996" t="s">
        <v>8160</v>
      </c>
      <c r="X1996" t="s">
        <v>10036</v>
      </c>
      <c r="Y1996">
        <v>11009</v>
      </c>
      <c r="Z1996">
        <v>828</v>
      </c>
      <c r="AA1996">
        <v>1603709</v>
      </c>
      <c r="AB1996">
        <v>0</v>
      </c>
    </row>
    <row r="1997" spans="1:28">
      <c r="A1997" s="2">
        <f>HYPERLINK("https://finance.naver.com/item/coinfo.nhn?code=068760", "A068760")</f>
        <v>0</v>
      </c>
      <c r="B1997">
        <f>HYPERLINK("http://comp.fnguide.com/SVO2/ASP/SVD_Consensus.asp?pGB=1&amp;gicode=A068760&amp;cID=&amp;MenuYn=Y&amp;ReportGB=&amp;NewMenuID=108&amp;stkGb=701", "셀트리온제약")</f>
        <v>0</v>
      </c>
      <c r="C1997">
        <v>0</v>
      </c>
      <c r="D1997">
        <v>238600</v>
      </c>
      <c r="E1997">
        <v>-11.92</v>
      </c>
      <c r="F1997">
        <v>165.55</v>
      </c>
      <c r="G1997">
        <v>1676</v>
      </c>
      <c r="H1997">
        <v>5372</v>
      </c>
      <c r="I1997">
        <v>6425</v>
      </c>
      <c r="J1997">
        <v>99.3</v>
      </c>
      <c r="K1997">
        <v>97.75</v>
      </c>
      <c r="L1997">
        <v>97.31</v>
      </c>
      <c r="M1997">
        <v>1.71</v>
      </c>
      <c r="N1997" t="b">
        <v>0</v>
      </c>
      <c r="O1997">
        <v>240</v>
      </c>
      <c r="P1997" t="s">
        <v>1996</v>
      </c>
      <c r="Q1997" t="s">
        <v>3818</v>
      </c>
      <c r="R1997">
        <v>-13.8857755397045</v>
      </c>
      <c r="S1997">
        <v>85444</v>
      </c>
      <c r="T1997">
        <v>3052254</v>
      </c>
      <c r="U1997" t="s">
        <v>5968</v>
      </c>
      <c r="V1997">
        <v>55.41</v>
      </c>
      <c r="W1997" t="s">
        <v>8161</v>
      </c>
      <c r="X1997" t="s">
        <v>10037</v>
      </c>
      <c r="Y1997">
        <v>1735</v>
      </c>
      <c r="Z1997">
        <v>147</v>
      </c>
      <c r="AA1997">
        <v>40502</v>
      </c>
      <c r="AB1997">
        <v>0</v>
      </c>
    </row>
    <row r="1998" spans="1:28">
      <c r="A1998" s="2">
        <f>HYPERLINK("https://finance.naver.com/item/coinfo.nhn?code=208370", "A208370")</f>
        <v>0</v>
      </c>
      <c r="B1998">
        <f>HYPERLINK("http://comp.fnguide.com/SVO2/ASP/SVD_Consensus.asp?pGB=1&amp;gicode=A208370&amp;cID=&amp;MenuYn=Y&amp;ReportGB=&amp;NewMenuID=108&amp;stkGb=701", "셀바스헬스케어")</f>
        <v>0</v>
      </c>
      <c r="C1998">
        <v>0</v>
      </c>
      <c r="D1998">
        <v>2585</v>
      </c>
      <c r="E1998">
        <v>0</v>
      </c>
      <c r="G1998">
        <v>0</v>
      </c>
      <c r="H1998">
        <v>669</v>
      </c>
      <c r="I1998">
        <v>859</v>
      </c>
      <c r="J1998">
        <v>100</v>
      </c>
      <c r="K1998">
        <v>74.14</v>
      </c>
      <c r="L1998">
        <v>66.77</v>
      </c>
      <c r="M1998">
        <v>0</v>
      </c>
      <c r="N1998" t="b">
        <v>0</v>
      </c>
      <c r="O1998">
        <v>-224</v>
      </c>
      <c r="P1998" t="s">
        <v>1997</v>
      </c>
      <c r="Q1998" t="s">
        <v>2276</v>
      </c>
      <c r="R1998">
        <v>0</v>
      </c>
      <c r="S1998">
        <v>560</v>
      </c>
      <c r="T1998">
        <v>451247</v>
      </c>
      <c r="U1998" t="s">
        <v>5969</v>
      </c>
      <c r="V1998">
        <v>52.84</v>
      </c>
      <c r="W1998" t="s">
        <v>8162</v>
      </c>
      <c r="X1998" t="s">
        <v>968</v>
      </c>
      <c r="Y1998">
        <v>224</v>
      </c>
      <c r="Z1998">
        <v>-34</v>
      </c>
      <c r="AA1998">
        <v>22985</v>
      </c>
    </row>
    <row r="1999" spans="1:28">
      <c r="A1999" s="2">
        <f>HYPERLINK("https://finance.naver.com/item/coinfo.nhn?code=108860", "A108860")</f>
        <v>0</v>
      </c>
      <c r="B1999">
        <f>HYPERLINK("http://comp.fnguide.com/SVO2/ASP/SVD_Consensus.asp?pGB=1&amp;gicode=A108860&amp;cID=&amp;MenuYn=Y&amp;ReportGB=&amp;NewMenuID=108&amp;stkGb=701", "셀바스AI")</f>
        <v>0</v>
      </c>
      <c r="C1999">
        <v>0</v>
      </c>
      <c r="D1999">
        <v>2885</v>
      </c>
      <c r="E1999">
        <v>0</v>
      </c>
      <c r="G1999">
        <v>0</v>
      </c>
      <c r="H1999">
        <v>828</v>
      </c>
      <c r="I1999">
        <v>1064</v>
      </c>
      <c r="J1999">
        <v>100</v>
      </c>
      <c r="K1999">
        <v>71.29000000000001</v>
      </c>
      <c r="L1999">
        <v>63.11</v>
      </c>
      <c r="M1999">
        <v>0</v>
      </c>
      <c r="N1999" t="b">
        <v>0</v>
      </c>
      <c r="O1999">
        <v>-321</v>
      </c>
      <c r="P1999" t="s">
        <v>1998</v>
      </c>
      <c r="Q1999" t="s">
        <v>2276</v>
      </c>
      <c r="R1999">
        <v>0</v>
      </c>
      <c r="S1999">
        <v>636</v>
      </c>
      <c r="T1999">
        <v>317245</v>
      </c>
      <c r="U1999" t="s">
        <v>5970</v>
      </c>
      <c r="V1999">
        <v>14.07</v>
      </c>
      <c r="W1999" t="s">
        <v>8163</v>
      </c>
      <c r="X1999" t="s">
        <v>968</v>
      </c>
      <c r="Y1999">
        <v>354</v>
      </c>
      <c r="Z1999">
        <v>-62</v>
      </c>
      <c r="AA1999">
        <v>514</v>
      </c>
    </row>
    <row r="2000" spans="1:28">
      <c r="A2000" s="2">
        <f>HYPERLINK("https://finance.naver.com/item/coinfo.nhn?code=268600", "A268600")</f>
        <v>0</v>
      </c>
      <c r="B2000">
        <f>HYPERLINK("http://comp.fnguide.com/SVO2/ASP/SVD_Consensus.asp?pGB=1&amp;gicode=A268600&amp;cID=&amp;MenuYn=Y&amp;ReportGB=&amp;NewMenuID=108&amp;stkGb=701", "셀리버리")</f>
        <v>0</v>
      </c>
      <c r="C2000">
        <v>0</v>
      </c>
      <c r="D2000">
        <v>189800</v>
      </c>
      <c r="E2000">
        <v>0</v>
      </c>
      <c r="G2000">
        <v>0</v>
      </c>
      <c r="H2000">
        <v>2011</v>
      </c>
      <c r="I2000">
        <v>2584</v>
      </c>
      <c r="J2000">
        <v>100</v>
      </c>
      <c r="K2000">
        <v>98.94</v>
      </c>
      <c r="L2000">
        <v>98.64</v>
      </c>
      <c r="M2000">
        <v>0</v>
      </c>
      <c r="N2000" t="b">
        <v>0</v>
      </c>
      <c r="O2000">
        <v>-2529</v>
      </c>
      <c r="P2000" t="s">
        <v>1999</v>
      </c>
      <c r="Q2000" t="s">
        <v>2276</v>
      </c>
      <c r="R2000">
        <v>0</v>
      </c>
      <c r="S2000">
        <v>15482</v>
      </c>
      <c r="T2000">
        <v>111853</v>
      </c>
      <c r="U2000" t="s">
        <v>5971</v>
      </c>
      <c r="V2000">
        <v>22.42</v>
      </c>
      <c r="W2000" t="s">
        <v>8164</v>
      </c>
      <c r="X2000" t="s">
        <v>968</v>
      </c>
      <c r="Y2000">
        <v>21</v>
      </c>
      <c r="Z2000">
        <v>-146</v>
      </c>
    </row>
    <row r="2001" spans="1:28">
      <c r="A2001" s="2">
        <f>HYPERLINK("https://finance.naver.com/item/coinfo.nhn?code=299660", "A299660")</f>
        <v>0</v>
      </c>
      <c r="B2001">
        <f>HYPERLINK("http://comp.fnguide.com/SVO2/ASP/SVD_Consensus.asp?pGB=1&amp;gicode=A299660&amp;cID=&amp;MenuYn=Y&amp;ReportGB=&amp;NewMenuID=108&amp;stkGb=701", "셀리드")</f>
        <v>0</v>
      </c>
      <c r="C2001">
        <v>0</v>
      </c>
      <c r="D2001">
        <v>46900</v>
      </c>
      <c r="E2001">
        <v>0</v>
      </c>
      <c r="G2001">
        <v>0</v>
      </c>
      <c r="H2001">
        <v>3178</v>
      </c>
      <c r="I2001">
        <v>4084</v>
      </c>
      <c r="J2001">
        <v>100</v>
      </c>
      <c r="K2001">
        <v>93.22</v>
      </c>
      <c r="L2001">
        <v>91.29000000000001</v>
      </c>
      <c r="M2001">
        <v>0</v>
      </c>
      <c r="N2001" t="b">
        <v>0</v>
      </c>
      <c r="O2001">
        <v>-266</v>
      </c>
      <c r="P2001" t="s">
        <v>2000</v>
      </c>
      <c r="Q2001" t="s">
        <v>3152</v>
      </c>
      <c r="R2001">
        <v>0</v>
      </c>
      <c r="S2001">
        <v>4549</v>
      </c>
      <c r="T2001">
        <v>283055</v>
      </c>
      <c r="U2001" t="s">
        <v>5972</v>
      </c>
      <c r="V2001">
        <v>28.3</v>
      </c>
      <c r="W2001" t="s">
        <v>8165</v>
      </c>
      <c r="X2001" t="s">
        <v>968</v>
      </c>
      <c r="Y2001">
        <v>0</v>
      </c>
      <c r="Z2001">
        <v>-35</v>
      </c>
    </row>
    <row r="2002" spans="1:28">
      <c r="A2002" s="2">
        <f>HYPERLINK("https://finance.naver.com/item/coinfo.nhn?code=049180", "A049180")</f>
        <v>0</v>
      </c>
      <c r="B2002">
        <f>HYPERLINK("http://comp.fnguide.com/SVO2/ASP/SVD_Consensus.asp?pGB=1&amp;gicode=A049180&amp;cID=&amp;MenuYn=Y&amp;ReportGB=&amp;NewMenuID=108&amp;stkGb=701", "셀루메드")</f>
        <v>0</v>
      </c>
      <c r="C2002">
        <v>0</v>
      </c>
      <c r="D2002">
        <v>5980</v>
      </c>
      <c r="E2002">
        <v>0</v>
      </c>
      <c r="G2002">
        <v>0</v>
      </c>
      <c r="H2002">
        <v>91</v>
      </c>
      <c r="I2002">
        <v>116</v>
      </c>
      <c r="J2002">
        <v>100</v>
      </c>
      <c r="K2002">
        <v>98.48999999999999</v>
      </c>
      <c r="L2002">
        <v>98.05</v>
      </c>
      <c r="M2002">
        <v>0</v>
      </c>
      <c r="N2002" t="b">
        <v>0</v>
      </c>
      <c r="O2002">
        <v>-1710</v>
      </c>
      <c r="P2002" t="s">
        <v>2001</v>
      </c>
      <c r="Q2002" t="s">
        <v>2276</v>
      </c>
      <c r="R2002">
        <v>0</v>
      </c>
      <c r="S2002">
        <v>1945</v>
      </c>
      <c r="T2002">
        <v>0</v>
      </c>
      <c r="U2002" t="s">
        <v>5973</v>
      </c>
      <c r="V2002">
        <v>12.32</v>
      </c>
      <c r="W2002" t="s">
        <v>8166</v>
      </c>
      <c r="X2002" t="s">
        <v>968</v>
      </c>
      <c r="Y2002">
        <v>179</v>
      </c>
      <c r="Z2002">
        <v>-80</v>
      </c>
      <c r="AA2002">
        <v>9008</v>
      </c>
    </row>
    <row r="2003" spans="1:28">
      <c r="A2003" s="2">
        <f>HYPERLINK("https://finance.naver.com/item/coinfo.nhn?code=331920", "A331920")</f>
        <v>0</v>
      </c>
      <c r="B2003">
        <f>HYPERLINK("http://comp.fnguide.com/SVO2/ASP/SVD_Consensus.asp?pGB=1&amp;gicode=A331920&amp;cID=&amp;MenuYn=Y&amp;ReportGB=&amp;NewMenuID=108&amp;stkGb=701", "셀레믹스")</f>
        <v>0</v>
      </c>
      <c r="C2003">
        <v>0</v>
      </c>
      <c r="D2003">
        <v>28000</v>
      </c>
      <c r="E2003">
        <v>0</v>
      </c>
      <c r="G2003">
        <v>0</v>
      </c>
      <c r="H2003">
        <v>390</v>
      </c>
      <c r="I2003">
        <v>501</v>
      </c>
      <c r="J2003">
        <v>100</v>
      </c>
      <c r="K2003">
        <v>98.61</v>
      </c>
      <c r="L2003">
        <v>98.20999999999999</v>
      </c>
      <c r="M2003">
        <v>0</v>
      </c>
      <c r="N2003" t="b">
        <v>0</v>
      </c>
      <c r="O2003" t="s">
        <v>12</v>
      </c>
      <c r="P2003" t="s">
        <v>2002</v>
      </c>
      <c r="Q2003" t="s">
        <v>3819</v>
      </c>
      <c r="R2003">
        <v>0</v>
      </c>
      <c r="S2003" t="s">
        <v>3984</v>
      </c>
      <c r="T2003">
        <v>402771</v>
      </c>
      <c r="U2003" t="s">
        <v>5974</v>
      </c>
      <c r="V2003">
        <v>12.98</v>
      </c>
      <c r="W2003" t="s">
        <v>8101</v>
      </c>
      <c r="X2003" t="s">
        <v>968</v>
      </c>
      <c r="Y2003" t="s">
        <v>10211</v>
      </c>
      <c r="Z2003" t="s">
        <v>10224</v>
      </c>
    </row>
    <row r="2004" spans="1:28">
      <c r="A2004" s="2">
        <f>HYPERLINK("https://finance.naver.com/item/coinfo.nhn?code=051980", "A051980")</f>
        <v>0</v>
      </c>
      <c r="B2004">
        <f>HYPERLINK("http://comp.fnguide.com/SVO2/ASP/SVD_Consensus.asp?pGB=1&amp;gicode=A051980&amp;cID=&amp;MenuYn=Y&amp;ReportGB=&amp;NewMenuID=108&amp;stkGb=701", "센트럴바이오")</f>
        <v>0</v>
      </c>
      <c r="C2004">
        <v>0</v>
      </c>
      <c r="D2004">
        <v>1805</v>
      </c>
      <c r="E2004">
        <v>0</v>
      </c>
      <c r="G2004">
        <v>23</v>
      </c>
      <c r="H2004">
        <v>259</v>
      </c>
      <c r="I2004">
        <v>327</v>
      </c>
      <c r="J2004">
        <v>98.72</v>
      </c>
      <c r="K2004">
        <v>85.63</v>
      </c>
      <c r="L2004">
        <v>81.91</v>
      </c>
      <c r="M2004">
        <v>0.44</v>
      </c>
      <c r="N2004" t="b">
        <v>0</v>
      </c>
      <c r="O2004">
        <v>-202</v>
      </c>
      <c r="P2004" t="s">
        <v>2003</v>
      </c>
      <c r="Q2004" t="s">
        <v>2276</v>
      </c>
      <c r="R2004">
        <v>0</v>
      </c>
      <c r="S2004">
        <v>1028</v>
      </c>
      <c r="T2004">
        <v>2804610</v>
      </c>
      <c r="U2004" t="s">
        <v>5975</v>
      </c>
      <c r="V2004">
        <v>12.79</v>
      </c>
      <c r="W2004" t="s">
        <v>8167</v>
      </c>
      <c r="X2004" t="s">
        <v>10038</v>
      </c>
      <c r="Y2004">
        <v>98</v>
      </c>
      <c r="Z2004">
        <v>-85</v>
      </c>
      <c r="AA2004">
        <v>750000</v>
      </c>
    </row>
    <row r="2005" spans="1:28">
      <c r="A2005" s="2">
        <f>HYPERLINK("https://finance.naver.com/item/coinfo.nhn?code=347000", "A347000")</f>
        <v>0</v>
      </c>
      <c r="B2005">
        <f>HYPERLINK("http://comp.fnguide.com/SVO2/ASP/SVD_Consensus.asp?pGB=1&amp;gicode=A347000&amp;cID=&amp;MenuYn=Y&amp;ReportGB=&amp;NewMenuID=108&amp;stkGb=701", "센코")</f>
        <v>0</v>
      </c>
      <c r="C2005">
        <v>0</v>
      </c>
      <c r="D2005">
        <v>26650</v>
      </c>
      <c r="G2005">
        <v>0</v>
      </c>
      <c r="H2005">
        <v>967</v>
      </c>
      <c r="I2005">
        <v>1242</v>
      </c>
      <c r="J2005">
        <v>100</v>
      </c>
      <c r="K2005">
        <v>96.37</v>
      </c>
      <c r="L2005">
        <v>95.34</v>
      </c>
      <c r="M2005">
        <v>0</v>
      </c>
      <c r="N2005" t="b">
        <v>0</v>
      </c>
      <c r="O2005">
        <v>-534</v>
      </c>
      <c r="P2005" t="s">
        <v>2004</v>
      </c>
      <c r="Q2005" t="s">
        <v>3820</v>
      </c>
      <c r="R2005">
        <v>-27.1</v>
      </c>
      <c r="S2005">
        <v>2071</v>
      </c>
      <c r="T2005">
        <v>672190</v>
      </c>
      <c r="U2005" t="s">
        <v>5976</v>
      </c>
      <c r="V2005">
        <v>32.68</v>
      </c>
      <c r="W2005" t="s">
        <v>8168</v>
      </c>
      <c r="X2005" t="s">
        <v>968</v>
      </c>
      <c r="Y2005">
        <v>198</v>
      </c>
      <c r="Z2005">
        <v>23</v>
      </c>
    </row>
    <row r="2006" spans="1:28">
      <c r="A2006" s="2">
        <f>HYPERLINK("https://finance.naver.com/item/coinfo.nhn?code=252500", "A252500")</f>
        <v>0</v>
      </c>
      <c r="B2006">
        <f>HYPERLINK("http://comp.fnguide.com/SVO2/ASP/SVD_Consensus.asp?pGB=1&amp;gicode=A252500&amp;cID=&amp;MenuYn=Y&amp;ReportGB=&amp;NewMenuID=108&amp;stkGb=701", "세화피앤씨")</f>
        <v>0</v>
      </c>
      <c r="C2006">
        <v>0</v>
      </c>
      <c r="D2006">
        <v>3900</v>
      </c>
      <c r="E2006">
        <v>1.68</v>
      </c>
      <c r="F2006">
        <v>101.74</v>
      </c>
      <c r="G2006">
        <v>428</v>
      </c>
      <c r="H2006">
        <v>950</v>
      </c>
      <c r="I2006">
        <v>1099</v>
      </c>
      <c r="J2006">
        <v>89.02</v>
      </c>
      <c r="K2006">
        <v>75.63</v>
      </c>
      <c r="L2006">
        <v>71.81999999999999</v>
      </c>
      <c r="M2006">
        <v>2.63</v>
      </c>
      <c r="N2006" t="b">
        <v>1</v>
      </c>
      <c r="O2006">
        <v>29</v>
      </c>
      <c r="P2006" t="s">
        <v>2005</v>
      </c>
      <c r="Q2006" t="s">
        <v>3821</v>
      </c>
      <c r="R2006">
        <v>60.41106824906626</v>
      </c>
      <c r="S2006">
        <v>809</v>
      </c>
      <c r="T2006">
        <v>297676</v>
      </c>
      <c r="U2006" t="s">
        <v>5977</v>
      </c>
      <c r="V2006">
        <v>31.34</v>
      </c>
      <c r="W2006" t="s">
        <v>8169</v>
      </c>
      <c r="X2006" t="s">
        <v>10039</v>
      </c>
      <c r="Y2006">
        <v>292</v>
      </c>
      <c r="Z2006">
        <v>5</v>
      </c>
      <c r="AA2006">
        <v>620544</v>
      </c>
      <c r="AB2006">
        <v>0.34</v>
      </c>
    </row>
    <row r="2007" spans="1:28">
      <c r="A2007" s="2">
        <f>HYPERLINK("https://finance.naver.com/item/coinfo.nhn?code=067770", "A067770")</f>
        <v>0</v>
      </c>
      <c r="B2007">
        <f>HYPERLINK("http://comp.fnguide.com/SVO2/ASP/SVD_Consensus.asp?pGB=1&amp;gicode=A067770&amp;cID=&amp;MenuYn=Y&amp;ReportGB=&amp;NewMenuID=108&amp;stkGb=701", "세진티에스")</f>
        <v>0</v>
      </c>
      <c r="C2007">
        <v>0</v>
      </c>
      <c r="D2007">
        <v>3840</v>
      </c>
      <c r="G2007">
        <v>0</v>
      </c>
      <c r="H2007">
        <v>2716</v>
      </c>
      <c r="I2007">
        <v>3490</v>
      </c>
      <c r="J2007">
        <v>100</v>
      </c>
      <c r="K2007">
        <v>29.27</v>
      </c>
      <c r="L2007">
        <v>9.119999999999999</v>
      </c>
      <c r="M2007">
        <v>0</v>
      </c>
      <c r="N2007" t="b">
        <v>0</v>
      </c>
      <c r="O2007">
        <v>-251</v>
      </c>
      <c r="P2007" t="s">
        <v>2006</v>
      </c>
      <c r="Q2007" t="s">
        <v>3822</v>
      </c>
      <c r="R2007">
        <v>532.9</v>
      </c>
      <c r="S2007">
        <v>322</v>
      </c>
      <c r="T2007">
        <v>75182</v>
      </c>
      <c r="U2007" t="s">
        <v>5978</v>
      </c>
      <c r="V2007">
        <v>50.55</v>
      </c>
      <c r="W2007" t="s">
        <v>8170</v>
      </c>
      <c r="X2007" t="s">
        <v>968</v>
      </c>
      <c r="Y2007">
        <v>212</v>
      </c>
      <c r="Z2007">
        <v>-3</v>
      </c>
      <c r="AA2007">
        <v>100904</v>
      </c>
    </row>
    <row r="2008" spans="1:28">
      <c r="A2008" s="2">
        <f>HYPERLINK("https://finance.naver.com/item/coinfo.nhn?code=036630", "A036630")</f>
        <v>0</v>
      </c>
      <c r="B2008">
        <f>HYPERLINK("http://comp.fnguide.com/SVO2/ASP/SVD_Consensus.asp?pGB=1&amp;gicode=A036630&amp;cID=&amp;MenuYn=Y&amp;ReportGB=&amp;NewMenuID=108&amp;stkGb=701", "세종텔레콤")</f>
        <v>0</v>
      </c>
      <c r="C2008">
        <v>0</v>
      </c>
      <c r="D2008">
        <v>595</v>
      </c>
      <c r="E2008">
        <v>0</v>
      </c>
      <c r="F2008">
        <v>87.06</v>
      </c>
      <c r="G2008">
        <v>42</v>
      </c>
      <c r="H2008">
        <v>352</v>
      </c>
      <c r="I2008">
        <v>440</v>
      </c>
      <c r="J2008">
        <v>93.02</v>
      </c>
      <c r="K2008">
        <v>40.92</v>
      </c>
      <c r="L2008">
        <v>26.07</v>
      </c>
      <c r="M2008">
        <v>0.59</v>
      </c>
      <c r="N2008" t="b">
        <v>0</v>
      </c>
      <c r="O2008">
        <v>4</v>
      </c>
      <c r="P2008" t="s">
        <v>2007</v>
      </c>
      <c r="Q2008" t="s">
        <v>2276</v>
      </c>
      <c r="R2008">
        <v>0</v>
      </c>
      <c r="S2008">
        <v>3572</v>
      </c>
      <c r="T2008">
        <v>36289138</v>
      </c>
      <c r="U2008" t="s">
        <v>5979</v>
      </c>
      <c r="V2008">
        <v>39.16</v>
      </c>
      <c r="W2008" t="s">
        <v>8171</v>
      </c>
      <c r="X2008" t="s">
        <v>10040</v>
      </c>
      <c r="Y2008">
        <v>2696</v>
      </c>
      <c r="Z2008">
        <v>-98</v>
      </c>
    </row>
    <row r="2009" spans="1:28">
      <c r="A2009" s="2">
        <f>HYPERLINK("https://finance.naver.com/item/coinfo.nhn?code=258830", "A258830")</f>
        <v>0</v>
      </c>
      <c r="B2009">
        <f>HYPERLINK("http://comp.fnguide.com/SVO2/ASP/SVD_Consensus.asp?pGB=1&amp;gicode=A258830&amp;cID=&amp;MenuYn=Y&amp;ReportGB=&amp;NewMenuID=108&amp;stkGb=701", "세종메디칼")</f>
        <v>0</v>
      </c>
      <c r="C2009">
        <v>0</v>
      </c>
      <c r="D2009">
        <v>12700</v>
      </c>
      <c r="E2009">
        <v>-0.57</v>
      </c>
      <c r="F2009">
        <v>14.72</v>
      </c>
      <c r="G2009">
        <v>9380</v>
      </c>
      <c r="H2009">
        <v>8043</v>
      </c>
      <c r="I2009">
        <v>7662</v>
      </c>
      <c r="J2009">
        <v>26.14</v>
      </c>
      <c r="K2009">
        <v>36.67</v>
      </c>
      <c r="L2009">
        <v>39.67</v>
      </c>
      <c r="M2009">
        <v>10.45</v>
      </c>
      <c r="N2009" t="b">
        <v>1</v>
      </c>
      <c r="O2009">
        <v>511</v>
      </c>
      <c r="P2009" t="s">
        <v>2008</v>
      </c>
      <c r="Q2009" t="s">
        <v>3823</v>
      </c>
      <c r="R2009">
        <v>-26.03435024258502</v>
      </c>
      <c r="S2009">
        <v>861</v>
      </c>
      <c r="T2009">
        <v>614428</v>
      </c>
      <c r="U2009" t="s">
        <v>5980</v>
      </c>
      <c r="V2009">
        <v>58.61</v>
      </c>
      <c r="W2009" t="s">
        <v>8172</v>
      </c>
      <c r="X2009" t="s">
        <v>10041</v>
      </c>
      <c r="Y2009">
        <v>162</v>
      </c>
      <c r="Z2009">
        <v>38</v>
      </c>
      <c r="AA2009">
        <v>320006</v>
      </c>
      <c r="AB2009">
        <v>1.33</v>
      </c>
    </row>
    <row r="2010" spans="1:28">
      <c r="A2010" s="2">
        <f>HYPERLINK("https://finance.naver.com/item/coinfo.nhn?code=234100", "A234100")</f>
        <v>0</v>
      </c>
      <c r="B2010">
        <f>HYPERLINK("http://comp.fnguide.com/SVO2/ASP/SVD_Consensus.asp?pGB=1&amp;gicode=A234100&amp;cID=&amp;MenuYn=Y&amp;ReportGB=&amp;NewMenuID=108&amp;stkGb=701", "세원")</f>
        <v>0</v>
      </c>
      <c r="C2010">
        <v>0</v>
      </c>
      <c r="D2010">
        <v>4365</v>
      </c>
      <c r="E2010">
        <v>0.76</v>
      </c>
      <c r="F2010">
        <v>41.23</v>
      </c>
      <c r="G2010">
        <v>643</v>
      </c>
      <c r="H2010">
        <v>1088</v>
      </c>
      <c r="I2010">
        <v>1214</v>
      </c>
      <c r="J2010">
        <v>85.27</v>
      </c>
      <c r="K2010">
        <v>75.09</v>
      </c>
      <c r="L2010">
        <v>72.18000000000001</v>
      </c>
      <c r="M2010">
        <v>3.71</v>
      </c>
      <c r="N2010" t="b">
        <v>1</v>
      </c>
      <c r="O2010">
        <v>69</v>
      </c>
      <c r="P2010" t="s">
        <v>2009</v>
      </c>
      <c r="Q2010" t="s">
        <v>3824</v>
      </c>
      <c r="R2010">
        <v>53.99992027881409</v>
      </c>
      <c r="S2010">
        <v>1143</v>
      </c>
      <c r="T2010">
        <v>918823</v>
      </c>
      <c r="U2010" t="s">
        <v>5981</v>
      </c>
      <c r="V2010">
        <v>24.73</v>
      </c>
      <c r="W2010" t="s">
        <v>8173</v>
      </c>
      <c r="X2010" t="s">
        <v>10042</v>
      </c>
      <c r="Y2010">
        <v>814</v>
      </c>
      <c r="Z2010">
        <v>63</v>
      </c>
    </row>
    <row r="2011" spans="1:28">
      <c r="A2011" s="2">
        <f>HYPERLINK("https://finance.naver.com/item/coinfo.nhn?code=100700", "A100700")</f>
        <v>0</v>
      </c>
      <c r="B2011">
        <f>HYPERLINK("http://comp.fnguide.com/SVO2/ASP/SVD_Consensus.asp?pGB=1&amp;gicode=A100700&amp;cID=&amp;MenuYn=Y&amp;ReportGB=&amp;NewMenuID=108&amp;stkGb=701", "세운메디칼")</f>
        <v>0</v>
      </c>
      <c r="C2011">
        <v>0</v>
      </c>
      <c r="D2011">
        <v>6460</v>
      </c>
      <c r="E2011">
        <v>0.55</v>
      </c>
      <c r="F2011">
        <v>14.91</v>
      </c>
      <c r="G2011">
        <v>3084</v>
      </c>
      <c r="H2011">
        <v>2552</v>
      </c>
      <c r="I2011">
        <v>2401</v>
      </c>
      <c r="J2011">
        <v>52.26</v>
      </c>
      <c r="K2011">
        <v>60.49</v>
      </c>
      <c r="L2011">
        <v>62.83</v>
      </c>
      <c r="M2011">
        <v>11.18</v>
      </c>
      <c r="N2011" t="b">
        <v>1</v>
      </c>
      <c r="O2011">
        <v>216</v>
      </c>
      <c r="P2011" t="s">
        <v>2010</v>
      </c>
      <c r="Q2011" t="s">
        <v>3825</v>
      </c>
      <c r="R2011">
        <v>27.03724065588258</v>
      </c>
      <c r="S2011">
        <v>2829</v>
      </c>
      <c r="T2011">
        <v>4149044</v>
      </c>
      <c r="U2011" t="s">
        <v>5982</v>
      </c>
      <c r="V2011">
        <v>56.94</v>
      </c>
      <c r="W2011" t="s">
        <v>8174</v>
      </c>
      <c r="X2011" t="s">
        <v>10043</v>
      </c>
      <c r="Y2011">
        <v>669</v>
      </c>
      <c r="Z2011">
        <v>169</v>
      </c>
      <c r="AA2011">
        <v>508900</v>
      </c>
      <c r="AB2011">
        <v>1.55</v>
      </c>
    </row>
    <row r="2012" spans="1:28">
      <c r="A2012" s="2">
        <f>HYPERLINK("https://finance.naver.com/item/coinfo.nhn?code=214310", "A214310")</f>
        <v>0</v>
      </c>
      <c r="B2012">
        <f>HYPERLINK("http://comp.fnguide.com/SVO2/ASP/SVD_Consensus.asp?pGB=1&amp;gicode=A214310&amp;cID=&amp;MenuYn=Y&amp;ReportGB=&amp;NewMenuID=108&amp;stkGb=701", "세미콘라이트")</f>
        <v>0</v>
      </c>
      <c r="C2012">
        <v>0</v>
      </c>
      <c r="D2012">
        <v>2355</v>
      </c>
      <c r="E2012">
        <v>0</v>
      </c>
      <c r="G2012">
        <v>0</v>
      </c>
      <c r="H2012">
        <v>442</v>
      </c>
      <c r="I2012">
        <v>568</v>
      </c>
      <c r="J2012">
        <v>100</v>
      </c>
      <c r="K2012">
        <v>81.23999999999999</v>
      </c>
      <c r="L2012">
        <v>75.89</v>
      </c>
      <c r="M2012">
        <v>0</v>
      </c>
      <c r="N2012" t="b">
        <v>0</v>
      </c>
      <c r="O2012">
        <v>-1400</v>
      </c>
      <c r="P2012" t="s">
        <v>2011</v>
      </c>
      <c r="Q2012" t="s">
        <v>2276</v>
      </c>
      <c r="R2012">
        <v>0</v>
      </c>
      <c r="S2012">
        <v>839</v>
      </c>
      <c r="T2012">
        <v>4649867</v>
      </c>
      <c r="U2012" t="s">
        <v>5983</v>
      </c>
      <c r="V2012">
        <v>9.470000000000001</v>
      </c>
      <c r="W2012" t="s">
        <v>8175</v>
      </c>
      <c r="X2012" t="s">
        <v>968</v>
      </c>
      <c r="Y2012">
        <v>242</v>
      </c>
      <c r="Z2012">
        <v>-41</v>
      </c>
    </row>
    <row r="2013" spans="1:28">
      <c r="A2013" s="2">
        <f>HYPERLINK("https://finance.naver.com/item/coinfo.nhn?code=053060", "A053060")</f>
        <v>0</v>
      </c>
      <c r="B2013">
        <f>HYPERLINK("http://comp.fnguide.com/SVO2/ASP/SVD_Consensus.asp?pGB=1&amp;gicode=A053060&amp;cID=&amp;MenuYn=Y&amp;ReportGB=&amp;NewMenuID=108&amp;stkGb=701", "세동")</f>
        <v>0</v>
      </c>
      <c r="C2013">
        <v>0</v>
      </c>
      <c r="D2013">
        <v>744</v>
      </c>
      <c r="E2013">
        <v>0</v>
      </c>
      <c r="G2013">
        <v>0</v>
      </c>
      <c r="H2013">
        <v>490</v>
      </c>
      <c r="I2013">
        <v>629</v>
      </c>
      <c r="J2013">
        <v>100</v>
      </c>
      <c r="K2013">
        <v>34.18</v>
      </c>
      <c r="L2013">
        <v>15.43</v>
      </c>
      <c r="M2013">
        <v>0</v>
      </c>
      <c r="N2013" t="b">
        <v>0</v>
      </c>
      <c r="O2013">
        <v>-105</v>
      </c>
      <c r="P2013" t="s">
        <v>2012</v>
      </c>
      <c r="Q2013" t="s">
        <v>2276</v>
      </c>
      <c r="R2013">
        <v>0</v>
      </c>
      <c r="S2013">
        <v>173</v>
      </c>
      <c r="T2013">
        <v>779726</v>
      </c>
      <c r="U2013" t="s">
        <v>5984</v>
      </c>
      <c r="V2013">
        <v>34.34</v>
      </c>
      <c r="W2013" t="s">
        <v>8176</v>
      </c>
      <c r="X2013" t="s">
        <v>968</v>
      </c>
      <c r="Y2013">
        <v>1473</v>
      </c>
      <c r="Z2013">
        <v>-12</v>
      </c>
      <c r="AA2013">
        <v>205</v>
      </c>
    </row>
    <row r="2014" spans="1:28">
      <c r="A2014" s="2">
        <f>HYPERLINK("https://finance.naver.com/item/coinfo.nhn?code=043260", "A043260")</f>
        <v>0</v>
      </c>
      <c r="B2014">
        <f>HYPERLINK("http://comp.fnguide.com/SVO2/ASP/SVD_Consensus.asp?pGB=1&amp;gicode=A043260&amp;cID=&amp;MenuYn=Y&amp;ReportGB=&amp;NewMenuID=108&amp;stkGb=701", "성호전자")</f>
        <v>0</v>
      </c>
      <c r="C2014">
        <v>0</v>
      </c>
      <c r="D2014">
        <v>1635</v>
      </c>
      <c r="G2014">
        <v>20</v>
      </c>
      <c r="H2014">
        <v>486</v>
      </c>
      <c r="I2014">
        <v>619</v>
      </c>
      <c r="J2014">
        <v>98.77</v>
      </c>
      <c r="K2014">
        <v>70.27</v>
      </c>
      <c r="L2014">
        <v>62.15</v>
      </c>
      <c r="M2014">
        <v>0.2</v>
      </c>
      <c r="N2014" t="b">
        <v>0</v>
      </c>
      <c r="O2014">
        <v>-144</v>
      </c>
      <c r="P2014" t="s">
        <v>2013</v>
      </c>
      <c r="Q2014" t="s">
        <v>3826</v>
      </c>
      <c r="R2014">
        <v>-30.2</v>
      </c>
      <c r="S2014">
        <v>785</v>
      </c>
      <c r="T2014">
        <v>5823867</v>
      </c>
      <c r="U2014" t="s">
        <v>5985</v>
      </c>
      <c r="V2014">
        <v>42.94</v>
      </c>
      <c r="W2014" t="s">
        <v>8177</v>
      </c>
      <c r="X2014" t="s">
        <v>10044</v>
      </c>
      <c r="Y2014">
        <v>993</v>
      </c>
      <c r="Z2014">
        <v>-31</v>
      </c>
      <c r="AA2014">
        <v>683922</v>
      </c>
    </row>
    <row r="2015" spans="1:28">
      <c r="A2015" s="2">
        <f>HYPERLINK("https://finance.naver.com/item/coinfo.nhn?code=080470", "A080470")</f>
        <v>0</v>
      </c>
      <c r="B2015">
        <f>HYPERLINK("http://comp.fnguide.com/SVO2/ASP/SVD_Consensus.asp?pGB=1&amp;gicode=A080470&amp;cID=&amp;MenuYn=Y&amp;ReportGB=&amp;NewMenuID=108&amp;stkGb=701", "성창오토텍")</f>
        <v>0</v>
      </c>
      <c r="C2015">
        <v>0</v>
      </c>
      <c r="D2015">
        <v>8470</v>
      </c>
      <c r="G2015">
        <v>0</v>
      </c>
      <c r="H2015">
        <v>3119</v>
      </c>
      <c r="I2015">
        <v>4008</v>
      </c>
      <c r="J2015">
        <v>100</v>
      </c>
      <c r="K2015">
        <v>63.17</v>
      </c>
      <c r="L2015">
        <v>52.68</v>
      </c>
      <c r="M2015">
        <v>0</v>
      </c>
      <c r="N2015" t="b">
        <v>0</v>
      </c>
      <c r="O2015">
        <v>-30</v>
      </c>
      <c r="P2015" t="s">
        <v>2014</v>
      </c>
      <c r="Q2015" t="s">
        <v>3827</v>
      </c>
      <c r="R2015">
        <v>42.69828310109413</v>
      </c>
      <c r="S2015">
        <v>618</v>
      </c>
      <c r="T2015">
        <v>85425</v>
      </c>
      <c r="U2015" t="s">
        <v>5986</v>
      </c>
      <c r="V2015">
        <v>52.1</v>
      </c>
      <c r="W2015" t="s">
        <v>8178</v>
      </c>
      <c r="X2015" t="s">
        <v>968</v>
      </c>
      <c r="Y2015">
        <v>1328</v>
      </c>
      <c r="Z2015">
        <v>-4</v>
      </c>
      <c r="AB2015">
        <v>0.37</v>
      </c>
    </row>
    <row r="2016" spans="1:28">
      <c r="A2016" s="2">
        <f>HYPERLINK("https://finance.naver.com/item/coinfo.nhn?code=053110", "A053110")</f>
        <v>0</v>
      </c>
      <c r="B2016">
        <f>HYPERLINK("http://comp.fnguide.com/SVO2/ASP/SVD_Consensus.asp?pGB=1&amp;gicode=A053110&amp;cID=&amp;MenuYn=Y&amp;ReportGB=&amp;NewMenuID=108&amp;stkGb=701", "소리바다")</f>
        <v>0</v>
      </c>
      <c r="C2016">
        <v>0</v>
      </c>
      <c r="D2016">
        <v>421</v>
      </c>
      <c r="E2016">
        <v>0</v>
      </c>
      <c r="G2016">
        <v>0</v>
      </c>
      <c r="H2016">
        <v>135</v>
      </c>
      <c r="I2016">
        <v>173</v>
      </c>
      <c r="J2016">
        <v>100</v>
      </c>
      <c r="K2016">
        <v>67.95999999999999</v>
      </c>
      <c r="L2016">
        <v>58.83</v>
      </c>
      <c r="M2016">
        <v>0</v>
      </c>
      <c r="N2016" t="b">
        <v>0</v>
      </c>
      <c r="O2016">
        <v>-200</v>
      </c>
      <c r="P2016" t="s">
        <v>2015</v>
      </c>
      <c r="Q2016" t="s">
        <v>2276</v>
      </c>
      <c r="R2016">
        <v>0</v>
      </c>
      <c r="S2016">
        <v>404</v>
      </c>
      <c r="T2016">
        <v>2888134</v>
      </c>
      <c r="U2016" t="s">
        <v>5987</v>
      </c>
      <c r="V2016">
        <v>12.87</v>
      </c>
      <c r="W2016" t="s">
        <v>8179</v>
      </c>
      <c r="X2016" t="s">
        <v>968</v>
      </c>
      <c r="Y2016">
        <v>458</v>
      </c>
      <c r="Z2016">
        <v>-75</v>
      </c>
      <c r="AA2016">
        <v>176846</v>
      </c>
    </row>
    <row r="2017" spans="1:28">
      <c r="A2017" s="2">
        <f>HYPERLINK("https://finance.naver.com/item/coinfo.nhn?code=950200", "A950200")</f>
        <v>0</v>
      </c>
      <c r="B2017">
        <f>HYPERLINK("http://comp.fnguide.com/SVO2/ASP/SVD_Consensus.asp?pGB=1&amp;gicode=A950200&amp;cID=&amp;MenuYn=Y&amp;ReportGB=&amp;NewMenuID=108&amp;stkGb=701", "소마젠(Reg.S)")</f>
        <v>0</v>
      </c>
      <c r="C2017">
        <v>0</v>
      </c>
      <c r="D2017">
        <v>19750</v>
      </c>
      <c r="E2017">
        <v>0</v>
      </c>
      <c r="G2017">
        <v>0</v>
      </c>
      <c r="H2017">
        <v>-599.9927347364876</v>
      </c>
      <c r="I2017">
        <v>-770.9595597579325</v>
      </c>
      <c r="J2017">
        <v>100</v>
      </c>
      <c r="K2017">
        <v>103.04</v>
      </c>
      <c r="L2017">
        <v>103.9</v>
      </c>
      <c r="M2017">
        <v>0</v>
      </c>
      <c r="N2017" t="b">
        <v>0</v>
      </c>
      <c r="O2017" t="s">
        <v>13</v>
      </c>
      <c r="P2017" t="s">
        <v>2016</v>
      </c>
      <c r="Q2017" t="s">
        <v>3310</v>
      </c>
      <c r="R2017">
        <v>0</v>
      </c>
      <c r="S2017" t="s">
        <v>3985</v>
      </c>
      <c r="T2017">
        <v>3604881</v>
      </c>
      <c r="U2017" t="s">
        <v>5988</v>
      </c>
      <c r="V2017">
        <v>58.15</v>
      </c>
      <c r="W2017" t="s">
        <v>8101</v>
      </c>
      <c r="X2017" t="s">
        <v>968</v>
      </c>
      <c r="Y2017" t="s">
        <v>10212</v>
      </c>
      <c r="Z2017" t="s">
        <v>10225</v>
      </c>
    </row>
    <row r="2018" spans="1:28">
      <c r="A2018" s="2">
        <f>HYPERLINK("https://finance.naver.com/item/coinfo.nhn?code=032680", "A032680")</f>
        <v>0</v>
      </c>
      <c r="B2018">
        <f>HYPERLINK("http://comp.fnguide.com/SVO2/ASP/SVD_Consensus.asp?pGB=1&amp;gicode=A032680&amp;cID=&amp;MenuYn=Y&amp;ReportGB=&amp;NewMenuID=108&amp;stkGb=701", "소프트센")</f>
        <v>0</v>
      </c>
      <c r="C2018">
        <v>0</v>
      </c>
      <c r="D2018">
        <v>2145</v>
      </c>
      <c r="E2018">
        <v>0</v>
      </c>
      <c r="G2018">
        <v>0</v>
      </c>
      <c r="H2018">
        <v>553</v>
      </c>
      <c r="I2018">
        <v>710</v>
      </c>
      <c r="J2018">
        <v>100</v>
      </c>
      <c r="K2018">
        <v>74.23999999999999</v>
      </c>
      <c r="L2018">
        <v>66.90000000000001</v>
      </c>
      <c r="M2018">
        <v>0</v>
      </c>
      <c r="N2018" t="b">
        <v>0</v>
      </c>
      <c r="O2018">
        <v>-100</v>
      </c>
      <c r="P2018" t="s">
        <v>2017</v>
      </c>
      <c r="Q2018" t="s">
        <v>2276</v>
      </c>
      <c r="R2018">
        <v>0</v>
      </c>
      <c r="S2018">
        <v>767</v>
      </c>
      <c r="T2018">
        <v>1525088</v>
      </c>
      <c r="U2018" t="s">
        <v>5989</v>
      </c>
      <c r="V2018">
        <v>22.96</v>
      </c>
      <c r="W2018" t="s">
        <v>8180</v>
      </c>
      <c r="X2018" t="s">
        <v>968</v>
      </c>
      <c r="Y2018">
        <v>950</v>
      </c>
      <c r="Z2018">
        <v>2</v>
      </c>
    </row>
    <row r="2019" spans="1:28">
      <c r="A2019" s="2">
        <f>HYPERLINK("https://finance.naver.com/item/coinfo.nhn?code=131100", "A131100")</f>
        <v>0</v>
      </c>
      <c r="B2019">
        <f>HYPERLINK("http://comp.fnguide.com/SVO2/ASP/SVD_Consensus.asp?pGB=1&amp;gicode=A131100&amp;cID=&amp;MenuYn=Y&amp;ReportGB=&amp;NewMenuID=108&amp;stkGb=701", "스카이이앤엠")</f>
        <v>0</v>
      </c>
      <c r="C2019">
        <v>0</v>
      </c>
      <c r="D2019">
        <v>2185</v>
      </c>
      <c r="E2019">
        <v>0</v>
      </c>
      <c r="G2019">
        <v>0</v>
      </c>
      <c r="H2019">
        <v>223</v>
      </c>
      <c r="I2019">
        <v>287</v>
      </c>
      <c r="J2019">
        <v>100</v>
      </c>
      <c r="K2019">
        <v>89.79000000000001</v>
      </c>
      <c r="L2019">
        <v>86.88</v>
      </c>
      <c r="M2019">
        <v>0</v>
      </c>
      <c r="N2019" t="b">
        <v>0</v>
      </c>
      <c r="O2019">
        <v>-853</v>
      </c>
      <c r="P2019" t="s">
        <v>2018</v>
      </c>
      <c r="Q2019" t="s">
        <v>2276</v>
      </c>
      <c r="R2019">
        <v>0</v>
      </c>
      <c r="S2019">
        <v>889</v>
      </c>
      <c r="T2019">
        <v>545640</v>
      </c>
      <c r="U2019" t="s">
        <v>5990</v>
      </c>
      <c r="V2019">
        <v>5.07</v>
      </c>
      <c r="W2019" t="s">
        <v>8181</v>
      </c>
      <c r="X2019" t="s">
        <v>968</v>
      </c>
      <c r="Y2019">
        <v>223</v>
      </c>
      <c r="Z2019">
        <v>-149</v>
      </c>
      <c r="AA2019">
        <v>23500</v>
      </c>
    </row>
    <row r="2020" spans="1:28">
      <c r="A2020" s="2">
        <f>HYPERLINK("https://finance.naver.com/item/coinfo.nhn?code=001000", "A001000")</f>
        <v>0</v>
      </c>
      <c r="B2020">
        <f>HYPERLINK("http://comp.fnguide.com/SVO2/ASP/SVD_Consensus.asp?pGB=1&amp;gicode=A001000&amp;cID=&amp;MenuYn=Y&amp;ReportGB=&amp;NewMenuID=108&amp;stkGb=701", "신라섬유")</f>
        <v>0</v>
      </c>
      <c r="C2020">
        <v>0</v>
      </c>
      <c r="D2020">
        <v>2215</v>
      </c>
      <c r="E2020">
        <v>26.05</v>
      </c>
      <c r="F2020">
        <v>213.43</v>
      </c>
      <c r="G2020">
        <v>127</v>
      </c>
      <c r="H2020">
        <v>409</v>
      </c>
      <c r="I2020">
        <v>490</v>
      </c>
      <c r="J2020">
        <v>94.29000000000001</v>
      </c>
      <c r="K2020">
        <v>81.52</v>
      </c>
      <c r="L2020">
        <v>77.88</v>
      </c>
      <c r="M2020">
        <v>1.69</v>
      </c>
      <c r="N2020" t="b">
        <v>1</v>
      </c>
      <c r="O2020">
        <v>9</v>
      </c>
      <c r="P2020" t="s">
        <v>2019</v>
      </c>
      <c r="Q2020" t="s">
        <v>3828</v>
      </c>
      <c r="R2020">
        <v>8.193294909616998</v>
      </c>
      <c r="S2020">
        <v>538</v>
      </c>
      <c r="T2020">
        <v>429464</v>
      </c>
      <c r="U2020" t="s">
        <v>5991</v>
      </c>
      <c r="V2020">
        <v>61.77</v>
      </c>
      <c r="W2020" t="s">
        <v>8182</v>
      </c>
      <c r="X2020" t="s">
        <v>10045</v>
      </c>
      <c r="Y2020">
        <v>42</v>
      </c>
      <c r="Z2020">
        <v>7</v>
      </c>
    </row>
    <row r="2021" spans="1:28">
      <c r="A2021" s="2">
        <f>HYPERLINK("https://finance.naver.com/item/coinfo.nhn?code=131090", "A131090")</f>
        <v>0</v>
      </c>
      <c r="B2021">
        <f>HYPERLINK("http://comp.fnguide.com/SVO2/ASP/SVD_Consensus.asp?pGB=1&amp;gicode=A131090&amp;cID=&amp;MenuYn=Y&amp;ReportGB=&amp;NewMenuID=108&amp;stkGb=701", "시큐브")</f>
        <v>0</v>
      </c>
      <c r="C2021">
        <v>0</v>
      </c>
      <c r="D2021">
        <v>1615</v>
      </c>
      <c r="E2021">
        <v>0.28</v>
      </c>
      <c r="F2021">
        <v>11.35</v>
      </c>
      <c r="G2021">
        <v>1547</v>
      </c>
      <c r="H2021">
        <v>1127</v>
      </c>
      <c r="I2021">
        <v>1007</v>
      </c>
      <c r="J2021">
        <v>4.19</v>
      </c>
      <c r="K2021">
        <v>30.2</v>
      </c>
      <c r="L2021">
        <v>37.62</v>
      </c>
      <c r="M2021">
        <v>14.54</v>
      </c>
      <c r="N2021" t="b">
        <v>1</v>
      </c>
      <c r="O2021">
        <v>129</v>
      </c>
      <c r="P2021" t="s">
        <v>2020</v>
      </c>
      <c r="Q2021" t="s">
        <v>3829</v>
      </c>
      <c r="R2021">
        <v>41.2708540617428</v>
      </c>
      <c r="S2021">
        <v>646</v>
      </c>
      <c r="T2021">
        <v>879009</v>
      </c>
      <c r="U2021" t="s">
        <v>5992</v>
      </c>
      <c r="V2021">
        <v>28</v>
      </c>
      <c r="W2021" t="s">
        <v>8183</v>
      </c>
      <c r="X2021" t="s">
        <v>10046</v>
      </c>
      <c r="Y2021">
        <v>182</v>
      </c>
      <c r="Z2021">
        <v>51</v>
      </c>
      <c r="AA2021">
        <v>2974939</v>
      </c>
      <c r="AB2021">
        <v>0.65</v>
      </c>
    </row>
    <row r="2022" spans="1:28">
      <c r="A2022" s="2">
        <f>HYPERLINK("https://finance.naver.com/item/coinfo.nhn?code=269620", "A269620")</f>
        <v>0</v>
      </c>
      <c r="B2022">
        <f>HYPERLINK("http://comp.fnguide.com/SVO2/ASP/SVD_Consensus.asp?pGB=1&amp;gicode=A269620&amp;cID=&amp;MenuYn=Y&amp;ReportGB=&amp;NewMenuID=108&amp;stkGb=701", "시스웍")</f>
        <v>0</v>
      </c>
      <c r="C2022">
        <v>0</v>
      </c>
      <c r="D2022">
        <v>2700</v>
      </c>
      <c r="E2022">
        <v>-1.41</v>
      </c>
      <c r="F2022">
        <v>20.79</v>
      </c>
      <c r="G2022">
        <v>755</v>
      </c>
      <c r="H2022">
        <v>619</v>
      </c>
      <c r="I2022">
        <v>580</v>
      </c>
      <c r="J2022">
        <v>72.02</v>
      </c>
      <c r="K2022">
        <v>77.08</v>
      </c>
      <c r="L2022">
        <v>78.53</v>
      </c>
      <c r="M2022">
        <v>11.41</v>
      </c>
      <c r="N2022" t="b">
        <v>1</v>
      </c>
      <c r="O2022">
        <v>37</v>
      </c>
      <c r="P2022" t="s">
        <v>2021</v>
      </c>
      <c r="Q2022" t="s">
        <v>3830</v>
      </c>
      <c r="R2022">
        <v>-14.73801016704679</v>
      </c>
      <c r="S2022">
        <v>2008</v>
      </c>
      <c r="T2022">
        <v>6121532</v>
      </c>
      <c r="U2022" t="s">
        <v>5993</v>
      </c>
      <c r="V2022">
        <v>14.52</v>
      </c>
      <c r="W2022" t="s">
        <v>8184</v>
      </c>
      <c r="X2022" t="s">
        <v>10047</v>
      </c>
      <c r="Y2022">
        <v>149</v>
      </c>
      <c r="Z2022">
        <v>7</v>
      </c>
      <c r="AA2022">
        <v>479258</v>
      </c>
      <c r="AB2022">
        <v>1.76</v>
      </c>
    </row>
    <row r="2023" spans="1:28">
      <c r="A2023" s="2">
        <f>HYPERLINK("https://finance.naver.com/item/coinfo.nhn?code=025320", "A025320")</f>
        <v>0</v>
      </c>
      <c r="B2023">
        <f>HYPERLINK("http://comp.fnguide.com/SVO2/ASP/SVD_Consensus.asp?pGB=1&amp;gicode=A025320&amp;cID=&amp;MenuYn=Y&amp;ReportGB=&amp;NewMenuID=108&amp;stkGb=701", "시노펙스")</f>
        <v>0</v>
      </c>
      <c r="C2023">
        <v>0</v>
      </c>
      <c r="D2023">
        <v>4600</v>
      </c>
      <c r="E2023">
        <v>0.04</v>
      </c>
      <c r="F2023">
        <v>31.83</v>
      </c>
      <c r="G2023">
        <v>644</v>
      </c>
      <c r="H2023">
        <v>941</v>
      </c>
      <c r="I2023">
        <v>1026</v>
      </c>
      <c r="J2023">
        <v>86</v>
      </c>
      <c r="K2023">
        <v>79.54000000000001</v>
      </c>
      <c r="L2023">
        <v>77.69</v>
      </c>
      <c r="M2023">
        <v>4.5</v>
      </c>
      <c r="N2023" t="b">
        <v>1</v>
      </c>
      <c r="O2023">
        <v>86</v>
      </c>
      <c r="P2023" t="s">
        <v>2022</v>
      </c>
      <c r="Q2023" t="s">
        <v>3831</v>
      </c>
      <c r="R2023">
        <v>785.5</v>
      </c>
      <c r="S2023">
        <v>3369</v>
      </c>
      <c r="T2023">
        <v>2144434</v>
      </c>
      <c r="U2023" t="s">
        <v>5994</v>
      </c>
      <c r="V2023">
        <v>8.84</v>
      </c>
      <c r="W2023" t="s">
        <v>8185</v>
      </c>
      <c r="X2023" t="s">
        <v>10048</v>
      </c>
      <c r="Y2023">
        <v>2171</v>
      </c>
      <c r="Z2023">
        <v>167</v>
      </c>
      <c r="AA2023">
        <v>546868</v>
      </c>
    </row>
    <row r="2024" spans="1:28">
      <c r="A2024" s="2">
        <f>HYPERLINK("https://finance.naver.com/item/coinfo.nhn?code=048870", "A048870")</f>
        <v>0</v>
      </c>
      <c r="B2024">
        <f>HYPERLINK("http://comp.fnguide.com/SVO2/ASP/SVD_Consensus.asp?pGB=1&amp;gicode=A048870&amp;cID=&amp;MenuYn=Y&amp;ReportGB=&amp;NewMenuID=108&amp;stkGb=701", "시너지이노베이션")</f>
        <v>0</v>
      </c>
      <c r="C2024">
        <v>0</v>
      </c>
      <c r="D2024">
        <v>3620</v>
      </c>
      <c r="E2024">
        <v>0</v>
      </c>
      <c r="F2024">
        <v>41.49</v>
      </c>
      <c r="G2024">
        <v>335</v>
      </c>
      <c r="H2024">
        <v>751</v>
      </c>
      <c r="I2024">
        <v>870</v>
      </c>
      <c r="J2024">
        <v>90.73999999999999</v>
      </c>
      <c r="K2024">
        <v>79.23999999999999</v>
      </c>
      <c r="L2024">
        <v>75.97</v>
      </c>
      <c r="M2024">
        <v>2.6</v>
      </c>
      <c r="N2024" t="b">
        <v>1</v>
      </c>
      <c r="O2024">
        <v>52</v>
      </c>
      <c r="P2024" t="s">
        <v>2023</v>
      </c>
      <c r="Q2024" t="s">
        <v>2276</v>
      </c>
      <c r="R2024">
        <v>0</v>
      </c>
      <c r="S2024">
        <v>2645</v>
      </c>
      <c r="T2024">
        <v>378921</v>
      </c>
      <c r="U2024" t="s">
        <v>5995</v>
      </c>
      <c r="V2024">
        <v>42.77</v>
      </c>
      <c r="W2024" t="s">
        <v>8186</v>
      </c>
      <c r="X2024" t="s">
        <v>10049</v>
      </c>
      <c r="Y2024">
        <v>546</v>
      </c>
      <c r="Z2024">
        <v>12</v>
      </c>
    </row>
    <row r="2025" spans="1:28">
      <c r="A2025" s="2">
        <f>HYPERLINK("https://finance.naver.com/item/coinfo.nhn?code=013810", "A013810")</f>
        <v>0</v>
      </c>
      <c r="B2025">
        <f>HYPERLINK("http://comp.fnguide.com/SVO2/ASP/SVD_Consensus.asp?pGB=1&amp;gicode=A013810&amp;cID=&amp;MenuYn=Y&amp;ReportGB=&amp;NewMenuID=108&amp;stkGb=701", "스페코")</f>
        <v>0</v>
      </c>
      <c r="C2025">
        <v>0</v>
      </c>
      <c r="D2025">
        <v>10750</v>
      </c>
      <c r="E2025">
        <v>-0.26</v>
      </c>
      <c r="F2025">
        <v>6.45</v>
      </c>
      <c r="G2025">
        <v>4620</v>
      </c>
      <c r="H2025">
        <v>3414</v>
      </c>
      <c r="I2025">
        <v>3071</v>
      </c>
      <c r="J2025">
        <v>57.02</v>
      </c>
      <c r="K2025">
        <v>68.23999999999999</v>
      </c>
      <c r="L2025">
        <v>71.43000000000001</v>
      </c>
      <c r="M2025">
        <v>14.09</v>
      </c>
      <c r="N2025" t="b">
        <v>1</v>
      </c>
      <c r="O2025">
        <v>632</v>
      </c>
      <c r="P2025" t="s">
        <v>2024</v>
      </c>
      <c r="Q2025" t="s">
        <v>3832</v>
      </c>
      <c r="R2025">
        <v>-24.46610032574779</v>
      </c>
      <c r="S2025">
        <v>1575</v>
      </c>
      <c r="T2025">
        <v>1118774</v>
      </c>
      <c r="U2025" t="s">
        <v>5996</v>
      </c>
      <c r="V2025">
        <v>33.55</v>
      </c>
      <c r="W2025" t="s">
        <v>8187</v>
      </c>
      <c r="X2025" t="s">
        <v>10050</v>
      </c>
      <c r="Y2025">
        <v>747</v>
      </c>
      <c r="Z2025">
        <v>66</v>
      </c>
    </row>
    <row r="2026" spans="1:28">
      <c r="A2026" s="2">
        <f>HYPERLINK("https://finance.naver.com/item/coinfo.nhn?code=204630", "A204630")</f>
        <v>0</v>
      </c>
      <c r="B2026">
        <f>HYPERLINK("http://comp.fnguide.com/SVO2/ASP/SVD_Consensus.asp?pGB=1&amp;gicode=A204630&amp;cID=&amp;MenuYn=Y&amp;ReportGB=&amp;NewMenuID=108&amp;stkGb=701", "스튜디오산타클로스")</f>
        <v>0</v>
      </c>
      <c r="C2026">
        <v>0</v>
      </c>
      <c r="D2026">
        <v>2080</v>
      </c>
      <c r="E2026">
        <v>0</v>
      </c>
      <c r="G2026">
        <v>18</v>
      </c>
      <c r="H2026">
        <v>807</v>
      </c>
      <c r="I2026">
        <v>1032</v>
      </c>
      <c r="J2026">
        <v>99.14</v>
      </c>
      <c r="K2026">
        <v>61.21</v>
      </c>
      <c r="L2026">
        <v>50.41</v>
      </c>
      <c r="M2026">
        <v>0.11</v>
      </c>
      <c r="N2026" t="b">
        <v>0</v>
      </c>
      <c r="O2026">
        <v>-187</v>
      </c>
      <c r="P2026" t="s">
        <v>2025</v>
      </c>
      <c r="Q2026" t="s">
        <v>2276</v>
      </c>
      <c r="R2026">
        <v>0</v>
      </c>
      <c r="S2026">
        <v>613</v>
      </c>
      <c r="T2026">
        <v>122728</v>
      </c>
      <c r="U2026" t="s">
        <v>5997</v>
      </c>
      <c r="V2026">
        <v>25.34</v>
      </c>
      <c r="W2026" t="s">
        <v>8188</v>
      </c>
      <c r="X2026" t="s">
        <v>10051</v>
      </c>
      <c r="Y2026">
        <v>406</v>
      </c>
      <c r="Z2026">
        <v>-86</v>
      </c>
    </row>
    <row r="2027" spans="1:28">
      <c r="A2027" s="2">
        <f>HYPERLINK("https://finance.naver.com/item/coinfo.nhn?code=253450", "A253450")</f>
        <v>0</v>
      </c>
      <c r="B2027">
        <f>HYPERLINK("http://comp.fnguide.com/SVO2/ASP/SVD_Consensus.asp?pGB=1&amp;gicode=A253450&amp;cID=&amp;MenuYn=Y&amp;ReportGB=&amp;NewMenuID=108&amp;stkGb=701", "스튜디오드래곤")</f>
        <v>0</v>
      </c>
      <c r="C2027">
        <v>0</v>
      </c>
      <c r="D2027">
        <v>82600</v>
      </c>
      <c r="E2027">
        <v>0</v>
      </c>
      <c r="F2027">
        <v>85.93000000000001</v>
      </c>
      <c r="G2027">
        <v>14084</v>
      </c>
      <c r="H2027">
        <v>14198</v>
      </c>
      <c r="I2027">
        <v>14231</v>
      </c>
      <c r="J2027">
        <v>82.95</v>
      </c>
      <c r="K2027">
        <v>82.81</v>
      </c>
      <c r="L2027">
        <v>82.77</v>
      </c>
      <c r="M2027">
        <v>7.86</v>
      </c>
      <c r="N2027" t="b">
        <v>0</v>
      </c>
      <c r="O2027">
        <v>941</v>
      </c>
      <c r="P2027" t="s">
        <v>2026</v>
      </c>
      <c r="Q2027" t="s">
        <v>3833</v>
      </c>
      <c r="R2027">
        <v>0</v>
      </c>
      <c r="S2027">
        <v>24784</v>
      </c>
      <c r="T2027">
        <v>290105</v>
      </c>
      <c r="U2027" t="s">
        <v>5998</v>
      </c>
      <c r="V2027">
        <v>56.94</v>
      </c>
      <c r="W2027" t="s">
        <v>8189</v>
      </c>
      <c r="X2027" t="s">
        <v>10052</v>
      </c>
      <c r="Y2027">
        <v>4687</v>
      </c>
      <c r="Z2027">
        <v>287</v>
      </c>
    </row>
    <row r="2028" spans="1:28">
      <c r="A2028" s="2">
        <f>HYPERLINK("https://finance.naver.com/item/coinfo.nhn?code=159910", "A159910")</f>
        <v>0</v>
      </c>
      <c r="B2028">
        <f>HYPERLINK("http://comp.fnguide.com/SVO2/ASP/SVD_Consensus.asp?pGB=1&amp;gicode=A159910&amp;cID=&amp;MenuYn=Y&amp;ReportGB=&amp;NewMenuID=108&amp;stkGb=701", "스킨앤스킨")</f>
        <v>0</v>
      </c>
      <c r="C2028">
        <v>0</v>
      </c>
      <c r="D2028">
        <v>263</v>
      </c>
      <c r="E2028">
        <v>0</v>
      </c>
      <c r="G2028">
        <v>0</v>
      </c>
      <c r="H2028">
        <v>167</v>
      </c>
      <c r="I2028">
        <v>214</v>
      </c>
      <c r="J2028">
        <v>100</v>
      </c>
      <c r="K2028">
        <v>36.53</v>
      </c>
      <c r="L2028">
        <v>18.44</v>
      </c>
      <c r="M2028">
        <v>0</v>
      </c>
      <c r="N2028" t="b">
        <v>0</v>
      </c>
      <c r="O2028">
        <v>-52</v>
      </c>
      <c r="P2028" t="s">
        <v>2027</v>
      </c>
      <c r="Q2028" t="s">
        <v>2276</v>
      </c>
      <c r="R2028">
        <v>0</v>
      </c>
      <c r="S2028">
        <v>366</v>
      </c>
      <c r="T2028">
        <v>0</v>
      </c>
      <c r="U2028" t="s">
        <v>5999</v>
      </c>
      <c r="V2028">
        <v>7.75</v>
      </c>
      <c r="W2028" t="s">
        <v>8190</v>
      </c>
      <c r="X2028" t="s">
        <v>968</v>
      </c>
      <c r="Y2028">
        <v>210</v>
      </c>
      <c r="Z2028">
        <v>-73</v>
      </c>
      <c r="AA2028">
        <v>2279400</v>
      </c>
    </row>
    <row r="2029" spans="1:28">
      <c r="A2029" s="2">
        <f>HYPERLINK("https://finance.naver.com/item/coinfo.nhn?code=253840", "A253840")</f>
        <v>0</v>
      </c>
      <c r="B2029">
        <f>HYPERLINK("http://comp.fnguide.com/SVO2/ASP/SVD_Consensus.asp?pGB=1&amp;gicode=A253840&amp;cID=&amp;MenuYn=Y&amp;ReportGB=&amp;NewMenuID=108&amp;stkGb=701", "수젠텍")</f>
        <v>0</v>
      </c>
      <c r="C2029">
        <v>0</v>
      </c>
      <c r="D2029">
        <v>23050</v>
      </c>
      <c r="E2029">
        <v>0</v>
      </c>
      <c r="G2029">
        <v>0</v>
      </c>
      <c r="H2029">
        <v>955</v>
      </c>
      <c r="I2029">
        <v>1227</v>
      </c>
      <c r="J2029">
        <v>100</v>
      </c>
      <c r="K2029">
        <v>95.86</v>
      </c>
      <c r="L2029">
        <v>94.68000000000001</v>
      </c>
      <c r="M2029">
        <v>0</v>
      </c>
      <c r="N2029" t="b">
        <v>0</v>
      </c>
      <c r="O2029">
        <v>-756</v>
      </c>
      <c r="P2029" t="s">
        <v>2028</v>
      </c>
      <c r="Q2029" t="s">
        <v>2276</v>
      </c>
      <c r="R2029">
        <v>0</v>
      </c>
      <c r="S2029">
        <v>3525</v>
      </c>
      <c r="T2029">
        <v>742130</v>
      </c>
      <c r="U2029" t="s">
        <v>6000</v>
      </c>
      <c r="V2029">
        <v>18.67</v>
      </c>
      <c r="W2029" t="s">
        <v>8191</v>
      </c>
      <c r="X2029" t="s">
        <v>968</v>
      </c>
      <c r="Y2029">
        <v>38</v>
      </c>
      <c r="Z2029">
        <v>-71</v>
      </c>
    </row>
    <row r="2030" spans="1:28">
      <c r="A2030" s="2">
        <f>HYPERLINK("https://finance.naver.com/item/coinfo.nhn?code=258790", "A258790")</f>
        <v>0</v>
      </c>
      <c r="B2030">
        <f>HYPERLINK("http://comp.fnguide.com/SVO2/ASP/SVD_Consensus.asp?pGB=1&amp;gicode=A258790&amp;cID=&amp;MenuYn=Y&amp;ReportGB=&amp;NewMenuID=108&amp;stkGb=701", "소프트캠프")</f>
        <v>0</v>
      </c>
      <c r="C2030">
        <v>0</v>
      </c>
      <c r="D2030">
        <v>3555</v>
      </c>
      <c r="E2030">
        <v>-1.32</v>
      </c>
      <c r="F2030">
        <v>85.78</v>
      </c>
      <c r="G2030">
        <v>324</v>
      </c>
      <c r="H2030">
        <v>367</v>
      </c>
      <c r="I2030">
        <v>380</v>
      </c>
      <c r="J2030">
        <v>90.87</v>
      </c>
      <c r="K2030">
        <v>89.66</v>
      </c>
      <c r="L2030">
        <v>89.31999999999999</v>
      </c>
      <c r="M2030">
        <v>6.53</v>
      </c>
      <c r="N2030" t="b">
        <v>1</v>
      </c>
      <c r="O2030">
        <v>20</v>
      </c>
      <c r="P2030" t="s">
        <v>2029</v>
      </c>
      <c r="Q2030" t="s">
        <v>3834</v>
      </c>
      <c r="R2030">
        <v>-64.94818121694681</v>
      </c>
      <c r="S2030">
        <v>888</v>
      </c>
      <c r="T2030">
        <v>2763188</v>
      </c>
      <c r="U2030" t="s">
        <v>6001</v>
      </c>
      <c r="V2030">
        <v>32.52</v>
      </c>
      <c r="W2030" t="s">
        <v>8192</v>
      </c>
      <c r="X2030" t="s">
        <v>10053</v>
      </c>
      <c r="Y2030">
        <v>197</v>
      </c>
      <c r="Z2030">
        <v>41</v>
      </c>
      <c r="AA2030">
        <v>1002632</v>
      </c>
    </row>
    <row r="2031" spans="1:28">
      <c r="A2031" s="2">
        <f>HYPERLINK("https://finance.naver.com/item/coinfo.nhn?code=084180", "A084180")</f>
        <v>0</v>
      </c>
      <c r="B2031">
        <f>HYPERLINK("http://comp.fnguide.com/SVO2/ASP/SVD_Consensus.asp?pGB=1&amp;gicode=A084180&amp;cID=&amp;MenuYn=Y&amp;ReportGB=&amp;NewMenuID=108&amp;stkGb=701", "수성")</f>
        <v>0</v>
      </c>
      <c r="C2031">
        <v>0</v>
      </c>
      <c r="D2031">
        <v>1530</v>
      </c>
      <c r="G2031">
        <v>0</v>
      </c>
      <c r="H2031">
        <v>588</v>
      </c>
      <c r="I2031">
        <v>756</v>
      </c>
      <c r="J2031">
        <v>100</v>
      </c>
      <c r="K2031">
        <v>61.56</v>
      </c>
      <c r="L2031">
        <v>50.61</v>
      </c>
      <c r="M2031">
        <v>0</v>
      </c>
      <c r="N2031" t="b">
        <v>0</v>
      </c>
      <c r="O2031">
        <v>-409</v>
      </c>
      <c r="P2031" t="s">
        <v>2030</v>
      </c>
      <c r="Q2031" t="s">
        <v>3835</v>
      </c>
      <c r="R2031">
        <v>16.3</v>
      </c>
      <c r="S2031">
        <v>243</v>
      </c>
      <c r="T2031">
        <v>115950</v>
      </c>
      <c r="U2031" t="s">
        <v>6002</v>
      </c>
      <c r="V2031">
        <v>16.68</v>
      </c>
      <c r="W2031" t="s">
        <v>8193</v>
      </c>
      <c r="X2031" t="s">
        <v>968</v>
      </c>
      <c r="Y2031">
        <v>227</v>
      </c>
      <c r="Z2031">
        <v>-11</v>
      </c>
    </row>
    <row r="2032" spans="1:28">
      <c r="A2032" s="2">
        <f>HYPERLINK("https://finance.naver.com/item/coinfo.nhn?code=050960", "A050960")</f>
        <v>0</v>
      </c>
      <c r="B2032">
        <f>HYPERLINK("http://comp.fnguide.com/SVO2/ASP/SVD_Consensus.asp?pGB=1&amp;gicode=A050960&amp;cID=&amp;MenuYn=Y&amp;ReportGB=&amp;NewMenuID=108&amp;stkGb=701", "수산아이앤티")</f>
        <v>0</v>
      </c>
      <c r="C2032">
        <v>0</v>
      </c>
      <c r="D2032">
        <v>11450</v>
      </c>
      <c r="E2032">
        <v>-3.43</v>
      </c>
      <c r="F2032">
        <v>17.32</v>
      </c>
      <c r="G2032">
        <v>6261</v>
      </c>
      <c r="H2032">
        <v>9272</v>
      </c>
      <c r="I2032">
        <v>10130</v>
      </c>
      <c r="J2032">
        <v>45.32</v>
      </c>
      <c r="K2032">
        <v>19.02</v>
      </c>
      <c r="L2032">
        <v>11.53</v>
      </c>
      <c r="M2032">
        <v>4.43</v>
      </c>
      <c r="N2032" t="b">
        <v>1</v>
      </c>
      <c r="O2032">
        <v>430</v>
      </c>
      <c r="P2032" t="s">
        <v>2031</v>
      </c>
      <c r="Q2032" t="s">
        <v>3836</v>
      </c>
      <c r="R2032">
        <v>-5.05346491676959</v>
      </c>
      <c r="S2032">
        <v>773</v>
      </c>
      <c r="T2032">
        <v>573564</v>
      </c>
      <c r="U2032" t="s">
        <v>6003</v>
      </c>
      <c r="V2032">
        <v>51.85</v>
      </c>
      <c r="W2032" t="s">
        <v>8194</v>
      </c>
      <c r="X2032" t="s">
        <v>10054</v>
      </c>
      <c r="Y2032">
        <v>160</v>
      </c>
      <c r="Z2032">
        <v>28</v>
      </c>
      <c r="AB2032">
        <v>1.01</v>
      </c>
    </row>
    <row r="2033" spans="1:28">
      <c r="A2033" s="2">
        <f>HYPERLINK("https://finance.naver.com/item/coinfo.nhn?code=086980", "A086980")</f>
        <v>0</v>
      </c>
      <c r="B2033">
        <f>HYPERLINK("http://comp.fnguide.com/SVO2/ASP/SVD_Consensus.asp?pGB=1&amp;gicode=A086980&amp;cID=&amp;MenuYn=Y&amp;ReportGB=&amp;NewMenuID=108&amp;stkGb=701", "쇼박스")</f>
        <v>0</v>
      </c>
      <c r="C2033">
        <v>0</v>
      </c>
      <c r="D2033">
        <v>3040</v>
      </c>
      <c r="E2033">
        <v>-2.77</v>
      </c>
      <c r="F2033">
        <v>74.52</v>
      </c>
      <c r="G2033">
        <v>1185</v>
      </c>
      <c r="H2033">
        <v>1828</v>
      </c>
      <c r="I2033">
        <v>2011</v>
      </c>
      <c r="J2033">
        <v>61.02</v>
      </c>
      <c r="K2033">
        <v>39.88</v>
      </c>
      <c r="L2033">
        <v>33.85</v>
      </c>
      <c r="M2033">
        <v>4.19</v>
      </c>
      <c r="N2033" t="b">
        <v>0</v>
      </c>
      <c r="O2033">
        <v>52</v>
      </c>
      <c r="P2033" t="s">
        <v>2032</v>
      </c>
      <c r="Q2033" t="s">
        <v>3837</v>
      </c>
      <c r="R2033">
        <v>-26.94483441029555</v>
      </c>
      <c r="S2033">
        <v>1903</v>
      </c>
      <c r="T2033">
        <v>647305</v>
      </c>
      <c r="U2033" t="s">
        <v>6004</v>
      </c>
      <c r="V2033">
        <v>57.51</v>
      </c>
      <c r="W2033" t="s">
        <v>8195</v>
      </c>
      <c r="X2033" t="s">
        <v>10055</v>
      </c>
      <c r="Y2033">
        <v>787</v>
      </c>
      <c r="Z2033">
        <v>19</v>
      </c>
      <c r="AA2033">
        <v>200000</v>
      </c>
      <c r="AB2033">
        <v>1.29</v>
      </c>
    </row>
    <row r="2034" spans="1:28">
      <c r="A2034" s="2">
        <f>HYPERLINK("https://finance.naver.com/item/coinfo.nhn?code=230980", "A230980")</f>
        <v>0</v>
      </c>
      <c r="B2034">
        <f>HYPERLINK("http://comp.fnguide.com/SVO2/ASP/SVD_Consensus.asp?pGB=1&amp;gicode=A230980&amp;cID=&amp;MenuYn=Y&amp;ReportGB=&amp;NewMenuID=108&amp;stkGb=701", "솔트웍스")</f>
        <v>0</v>
      </c>
      <c r="C2034">
        <v>0</v>
      </c>
      <c r="D2034">
        <v>4400</v>
      </c>
      <c r="E2034">
        <v>0</v>
      </c>
      <c r="G2034">
        <v>145</v>
      </c>
      <c r="H2034">
        <v>461</v>
      </c>
      <c r="I2034">
        <v>552</v>
      </c>
      <c r="J2034">
        <v>96.70999999999999</v>
      </c>
      <c r="K2034">
        <v>89.51000000000001</v>
      </c>
      <c r="L2034">
        <v>87.45999999999999</v>
      </c>
      <c r="M2034">
        <v>1.71</v>
      </c>
      <c r="N2034" t="b">
        <v>0</v>
      </c>
      <c r="O2034">
        <v>-884</v>
      </c>
      <c r="P2034" t="s">
        <v>2033</v>
      </c>
      <c r="Q2034" t="s">
        <v>2276</v>
      </c>
      <c r="R2034">
        <v>0</v>
      </c>
      <c r="S2034">
        <v>661</v>
      </c>
      <c r="T2034">
        <v>142901</v>
      </c>
      <c r="U2034" t="s">
        <v>6005</v>
      </c>
      <c r="V2034">
        <v>21.01</v>
      </c>
      <c r="W2034" t="s">
        <v>8196</v>
      </c>
      <c r="X2034" t="s">
        <v>10056</v>
      </c>
      <c r="Y2034">
        <v>131</v>
      </c>
      <c r="Z2034">
        <v>-13</v>
      </c>
      <c r="AA2034">
        <v>8</v>
      </c>
    </row>
    <row r="2035" spans="1:28">
      <c r="A2035" s="2">
        <f>HYPERLINK("https://finance.naver.com/item/coinfo.nhn?code=304100", "A304100")</f>
        <v>0</v>
      </c>
      <c r="B2035">
        <f>HYPERLINK("http://comp.fnguide.com/SVO2/ASP/SVD_Consensus.asp?pGB=1&amp;gicode=A304100&amp;cID=&amp;MenuYn=Y&amp;ReportGB=&amp;NewMenuID=108&amp;stkGb=701", "솔트룩스")</f>
        <v>0</v>
      </c>
      <c r="C2035">
        <v>0</v>
      </c>
      <c r="D2035">
        <v>33300</v>
      </c>
      <c r="G2035">
        <v>1441</v>
      </c>
      <c r="H2035">
        <v>5152</v>
      </c>
      <c r="I2035">
        <v>6209</v>
      </c>
      <c r="J2035">
        <v>95.67</v>
      </c>
      <c r="K2035">
        <v>84.53</v>
      </c>
      <c r="L2035">
        <v>81.34999999999999</v>
      </c>
      <c r="M2035">
        <v>1.51</v>
      </c>
      <c r="N2035" t="b">
        <v>0</v>
      </c>
      <c r="O2035">
        <v>203</v>
      </c>
      <c r="P2035" t="s">
        <v>2034</v>
      </c>
      <c r="Q2035" t="s">
        <v>3838</v>
      </c>
      <c r="R2035">
        <v>18.96281454715643</v>
      </c>
      <c r="S2035">
        <v>1692</v>
      </c>
      <c r="T2035">
        <v>103970</v>
      </c>
      <c r="U2035" t="s">
        <v>6006</v>
      </c>
      <c r="V2035">
        <v>26.71</v>
      </c>
      <c r="W2035" t="s">
        <v>8197</v>
      </c>
      <c r="X2035" t="s">
        <v>968</v>
      </c>
      <c r="Y2035">
        <v>184</v>
      </c>
      <c r="Z2035">
        <v>0</v>
      </c>
    </row>
    <row r="2036" spans="1:28">
      <c r="A2036" s="2">
        <f>HYPERLINK("https://finance.naver.com/item/coinfo.nhn?code=357780", "A357780")</f>
        <v>0</v>
      </c>
      <c r="B2036">
        <f>HYPERLINK("http://comp.fnguide.com/SVO2/ASP/SVD_Consensus.asp?pGB=1&amp;gicode=A357780&amp;cID=&amp;MenuYn=Y&amp;ReportGB=&amp;NewMenuID=108&amp;stkGb=701", "솔브레인")</f>
        <v>0</v>
      </c>
      <c r="C2036">
        <v>0</v>
      </c>
      <c r="D2036">
        <v>254500</v>
      </c>
      <c r="E2036">
        <v>0</v>
      </c>
      <c r="G2036">
        <v>0</v>
      </c>
      <c r="H2036">
        <v>36343</v>
      </c>
      <c r="I2036">
        <v>46698</v>
      </c>
      <c r="J2036">
        <v>100</v>
      </c>
      <c r="K2036">
        <v>85.72</v>
      </c>
      <c r="L2036">
        <v>81.65000000000001</v>
      </c>
      <c r="M2036">
        <v>0</v>
      </c>
      <c r="N2036" t="b">
        <v>0</v>
      </c>
      <c r="P2036" t="s">
        <v>2035</v>
      </c>
      <c r="Q2036" t="s">
        <v>2757</v>
      </c>
      <c r="R2036">
        <v>0</v>
      </c>
      <c r="S2036">
        <v>19796</v>
      </c>
      <c r="T2036">
        <v>69965</v>
      </c>
      <c r="U2036" t="s">
        <v>6007</v>
      </c>
      <c r="V2036">
        <v>46.47</v>
      </c>
      <c r="W2036" t="s">
        <v>968</v>
      </c>
      <c r="X2036" t="s">
        <v>968</v>
      </c>
    </row>
    <row r="2037" spans="1:28">
      <c r="A2037" s="2">
        <f>HYPERLINK("https://finance.naver.com/item/coinfo.nhn?code=035610", "A035610")</f>
        <v>0</v>
      </c>
      <c r="B2037">
        <f>HYPERLINK("http://comp.fnguide.com/SVO2/ASP/SVD_Consensus.asp?pGB=1&amp;gicode=A035610&amp;cID=&amp;MenuYn=Y&amp;ReportGB=&amp;NewMenuID=108&amp;stkGb=701", "솔본")</f>
        <v>0</v>
      </c>
      <c r="C2037">
        <v>0</v>
      </c>
      <c r="D2037">
        <v>6400</v>
      </c>
      <c r="E2037">
        <v>-0.79</v>
      </c>
      <c r="F2037">
        <v>62.11</v>
      </c>
      <c r="G2037">
        <v>2141</v>
      </c>
      <c r="H2037">
        <v>4139</v>
      </c>
      <c r="I2037">
        <v>4708</v>
      </c>
      <c r="J2037">
        <v>66.55</v>
      </c>
      <c r="K2037">
        <v>35.33</v>
      </c>
      <c r="L2037">
        <v>26.43</v>
      </c>
      <c r="M2037">
        <v>3.12</v>
      </c>
      <c r="N2037" t="b">
        <v>0</v>
      </c>
      <c r="O2037">
        <v>65</v>
      </c>
      <c r="P2037" t="s">
        <v>2036</v>
      </c>
      <c r="Q2037" t="s">
        <v>3839</v>
      </c>
      <c r="R2037">
        <v>-78.42686856295545</v>
      </c>
      <c r="S2037">
        <v>1750</v>
      </c>
      <c r="T2037">
        <v>30297210</v>
      </c>
      <c r="U2037" t="s">
        <v>6008</v>
      </c>
      <c r="V2037">
        <v>45.59</v>
      </c>
      <c r="W2037" t="s">
        <v>8198</v>
      </c>
      <c r="X2037" t="s">
        <v>10057</v>
      </c>
      <c r="Y2037">
        <v>803</v>
      </c>
      <c r="Z2037">
        <v>3</v>
      </c>
      <c r="AA2037">
        <v>1679052</v>
      </c>
    </row>
    <row r="2038" spans="1:28">
      <c r="A2038" s="2">
        <f>HYPERLINK("https://finance.naver.com/item/coinfo.nhn?code=154040", "A154040")</f>
        <v>0</v>
      </c>
      <c r="B2038">
        <f>HYPERLINK("http://comp.fnguide.com/SVO2/ASP/SVD_Consensus.asp?pGB=1&amp;gicode=A154040&amp;cID=&amp;MenuYn=Y&amp;ReportGB=&amp;NewMenuID=108&amp;stkGb=701", "솔루에타")</f>
        <v>0</v>
      </c>
      <c r="C2038">
        <v>0</v>
      </c>
      <c r="D2038">
        <v>3965</v>
      </c>
      <c r="E2038">
        <v>0</v>
      </c>
      <c r="G2038">
        <v>1</v>
      </c>
      <c r="H2038">
        <v>2958</v>
      </c>
      <c r="I2038">
        <v>3801</v>
      </c>
      <c r="J2038">
        <v>99.97</v>
      </c>
      <c r="K2038">
        <v>25.39</v>
      </c>
      <c r="L2038">
        <v>4.14</v>
      </c>
      <c r="M2038">
        <v>0</v>
      </c>
      <c r="N2038" t="b">
        <v>0</v>
      </c>
      <c r="O2038">
        <v>-200</v>
      </c>
      <c r="P2038" t="s">
        <v>2037</v>
      </c>
      <c r="Q2038" t="s">
        <v>2276</v>
      </c>
      <c r="R2038">
        <v>0</v>
      </c>
      <c r="S2038">
        <v>515</v>
      </c>
      <c r="T2038">
        <v>153905</v>
      </c>
      <c r="U2038" t="s">
        <v>6009</v>
      </c>
      <c r="V2038">
        <v>31.77</v>
      </c>
      <c r="W2038" t="s">
        <v>8199</v>
      </c>
      <c r="X2038" t="s">
        <v>10058</v>
      </c>
      <c r="Y2038">
        <v>2563</v>
      </c>
      <c r="Z2038">
        <v>62</v>
      </c>
    </row>
    <row r="2039" spans="1:28">
      <c r="A2039" s="2">
        <f>HYPERLINK("https://finance.naver.com/item/coinfo.nhn?code=066910", "A066910")</f>
        <v>0</v>
      </c>
      <c r="B2039">
        <f>HYPERLINK("http://comp.fnguide.com/SVO2/ASP/SVD_Consensus.asp?pGB=1&amp;gicode=A066910&amp;cID=&amp;MenuYn=Y&amp;ReportGB=&amp;NewMenuID=108&amp;stkGb=701", "손오공")</f>
        <v>0</v>
      </c>
      <c r="C2039">
        <v>0</v>
      </c>
      <c r="D2039">
        <v>1895</v>
      </c>
      <c r="G2039">
        <v>215</v>
      </c>
      <c r="H2039">
        <v>633</v>
      </c>
      <c r="I2039">
        <v>752</v>
      </c>
      <c r="J2039">
        <v>88.65000000000001</v>
      </c>
      <c r="K2039">
        <v>66.59999999999999</v>
      </c>
      <c r="L2039">
        <v>60.31</v>
      </c>
      <c r="M2039">
        <v>1.88</v>
      </c>
      <c r="N2039" t="b">
        <v>0</v>
      </c>
      <c r="O2039">
        <v>-80</v>
      </c>
      <c r="P2039" t="s">
        <v>2038</v>
      </c>
      <c r="Q2039" t="s">
        <v>3840</v>
      </c>
      <c r="R2039">
        <v>-81</v>
      </c>
      <c r="S2039">
        <v>510</v>
      </c>
      <c r="T2039">
        <v>783666</v>
      </c>
      <c r="U2039" t="s">
        <v>6010</v>
      </c>
      <c r="V2039">
        <v>9.77</v>
      </c>
      <c r="W2039" t="s">
        <v>8200</v>
      </c>
      <c r="X2039" t="s">
        <v>10059</v>
      </c>
      <c r="Y2039">
        <v>734</v>
      </c>
      <c r="Z2039">
        <v>-21</v>
      </c>
      <c r="AA2039">
        <v>100000</v>
      </c>
    </row>
    <row r="2040" spans="1:28">
      <c r="A2040" s="2">
        <f>HYPERLINK("https://finance.naver.com/item/coinfo.nhn?code=021880", "A021880")</f>
        <v>0</v>
      </c>
      <c r="B2040">
        <f>HYPERLINK("http://comp.fnguide.com/SVO2/ASP/SVD_Consensus.asp?pGB=1&amp;gicode=A021880&amp;cID=&amp;MenuYn=Y&amp;ReportGB=&amp;NewMenuID=108&amp;stkGb=701", "메이슨캐피탈")</f>
        <v>0</v>
      </c>
      <c r="C2040">
        <v>0</v>
      </c>
      <c r="D2040">
        <v>435</v>
      </c>
      <c r="E2040">
        <v>0</v>
      </c>
      <c r="G2040">
        <v>0</v>
      </c>
      <c r="H2040">
        <v>188</v>
      </c>
      <c r="I2040">
        <v>241</v>
      </c>
      <c r="J2040">
        <v>100</v>
      </c>
      <c r="K2040">
        <v>56.83</v>
      </c>
      <c r="L2040">
        <v>44.53</v>
      </c>
      <c r="M2040">
        <v>0</v>
      </c>
      <c r="N2040" t="b">
        <v>0</v>
      </c>
      <c r="O2040">
        <v>-69</v>
      </c>
      <c r="P2040" t="s">
        <v>2039</v>
      </c>
      <c r="Q2040" t="s">
        <v>2276</v>
      </c>
      <c r="R2040">
        <v>0</v>
      </c>
      <c r="S2040">
        <v>431</v>
      </c>
      <c r="T2040">
        <v>354779</v>
      </c>
      <c r="U2040" t="s">
        <v>6011</v>
      </c>
      <c r="V2040">
        <v>38.1</v>
      </c>
      <c r="W2040" t="s">
        <v>8201</v>
      </c>
      <c r="X2040" t="s">
        <v>968</v>
      </c>
      <c r="Y2040">
        <v>-24</v>
      </c>
      <c r="Z2040">
        <v>-71</v>
      </c>
    </row>
    <row r="2041" spans="1:28">
      <c r="A2041" s="2">
        <f>HYPERLINK("https://finance.naver.com/item/coinfo.nhn?code=078160", "A078160")</f>
        <v>0</v>
      </c>
      <c r="B2041">
        <f>HYPERLINK("http://comp.fnguide.com/SVO2/ASP/SVD_Consensus.asp?pGB=1&amp;gicode=A078160&amp;cID=&amp;MenuYn=Y&amp;ReportGB=&amp;NewMenuID=108&amp;stkGb=701", "메디포스트")</f>
        <v>0</v>
      </c>
      <c r="C2041">
        <v>0</v>
      </c>
      <c r="D2041">
        <v>31400</v>
      </c>
      <c r="E2041">
        <v>0</v>
      </c>
      <c r="G2041">
        <v>0</v>
      </c>
      <c r="H2041">
        <v>4326</v>
      </c>
      <c r="I2041">
        <v>5559</v>
      </c>
      <c r="J2041">
        <v>100</v>
      </c>
      <c r="K2041">
        <v>86.22</v>
      </c>
      <c r="L2041">
        <v>82.3</v>
      </c>
      <c r="M2041">
        <v>0</v>
      </c>
      <c r="N2041" t="b">
        <v>0</v>
      </c>
      <c r="O2041">
        <v>-904</v>
      </c>
      <c r="P2041" t="s">
        <v>2040</v>
      </c>
      <c r="Q2041" t="s">
        <v>2276</v>
      </c>
      <c r="R2041">
        <v>0</v>
      </c>
      <c r="S2041">
        <v>4904</v>
      </c>
      <c r="T2041">
        <v>211629</v>
      </c>
      <c r="U2041" t="s">
        <v>6012</v>
      </c>
      <c r="V2041">
        <v>7.23</v>
      </c>
      <c r="W2041" t="s">
        <v>8202</v>
      </c>
      <c r="X2041" t="s">
        <v>968</v>
      </c>
      <c r="Y2041">
        <v>458</v>
      </c>
      <c r="Z2041">
        <v>-81</v>
      </c>
      <c r="AA2041">
        <v>119000</v>
      </c>
    </row>
    <row r="2042" spans="1:28">
      <c r="A2042" s="2">
        <f>HYPERLINK("https://finance.naver.com/item/coinfo.nhn?code=044480", "A044480")</f>
        <v>0</v>
      </c>
      <c r="B2042">
        <f>HYPERLINK("http://comp.fnguide.com/SVO2/ASP/SVD_Consensus.asp?pGB=1&amp;gicode=A044480&amp;cID=&amp;MenuYn=Y&amp;ReportGB=&amp;NewMenuID=108&amp;stkGb=701", "경남바이오파마")</f>
        <v>0</v>
      </c>
      <c r="C2042">
        <v>0</v>
      </c>
      <c r="D2042">
        <v>3440</v>
      </c>
      <c r="E2042">
        <v>0</v>
      </c>
      <c r="G2042">
        <v>0</v>
      </c>
      <c r="H2042">
        <v>1785</v>
      </c>
      <c r="I2042">
        <v>2294</v>
      </c>
      <c r="J2042">
        <v>100</v>
      </c>
      <c r="K2042">
        <v>48.1</v>
      </c>
      <c r="L2042">
        <v>33.31</v>
      </c>
      <c r="M2042">
        <v>0</v>
      </c>
      <c r="N2042" t="b">
        <v>0</v>
      </c>
      <c r="O2042">
        <v>-28</v>
      </c>
      <c r="P2042" t="s">
        <v>2041</v>
      </c>
      <c r="Q2042" t="s">
        <v>2276</v>
      </c>
      <c r="R2042">
        <v>0</v>
      </c>
      <c r="S2042">
        <v>518</v>
      </c>
      <c r="T2042">
        <v>344099</v>
      </c>
      <c r="U2042" t="s">
        <v>6013</v>
      </c>
      <c r="V2042">
        <v>20.03</v>
      </c>
      <c r="W2042" t="s">
        <v>8203</v>
      </c>
      <c r="X2042" t="s">
        <v>968</v>
      </c>
      <c r="Y2042">
        <v>375</v>
      </c>
      <c r="Z2042">
        <v>-37</v>
      </c>
    </row>
    <row r="2043" spans="1:28">
      <c r="A2043" s="2">
        <f>HYPERLINK("https://finance.naver.com/item/coinfo.nhn?code=306620", "A306620")</f>
        <v>0</v>
      </c>
      <c r="B2043">
        <f>HYPERLINK("http://comp.fnguide.com/SVO2/ASP/SVD_Consensus.asp?pGB=1&amp;gicode=A306620&amp;cID=&amp;MenuYn=Y&amp;ReportGB=&amp;NewMenuID=108&amp;stkGb=701", "네온테크")</f>
        <v>0</v>
      </c>
      <c r="C2043">
        <v>0</v>
      </c>
      <c r="D2043">
        <v>2870</v>
      </c>
      <c r="G2043">
        <v>451</v>
      </c>
      <c r="H2043">
        <v>474</v>
      </c>
      <c r="I2043">
        <v>481</v>
      </c>
      <c r="J2043">
        <v>84.29000000000001</v>
      </c>
      <c r="K2043">
        <v>83.48</v>
      </c>
      <c r="L2043">
        <v>83.25</v>
      </c>
      <c r="M2043">
        <v>7.34</v>
      </c>
      <c r="N2043" t="b">
        <v>0</v>
      </c>
      <c r="O2043">
        <v>27</v>
      </c>
      <c r="P2043" t="s">
        <v>2042</v>
      </c>
      <c r="Q2043" t="s">
        <v>3841</v>
      </c>
      <c r="R2043">
        <v>16.03306201858103</v>
      </c>
      <c r="S2043">
        <v>1068</v>
      </c>
      <c r="T2043">
        <v>247609</v>
      </c>
      <c r="U2043" t="s">
        <v>6014</v>
      </c>
      <c r="V2043">
        <v>64.51000000000001</v>
      </c>
      <c r="W2043" t="s">
        <v>8204</v>
      </c>
      <c r="X2043" t="s">
        <v>968</v>
      </c>
      <c r="Y2043">
        <v>286</v>
      </c>
      <c r="Z2043">
        <v>15</v>
      </c>
      <c r="AA2043">
        <v>2490679</v>
      </c>
    </row>
    <row r="2044" spans="1:28">
      <c r="A2044" s="2">
        <f>HYPERLINK("https://finance.naver.com/item/coinfo.nhn?code=126870", "A126870")</f>
        <v>0</v>
      </c>
      <c r="B2044">
        <f>HYPERLINK("http://comp.fnguide.com/SVO2/ASP/SVD_Consensus.asp?pGB=1&amp;gicode=A126870&amp;cID=&amp;MenuYn=Y&amp;ReportGB=&amp;NewMenuID=108&amp;stkGb=701", "뉴로스")</f>
        <v>0</v>
      </c>
      <c r="C2044">
        <v>0</v>
      </c>
      <c r="D2044">
        <v>3020</v>
      </c>
      <c r="G2044">
        <v>0</v>
      </c>
      <c r="H2044">
        <v>1255</v>
      </c>
      <c r="I2044">
        <v>1612</v>
      </c>
      <c r="J2044">
        <v>100</v>
      </c>
      <c r="K2044">
        <v>58.46</v>
      </c>
      <c r="L2044">
        <v>46.62</v>
      </c>
      <c r="M2044">
        <v>0</v>
      </c>
      <c r="N2044" t="b">
        <v>0</v>
      </c>
      <c r="O2044">
        <v>-1094</v>
      </c>
      <c r="P2044" t="s">
        <v>2043</v>
      </c>
      <c r="Q2044" t="s">
        <v>3842</v>
      </c>
      <c r="R2044">
        <v>67.5</v>
      </c>
      <c r="S2044">
        <v>890</v>
      </c>
      <c r="T2044">
        <v>865996</v>
      </c>
      <c r="U2044" t="s">
        <v>6015</v>
      </c>
      <c r="V2044">
        <v>5.33</v>
      </c>
      <c r="W2044" t="s">
        <v>8205</v>
      </c>
      <c r="X2044" t="s">
        <v>968</v>
      </c>
      <c r="Y2044">
        <v>593</v>
      </c>
      <c r="Z2044">
        <v>-48</v>
      </c>
    </row>
    <row r="2045" spans="1:28">
      <c r="A2045" s="2">
        <f>HYPERLINK("https://finance.naver.com/item/coinfo.nhn?code=069140", "A069140")</f>
        <v>0</v>
      </c>
      <c r="B2045">
        <f>HYPERLINK("http://comp.fnguide.com/SVO2/ASP/SVD_Consensus.asp?pGB=1&amp;gicode=A069140&amp;cID=&amp;MenuYn=Y&amp;ReportGB=&amp;NewMenuID=108&amp;stkGb=701", "누리플랜")</f>
        <v>0</v>
      </c>
      <c r="C2045">
        <v>0</v>
      </c>
      <c r="D2045">
        <v>6040</v>
      </c>
      <c r="G2045">
        <v>366</v>
      </c>
      <c r="H2045">
        <v>2223</v>
      </c>
      <c r="I2045">
        <v>2753</v>
      </c>
      <c r="J2045">
        <v>93.94</v>
      </c>
      <c r="K2045">
        <v>63.19</v>
      </c>
      <c r="L2045">
        <v>54.43</v>
      </c>
      <c r="M2045">
        <v>0.84</v>
      </c>
      <c r="N2045" t="b">
        <v>0</v>
      </c>
      <c r="O2045">
        <v>-643</v>
      </c>
      <c r="P2045" t="s">
        <v>2044</v>
      </c>
      <c r="Q2045" t="s">
        <v>3843</v>
      </c>
      <c r="R2045">
        <v>15.59826081994413</v>
      </c>
      <c r="S2045">
        <v>396</v>
      </c>
      <c r="T2045">
        <v>82022</v>
      </c>
      <c r="U2045" t="s">
        <v>6016</v>
      </c>
      <c r="V2045">
        <v>37.06</v>
      </c>
      <c r="W2045" t="s">
        <v>8206</v>
      </c>
      <c r="X2045" t="s">
        <v>10060</v>
      </c>
      <c r="Y2045">
        <v>913</v>
      </c>
      <c r="Z2045">
        <v>-23</v>
      </c>
      <c r="AA2045">
        <v>27404</v>
      </c>
    </row>
    <row r="2046" spans="1:28">
      <c r="A2046" s="2">
        <f>HYPERLINK("https://finance.naver.com/item/coinfo.nhn?code=065560", "A065560")</f>
        <v>0</v>
      </c>
      <c r="B2046">
        <f>HYPERLINK("http://comp.fnguide.com/SVO2/ASP/SVD_Consensus.asp?pGB=1&amp;gicode=A065560&amp;cID=&amp;MenuYn=Y&amp;ReportGB=&amp;NewMenuID=108&amp;stkGb=701", "녹원씨엔아이")</f>
        <v>0</v>
      </c>
      <c r="C2046">
        <v>0</v>
      </c>
      <c r="D2046">
        <v>6150</v>
      </c>
      <c r="G2046">
        <v>1768</v>
      </c>
      <c r="H2046">
        <v>3095</v>
      </c>
      <c r="I2046">
        <v>3473</v>
      </c>
      <c r="J2046">
        <v>71.25</v>
      </c>
      <c r="K2046">
        <v>49.67</v>
      </c>
      <c r="L2046">
        <v>43.52</v>
      </c>
      <c r="M2046">
        <v>3.54</v>
      </c>
      <c r="N2046" t="b">
        <v>0</v>
      </c>
      <c r="O2046">
        <v>-586</v>
      </c>
      <c r="P2046" t="s">
        <v>2045</v>
      </c>
      <c r="Q2046" t="s">
        <v>3844</v>
      </c>
      <c r="R2046">
        <v>54.04499342724512</v>
      </c>
      <c r="S2046">
        <v>1062</v>
      </c>
      <c r="T2046">
        <v>438878</v>
      </c>
      <c r="U2046" t="s">
        <v>6017</v>
      </c>
      <c r="V2046">
        <v>18.57</v>
      </c>
      <c r="W2046" t="s">
        <v>8207</v>
      </c>
      <c r="X2046" t="s">
        <v>10061</v>
      </c>
      <c r="Y2046">
        <v>623</v>
      </c>
      <c r="Z2046">
        <v>87</v>
      </c>
      <c r="AA2046">
        <v>10605</v>
      </c>
    </row>
    <row r="2047" spans="1:28">
      <c r="A2047" s="2">
        <f>HYPERLINK("https://finance.naver.com/item/coinfo.nhn?code=234690", "A234690")</f>
        <v>0</v>
      </c>
      <c r="B2047">
        <f>HYPERLINK("http://comp.fnguide.com/SVO2/ASP/SVD_Consensus.asp?pGB=1&amp;gicode=A234690&amp;cID=&amp;MenuYn=Y&amp;ReportGB=&amp;NewMenuID=108&amp;stkGb=701", "녹십자웰빙")</f>
        <v>0</v>
      </c>
      <c r="C2047">
        <v>0</v>
      </c>
      <c r="D2047">
        <v>13500</v>
      </c>
      <c r="E2047">
        <v>1.5</v>
      </c>
      <c r="F2047">
        <v>26.35</v>
      </c>
      <c r="G2047">
        <v>8887</v>
      </c>
      <c r="H2047">
        <v>6363</v>
      </c>
      <c r="I2047">
        <v>5644</v>
      </c>
      <c r="J2047">
        <v>34.17</v>
      </c>
      <c r="K2047">
        <v>52.86</v>
      </c>
      <c r="L2047">
        <v>58.19</v>
      </c>
      <c r="M2047">
        <v>15.11</v>
      </c>
      <c r="N2047" t="b">
        <v>1</v>
      </c>
      <c r="O2047">
        <v>400</v>
      </c>
      <c r="P2047" t="s">
        <v>2046</v>
      </c>
      <c r="Q2047" t="s">
        <v>3845</v>
      </c>
      <c r="R2047">
        <v>17.53383535663997</v>
      </c>
      <c r="S2047">
        <v>2397</v>
      </c>
      <c r="T2047">
        <v>119197</v>
      </c>
      <c r="U2047" t="s">
        <v>6018</v>
      </c>
      <c r="V2047">
        <v>45.77</v>
      </c>
      <c r="W2047" t="s">
        <v>8208</v>
      </c>
      <c r="X2047" t="s">
        <v>10062</v>
      </c>
      <c r="Y2047">
        <v>669</v>
      </c>
      <c r="Z2047">
        <v>76</v>
      </c>
      <c r="AB2047">
        <v>0.76</v>
      </c>
    </row>
    <row r="2048" spans="1:28">
      <c r="A2048" s="2">
        <f>HYPERLINK("https://finance.naver.com/item/coinfo.nhn?code=142280", "A142280")</f>
        <v>0</v>
      </c>
      <c r="B2048">
        <f>HYPERLINK("http://comp.fnguide.com/SVO2/ASP/SVD_Consensus.asp?pGB=1&amp;gicode=A142280&amp;cID=&amp;MenuYn=Y&amp;ReportGB=&amp;NewMenuID=108&amp;stkGb=701", "녹십자엠에스")</f>
        <v>0</v>
      </c>
      <c r="C2048">
        <v>0</v>
      </c>
      <c r="D2048">
        <v>14750</v>
      </c>
      <c r="E2048">
        <v>0</v>
      </c>
      <c r="G2048">
        <v>0</v>
      </c>
      <c r="H2048">
        <v>1415</v>
      </c>
      <c r="I2048">
        <v>1818</v>
      </c>
      <c r="J2048">
        <v>100</v>
      </c>
      <c r="K2048">
        <v>90.41</v>
      </c>
      <c r="L2048">
        <v>87.68000000000001</v>
      </c>
      <c r="M2048">
        <v>0</v>
      </c>
      <c r="N2048" t="b">
        <v>0</v>
      </c>
      <c r="O2048">
        <v>-1206</v>
      </c>
      <c r="P2048" t="s">
        <v>2047</v>
      </c>
      <c r="Q2048" t="s">
        <v>2276</v>
      </c>
      <c r="R2048">
        <v>0</v>
      </c>
      <c r="S2048">
        <v>3115</v>
      </c>
      <c r="T2048">
        <v>314207</v>
      </c>
      <c r="U2048" t="s">
        <v>6019</v>
      </c>
      <c r="V2048">
        <v>54.8</v>
      </c>
      <c r="W2048" t="s">
        <v>8209</v>
      </c>
      <c r="X2048" t="s">
        <v>968</v>
      </c>
      <c r="Y2048">
        <v>941</v>
      </c>
      <c r="Z2048">
        <v>-44</v>
      </c>
      <c r="AA2048">
        <v>50000</v>
      </c>
    </row>
    <row r="2049" spans="1:28">
      <c r="A2049" s="2">
        <f>HYPERLINK("https://finance.naver.com/item/coinfo.nhn?code=031390", "A031390")</f>
        <v>0</v>
      </c>
      <c r="B2049">
        <f>HYPERLINK("http://comp.fnguide.com/SVO2/ASP/SVD_Consensus.asp?pGB=1&amp;gicode=A031390&amp;cID=&amp;MenuYn=Y&amp;ReportGB=&amp;NewMenuID=108&amp;stkGb=701", "녹십자셀")</f>
        <v>0</v>
      </c>
      <c r="C2049">
        <v>0</v>
      </c>
      <c r="D2049">
        <v>41200</v>
      </c>
      <c r="E2049">
        <v>1.18</v>
      </c>
      <c r="F2049">
        <v>51.61</v>
      </c>
      <c r="G2049">
        <v>13340</v>
      </c>
      <c r="H2049">
        <v>9421</v>
      </c>
      <c r="I2049">
        <v>8305</v>
      </c>
      <c r="J2049">
        <v>67.62</v>
      </c>
      <c r="K2049">
        <v>77.13</v>
      </c>
      <c r="L2049">
        <v>79.84</v>
      </c>
      <c r="M2049">
        <v>15.59</v>
      </c>
      <c r="N2049" t="b">
        <v>1</v>
      </c>
      <c r="O2049">
        <v>910</v>
      </c>
      <c r="P2049" t="s">
        <v>2048</v>
      </c>
      <c r="Q2049" t="s">
        <v>3846</v>
      </c>
      <c r="R2049">
        <v>43.90656786336009</v>
      </c>
      <c r="S2049">
        <v>5133</v>
      </c>
      <c r="T2049">
        <v>100972</v>
      </c>
      <c r="U2049" t="s">
        <v>6020</v>
      </c>
      <c r="V2049">
        <v>28.28</v>
      </c>
      <c r="W2049" t="s">
        <v>8210</v>
      </c>
      <c r="X2049" t="s">
        <v>10063</v>
      </c>
      <c r="Y2049">
        <v>379</v>
      </c>
      <c r="Z2049">
        <v>57</v>
      </c>
      <c r="AA2049">
        <v>49954</v>
      </c>
      <c r="AB2049">
        <v>0.21</v>
      </c>
    </row>
    <row r="2050" spans="1:28">
      <c r="A2050" s="2">
        <f>HYPERLINK("https://finance.naver.com/item/coinfo.nhn?code=144510", "A144510")</f>
        <v>0</v>
      </c>
      <c r="B2050">
        <f>HYPERLINK("http://comp.fnguide.com/SVO2/ASP/SVD_Consensus.asp?pGB=1&amp;gicode=A144510&amp;cID=&amp;MenuYn=Y&amp;ReportGB=&amp;NewMenuID=108&amp;stkGb=701", "녹십자랩셀")</f>
        <v>0</v>
      </c>
      <c r="C2050">
        <v>0</v>
      </c>
      <c r="D2050">
        <v>72500</v>
      </c>
      <c r="G2050">
        <v>555</v>
      </c>
      <c r="H2050">
        <v>2727</v>
      </c>
      <c r="I2050">
        <v>3345</v>
      </c>
      <c r="J2050">
        <v>99.23</v>
      </c>
      <c r="K2050">
        <v>96.23999999999999</v>
      </c>
      <c r="L2050">
        <v>95.39</v>
      </c>
      <c r="M2050">
        <v>1.06</v>
      </c>
      <c r="N2050" t="b">
        <v>0</v>
      </c>
      <c r="O2050">
        <v>-216</v>
      </c>
      <c r="P2050" t="s">
        <v>2049</v>
      </c>
      <c r="Q2050" t="s">
        <v>3847</v>
      </c>
      <c r="R2050">
        <v>-29.76279518589123</v>
      </c>
      <c r="S2050">
        <v>7652</v>
      </c>
      <c r="T2050">
        <v>696537</v>
      </c>
      <c r="U2050" t="s">
        <v>6021</v>
      </c>
      <c r="V2050">
        <v>50.15</v>
      </c>
      <c r="W2050" t="s">
        <v>8211</v>
      </c>
      <c r="X2050" t="s">
        <v>10064</v>
      </c>
      <c r="Y2050">
        <v>579</v>
      </c>
      <c r="Z2050">
        <v>-33</v>
      </c>
      <c r="AB2050">
        <v>0.07000000000000001</v>
      </c>
    </row>
    <row r="2051" spans="1:28">
      <c r="A2051" s="2">
        <f>HYPERLINK("https://finance.naver.com/item/coinfo.nhn?code=278650", "A278650")</f>
        <v>0</v>
      </c>
      <c r="B2051">
        <f>HYPERLINK("http://comp.fnguide.com/SVO2/ASP/SVD_Consensus.asp?pGB=1&amp;gicode=A278650&amp;cID=&amp;MenuYn=Y&amp;ReportGB=&amp;NewMenuID=108&amp;stkGb=701", "노터스")</f>
        <v>0</v>
      </c>
      <c r="C2051">
        <v>0</v>
      </c>
      <c r="D2051">
        <v>22750</v>
      </c>
      <c r="E2051">
        <v>0.53</v>
      </c>
      <c r="F2051">
        <v>34.42</v>
      </c>
      <c r="G2051">
        <v>13301</v>
      </c>
      <c r="H2051">
        <v>8652</v>
      </c>
      <c r="I2051">
        <v>7327</v>
      </c>
      <c r="J2051">
        <v>41.53</v>
      </c>
      <c r="K2051">
        <v>61.97</v>
      </c>
      <c r="L2051">
        <v>67.8</v>
      </c>
      <c r="M2051">
        <v>19.06</v>
      </c>
      <c r="N2051" t="b">
        <v>0</v>
      </c>
      <c r="O2051">
        <v>597</v>
      </c>
      <c r="P2051" t="s">
        <v>2050</v>
      </c>
      <c r="Q2051" t="s">
        <v>3848</v>
      </c>
      <c r="R2051">
        <v>64.89792858808605</v>
      </c>
      <c r="S2051">
        <v>1730</v>
      </c>
      <c r="T2051">
        <v>65017</v>
      </c>
      <c r="U2051" t="s">
        <v>6022</v>
      </c>
      <c r="V2051">
        <v>48.23</v>
      </c>
      <c r="W2051" t="s">
        <v>8212</v>
      </c>
      <c r="X2051" t="s">
        <v>10065</v>
      </c>
      <c r="Y2051">
        <v>460</v>
      </c>
      <c r="Z2051">
        <v>67</v>
      </c>
      <c r="AA2051">
        <v>71714</v>
      </c>
    </row>
    <row r="2052" spans="1:28">
      <c r="A2052" s="2">
        <f>HYPERLINK("https://finance.naver.com/item/coinfo.nhn?code=285490", "A285490")</f>
        <v>0</v>
      </c>
      <c r="B2052">
        <f>HYPERLINK("http://comp.fnguide.com/SVO2/ASP/SVD_Consensus.asp?pGB=1&amp;gicode=A285490&amp;cID=&amp;MenuYn=Y&amp;ReportGB=&amp;NewMenuID=108&amp;stkGb=701", "노바텍")</f>
        <v>0</v>
      </c>
      <c r="C2052">
        <v>0</v>
      </c>
      <c r="D2052">
        <v>71600</v>
      </c>
      <c r="E2052">
        <v>0</v>
      </c>
      <c r="F2052">
        <v>18.9</v>
      </c>
      <c r="G2052">
        <v>17469</v>
      </c>
      <c r="H2052">
        <v>10573</v>
      </c>
      <c r="I2052">
        <v>8608</v>
      </c>
      <c r="J2052">
        <v>75.59999999999999</v>
      </c>
      <c r="K2052">
        <v>85.23</v>
      </c>
      <c r="L2052">
        <v>87.98</v>
      </c>
      <c r="M2052">
        <v>23.24</v>
      </c>
      <c r="N2052" t="b">
        <v>1</v>
      </c>
      <c r="O2052">
        <v>1024</v>
      </c>
      <c r="P2052" t="s">
        <v>2051</v>
      </c>
      <c r="Q2052" t="s">
        <v>3849</v>
      </c>
      <c r="R2052">
        <v>0</v>
      </c>
      <c r="S2052">
        <v>3592</v>
      </c>
      <c r="T2052">
        <v>161436</v>
      </c>
      <c r="U2052" t="s">
        <v>6023</v>
      </c>
      <c r="V2052">
        <v>59.16</v>
      </c>
      <c r="W2052" t="s">
        <v>8213</v>
      </c>
      <c r="X2052" t="s">
        <v>10066</v>
      </c>
      <c r="Y2052">
        <v>261</v>
      </c>
      <c r="Z2052">
        <v>55</v>
      </c>
      <c r="AA2052">
        <v>260000</v>
      </c>
      <c r="AB2052">
        <v>1.25</v>
      </c>
    </row>
    <row r="2053" spans="1:28">
      <c r="A2053" s="2">
        <f>HYPERLINK("https://finance.naver.com/item/coinfo.nhn?code=194700", "A194700")</f>
        <v>0</v>
      </c>
      <c r="B2053">
        <f>HYPERLINK("http://comp.fnguide.com/SVO2/ASP/SVD_Consensus.asp?pGB=1&amp;gicode=A194700&amp;cID=&amp;MenuYn=Y&amp;ReportGB=&amp;NewMenuID=108&amp;stkGb=701", "노바렉스")</f>
        <v>0</v>
      </c>
      <c r="C2053">
        <v>0</v>
      </c>
      <c r="D2053">
        <v>38700</v>
      </c>
      <c r="E2053">
        <v>0.67</v>
      </c>
      <c r="F2053">
        <v>12.3</v>
      </c>
      <c r="G2053">
        <v>23543</v>
      </c>
      <c r="H2053">
        <v>16334</v>
      </c>
      <c r="I2053">
        <v>14280</v>
      </c>
      <c r="J2053">
        <v>39.17</v>
      </c>
      <c r="K2053">
        <v>57.79</v>
      </c>
      <c r="L2053">
        <v>63.1</v>
      </c>
      <c r="M2053">
        <v>16.25</v>
      </c>
      <c r="N2053" t="b">
        <v>1</v>
      </c>
      <c r="O2053">
        <v>1634</v>
      </c>
      <c r="P2053" t="s">
        <v>2052</v>
      </c>
      <c r="Q2053" t="s">
        <v>3850</v>
      </c>
      <c r="R2053">
        <v>18.3403843833489</v>
      </c>
      <c r="S2053">
        <v>3484</v>
      </c>
      <c r="T2053">
        <v>74081</v>
      </c>
      <c r="U2053" t="s">
        <v>6024</v>
      </c>
      <c r="V2053">
        <v>37.41</v>
      </c>
      <c r="W2053" t="s">
        <v>8214</v>
      </c>
      <c r="X2053" t="s">
        <v>10067</v>
      </c>
      <c r="Y2053">
        <v>1591</v>
      </c>
      <c r="Z2053">
        <v>163</v>
      </c>
      <c r="AA2053">
        <v>1052632</v>
      </c>
      <c r="AB2053">
        <v>1</v>
      </c>
    </row>
    <row r="2054" spans="1:28">
      <c r="A2054" s="2">
        <f>HYPERLINK("https://finance.naver.com/item/coinfo.nhn?code=104620", "A104620")</f>
        <v>0</v>
      </c>
      <c r="B2054">
        <f>HYPERLINK("http://comp.fnguide.com/SVO2/ASP/SVD_Consensus.asp?pGB=1&amp;gicode=A104620&amp;cID=&amp;MenuYn=Y&amp;ReportGB=&amp;NewMenuID=108&amp;stkGb=701", "노랑풍선")</f>
        <v>0</v>
      </c>
      <c r="C2054">
        <v>0</v>
      </c>
      <c r="D2054">
        <v>24650</v>
      </c>
      <c r="G2054">
        <v>14481</v>
      </c>
      <c r="H2054">
        <v>12866</v>
      </c>
      <c r="I2054">
        <v>12405</v>
      </c>
      <c r="J2054">
        <v>41.25</v>
      </c>
      <c r="K2054">
        <v>47.81</v>
      </c>
      <c r="L2054">
        <v>49.67</v>
      </c>
      <c r="M2054">
        <v>9.789999999999999</v>
      </c>
      <c r="N2054" t="b">
        <v>0</v>
      </c>
      <c r="O2054">
        <v>-351</v>
      </c>
      <c r="P2054" t="s">
        <v>2053</v>
      </c>
      <c r="Q2054" t="s">
        <v>3851</v>
      </c>
      <c r="R2054">
        <v>2.014965124517265</v>
      </c>
      <c r="S2054">
        <v>1175</v>
      </c>
      <c r="T2054">
        <v>136787</v>
      </c>
      <c r="U2054" t="s">
        <v>6025</v>
      </c>
      <c r="V2054">
        <v>60.92</v>
      </c>
      <c r="W2054" t="s">
        <v>8215</v>
      </c>
      <c r="X2054" t="s">
        <v>968</v>
      </c>
      <c r="Y2054">
        <v>768</v>
      </c>
      <c r="Z2054">
        <v>-21</v>
      </c>
      <c r="AB2054">
        <v>1.29</v>
      </c>
    </row>
    <row r="2055" spans="1:28">
      <c r="A2055" s="2">
        <f>HYPERLINK("https://finance.naver.com/item/coinfo.nhn?code=225570", "A225570")</f>
        <v>0</v>
      </c>
      <c r="B2055">
        <f>HYPERLINK("http://comp.fnguide.com/SVO2/ASP/SVD_Consensus.asp?pGB=1&amp;gicode=A225570&amp;cID=&amp;MenuYn=Y&amp;ReportGB=&amp;NewMenuID=108&amp;stkGb=701", "넷게임즈")</f>
        <v>0</v>
      </c>
      <c r="C2055">
        <v>0</v>
      </c>
      <c r="D2055">
        <v>9450</v>
      </c>
      <c r="G2055">
        <v>0</v>
      </c>
      <c r="H2055">
        <v>805</v>
      </c>
      <c r="I2055">
        <v>1034</v>
      </c>
      <c r="J2055">
        <v>100</v>
      </c>
      <c r="K2055">
        <v>91.48</v>
      </c>
      <c r="L2055">
        <v>89.06</v>
      </c>
      <c r="M2055">
        <v>0</v>
      </c>
      <c r="N2055" t="b">
        <v>0</v>
      </c>
      <c r="O2055">
        <v>-698</v>
      </c>
      <c r="P2055" t="s">
        <v>2054</v>
      </c>
      <c r="Q2055" t="s">
        <v>3852</v>
      </c>
      <c r="R2055">
        <v>444.2</v>
      </c>
      <c r="S2055">
        <v>2725</v>
      </c>
      <c r="T2055">
        <v>1319121</v>
      </c>
      <c r="U2055" t="s">
        <v>6026</v>
      </c>
      <c r="V2055">
        <v>63.99</v>
      </c>
      <c r="W2055" t="s">
        <v>8216</v>
      </c>
      <c r="X2055" t="s">
        <v>968</v>
      </c>
      <c r="Y2055">
        <v>285</v>
      </c>
      <c r="Z2055">
        <v>-171</v>
      </c>
      <c r="AA2055">
        <v>318924</v>
      </c>
    </row>
    <row r="2056" spans="1:28">
      <c r="A2056" s="2">
        <f>HYPERLINK("https://finance.naver.com/item/coinfo.nhn?code=217270", "A217270")</f>
        <v>0</v>
      </c>
      <c r="B2056">
        <f>HYPERLINK("http://comp.fnguide.com/SVO2/ASP/SVD_Consensus.asp?pGB=1&amp;gicode=A217270&amp;cID=&amp;MenuYn=Y&amp;ReportGB=&amp;NewMenuID=108&amp;stkGb=701", "넵튠")</f>
        <v>0</v>
      </c>
      <c r="C2056">
        <v>0</v>
      </c>
      <c r="D2056">
        <v>32000</v>
      </c>
      <c r="E2056">
        <v>0</v>
      </c>
      <c r="G2056">
        <v>3302</v>
      </c>
      <c r="H2056">
        <v>3070</v>
      </c>
      <c r="I2056">
        <v>3003</v>
      </c>
      <c r="J2056">
        <v>89.68000000000001</v>
      </c>
      <c r="K2056">
        <v>90.41</v>
      </c>
      <c r="L2056">
        <v>90.61</v>
      </c>
      <c r="M2056">
        <v>9.029999999999999</v>
      </c>
      <c r="N2056" t="b">
        <v>0</v>
      </c>
      <c r="O2056">
        <v>-792</v>
      </c>
      <c r="P2056" t="s">
        <v>2055</v>
      </c>
      <c r="Q2056" t="s">
        <v>2276</v>
      </c>
      <c r="R2056">
        <v>0</v>
      </c>
      <c r="S2056">
        <v>7484</v>
      </c>
      <c r="T2056">
        <v>2013063</v>
      </c>
      <c r="U2056" t="s">
        <v>6027</v>
      </c>
      <c r="V2056">
        <v>55.43</v>
      </c>
      <c r="W2056" t="s">
        <v>8217</v>
      </c>
      <c r="X2056" t="s">
        <v>10068</v>
      </c>
      <c r="Y2056">
        <v>180</v>
      </c>
      <c r="Z2056">
        <v>-101</v>
      </c>
      <c r="AA2056">
        <v>66497</v>
      </c>
    </row>
    <row r="2057" spans="1:28">
      <c r="A2057" s="2">
        <f>HYPERLINK("https://finance.naver.com/item/coinfo.nhn?code=041140", "A041140")</f>
        <v>0</v>
      </c>
      <c r="B2057">
        <f>HYPERLINK("http://comp.fnguide.com/SVO2/ASP/SVD_Consensus.asp?pGB=1&amp;gicode=A041140&amp;cID=&amp;MenuYn=Y&amp;ReportGB=&amp;NewMenuID=108&amp;stkGb=701", "넥슨지티")</f>
        <v>0</v>
      </c>
      <c r="C2057">
        <v>0</v>
      </c>
      <c r="D2057">
        <v>14500</v>
      </c>
      <c r="E2057">
        <v>-7.37</v>
      </c>
      <c r="F2057">
        <v>83.98</v>
      </c>
      <c r="G2057">
        <v>546</v>
      </c>
      <c r="H2057">
        <v>2100</v>
      </c>
      <c r="I2057">
        <v>2543</v>
      </c>
      <c r="J2057">
        <v>96.23</v>
      </c>
      <c r="K2057">
        <v>85.52</v>
      </c>
      <c r="L2057">
        <v>82.45999999999999</v>
      </c>
      <c r="M2057">
        <v>1.39</v>
      </c>
      <c r="N2057" t="b">
        <v>0</v>
      </c>
      <c r="O2057">
        <v>83</v>
      </c>
      <c r="P2057" t="s">
        <v>2056</v>
      </c>
      <c r="Q2057" t="s">
        <v>3434</v>
      </c>
      <c r="R2057">
        <v>-11.4</v>
      </c>
      <c r="S2057">
        <v>5129</v>
      </c>
      <c r="T2057">
        <v>1134373</v>
      </c>
      <c r="U2057" t="s">
        <v>6028</v>
      </c>
      <c r="V2057">
        <v>63.18</v>
      </c>
      <c r="W2057" t="s">
        <v>8218</v>
      </c>
      <c r="X2057" t="s">
        <v>10069</v>
      </c>
      <c r="Y2057">
        <v>302</v>
      </c>
      <c r="Z2057">
        <v>-287</v>
      </c>
      <c r="AA2057">
        <v>1056923</v>
      </c>
    </row>
    <row r="2058" spans="1:28">
      <c r="A2058" s="2">
        <f>HYPERLINK("https://finance.naver.com/item/coinfo.nhn?code=348210", "A348210")</f>
        <v>0</v>
      </c>
      <c r="B2058">
        <f>HYPERLINK("http://comp.fnguide.com/SVO2/ASP/SVD_Consensus.asp?pGB=1&amp;gicode=A348210&amp;cID=&amp;MenuYn=Y&amp;ReportGB=&amp;NewMenuID=108&amp;stkGb=701", "넥스틴")</f>
        <v>0</v>
      </c>
      <c r="C2058">
        <v>0</v>
      </c>
      <c r="D2058">
        <v>102800</v>
      </c>
      <c r="E2058">
        <v>0</v>
      </c>
      <c r="G2058">
        <v>0</v>
      </c>
      <c r="H2058">
        <v>266</v>
      </c>
      <c r="I2058">
        <v>342</v>
      </c>
      <c r="J2058">
        <v>100</v>
      </c>
      <c r="K2058">
        <v>99.73999999999999</v>
      </c>
      <c r="L2058">
        <v>99.67</v>
      </c>
      <c r="M2058">
        <v>0</v>
      </c>
      <c r="N2058" t="b">
        <v>0</v>
      </c>
      <c r="O2058">
        <v>-975</v>
      </c>
      <c r="P2058" t="s">
        <v>2057</v>
      </c>
      <c r="Q2058" t="s">
        <v>2276</v>
      </c>
      <c r="R2058">
        <v>0</v>
      </c>
      <c r="S2058">
        <v>3229</v>
      </c>
      <c r="T2058">
        <v>69963</v>
      </c>
      <c r="U2058" t="s">
        <v>6029</v>
      </c>
      <c r="V2058">
        <v>36.95</v>
      </c>
      <c r="W2058" t="s">
        <v>8219</v>
      </c>
      <c r="X2058" t="s">
        <v>10070</v>
      </c>
      <c r="Y2058">
        <v>94</v>
      </c>
      <c r="Z2058">
        <v>-18</v>
      </c>
    </row>
    <row r="2059" spans="1:28">
      <c r="A2059" s="2">
        <f>HYPERLINK("https://finance.naver.com/item/coinfo.nhn?code=137940", "A137940")</f>
        <v>0</v>
      </c>
      <c r="B2059">
        <f>HYPERLINK("http://comp.fnguide.com/SVO2/ASP/SVD_Consensus.asp?pGB=1&amp;gicode=A137940&amp;cID=&amp;MenuYn=Y&amp;ReportGB=&amp;NewMenuID=108&amp;stkGb=701", "넥스트아이")</f>
        <v>0</v>
      </c>
      <c r="C2059">
        <v>0</v>
      </c>
      <c r="D2059">
        <v>1690</v>
      </c>
      <c r="G2059">
        <v>0</v>
      </c>
      <c r="H2059">
        <v>632</v>
      </c>
      <c r="I2059">
        <v>812</v>
      </c>
      <c r="J2059">
        <v>100</v>
      </c>
      <c r="K2059">
        <v>62.59</v>
      </c>
      <c r="L2059">
        <v>51.93</v>
      </c>
      <c r="M2059">
        <v>0</v>
      </c>
      <c r="N2059" t="b">
        <v>0</v>
      </c>
      <c r="O2059">
        <v>-77</v>
      </c>
      <c r="P2059" t="s">
        <v>2058</v>
      </c>
      <c r="Q2059" t="s">
        <v>3853</v>
      </c>
      <c r="R2059">
        <v>-36.20000000000001</v>
      </c>
      <c r="S2059">
        <v>1303</v>
      </c>
      <c r="T2059">
        <v>885216</v>
      </c>
      <c r="U2059" t="s">
        <v>6030</v>
      </c>
      <c r="V2059">
        <v>29.42</v>
      </c>
      <c r="W2059" t="s">
        <v>8220</v>
      </c>
      <c r="X2059" t="s">
        <v>968</v>
      </c>
      <c r="Y2059">
        <v>880</v>
      </c>
      <c r="Z2059">
        <v>37</v>
      </c>
      <c r="AA2059">
        <v>1759210</v>
      </c>
    </row>
    <row r="2060" spans="1:28">
      <c r="A2060" s="2">
        <f>HYPERLINK("https://finance.naver.com/item/coinfo.nhn?code=065170", "A065170")</f>
        <v>0</v>
      </c>
      <c r="B2060">
        <f>HYPERLINK("http://comp.fnguide.com/SVO2/ASP/SVD_Consensus.asp?pGB=1&amp;gicode=A065170&amp;cID=&amp;MenuYn=Y&amp;ReportGB=&amp;NewMenuID=108&amp;stkGb=701", "넥스트BT")</f>
        <v>0</v>
      </c>
      <c r="C2060">
        <v>0</v>
      </c>
      <c r="D2060">
        <v>1910</v>
      </c>
      <c r="E2060">
        <v>0</v>
      </c>
      <c r="G2060">
        <v>71</v>
      </c>
      <c r="H2060">
        <v>343</v>
      </c>
      <c r="I2060">
        <v>420</v>
      </c>
      <c r="J2060">
        <v>96.28</v>
      </c>
      <c r="K2060">
        <v>82.06</v>
      </c>
      <c r="L2060">
        <v>78.01000000000001</v>
      </c>
      <c r="M2060">
        <v>1.08</v>
      </c>
      <c r="N2060" t="b">
        <v>0</v>
      </c>
      <c r="O2060">
        <v>-191</v>
      </c>
      <c r="P2060" t="s">
        <v>2059</v>
      </c>
      <c r="Q2060" t="s">
        <v>2276</v>
      </c>
      <c r="R2060">
        <v>0</v>
      </c>
      <c r="S2060">
        <v>1662</v>
      </c>
      <c r="T2060">
        <v>1346137</v>
      </c>
      <c r="U2060" t="s">
        <v>6031</v>
      </c>
      <c r="V2060">
        <v>29.41</v>
      </c>
      <c r="W2060" t="s">
        <v>8221</v>
      </c>
      <c r="X2060" t="s">
        <v>10071</v>
      </c>
      <c r="Y2060">
        <v>589</v>
      </c>
      <c r="Z2060">
        <v>-28</v>
      </c>
      <c r="AA2060">
        <v>1620</v>
      </c>
    </row>
    <row r="2061" spans="1:28">
      <c r="A2061" s="2">
        <f>HYPERLINK("https://finance.naver.com/item/coinfo.nhn?code=089140", "A089140")</f>
        <v>0</v>
      </c>
      <c r="B2061">
        <f>HYPERLINK("http://comp.fnguide.com/SVO2/ASP/SVD_Consensus.asp?pGB=1&amp;gicode=A089140&amp;cID=&amp;MenuYn=Y&amp;ReportGB=&amp;NewMenuID=108&amp;stkGb=701", "넥스턴")</f>
        <v>0</v>
      </c>
      <c r="C2061">
        <v>0</v>
      </c>
      <c r="D2061">
        <v>10950</v>
      </c>
      <c r="E2061">
        <v>-1.07</v>
      </c>
      <c r="F2061">
        <v>21.4</v>
      </c>
      <c r="G2061">
        <v>7252</v>
      </c>
      <c r="H2061">
        <v>8528</v>
      </c>
      <c r="I2061">
        <v>8892</v>
      </c>
      <c r="J2061">
        <v>33.77</v>
      </c>
      <c r="K2061">
        <v>22.12</v>
      </c>
      <c r="L2061">
        <v>18.8</v>
      </c>
      <c r="M2061">
        <v>6.16</v>
      </c>
      <c r="N2061" t="b">
        <v>1</v>
      </c>
      <c r="O2061">
        <v>486</v>
      </c>
      <c r="P2061" t="s">
        <v>2060</v>
      </c>
      <c r="Q2061" t="s">
        <v>3854</v>
      </c>
      <c r="R2061">
        <v>-19.98068888369767</v>
      </c>
      <c r="S2061">
        <v>1297</v>
      </c>
      <c r="T2061">
        <v>96805</v>
      </c>
      <c r="U2061" t="s">
        <v>6032</v>
      </c>
      <c r="V2061">
        <v>33.61</v>
      </c>
      <c r="W2061" t="s">
        <v>8222</v>
      </c>
      <c r="X2061" t="s">
        <v>10072</v>
      </c>
      <c r="Y2061">
        <v>324</v>
      </c>
      <c r="Z2061">
        <v>30</v>
      </c>
      <c r="AA2061">
        <v>1159348</v>
      </c>
      <c r="AB2061">
        <v>0.96</v>
      </c>
    </row>
    <row r="2062" spans="1:28">
      <c r="A2062" s="2">
        <f>HYPERLINK("https://finance.naver.com/item/coinfo.nhn?code=330860", "A330860")</f>
        <v>0</v>
      </c>
      <c r="B2062">
        <f>HYPERLINK("http://comp.fnguide.com/SVO2/ASP/SVD_Consensus.asp?pGB=1&amp;gicode=A330860&amp;cID=&amp;MenuYn=Y&amp;ReportGB=&amp;NewMenuID=108&amp;stkGb=701", "네패스아크")</f>
        <v>0</v>
      </c>
      <c r="C2062">
        <v>0</v>
      </c>
      <c r="D2062">
        <v>40000</v>
      </c>
      <c r="E2062">
        <v>0</v>
      </c>
      <c r="G2062">
        <v>0</v>
      </c>
      <c r="H2062">
        <v>1873</v>
      </c>
      <c r="I2062">
        <v>2407</v>
      </c>
      <c r="J2062">
        <v>100</v>
      </c>
      <c r="K2062">
        <v>95.31999999999999</v>
      </c>
      <c r="L2062">
        <v>93.98</v>
      </c>
      <c r="M2062">
        <v>0</v>
      </c>
      <c r="N2062" t="b">
        <v>0</v>
      </c>
      <c r="O2062">
        <v>676</v>
      </c>
      <c r="P2062" t="s">
        <v>2061</v>
      </c>
      <c r="Q2062" t="s">
        <v>3855</v>
      </c>
      <c r="R2062">
        <v>0</v>
      </c>
      <c r="S2062">
        <v>3450</v>
      </c>
      <c r="T2062">
        <v>167950</v>
      </c>
      <c r="U2062" t="s">
        <v>6033</v>
      </c>
      <c r="V2062">
        <v>73.19</v>
      </c>
      <c r="W2062" t="s">
        <v>968</v>
      </c>
      <c r="X2062" t="s">
        <v>968</v>
      </c>
      <c r="Y2062">
        <v>547</v>
      </c>
      <c r="Z2062">
        <v>182</v>
      </c>
    </row>
    <row r="2063" spans="1:28">
      <c r="A2063" s="2">
        <f>HYPERLINK("https://finance.naver.com/item/coinfo.nhn?code=033640", "A033640")</f>
        <v>0</v>
      </c>
      <c r="B2063">
        <f>HYPERLINK("http://comp.fnguide.com/SVO2/ASP/SVD_Consensus.asp?pGB=1&amp;gicode=A033640&amp;cID=&amp;MenuYn=Y&amp;ReportGB=&amp;NewMenuID=108&amp;stkGb=701", "네패스")</f>
        <v>0</v>
      </c>
      <c r="C2063">
        <v>0</v>
      </c>
      <c r="D2063">
        <v>31650</v>
      </c>
      <c r="E2063">
        <v>1.12</v>
      </c>
      <c r="F2063">
        <v>18.15</v>
      </c>
      <c r="G2063">
        <v>16795</v>
      </c>
      <c r="H2063">
        <v>12150</v>
      </c>
      <c r="I2063">
        <v>10826</v>
      </c>
      <c r="J2063">
        <v>46.94</v>
      </c>
      <c r="K2063">
        <v>61.61</v>
      </c>
      <c r="L2063">
        <v>65.79000000000001</v>
      </c>
      <c r="M2063">
        <v>14.77</v>
      </c>
      <c r="N2063" t="b">
        <v>1</v>
      </c>
      <c r="O2063">
        <v>1325</v>
      </c>
      <c r="P2063" t="s">
        <v>2062</v>
      </c>
      <c r="Q2063" t="s">
        <v>3856</v>
      </c>
      <c r="R2063">
        <v>16.16618402322094</v>
      </c>
      <c r="S2063">
        <v>7298</v>
      </c>
      <c r="T2063">
        <v>272571</v>
      </c>
      <c r="U2063" t="s">
        <v>6034</v>
      </c>
      <c r="V2063">
        <v>25.91</v>
      </c>
      <c r="W2063" t="s">
        <v>8223</v>
      </c>
      <c r="X2063" t="s">
        <v>10073</v>
      </c>
      <c r="Y2063">
        <v>3516</v>
      </c>
      <c r="Z2063">
        <v>600</v>
      </c>
      <c r="AB2063">
        <v>1.12</v>
      </c>
    </row>
    <row r="2064" spans="1:28">
      <c r="A2064" s="2">
        <f>HYPERLINK("https://finance.naver.com/item/coinfo.nhn?code=007390", "A007390")</f>
        <v>0</v>
      </c>
      <c r="B2064">
        <f>HYPERLINK("http://comp.fnguide.com/SVO2/ASP/SVD_Consensus.asp?pGB=1&amp;gicode=A007390&amp;cID=&amp;MenuYn=Y&amp;ReportGB=&amp;NewMenuID=108&amp;stkGb=701", "네이처셀")</f>
        <v>0</v>
      </c>
      <c r="C2064">
        <v>0</v>
      </c>
      <c r="D2064">
        <v>9750</v>
      </c>
      <c r="E2064">
        <v>-6.86</v>
      </c>
      <c r="F2064">
        <v>418.01</v>
      </c>
      <c r="G2064">
        <v>424</v>
      </c>
      <c r="H2064">
        <v>973</v>
      </c>
      <c r="I2064">
        <v>1130</v>
      </c>
      <c r="J2064">
        <v>95.65000000000001</v>
      </c>
      <c r="K2064">
        <v>90.02</v>
      </c>
      <c r="L2064">
        <v>88.41</v>
      </c>
      <c r="M2064">
        <v>2.52</v>
      </c>
      <c r="N2064" t="b">
        <v>0</v>
      </c>
      <c r="O2064">
        <v>16</v>
      </c>
      <c r="P2064" t="s">
        <v>2063</v>
      </c>
      <c r="Q2064" t="s">
        <v>3857</v>
      </c>
      <c r="R2064">
        <v>-60.9</v>
      </c>
      <c r="S2064">
        <v>5966</v>
      </c>
      <c r="T2064">
        <v>1772564</v>
      </c>
      <c r="U2064" t="s">
        <v>6035</v>
      </c>
      <c r="V2064">
        <v>23.65</v>
      </c>
      <c r="W2064" t="s">
        <v>8224</v>
      </c>
      <c r="X2064" t="s">
        <v>10074</v>
      </c>
      <c r="Y2064">
        <v>231</v>
      </c>
      <c r="Z2064">
        <v>18</v>
      </c>
    </row>
    <row r="2065" spans="1:28">
      <c r="A2065" s="2">
        <f>HYPERLINK("https://finance.naver.com/item/coinfo.nhn?code=060260", "A060260")</f>
        <v>0</v>
      </c>
      <c r="B2065">
        <f>HYPERLINK("http://comp.fnguide.com/SVO2/ASP/SVD_Consensus.asp?pGB=1&amp;gicode=A060260&amp;cID=&amp;MenuYn=Y&amp;ReportGB=&amp;NewMenuID=108&amp;stkGb=701", "뉴보텍")</f>
        <v>0</v>
      </c>
      <c r="C2065">
        <v>0</v>
      </c>
      <c r="D2065">
        <v>1625</v>
      </c>
      <c r="E2065">
        <v>-0.54</v>
      </c>
      <c r="F2065">
        <v>18.68</v>
      </c>
      <c r="G2065">
        <v>413</v>
      </c>
      <c r="H2065">
        <v>674</v>
      </c>
      <c r="I2065">
        <v>748</v>
      </c>
      <c r="J2065">
        <v>74.56999999999999</v>
      </c>
      <c r="K2065">
        <v>58.54</v>
      </c>
      <c r="L2065">
        <v>53.98</v>
      </c>
      <c r="M2065">
        <v>3.89</v>
      </c>
      <c r="N2065" t="b">
        <v>1</v>
      </c>
      <c r="O2065">
        <v>65</v>
      </c>
      <c r="P2065" t="s">
        <v>2064</v>
      </c>
      <c r="Q2065" t="s">
        <v>3858</v>
      </c>
      <c r="R2065">
        <v>-34.8</v>
      </c>
      <c r="S2065">
        <v>543</v>
      </c>
      <c r="T2065">
        <v>732046</v>
      </c>
      <c r="U2065" t="s">
        <v>6036</v>
      </c>
      <c r="V2065">
        <v>26.95</v>
      </c>
      <c r="W2065" t="s">
        <v>8225</v>
      </c>
      <c r="X2065" t="s">
        <v>10075</v>
      </c>
      <c r="Y2065">
        <v>418</v>
      </c>
      <c r="Z2065">
        <v>11</v>
      </c>
      <c r="AA2065">
        <v>835972</v>
      </c>
    </row>
    <row r="2066" spans="1:28">
      <c r="A2066" s="2">
        <f>HYPERLINK("https://finance.naver.com/item/coinfo.nhn?code=012340", "A012340")</f>
        <v>0</v>
      </c>
      <c r="B2066">
        <f>HYPERLINK("http://comp.fnguide.com/SVO2/ASP/SVD_Consensus.asp?pGB=1&amp;gicode=A012340&amp;cID=&amp;MenuYn=Y&amp;ReportGB=&amp;NewMenuID=108&amp;stkGb=701", "뉴인텍")</f>
        <v>0</v>
      </c>
      <c r="C2066">
        <v>0</v>
      </c>
      <c r="D2066">
        <v>2570</v>
      </c>
      <c r="E2066">
        <v>0</v>
      </c>
      <c r="G2066">
        <v>0</v>
      </c>
      <c r="H2066">
        <v>540</v>
      </c>
      <c r="I2066">
        <v>694</v>
      </c>
      <c r="J2066">
        <v>100</v>
      </c>
      <c r="K2066">
        <v>78.98999999999999</v>
      </c>
      <c r="L2066">
        <v>73</v>
      </c>
      <c r="M2066">
        <v>0</v>
      </c>
      <c r="N2066" t="b">
        <v>0</v>
      </c>
      <c r="O2066">
        <v>-52</v>
      </c>
      <c r="P2066" t="s">
        <v>2065</v>
      </c>
      <c r="Q2066" t="s">
        <v>2276</v>
      </c>
      <c r="R2066">
        <v>0</v>
      </c>
      <c r="S2066">
        <v>772</v>
      </c>
      <c r="T2066">
        <v>542905</v>
      </c>
      <c r="U2066" t="s">
        <v>6037</v>
      </c>
      <c r="V2066">
        <v>21.01</v>
      </c>
      <c r="W2066" t="s">
        <v>8226</v>
      </c>
      <c r="X2066" t="s">
        <v>968</v>
      </c>
      <c r="Y2066">
        <v>544</v>
      </c>
      <c r="Z2066">
        <v>3</v>
      </c>
      <c r="AA2066">
        <v>3569</v>
      </c>
    </row>
    <row r="2067" spans="1:28">
      <c r="A2067" s="2">
        <f>HYPERLINK("https://finance.naver.com/item/coinfo.nhn?code=214870", "A214870")</f>
        <v>0</v>
      </c>
      <c r="B2067">
        <f>HYPERLINK("http://comp.fnguide.com/SVO2/ASP/SVD_Consensus.asp?pGB=1&amp;gicode=A214870&amp;cID=&amp;MenuYn=Y&amp;ReportGB=&amp;NewMenuID=108&amp;stkGb=701", "뉴지랩")</f>
        <v>0</v>
      </c>
      <c r="C2067">
        <v>0</v>
      </c>
      <c r="D2067">
        <v>12350</v>
      </c>
      <c r="E2067">
        <v>0</v>
      </c>
      <c r="G2067">
        <v>0</v>
      </c>
      <c r="H2067">
        <v>1379</v>
      </c>
      <c r="I2067">
        <v>1772</v>
      </c>
      <c r="J2067">
        <v>100</v>
      </c>
      <c r="K2067">
        <v>88.83</v>
      </c>
      <c r="L2067">
        <v>85.65000000000001</v>
      </c>
      <c r="M2067">
        <v>0</v>
      </c>
      <c r="N2067" t="b">
        <v>0</v>
      </c>
      <c r="O2067">
        <v>-114</v>
      </c>
      <c r="P2067" t="s">
        <v>2066</v>
      </c>
      <c r="Q2067" t="s">
        <v>2276</v>
      </c>
      <c r="R2067">
        <v>0</v>
      </c>
      <c r="S2067">
        <v>3610</v>
      </c>
      <c r="T2067">
        <v>1127339</v>
      </c>
      <c r="U2067" t="s">
        <v>6038</v>
      </c>
      <c r="V2067">
        <v>9.869999999999999</v>
      </c>
      <c r="W2067" t="s">
        <v>8227</v>
      </c>
      <c r="X2067" t="s">
        <v>968</v>
      </c>
      <c r="Y2067">
        <v>958</v>
      </c>
      <c r="Z2067">
        <v>-1</v>
      </c>
    </row>
    <row r="2068" spans="1:28">
      <c r="A2068" s="2">
        <f>HYPERLINK("https://finance.naver.com/item/coinfo.nhn?code=036480", "A036480")</f>
        <v>0</v>
      </c>
      <c r="B2068">
        <f>HYPERLINK("http://comp.fnguide.com/SVO2/ASP/SVD_Consensus.asp?pGB=1&amp;gicode=A036480&amp;cID=&amp;MenuYn=Y&amp;ReportGB=&amp;NewMenuID=108&amp;stkGb=701", "대성미생물")</f>
        <v>0</v>
      </c>
      <c r="C2068">
        <v>0</v>
      </c>
      <c r="D2068">
        <v>16600</v>
      </c>
      <c r="E2068">
        <v>-1.7</v>
      </c>
      <c r="F2068">
        <v>21.2</v>
      </c>
      <c r="G2068">
        <v>9735</v>
      </c>
      <c r="H2068">
        <v>9436</v>
      </c>
      <c r="I2068">
        <v>9350</v>
      </c>
      <c r="J2068">
        <v>41.35</v>
      </c>
      <c r="K2068">
        <v>43.16</v>
      </c>
      <c r="L2068">
        <v>43.67</v>
      </c>
      <c r="M2068">
        <v>8.4</v>
      </c>
      <c r="N2068" t="b">
        <v>1</v>
      </c>
      <c r="O2068">
        <v>750</v>
      </c>
      <c r="P2068" t="s">
        <v>2067</v>
      </c>
      <c r="Q2068" t="s">
        <v>3859</v>
      </c>
      <c r="R2068">
        <v>-12.48146058690155</v>
      </c>
      <c r="S2068">
        <v>631</v>
      </c>
      <c r="T2068">
        <v>37130</v>
      </c>
      <c r="U2068" t="s">
        <v>6039</v>
      </c>
      <c r="V2068">
        <v>38.6</v>
      </c>
      <c r="W2068" t="s">
        <v>8228</v>
      </c>
      <c r="X2068" t="s">
        <v>10076</v>
      </c>
      <c r="Y2068">
        <v>251</v>
      </c>
      <c r="Z2068">
        <v>34</v>
      </c>
      <c r="AB2068">
        <v>0.53</v>
      </c>
    </row>
    <row r="2069" spans="1:28">
      <c r="A2069" s="2">
        <f>HYPERLINK("https://finance.naver.com/item/coinfo.nhn?code=048910", "A048910")</f>
        <v>0</v>
      </c>
      <c r="B2069">
        <f>HYPERLINK("http://comp.fnguide.com/SVO2/ASP/SVD_Consensus.asp?pGB=1&amp;gicode=A048910&amp;cID=&amp;MenuYn=Y&amp;ReportGB=&amp;NewMenuID=108&amp;stkGb=701", "대원미디어")</f>
        <v>0</v>
      </c>
      <c r="C2069">
        <v>0</v>
      </c>
      <c r="D2069">
        <v>8330</v>
      </c>
      <c r="E2069">
        <v>-3.05</v>
      </c>
      <c r="F2069">
        <v>77.18000000000001</v>
      </c>
      <c r="G2069">
        <v>2740</v>
      </c>
      <c r="H2069">
        <v>4997</v>
      </c>
      <c r="I2069">
        <v>5640</v>
      </c>
      <c r="J2069">
        <v>67.11</v>
      </c>
      <c r="K2069">
        <v>40.02</v>
      </c>
      <c r="L2069">
        <v>32.3</v>
      </c>
      <c r="M2069">
        <v>3.36</v>
      </c>
      <c r="N2069" t="b">
        <v>1</v>
      </c>
      <c r="O2069">
        <v>87</v>
      </c>
      <c r="P2069" t="s">
        <v>2068</v>
      </c>
      <c r="Q2069" t="s">
        <v>3860</v>
      </c>
      <c r="R2069">
        <v>-25.33349757334879</v>
      </c>
      <c r="S2069">
        <v>1048</v>
      </c>
      <c r="T2069">
        <v>687536</v>
      </c>
      <c r="U2069" t="s">
        <v>6040</v>
      </c>
      <c r="V2069">
        <v>36.86</v>
      </c>
      <c r="W2069" t="s">
        <v>8229</v>
      </c>
      <c r="X2069" t="s">
        <v>10077</v>
      </c>
      <c r="Y2069">
        <v>1915</v>
      </c>
      <c r="Z2069">
        <v>37</v>
      </c>
      <c r="AA2069">
        <v>494532</v>
      </c>
    </row>
    <row r="2070" spans="1:28">
      <c r="A2070" s="2">
        <f>HYPERLINK("https://finance.naver.com/item/coinfo.nhn?code=045390", "A045390")</f>
        <v>0</v>
      </c>
      <c r="B2070">
        <f>HYPERLINK("http://comp.fnguide.com/SVO2/ASP/SVD_Consensus.asp?pGB=1&amp;gicode=A045390&amp;cID=&amp;MenuYn=Y&amp;ReportGB=&amp;NewMenuID=108&amp;stkGb=701", "대아티아이")</f>
        <v>0</v>
      </c>
      <c r="C2070">
        <v>0</v>
      </c>
      <c r="D2070">
        <v>5890</v>
      </c>
      <c r="E2070">
        <v>-8.289999999999999</v>
      </c>
      <c r="F2070">
        <v>172.41</v>
      </c>
      <c r="G2070">
        <v>822</v>
      </c>
      <c r="H2070">
        <v>1125</v>
      </c>
      <c r="I2070">
        <v>1212</v>
      </c>
      <c r="J2070">
        <v>86.05</v>
      </c>
      <c r="K2070">
        <v>80.90000000000001</v>
      </c>
      <c r="L2070">
        <v>79.43000000000001</v>
      </c>
      <c r="M2070">
        <v>4.94</v>
      </c>
      <c r="N2070" t="b">
        <v>0</v>
      </c>
      <c r="O2070">
        <v>30</v>
      </c>
      <c r="P2070" t="s">
        <v>2069</v>
      </c>
      <c r="Q2070" t="s">
        <v>3861</v>
      </c>
      <c r="R2070">
        <v>-20.78840756875578</v>
      </c>
      <c r="S2070">
        <v>4191</v>
      </c>
      <c r="T2070">
        <v>1104939</v>
      </c>
      <c r="U2070" t="s">
        <v>6041</v>
      </c>
      <c r="V2070">
        <v>16.81</v>
      </c>
      <c r="W2070" t="s">
        <v>8230</v>
      </c>
      <c r="X2070" t="s">
        <v>10078</v>
      </c>
      <c r="Y2070">
        <v>1142</v>
      </c>
      <c r="Z2070">
        <v>90</v>
      </c>
      <c r="AB2070">
        <v>0.38</v>
      </c>
    </row>
    <row r="2071" spans="1:28">
      <c r="A2071" s="2">
        <f>HYPERLINK("https://finance.naver.com/item/coinfo.nhn?code=020180", "A020180")</f>
        <v>0</v>
      </c>
      <c r="B2071">
        <f>HYPERLINK("http://comp.fnguide.com/SVO2/ASP/SVD_Consensus.asp?pGB=1&amp;gicode=A020180&amp;cID=&amp;MenuYn=Y&amp;ReportGB=&amp;NewMenuID=108&amp;stkGb=701", "대신정보통신")</f>
        <v>0</v>
      </c>
      <c r="C2071">
        <v>0</v>
      </c>
      <c r="D2071">
        <v>1940</v>
      </c>
      <c r="E2071">
        <v>10.32</v>
      </c>
      <c r="F2071">
        <v>24.2</v>
      </c>
      <c r="G2071">
        <v>482</v>
      </c>
      <c r="H2071">
        <v>599</v>
      </c>
      <c r="I2071">
        <v>632</v>
      </c>
      <c r="J2071">
        <v>75.13</v>
      </c>
      <c r="K2071">
        <v>69.12</v>
      </c>
      <c r="L2071">
        <v>67.41</v>
      </c>
      <c r="M2071">
        <v>5.68</v>
      </c>
      <c r="N2071" t="b">
        <v>1</v>
      </c>
      <c r="O2071">
        <v>39</v>
      </c>
      <c r="P2071" t="s">
        <v>2070</v>
      </c>
      <c r="Q2071" t="s">
        <v>3862</v>
      </c>
      <c r="R2071">
        <v>2.344623903671605</v>
      </c>
      <c r="S2071">
        <v>746</v>
      </c>
      <c r="T2071">
        <v>1597068</v>
      </c>
      <c r="U2071" t="s">
        <v>6042</v>
      </c>
      <c r="V2071">
        <v>14.89</v>
      </c>
      <c r="W2071" t="s">
        <v>8231</v>
      </c>
      <c r="X2071" t="s">
        <v>10079</v>
      </c>
      <c r="Y2071">
        <v>1759</v>
      </c>
      <c r="Z2071">
        <v>21</v>
      </c>
      <c r="AB2071">
        <v>1.05</v>
      </c>
    </row>
    <row r="2072" spans="1:28">
      <c r="A2072" s="2">
        <f>HYPERLINK("https://finance.naver.com/item/coinfo.nhn?code=336570", "A336570")</f>
        <v>0</v>
      </c>
      <c r="B2072">
        <f>HYPERLINK("http://comp.fnguide.com/SVO2/ASP/SVD_Consensus.asp?pGB=1&amp;gicode=A336570&amp;cID=&amp;MenuYn=Y&amp;ReportGB=&amp;NewMenuID=108&amp;stkGb=701", "대신밸런스제8호스팩")</f>
        <v>0</v>
      </c>
      <c r="C2072">
        <v>0</v>
      </c>
      <c r="D2072">
        <v>2030</v>
      </c>
      <c r="E2072">
        <v>0</v>
      </c>
      <c r="G2072">
        <v>0</v>
      </c>
      <c r="H2072">
        <v>1135</v>
      </c>
      <c r="I2072">
        <v>1459</v>
      </c>
      <c r="J2072">
        <v>100</v>
      </c>
      <c r="K2072">
        <v>44.08</v>
      </c>
      <c r="L2072">
        <v>28.14</v>
      </c>
      <c r="M2072">
        <v>0</v>
      </c>
      <c r="N2072" t="b">
        <v>0</v>
      </c>
      <c r="O2072">
        <v>-36</v>
      </c>
      <c r="P2072" t="s">
        <v>2071</v>
      </c>
      <c r="Q2072" t="s">
        <v>3863</v>
      </c>
      <c r="R2072">
        <v>-29.13373901943065</v>
      </c>
      <c r="S2072">
        <v>114</v>
      </c>
      <c r="T2072">
        <v>13406</v>
      </c>
      <c r="U2072" t="s">
        <v>6043</v>
      </c>
      <c r="V2072">
        <v>10.7</v>
      </c>
      <c r="W2072" t="s">
        <v>968</v>
      </c>
      <c r="X2072" t="s">
        <v>968</v>
      </c>
      <c r="Y2072">
        <v>0</v>
      </c>
      <c r="Z2072">
        <v>0</v>
      </c>
    </row>
    <row r="2073" spans="1:28">
      <c r="A2073" s="2">
        <f>HYPERLINK("https://finance.naver.com/item/coinfo.nhn?code=332290", "A332290")</f>
        <v>0</v>
      </c>
      <c r="B2073">
        <f>HYPERLINK("http://comp.fnguide.com/SVO2/ASP/SVD_Consensus.asp?pGB=1&amp;gicode=A332290&amp;cID=&amp;MenuYn=Y&amp;ReportGB=&amp;NewMenuID=108&amp;stkGb=701", "대신밸런스제7호스팩")</f>
        <v>0</v>
      </c>
      <c r="C2073">
        <v>0</v>
      </c>
      <c r="D2073">
        <v>2060</v>
      </c>
      <c r="E2073">
        <v>0</v>
      </c>
      <c r="G2073">
        <v>0</v>
      </c>
      <c r="H2073">
        <v>1189</v>
      </c>
      <c r="I2073">
        <v>1528</v>
      </c>
      <c r="J2073">
        <v>100</v>
      </c>
      <c r="K2073">
        <v>42.28</v>
      </c>
      <c r="L2073">
        <v>25.84</v>
      </c>
      <c r="M2073">
        <v>0</v>
      </c>
      <c r="N2073" t="b">
        <v>0</v>
      </c>
      <c r="O2073">
        <v>-29</v>
      </c>
      <c r="P2073" t="s">
        <v>1965</v>
      </c>
      <c r="Q2073" t="s">
        <v>3863</v>
      </c>
      <c r="R2073">
        <v>-29.13373901943065</v>
      </c>
      <c r="S2073">
        <v>107</v>
      </c>
      <c r="T2073">
        <v>44076</v>
      </c>
      <c r="U2073" t="s">
        <v>6044</v>
      </c>
      <c r="V2073">
        <v>4.3</v>
      </c>
      <c r="W2073" t="s">
        <v>968</v>
      </c>
      <c r="X2073" t="s">
        <v>968</v>
      </c>
      <c r="Y2073">
        <v>0</v>
      </c>
      <c r="Z2073">
        <v>0</v>
      </c>
    </row>
    <row r="2074" spans="1:28">
      <c r="A2074" s="2">
        <f>HYPERLINK("https://finance.naver.com/item/coinfo.nhn?code=307750", "A307750")</f>
        <v>0</v>
      </c>
      <c r="B2074">
        <f>HYPERLINK("http://comp.fnguide.com/SVO2/ASP/SVD_Consensus.asp?pGB=1&amp;gicode=A307750&amp;cID=&amp;MenuYn=Y&amp;ReportGB=&amp;NewMenuID=108&amp;stkGb=701", "대신밸런스제6호스팩")</f>
        <v>0</v>
      </c>
      <c r="C2074">
        <v>0</v>
      </c>
      <c r="D2074">
        <v>6000</v>
      </c>
      <c r="E2074">
        <v>0</v>
      </c>
      <c r="G2074">
        <v>0</v>
      </c>
      <c r="H2074">
        <v>1151</v>
      </c>
      <c r="I2074">
        <v>1479</v>
      </c>
      <c r="J2074">
        <v>100</v>
      </c>
      <c r="K2074">
        <v>80.81</v>
      </c>
      <c r="L2074">
        <v>75.34</v>
      </c>
      <c r="M2074">
        <v>0</v>
      </c>
      <c r="N2074" t="b">
        <v>0</v>
      </c>
      <c r="O2074">
        <v>-7</v>
      </c>
      <c r="P2074" t="s">
        <v>2072</v>
      </c>
      <c r="Q2074" t="s">
        <v>3863</v>
      </c>
      <c r="R2074">
        <v>-29.13373901943065</v>
      </c>
      <c r="S2074">
        <v>301</v>
      </c>
      <c r="T2074">
        <v>233392</v>
      </c>
      <c r="U2074" t="s">
        <v>6045</v>
      </c>
      <c r="V2074">
        <v>9.98</v>
      </c>
      <c r="W2074" t="s">
        <v>8232</v>
      </c>
      <c r="X2074" t="s">
        <v>968</v>
      </c>
      <c r="Y2074">
        <v>0</v>
      </c>
      <c r="Z2074">
        <v>0</v>
      </c>
    </row>
    <row r="2075" spans="1:28">
      <c r="A2075" s="2">
        <f>HYPERLINK("https://finance.naver.com/item/coinfo.nhn?code=104040", "A104040")</f>
        <v>0</v>
      </c>
      <c r="B2075">
        <f>HYPERLINK("http://comp.fnguide.com/SVO2/ASP/SVD_Consensus.asp?pGB=1&amp;gicode=A104040&amp;cID=&amp;MenuYn=Y&amp;ReportGB=&amp;NewMenuID=108&amp;stkGb=701", "대성파인텍")</f>
        <v>0</v>
      </c>
      <c r="C2075">
        <v>0</v>
      </c>
      <c r="D2075">
        <v>2010</v>
      </c>
      <c r="E2075">
        <v>-1.18</v>
      </c>
      <c r="F2075">
        <v>34.28</v>
      </c>
      <c r="G2075">
        <v>853</v>
      </c>
      <c r="H2075">
        <v>1379</v>
      </c>
      <c r="I2075">
        <v>1529</v>
      </c>
      <c r="J2075">
        <v>57.57</v>
      </c>
      <c r="K2075">
        <v>31.4</v>
      </c>
      <c r="L2075">
        <v>23.95</v>
      </c>
      <c r="M2075">
        <v>3.93</v>
      </c>
      <c r="N2075" t="b">
        <v>1</v>
      </c>
      <c r="O2075">
        <v>39</v>
      </c>
      <c r="P2075" t="s">
        <v>2073</v>
      </c>
      <c r="Q2075" t="s">
        <v>3863</v>
      </c>
      <c r="R2075">
        <v>-29.13373901943065</v>
      </c>
      <c r="S2075">
        <v>629</v>
      </c>
      <c r="T2075">
        <v>1211919</v>
      </c>
      <c r="U2075" t="s">
        <v>6046</v>
      </c>
      <c r="V2075">
        <v>10.22</v>
      </c>
      <c r="W2075" t="s">
        <v>8233</v>
      </c>
      <c r="X2075" t="s">
        <v>10080</v>
      </c>
      <c r="Y2075">
        <v>375</v>
      </c>
      <c r="Z2075">
        <v>3</v>
      </c>
      <c r="AA2075">
        <v>633548</v>
      </c>
    </row>
    <row r="2076" spans="1:28">
      <c r="A2076" s="2">
        <f>HYPERLINK("https://finance.naver.com/item/coinfo.nhn?code=027830", "A027830")</f>
        <v>0</v>
      </c>
      <c r="B2076">
        <f>HYPERLINK("http://comp.fnguide.com/SVO2/ASP/SVD_Consensus.asp?pGB=1&amp;gicode=A027830&amp;cID=&amp;MenuYn=Y&amp;ReportGB=&amp;NewMenuID=108&amp;stkGb=701", "대성창투")</f>
        <v>0</v>
      </c>
      <c r="C2076">
        <v>0</v>
      </c>
      <c r="D2076">
        <v>2020</v>
      </c>
      <c r="E2076">
        <v>0</v>
      </c>
      <c r="G2076">
        <v>199</v>
      </c>
      <c r="H2076">
        <v>831</v>
      </c>
      <c r="I2076">
        <v>1010</v>
      </c>
      <c r="J2076">
        <v>90.14</v>
      </c>
      <c r="K2076">
        <v>58.88</v>
      </c>
      <c r="L2076">
        <v>49.98</v>
      </c>
      <c r="M2076">
        <v>1.27</v>
      </c>
      <c r="N2076" t="b">
        <v>0</v>
      </c>
      <c r="O2076">
        <v>-4</v>
      </c>
      <c r="P2076" t="s">
        <v>2074</v>
      </c>
      <c r="Q2076" t="s">
        <v>3864</v>
      </c>
      <c r="R2076">
        <v>-23.6</v>
      </c>
      <c r="S2076">
        <v>808</v>
      </c>
      <c r="T2076">
        <v>389027</v>
      </c>
      <c r="U2076" t="s">
        <v>6047</v>
      </c>
      <c r="V2076">
        <v>50.17</v>
      </c>
      <c r="W2076" t="s">
        <v>8234</v>
      </c>
      <c r="X2076" t="s">
        <v>10081</v>
      </c>
      <c r="Y2076">
        <v>69</v>
      </c>
      <c r="Z2076">
        <v>-4</v>
      </c>
    </row>
    <row r="2077" spans="1:28">
      <c r="A2077" s="2">
        <f>HYPERLINK("https://finance.naver.com/item/coinfo.nhn?code=025440", "A025440")</f>
        <v>0</v>
      </c>
      <c r="B2077">
        <f>HYPERLINK("http://comp.fnguide.com/SVO2/ASP/SVD_Consensus.asp?pGB=1&amp;gicode=A025440&amp;cID=&amp;MenuYn=Y&amp;ReportGB=&amp;NewMenuID=108&amp;stkGb=701", "대성엘텍")</f>
        <v>0</v>
      </c>
      <c r="C2077">
        <v>0</v>
      </c>
      <c r="D2077">
        <v>713</v>
      </c>
      <c r="G2077">
        <v>0</v>
      </c>
      <c r="H2077">
        <v>232</v>
      </c>
      <c r="I2077">
        <v>298</v>
      </c>
      <c r="J2077">
        <v>100</v>
      </c>
      <c r="K2077">
        <v>67.45</v>
      </c>
      <c r="L2077">
        <v>58.17</v>
      </c>
      <c r="M2077">
        <v>0</v>
      </c>
      <c r="N2077" t="b">
        <v>0</v>
      </c>
      <c r="O2077">
        <v>-99</v>
      </c>
      <c r="P2077" t="s">
        <v>2075</v>
      </c>
      <c r="Q2077" t="s">
        <v>3864</v>
      </c>
      <c r="R2077">
        <v>-23.6</v>
      </c>
      <c r="S2077">
        <v>711</v>
      </c>
      <c r="T2077">
        <v>508301</v>
      </c>
      <c r="U2077" t="s">
        <v>6048</v>
      </c>
      <c r="V2077">
        <v>51.28</v>
      </c>
      <c r="W2077" t="s">
        <v>8235</v>
      </c>
      <c r="X2077" t="s">
        <v>968</v>
      </c>
      <c r="Y2077">
        <v>3774</v>
      </c>
      <c r="Z2077">
        <v>-69</v>
      </c>
    </row>
    <row r="2078" spans="1:28">
      <c r="A2078" s="2">
        <f>HYPERLINK("https://finance.naver.com/item/coinfo.nhn?code=078140", "A078140")</f>
        <v>0</v>
      </c>
      <c r="B2078">
        <f>HYPERLINK("http://comp.fnguide.com/SVO2/ASP/SVD_Consensus.asp?pGB=1&amp;gicode=A078140&amp;cID=&amp;MenuYn=Y&amp;ReportGB=&amp;NewMenuID=108&amp;stkGb=701", "대봉엘에스")</f>
        <v>0</v>
      </c>
      <c r="C2078">
        <v>0</v>
      </c>
      <c r="D2078">
        <v>11150</v>
      </c>
      <c r="E2078">
        <v>-16.43</v>
      </c>
      <c r="F2078">
        <v>13.3</v>
      </c>
      <c r="G2078">
        <v>7705</v>
      </c>
      <c r="H2078">
        <v>7485</v>
      </c>
      <c r="I2078">
        <v>7422</v>
      </c>
      <c r="J2078">
        <v>30.89</v>
      </c>
      <c r="K2078">
        <v>32.87</v>
      </c>
      <c r="L2078">
        <v>33.43</v>
      </c>
      <c r="M2078">
        <v>8.369999999999999</v>
      </c>
      <c r="N2078" t="b">
        <v>1</v>
      </c>
      <c r="O2078">
        <v>517</v>
      </c>
      <c r="P2078" t="s">
        <v>2076</v>
      </c>
      <c r="Q2078" t="s">
        <v>3865</v>
      </c>
      <c r="R2078">
        <v>-0.8094693827333188</v>
      </c>
      <c r="S2078">
        <v>1236</v>
      </c>
      <c r="T2078">
        <v>93290</v>
      </c>
      <c r="U2078" t="s">
        <v>6049</v>
      </c>
      <c r="V2078">
        <v>50.93</v>
      </c>
      <c r="W2078" t="s">
        <v>8236</v>
      </c>
      <c r="X2078" t="s">
        <v>10082</v>
      </c>
      <c r="Y2078">
        <v>695</v>
      </c>
      <c r="Z2078">
        <v>74</v>
      </c>
      <c r="AA2078">
        <v>76415</v>
      </c>
      <c r="AB2078">
        <v>0.73</v>
      </c>
    </row>
    <row r="2079" spans="1:28">
      <c r="A2079" s="2">
        <f>HYPERLINK("https://finance.naver.com/item/coinfo.nhn?code=270870", "A270870")</f>
        <v>0</v>
      </c>
      <c r="B2079">
        <f>HYPERLINK("http://comp.fnguide.com/SVO2/ASP/SVD_Consensus.asp?pGB=1&amp;gicode=A270870&amp;cID=&amp;MenuYn=Y&amp;ReportGB=&amp;NewMenuID=108&amp;stkGb=701", "뉴트리")</f>
        <v>0</v>
      </c>
      <c r="C2079">
        <v>0</v>
      </c>
      <c r="D2079">
        <v>22100</v>
      </c>
      <c r="E2079">
        <v>0</v>
      </c>
      <c r="F2079">
        <v>13.21</v>
      </c>
      <c r="G2079">
        <v>14252</v>
      </c>
      <c r="H2079">
        <v>9590</v>
      </c>
      <c r="I2079">
        <v>8262</v>
      </c>
      <c r="J2079">
        <v>35.51</v>
      </c>
      <c r="K2079">
        <v>56.61</v>
      </c>
      <c r="L2079">
        <v>62.62</v>
      </c>
      <c r="M2079">
        <v>17.5</v>
      </c>
      <c r="N2079" t="b">
        <v>1</v>
      </c>
      <c r="O2079">
        <v>1056</v>
      </c>
      <c r="P2079" t="s">
        <v>2077</v>
      </c>
      <c r="Q2079" t="s">
        <v>3866</v>
      </c>
      <c r="R2079">
        <v>0</v>
      </c>
      <c r="S2079">
        <v>2005</v>
      </c>
      <c r="T2079">
        <v>86888</v>
      </c>
      <c r="U2079" t="s">
        <v>6050</v>
      </c>
      <c r="V2079">
        <v>50.69</v>
      </c>
      <c r="W2079" t="s">
        <v>8237</v>
      </c>
      <c r="X2079" t="s">
        <v>10083</v>
      </c>
      <c r="Y2079">
        <v>1251</v>
      </c>
      <c r="Z2079">
        <v>120</v>
      </c>
      <c r="AA2079">
        <v>232152</v>
      </c>
      <c r="AB2079">
        <v>1.08</v>
      </c>
    </row>
    <row r="2080" spans="1:28">
      <c r="A2080" s="2">
        <f>HYPERLINK("https://finance.naver.com/item/coinfo.nhn?code=290670", "A290670")</f>
        <v>0</v>
      </c>
      <c r="B2080">
        <f>HYPERLINK("http://comp.fnguide.com/SVO2/ASP/SVD_Consensus.asp?pGB=1&amp;gicode=A290670&amp;cID=&amp;MenuYn=Y&amp;ReportGB=&amp;NewMenuID=108&amp;stkGb=701", "대보마그네틱")</f>
        <v>0</v>
      </c>
      <c r="C2080">
        <v>0</v>
      </c>
      <c r="D2080">
        <v>30750</v>
      </c>
      <c r="E2080">
        <v>0</v>
      </c>
      <c r="F2080">
        <v>37.88</v>
      </c>
      <c r="G2080">
        <v>16613</v>
      </c>
      <c r="H2080">
        <v>9814</v>
      </c>
      <c r="I2080">
        <v>7877</v>
      </c>
      <c r="J2080">
        <v>45.97</v>
      </c>
      <c r="K2080">
        <v>68.08</v>
      </c>
      <c r="L2080">
        <v>74.38</v>
      </c>
      <c r="M2080">
        <v>24.99</v>
      </c>
      <c r="N2080" t="b">
        <v>1</v>
      </c>
      <c r="O2080">
        <v>593</v>
      </c>
      <c r="P2080" t="s">
        <v>2078</v>
      </c>
      <c r="Q2080" t="s">
        <v>3867</v>
      </c>
      <c r="R2080">
        <v>0</v>
      </c>
      <c r="S2080">
        <v>2112</v>
      </c>
      <c r="T2080">
        <v>26843</v>
      </c>
      <c r="U2080" t="s">
        <v>6051</v>
      </c>
      <c r="V2080">
        <v>66.15000000000001</v>
      </c>
      <c r="W2080" t="s">
        <v>8238</v>
      </c>
      <c r="X2080" t="s">
        <v>10084</v>
      </c>
      <c r="Y2080">
        <v>239</v>
      </c>
      <c r="Z2080">
        <v>47</v>
      </c>
      <c r="AA2080">
        <v>223808</v>
      </c>
    </row>
    <row r="2081" spans="1:28">
      <c r="A2081" s="2">
        <f>HYPERLINK("https://finance.naver.com/item/coinfo.nhn?code=068240", "A068240")</f>
        <v>0</v>
      </c>
      <c r="B2081">
        <f>HYPERLINK("http://comp.fnguide.com/SVO2/ASP/SVD_Consensus.asp?pGB=1&amp;gicode=A068240&amp;cID=&amp;MenuYn=Y&amp;ReportGB=&amp;NewMenuID=108&amp;stkGb=701", "다원시스")</f>
        <v>0</v>
      </c>
      <c r="C2081">
        <v>0</v>
      </c>
      <c r="D2081">
        <v>20550</v>
      </c>
      <c r="E2081">
        <v>-6.3</v>
      </c>
      <c r="F2081">
        <v>100.49</v>
      </c>
      <c r="G2081">
        <v>3151</v>
      </c>
      <c r="H2081">
        <v>6030</v>
      </c>
      <c r="I2081">
        <v>6851</v>
      </c>
      <c r="J2081">
        <v>84.67</v>
      </c>
      <c r="K2081">
        <v>70.66</v>
      </c>
      <c r="L2081">
        <v>66.66</v>
      </c>
      <c r="M2081">
        <v>3.16</v>
      </c>
      <c r="N2081" t="b">
        <v>0</v>
      </c>
      <c r="O2081">
        <v>158</v>
      </c>
      <c r="P2081" t="s">
        <v>2079</v>
      </c>
      <c r="Q2081" t="s">
        <v>3868</v>
      </c>
      <c r="R2081">
        <v>-15.95392989806514</v>
      </c>
      <c r="S2081">
        <v>5548</v>
      </c>
      <c r="T2081">
        <v>283917</v>
      </c>
      <c r="U2081" t="s">
        <v>6052</v>
      </c>
      <c r="V2081">
        <v>20.28</v>
      </c>
      <c r="W2081" t="s">
        <v>8239</v>
      </c>
      <c r="X2081" t="s">
        <v>10085</v>
      </c>
      <c r="Y2081">
        <v>1751</v>
      </c>
      <c r="Z2081">
        <v>83</v>
      </c>
      <c r="AA2081">
        <v>471795</v>
      </c>
      <c r="AB2081">
        <v>0.63</v>
      </c>
    </row>
    <row r="2082" spans="1:28">
      <c r="A2082" s="2">
        <f>HYPERLINK("https://finance.naver.com/item/coinfo.nhn?code=039560", "A039560")</f>
        <v>0</v>
      </c>
      <c r="B2082">
        <f>HYPERLINK("http://comp.fnguide.com/SVO2/ASP/SVD_Consensus.asp?pGB=1&amp;gicode=A039560&amp;cID=&amp;MenuYn=Y&amp;ReportGB=&amp;NewMenuID=108&amp;stkGb=701", "다산네트웍스")</f>
        <v>0</v>
      </c>
      <c r="C2082">
        <v>0</v>
      </c>
      <c r="D2082">
        <v>13200</v>
      </c>
      <c r="E2082">
        <v>0</v>
      </c>
      <c r="F2082">
        <v>163.39</v>
      </c>
      <c r="G2082">
        <v>324</v>
      </c>
      <c r="H2082">
        <v>2949</v>
      </c>
      <c r="I2082">
        <v>3697</v>
      </c>
      <c r="J2082">
        <v>97.55</v>
      </c>
      <c r="K2082">
        <v>77.66</v>
      </c>
      <c r="L2082">
        <v>71.98999999999999</v>
      </c>
      <c r="M2082">
        <v>0.55</v>
      </c>
      <c r="N2082" t="b">
        <v>0</v>
      </c>
      <c r="O2082">
        <v>50</v>
      </c>
      <c r="P2082" t="s">
        <v>2080</v>
      </c>
      <c r="Q2082" t="s">
        <v>2276</v>
      </c>
      <c r="R2082">
        <v>0</v>
      </c>
      <c r="S2082">
        <v>4623</v>
      </c>
      <c r="T2082">
        <v>739478</v>
      </c>
      <c r="U2082" t="s">
        <v>6053</v>
      </c>
      <c r="V2082">
        <v>22.74</v>
      </c>
      <c r="W2082" t="s">
        <v>8240</v>
      </c>
      <c r="X2082" t="s">
        <v>10086</v>
      </c>
      <c r="Y2082">
        <v>4466</v>
      </c>
      <c r="Z2082">
        <v>-2</v>
      </c>
      <c r="AA2082">
        <v>822713</v>
      </c>
    </row>
    <row r="2083" spans="1:28">
      <c r="A2083" s="2">
        <f>HYPERLINK("https://finance.naver.com/item/coinfo.nhn?code=093640", "A093640")</f>
        <v>0</v>
      </c>
      <c r="B2083">
        <f>HYPERLINK("http://comp.fnguide.com/SVO2/ASP/SVD_Consensus.asp?pGB=1&amp;gicode=A093640&amp;cID=&amp;MenuYn=Y&amp;ReportGB=&amp;NewMenuID=108&amp;stkGb=701", "다믈멀티미디어")</f>
        <v>0</v>
      </c>
      <c r="C2083">
        <v>0</v>
      </c>
      <c r="D2083">
        <v>2900</v>
      </c>
      <c r="E2083">
        <v>0</v>
      </c>
      <c r="F2083">
        <v>67.70999999999999</v>
      </c>
      <c r="G2083">
        <v>381</v>
      </c>
      <c r="H2083">
        <v>1163</v>
      </c>
      <c r="I2083">
        <v>1386</v>
      </c>
      <c r="J2083">
        <v>86.86</v>
      </c>
      <c r="K2083">
        <v>59.9</v>
      </c>
      <c r="L2083">
        <v>52.21</v>
      </c>
      <c r="M2083">
        <v>1.8</v>
      </c>
      <c r="N2083" t="b">
        <v>0</v>
      </c>
      <c r="O2083">
        <v>53</v>
      </c>
      <c r="P2083" t="s">
        <v>2081</v>
      </c>
      <c r="Q2083" t="s">
        <v>2276</v>
      </c>
      <c r="R2083">
        <v>0</v>
      </c>
      <c r="S2083">
        <v>365</v>
      </c>
      <c r="T2083">
        <v>93494</v>
      </c>
      <c r="U2083" t="s">
        <v>6054</v>
      </c>
      <c r="V2083">
        <v>13.38</v>
      </c>
      <c r="W2083" t="s">
        <v>8241</v>
      </c>
      <c r="X2083" t="s">
        <v>10087</v>
      </c>
      <c r="Y2083">
        <v>131</v>
      </c>
      <c r="Z2083">
        <v>10</v>
      </c>
    </row>
    <row r="2084" spans="1:28">
      <c r="A2084" s="2">
        <f>HYPERLINK("https://finance.naver.com/item/coinfo.nhn?code=064260", "A064260")</f>
        <v>0</v>
      </c>
      <c r="B2084">
        <f>HYPERLINK("http://comp.fnguide.com/SVO2/ASP/SVD_Consensus.asp?pGB=1&amp;gicode=A064260&amp;cID=&amp;MenuYn=Y&amp;ReportGB=&amp;NewMenuID=108&amp;stkGb=701", "다날")</f>
        <v>0</v>
      </c>
      <c r="C2084">
        <v>0</v>
      </c>
      <c r="D2084">
        <v>5260</v>
      </c>
      <c r="E2084">
        <v>-0.78</v>
      </c>
      <c r="F2084">
        <v>7.71</v>
      </c>
      <c r="G2084">
        <v>3209</v>
      </c>
      <c r="H2084">
        <v>3041</v>
      </c>
      <c r="I2084">
        <v>2994</v>
      </c>
      <c r="J2084">
        <v>38.99</v>
      </c>
      <c r="K2084">
        <v>42.18</v>
      </c>
      <c r="L2084">
        <v>43.09</v>
      </c>
      <c r="M2084">
        <v>8.73</v>
      </c>
      <c r="N2084" t="b">
        <v>1</v>
      </c>
      <c r="O2084">
        <v>410</v>
      </c>
      <c r="P2084" t="s">
        <v>2082</v>
      </c>
      <c r="Q2084" t="s">
        <v>3869</v>
      </c>
      <c r="R2084">
        <v>-9.829230894796392</v>
      </c>
      <c r="S2084">
        <v>3627</v>
      </c>
      <c r="T2084">
        <v>2536517</v>
      </c>
      <c r="U2084" t="s">
        <v>6055</v>
      </c>
      <c r="V2084">
        <v>18.73</v>
      </c>
      <c r="W2084" t="s">
        <v>8242</v>
      </c>
      <c r="X2084" t="s">
        <v>10088</v>
      </c>
      <c r="Y2084">
        <v>1912</v>
      </c>
      <c r="Z2084">
        <v>109</v>
      </c>
      <c r="AA2084">
        <v>2156045</v>
      </c>
    </row>
    <row r="2085" spans="1:28">
      <c r="A2085" s="2">
        <f>HYPERLINK("https://finance.naver.com/item/coinfo.nhn?code=119860", "A119860")</f>
        <v>0</v>
      </c>
      <c r="B2085">
        <f>HYPERLINK("http://comp.fnguide.com/SVO2/ASP/SVD_Consensus.asp?pGB=1&amp;gicode=A119860&amp;cID=&amp;MenuYn=Y&amp;ReportGB=&amp;NewMenuID=108&amp;stkGb=701", "다나와")</f>
        <v>0</v>
      </c>
      <c r="C2085">
        <v>0</v>
      </c>
      <c r="D2085">
        <v>28750</v>
      </c>
      <c r="E2085">
        <v>0.35</v>
      </c>
      <c r="F2085">
        <v>13.22</v>
      </c>
      <c r="G2085">
        <v>22884</v>
      </c>
      <c r="H2085">
        <v>14220</v>
      </c>
      <c r="I2085">
        <v>11752</v>
      </c>
      <c r="J2085">
        <v>20.4</v>
      </c>
      <c r="K2085">
        <v>50.54</v>
      </c>
      <c r="L2085">
        <v>59.12</v>
      </c>
      <c r="M2085">
        <v>21.55</v>
      </c>
      <c r="N2085" t="b">
        <v>1</v>
      </c>
      <c r="O2085">
        <v>1804</v>
      </c>
      <c r="P2085" t="s">
        <v>2083</v>
      </c>
      <c r="Q2085" t="s">
        <v>3870</v>
      </c>
      <c r="R2085">
        <v>37.47869891548083</v>
      </c>
      <c r="S2085">
        <v>3759</v>
      </c>
      <c r="T2085">
        <v>43867</v>
      </c>
      <c r="U2085" t="s">
        <v>6056</v>
      </c>
      <c r="V2085">
        <v>51.35</v>
      </c>
      <c r="W2085" t="s">
        <v>8243</v>
      </c>
      <c r="X2085" t="s">
        <v>10089</v>
      </c>
      <c r="Y2085">
        <v>1670</v>
      </c>
      <c r="Z2085">
        <v>285</v>
      </c>
      <c r="AA2085">
        <v>115000</v>
      </c>
      <c r="AB2085">
        <v>1.68</v>
      </c>
    </row>
    <row r="2086" spans="1:28">
      <c r="A2086" s="2">
        <f>HYPERLINK("https://finance.naver.com/item/coinfo.nhn?code=085670", "A085670")</f>
        <v>0</v>
      </c>
      <c r="B2086">
        <f>HYPERLINK("http://comp.fnguide.com/SVO2/ASP/SVD_Consensus.asp?pGB=1&amp;gicode=A085670&amp;cID=&amp;MenuYn=Y&amp;ReportGB=&amp;NewMenuID=108&amp;stkGb=701", "뉴프렉스")</f>
        <v>0</v>
      </c>
      <c r="C2086">
        <v>0</v>
      </c>
      <c r="D2086">
        <v>2340</v>
      </c>
      <c r="G2086">
        <v>1724</v>
      </c>
      <c r="H2086">
        <v>2032</v>
      </c>
      <c r="I2086">
        <v>2120</v>
      </c>
      <c r="J2086">
        <v>26.33</v>
      </c>
      <c r="K2086">
        <v>13.15</v>
      </c>
      <c r="L2086">
        <v>9.4</v>
      </c>
      <c r="M2086">
        <v>6.14</v>
      </c>
      <c r="N2086" t="b">
        <v>0</v>
      </c>
      <c r="O2086">
        <v>-455</v>
      </c>
      <c r="P2086" t="s">
        <v>2084</v>
      </c>
      <c r="Q2086" t="s">
        <v>3871</v>
      </c>
      <c r="R2086">
        <v>74.2</v>
      </c>
      <c r="S2086">
        <v>509</v>
      </c>
      <c r="T2086">
        <v>216832</v>
      </c>
      <c r="U2086" t="s">
        <v>6057</v>
      </c>
      <c r="V2086">
        <v>34.89</v>
      </c>
      <c r="W2086" t="s">
        <v>8244</v>
      </c>
      <c r="X2086" t="s">
        <v>10090</v>
      </c>
      <c r="Y2086">
        <v>1283</v>
      </c>
      <c r="Z2086">
        <v>-100</v>
      </c>
      <c r="AA2086">
        <v>477</v>
      </c>
    </row>
    <row r="2087" spans="1:28">
      <c r="A2087" s="2">
        <f>HYPERLINK("https://finance.naver.com/item/coinfo.nhn?code=900100", "A900100")</f>
        <v>0</v>
      </c>
      <c r="B2087">
        <f>HYPERLINK("http://comp.fnguide.com/SVO2/ASP/SVD_Consensus.asp?pGB=1&amp;gicode=A900100&amp;cID=&amp;MenuYn=Y&amp;ReportGB=&amp;NewMenuID=108&amp;stkGb=701", "뉴프라이드")</f>
        <v>0</v>
      </c>
      <c r="C2087">
        <v>0</v>
      </c>
      <c r="D2087">
        <v>717</v>
      </c>
      <c r="E2087">
        <v>0</v>
      </c>
      <c r="G2087">
        <v>0</v>
      </c>
      <c r="H2087">
        <v>192</v>
      </c>
      <c r="I2087">
        <v>247</v>
      </c>
      <c r="J2087">
        <v>100</v>
      </c>
      <c r="K2087">
        <v>73.2</v>
      </c>
      <c r="L2087">
        <v>65.56999999999999</v>
      </c>
      <c r="M2087">
        <v>0</v>
      </c>
      <c r="N2087" t="b">
        <v>0</v>
      </c>
      <c r="O2087">
        <v>-322</v>
      </c>
      <c r="P2087" t="s">
        <v>2085</v>
      </c>
      <c r="Q2087" t="s">
        <v>2276</v>
      </c>
      <c r="R2087">
        <v>0</v>
      </c>
      <c r="S2087">
        <v>767</v>
      </c>
      <c r="T2087">
        <v>0</v>
      </c>
      <c r="U2087" t="s">
        <v>6058</v>
      </c>
      <c r="V2087">
        <v>3.28</v>
      </c>
      <c r="W2087" t="s">
        <v>8245</v>
      </c>
      <c r="X2087" t="s">
        <v>968</v>
      </c>
      <c r="Y2087">
        <v>398</v>
      </c>
      <c r="Z2087">
        <v>-35</v>
      </c>
      <c r="AA2087">
        <v>142</v>
      </c>
    </row>
    <row r="2088" spans="1:28">
      <c r="A2088" s="2">
        <f>HYPERLINK("https://finance.naver.com/item/coinfo.nhn?code=144960", "A144960")</f>
        <v>0</v>
      </c>
      <c r="B2088">
        <f>HYPERLINK("http://comp.fnguide.com/SVO2/ASP/SVD_Consensus.asp?pGB=1&amp;gicode=A144960&amp;cID=&amp;MenuYn=Y&amp;ReportGB=&amp;NewMenuID=108&amp;stkGb=701", "뉴파워프라즈마")</f>
        <v>0</v>
      </c>
      <c r="C2088">
        <v>0</v>
      </c>
      <c r="D2088">
        <v>6790</v>
      </c>
      <c r="E2088">
        <v>3.18</v>
      </c>
      <c r="F2088">
        <v>31.85</v>
      </c>
      <c r="G2088">
        <v>3462</v>
      </c>
      <c r="H2088">
        <v>3346</v>
      </c>
      <c r="I2088">
        <v>3312</v>
      </c>
      <c r="J2088">
        <v>49.01</v>
      </c>
      <c r="K2088">
        <v>50.73</v>
      </c>
      <c r="L2088">
        <v>51.22</v>
      </c>
      <c r="M2088">
        <v>8.44</v>
      </c>
      <c r="N2088" t="b">
        <v>1</v>
      </c>
      <c r="O2088">
        <v>133</v>
      </c>
      <c r="P2088" t="s">
        <v>2086</v>
      </c>
      <c r="Q2088" t="s">
        <v>3872</v>
      </c>
      <c r="R2088">
        <v>10.00324387695386</v>
      </c>
      <c r="S2088">
        <v>2967</v>
      </c>
      <c r="T2088">
        <v>1141336</v>
      </c>
      <c r="U2088" t="s">
        <v>6059</v>
      </c>
      <c r="V2088">
        <v>37.2</v>
      </c>
      <c r="W2088" t="s">
        <v>8246</v>
      </c>
      <c r="X2088" t="s">
        <v>10091</v>
      </c>
      <c r="Y2088">
        <v>602</v>
      </c>
      <c r="Z2088">
        <v>37</v>
      </c>
      <c r="AA2088">
        <v>2414229</v>
      </c>
    </row>
    <row r="2089" spans="1:28">
      <c r="A2089" s="2">
        <f>HYPERLINK("https://finance.naver.com/item/coinfo.nhn?code=153460", "A153460")</f>
        <v>0</v>
      </c>
      <c r="B2089">
        <f>HYPERLINK("http://comp.fnguide.com/SVO2/ASP/SVD_Consensus.asp?pGB=1&amp;gicode=A153460&amp;cID=&amp;MenuYn=Y&amp;ReportGB=&amp;NewMenuID=108&amp;stkGb=701", "네이블")</f>
        <v>0</v>
      </c>
      <c r="C2089">
        <v>0</v>
      </c>
      <c r="D2089">
        <v>4930</v>
      </c>
      <c r="G2089">
        <v>0</v>
      </c>
      <c r="H2089">
        <v>2252</v>
      </c>
      <c r="I2089">
        <v>2894</v>
      </c>
      <c r="J2089">
        <v>100</v>
      </c>
      <c r="K2089">
        <v>54.31</v>
      </c>
      <c r="L2089">
        <v>41.3</v>
      </c>
      <c r="M2089">
        <v>0</v>
      </c>
      <c r="N2089" t="b">
        <v>0</v>
      </c>
      <c r="O2089">
        <v>-57</v>
      </c>
      <c r="P2089" t="s">
        <v>2087</v>
      </c>
      <c r="Q2089" t="s">
        <v>3873</v>
      </c>
      <c r="R2089">
        <v>-62.5</v>
      </c>
      <c r="S2089">
        <v>322</v>
      </c>
      <c r="T2089">
        <v>25523</v>
      </c>
      <c r="U2089" t="s">
        <v>6060</v>
      </c>
      <c r="V2089">
        <v>66.63</v>
      </c>
      <c r="W2089" t="s">
        <v>8247</v>
      </c>
      <c r="X2089" t="s">
        <v>968</v>
      </c>
      <c r="Y2089">
        <v>124</v>
      </c>
      <c r="Z2089">
        <v>-5</v>
      </c>
      <c r="AA2089">
        <v>127678</v>
      </c>
    </row>
    <row r="2090" spans="1:28">
      <c r="A2090" s="2">
        <f>HYPERLINK("https://finance.naver.com/item/coinfo.nhn?code=290660", "A290660")</f>
        <v>0</v>
      </c>
      <c r="B2090">
        <f>HYPERLINK("http://comp.fnguide.com/SVO2/ASP/SVD_Consensus.asp?pGB=1&amp;gicode=A290660&amp;cID=&amp;MenuYn=Y&amp;ReportGB=&amp;NewMenuID=108&amp;stkGb=701", "네오펙트")</f>
        <v>0</v>
      </c>
      <c r="C2090">
        <v>0</v>
      </c>
      <c r="D2090">
        <v>3610</v>
      </c>
      <c r="E2090">
        <v>0</v>
      </c>
      <c r="G2090">
        <v>0</v>
      </c>
      <c r="H2090">
        <v>394</v>
      </c>
      <c r="I2090">
        <v>506</v>
      </c>
      <c r="J2090">
        <v>100</v>
      </c>
      <c r="K2090">
        <v>89.08</v>
      </c>
      <c r="L2090">
        <v>85.97</v>
      </c>
      <c r="M2090">
        <v>0</v>
      </c>
      <c r="N2090" t="b">
        <v>0</v>
      </c>
      <c r="O2090">
        <v>-1205</v>
      </c>
      <c r="P2090" t="s">
        <v>2088</v>
      </c>
      <c r="Q2090" t="s">
        <v>3152</v>
      </c>
      <c r="R2090">
        <v>0</v>
      </c>
      <c r="S2090">
        <v>683</v>
      </c>
      <c r="T2090">
        <v>244736</v>
      </c>
      <c r="U2090" t="s">
        <v>6061</v>
      </c>
      <c r="V2090">
        <v>25.44</v>
      </c>
      <c r="W2090" t="s">
        <v>8248</v>
      </c>
      <c r="X2090" t="s">
        <v>968</v>
      </c>
      <c r="Y2090">
        <v>123</v>
      </c>
      <c r="Z2090">
        <v>-136</v>
      </c>
    </row>
    <row r="2091" spans="1:28">
      <c r="A2091" s="2">
        <f>HYPERLINK("https://finance.naver.com/item/coinfo.nhn?code=120240", "A120240")</f>
        <v>0</v>
      </c>
      <c r="B2091">
        <f>HYPERLINK("http://comp.fnguide.com/SVO2/ASP/SVD_Consensus.asp?pGB=1&amp;gicode=A120240&amp;cID=&amp;MenuYn=Y&amp;ReportGB=&amp;NewMenuID=108&amp;stkGb=701", "대정화금")</f>
        <v>0</v>
      </c>
      <c r="C2091">
        <v>0</v>
      </c>
      <c r="D2091">
        <v>40100</v>
      </c>
      <c r="E2091">
        <v>-2.14</v>
      </c>
      <c r="F2091">
        <v>17.49</v>
      </c>
      <c r="G2091">
        <v>15067</v>
      </c>
      <c r="H2091">
        <v>16253</v>
      </c>
      <c r="I2091">
        <v>16591</v>
      </c>
      <c r="J2091">
        <v>62.43</v>
      </c>
      <c r="K2091">
        <v>59.47</v>
      </c>
      <c r="L2091">
        <v>58.63</v>
      </c>
      <c r="M2091">
        <v>7.05</v>
      </c>
      <c r="N2091" t="b">
        <v>1</v>
      </c>
      <c r="O2091">
        <v>855</v>
      </c>
      <c r="P2091" t="s">
        <v>2089</v>
      </c>
      <c r="Q2091" t="s">
        <v>3874</v>
      </c>
      <c r="R2091">
        <v>-8.161291825760708</v>
      </c>
      <c r="S2091">
        <v>2861</v>
      </c>
      <c r="T2091">
        <v>713241</v>
      </c>
      <c r="U2091" t="s">
        <v>6062</v>
      </c>
      <c r="V2091">
        <v>51.77</v>
      </c>
      <c r="W2091" t="s">
        <v>8249</v>
      </c>
      <c r="X2091" t="s">
        <v>10092</v>
      </c>
      <c r="Y2091">
        <v>796</v>
      </c>
      <c r="Z2091">
        <v>104</v>
      </c>
      <c r="AA2091">
        <v>17200</v>
      </c>
      <c r="AB2091">
        <v>2.01</v>
      </c>
    </row>
    <row r="2092" spans="1:28">
      <c r="A2092" s="2">
        <f>HYPERLINK("https://finance.naver.com/item/coinfo.nhn?code=085910", "A085910")</f>
        <v>0</v>
      </c>
      <c r="B2092">
        <f>HYPERLINK("http://comp.fnguide.com/SVO2/ASP/SVD_Consensus.asp?pGB=1&amp;gicode=A085910&amp;cID=&amp;MenuYn=Y&amp;ReportGB=&amp;NewMenuID=108&amp;stkGb=701", "네오티스")</f>
        <v>0</v>
      </c>
      <c r="C2092">
        <v>0</v>
      </c>
      <c r="D2092">
        <v>3840</v>
      </c>
      <c r="E2092">
        <v>-0.74</v>
      </c>
      <c r="F2092">
        <v>30.93</v>
      </c>
      <c r="G2092">
        <v>1971</v>
      </c>
      <c r="H2092">
        <v>3243</v>
      </c>
      <c r="I2092">
        <v>3605</v>
      </c>
      <c r="J2092">
        <v>48.68</v>
      </c>
      <c r="K2092">
        <v>15.55</v>
      </c>
      <c r="L2092">
        <v>6.11</v>
      </c>
      <c r="M2092">
        <v>3.84</v>
      </c>
      <c r="N2092" t="b">
        <v>1</v>
      </c>
      <c r="O2092">
        <v>123</v>
      </c>
      <c r="P2092" t="s">
        <v>2090</v>
      </c>
      <c r="Q2092" t="s">
        <v>3875</v>
      </c>
      <c r="R2092">
        <v>-41.92160470536398</v>
      </c>
      <c r="S2092">
        <v>423</v>
      </c>
      <c r="T2092">
        <v>21991</v>
      </c>
      <c r="U2092" t="s">
        <v>6063</v>
      </c>
      <c r="V2092">
        <v>50.97</v>
      </c>
      <c r="W2092" t="s">
        <v>8250</v>
      </c>
      <c r="X2092" t="s">
        <v>10093</v>
      </c>
      <c r="Y2092">
        <v>424</v>
      </c>
      <c r="Z2092">
        <v>34</v>
      </c>
      <c r="AA2092">
        <v>568674</v>
      </c>
      <c r="AB2092">
        <v>6.58</v>
      </c>
    </row>
    <row r="2093" spans="1:28">
      <c r="A2093" s="2">
        <f>HYPERLINK("https://finance.naver.com/item/coinfo.nhn?code=186230", "A186230")</f>
        <v>0</v>
      </c>
      <c r="B2093">
        <f>HYPERLINK("http://comp.fnguide.com/SVO2/ASP/SVD_Consensus.asp?pGB=1&amp;gicode=A186230&amp;cID=&amp;MenuYn=Y&amp;ReportGB=&amp;NewMenuID=108&amp;stkGb=701", "그린플러스")</f>
        <v>0</v>
      </c>
      <c r="C2093">
        <v>0</v>
      </c>
      <c r="D2093">
        <v>12450</v>
      </c>
      <c r="E2093">
        <v>-2.78</v>
      </c>
      <c r="F2093">
        <v>18</v>
      </c>
      <c r="G2093">
        <v>3945</v>
      </c>
      <c r="H2093">
        <v>3877</v>
      </c>
      <c r="I2093">
        <v>3857</v>
      </c>
      <c r="J2093">
        <v>68.31</v>
      </c>
      <c r="K2093">
        <v>68.86</v>
      </c>
      <c r="L2093">
        <v>69.02</v>
      </c>
      <c r="M2093">
        <v>8.210000000000001</v>
      </c>
      <c r="N2093" t="b">
        <v>1</v>
      </c>
      <c r="O2093">
        <v>315</v>
      </c>
      <c r="P2093" t="s">
        <v>2091</v>
      </c>
      <c r="Q2093" t="s">
        <v>3876</v>
      </c>
      <c r="R2093">
        <v>-6.475510968972841</v>
      </c>
      <c r="S2093">
        <v>1196</v>
      </c>
      <c r="T2093">
        <v>163737</v>
      </c>
      <c r="U2093" t="s">
        <v>6064</v>
      </c>
      <c r="V2093">
        <v>38.38</v>
      </c>
      <c r="W2093" t="s">
        <v>8251</v>
      </c>
      <c r="X2093" t="s">
        <v>10094</v>
      </c>
      <c r="Y2093">
        <v>488</v>
      </c>
      <c r="Z2093">
        <v>51</v>
      </c>
      <c r="AA2093">
        <v>80000</v>
      </c>
    </row>
    <row r="2094" spans="1:28">
      <c r="A2094" s="2">
        <f>HYPERLINK("https://finance.naver.com/item/coinfo.nhn?code=078130", "A078130")</f>
        <v>0</v>
      </c>
      <c r="B2094">
        <f>HYPERLINK("http://comp.fnguide.com/SVO2/ASP/SVD_Consensus.asp?pGB=1&amp;gicode=A078130&amp;cID=&amp;MenuYn=Y&amp;ReportGB=&amp;NewMenuID=108&amp;stkGb=701", "국일제지")</f>
        <v>0</v>
      </c>
      <c r="C2094">
        <v>0</v>
      </c>
      <c r="D2094">
        <v>4905</v>
      </c>
      <c r="E2094">
        <v>0</v>
      </c>
      <c r="G2094">
        <v>23</v>
      </c>
      <c r="H2094">
        <v>218</v>
      </c>
      <c r="I2094">
        <v>274</v>
      </c>
      <c r="J2094">
        <v>99.53</v>
      </c>
      <c r="K2094">
        <v>95.55</v>
      </c>
      <c r="L2094">
        <v>94.41</v>
      </c>
      <c r="M2094">
        <v>0.52</v>
      </c>
      <c r="N2094" t="b">
        <v>0</v>
      </c>
      <c r="O2094">
        <v>-312</v>
      </c>
      <c r="P2094" t="s">
        <v>2092</v>
      </c>
      <c r="Q2094" t="s">
        <v>2276</v>
      </c>
      <c r="R2094">
        <v>0</v>
      </c>
      <c r="S2094">
        <v>6197</v>
      </c>
      <c r="T2094">
        <v>1307069</v>
      </c>
      <c r="U2094" t="s">
        <v>6065</v>
      </c>
      <c r="V2094">
        <v>32.45</v>
      </c>
      <c r="W2094" t="s">
        <v>8252</v>
      </c>
      <c r="X2094" t="s">
        <v>10095</v>
      </c>
      <c r="Y2094">
        <v>839</v>
      </c>
      <c r="Z2094">
        <v>7</v>
      </c>
    </row>
    <row r="2095" spans="1:28">
      <c r="A2095" s="2">
        <f>HYPERLINK("https://finance.naver.com/item/coinfo.nhn?code=060480", "A060480")</f>
        <v>0</v>
      </c>
      <c r="B2095">
        <f>HYPERLINK("http://comp.fnguide.com/SVO2/ASP/SVD_Consensus.asp?pGB=1&amp;gicode=A060480&amp;cID=&amp;MenuYn=Y&amp;ReportGB=&amp;NewMenuID=108&amp;stkGb=701", "국일신동")</f>
        <v>0</v>
      </c>
      <c r="C2095">
        <v>0</v>
      </c>
      <c r="D2095">
        <v>4380</v>
      </c>
      <c r="G2095">
        <v>1107</v>
      </c>
      <c r="H2095">
        <v>3004</v>
      </c>
      <c r="I2095">
        <v>3545</v>
      </c>
      <c r="J2095">
        <v>74.73</v>
      </c>
      <c r="K2095">
        <v>31.41</v>
      </c>
      <c r="L2095">
        <v>19.06</v>
      </c>
      <c r="M2095">
        <v>2.07</v>
      </c>
      <c r="N2095" t="b">
        <v>0</v>
      </c>
      <c r="O2095">
        <v>-9</v>
      </c>
      <c r="P2095" t="s">
        <v>2093</v>
      </c>
      <c r="Q2095" t="s">
        <v>3877</v>
      </c>
      <c r="R2095">
        <v>15.07938765398371</v>
      </c>
      <c r="S2095">
        <v>486</v>
      </c>
      <c r="T2095">
        <v>1197819</v>
      </c>
      <c r="U2095" t="s">
        <v>6066</v>
      </c>
      <c r="V2095">
        <v>42.5</v>
      </c>
      <c r="W2095" t="s">
        <v>8253</v>
      </c>
      <c r="X2095" t="s">
        <v>10096</v>
      </c>
      <c r="Y2095">
        <v>286</v>
      </c>
      <c r="Z2095">
        <v>-2</v>
      </c>
      <c r="AB2095">
        <v>0.84</v>
      </c>
    </row>
    <row r="2096" spans="1:28">
      <c r="A2096" s="2">
        <f>HYPERLINK("https://finance.naver.com/item/coinfo.nhn?code=006050", "A006050")</f>
        <v>0</v>
      </c>
      <c r="B2096">
        <f>HYPERLINK("http://comp.fnguide.com/SVO2/ASP/SVD_Consensus.asp?pGB=1&amp;gicode=A006050&amp;cID=&amp;MenuYn=Y&amp;ReportGB=&amp;NewMenuID=108&amp;stkGb=701", "국영지앤엠")</f>
        <v>0</v>
      </c>
      <c r="C2096">
        <v>0</v>
      </c>
      <c r="D2096">
        <v>2915</v>
      </c>
      <c r="E2096">
        <v>0.24</v>
      </c>
      <c r="F2096">
        <v>62.76</v>
      </c>
      <c r="G2096">
        <v>294</v>
      </c>
      <c r="H2096">
        <v>1053</v>
      </c>
      <c r="I2096">
        <v>1270</v>
      </c>
      <c r="J2096">
        <v>89.92</v>
      </c>
      <c r="K2096">
        <v>63.87</v>
      </c>
      <c r="L2096">
        <v>56.45</v>
      </c>
      <c r="M2096">
        <v>1.5</v>
      </c>
      <c r="N2096" t="b">
        <v>1</v>
      </c>
      <c r="O2096">
        <v>31</v>
      </c>
      <c r="P2096" t="s">
        <v>2094</v>
      </c>
      <c r="Q2096" t="s">
        <v>3878</v>
      </c>
      <c r="R2096">
        <v>259.8</v>
      </c>
      <c r="S2096">
        <v>1017</v>
      </c>
      <c r="T2096">
        <v>1257041</v>
      </c>
      <c r="U2096" t="s">
        <v>6067</v>
      </c>
      <c r="V2096">
        <v>14.09</v>
      </c>
      <c r="W2096" t="s">
        <v>8254</v>
      </c>
      <c r="X2096" t="s">
        <v>10097</v>
      </c>
      <c r="Y2096">
        <v>730</v>
      </c>
      <c r="Z2096">
        <v>10</v>
      </c>
      <c r="AA2096">
        <v>1000000</v>
      </c>
      <c r="AB2096">
        <v>0.77</v>
      </c>
    </row>
    <row r="2097" spans="1:28">
      <c r="A2097" s="2">
        <f>HYPERLINK("https://finance.naver.com/item/coinfo.nhn?code=331520", "A331520")</f>
        <v>0</v>
      </c>
      <c r="B2097">
        <f>HYPERLINK("http://comp.fnguide.com/SVO2/ASP/SVD_Consensus.asp?pGB=1&amp;gicode=A331520&amp;cID=&amp;MenuYn=Y&amp;ReportGB=&amp;NewMenuID=108&amp;stkGb=701", "교보9호스팩")</f>
        <v>0</v>
      </c>
      <c r="C2097">
        <v>0</v>
      </c>
      <c r="D2097">
        <v>2035</v>
      </c>
      <c r="E2097">
        <v>0</v>
      </c>
      <c r="G2097">
        <v>0</v>
      </c>
      <c r="H2097">
        <v>1130</v>
      </c>
      <c r="I2097">
        <v>1453</v>
      </c>
      <c r="J2097">
        <v>100</v>
      </c>
      <c r="K2097">
        <v>44.45</v>
      </c>
      <c r="L2097">
        <v>28.62</v>
      </c>
      <c r="M2097">
        <v>0</v>
      </c>
      <c r="N2097" t="b">
        <v>0</v>
      </c>
      <c r="O2097">
        <v>-36</v>
      </c>
      <c r="P2097" t="s">
        <v>2071</v>
      </c>
      <c r="Q2097" t="s">
        <v>3879</v>
      </c>
      <c r="R2097">
        <v>45.92998321112765</v>
      </c>
      <c r="S2097">
        <v>79</v>
      </c>
      <c r="T2097">
        <v>2010</v>
      </c>
      <c r="U2097" t="s">
        <v>6068</v>
      </c>
      <c r="V2097">
        <v>10.31</v>
      </c>
      <c r="W2097" t="s">
        <v>968</v>
      </c>
      <c r="X2097" t="s">
        <v>968</v>
      </c>
      <c r="Y2097">
        <v>0</v>
      </c>
      <c r="Z2097">
        <v>-1</v>
      </c>
    </row>
    <row r="2098" spans="1:28">
      <c r="A2098" s="2">
        <f>HYPERLINK("https://finance.naver.com/item/coinfo.nhn?code=307280", "A307280")</f>
        <v>0</v>
      </c>
      <c r="B2098">
        <f>HYPERLINK("http://comp.fnguide.com/SVO2/ASP/SVD_Consensus.asp?pGB=1&amp;gicode=A307280&amp;cID=&amp;MenuYn=Y&amp;ReportGB=&amp;NewMenuID=108&amp;stkGb=701", "교보8호스팩")</f>
        <v>0</v>
      </c>
      <c r="C2098">
        <v>0</v>
      </c>
      <c r="D2098">
        <v>2360</v>
      </c>
      <c r="E2098">
        <v>0</v>
      </c>
      <c r="F2098">
        <v>220.67</v>
      </c>
      <c r="G2098">
        <v>63</v>
      </c>
      <c r="H2098">
        <v>1123</v>
      </c>
      <c r="I2098">
        <v>1426</v>
      </c>
      <c r="J2098">
        <v>97.33</v>
      </c>
      <c r="K2098">
        <v>52.4</v>
      </c>
      <c r="L2098">
        <v>39.59</v>
      </c>
      <c r="M2098">
        <v>0.28</v>
      </c>
      <c r="N2098" t="b">
        <v>0</v>
      </c>
      <c r="O2098">
        <v>10</v>
      </c>
      <c r="P2098" t="s">
        <v>2095</v>
      </c>
      <c r="Q2098" t="s">
        <v>3879</v>
      </c>
      <c r="R2098">
        <v>45.92998321112765</v>
      </c>
      <c r="S2098">
        <v>88</v>
      </c>
      <c r="T2098">
        <v>111627</v>
      </c>
      <c r="U2098" t="s">
        <v>6069</v>
      </c>
      <c r="V2098">
        <v>11.87</v>
      </c>
      <c r="W2098" t="s">
        <v>8255</v>
      </c>
      <c r="X2098" t="s">
        <v>10098</v>
      </c>
      <c r="Y2098">
        <v>0</v>
      </c>
      <c r="Z2098">
        <v>0</v>
      </c>
    </row>
    <row r="2099" spans="1:28">
      <c r="A2099" s="2">
        <f>HYPERLINK("https://finance.naver.com/item/coinfo.nhn?code=355150", "A355150")</f>
        <v>0</v>
      </c>
      <c r="B2099">
        <f>HYPERLINK("http://comp.fnguide.com/SVO2/ASP/SVD_Consensus.asp?pGB=1&amp;gicode=A355150&amp;cID=&amp;MenuYn=Y&amp;ReportGB=&amp;NewMenuID=108&amp;stkGb=701", "교보10호스팩")</f>
        <v>0</v>
      </c>
      <c r="C2099">
        <v>0</v>
      </c>
      <c r="D2099">
        <v>2030</v>
      </c>
      <c r="E2099">
        <v>0</v>
      </c>
      <c r="M2099">
        <v>0</v>
      </c>
      <c r="N2099" t="b">
        <v>0</v>
      </c>
      <c r="P2099" t="s">
        <v>968</v>
      </c>
      <c r="Q2099" t="s">
        <v>3879</v>
      </c>
      <c r="R2099">
        <v>45.92998321112765</v>
      </c>
      <c r="S2099">
        <v>108</v>
      </c>
      <c r="T2099">
        <v>1330</v>
      </c>
      <c r="U2099" t="s">
        <v>968</v>
      </c>
      <c r="V2099">
        <v>18.8</v>
      </c>
      <c r="W2099" t="s">
        <v>968</v>
      </c>
      <c r="X2099" t="s">
        <v>968</v>
      </c>
    </row>
    <row r="2100" spans="1:28">
      <c r="A2100" s="2">
        <f>HYPERLINK("https://finance.naver.com/item/coinfo.nhn?code=090150", "A090150")</f>
        <v>0</v>
      </c>
      <c r="B2100">
        <f>HYPERLINK("http://comp.fnguide.com/SVO2/ASP/SVD_Consensus.asp?pGB=1&amp;gicode=A090150&amp;cID=&amp;MenuYn=Y&amp;ReportGB=&amp;NewMenuID=108&amp;stkGb=701", "광진윈텍")</f>
        <v>0</v>
      </c>
      <c r="C2100">
        <v>0</v>
      </c>
      <c r="D2100">
        <v>5090</v>
      </c>
      <c r="E2100">
        <v>0.35</v>
      </c>
      <c r="F2100">
        <v>16.1</v>
      </c>
      <c r="G2100">
        <v>1535</v>
      </c>
      <c r="H2100">
        <v>3386</v>
      </c>
      <c r="I2100">
        <v>3913</v>
      </c>
      <c r="J2100">
        <v>69.84999999999999</v>
      </c>
      <c r="K2100">
        <v>33.48</v>
      </c>
      <c r="L2100">
        <v>23.12</v>
      </c>
      <c r="M2100">
        <v>2.65</v>
      </c>
      <c r="N2100" t="b">
        <v>1</v>
      </c>
      <c r="O2100">
        <v>210</v>
      </c>
      <c r="P2100" t="s">
        <v>2096</v>
      </c>
      <c r="Q2100" t="s">
        <v>3879</v>
      </c>
      <c r="R2100">
        <v>45.92998321112765</v>
      </c>
      <c r="S2100">
        <v>492</v>
      </c>
      <c r="T2100">
        <v>1824783</v>
      </c>
      <c r="U2100" t="s">
        <v>6070</v>
      </c>
      <c r="V2100">
        <v>55.67</v>
      </c>
      <c r="W2100" t="s">
        <v>8256</v>
      </c>
      <c r="X2100" t="s">
        <v>10099</v>
      </c>
      <c r="Y2100">
        <v>954</v>
      </c>
      <c r="Z2100">
        <v>37</v>
      </c>
      <c r="AA2100">
        <v>623465</v>
      </c>
      <c r="AB2100">
        <v>2.96</v>
      </c>
    </row>
    <row r="2101" spans="1:28">
      <c r="A2101" s="2">
        <f>HYPERLINK("https://finance.naver.com/item/coinfo.nhn?code=026910", "A026910")</f>
        <v>0</v>
      </c>
      <c r="B2101">
        <f>HYPERLINK("http://comp.fnguide.com/SVO2/ASP/SVD_Consensus.asp?pGB=1&amp;gicode=A026910&amp;cID=&amp;MenuYn=Y&amp;ReportGB=&amp;NewMenuID=108&amp;stkGb=701", "광진실업")</f>
        <v>0</v>
      </c>
      <c r="C2101">
        <v>0</v>
      </c>
      <c r="D2101">
        <v>3555</v>
      </c>
      <c r="G2101">
        <v>342</v>
      </c>
      <c r="H2101">
        <v>2772</v>
      </c>
      <c r="I2101">
        <v>3465</v>
      </c>
      <c r="J2101">
        <v>90.37</v>
      </c>
      <c r="K2101">
        <v>22.01</v>
      </c>
      <c r="L2101">
        <v>2.53</v>
      </c>
      <c r="M2101">
        <v>0.62</v>
      </c>
      <c r="N2101" t="b">
        <v>0</v>
      </c>
      <c r="O2101">
        <v>-153</v>
      </c>
      <c r="P2101" t="s">
        <v>2097</v>
      </c>
      <c r="Q2101" t="s">
        <v>3880</v>
      </c>
      <c r="R2101">
        <v>-50.8</v>
      </c>
      <c r="S2101">
        <v>228</v>
      </c>
      <c r="T2101">
        <v>473154</v>
      </c>
      <c r="U2101" t="s">
        <v>6071</v>
      </c>
      <c r="V2101">
        <v>46.73</v>
      </c>
      <c r="W2101" t="s">
        <v>8257</v>
      </c>
      <c r="X2101" t="s">
        <v>10100</v>
      </c>
      <c r="Y2101">
        <v>430</v>
      </c>
      <c r="Z2101">
        <v>-12</v>
      </c>
    </row>
    <row r="2102" spans="1:28">
      <c r="A2102" s="2">
        <f>HYPERLINK("https://finance.naver.com/item/coinfo.nhn?code=014200", "A014200")</f>
        <v>0</v>
      </c>
      <c r="B2102">
        <f>HYPERLINK("http://comp.fnguide.com/SVO2/ASP/SVD_Consensus.asp?pGB=1&amp;gicode=A014200&amp;cID=&amp;MenuYn=Y&amp;ReportGB=&amp;NewMenuID=108&amp;stkGb=701", "광림")</f>
        <v>0</v>
      </c>
      <c r="C2102">
        <v>0</v>
      </c>
      <c r="D2102">
        <v>1890</v>
      </c>
      <c r="E2102">
        <v>0</v>
      </c>
      <c r="G2102">
        <v>0</v>
      </c>
      <c r="H2102">
        <v>891</v>
      </c>
      <c r="I2102">
        <v>1145</v>
      </c>
      <c r="J2102">
        <v>100</v>
      </c>
      <c r="K2102">
        <v>52.86</v>
      </c>
      <c r="L2102">
        <v>39.43</v>
      </c>
      <c r="M2102">
        <v>0</v>
      </c>
      <c r="N2102" t="b">
        <v>0</v>
      </c>
      <c r="O2102">
        <v>-121</v>
      </c>
      <c r="P2102" t="s">
        <v>2098</v>
      </c>
      <c r="Q2102" t="s">
        <v>2276</v>
      </c>
      <c r="R2102">
        <v>0</v>
      </c>
      <c r="S2102">
        <v>1000</v>
      </c>
      <c r="T2102">
        <v>1034687</v>
      </c>
      <c r="U2102" t="s">
        <v>6072</v>
      </c>
      <c r="V2102">
        <v>27.3</v>
      </c>
      <c r="W2102" t="s">
        <v>8258</v>
      </c>
      <c r="X2102" t="s">
        <v>968</v>
      </c>
      <c r="Y2102">
        <v>1459</v>
      </c>
      <c r="Z2102">
        <v>-110</v>
      </c>
      <c r="AA2102">
        <v>114000</v>
      </c>
    </row>
    <row r="2103" spans="1:28">
      <c r="A2103" s="2">
        <f>HYPERLINK("https://finance.naver.com/item/coinfo.nhn?code=215000", "A215000")</f>
        <v>0</v>
      </c>
      <c r="B2103">
        <f>HYPERLINK("http://comp.fnguide.com/SVO2/ASP/SVD_Consensus.asp?pGB=1&amp;gicode=A215000&amp;cID=&amp;MenuYn=Y&amp;ReportGB=&amp;NewMenuID=108&amp;stkGb=701", "골프존")</f>
        <v>0</v>
      </c>
      <c r="C2103">
        <v>0</v>
      </c>
      <c r="D2103">
        <v>69700</v>
      </c>
      <c r="E2103">
        <v>-2.74</v>
      </c>
      <c r="F2103">
        <v>26.67</v>
      </c>
      <c r="G2103">
        <v>64731</v>
      </c>
      <c r="H2103">
        <v>44996</v>
      </c>
      <c r="I2103">
        <v>39373</v>
      </c>
      <c r="J2103">
        <v>7.13</v>
      </c>
      <c r="K2103">
        <v>35.44</v>
      </c>
      <c r="L2103">
        <v>43.51</v>
      </c>
      <c r="M2103">
        <v>16.18</v>
      </c>
      <c r="N2103" t="b">
        <v>1</v>
      </c>
      <c r="O2103">
        <v>2584</v>
      </c>
      <c r="P2103" t="s">
        <v>2099</v>
      </c>
      <c r="Q2103" t="s">
        <v>3881</v>
      </c>
      <c r="R2103">
        <v>-9.72785324313945</v>
      </c>
      <c r="S2103">
        <v>4374</v>
      </c>
      <c r="T2103">
        <v>23582</v>
      </c>
      <c r="U2103" t="s">
        <v>6073</v>
      </c>
      <c r="V2103">
        <v>53.51</v>
      </c>
      <c r="W2103" t="s">
        <v>8259</v>
      </c>
      <c r="X2103" t="s">
        <v>10101</v>
      </c>
      <c r="Y2103">
        <v>2470</v>
      </c>
      <c r="Z2103">
        <v>323</v>
      </c>
      <c r="AA2103">
        <v>2945</v>
      </c>
      <c r="AB2103">
        <v>2.98</v>
      </c>
    </row>
    <row r="2104" spans="1:28">
      <c r="A2104" s="2">
        <f>HYPERLINK("https://finance.naver.com/item/coinfo.nhn?code=038530", "A038530")</f>
        <v>0</v>
      </c>
      <c r="B2104">
        <f>HYPERLINK("http://comp.fnguide.com/SVO2/ASP/SVD_Consensus.asp?pGB=1&amp;gicode=A038530&amp;cID=&amp;MenuYn=Y&amp;ReportGB=&amp;NewMenuID=108&amp;stkGb=701", "골드퍼시픽")</f>
        <v>0</v>
      </c>
      <c r="C2104">
        <v>0</v>
      </c>
      <c r="D2104">
        <v>1600</v>
      </c>
      <c r="E2104">
        <v>0</v>
      </c>
      <c r="G2104">
        <v>0</v>
      </c>
      <c r="H2104">
        <v>192</v>
      </c>
      <c r="I2104">
        <v>246</v>
      </c>
      <c r="J2104">
        <v>100</v>
      </c>
      <c r="K2104">
        <v>88.03</v>
      </c>
      <c r="L2104">
        <v>84.61</v>
      </c>
      <c r="M2104">
        <v>0</v>
      </c>
      <c r="N2104" t="b">
        <v>0</v>
      </c>
      <c r="O2104">
        <v>-996</v>
      </c>
      <c r="P2104" t="s">
        <v>2100</v>
      </c>
      <c r="Q2104" t="s">
        <v>2276</v>
      </c>
      <c r="R2104">
        <v>0</v>
      </c>
      <c r="S2104">
        <v>999</v>
      </c>
      <c r="T2104">
        <v>3689494</v>
      </c>
      <c r="U2104" t="s">
        <v>6074</v>
      </c>
      <c r="V2104">
        <v>16.82</v>
      </c>
      <c r="W2104" t="s">
        <v>8260</v>
      </c>
      <c r="X2104" t="s">
        <v>968</v>
      </c>
      <c r="Y2104">
        <v>113</v>
      </c>
      <c r="Z2104">
        <v>-34</v>
      </c>
      <c r="AA2104">
        <v>26064</v>
      </c>
    </row>
    <row r="2105" spans="1:28">
      <c r="A2105" s="2">
        <f>HYPERLINK("https://finance.naver.com/item/coinfo.nhn?code=098460", "A098460")</f>
        <v>0</v>
      </c>
      <c r="B2105">
        <f>HYPERLINK("http://comp.fnguide.com/SVO2/ASP/SVD_Consensus.asp?pGB=1&amp;gicode=A098460&amp;cID=&amp;MenuYn=Y&amp;ReportGB=&amp;NewMenuID=108&amp;stkGb=701", "고영")</f>
        <v>0</v>
      </c>
      <c r="C2105">
        <v>0</v>
      </c>
      <c r="D2105">
        <v>91300</v>
      </c>
      <c r="E2105">
        <v>-3.98</v>
      </c>
      <c r="F2105">
        <v>48.87</v>
      </c>
      <c r="G2105">
        <v>37034</v>
      </c>
      <c r="H2105">
        <v>25613</v>
      </c>
      <c r="I2105">
        <v>22358</v>
      </c>
      <c r="J2105">
        <v>59.44</v>
      </c>
      <c r="K2105">
        <v>71.95</v>
      </c>
      <c r="L2105">
        <v>75.51000000000001</v>
      </c>
      <c r="M2105">
        <v>16.38</v>
      </c>
      <c r="N2105" t="b">
        <v>1</v>
      </c>
      <c r="O2105">
        <v>2159</v>
      </c>
      <c r="P2105" t="s">
        <v>2101</v>
      </c>
      <c r="Q2105" t="s">
        <v>3882</v>
      </c>
      <c r="R2105">
        <v>-12.27063132270699</v>
      </c>
      <c r="S2105">
        <v>12536</v>
      </c>
      <c r="T2105">
        <v>24304</v>
      </c>
      <c r="U2105" t="s">
        <v>6075</v>
      </c>
      <c r="V2105">
        <v>20.59</v>
      </c>
      <c r="W2105" t="s">
        <v>8261</v>
      </c>
      <c r="X2105" t="s">
        <v>10102</v>
      </c>
      <c r="Y2105">
        <v>2221</v>
      </c>
      <c r="Z2105">
        <v>333</v>
      </c>
      <c r="AA2105">
        <v>210878</v>
      </c>
      <c r="AB2105">
        <v>0.52</v>
      </c>
    </row>
    <row r="2106" spans="1:28">
      <c r="A2106" s="2">
        <f>HYPERLINK("https://finance.naver.com/item/coinfo.nhn?code=348150", "A348150")</f>
        <v>0</v>
      </c>
      <c r="B2106">
        <f>HYPERLINK("http://comp.fnguide.com/SVO2/ASP/SVD_Consensus.asp?pGB=1&amp;gicode=A348150&amp;cID=&amp;MenuYn=Y&amp;ReportGB=&amp;NewMenuID=108&amp;stkGb=701", "고바이오랩")</f>
        <v>0</v>
      </c>
      <c r="C2106">
        <v>0</v>
      </c>
      <c r="D2106">
        <v>39900</v>
      </c>
      <c r="E2106">
        <v>0</v>
      </c>
      <c r="G2106">
        <v>0</v>
      </c>
      <c r="H2106">
        <v>-2088.061549805534</v>
      </c>
      <c r="I2106">
        <v>-2683.050843761563</v>
      </c>
      <c r="J2106">
        <v>100</v>
      </c>
      <c r="K2106">
        <v>105.23</v>
      </c>
      <c r="L2106">
        <v>106.72</v>
      </c>
      <c r="M2106">
        <v>0</v>
      </c>
      <c r="N2106" t="b">
        <v>0</v>
      </c>
      <c r="O2106" t="s">
        <v>14</v>
      </c>
      <c r="P2106" t="s">
        <v>2102</v>
      </c>
      <c r="Q2106" t="s">
        <v>3310</v>
      </c>
      <c r="R2106">
        <v>0</v>
      </c>
      <c r="S2106" t="s">
        <v>3986</v>
      </c>
      <c r="T2106">
        <v>1190969</v>
      </c>
      <c r="U2106" t="s">
        <v>6076</v>
      </c>
      <c r="V2106">
        <v>38.79</v>
      </c>
      <c r="W2106" t="s">
        <v>8262</v>
      </c>
      <c r="X2106" t="s">
        <v>968</v>
      </c>
      <c r="Y2106" t="s">
        <v>10213</v>
      </c>
      <c r="Z2106" t="s">
        <v>10226</v>
      </c>
    </row>
    <row r="2107" spans="1:28">
      <c r="A2107" s="2">
        <f>HYPERLINK("https://finance.naver.com/item/coinfo.nhn?code=014570", "A014570")</f>
        <v>0</v>
      </c>
      <c r="B2107">
        <f>HYPERLINK("http://comp.fnguide.com/SVO2/ASP/SVD_Consensus.asp?pGB=1&amp;gicode=A014570&amp;cID=&amp;MenuYn=Y&amp;ReportGB=&amp;NewMenuID=108&amp;stkGb=701", "고려제약")</f>
        <v>0</v>
      </c>
      <c r="C2107">
        <v>0</v>
      </c>
      <c r="D2107">
        <v>10450</v>
      </c>
      <c r="E2107">
        <v>0.17</v>
      </c>
      <c r="F2107">
        <v>20.3</v>
      </c>
      <c r="G2107">
        <v>6071</v>
      </c>
      <c r="H2107">
        <v>6008</v>
      </c>
      <c r="I2107">
        <v>5990</v>
      </c>
      <c r="J2107">
        <v>41.91</v>
      </c>
      <c r="K2107">
        <v>42.51</v>
      </c>
      <c r="L2107">
        <v>42.68</v>
      </c>
      <c r="M2107">
        <v>8.109999999999999</v>
      </c>
      <c r="N2107" t="b">
        <v>1</v>
      </c>
      <c r="O2107">
        <v>354</v>
      </c>
      <c r="P2107" t="s">
        <v>2103</v>
      </c>
      <c r="Q2107" t="s">
        <v>3883</v>
      </c>
      <c r="R2107">
        <v>116.4680581701214</v>
      </c>
      <c r="S2107">
        <v>1150</v>
      </c>
      <c r="T2107">
        <v>147773</v>
      </c>
      <c r="U2107" t="s">
        <v>6077</v>
      </c>
      <c r="V2107">
        <v>50.19</v>
      </c>
      <c r="W2107" t="s">
        <v>8263</v>
      </c>
      <c r="X2107" t="s">
        <v>10103</v>
      </c>
      <c r="Y2107">
        <v>555</v>
      </c>
      <c r="Z2107">
        <v>34</v>
      </c>
      <c r="AA2107">
        <v>104663</v>
      </c>
      <c r="AB2107">
        <v>1.39</v>
      </c>
    </row>
    <row r="2108" spans="1:28">
      <c r="A2108" s="2">
        <f>HYPERLINK("https://finance.naver.com/item/coinfo.nhn?code=049720", "A049720")</f>
        <v>0</v>
      </c>
      <c r="B2108">
        <f>HYPERLINK("http://comp.fnguide.com/SVO2/ASP/SVD_Consensus.asp?pGB=1&amp;gicode=A049720&amp;cID=&amp;MenuYn=Y&amp;ReportGB=&amp;NewMenuID=108&amp;stkGb=701", "고려신용정보")</f>
        <v>0</v>
      </c>
      <c r="C2108">
        <v>0</v>
      </c>
      <c r="D2108">
        <v>6050</v>
      </c>
      <c r="E2108">
        <v>0.64</v>
      </c>
      <c r="F2108">
        <v>10.67</v>
      </c>
      <c r="G2108">
        <v>5672</v>
      </c>
      <c r="H2108">
        <v>3237</v>
      </c>
      <c r="I2108">
        <v>2543</v>
      </c>
      <c r="J2108">
        <v>6.25</v>
      </c>
      <c r="K2108">
        <v>46.5</v>
      </c>
      <c r="L2108">
        <v>57.97</v>
      </c>
      <c r="M2108">
        <v>27.93</v>
      </c>
      <c r="N2108" t="b">
        <v>0</v>
      </c>
      <c r="O2108">
        <v>463</v>
      </c>
      <c r="P2108" t="s">
        <v>2104</v>
      </c>
      <c r="Q2108" t="s">
        <v>3884</v>
      </c>
      <c r="R2108">
        <v>16.76461175294057</v>
      </c>
      <c r="S2108">
        <v>865</v>
      </c>
      <c r="T2108">
        <v>184409</v>
      </c>
      <c r="U2108" t="s">
        <v>6078</v>
      </c>
      <c r="V2108">
        <v>49.02</v>
      </c>
      <c r="W2108" t="s">
        <v>8264</v>
      </c>
      <c r="X2108" t="s">
        <v>10104</v>
      </c>
      <c r="Y2108">
        <v>1165</v>
      </c>
      <c r="Z2108">
        <v>81</v>
      </c>
      <c r="AA2108">
        <v>398734</v>
      </c>
      <c r="AB2108">
        <v>5.06</v>
      </c>
    </row>
    <row r="2109" spans="1:28">
      <c r="A2109" s="2">
        <f>HYPERLINK("https://finance.naver.com/item/coinfo.nhn?code=198440", "A198440")</f>
        <v>0</v>
      </c>
      <c r="B2109">
        <f>HYPERLINK("http://comp.fnguide.com/SVO2/ASP/SVD_Consensus.asp?pGB=1&amp;gicode=A198440&amp;cID=&amp;MenuYn=Y&amp;ReportGB=&amp;NewMenuID=108&amp;stkGb=701", "고려시멘트")</f>
        <v>0</v>
      </c>
      <c r="C2109">
        <v>0</v>
      </c>
      <c r="D2109">
        <v>3030</v>
      </c>
      <c r="E2109">
        <v>-1.05</v>
      </c>
      <c r="F2109">
        <v>28.95</v>
      </c>
      <c r="G2109">
        <v>1411</v>
      </c>
      <c r="H2109">
        <v>2224</v>
      </c>
      <c r="I2109">
        <v>2456</v>
      </c>
      <c r="J2109">
        <v>53.43</v>
      </c>
      <c r="K2109">
        <v>26.6</v>
      </c>
      <c r="L2109">
        <v>18.95</v>
      </c>
      <c r="M2109">
        <v>4.07</v>
      </c>
      <c r="N2109" t="b">
        <v>1</v>
      </c>
      <c r="O2109">
        <v>106</v>
      </c>
      <c r="P2109" t="s">
        <v>2105</v>
      </c>
      <c r="Q2109" t="s">
        <v>3885</v>
      </c>
      <c r="R2109">
        <v>-27.64692002248353</v>
      </c>
      <c r="S2109">
        <v>969</v>
      </c>
      <c r="T2109">
        <v>458354</v>
      </c>
      <c r="U2109" t="s">
        <v>6079</v>
      </c>
      <c r="V2109">
        <v>58.2</v>
      </c>
      <c r="W2109" t="s">
        <v>8265</v>
      </c>
      <c r="X2109" t="s">
        <v>10105</v>
      </c>
      <c r="Y2109">
        <v>709</v>
      </c>
      <c r="Z2109">
        <v>-5</v>
      </c>
      <c r="AB2109">
        <v>0.49</v>
      </c>
    </row>
    <row r="2110" spans="1:28">
      <c r="A2110" s="2">
        <f>HYPERLINK("https://finance.naver.com/item/coinfo.nhn?code=024910", "A024910")</f>
        <v>0</v>
      </c>
      <c r="B2110">
        <f>HYPERLINK("http://comp.fnguide.com/SVO2/ASP/SVD_Consensus.asp?pGB=1&amp;gicode=A024910&amp;cID=&amp;MenuYn=Y&amp;ReportGB=&amp;NewMenuID=108&amp;stkGb=701", "경창산업")</f>
        <v>0</v>
      </c>
      <c r="C2110">
        <v>0</v>
      </c>
      <c r="D2110">
        <v>1930</v>
      </c>
      <c r="G2110">
        <v>0</v>
      </c>
      <c r="H2110">
        <v>1290</v>
      </c>
      <c r="I2110">
        <v>1658</v>
      </c>
      <c r="J2110">
        <v>100</v>
      </c>
      <c r="K2110">
        <v>33.16</v>
      </c>
      <c r="L2110">
        <v>14.12</v>
      </c>
      <c r="M2110">
        <v>0</v>
      </c>
      <c r="N2110" t="b">
        <v>0</v>
      </c>
      <c r="O2110">
        <v>-1992</v>
      </c>
      <c r="P2110" t="s">
        <v>2106</v>
      </c>
      <c r="Q2110" t="s">
        <v>3886</v>
      </c>
      <c r="R2110">
        <v>-23.8</v>
      </c>
      <c r="S2110">
        <v>691</v>
      </c>
      <c r="T2110">
        <v>116863</v>
      </c>
      <c r="U2110" t="s">
        <v>6080</v>
      </c>
      <c r="V2110">
        <v>46.94</v>
      </c>
      <c r="W2110" t="s">
        <v>8266</v>
      </c>
      <c r="X2110" t="s">
        <v>968</v>
      </c>
      <c r="Y2110">
        <v>5313</v>
      </c>
      <c r="Z2110">
        <v>-152</v>
      </c>
      <c r="AA2110">
        <v>234100</v>
      </c>
    </row>
    <row r="2111" spans="1:28">
      <c r="A2111" s="2">
        <f>HYPERLINK("https://finance.naver.com/item/coinfo.nhn?code=011040", "A011040")</f>
        <v>0</v>
      </c>
      <c r="B2111">
        <f>HYPERLINK("http://comp.fnguide.com/SVO2/ASP/SVD_Consensus.asp?pGB=1&amp;gicode=A011040&amp;cID=&amp;MenuYn=Y&amp;ReportGB=&amp;NewMenuID=108&amp;stkGb=701", "경동제약")</f>
        <v>0</v>
      </c>
      <c r="C2111">
        <v>0</v>
      </c>
      <c r="D2111">
        <v>11750</v>
      </c>
      <c r="E2111">
        <v>-1.71</v>
      </c>
      <c r="F2111">
        <v>10.45</v>
      </c>
      <c r="G2111">
        <v>7182</v>
      </c>
      <c r="H2111">
        <v>7794</v>
      </c>
      <c r="I2111">
        <v>7969</v>
      </c>
      <c r="J2111">
        <v>38.88</v>
      </c>
      <c r="K2111">
        <v>33.67</v>
      </c>
      <c r="L2111">
        <v>32.18</v>
      </c>
      <c r="M2111">
        <v>6.98</v>
      </c>
      <c r="N2111" t="b">
        <v>1</v>
      </c>
      <c r="O2111">
        <v>758</v>
      </c>
      <c r="P2111" t="s">
        <v>2107</v>
      </c>
      <c r="Q2111" t="s">
        <v>3887</v>
      </c>
      <c r="R2111">
        <v>-6.121712421268255</v>
      </c>
      <c r="S2111">
        <v>3607</v>
      </c>
      <c r="T2111">
        <v>703959</v>
      </c>
      <c r="U2111" t="s">
        <v>6081</v>
      </c>
      <c r="V2111">
        <v>43.71</v>
      </c>
      <c r="W2111" t="s">
        <v>8267</v>
      </c>
      <c r="X2111" t="s">
        <v>10106</v>
      </c>
      <c r="Y2111">
        <v>1765</v>
      </c>
      <c r="Z2111">
        <v>246</v>
      </c>
      <c r="AA2111">
        <v>3057246</v>
      </c>
      <c r="AB2111">
        <v>5.05</v>
      </c>
    </row>
    <row r="2112" spans="1:28">
      <c r="A2112" s="2">
        <f>HYPERLINK("https://finance.naver.com/item/coinfo.nhn?code=223310", "A223310")</f>
        <v>0</v>
      </c>
      <c r="B2112">
        <f>HYPERLINK("http://comp.fnguide.com/SVO2/ASP/SVD_Consensus.asp?pGB=1&amp;gicode=A223310&amp;cID=&amp;MenuYn=Y&amp;ReportGB=&amp;NewMenuID=108&amp;stkGb=701", "경남제약헬스케어")</f>
        <v>0</v>
      </c>
      <c r="C2112">
        <v>0</v>
      </c>
      <c r="D2112">
        <v>3320</v>
      </c>
      <c r="E2112">
        <v>0</v>
      </c>
      <c r="G2112">
        <v>0</v>
      </c>
      <c r="H2112">
        <v>1667</v>
      </c>
      <c r="I2112">
        <v>2142</v>
      </c>
      <c r="J2112">
        <v>100</v>
      </c>
      <c r="K2112">
        <v>49.8</v>
      </c>
      <c r="L2112">
        <v>35.49</v>
      </c>
      <c r="M2112">
        <v>0</v>
      </c>
      <c r="N2112" t="b">
        <v>0</v>
      </c>
      <c r="O2112">
        <v>-417</v>
      </c>
      <c r="P2112" t="s">
        <v>2108</v>
      </c>
      <c r="Q2112" t="s">
        <v>2276</v>
      </c>
      <c r="R2112">
        <v>0</v>
      </c>
      <c r="S2112">
        <v>378</v>
      </c>
      <c r="T2112">
        <v>0</v>
      </c>
      <c r="U2112" t="s">
        <v>6082</v>
      </c>
      <c r="V2112">
        <v>28.77</v>
      </c>
      <c r="W2112" t="s">
        <v>8268</v>
      </c>
      <c r="X2112" t="s">
        <v>968</v>
      </c>
      <c r="Y2112">
        <v>91</v>
      </c>
      <c r="Z2112">
        <v>1</v>
      </c>
      <c r="AA2112">
        <v>5267</v>
      </c>
    </row>
    <row r="2113" spans="1:28">
      <c r="A2113" s="2">
        <f>HYPERLINK("https://finance.naver.com/item/coinfo.nhn?code=053950", "A053950")</f>
        <v>0</v>
      </c>
      <c r="B2113">
        <f>HYPERLINK("http://comp.fnguide.com/SVO2/ASP/SVD_Consensus.asp?pGB=1&amp;gicode=A053950&amp;cID=&amp;MenuYn=Y&amp;ReportGB=&amp;NewMenuID=108&amp;stkGb=701", "경남제약")</f>
        <v>0</v>
      </c>
      <c r="C2113">
        <v>0</v>
      </c>
      <c r="D2113">
        <v>7930</v>
      </c>
      <c r="G2113">
        <v>2473</v>
      </c>
      <c r="H2113">
        <v>3095</v>
      </c>
      <c r="I2113">
        <v>3273</v>
      </c>
      <c r="J2113">
        <v>68.81999999999999</v>
      </c>
      <c r="K2113">
        <v>60.97</v>
      </c>
      <c r="L2113">
        <v>58.73</v>
      </c>
      <c r="M2113">
        <v>5.62</v>
      </c>
      <c r="N2113" t="b">
        <v>0</v>
      </c>
      <c r="O2113">
        <v>-286</v>
      </c>
      <c r="P2113" t="s">
        <v>2109</v>
      </c>
      <c r="Q2113" t="s">
        <v>3888</v>
      </c>
      <c r="R2113">
        <v>-93.90000000000001</v>
      </c>
      <c r="S2113">
        <v>1383</v>
      </c>
      <c r="T2113">
        <v>286858</v>
      </c>
      <c r="U2113" t="s">
        <v>6083</v>
      </c>
      <c r="V2113">
        <v>28.2</v>
      </c>
      <c r="W2113" t="s">
        <v>8269</v>
      </c>
      <c r="X2113" t="s">
        <v>10107</v>
      </c>
      <c r="Y2113">
        <v>448</v>
      </c>
      <c r="Z2113">
        <v>-31</v>
      </c>
      <c r="AA2113">
        <v>287</v>
      </c>
    </row>
    <row r="2114" spans="1:28">
      <c r="A2114" s="2">
        <f>HYPERLINK("https://finance.naver.com/item/coinfo.nhn?code=204620", "A204620")</f>
        <v>0</v>
      </c>
      <c r="B2114">
        <f>HYPERLINK("http://comp.fnguide.com/SVO2/ASP/SVD_Consensus.asp?pGB=1&amp;gicode=A204620&amp;cID=&amp;MenuYn=Y&amp;ReportGB=&amp;NewMenuID=108&amp;stkGb=701", "글로벌텍스프리")</f>
        <v>0</v>
      </c>
      <c r="C2114">
        <v>0</v>
      </c>
      <c r="D2114">
        <v>3220</v>
      </c>
      <c r="E2114">
        <v>8.779999999999999</v>
      </c>
      <c r="F2114">
        <v>23.94</v>
      </c>
      <c r="G2114">
        <v>1972</v>
      </c>
      <c r="H2114">
        <v>1967</v>
      </c>
      <c r="I2114">
        <v>1966</v>
      </c>
      <c r="J2114">
        <v>38.77</v>
      </c>
      <c r="K2114">
        <v>38.9</v>
      </c>
      <c r="L2114">
        <v>38.94</v>
      </c>
      <c r="M2114">
        <v>8</v>
      </c>
      <c r="N2114" t="b">
        <v>0</v>
      </c>
      <c r="O2114">
        <v>156</v>
      </c>
      <c r="P2114" t="s">
        <v>2110</v>
      </c>
      <c r="Q2114" t="s">
        <v>3889</v>
      </c>
      <c r="R2114">
        <v>2.727795654340803</v>
      </c>
      <c r="S2114">
        <v>1249</v>
      </c>
      <c r="T2114">
        <v>1870868</v>
      </c>
      <c r="U2114" t="s">
        <v>6084</v>
      </c>
      <c r="V2114">
        <v>36.52</v>
      </c>
      <c r="W2114" t="s">
        <v>8270</v>
      </c>
      <c r="X2114" t="s">
        <v>10108</v>
      </c>
      <c r="Y2114">
        <v>598</v>
      </c>
      <c r="Z2114">
        <v>69</v>
      </c>
      <c r="AA2114">
        <v>1740599</v>
      </c>
    </row>
    <row r="2115" spans="1:28">
      <c r="A2115" s="2">
        <f>HYPERLINK("https://finance.naver.com/item/coinfo.nhn?code=019660", "A019660")</f>
        <v>0</v>
      </c>
      <c r="B2115">
        <f>HYPERLINK("http://comp.fnguide.com/SVO2/ASP/SVD_Consensus.asp?pGB=1&amp;gicode=A019660&amp;cID=&amp;MenuYn=Y&amp;ReportGB=&amp;NewMenuID=108&amp;stkGb=701", "글로본")</f>
        <v>0</v>
      </c>
      <c r="C2115">
        <v>0</v>
      </c>
      <c r="D2115">
        <v>3510</v>
      </c>
      <c r="E2115">
        <v>0</v>
      </c>
      <c r="G2115">
        <v>192</v>
      </c>
      <c r="H2115">
        <v>490</v>
      </c>
      <c r="I2115">
        <v>575</v>
      </c>
      <c r="J2115">
        <v>94.53</v>
      </c>
      <c r="K2115">
        <v>86.03</v>
      </c>
      <c r="L2115">
        <v>83.61</v>
      </c>
      <c r="M2115">
        <v>2.22</v>
      </c>
      <c r="N2115" t="b">
        <v>0</v>
      </c>
      <c r="O2115">
        <v>-321</v>
      </c>
      <c r="P2115" t="s">
        <v>2111</v>
      </c>
      <c r="Q2115" t="s">
        <v>3152</v>
      </c>
      <c r="R2115">
        <v>0</v>
      </c>
      <c r="S2115">
        <v>1021</v>
      </c>
      <c r="T2115">
        <v>135870</v>
      </c>
      <c r="U2115" t="s">
        <v>6085</v>
      </c>
      <c r="V2115">
        <v>16.77</v>
      </c>
      <c r="W2115" t="s">
        <v>8271</v>
      </c>
      <c r="X2115" t="s">
        <v>10109</v>
      </c>
      <c r="Y2115">
        <v>103</v>
      </c>
      <c r="Z2115">
        <v>-47</v>
      </c>
    </row>
    <row r="2116" spans="1:28">
      <c r="A2116" s="2">
        <f>HYPERLINK("https://finance.naver.com/item/coinfo.nhn?code=032860", "A032860")</f>
        <v>0</v>
      </c>
      <c r="B2116">
        <f>HYPERLINK("http://comp.fnguide.com/SVO2/ASP/SVD_Consensus.asp?pGB=1&amp;gicode=A032860&amp;cID=&amp;MenuYn=Y&amp;ReportGB=&amp;NewMenuID=108&amp;stkGb=701", "글로스퍼랩스")</f>
        <v>0</v>
      </c>
      <c r="C2116">
        <v>0</v>
      </c>
      <c r="D2116">
        <v>5770</v>
      </c>
      <c r="E2116">
        <v>0</v>
      </c>
      <c r="G2116">
        <v>57</v>
      </c>
      <c r="H2116">
        <v>1530</v>
      </c>
      <c r="I2116">
        <v>1949</v>
      </c>
      <c r="J2116">
        <v>99.02</v>
      </c>
      <c r="K2116">
        <v>73.48999999999999</v>
      </c>
      <c r="L2116">
        <v>66.22</v>
      </c>
      <c r="M2116">
        <v>0.18</v>
      </c>
      <c r="N2116" t="b">
        <v>0</v>
      </c>
      <c r="O2116">
        <v>-474</v>
      </c>
      <c r="P2116" t="s">
        <v>2112</v>
      </c>
      <c r="Q2116" t="s">
        <v>2276</v>
      </c>
      <c r="R2116">
        <v>0</v>
      </c>
      <c r="S2116">
        <v>472</v>
      </c>
      <c r="T2116">
        <v>3600895</v>
      </c>
      <c r="U2116" t="s">
        <v>6086</v>
      </c>
      <c r="V2116">
        <v>19.33</v>
      </c>
      <c r="W2116" t="s">
        <v>8272</v>
      </c>
      <c r="X2116" t="s">
        <v>10110</v>
      </c>
      <c r="Y2116">
        <v>707</v>
      </c>
      <c r="Z2116">
        <v>-18</v>
      </c>
      <c r="AA2116">
        <v>1800</v>
      </c>
    </row>
    <row r="2117" spans="1:28">
      <c r="A2117" s="2">
        <f>HYPERLINK("https://finance.naver.com/item/coinfo.nhn?code=293580", "A293580")</f>
        <v>0</v>
      </c>
      <c r="B2117">
        <f>HYPERLINK("http://comp.fnguide.com/SVO2/ASP/SVD_Consensus.asp?pGB=1&amp;gicode=A293580&amp;cID=&amp;MenuYn=Y&amp;ReportGB=&amp;NewMenuID=108&amp;stkGb=701", "나우IB")</f>
        <v>0</v>
      </c>
      <c r="C2117">
        <v>0</v>
      </c>
      <c r="D2117">
        <v>7460</v>
      </c>
      <c r="E2117">
        <v>0</v>
      </c>
      <c r="F2117">
        <v>14.73</v>
      </c>
      <c r="G2117">
        <v>4942</v>
      </c>
      <c r="H2117">
        <v>6450</v>
      </c>
      <c r="I2117">
        <v>6879</v>
      </c>
      <c r="J2117">
        <v>33.75</v>
      </c>
      <c r="K2117">
        <v>13.54</v>
      </c>
      <c r="L2117">
        <v>7.79</v>
      </c>
      <c r="M2117">
        <v>5.29</v>
      </c>
      <c r="N2117" t="b">
        <v>1</v>
      </c>
      <c r="O2117">
        <v>311</v>
      </c>
      <c r="P2117" t="s">
        <v>2113</v>
      </c>
      <c r="Q2117" t="s">
        <v>3024</v>
      </c>
      <c r="R2117">
        <v>15.91473887604671</v>
      </c>
      <c r="S2117">
        <v>707</v>
      </c>
      <c r="T2117">
        <v>261863</v>
      </c>
      <c r="U2117" t="s">
        <v>6087</v>
      </c>
      <c r="V2117">
        <v>72.59</v>
      </c>
      <c r="W2117" t="s">
        <v>8273</v>
      </c>
      <c r="X2117" t="s">
        <v>10111</v>
      </c>
      <c r="Y2117">
        <v>78</v>
      </c>
      <c r="Z2117">
        <v>37</v>
      </c>
      <c r="AA2117">
        <v>31600</v>
      </c>
      <c r="AB2117">
        <v>3.28</v>
      </c>
    </row>
    <row r="2118" spans="1:28">
      <c r="A2118" s="2">
        <f>HYPERLINK("https://finance.naver.com/item/coinfo.nhn?code=311390", "A311390")</f>
        <v>0</v>
      </c>
      <c r="B2118">
        <f>HYPERLINK("http://comp.fnguide.com/SVO2/ASP/SVD_Consensus.asp?pGB=1&amp;gicode=A311390&amp;cID=&amp;MenuYn=Y&amp;ReportGB=&amp;NewMenuID=108&amp;stkGb=701", "네오크레마")</f>
        <v>0</v>
      </c>
      <c r="C2118">
        <v>0</v>
      </c>
      <c r="D2118">
        <v>8100</v>
      </c>
      <c r="E2118">
        <v>0</v>
      </c>
      <c r="F2118">
        <v>60.11</v>
      </c>
      <c r="G2118">
        <v>5966</v>
      </c>
      <c r="H2118">
        <v>5483</v>
      </c>
      <c r="I2118">
        <v>5345</v>
      </c>
      <c r="J2118">
        <v>26.35</v>
      </c>
      <c r="K2118">
        <v>32.31</v>
      </c>
      <c r="L2118">
        <v>34.01</v>
      </c>
      <c r="M2118">
        <v>9.210000000000001</v>
      </c>
      <c r="N2118" t="b">
        <v>1</v>
      </c>
      <c r="O2118">
        <v>164</v>
      </c>
      <c r="P2118" t="s">
        <v>2114</v>
      </c>
      <c r="Q2118" t="s">
        <v>3890</v>
      </c>
      <c r="R2118">
        <v>0</v>
      </c>
      <c r="S2118">
        <v>592</v>
      </c>
      <c r="T2118">
        <v>100162</v>
      </c>
      <c r="U2118" t="s">
        <v>6088</v>
      </c>
      <c r="V2118">
        <v>49.03</v>
      </c>
      <c r="W2118" t="s">
        <v>8274</v>
      </c>
      <c r="X2118" t="s">
        <v>10112</v>
      </c>
      <c r="Y2118">
        <v>198</v>
      </c>
      <c r="Z2118">
        <v>7</v>
      </c>
    </row>
    <row r="2119" spans="1:28">
      <c r="A2119" s="2">
        <f>HYPERLINK("https://finance.naver.com/item/coinfo.nhn?code=095660", "A095660")</f>
        <v>0</v>
      </c>
      <c r="B2119">
        <f>HYPERLINK("http://comp.fnguide.com/SVO2/ASP/SVD_Consensus.asp?pGB=1&amp;gicode=A095660&amp;cID=&amp;MenuYn=Y&amp;ReportGB=&amp;NewMenuID=108&amp;stkGb=701", "네오위즈")</f>
        <v>0</v>
      </c>
      <c r="C2119">
        <v>0</v>
      </c>
      <c r="D2119">
        <v>22100</v>
      </c>
      <c r="E2119">
        <v>0.76</v>
      </c>
      <c r="F2119">
        <v>15.36</v>
      </c>
      <c r="G2119">
        <v>14520</v>
      </c>
      <c r="H2119">
        <v>14830</v>
      </c>
      <c r="I2119">
        <v>14918</v>
      </c>
      <c r="J2119">
        <v>34.3</v>
      </c>
      <c r="K2119">
        <v>32.9</v>
      </c>
      <c r="L2119">
        <v>32.5</v>
      </c>
      <c r="M2119">
        <v>7.7</v>
      </c>
      <c r="N2119" t="b">
        <v>1</v>
      </c>
      <c r="O2119">
        <v>1104</v>
      </c>
      <c r="P2119" t="s">
        <v>2115</v>
      </c>
      <c r="Q2119" t="s">
        <v>3891</v>
      </c>
      <c r="R2119">
        <v>20.3366112203597</v>
      </c>
      <c r="S2119">
        <v>4843</v>
      </c>
      <c r="T2119">
        <v>384382</v>
      </c>
      <c r="U2119" t="s">
        <v>6089</v>
      </c>
      <c r="V2119">
        <v>37.63</v>
      </c>
      <c r="W2119" t="s">
        <v>8275</v>
      </c>
      <c r="X2119" t="s">
        <v>10113</v>
      </c>
      <c r="Y2119">
        <v>2545</v>
      </c>
      <c r="Z2119">
        <v>326</v>
      </c>
      <c r="AA2119">
        <v>551289</v>
      </c>
    </row>
    <row r="2120" spans="1:28">
      <c r="A2120" s="2">
        <f>HYPERLINK("https://finance.naver.com/item/coinfo.nhn?code=253590", "A253590")</f>
        <v>0</v>
      </c>
      <c r="B2120">
        <f>HYPERLINK("http://comp.fnguide.com/SVO2/ASP/SVD_Consensus.asp?pGB=1&amp;gicode=A253590&amp;cID=&amp;MenuYn=Y&amp;ReportGB=&amp;NewMenuID=108&amp;stkGb=701", "네오셈")</f>
        <v>0</v>
      </c>
      <c r="C2120">
        <v>0</v>
      </c>
      <c r="D2120">
        <v>3645</v>
      </c>
      <c r="E2120">
        <v>0</v>
      </c>
      <c r="G2120">
        <v>1057</v>
      </c>
      <c r="H2120">
        <v>1044</v>
      </c>
      <c r="I2120">
        <v>1041</v>
      </c>
      <c r="J2120">
        <v>71</v>
      </c>
      <c r="K2120">
        <v>71.34999999999999</v>
      </c>
      <c r="L2120">
        <v>71.45</v>
      </c>
      <c r="M2120">
        <v>8.130000000000001</v>
      </c>
      <c r="N2120" t="b">
        <v>0</v>
      </c>
      <c r="O2120">
        <v>-42</v>
      </c>
      <c r="P2120" t="s">
        <v>2116</v>
      </c>
      <c r="Q2120" t="s">
        <v>3892</v>
      </c>
      <c r="R2120">
        <v>0</v>
      </c>
      <c r="S2120">
        <v>1368</v>
      </c>
      <c r="T2120">
        <v>806549</v>
      </c>
      <c r="U2120" t="s">
        <v>6090</v>
      </c>
      <c r="V2120">
        <v>61.31</v>
      </c>
      <c r="W2120" t="s">
        <v>8276</v>
      </c>
      <c r="X2120" t="s">
        <v>968</v>
      </c>
      <c r="Y2120">
        <v>272</v>
      </c>
      <c r="Z2120">
        <v>-33</v>
      </c>
      <c r="AA2120">
        <v>1327666</v>
      </c>
      <c r="AB2120">
        <v>0.74</v>
      </c>
    </row>
    <row r="2121" spans="1:28">
      <c r="A2121" s="2">
        <f>HYPERLINK("https://finance.naver.com/item/coinfo.nhn?code=056000", "A056000")</f>
        <v>0</v>
      </c>
      <c r="B2121">
        <f>HYPERLINK("http://comp.fnguide.com/SVO2/ASP/SVD_Consensus.asp?pGB=1&amp;gicode=A056000&amp;cID=&amp;MenuYn=Y&amp;ReportGB=&amp;NewMenuID=108&amp;stkGb=701", "네스엠")</f>
        <v>0</v>
      </c>
      <c r="C2121">
        <v>0</v>
      </c>
      <c r="D2121">
        <v>2205</v>
      </c>
      <c r="E2121">
        <v>0</v>
      </c>
      <c r="G2121">
        <v>23</v>
      </c>
      <c r="H2121">
        <v>724</v>
      </c>
      <c r="I2121">
        <v>923</v>
      </c>
      <c r="J2121">
        <v>98.95</v>
      </c>
      <c r="K2121">
        <v>67.17</v>
      </c>
      <c r="L2121">
        <v>58.12</v>
      </c>
      <c r="M2121">
        <v>0.15</v>
      </c>
      <c r="N2121" t="b">
        <v>0</v>
      </c>
      <c r="O2121">
        <v>-240</v>
      </c>
      <c r="P2121" t="s">
        <v>2117</v>
      </c>
      <c r="Q2121" t="s">
        <v>2276</v>
      </c>
      <c r="R2121">
        <v>0</v>
      </c>
      <c r="S2121">
        <v>323</v>
      </c>
      <c r="T2121">
        <v>167624</v>
      </c>
      <c r="U2121" t="s">
        <v>6091</v>
      </c>
      <c r="V2121">
        <v>12.38</v>
      </c>
      <c r="W2121" t="s">
        <v>8277</v>
      </c>
      <c r="X2121" t="s">
        <v>10114</v>
      </c>
      <c r="Y2121">
        <v>198</v>
      </c>
      <c r="Z2121">
        <v>-36</v>
      </c>
    </row>
    <row r="2122" spans="1:28">
      <c r="A2122" s="2">
        <f>HYPERLINK("https://finance.naver.com/item/coinfo.nhn?code=168330", "A168330")</f>
        <v>0</v>
      </c>
      <c r="B2122">
        <f>HYPERLINK("http://comp.fnguide.com/SVO2/ASP/SVD_Consensus.asp?pGB=1&amp;gicode=A168330&amp;cID=&amp;MenuYn=Y&amp;ReportGB=&amp;NewMenuID=108&amp;stkGb=701", "내츄럴엔도텍")</f>
        <v>0</v>
      </c>
      <c r="C2122">
        <v>0</v>
      </c>
      <c r="D2122">
        <v>2525</v>
      </c>
      <c r="E2122">
        <v>0</v>
      </c>
      <c r="G2122">
        <v>0</v>
      </c>
      <c r="H2122">
        <v>613</v>
      </c>
      <c r="I2122">
        <v>788</v>
      </c>
      <c r="J2122">
        <v>100</v>
      </c>
      <c r="K2122">
        <v>75.72</v>
      </c>
      <c r="L2122">
        <v>68.8</v>
      </c>
      <c r="M2122">
        <v>0</v>
      </c>
      <c r="N2122" t="b">
        <v>0</v>
      </c>
      <c r="O2122">
        <v>-649</v>
      </c>
      <c r="P2122" t="s">
        <v>2118</v>
      </c>
      <c r="Q2122" t="s">
        <v>2276</v>
      </c>
      <c r="R2122">
        <v>0</v>
      </c>
      <c r="S2122">
        <v>522</v>
      </c>
      <c r="T2122">
        <v>0</v>
      </c>
      <c r="U2122" t="s">
        <v>6092</v>
      </c>
      <c r="V2122">
        <v>17.66</v>
      </c>
      <c r="W2122" t="s">
        <v>8278</v>
      </c>
      <c r="X2122" t="s">
        <v>968</v>
      </c>
      <c r="Y2122">
        <v>66</v>
      </c>
      <c r="Z2122">
        <v>-111</v>
      </c>
      <c r="AA2122">
        <v>181559</v>
      </c>
    </row>
    <row r="2123" spans="1:28">
      <c r="A2123" s="2">
        <f>HYPERLINK("https://finance.naver.com/item/coinfo.nhn?code=091590", "A091590")</f>
        <v>0</v>
      </c>
      <c r="B2123">
        <f>HYPERLINK("http://comp.fnguide.com/SVO2/ASP/SVD_Consensus.asp?pGB=1&amp;gicode=A091590&amp;cID=&amp;MenuYn=Y&amp;ReportGB=&amp;NewMenuID=108&amp;stkGb=701", "남화토건")</f>
        <v>0</v>
      </c>
      <c r="C2123">
        <v>0</v>
      </c>
      <c r="D2123">
        <v>12550</v>
      </c>
      <c r="E2123">
        <v>1.76</v>
      </c>
      <c r="F2123">
        <v>38</v>
      </c>
      <c r="G2123">
        <v>4434</v>
      </c>
      <c r="H2123">
        <v>8561</v>
      </c>
      <c r="I2123">
        <v>9737</v>
      </c>
      <c r="J2123">
        <v>64.67</v>
      </c>
      <c r="K2123">
        <v>31.78</v>
      </c>
      <c r="L2123">
        <v>22.41</v>
      </c>
      <c r="M2123">
        <v>3.13</v>
      </c>
      <c r="N2123" t="b">
        <v>0</v>
      </c>
      <c r="O2123">
        <v>424</v>
      </c>
      <c r="P2123" t="s">
        <v>2119</v>
      </c>
      <c r="Q2123" t="s">
        <v>3893</v>
      </c>
      <c r="R2123">
        <v>21.57319084056091</v>
      </c>
      <c r="S2123">
        <v>1473</v>
      </c>
      <c r="T2123">
        <v>278940</v>
      </c>
      <c r="U2123" t="s">
        <v>6093</v>
      </c>
      <c r="V2123">
        <v>57.67</v>
      </c>
      <c r="W2123" t="s">
        <v>8279</v>
      </c>
      <c r="X2123" t="s">
        <v>10115</v>
      </c>
      <c r="Y2123">
        <v>537</v>
      </c>
      <c r="Z2123">
        <v>17</v>
      </c>
      <c r="AB2123">
        <v>0.43</v>
      </c>
    </row>
    <row r="2124" spans="1:28">
      <c r="A2124" s="2">
        <f>HYPERLINK("https://finance.naver.com/item/coinfo.nhn?code=111710", "A111710")</f>
        <v>0</v>
      </c>
      <c r="B2124">
        <f>HYPERLINK("http://comp.fnguide.com/SVO2/ASP/SVD_Consensus.asp?pGB=1&amp;gicode=A111710&amp;cID=&amp;MenuYn=Y&amp;ReportGB=&amp;NewMenuID=108&amp;stkGb=701", "남화산업")</f>
        <v>0</v>
      </c>
      <c r="C2124">
        <v>0</v>
      </c>
      <c r="D2124">
        <v>10700</v>
      </c>
      <c r="E2124">
        <v>-5.7</v>
      </c>
      <c r="F2124">
        <v>95.92</v>
      </c>
      <c r="G2124">
        <v>2903</v>
      </c>
      <c r="H2124">
        <v>5099</v>
      </c>
      <c r="I2124">
        <v>5724</v>
      </c>
      <c r="J2124">
        <v>72.87</v>
      </c>
      <c r="K2124">
        <v>52.35</v>
      </c>
      <c r="L2124">
        <v>46.5</v>
      </c>
      <c r="M2124">
        <v>3.53</v>
      </c>
      <c r="N2124" t="b">
        <v>0</v>
      </c>
      <c r="O2124">
        <v>150</v>
      </c>
      <c r="P2124" t="s">
        <v>2120</v>
      </c>
      <c r="Q2124" t="s">
        <v>3894</v>
      </c>
      <c r="R2124">
        <v>-16.81415746775379</v>
      </c>
      <c r="S2124">
        <v>2203</v>
      </c>
      <c r="T2124">
        <v>164336</v>
      </c>
      <c r="U2124" t="s">
        <v>6094</v>
      </c>
      <c r="V2124">
        <v>82.86</v>
      </c>
      <c r="W2124" t="s">
        <v>8280</v>
      </c>
      <c r="X2124" t="s">
        <v>10116</v>
      </c>
      <c r="Y2124">
        <v>150</v>
      </c>
      <c r="Z2124">
        <v>55</v>
      </c>
      <c r="AB2124">
        <v>0.35</v>
      </c>
    </row>
    <row r="2125" spans="1:28">
      <c r="A2125" s="2">
        <f>HYPERLINK("https://finance.naver.com/item/coinfo.nhn?code=130580", "A130580")</f>
        <v>0</v>
      </c>
      <c r="B2125">
        <f>HYPERLINK("http://comp.fnguide.com/SVO2/ASP/SVD_Consensus.asp?pGB=1&amp;gicode=A130580&amp;cID=&amp;MenuYn=Y&amp;ReportGB=&amp;NewMenuID=108&amp;stkGb=701", "나이스디앤비")</f>
        <v>0</v>
      </c>
      <c r="C2125">
        <v>0</v>
      </c>
      <c r="D2125">
        <v>10000</v>
      </c>
      <c r="E2125">
        <v>0.5600000000000001</v>
      </c>
      <c r="F2125">
        <v>12.04</v>
      </c>
      <c r="G2125">
        <v>9305</v>
      </c>
      <c r="H2125">
        <v>5841</v>
      </c>
      <c r="I2125">
        <v>4853</v>
      </c>
      <c r="J2125">
        <v>6.95</v>
      </c>
      <c r="K2125">
        <v>41.59</v>
      </c>
      <c r="L2125">
        <v>51.47</v>
      </c>
      <c r="M2125">
        <v>20.96</v>
      </c>
      <c r="N2125" t="b">
        <v>0</v>
      </c>
      <c r="O2125">
        <v>686</v>
      </c>
      <c r="P2125" t="s">
        <v>2121</v>
      </c>
      <c r="Q2125" t="s">
        <v>3895</v>
      </c>
      <c r="R2125">
        <v>21.48433017236911</v>
      </c>
      <c r="S2125">
        <v>1540</v>
      </c>
      <c r="T2125">
        <v>27531</v>
      </c>
      <c r="U2125" t="s">
        <v>6095</v>
      </c>
      <c r="V2125">
        <v>34.97</v>
      </c>
      <c r="W2125" t="s">
        <v>8281</v>
      </c>
      <c r="X2125" t="s">
        <v>10117</v>
      </c>
      <c r="Y2125">
        <v>773</v>
      </c>
      <c r="Z2125">
        <v>128</v>
      </c>
      <c r="AB2125">
        <v>2.12</v>
      </c>
    </row>
    <row r="2126" spans="1:28">
      <c r="A2126" s="2">
        <f>HYPERLINK("https://finance.naver.com/item/coinfo.nhn?code=138610", "A138610")</f>
        <v>0</v>
      </c>
      <c r="B2126">
        <f>HYPERLINK("http://comp.fnguide.com/SVO2/ASP/SVD_Consensus.asp?pGB=1&amp;gicode=A138610&amp;cID=&amp;MenuYn=Y&amp;ReportGB=&amp;NewMenuID=108&amp;stkGb=701", "나이벡")</f>
        <v>0</v>
      </c>
      <c r="C2126">
        <v>0</v>
      </c>
      <c r="D2126">
        <v>38300</v>
      </c>
      <c r="E2126">
        <v>0</v>
      </c>
      <c r="G2126">
        <v>0</v>
      </c>
      <c r="H2126">
        <v>1662</v>
      </c>
      <c r="I2126">
        <v>2136</v>
      </c>
      <c r="J2126">
        <v>100</v>
      </c>
      <c r="K2126">
        <v>95.66</v>
      </c>
      <c r="L2126">
        <v>94.42</v>
      </c>
      <c r="M2126">
        <v>0</v>
      </c>
      <c r="N2126" t="b">
        <v>0</v>
      </c>
      <c r="O2126">
        <v>-320</v>
      </c>
      <c r="P2126" t="s">
        <v>2122</v>
      </c>
      <c r="Q2126" t="s">
        <v>2276</v>
      </c>
      <c r="R2126">
        <v>0</v>
      </c>
      <c r="S2126">
        <v>3793</v>
      </c>
      <c r="T2126">
        <v>456712</v>
      </c>
      <c r="U2126" t="s">
        <v>6096</v>
      </c>
      <c r="V2126">
        <v>21.8</v>
      </c>
      <c r="W2126" t="s">
        <v>8282</v>
      </c>
      <c r="X2126" t="s">
        <v>968</v>
      </c>
      <c r="Y2126">
        <v>93</v>
      </c>
      <c r="Z2126">
        <v>-10</v>
      </c>
    </row>
    <row r="2127" spans="1:28">
      <c r="A2127" s="2">
        <f>HYPERLINK("https://finance.naver.com/item/coinfo.nhn?code=242040", "A242040")</f>
        <v>0</v>
      </c>
      <c r="B2127">
        <f>HYPERLINK("http://comp.fnguide.com/SVO2/ASP/SVD_Consensus.asp?pGB=1&amp;gicode=A242040&amp;cID=&amp;MenuYn=Y&amp;ReportGB=&amp;NewMenuID=108&amp;stkGb=701", "나무기술")</f>
        <v>0</v>
      </c>
      <c r="C2127">
        <v>0</v>
      </c>
      <c r="D2127">
        <v>3160</v>
      </c>
      <c r="E2127">
        <v>-0.46</v>
      </c>
      <c r="F2127">
        <v>23.48</v>
      </c>
      <c r="G2127">
        <v>1011</v>
      </c>
      <c r="H2127">
        <v>741</v>
      </c>
      <c r="I2127">
        <v>664</v>
      </c>
      <c r="J2127">
        <v>68.02</v>
      </c>
      <c r="K2127">
        <v>76.55</v>
      </c>
      <c r="L2127">
        <v>78.98</v>
      </c>
      <c r="M2127">
        <v>14.34</v>
      </c>
      <c r="N2127" t="b">
        <v>1</v>
      </c>
      <c r="O2127">
        <v>121</v>
      </c>
      <c r="P2127" t="s">
        <v>2123</v>
      </c>
      <c r="Q2127" t="s">
        <v>3896</v>
      </c>
      <c r="R2127">
        <v>-50.9</v>
      </c>
      <c r="S2127">
        <v>1024</v>
      </c>
      <c r="T2127">
        <v>321869</v>
      </c>
      <c r="U2127" t="s">
        <v>6097</v>
      </c>
      <c r="V2127">
        <v>32.52</v>
      </c>
      <c r="W2127" t="s">
        <v>8283</v>
      </c>
      <c r="X2127" t="s">
        <v>10118</v>
      </c>
      <c r="Y2127">
        <v>847</v>
      </c>
      <c r="Z2127">
        <v>41</v>
      </c>
      <c r="AA2127">
        <v>1610257</v>
      </c>
    </row>
    <row r="2128" spans="1:28">
      <c r="A2128" s="2">
        <f>HYPERLINK("https://finance.naver.com/item/coinfo.nhn?code=049080", "A049080")</f>
        <v>0</v>
      </c>
      <c r="B2128">
        <f>HYPERLINK("http://comp.fnguide.com/SVO2/ASP/SVD_Consensus.asp?pGB=1&amp;gicode=A049080&amp;cID=&amp;MenuYn=Y&amp;ReportGB=&amp;NewMenuID=108&amp;stkGb=701", "기가레인")</f>
        <v>0</v>
      </c>
      <c r="C2128">
        <v>0</v>
      </c>
      <c r="D2128">
        <v>2120</v>
      </c>
      <c r="E2128">
        <v>0</v>
      </c>
      <c r="G2128">
        <v>0</v>
      </c>
      <c r="H2128">
        <v>283</v>
      </c>
      <c r="I2128">
        <v>364</v>
      </c>
      <c r="J2128">
        <v>100</v>
      </c>
      <c r="K2128">
        <v>86.65000000000001</v>
      </c>
      <c r="L2128">
        <v>82.84</v>
      </c>
      <c r="M2128">
        <v>0</v>
      </c>
      <c r="N2128" t="b">
        <v>0</v>
      </c>
      <c r="O2128">
        <v>-863</v>
      </c>
      <c r="P2128" t="s">
        <v>2124</v>
      </c>
      <c r="Q2128" t="s">
        <v>2276</v>
      </c>
      <c r="R2128">
        <v>0</v>
      </c>
      <c r="S2128">
        <v>1168</v>
      </c>
      <c r="T2128">
        <v>981316</v>
      </c>
      <c r="U2128" t="s">
        <v>6098</v>
      </c>
      <c r="V2128">
        <v>28.06</v>
      </c>
      <c r="W2128" t="s">
        <v>8284</v>
      </c>
      <c r="X2128" t="s">
        <v>968</v>
      </c>
      <c r="Y2128">
        <v>728</v>
      </c>
      <c r="Z2128">
        <v>-296</v>
      </c>
      <c r="AA2128">
        <v>3349</v>
      </c>
    </row>
    <row r="2129" spans="1:28">
      <c r="A2129" s="2">
        <f>HYPERLINK("https://finance.naver.com/item/coinfo.nhn?code=190510", "A190510")</f>
        <v>0</v>
      </c>
      <c r="B2129">
        <f>HYPERLINK("http://comp.fnguide.com/SVO2/ASP/SVD_Consensus.asp?pGB=1&amp;gicode=A190510&amp;cID=&amp;MenuYn=Y&amp;ReportGB=&amp;NewMenuID=108&amp;stkGb=701", "나무가")</f>
        <v>0</v>
      </c>
      <c r="C2129">
        <v>0</v>
      </c>
      <c r="D2129">
        <v>21000</v>
      </c>
      <c r="E2129">
        <v>0</v>
      </c>
      <c r="G2129">
        <v>3287</v>
      </c>
      <c r="H2129">
        <v>5186</v>
      </c>
      <c r="I2129">
        <v>5727</v>
      </c>
      <c r="J2129">
        <v>84.34999999999999</v>
      </c>
      <c r="K2129">
        <v>75.31</v>
      </c>
      <c r="L2129">
        <v>72.73</v>
      </c>
      <c r="M2129">
        <v>4.06</v>
      </c>
      <c r="N2129" t="b">
        <v>0</v>
      </c>
      <c r="O2129">
        <v>-55</v>
      </c>
      <c r="P2129" t="s">
        <v>2125</v>
      </c>
      <c r="Q2129" t="s">
        <v>2276</v>
      </c>
      <c r="R2129">
        <v>0</v>
      </c>
      <c r="S2129">
        <v>1443</v>
      </c>
      <c r="T2129">
        <v>72930</v>
      </c>
      <c r="U2129" t="s">
        <v>6099</v>
      </c>
      <c r="V2129">
        <v>36.54</v>
      </c>
      <c r="W2129" t="s">
        <v>8285</v>
      </c>
      <c r="X2129" t="s">
        <v>10119</v>
      </c>
      <c r="Y2129">
        <v>3621</v>
      </c>
      <c r="Z2129">
        <v>27</v>
      </c>
    </row>
    <row r="2130" spans="1:28">
      <c r="A2130" s="2">
        <f>HYPERLINK("https://finance.naver.com/item/coinfo.nhn?code=051490", "A051490")</f>
        <v>0</v>
      </c>
      <c r="B2130">
        <f>HYPERLINK("http://comp.fnguide.com/SVO2/ASP/SVD_Consensus.asp?pGB=1&amp;gicode=A051490&amp;cID=&amp;MenuYn=Y&amp;ReportGB=&amp;NewMenuID=108&amp;stkGb=701", "나라엠앤디")</f>
        <v>0</v>
      </c>
      <c r="C2130">
        <v>0</v>
      </c>
      <c r="D2130">
        <v>12250</v>
      </c>
      <c r="E2130">
        <v>-4.57</v>
      </c>
      <c r="F2130">
        <v>57.96</v>
      </c>
      <c r="G2130">
        <v>1973</v>
      </c>
      <c r="H2130">
        <v>4247</v>
      </c>
      <c r="I2130">
        <v>4895</v>
      </c>
      <c r="J2130">
        <v>83.89</v>
      </c>
      <c r="K2130">
        <v>65.33</v>
      </c>
      <c r="L2130">
        <v>60.04</v>
      </c>
      <c r="M2130">
        <v>2.73</v>
      </c>
      <c r="N2130" t="b">
        <v>1</v>
      </c>
      <c r="O2130">
        <v>76</v>
      </c>
      <c r="P2130" t="s">
        <v>2126</v>
      </c>
      <c r="Q2130" t="s">
        <v>3897</v>
      </c>
      <c r="R2130">
        <v>-12.69519557469072</v>
      </c>
      <c r="S2130">
        <v>1740</v>
      </c>
      <c r="T2130">
        <v>992771</v>
      </c>
      <c r="U2130" t="s">
        <v>6100</v>
      </c>
      <c r="V2130">
        <v>14.9</v>
      </c>
      <c r="W2130" t="s">
        <v>8286</v>
      </c>
      <c r="X2130" t="s">
        <v>10120</v>
      </c>
      <c r="Y2130">
        <v>1560</v>
      </c>
      <c r="Z2130">
        <v>21</v>
      </c>
      <c r="AA2130">
        <v>392645</v>
      </c>
      <c r="AB2130">
        <v>1.36</v>
      </c>
    </row>
    <row r="2131" spans="1:28">
      <c r="A2131" s="2">
        <f>HYPERLINK("https://finance.naver.com/item/coinfo.nhn?code=091970", "A091970")</f>
        <v>0</v>
      </c>
      <c r="B2131">
        <f>HYPERLINK("http://comp.fnguide.com/SVO2/ASP/SVD_Consensus.asp?pGB=1&amp;gicode=A091970&amp;cID=&amp;MenuYn=Y&amp;ReportGB=&amp;NewMenuID=108&amp;stkGb=701", "나노캠텍")</f>
        <v>0</v>
      </c>
      <c r="C2131">
        <v>0</v>
      </c>
      <c r="D2131">
        <v>1905</v>
      </c>
      <c r="G2131">
        <v>165</v>
      </c>
      <c r="H2131">
        <v>1386</v>
      </c>
      <c r="I2131">
        <v>1734</v>
      </c>
      <c r="J2131">
        <v>91.36</v>
      </c>
      <c r="K2131">
        <v>27.24</v>
      </c>
      <c r="L2131">
        <v>8.970000000000001</v>
      </c>
      <c r="M2131">
        <v>0.6</v>
      </c>
      <c r="N2131" t="b">
        <v>0</v>
      </c>
      <c r="O2131">
        <v>-634</v>
      </c>
      <c r="P2131" t="s">
        <v>2127</v>
      </c>
      <c r="Q2131" t="s">
        <v>3898</v>
      </c>
      <c r="R2131">
        <v>-92.59999999999999</v>
      </c>
      <c r="S2131">
        <v>535</v>
      </c>
      <c r="T2131">
        <v>254932</v>
      </c>
      <c r="U2131" t="s">
        <v>6101</v>
      </c>
      <c r="V2131">
        <v>14.01</v>
      </c>
      <c r="W2131" t="s">
        <v>8287</v>
      </c>
      <c r="X2131" t="s">
        <v>10121</v>
      </c>
      <c r="Y2131">
        <v>475</v>
      </c>
      <c r="Z2131">
        <v>83</v>
      </c>
      <c r="AA2131">
        <v>1277832</v>
      </c>
    </row>
    <row r="2132" spans="1:28">
      <c r="A2132" s="2">
        <f>HYPERLINK("https://finance.naver.com/item/coinfo.nhn?code=039860", "A039860")</f>
        <v>0</v>
      </c>
      <c r="B2132">
        <f>HYPERLINK("http://comp.fnguide.com/SVO2/ASP/SVD_Consensus.asp?pGB=1&amp;gicode=A039860&amp;cID=&amp;MenuYn=Y&amp;ReportGB=&amp;NewMenuID=108&amp;stkGb=701", "나노엔텍")</f>
        <v>0</v>
      </c>
      <c r="C2132">
        <v>0</v>
      </c>
      <c r="D2132">
        <v>9110</v>
      </c>
      <c r="E2132">
        <v>-3.18</v>
      </c>
      <c r="F2132">
        <v>25.93</v>
      </c>
      <c r="G2132">
        <v>2169</v>
      </c>
      <c r="H2132">
        <v>1785</v>
      </c>
      <c r="I2132">
        <v>1676</v>
      </c>
      <c r="J2132">
        <v>76.19</v>
      </c>
      <c r="K2132">
        <v>80.41</v>
      </c>
      <c r="L2132">
        <v>81.61</v>
      </c>
      <c r="M2132">
        <v>11.3</v>
      </c>
      <c r="N2132" t="b">
        <v>1</v>
      </c>
      <c r="O2132">
        <v>217</v>
      </c>
      <c r="P2132" t="s">
        <v>2128</v>
      </c>
      <c r="Q2132" t="s">
        <v>3899</v>
      </c>
      <c r="R2132">
        <v>-8.142501666984202</v>
      </c>
      <c r="S2132">
        <v>2441</v>
      </c>
      <c r="T2132">
        <v>859117</v>
      </c>
      <c r="U2132" t="s">
        <v>6102</v>
      </c>
      <c r="V2132">
        <v>29.48</v>
      </c>
      <c r="W2132" t="s">
        <v>8288</v>
      </c>
      <c r="X2132" t="s">
        <v>10122</v>
      </c>
      <c r="Y2132">
        <v>263</v>
      </c>
      <c r="Z2132">
        <v>31</v>
      </c>
    </row>
    <row r="2133" spans="1:28">
      <c r="A2133" s="2">
        <f>HYPERLINK("https://finance.naver.com/item/coinfo.nhn?code=121600", "A121600")</f>
        <v>0</v>
      </c>
      <c r="B2133">
        <f>HYPERLINK("http://comp.fnguide.com/SVO2/ASP/SVD_Consensus.asp?pGB=1&amp;gicode=A121600&amp;cID=&amp;MenuYn=Y&amp;ReportGB=&amp;NewMenuID=108&amp;stkGb=701", "나노신소재")</f>
        <v>0</v>
      </c>
      <c r="C2133">
        <v>0</v>
      </c>
      <c r="D2133">
        <v>34750</v>
      </c>
      <c r="E2133">
        <v>-1.05</v>
      </c>
      <c r="F2133">
        <v>31.54</v>
      </c>
      <c r="G2133">
        <v>8437</v>
      </c>
      <c r="H2133">
        <v>8705</v>
      </c>
      <c r="I2133">
        <v>8781</v>
      </c>
      <c r="J2133">
        <v>75.72</v>
      </c>
      <c r="K2133">
        <v>74.95</v>
      </c>
      <c r="L2133">
        <v>74.73</v>
      </c>
      <c r="M2133">
        <v>7.57</v>
      </c>
      <c r="N2133" t="b">
        <v>1</v>
      </c>
      <c r="O2133">
        <v>530</v>
      </c>
      <c r="P2133" t="s">
        <v>2129</v>
      </c>
      <c r="Q2133" t="s">
        <v>3900</v>
      </c>
      <c r="R2133">
        <v>-30.0038535384712</v>
      </c>
      <c r="S2133">
        <v>3770</v>
      </c>
      <c r="T2133">
        <v>216903</v>
      </c>
      <c r="U2133" t="s">
        <v>6103</v>
      </c>
      <c r="V2133">
        <v>33.01</v>
      </c>
      <c r="W2133" t="s">
        <v>8289</v>
      </c>
      <c r="X2133" t="s">
        <v>10123</v>
      </c>
      <c r="Y2133">
        <v>489</v>
      </c>
      <c r="Z2133">
        <v>51</v>
      </c>
      <c r="AA2133">
        <v>288369</v>
      </c>
      <c r="AB2133">
        <v>0.72</v>
      </c>
    </row>
    <row r="2134" spans="1:28">
      <c r="A2134" s="2">
        <f>HYPERLINK("https://finance.naver.com/item/coinfo.nhn?code=151910", "A151910")</f>
        <v>0</v>
      </c>
      <c r="B2134">
        <f>HYPERLINK("http://comp.fnguide.com/SVO2/ASP/SVD_Consensus.asp?pGB=1&amp;gicode=A151910&amp;cID=&amp;MenuYn=Y&amp;ReportGB=&amp;NewMenuID=108&amp;stkGb=701", "나노스")</f>
        <v>0</v>
      </c>
      <c r="C2134">
        <v>0</v>
      </c>
      <c r="D2134">
        <v>3395</v>
      </c>
      <c r="E2134">
        <v>0</v>
      </c>
      <c r="G2134">
        <v>0</v>
      </c>
      <c r="H2134">
        <v>151</v>
      </c>
      <c r="I2134">
        <v>194</v>
      </c>
      <c r="J2134">
        <v>100</v>
      </c>
      <c r="K2134">
        <v>95.55</v>
      </c>
      <c r="L2134">
        <v>94.28</v>
      </c>
      <c r="M2134">
        <v>0</v>
      </c>
      <c r="N2134" t="b">
        <v>0</v>
      </c>
      <c r="O2134">
        <v>-114</v>
      </c>
      <c r="P2134" t="s">
        <v>2130</v>
      </c>
      <c r="Q2134" t="s">
        <v>2276</v>
      </c>
      <c r="R2134">
        <v>0</v>
      </c>
      <c r="S2134">
        <v>5046</v>
      </c>
      <c r="T2134">
        <v>212015</v>
      </c>
      <c r="U2134" t="s">
        <v>6104</v>
      </c>
      <c r="V2134">
        <v>72.12</v>
      </c>
      <c r="W2134" t="s">
        <v>8290</v>
      </c>
      <c r="X2134" t="s">
        <v>968</v>
      </c>
      <c r="Y2134">
        <v>526</v>
      </c>
      <c r="Z2134">
        <v>-148</v>
      </c>
    </row>
    <row r="2135" spans="1:28">
      <c r="A2135" s="2">
        <f>HYPERLINK("https://finance.naver.com/item/coinfo.nhn?code=286750", "A286750")</f>
        <v>0</v>
      </c>
      <c r="B2135">
        <f>HYPERLINK("http://comp.fnguide.com/SVO2/ASP/SVD_Consensus.asp?pGB=1&amp;gicode=A286750&amp;cID=&amp;MenuYn=Y&amp;ReportGB=&amp;NewMenuID=108&amp;stkGb=701", "나노브릭")</f>
        <v>0</v>
      </c>
      <c r="C2135">
        <v>0</v>
      </c>
      <c r="D2135">
        <v>18250</v>
      </c>
      <c r="E2135">
        <v>0</v>
      </c>
      <c r="G2135">
        <v>9840</v>
      </c>
      <c r="H2135">
        <v>5786</v>
      </c>
      <c r="I2135">
        <v>4630</v>
      </c>
      <c r="J2135">
        <v>46.08</v>
      </c>
      <c r="K2135">
        <v>68.3</v>
      </c>
      <c r="L2135">
        <v>74.63</v>
      </c>
      <c r="M2135">
        <v>25.36</v>
      </c>
      <c r="N2135" t="b">
        <v>0</v>
      </c>
      <c r="O2135">
        <v>-183</v>
      </c>
      <c r="P2135" t="s">
        <v>2131</v>
      </c>
      <c r="Q2135" t="s">
        <v>2276</v>
      </c>
      <c r="R2135">
        <v>0</v>
      </c>
      <c r="S2135">
        <v>832</v>
      </c>
      <c r="T2135">
        <v>16463</v>
      </c>
      <c r="U2135" t="s">
        <v>6105</v>
      </c>
      <c r="V2135">
        <v>20.14</v>
      </c>
      <c r="W2135" t="s">
        <v>8291</v>
      </c>
      <c r="X2135" t="s">
        <v>968</v>
      </c>
      <c r="Y2135">
        <v>78</v>
      </c>
      <c r="Z2135">
        <v>-15</v>
      </c>
    </row>
    <row r="2136" spans="1:28">
      <c r="A2136" s="2">
        <f>HYPERLINK("https://finance.naver.com/item/coinfo.nhn?code=187790", "A187790")</f>
        <v>0</v>
      </c>
      <c r="B2136">
        <f>HYPERLINK("http://comp.fnguide.com/SVO2/ASP/SVD_Consensus.asp?pGB=1&amp;gicode=A187790&amp;cID=&amp;MenuYn=Y&amp;ReportGB=&amp;NewMenuID=108&amp;stkGb=701", "나노")</f>
        <v>0</v>
      </c>
      <c r="C2136">
        <v>0</v>
      </c>
      <c r="D2136">
        <v>1570</v>
      </c>
      <c r="E2136">
        <v>0</v>
      </c>
      <c r="F2136">
        <v>113.44</v>
      </c>
      <c r="G2136">
        <v>117</v>
      </c>
      <c r="H2136">
        <v>1229</v>
      </c>
      <c r="I2136">
        <v>1545</v>
      </c>
      <c r="J2136">
        <v>92.53</v>
      </c>
      <c r="K2136">
        <v>21.75</v>
      </c>
      <c r="L2136">
        <v>1.58</v>
      </c>
      <c r="M2136">
        <v>0.47</v>
      </c>
      <c r="N2136" t="b">
        <v>1</v>
      </c>
      <c r="O2136">
        <v>18</v>
      </c>
      <c r="P2136" t="s">
        <v>2132</v>
      </c>
      <c r="Q2136" t="s">
        <v>2276</v>
      </c>
      <c r="R2136">
        <v>0</v>
      </c>
      <c r="S2136">
        <v>405</v>
      </c>
      <c r="T2136">
        <v>496007</v>
      </c>
      <c r="U2136" t="s">
        <v>6106</v>
      </c>
      <c r="V2136">
        <v>8.5</v>
      </c>
      <c r="W2136" t="s">
        <v>8292</v>
      </c>
      <c r="X2136" t="s">
        <v>10124</v>
      </c>
      <c r="Y2136">
        <v>737</v>
      </c>
      <c r="Z2136">
        <v>-9</v>
      </c>
      <c r="AA2136">
        <v>173647</v>
      </c>
    </row>
    <row r="2137" spans="1:28">
      <c r="A2137" s="2">
        <f>HYPERLINK("https://finance.naver.com/item/coinfo.nhn?code=035460", "A035460")</f>
        <v>0</v>
      </c>
      <c r="B2137">
        <f>HYPERLINK("http://comp.fnguide.com/SVO2/ASP/SVD_Consensus.asp?pGB=1&amp;gicode=A035460&amp;cID=&amp;MenuYn=Y&amp;ReportGB=&amp;NewMenuID=108&amp;stkGb=701", "기산텔레콤")</f>
        <v>0</v>
      </c>
      <c r="C2137">
        <v>0</v>
      </c>
      <c r="D2137">
        <v>2745</v>
      </c>
      <c r="E2137">
        <v>0</v>
      </c>
      <c r="F2137">
        <v>9.18</v>
      </c>
      <c r="G2137">
        <v>1518</v>
      </c>
      <c r="H2137">
        <v>1944</v>
      </c>
      <c r="I2137">
        <v>2065</v>
      </c>
      <c r="J2137">
        <v>44.69</v>
      </c>
      <c r="K2137">
        <v>29.19</v>
      </c>
      <c r="L2137">
        <v>24.77</v>
      </c>
      <c r="M2137">
        <v>5.43</v>
      </c>
      <c r="N2137" t="b">
        <v>1</v>
      </c>
      <c r="O2137">
        <v>228</v>
      </c>
      <c r="P2137" t="s">
        <v>2133</v>
      </c>
      <c r="Q2137" t="s">
        <v>2276</v>
      </c>
      <c r="R2137">
        <v>0</v>
      </c>
      <c r="S2137">
        <v>400</v>
      </c>
      <c r="T2137">
        <v>104116</v>
      </c>
      <c r="U2137" t="s">
        <v>6107</v>
      </c>
      <c r="V2137">
        <v>35.22</v>
      </c>
      <c r="W2137" t="s">
        <v>8293</v>
      </c>
      <c r="X2137" t="s">
        <v>10125</v>
      </c>
      <c r="Y2137">
        <v>671</v>
      </c>
      <c r="Z2137">
        <v>40</v>
      </c>
      <c r="AA2137">
        <v>204271</v>
      </c>
    </row>
    <row r="2138" spans="1:28">
      <c r="A2138" s="2">
        <f>HYPERLINK("https://finance.naver.com/item/coinfo.nhn?code=290380", "A290380")</f>
        <v>0</v>
      </c>
      <c r="B2138">
        <f>HYPERLINK("http://comp.fnguide.com/SVO2/ASP/SVD_Consensus.asp?pGB=1&amp;gicode=A290380&amp;cID=&amp;MenuYn=Y&amp;ReportGB=&amp;NewMenuID=108&amp;stkGb=701", "대유")</f>
        <v>0</v>
      </c>
      <c r="C2138">
        <v>0</v>
      </c>
      <c r="D2138">
        <v>14050</v>
      </c>
      <c r="E2138">
        <v>49.57</v>
      </c>
      <c r="F2138">
        <v>21.19</v>
      </c>
      <c r="G2138">
        <v>10343</v>
      </c>
      <c r="H2138">
        <v>8330</v>
      </c>
      <c r="I2138">
        <v>7756</v>
      </c>
      <c r="J2138">
        <v>26.39</v>
      </c>
      <c r="K2138">
        <v>40.71</v>
      </c>
      <c r="L2138">
        <v>44.8</v>
      </c>
      <c r="M2138">
        <v>11.79</v>
      </c>
      <c r="N2138" t="b">
        <v>1</v>
      </c>
      <c r="O2138">
        <v>543</v>
      </c>
      <c r="P2138" t="s">
        <v>2134</v>
      </c>
      <c r="Q2138" t="s">
        <v>3901</v>
      </c>
      <c r="R2138">
        <v>0.4274952392558484</v>
      </c>
      <c r="S2138">
        <v>1272</v>
      </c>
      <c r="T2138">
        <v>165785</v>
      </c>
      <c r="U2138" t="s">
        <v>6108</v>
      </c>
      <c r="V2138">
        <v>25.85</v>
      </c>
      <c r="W2138" t="s">
        <v>8294</v>
      </c>
      <c r="X2138" t="s">
        <v>10126</v>
      </c>
      <c r="Y2138">
        <v>297</v>
      </c>
      <c r="Z2138">
        <v>53</v>
      </c>
      <c r="AB2138">
        <v>2.17</v>
      </c>
    </row>
    <row r="2139" spans="1:28">
      <c r="A2139" s="2">
        <f>HYPERLINK("https://finance.naver.com/item/coinfo.nhn?code=003310", "A003310")</f>
        <v>0</v>
      </c>
      <c r="B2139">
        <f>HYPERLINK("http://comp.fnguide.com/SVO2/ASP/SVD_Consensus.asp?pGB=1&amp;gicode=A003310&amp;cID=&amp;MenuYn=Y&amp;ReportGB=&amp;NewMenuID=108&amp;stkGb=701", "대주산업")</f>
        <v>0</v>
      </c>
      <c r="C2139">
        <v>0</v>
      </c>
      <c r="D2139">
        <v>2360</v>
      </c>
      <c r="E2139">
        <v>0.62</v>
      </c>
      <c r="F2139">
        <v>27.61</v>
      </c>
      <c r="G2139">
        <v>696</v>
      </c>
      <c r="H2139">
        <v>1162</v>
      </c>
      <c r="I2139">
        <v>1295</v>
      </c>
      <c r="J2139">
        <v>70.48999999999999</v>
      </c>
      <c r="K2139">
        <v>50.74</v>
      </c>
      <c r="L2139">
        <v>45.12</v>
      </c>
      <c r="M2139">
        <v>3.77</v>
      </c>
      <c r="N2139" t="b">
        <v>1</v>
      </c>
      <c r="O2139">
        <v>51</v>
      </c>
      <c r="P2139" t="s">
        <v>2135</v>
      </c>
      <c r="Q2139" t="s">
        <v>3902</v>
      </c>
      <c r="R2139">
        <v>44.54129232794371</v>
      </c>
      <c r="S2139">
        <v>835</v>
      </c>
      <c r="T2139">
        <v>1988160</v>
      </c>
      <c r="U2139" t="s">
        <v>6109</v>
      </c>
      <c r="V2139">
        <v>38.37</v>
      </c>
      <c r="W2139" t="s">
        <v>8295</v>
      </c>
      <c r="X2139" t="s">
        <v>10127</v>
      </c>
      <c r="Y2139">
        <v>843</v>
      </c>
      <c r="Z2139">
        <v>27</v>
      </c>
      <c r="AB2139">
        <v>2.13</v>
      </c>
    </row>
    <row r="2140" spans="1:28">
      <c r="A2140" s="2">
        <f>HYPERLINK("https://finance.naver.com/item/coinfo.nhn?code=086900", "A086900")</f>
        <v>0</v>
      </c>
      <c r="B2140">
        <f>HYPERLINK("http://comp.fnguide.com/SVO2/ASP/SVD_Consensus.asp?pGB=1&amp;gicode=A086900&amp;cID=&amp;MenuYn=Y&amp;ReportGB=&amp;NewMenuID=108&amp;stkGb=701", "메디톡스")</f>
        <v>0</v>
      </c>
      <c r="C2140">
        <v>0</v>
      </c>
      <c r="D2140">
        <v>224000</v>
      </c>
      <c r="E2140">
        <v>-5.84</v>
      </c>
      <c r="F2140">
        <v>65.56999999999999</v>
      </c>
      <c r="G2140">
        <v>131954</v>
      </c>
      <c r="H2140">
        <v>80747</v>
      </c>
      <c r="I2140">
        <v>66155</v>
      </c>
      <c r="J2140">
        <v>41.09</v>
      </c>
      <c r="K2140">
        <v>63.95</v>
      </c>
      <c r="L2140">
        <v>70.47</v>
      </c>
      <c r="M2140">
        <v>22.51</v>
      </c>
      <c r="N2140" t="b">
        <v>1</v>
      </c>
      <c r="O2140">
        <v>4384</v>
      </c>
      <c r="P2140" t="s">
        <v>2136</v>
      </c>
      <c r="Q2140" t="s">
        <v>3903</v>
      </c>
      <c r="R2140">
        <v>-11.23578602276437</v>
      </c>
      <c r="S2140">
        <v>13389</v>
      </c>
      <c r="T2140">
        <v>123028</v>
      </c>
      <c r="U2140" t="s">
        <v>6110</v>
      </c>
      <c r="V2140">
        <v>21.9</v>
      </c>
      <c r="W2140" t="s">
        <v>8296</v>
      </c>
      <c r="X2140" t="s">
        <v>10128</v>
      </c>
      <c r="Y2140">
        <v>2059</v>
      </c>
      <c r="Z2140">
        <v>257</v>
      </c>
      <c r="AA2140">
        <v>432500</v>
      </c>
      <c r="AB2140">
        <v>0.27</v>
      </c>
    </row>
    <row r="2141" spans="1:28">
      <c r="A2141" s="2">
        <f>HYPERLINK("https://finance.naver.com/item/coinfo.nhn?code=068930", "A068930")</f>
        <v>0</v>
      </c>
      <c r="B2141">
        <f>HYPERLINK("http://comp.fnguide.com/SVO2/ASP/SVD_Consensus.asp?pGB=1&amp;gicode=A068930&amp;cID=&amp;MenuYn=Y&amp;ReportGB=&amp;NewMenuID=108&amp;stkGb=701", "디지털대성")</f>
        <v>0</v>
      </c>
      <c r="C2141">
        <v>0</v>
      </c>
      <c r="D2141">
        <v>9040</v>
      </c>
      <c r="E2141">
        <v>0.76</v>
      </c>
      <c r="F2141">
        <v>11.77</v>
      </c>
      <c r="G2141">
        <v>7746</v>
      </c>
      <c r="H2141">
        <v>5655</v>
      </c>
      <c r="I2141">
        <v>5059</v>
      </c>
      <c r="J2141">
        <v>14.31</v>
      </c>
      <c r="K2141">
        <v>37.44</v>
      </c>
      <c r="L2141">
        <v>44.04</v>
      </c>
      <c r="M2141">
        <v>14.47</v>
      </c>
      <c r="N2141" t="b">
        <v>0</v>
      </c>
      <c r="O2141">
        <v>662</v>
      </c>
      <c r="P2141" t="s">
        <v>2137</v>
      </c>
      <c r="Q2141" t="s">
        <v>3904</v>
      </c>
      <c r="R2141">
        <v>15.39786088301902</v>
      </c>
      <c r="S2141">
        <v>2053</v>
      </c>
      <c r="T2141">
        <v>163734</v>
      </c>
      <c r="U2141" t="s">
        <v>6111</v>
      </c>
      <c r="V2141">
        <v>46.17</v>
      </c>
      <c r="W2141" t="s">
        <v>8297</v>
      </c>
      <c r="X2141" t="s">
        <v>10129</v>
      </c>
      <c r="Y2141">
        <v>1406</v>
      </c>
      <c r="Z2141">
        <v>211</v>
      </c>
      <c r="AA2141">
        <v>3185611</v>
      </c>
      <c r="AB2141">
        <v>3.85</v>
      </c>
    </row>
    <row r="2142" spans="1:28">
      <c r="A2142" s="2">
        <f>HYPERLINK("https://finance.naver.com/item/coinfo.nhn?code=108490", "A108490")</f>
        <v>0</v>
      </c>
      <c r="B2142">
        <f>HYPERLINK("http://comp.fnguide.com/SVO2/ASP/SVD_Consensus.asp?pGB=1&amp;gicode=A108490&amp;cID=&amp;MenuYn=Y&amp;ReportGB=&amp;NewMenuID=108&amp;stkGb=701", "로보티즈")</f>
        <v>0</v>
      </c>
      <c r="C2142">
        <v>0</v>
      </c>
      <c r="D2142">
        <v>12000</v>
      </c>
      <c r="E2142">
        <v>-39.75</v>
      </c>
      <c r="F2142">
        <v>56.01</v>
      </c>
      <c r="G2142">
        <v>3415</v>
      </c>
      <c r="H2142">
        <v>4719</v>
      </c>
      <c r="I2142">
        <v>5090</v>
      </c>
      <c r="J2142">
        <v>71.54000000000001</v>
      </c>
      <c r="K2142">
        <v>60.68</v>
      </c>
      <c r="L2142">
        <v>57.58</v>
      </c>
      <c r="M2142">
        <v>4.87</v>
      </c>
      <c r="N2142" t="b">
        <v>0</v>
      </c>
      <c r="O2142">
        <v>221</v>
      </c>
      <c r="P2142" t="s">
        <v>2138</v>
      </c>
      <c r="Q2142" t="s">
        <v>3905</v>
      </c>
      <c r="R2142">
        <v>-1.409220010366929</v>
      </c>
      <c r="S2142">
        <v>1350</v>
      </c>
      <c r="T2142">
        <v>67998</v>
      </c>
      <c r="U2142" t="s">
        <v>6112</v>
      </c>
      <c r="V2142">
        <v>43.15</v>
      </c>
      <c r="W2142" t="s">
        <v>8298</v>
      </c>
      <c r="X2142" t="s">
        <v>10130</v>
      </c>
      <c r="Y2142">
        <v>252</v>
      </c>
      <c r="Z2142">
        <v>17</v>
      </c>
      <c r="AA2142">
        <v>256749</v>
      </c>
    </row>
    <row r="2143" spans="1:28">
      <c r="A2143" s="2">
        <f>HYPERLINK("https://finance.naver.com/item/coinfo.nhn?code=090360", "A090360")</f>
        <v>0</v>
      </c>
      <c r="B2143">
        <f>HYPERLINK("http://comp.fnguide.com/SVO2/ASP/SVD_Consensus.asp?pGB=1&amp;gicode=A090360&amp;cID=&amp;MenuYn=Y&amp;ReportGB=&amp;NewMenuID=108&amp;stkGb=701", "로보스타")</f>
        <v>0</v>
      </c>
      <c r="C2143">
        <v>0</v>
      </c>
      <c r="D2143">
        <v>13250</v>
      </c>
      <c r="G2143">
        <v>3337</v>
      </c>
      <c r="H2143">
        <v>7273</v>
      </c>
      <c r="I2143">
        <v>8394</v>
      </c>
      <c r="J2143">
        <v>74.81</v>
      </c>
      <c r="K2143">
        <v>45.11</v>
      </c>
      <c r="L2143">
        <v>36.65</v>
      </c>
      <c r="M2143">
        <v>2.69</v>
      </c>
      <c r="N2143" t="b">
        <v>0</v>
      </c>
      <c r="O2143">
        <v>-463</v>
      </c>
      <c r="P2143" t="s">
        <v>2139</v>
      </c>
      <c r="Q2143" t="s">
        <v>3906</v>
      </c>
      <c r="R2143">
        <v>-10.98983204150212</v>
      </c>
      <c r="S2143">
        <v>1292</v>
      </c>
      <c r="T2143">
        <v>32656</v>
      </c>
      <c r="U2143" t="s">
        <v>6113</v>
      </c>
      <c r="V2143">
        <v>36.33</v>
      </c>
      <c r="W2143" t="s">
        <v>8299</v>
      </c>
      <c r="X2143" t="s">
        <v>10131</v>
      </c>
      <c r="Y2143">
        <v>1772</v>
      </c>
      <c r="Z2143">
        <v>-69</v>
      </c>
    </row>
    <row r="2144" spans="1:28">
      <c r="A2144" s="2">
        <f>HYPERLINK("https://finance.naver.com/item/coinfo.nhn?code=215100", "A215100")</f>
        <v>0</v>
      </c>
      <c r="B2144">
        <f>HYPERLINK("http://comp.fnguide.com/SVO2/ASP/SVD_Consensus.asp?pGB=1&amp;gicode=A215100&amp;cID=&amp;MenuYn=Y&amp;ReportGB=&amp;NewMenuID=108&amp;stkGb=701", "로보로보")</f>
        <v>0</v>
      </c>
      <c r="C2144">
        <v>0</v>
      </c>
      <c r="D2144">
        <v>4745</v>
      </c>
      <c r="E2144">
        <v>-2.07</v>
      </c>
      <c r="F2144">
        <v>74.34999999999999</v>
      </c>
      <c r="G2144">
        <v>1009</v>
      </c>
      <c r="H2144">
        <v>1233</v>
      </c>
      <c r="I2144">
        <v>1297</v>
      </c>
      <c r="J2144">
        <v>78.73</v>
      </c>
      <c r="K2144">
        <v>74.01000000000001</v>
      </c>
      <c r="L2144">
        <v>72.66</v>
      </c>
      <c r="M2144">
        <v>5.82</v>
      </c>
      <c r="N2144" t="b">
        <v>0</v>
      </c>
      <c r="O2144">
        <v>61</v>
      </c>
      <c r="P2144" t="s">
        <v>2140</v>
      </c>
      <c r="Q2144" t="s">
        <v>3907</v>
      </c>
      <c r="R2144">
        <v>-35.87504385966412</v>
      </c>
      <c r="S2144">
        <v>845</v>
      </c>
      <c r="T2144">
        <v>199002</v>
      </c>
      <c r="U2144" t="s">
        <v>6114</v>
      </c>
      <c r="V2144">
        <v>40.1</v>
      </c>
      <c r="W2144" t="s">
        <v>8300</v>
      </c>
      <c r="X2144" t="s">
        <v>10132</v>
      </c>
      <c r="Y2144">
        <v>138</v>
      </c>
      <c r="Z2144">
        <v>1</v>
      </c>
      <c r="AB2144">
        <v>0.29</v>
      </c>
    </row>
    <row r="2145" spans="1:28">
      <c r="A2145" s="2">
        <f>HYPERLINK("https://finance.naver.com/item/coinfo.nhn?code=281740", "A281740")</f>
        <v>0</v>
      </c>
      <c r="B2145">
        <f>HYPERLINK("http://comp.fnguide.com/SVO2/ASP/SVD_Consensus.asp?pGB=1&amp;gicode=A281740&amp;cID=&amp;MenuYn=Y&amp;ReportGB=&amp;NewMenuID=108&amp;stkGb=701", "레이크머티리얼즈")</f>
        <v>0</v>
      </c>
      <c r="C2145">
        <v>0</v>
      </c>
      <c r="D2145">
        <v>2745</v>
      </c>
      <c r="G2145">
        <v>711</v>
      </c>
      <c r="H2145">
        <v>539</v>
      </c>
      <c r="I2145">
        <v>490</v>
      </c>
      <c r="J2145">
        <v>74.11</v>
      </c>
      <c r="K2145">
        <v>80.38</v>
      </c>
      <c r="L2145">
        <v>82.16</v>
      </c>
      <c r="M2145">
        <v>13.34</v>
      </c>
      <c r="N2145" t="b">
        <v>0</v>
      </c>
      <c r="O2145">
        <v>27</v>
      </c>
      <c r="P2145" t="s">
        <v>2141</v>
      </c>
      <c r="Q2145" t="s">
        <v>3908</v>
      </c>
      <c r="R2145">
        <v>-54.79247850191298</v>
      </c>
      <c r="S2145">
        <v>1804</v>
      </c>
      <c r="T2145">
        <v>27561236</v>
      </c>
      <c r="U2145" t="s">
        <v>6115</v>
      </c>
      <c r="V2145">
        <v>43.93</v>
      </c>
      <c r="W2145" t="s">
        <v>8301</v>
      </c>
      <c r="X2145" t="s">
        <v>968</v>
      </c>
      <c r="Y2145">
        <v>349</v>
      </c>
      <c r="Z2145">
        <v>26</v>
      </c>
    </row>
    <row r="2146" spans="1:28">
      <c r="A2146" s="2">
        <f>HYPERLINK("https://finance.naver.com/item/coinfo.nhn?code=228670", "A228670")</f>
        <v>0</v>
      </c>
      <c r="B2146">
        <f>HYPERLINK("http://comp.fnguide.com/SVO2/ASP/SVD_Consensus.asp?pGB=1&amp;gicode=A228670&amp;cID=&amp;MenuYn=Y&amp;ReportGB=&amp;NewMenuID=108&amp;stkGb=701", "레이")</f>
        <v>0</v>
      </c>
      <c r="C2146">
        <v>0</v>
      </c>
      <c r="D2146">
        <v>44850</v>
      </c>
      <c r="E2146">
        <v>0.29</v>
      </c>
      <c r="F2146">
        <v>22.47</v>
      </c>
      <c r="G2146">
        <v>25705</v>
      </c>
      <c r="H2146">
        <v>15453</v>
      </c>
      <c r="I2146">
        <v>12532</v>
      </c>
      <c r="J2146">
        <v>42.69</v>
      </c>
      <c r="K2146">
        <v>65.54000000000001</v>
      </c>
      <c r="L2146">
        <v>72.06</v>
      </c>
      <c r="M2146">
        <v>23.7</v>
      </c>
      <c r="N2146" t="b">
        <v>1</v>
      </c>
      <c r="O2146">
        <v>1909</v>
      </c>
      <c r="P2146" t="s">
        <v>2142</v>
      </c>
      <c r="Q2146" t="s">
        <v>3909</v>
      </c>
      <c r="R2146">
        <v>76.19187611094682</v>
      </c>
      <c r="S2146">
        <v>2984</v>
      </c>
      <c r="T2146">
        <v>73610</v>
      </c>
      <c r="U2146" t="s">
        <v>6116</v>
      </c>
      <c r="V2146">
        <v>33.7</v>
      </c>
      <c r="W2146" t="s">
        <v>8302</v>
      </c>
      <c r="X2146" t="s">
        <v>10133</v>
      </c>
      <c r="Y2146">
        <v>731</v>
      </c>
      <c r="Z2146">
        <v>129</v>
      </c>
    </row>
    <row r="2147" spans="1:28">
      <c r="A2147" s="2">
        <f>HYPERLINK("https://finance.naver.com/item/coinfo.nhn?code=294140", "A294140")</f>
        <v>0</v>
      </c>
      <c r="B2147">
        <f>HYPERLINK("http://comp.fnguide.com/SVO2/ASP/SVD_Consensus.asp?pGB=1&amp;gicode=A294140&amp;cID=&amp;MenuYn=Y&amp;ReportGB=&amp;NewMenuID=108&amp;stkGb=701", "레몬")</f>
        <v>0</v>
      </c>
      <c r="C2147">
        <v>0</v>
      </c>
      <c r="D2147">
        <v>13000</v>
      </c>
      <c r="E2147">
        <v>0</v>
      </c>
      <c r="G2147">
        <v>0</v>
      </c>
      <c r="H2147">
        <v>329</v>
      </c>
      <c r="I2147">
        <v>423</v>
      </c>
      <c r="J2147">
        <v>100</v>
      </c>
      <c r="K2147">
        <v>97.47</v>
      </c>
      <c r="L2147">
        <v>96.75</v>
      </c>
      <c r="M2147">
        <v>0</v>
      </c>
      <c r="N2147" t="b">
        <v>0</v>
      </c>
      <c r="O2147">
        <v>-305</v>
      </c>
      <c r="P2147" t="s">
        <v>2143</v>
      </c>
      <c r="Q2147" t="s">
        <v>2276</v>
      </c>
      <c r="R2147">
        <v>0</v>
      </c>
      <c r="S2147">
        <v>4485</v>
      </c>
      <c r="T2147">
        <v>213051</v>
      </c>
      <c r="U2147" t="s">
        <v>6117</v>
      </c>
      <c r="V2147">
        <v>61.28</v>
      </c>
      <c r="W2147" t="s">
        <v>8303</v>
      </c>
      <c r="X2147" t="s">
        <v>968</v>
      </c>
      <c r="Y2147">
        <v>497</v>
      </c>
      <c r="Z2147">
        <v>-79</v>
      </c>
    </row>
    <row r="2148" spans="1:28">
      <c r="A2148" s="2">
        <f>HYPERLINK("https://finance.naver.com/item/coinfo.nhn?code=060300", "A060300")</f>
        <v>0</v>
      </c>
      <c r="B2148">
        <f>HYPERLINK("http://comp.fnguide.com/SVO2/ASP/SVD_Consensus.asp?pGB=1&amp;gicode=A060300&amp;cID=&amp;MenuYn=Y&amp;ReportGB=&amp;NewMenuID=108&amp;stkGb=701", "레드로버")</f>
        <v>0</v>
      </c>
      <c r="C2148">
        <v>0</v>
      </c>
      <c r="D2148">
        <v>1830</v>
      </c>
      <c r="E2148">
        <v>0</v>
      </c>
      <c r="G2148">
        <v>0</v>
      </c>
      <c r="H2148">
        <v>147</v>
      </c>
      <c r="I2148">
        <v>188</v>
      </c>
      <c r="J2148">
        <v>100</v>
      </c>
      <c r="K2148">
        <v>91.98999999999999</v>
      </c>
      <c r="L2148">
        <v>89.70999999999999</v>
      </c>
      <c r="M2148">
        <v>0</v>
      </c>
      <c r="N2148" t="b">
        <v>0</v>
      </c>
      <c r="O2148">
        <v>-5826</v>
      </c>
      <c r="P2148" t="s">
        <v>2144</v>
      </c>
      <c r="Q2148" t="s">
        <v>2276</v>
      </c>
      <c r="R2148">
        <v>0</v>
      </c>
      <c r="S2148">
        <v>488</v>
      </c>
      <c r="T2148">
        <v>0</v>
      </c>
      <c r="U2148" t="s">
        <v>6118</v>
      </c>
      <c r="V2148">
        <v>15.31</v>
      </c>
      <c r="W2148" t="s">
        <v>8304</v>
      </c>
      <c r="X2148" t="s">
        <v>968</v>
      </c>
      <c r="Y2148">
        <v>121</v>
      </c>
      <c r="Z2148">
        <v>-413</v>
      </c>
    </row>
    <row r="2149" spans="1:28">
      <c r="A2149" s="2">
        <f>HYPERLINK("https://finance.naver.com/item/coinfo.nhn?code=141080", "A141080")</f>
        <v>0</v>
      </c>
      <c r="B2149">
        <f>HYPERLINK("http://comp.fnguide.com/SVO2/ASP/SVD_Consensus.asp?pGB=1&amp;gicode=A141080&amp;cID=&amp;MenuYn=Y&amp;ReportGB=&amp;NewMenuID=108&amp;stkGb=701", "레고켐바이오")</f>
        <v>0</v>
      </c>
      <c r="C2149">
        <v>0</v>
      </c>
      <c r="D2149">
        <v>61000</v>
      </c>
      <c r="E2149">
        <v>0</v>
      </c>
      <c r="F2149">
        <v>46.7</v>
      </c>
      <c r="G2149">
        <v>3798</v>
      </c>
      <c r="H2149">
        <v>4400</v>
      </c>
      <c r="I2149">
        <v>4572</v>
      </c>
      <c r="J2149">
        <v>93.77</v>
      </c>
      <c r="K2149">
        <v>92.79000000000001</v>
      </c>
      <c r="L2149">
        <v>92.5</v>
      </c>
      <c r="M2149">
        <v>6.3</v>
      </c>
      <c r="N2149" t="b">
        <v>0</v>
      </c>
      <c r="O2149">
        <v>566</v>
      </c>
      <c r="P2149" t="s">
        <v>2145</v>
      </c>
      <c r="Q2149" t="s">
        <v>2276</v>
      </c>
      <c r="R2149">
        <v>0</v>
      </c>
      <c r="S2149">
        <v>14447</v>
      </c>
      <c r="T2149">
        <v>1095195</v>
      </c>
      <c r="U2149" t="s">
        <v>6119</v>
      </c>
      <c r="V2149">
        <v>12.76</v>
      </c>
      <c r="W2149" t="s">
        <v>8305</v>
      </c>
      <c r="X2149" t="s">
        <v>10134</v>
      </c>
      <c r="Y2149">
        <v>575</v>
      </c>
      <c r="Z2149">
        <v>84</v>
      </c>
    </row>
    <row r="2150" spans="1:28">
      <c r="A2150" s="2">
        <f>HYPERLINK("https://finance.naver.com/item/coinfo.nhn?code=217500", "A217500")</f>
        <v>0</v>
      </c>
      <c r="B2150">
        <f>HYPERLINK("http://comp.fnguide.com/SVO2/ASP/SVD_Consensus.asp?pGB=1&amp;gicode=A217500&amp;cID=&amp;MenuYn=Y&amp;ReportGB=&amp;NewMenuID=108&amp;stkGb=701", "러셀")</f>
        <v>0</v>
      </c>
      <c r="C2150">
        <v>0</v>
      </c>
      <c r="D2150">
        <v>3130</v>
      </c>
      <c r="E2150">
        <v>0.34</v>
      </c>
      <c r="F2150">
        <v>14.85</v>
      </c>
      <c r="G2150">
        <v>2156</v>
      </c>
      <c r="H2150">
        <v>1693</v>
      </c>
      <c r="I2150">
        <v>1561</v>
      </c>
      <c r="J2150">
        <v>31.11</v>
      </c>
      <c r="K2150">
        <v>45.9</v>
      </c>
      <c r="L2150">
        <v>50.11</v>
      </c>
      <c r="M2150">
        <v>12.4</v>
      </c>
      <c r="N2150" t="b">
        <v>1</v>
      </c>
      <c r="O2150">
        <v>132</v>
      </c>
      <c r="P2150" t="s">
        <v>2146</v>
      </c>
      <c r="Q2150" t="s">
        <v>3910</v>
      </c>
      <c r="R2150">
        <v>43.82129387663565</v>
      </c>
      <c r="S2150">
        <v>996</v>
      </c>
      <c r="T2150">
        <v>2900671</v>
      </c>
      <c r="U2150" t="s">
        <v>6120</v>
      </c>
      <c r="V2150">
        <v>50.25</v>
      </c>
      <c r="W2150" t="s">
        <v>8306</v>
      </c>
      <c r="X2150" t="s">
        <v>10135</v>
      </c>
      <c r="Y2150">
        <v>410</v>
      </c>
      <c r="Z2150">
        <v>49</v>
      </c>
      <c r="AA2150">
        <v>2804126</v>
      </c>
      <c r="AB2150">
        <v>1.27</v>
      </c>
    </row>
    <row r="2151" spans="1:28">
      <c r="A2151" s="2">
        <f>HYPERLINK("https://finance.naver.com/item/coinfo.nhn?code=084650", "A084650")</f>
        <v>0</v>
      </c>
      <c r="B2151">
        <f>HYPERLINK("http://comp.fnguide.com/SVO2/ASP/SVD_Consensus.asp?pGB=1&amp;gicode=A084650&amp;cID=&amp;MenuYn=Y&amp;ReportGB=&amp;NewMenuID=108&amp;stkGb=701", "랩지노믹스")</f>
        <v>0</v>
      </c>
      <c r="C2151">
        <v>0</v>
      </c>
      <c r="D2151">
        <v>20750</v>
      </c>
      <c r="E2151">
        <v>0.16</v>
      </c>
      <c r="F2151">
        <v>55.01</v>
      </c>
      <c r="G2151">
        <v>536</v>
      </c>
      <c r="H2151">
        <v>1830</v>
      </c>
      <c r="I2151">
        <v>2198</v>
      </c>
      <c r="J2151">
        <v>97.41</v>
      </c>
      <c r="K2151">
        <v>91.18000000000001</v>
      </c>
      <c r="L2151">
        <v>89.41</v>
      </c>
      <c r="M2151">
        <v>1.59</v>
      </c>
      <c r="N2151" t="b">
        <v>0</v>
      </c>
      <c r="O2151">
        <v>94</v>
      </c>
      <c r="P2151" t="s">
        <v>2147</v>
      </c>
      <c r="Q2151" t="s">
        <v>3911</v>
      </c>
      <c r="R2151">
        <v>337.7041238096804</v>
      </c>
      <c r="S2151">
        <v>2372</v>
      </c>
      <c r="T2151">
        <v>529791</v>
      </c>
      <c r="U2151" t="s">
        <v>6121</v>
      </c>
      <c r="V2151">
        <v>12.59</v>
      </c>
      <c r="W2151" t="s">
        <v>8307</v>
      </c>
      <c r="X2151" t="s">
        <v>10136</v>
      </c>
      <c r="Y2151">
        <v>332</v>
      </c>
      <c r="Z2151">
        <v>11</v>
      </c>
      <c r="AA2151">
        <v>127972</v>
      </c>
    </row>
    <row r="2152" spans="1:28">
      <c r="A2152" s="2">
        <f>HYPERLINK("https://finance.naver.com/item/coinfo.nhn?code=171010", "A171010")</f>
        <v>0</v>
      </c>
      <c r="B2152">
        <f>HYPERLINK("http://comp.fnguide.com/SVO2/ASP/SVD_Consensus.asp?pGB=1&amp;gicode=A171010&amp;cID=&amp;MenuYn=Y&amp;ReportGB=&amp;NewMenuID=108&amp;stkGb=701", "램테크놀러지")</f>
        <v>0</v>
      </c>
      <c r="C2152">
        <v>0</v>
      </c>
      <c r="D2152">
        <v>6930</v>
      </c>
      <c r="E2152">
        <v>2.26</v>
      </c>
      <c r="F2152">
        <v>28.05</v>
      </c>
      <c r="G2152">
        <v>3633</v>
      </c>
      <c r="H2152">
        <v>3293</v>
      </c>
      <c r="I2152">
        <v>3196</v>
      </c>
      <c r="J2152">
        <v>47.57</v>
      </c>
      <c r="K2152">
        <v>52.48</v>
      </c>
      <c r="L2152">
        <v>53.88</v>
      </c>
      <c r="M2152">
        <v>9.44</v>
      </c>
      <c r="N2152" t="b">
        <v>1</v>
      </c>
      <c r="O2152">
        <v>273</v>
      </c>
      <c r="P2152" t="s">
        <v>2148</v>
      </c>
      <c r="Q2152" t="s">
        <v>3912</v>
      </c>
      <c r="R2152">
        <v>12.39444424019449</v>
      </c>
      <c r="S2152">
        <v>804</v>
      </c>
      <c r="T2152">
        <v>296058</v>
      </c>
      <c r="U2152" t="s">
        <v>6122</v>
      </c>
      <c r="V2152">
        <v>40.55</v>
      </c>
      <c r="W2152" t="s">
        <v>8308</v>
      </c>
      <c r="X2152" t="s">
        <v>10137</v>
      </c>
      <c r="Y2152">
        <v>434</v>
      </c>
      <c r="Z2152">
        <v>45</v>
      </c>
    </row>
    <row r="2153" spans="1:28">
      <c r="A2153" s="2">
        <f>HYPERLINK("https://finance.naver.com/item/coinfo.nhn?code=214260", "A214260")</f>
        <v>0</v>
      </c>
      <c r="B2153">
        <f>HYPERLINK("http://comp.fnguide.com/SVO2/ASP/SVD_Consensus.asp?pGB=1&amp;gicode=A214260&amp;cID=&amp;MenuYn=Y&amp;ReportGB=&amp;NewMenuID=108&amp;stkGb=701", "라파스")</f>
        <v>0</v>
      </c>
      <c r="C2153">
        <v>0</v>
      </c>
      <c r="D2153">
        <v>24100</v>
      </c>
      <c r="E2153">
        <v>-10.97</v>
      </c>
      <c r="F2153">
        <v>1046.55</v>
      </c>
      <c r="G2153">
        <v>132</v>
      </c>
      <c r="H2153">
        <v>3465</v>
      </c>
      <c r="I2153">
        <v>4415</v>
      </c>
      <c r="J2153">
        <v>99.45</v>
      </c>
      <c r="K2153">
        <v>85.62</v>
      </c>
      <c r="L2153">
        <v>81.68000000000001</v>
      </c>
      <c r="M2153">
        <v>0.18</v>
      </c>
      <c r="N2153" t="b">
        <v>0</v>
      </c>
      <c r="O2153">
        <v>18</v>
      </c>
      <c r="P2153" t="s">
        <v>2149</v>
      </c>
      <c r="Q2153" t="s">
        <v>3913</v>
      </c>
      <c r="R2153">
        <v>-95.40000000000001</v>
      </c>
      <c r="S2153">
        <v>2028</v>
      </c>
      <c r="T2153">
        <v>278442</v>
      </c>
      <c r="U2153" t="s">
        <v>6123</v>
      </c>
      <c r="V2153">
        <v>26.77</v>
      </c>
      <c r="W2153" t="s">
        <v>8309</v>
      </c>
      <c r="X2153" t="s">
        <v>10138</v>
      </c>
      <c r="Y2153">
        <v>182</v>
      </c>
      <c r="Z2153">
        <v>-4</v>
      </c>
    </row>
    <row r="2154" spans="1:28">
      <c r="A2154" s="2">
        <f>HYPERLINK("https://finance.naver.com/item/coinfo.nhn?code=069540", "A069540")</f>
        <v>0</v>
      </c>
      <c r="B2154">
        <f>HYPERLINK("http://comp.fnguide.com/SVO2/ASP/SVD_Consensus.asp?pGB=1&amp;gicode=A069540&amp;cID=&amp;MenuYn=Y&amp;ReportGB=&amp;NewMenuID=108&amp;stkGb=701", "라이트론")</f>
        <v>0</v>
      </c>
      <c r="C2154">
        <v>0</v>
      </c>
      <c r="D2154">
        <v>5420</v>
      </c>
      <c r="E2154">
        <v>0</v>
      </c>
      <c r="F2154">
        <v>21.49</v>
      </c>
      <c r="G2154">
        <v>1332</v>
      </c>
      <c r="H2154">
        <v>1837</v>
      </c>
      <c r="I2154">
        <v>1981</v>
      </c>
      <c r="J2154">
        <v>75.42</v>
      </c>
      <c r="K2154">
        <v>66.09999999999999</v>
      </c>
      <c r="L2154">
        <v>63.44</v>
      </c>
      <c r="M2154">
        <v>4.88</v>
      </c>
      <c r="N2154" t="b">
        <v>1</v>
      </c>
      <c r="O2154">
        <v>252</v>
      </c>
      <c r="P2154" t="s">
        <v>2150</v>
      </c>
      <c r="Q2154" t="s">
        <v>2276</v>
      </c>
      <c r="R2154">
        <v>0</v>
      </c>
      <c r="S2154">
        <v>1005</v>
      </c>
      <c r="T2154">
        <v>0</v>
      </c>
      <c r="U2154" t="s">
        <v>6124</v>
      </c>
      <c r="V2154">
        <v>15.14</v>
      </c>
      <c r="W2154" t="s">
        <v>8310</v>
      </c>
      <c r="X2154" t="s">
        <v>9450</v>
      </c>
      <c r="Y2154">
        <v>1128</v>
      </c>
      <c r="Z2154">
        <v>257</v>
      </c>
      <c r="AA2154">
        <v>1101095</v>
      </c>
    </row>
    <row r="2155" spans="1:28">
      <c r="A2155" s="2">
        <f>HYPERLINK("https://finance.naver.com/item/coinfo.nhn?code=171120", "A171120")</f>
        <v>0</v>
      </c>
      <c r="B2155">
        <f>HYPERLINK("http://comp.fnguide.com/SVO2/ASP/SVD_Consensus.asp?pGB=1&amp;gicode=A171120&amp;cID=&amp;MenuYn=Y&amp;ReportGB=&amp;NewMenuID=108&amp;stkGb=701", "라이온켐텍")</f>
        <v>0</v>
      </c>
      <c r="C2155">
        <v>0</v>
      </c>
      <c r="D2155">
        <v>7700</v>
      </c>
      <c r="E2155">
        <v>-2.38</v>
      </c>
      <c r="F2155">
        <v>13.68</v>
      </c>
      <c r="G2155">
        <v>4765</v>
      </c>
      <c r="H2155">
        <v>5550</v>
      </c>
      <c r="I2155">
        <v>5774</v>
      </c>
      <c r="J2155">
        <v>38.11</v>
      </c>
      <c r="K2155">
        <v>27.92</v>
      </c>
      <c r="L2155">
        <v>25.01</v>
      </c>
      <c r="M2155">
        <v>6.25</v>
      </c>
      <c r="N2155" t="b">
        <v>1</v>
      </c>
      <c r="O2155">
        <v>567</v>
      </c>
      <c r="P2155" t="s">
        <v>2151</v>
      </c>
      <c r="Q2155" t="s">
        <v>3914</v>
      </c>
      <c r="R2155">
        <v>-5.759414588277645</v>
      </c>
      <c r="S2155">
        <v>1455</v>
      </c>
      <c r="T2155">
        <v>35169</v>
      </c>
      <c r="U2155" t="s">
        <v>6125</v>
      </c>
      <c r="V2155">
        <v>67.78</v>
      </c>
      <c r="W2155" t="s">
        <v>8311</v>
      </c>
      <c r="X2155" t="s">
        <v>10139</v>
      </c>
      <c r="Y2155">
        <v>1561</v>
      </c>
      <c r="Z2155">
        <v>115</v>
      </c>
      <c r="AA2155">
        <v>941751</v>
      </c>
      <c r="AB2155">
        <v>1.88</v>
      </c>
    </row>
    <row r="2156" spans="1:28">
      <c r="A2156" s="2">
        <f>HYPERLINK("https://finance.naver.com/item/coinfo.nhn?code=050120", "A050120")</f>
        <v>0</v>
      </c>
      <c r="B2156">
        <f>HYPERLINK("http://comp.fnguide.com/SVO2/ASP/SVD_Consensus.asp?pGB=1&amp;gicode=A050120&amp;cID=&amp;MenuYn=Y&amp;ReportGB=&amp;NewMenuID=108&amp;stkGb=701", "라이브플렉스")</f>
        <v>0</v>
      </c>
      <c r="C2156">
        <v>0</v>
      </c>
      <c r="D2156">
        <v>588</v>
      </c>
      <c r="G2156">
        <v>21</v>
      </c>
      <c r="H2156">
        <v>257</v>
      </c>
      <c r="I2156">
        <v>324</v>
      </c>
      <c r="J2156">
        <v>96.45999999999999</v>
      </c>
      <c r="K2156">
        <v>56.33</v>
      </c>
      <c r="L2156">
        <v>44.89</v>
      </c>
      <c r="M2156">
        <v>0.4</v>
      </c>
      <c r="N2156" t="b">
        <v>0</v>
      </c>
      <c r="O2156">
        <v>-159</v>
      </c>
      <c r="P2156" t="s">
        <v>2152</v>
      </c>
      <c r="Q2156" t="s">
        <v>3915</v>
      </c>
      <c r="R2156">
        <v>51.82740200635716</v>
      </c>
      <c r="S2156">
        <v>798</v>
      </c>
      <c r="T2156">
        <v>933639</v>
      </c>
      <c r="U2156" t="s">
        <v>6126</v>
      </c>
      <c r="V2156">
        <v>13.23</v>
      </c>
      <c r="W2156" t="s">
        <v>8312</v>
      </c>
      <c r="X2156" t="s">
        <v>10140</v>
      </c>
      <c r="Y2156">
        <v>437</v>
      </c>
      <c r="Z2156">
        <v>-26</v>
      </c>
      <c r="AA2156">
        <v>1674925</v>
      </c>
    </row>
    <row r="2157" spans="1:28">
      <c r="A2157" s="2">
        <f>HYPERLINK("https://finance.naver.com/item/coinfo.nhn?code=300120", "A300120")</f>
        <v>0</v>
      </c>
      <c r="B2157">
        <f>HYPERLINK("http://comp.fnguide.com/SVO2/ASP/SVD_Consensus.asp?pGB=1&amp;gicode=A300120&amp;cID=&amp;MenuYn=Y&amp;ReportGB=&amp;NewMenuID=108&amp;stkGb=701", "라온피플")</f>
        <v>0</v>
      </c>
      <c r="C2157">
        <v>0</v>
      </c>
      <c r="D2157">
        <v>20400</v>
      </c>
      <c r="E2157">
        <v>0</v>
      </c>
      <c r="F2157">
        <v>18.85</v>
      </c>
      <c r="G2157">
        <v>14018</v>
      </c>
      <c r="H2157">
        <v>9190</v>
      </c>
      <c r="I2157">
        <v>7814</v>
      </c>
      <c r="J2157">
        <v>31.29</v>
      </c>
      <c r="K2157">
        <v>54.95</v>
      </c>
      <c r="L2157">
        <v>61.7</v>
      </c>
      <c r="M2157">
        <v>18.68</v>
      </c>
      <c r="N2157" t="b">
        <v>1</v>
      </c>
      <c r="O2157">
        <v>987</v>
      </c>
      <c r="P2157" t="s">
        <v>2153</v>
      </c>
      <c r="Q2157" t="s">
        <v>3916</v>
      </c>
      <c r="R2157">
        <v>0</v>
      </c>
      <c r="S2157">
        <v>2141</v>
      </c>
      <c r="T2157">
        <v>48893</v>
      </c>
      <c r="U2157" t="s">
        <v>6127</v>
      </c>
      <c r="V2157">
        <v>44.42</v>
      </c>
      <c r="W2157" t="s">
        <v>8313</v>
      </c>
      <c r="X2157" t="s">
        <v>10141</v>
      </c>
      <c r="Y2157">
        <v>308</v>
      </c>
      <c r="Z2157">
        <v>82</v>
      </c>
      <c r="AB2157">
        <v>0.8100000000000001</v>
      </c>
    </row>
    <row r="2158" spans="1:28">
      <c r="A2158" s="2">
        <f>HYPERLINK("https://finance.naver.com/item/coinfo.nhn?code=042510", "A042510")</f>
        <v>0</v>
      </c>
      <c r="B2158">
        <f>HYPERLINK("http://comp.fnguide.com/SVO2/ASP/SVD_Consensus.asp?pGB=1&amp;gicode=A042510&amp;cID=&amp;MenuYn=Y&amp;ReportGB=&amp;NewMenuID=108&amp;stkGb=701", "라온시큐어")</f>
        <v>0</v>
      </c>
      <c r="C2158">
        <v>0</v>
      </c>
      <c r="D2158">
        <v>3825</v>
      </c>
      <c r="E2158">
        <v>1.33</v>
      </c>
      <c r="F2158">
        <v>42.59</v>
      </c>
      <c r="G2158">
        <v>1240</v>
      </c>
      <c r="H2158">
        <v>864</v>
      </c>
      <c r="I2158">
        <v>757</v>
      </c>
      <c r="J2158">
        <v>67.58</v>
      </c>
      <c r="K2158">
        <v>77.40000000000001</v>
      </c>
      <c r="L2158">
        <v>80.2</v>
      </c>
      <c r="M2158">
        <v>16.07</v>
      </c>
      <c r="N2158" t="b">
        <v>0</v>
      </c>
      <c r="O2158">
        <v>66</v>
      </c>
      <c r="P2158" t="s">
        <v>2154</v>
      </c>
      <c r="Q2158" t="s">
        <v>3917</v>
      </c>
      <c r="R2158">
        <v>31.95480715775158</v>
      </c>
      <c r="S2158">
        <v>1279</v>
      </c>
      <c r="T2158">
        <v>1846092</v>
      </c>
      <c r="U2158" t="s">
        <v>6128</v>
      </c>
      <c r="V2158">
        <v>21.17</v>
      </c>
      <c r="W2158" t="s">
        <v>8314</v>
      </c>
      <c r="X2158" t="s">
        <v>10142</v>
      </c>
      <c r="Y2158">
        <v>304</v>
      </c>
      <c r="Z2158">
        <v>21</v>
      </c>
    </row>
    <row r="2159" spans="1:28">
      <c r="A2159" s="2">
        <f>HYPERLINK("https://finance.naver.com/item/coinfo.nhn?code=317120", "A317120")</f>
        <v>0</v>
      </c>
      <c r="B2159">
        <f>HYPERLINK("http://comp.fnguide.com/SVO2/ASP/SVD_Consensus.asp?pGB=1&amp;gicode=A317120&amp;cID=&amp;MenuYn=Y&amp;ReportGB=&amp;NewMenuID=108&amp;stkGb=701", "라닉스")</f>
        <v>0</v>
      </c>
      <c r="C2159">
        <v>0</v>
      </c>
      <c r="D2159">
        <v>10400</v>
      </c>
      <c r="E2159">
        <v>0</v>
      </c>
      <c r="G2159">
        <v>1211</v>
      </c>
      <c r="H2159">
        <v>1592</v>
      </c>
      <c r="I2159">
        <v>1700</v>
      </c>
      <c r="J2159">
        <v>88.34999999999999</v>
      </c>
      <c r="K2159">
        <v>84.69</v>
      </c>
      <c r="L2159">
        <v>83.65000000000001</v>
      </c>
      <c r="M2159">
        <v>5.23</v>
      </c>
      <c r="N2159" t="b">
        <v>0</v>
      </c>
      <c r="O2159">
        <v>-16</v>
      </c>
      <c r="P2159" t="s">
        <v>2155</v>
      </c>
      <c r="Q2159" t="s">
        <v>3918</v>
      </c>
      <c r="R2159">
        <v>0</v>
      </c>
      <c r="S2159">
        <v>998</v>
      </c>
      <c r="T2159">
        <v>370495</v>
      </c>
      <c r="U2159" t="s">
        <v>6129</v>
      </c>
      <c r="V2159">
        <v>28.6</v>
      </c>
      <c r="W2159" t="s">
        <v>8315</v>
      </c>
      <c r="X2159" t="s">
        <v>968</v>
      </c>
      <c r="Y2159">
        <v>90</v>
      </c>
      <c r="Z2159">
        <v>0</v>
      </c>
    </row>
    <row r="2160" spans="1:28">
      <c r="A2160" s="2">
        <f>HYPERLINK("https://finance.naver.com/item/coinfo.nhn?code=187220", "A187220")</f>
        <v>0</v>
      </c>
      <c r="B2160">
        <f>HYPERLINK("http://comp.fnguide.com/SVO2/ASP/SVD_Consensus.asp?pGB=1&amp;gicode=A187220&amp;cID=&amp;MenuYn=Y&amp;ReportGB=&amp;NewMenuID=108&amp;stkGb=701", "디티앤씨")</f>
        <v>0</v>
      </c>
      <c r="C2160">
        <v>0</v>
      </c>
      <c r="D2160">
        <v>6950</v>
      </c>
      <c r="G2160">
        <v>1517</v>
      </c>
      <c r="H2160">
        <v>5327</v>
      </c>
      <c r="I2160">
        <v>6413</v>
      </c>
      <c r="J2160">
        <v>78.18000000000001</v>
      </c>
      <c r="K2160">
        <v>23.35</v>
      </c>
      <c r="L2160">
        <v>7.73</v>
      </c>
      <c r="M2160">
        <v>1.54</v>
      </c>
      <c r="N2160" t="b">
        <v>0</v>
      </c>
      <c r="O2160">
        <v>-331</v>
      </c>
      <c r="P2160" t="s">
        <v>2156</v>
      </c>
      <c r="Q2160" t="s">
        <v>3919</v>
      </c>
      <c r="R2160">
        <v>-25.73132558276998</v>
      </c>
      <c r="S2160">
        <v>761</v>
      </c>
      <c r="T2160">
        <v>31006</v>
      </c>
      <c r="U2160" t="s">
        <v>6130</v>
      </c>
      <c r="V2160">
        <v>41.2</v>
      </c>
      <c r="W2160" t="s">
        <v>8316</v>
      </c>
      <c r="X2160" t="s">
        <v>10143</v>
      </c>
      <c r="Y2160">
        <v>738</v>
      </c>
      <c r="Z2160">
        <v>4</v>
      </c>
      <c r="AA2160">
        <v>173088</v>
      </c>
    </row>
    <row r="2161" spans="1:28">
      <c r="A2161" s="2">
        <f>HYPERLINK("https://finance.naver.com/item/coinfo.nhn?code=263020", "A263020")</f>
        <v>0</v>
      </c>
      <c r="B2161">
        <f>HYPERLINK("http://comp.fnguide.com/SVO2/ASP/SVD_Consensus.asp?pGB=1&amp;gicode=A263020&amp;cID=&amp;MenuYn=Y&amp;ReportGB=&amp;NewMenuID=108&amp;stkGb=701", "디케이앤디")</f>
        <v>0</v>
      </c>
      <c r="C2161">
        <v>0</v>
      </c>
      <c r="D2161">
        <v>10400</v>
      </c>
      <c r="E2161">
        <v>0.41</v>
      </c>
      <c r="F2161">
        <v>15.88</v>
      </c>
      <c r="G2161">
        <v>5604</v>
      </c>
      <c r="H2161">
        <v>6323</v>
      </c>
      <c r="I2161">
        <v>6528</v>
      </c>
      <c r="J2161">
        <v>46.12</v>
      </c>
      <c r="K2161">
        <v>39.2</v>
      </c>
      <c r="L2161">
        <v>37.23</v>
      </c>
      <c r="M2161">
        <v>6.57</v>
      </c>
      <c r="N2161" t="b">
        <v>1</v>
      </c>
      <c r="O2161">
        <v>365</v>
      </c>
      <c r="P2161" t="s">
        <v>2157</v>
      </c>
      <c r="Q2161" t="s">
        <v>3920</v>
      </c>
      <c r="R2161">
        <v>38.78182359075806</v>
      </c>
      <c r="S2161">
        <v>807</v>
      </c>
      <c r="T2161">
        <v>171182</v>
      </c>
      <c r="U2161" t="s">
        <v>6131</v>
      </c>
      <c r="V2161">
        <v>30.56</v>
      </c>
      <c r="W2161" t="s">
        <v>8317</v>
      </c>
      <c r="X2161" t="s">
        <v>10144</v>
      </c>
      <c r="Y2161">
        <v>598</v>
      </c>
      <c r="Z2161">
        <v>30</v>
      </c>
      <c r="AA2161">
        <v>191000</v>
      </c>
    </row>
    <row r="2162" spans="1:28">
      <c r="A2162" s="2">
        <f>HYPERLINK("https://finance.naver.com/item/coinfo.nhn?code=105740", "A105740")</f>
        <v>0</v>
      </c>
      <c r="B2162">
        <f>HYPERLINK("http://comp.fnguide.com/SVO2/ASP/SVD_Consensus.asp?pGB=1&amp;gicode=A105740&amp;cID=&amp;MenuYn=Y&amp;ReportGB=&amp;NewMenuID=108&amp;stkGb=701", "디케이락")</f>
        <v>0</v>
      </c>
      <c r="C2162">
        <v>0</v>
      </c>
      <c r="D2162">
        <v>13300</v>
      </c>
      <c r="E2162">
        <v>-3.25</v>
      </c>
      <c r="F2162">
        <v>9.34</v>
      </c>
      <c r="G2162">
        <v>9927</v>
      </c>
      <c r="H2162">
        <v>10568</v>
      </c>
      <c r="I2162">
        <v>10751</v>
      </c>
      <c r="J2162">
        <v>25.36</v>
      </c>
      <c r="K2162">
        <v>20.54</v>
      </c>
      <c r="L2162">
        <v>19.17</v>
      </c>
      <c r="M2162">
        <v>7.2</v>
      </c>
      <c r="N2162" t="b">
        <v>1</v>
      </c>
      <c r="O2162">
        <v>1028</v>
      </c>
      <c r="P2162" t="s">
        <v>2158</v>
      </c>
      <c r="Q2162" t="s">
        <v>3921</v>
      </c>
      <c r="R2162">
        <v>-2.872277890642527</v>
      </c>
      <c r="S2162">
        <v>1124</v>
      </c>
      <c r="T2162">
        <v>190246</v>
      </c>
      <c r="U2162" t="s">
        <v>6132</v>
      </c>
      <c r="V2162">
        <v>39.32</v>
      </c>
      <c r="W2162" t="s">
        <v>8318</v>
      </c>
      <c r="X2162" t="s">
        <v>10145</v>
      </c>
      <c r="Y2162">
        <v>744</v>
      </c>
      <c r="Z2162">
        <v>98</v>
      </c>
      <c r="AB2162">
        <v>2.08</v>
      </c>
    </row>
    <row r="2163" spans="1:28">
      <c r="A2163" s="2">
        <f>HYPERLINK("https://finance.naver.com/item/coinfo.nhn?code=067730", "A067730")</f>
        <v>0</v>
      </c>
      <c r="B2163">
        <f>HYPERLINK("http://comp.fnguide.com/SVO2/ASP/SVD_Consensus.asp?pGB=1&amp;gicode=A067730&amp;cID=&amp;MenuYn=Y&amp;ReportGB=&amp;NewMenuID=108&amp;stkGb=701", "로지시스")</f>
        <v>0</v>
      </c>
      <c r="C2163">
        <v>0</v>
      </c>
      <c r="D2163">
        <v>5190</v>
      </c>
      <c r="G2163">
        <v>459</v>
      </c>
      <c r="H2163">
        <v>1193</v>
      </c>
      <c r="I2163">
        <v>1402</v>
      </c>
      <c r="J2163">
        <v>91.16</v>
      </c>
      <c r="K2163">
        <v>77.01000000000001</v>
      </c>
      <c r="L2163">
        <v>72.98</v>
      </c>
      <c r="M2163">
        <v>2.18</v>
      </c>
      <c r="N2163" t="b">
        <v>0</v>
      </c>
      <c r="O2163">
        <v>-106</v>
      </c>
      <c r="P2163" t="s">
        <v>2159</v>
      </c>
      <c r="Q2163" t="s">
        <v>3922</v>
      </c>
      <c r="R2163">
        <v>2.238886452197697</v>
      </c>
      <c r="S2163">
        <v>485</v>
      </c>
      <c r="T2163">
        <v>76261</v>
      </c>
      <c r="U2163" t="s">
        <v>6133</v>
      </c>
      <c r="V2163">
        <v>64.47</v>
      </c>
      <c r="W2163" t="s">
        <v>8319</v>
      </c>
      <c r="X2163" t="s">
        <v>10146</v>
      </c>
      <c r="Y2163">
        <v>334</v>
      </c>
      <c r="Z2163">
        <v>4</v>
      </c>
      <c r="AB2163">
        <v>1.74</v>
      </c>
    </row>
    <row r="2164" spans="1:28">
      <c r="A2164" s="2">
        <f>HYPERLINK("https://finance.naver.com/item/coinfo.nhn?code=071280", "A071280")</f>
        <v>0</v>
      </c>
      <c r="B2164">
        <f>HYPERLINK("http://comp.fnguide.com/SVO2/ASP/SVD_Consensus.asp?pGB=1&amp;gicode=A071280&amp;cID=&amp;MenuYn=Y&amp;ReportGB=&amp;NewMenuID=108&amp;stkGb=701", "로체시스템즈")</f>
        <v>0</v>
      </c>
      <c r="C2164">
        <v>0</v>
      </c>
      <c r="D2164">
        <v>5720</v>
      </c>
      <c r="E2164">
        <v>0.45</v>
      </c>
      <c r="F2164">
        <v>68.89</v>
      </c>
      <c r="G2164">
        <v>1032</v>
      </c>
      <c r="H2164">
        <v>3046</v>
      </c>
      <c r="I2164">
        <v>3620</v>
      </c>
      <c r="J2164">
        <v>81.95</v>
      </c>
      <c r="K2164">
        <v>46.74</v>
      </c>
      <c r="L2164">
        <v>36.71</v>
      </c>
      <c r="M2164">
        <v>1.88</v>
      </c>
      <c r="N2164" t="b">
        <v>0</v>
      </c>
      <c r="O2164">
        <v>78</v>
      </c>
      <c r="P2164" t="s">
        <v>2160</v>
      </c>
      <c r="Q2164" t="s">
        <v>3923</v>
      </c>
      <c r="R2164">
        <v>154.5534890550993</v>
      </c>
      <c r="S2164">
        <v>875</v>
      </c>
      <c r="T2164">
        <v>358220</v>
      </c>
      <c r="U2164" t="s">
        <v>6134</v>
      </c>
      <c r="V2164">
        <v>43.64</v>
      </c>
      <c r="W2164" t="s">
        <v>8320</v>
      </c>
      <c r="X2164" t="s">
        <v>10147</v>
      </c>
      <c r="Y2164">
        <v>798</v>
      </c>
      <c r="Z2164">
        <v>43</v>
      </c>
      <c r="AA2164">
        <v>380534</v>
      </c>
    </row>
    <row r="2165" spans="1:28">
      <c r="A2165" s="2">
        <f>HYPERLINK("https://finance.naver.com/item/coinfo.nhn?code=038060", "A038060")</f>
        <v>0</v>
      </c>
      <c r="B2165">
        <f>HYPERLINK("http://comp.fnguide.com/SVO2/ASP/SVD_Consensus.asp?pGB=1&amp;gicode=A038060&amp;cID=&amp;MenuYn=Y&amp;ReportGB=&amp;NewMenuID=108&amp;stkGb=701", "루멘스")</f>
        <v>0</v>
      </c>
      <c r="C2165">
        <v>0</v>
      </c>
      <c r="D2165">
        <v>2775</v>
      </c>
      <c r="E2165">
        <v>0</v>
      </c>
      <c r="G2165">
        <v>77</v>
      </c>
      <c r="H2165">
        <v>1542</v>
      </c>
      <c r="I2165">
        <v>1959</v>
      </c>
      <c r="J2165">
        <v>97.20999999999999</v>
      </c>
      <c r="K2165">
        <v>44.43</v>
      </c>
      <c r="L2165">
        <v>29.39</v>
      </c>
      <c r="M2165">
        <v>0.24</v>
      </c>
      <c r="N2165" t="b">
        <v>0</v>
      </c>
      <c r="O2165">
        <v>-1310</v>
      </c>
      <c r="P2165" t="s">
        <v>2161</v>
      </c>
      <c r="Q2165" t="s">
        <v>2276</v>
      </c>
      <c r="R2165">
        <v>0</v>
      </c>
      <c r="S2165">
        <v>1324</v>
      </c>
      <c r="T2165">
        <v>841652</v>
      </c>
      <c r="U2165" t="s">
        <v>6135</v>
      </c>
      <c r="V2165">
        <v>16.15</v>
      </c>
      <c r="W2165" t="s">
        <v>8321</v>
      </c>
      <c r="X2165" t="s">
        <v>10148</v>
      </c>
      <c r="Y2165">
        <v>3236</v>
      </c>
      <c r="Z2165">
        <v>-392</v>
      </c>
      <c r="AA2165">
        <v>1083122</v>
      </c>
    </row>
    <row r="2166" spans="1:28">
      <c r="A2166" s="2">
        <f>HYPERLINK("https://finance.naver.com/item/coinfo.nhn?code=305090", "A305090")</f>
        <v>0</v>
      </c>
      <c r="B2166">
        <f>HYPERLINK("http://comp.fnguide.com/SVO2/ASP/SVD_Consensus.asp?pGB=1&amp;gicode=A305090&amp;cID=&amp;MenuYn=Y&amp;ReportGB=&amp;NewMenuID=108&amp;stkGb=701", "마이크로디지탈")</f>
        <v>0</v>
      </c>
      <c r="C2166">
        <v>0</v>
      </c>
      <c r="D2166">
        <v>21150</v>
      </c>
      <c r="E2166">
        <v>0</v>
      </c>
      <c r="G2166">
        <v>0</v>
      </c>
      <c r="H2166">
        <v>1473</v>
      </c>
      <c r="I2166">
        <v>1892</v>
      </c>
      <c r="J2166">
        <v>100</v>
      </c>
      <c r="K2166">
        <v>93.04000000000001</v>
      </c>
      <c r="L2166">
        <v>91.05</v>
      </c>
      <c r="M2166">
        <v>0</v>
      </c>
      <c r="N2166" t="b">
        <v>0</v>
      </c>
      <c r="O2166">
        <v>-944</v>
      </c>
      <c r="P2166" t="s">
        <v>2162</v>
      </c>
      <c r="Q2166" t="s">
        <v>3152</v>
      </c>
      <c r="R2166">
        <v>0</v>
      </c>
      <c r="S2166">
        <v>1536</v>
      </c>
      <c r="T2166">
        <v>155966</v>
      </c>
      <c r="U2166" t="s">
        <v>6136</v>
      </c>
      <c r="V2166">
        <v>34.38</v>
      </c>
      <c r="W2166" t="s">
        <v>8322</v>
      </c>
      <c r="X2166" t="s">
        <v>968</v>
      </c>
      <c r="Y2166">
        <v>39</v>
      </c>
      <c r="Z2166">
        <v>-64</v>
      </c>
    </row>
    <row r="2167" spans="1:28">
      <c r="A2167" s="2">
        <f>HYPERLINK("https://finance.naver.com/item/coinfo.nhn?code=054180", "A054180")</f>
        <v>0</v>
      </c>
      <c r="B2167">
        <f>HYPERLINK("http://comp.fnguide.com/SVO2/ASP/SVD_Consensus.asp?pGB=1&amp;gicode=A054180&amp;cID=&amp;MenuYn=Y&amp;ReportGB=&amp;NewMenuID=108&amp;stkGb=701", "메디콕스")</f>
        <v>0</v>
      </c>
      <c r="C2167">
        <v>0</v>
      </c>
      <c r="D2167">
        <v>1625</v>
      </c>
      <c r="G2167">
        <v>0</v>
      </c>
      <c r="H2167">
        <v>291</v>
      </c>
      <c r="I2167">
        <v>374</v>
      </c>
      <c r="J2167">
        <v>100</v>
      </c>
      <c r="K2167">
        <v>82.09</v>
      </c>
      <c r="L2167">
        <v>76.98</v>
      </c>
      <c r="M2167">
        <v>0</v>
      </c>
      <c r="N2167" t="b">
        <v>0</v>
      </c>
      <c r="O2167">
        <v>-83</v>
      </c>
      <c r="P2167" t="s">
        <v>2163</v>
      </c>
      <c r="Q2167" t="s">
        <v>3924</v>
      </c>
      <c r="R2167">
        <v>-71.40000000000001</v>
      </c>
      <c r="S2167">
        <v>711</v>
      </c>
      <c r="T2167">
        <v>1577905</v>
      </c>
      <c r="U2167" t="s">
        <v>6137</v>
      </c>
      <c r="V2167">
        <v>11.11</v>
      </c>
      <c r="W2167" t="s">
        <v>8323</v>
      </c>
      <c r="X2167" t="s">
        <v>968</v>
      </c>
      <c r="Y2167">
        <v>252</v>
      </c>
      <c r="Z2167">
        <v>-5</v>
      </c>
      <c r="AA2167">
        <v>3698</v>
      </c>
    </row>
    <row r="2168" spans="1:28">
      <c r="A2168" s="2">
        <f>HYPERLINK("https://finance.naver.com/item/coinfo.nhn?code=041920", "A041920")</f>
        <v>0</v>
      </c>
      <c r="B2168">
        <f>HYPERLINK("http://comp.fnguide.com/SVO2/ASP/SVD_Consensus.asp?pGB=1&amp;gicode=A041920&amp;cID=&amp;MenuYn=Y&amp;ReportGB=&amp;NewMenuID=108&amp;stkGb=701", "메디아나")</f>
        <v>0</v>
      </c>
      <c r="C2168">
        <v>0</v>
      </c>
      <c r="D2168">
        <v>15600</v>
      </c>
      <c r="E2168">
        <v>0.91</v>
      </c>
      <c r="F2168">
        <v>10.49</v>
      </c>
      <c r="G2168">
        <v>8214</v>
      </c>
      <c r="H2168">
        <v>7264</v>
      </c>
      <c r="I2168">
        <v>6994</v>
      </c>
      <c r="J2168">
        <v>47.35</v>
      </c>
      <c r="K2168">
        <v>53.43</v>
      </c>
      <c r="L2168">
        <v>55.17</v>
      </c>
      <c r="M2168">
        <v>9.869999999999999</v>
      </c>
      <c r="N2168" t="b">
        <v>1</v>
      </c>
      <c r="O2168">
        <v>780</v>
      </c>
      <c r="P2168" t="s">
        <v>2164</v>
      </c>
      <c r="Q2168" t="s">
        <v>3925</v>
      </c>
      <c r="R2168">
        <v>11.57724870152697</v>
      </c>
      <c r="S2168">
        <v>1349</v>
      </c>
      <c r="T2168">
        <v>241541</v>
      </c>
      <c r="U2168" t="s">
        <v>6138</v>
      </c>
      <c r="V2168">
        <v>40.87</v>
      </c>
      <c r="W2168" t="s">
        <v>8324</v>
      </c>
      <c r="X2168" t="s">
        <v>10149</v>
      </c>
      <c r="Y2168">
        <v>484</v>
      </c>
      <c r="Z2168">
        <v>77</v>
      </c>
      <c r="AA2168">
        <v>73123</v>
      </c>
    </row>
    <row r="2169" spans="1:28">
      <c r="A2169" s="2">
        <f>HYPERLINK("https://finance.naver.com/item/coinfo.nhn?code=235980", "A235980")</f>
        <v>0</v>
      </c>
      <c r="B2169">
        <f>HYPERLINK("http://comp.fnguide.com/SVO2/ASP/SVD_Consensus.asp?pGB=1&amp;gicode=A235980&amp;cID=&amp;MenuYn=Y&amp;ReportGB=&amp;NewMenuID=108&amp;stkGb=701", "메드팩토")</f>
        <v>0</v>
      </c>
      <c r="C2169">
        <v>0</v>
      </c>
      <c r="D2169">
        <v>104000</v>
      </c>
      <c r="E2169">
        <v>0</v>
      </c>
      <c r="G2169">
        <v>0</v>
      </c>
      <c r="H2169">
        <v>2325</v>
      </c>
      <c r="I2169">
        <v>2988</v>
      </c>
      <c r="J2169">
        <v>100</v>
      </c>
      <c r="K2169">
        <v>97.76000000000001</v>
      </c>
      <c r="L2169">
        <v>97.13</v>
      </c>
      <c r="M2169">
        <v>0</v>
      </c>
      <c r="N2169" t="b">
        <v>0</v>
      </c>
      <c r="O2169">
        <v>-783</v>
      </c>
      <c r="P2169" t="s">
        <v>2165</v>
      </c>
      <c r="Q2169" t="s">
        <v>3291</v>
      </c>
      <c r="R2169">
        <v>0</v>
      </c>
      <c r="S2169">
        <v>21148</v>
      </c>
      <c r="T2169">
        <v>244284</v>
      </c>
      <c r="U2169" t="s">
        <v>6139</v>
      </c>
      <c r="V2169">
        <v>33.97</v>
      </c>
      <c r="W2169" t="s">
        <v>8325</v>
      </c>
      <c r="X2169" t="s">
        <v>968</v>
      </c>
      <c r="Y2169">
        <v>0</v>
      </c>
      <c r="Z2169">
        <v>-132</v>
      </c>
    </row>
    <row r="2170" spans="1:28">
      <c r="A2170" s="2">
        <f>HYPERLINK("https://finance.naver.com/item/coinfo.nhn?code=133750", "A133750")</f>
        <v>0</v>
      </c>
      <c r="B2170">
        <f>HYPERLINK("http://comp.fnguide.com/SVO2/ASP/SVD_Consensus.asp?pGB=1&amp;gicode=A133750&amp;cID=&amp;MenuYn=Y&amp;ReportGB=&amp;NewMenuID=108&amp;stkGb=701", "메가엠디")</f>
        <v>0</v>
      </c>
      <c r="C2170">
        <v>0</v>
      </c>
      <c r="D2170">
        <v>4410</v>
      </c>
      <c r="E2170">
        <v>-3.56</v>
      </c>
      <c r="F2170">
        <v>177.22</v>
      </c>
      <c r="G2170">
        <v>325</v>
      </c>
      <c r="H2170">
        <v>1692</v>
      </c>
      <c r="I2170">
        <v>2082</v>
      </c>
      <c r="J2170">
        <v>92.63</v>
      </c>
      <c r="K2170">
        <v>61.63</v>
      </c>
      <c r="L2170">
        <v>52.8</v>
      </c>
      <c r="M2170">
        <v>1</v>
      </c>
      <c r="N2170" t="b">
        <v>0</v>
      </c>
      <c r="O2170">
        <v>18</v>
      </c>
      <c r="P2170" t="s">
        <v>2166</v>
      </c>
      <c r="Q2170" t="s">
        <v>3926</v>
      </c>
      <c r="R2170">
        <v>-49.84517457972279</v>
      </c>
      <c r="S2170">
        <v>1032</v>
      </c>
      <c r="T2170">
        <v>6410798</v>
      </c>
      <c r="U2170" t="s">
        <v>6140</v>
      </c>
      <c r="V2170">
        <v>44.55</v>
      </c>
      <c r="W2170" t="s">
        <v>8326</v>
      </c>
      <c r="X2170" t="s">
        <v>10150</v>
      </c>
      <c r="Y2170">
        <v>804</v>
      </c>
      <c r="Z2170">
        <v>-8</v>
      </c>
      <c r="AA2170">
        <v>1332092</v>
      </c>
      <c r="AB2170">
        <v>1.54</v>
      </c>
    </row>
    <row r="2171" spans="1:28">
      <c r="A2171" s="2">
        <f>HYPERLINK("https://finance.naver.com/item/coinfo.nhn?code=100590", "A100590")</f>
        <v>0</v>
      </c>
      <c r="B2171">
        <f>HYPERLINK("http://comp.fnguide.com/SVO2/ASP/SVD_Consensus.asp?pGB=1&amp;gicode=A100590&amp;cID=&amp;MenuYn=Y&amp;ReportGB=&amp;NewMenuID=108&amp;stkGb=701", "머큐리")</f>
        <v>0</v>
      </c>
      <c r="C2171">
        <v>0</v>
      </c>
      <c r="D2171">
        <v>9600</v>
      </c>
      <c r="E2171">
        <v>39.15</v>
      </c>
      <c r="F2171">
        <v>55.14</v>
      </c>
      <c r="G2171">
        <v>7381</v>
      </c>
      <c r="H2171">
        <v>5836</v>
      </c>
      <c r="I2171">
        <v>5395</v>
      </c>
      <c r="J2171">
        <v>23.12</v>
      </c>
      <c r="K2171">
        <v>39.21</v>
      </c>
      <c r="L2171">
        <v>43.8</v>
      </c>
      <c r="M2171">
        <v>12.23</v>
      </c>
      <c r="N2171" t="b">
        <v>1</v>
      </c>
      <c r="O2171">
        <v>158</v>
      </c>
      <c r="P2171" t="s">
        <v>2167</v>
      </c>
      <c r="Q2171" t="s">
        <v>3927</v>
      </c>
      <c r="R2171">
        <v>1.408605886100944</v>
      </c>
      <c r="S2171">
        <v>1417</v>
      </c>
      <c r="T2171">
        <v>115154</v>
      </c>
      <c r="U2171" t="s">
        <v>6141</v>
      </c>
      <c r="V2171">
        <v>57.51</v>
      </c>
      <c r="W2171" t="s">
        <v>8327</v>
      </c>
      <c r="X2171" t="s">
        <v>10151</v>
      </c>
      <c r="Y2171">
        <v>1110</v>
      </c>
      <c r="Z2171">
        <v>21</v>
      </c>
    </row>
    <row r="2172" spans="1:28">
      <c r="A2172" s="2">
        <f>HYPERLINK("https://finance.naver.com/item/coinfo.nhn?code=141070", "A141070")</f>
        <v>0</v>
      </c>
      <c r="B2172">
        <f>HYPERLINK("http://comp.fnguide.com/SVO2/ASP/SVD_Consensus.asp?pGB=1&amp;gicode=A141070&amp;cID=&amp;MenuYn=Y&amp;ReportGB=&amp;NewMenuID=108&amp;stkGb=701", "맥스로텍")</f>
        <v>0</v>
      </c>
      <c r="C2172">
        <v>0</v>
      </c>
      <c r="D2172">
        <v>2720</v>
      </c>
      <c r="E2172">
        <v>0</v>
      </c>
      <c r="G2172">
        <v>186</v>
      </c>
      <c r="H2172">
        <v>547</v>
      </c>
      <c r="I2172">
        <v>650</v>
      </c>
      <c r="J2172">
        <v>93.15000000000001</v>
      </c>
      <c r="K2172">
        <v>79.88</v>
      </c>
      <c r="L2172">
        <v>76.09</v>
      </c>
      <c r="M2172">
        <v>1.89</v>
      </c>
      <c r="N2172" t="b">
        <v>0</v>
      </c>
      <c r="O2172">
        <v>-347</v>
      </c>
      <c r="P2172" t="s">
        <v>2168</v>
      </c>
      <c r="Q2172" t="s">
        <v>2276</v>
      </c>
      <c r="R2172">
        <v>0</v>
      </c>
      <c r="S2172">
        <v>974</v>
      </c>
      <c r="T2172">
        <v>8942088</v>
      </c>
      <c r="U2172" t="s">
        <v>6142</v>
      </c>
      <c r="V2172">
        <v>9.460000000000001</v>
      </c>
      <c r="W2172" t="s">
        <v>8328</v>
      </c>
      <c r="X2172" t="s">
        <v>10152</v>
      </c>
      <c r="Y2172">
        <v>373</v>
      </c>
      <c r="Z2172">
        <v>-85</v>
      </c>
    </row>
    <row r="2173" spans="1:28">
      <c r="A2173" s="2">
        <f>HYPERLINK("https://finance.naver.com/item/coinfo.nhn?code=038290", "A038290")</f>
        <v>0</v>
      </c>
      <c r="B2173">
        <f>HYPERLINK("http://comp.fnguide.com/SVO2/ASP/SVD_Consensus.asp?pGB=1&amp;gicode=A038290&amp;cID=&amp;MenuYn=Y&amp;ReportGB=&amp;NewMenuID=108&amp;stkGb=701", "마크로젠")</f>
        <v>0</v>
      </c>
      <c r="C2173">
        <v>0</v>
      </c>
      <c r="D2173">
        <v>26300</v>
      </c>
      <c r="G2173">
        <v>3807</v>
      </c>
      <c r="H2173">
        <v>8460</v>
      </c>
      <c r="I2173">
        <v>9786</v>
      </c>
      <c r="J2173">
        <v>85.52</v>
      </c>
      <c r="K2173">
        <v>67.83</v>
      </c>
      <c r="L2173">
        <v>62.79</v>
      </c>
      <c r="M2173">
        <v>2.63</v>
      </c>
      <c r="N2173" t="b">
        <v>0</v>
      </c>
      <c r="O2173">
        <v>-330</v>
      </c>
      <c r="P2173" t="s">
        <v>2169</v>
      </c>
      <c r="Q2173" t="s">
        <v>3928</v>
      </c>
      <c r="R2173">
        <v>-39.88707378329148</v>
      </c>
      <c r="S2173">
        <v>2796</v>
      </c>
      <c r="T2173">
        <v>135054</v>
      </c>
      <c r="U2173" t="s">
        <v>6143</v>
      </c>
      <c r="V2173">
        <v>10.28</v>
      </c>
      <c r="W2173" t="s">
        <v>8329</v>
      </c>
      <c r="X2173" t="s">
        <v>10153</v>
      </c>
      <c r="Y2173">
        <v>1223</v>
      </c>
      <c r="Z2173">
        <v>7</v>
      </c>
      <c r="AA2173">
        <v>823784</v>
      </c>
    </row>
    <row r="2174" spans="1:28">
      <c r="A2174" s="2">
        <f>HYPERLINK("https://finance.naver.com/item/coinfo.nhn?code=147760", "A147760")</f>
        <v>0</v>
      </c>
      <c r="B2174">
        <f>HYPERLINK("http://comp.fnguide.com/SVO2/ASP/SVD_Consensus.asp?pGB=1&amp;gicode=A147760&amp;cID=&amp;MenuYn=Y&amp;ReportGB=&amp;NewMenuID=108&amp;stkGb=701", "마이크로프랜드")</f>
        <v>0</v>
      </c>
      <c r="C2174">
        <v>0</v>
      </c>
      <c r="D2174">
        <v>6600</v>
      </c>
      <c r="G2174">
        <v>970</v>
      </c>
      <c r="H2174">
        <v>2669</v>
      </c>
      <c r="I2174">
        <v>3154</v>
      </c>
      <c r="J2174">
        <v>85.3</v>
      </c>
      <c r="K2174">
        <v>59.55</v>
      </c>
      <c r="L2174">
        <v>52.22</v>
      </c>
      <c r="M2174">
        <v>2.04</v>
      </c>
      <c r="N2174" t="b">
        <v>0</v>
      </c>
      <c r="O2174">
        <v>-429</v>
      </c>
      <c r="P2174" t="s">
        <v>2170</v>
      </c>
      <c r="Q2174" t="s">
        <v>3929</v>
      </c>
      <c r="R2174">
        <v>38.42543118950361</v>
      </c>
      <c r="S2174">
        <v>714</v>
      </c>
      <c r="T2174">
        <v>322564</v>
      </c>
      <c r="U2174" t="s">
        <v>6144</v>
      </c>
      <c r="V2174">
        <v>21.51</v>
      </c>
      <c r="W2174" t="s">
        <v>8330</v>
      </c>
      <c r="X2174" t="s">
        <v>10154</v>
      </c>
      <c r="Y2174">
        <v>367</v>
      </c>
      <c r="Z2174">
        <v>-28</v>
      </c>
    </row>
    <row r="2175" spans="1:28">
      <c r="A2175" s="2">
        <f>HYPERLINK("https://finance.naver.com/item/coinfo.nhn?code=098120", "A098120")</f>
        <v>0</v>
      </c>
      <c r="B2175">
        <f>HYPERLINK("http://comp.fnguide.com/SVO2/ASP/SVD_Consensus.asp?pGB=1&amp;gicode=A098120&amp;cID=&amp;MenuYn=Y&amp;ReportGB=&amp;NewMenuID=108&amp;stkGb=701", "마이크로컨텍솔")</f>
        <v>0</v>
      </c>
      <c r="C2175">
        <v>0</v>
      </c>
      <c r="D2175">
        <v>5600</v>
      </c>
      <c r="E2175">
        <v>0.12</v>
      </c>
      <c r="F2175">
        <v>45.95</v>
      </c>
      <c r="G2175">
        <v>671</v>
      </c>
      <c r="H2175">
        <v>2639</v>
      </c>
      <c r="I2175">
        <v>3199</v>
      </c>
      <c r="J2175">
        <v>88.02</v>
      </c>
      <c r="K2175">
        <v>52.88</v>
      </c>
      <c r="L2175">
        <v>42.87</v>
      </c>
      <c r="M2175">
        <v>1.35</v>
      </c>
      <c r="N2175" t="b">
        <v>1</v>
      </c>
      <c r="O2175">
        <v>106</v>
      </c>
      <c r="P2175" t="s">
        <v>2171</v>
      </c>
      <c r="Q2175" t="s">
        <v>3930</v>
      </c>
      <c r="R2175">
        <v>379.7</v>
      </c>
      <c r="S2175">
        <v>466</v>
      </c>
      <c r="T2175">
        <v>100406</v>
      </c>
      <c r="U2175" t="s">
        <v>6145</v>
      </c>
      <c r="V2175">
        <v>20.18</v>
      </c>
      <c r="W2175" t="s">
        <v>8331</v>
      </c>
      <c r="X2175" t="s">
        <v>10155</v>
      </c>
      <c r="Y2175">
        <v>344</v>
      </c>
      <c r="Z2175">
        <v>7</v>
      </c>
    </row>
    <row r="2176" spans="1:28">
      <c r="A2176" s="2">
        <f>HYPERLINK("https://finance.naver.com/item/coinfo.nhn?code=222810", "A222810")</f>
        <v>0</v>
      </c>
      <c r="B2176">
        <f>HYPERLINK("http://comp.fnguide.com/SVO2/ASP/SVD_Consensus.asp?pGB=1&amp;gicode=A222810&amp;cID=&amp;MenuYn=Y&amp;ReportGB=&amp;NewMenuID=108&amp;stkGb=701", "마이더스AI")</f>
        <v>0</v>
      </c>
      <c r="C2176">
        <v>0</v>
      </c>
      <c r="D2176">
        <v>729</v>
      </c>
      <c r="E2176">
        <v>0</v>
      </c>
      <c r="G2176">
        <v>0</v>
      </c>
      <c r="H2176">
        <v>20</v>
      </c>
      <c r="I2176">
        <v>26</v>
      </c>
      <c r="J2176">
        <v>100</v>
      </c>
      <c r="K2176">
        <v>97.23999999999999</v>
      </c>
      <c r="L2176">
        <v>96.45</v>
      </c>
      <c r="M2176">
        <v>0</v>
      </c>
      <c r="N2176" t="b">
        <v>0</v>
      </c>
      <c r="O2176">
        <v>-1561</v>
      </c>
      <c r="P2176" t="s">
        <v>2172</v>
      </c>
      <c r="Q2176" t="s">
        <v>2276</v>
      </c>
      <c r="R2176">
        <v>0</v>
      </c>
      <c r="S2176">
        <v>603</v>
      </c>
      <c r="T2176">
        <v>13768164</v>
      </c>
      <c r="U2176" t="s">
        <v>6146</v>
      </c>
      <c r="V2176">
        <v>15.46</v>
      </c>
      <c r="W2176" t="s">
        <v>8332</v>
      </c>
      <c r="X2176" t="s">
        <v>968</v>
      </c>
      <c r="Y2176">
        <v>130</v>
      </c>
      <c r="Z2176">
        <v>-61</v>
      </c>
      <c r="AA2176">
        <v>251120</v>
      </c>
    </row>
    <row r="2177" spans="1:28">
      <c r="A2177" s="2">
        <f>HYPERLINK("https://finance.naver.com/item/coinfo.nhn?code=085370", "A085370")</f>
        <v>0</v>
      </c>
      <c r="B2177">
        <f>HYPERLINK("http://comp.fnguide.com/SVO2/ASP/SVD_Consensus.asp?pGB=1&amp;gicode=A085370&amp;cID=&amp;MenuYn=Y&amp;ReportGB=&amp;NewMenuID=108&amp;stkGb=701", "루트로닉")</f>
        <v>0</v>
      </c>
      <c r="C2177">
        <v>0</v>
      </c>
      <c r="D2177">
        <v>10400</v>
      </c>
      <c r="G2177">
        <v>0</v>
      </c>
      <c r="H2177">
        <v>2814</v>
      </c>
      <c r="I2177">
        <v>3616</v>
      </c>
      <c r="J2177">
        <v>100</v>
      </c>
      <c r="K2177">
        <v>72.94</v>
      </c>
      <c r="L2177">
        <v>65.23</v>
      </c>
      <c r="M2177">
        <v>0</v>
      </c>
      <c r="N2177" t="b">
        <v>0</v>
      </c>
      <c r="O2177">
        <v>-433</v>
      </c>
      <c r="P2177" t="s">
        <v>2173</v>
      </c>
      <c r="Q2177" t="s">
        <v>3931</v>
      </c>
      <c r="R2177">
        <v>-7.999999999999996</v>
      </c>
      <c r="S2177">
        <v>2667</v>
      </c>
      <c r="T2177">
        <v>1091286</v>
      </c>
      <c r="U2177" t="s">
        <v>6147</v>
      </c>
      <c r="V2177">
        <v>22.33</v>
      </c>
      <c r="W2177" t="s">
        <v>8333</v>
      </c>
      <c r="X2177" t="s">
        <v>10156</v>
      </c>
      <c r="Y2177">
        <v>1157</v>
      </c>
      <c r="Z2177">
        <v>-85</v>
      </c>
      <c r="AA2177">
        <v>808100</v>
      </c>
      <c r="AB2177">
        <v>0</v>
      </c>
    </row>
    <row r="2178" spans="1:28">
      <c r="A2178" s="2">
        <f>HYPERLINK("https://finance.naver.com/item/coinfo.nhn?code=195500", "A195500")</f>
        <v>0</v>
      </c>
      <c r="B2178">
        <f>HYPERLINK("http://comp.fnguide.com/SVO2/ASP/SVD_Consensus.asp?pGB=1&amp;gicode=A195500&amp;cID=&amp;MenuYn=Y&amp;ReportGB=&amp;NewMenuID=108&amp;stkGb=701", "마니커에프앤지")</f>
        <v>0</v>
      </c>
      <c r="C2178">
        <v>0</v>
      </c>
      <c r="D2178">
        <v>8250</v>
      </c>
      <c r="E2178">
        <v>0.67</v>
      </c>
      <c r="F2178">
        <v>24.32</v>
      </c>
      <c r="G2178">
        <v>5320</v>
      </c>
      <c r="H2178">
        <v>4171</v>
      </c>
      <c r="I2178">
        <v>3844</v>
      </c>
      <c r="J2178">
        <v>35.52</v>
      </c>
      <c r="K2178">
        <v>49.44</v>
      </c>
      <c r="L2178">
        <v>53.41</v>
      </c>
      <c r="M2178">
        <v>12.44</v>
      </c>
      <c r="N2178" t="b">
        <v>1</v>
      </c>
      <c r="O2178">
        <v>337</v>
      </c>
      <c r="P2178" t="s">
        <v>2174</v>
      </c>
      <c r="Q2178" t="s">
        <v>3932</v>
      </c>
      <c r="R2178">
        <v>36.52760237125455</v>
      </c>
      <c r="S2178">
        <v>888</v>
      </c>
      <c r="T2178">
        <v>107611</v>
      </c>
      <c r="U2178" t="s">
        <v>6148</v>
      </c>
      <c r="V2178">
        <v>22.27</v>
      </c>
      <c r="W2178" t="s">
        <v>8334</v>
      </c>
      <c r="X2178" t="s">
        <v>10157</v>
      </c>
      <c r="Y2178">
        <v>998</v>
      </c>
      <c r="Z2178">
        <v>44</v>
      </c>
    </row>
    <row r="2179" spans="1:28">
      <c r="A2179" s="2">
        <f>HYPERLINK("https://finance.naver.com/item/coinfo.nhn?code=219420", "A219420")</f>
        <v>0</v>
      </c>
      <c r="B2179">
        <f>HYPERLINK("http://comp.fnguide.com/SVO2/ASP/SVD_Consensus.asp?pGB=1&amp;gicode=A219420&amp;cID=&amp;MenuYn=Y&amp;ReportGB=&amp;NewMenuID=108&amp;stkGb=701", "링크제니시스")</f>
        <v>0</v>
      </c>
      <c r="C2179">
        <v>0</v>
      </c>
      <c r="D2179">
        <v>7080</v>
      </c>
      <c r="E2179">
        <v>-29.42</v>
      </c>
      <c r="F2179">
        <v>118.42</v>
      </c>
      <c r="G2179">
        <v>3839</v>
      </c>
      <c r="H2179">
        <v>3699</v>
      </c>
      <c r="I2179">
        <v>3660</v>
      </c>
      <c r="J2179">
        <v>45.78</v>
      </c>
      <c r="K2179">
        <v>47.75</v>
      </c>
      <c r="L2179">
        <v>48.31</v>
      </c>
      <c r="M2179">
        <v>8.48</v>
      </c>
      <c r="N2179" t="b">
        <v>0</v>
      </c>
      <c r="O2179">
        <v>65</v>
      </c>
      <c r="P2179" t="s">
        <v>2175</v>
      </c>
      <c r="Q2179" t="s">
        <v>3933</v>
      </c>
      <c r="R2179">
        <v>-4.02523835833003</v>
      </c>
      <c r="S2179">
        <v>708</v>
      </c>
      <c r="T2179">
        <v>104929</v>
      </c>
      <c r="U2179" t="s">
        <v>6149</v>
      </c>
      <c r="V2179">
        <v>31.85</v>
      </c>
      <c r="W2179" t="s">
        <v>8335</v>
      </c>
      <c r="X2179" t="s">
        <v>10158</v>
      </c>
      <c r="Y2179">
        <v>114</v>
      </c>
      <c r="Z2179">
        <v>10</v>
      </c>
      <c r="AA2179">
        <v>573167</v>
      </c>
    </row>
    <row r="2180" spans="1:28">
      <c r="A2180" s="2">
        <f>HYPERLINK("https://finance.naver.com/item/coinfo.nhn?code=042500", "A042500")</f>
        <v>0</v>
      </c>
      <c r="B2180">
        <f>HYPERLINK("http://comp.fnguide.com/SVO2/ASP/SVD_Consensus.asp?pGB=1&amp;gicode=A042500&amp;cID=&amp;MenuYn=Y&amp;ReportGB=&amp;NewMenuID=108&amp;stkGb=701", "링네트")</f>
        <v>0</v>
      </c>
      <c r="C2180">
        <v>0</v>
      </c>
      <c r="D2180">
        <v>7300</v>
      </c>
      <c r="E2180">
        <v>1.19</v>
      </c>
      <c r="F2180">
        <v>8.960000000000001</v>
      </c>
      <c r="G2180">
        <v>5674</v>
      </c>
      <c r="H2180">
        <v>4976</v>
      </c>
      <c r="I2180">
        <v>4778</v>
      </c>
      <c r="J2180">
        <v>22.28</v>
      </c>
      <c r="K2180">
        <v>31.83</v>
      </c>
      <c r="L2180">
        <v>34.55</v>
      </c>
      <c r="M2180">
        <v>10.02</v>
      </c>
      <c r="N2180" t="b">
        <v>1</v>
      </c>
      <c r="O2180">
        <v>466</v>
      </c>
      <c r="P2180" t="s">
        <v>2176</v>
      </c>
      <c r="Q2180" t="s">
        <v>3934</v>
      </c>
      <c r="R2180">
        <v>7.552113780470693</v>
      </c>
      <c r="S2180">
        <v>1111</v>
      </c>
      <c r="T2180">
        <v>10635215</v>
      </c>
      <c r="U2180" t="s">
        <v>6150</v>
      </c>
      <c r="V2180">
        <v>24.98</v>
      </c>
      <c r="W2180" t="s">
        <v>8336</v>
      </c>
      <c r="X2180" t="s">
        <v>10159</v>
      </c>
      <c r="Y2180">
        <v>1319</v>
      </c>
      <c r="Z2180">
        <v>70</v>
      </c>
      <c r="AA2180">
        <v>2365048</v>
      </c>
    </row>
    <row r="2181" spans="1:28">
      <c r="A2181" s="2">
        <f>HYPERLINK("https://finance.naver.com/item/coinfo.nhn?code=277070", "A277070")</f>
        <v>0</v>
      </c>
      <c r="B2181">
        <f>HYPERLINK("http://comp.fnguide.com/SVO2/ASP/SVD_Consensus.asp?pGB=1&amp;gicode=A277070&amp;cID=&amp;MenuYn=Y&amp;ReportGB=&amp;NewMenuID=108&amp;stkGb=701", "린드먼아시아")</f>
        <v>0</v>
      </c>
      <c r="C2181">
        <v>0</v>
      </c>
      <c r="D2181">
        <v>5950</v>
      </c>
      <c r="E2181">
        <v>0</v>
      </c>
      <c r="F2181">
        <v>13.73</v>
      </c>
      <c r="G2181">
        <v>4902</v>
      </c>
      <c r="H2181">
        <v>3988</v>
      </c>
      <c r="I2181">
        <v>3728</v>
      </c>
      <c r="J2181">
        <v>17.61</v>
      </c>
      <c r="K2181">
        <v>32.97</v>
      </c>
      <c r="L2181">
        <v>37.35</v>
      </c>
      <c r="M2181">
        <v>11.56</v>
      </c>
      <c r="N2181" t="b">
        <v>1</v>
      </c>
      <c r="O2181">
        <v>313</v>
      </c>
      <c r="P2181" t="s">
        <v>2177</v>
      </c>
      <c r="Q2181" t="s">
        <v>2276</v>
      </c>
      <c r="R2181">
        <v>0</v>
      </c>
      <c r="S2181">
        <v>803</v>
      </c>
      <c r="T2181">
        <v>90028</v>
      </c>
      <c r="U2181" t="s">
        <v>6151</v>
      </c>
      <c r="V2181">
        <v>74.06999999999999</v>
      </c>
      <c r="W2181" t="s">
        <v>8337</v>
      </c>
      <c r="X2181" t="s">
        <v>10160</v>
      </c>
      <c r="Y2181">
        <v>85</v>
      </c>
      <c r="Z2181">
        <v>54</v>
      </c>
      <c r="AA2181">
        <v>101474</v>
      </c>
      <c r="AB2181">
        <v>2.07</v>
      </c>
    </row>
    <row r="2182" spans="1:28">
      <c r="A2182" s="2">
        <f>HYPERLINK("https://finance.naver.com/item/coinfo.nhn?code=029480", "A029480")</f>
        <v>0</v>
      </c>
      <c r="B2182">
        <f>HYPERLINK("http://comp.fnguide.com/SVO2/ASP/SVD_Consensus.asp?pGB=1&amp;gicode=A029480&amp;cID=&amp;MenuYn=Y&amp;ReportGB=&amp;NewMenuID=108&amp;stkGb=701", "릭스솔루션")</f>
        <v>0</v>
      </c>
      <c r="C2182">
        <v>0</v>
      </c>
      <c r="D2182">
        <v>619</v>
      </c>
      <c r="E2182">
        <v>0</v>
      </c>
      <c r="G2182">
        <v>0</v>
      </c>
      <c r="H2182">
        <v>168</v>
      </c>
      <c r="I2182">
        <v>216</v>
      </c>
      <c r="J2182">
        <v>100</v>
      </c>
      <c r="K2182">
        <v>72.89</v>
      </c>
      <c r="L2182">
        <v>65.17</v>
      </c>
      <c r="M2182">
        <v>0</v>
      </c>
      <c r="N2182" t="b">
        <v>0</v>
      </c>
      <c r="O2182">
        <v>-134</v>
      </c>
      <c r="P2182" t="s">
        <v>2178</v>
      </c>
      <c r="Q2182" t="s">
        <v>2276</v>
      </c>
      <c r="R2182">
        <v>0</v>
      </c>
      <c r="S2182">
        <v>492</v>
      </c>
      <c r="T2182">
        <v>4940641</v>
      </c>
      <c r="U2182" t="s">
        <v>6152</v>
      </c>
      <c r="V2182">
        <v>13.08</v>
      </c>
      <c r="W2182" t="s">
        <v>8338</v>
      </c>
      <c r="X2182" t="s">
        <v>968</v>
      </c>
      <c r="Y2182">
        <v>365</v>
      </c>
      <c r="Z2182">
        <v>-30</v>
      </c>
      <c r="AA2182">
        <v>171055</v>
      </c>
    </row>
    <row r="2183" spans="1:28">
      <c r="A2183" s="2">
        <f>HYPERLINK("https://finance.naver.com/item/coinfo.nhn?code=302550", "A302550")</f>
        <v>0</v>
      </c>
      <c r="B2183">
        <f>HYPERLINK("http://comp.fnguide.com/SVO2/ASP/SVD_Consensus.asp?pGB=1&amp;gicode=A302550&amp;cID=&amp;MenuYn=Y&amp;ReportGB=&amp;NewMenuID=108&amp;stkGb=701", "리메드")</f>
        <v>0</v>
      </c>
      <c r="C2183">
        <v>0</v>
      </c>
      <c r="D2183">
        <v>29150</v>
      </c>
      <c r="E2183">
        <v>0</v>
      </c>
      <c r="F2183">
        <v>15.86</v>
      </c>
      <c r="G2183">
        <v>6924</v>
      </c>
      <c r="H2183">
        <v>5191</v>
      </c>
      <c r="I2183">
        <v>4698</v>
      </c>
      <c r="J2183">
        <v>76.25</v>
      </c>
      <c r="K2183">
        <v>82.19</v>
      </c>
      <c r="L2183">
        <v>83.88</v>
      </c>
      <c r="M2183">
        <v>13.66</v>
      </c>
      <c r="N2183" t="b">
        <v>1</v>
      </c>
      <c r="O2183">
        <v>832</v>
      </c>
      <c r="P2183" t="s">
        <v>2179</v>
      </c>
      <c r="Q2183" t="s">
        <v>3935</v>
      </c>
      <c r="R2183">
        <v>0</v>
      </c>
      <c r="S2183">
        <v>1775</v>
      </c>
      <c r="T2183">
        <v>65904</v>
      </c>
      <c r="U2183" t="s">
        <v>6153</v>
      </c>
      <c r="V2183">
        <v>36.89</v>
      </c>
      <c r="W2183" t="s">
        <v>8339</v>
      </c>
      <c r="X2183" t="s">
        <v>10161</v>
      </c>
      <c r="Y2183">
        <v>186</v>
      </c>
      <c r="Z2183">
        <v>43</v>
      </c>
    </row>
    <row r="2184" spans="1:28">
      <c r="A2184" s="2">
        <f>HYPERLINK("https://finance.naver.com/item/coinfo.nhn?code=016100", "A016100")</f>
        <v>0</v>
      </c>
      <c r="B2184">
        <f>HYPERLINK("http://comp.fnguide.com/SVO2/ASP/SVD_Consensus.asp?pGB=1&amp;gicode=A016100&amp;cID=&amp;MenuYn=Y&amp;ReportGB=&amp;NewMenuID=108&amp;stkGb=701", "리더스코스메틱")</f>
        <v>0</v>
      </c>
      <c r="C2184">
        <v>0</v>
      </c>
      <c r="D2184">
        <v>3965</v>
      </c>
      <c r="G2184">
        <v>0</v>
      </c>
      <c r="H2184">
        <v>997</v>
      </c>
      <c r="I2184">
        <v>1281</v>
      </c>
      <c r="J2184">
        <v>100</v>
      </c>
      <c r="K2184">
        <v>74.86</v>
      </c>
      <c r="L2184">
        <v>67.7</v>
      </c>
      <c r="M2184">
        <v>0</v>
      </c>
      <c r="N2184" t="b">
        <v>0</v>
      </c>
      <c r="O2184">
        <v>-3046</v>
      </c>
      <c r="P2184" t="s">
        <v>2180</v>
      </c>
      <c r="Q2184" t="s">
        <v>3936</v>
      </c>
      <c r="R2184">
        <v>-69.2</v>
      </c>
      <c r="S2184">
        <v>721</v>
      </c>
      <c r="T2184">
        <v>166057</v>
      </c>
      <c r="U2184" t="s">
        <v>6154</v>
      </c>
      <c r="V2184">
        <v>30.93</v>
      </c>
      <c r="W2184" t="s">
        <v>8340</v>
      </c>
      <c r="X2184" t="s">
        <v>968</v>
      </c>
      <c r="Y2184">
        <v>956</v>
      </c>
      <c r="Z2184">
        <v>-278</v>
      </c>
      <c r="AA2184">
        <v>765067</v>
      </c>
    </row>
    <row r="2185" spans="1:28">
      <c r="A2185" s="2">
        <f>HYPERLINK("https://finance.naver.com/item/coinfo.nhn?code=058470", "A058470")</f>
        <v>0</v>
      </c>
      <c r="B2185">
        <f>HYPERLINK("http://comp.fnguide.com/SVO2/ASP/SVD_Consensus.asp?pGB=1&amp;gicode=A058470&amp;cID=&amp;MenuYn=Y&amp;ReportGB=&amp;NewMenuID=108&amp;stkGb=701", "리노공업")</f>
        <v>0</v>
      </c>
      <c r="C2185">
        <v>0</v>
      </c>
      <c r="D2185">
        <v>121100</v>
      </c>
      <c r="E2185">
        <v>1.27</v>
      </c>
      <c r="F2185">
        <v>18.57</v>
      </c>
      <c r="G2185">
        <v>47441</v>
      </c>
      <c r="H2185">
        <v>30820</v>
      </c>
      <c r="I2185">
        <v>26083</v>
      </c>
      <c r="J2185">
        <v>60.82</v>
      </c>
      <c r="K2185">
        <v>74.55</v>
      </c>
      <c r="L2185">
        <v>78.45999999999999</v>
      </c>
      <c r="M2185">
        <v>19.12</v>
      </c>
      <c r="N2185" t="b">
        <v>1</v>
      </c>
      <c r="O2185">
        <v>3463</v>
      </c>
      <c r="P2185" t="s">
        <v>2181</v>
      </c>
      <c r="Q2185" t="s">
        <v>3937</v>
      </c>
      <c r="R2185">
        <v>14.63218181321249</v>
      </c>
      <c r="S2185">
        <v>18459</v>
      </c>
      <c r="T2185">
        <v>74813</v>
      </c>
      <c r="U2185" t="s">
        <v>6155</v>
      </c>
      <c r="V2185">
        <v>34.66</v>
      </c>
      <c r="W2185" t="s">
        <v>8341</v>
      </c>
      <c r="X2185" t="s">
        <v>10162</v>
      </c>
      <c r="Y2185">
        <v>1703</v>
      </c>
      <c r="Z2185">
        <v>641</v>
      </c>
      <c r="AA2185">
        <v>63250</v>
      </c>
      <c r="AB2185">
        <v>1.87</v>
      </c>
    </row>
    <row r="2186" spans="1:28">
      <c r="A2186" s="2">
        <f>HYPERLINK("https://finance.naver.com/item/coinfo.nhn?code=060240", "A060240")</f>
        <v>0</v>
      </c>
      <c r="B2186">
        <f>HYPERLINK("http://comp.fnguide.com/SVO2/ASP/SVD_Consensus.asp?pGB=1&amp;gicode=A060240&amp;cID=&amp;MenuYn=Y&amp;ReportGB=&amp;NewMenuID=108&amp;stkGb=701", "룽투코리아")</f>
        <v>0</v>
      </c>
      <c r="C2186">
        <v>0</v>
      </c>
      <c r="D2186">
        <v>5020</v>
      </c>
      <c r="E2186">
        <v>-1.09</v>
      </c>
      <c r="F2186">
        <v>78.45</v>
      </c>
      <c r="G2186">
        <v>3160</v>
      </c>
      <c r="H2186">
        <v>3003</v>
      </c>
      <c r="I2186">
        <v>2958</v>
      </c>
      <c r="J2186">
        <v>37.05</v>
      </c>
      <c r="K2186">
        <v>40.18</v>
      </c>
      <c r="L2186">
        <v>41.08</v>
      </c>
      <c r="M2186">
        <v>8.69</v>
      </c>
      <c r="N2186" t="b">
        <v>0</v>
      </c>
      <c r="O2186">
        <v>64</v>
      </c>
      <c r="P2186" t="s">
        <v>2182</v>
      </c>
      <c r="Q2186" t="s">
        <v>3938</v>
      </c>
      <c r="R2186">
        <v>-71.79893619027821</v>
      </c>
      <c r="S2186">
        <v>1277</v>
      </c>
      <c r="T2186">
        <v>824261</v>
      </c>
      <c r="U2186" t="s">
        <v>6156</v>
      </c>
      <c r="V2186">
        <v>36.68</v>
      </c>
      <c r="W2186" t="s">
        <v>8342</v>
      </c>
      <c r="X2186" t="s">
        <v>10163</v>
      </c>
      <c r="Y2186">
        <v>301</v>
      </c>
      <c r="Z2186">
        <v>-31</v>
      </c>
    </row>
    <row r="2187" spans="1:28">
      <c r="A2187" s="2">
        <f>HYPERLINK("https://finance.naver.com/item/coinfo.nhn?code=033130", "A033130")</f>
        <v>0</v>
      </c>
      <c r="B2187">
        <f>HYPERLINK("http://comp.fnguide.com/SVO2/ASP/SVD_Consensus.asp?pGB=1&amp;gicode=A033130&amp;cID=&amp;MenuYn=Y&amp;ReportGB=&amp;NewMenuID=108&amp;stkGb=701", "디지틀조선")</f>
        <v>0</v>
      </c>
      <c r="C2187">
        <v>0</v>
      </c>
      <c r="D2187">
        <v>2840</v>
      </c>
      <c r="E2187">
        <v>-2.07</v>
      </c>
      <c r="F2187">
        <v>23.68</v>
      </c>
      <c r="G2187">
        <v>1556</v>
      </c>
      <c r="H2187">
        <v>1864</v>
      </c>
      <c r="I2187">
        <v>1952</v>
      </c>
      <c r="J2187">
        <v>45.23</v>
      </c>
      <c r="K2187">
        <v>34.36</v>
      </c>
      <c r="L2187">
        <v>31.26</v>
      </c>
      <c r="M2187">
        <v>5.99</v>
      </c>
      <c r="N2187" t="b">
        <v>1</v>
      </c>
      <c r="O2187">
        <v>92</v>
      </c>
      <c r="P2187" t="s">
        <v>2183</v>
      </c>
      <c r="Q2187" t="s">
        <v>3939</v>
      </c>
      <c r="R2187">
        <v>-11.45962479464997</v>
      </c>
      <c r="S2187">
        <v>1054</v>
      </c>
      <c r="T2187">
        <v>602321</v>
      </c>
      <c r="U2187" t="s">
        <v>6157</v>
      </c>
      <c r="V2187">
        <v>23.7</v>
      </c>
      <c r="W2187" t="s">
        <v>8343</v>
      </c>
      <c r="X2187" t="s">
        <v>10164</v>
      </c>
      <c r="Y2187">
        <v>338</v>
      </c>
      <c r="Z2187">
        <v>29</v>
      </c>
      <c r="AB2187">
        <v>1.38</v>
      </c>
    </row>
    <row r="2188" spans="1:28">
      <c r="A2188" s="2">
        <f>HYPERLINK("https://finance.naver.com/item/coinfo.nhn?code=106520", "A106520")</f>
        <v>0</v>
      </c>
      <c r="B2188">
        <f>HYPERLINK("http://comp.fnguide.com/SVO2/ASP/SVD_Consensus.asp?pGB=1&amp;gicode=A106520&amp;cID=&amp;MenuYn=Y&amp;ReportGB=&amp;NewMenuID=108&amp;stkGb=701", "디지탈옵틱")</f>
        <v>0</v>
      </c>
      <c r="C2188">
        <v>0</v>
      </c>
      <c r="D2188">
        <v>1000</v>
      </c>
      <c r="E2188">
        <v>0</v>
      </c>
      <c r="G2188">
        <v>0</v>
      </c>
      <c r="H2188">
        <v>278</v>
      </c>
      <c r="I2188">
        <v>358</v>
      </c>
      <c r="J2188">
        <v>100</v>
      </c>
      <c r="K2188">
        <v>72.18000000000001</v>
      </c>
      <c r="L2188">
        <v>64.25</v>
      </c>
      <c r="M2188">
        <v>0</v>
      </c>
      <c r="N2188" t="b">
        <v>0</v>
      </c>
      <c r="O2188">
        <v>-122</v>
      </c>
      <c r="P2188" t="s">
        <v>2184</v>
      </c>
      <c r="Q2188" t="s">
        <v>2276</v>
      </c>
      <c r="R2188">
        <v>0</v>
      </c>
      <c r="S2188">
        <v>950</v>
      </c>
      <c r="T2188">
        <v>4772021</v>
      </c>
      <c r="U2188" t="s">
        <v>6158</v>
      </c>
      <c r="V2188">
        <v>4.46</v>
      </c>
      <c r="W2188" t="s">
        <v>8344</v>
      </c>
      <c r="X2188" t="s">
        <v>968</v>
      </c>
      <c r="Y2188">
        <v>753</v>
      </c>
      <c r="Z2188">
        <v>-16</v>
      </c>
    </row>
    <row r="2189" spans="1:28">
      <c r="A2189" s="2">
        <f>HYPERLINK("https://finance.naver.com/item/coinfo.nhn?code=078600", "A078600")</f>
        <v>0</v>
      </c>
      <c r="B2189">
        <f>HYPERLINK("http://comp.fnguide.com/SVO2/ASP/SVD_Consensus.asp?pGB=1&amp;gicode=A078600&amp;cID=&amp;MenuYn=Y&amp;ReportGB=&amp;NewMenuID=108&amp;stkGb=701", "대주전자재료")</f>
        <v>0</v>
      </c>
      <c r="C2189">
        <v>0</v>
      </c>
      <c r="D2189">
        <v>45350</v>
      </c>
      <c r="E2189">
        <v>0</v>
      </c>
      <c r="G2189">
        <v>134</v>
      </c>
      <c r="H2189">
        <v>3364</v>
      </c>
      <c r="I2189">
        <v>4284</v>
      </c>
      <c r="J2189">
        <v>99.70999999999999</v>
      </c>
      <c r="K2189">
        <v>92.58</v>
      </c>
      <c r="L2189">
        <v>90.55</v>
      </c>
      <c r="M2189">
        <v>0.19</v>
      </c>
      <c r="N2189" t="b">
        <v>0</v>
      </c>
      <c r="O2189">
        <v>-59</v>
      </c>
      <c r="P2189" t="s">
        <v>2185</v>
      </c>
      <c r="Q2189" t="s">
        <v>2276</v>
      </c>
      <c r="R2189">
        <v>0</v>
      </c>
      <c r="S2189">
        <v>6894</v>
      </c>
      <c r="T2189">
        <v>297914</v>
      </c>
      <c r="U2189" t="s">
        <v>6159</v>
      </c>
      <c r="V2189">
        <v>28.3</v>
      </c>
      <c r="W2189" t="s">
        <v>8345</v>
      </c>
      <c r="X2189" t="s">
        <v>10165</v>
      </c>
      <c r="Y2189">
        <v>1164</v>
      </c>
      <c r="Z2189">
        <v>27</v>
      </c>
      <c r="AA2189">
        <v>573507</v>
      </c>
    </row>
    <row r="2190" spans="1:28">
      <c r="A2190" s="2">
        <f>HYPERLINK("https://finance.naver.com/item/coinfo.nhn?code=197140", "A197140")</f>
        <v>0</v>
      </c>
      <c r="B2190">
        <f>HYPERLINK("http://comp.fnguide.com/SVO2/ASP/SVD_Consensus.asp?pGB=1&amp;gicode=A197140&amp;cID=&amp;MenuYn=Y&amp;ReportGB=&amp;NewMenuID=108&amp;stkGb=701", "디지캡")</f>
        <v>0</v>
      </c>
      <c r="C2190">
        <v>0</v>
      </c>
      <c r="D2190">
        <v>5030</v>
      </c>
      <c r="E2190">
        <v>12.04</v>
      </c>
      <c r="F2190">
        <v>22.24</v>
      </c>
      <c r="G2190">
        <v>3591</v>
      </c>
      <c r="H2190">
        <v>3936</v>
      </c>
      <c r="I2190">
        <v>4035</v>
      </c>
      <c r="J2190">
        <v>28.61</v>
      </c>
      <c r="K2190">
        <v>21.75</v>
      </c>
      <c r="L2190">
        <v>19.79</v>
      </c>
      <c r="M2190">
        <v>6.87</v>
      </c>
      <c r="N2190" t="b">
        <v>1</v>
      </c>
      <c r="O2190">
        <v>174</v>
      </c>
      <c r="P2190" t="s">
        <v>2186</v>
      </c>
      <c r="Q2190" t="s">
        <v>3940</v>
      </c>
      <c r="R2190">
        <v>1.847235975094352</v>
      </c>
      <c r="S2190">
        <v>373</v>
      </c>
      <c r="T2190">
        <v>243425</v>
      </c>
      <c r="U2190" t="s">
        <v>6160</v>
      </c>
      <c r="V2190">
        <v>24.54</v>
      </c>
      <c r="W2190" t="s">
        <v>8346</v>
      </c>
      <c r="X2190" t="s">
        <v>10166</v>
      </c>
      <c r="Y2190">
        <v>239</v>
      </c>
      <c r="Z2190">
        <v>7</v>
      </c>
      <c r="AA2190">
        <v>423554</v>
      </c>
      <c r="AB2190">
        <v>1.8</v>
      </c>
    </row>
    <row r="2191" spans="1:28">
      <c r="A2191" s="2">
        <f>HYPERLINK("https://finance.naver.com/item/coinfo.nhn?code=033500", "A033500")</f>
        <v>0</v>
      </c>
      <c r="B2191">
        <f>HYPERLINK("http://comp.fnguide.com/SVO2/ASP/SVD_Consensus.asp?pGB=1&amp;gicode=A033500&amp;cID=&amp;MenuYn=Y&amp;ReportGB=&amp;NewMenuID=108&amp;stkGb=701", "동성화인텍")</f>
        <v>0</v>
      </c>
      <c r="C2191">
        <v>0</v>
      </c>
      <c r="D2191">
        <v>11700</v>
      </c>
      <c r="E2191">
        <v>0.44</v>
      </c>
      <c r="F2191">
        <v>16.87</v>
      </c>
      <c r="G2191">
        <v>4485</v>
      </c>
      <c r="H2191">
        <v>3939</v>
      </c>
      <c r="I2191">
        <v>3783</v>
      </c>
      <c r="J2191">
        <v>61.67</v>
      </c>
      <c r="K2191">
        <v>66.34</v>
      </c>
      <c r="L2191">
        <v>67.66</v>
      </c>
      <c r="M2191">
        <v>9.99</v>
      </c>
      <c r="N2191" t="b">
        <v>1</v>
      </c>
      <c r="O2191">
        <v>625</v>
      </c>
      <c r="P2191" t="s">
        <v>2187</v>
      </c>
      <c r="Q2191" t="s">
        <v>3941</v>
      </c>
      <c r="R2191">
        <v>38.12494343890245</v>
      </c>
      <c r="S2191">
        <v>3187</v>
      </c>
      <c r="T2191">
        <v>725806</v>
      </c>
      <c r="U2191" t="s">
        <v>6161</v>
      </c>
      <c r="V2191">
        <v>41.99</v>
      </c>
      <c r="W2191" t="s">
        <v>8347</v>
      </c>
      <c r="X2191" t="s">
        <v>10167</v>
      </c>
      <c r="Y2191">
        <v>2533</v>
      </c>
      <c r="Z2191">
        <v>269</v>
      </c>
      <c r="AA2191">
        <v>956365</v>
      </c>
      <c r="AB2191">
        <v>2.09</v>
      </c>
    </row>
    <row r="2192" spans="1:28">
      <c r="A2192" s="2">
        <f>HYPERLINK("https://finance.naver.com/item/coinfo.nhn?code=099410", "A099410")</f>
        <v>0</v>
      </c>
      <c r="B2192">
        <f>HYPERLINK("http://comp.fnguide.com/SVO2/ASP/SVD_Consensus.asp?pGB=1&amp;gicode=A099410&amp;cID=&amp;MenuYn=Y&amp;ReportGB=&amp;NewMenuID=108&amp;stkGb=701", "동방선기")</f>
        <v>0</v>
      </c>
      <c r="C2192">
        <v>0</v>
      </c>
      <c r="D2192">
        <v>3290</v>
      </c>
      <c r="E2192">
        <v>0</v>
      </c>
      <c r="G2192">
        <v>0</v>
      </c>
      <c r="H2192">
        <v>1265</v>
      </c>
      <c r="I2192">
        <v>1625</v>
      </c>
      <c r="J2192">
        <v>100</v>
      </c>
      <c r="K2192">
        <v>61.56</v>
      </c>
      <c r="L2192">
        <v>50.61</v>
      </c>
      <c r="M2192">
        <v>0</v>
      </c>
      <c r="N2192" t="b">
        <v>0</v>
      </c>
      <c r="O2192">
        <v>-72</v>
      </c>
      <c r="P2192" t="s">
        <v>2188</v>
      </c>
      <c r="Q2192" t="s">
        <v>2276</v>
      </c>
      <c r="R2192">
        <v>0</v>
      </c>
      <c r="S2192">
        <v>446</v>
      </c>
      <c r="T2192">
        <v>341266</v>
      </c>
      <c r="U2192" t="s">
        <v>6162</v>
      </c>
      <c r="V2192">
        <v>17.68</v>
      </c>
      <c r="W2192" t="s">
        <v>8348</v>
      </c>
      <c r="X2192" t="s">
        <v>968</v>
      </c>
      <c r="Y2192">
        <v>236</v>
      </c>
      <c r="Z2192">
        <v>-13</v>
      </c>
    </row>
    <row r="2193" spans="1:28">
      <c r="A2193" s="2">
        <f>HYPERLINK("https://finance.naver.com/item/coinfo.nhn?code=086450", "A086450")</f>
        <v>0</v>
      </c>
      <c r="B2193">
        <f>HYPERLINK("http://comp.fnguide.com/SVO2/ASP/SVD_Consensus.asp?pGB=1&amp;gicode=A086450&amp;cID=&amp;MenuYn=Y&amp;ReportGB=&amp;NewMenuID=108&amp;stkGb=701", "동국제약")</f>
        <v>0</v>
      </c>
      <c r="C2193">
        <v>0</v>
      </c>
      <c r="D2193">
        <v>25700</v>
      </c>
      <c r="E2193">
        <v>0.76</v>
      </c>
      <c r="F2193">
        <v>14.33</v>
      </c>
      <c r="G2193">
        <v>16978</v>
      </c>
      <c r="H2193">
        <v>11738</v>
      </c>
      <c r="I2193">
        <v>10245</v>
      </c>
      <c r="J2193">
        <v>33.94</v>
      </c>
      <c r="K2193">
        <v>54.33</v>
      </c>
      <c r="L2193">
        <v>60.14</v>
      </c>
      <c r="M2193">
        <v>16.39</v>
      </c>
      <c r="N2193" t="b">
        <v>1</v>
      </c>
      <c r="O2193">
        <v>1245</v>
      </c>
      <c r="P2193" t="s">
        <v>2189</v>
      </c>
      <c r="Q2193" t="s">
        <v>3942</v>
      </c>
      <c r="R2193">
        <v>18.96925817550397</v>
      </c>
      <c r="S2193">
        <v>11426</v>
      </c>
      <c r="T2193">
        <v>190532</v>
      </c>
      <c r="U2193" t="s">
        <v>6163</v>
      </c>
      <c r="V2193">
        <v>47.28</v>
      </c>
      <c r="W2193" t="s">
        <v>8349</v>
      </c>
      <c r="X2193" t="s">
        <v>10168</v>
      </c>
      <c r="Y2193">
        <v>4823</v>
      </c>
      <c r="Z2193">
        <v>686</v>
      </c>
      <c r="AA2193">
        <v>511680</v>
      </c>
      <c r="AB2193">
        <v>0.9</v>
      </c>
    </row>
    <row r="2194" spans="1:28">
      <c r="A2194" s="2">
        <f>HYPERLINK("https://finance.naver.com/item/coinfo.nhn?code=100130", "A100130")</f>
        <v>0</v>
      </c>
      <c r="B2194">
        <f>HYPERLINK("http://comp.fnguide.com/SVO2/ASP/SVD_Consensus.asp?pGB=1&amp;gicode=A100130&amp;cID=&amp;MenuYn=Y&amp;ReportGB=&amp;NewMenuID=108&amp;stkGb=701", "동국S&amp;C")</f>
        <v>0</v>
      </c>
      <c r="C2194">
        <v>0</v>
      </c>
      <c r="D2194">
        <v>8240</v>
      </c>
      <c r="E2194">
        <v>-0.43</v>
      </c>
      <c r="F2194">
        <v>15.41</v>
      </c>
      <c r="G2194">
        <v>1357</v>
      </c>
      <c r="H2194">
        <v>3364</v>
      </c>
      <c r="I2194">
        <v>3936</v>
      </c>
      <c r="J2194">
        <v>83.54000000000001</v>
      </c>
      <c r="K2194">
        <v>59.18</v>
      </c>
      <c r="L2194">
        <v>52.24</v>
      </c>
      <c r="M2194">
        <v>2.3</v>
      </c>
      <c r="N2194" t="b">
        <v>1</v>
      </c>
      <c r="O2194">
        <v>167</v>
      </c>
      <c r="P2194" t="s">
        <v>2190</v>
      </c>
      <c r="Q2194" t="s">
        <v>3943</v>
      </c>
      <c r="R2194">
        <v>-36.05085697129847</v>
      </c>
      <c r="S2194">
        <v>4709</v>
      </c>
      <c r="T2194">
        <v>952682</v>
      </c>
      <c r="U2194" t="s">
        <v>6164</v>
      </c>
      <c r="V2194">
        <v>50</v>
      </c>
      <c r="W2194" t="s">
        <v>8350</v>
      </c>
      <c r="X2194" t="s">
        <v>10169</v>
      </c>
      <c r="Y2194">
        <v>3178</v>
      </c>
      <c r="Z2194">
        <v>142</v>
      </c>
      <c r="AA2194">
        <v>1409277</v>
      </c>
      <c r="AB2194">
        <v>3.88</v>
      </c>
    </row>
    <row r="2195" spans="1:28">
      <c r="A2195" s="2">
        <f>HYPERLINK("https://finance.naver.com/item/coinfo.nhn?code=006620", "A006620")</f>
        <v>0</v>
      </c>
      <c r="B2195">
        <f>HYPERLINK("http://comp.fnguide.com/SVO2/ASP/SVD_Consensus.asp?pGB=1&amp;gicode=A006620&amp;cID=&amp;MenuYn=Y&amp;ReportGB=&amp;NewMenuID=108&amp;stkGb=701", "동구바이오제약")</f>
        <v>0</v>
      </c>
      <c r="C2195">
        <v>0</v>
      </c>
      <c r="D2195">
        <v>24200</v>
      </c>
      <c r="E2195">
        <v>0.21</v>
      </c>
      <c r="F2195">
        <v>10.68</v>
      </c>
      <c r="G2195">
        <v>21031</v>
      </c>
      <c r="H2195">
        <v>13855</v>
      </c>
      <c r="I2195">
        <v>11810</v>
      </c>
      <c r="J2195">
        <v>13.09</v>
      </c>
      <c r="K2195">
        <v>42.75</v>
      </c>
      <c r="L2195">
        <v>51.2</v>
      </c>
      <c r="M2195">
        <v>18.45</v>
      </c>
      <c r="N2195" t="b">
        <v>1</v>
      </c>
      <c r="O2195">
        <v>1572</v>
      </c>
      <c r="P2195" t="s">
        <v>2191</v>
      </c>
      <c r="Q2195" t="s">
        <v>3944</v>
      </c>
      <c r="R2195">
        <v>49.68350047842463</v>
      </c>
      <c r="S2195">
        <v>2324</v>
      </c>
      <c r="T2195">
        <v>72766</v>
      </c>
      <c r="U2195" t="s">
        <v>6165</v>
      </c>
      <c r="V2195">
        <v>41.06</v>
      </c>
      <c r="W2195" t="s">
        <v>8351</v>
      </c>
      <c r="X2195" t="s">
        <v>10170</v>
      </c>
      <c r="Y2195">
        <v>1252</v>
      </c>
      <c r="Z2195">
        <v>65</v>
      </c>
      <c r="AA2195">
        <v>173504</v>
      </c>
      <c r="AB2195">
        <v>0.6</v>
      </c>
    </row>
    <row r="2196" spans="1:28">
      <c r="A2196" s="2">
        <f>HYPERLINK("https://finance.naver.com/item/coinfo.nhn?code=261200", "A261200")</f>
        <v>0</v>
      </c>
      <c r="B2196">
        <f>HYPERLINK("http://comp.fnguide.com/SVO2/ASP/SVD_Consensus.asp?pGB=1&amp;gicode=A261200&amp;cID=&amp;MenuYn=Y&amp;ReportGB=&amp;NewMenuID=108&amp;stkGb=701", "덴티스")</f>
        <v>0</v>
      </c>
      <c r="C2196">
        <v>0</v>
      </c>
      <c r="D2196">
        <v>1810</v>
      </c>
      <c r="G2196">
        <v>140</v>
      </c>
      <c r="H2196">
        <v>353</v>
      </c>
      <c r="I2196">
        <v>413</v>
      </c>
      <c r="J2196">
        <v>92.23999999999999</v>
      </c>
      <c r="K2196">
        <v>80.5</v>
      </c>
      <c r="L2196">
        <v>77.16</v>
      </c>
      <c r="M2196">
        <v>2.27</v>
      </c>
      <c r="N2196" t="b">
        <v>0</v>
      </c>
      <c r="O2196">
        <v>7</v>
      </c>
      <c r="P2196" t="s">
        <v>2192</v>
      </c>
      <c r="Q2196" t="s">
        <v>3945</v>
      </c>
      <c r="R2196">
        <v>24.14286125267131</v>
      </c>
      <c r="S2196">
        <v>1323</v>
      </c>
      <c r="T2196">
        <v>840888</v>
      </c>
      <c r="U2196" t="s">
        <v>6166</v>
      </c>
      <c r="V2196">
        <v>31.61</v>
      </c>
      <c r="W2196" t="s">
        <v>8352</v>
      </c>
      <c r="X2196" t="s">
        <v>968</v>
      </c>
      <c r="Y2196">
        <v>604</v>
      </c>
      <c r="Z2196">
        <v>78</v>
      </c>
      <c r="AA2196">
        <v>2648154</v>
      </c>
    </row>
    <row r="2197" spans="1:28">
      <c r="A2197" s="2">
        <f>HYPERLINK("https://finance.naver.com/item/coinfo.nhn?code=206560", "A206560")</f>
        <v>0</v>
      </c>
      <c r="B2197">
        <f>HYPERLINK("http://comp.fnguide.com/SVO2/ASP/SVD_Consensus.asp?pGB=1&amp;gicode=A206560&amp;cID=&amp;MenuYn=Y&amp;ReportGB=&amp;NewMenuID=108&amp;stkGb=701", "덱스터")</f>
        <v>0</v>
      </c>
      <c r="C2197">
        <v>0</v>
      </c>
      <c r="D2197">
        <v>5240</v>
      </c>
      <c r="G2197">
        <v>501</v>
      </c>
      <c r="H2197">
        <v>1532</v>
      </c>
      <c r="I2197">
        <v>1825</v>
      </c>
      <c r="J2197">
        <v>90.45</v>
      </c>
      <c r="K2197">
        <v>70.77</v>
      </c>
      <c r="L2197">
        <v>65.16</v>
      </c>
      <c r="M2197">
        <v>1.8</v>
      </c>
      <c r="N2197" t="b">
        <v>0</v>
      </c>
      <c r="O2197">
        <v>-313</v>
      </c>
      <c r="P2197" t="s">
        <v>2193</v>
      </c>
      <c r="Q2197" t="s">
        <v>3946</v>
      </c>
      <c r="R2197">
        <v>-20.9</v>
      </c>
      <c r="S2197">
        <v>1328</v>
      </c>
      <c r="T2197">
        <v>263601</v>
      </c>
      <c r="U2197" t="s">
        <v>6167</v>
      </c>
      <c r="V2197">
        <v>21.21</v>
      </c>
      <c r="W2197" t="s">
        <v>8353</v>
      </c>
      <c r="X2197" t="s">
        <v>10171</v>
      </c>
      <c r="Y2197">
        <v>555</v>
      </c>
      <c r="Z2197">
        <v>-54</v>
      </c>
      <c r="AA2197">
        <v>400000</v>
      </c>
    </row>
    <row r="2198" spans="1:28">
      <c r="A2198" s="2">
        <f>HYPERLINK("https://finance.naver.com/item/coinfo.nhn?code=139050", "A139050")</f>
        <v>0</v>
      </c>
      <c r="B2198">
        <f>HYPERLINK("http://comp.fnguide.com/SVO2/ASP/SVD_Consensus.asp?pGB=1&amp;gicode=A139050&amp;cID=&amp;MenuYn=Y&amp;ReportGB=&amp;NewMenuID=108&amp;stkGb=701", "데일리블록체인")</f>
        <v>0</v>
      </c>
      <c r="C2198">
        <v>0</v>
      </c>
      <c r="D2198">
        <v>1210</v>
      </c>
      <c r="E2198">
        <v>0</v>
      </c>
      <c r="G2198">
        <v>0</v>
      </c>
      <c r="H2198">
        <v>176</v>
      </c>
      <c r="I2198">
        <v>226</v>
      </c>
      <c r="J2198">
        <v>100</v>
      </c>
      <c r="K2198">
        <v>85.47</v>
      </c>
      <c r="L2198">
        <v>81.33</v>
      </c>
      <c r="M2198">
        <v>0</v>
      </c>
      <c r="N2198" t="b">
        <v>0</v>
      </c>
      <c r="O2198">
        <v>-259</v>
      </c>
      <c r="P2198" t="s">
        <v>2194</v>
      </c>
      <c r="Q2198" t="s">
        <v>2276</v>
      </c>
      <c r="R2198">
        <v>0</v>
      </c>
      <c r="S2198">
        <v>852</v>
      </c>
      <c r="T2198">
        <v>2479850</v>
      </c>
      <c r="U2198" t="s">
        <v>6168</v>
      </c>
      <c r="V2198">
        <v>21.64</v>
      </c>
      <c r="W2198" t="s">
        <v>8354</v>
      </c>
      <c r="X2198" t="s">
        <v>968</v>
      </c>
      <c r="Y2198">
        <v>807</v>
      </c>
      <c r="Z2198">
        <v>-15</v>
      </c>
    </row>
    <row r="2199" spans="1:28">
      <c r="A2199" s="2">
        <f>HYPERLINK("https://finance.naver.com/item/coinfo.nhn?code=263800", "A263800")</f>
        <v>0</v>
      </c>
      <c r="B2199">
        <f>HYPERLINK("http://comp.fnguide.com/SVO2/ASP/SVD_Consensus.asp?pGB=1&amp;gicode=A263800&amp;cID=&amp;MenuYn=Y&amp;ReportGB=&amp;NewMenuID=108&amp;stkGb=701", "데이타솔루션")</f>
        <v>0</v>
      </c>
      <c r="C2199">
        <v>0</v>
      </c>
      <c r="D2199">
        <v>8020</v>
      </c>
      <c r="G2199">
        <v>128</v>
      </c>
      <c r="H2199">
        <v>1023</v>
      </c>
      <c r="I2199">
        <v>1278</v>
      </c>
      <c r="J2199">
        <v>98.41</v>
      </c>
      <c r="K2199">
        <v>87.25</v>
      </c>
      <c r="L2199">
        <v>84.06999999999999</v>
      </c>
      <c r="M2199">
        <v>0.63</v>
      </c>
      <c r="N2199" t="b">
        <v>0</v>
      </c>
      <c r="O2199">
        <v>-43</v>
      </c>
      <c r="P2199" t="s">
        <v>2195</v>
      </c>
      <c r="Q2199" t="s">
        <v>3947</v>
      </c>
      <c r="R2199">
        <v>-15.99940476401374</v>
      </c>
      <c r="S2199">
        <v>1269</v>
      </c>
      <c r="T2199">
        <v>682826</v>
      </c>
      <c r="U2199" t="s">
        <v>6169</v>
      </c>
      <c r="V2199">
        <v>67.41</v>
      </c>
      <c r="W2199" t="s">
        <v>8355</v>
      </c>
      <c r="X2199" t="s">
        <v>10172</v>
      </c>
      <c r="Y2199">
        <v>1012</v>
      </c>
      <c r="Z2199">
        <v>4</v>
      </c>
    </row>
    <row r="2200" spans="1:28">
      <c r="A2200" s="2">
        <f>HYPERLINK("https://finance.naver.com/item/coinfo.nhn?code=194480", "A194480")</f>
        <v>0</v>
      </c>
      <c r="B2200">
        <f>HYPERLINK("http://comp.fnguide.com/SVO2/ASP/SVD_Consensus.asp?pGB=1&amp;gicode=A194480&amp;cID=&amp;MenuYn=Y&amp;ReportGB=&amp;NewMenuID=108&amp;stkGb=701", "데브시스터즈")</f>
        <v>0</v>
      </c>
      <c r="C2200">
        <v>0</v>
      </c>
      <c r="D2200">
        <v>12700</v>
      </c>
      <c r="E2200">
        <v>0</v>
      </c>
      <c r="G2200">
        <v>0</v>
      </c>
      <c r="H2200">
        <v>6210</v>
      </c>
      <c r="I2200">
        <v>7979</v>
      </c>
      <c r="J2200">
        <v>100</v>
      </c>
      <c r="K2200">
        <v>51.1</v>
      </c>
      <c r="L2200">
        <v>37.17</v>
      </c>
      <c r="M2200">
        <v>0</v>
      </c>
      <c r="N2200" t="b">
        <v>0</v>
      </c>
      <c r="O2200">
        <v>-1188</v>
      </c>
      <c r="P2200" t="s">
        <v>2196</v>
      </c>
      <c r="Q2200" t="s">
        <v>2276</v>
      </c>
      <c r="R2200">
        <v>0</v>
      </c>
      <c r="S2200">
        <v>1423</v>
      </c>
      <c r="T2200">
        <v>376608</v>
      </c>
      <c r="U2200" t="s">
        <v>6170</v>
      </c>
      <c r="V2200">
        <v>26.12</v>
      </c>
      <c r="W2200" t="s">
        <v>8356</v>
      </c>
      <c r="X2200" t="s">
        <v>968</v>
      </c>
      <c r="Y2200">
        <v>376</v>
      </c>
      <c r="Z2200">
        <v>-222</v>
      </c>
      <c r="AA2200">
        <v>1238376</v>
      </c>
    </row>
    <row r="2201" spans="1:28">
      <c r="A2201" s="2">
        <f>HYPERLINK("https://finance.naver.com/item/coinfo.nhn?code=263600", "A263600")</f>
        <v>0</v>
      </c>
      <c r="B2201">
        <f>HYPERLINK("http://comp.fnguide.com/SVO2/ASP/SVD_Consensus.asp?pGB=1&amp;gicode=A263600&amp;cID=&amp;MenuYn=Y&amp;ReportGB=&amp;NewMenuID=108&amp;stkGb=701", "덕우전자")</f>
        <v>0</v>
      </c>
      <c r="C2201">
        <v>0</v>
      </c>
      <c r="D2201">
        <v>7660</v>
      </c>
      <c r="E2201">
        <v>0.41</v>
      </c>
      <c r="F2201">
        <v>15.6</v>
      </c>
      <c r="G2201">
        <v>6365</v>
      </c>
      <c r="H2201">
        <v>5894</v>
      </c>
      <c r="I2201">
        <v>5759</v>
      </c>
      <c r="J2201">
        <v>16.91</v>
      </c>
      <c r="K2201">
        <v>23.06</v>
      </c>
      <c r="L2201">
        <v>24.81</v>
      </c>
      <c r="M2201">
        <v>9.09</v>
      </c>
      <c r="N2201" t="b">
        <v>1</v>
      </c>
      <c r="O2201">
        <v>551</v>
      </c>
      <c r="P2201" t="s">
        <v>2197</v>
      </c>
      <c r="Q2201" t="s">
        <v>3948</v>
      </c>
      <c r="R2201">
        <v>38.4399232900142</v>
      </c>
      <c r="S2201">
        <v>1220</v>
      </c>
      <c r="T2201">
        <v>1593402</v>
      </c>
      <c r="U2201" t="s">
        <v>6171</v>
      </c>
      <c r="V2201">
        <v>52.96</v>
      </c>
      <c r="W2201" t="s">
        <v>8357</v>
      </c>
      <c r="X2201" t="s">
        <v>10173</v>
      </c>
      <c r="Y2201">
        <v>1294</v>
      </c>
      <c r="Z2201">
        <v>124</v>
      </c>
      <c r="AB2201">
        <v>1.63</v>
      </c>
    </row>
    <row r="2202" spans="1:28">
      <c r="A2202" s="2">
        <f>HYPERLINK("https://finance.naver.com/item/coinfo.nhn?code=213420", "A213420")</f>
        <v>0</v>
      </c>
      <c r="B2202">
        <f>HYPERLINK("http://comp.fnguide.com/SVO2/ASP/SVD_Consensus.asp?pGB=1&amp;gicode=A213420&amp;cID=&amp;MenuYn=Y&amp;ReportGB=&amp;NewMenuID=108&amp;stkGb=701", "덕산네오룩스")</f>
        <v>0</v>
      </c>
      <c r="C2202">
        <v>0</v>
      </c>
      <c r="D2202">
        <v>29800</v>
      </c>
      <c r="E2202">
        <v>0.43</v>
      </c>
      <c r="F2202">
        <v>32.96</v>
      </c>
      <c r="G2202">
        <v>11321</v>
      </c>
      <c r="H2202">
        <v>8521</v>
      </c>
      <c r="I2202">
        <v>7723</v>
      </c>
      <c r="J2202">
        <v>62.01</v>
      </c>
      <c r="K2202">
        <v>71.41</v>
      </c>
      <c r="L2202">
        <v>74.08</v>
      </c>
      <c r="M2202">
        <v>13.54</v>
      </c>
      <c r="N2202" t="b">
        <v>1</v>
      </c>
      <c r="O2202">
        <v>798</v>
      </c>
      <c r="P2202" t="s">
        <v>2198</v>
      </c>
      <c r="Q2202" t="s">
        <v>3949</v>
      </c>
      <c r="R2202">
        <v>76.16053107318636</v>
      </c>
      <c r="S2202">
        <v>7155</v>
      </c>
      <c r="T2202">
        <v>232391</v>
      </c>
      <c r="U2202" t="s">
        <v>6172</v>
      </c>
      <c r="V2202">
        <v>57.11</v>
      </c>
      <c r="W2202" t="s">
        <v>8358</v>
      </c>
      <c r="X2202" t="s">
        <v>10174</v>
      </c>
      <c r="Y2202">
        <v>979</v>
      </c>
      <c r="Z2202">
        <v>208</v>
      </c>
      <c r="AA2202">
        <v>5528</v>
      </c>
    </row>
    <row r="2203" spans="1:28">
      <c r="A2203" s="2">
        <f>HYPERLINK("https://finance.naver.com/item/coinfo.nhn?code=035290", "A035290")</f>
        <v>0</v>
      </c>
      <c r="B2203">
        <f>HYPERLINK("http://comp.fnguide.com/SVO2/ASP/SVD_Consensus.asp?pGB=1&amp;gicode=A035290&amp;cID=&amp;MenuYn=Y&amp;ReportGB=&amp;NewMenuID=108&amp;stkGb=701", "더블유에프엠")</f>
        <v>0</v>
      </c>
      <c r="C2203">
        <v>0</v>
      </c>
      <c r="D2203">
        <v>11750</v>
      </c>
      <c r="E2203">
        <v>0</v>
      </c>
      <c r="G2203">
        <v>0</v>
      </c>
      <c r="H2203">
        <v>281</v>
      </c>
      <c r="I2203">
        <v>361</v>
      </c>
      <c r="J2203">
        <v>100</v>
      </c>
      <c r="K2203">
        <v>97.61</v>
      </c>
      <c r="L2203">
        <v>96.93000000000001</v>
      </c>
      <c r="M2203">
        <v>0</v>
      </c>
      <c r="N2203" t="b">
        <v>0</v>
      </c>
      <c r="O2203">
        <v>-7769</v>
      </c>
      <c r="P2203" t="s">
        <v>2199</v>
      </c>
      <c r="Q2203" t="s">
        <v>2276</v>
      </c>
      <c r="R2203">
        <v>0</v>
      </c>
      <c r="S2203">
        <v>302</v>
      </c>
      <c r="T2203">
        <v>0</v>
      </c>
      <c r="U2203" t="s">
        <v>6173</v>
      </c>
      <c r="V2203">
        <v>10.36</v>
      </c>
      <c r="W2203" t="s">
        <v>8359</v>
      </c>
      <c r="X2203" t="s">
        <v>968</v>
      </c>
      <c r="Y2203">
        <v>81</v>
      </c>
      <c r="Z2203">
        <v>-59</v>
      </c>
      <c r="AA2203">
        <v>3683</v>
      </c>
    </row>
    <row r="2204" spans="1:28">
      <c r="A2204" s="2">
        <f>HYPERLINK("https://finance.naver.com/item/coinfo.nhn?code=299170", "A299170")</f>
        <v>0</v>
      </c>
      <c r="B2204">
        <f>HYPERLINK("http://comp.fnguide.com/SVO2/ASP/SVD_Consensus.asp?pGB=1&amp;gicode=A299170&amp;cID=&amp;MenuYn=Y&amp;ReportGB=&amp;NewMenuID=108&amp;stkGb=701", "더블유에스아이")</f>
        <v>0</v>
      </c>
      <c r="C2204">
        <v>0</v>
      </c>
      <c r="D2204">
        <v>5440</v>
      </c>
      <c r="E2204">
        <v>0</v>
      </c>
      <c r="G2204">
        <v>1017</v>
      </c>
      <c r="H2204">
        <v>669</v>
      </c>
      <c r="I2204">
        <v>570</v>
      </c>
      <c r="J2204">
        <v>81.3</v>
      </c>
      <c r="K2204">
        <v>87.7</v>
      </c>
      <c r="L2204">
        <v>89.53</v>
      </c>
      <c r="M2204">
        <v>18.55</v>
      </c>
      <c r="N2204" t="b">
        <v>0</v>
      </c>
      <c r="O2204">
        <v>129</v>
      </c>
      <c r="P2204" t="s">
        <v>2200</v>
      </c>
      <c r="Q2204" t="s">
        <v>3950</v>
      </c>
      <c r="R2204">
        <v>0</v>
      </c>
      <c r="S2204">
        <v>1543</v>
      </c>
      <c r="T2204">
        <v>709889</v>
      </c>
      <c r="U2204" t="s">
        <v>6174</v>
      </c>
      <c r="V2204">
        <v>75.45</v>
      </c>
      <c r="W2204" t="s">
        <v>8360</v>
      </c>
      <c r="X2204" t="s">
        <v>968</v>
      </c>
      <c r="Y2204">
        <v>237</v>
      </c>
      <c r="Z2204">
        <v>46</v>
      </c>
    </row>
    <row r="2205" spans="1:28">
      <c r="A2205" s="2">
        <f>HYPERLINK("https://finance.naver.com/item/coinfo.nhn?code=067080", "A067080")</f>
        <v>0</v>
      </c>
      <c r="B2205">
        <f>HYPERLINK("http://comp.fnguide.com/SVO2/ASP/SVD_Consensus.asp?pGB=1&amp;gicode=A067080&amp;cID=&amp;MenuYn=Y&amp;ReportGB=&amp;NewMenuID=108&amp;stkGb=701", "대화제약")</f>
        <v>0</v>
      </c>
      <c r="C2205">
        <v>0</v>
      </c>
      <c r="D2205">
        <v>14850</v>
      </c>
      <c r="E2205">
        <v>0.79</v>
      </c>
      <c r="F2205">
        <v>22.13</v>
      </c>
      <c r="G2205">
        <v>7165</v>
      </c>
      <c r="H2205">
        <v>5587</v>
      </c>
      <c r="I2205">
        <v>5138</v>
      </c>
      <c r="J2205">
        <v>51.75</v>
      </c>
      <c r="K2205">
        <v>62.37</v>
      </c>
      <c r="L2205">
        <v>65.40000000000001</v>
      </c>
      <c r="M2205">
        <v>12.58</v>
      </c>
      <c r="N2205" t="b">
        <v>1</v>
      </c>
      <c r="O2205">
        <v>578</v>
      </c>
      <c r="P2205" t="s">
        <v>2201</v>
      </c>
      <c r="Q2205" t="s">
        <v>3951</v>
      </c>
      <c r="R2205">
        <v>28.12936687781828</v>
      </c>
      <c r="S2205">
        <v>2758</v>
      </c>
      <c r="T2205">
        <v>147071</v>
      </c>
      <c r="U2205" t="s">
        <v>6175</v>
      </c>
      <c r="V2205">
        <v>29.75</v>
      </c>
      <c r="W2205" t="s">
        <v>8361</v>
      </c>
      <c r="X2205" t="s">
        <v>10175</v>
      </c>
      <c r="Y2205">
        <v>1146</v>
      </c>
      <c r="Z2205">
        <v>62</v>
      </c>
      <c r="AA2205">
        <v>1100000</v>
      </c>
      <c r="AB2205">
        <v>1.17</v>
      </c>
    </row>
    <row r="2206" spans="1:28">
      <c r="A2206" s="2">
        <f>HYPERLINK("https://finance.naver.com/item/coinfo.nhn?code=021040", "A021040")</f>
        <v>0</v>
      </c>
      <c r="B2206">
        <f>HYPERLINK("http://comp.fnguide.com/SVO2/ASP/SVD_Consensus.asp?pGB=1&amp;gicode=A021040&amp;cID=&amp;MenuYn=Y&amp;ReportGB=&amp;NewMenuID=108&amp;stkGb=701", "대호피앤씨")</f>
        <v>0</v>
      </c>
      <c r="C2206">
        <v>0</v>
      </c>
      <c r="D2206">
        <v>937</v>
      </c>
      <c r="E2206">
        <v>-3.45</v>
      </c>
      <c r="F2206">
        <v>110.81</v>
      </c>
      <c r="G2206">
        <v>338</v>
      </c>
      <c r="H2206">
        <v>735</v>
      </c>
      <c r="I2206">
        <v>848</v>
      </c>
      <c r="J2206">
        <v>63.91</v>
      </c>
      <c r="K2206">
        <v>21.59</v>
      </c>
      <c r="L2206">
        <v>9.529999999999999</v>
      </c>
      <c r="M2206">
        <v>2.7</v>
      </c>
      <c r="N2206" t="b">
        <v>1</v>
      </c>
      <c r="O2206">
        <v>9</v>
      </c>
      <c r="P2206" t="s">
        <v>2202</v>
      </c>
      <c r="Q2206" t="s">
        <v>3952</v>
      </c>
      <c r="R2206">
        <v>-32.14929311883322</v>
      </c>
      <c r="S2206">
        <v>685</v>
      </c>
      <c r="T2206">
        <v>35971304</v>
      </c>
      <c r="U2206" t="s">
        <v>6176</v>
      </c>
      <c r="V2206">
        <v>41.45</v>
      </c>
      <c r="W2206" t="s">
        <v>8362</v>
      </c>
      <c r="X2206" t="s">
        <v>10176</v>
      </c>
      <c r="Y2206">
        <v>2042</v>
      </c>
      <c r="Z2206">
        <v>46</v>
      </c>
      <c r="AA2206">
        <v>780290</v>
      </c>
    </row>
    <row r="2207" spans="1:28">
      <c r="A2207" s="2">
        <f>HYPERLINK("https://finance.naver.com/item/coinfo.nhn?code=054670", "A054670")</f>
        <v>0</v>
      </c>
      <c r="B2207">
        <f>HYPERLINK("http://comp.fnguide.com/SVO2/ASP/SVD_Consensus.asp?pGB=1&amp;gicode=A054670&amp;cID=&amp;MenuYn=Y&amp;ReportGB=&amp;NewMenuID=108&amp;stkGb=701", "대한뉴팜")</f>
        <v>0</v>
      </c>
      <c r="C2207">
        <v>0</v>
      </c>
      <c r="D2207">
        <v>13300</v>
      </c>
      <c r="E2207">
        <v>0.1</v>
      </c>
      <c r="F2207">
        <v>9.800000000000001</v>
      </c>
      <c r="G2207">
        <v>8937</v>
      </c>
      <c r="H2207">
        <v>6183</v>
      </c>
      <c r="I2207">
        <v>5398</v>
      </c>
      <c r="J2207">
        <v>32.8</v>
      </c>
      <c r="K2207">
        <v>53.51</v>
      </c>
      <c r="L2207">
        <v>59.41</v>
      </c>
      <c r="M2207">
        <v>16.36</v>
      </c>
      <c r="N2207" t="b">
        <v>1</v>
      </c>
      <c r="O2207">
        <v>1062</v>
      </c>
      <c r="P2207" t="s">
        <v>2203</v>
      </c>
      <c r="Q2207" t="s">
        <v>3953</v>
      </c>
      <c r="R2207">
        <v>100.2751607164503</v>
      </c>
      <c r="S2207">
        <v>1909</v>
      </c>
      <c r="T2207">
        <v>353596</v>
      </c>
      <c r="U2207" t="s">
        <v>6177</v>
      </c>
      <c r="V2207">
        <v>40.1</v>
      </c>
      <c r="W2207" t="s">
        <v>8363</v>
      </c>
      <c r="X2207" t="s">
        <v>10177</v>
      </c>
      <c r="Y2207">
        <v>1341</v>
      </c>
      <c r="Z2207">
        <v>207</v>
      </c>
      <c r="AA2207">
        <v>319631</v>
      </c>
    </row>
    <row r="2208" spans="1:28">
      <c r="A2208" s="2">
        <f>HYPERLINK("https://finance.naver.com/item/coinfo.nhn?code=060900", "A060900")</f>
        <v>0</v>
      </c>
      <c r="B2208">
        <f>HYPERLINK("http://comp.fnguide.com/SVO2/ASP/SVD_Consensus.asp?pGB=1&amp;gicode=A060900&amp;cID=&amp;MenuYn=Y&amp;ReportGB=&amp;NewMenuID=108&amp;stkGb=701", "대한그린파워")</f>
        <v>0</v>
      </c>
      <c r="C2208">
        <v>0</v>
      </c>
      <c r="D2208">
        <v>1105</v>
      </c>
      <c r="E2208">
        <v>0</v>
      </c>
      <c r="G2208">
        <v>0</v>
      </c>
      <c r="H2208">
        <v>86</v>
      </c>
      <c r="I2208">
        <v>111</v>
      </c>
      <c r="J2208">
        <v>100</v>
      </c>
      <c r="K2208">
        <v>92.2</v>
      </c>
      <c r="L2208">
        <v>89.97</v>
      </c>
      <c r="M2208">
        <v>0</v>
      </c>
      <c r="N2208" t="b">
        <v>0</v>
      </c>
      <c r="O2208">
        <v>-106</v>
      </c>
      <c r="P2208" t="s">
        <v>2204</v>
      </c>
      <c r="Q2208" t="s">
        <v>2276</v>
      </c>
      <c r="R2208">
        <v>0</v>
      </c>
      <c r="S2208">
        <v>1694</v>
      </c>
      <c r="T2208">
        <v>4491005</v>
      </c>
      <c r="U2208" t="s">
        <v>6178</v>
      </c>
      <c r="V2208">
        <v>10.3</v>
      </c>
      <c r="W2208" t="s">
        <v>8364</v>
      </c>
      <c r="X2208" t="s">
        <v>968</v>
      </c>
      <c r="Y2208">
        <v>157</v>
      </c>
      <c r="Z2208">
        <v>-79</v>
      </c>
      <c r="AA2208">
        <v>3706</v>
      </c>
    </row>
    <row r="2209" spans="1:28">
      <c r="A2209" s="2">
        <f>HYPERLINK("https://finance.naver.com/item/coinfo.nhn?code=010170", "A010170")</f>
        <v>0</v>
      </c>
      <c r="B2209">
        <f>HYPERLINK("http://comp.fnguide.com/SVO2/ASP/SVD_Consensus.asp?pGB=1&amp;gicode=A010170&amp;cID=&amp;MenuYn=Y&amp;ReportGB=&amp;NewMenuID=108&amp;stkGb=701", "대한광통신")</f>
        <v>0</v>
      </c>
      <c r="C2209">
        <v>0</v>
      </c>
      <c r="D2209">
        <v>4015</v>
      </c>
      <c r="G2209">
        <v>2384</v>
      </c>
      <c r="H2209">
        <v>2414</v>
      </c>
      <c r="I2209">
        <v>2422</v>
      </c>
      <c r="J2209">
        <v>40.61</v>
      </c>
      <c r="K2209">
        <v>39.89</v>
      </c>
      <c r="L2209">
        <v>39.68</v>
      </c>
      <c r="M2209">
        <v>7.81</v>
      </c>
      <c r="N2209" t="b">
        <v>0</v>
      </c>
      <c r="O2209">
        <v>-159</v>
      </c>
      <c r="P2209" t="s">
        <v>2205</v>
      </c>
      <c r="Q2209" t="s">
        <v>3954</v>
      </c>
      <c r="R2209">
        <v>22.10000000000001</v>
      </c>
      <c r="S2209">
        <v>2961</v>
      </c>
      <c r="T2209">
        <v>2742060</v>
      </c>
      <c r="U2209" t="s">
        <v>6179</v>
      </c>
      <c r="V2209">
        <v>26.23</v>
      </c>
      <c r="W2209" t="s">
        <v>8365</v>
      </c>
      <c r="X2209" t="s">
        <v>10178</v>
      </c>
      <c r="Y2209">
        <v>1543</v>
      </c>
      <c r="Z2209">
        <v>-96</v>
      </c>
    </row>
    <row r="2210" spans="1:28">
      <c r="A2210" s="2">
        <f>HYPERLINK("https://finance.naver.com/item/coinfo.nhn?code=131220", "A131220")</f>
        <v>0</v>
      </c>
      <c r="B2210">
        <f>HYPERLINK("http://comp.fnguide.com/SVO2/ASP/SVD_Consensus.asp?pGB=1&amp;gicode=A131220&amp;cID=&amp;MenuYn=Y&amp;ReportGB=&amp;NewMenuID=108&amp;stkGb=701", "대한과학")</f>
        <v>0</v>
      </c>
      <c r="C2210">
        <v>0</v>
      </c>
      <c r="D2210">
        <v>23600</v>
      </c>
      <c r="E2210">
        <v>-5.22</v>
      </c>
      <c r="F2210">
        <v>30.93</v>
      </c>
      <c r="G2210">
        <v>2558</v>
      </c>
      <c r="H2210">
        <v>3295</v>
      </c>
      <c r="I2210">
        <v>3505</v>
      </c>
      <c r="J2210">
        <v>89.16</v>
      </c>
      <c r="K2210">
        <v>86.04000000000001</v>
      </c>
      <c r="L2210">
        <v>85.15000000000001</v>
      </c>
      <c r="M2210">
        <v>5.39</v>
      </c>
      <c r="N2210" t="b">
        <v>1</v>
      </c>
      <c r="O2210">
        <v>165</v>
      </c>
      <c r="P2210" t="s">
        <v>2206</v>
      </c>
      <c r="Q2210" t="s">
        <v>3955</v>
      </c>
      <c r="R2210">
        <v>-5.92838691233858</v>
      </c>
      <c r="S2210">
        <v>1759</v>
      </c>
      <c r="T2210">
        <v>4992954</v>
      </c>
      <c r="U2210" t="s">
        <v>6180</v>
      </c>
      <c r="V2210">
        <v>33.61</v>
      </c>
      <c r="W2210" t="s">
        <v>8366</v>
      </c>
      <c r="X2210" t="s">
        <v>10179</v>
      </c>
      <c r="Y2210">
        <v>552</v>
      </c>
      <c r="Z2210">
        <v>22</v>
      </c>
      <c r="AA2210">
        <v>2093</v>
      </c>
      <c r="AB2210">
        <v>1.18</v>
      </c>
    </row>
    <row r="2211" spans="1:28">
      <c r="A2211" s="2">
        <f>HYPERLINK("https://finance.naver.com/item/coinfo.nhn?code=096350", "A096350")</f>
        <v>0</v>
      </c>
      <c r="B2211">
        <f>HYPERLINK("http://comp.fnguide.com/SVO2/ASP/SVD_Consensus.asp?pGB=1&amp;gicode=A096350&amp;cID=&amp;MenuYn=Y&amp;ReportGB=&amp;NewMenuID=108&amp;stkGb=701", "대창솔루션")</f>
        <v>0</v>
      </c>
      <c r="C2211">
        <v>0</v>
      </c>
      <c r="D2211">
        <v>549</v>
      </c>
      <c r="E2211">
        <v>0</v>
      </c>
      <c r="G2211">
        <v>0</v>
      </c>
      <c r="H2211">
        <v>250</v>
      </c>
      <c r="I2211">
        <v>321</v>
      </c>
      <c r="J2211">
        <v>100</v>
      </c>
      <c r="K2211">
        <v>54.55</v>
      </c>
      <c r="L2211">
        <v>41.6</v>
      </c>
      <c r="M2211">
        <v>0</v>
      </c>
      <c r="N2211" t="b">
        <v>0</v>
      </c>
      <c r="O2211">
        <v>-33</v>
      </c>
      <c r="P2211" t="s">
        <v>2207</v>
      </c>
      <c r="Q2211" t="s">
        <v>2276</v>
      </c>
      <c r="R2211">
        <v>0</v>
      </c>
      <c r="S2211">
        <v>888</v>
      </c>
      <c r="T2211">
        <v>5801343</v>
      </c>
      <c r="U2211" t="s">
        <v>6181</v>
      </c>
      <c r="V2211">
        <v>18.09</v>
      </c>
      <c r="W2211" t="s">
        <v>8367</v>
      </c>
      <c r="X2211" t="s">
        <v>968</v>
      </c>
      <c r="Y2211">
        <v>652</v>
      </c>
      <c r="Z2211">
        <v>10</v>
      </c>
      <c r="AA2211">
        <v>4605730</v>
      </c>
    </row>
    <row r="2212" spans="1:28">
      <c r="A2212" s="2">
        <f>HYPERLINK("https://finance.naver.com/item/coinfo.nhn?code=025950", "A025950")</f>
        <v>0</v>
      </c>
      <c r="B2212">
        <f>HYPERLINK("http://comp.fnguide.com/SVO2/ASP/SVD_Consensus.asp?pGB=1&amp;gicode=A025950&amp;cID=&amp;MenuYn=Y&amp;ReportGB=&amp;NewMenuID=108&amp;stkGb=701", "동신건설")</f>
        <v>0</v>
      </c>
      <c r="C2212">
        <v>0</v>
      </c>
      <c r="D2212">
        <v>13750</v>
      </c>
      <c r="E2212">
        <v>-1.69</v>
      </c>
      <c r="F2212">
        <v>62.16</v>
      </c>
      <c r="G2212">
        <v>3945</v>
      </c>
      <c r="H2212">
        <v>7819</v>
      </c>
      <c r="I2212">
        <v>8923</v>
      </c>
      <c r="J2212">
        <v>71.31</v>
      </c>
      <c r="K2212">
        <v>43.14</v>
      </c>
      <c r="L2212">
        <v>35.11</v>
      </c>
      <c r="M2212">
        <v>3.02</v>
      </c>
      <c r="N2212" t="b">
        <v>0</v>
      </c>
      <c r="O2212">
        <v>100</v>
      </c>
      <c r="P2212" t="s">
        <v>2208</v>
      </c>
      <c r="Q2212" t="s">
        <v>3956</v>
      </c>
      <c r="R2212">
        <v>-36.74435225505395</v>
      </c>
      <c r="S2212">
        <v>1155</v>
      </c>
      <c r="T2212">
        <v>1658305</v>
      </c>
      <c r="U2212" t="s">
        <v>6182</v>
      </c>
      <c r="V2212">
        <v>73.44</v>
      </c>
      <c r="W2212" t="s">
        <v>8368</v>
      </c>
      <c r="X2212" t="s">
        <v>10180</v>
      </c>
      <c r="Y2212">
        <v>240</v>
      </c>
      <c r="Z2212">
        <v>-4</v>
      </c>
    </row>
    <row r="2213" spans="1:28">
      <c r="A2213" s="2">
        <f>HYPERLINK("https://finance.naver.com/item/coinfo.nhn?code=041930", "A041930")</f>
        <v>0</v>
      </c>
      <c r="B2213">
        <f>HYPERLINK("http://comp.fnguide.com/SVO2/ASP/SVD_Consensus.asp?pGB=1&amp;gicode=A041930&amp;cID=&amp;MenuYn=Y&amp;ReportGB=&amp;NewMenuID=108&amp;stkGb=701", "동아화성")</f>
        <v>0</v>
      </c>
      <c r="C2213">
        <v>0</v>
      </c>
      <c r="D2213">
        <v>10650</v>
      </c>
      <c r="E2213">
        <v>-0.5</v>
      </c>
      <c r="F2213">
        <v>7.6</v>
      </c>
      <c r="G2213">
        <v>8279</v>
      </c>
      <c r="H2213">
        <v>7876</v>
      </c>
      <c r="I2213">
        <v>7761</v>
      </c>
      <c r="J2213">
        <v>22.26</v>
      </c>
      <c r="K2213">
        <v>26.05</v>
      </c>
      <c r="L2213">
        <v>27.13</v>
      </c>
      <c r="M2213">
        <v>8.67</v>
      </c>
      <c r="N2213" t="b">
        <v>1</v>
      </c>
      <c r="O2213">
        <v>634</v>
      </c>
      <c r="P2213" t="s">
        <v>2209</v>
      </c>
      <c r="Q2213" t="s">
        <v>3957</v>
      </c>
      <c r="R2213">
        <v>-15.35053088994341</v>
      </c>
      <c r="S2213">
        <v>1683</v>
      </c>
      <c r="T2213">
        <v>872772</v>
      </c>
      <c r="U2213" t="s">
        <v>6183</v>
      </c>
      <c r="V2213">
        <v>42.41</v>
      </c>
      <c r="W2213" t="s">
        <v>8369</v>
      </c>
      <c r="X2213" t="s">
        <v>10181</v>
      </c>
      <c r="Y2213">
        <v>2885</v>
      </c>
      <c r="Z2213">
        <v>107</v>
      </c>
      <c r="AA2213">
        <v>1617116</v>
      </c>
      <c r="AB2213">
        <v>1.04</v>
      </c>
    </row>
    <row r="2214" spans="1:28">
      <c r="A2214" s="2">
        <f>HYPERLINK("https://finance.naver.com/item/coinfo.nhn?code=094170", "A094170")</f>
        <v>0</v>
      </c>
      <c r="B2214">
        <f>HYPERLINK("http://comp.fnguide.com/SVO2/ASP/SVD_Consensus.asp?pGB=1&amp;gicode=A094170&amp;cID=&amp;MenuYn=Y&amp;ReportGB=&amp;NewMenuID=108&amp;stkGb=701", "동운아나텍")</f>
        <v>0</v>
      </c>
      <c r="C2214">
        <v>0</v>
      </c>
      <c r="D2214">
        <v>9930</v>
      </c>
      <c r="E2214">
        <v>-0.2</v>
      </c>
      <c r="F2214">
        <v>17</v>
      </c>
      <c r="G2214">
        <v>3188</v>
      </c>
      <c r="H2214">
        <v>2321</v>
      </c>
      <c r="I2214">
        <v>2074</v>
      </c>
      <c r="J2214">
        <v>67.89</v>
      </c>
      <c r="K2214">
        <v>76.63</v>
      </c>
      <c r="L2214">
        <v>79.11</v>
      </c>
      <c r="M2214">
        <v>14.56</v>
      </c>
      <c r="N2214" t="b">
        <v>1</v>
      </c>
      <c r="O2214">
        <v>441</v>
      </c>
      <c r="P2214" t="s">
        <v>2210</v>
      </c>
      <c r="Q2214" t="s">
        <v>3958</v>
      </c>
      <c r="R2214">
        <v>-84.5</v>
      </c>
      <c r="S2214">
        <v>1565</v>
      </c>
      <c r="T2214">
        <v>466326</v>
      </c>
      <c r="U2214" t="s">
        <v>6184</v>
      </c>
      <c r="V2214">
        <v>14.22</v>
      </c>
      <c r="W2214" t="s">
        <v>8370</v>
      </c>
      <c r="X2214" t="s">
        <v>1097</v>
      </c>
      <c r="Y2214">
        <v>548</v>
      </c>
      <c r="Z2214">
        <v>-22</v>
      </c>
      <c r="AA2214">
        <v>1605264</v>
      </c>
      <c r="AB2214">
        <v>0.67</v>
      </c>
    </row>
    <row r="2215" spans="1:28">
      <c r="A2215" s="2">
        <f>HYPERLINK("https://finance.naver.com/item/coinfo.nhn?code=263720", "A263720")</f>
        <v>0</v>
      </c>
      <c r="B2215">
        <f>HYPERLINK("http://comp.fnguide.com/SVO2/ASP/SVD_Consensus.asp?pGB=1&amp;gicode=A263720&amp;cID=&amp;MenuYn=Y&amp;ReportGB=&amp;NewMenuID=108&amp;stkGb=701", "디앤씨미디어")</f>
        <v>0</v>
      </c>
      <c r="C2215">
        <v>0</v>
      </c>
      <c r="D2215">
        <v>33000</v>
      </c>
      <c r="E2215">
        <v>2.09</v>
      </c>
      <c r="F2215">
        <v>48.3</v>
      </c>
      <c r="G2215">
        <v>6362</v>
      </c>
      <c r="H2215">
        <v>4583</v>
      </c>
      <c r="I2215">
        <v>4076</v>
      </c>
      <c r="J2215">
        <v>80.72</v>
      </c>
      <c r="K2215">
        <v>86.11</v>
      </c>
      <c r="L2215">
        <v>87.65000000000001</v>
      </c>
      <c r="M2215">
        <v>14.91</v>
      </c>
      <c r="N2215" t="b">
        <v>0</v>
      </c>
      <c r="O2215">
        <v>403</v>
      </c>
      <c r="P2215" t="s">
        <v>2211</v>
      </c>
      <c r="Q2215" t="s">
        <v>3959</v>
      </c>
      <c r="R2215">
        <v>23.07779543365878</v>
      </c>
      <c r="S2215">
        <v>4051</v>
      </c>
      <c r="T2215">
        <v>79103</v>
      </c>
      <c r="U2215" t="s">
        <v>6185</v>
      </c>
      <c r="V2215">
        <v>47.8</v>
      </c>
      <c r="W2215" t="s">
        <v>8371</v>
      </c>
      <c r="X2215" t="s">
        <v>10182</v>
      </c>
      <c r="Y2215">
        <v>421</v>
      </c>
      <c r="Z2215">
        <v>79</v>
      </c>
      <c r="AA2215">
        <v>71402</v>
      </c>
    </row>
    <row r="2216" spans="1:28">
      <c r="A2216" s="2">
        <f>HYPERLINK("https://finance.naver.com/item/coinfo.nhn?code=113810", "A113810")</f>
        <v>0</v>
      </c>
      <c r="B2216">
        <f>HYPERLINK("http://comp.fnguide.com/SVO2/ASP/SVD_Consensus.asp?pGB=1&amp;gicode=A113810&amp;cID=&amp;MenuYn=Y&amp;ReportGB=&amp;NewMenuID=108&amp;stkGb=701", "디젠스")</f>
        <v>0</v>
      </c>
      <c r="C2216">
        <v>0</v>
      </c>
      <c r="D2216">
        <v>701</v>
      </c>
      <c r="G2216">
        <v>0</v>
      </c>
      <c r="H2216">
        <v>359</v>
      </c>
      <c r="I2216">
        <v>461</v>
      </c>
      <c r="J2216">
        <v>100</v>
      </c>
      <c r="K2216">
        <v>48.78</v>
      </c>
      <c r="L2216">
        <v>34.18</v>
      </c>
      <c r="M2216">
        <v>0</v>
      </c>
      <c r="N2216" t="b">
        <v>0</v>
      </c>
      <c r="O2216">
        <v>-91</v>
      </c>
      <c r="P2216" t="s">
        <v>2212</v>
      </c>
      <c r="Q2216" t="s">
        <v>3960</v>
      </c>
      <c r="R2216">
        <v>11.1</v>
      </c>
      <c r="S2216">
        <v>229</v>
      </c>
      <c r="T2216">
        <v>1174210</v>
      </c>
      <c r="U2216" t="s">
        <v>6186</v>
      </c>
      <c r="V2216">
        <v>35.76</v>
      </c>
      <c r="W2216" t="s">
        <v>8372</v>
      </c>
      <c r="X2216" t="s">
        <v>968</v>
      </c>
      <c r="Y2216">
        <v>793</v>
      </c>
      <c r="Z2216">
        <v>-23</v>
      </c>
    </row>
    <row r="2217" spans="1:28">
      <c r="A2217" s="2">
        <f>HYPERLINK("https://finance.naver.com/item/coinfo.nhn?code=227100", "A227100")</f>
        <v>0</v>
      </c>
      <c r="B2217">
        <f>HYPERLINK("http://comp.fnguide.com/SVO2/ASP/SVD_Consensus.asp?pGB=1&amp;gicode=A227100&amp;cID=&amp;MenuYn=Y&amp;ReportGB=&amp;NewMenuID=108&amp;stkGb=701", "디자인")</f>
        <v>0</v>
      </c>
      <c r="C2217">
        <v>0</v>
      </c>
      <c r="D2217">
        <v>6070</v>
      </c>
      <c r="E2217">
        <v>0</v>
      </c>
      <c r="G2217">
        <v>2972</v>
      </c>
      <c r="H2217">
        <v>3339</v>
      </c>
      <c r="I2217">
        <v>3443</v>
      </c>
      <c r="J2217">
        <v>51.04</v>
      </c>
      <c r="K2217">
        <v>45</v>
      </c>
      <c r="L2217">
        <v>43.27</v>
      </c>
      <c r="M2217">
        <v>6.61</v>
      </c>
      <c r="N2217" t="b">
        <v>0</v>
      </c>
      <c r="O2217">
        <v>-1262</v>
      </c>
      <c r="P2217" t="s">
        <v>2213</v>
      </c>
      <c r="Q2217" t="s">
        <v>3961</v>
      </c>
      <c r="R2217">
        <v>0</v>
      </c>
      <c r="S2217">
        <v>207</v>
      </c>
      <c r="T2217">
        <v>77187</v>
      </c>
      <c r="U2217" t="s">
        <v>6187</v>
      </c>
      <c r="V2217">
        <v>34.59</v>
      </c>
      <c r="W2217" t="s">
        <v>8373</v>
      </c>
      <c r="X2217" t="s">
        <v>10183</v>
      </c>
      <c r="Y2217">
        <v>218</v>
      </c>
      <c r="Z2217">
        <v>-41</v>
      </c>
    </row>
    <row r="2218" spans="1:28">
      <c r="A2218" s="2">
        <f>HYPERLINK("https://finance.naver.com/item/coinfo.nhn?code=079810", "A079810")</f>
        <v>0</v>
      </c>
      <c r="B2218">
        <f>HYPERLINK("http://comp.fnguide.com/SVO2/ASP/SVD_Consensus.asp?pGB=1&amp;gicode=A079810&amp;cID=&amp;MenuYn=Y&amp;ReportGB=&amp;NewMenuID=108&amp;stkGb=701", "디이엔티")</f>
        <v>0</v>
      </c>
      <c r="C2218">
        <v>0</v>
      </c>
      <c r="D2218">
        <v>9140</v>
      </c>
      <c r="E2218">
        <v>0</v>
      </c>
      <c r="G2218">
        <v>370</v>
      </c>
      <c r="H2218">
        <v>997</v>
      </c>
      <c r="I2218">
        <v>1176</v>
      </c>
      <c r="J2218">
        <v>95.95</v>
      </c>
      <c r="K2218">
        <v>89.09</v>
      </c>
      <c r="L2218">
        <v>87.13</v>
      </c>
      <c r="M2218">
        <v>2.09</v>
      </c>
      <c r="N2218" t="b">
        <v>0</v>
      </c>
      <c r="O2218">
        <v>-580</v>
      </c>
      <c r="P2218" t="s">
        <v>2214</v>
      </c>
      <c r="Q2218" t="s">
        <v>2276</v>
      </c>
      <c r="R2218">
        <v>0</v>
      </c>
      <c r="S2218">
        <v>1192</v>
      </c>
      <c r="T2218">
        <v>188427</v>
      </c>
      <c r="U2218" t="s">
        <v>6188</v>
      </c>
      <c r="V2218">
        <v>26.76</v>
      </c>
      <c r="W2218" t="s">
        <v>8374</v>
      </c>
      <c r="X2218" t="s">
        <v>10184</v>
      </c>
      <c r="Y2218">
        <v>297</v>
      </c>
      <c r="Z2218">
        <v>-65</v>
      </c>
      <c r="AA2218">
        <v>233769</v>
      </c>
    </row>
    <row r="2219" spans="1:28">
      <c r="A2219" s="2">
        <f>HYPERLINK("https://finance.naver.com/item/coinfo.nhn?code=039840", "A039840")</f>
        <v>0</v>
      </c>
      <c r="B2219">
        <f>HYPERLINK("http://comp.fnguide.com/SVO2/ASP/SVD_Consensus.asp?pGB=1&amp;gicode=A039840&amp;cID=&amp;MenuYn=Y&amp;ReportGB=&amp;NewMenuID=108&amp;stkGb=701", "디오")</f>
        <v>0</v>
      </c>
      <c r="C2219">
        <v>0</v>
      </c>
      <c r="D2219">
        <v>32300</v>
      </c>
      <c r="E2219">
        <v>16.57</v>
      </c>
      <c r="F2219">
        <v>30</v>
      </c>
      <c r="G2219">
        <v>13774</v>
      </c>
      <c r="H2219">
        <v>11273</v>
      </c>
      <c r="I2219">
        <v>10561</v>
      </c>
      <c r="J2219">
        <v>57.36</v>
      </c>
      <c r="K2219">
        <v>65.09999999999999</v>
      </c>
      <c r="L2219">
        <v>67.3</v>
      </c>
      <c r="M2219">
        <v>11.42</v>
      </c>
      <c r="N2219" t="b">
        <v>1</v>
      </c>
      <c r="O2219">
        <v>1400</v>
      </c>
      <c r="P2219" t="s">
        <v>2215</v>
      </c>
      <c r="Q2219" t="s">
        <v>3962</v>
      </c>
      <c r="R2219">
        <v>1.809982338815774</v>
      </c>
      <c r="S2219">
        <v>5014</v>
      </c>
      <c r="T2219">
        <v>134304</v>
      </c>
      <c r="U2219" t="s">
        <v>6189</v>
      </c>
      <c r="V2219">
        <v>32</v>
      </c>
      <c r="W2219" t="s">
        <v>8375</v>
      </c>
      <c r="X2219" t="s">
        <v>10185</v>
      </c>
      <c r="Y2219">
        <v>1272</v>
      </c>
      <c r="Z2219">
        <v>348</v>
      </c>
      <c r="AA2219">
        <v>708210</v>
      </c>
    </row>
    <row r="2220" spans="1:28">
      <c r="A2220" s="2">
        <f>HYPERLINK("https://finance.naver.com/item/coinfo.nhn?code=134580", "A134580")</f>
        <v>0</v>
      </c>
      <c r="B2220">
        <f>HYPERLINK("http://comp.fnguide.com/SVO2/ASP/SVD_Consensus.asp?pGB=1&amp;gicode=A134580&amp;cID=&amp;MenuYn=Y&amp;ReportGB=&amp;NewMenuID=108&amp;stkGb=701", "디엠티")</f>
        <v>0</v>
      </c>
      <c r="C2220">
        <v>0</v>
      </c>
      <c r="D2220">
        <v>2170</v>
      </c>
      <c r="E2220">
        <v>0</v>
      </c>
      <c r="G2220">
        <v>490</v>
      </c>
      <c r="H2220">
        <v>1550</v>
      </c>
      <c r="I2220">
        <v>1851</v>
      </c>
      <c r="J2220">
        <v>77.42</v>
      </c>
      <c r="K2220">
        <v>28.59</v>
      </c>
      <c r="L2220">
        <v>14.68</v>
      </c>
      <c r="M2220">
        <v>1.73</v>
      </c>
      <c r="N2220" t="b">
        <v>0</v>
      </c>
      <c r="O2220">
        <v>-385</v>
      </c>
      <c r="P2220" t="s">
        <v>2216</v>
      </c>
      <c r="Q2220" t="s">
        <v>2276</v>
      </c>
      <c r="R2220">
        <v>0</v>
      </c>
      <c r="S2220">
        <v>244</v>
      </c>
      <c r="T2220">
        <v>99821</v>
      </c>
      <c r="U2220" t="s">
        <v>6190</v>
      </c>
      <c r="V2220">
        <v>29.55</v>
      </c>
      <c r="W2220" t="s">
        <v>8376</v>
      </c>
      <c r="X2220" t="s">
        <v>10186</v>
      </c>
      <c r="Y2220">
        <v>324</v>
      </c>
      <c r="Z2220">
        <v>-45</v>
      </c>
      <c r="AA2220">
        <v>377641</v>
      </c>
    </row>
    <row r="2221" spans="1:28">
      <c r="A2221" s="2">
        <f>HYPERLINK("https://finance.naver.com/item/coinfo.nhn?code=092070", "A092070")</f>
        <v>0</v>
      </c>
      <c r="B2221">
        <f>HYPERLINK("http://comp.fnguide.com/SVO2/ASP/SVD_Consensus.asp?pGB=1&amp;gicode=A092070&amp;cID=&amp;MenuYn=Y&amp;ReportGB=&amp;NewMenuID=108&amp;stkGb=701", "디엔에프")</f>
        <v>0</v>
      </c>
      <c r="C2221">
        <v>0</v>
      </c>
      <c r="D2221">
        <v>16750</v>
      </c>
      <c r="E2221">
        <v>-4.11</v>
      </c>
      <c r="F2221">
        <v>45.58</v>
      </c>
      <c r="G2221">
        <v>10119</v>
      </c>
      <c r="H2221">
        <v>9081</v>
      </c>
      <c r="I2221">
        <v>8785</v>
      </c>
      <c r="J2221">
        <v>39.59</v>
      </c>
      <c r="K2221">
        <v>45.79</v>
      </c>
      <c r="L2221">
        <v>47.55</v>
      </c>
      <c r="M2221">
        <v>9.609999999999999</v>
      </c>
      <c r="N2221" t="b">
        <v>1</v>
      </c>
      <c r="O2221">
        <v>207</v>
      </c>
      <c r="P2221" t="s">
        <v>2217</v>
      </c>
      <c r="Q2221" t="s">
        <v>3963</v>
      </c>
      <c r="R2221">
        <v>-11.08190066829758</v>
      </c>
      <c r="S2221">
        <v>1803</v>
      </c>
      <c r="T2221">
        <v>241998</v>
      </c>
      <c r="U2221" t="s">
        <v>6191</v>
      </c>
      <c r="V2221">
        <v>21.19</v>
      </c>
      <c r="W2221" t="s">
        <v>8377</v>
      </c>
      <c r="X2221" t="s">
        <v>10187</v>
      </c>
      <c r="Y2221">
        <v>588</v>
      </c>
      <c r="Z2221">
        <v>52</v>
      </c>
    </row>
    <row r="2222" spans="1:28">
      <c r="A2222" s="2">
        <f>HYPERLINK("https://finance.naver.com/item/coinfo.nhn?code=127120", "A127120")</f>
        <v>0</v>
      </c>
      <c r="B2222">
        <f>HYPERLINK("http://comp.fnguide.com/SVO2/ASP/SVD_Consensus.asp?pGB=1&amp;gicode=A127120&amp;cID=&amp;MenuYn=Y&amp;ReportGB=&amp;NewMenuID=108&amp;stkGb=701", "디엔에이링크")</f>
        <v>0</v>
      </c>
      <c r="C2222">
        <v>0</v>
      </c>
      <c r="D2222">
        <v>13100</v>
      </c>
      <c r="E2222">
        <v>0</v>
      </c>
      <c r="G2222">
        <v>39</v>
      </c>
      <c r="H2222">
        <v>435</v>
      </c>
      <c r="I2222">
        <v>548</v>
      </c>
      <c r="J2222">
        <v>99.7</v>
      </c>
      <c r="K2222">
        <v>96.68000000000001</v>
      </c>
      <c r="L2222">
        <v>95.81999999999999</v>
      </c>
      <c r="M2222">
        <v>0.44</v>
      </c>
      <c r="N2222" t="b">
        <v>0</v>
      </c>
      <c r="O2222">
        <v>-1143</v>
      </c>
      <c r="P2222" t="s">
        <v>2218</v>
      </c>
      <c r="Q2222" t="s">
        <v>2276</v>
      </c>
      <c r="R2222">
        <v>0</v>
      </c>
      <c r="S2222">
        <v>2146</v>
      </c>
      <c r="T2222">
        <v>488516</v>
      </c>
      <c r="U2222" t="s">
        <v>6192</v>
      </c>
      <c r="V2222">
        <v>7.09</v>
      </c>
      <c r="W2222" t="s">
        <v>8378</v>
      </c>
      <c r="X2222" t="s">
        <v>10188</v>
      </c>
      <c r="Y2222">
        <v>156</v>
      </c>
      <c r="Z2222">
        <v>-58</v>
      </c>
    </row>
    <row r="2223" spans="1:28">
      <c r="A2223" s="2">
        <f>HYPERLINK("https://finance.naver.com/item/coinfo.nhn?code=196490", "A196490")</f>
        <v>0</v>
      </c>
      <c r="B2223">
        <f>HYPERLINK("http://comp.fnguide.com/SVO2/ASP/SVD_Consensus.asp?pGB=1&amp;gicode=A196490&amp;cID=&amp;MenuYn=Y&amp;ReportGB=&amp;NewMenuID=108&amp;stkGb=701", "디에이테크놀로지")</f>
        <v>0</v>
      </c>
      <c r="C2223">
        <v>0</v>
      </c>
      <c r="D2223">
        <v>6550</v>
      </c>
      <c r="G2223">
        <v>175</v>
      </c>
      <c r="H2223">
        <v>1819</v>
      </c>
      <c r="I2223">
        <v>2288</v>
      </c>
      <c r="J2223">
        <v>97.33</v>
      </c>
      <c r="K2223">
        <v>72.23</v>
      </c>
      <c r="L2223">
        <v>65.06999999999999</v>
      </c>
      <c r="M2223">
        <v>0.48</v>
      </c>
      <c r="N2223" t="b">
        <v>0</v>
      </c>
      <c r="O2223">
        <v>-1852</v>
      </c>
      <c r="P2223" t="s">
        <v>2219</v>
      </c>
      <c r="Q2223" t="s">
        <v>3964</v>
      </c>
      <c r="R2223">
        <v>-43.86017456386243</v>
      </c>
      <c r="S2223">
        <v>1313</v>
      </c>
      <c r="T2223">
        <v>304247</v>
      </c>
      <c r="U2223" t="s">
        <v>6193</v>
      </c>
      <c r="V2223">
        <v>7.51</v>
      </c>
      <c r="W2223" t="s">
        <v>8379</v>
      </c>
      <c r="X2223" t="s">
        <v>10189</v>
      </c>
      <c r="Y2223">
        <v>1088</v>
      </c>
      <c r="Z2223">
        <v>7</v>
      </c>
      <c r="AA2223">
        <v>213679</v>
      </c>
    </row>
    <row r="2224" spans="1:28">
      <c r="A2224" s="2">
        <f>HYPERLINK("https://finance.naver.com/item/coinfo.nhn?code=033430", "A033430")</f>
        <v>0</v>
      </c>
      <c r="B2224">
        <f>HYPERLINK("http://comp.fnguide.com/SVO2/ASP/SVD_Consensus.asp?pGB=1&amp;gicode=A033430&amp;cID=&amp;MenuYn=Y&amp;ReportGB=&amp;NewMenuID=108&amp;stkGb=701", "디에스티")</f>
        <v>0</v>
      </c>
      <c r="C2224">
        <v>0</v>
      </c>
      <c r="D2224">
        <v>370</v>
      </c>
      <c r="E2224">
        <v>0</v>
      </c>
      <c r="G2224">
        <v>15</v>
      </c>
      <c r="H2224">
        <v>44</v>
      </c>
      <c r="I2224">
        <v>53</v>
      </c>
      <c r="J2224">
        <v>96</v>
      </c>
      <c r="K2224">
        <v>88.01000000000001</v>
      </c>
      <c r="L2224">
        <v>85.73</v>
      </c>
      <c r="M2224">
        <v>1.84</v>
      </c>
      <c r="N2224" t="b">
        <v>0</v>
      </c>
      <c r="O2224">
        <v>-280</v>
      </c>
      <c r="P2224" t="s">
        <v>2220</v>
      </c>
      <c r="Q2224" t="s">
        <v>2276</v>
      </c>
      <c r="R2224">
        <v>0</v>
      </c>
      <c r="S2224">
        <v>238</v>
      </c>
      <c r="T2224">
        <v>0</v>
      </c>
      <c r="U2224" t="s">
        <v>6194</v>
      </c>
      <c r="V2224">
        <v>15.36</v>
      </c>
      <c r="W2224" t="s">
        <v>8380</v>
      </c>
      <c r="X2224" t="s">
        <v>10190</v>
      </c>
      <c r="Y2224">
        <v>208</v>
      </c>
      <c r="Z2224">
        <v>-41</v>
      </c>
      <c r="AA2224">
        <v>144800</v>
      </c>
    </row>
    <row r="2225" spans="1:28">
      <c r="A2225" s="2">
        <f>HYPERLINK("https://finance.naver.com/item/coinfo.nhn?code=214680", "A214680")</f>
        <v>0</v>
      </c>
      <c r="B2225">
        <f>HYPERLINK("http://comp.fnguide.com/SVO2/ASP/SVD_Consensus.asp?pGB=1&amp;gicode=A214680&amp;cID=&amp;MenuYn=Y&amp;ReportGB=&amp;NewMenuID=108&amp;stkGb=701", "디알텍")</f>
        <v>0</v>
      </c>
      <c r="C2225">
        <v>0</v>
      </c>
      <c r="D2225">
        <v>1460</v>
      </c>
      <c r="E2225">
        <v>-3.02</v>
      </c>
      <c r="F2225">
        <v>90.2</v>
      </c>
      <c r="G2225">
        <v>255</v>
      </c>
      <c r="H2225">
        <v>536</v>
      </c>
      <c r="I2225">
        <v>616</v>
      </c>
      <c r="J2225">
        <v>82.55</v>
      </c>
      <c r="K2225">
        <v>63.31</v>
      </c>
      <c r="L2225">
        <v>57.83</v>
      </c>
      <c r="M2225">
        <v>2.81</v>
      </c>
      <c r="N2225" t="b">
        <v>1</v>
      </c>
      <c r="O2225">
        <v>20</v>
      </c>
      <c r="P2225" t="s">
        <v>2221</v>
      </c>
      <c r="Q2225" t="s">
        <v>3965</v>
      </c>
      <c r="R2225">
        <v>-29.89999999999999</v>
      </c>
      <c r="S2225">
        <v>756</v>
      </c>
      <c r="T2225">
        <v>475071</v>
      </c>
      <c r="U2225" t="s">
        <v>6195</v>
      </c>
      <c r="V2225">
        <v>10.75</v>
      </c>
      <c r="W2225" t="s">
        <v>8381</v>
      </c>
      <c r="X2225" t="s">
        <v>10191</v>
      </c>
      <c r="Y2225">
        <v>478</v>
      </c>
      <c r="Z2225">
        <v>14</v>
      </c>
      <c r="AA2225">
        <v>124</v>
      </c>
    </row>
    <row r="2226" spans="1:28">
      <c r="A2226" s="2">
        <f>HYPERLINK("https://finance.naver.com/item/coinfo.nhn?code=005290", "A005290")</f>
        <v>0</v>
      </c>
      <c r="B2226">
        <f>HYPERLINK("http://comp.fnguide.com/SVO2/ASP/SVD_Consensus.asp?pGB=1&amp;gicode=A005290&amp;cID=&amp;MenuYn=Y&amp;ReportGB=&amp;NewMenuID=108&amp;stkGb=701", "동진쎄미켐")</f>
        <v>0</v>
      </c>
      <c r="C2226">
        <v>0</v>
      </c>
      <c r="D2226">
        <v>31300</v>
      </c>
      <c r="E2226">
        <v>0.47</v>
      </c>
      <c r="F2226">
        <v>14.71</v>
      </c>
      <c r="G2226">
        <v>15473</v>
      </c>
      <c r="H2226">
        <v>10340</v>
      </c>
      <c r="I2226">
        <v>8877</v>
      </c>
      <c r="J2226">
        <v>50.57</v>
      </c>
      <c r="K2226">
        <v>66.95999999999999</v>
      </c>
      <c r="L2226">
        <v>71.64</v>
      </c>
      <c r="M2226">
        <v>17.8</v>
      </c>
      <c r="N2226" t="b">
        <v>1</v>
      </c>
      <c r="O2226">
        <v>1138</v>
      </c>
      <c r="P2226" t="s">
        <v>2222</v>
      </c>
      <c r="Q2226" t="s">
        <v>3966</v>
      </c>
      <c r="R2226">
        <v>31.34410351390544</v>
      </c>
      <c r="S2226">
        <v>16093</v>
      </c>
      <c r="T2226">
        <v>1805840</v>
      </c>
      <c r="U2226" t="s">
        <v>6196</v>
      </c>
      <c r="V2226">
        <v>35.74</v>
      </c>
      <c r="W2226" t="s">
        <v>8382</v>
      </c>
      <c r="X2226" t="s">
        <v>10192</v>
      </c>
      <c r="Y2226">
        <v>8753</v>
      </c>
      <c r="Z2226">
        <v>1049</v>
      </c>
      <c r="AB2226">
        <v>0.54</v>
      </c>
    </row>
    <row r="2227" spans="1:28">
      <c r="A2227" s="2">
        <f>HYPERLINK("https://finance.naver.com/item/coinfo.nhn?code=263690", "A263690")</f>
        <v>0</v>
      </c>
      <c r="B2227">
        <f>HYPERLINK("http://comp.fnguide.com/SVO2/ASP/SVD_Consensus.asp?pGB=1&amp;gicode=A263690&amp;cID=&amp;MenuYn=Y&amp;ReportGB=&amp;NewMenuID=108&amp;stkGb=701", "디알젬")</f>
        <v>0</v>
      </c>
      <c r="C2227">
        <v>0</v>
      </c>
      <c r="D2227">
        <v>17100</v>
      </c>
      <c r="E2227">
        <v>0.28</v>
      </c>
      <c r="F2227">
        <v>17.27</v>
      </c>
      <c r="G2227">
        <v>7731</v>
      </c>
      <c r="H2227">
        <v>4831</v>
      </c>
      <c r="I2227">
        <v>4004</v>
      </c>
      <c r="J2227">
        <v>54.79</v>
      </c>
      <c r="K2227">
        <v>71.75</v>
      </c>
      <c r="L2227">
        <v>76.58</v>
      </c>
      <c r="M2227">
        <v>21.22</v>
      </c>
      <c r="N2227" t="b">
        <v>1</v>
      </c>
      <c r="O2227">
        <v>483</v>
      </c>
      <c r="P2227" t="s">
        <v>2223</v>
      </c>
      <c r="Q2227" t="s">
        <v>3967</v>
      </c>
      <c r="R2227">
        <v>61.28853951227713</v>
      </c>
      <c r="S2227">
        <v>1937</v>
      </c>
      <c r="T2227">
        <v>220372</v>
      </c>
      <c r="U2227" t="s">
        <v>6197</v>
      </c>
      <c r="V2227">
        <v>42.1</v>
      </c>
      <c r="W2227" t="s">
        <v>8383</v>
      </c>
      <c r="X2227" t="s">
        <v>10193</v>
      </c>
      <c r="Y2227">
        <v>601</v>
      </c>
      <c r="Z2227">
        <v>46</v>
      </c>
      <c r="AA2227">
        <v>133591</v>
      </c>
      <c r="AB2227">
        <v>0.6</v>
      </c>
    </row>
    <row r="2228" spans="1:28">
      <c r="A2228" s="2">
        <f>HYPERLINK("https://finance.naver.com/item/coinfo.nhn?code=187870", "A187870")</f>
        <v>0</v>
      </c>
      <c r="B2228">
        <f>HYPERLINK("http://comp.fnguide.com/SVO2/ASP/SVD_Consensus.asp?pGB=1&amp;gicode=A187870&amp;cID=&amp;MenuYn=Y&amp;ReportGB=&amp;NewMenuID=108&amp;stkGb=701", "디바이스이엔지")</f>
        <v>0</v>
      </c>
      <c r="C2228">
        <v>0</v>
      </c>
      <c r="D2228">
        <v>39700</v>
      </c>
      <c r="E2228">
        <v>0.6</v>
      </c>
      <c r="F2228">
        <v>18.61</v>
      </c>
      <c r="G2228">
        <v>17835</v>
      </c>
      <c r="H2228">
        <v>12609</v>
      </c>
      <c r="I2228">
        <v>11120</v>
      </c>
      <c r="J2228">
        <v>55.08</v>
      </c>
      <c r="K2228">
        <v>68.23999999999999</v>
      </c>
      <c r="L2228">
        <v>71.98999999999999</v>
      </c>
      <c r="M2228">
        <v>15.56</v>
      </c>
      <c r="N2228" t="b">
        <v>1</v>
      </c>
      <c r="O2228">
        <v>661</v>
      </c>
      <c r="P2228" t="s">
        <v>2224</v>
      </c>
      <c r="Q2228" t="s">
        <v>3968</v>
      </c>
      <c r="R2228">
        <v>30.92457772185722</v>
      </c>
      <c r="S2228">
        <v>2794</v>
      </c>
      <c r="T2228">
        <v>770295</v>
      </c>
      <c r="U2228" t="s">
        <v>6198</v>
      </c>
      <c r="V2228">
        <v>33.61</v>
      </c>
      <c r="W2228" t="s">
        <v>8384</v>
      </c>
      <c r="X2228" t="s">
        <v>10194</v>
      </c>
      <c r="Y2228">
        <v>432</v>
      </c>
      <c r="Z2228">
        <v>44</v>
      </c>
      <c r="AA2228">
        <v>87045</v>
      </c>
      <c r="AB2228">
        <v>0</v>
      </c>
    </row>
    <row r="2229" spans="1:28">
      <c r="A2229" s="2">
        <f>HYPERLINK("https://finance.naver.com/item/coinfo.nhn?code=217620", "A217620")</f>
        <v>0</v>
      </c>
      <c r="B2229">
        <f>HYPERLINK("http://comp.fnguide.com/SVO2/ASP/SVD_Consensus.asp?pGB=1&amp;gicode=A217620&amp;cID=&amp;MenuYn=Y&amp;ReportGB=&amp;NewMenuID=108&amp;stkGb=701", "디딤")</f>
        <v>0</v>
      </c>
      <c r="C2229">
        <v>0</v>
      </c>
      <c r="D2229">
        <v>2190</v>
      </c>
      <c r="E2229">
        <v>8.43</v>
      </c>
      <c r="F2229">
        <v>51.84</v>
      </c>
      <c r="G2229">
        <v>775</v>
      </c>
      <c r="H2229">
        <v>863</v>
      </c>
      <c r="I2229">
        <v>889</v>
      </c>
      <c r="J2229">
        <v>64.61</v>
      </c>
      <c r="K2229">
        <v>60.57</v>
      </c>
      <c r="L2229">
        <v>59.42</v>
      </c>
      <c r="M2229">
        <v>6.7</v>
      </c>
      <c r="N2229" t="b">
        <v>0</v>
      </c>
      <c r="O2229">
        <v>38</v>
      </c>
      <c r="P2229" t="s">
        <v>2225</v>
      </c>
      <c r="Q2229" t="s">
        <v>3969</v>
      </c>
      <c r="R2229">
        <v>6.147620230986517</v>
      </c>
      <c r="S2229">
        <v>810</v>
      </c>
      <c r="T2229">
        <v>838088</v>
      </c>
      <c r="U2229" t="s">
        <v>6199</v>
      </c>
      <c r="V2229">
        <v>44.68</v>
      </c>
      <c r="W2229" t="s">
        <v>8385</v>
      </c>
      <c r="X2229" t="s">
        <v>10195</v>
      </c>
      <c r="Y2229">
        <v>1253</v>
      </c>
      <c r="Z2229">
        <v>35</v>
      </c>
      <c r="AA2229">
        <v>1433372</v>
      </c>
    </row>
    <row r="2230" spans="1:28">
      <c r="A2230" s="2">
        <f>HYPERLINK("https://finance.naver.com/item/coinfo.nhn?code=060570", "A060570")</f>
        <v>0</v>
      </c>
      <c r="B2230">
        <f>HYPERLINK("http://comp.fnguide.com/SVO2/ASP/SVD_Consensus.asp?pGB=1&amp;gicode=A060570&amp;cID=&amp;MenuYn=Y&amp;ReportGB=&amp;NewMenuID=108&amp;stkGb=701", "드림어스컴퍼니")</f>
        <v>0</v>
      </c>
      <c r="C2230">
        <v>0</v>
      </c>
      <c r="D2230">
        <v>4925</v>
      </c>
      <c r="E2230">
        <v>0</v>
      </c>
      <c r="G2230">
        <v>0</v>
      </c>
      <c r="H2230">
        <v>1246</v>
      </c>
      <c r="I2230">
        <v>1601</v>
      </c>
      <c r="J2230">
        <v>100</v>
      </c>
      <c r="K2230">
        <v>74.7</v>
      </c>
      <c r="L2230">
        <v>67.5</v>
      </c>
      <c r="M2230">
        <v>0</v>
      </c>
      <c r="N2230" t="b">
        <v>0</v>
      </c>
      <c r="O2230">
        <v>-844</v>
      </c>
      <c r="P2230" t="s">
        <v>2226</v>
      </c>
      <c r="Q2230" t="s">
        <v>2276</v>
      </c>
      <c r="R2230">
        <v>0</v>
      </c>
      <c r="S2230">
        <v>2800</v>
      </c>
      <c r="T2230">
        <v>183892</v>
      </c>
      <c r="U2230" t="s">
        <v>6200</v>
      </c>
      <c r="V2230">
        <v>69.23999999999999</v>
      </c>
      <c r="W2230" t="s">
        <v>8386</v>
      </c>
      <c r="X2230" t="s">
        <v>968</v>
      </c>
      <c r="Y2230">
        <v>1970</v>
      </c>
      <c r="Z2230">
        <v>-267</v>
      </c>
      <c r="AA2230">
        <v>800</v>
      </c>
    </row>
    <row r="2231" spans="1:28">
      <c r="A2231" s="2">
        <f>HYPERLINK("https://finance.naver.com/item/coinfo.nhn?code=223250", "A223250")</f>
        <v>0</v>
      </c>
      <c r="B2231">
        <f>HYPERLINK("http://comp.fnguide.com/SVO2/ASP/SVD_Consensus.asp?pGB=1&amp;gicode=A223250&amp;cID=&amp;MenuYn=Y&amp;ReportGB=&amp;NewMenuID=108&amp;stkGb=701", "드림씨아이에스")</f>
        <v>0</v>
      </c>
      <c r="C2231">
        <v>0</v>
      </c>
      <c r="D2231">
        <v>19000</v>
      </c>
      <c r="G2231">
        <v>11695</v>
      </c>
      <c r="H2231">
        <v>5823</v>
      </c>
      <c r="I2231">
        <v>4150</v>
      </c>
      <c r="J2231">
        <v>38.45</v>
      </c>
      <c r="K2231">
        <v>69.34999999999999</v>
      </c>
      <c r="L2231">
        <v>78.16</v>
      </c>
      <c r="M2231">
        <v>48.48</v>
      </c>
      <c r="N2231" t="b">
        <v>0</v>
      </c>
      <c r="O2231">
        <v>1032</v>
      </c>
      <c r="P2231" t="s">
        <v>2227</v>
      </c>
      <c r="Q2231" t="s">
        <v>3970</v>
      </c>
      <c r="R2231">
        <v>2.576313055207824</v>
      </c>
      <c r="S2231">
        <v>1058</v>
      </c>
      <c r="T2231">
        <v>19154</v>
      </c>
      <c r="U2231" t="s">
        <v>6201</v>
      </c>
      <c r="V2231">
        <v>63.44</v>
      </c>
      <c r="W2231" t="s">
        <v>8387</v>
      </c>
      <c r="X2231" t="s">
        <v>10196</v>
      </c>
      <c r="Y2231">
        <v>221</v>
      </c>
      <c r="Z2231">
        <v>43</v>
      </c>
    </row>
    <row r="2232" spans="1:28">
      <c r="A2232" s="2">
        <f>HYPERLINK("https://finance.naver.com/item/coinfo.nhn?code=203650", "A203650")</f>
        <v>0</v>
      </c>
      <c r="B2232">
        <f>HYPERLINK("http://comp.fnguide.com/SVO2/ASP/SVD_Consensus.asp?pGB=1&amp;gicode=A203650&amp;cID=&amp;MenuYn=Y&amp;ReportGB=&amp;NewMenuID=108&amp;stkGb=701", "드림시큐리티")</f>
        <v>0</v>
      </c>
      <c r="C2232">
        <v>0</v>
      </c>
      <c r="D2232">
        <v>4370</v>
      </c>
      <c r="E2232">
        <v>-121.27</v>
      </c>
      <c r="F2232">
        <v>43.89</v>
      </c>
      <c r="G2232">
        <v>1238</v>
      </c>
      <c r="H2232">
        <v>1271</v>
      </c>
      <c r="I2232">
        <v>1280</v>
      </c>
      <c r="J2232">
        <v>71.68000000000001</v>
      </c>
      <c r="K2232">
        <v>70.92</v>
      </c>
      <c r="L2232">
        <v>70.7</v>
      </c>
      <c r="M2232">
        <v>7.63</v>
      </c>
      <c r="N2232" t="b">
        <v>1</v>
      </c>
      <c r="O2232">
        <v>62</v>
      </c>
      <c r="P2232" t="s">
        <v>2228</v>
      </c>
      <c r="Q2232" t="s">
        <v>3971</v>
      </c>
      <c r="R2232">
        <v>-0.3619048756952514</v>
      </c>
      <c r="S2232">
        <v>2211</v>
      </c>
      <c r="T2232">
        <v>2493224</v>
      </c>
      <c r="U2232" t="s">
        <v>6202</v>
      </c>
      <c r="V2232">
        <v>35.3</v>
      </c>
      <c r="W2232" t="s">
        <v>8388</v>
      </c>
      <c r="X2232" t="s">
        <v>10197</v>
      </c>
      <c r="Y2232">
        <v>288</v>
      </c>
      <c r="Z2232">
        <v>18</v>
      </c>
      <c r="AA2232">
        <v>871258</v>
      </c>
    </row>
    <row r="2233" spans="1:28">
      <c r="A2233" s="2">
        <f>HYPERLINK("https://finance.naver.com/item/coinfo.nhn?code=030350", "A030350")</f>
        <v>0</v>
      </c>
      <c r="B2233">
        <f>HYPERLINK("http://comp.fnguide.com/SVO2/ASP/SVD_Consensus.asp?pGB=1&amp;gicode=A030350&amp;cID=&amp;MenuYn=Y&amp;ReportGB=&amp;NewMenuID=108&amp;stkGb=701", "드래곤플라이")</f>
        <v>0</v>
      </c>
      <c r="C2233">
        <v>0</v>
      </c>
      <c r="D2233">
        <v>3090</v>
      </c>
      <c r="E2233">
        <v>0</v>
      </c>
      <c r="G2233">
        <v>0</v>
      </c>
      <c r="H2233">
        <v>436</v>
      </c>
      <c r="I2233">
        <v>560</v>
      </c>
      <c r="J2233">
        <v>100</v>
      </c>
      <c r="K2233">
        <v>85.91</v>
      </c>
      <c r="L2233">
        <v>81.89</v>
      </c>
      <c r="M2233">
        <v>0</v>
      </c>
      <c r="N2233" t="b">
        <v>0</v>
      </c>
      <c r="O2233">
        <v>-359</v>
      </c>
      <c r="P2233" t="s">
        <v>2229</v>
      </c>
      <c r="Q2233" t="s">
        <v>2276</v>
      </c>
      <c r="R2233">
        <v>0</v>
      </c>
      <c r="S2233">
        <v>529</v>
      </c>
      <c r="T2233">
        <v>220356</v>
      </c>
      <c r="U2233" t="s">
        <v>6203</v>
      </c>
      <c r="V2233">
        <v>14.7</v>
      </c>
      <c r="W2233" t="s">
        <v>8389</v>
      </c>
      <c r="X2233" t="s">
        <v>968</v>
      </c>
      <c r="Y2233">
        <v>61</v>
      </c>
      <c r="Z2233">
        <v>-45</v>
      </c>
    </row>
    <row r="2234" spans="1:28">
      <c r="A2234" s="2">
        <f>HYPERLINK("https://finance.naver.com/item/coinfo.nhn?code=073190", "A073190")</f>
        <v>0</v>
      </c>
      <c r="B2234">
        <f>HYPERLINK("http://comp.fnguide.com/SVO2/ASP/SVD_Consensus.asp?pGB=1&amp;gicode=A073190&amp;cID=&amp;MenuYn=Y&amp;ReportGB=&amp;NewMenuID=108&amp;stkGb=701", "듀오백")</f>
        <v>0</v>
      </c>
      <c r="C2234">
        <v>0</v>
      </c>
      <c r="D2234">
        <v>3030</v>
      </c>
      <c r="E2234">
        <v>0</v>
      </c>
      <c r="G2234">
        <v>210</v>
      </c>
      <c r="H2234">
        <v>1572</v>
      </c>
      <c r="I2234">
        <v>1960</v>
      </c>
      <c r="J2234">
        <v>93.08</v>
      </c>
      <c r="K2234">
        <v>48.13</v>
      </c>
      <c r="L2234">
        <v>35.32</v>
      </c>
      <c r="M2234">
        <v>0.67</v>
      </c>
      <c r="N2234" t="b">
        <v>0</v>
      </c>
      <c r="O2234">
        <v>-238</v>
      </c>
      <c r="P2234" t="s">
        <v>2230</v>
      </c>
      <c r="Q2234" t="s">
        <v>2276</v>
      </c>
      <c r="R2234">
        <v>0</v>
      </c>
      <c r="S2234">
        <v>363</v>
      </c>
      <c r="T2234">
        <v>45446</v>
      </c>
      <c r="U2234" t="s">
        <v>6204</v>
      </c>
      <c r="V2234">
        <v>43.86</v>
      </c>
      <c r="W2234" t="s">
        <v>8390</v>
      </c>
      <c r="X2234" t="s">
        <v>10198</v>
      </c>
      <c r="Y2234">
        <v>318</v>
      </c>
      <c r="Z2234">
        <v>-25</v>
      </c>
      <c r="AA2234">
        <v>904602</v>
      </c>
    </row>
    <row r="2235" spans="1:28">
      <c r="A2235" s="2">
        <f>HYPERLINK("https://finance.naver.com/item/coinfo.nhn?code=025900", "A025900")</f>
        <v>0</v>
      </c>
      <c r="B2235">
        <f>HYPERLINK("http://comp.fnguide.com/SVO2/ASP/SVD_Consensus.asp?pGB=1&amp;gicode=A025900&amp;cID=&amp;MenuYn=Y&amp;ReportGB=&amp;NewMenuID=108&amp;stkGb=701", "동화기업")</f>
        <v>0</v>
      </c>
      <c r="C2235">
        <v>0</v>
      </c>
      <c r="D2235">
        <v>42800</v>
      </c>
      <c r="E2235">
        <v>2.39</v>
      </c>
      <c r="F2235">
        <v>12.36</v>
      </c>
      <c r="G2235">
        <v>22549</v>
      </c>
      <c r="H2235">
        <v>26417</v>
      </c>
      <c r="I2235">
        <v>27519</v>
      </c>
      <c r="J2235">
        <v>47.32</v>
      </c>
      <c r="K2235">
        <v>38.28</v>
      </c>
      <c r="L2235">
        <v>35.7</v>
      </c>
      <c r="M2235">
        <v>6.2</v>
      </c>
      <c r="N2235" t="b">
        <v>1</v>
      </c>
      <c r="O2235">
        <v>1371</v>
      </c>
      <c r="P2235" t="s">
        <v>2231</v>
      </c>
      <c r="Q2235" t="s">
        <v>3972</v>
      </c>
      <c r="R2235">
        <v>5.182016330486583</v>
      </c>
      <c r="S2235">
        <v>8645</v>
      </c>
      <c r="T2235">
        <v>143421</v>
      </c>
      <c r="U2235" t="s">
        <v>6205</v>
      </c>
      <c r="V2235">
        <v>69.55</v>
      </c>
      <c r="W2235" t="s">
        <v>8391</v>
      </c>
      <c r="X2235" t="s">
        <v>10199</v>
      </c>
      <c r="Y2235">
        <v>7174</v>
      </c>
      <c r="Z2235">
        <v>585</v>
      </c>
      <c r="AA2235">
        <v>1924156</v>
      </c>
      <c r="AB2235">
        <v>0.88</v>
      </c>
    </row>
    <row r="2236" spans="1:28">
      <c r="A2236" s="2">
        <f>HYPERLINK("https://finance.naver.com/item/coinfo.nhn?code=238490", "A238490")</f>
        <v>0</v>
      </c>
      <c r="B2236">
        <f>HYPERLINK("http://comp.fnguide.com/SVO2/ASP/SVD_Consensus.asp?pGB=1&amp;gicode=A238490&amp;cID=&amp;MenuYn=Y&amp;ReportGB=&amp;NewMenuID=108&amp;stkGb=701", "힘스")</f>
        <v>0</v>
      </c>
      <c r="C2236">
        <v>0</v>
      </c>
      <c r="D2236">
        <v>12700</v>
      </c>
      <c r="E2236">
        <v>0.15</v>
      </c>
      <c r="F2236">
        <v>18.26</v>
      </c>
      <c r="G2236">
        <v>8680</v>
      </c>
      <c r="H2236">
        <v>6694</v>
      </c>
      <c r="I2236">
        <v>6128</v>
      </c>
      <c r="J2236">
        <v>31.65</v>
      </c>
      <c r="K2236">
        <v>47.29</v>
      </c>
      <c r="L2236">
        <v>51.75</v>
      </c>
      <c r="M2236">
        <v>12.87</v>
      </c>
      <c r="N2236" t="b">
        <v>1</v>
      </c>
      <c r="O2236">
        <v>746</v>
      </c>
      <c r="P2236" t="s">
        <v>2232</v>
      </c>
      <c r="Q2236" t="s">
        <v>3973</v>
      </c>
      <c r="R2236">
        <v>120.0941843847765</v>
      </c>
      <c r="S2236">
        <v>1437</v>
      </c>
      <c r="T2236">
        <v>131672</v>
      </c>
      <c r="U2236" t="s">
        <v>6206</v>
      </c>
      <c r="V2236">
        <v>34</v>
      </c>
      <c r="W2236" t="s">
        <v>8392</v>
      </c>
      <c r="X2236" t="s">
        <v>10200</v>
      </c>
      <c r="Y2236">
        <v>851</v>
      </c>
      <c r="Z2236">
        <v>77</v>
      </c>
      <c r="AB2236">
        <v>0.73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418"/>
  <sheetViews>
    <sheetView workbookViewId="0"/>
  </sheetViews>
  <sheetFormatPr defaultRowHeight="15"/>
  <sheetData>
    <row r="1" spans="1:28">
      <c r="A1" s="2" t="s">
        <v>10254</v>
      </c>
      <c r="B1" s="1" t="s">
        <v>10227</v>
      </c>
      <c r="C1" s="1" t="s">
        <v>10228</v>
      </c>
      <c r="D1" s="1" t="s">
        <v>10229</v>
      </c>
      <c r="E1" s="1" t="s">
        <v>10230</v>
      </c>
      <c r="F1" s="1" t="s">
        <v>10231</v>
      </c>
      <c r="G1" s="1" t="s">
        <v>10232</v>
      </c>
      <c r="H1" s="1" t="s">
        <v>10233</v>
      </c>
      <c r="I1" s="1" t="s">
        <v>10234</v>
      </c>
      <c r="J1" s="1" t="s">
        <v>10235</v>
      </c>
      <c r="K1" s="1" t="s">
        <v>10236</v>
      </c>
      <c r="L1" s="1" t="s">
        <v>10237</v>
      </c>
      <c r="M1" s="1" t="s">
        <v>10238</v>
      </c>
      <c r="N1" s="1" t="s">
        <v>10239</v>
      </c>
      <c r="O1" s="1" t="s">
        <v>10240</v>
      </c>
      <c r="P1" s="1" t="s">
        <v>10241</v>
      </c>
      <c r="Q1" s="1" t="s">
        <v>10242</v>
      </c>
      <c r="R1" s="1" t="s">
        <v>10243</v>
      </c>
      <c r="S1" s="1" t="s">
        <v>10255</v>
      </c>
      <c r="T1" s="1" t="s">
        <v>10245</v>
      </c>
      <c r="U1" s="1" t="s">
        <v>10246</v>
      </c>
      <c r="V1" s="1" t="s">
        <v>10247</v>
      </c>
      <c r="W1" s="1" t="s">
        <v>10248</v>
      </c>
      <c r="X1" s="1" t="s">
        <v>10249</v>
      </c>
      <c r="Y1" s="1" t="s">
        <v>10250</v>
      </c>
      <c r="Z1" s="1" t="s">
        <v>10251</v>
      </c>
      <c r="AA1" s="1" t="s">
        <v>10252</v>
      </c>
      <c r="AB1" s="1" t="s">
        <v>10253</v>
      </c>
    </row>
    <row r="2" spans="1:28">
      <c r="A2" s="2">
        <f>HYPERLINK("https://finance.naver.com/item/coinfo.nhn?code=008110", "A008110")</f>
        <v>0</v>
      </c>
      <c r="B2">
        <f>HYPERLINK("http://comp.fnguide.com/SVO2/ASP/SVD_Consensus.asp?pGB=1&amp;gicode=A008110&amp;cID=&amp;MenuYn=Y&amp;ReportGB=&amp;NewMenuID=108&amp;stkGb=701", "대동전자")</f>
        <v>0</v>
      </c>
      <c r="C2">
        <v>3</v>
      </c>
      <c r="D2">
        <v>4360</v>
      </c>
      <c r="E2">
        <v>0.21</v>
      </c>
      <c r="F2">
        <v>7.36</v>
      </c>
      <c r="G2">
        <v>5476</v>
      </c>
      <c r="H2">
        <v>12415</v>
      </c>
      <c r="I2">
        <v>14392</v>
      </c>
      <c r="J2">
        <v>-25.59</v>
      </c>
      <c r="K2">
        <v>-184.74</v>
      </c>
      <c r="L2">
        <v>-230.09</v>
      </c>
      <c r="M2">
        <v>2.56</v>
      </c>
      <c r="N2" t="b">
        <v>1</v>
      </c>
      <c r="O2">
        <v>419</v>
      </c>
      <c r="P2" t="s">
        <v>587</v>
      </c>
      <c r="Q2" t="s">
        <v>2759</v>
      </c>
      <c r="R2">
        <v>34.8310694122681</v>
      </c>
      <c r="S2">
        <v>457</v>
      </c>
      <c r="T2">
        <v>10250</v>
      </c>
      <c r="U2" t="s">
        <v>4559</v>
      </c>
      <c r="V2">
        <v>60.4</v>
      </c>
      <c r="W2" t="s">
        <v>6779</v>
      </c>
      <c r="X2" t="s">
        <v>8922</v>
      </c>
      <c r="Y2">
        <v>450</v>
      </c>
      <c r="Z2">
        <v>17</v>
      </c>
      <c r="AA2">
        <v>2320000</v>
      </c>
      <c r="AB2">
        <v>16.21</v>
      </c>
    </row>
    <row r="3" spans="1:28">
      <c r="A3" s="2">
        <f>HYPERLINK("https://finance.naver.com/item/coinfo.nhn?code=034950", "A034950")</f>
        <v>0</v>
      </c>
      <c r="B3">
        <f>HYPERLINK("http://comp.fnguide.com/SVO2/ASP/SVD_Consensus.asp?pGB=1&amp;gicode=A034950&amp;cID=&amp;MenuYn=Y&amp;ReportGB=&amp;NewMenuID=108&amp;stkGb=701", "한국기업평가")</f>
        <v>0</v>
      </c>
      <c r="C3">
        <v>0</v>
      </c>
      <c r="D3">
        <v>103300</v>
      </c>
      <c r="E3">
        <v>0.99</v>
      </c>
      <c r="F3">
        <v>13.05</v>
      </c>
      <c r="G3">
        <v>59028</v>
      </c>
      <c r="H3">
        <v>37987</v>
      </c>
      <c r="I3">
        <v>31992</v>
      </c>
      <c r="J3">
        <v>42.86</v>
      </c>
      <c r="K3">
        <v>63.23</v>
      </c>
      <c r="L3">
        <v>69.03</v>
      </c>
      <c r="M3">
        <v>19.6</v>
      </c>
      <c r="N3" t="b">
        <v>0</v>
      </c>
      <c r="O3">
        <v>4483</v>
      </c>
      <c r="P3" t="s">
        <v>1382</v>
      </c>
      <c r="Q3" t="s">
        <v>3374</v>
      </c>
      <c r="R3">
        <v>13.14185362076437</v>
      </c>
      <c r="S3">
        <v>4690</v>
      </c>
      <c r="T3">
        <v>24153</v>
      </c>
      <c r="U3" t="s">
        <v>5353</v>
      </c>
      <c r="V3">
        <v>73.55</v>
      </c>
      <c r="W3" t="s">
        <v>7557</v>
      </c>
      <c r="X3" t="s">
        <v>9554</v>
      </c>
      <c r="Y3">
        <v>927</v>
      </c>
      <c r="Z3">
        <v>316</v>
      </c>
      <c r="AA3">
        <v>79643</v>
      </c>
      <c r="AB3">
        <v>14.73</v>
      </c>
    </row>
    <row r="4" spans="1:28">
      <c r="A4" s="2">
        <f>HYPERLINK("https://finance.naver.com/item/coinfo.nhn?code=095720", "A095720")</f>
        <v>0</v>
      </c>
      <c r="B4">
        <f>HYPERLINK("http://comp.fnguide.com/SVO2/ASP/SVD_Consensus.asp?pGB=1&amp;gicode=A095720&amp;cID=&amp;MenuYn=Y&amp;ReportGB=&amp;NewMenuID=108&amp;stkGb=701", "웅진씽크빅")</f>
        <v>0</v>
      </c>
      <c r="C4">
        <v>3</v>
      </c>
      <c r="D4">
        <v>2800</v>
      </c>
      <c r="G4">
        <v>2012</v>
      </c>
      <c r="H4">
        <v>3315</v>
      </c>
      <c r="I4">
        <v>3686</v>
      </c>
      <c r="J4">
        <v>28.15</v>
      </c>
      <c r="K4">
        <v>-18.39</v>
      </c>
      <c r="L4">
        <v>-31.66</v>
      </c>
      <c r="M4">
        <v>3.83</v>
      </c>
      <c r="N4" t="b">
        <v>0</v>
      </c>
      <c r="O4">
        <v>-1187</v>
      </c>
      <c r="P4" t="s">
        <v>178</v>
      </c>
      <c r="Q4" t="s">
        <v>2384</v>
      </c>
      <c r="R4">
        <v>-28.28967782742666</v>
      </c>
      <c r="S4">
        <v>3287</v>
      </c>
      <c r="T4">
        <v>562643</v>
      </c>
      <c r="U4" t="s">
        <v>4150</v>
      </c>
      <c r="V4">
        <v>59.52</v>
      </c>
      <c r="W4" t="s">
        <v>6370</v>
      </c>
      <c r="X4" t="s">
        <v>8545</v>
      </c>
      <c r="Y4">
        <v>6522</v>
      </c>
      <c r="Z4">
        <v>217</v>
      </c>
      <c r="AA4">
        <v>3045748</v>
      </c>
      <c r="AB4">
        <v>10.37</v>
      </c>
    </row>
    <row r="5" spans="1:28">
      <c r="A5" s="2">
        <f>HYPERLINK("https://finance.naver.com/item/coinfo.nhn?code=005960", "A005960")</f>
        <v>0</v>
      </c>
      <c r="B5">
        <f>HYPERLINK("http://comp.fnguide.com/SVO2/ASP/SVD_Consensus.asp?pGB=1&amp;gicode=A005960&amp;cID=&amp;MenuYn=Y&amp;ReportGB=&amp;NewMenuID=108&amp;stkGb=701", "동부건설")</f>
        <v>0</v>
      </c>
      <c r="C5">
        <v>3</v>
      </c>
      <c r="D5">
        <v>13400</v>
      </c>
      <c r="E5">
        <v>-0.21</v>
      </c>
      <c r="F5">
        <v>3.05</v>
      </c>
      <c r="G5">
        <v>48345</v>
      </c>
      <c r="H5">
        <v>30424</v>
      </c>
      <c r="I5">
        <v>25317</v>
      </c>
      <c r="J5">
        <v>-260.79</v>
      </c>
      <c r="K5">
        <v>-127.04</v>
      </c>
      <c r="L5">
        <v>-88.93000000000001</v>
      </c>
      <c r="M5">
        <v>20.81</v>
      </c>
      <c r="N5" t="b">
        <v>1</v>
      </c>
      <c r="O5">
        <v>2803</v>
      </c>
      <c r="P5" t="s">
        <v>637</v>
      </c>
      <c r="Q5" t="s">
        <v>2807</v>
      </c>
      <c r="R5">
        <v>-14.26029213425397</v>
      </c>
      <c r="S5">
        <v>3042</v>
      </c>
      <c r="T5">
        <v>226810</v>
      </c>
      <c r="U5" t="s">
        <v>4609</v>
      </c>
      <c r="V5">
        <v>62.19</v>
      </c>
      <c r="W5" t="s">
        <v>6829</v>
      </c>
      <c r="X5" t="s">
        <v>8971</v>
      </c>
      <c r="Y5">
        <v>11554</v>
      </c>
      <c r="Z5">
        <v>555</v>
      </c>
      <c r="AA5">
        <v>4291</v>
      </c>
      <c r="AB5">
        <v>8.199999999999999</v>
      </c>
    </row>
    <row r="6" spans="1:28">
      <c r="A6" s="2">
        <f>HYPERLINK("https://finance.naver.com/item/coinfo.nhn?code=225330", "A225330")</f>
        <v>0</v>
      </c>
      <c r="B6">
        <f>HYPERLINK("http://comp.fnguide.com/SVO2/ASP/SVD_Consensus.asp?pGB=1&amp;gicode=A225330&amp;cID=&amp;MenuYn=Y&amp;ReportGB=&amp;NewMenuID=108&amp;stkGb=701", "씨엠에스에듀")</f>
        <v>0</v>
      </c>
      <c r="C6">
        <v>0</v>
      </c>
      <c r="D6">
        <v>5570</v>
      </c>
      <c r="E6">
        <v>-1.54</v>
      </c>
      <c r="F6">
        <v>16.14</v>
      </c>
      <c r="G6">
        <v>3711</v>
      </c>
      <c r="H6">
        <v>2729</v>
      </c>
      <c r="I6">
        <v>2449</v>
      </c>
      <c r="J6">
        <v>33.38</v>
      </c>
      <c r="K6">
        <v>51.01</v>
      </c>
      <c r="L6">
        <v>56.03</v>
      </c>
      <c r="M6">
        <v>14.24</v>
      </c>
      <c r="N6" t="b">
        <v>0</v>
      </c>
      <c r="O6">
        <v>328</v>
      </c>
      <c r="P6" t="s">
        <v>1966</v>
      </c>
      <c r="Q6" t="s">
        <v>3799</v>
      </c>
      <c r="R6">
        <v>-10.48974714526978</v>
      </c>
      <c r="S6">
        <v>1038</v>
      </c>
      <c r="T6">
        <v>101849</v>
      </c>
      <c r="U6" t="s">
        <v>5938</v>
      </c>
      <c r="V6">
        <v>57</v>
      </c>
      <c r="W6" t="s">
        <v>8131</v>
      </c>
      <c r="X6" t="s">
        <v>10016</v>
      </c>
      <c r="Y6">
        <v>821</v>
      </c>
      <c r="Z6">
        <v>95</v>
      </c>
      <c r="AB6">
        <v>8.02</v>
      </c>
    </row>
    <row r="7" spans="1:28">
      <c r="A7" s="2">
        <f>HYPERLINK("https://finance.naver.com/item/coinfo.nhn?code=225190", "A225190")</f>
        <v>0</v>
      </c>
      <c r="B7">
        <f>HYPERLINK("http://comp.fnguide.com/SVO2/ASP/SVD_Consensus.asp?pGB=1&amp;gicode=A225190&amp;cID=&amp;MenuYn=Y&amp;ReportGB=&amp;NewMenuID=108&amp;stkGb=701", "삼양옵틱스")</f>
        <v>0</v>
      </c>
      <c r="C7">
        <v>2</v>
      </c>
      <c r="D7">
        <v>9520</v>
      </c>
      <c r="E7">
        <v>-0.35</v>
      </c>
      <c r="F7">
        <v>9.470000000000001</v>
      </c>
      <c r="G7">
        <v>18666</v>
      </c>
      <c r="H7">
        <v>9797</v>
      </c>
      <c r="I7">
        <v>7270</v>
      </c>
      <c r="J7">
        <v>-96.06999999999999</v>
      </c>
      <c r="K7">
        <v>-2.91</v>
      </c>
      <c r="L7">
        <v>23.64</v>
      </c>
      <c r="M7">
        <v>38.1</v>
      </c>
      <c r="N7" t="b">
        <v>1</v>
      </c>
      <c r="O7">
        <v>1347</v>
      </c>
      <c r="P7" t="s">
        <v>776</v>
      </c>
      <c r="Q7" t="s">
        <v>2935</v>
      </c>
      <c r="R7">
        <v>-27.27551790531576</v>
      </c>
      <c r="S7">
        <v>961</v>
      </c>
      <c r="T7">
        <v>19861</v>
      </c>
      <c r="U7" t="s">
        <v>4748</v>
      </c>
      <c r="V7">
        <v>68.13</v>
      </c>
      <c r="W7" t="s">
        <v>6968</v>
      </c>
      <c r="X7" t="s">
        <v>9099</v>
      </c>
      <c r="Y7">
        <v>636</v>
      </c>
      <c r="Z7">
        <v>157</v>
      </c>
      <c r="AA7">
        <v>28580</v>
      </c>
      <c r="AB7">
        <v>7.84</v>
      </c>
    </row>
    <row r="8" spans="1:28">
      <c r="A8" s="2">
        <f>HYPERLINK("https://finance.naver.com/item/coinfo.nhn?code=000650", "A000650")</f>
        <v>0</v>
      </c>
      <c r="B8">
        <f>HYPERLINK("http://comp.fnguide.com/SVO2/ASP/SVD_Consensus.asp?pGB=1&amp;gicode=A000650&amp;cID=&amp;MenuYn=Y&amp;ReportGB=&amp;NewMenuID=108&amp;stkGb=701", "천일고속")</f>
        <v>0</v>
      </c>
      <c r="C8">
        <v>0</v>
      </c>
      <c r="D8">
        <v>78000</v>
      </c>
      <c r="E8">
        <v>0.98</v>
      </c>
      <c r="F8">
        <v>138.47</v>
      </c>
      <c r="G8">
        <v>49982</v>
      </c>
      <c r="H8">
        <v>41424</v>
      </c>
      <c r="I8">
        <v>38985</v>
      </c>
      <c r="J8">
        <v>35.92</v>
      </c>
      <c r="K8">
        <v>46.89</v>
      </c>
      <c r="L8">
        <v>50.02</v>
      </c>
      <c r="M8">
        <v>11.15</v>
      </c>
      <c r="N8" t="b">
        <v>0</v>
      </c>
      <c r="O8">
        <v>506</v>
      </c>
      <c r="P8" t="s">
        <v>1542</v>
      </c>
      <c r="Q8" t="s">
        <v>3496</v>
      </c>
      <c r="R8">
        <v>141.9979338754775</v>
      </c>
      <c r="S8">
        <v>1115</v>
      </c>
      <c r="T8">
        <v>4984</v>
      </c>
      <c r="U8" t="s">
        <v>5513</v>
      </c>
      <c r="V8">
        <v>85.73999999999999</v>
      </c>
      <c r="W8" t="s">
        <v>7715</v>
      </c>
      <c r="X8" t="s">
        <v>9678</v>
      </c>
      <c r="Y8">
        <v>596</v>
      </c>
      <c r="Z8">
        <v>6</v>
      </c>
      <c r="AA8">
        <v>2166</v>
      </c>
      <c r="AB8">
        <v>7.14</v>
      </c>
    </row>
    <row r="9" spans="1:28">
      <c r="A9" s="2">
        <f>HYPERLINK("https://finance.naver.com/item/coinfo.nhn?code=007330", "A007330")</f>
        <v>0</v>
      </c>
      <c r="B9">
        <f>HYPERLINK("http://comp.fnguide.com/SVO2/ASP/SVD_Consensus.asp?pGB=1&amp;gicode=A007330&amp;cID=&amp;MenuYn=Y&amp;ReportGB=&amp;NewMenuID=108&amp;stkGb=701", "푸른저축은행")</f>
        <v>0</v>
      </c>
      <c r="C9">
        <v>3</v>
      </c>
      <c r="D9">
        <v>8820</v>
      </c>
      <c r="E9">
        <v>0</v>
      </c>
      <c r="F9">
        <v>4.8</v>
      </c>
      <c r="G9">
        <v>27414</v>
      </c>
      <c r="H9">
        <v>24411</v>
      </c>
      <c r="I9">
        <v>23556</v>
      </c>
      <c r="J9">
        <v>-210.81</v>
      </c>
      <c r="K9">
        <v>-176.77</v>
      </c>
      <c r="L9">
        <v>-167.07</v>
      </c>
      <c r="M9">
        <v>9.75</v>
      </c>
      <c r="N9" t="b">
        <v>1</v>
      </c>
      <c r="O9">
        <v>1631</v>
      </c>
      <c r="P9" t="s">
        <v>713</v>
      </c>
      <c r="Q9" t="s">
        <v>2877</v>
      </c>
      <c r="R9">
        <v>-16.70070494091571</v>
      </c>
      <c r="S9">
        <v>1330</v>
      </c>
      <c r="T9">
        <v>22698</v>
      </c>
      <c r="U9" t="s">
        <v>4685</v>
      </c>
      <c r="V9">
        <v>62.3</v>
      </c>
      <c r="W9" t="s">
        <v>6905</v>
      </c>
      <c r="X9" t="s">
        <v>9038</v>
      </c>
      <c r="Y9">
        <v>559</v>
      </c>
      <c r="Z9">
        <v>321</v>
      </c>
      <c r="AA9">
        <v>3243332</v>
      </c>
      <c r="AB9">
        <v>7.02</v>
      </c>
    </row>
    <row r="10" spans="1:28">
      <c r="A10" s="2">
        <f>HYPERLINK("https://finance.naver.com/item/coinfo.nhn?code=011280", "A011280")</f>
        <v>0</v>
      </c>
      <c r="B10">
        <f>HYPERLINK("http://comp.fnguide.com/SVO2/ASP/SVD_Consensus.asp?pGB=1&amp;gicode=A011280&amp;cID=&amp;MenuYn=Y&amp;ReportGB=&amp;NewMenuID=108&amp;stkGb=701", "태림포장")</f>
        <v>0</v>
      </c>
      <c r="C10">
        <v>0</v>
      </c>
      <c r="D10">
        <v>6930</v>
      </c>
      <c r="E10">
        <v>0.04</v>
      </c>
      <c r="F10">
        <v>16.19</v>
      </c>
      <c r="G10">
        <v>2932</v>
      </c>
      <c r="H10">
        <v>3843</v>
      </c>
      <c r="I10">
        <v>4102</v>
      </c>
      <c r="J10">
        <v>57.69</v>
      </c>
      <c r="K10">
        <v>44.55</v>
      </c>
      <c r="L10">
        <v>40.8</v>
      </c>
      <c r="M10">
        <v>5.25</v>
      </c>
      <c r="N10" t="b">
        <v>1</v>
      </c>
      <c r="O10">
        <v>263</v>
      </c>
      <c r="P10" t="s">
        <v>1472</v>
      </c>
      <c r="Q10" t="s">
        <v>3437</v>
      </c>
      <c r="R10">
        <v>370.9017803285378</v>
      </c>
      <c r="S10">
        <v>4907</v>
      </c>
      <c r="T10">
        <v>32099185</v>
      </c>
      <c r="U10" t="s">
        <v>5443</v>
      </c>
      <c r="V10">
        <v>68.78</v>
      </c>
      <c r="W10" t="s">
        <v>7645</v>
      </c>
      <c r="X10" t="s">
        <v>9617</v>
      </c>
      <c r="Y10">
        <v>5729</v>
      </c>
      <c r="Z10">
        <v>208</v>
      </c>
      <c r="AA10">
        <v>1966819</v>
      </c>
      <c r="AB10">
        <v>6.82</v>
      </c>
    </row>
    <row r="11" spans="1:28">
      <c r="A11" s="2">
        <f>HYPERLINK("https://finance.naver.com/item/coinfo.nhn?code=003410", "A003410")</f>
        <v>0</v>
      </c>
      <c r="B11">
        <f>HYPERLINK("http://comp.fnguide.com/SVO2/ASP/SVD_Consensus.asp?pGB=1&amp;gicode=A003410&amp;cID=&amp;MenuYn=Y&amp;ReportGB=&amp;NewMenuID=108&amp;stkGb=701", "쌍용양회")</f>
        <v>0</v>
      </c>
      <c r="C11">
        <v>0</v>
      </c>
      <c r="D11">
        <v>6700</v>
      </c>
      <c r="E11">
        <v>4.54</v>
      </c>
      <c r="F11">
        <v>23.95</v>
      </c>
      <c r="G11">
        <v>4062</v>
      </c>
      <c r="H11">
        <v>3840</v>
      </c>
      <c r="I11">
        <v>3777</v>
      </c>
      <c r="J11">
        <v>39.37</v>
      </c>
      <c r="K11">
        <v>42.68</v>
      </c>
      <c r="L11">
        <v>43.62</v>
      </c>
      <c r="M11">
        <v>8.77</v>
      </c>
      <c r="N11" t="b">
        <v>0</v>
      </c>
      <c r="O11">
        <v>259</v>
      </c>
      <c r="P11" t="s">
        <v>1766</v>
      </c>
      <c r="Q11" t="s">
        <v>3659</v>
      </c>
      <c r="R11">
        <v>5.27623662368959</v>
      </c>
      <c r="S11">
        <v>33759</v>
      </c>
      <c r="T11">
        <v>22171425</v>
      </c>
      <c r="U11" t="s">
        <v>5736</v>
      </c>
      <c r="V11">
        <v>77.98</v>
      </c>
      <c r="W11" t="s">
        <v>7934</v>
      </c>
      <c r="X11" t="s">
        <v>9867</v>
      </c>
      <c r="Y11">
        <v>15385</v>
      </c>
      <c r="Z11">
        <v>2284</v>
      </c>
      <c r="AA11">
        <v>15777900</v>
      </c>
      <c r="AB11">
        <v>6.76</v>
      </c>
    </row>
    <row r="12" spans="1:28">
      <c r="A12" s="2">
        <f>HYPERLINK("https://finance.naver.com/item/coinfo.nhn?code=019440", "A019440")</f>
        <v>0</v>
      </c>
      <c r="B12">
        <f>HYPERLINK("http://comp.fnguide.com/SVO2/ASP/SVD_Consensus.asp?pGB=1&amp;gicode=A019440&amp;cID=&amp;MenuYn=Y&amp;ReportGB=&amp;NewMenuID=108&amp;stkGb=701", "세아특수강")</f>
        <v>0</v>
      </c>
      <c r="C12">
        <v>3</v>
      </c>
      <c r="D12">
        <v>11800</v>
      </c>
      <c r="E12">
        <v>-0.79</v>
      </c>
      <c r="F12">
        <v>10.51</v>
      </c>
      <c r="G12">
        <v>20106</v>
      </c>
      <c r="H12">
        <v>30823</v>
      </c>
      <c r="I12">
        <v>33877</v>
      </c>
      <c r="J12">
        <v>-70.39</v>
      </c>
      <c r="K12">
        <v>-161.22</v>
      </c>
      <c r="L12">
        <v>-187.1</v>
      </c>
      <c r="M12">
        <v>4.22</v>
      </c>
      <c r="N12" t="b">
        <v>1</v>
      </c>
      <c r="O12">
        <v>1280</v>
      </c>
      <c r="P12" t="s">
        <v>766</v>
      </c>
      <c r="Q12" t="s">
        <v>2926</v>
      </c>
      <c r="R12">
        <v>-13.23831839952583</v>
      </c>
      <c r="S12">
        <v>1011</v>
      </c>
      <c r="T12">
        <v>12145</v>
      </c>
      <c r="U12" t="s">
        <v>4738</v>
      </c>
      <c r="V12">
        <v>70.59</v>
      </c>
      <c r="W12" t="s">
        <v>6958</v>
      </c>
      <c r="X12" t="s">
        <v>9090</v>
      </c>
      <c r="Y12">
        <v>7175</v>
      </c>
      <c r="Z12">
        <v>195</v>
      </c>
      <c r="AA12">
        <v>210181</v>
      </c>
      <c r="AB12">
        <v>6.69</v>
      </c>
    </row>
    <row r="13" spans="1:28">
      <c r="A13" s="2">
        <f>HYPERLINK("https://finance.naver.com/item/coinfo.nhn?code=085910", "A085910")</f>
        <v>0</v>
      </c>
      <c r="B13">
        <f>HYPERLINK("http://comp.fnguide.com/SVO2/ASP/SVD_Consensus.asp?pGB=1&amp;gicode=A085910&amp;cID=&amp;MenuYn=Y&amp;ReportGB=&amp;NewMenuID=108&amp;stkGb=701", "네오티스")</f>
        <v>0</v>
      </c>
      <c r="C13">
        <v>0</v>
      </c>
      <c r="D13">
        <v>3840</v>
      </c>
      <c r="E13">
        <v>-0.74</v>
      </c>
      <c r="F13">
        <v>30.93</v>
      </c>
      <c r="G13">
        <v>1971</v>
      </c>
      <c r="H13">
        <v>3243</v>
      </c>
      <c r="I13">
        <v>3605</v>
      </c>
      <c r="J13">
        <v>48.68</v>
      </c>
      <c r="K13">
        <v>15.55</v>
      </c>
      <c r="L13">
        <v>6.11</v>
      </c>
      <c r="M13">
        <v>3.84</v>
      </c>
      <c r="N13" t="b">
        <v>1</v>
      </c>
      <c r="O13">
        <v>123</v>
      </c>
      <c r="P13" t="s">
        <v>2090</v>
      </c>
      <c r="Q13" t="s">
        <v>3875</v>
      </c>
      <c r="R13">
        <v>-41.92160470536398</v>
      </c>
      <c r="S13">
        <v>423</v>
      </c>
      <c r="T13">
        <v>21991</v>
      </c>
      <c r="U13" t="s">
        <v>6063</v>
      </c>
      <c r="V13">
        <v>50.97</v>
      </c>
      <c r="W13" t="s">
        <v>8250</v>
      </c>
      <c r="X13" t="s">
        <v>10093</v>
      </c>
      <c r="Y13">
        <v>424</v>
      </c>
      <c r="Z13">
        <v>34</v>
      </c>
      <c r="AA13">
        <v>568674</v>
      </c>
      <c r="AB13">
        <v>6.58</v>
      </c>
    </row>
    <row r="14" spans="1:28">
      <c r="A14" s="2">
        <f>HYPERLINK("https://finance.naver.com/item/coinfo.nhn?code=100250", "A100250")</f>
        <v>0</v>
      </c>
      <c r="B14">
        <f>HYPERLINK("http://comp.fnguide.com/SVO2/ASP/SVD_Consensus.asp?pGB=1&amp;gicode=A100250&amp;cID=&amp;MenuYn=Y&amp;ReportGB=&amp;NewMenuID=108&amp;stkGb=701", "진양홀딩스")</f>
        <v>0</v>
      </c>
      <c r="C14">
        <v>3</v>
      </c>
      <c r="D14">
        <v>2805</v>
      </c>
      <c r="E14">
        <v>0.24</v>
      </c>
      <c r="F14">
        <v>9.65</v>
      </c>
      <c r="G14">
        <v>2227</v>
      </c>
      <c r="H14">
        <v>4264</v>
      </c>
      <c r="I14">
        <v>4844</v>
      </c>
      <c r="J14">
        <v>20.6</v>
      </c>
      <c r="K14">
        <v>-52.02</v>
      </c>
      <c r="L14">
        <v>-72.70999999999999</v>
      </c>
      <c r="M14">
        <v>3.16</v>
      </c>
      <c r="N14" t="b">
        <v>1</v>
      </c>
      <c r="O14">
        <v>271</v>
      </c>
      <c r="P14" t="s">
        <v>227</v>
      </c>
      <c r="Q14" t="s">
        <v>2432</v>
      </c>
      <c r="R14">
        <v>40.69823214543182</v>
      </c>
      <c r="S14">
        <v>1568</v>
      </c>
      <c r="T14">
        <v>152029</v>
      </c>
      <c r="U14" t="s">
        <v>4199</v>
      </c>
      <c r="V14">
        <v>62.94</v>
      </c>
      <c r="W14" t="s">
        <v>6419</v>
      </c>
      <c r="X14" t="s">
        <v>8591</v>
      </c>
      <c r="Y14">
        <v>2253</v>
      </c>
      <c r="Z14">
        <v>129</v>
      </c>
      <c r="AA14">
        <v>1100000</v>
      </c>
      <c r="AB14">
        <v>6.51</v>
      </c>
    </row>
    <row r="15" spans="1:28">
      <c r="A15" s="2">
        <f>HYPERLINK("https://finance.naver.com/item/coinfo.nhn?code=015890", "A015890")</f>
        <v>0</v>
      </c>
      <c r="B15">
        <f>HYPERLINK("http://comp.fnguide.com/SVO2/ASP/SVD_Consensus.asp?pGB=1&amp;gicode=A015890&amp;cID=&amp;MenuYn=Y&amp;ReportGB=&amp;NewMenuID=108&amp;stkGb=701", "태경산업")</f>
        <v>0</v>
      </c>
      <c r="C15">
        <v>3</v>
      </c>
      <c r="D15">
        <v>5790</v>
      </c>
      <c r="E15">
        <v>-0.4</v>
      </c>
      <c r="F15">
        <v>8.08</v>
      </c>
      <c r="G15">
        <v>7443</v>
      </c>
      <c r="H15">
        <v>7952</v>
      </c>
      <c r="I15">
        <v>8097</v>
      </c>
      <c r="J15">
        <v>-28.54</v>
      </c>
      <c r="K15">
        <v>-37.34</v>
      </c>
      <c r="L15">
        <v>-39.85</v>
      </c>
      <c r="M15">
        <v>7.16</v>
      </c>
      <c r="N15" t="b">
        <v>1</v>
      </c>
      <c r="O15">
        <v>706</v>
      </c>
      <c r="P15" t="s">
        <v>190</v>
      </c>
      <c r="Q15" t="s">
        <v>2396</v>
      </c>
      <c r="R15">
        <v>-20.00172097350075</v>
      </c>
      <c r="S15">
        <v>1692</v>
      </c>
      <c r="T15">
        <v>141054</v>
      </c>
      <c r="U15" t="s">
        <v>4162</v>
      </c>
      <c r="V15">
        <v>63.54</v>
      </c>
      <c r="W15" t="s">
        <v>6382</v>
      </c>
      <c r="X15" t="s">
        <v>8557</v>
      </c>
      <c r="Y15">
        <v>5196</v>
      </c>
      <c r="Z15">
        <v>108</v>
      </c>
      <c r="AA15">
        <v>713753</v>
      </c>
      <c r="AB15">
        <v>6.48</v>
      </c>
    </row>
    <row r="16" spans="1:28">
      <c r="A16" s="2">
        <f>HYPERLINK("https://finance.naver.com/item/coinfo.nhn?code=031330", "A031330")</f>
        <v>0</v>
      </c>
      <c r="B16">
        <f>HYPERLINK("http://comp.fnguide.com/SVO2/ASP/SVD_Consensus.asp?pGB=1&amp;gicode=A031330&amp;cID=&amp;MenuYn=Y&amp;ReportGB=&amp;NewMenuID=108&amp;stkGb=701", "에스에이엠티")</f>
        <v>0</v>
      </c>
      <c r="C16">
        <v>3</v>
      </c>
      <c r="D16">
        <v>2365</v>
      </c>
      <c r="E16">
        <v>-3.91</v>
      </c>
      <c r="F16">
        <v>5.84</v>
      </c>
      <c r="G16">
        <v>4957</v>
      </c>
      <c r="H16">
        <v>3440</v>
      </c>
      <c r="I16">
        <v>3007</v>
      </c>
      <c r="J16">
        <v>-109.58</v>
      </c>
      <c r="K16">
        <v>-45.44</v>
      </c>
      <c r="L16">
        <v>-27.16</v>
      </c>
      <c r="M16">
        <v>16.25</v>
      </c>
      <c r="N16" t="b">
        <v>1</v>
      </c>
      <c r="O16">
        <v>376</v>
      </c>
      <c r="P16" t="s">
        <v>343</v>
      </c>
      <c r="Q16" t="s">
        <v>2535</v>
      </c>
      <c r="R16">
        <v>-1.492149739999793</v>
      </c>
      <c r="S16">
        <v>2365</v>
      </c>
      <c r="T16">
        <v>754290</v>
      </c>
      <c r="U16" t="s">
        <v>4315</v>
      </c>
      <c r="V16">
        <v>50.02</v>
      </c>
      <c r="W16" t="s">
        <v>6535</v>
      </c>
      <c r="X16" t="s">
        <v>8692</v>
      </c>
      <c r="Y16">
        <v>12138</v>
      </c>
      <c r="Z16">
        <v>337</v>
      </c>
      <c r="AA16">
        <v>2000000</v>
      </c>
      <c r="AB16">
        <v>6.38</v>
      </c>
    </row>
    <row r="17" spans="1:28">
      <c r="A17" s="2">
        <f>HYPERLINK("https://finance.naver.com/item/coinfo.nhn?code=004800", "A004800")</f>
        <v>0</v>
      </c>
      <c r="B17">
        <f>HYPERLINK("http://comp.fnguide.com/SVO2/ASP/SVD_Consensus.asp?pGB=1&amp;gicode=A004800&amp;cID=&amp;MenuYn=Y&amp;ReportGB=&amp;NewMenuID=108&amp;stkGb=701", "효성")</f>
        <v>0</v>
      </c>
      <c r="C17">
        <v>3</v>
      </c>
      <c r="D17">
        <v>81100</v>
      </c>
      <c r="E17">
        <v>-0.7</v>
      </c>
      <c r="F17">
        <v>16.08</v>
      </c>
      <c r="G17">
        <v>620361</v>
      </c>
      <c r="H17">
        <v>321274</v>
      </c>
      <c r="I17">
        <v>236050</v>
      </c>
      <c r="J17">
        <v>-664.9299999999999</v>
      </c>
      <c r="K17">
        <v>-296.15</v>
      </c>
      <c r="L17">
        <v>-191.06</v>
      </c>
      <c r="M17">
        <v>40.34</v>
      </c>
      <c r="N17" t="b">
        <v>0</v>
      </c>
      <c r="O17">
        <v>4921</v>
      </c>
      <c r="P17" t="s">
        <v>122</v>
      </c>
      <c r="Q17" t="s">
        <v>2335</v>
      </c>
      <c r="R17">
        <v>-22.86830861630861</v>
      </c>
      <c r="S17">
        <v>17089</v>
      </c>
      <c r="T17">
        <v>87266</v>
      </c>
      <c r="U17" t="s">
        <v>4094</v>
      </c>
      <c r="V17">
        <v>55.11</v>
      </c>
      <c r="W17" t="s">
        <v>6314</v>
      </c>
      <c r="X17" t="s">
        <v>8495</v>
      </c>
      <c r="Y17">
        <v>33734</v>
      </c>
      <c r="Z17">
        <v>2368</v>
      </c>
      <c r="AA17">
        <v>1161621</v>
      </c>
      <c r="AB17">
        <v>6.32</v>
      </c>
    </row>
    <row r="18" spans="1:28">
      <c r="A18" s="2">
        <f>HYPERLINK("https://finance.naver.com/item/coinfo.nhn?code=078020", "A078020")</f>
        <v>0</v>
      </c>
      <c r="B18">
        <f>HYPERLINK("http://comp.fnguide.com/SVO2/ASP/SVD_Consensus.asp?pGB=1&amp;gicode=A078020&amp;cID=&amp;MenuYn=Y&amp;ReportGB=&amp;NewMenuID=108&amp;stkGb=701", "이베스트투자증권")</f>
        <v>0</v>
      </c>
      <c r="C18">
        <v>3</v>
      </c>
      <c r="D18">
        <v>7040</v>
      </c>
      <c r="E18">
        <v>0.49</v>
      </c>
      <c r="F18">
        <v>5.49</v>
      </c>
      <c r="G18">
        <v>13016</v>
      </c>
      <c r="H18">
        <v>11323</v>
      </c>
      <c r="I18">
        <v>10840</v>
      </c>
      <c r="J18">
        <v>-84.89</v>
      </c>
      <c r="K18">
        <v>-60.83</v>
      </c>
      <c r="L18">
        <v>-53.98</v>
      </c>
      <c r="M18">
        <v>10.17</v>
      </c>
      <c r="N18" t="b">
        <v>1</v>
      </c>
      <c r="O18">
        <v>1020</v>
      </c>
      <c r="P18" t="s">
        <v>356</v>
      </c>
      <c r="Q18" t="s">
        <v>2544</v>
      </c>
      <c r="R18">
        <v>11.11573099594876</v>
      </c>
      <c r="S18">
        <v>3906</v>
      </c>
      <c r="T18">
        <v>265974</v>
      </c>
      <c r="U18" t="s">
        <v>4328</v>
      </c>
      <c r="V18">
        <v>62.48</v>
      </c>
      <c r="W18" t="s">
        <v>6548</v>
      </c>
      <c r="X18" t="s">
        <v>8702</v>
      </c>
      <c r="Y18">
        <v>1893</v>
      </c>
      <c r="Z18">
        <v>705</v>
      </c>
      <c r="AA18">
        <v>5075498</v>
      </c>
      <c r="AB18">
        <v>6.16</v>
      </c>
    </row>
    <row r="19" spans="1:28">
      <c r="A19" s="2">
        <f>HYPERLINK("https://finance.naver.com/item/coinfo.nhn?code=095570", "A095570")</f>
        <v>0</v>
      </c>
      <c r="B19">
        <f>HYPERLINK("http://comp.fnguide.com/SVO2/ASP/SVD_Consensus.asp?pGB=1&amp;gicode=A095570&amp;cID=&amp;MenuYn=Y&amp;ReportGB=&amp;NewMenuID=108&amp;stkGb=701", "AJ네트웍스")</f>
        <v>0</v>
      </c>
      <c r="C19">
        <v>3</v>
      </c>
      <c r="D19">
        <v>4550</v>
      </c>
      <c r="E19">
        <v>0.25</v>
      </c>
      <c r="F19">
        <v>5.06</v>
      </c>
      <c r="G19">
        <v>7546</v>
      </c>
      <c r="H19">
        <v>7214</v>
      </c>
      <c r="I19">
        <v>7120</v>
      </c>
      <c r="J19">
        <v>-65.84</v>
      </c>
      <c r="K19">
        <v>-58.56</v>
      </c>
      <c r="L19">
        <v>-56.48</v>
      </c>
      <c r="M19">
        <v>8.6</v>
      </c>
      <c r="N19" t="b">
        <v>1</v>
      </c>
      <c r="O19">
        <v>982</v>
      </c>
      <c r="P19" t="s">
        <v>15</v>
      </c>
      <c r="Q19" t="s">
        <v>2233</v>
      </c>
      <c r="R19">
        <v>19.87917837256776</v>
      </c>
      <c r="S19">
        <v>2130</v>
      </c>
      <c r="T19">
        <v>222605</v>
      </c>
      <c r="U19" t="s">
        <v>3987</v>
      </c>
      <c r="V19">
        <v>72.18000000000001</v>
      </c>
      <c r="W19" t="s">
        <v>6207</v>
      </c>
      <c r="X19" t="s">
        <v>8393</v>
      </c>
      <c r="Y19">
        <v>12028</v>
      </c>
      <c r="Z19">
        <v>178</v>
      </c>
      <c r="AA19">
        <v>1284859</v>
      </c>
      <c r="AB19">
        <v>6.04</v>
      </c>
    </row>
    <row r="20" spans="1:28">
      <c r="A20" s="2">
        <f>HYPERLINK("https://finance.naver.com/item/coinfo.nhn?code=082640", "A082640")</f>
        <v>0</v>
      </c>
      <c r="B20">
        <f>HYPERLINK("http://comp.fnguide.com/SVO2/ASP/SVD_Consensus.asp?pGB=1&amp;gicode=A082640&amp;cID=&amp;MenuYn=Y&amp;ReportGB=&amp;NewMenuID=108&amp;stkGb=701", "동양생명")</f>
        <v>0</v>
      </c>
      <c r="C20">
        <v>3</v>
      </c>
      <c r="D20">
        <v>3610</v>
      </c>
      <c r="E20">
        <v>1.26</v>
      </c>
      <c r="F20">
        <v>5.6</v>
      </c>
      <c r="G20">
        <v>9591</v>
      </c>
      <c r="H20">
        <v>13856</v>
      </c>
      <c r="I20">
        <v>15071</v>
      </c>
      <c r="J20">
        <v>-165.67</v>
      </c>
      <c r="K20">
        <v>-283.82</v>
      </c>
      <c r="L20">
        <v>-317.49</v>
      </c>
      <c r="M20">
        <v>4.58</v>
      </c>
      <c r="N20" t="b">
        <v>1</v>
      </c>
      <c r="O20">
        <v>714</v>
      </c>
      <c r="P20" t="s">
        <v>505</v>
      </c>
      <c r="Q20" t="s">
        <v>2681</v>
      </c>
      <c r="R20">
        <v>4.455953107124211</v>
      </c>
      <c r="S20">
        <v>5825</v>
      </c>
      <c r="T20">
        <v>223923</v>
      </c>
      <c r="U20" t="s">
        <v>4477</v>
      </c>
      <c r="V20">
        <v>75.37</v>
      </c>
      <c r="W20" t="s">
        <v>6697</v>
      </c>
      <c r="X20" t="s">
        <v>8844</v>
      </c>
      <c r="Y20">
        <v>45264</v>
      </c>
      <c r="Z20">
        <v>1142</v>
      </c>
      <c r="AA20">
        <v>5500000</v>
      </c>
      <c r="AB20">
        <v>5.75</v>
      </c>
    </row>
    <row r="21" spans="1:28">
      <c r="A21" s="2">
        <f>HYPERLINK("https://finance.naver.com/item/coinfo.nhn?code=024110", "A024110")</f>
        <v>0</v>
      </c>
      <c r="B21">
        <f>HYPERLINK("http://comp.fnguide.com/SVO2/ASP/SVD_Consensus.asp?pGB=1&amp;gicode=A024110&amp;cID=&amp;MenuYn=Y&amp;ReportGB=&amp;NewMenuID=108&amp;stkGb=701", "기업은행")</f>
        <v>0</v>
      </c>
      <c r="C21">
        <v>3</v>
      </c>
      <c r="D21">
        <v>9590</v>
      </c>
      <c r="E21">
        <v>1.72</v>
      </c>
      <c r="F21">
        <v>4.93</v>
      </c>
      <c r="G21">
        <v>30346</v>
      </c>
      <c r="H21">
        <v>30546</v>
      </c>
      <c r="I21">
        <v>30603</v>
      </c>
      <c r="J21">
        <v>-216.43</v>
      </c>
      <c r="K21">
        <v>-218.52</v>
      </c>
      <c r="L21">
        <v>-219.12</v>
      </c>
      <c r="M21">
        <v>7.88</v>
      </c>
      <c r="N21" t="b">
        <v>0</v>
      </c>
      <c r="O21">
        <v>2393</v>
      </c>
      <c r="P21" t="s">
        <v>590</v>
      </c>
      <c r="Q21" t="s">
        <v>2762</v>
      </c>
      <c r="R21">
        <v>2.85981313209418</v>
      </c>
      <c r="S21">
        <v>70838</v>
      </c>
      <c r="T21">
        <v>2096022</v>
      </c>
      <c r="U21" t="s">
        <v>4562</v>
      </c>
      <c r="V21">
        <v>63.47</v>
      </c>
      <c r="W21" t="s">
        <v>6782</v>
      </c>
      <c r="X21" t="s">
        <v>8925</v>
      </c>
      <c r="Y21">
        <v>94885</v>
      </c>
      <c r="Z21">
        <v>22279</v>
      </c>
      <c r="AA21">
        <v>2</v>
      </c>
      <c r="AB21">
        <v>5.68</v>
      </c>
    </row>
    <row r="22" spans="1:28">
      <c r="A22" s="2">
        <f>HYPERLINK("https://finance.naver.com/item/coinfo.nhn?code=152330", "A152330")</f>
        <v>0</v>
      </c>
      <c r="B22">
        <f>HYPERLINK("http://comp.fnguide.com/SVO2/ASP/SVD_Consensus.asp?pGB=1&amp;gicode=A152330&amp;cID=&amp;MenuYn=Y&amp;ReportGB=&amp;NewMenuID=108&amp;stkGb=701", "코리아오토글라스")</f>
        <v>0</v>
      </c>
      <c r="C22">
        <v>3</v>
      </c>
      <c r="D22">
        <v>16550</v>
      </c>
      <c r="E22">
        <v>-54.09</v>
      </c>
      <c r="F22">
        <v>9.779999999999999</v>
      </c>
      <c r="G22">
        <v>26113</v>
      </c>
      <c r="H22">
        <v>21265</v>
      </c>
      <c r="I22">
        <v>19884</v>
      </c>
      <c r="J22">
        <v>-57.78</v>
      </c>
      <c r="K22">
        <v>-28.49</v>
      </c>
      <c r="L22">
        <v>-20.15</v>
      </c>
      <c r="M22">
        <v>11.53</v>
      </c>
      <c r="N22" t="b">
        <v>1</v>
      </c>
      <c r="O22">
        <v>1651</v>
      </c>
      <c r="P22" t="s">
        <v>234</v>
      </c>
      <c r="Q22" t="s">
        <v>2439</v>
      </c>
      <c r="R22">
        <v>-0.1808050075914447</v>
      </c>
      <c r="S22">
        <v>3310</v>
      </c>
      <c r="T22">
        <v>0</v>
      </c>
      <c r="U22" t="s">
        <v>4206</v>
      </c>
      <c r="V22">
        <v>50.05</v>
      </c>
      <c r="W22" t="s">
        <v>6426</v>
      </c>
      <c r="X22" t="s">
        <v>8597</v>
      </c>
      <c r="Y22">
        <v>4560</v>
      </c>
      <c r="Z22">
        <v>575</v>
      </c>
      <c r="AB22">
        <v>5.57</v>
      </c>
    </row>
    <row r="23" spans="1:28">
      <c r="A23" s="2">
        <f>HYPERLINK("https://finance.naver.com/item/coinfo.nhn?code=190650", "A190650")</f>
        <v>0</v>
      </c>
      <c r="B23">
        <f>HYPERLINK("http://comp.fnguide.com/SVO2/ASP/SVD_Consensus.asp?pGB=1&amp;gicode=A190650&amp;cID=&amp;MenuYn=Y&amp;ReportGB=&amp;NewMenuID=108&amp;stkGb=701", "코리아에셋투자증권")</f>
        <v>0</v>
      </c>
      <c r="C23">
        <v>3</v>
      </c>
      <c r="D23">
        <v>7610</v>
      </c>
      <c r="E23">
        <v>0.34</v>
      </c>
      <c r="F23">
        <v>4.5</v>
      </c>
      <c r="G23">
        <v>15582</v>
      </c>
      <c r="H23">
        <v>12766</v>
      </c>
      <c r="I23">
        <v>11964</v>
      </c>
      <c r="J23">
        <v>-104.76</v>
      </c>
      <c r="K23">
        <v>-67.76000000000001</v>
      </c>
      <c r="L23">
        <v>-57.21</v>
      </c>
      <c r="M23">
        <v>11.4</v>
      </c>
      <c r="N23" t="b">
        <v>1</v>
      </c>
      <c r="O23">
        <v>1207</v>
      </c>
      <c r="P23" t="s">
        <v>205</v>
      </c>
      <c r="Q23" t="s">
        <v>2411</v>
      </c>
      <c r="R23">
        <v>13.29630875068155</v>
      </c>
      <c r="S23">
        <v>486</v>
      </c>
      <c r="T23">
        <v>27898</v>
      </c>
      <c r="U23" t="s">
        <v>4177</v>
      </c>
      <c r="V23">
        <v>51.42</v>
      </c>
      <c r="W23" t="s">
        <v>6397</v>
      </c>
      <c r="X23" t="s">
        <v>8571</v>
      </c>
      <c r="Y23">
        <v>560</v>
      </c>
      <c r="Z23">
        <v>94</v>
      </c>
      <c r="AB23">
        <v>5.52</v>
      </c>
    </row>
    <row r="24" spans="1:28">
      <c r="A24" s="2">
        <f>HYPERLINK("https://finance.naver.com/item/coinfo.nhn?code=029960", "A029960")</f>
        <v>0</v>
      </c>
      <c r="B24">
        <f>HYPERLINK("http://comp.fnguide.com/SVO2/ASP/SVD_Consensus.asp?pGB=1&amp;gicode=A029960&amp;cID=&amp;MenuYn=Y&amp;ReportGB=&amp;NewMenuID=108&amp;stkGb=701", "코엔텍")</f>
        <v>0</v>
      </c>
      <c r="C24">
        <v>0</v>
      </c>
      <c r="D24">
        <v>8860</v>
      </c>
      <c r="E24">
        <v>0.72</v>
      </c>
      <c r="F24">
        <v>20.58</v>
      </c>
      <c r="G24">
        <v>6248</v>
      </c>
      <c r="H24">
        <v>4338</v>
      </c>
      <c r="I24">
        <v>3794</v>
      </c>
      <c r="J24">
        <v>29.48</v>
      </c>
      <c r="K24">
        <v>51.04</v>
      </c>
      <c r="L24">
        <v>57.18</v>
      </c>
      <c r="M24">
        <v>16.22</v>
      </c>
      <c r="N24" t="b">
        <v>0</v>
      </c>
      <c r="O24">
        <v>483</v>
      </c>
      <c r="P24" t="s">
        <v>1240</v>
      </c>
      <c r="Q24" t="s">
        <v>3294</v>
      </c>
      <c r="R24">
        <v>28.42399566374638</v>
      </c>
      <c r="S24">
        <v>4430</v>
      </c>
      <c r="T24">
        <v>287927</v>
      </c>
      <c r="U24" t="s">
        <v>5211</v>
      </c>
      <c r="V24">
        <v>59.29</v>
      </c>
      <c r="W24" t="s">
        <v>7420</v>
      </c>
      <c r="X24" t="s">
        <v>9458</v>
      </c>
      <c r="Y24">
        <v>711</v>
      </c>
      <c r="Z24">
        <v>284</v>
      </c>
      <c r="AA24">
        <v>214280</v>
      </c>
      <c r="AB24">
        <v>5.44</v>
      </c>
    </row>
    <row r="25" spans="1:28">
      <c r="A25" s="2">
        <f>HYPERLINK("https://finance.naver.com/item/coinfo.nhn?code=025530", "A025530")</f>
        <v>0</v>
      </c>
      <c r="B25">
        <f>HYPERLINK("http://comp.fnguide.com/SVO2/ASP/SVD_Consensus.asp?pGB=1&amp;gicode=A025530&amp;cID=&amp;MenuYn=Y&amp;ReportGB=&amp;NewMenuID=108&amp;stkGb=701", "SJM홀딩스")</f>
        <v>0</v>
      </c>
      <c r="C25">
        <v>3</v>
      </c>
      <c r="D25">
        <v>2855</v>
      </c>
      <c r="E25">
        <v>-0.43</v>
      </c>
      <c r="F25">
        <v>9.82</v>
      </c>
      <c r="G25">
        <v>5844</v>
      </c>
      <c r="H25">
        <v>8997</v>
      </c>
      <c r="I25">
        <v>9895</v>
      </c>
      <c r="J25">
        <v>-104.71</v>
      </c>
      <c r="K25">
        <v>-215.12</v>
      </c>
      <c r="L25">
        <v>-246.58</v>
      </c>
      <c r="M25">
        <v>4.2</v>
      </c>
      <c r="N25" t="b">
        <v>1</v>
      </c>
      <c r="O25">
        <v>329</v>
      </c>
      <c r="P25" t="s">
        <v>641</v>
      </c>
      <c r="Q25" t="s">
        <v>2811</v>
      </c>
      <c r="R25">
        <v>-22.62742228083972</v>
      </c>
      <c r="S25">
        <v>426</v>
      </c>
      <c r="T25">
        <v>18557</v>
      </c>
      <c r="U25" t="s">
        <v>4613</v>
      </c>
      <c r="V25">
        <v>63.91</v>
      </c>
      <c r="W25" t="s">
        <v>6833</v>
      </c>
      <c r="X25" t="s">
        <v>8975</v>
      </c>
      <c r="Y25">
        <v>1608</v>
      </c>
      <c r="Z25">
        <v>63</v>
      </c>
      <c r="AA25">
        <v>1382017</v>
      </c>
      <c r="AB25">
        <v>5.41</v>
      </c>
    </row>
    <row r="26" spans="1:28">
      <c r="A26" s="2">
        <f>HYPERLINK("https://finance.naver.com/item/coinfo.nhn?code=123890", "A123890")</f>
        <v>0</v>
      </c>
      <c r="B26">
        <f>HYPERLINK("http://comp.fnguide.com/SVO2/ASP/SVD_Consensus.asp?pGB=1&amp;gicode=A123890&amp;cID=&amp;MenuYn=Y&amp;ReportGB=&amp;NewMenuID=108&amp;stkGb=701", "한국자산신탁")</f>
        <v>0</v>
      </c>
      <c r="C26">
        <v>3</v>
      </c>
      <c r="D26">
        <v>4045</v>
      </c>
      <c r="E26">
        <v>0</v>
      </c>
      <c r="F26">
        <v>4.66</v>
      </c>
      <c r="G26">
        <v>12105</v>
      </c>
      <c r="H26">
        <v>8082</v>
      </c>
      <c r="I26">
        <v>6936</v>
      </c>
      <c r="J26">
        <v>-199.26</v>
      </c>
      <c r="K26">
        <v>-99.81</v>
      </c>
      <c r="L26">
        <v>-71.48</v>
      </c>
      <c r="M26">
        <v>17.83</v>
      </c>
      <c r="N26" t="b">
        <v>1</v>
      </c>
      <c r="O26">
        <v>723</v>
      </c>
      <c r="P26" t="s">
        <v>53</v>
      </c>
      <c r="Q26" t="s">
        <v>2271</v>
      </c>
      <c r="R26">
        <v>-4.660336327460035</v>
      </c>
      <c r="S26">
        <v>5015</v>
      </c>
      <c r="T26">
        <v>446449</v>
      </c>
      <c r="U26" t="s">
        <v>4025</v>
      </c>
      <c r="V26">
        <v>53.62</v>
      </c>
      <c r="W26" t="s">
        <v>6245</v>
      </c>
      <c r="X26" t="s">
        <v>8430</v>
      </c>
      <c r="Y26">
        <v>2233</v>
      </c>
      <c r="Z26">
        <v>1141</v>
      </c>
      <c r="AA26">
        <v>1610697</v>
      </c>
      <c r="AB26">
        <v>5.4</v>
      </c>
    </row>
    <row r="27" spans="1:28">
      <c r="A27" s="2">
        <f>HYPERLINK("https://finance.naver.com/item/coinfo.nhn?code=003300", "A003300")</f>
        <v>0</v>
      </c>
      <c r="B27">
        <f>HYPERLINK("http://comp.fnguide.com/SVO2/ASP/SVD_Consensus.asp?pGB=1&amp;gicode=A003300&amp;cID=&amp;MenuYn=Y&amp;ReportGB=&amp;NewMenuID=108&amp;stkGb=701", "한일홀딩스")</f>
        <v>0</v>
      </c>
      <c r="C27">
        <v>3</v>
      </c>
      <c r="D27">
        <v>58700</v>
      </c>
      <c r="E27">
        <v>-2.17</v>
      </c>
      <c r="F27">
        <v>19.06</v>
      </c>
      <c r="G27">
        <v>322208</v>
      </c>
      <c r="H27">
        <v>232973</v>
      </c>
      <c r="I27">
        <v>207546</v>
      </c>
      <c r="J27">
        <v>-448.91</v>
      </c>
      <c r="K27">
        <v>-296.89</v>
      </c>
      <c r="L27">
        <v>-253.57</v>
      </c>
      <c r="M27">
        <v>14.79</v>
      </c>
      <c r="N27" t="b">
        <v>1</v>
      </c>
      <c r="O27">
        <v>2304</v>
      </c>
      <c r="P27" t="s">
        <v>26</v>
      </c>
      <c r="Q27" t="s">
        <v>2244</v>
      </c>
      <c r="R27">
        <v>-8.777404195095073</v>
      </c>
      <c r="S27">
        <v>3383</v>
      </c>
      <c r="T27">
        <v>6740</v>
      </c>
      <c r="U27" t="s">
        <v>3998</v>
      </c>
      <c r="V27">
        <v>68.73999999999999</v>
      </c>
      <c r="W27" t="s">
        <v>6218</v>
      </c>
      <c r="X27" t="s">
        <v>8404</v>
      </c>
      <c r="Y27">
        <v>16518</v>
      </c>
      <c r="Z27">
        <v>836</v>
      </c>
      <c r="AA27">
        <v>0</v>
      </c>
      <c r="AB27">
        <v>5.24</v>
      </c>
    </row>
    <row r="28" spans="1:28">
      <c r="A28" s="2">
        <f>HYPERLINK("https://finance.naver.com/item/coinfo.nhn?code=033660", "A033660")</f>
        <v>0</v>
      </c>
      <c r="B28">
        <f>HYPERLINK("http://comp.fnguide.com/SVO2/ASP/SVD_Consensus.asp?pGB=1&amp;gicode=A033660&amp;cID=&amp;MenuYn=Y&amp;ReportGB=&amp;NewMenuID=108&amp;stkGb=701", "아주캐피탈")</f>
        <v>0</v>
      </c>
      <c r="C28">
        <v>3</v>
      </c>
      <c r="D28">
        <v>13100</v>
      </c>
      <c r="E28">
        <v>0</v>
      </c>
      <c r="F28">
        <v>7.05</v>
      </c>
      <c r="G28">
        <v>21827</v>
      </c>
      <c r="H28">
        <v>17528</v>
      </c>
      <c r="I28">
        <v>16303</v>
      </c>
      <c r="J28">
        <v>-66.62</v>
      </c>
      <c r="K28">
        <v>-33.8</v>
      </c>
      <c r="L28">
        <v>-24.45</v>
      </c>
      <c r="M28">
        <v>11.86</v>
      </c>
      <c r="N28" t="b">
        <v>1</v>
      </c>
      <c r="O28">
        <v>1765</v>
      </c>
      <c r="P28" t="s">
        <v>747</v>
      </c>
      <c r="Q28" t="s">
        <v>2908</v>
      </c>
      <c r="R28">
        <v>5.323044183168046</v>
      </c>
      <c r="S28">
        <v>7539</v>
      </c>
      <c r="T28">
        <v>68061</v>
      </c>
      <c r="U28" t="s">
        <v>4719</v>
      </c>
      <c r="V28">
        <v>74.05</v>
      </c>
      <c r="W28" t="s">
        <v>6939</v>
      </c>
      <c r="X28" t="s">
        <v>9072</v>
      </c>
      <c r="Y28">
        <v>2293</v>
      </c>
      <c r="Z28">
        <v>1338</v>
      </c>
      <c r="AA28">
        <v>2067090</v>
      </c>
      <c r="AB28">
        <v>5.22</v>
      </c>
    </row>
    <row r="29" spans="1:28">
      <c r="A29" s="2">
        <f>HYPERLINK("https://finance.naver.com/item/coinfo.nhn?code=092440", "A092440")</f>
        <v>0</v>
      </c>
      <c r="B29">
        <f>HYPERLINK("http://comp.fnguide.com/SVO2/ASP/SVD_Consensus.asp?pGB=1&amp;gicode=A092440&amp;cID=&amp;MenuYn=Y&amp;ReportGB=&amp;NewMenuID=108&amp;stkGb=701", "기신정기")</f>
        <v>0</v>
      </c>
      <c r="C29">
        <v>3</v>
      </c>
      <c r="D29">
        <v>3655</v>
      </c>
      <c r="E29">
        <v>-2.75</v>
      </c>
      <c r="F29">
        <v>9.66</v>
      </c>
      <c r="G29">
        <v>4785</v>
      </c>
      <c r="H29">
        <v>6791</v>
      </c>
      <c r="I29">
        <v>7362</v>
      </c>
      <c r="J29">
        <v>-30.92</v>
      </c>
      <c r="K29">
        <v>-85.8</v>
      </c>
      <c r="L29">
        <v>-101.43</v>
      </c>
      <c r="M29">
        <v>4.7</v>
      </c>
      <c r="N29" t="b">
        <v>1</v>
      </c>
      <c r="O29">
        <v>298</v>
      </c>
      <c r="P29" t="s">
        <v>612</v>
      </c>
      <c r="Q29" t="s">
        <v>2784</v>
      </c>
      <c r="R29">
        <v>-3.518234660712716</v>
      </c>
      <c r="S29">
        <v>1067</v>
      </c>
      <c r="T29">
        <v>73752</v>
      </c>
      <c r="U29" t="s">
        <v>4584</v>
      </c>
      <c r="V29">
        <v>71.95</v>
      </c>
      <c r="W29" t="s">
        <v>6804</v>
      </c>
      <c r="X29" t="s">
        <v>8947</v>
      </c>
      <c r="Y29">
        <v>1246</v>
      </c>
      <c r="Z29">
        <v>93</v>
      </c>
      <c r="AB29">
        <v>5.22</v>
      </c>
    </row>
    <row r="30" spans="1:28">
      <c r="A30" s="2">
        <f>HYPERLINK("https://finance.naver.com/item/coinfo.nhn?code=046110", "A046110")</f>
        <v>0</v>
      </c>
      <c r="B30">
        <f>HYPERLINK("http://comp.fnguide.com/SVO2/ASP/SVD_Consensus.asp?pGB=1&amp;gicode=A046110&amp;cID=&amp;MenuYn=Y&amp;ReportGB=&amp;NewMenuID=108&amp;stkGb=701", "한일네트웍스")</f>
        <v>0</v>
      </c>
      <c r="C30">
        <v>3</v>
      </c>
      <c r="D30">
        <v>4920</v>
      </c>
      <c r="E30">
        <v>0.26</v>
      </c>
      <c r="F30">
        <v>7.53</v>
      </c>
      <c r="G30">
        <v>9675</v>
      </c>
      <c r="H30">
        <v>7250</v>
      </c>
      <c r="I30">
        <v>6558</v>
      </c>
      <c r="J30">
        <v>-96.65000000000001</v>
      </c>
      <c r="K30">
        <v>-47.35</v>
      </c>
      <c r="L30">
        <v>-33.3</v>
      </c>
      <c r="M30">
        <v>13.68</v>
      </c>
      <c r="N30" t="b">
        <v>1</v>
      </c>
      <c r="O30">
        <v>589</v>
      </c>
      <c r="P30" t="s">
        <v>595</v>
      </c>
      <c r="Q30" t="s">
        <v>2767</v>
      </c>
      <c r="R30">
        <v>28.70544131727133</v>
      </c>
      <c r="S30">
        <v>588</v>
      </c>
      <c r="T30">
        <v>131705</v>
      </c>
      <c r="U30" t="s">
        <v>4567</v>
      </c>
      <c r="V30">
        <v>50.1</v>
      </c>
      <c r="W30" t="s">
        <v>6787</v>
      </c>
      <c r="X30" t="s">
        <v>8930</v>
      </c>
      <c r="Y30">
        <v>1216</v>
      </c>
      <c r="Z30">
        <v>87</v>
      </c>
      <c r="AB30">
        <v>5.19</v>
      </c>
    </row>
    <row r="31" spans="1:28">
      <c r="A31" s="2">
        <f>HYPERLINK("https://finance.naver.com/item/coinfo.nhn?code=065710", "A065710")</f>
        <v>0</v>
      </c>
      <c r="B31">
        <f>HYPERLINK("http://comp.fnguide.com/SVO2/ASP/SVD_Consensus.asp?pGB=1&amp;gicode=A065710&amp;cID=&amp;MenuYn=Y&amp;ReportGB=&amp;NewMenuID=108&amp;stkGb=701", "서호전기")</f>
        <v>0</v>
      </c>
      <c r="C31">
        <v>1</v>
      </c>
      <c r="D31">
        <v>21800</v>
      </c>
      <c r="E31">
        <v>0.4</v>
      </c>
      <c r="F31">
        <v>7.87</v>
      </c>
      <c r="G31">
        <v>28972</v>
      </c>
      <c r="H31">
        <v>20307</v>
      </c>
      <c r="I31">
        <v>17838</v>
      </c>
      <c r="J31">
        <v>-32.9</v>
      </c>
      <c r="K31">
        <v>6.85</v>
      </c>
      <c r="L31">
        <v>18.18</v>
      </c>
      <c r="M31">
        <v>15.87</v>
      </c>
      <c r="N31" t="b">
        <v>1</v>
      </c>
      <c r="O31">
        <v>2973</v>
      </c>
      <c r="P31" t="s">
        <v>857</v>
      </c>
      <c r="Q31" t="s">
        <v>3014</v>
      </c>
      <c r="R31">
        <v>19.81747236522424</v>
      </c>
      <c r="S31">
        <v>1123</v>
      </c>
      <c r="T31">
        <v>24032</v>
      </c>
      <c r="U31" t="s">
        <v>4829</v>
      </c>
      <c r="V31">
        <v>58.01</v>
      </c>
      <c r="W31" t="s">
        <v>7049</v>
      </c>
      <c r="X31" t="s">
        <v>9176</v>
      </c>
      <c r="Y31">
        <v>649</v>
      </c>
      <c r="Z31">
        <v>122</v>
      </c>
      <c r="AA31">
        <v>9078</v>
      </c>
      <c r="AB31">
        <v>5.13</v>
      </c>
    </row>
    <row r="32" spans="1:28">
      <c r="A32" s="2">
        <f>HYPERLINK("https://finance.naver.com/item/coinfo.nhn?code=007340", "A007340")</f>
        <v>0</v>
      </c>
      <c r="B32">
        <f>HYPERLINK("http://comp.fnguide.com/SVO2/ASP/SVD_Consensus.asp?pGB=1&amp;gicode=A007340&amp;cID=&amp;MenuYn=Y&amp;ReportGB=&amp;NewMenuID=108&amp;stkGb=701", "디티알오토모티브")</f>
        <v>0</v>
      </c>
      <c r="C32">
        <v>3</v>
      </c>
      <c r="D32">
        <v>24300</v>
      </c>
      <c r="E32">
        <v>0.48</v>
      </c>
      <c r="F32">
        <v>4.46</v>
      </c>
      <c r="G32">
        <v>93181</v>
      </c>
      <c r="H32">
        <v>79165</v>
      </c>
      <c r="I32">
        <v>75171</v>
      </c>
      <c r="J32">
        <v>-283.46</v>
      </c>
      <c r="K32">
        <v>-225.78</v>
      </c>
      <c r="L32">
        <v>-209.34</v>
      </c>
      <c r="M32">
        <v>10.63</v>
      </c>
      <c r="N32" t="b">
        <v>1</v>
      </c>
      <c r="O32">
        <v>6584</v>
      </c>
      <c r="P32" t="s">
        <v>480</v>
      </c>
      <c r="Q32" t="s">
        <v>2657</v>
      </c>
      <c r="R32">
        <v>9.298220911236665</v>
      </c>
      <c r="S32">
        <v>2429</v>
      </c>
      <c r="T32">
        <v>37129</v>
      </c>
      <c r="U32" t="s">
        <v>4452</v>
      </c>
      <c r="V32">
        <v>51.25</v>
      </c>
      <c r="W32" t="s">
        <v>6672</v>
      </c>
      <c r="X32" t="s">
        <v>8820</v>
      </c>
      <c r="Y32">
        <v>9298</v>
      </c>
      <c r="Z32">
        <v>802</v>
      </c>
      <c r="AA32">
        <v>1375880</v>
      </c>
      <c r="AB32">
        <v>5.11</v>
      </c>
    </row>
    <row r="33" spans="1:28">
      <c r="A33" s="2">
        <f>HYPERLINK("https://finance.naver.com/item/coinfo.nhn?code=038390", "A038390")</f>
        <v>0</v>
      </c>
      <c r="B33">
        <f>HYPERLINK("http://comp.fnguide.com/SVO2/ASP/SVD_Consensus.asp?pGB=1&amp;gicode=A038390&amp;cID=&amp;MenuYn=Y&amp;ReportGB=&amp;NewMenuID=108&amp;stkGb=701", "레드캡투어")</f>
        <v>0</v>
      </c>
      <c r="C33">
        <v>3</v>
      </c>
      <c r="D33">
        <v>20000</v>
      </c>
      <c r="E33">
        <v>4.13</v>
      </c>
      <c r="F33">
        <v>6.05</v>
      </c>
      <c r="G33">
        <v>29165</v>
      </c>
      <c r="H33">
        <v>23895</v>
      </c>
      <c r="I33">
        <v>22393</v>
      </c>
      <c r="J33">
        <v>-45.83</v>
      </c>
      <c r="K33">
        <v>-19.47</v>
      </c>
      <c r="L33">
        <v>-11.96</v>
      </c>
      <c r="M33">
        <v>11.4</v>
      </c>
      <c r="N33" t="b">
        <v>0</v>
      </c>
      <c r="O33">
        <v>2589</v>
      </c>
      <c r="P33" t="s">
        <v>414</v>
      </c>
      <c r="Q33" t="s">
        <v>2595</v>
      </c>
      <c r="R33">
        <v>1.466402340512385</v>
      </c>
      <c r="S33">
        <v>1718</v>
      </c>
      <c r="T33">
        <v>119294</v>
      </c>
      <c r="U33" t="s">
        <v>4386</v>
      </c>
      <c r="V33">
        <v>74.58</v>
      </c>
      <c r="W33" t="s">
        <v>6606</v>
      </c>
      <c r="X33" t="s">
        <v>8757</v>
      </c>
      <c r="Y33">
        <v>2588</v>
      </c>
      <c r="Z33">
        <v>350</v>
      </c>
      <c r="AA33">
        <v>552500</v>
      </c>
      <c r="AB33">
        <v>5.11</v>
      </c>
    </row>
    <row r="34" spans="1:28">
      <c r="A34" s="2">
        <f>HYPERLINK("https://finance.naver.com/item/coinfo.nhn?code=098660", "A098660")</f>
        <v>0</v>
      </c>
      <c r="B34">
        <f>HYPERLINK("http://comp.fnguide.com/SVO2/ASP/SVD_Consensus.asp?pGB=1&amp;gicode=A098660&amp;cID=&amp;MenuYn=Y&amp;ReportGB=&amp;NewMenuID=108&amp;stkGb=701", "에스티오")</f>
        <v>0</v>
      </c>
      <c r="C34">
        <v>3</v>
      </c>
      <c r="D34">
        <v>2080</v>
      </c>
      <c r="E34">
        <v>-0.32</v>
      </c>
      <c r="F34">
        <v>9.050000000000001</v>
      </c>
      <c r="G34">
        <v>1744</v>
      </c>
      <c r="H34">
        <v>2434</v>
      </c>
      <c r="I34">
        <v>2630</v>
      </c>
      <c r="J34">
        <v>16.18</v>
      </c>
      <c r="K34">
        <v>-17</v>
      </c>
      <c r="L34">
        <v>-26.45</v>
      </c>
      <c r="M34">
        <v>4.8</v>
      </c>
      <c r="N34" t="b">
        <v>1</v>
      </c>
      <c r="O34">
        <v>262</v>
      </c>
      <c r="P34" t="s">
        <v>333</v>
      </c>
      <c r="Q34" t="s">
        <v>2528</v>
      </c>
      <c r="R34">
        <v>-27.89999999999999</v>
      </c>
      <c r="S34">
        <v>260</v>
      </c>
      <c r="T34">
        <v>33180</v>
      </c>
      <c r="U34" t="s">
        <v>4305</v>
      </c>
      <c r="V34">
        <v>67.75</v>
      </c>
      <c r="W34" t="s">
        <v>6525</v>
      </c>
      <c r="X34" t="s">
        <v>8685</v>
      </c>
      <c r="Y34">
        <v>851</v>
      </c>
      <c r="Z34">
        <v>54</v>
      </c>
      <c r="AA34">
        <v>363728</v>
      </c>
      <c r="AB34">
        <v>5.06</v>
      </c>
    </row>
    <row r="35" spans="1:28">
      <c r="A35" s="2">
        <f>HYPERLINK("https://finance.naver.com/item/coinfo.nhn?code=300720", "A300720")</f>
        <v>0</v>
      </c>
      <c r="B35">
        <f>HYPERLINK("http://comp.fnguide.com/SVO2/ASP/SVD_Consensus.asp?pGB=1&amp;gicode=A300720&amp;cID=&amp;MenuYn=Y&amp;ReportGB=&amp;NewMenuID=108&amp;stkGb=701", "한일시멘트")</f>
        <v>0</v>
      </c>
      <c r="C35">
        <v>0</v>
      </c>
      <c r="D35">
        <v>109000</v>
      </c>
      <c r="E35">
        <v>0</v>
      </c>
      <c r="F35">
        <v>9.56</v>
      </c>
      <c r="G35">
        <v>37122</v>
      </c>
      <c r="H35">
        <v>91773</v>
      </c>
      <c r="I35">
        <v>107345</v>
      </c>
      <c r="J35">
        <v>65.94</v>
      </c>
      <c r="K35">
        <v>15.8</v>
      </c>
      <c r="L35">
        <v>1.52</v>
      </c>
      <c r="M35">
        <v>2.31</v>
      </c>
      <c r="N35" t="b">
        <v>1</v>
      </c>
      <c r="O35">
        <v>9772</v>
      </c>
      <c r="P35" t="s">
        <v>1607</v>
      </c>
      <c r="Q35" t="s">
        <v>3542</v>
      </c>
      <c r="R35">
        <v>0</v>
      </c>
      <c r="S35">
        <v>7550</v>
      </c>
      <c r="T35">
        <v>16041</v>
      </c>
      <c r="U35" t="s">
        <v>5578</v>
      </c>
      <c r="V35">
        <v>73.31999999999999</v>
      </c>
      <c r="W35" t="s">
        <v>7778</v>
      </c>
      <c r="X35" t="s">
        <v>9733</v>
      </c>
      <c r="Y35">
        <v>9462</v>
      </c>
      <c r="Z35">
        <v>590</v>
      </c>
      <c r="AB35">
        <v>5.03</v>
      </c>
    </row>
    <row r="36" spans="1:28">
      <c r="A36" s="2">
        <f>HYPERLINK("https://finance.naver.com/item/coinfo.nhn?code=002960", "A002960")</f>
        <v>0</v>
      </c>
      <c r="B36">
        <f>HYPERLINK("http://comp.fnguide.com/SVO2/ASP/SVD_Consensus.asp?pGB=1&amp;gicode=A002960&amp;cID=&amp;MenuYn=Y&amp;ReportGB=&amp;NewMenuID=108&amp;stkGb=701", "한국쉘석유")</f>
        <v>0</v>
      </c>
      <c r="C36">
        <v>0</v>
      </c>
      <c r="D36">
        <v>266000</v>
      </c>
      <c r="E36">
        <v>-4.29</v>
      </c>
      <c r="F36">
        <v>19.97</v>
      </c>
      <c r="G36">
        <v>218458</v>
      </c>
      <c r="H36">
        <v>132449</v>
      </c>
      <c r="I36">
        <v>107940</v>
      </c>
      <c r="J36">
        <v>17.87</v>
      </c>
      <c r="K36">
        <v>50.21</v>
      </c>
      <c r="L36">
        <v>59.42</v>
      </c>
      <c r="M36">
        <v>23.12</v>
      </c>
      <c r="N36" t="b">
        <v>1</v>
      </c>
      <c r="O36">
        <v>16174</v>
      </c>
      <c r="P36" t="s">
        <v>1506</v>
      </c>
      <c r="Q36" t="s">
        <v>2271</v>
      </c>
      <c r="R36">
        <v>-4.660336327460035</v>
      </c>
      <c r="S36">
        <v>3458</v>
      </c>
      <c r="T36">
        <v>2945</v>
      </c>
      <c r="U36" t="s">
        <v>5477</v>
      </c>
      <c r="V36">
        <v>53.85</v>
      </c>
      <c r="W36" t="s">
        <v>7679</v>
      </c>
      <c r="X36" t="s">
        <v>9648</v>
      </c>
      <c r="Y36">
        <v>2118</v>
      </c>
      <c r="Z36">
        <v>257</v>
      </c>
      <c r="AB36">
        <v>4.95</v>
      </c>
    </row>
    <row r="37" spans="1:28">
      <c r="A37" s="2">
        <f>HYPERLINK("https://finance.naver.com/item/coinfo.nhn?code=051600", "A051600")</f>
        <v>0</v>
      </c>
      <c r="B37">
        <f>HYPERLINK("http://comp.fnguide.com/SVO2/ASP/SVD_Consensus.asp?pGB=1&amp;gicode=A051600&amp;cID=&amp;MenuYn=Y&amp;ReportGB=&amp;NewMenuID=108&amp;stkGb=701", "한전KPS")</f>
        <v>0</v>
      </c>
      <c r="C37">
        <v>2</v>
      </c>
      <c r="D37">
        <v>29300</v>
      </c>
      <c r="E37">
        <v>-1.24</v>
      </c>
      <c r="F37">
        <v>11.49</v>
      </c>
      <c r="G37">
        <v>47015</v>
      </c>
      <c r="H37">
        <v>32965</v>
      </c>
      <c r="I37">
        <v>28962</v>
      </c>
      <c r="J37">
        <v>-60.46</v>
      </c>
      <c r="K37">
        <v>-12.51</v>
      </c>
      <c r="L37">
        <v>1.15</v>
      </c>
      <c r="M37">
        <v>15.86</v>
      </c>
      <c r="N37" t="b">
        <v>0</v>
      </c>
      <c r="O37">
        <v>3407</v>
      </c>
      <c r="P37" t="s">
        <v>791</v>
      </c>
      <c r="Q37" t="s">
        <v>2950</v>
      </c>
      <c r="R37">
        <v>-9.274503094994824</v>
      </c>
      <c r="S37">
        <v>13185</v>
      </c>
      <c r="T37">
        <v>217714</v>
      </c>
      <c r="U37" t="s">
        <v>4763</v>
      </c>
      <c r="V37">
        <v>51</v>
      </c>
      <c r="W37" t="s">
        <v>6983</v>
      </c>
      <c r="X37" t="s">
        <v>9113</v>
      </c>
      <c r="Y37">
        <v>12469</v>
      </c>
      <c r="Z37">
        <v>1939</v>
      </c>
      <c r="AB37">
        <v>4.9</v>
      </c>
    </row>
    <row r="38" spans="1:28">
      <c r="A38" s="2">
        <f>HYPERLINK("https://finance.naver.com/item/coinfo.nhn?code=115500", "A115500")</f>
        <v>0</v>
      </c>
      <c r="B38">
        <f>HYPERLINK("http://comp.fnguide.com/SVO2/ASP/SVD_Consensus.asp?pGB=1&amp;gicode=A115500&amp;cID=&amp;MenuYn=Y&amp;ReportGB=&amp;NewMenuID=108&amp;stkGb=701", "케이씨에스")</f>
        <v>0</v>
      </c>
      <c r="C38">
        <v>0</v>
      </c>
      <c r="D38">
        <v>6120</v>
      </c>
      <c r="E38">
        <v>2.12</v>
      </c>
      <c r="F38">
        <v>19.09</v>
      </c>
      <c r="G38">
        <v>2797</v>
      </c>
      <c r="H38">
        <v>2153</v>
      </c>
      <c r="I38">
        <v>1969</v>
      </c>
      <c r="J38">
        <v>54.29</v>
      </c>
      <c r="K38">
        <v>64.81999999999999</v>
      </c>
      <c r="L38">
        <v>67.81999999999999</v>
      </c>
      <c r="M38">
        <v>12.92</v>
      </c>
      <c r="N38" t="b">
        <v>1</v>
      </c>
      <c r="O38">
        <v>236</v>
      </c>
      <c r="P38" t="s">
        <v>1149</v>
      </c>
      <c r="Q38" t="s">
        <v>3235</v>
      </c>
      <c r="R38">
        <v>8.985053983762947</v>
      </c>
      <c r="S38">
        <v>734</v>
      </c>
      <c r="T38">
        <v>470129</v>
      </c>
      <c r="U38" t="s">
        <v>5120</v>
      </c>
      <c r="V38">
        <v>70</v>
      </c>
      <c r="W38" t="s">
        <v>7336</v>
      </c>
      <c r="X38" t="s">
        <v>9392</v>
      </c>
      <c r="Y38">
        <v>395</v>
      </c>
      <c r="Z38">
        <v>34</v>
      </c>
      <c r="AB38">
        <v>4.89</v>
      </c>
    </row>
    <row r="39" spans="1:28">
      <c r="A39" s="2">
        <f>HYPERLINK("https://finance.naver.com/item/coinfo.nhn?code=092230", "A092230")</f>
        <v>0</v>
      </c>
      <c r="B39">
        <f>HYPERLINK("http://comp.fnguide.com/SVO2/ASP/SVD_Consensus.asp?pGB=1&amp;gicode=A092230&amp;cID=&amp;MenuYn=Y&amp;ReportGB=&amp;NewMenuID=108&amp;stkGb=701", "KPX홀딩스")</f>
        <v>0</v>
      </c>
      <c r="C39">
        <v>3</v>
      </c>
      <c r="D39">
        <v>61500</v>
      </c>
      <c r="E39">
        <v>0.46</v>
      </c>
      <c r="F39">
        <v>6.69</v>
      </c>
      <c r="G39">
        <v>79605</v>
      </c>
      <c r="H39">
        <v>124638</v>
      </c>
      <c r="I39">
        <v>137470</v>
      </c>
      <c r="J39">
        <v>-29.44</v>
      </c>
      <c r="K39">
        <v>-102.66</v>
      </c>
      <c r="L39">
        <v>-123.53</v>
      </c>
      <c r="M39">
        <v>4.1</v>
      </c>
      <c r="N39" t="b">
        <v>1</v>
      </c>
      <c r="O39">
        <v>8130</v>
      </c>
      <c r="P39" t="s">
        <v>559</v>
      </c>
      <c r="Q39" t="s">
        <v>2733</v>
      </c>
      <c r="R39">
        <v>14.44944727546844</v>
      </c>
      <c r="S39">
        <v>2598</v>
      </c>
      <c r="T39">
        <v>30368</v>
      </c>
      <c r="U39" t="s">
        <v>4531</v>
      </c>
      <c r="V39">
        <v>77.17</v>
      </c>
      <c r="W39" t="s">
        <v>6751</v>
      </c>
      <c r="X39" t="s">
        <v>8897</v>
      </c>
      <c r="Y39">
        <v>10103</v>
      </c>
      <c r="Z39">
        <v>643</v>
      </c>
      <c r="AA39">
        <v>138750</v>
      </c>
      <c r="AB39">
        <v>4.78</v>
      </c>
    </row>
    <row r="40" spans="1:28">
      <c r="A40" s="2">
        <f>HYPERLINK("https://finance.naver.com/item/coinfo.nhn?code=117580", "A117580")</f>
        <v>0</v>
      </c>
      <c r="B40">
        <f>HYPERLINK("http://comp.fnguide.com/SVO2/ASP/SVD_Consensus.asp?pGB=1&amp;gicode=A117580&amp;cID=&amp;MenuYn=Y&amp;ReportGB=&amp;NewMenuID=108&amp;stkGb=701", "대성에너지")</f>
        <v>0</v>
      </c>
      <c r="C40">
        <v>3</v>
      </c>
      <c r="D40">
        <v>5480</v>
      </c>
      <c r="E40">
        <v>3.25</v>
      </c>
      <c r="F40">
        <v>11.06</v>
      </c>
      <c r="G40">
        <v>6155</v>
      </c>
      <c r="H40">
        <v>9154</v>
      </c>
      <c r="I40">
        <v>10008</v>
      </c>
      <c r="J40">
        <v>-12.32</v>
      </c>
      <c r="K40">
        <v>-67.04000000000001</v>
      </c>
      <c r="L40">
        <v>-82.63</v>
      </c>
      <c r="M40">
        <v>4.4</v>
      </c>
      <c r="N40" t="b">
        <v>0</v>
      </c>
      <c r="O40">
        <v>474</v>
      </c>
      <c r="P40" t="s">
        <v>646</v>
      </c>
      <c r="Q40" t="s">
        <v>2814</v>
      </c>
      <c r="R40">
        <v>3.40648756630002</v>
      </c>
      <c r="S40">
        <v>1507</v>
      </c>
      <c r="T40">
        <v>10811</v>
      </c>
      <c r="U40" t="s">
        <v>4618</v>
      </c>
      <c r="V40">
        <v>72.73</v>
      </c>
      <c r="W40" t="s">
        <v>6838</v>
      </c>
      <c r="X40" t="s">
        <v>8979</v>
      </c>
      <c r="Y40">
        <v>7749</v>
      </c>
      <c r="Z40">
        <v>243</v>
      </c>
      <c r="AB40">
        <v>4.77</v>
      </c>
    </row>
    <row r="41" spans="1:28">
      <c r="A41" s="2">
        <f>HYPERLINK("https://finance.naver.com/item/coinfo.nhn?code=272550", "A272550")</f>
        <v>0</v>
      </c>
      <c r="B41">
        <f>HYPERLINK("http://comp.fnguide.com/SVO2/ASP/SVD_Consensus.asp?pGB=1&amp;gicode=A272550&amp;cID=&amp;MenuYn=Y&amp;ReportGB=&amp;NewMenuID=108&amp;stkGb=701", "삼양패키징")</f>
        <v>0</v>
      </c>
      <c r="C41">
        <v>3</v>
      </c>
      <c r="D41">
        <v>21100</v>
      </c>
      <c r="E41">
        <v>0.26</v>
      </c>
      <c r="F41">
        <v>7.88</v>
      </c>
      <c r="G41">
        <v>25136</v>
      </c>
      <c r="H41">
        <v>22135</v>
      </c>
      <c r="I41">
        <v>21280</v>
      </c>
      <c r="J41">
        <v>-19.13</v>
      </c>
      <c r="K41">
        <v>-4.9</v>
      </c>
      <c r="L41">
        <v>-0.85</v>
      </c>
      <c r="M41">
        <v>9.949999999999999</v>
      </c>
      <c r="N41" t="b">
        <v>1</v>
      </c>
      <c r="O41">
        <v>1998</v>
      </c>
      <c r="P41" t="s">
        <v>725</v>
      </c>
      <c r="Q41" t="s">
        <v>2888</v>
      </c>
      <c r="R41">
        <v>30.72149038833822</v>
      </c>
      <c r="S41">
        <v>2998</v>
      </c>
      <c r="T41">
        <v>74633</v>
      </c>
      <c r="U41" t="s">
        <v>4697</v>
      </c>
      <c r="V41">
        <v>71.01000000000001</v>
      </c>
      <c r="W41" t="s">
        <v>6917</v>
      </c>
      <c r="X41" t="s">
        <v>9050</v>
      </c>
      <c r="Y41">
        <v>3754</v>
      </c>
      <c r="Z41">
        <v>416</v>
      </c>
      <c r="AB41">
        <v>4.76</v>
      </c>
    </row>
    <row r="42" spans="1:28">
      <c r="A42" s="2">
        <f>HYPERLINK("https://finance.naver.com/item/coinfo.nhn?code=000060", "A000060")</f>
        <v>0</v>
      </c>
      <c r="B42">
        <f>HYPERLINK("http://comp.fnguide.com/SVO2/ASP/SVD_Consensus.asp?pGB=1&amp;gicode=A000060&amp;cID=&amp;MenuYn=Y&amp;ReportGB=&amp;NewMenuID=108&amp;stkGb=701", "메리츠화재")</f>
        <v>0</v>
      </c>
      <c r="C42">
        <v>3</v>
      </c>
      <c r="D42">
        <v>15000</v>
      </c>
      <c r="E42">
        <v>0.43</v>
      </c>
      <c r="F42">
        <v>6.75</v>
      </c>
      <c r="G42">
        <v>36168</v>
      </c>
      <c r="H42">
        <v>26820</v>
      </c>
      <c r="I42">
        <v>24156</v>
      </c>
      <c r="J42">
        <v>-141.12</v>
      </c>
      <c r="K42">
        <v>-78.8</v>
      </c>
      <c r="L42">
        <v>-61.04</v>
      </c>
      <c r="M42">
        <v>13.99</v>
      </c>
      <c r="N42" t="b">
        <v>1</v>
      </c>
      <c r="O42">
        <v>2643</v>
      </c>
      <c r="P42" t="s">
        <v>549</v>
      </c>
      <c r="Q42" t="s">
        <v>2723</v>
      </c>
      <c r="R42">
        <v>15.65850051513527</v>
      </c>
      <c r="S42">
        <v>18094</v>
      </c>
      <c r="T42">
        <v>271206</v>
      </c>
      <c r="U42" t="s">
        <v>4521</v>
      </c>
      <c r="V42">
        <v>56.32</v>
      </c>
      <c r="W42" t="s">
        <v>6741</v>
      </c>
      <c r="X42" t="s">
        <v>8887</v>
      </c>
      <c r="Y42">
        <v>80830</v>
      </c>
      <c r="Z42">
        <v>3528</v>
      </c>
      <c r="AA42">
        <v>2600822</v>
      </c>
      <c r="AB42">
        <v>4.76</v>
      </c>
    </row>
    <row r="43" spans="1:28">
      <c r="A43" s="2">
        <f>HYPERLINK("https://finance.naver.com/item/coinfo.nhn?code=083420", "A083420")</f>
        <v>0</v>
      </c>
      <c r="B43">
        <f>HYPERLINK("http://comp.fnguide.com/SVO2/ASP/SVD_Consensus.asp?pGB=1&amp;gicode=A083420&amp;cID=&amp;MenuYn=Y&amp;ReportGB=&amp;NewMenuID=108&amp;stkGb=701", "그린케미칼")</f>
        <v>0</v>
      </c>
      <c r="C43">
        <v>0</v>
      </c>
      <c r="D43">
        <v>6400</v>
      </c>
      <c r="E43">
        <v>0.42</v>
      </c>
      <c r="F43">
        <v>14.86</v>
      </c>
      <c r="G43">
        <v>2178</v>
      </c>
      <c r="H43">
        <v>3664</v>
      </c>
      <c r="I43">
        <v>4088</v>
      </c>
      <c r="J43">
        <v>65.97</v>
      </c>
      <c r="K43">
        <v>42.75</v>
      </c>
      <c r="L43">
        <v>36.13</v>
      </c>
      <c r="M43">
        <v>3.73</v>
      </c>
      <c r="N43" t="b">
        <v>1</v>
      </c>
      <c r="O43">
        <v>233</v>
      </c>
      <c r="P43" t="s">
        <v>1673</v>
      </c>
      <c r="Q43" t="s">
        <v>3588</v>
      </c>
      <c r="R43">
        <v>35.28665879411459</v>
      </c>
      <c r="S43">
        <v>1536</v>
      </c>
      <c r="T43">
        <v>920785</v>
      </c>
      <c r="U43" t="s">
        <v>5643</v>
      </c>
      <c r="V43">
        <v>65.26000000000001</v>
      </c>
      <c r="W43" t="s">
        <v>7842</v>
      </c>
      <c r="X43" t="s">
        <v>9787</v>
      </c>
      <c r="Y43">
        <v>2319</v>
      </c>
      <c r="Z43">
        <v>78</v>
      </c>
      <c r="AA43">
        <v>674801</v>
      </c>
      <c r="AB43">
        <v>4.68</v>
      </c>
    </row>
    <row r="44" spans="1:28">
      <c r="A44" s="2">
        <f>HYPERLINK("https://finance.naver.com/item/coinfo.nhn?code=138040", "A138040")</f>
        <v>0</v>
      </c>
      <c r="B44">
        <f>HYPERLINK("http://comp.fnguide.com/SVO2/ASP/SVD_Consensus.asp?pGB=1&amp;gicode=A138040&amp;cID=&amp;MenuYn=Y&amp;ReportGB=&amp;NewMenuID=108&amp;stkGb=701", "메리츠금융지주")</f>
        <v>0</v>
      </c>
      <c r="C44">
        <v>3</v>
      </c>
      <c r="D44">
        <v>10000</v>
      </c>
      <c r="E44">
        <v>0.91</v>
      </c>
      <c r="F44">
        <v>4.15</v>
      </c>
      <c r="G44">
        <v>40575</v>
      </c>
      <c r="H44">
        <v>28742</v>
      </c>
      <c r="I44">
        <v>25370</v>
      </c>
      <c r="J44">
        <v>-305.75</v>
      </c>
      <c r="K44">
        <v>-187.42</v>
      </c>
      <c r="L44">
        <v>-153.7</v>
      </c>
      <c r="M44">
        <v>15.49</v>
      </c>
      <c r="N44" t="b">
        <v>1</v>
      </c>
      <c r="O44">
        <v>2841</v>
      </c>
      <c r="P44" t="s">
        <v>547</v>
      </c>
      <c r="Q44" t="s">
        <v>2721</v>
      </c>
      <c r="R44">
        <v>4.539413365111278</v>
      </c>
      <c r="S44">
        <v>13401</v>
      </c>
      <c r="T44">
        <v>487639</v>
      </c>
      <c r="U44" t="s">
        <v>4519</v>
      </c>
      <c r="V44">
        <v>72.25</v>
      </c>
      <c r="W44" t="s">
        <v>6739</v>
      </c>
      <c r="X44" t="s">
        <v>8885</v>
      </c>
      <c r="Y44">
        <v>18316</v>
      </c>
      <c r="Z44">
        <v>9623</v>
      </c>
      <c r="AA44">
        <v>2385670</v>
      </c>
      <c r="AB44">
        <v>4.66</v>
      </c>
    </row>
    <row r="45" spans="1:28">
      <c r="A45" s="2">
        <f>HYPERLINK("https://finance.naver.com/item/coinfo.nhn?code=023760", "A023760")</f>
        <v>0</v>
      </c>
      <c r="B45">
        <f>HYPERLINK("http://comp.fnguide.com/SVO2/ASP/SVD_Consensus.asp?pGB=1&amp;gicode=A023760&amp;cID=&amp;MenuYn=Y&amp;ReportGB=&amp;NewMenuID=108&amp;stkGb=701", "한국캐피탈")</f>
        <v>0</v>
      </c>
      <c r="C45">
        <v>3</v>
      </c>
      <c r="D45">
        <v>581</v>
      </c>
      <c r="E45">
        <v>0</v>
      </c>
      <c r="F45">
        <v>4.98</v>
      </c>
      <c r="G45">
        <v>783</v>
      </c>
      <c r="H45">
        <v>858</v>
      </c>
      <c r="I45">
        <v>879</v>
      </c>
      <c r="J45">
        <v>-34.8</v>
      </c>
      <c r="K45">
        <v>-47.63</v>
      </c>
      <c r="L45">
        <v>-51.29</v>
      </c>
      <c r="M45">
        <v>6.88</v>
      </c>
      <c r="N45" t="b">
        <v>1</v>
      </c>
      <c r="O45">
        <v>109</v>
      </c>
      <c r="P45" t="s">
        <v>648</v>
      </c>
      <c r="Q45" t="s">
        <v>2816</v>
      </c>
      <c r="R45">
        <v>-5.316520177583229</v>
      </c>
      <c r="S45">
        <v>1834</v>
      </c>
      <c r="T45">
        <v>341032</v>
      </c>
      <c r="U45" t="s">
        <v>4620</v>
      </c>
      <c r="V45">
        <v>80.41</v>
      </c>
      <c r="W45" t="s">
        <v>6840</v>
      </c>
      <c r="X45" t="s">
        <v>8980</v>
      </c>
      <c r="Y45">
        <v>564</v>
      </c>
      <c r="Z45">
        <v>269</v>
      </c>
      <c r="AA45">
        <v>3578001</v>
      </c>
      <c r="AB45">
        <v>4.59</v>
      </c>
    </row>
    <row r="46" spans="1:28">
      <c r="A46" s="2">
        <f>HYPERLINK("https://finance.naver.com/item/coinfo.nhn?code=214370", "A214370")</f>
        <v>0</v>
      </c>
      <c r="B46">
        <f>HYPERLINK("http://comp.fnguide.com/SVO2/ASP/SVD_Consensus.asp?pGB=1&amp;gicode=A214370&amp;cID=&amp;MenuYn=Y&amp;ReportGB=&amp;NewMenuID=108&amp;stkGb=701", "케어젠")</f>
        <v>0</v>
      </c>
      <c r="C46">
        <v>0</v>
      </c>
      <c r="D46">
        <v>68500</v>
      </c>
      <c r="E46">
        <v>1.67</v>
      </c>
      <c r="F46">
        <v>23.42</v>
      </c>
      <c r="G46">
        <v>29932</v>
      </c>
      <c r="H46">
        <v>25244</v>
      </c>
      <c r="I46">
        <v>23908</v>
      </c>
      <c r="J46">
        <v>56.3</v>
      </c>
      <c r="K46">
        <v>63.15</v>
      </c>
      <c r="L46">
        <v>65.09999999999999</v>
      </c>
      <c r="M46">
        <v>10.78</v>
      </c>
      <c r="N46" t="b">
        <v>1</v>
      </c>
      <c r="O46">
        <v>2613</v>
      </c>
      <c r="P46" t="s">
        <v>1174</v>
      </c>
      <c r="Q46" t="s">
        <v>3251</v>
      </c>
      <c r="R46">
        <v>14.03310240589473</v>
      </c>
      <c r="S46">
        <v>7359</v>
      </c>
      <c r="T46">
        <v>52175</v>
      </c>
      <c r="U46" t="s">
        <v>5145</v>
      </c>
      <c r="V46">
        <v>63.96</v>
      </c>
      <c r="W46" t="s">
        <v>7360</v>
      </c>
      <c r="X46" t="s">
        <v>9411</v>
      </c>
      <c r="Y46">
        <v>647</v>
      </c>
      <c r="Z46">
        <v>354</v>
      </c>
      <c r="AA46">
        <v>937073</v>
      </c>
      <c r="AB46">
        <v>4.58</v>
      </c>
    </row>
    <row r="47" spans="1:28">
      <c r="A47" s="2">
        <f>HYPERLINK("https://finance.naver.com/item/coinfo.nhn?code=025000", "A025000")</f>
        <v>0</v>
      </c>
      <c r="B47">
        <f>HYPERLINK("http://comp.fnguide.com/SVO2/ASP/SVD_Consensus.asp?pGB=1&amp;gicode=A025000&amp;cID=&amp;MenuYn=Y&amp;ReportGB=&amp;NewMenuID=108&amp;stkGb=701", "KPX케미칼")</f>
        <v>0</v>
      </c>
      <c r="C47">
        <v>3</v>
      </c>
      <c r="D47">
        <v>53900</v>
      </c>
      <c r="E47">
        <v>0.55</v>
      </c>
      <c r="F47">
        <v>6.6</v>
      </c>
      <c r="G47">
        <v>78740</v>
      </c>
      <c r="H47">
        <v>90361</v>
      </c>
      <c r="I47">
        <v>93673</v>
      </c>
      <c r="J47">
        <v>-46.09</v>
      </c>
      <c r="K47">
        <v>-67.65000000000001</v>
      </c>
      <c r="L47">
        <v>-73.79000000000001</v>
      </c>
      <c r="M47">
        <v>6.4</v>
      </c>
      <c r="N47" t="b">
        <v>1</v>
      </c>
      <c r="O47">
        <v>8420</v>
      </c>
      <c r="P47" t="s">
        <v>540</v>
      </c>
      <c r="Q47" t="s">
        <v>2714</v>
      </c>
      <c r="R47">
        <v>11.99693132584287</v>
      </c>
      <c r="S47">
        <v>2609</v>
      </c>
      <c r="T47">
        <v>15557</v>
      </c>
      <c r="U47" t="s">
        <v>4512</v>
      </c>
      <c r="V47">
        <v>64.40000000000001</v>
      </c>
      <c r="W47" t="s">
        <v>6732</v>
      </c>
      <c r="X47" t="s">
        <v>8878</v>
      </c>
      <c r="Y47">
        <v>7657</v>
      </c>
      <c r="Z47">
        <v>484</v>
      </c>
      <c r="AA47">
        <v>84779</v>
      </c>
      <c r="AB47">
        <v>4.5</v>
      </c>
    </row>
    <row r="48" spans="1:28">
      <c r="A48" s="2">
        <f>HYPERLINK("https://finance.naver.com/item/coinfo.nhn?code=000480", "A000480")</f>
        <v>0</v>
      </c>
      <c r="B48">
        <f>HYPERLINK("http://comp.fnguide.com/SVO2/ASP/SVD_Consensus.asp?pGB=1&amp;gicode=A000480&amp;cID=&amp;MenuYn=Y&amp;ReportGB=&amp;NewMenuID=108&amp;stkGb=701", "조선내화")</f>
        <v>0</v>
      </c>
      <c r="C48">
        <v>3</v>
      </c>
      <c r="D48">
        <v>81400</v>
      </c>
      <c r="E48">
        <v>0.64</v>
      </c>
      <c r="F48">
        <v>14.59</v>
      </c>
      <c r="G48">
        <v>128899</v>
      </c>
      <c r="H48">
        <v>162569</v>
      </c>
      <c r="I48">
        <v>172163</v>
      </c>
      <c r="J48">
        <v>-58.35</v>
      </c>
      <c r="K48">
        <v>-99.72</v>
      </c>
      <c r="L48">
        <v>-111.5</v>
      </c>
      <c r="M48">
        <v>5.55</v>
      </c>
      <c r="N48" t="b">
        <v>1</v>
      </c>
      <c r="O48">
        <v>6088</v>
      </c>
      <c r="P48" t="s">
        <v>217</v>
      </c>
      <c r="Q48" t="s">
        <v>2423</v>
      </c>
      <c r="R48">
        <v>22.85186652627453</v>
      </c>
      <c r="S48">
        <v>3256</v>
      </c>
      <c r="T48">
        <v>1707</v>
      </c>
      <c r="U48" t="s">
        <v>4189</v>
      </c>
      <c r="V48">
        <v>61.1</v>
      </c>
      <c r="W48" t="s">
        <v>6409</v>
      </c>
      <c r="X48" t="s">
        <v>8582</v>
      </c>
      <c r="Y48">
        <v>7572</v>
      </c>
      <c r="Z48">
        <v>213</v>
      </c>
      <c r="AA48">
        <v>800000</v>
      </c>
      <c r="AB48">
        <v>4.5</v>
      </c>
    </row>
    <row r="49" spans="1:28">
      <c r="A49" s="2">
        <f>HYPERLINK("https://finance.naver.com/item/coinfo.nhn?code=010470", "A010470")</f>
        <v>0</v>
      </c>
      <c r="B49">
        <f>HYPERLINK("http://comp.fnguide.com/SVO2/ASP/SVD_Consensus.asp?pGB=1&amp;gicode=A010470&amp;cID=&amp;MenuYn=Y&amp;ReportGB=&amp;NewMenuID=108&amp;stkGb=701", "오리콤")</f>
        <v>0</v>
      </c>
      <c r="C49">
        <v>3</v>
      </c>
      <c r="D49">
        <v>6070</v>
      </c>
      <c r="E49">
        <v>0.5</v>
      </c>
      <c r="F49">
        <v>9.69</v>
      </c>
      <c r="G49">
        <v>7778</v>
      </c>
      <c r="H49">
        <v>7445</v>
      </c>
      <c r="I49">
        <v>7351</v>
      </c>
      <c r="J49">
        <v>-28.13</v>
      </c>
      <c r="K49">
        <v>-22.66</v>
      </c>
      <c r="L49">
        <v>-21.1</v>
      </c>
      <c r="M49">
        <v>8.58</v>
      </c>
      <c r="N49" t="b">
        <v>0</v>
      </c>
      <c r="O49">
        <v>515</v>
      </c>
      <c r="P49" t="s">
        <v>350</v>
      </c>
      <c r="Q49" t="s">
        <v>2539</v>
      </c>
      <c r="R49">
        <v>19.27306272420797</v>
      </c>
      <c r="S49">
        <v>710</v>
      </c>
      <c r="T49">
        <v>747468</v>
      </c>
      <c r="U49" t="s">
        <v>4322</v>
      </c>
      <c r="V49">
        <v>62.87</v>
      </c>
      <c r="W49" t="s">
        <v>6542</v>
      </c>
      <c r="X49" t="s">
        <v>8697</v>
      </c>
      <c r="Y49">
        <v>1985</v>
      </c>
      <c r="Z49">
        <v>80</v>
      </c>
      <c r="AA49">
        <v>370315</v>
      </c>
      <c r="AB49">
        <v>4.41</v>
      </c>
    </row>
    <row r="50" spans="1:28">
      <c r="A50" s="2">
        <f>HYPERLINK("https://finance.naver.com/item/coinfo.nhn?code=018120", "A018120")</f>
        <v>0</v>
      </c>
      <c r="B50">
        <f>HYPERLINK("http://comp.fnguide.com/SVO2/ASP/SVD_Consensus.asp?pGB=1&amp;gicode=A018120&amp;cID=&amp;MenuYn=Y&amp;ReportGB=&amp;NewMenuID=108&amp;stkGb=701", "진로발효")</f>
        <v>0</v>
      </c>
      <c r="C50">
        <v>0</v>
      </c>
      <c r="D50">
        <v>31150</v>
      </c>
      <c r="E50">
        <v>3.62</v>
      </c>
      <c r="F50">
        <v>15.67</v>
      </c>
      <c r="G50">
        <v>23575</v>
      </c>
      <c r="H50">
        <v>16528</v>
      </c>
      <c r="I50">
        <v>14520</v>
      </c>
      <c r="J50">
        <v>24.32</v>
      </c>
      <c r="K50">
        <v>46.94</v>
      </c>
      <c r="L50">
        <v>53.39</v>
      </c>
      <c r="M50">
        <v>15.86</v>
      </c>
      <c r="N50" t="b">
        <v>1</v>
      </c>
      <c r="O50">
        <v>1959</v>
      </c>
      <c r="P50" t="s">
        <v>1168</v>
      </c>
      <c r="Q50" t="s">
        <v>3247</v>
      </c>
      <c r="R50">
        <v>4.331868429886399</v>
      </c>
      <c r="S50">
        <v>2062</v>
      </c>
      <c r="T50">
        <v>4561</v>
      </c>
      <c r="U50" t="s">
        <v>5139</v>
      </c>
      <c r="V50">
        <v>65.59</v>
      </c>
      <c r="W50" t="s">
        <v>7354</v>
      </c>
      <c r="X50" t="s">
        <v>9406</v>
      </c>
      <c r="Y50">
        <v>884</v>
      </c>
      <c r="Z50">
        <v>165</v>
      </c>
      <c r="AA50">
        <v>3356</v>
      </c>
      <c r="AB50">
        <v>4.4</v>
      </c>
    </row>
    <row r="51" spans="1:28">
      <c r="A51" s="2">
        <f>HYPERLINK("https://finance.naver.com/item/coinfo.nhn?code=034590", "A034590")</f>
        <v>0</v>
      </c>
      <c r="B51">
        <f>HYPERLINK("http://comp.fnguide.com/SVO2/ASP/SVD_Consensus.asp?pGB=1&amp;gicode=A034590&amp;cID=&amp;MenuYn=Y&amp;ReportGB=&amp;NewMenuID=108&amp;stkGb=701", "인천도시가스")</f>
        <v>0</v>
      </c>
      <c r="C51">
        <v>3</v>
      </c>
      <c r="D51">
        <v>25900</v>
      </c>
      <c r="E51">
        <v>1.74</v>
      </c>
      <c r="F51">
        <v>11.73</v>
      </c>
      <c r="G51">
        <v>41493</v>
      </c>
      <c r="H51">
        <v>43529</v>
      </c>
      <c r="I51">
        <v>44109</v>
      </c>
      <c r="J51">
        <v>-60.2</v>
      </c>
      <c r="K51">
        <v>-68.06</v>
      </c>
      <c r="L51">
        <v>-70.3</v>
      </c>
      <c r="M51">
        <v>7.37</v>
      </c>
      <c r="N51" t="b">
        <v>0</v>
      </c>
      <c r="O51">
        <v>2448</v>
      </c>
      <c r="P51" t="s">
        <v>140</v>
      </c>
      <c r="Q51" t="s">
        <v>2350</v>
      </c>
      <c r="R51">
        <v>6.760043047156983</v>
      </c>
      <c r="S51">
        <v>1133</v>
      </c>
      <c r="T51">
        <v>1424</v>
      </c>
      <c r="U51" t="s">
        <v>4112</v>
      </c>
      <c r="V51">
        <v>68.45999999999999</v>
      </c>
      <c r="W51" t="s">
        <v>6332</v>
      </c>
      <c r="X51" t="s">
        <v>8512</v>
      </c>
      <c r="Y51">
        <v>5735</v>
      </c>
      <c r="Z51">
        <v>120</v>
      </c>
      <c r="AA51">
        <v>252755</v>
      </c>
      <c r="AB51">
        <v>4.36</v>
      </c>
    </row>
    <row r="52" spans="1:28">
      <c r="A52" s="2">
        <f>HYPERLINK("https://finance.naver.com/item/coinfo.nhn?code=030610", "A030610")</f>
        <v>0</v>
      </c>
      <c r="B52">
        <f>HYPERLINK("http://comp.fnguide.com/SVO2/ASP/SVD_Consensus.asp?pGB=1&amp;gicode=A030610&amp;cID=&amp;MenuYn=Y&amp;ReportGB=&amp;NewMenuID=108&amp;stkGb=701", "교보증권")</f>
        <v>0</v>
      </c>
      <c r="C52">
        <v>3</v>
      </c>
      <c r="D52">
        <v>8020</v>
      </c>
      <c r="E52">
        <v>0.44</v>
      </c>
      <c r="F52">
        <v>3.98</v>
      </c>
      <c r="G52">
        <v>17322</v>
      </c>
      <c r="H52">
        <v>15998</v>
      </c>
      <c r="I52">
        <v>15620</v>
      </c>
      <c r="J52">
        <v>-115.98</v>
      </c>
      <c r="K52">
        <v>-99.47</v>
      </c>
      <c r="L52">
        <v>-94.77</v>
      </c>
      <c r="M52">
        <v>9.130000000000001</v>
      </c>
      <c r="N52" t="b">
        <v>1</v>
      </c>
      <c r="O52">
        <v>2319</v>
      </c>
      <c r="P52" t="s">
        <v>594</v>
      </c>
      <c r="Q52" t="s">
        <v>2766</v>
      </c>
      <c r="R52">
        <v>9.079772519246077</v>
      </c>
      <c r="S52">
        <v>5185</v>
      </c>
      <c r="T52">
        <v>232377</v>
      </c>
      <c r="U52" t="s">
        <v>4566</v>
      </c>
      <c r="V52">
        <v>73.16</v>
      </c>
      <c r="W52" t="s">
        <v>6786</v>
      </c>
      <c r="X52" t="s">
        <v>8929</v>
      </c>
      <c r="Y52">
        <v>3064</v>
      </c>
      <c r="Z52">
        <v>1104</v>
      </c>
      <c r="AA52">
        <v>1093598</v>
      </c>
      <c r="AB52">
        <v>4.34</v>
      </c>
    </row>
    <row r="53" spans="1:28">
      <c r="A53" s="2">
        <f>HYPERLINK("https://finance.naver.com/item/coinfo.nhn?code=104700", "A104700")</f>
        <v>0</v>
      </c>
      <c r="B53">
        <f>HYPERLINK("http://comp.fnguide.com/SVO2/ASP/SVD_Consensus.asp?pGB=1&amp;gicode=A104700&amp;cID=&amp;MenuYn=Y&amp;ReportGB=&amp;NewMenuID=108&amp;stkGb=701", "한국철강")</f>
        <v>0</v>
      </c>
      <c r="C53">
        <v>3</v>
      </c>
      <c r="D53">
        <v>6400</v>
      </c>
      <c r="E53">
        <v>0.38</v>
      </c>
      <c r="F53">
        <v>11.41</v>
      </c>
      <c r="G53">
        <v>3752</v>
      </c>
      <c r="H53">
        <v>10996</v>
      </c>
      <c r="I53">
        <v>13060</v>
      </c>
      <c r="J53">
        <v>41.37</v>
      </c>
      <c r="K53">
        <v>-71.81</v>
      </c>
      <c r="L53">
        <v>-104.06</v>
      </c>
      <c r="M53">
        <v>1.89</v>
      </c>
      <c r="N53" t="b">
        <v>1</v>
      </c>
      <c r="O53">
        <v>414</v>
      </c>
      <c r="P53" t="s">
        <v>60</v>
      </c>
      <c r="Q53" t="s">
        <v>2278</v>
      </c>
      <c r="R53">
        <v>30.42208214993196</v>
      </c>
      <c r="S53">
        <v>2947</v>
      </c>
      <c r="T53">
        <v>363115</v>
      </c>
      <c r="U53" t="s">
        <v>4032</v>
      </c>
      <c r="V53">
        <v>52.66</v>
      </c>
      <c r="W53" t="s">
        <v>6252</v>
      </c>
      <c r="X53" t="s">
        <v>8435</v>
      </c>
      <c r="Y53">
        <v>7191</v>
      </c>
      <c r="Z53">
        <v>122</v>
      </c>
      <c r="AA53">
        <v>194050</v>
      </c>
      <c r="AB53">
        <v>4.23</v>
      </c>
    </row>
    <row r="54" spans="1:28">
      <c r="A54" s="2">
        <f>HYPERLINK("https://finance.naver.com/item/coinfo.nhn?code=004970", "A004970")</f>
        <v>0</v>
      </c>
      <c r="B54">
        <f>HYPERLINK("http://comp.fnguide.com/SVO2/ASP/SVD_Consensus.asp?pGB=1&amp;gicode=A004970&amp;cID=&amp;MenuYn=Y&amp;ReportGB=&amp;NewMenuID=108&amp;stkGb=701", "신라교역")</f>
        <v>0</v>
      </c>
      <c r="C54">
        <v>3</v>
      </c>
      <c r="D54">
        <v>9260</v>
      </c>
      <c r="E54">
        <v>-0.92</v>
      </c>
      <c r="F54">
        <v>18.46</v>
      </c>
      <c r="G54">
        <v>18970</v>
      </c>
      <c r="H54">
        <v>27024</v>
      </c>
      <c r="I54">
        <v>29319</v>
      </c>
      <c r="J54">
        <v>-104.86</v>
      </c>
      <c r="K54">
        <v>-191.84</v>
      </c>
      <c r="L54">
        <v>-216.62</v>
      </c>
      <c r="M54">
        <v>4.67</v>
      </c>
      <c r="N54" t="b">
        <v>0</v>
      </c>
      <c r="O54">
        <v>645</v>
      </c>
      <c r="P54" t="s">
        <v>726</v>
      </c>
      <c r="Q54" t="s">
        <v>2889</v>
      </c>
      <c r="R54">
        <v>-20.13886853610718</v>
      </c>
      <c r="S54">
        <v>1482</v>
      </c>
      <c r="T54">
        <v>30602</v>
      </c>
      <c r="U54" t="s">
        <v>4698</v>
      </c>
      <c r="V54">
        <v>67.03</v>
      </c>
      <c r="W54" t="s">
        <v>6918</v>
      </c>
      <c r="X54" t="s">
        <v>9051</v>
      </c>
      <c r="Y54">
        <v>3696</v>
      </c>
      <c r="Z54">
        <v>-42</v>
      </c>
      <c r="AB54">
        <v>4.2</v>
      </c>
    </row>
    <row r="55" spans="1:28">
      <c r="A55" s="2">
        <f>HYPERLINK("https://finance.naver.com/item/coinfo.nhn?code=010770", "A010770")</f>
        <v>0</v>
      </c>
      <c r="B55">
        <f>HYPERLINK("http://comp.fnguide.com/SVO2/ASP/SVD_Consensus.asp?pGB=1&amp;gicode=A010770&amp;cID=&amp;MenuYn=Y&amp;ReportGB=&amp;NewMenuID=108&amp;stkGb=701", "평화홀딩스")</f>
        <v>0</v>
      </c>
      <c r="C55">
        <v>3</v>
      </c>
      <c r="D55">
        <v>3320</v>
      </c>
      <c r="G55">
        <v>0</v>
      </c>
      <c r="H55">
        <v>5056</v>
      </c>
      <c r="I55">
        <v>6497</v>
      </c>
      <c r="J55">
        <v>100</v>
      </c>
      <c r="K55">
        <v>-52.3</v>
      </c>
      <c r="L55">
        <v>-95.7</v>
      </c>
      <c r="M55">
        <v>0</v>
      </c>
      <c r="N55" t="b">
        <v>0</v>
      </c>
      <c r="O55">
        <v>-942</v>
      </c>
      <c r="P55" t="s">
        <v>206</v>
      </c>
      <c r="Q55" t="s">
        <v>2412</v>
      </c>
      <c r="R55">
        <v>1028.4</v>
      </c>
      <c r="S55">
        <v>486</v>
      </c>
      <c r="T55">
        <v>18753</v>
      </c>
      <c r="U55" t="s">
        <v>4178</v>
      </c>
      <c r="V55">
        <v>52.34</v>
      </c>
      <c r="W55" t="s">
        <v>6398</v>
      </c>
      <c r="X55" t="s">
        <v>968</v>
      </c>
      <c r="Y55">
        <v>5811</v>
      </c>
      <c r="Z55">
        <v>-36</v>
      </c>
      <c r="AA55">
        <v>770294</v>
      </c>
      <c r="AB55">
        <v>4.17</v>
      </c>
    </row>
    <row r="56" spans="1:28">
      <c r="A56" s="2">
        <f>HYPERLINK("https://finance.naver.com/item/coinfo.nhn?code=013120", "A013120")</f>
        <v>0</v>
      </c>
      <c r="B56">
        <f>HYPERLINK("http://comp.fnguide.com/SVO2/ASP/SVD_Consensus.asp?pGB=1&amp;gicode=A013120&amp;cID=&amp;MenuYn=Y&amp;ReportGB=&amp;NewMenuID=108&amp;stkGb=701", "동원개발")</f>
        <v>0</v>
      </c>
      <c r="C56">
        <v>3</v>
      </c>
      <c r="D56">
        <v>4445</v>
      </c>
      <c r="E56">
        <v>0.72</v>
      </c>
      <c r="F56">
        <v>4.38</v>
      </c>
      <c r="G56">
        <v>16045</v>
      </c>
      <c r="H56">
        <v>11507</v>
      </c>
      <c r="I56">
        <v>10214</v>
      </c>
      <c r="J56">
        <v>-260.98</v>
      </c>
      <c r="K56">
        <v>-158.87</v>
      </c>
      <c r="L56">
        <v>-129.78</v>
      </c>
      <c r="M56">
        <v>15.06</v>
      </c>
      <c r="N56" t="b">
        <v>1</v>
      </c>
      <c r="O56">
        <v>933</v>
      </c>
      <c r="P56" t="s">
        <v>448</v>
      </c>
      <c r="Q56" t="s">
        <v>2628</v>
      </c>
      <c r="R56">
        <v>6.117108852669451</v>
      </c>
      <c r="S56">
        <v>4036</v>
      </c>
      <c r="T56">
        <v>435004</v>
      </c>
      <c r="U56" t="s">
        <v>4420</v>
      </c>
      <c r="V56">
        <v>61.17</v>
      </c>
      <c r="W56" t="s">
        <v>6640</v>
      </c>
      <c r="X56" t="s">
        <v>8790</v>
      </c>
      <c r="Y56">
        <v>6426</v>
      </c>
      <c r="Z56">
        <v>1061</v>
      </c>
      <c r="AB56">
        <v>4.16</v>
      </c>
    </row>
    <row r="57" spans="1:28">
      <c r="A57" s="2">
        <f>HYPERLINK("https://finance.naver.com/item/coinfo.nhn?code=029780", "A029780")</f>
        <v>0</v>
      </c>
      <c r="B57">
        <f>HYPERLINK("http://comp.fnguide.com/SVO2/ASP/SVD_Consensus.asp?pGB=1&amp;gicode=A029780&amp;cID=&amp;MenuYn=Y&amp;ReportGB=&amp;NewMenuID=108&amp;stkGb=701", "삼성카드")</f>
        <v>0</v>
      </c>
      <c r="C57">
        <v>3</v>
      </c>
      <c r="D57">
        <v>34350</v>
      </c>
      <c r="E57">
        <v>0</v>
      </c>
      <c r="F57">
        <v>13</v>
      </c>
      <c r="G57">
        <v>41774</v>
      </c>
      <c r="H57">
        <v>55505</v>
      </c>
      <c r="I57">
        <v>59417</v>
      </c>
      <c r="J57">
        <v>-21.61</v>
      </c>
      <c r="K57">
        <v>-61.59</v>
      </c>
      <c r="L57">
        <v>-72.98</v>
      </c>
      <c r="M57">
        <v>5.15</v>
      </c>
      <c r="N57" t="b">
        <v>0</v>
      </c>
      <c r="O57">
        <v>2970</v>
      </c>
      <c r="P57" t="s">
        <v>765</v>
      </c>
      <c r="Q57" t="s">
        <v>2925</v>
      </c>
      <c r="R57">
        <v>-1.327238528506358</v>
      </c>
      <c r="S57">
        <v>39798</v>
      </c>
      <c r="T57">
        <v>139601</v>
      </c>
      <c r="U57" t="s">
        <v>4737</v>
      </c>
      <c r="V57">
        <v>71.90000000000001</v>
      </c>
      <c r="W57" t="s">
        <v>6957</v>
      </c>
      <c r="X57" t="s">
        <v>9089</v>
      </c>
      <c r="Y57">
        <v>24557</v>
      </c>
      <c r="Z57">
        <v>4497</v>
      </c>
      <c r="AA57">
        <v>9148196</v>
      </c>
      <c r="AB57">
        <v>4.15</v>
      </c>
    </row>
    <row r="58" spans="1:28">
      <c r="A58" s="2">
        <f>HYPERLINK("https://finance.naver.com/item/coinfo.nhn?code=009580", "A009580")</f>
        <v>0</v>
      </c>
      <c r="B58">
        <f>HYPERLINK("http://comp.fnguide.com/SVO2/ASP/SVD_Consensus.asp?pGB=1&amp;gicode=A009580&amp;cID=&amp;MenuYn=Y&amp;ReportGB=&amp;NewMenuID=108&amp;stkGb=701", "무림P&amp;P")</f>
        <v>0</v>
      </c>
      <c r="C58">
        <v>3</v>
      </c>
      <c r="D58">
        <v>3500</v>
      </c>
      <c r="E58">
        <v>-0.31</v>
      </c>
      <c r="F58">
        <v>26.08</v>
      </c>
      <c r="G58">
        <v>7251</v>
      </c>
      <c r="H58">
        <v>8808</v>
      </c>
      <c r="I58">
        <v>9252</v>
      </c>
      <c r="J58">
        <v>-107.17</v>
      </c>
      <c r="K58">
        <v>-151.65</v>
      </c>
      <c r="L58">
        <v>-164.33</v>
      </c>
      <c r="M58">
        <v>5.87</v>
      </c>
      <c r="N58" t="b">
        <v>0</v>
      </c>
      <c r="O58">
        <v>162</v>
      </c>
      <c r="P58" t="s">
        <v>554</v>
      </c>
      <c r="Q58" t="s">
        <v>2728</v>
      </c>
      <c r="R58">
        <v>-83.23086615132016</v>
      </c>
      <c r="S58">
        <v>2183</v>
      </c>
      <c r="T58">
        <v>468840</v>
      </c>
      <c r="U58" t="s">
        <v>4526</v>
      </c>
      <c r="V58">
        <v>66.97</v>
      </c>
      <c r="W58" t="s">
        <v>6746</v>
      </c>
      <c r="X58" t="s">
        <v>8892</v>
      </c>
      <c r="Y58">
        <v>6313</v>
      </c>
      <c r="Z58">
        <v>494</v>
      </c>
      <c r="AA58">
        <v>4546</v>
      </c>
      <c r="AB58">
        <v>4.14</v>
      </c>
    </row>
    <row r="59" spans="1:28">
      <c r="A59" s="2">
        <f>HYPERLINK("https://finance.naver.com/item/coinfo.nhn?code=267290", "A267290")</f>
        <v>0</v>
      </c>
      <c r="B59">
        <f>HYPERLINK("http://comp.fnguide.com/SVO2/ASP/SVD_Consensus.asp?pGB=1&amp;gicode=A267290&amp;cID=&amp;MenuYn=Y&amp;ReportGB=&amp;NewMenuID=108&amp;stkGb=701", "경동도시가스")</f>
        <v>0</v>
      </c>
      <c r="C59">
        <v>3</v>
      </c>
      <c r="D59">
        <v>18300</v>
      </c>
      <c r="E59">
        <v>0</v>
      </c>
      <c r="F59">
        <v>5.1</v>
      </c>
      <c r="G59">
        <v>53671</v>
      </c>
      <c r="H59">
        <v>56023</v>
      </c>
      <c r="I59">
        <v>56693</v>
      </c>
      <c r="J59">
        <v>-193.29</v>
      </c>
      <c r="K59">
        <v>-206.14</v>
      </c>
      <c r="L59">
        <v>-209.8</v>
      </c>
      <c r="M59">
        <v>7.43</v>
      </c>
      <c r="N59" t="b">
        <v>0</v>
      </c>
      <c r="O59">
        <v>4163</v>
      </c>
      <c r="P59" t="s">
        <v>611</v>
      </c>
      <c r="Q59" t="s">
        <v>2783</v>
      </c>
      <c r="R59">
        <v>0</v>
      </c>
      <c r="S59">
        <v>1079</v>
      </c>
      <c r="T59">
        <v>50572</v>
      </c>
      <c r="U59" t="s">
        <v>4583</v>
      </c>
      <c r="V59">
        <v>52.28</v>
      </c>
      <c r="W59" t="s">
        <v>6803</v>
      </c>
      <c r="X59" t="s">
        <v>8946</v>
      </c>
      <c r="Y59">
        <v>14227</v>
      </c>
      <c r="Z59">
        <v>281</v>
      </c>
      <c r="AA59">
        <v>4979</v>
      </c>
      <c r="AB59">
        <v>4.12</v>
      </c>
    </row>
    <row r="60" spans="1:28">
      <c r="A60" s="2">
        <f>HYPERLINK("https://finance.naver.com/item/coinfo.nhn?code=093920", "A093920")</f>
        <v>0</v>
      </c>
      <c r="B60">
        <f>HYPERLINK("http://comp.fnguide.com/SVO2/ASP/SVD_Consensus.asp?pGB=1&amp;gicode=A093920&amp;cID=&amp;MenuYn=Y&amp;ReportGB=&amp;NewMenuID=108&amp;stkGb=701", "서원인텍")</f>
        <v>0</v>
      </c>
      <c r="C60">
        <v>3</v>
      </c>
      <c r="D60">
        <v>7130</v>
      </c>
      <c r="E60">
        <v>-1.02</v>
      </c>
      <c r="F60">
        <v>10.92</v>
      </c>
      <c r="G60">
        <v>5801</v>
      </c>
      <c r="H60">
        <v>7504</v>
      </c>
      <c r="I60">
        <v>7989</v>
      </c>
      <c r="J60">
        <v>18.63</v>
      </c>
      <c r="K60">
        <v>-5.24</v>
      </c>
      <c r="L60">
        <v>-12.04</v>
      </c>
      <c r="M60">
        <v>5.35</v>
      </c>
      <c r="N60" t="b">
        <v>1</v>
      </c>
      <c r="O60">
        <v>672</v>
      </c>
      <c r="P60" t="s">
        <v>257</v>
      </c>
      <c r="Q60" t="s">
        <v>2459</v>
      </c>
      <c r="R60">
        <v>-10.74083924619023</v>
      </c>
      <c r="S60">
        <v>1326</v>
      </c>
      <c r="T60">
        <v>3636677</v>
      </c>
      <c r="U60" t="s">
        <v>4229</v>
      </c>
      <c r="V60">
        <v>52.41</v>
      </c>
      <c r="W60" t="s">
        <v>6449</v>
      </c>
      <c r="X60" t="s">
        <v>8619</v>
      </c>
      <c r="Y60">
        <v>3029</v>
      </c>
      <c r="Z60">
        <v>169</v>
      </c>
      <c r="AB60">
        <v>4.09</v>
      </c>
    </row>
    <row r="61" spans="1:28">
      <c r="A61" s="2">
        <f>HYPERLINK("https://finance.naver.com/item/coinfo.nhn?code=140520", "A140520")</f>
        <v>0</v>
      </c>
      <c r="B61">
        <f>HYPERLINK("http://comp.fnguide.com/SVO2/ASP/SVD_Consensus.asp?pGB=1&amp;gicode=A140520&amp;cID=&amp;MenuYn=Y&amp;ReportGB=&amp;NewMenuID=108&amp;stkGb=701", "대창스틸")</f>
        <v>0</v>
      </c>
      <c r="C61">
        <v>3</v>
      </c>
      <c r="D61">
        <v>2295</v>
      </c>
      <c r="E61">
        <v>0</v>
      </c>
      <c r="G61">
        <v>162</v>
      </c>
      <c r="H61">
        <v>2880</v>
      </c>
      <c r="I61">
        <v>3654</v>
      </c>
      <c r="J61">
        <v>92.95999999999999</v>
      </c>
      <c r="K61">
        <v>-25.47</v>
      </c>
      <c r="L61">
        <v>-59.22</v>
      </c>
      <c r="M61">
        <v>0.27</v>
      </c>
      <c r="N61" t="b">
        <v>0</v>
      </c>
      <c r="O61">
        <v>-35</v>
      </c>
      <c r="P61" t="s">
        <v>376</v>
      </c>
      <c r="Q61" t="s">
        <v>2276</v>
      </c>
      <c r="R61">
        <v>0</v>
      </c>
      <c r="S61">
        <v>459</v>
      </c>
      <c r="T61">
        <v>100181</v>
      </c>
      <c r="U61" t="s">
        <v>4348</v>
      </c>
      <c r="V61">
        <v>65.92</v>
      </c>
      <c r="W61" t="s">
        <v>6568</v>
      </c>
      <c r="X61" t="s">
        <v>8722</v>
      </c>
      <c r="Y61">
        <v>1976</v>
      </c>
      <c r="Z61">
        <v>41</v>
      </c>
      <c r="AA61">
        <v>1407</v>
      </c>
      <c r="AB61">
        <v>4.08</v>
      </c>
    </row>
    <row r="62" spans="1:28">
      <c r="A62" s="2">
        <f>HYPERLINK("https://finance.naver.com/item/coinfo.nhn?code=221980", "A221980")</f>
        <v>0</v>
      </c>
      <c r="B62">
        <f>HYPERLINK("http://comp.fnguide.com/SVO2/ASP/SVD_Consensus.asp?pGB=1&amp;gicode=A221980&amp;cID=&amp;MenuYn=Y&amp;ReportGB=&amp;NewMenuID=108&amp;stkGb=701", "케이디켐")</f>
        <v>0</v>
      </c>
      <c r="C62">
        <v>3</v>
      </c>
      <c r="D62">
        <v>13000</v>
      </c>
      <c r="E62">
        <v>-0.77</v>
      </c>
      <c r="F62">
        <v>6.62</v>
      </c>
      <c r="G62">
        <v>25254</v>
      </c>
      <c r="H62">
        <v>22234</v>
      </c>
      <c r="I62">
        <v>21374</v>
      </c>
      <c r="J62">
        <v>-94.26000000000001</v>
      </c>
      <c r="K62">
        <v>-71.03</v>
      </c>
      <c r="L62">
        <v>-64.42</v>
      </c>
      <c r="M62">
        <v>9.949999999999999</v>
      </c>
      <c r="N62" t="b">
        <v>1</v>
      </c>
      <c r="O62">
        <v>1857</v>
      </c>
      <c r="P62" t="s">
        <v>32</v>
      </c>
      <c r="Q62" t="s">
        <v>2250</v>
      </c>
      <c r="R62">
        <v>-8.63822140513677</v>
      </c>
      <c r="S62">
        <v>525</v>
      </c>
      <c r="T62">
        <v>5603</v>
      </c>
      <c r="U62" t="s">
        <v>4004</v>
      </c>
      <c r="V62">
        <v>71.06999999999999</v>
      </c>
      <c r="W62" t="s">
        <v>6224</v>
      </c>
      <c r="X62" t="s">
        <v>8410</v>
      </c>
      <c r="Y62">
        <v>488</v>
      </c>
      <c r="Z62">
        <v>64</v>
      </c>
      <c r="AA62">
        <v>213443</v>
      </c>
      <c r="AB62">
        <v>4.07</v>
      </c>
    </row>
    <row r="63" spans="1:28">
      <c r="A63" s="2">
        <f>HYPERLINK("https://finance.naver.com/item/coinfo.nhn?code=282690", "A282690")</f>
        <v>0</v>
      </c>
      <c r="B63">
        <f>HYPERLINK("http://comp.fnguide.com/SVO2/ASP/SVD_Consensus.asp?pGB=1&amp;gicode=A282690&amp;cID=&amp;MenuYn=Y&amp;ReportGB=&amp;NewMenuID=108&amp;stkGb=701", "동아타이어")</f>
        <v>0</v>
      </c>
      <c r="C63">
        <v>3</v>
      </c>
      <c r="D63">
        <v>9580</v>
      </c>
      <c r="E63">
        <v>0</v>
      </c>
      <c r="F63">
        <v>6.86</v>
      </c>
      <c r="G63">
        <v>16866</v>
      </c>
      <c r="H63">
        <v>22349</v>
      </c>
      <c r="I63">
        <v>23911</v>
      </c>
      <c r="J63">
        <v>-76.05</v>
      </c>
      <c r="K63">
        <v>-133.29</v>
      </c>
      <c r="L63">
        <v>-149.59</v>
      </c>
      <c r="M63">
        <v>5.17</v>
      </c>
      <c r="N63" t="b">
        <v>1</v>
      </c>
      <c r="O63">
        <v>1799</v>
      </c>
      <c r="P63" t="s">
        <v>501</v>
      </c>
      <c r="Q63" t="s">
        <v>2677</v>
      </c>
      <c r="R63">
        <v>0</v>
      </c>
      <c r="S63">
        <v>1316</v>
      </c>
      <c r="T63">
        <v>9299</v>
      </c>
      <c r="U63" t="s">
        <v>4473</v>
      </c>
      <c r="V63">
        <v>64.94</v>
      </c>
      <c r="W63" t="s">
        <v>6693</v>
      </c>
      <c r="X63" t="s">
        <v>8840</v>
      </c>
      <c r="Y63">
        <v>1560</v>
      </c>
      <c r="Z63">
        <v>180</v>
      </c>
      <c r="AA63">
        <v>1598</v>
      </c>
      <c r="AB63">
        <v>4.05</v>
      </c>
    </row>
    <row r="64" spans="1:28">
      <c r="A64" s="2">
        <f>HYPERLINK("https://finance.naver.com/item/coinfo.nhn?code=100840", "A100840")</f>
        <v>0</v>
      </c>
      <c r="B64">
        <f>HYPERLINK("http://comp.fnguide.com/SVO2/ASP/SVD_Consensus.asp?pGB=1&amp;gicode=A100840&amp;cID=&amp;MenuYn=Y&amp;ReportGB=&amp;NewMenuID=108&amp;stkGb=701", "S&amp;TC")</f>
        <v>0</v>
      </c>
      <c r="C64">
        <v>3</v>
      </c>
      <c r="D64">
        <v>15200</v>
      </c>
      <c r="E64">
        <v>-0.98</v>
      </c>
      <c r="F64">
        <v>9.619999999999999</v>
      </c>
      <c r="G64">
        <v>18103</v>
      </c>
      <c r="H64">
        <v>29832</v>
      </c>
      <c r="I64">
        <v>33173</v>
      </c>
      <c r="J64">
        <v>-19.1</v>
      </c>
      <c r="K64">
        <v>-96.26000000000001</v>
      </c>
      <c r="L64">
        <v>-118.25</v>
      </c>
      <c r="M64">
        <v>3.83</v>
      </c>
      <c r="N64" t="b">
        <v>1</v>
      </c>
      <c r="O64">
        <v>2058</v>
      </c>
      <c r="P64" t="s">
        <v>493</v>
      </c>
      <c r="Q64" t="s">
        <v>2669</v>
      </c>
      <c r="R64">
        <v>-9.770328255165349</v>
      </c>
      <c r="S64">
        <v>1141</v>
      </c>
      <c r="T64">
        <v>29443</v>
      </c>
      <c r="U64" t="s">
        <v>4465</v>
      </c>
      <c r="V64">
        <v>55.93</v>
      </c>
      <c r="W64" t="s">
        <v>6685</v>
      </c>
      <c r="X64" t="s">
        <v>8832</v>
      </c>
      <c r="Y64">
        <v>2133</v>
      </c>
      <c r="Z64">
        <v>175</v>
      </c>
      <c r="AA64">
        <v>994762</v>
      </c>
      <c r="AB64">
        <v>4.04</v>
      </c>
    </row>
    <row r="65" spans="1:28">
      <c r="A65" s="2">
        <f>HYPERLINK("https://finance.naver.com/item/coinfo.nhn?code=026960", "A026960")</f>
        <v>0</v>
      </c>
      <c r="B65">
        <f>HYPERLINK("http://comp.fnguide.com/SVO2/ASP/SVD_Consensus.asp?pGB=1&amp;gicode=A026960&amp;cID=&amp;MenuYn=Y&amp;ReportGB=&amp;NewMenuID=108&amp;stkGb=701", "동서")</f>
        <v>0</v>
      </c>
      <c r="C65">
        <v>0</v>
      </c>
      <c r="D65">
        <v>32000</v>
      </c>
      <c r="E65">
        <v>4.65</v>
      </c>
      <c r="F65">
        <v>12.67</v>
      </c>
      <c r="G65">
        <v>17177</v>
      </c>
      <c r="H65">
        <v>15003</v>
      </c>
      <c r="I65">
        <v>14384</v>
      </c>
      <c r="J65">
        <v>46.32</v>
      </c>
      <c r="K65">
        <v>53.12</v>
      </c>
      <c r="L65">
        <v>55.05</v>
      </c>
      <c r="M65">
        <v>10.1</v>
      </c>
      <c r="N65" t="b">
        <v>1</v>
      </c>
      <c r="O65">
        <v>1373</v>
      </c>
      <c r="P65" t="s">
        <v>1690</v>
      </c>
      <c r="Q65" t="s">
        <v>3600</v>
      </c>
      <c r="R65">
        <v>2.724615222380944</v>
      </c>
      <c r="S65">
        <v>31904</v>
      </c>
      <c r="T65">
        <v>209195</v>
      </c>
      <c r="U65" t="s">
        <v>5660</v>
      </c>
      <c r="V65">
        <v>67.40000000000001</v>
      </c>
      <c r="W65" t="s">
        <v>7858</v>
      </c>
      <c r="X65" t="s">
        <v>9801</v>
      </c>
      <c r="Y65">
        <v>5022</v>
      </c>
      <c r="Z65">
        <v>385</v>
      </c>
      <c r="AA65">
        <v>1027477</v>
      </c>
      <c r="AB65">
        <v>4.02</v>
      </c>
    </row>
    <row r="66" spans="1:28">
      <c r="A66" s="2">
        <f>HYPERLINK("https://finance.naver.com/item/coinfo.nhn?code=002600", "A002600")</f>
        <v>0</v>
      </c>
      <c r="B66">
        <f>HYPERLINK("http://comp.fnguide.com/SVO2/ASP/SVD_Consensus.asp?pGB=1&amp;gicode=A002600&amp;cID=&amp;MenuYn=Y&amp;ReportGB=&amp;NewMenuID=108&amp;stkGb=701", "조흥")</f>
        <v>0</v>
      </c>
      <c r="C66">
        <v>3</v>
      </c>
      <c r="D66">
        <v>178000</v>
      </c>
      <c r="E66">
        <v>1.34</v>
      </c>
      <c r="F66">
        <v>11.43</v>
      </c>
      <c r="G66">
        <v>185954</v>
      </c>
      <c r="H66">
        <v>203907</v>
      </c>
      <c r="I66">
        <v>209022</v>
      </c>
      <c r="J66">
        <v>-4.47</v>
      </c>
      <c r="K66">
        <v>-14.55</v>
      </c>
      <c r="L66">
        <v>-17.43</v>
      </c>
      <c r="M66">
        <v>6.87</v>
      </c>
      <c r="N66" t="b">
        <v>1</v>
      </c>
      <c r="O66">
        <v>13076</v>
      </c>
      <c r="P66" t="s">
        <v>220</v>
      </c>
      <c r="Q66" t="s">
        <v>2425</v>
      </c>
      <c r="R66">
        <v>8.521712404754744</v>
      </c>
      <c r="S66">
        <v>1068</v>
      </c>
      <c r="T66">
        <v>152</v>
      </c>
      <c r="U66" t="s">
        <v>4192</v>
      </c>
      <c r="V66">
        <v>67.23</v>
      </c>
      <c r="W66" t="s">
        <v>6412</v>
      </c>
      <c r="X66" t="s">
        <v>8584</v>
      </c>
      <c r="Y66">
        <v>1951</v>
      </c>
      <c r="Z66">
        <v>123</v>
      </c>
      <c r="AB66">
        <v>4.01</v>
      </c>
    </row>
    <row r="67" spans="1:28">
      <c r="A67" s="2">
        <f>HYPERLINK("https://finance.naver.com/item/coinfo.nhn?code=092130", "A092130")</f>
        <v>0</v>
      </c>
      <c r="B67">
        <f>HYPERLINK("http://comp.fnguide.com/SVO2/ASP/SVD_Consensus.asp?pGB=1&amp;gicode=A092130&amp;cID=&amp;MenuYn=Y&amp;ReportGB=&amp;NewMenuID=108&amp;stkGb=701", "이크레더블")</f>
        <v>0</v>
      </c>
      <c r="C67">
        <v>0</v>
      </c>
      <c r="D67">
        <v>23850</v>
      </c>
      <c r="E67">
        <v>1.26</v>
      </c>
      <c r="F67">
        <v>16.37</v>
      </c>
      <c r="G67">
        <v>15243</v>
      </c>
      <c r="H67">
        <v>8764</v>
      </c>
      <c r="I67">
        <v>6917</v>
      </c>
      <c r="J67">
        <v>36.09</v>
      </c>
      <c r="K67">
        <v>63.26</v>
      </c>
      <c r="L67">
        <v>71</v>
      </c>
      <c r="M67">
        <v>27.25</v>
      </c>
      <c r="N67" t="b">
        <v>0</v>
      </c>
      <c r="O67">
        <v>1134</v>
      </c>
      <c r="P67" t="s">
        <v>1435</v>
      </c>
      <c r="Q67" t="s">
        <v>3411</v>
      </c>
      <c r="R67">
        <v>13.01629752654552</v>
      </c>
      <c r="S67">
        <v>2872</v>
      </c>
      <c r="T67">
        <v>19436</v>
      </c>
      <c r="U67" t="s">
        <v>5406</v>
      </c>
      <c r="V67">
        <v>67.77</v>
      </c>
      <c r="W67" t="s">
        <v>7609</v>
      </c>
      <c r="X67" t="s">
        <v>9593</v>
      </c>
      <c r="Y67">
        <v>409</v>
      </c>
      <c r="Z67">
        <v>167</v>
      </c>
      <c r="AB67">
        <v>3.99</v>
      </c>
    </row>
    <row r="68" spans="1:28">
      <c r="A68" s="2">
        <f>HYPERLINK("https://finance.naver.com/item/coinfo.nhn?code=194370", "A194370")</f>
        <v>0</v>
      </c>
      <c r="B68">
        <f>HYPERLINK("http://comp.fnguide.com/SVO2/ASP/SVD_Consensus.asp?pGB=1&amp;gicode=A194370&amp;cID=&amp;MenuYn=Y&amp;ReportGB=&amp;NewMenuID=108&amp;stkGb=701", "제이에스코퍼레이션")</f>
        <v>0</v>
      </c>
      <c r="C68">
        <v>3</v>
      </c>
      <c r="D68">
        <v>7450</v>
      </c>
      <c r="E68">
        <v>-0.89</v>
      </c>
      <c r="F68">
        <v>20.39</v>
      </c>
      <c r="G68">
        <v>7178</v>
      </c>
      <c r="H68">
        <v>10501</v>
      </c>
      <c r="I68">
        <v>11448</v>
      </c>
      <c r="J68">
        <v>3.65</v>
      </c>
      <c r="K68">
        <v>-40.96</v>
      </c>
      <c r="L68">
        <v>-53.67</v>
      </c>
      <c r="M68">
        <v>4.5</v>
      </c>
      <c r="N68" t="b">
        <v>1</v>
      </c>
      <c r="O68">
        <v>615</v>
      </c>
      <c r="P68" t="s">
        <v>182</v>
      </c>
      <c r="Q68" t="s">
        <v>2388</v>
      </c>
      <c r="R68">
        <v>-23.01776611494163</v>
      </c>
      <c r="S68">
        <v>994</v>
      </c>
      <c r="T68">
        <v>37404</v>
      </c>
      <c r="U68" t="s">
        <v>4154</v>
      </c>
      <c r="V68">
        <v>60.46</v>
      </c>
      <c r="W68" t="s">
        <v>6374</v>
      </c>
      <c r="X68" t="s">
        <v>8549</v>
      </c>
      <c r="Y68">
        <v>2531</v>
      </c>
      <c r="Z68">
        <v>111</v>
      </c>
      <c r="AA68">
        <v>997942</v>
      </c>
      <c r="AB68">
        <v>3.98</v>
      </c>
    </row>
    <row r="69" spans="1:28">
      <c r="A69" s="2">
        <f>HYPERLINK("https://finance.naver.com/item/coinfo.nhn?code=008370", "A008370")</f>
        <v>0</v>
      </c>
      <c r="B69">
        <f>HYPERLINK("http://comp.fnguide.com/SVO2/ASP/SVD_Consensus.asp?pGB=1&amp;gicode=A008370&amp;cID=&amp;MenuYn=Y&amp;ReportGB=&amp;NewMenuID=108&amp;stkGb=701", "원풍")</f>
        <v>0</v>
      </c>
      <c r="C69">
        <v>3</v>
      </c>
      <c r="D69">
        <v>4450</v>
      </c>
      <c r="E69">
        <v>-2.93</v>
      </c>
      <c r="F69">
        <v>23.63</v>
      </c>
      <c r="G69">
        <v>2292</v>
      </c>
      <c r="H69">
        <v>4893</v>
      </c>
      <c r="I69">
        <v>5635</v>
      </c>
      <c r="J69">
        <v>48.5</v>
      </c>
      <c r="K69">
        <v>-9.960000000000001</v>
      </c>
      <c r="L69">
        <v>-26.62</v>
      </c>
      <c r="M69">
        <v>2.76</v>
      </c>
      <c r="N69" t="b">
        <v>1</v>
      </c>
      <c r="O69">
        <v>166</v>
      </c>
      <c r="P69" t="s">
        <v>449</v>
      </c>
      <c r="Q69" t="s">
        <v>2629</v>
      </c>
      <c r="R69">
        <v>-8.059276618914524</v>
      </c>
      <c r="S69">
        <v>534</v>
      </c>
      <c r="T69">
        <v>18063</v>
      </c>
      <c r="U69" t="s">
        <v>4421</v>
      </c>
      <c r="V69">
        <v>56.58</v>
      </c>
      <c r="W69" t="s">
        <v>6641</v>
      </c>
      <c r="X69" t="s">
        <v>8791</v>
      </c>
      <c r="Y69">
        <v>729</v>
      </c>
      <c r="Z69">
        <v>27</v>
      </c>
      <c r="AA69">
        <v>900000</v>
      </c>
      <c r="AB69">
        <v>3.83</v>
      </c>
    </row>
    <row r="70" spans="1:28">
      <c r="A70" s="2">
        <f>HYPERLINK("https://finance.naver.com/item/coinfo.nhn?code=100790", "A100790")</f>
        <v>0</v>
      </c>
      <c r="B70">
        <f>HYPERLINK("http://comp.fnguide.com/SVO2/ASP/SVD_Consensus.asp?pGB=1&amp;gicode=A100790&amp;cID=&amp;MenuYn=Y&amp;ReportGB=&amp;NewMenuID=108&amp;stkGb=701", "미래에셋벤처투자")</f>
        <v>0</v>
      </c>
      <c r="C70">
        <v>0</v>
      </c>
      <c r="D70">
        <v>4605</v>
      </c>
      <c r="E70">
        <v>0</v>
      </c>
      <c r="F70">
        <v>10.42</v>
      </c>
      <c r="G70">
        <v>4592</v>
      </c>
      <c r="H70">
        <v>3840</v>
      </c>
      <c r="I70">
        <v>3626</v>
      </c>
      <c r="J70">
        <v>0.28</v>
      </c>
      <c r="K70">
        <v>16.6</v>
      </c>
      <c r="L70">
        <v>21.25</v>
      </c>
      <c r="M70">
        <v>10.95</v>
      </c>
      <c r="N70" t="b">
        <v>1</v>
      </c>
      <c r="O70">
        <v>310</v>
      </c>
      <c r="P70" t="s">
        <v>1903</v>
      </c>
      <c r="Q70" t="s">
        <v>3759</v>
      </c>
      <c r="R70">
        <v>23.61866546762565</v>
      </c>
      <c r="S70">
        <v>2118</v>
      </c>
      <c r="T70">
        <v>2359543</v>
      </c>
      <c r="U70" t="s">
        <v>5874</v>
      </c>
      <c r="V70">
        <v>64.01000000000001</v>
      </c>
      <c r="W70" t="s">
        <v>8071</v>
      </c>
      <c r="X70" t="s">
        <v>9975</v>
      </c>
      <c r="Y70">
        <v>921</v>
      </c>
      <c r="Z70">
        <v>163</v>
      </c>
      <c r="AB70">
        <v>3.81</v>
      </c>
    </row>
    <row r="71" spans="1:28">
      <c r="A71" s="2">
        <f>HYPERLINK("https://finance.naver.com/item/coinfo.nhn?code=023000", "A023000")</f>
        <v>0</v>
      </c>
      <c r="B71">
        <f>HYPERLINK("http://comp.fnguide.com/SVO2/ASP/SVD_Consensus.asp?pGB=1&amp;gicode=A023000&amp;cID=&amp;MenuYn=Y&amp;ReportGB=&amp;NewMenuID=108&amp;stkGb=701", "삼원강재")</f>
        <v>0</v>
      </c>
      <c r="C71">
        <v>3</v>
      </c>
      <c r="D71">
        <v>2565</v>
      </c>
      <c r="E71">
        <v>-0.8</v>
      </c>
      <c r="F71">
        <v>11.58</v>
      </c>
      <c r="G71">
        <v>3618</v>
      </c>
      <c r="H71">
        <v>4618</v>
      </c>
      <c r="I71">
        <v>4903</v>
      </c>
      <c r="J71">
        <v>-41.07</v>
      </c>
      <c r="K71">
        <v>-80.03</v>
      </c>
      <c r="L71">
        <v>-91.14</v>
      </c>
      <c r="M71">
        <v>5.46</v>
      </c>
      <c r="N71" t="b">
        <v>1</v>
      </c>
      <c r="O71">
        <v>261</v>
      </c>
      <c r="P71" t="s">
        <v>684</v>
      </c>
      <c r="Q71" t="s">
        <v>2849</v>
      </c>
      <c r="R71">
        <v>-14.42607137538933</v>
      </c>
      <c r="S71">
        <v>1026</v>
      </c>
      <c r="T71">
        <v>27552</v>
      </c>
      <c r="U71" t="s">
        <v>4656</v>
      </c>
      <c r="V71">
        <v>61.19</v>
      </c>
      <c r="W71" t="s">
        <v>6876</v>
      </c>
      <c r="X71" t="s">
        <v>9012</v>
      </c>
      <c r="Y71">
        <v>2693</v>
      </c>
      <c r="Z71">
        <v>108</v>
      </c>
      <c r="AA71">
        <v>260044</v>
      </c>
      <c r="AB71">
        <v>3.81</v>
      </c>
    </row>
    <row r="72" spans="1:28">
      <c r="A72" s="2">
        <f>HYPERLINK("https://finance.naver.com/item/coinfo.nhn?code=017480", "A017480")</f>
        <v>0</v>
      </c>
      <c r="B72">
        <f>HYPERLINK("http://comp.fnguide.com/SVO2/ASP/SVD_Consensus.asp?pGB=1&amp;gicode=A017480&amp;cID=&amp;MenuYn=Y&amp;ReportGB=&amp;NewMenuID=108&amp;stkGb=701", "삼현철강")</f>
        <v>0</v>
      </c>
      <c r="C72">
        <v>3</v>
      </c>
      <c r="D72">
        <v>4295</v>
      </c>
      <c r="E72">
        <v>-0.9</v>
      </c>
      <c r="F72">
        <v>9.5</v>
      </c>
      <c r="G72">
        <v>5659</v>
      </c>
      <c r="H72">
        <v>8060</v>
      </c>
      <c r="I72">
        <v>8744</v>
      </c>
      <c r="J72">
        <v>-31.76</v>
      </c>
      <c r="K72">
        <v>-87.66</v>
      </c>
      <c r="L72">
        <v>-103.59</v>
      </c>
      <c r="M72">
        <v>4.67</v>
      </c>
      <c r="N72" t="b">
        <v>1</v>
      </c>
      <c r="O72">
        <v>417</v>
      </c>
      <c r="P72" t="s">
        <v>249</v>
      </c>
      <c r="Q72" t="s">
        <v>2453</v>
      </c>
      <c r="R72">
        <v>-10.5543503191864</v>
      </c>
      <c r="S72">
        <v>674</v>
      </c>
      <c r="T72">
        <v>209484</v>
      </c>
      <c r="U72" t="s">
        <v>4221</v>
      </c>
      <c r="V72">
        <v>58.27</v>
      </c>
      <c r="W72" t="s">
        <v>6441</v>
      </c>
      <c r="X72" t="s">
        <v>8611</v>
      </c>
      <c r="Y72">
        <v>2376</v>
      </c>
      <c r="Z72">
        <v>79</v>
      </c>
      <c r="AA72">
        <v>260000</v>
      </c>
      <c r="AB72">
        <v>3.79</v>
      </c>
    </row>
    <row r="73" spans="1:28">
      <c r="A73" s="2">
        <f>HYPERLINK("https://finance.naver.com/item/coinfo.nhn?code=047050", "A047050")</f>
        <v>0</v>
      </c>
      <c r="B73">
        <f>HYPERLINK("http://comp.fnguide.com/SVO2/ASP/SVD_Consensus.asp?pGB=1&amp;gicode=A047050&amp;cID=&amp;MenuYn=Y&amp;ReportGB=&amp;NewMenuID=108&amp;stkGb=701", "포스코인터내셔널")</f>
        <v>0</v>
      </c>
      <c r="C73">
        <v>3</v>
      </c>
      <c r="D73">
        <v>14050</v>
      </c>
      <c r="E73">
        <v>1.11</v>
      </c>
      <c r="F73">
        <v>10.99</v>
      </c>
      <c r="G73">
        <v>19986</v>
      </c>
      <c r="H73">
        <v>22820</v>
      </c>
      <c r="I73">
        <v>23628</v>
      </c>
      <c r="J73">
        <v>-42.25</v>
      </c>
      <c r="K73">
        <v>-62.42</v>
      </c>
      <c r="L73">
        <v>-68.17</v>
      </c>
      <c r="M73">
        <v>6.45</v>
      </c>
      <c r="N73" t="b">
        <v>1</v>
      </c>
      <c r="O73">
        <v>1697</v>
      </c>
      <c r="P73" t="s">
        <v>208</v>
      </c>
      <c r="Q73" t="s">
        <v>2414</v>
      </c>
      <c r="R73">
        <v>9.901335949959012</v>
      </c>
      <c r="S73">
        <v>17334</v>
      </c>
      <c r="T73">
        <v>697891</v>
      </c>
      <c r="U73" t="s">
        <v>4180</v>
      </c>
      <c r="V73">
        <v>63.38</v>
      </c>
      <c r="W73" t="s">
        <v>6400</v>
      </c>
      <c r="X73" t="s">
        <v>8573</v>
      </c>
      <c r="Y73">
        <v>244226</v>
      </c>
      <c r="Z73">
        <v>6053</v>
      </c>
      <c r="AA73">
        <v>258</v>
      </c>
      <c r="AB73">
        <v>3.75</v>
      </c>
    </row>
    <row r="74" spans="1:28">
      <c r="A74" s="2">
        <f>HYPERLINK("https://finance.naver.com/item/coinfo.nhn?code=024120", "A024120")</f>
        <v>0</v>
      </c>
      <c r="B74">
        <f>HYPERLINK("http://comp.fnguide.com/SVO2/ASP/SVD_Consensus.asp?pGB=1&amp;gicode=A024120&amp;cID=&amp;MenuYn=Y&amp;ReportGB=&amp;NewMenuID=108&amp;stkGb=701", "KB오토시스")</f>
        <v>0</v>
      </c>
      <c r="C74">
        <v>3</v>
      </c>
      <c r="D74">
        <v>6380</v>
      </c>
      <c r="E74">
        <v>-0.45</v>
      </c>
      <c r="F74">
        <v>6.65</v>
      </c>
      <c r="G74">
        <v>14177</v>
      </c>
      <c r="H74">
        <v>11014</v>
      </c>
      <c r="I74">
        <v>10113</v>
      </c>
      <c r="J74">
        <v>-122.2</v>
      </c>
      <c r="K74">
        <v>-72.63</v>
      </c>
      <c r="L74">
        <v>-58.51</v>
      </c>
      <c r="M74">
        <v>12.68</v>
      </c>
      <c r="N74" t="b">
        <v>1</v>
      </c>
      <c r="O74">
        <v>930</v>
      </c>
      <c r="P74" t="s">
        <v>83</v>
      </c>
      <c r="Q74" t="s">
        <v>2299</v>
      </c>
      <c r="R74">
        <v>-14.70006033450598</v>
      </c>
      <c r="S74">
        <v>734</v>
      </c>
      <c r="T74">
        <v>7514</v>
      </c>
      <c r="U74" t="s">
        <v>4055</v>
      </c>
      <c r="V74">
        <v>72.06999999999999</v>
      </c>
      <c r="W74" t="s">
        <v>6275</v>
      </c>
      <c r="X74" t="s">
        <v>8457</v>
      </c>
      <c r="Y74">
        <v>1478</v>
      </c>
      <c r="Z74">
        <v>127</v>
      </c>
      <c r="AB74">
        <v>3.72</v>
      </c>
    </row>
    <row r="75" spans="1:28">
      <c r="A75" s="2">
        <f>HYPERLINK("https://finance.naver.com/item/coinfo.nhn?code=078930", "A078930")</f>
        <v>0</v>
      </c>
      <c r="B75">
        <f>HYPERLINK("http://comp.fnguide.com/SVO2/ASP/SVD_Consensus.asp?pGB=1&amp;gicode=A078930&amp;cID=&amp;MenuYn=Y&amp;ReportGB=&amp;NewMenuID=108&amp;stkGb=701", "GS")</f>
        <v>0</v>
      </c>
      <c r="C75">
        <v>3</v>
      </c>
      <c r="D75">
        <v>36450</v>
      </c>
      <c r="E75">
        <v>3.56</v>
      </c>
      <c r="F75">
        <v>8.98</v>
      </c>
      <c r="G75">
        <v>108878</v>
      </c>
      <c r="H75">
        <v>100880</v>
      </c>
      <c r="I75">
        <v>98602</v>
      </c>
      <c r="J75">
        <v>-198.7</v>
      </c>
      <c r="K75">
        <v>-176.76</v>
      </c>
      <c r="L75">
        <v>-170.51</v>
      </c>
      <c r="M75">
        <v>9.08</v>
      </c>
      <c r="N75" t="b">
        <v>0</v>
      </c>
      <c r="O75">
        <v>5744</v>
      </c>
      <c r="P75" t="s">
        <v>689</v>
      </c>
      <c r="Q75" t="s">
        <v>2853</v>
      </c>
      <c r="R75">
        <v>2.525174121884355</v>
      </c>
      <c r="S75">
        <v>33868</v>
      </c>
      <c r="T75">
        <v>389141</v>
      </c>
      <c r="U75" t="s">
        <v>4661</v>
      </c>
      <c r="V75">
        <v>52.12</v>
      </c>
      <c r="W75" t="s">
        <v>6881</v>
      </c>
      <c r="X75" t="s">
        <v>9017</v>
      </c>
      <c r="Y75">
        <v>177861</v>
      </c>
      <c r="Z75">
        <v>20331</v>
      </c>
      <c r="AA75">
        <v>19883</v>
      </c>
      <c r="AB75">
        <v>3.68</v>
      </c>
    </row>
    <row r="76" spans="1:28">
      <c r="A76" s="2">
        <f>HYPERLINK("https://finance.naver.com/item/coinfo.nhn?code=128660", "A128660")</f>
        <v>0</v>
      </c>
      <c r="B76">
        <f>HYPERLINK("http://comp.fnguide.com/SVO2/ASP/SVD_Consensus.asp?pGB=1&amp;gicode=A128660&amp;cID=&amp;MenuYn=Y&amp;ReportGB=&amp;NewMenuID=108&amp;stkGb=701", "피제이메탈")</f>
        <v>0</v>
      </c>
      <c r="C76">
        <v>0</v>
      </c>
      <c r="D76">
        <v>2200</v>
      </c>
      <c r="E76">
        <v>8.31</v>
      </c>
      <c r="F76">
        <v>31.94</v>
      </c>
      <c r="G76">
        <v>1543</v>
      </c>
      <c r="H76">
        <v>1597</v>
      </c>
      <c r="I76">
        <v>1612</v>
      </c>
      <c r="J76">
        <v>29.85</v>
      </c>
      <c r="K76">
        <v>27.4</v>
      </c>
      <c r="L76">
        <v>26.71</v>
      </c>
      <c r="M76">
        <v>7.53</v>
      </c>
      <c r="N76" t="b">
        <v>1</v>
      </c>
      <c r="O76">
        <v>85</v>
      </c>
      <c r="P76" t="s">
        <v>1114</v>
      </c>
      <c r="Q76" t="s">
        <v>3211</v>
      </c>
      <c r="R76">
        <v>3.84402072502712</v>
      </c>
      <c r="S76">
        <v>546</v>
      </c>
      <c r="T76">
        <v>145526</v>
      </c>
      <c r="U76" t="s">
        <v>5085</v>
      </c>
      <c r="V76">
        <v>66.95999999999999</v>
      </c>
      <c r="W76" t="s">
        <v>7301</v>
      </c>
      <c r="X76" t="s">
        <v>9367</v>
      </c>
      <c r="Y76">
        <v>1421</v>
      </c>
      <c r="Z76">
        <v>44</v>
      </c>
      <c r="AB76">
        <v>3.68</v>
      </c>
    </row>
    <row r="77" spans="1:28">
      <c r="A77" s="2">
        <f>HYPERLINK("https://finance.naver.com/item/coinfo.nhn?code=001800", "A001800")</f>
        <v>0</v>
      </c>
      <c r="B77">
        <f>HYPERLINK("http://comp.fnguide.com/SVO2/ASP/SVD_Consensus.asp?pGB=1&amp;gicode=A001800&amp;cID=&amp;MenuYn=Y&amp;ReportGB=&amp;NewMenuID=108&amp;stkGb=701", "오리온홀딩스")</f>
        <v>0</v>
      </c>
      <c r="C77">
        <v>3</v>
      </c>
      <c r="D77">
        <v>13300</v>
      </c>
      <c r="E77">
        <v>-1.5</v>
      </c>
      <c r="F77">
        <v>23.05</v>
      </c>
      <c r="G77">
        <v>66661</v>
      </c>
      <c r="H77">
        <v>45846</v>
      </c>
      <c r="I77">
        <v>39915</v>
      </c>
      <c r="J77">
        <v>-401.21</v>
      </c>
      <c r="K77">
        <v>-244.71</v>
      </c>
      <c r="L77">
        <v>-200.11</v>
      </c>
      <c r="M77">
        <v>16.59</v>
      </c>
      <c r="N77" t="b">
        <v>0</v>
      </c>
      <c r="O77">
        <v>772</v>
      </c>
      <c r="P77" t="s">
        <v>171</v>
      </c>
      <c r="Q77" t="s">
        <v>2378</v>
      </c>
      <c r="R77">
        <v>-15.34160040286397</v>
      </c>
      <c r="S77">
        <v>8332</v>
      </c>
      <c r="T77">
        <v>302791</v>
      </c>
      <c r="U77" t="s">
        <v>4143</v>
      </c>
      <c r="V77">
        <v>63.85</v>
      </c>
      <c r="W77" t="s">
        <v>6363</v>
      </c>
      <c r="X77" t="s">
        <v>8538</v>
      </c>
      <c r="Y77">
        <v>21036</v>
      </c>
      <c r="Z77">
        <v>2667</v>
      </c>
      <c r="AA77">
        <v>2488769</v>
      </c>
      <c r="AB77">
        <v>3.65</v>
      </c>
    </row>
    <row r="78" spans="1:28">
      <c r="A78" s="2">
        <f>HYPERLINK("https://finance.naver.com/item/coinfo.nhn?code=003070", "A003070")</f>
        <v>0</v>
      </c>
      <c r="B78">
        <f>HYPERLINK("http://comp.fnguide.com/SVO2/ASP/SVD_Consensus.asp?pGB=1&amp;gicode=A003070&amp;cID=&amp;MenuYn=Y&amp;ReportGB=&amp;NewMenuID=108&amp;stkGb=701", "코오롱글로벌")</f>
        <v>0</v>
      </c>
      <c r="C78">
        <v>0</v>
      </c>
      <c r="D78">
        <v>20400</v>
      </c>
      <c r="E78">
        <v>0.05</v>
      </c>
      <c r="F78">
        <v>5.07</v>
      </c>
      <c r="G78">
        <v>16592</v>
      </c>
      <c r="H78">
        <v>17766</v>
      </c>
      <c r="I78">
        <v>18101</v>
      </c>
      <c r="J78">
        <v>18.67</v>
      </c>
      <c r="K78">
        <v>12.91</v>
      </c>
      <c r="L78">
        <v>11.27</v>
      </c>
      <c r="M78">
        <v>7.13</v>
      </c>
      <c r="N78" t="b">
        <v>1</v>
      </c>
      <c r="O78">
        <v>1911</v>
      </c>
      <c r="P78" t="s">
        <v>1481</v>
      </c>
      <c r="Q78" t="s">
        <v>3444</v>
      </c>
      <c r="R78">
        <v>93.18710713285101</v>
      </c>
      <c r="S78">
        <v>5143</v>
      </c>
      <c r="T78">
        <v>274685</v>
      </c>
      <c r="U78" t="s">
        <v>5452</v>
      </c>
      <c r="V78">
        <v>76.59</v>
      </c>
      <c r="W78" t="s">
        <v>7654</v>
      </c>
      <c r="X78" t="s">
        <v>9624</v>
      </c>
      <c r="Y78">
        <v>34841</v>
      </c>
      <c r="Z78">
        <v>1256</v>
      </c>
      <c r="AA78">
        <v>84095</v>
      </c>
      <c r="AB78">
        <v>3.61</v>
      </c>
    </row>
    <row r="79" spans="1:28">
      <c r="A79" s="2">
        <f>HYPERLINK("https://finance.naver.com/item/coinfo.nhn?code=079000", "A079000")</f>
        <v>0</v>
      </c>
      <c r="B79">
        <f>HYPERLINK("http://comp.fnguide.com/SVO2/ASP/SVD_Consensus.asp?pGB=1&amp;gicode=A079000&amp;cID=&amp;MenuYn=Y&amp;ReportGB=&amp;NewMenuID=108&amp;stkGb=701", "와토스코리아")</f>
        <v>0</v>
      </c>
      <c r="C79">
        <v>3</v>
      </c>
      <c r="D79">
        <v>5450</v>
      </c>
      <c r="E79">
        <v>-0.4</v>
      </c>
      <c r="F79">
        <v>12.67</v>
      </c>
      <c r="G79">
        <v>5639</v>
      </c>
      <c r="H79">
        <v>8536</v>
      </c>
      <c r="I79">
        <v>9361</v>
      </c>
      <c r="J79">
        <v>-3.47</v>
      </c>
      <c r="K79">
        <v>-56.62</v>
      </c>
      <c r="L79">
        <v>-71.77</v>
      </c>
      <c r="M79">
        <v>4.3</v>
      </c>
      <c r="N79" t="b">
        <v>1</v>
      </c>
      <c r="O79">
        <v>437</v>
      </c>
      <c r="P79" t="s">
        <v>408</v>
      </c>
      <c r="Q79" t="s">
        <v>2590</v>
      </c>
      <c r="R79">
        <v>-31.48255674859985</v>
      </c>
      <c r="S79">
        <v>392</v>
      </c>
      <c r="T79">
        <v>16668</v>
      </c>
      <c r="U79" t="s">
        <v>4380</v>
      </c>
      <c r="V79">
        <v>67.05</v>
      </c>
      <c r="W79" t="s">
        <v>6600</v>
      </c>
      <c r="X79" t="s">
        <v>8753</v>
      </c>
      <c r="Y79">
        <v>183</v>
      </c>
      <c r="Z79">
        <v>5</v>
      </c>
      <c r="AA79">
        <v>1393</v>
      </c>
      <c r="AB79">
        <v>3.61</v>
      </c>
    </row>
    <row r="80" spans="1:28">
      <c r="A80" s="2">
        <f>HYPERLINK("https://finance.naver.com/item/coinfo.nhn?code=008730", "A008730")</f>
        <v>0</v>
      </c>
      <c r="B80">
        <f>HYPERLINK("http://comp.fnguide.com/SVO2/ASP/SVD_Consensus.asp?pGB=1&amp;gicode=A008730&amp;cID=&amp;MenuYn=Y&amp;ReportGB=&amp;NewMenuID=108&amp;stkGb=701", "율촌화학")</f>
        <v>0</v>
      </c>
      <c r="C80">
        <v>0</v>
      </c>
      <c r="D80">
        <v>20200</v>
      </c>
      <c r="E80">
        <v>1.63</v>
      </c>
      <c r="F80">
        <v>19.06</v>
      </c>
      <c r="G80">
        <v>9568</v>
      </c>
      <c r="H80">
        <v>12105</v>
      </c>
      <c r="I80">
        <v>12828</v>
      </c>
      <c r="J80">
        <v>52.63</v>
      </c>
      <c r="K80">
        <v>40.07</v>
      </c>
      <c r="L80">
        <v>36.5</v>
      </c>
      <c r="M80">
        <v>5.53</v>
      </c>
      <c r="N80" t="b">
        <v>1</v>
      </c>
      <c r="O80">
        <v>734</v>
      </c>
      <c r="P80" t="s">
        <v>1531</v>
      </c>
      <c r="Q80" t="s">
        <v>3488</v>
      </c>
      <c r="R80">
        <v>11.66995288341586</v>
      </c>
      <c r="S80">
        <v>5010</v>
      </c>
      <c r="T80">
        <v>159848</v>
      </c>
      <c r="U80" t="s">
        <v>5502</v>
      </c>
      <c r="V80">
        <v>65.12</v>
      </c>
      <c r="W80" t="s">
        <v>7704</v>
      </c>
      <c r="X80" t="s">
        <v>9670</v>
      </c>
      <c r="Y80">
        <v>5066</v>
      </c>
      <c r="Z80">
        <v>258</v>
      </c>
      <c r="AB80">
        <v>3.57</v>
      </c>
    </row>
    <row r="81" spans="1:28">
      <c r="A81" s="2">
        <f>HYPERLINK("https://finance.naver.com/item/coinfo.nhn?code=036560", "A036560")</f>
        <v>0</v>
      </c>
      <c r="B81">
        <f>HYPERLINK("http://comp.fnguide.com/SVO2/ASP/SVD_Consensus.asp?pGB=1&amp;gicode=A036560&amp;cID=&amp;MenuYn=Y&amp;ReportGB=&amp;NewMenuID=108&amp;stkGb=701", "영풍정밀")</f>
        <v>0</v>
      </c>
      <c r="C81">
        <v>3</v>
      </c>
      <c r="D81">
        <v>8140</v>
      </c>
      <c r="E81">
        <v>1.26</v>
      </c>
      <c r="F81">
        <v>10.64</v>
      </c>
      <c r="G81">
        <v>9006</v>
      </c>
      <c r="H81">
        <v>14444</v>
      </c>
      <c r="I81">
        <v>15994</v>
      </c>
      <c r="J81">
        <v>-10.64</v>
      </c>
      <c r="K81">
        <v>-77.45</v>
      </c>
      <c r="L81">
        <v>-96.48</v>
      </c>
      <c r="M81">
        <v>3.98</v>
      </c>
      <c r="N81" t="b">
        <v>1</v>
      </c>
      <c r="O81">
        <v>799</v>
      </c>
      <c r="P81" t="s">
        <v>278</v>
      </c>
      <c r="Q81" t="s">
        <v>2478</v>
      </c>
      <c r="R81">
        <v>8.441135741097661</v>
      </c>
      <c r="S81">
        <v>1282</v>
      </c>
      <c r="T81">
        <v>84173</v>
      </c>
      <c r="U81" t="s">
        <v>4250</v>
      </c>
      <c r="V81">
        <v>51.07</v>
      </c>
      <c r="W81" t="s">
        <v>6470</v>
      </c>
      <c r="X81" t="s">
        <v>8638</v>
      </c>
      <c r="Y81">
        <v>750</v>
      </c>
      <c r="Z81">
        <v>101</v>
      </c>
      <c r="AB81">
        <v>3.53</v>
      </c>
    </row>
    <row r="82" spans="1:28">
      <c r="A82" s="2">
        <f>HYPERLINK("https://finance.naver.com/item/coinfo.nhn?code=018670", "A018670")</f>
        <v>0</v>
      </c>
      <c r="B82">
        <f>HYPERLINK("http://comp.fnguide.com/SVO2/ASP/SVD_Consensus.asp?pGB=1&amp;gicode=A018670&amp;cID=&amp;MenuYn=Y&amp;ReportGB=&amp;NewMenuID=108&amp;stkGb=701", "SK가스")</f>
        <v>0</v>
      </c>
      <c r="C82">
        <v>3</v>
      </c>
      <c r="D82">
        <v>109000</v>
      </c>
      <c r="E82">
        <v>0.05</v>
      </c>
      <c r="F82">
        <v>4.92</v>
      </c>
      <c r="G82">
        <v>172738</v>
      </c>
      <c r="H82">
        <v>180657</v>
      </c>
      <c r="I82">
        <v>182913</v>
      </c>
      <c r="J82">
        <v>-58.47</v>
      </c>
      <c r="K82">
        <v>-65.73999999999999</v>
      </c>
      <c r="L82">
        <v>-67.81</v>
      </c>
      <c r="M82">
        <v>7.4</v>
      </c>
      <c r="N82" t="b">
        <v>1</v>
      </c>
      <c r="O82">
        <v>17212</v>
      </c>
      <c r="P82" t="s">
        <v>658</v>
      </c>
      <c r="Q82" t="s">
        <v>2826</v>
      </c>
      <c r="R82">
        <v>91.24014207116969</v>
      </c>
      <c r="S82">
        <v>10061</v>
      </c>
      <c r="T82">
        <v>18428</v>
      </c>
      <c r="U82" t="s">
        <v>4630</v>
      </c>
      <c r="V82">
        <v>67.34999999999999</v>
      </c>
      <c r="W82" t="s">
        <v>6850</v>
      </c>
      <c r="X82" t="s">
        <v>8989</v>
      </c>
      <c r="Y82">
        <v>49311</v>
      </c>
      <c r="Z82">
        <v>1896</v>
      </c>
      <c r="AA82">
        <v>297248</v>
      </c>
      <c r="AB82">
        <v>3.51</v>
      </c>
    </row>
    <row r="83" spans="1:28">
      <c r="A83" s="2">
        <f>HYPERLINK("https://finance.naver.com/item/coinfo.nhn?code=241560", "A241560")</f>
        <v>0</v>
      </c>
      <c r="B83">
        <f>HYPERLINK("http://comp.fnguide.com/SVO2/ASP/SVD_Consensus.asp?pGB=1&amp;gicode=A241560&amp;cID=&amp;MenuYn=Y&amp;ReportGB=&amp;NewMenuID=108&amp;stkGb=701", "두산밥캣")</f>
        <v>0</v>
      </c>
      <c r="C83">
        <v>3</v>
      </c>
      <c r="D83">
        <v>29900</v>
      </c>
      <c r="E83">
        <v>6.77</v>
      </c>
      <c r="F83">
        <v>12.65</v>
      </c>
      <c r="G83">
        <v>36513</v>
      </c>
      <c r="H83">
        <v>38423</v>
      </c>
      <c r="I83">
        <v>38967</v>
      </c>
      <c r="J83">
        <v>-22.12</v>
      </c>
      <c r="K83">
        <v>-28.51</v>
      </c>
      <c r="L83">
        <v>-30.33</v>
      </c>
      <c r="M83">
        <v>7.33</v>
      </c>
      <c r="N83" t="b">
        <v>1</v>
      </c>
      <c r="O83">
        <v>2714</v>
      </c>
      <c r="P83" t="s">
        <v>466</v>
      </c>
      <c r="Q83" t="s">
        <v>2643</v>
      </c>
      <c r="R83">
        <v>1.868273887439997</v>
      </c>
      <c r="S83">
        <v>29975</v>
      </c>
      <c r="T83">
        <v>397179</v>
      </c>
      <c r="U83" t="s">
        <v>4438</v>
      </c>
      <c r="V83">
        <v>51.06</v>
      </c>
      <c r="W83" t="s">
        <v>6658</v>
      </c>
      <c r="X83" t="s">
        <v>8806</v>
      </c>
      <c r="Y83">
        <v>45096</v>
      </c>
      <c r="Z83">
        <v>4770</v>
      </c>
      <c r="AB83">
        <v>3.49</v>
      </c>
    </row>
    <row r="84" spans="1:28">
      <c r="A84" s="2">
        <f>HYPERLINK("https://finance.naver.com/item/coinfo.nhn?code=006570", "A006570")</f>
        <v>0</v>
      </c>
      <c r="B84">
        <f>HYPERLINK("http://comp.fnguide.com/SVO2/ASP/SVD_Consensus.asp?pGB=1&amp;gicode=A006570&amp;cID=&amp;MenuYn=Y&amp;ReportGB=&amp;NewMenuID=108&amp;stkGb=701", "대림통상")</f>
        <v>0</v>
      </c>
      <c r="C84">
        <v>3</v>
      </c>
      <c r="D84">
        <v>3975</v>
      </c>
      <c r="E84">
        <v>0</v>
      </c>
      <c r="G84">
        <v>0</v>
      </c>
      <c r="H84">
        <v>3634</v>
      </c>
      <c r="I84">
        <v>4669</v>
      </c>
      <c r="J84">
        <v>100</v>
      </c>
      <c r="K84">
        <v>8.59</v>
      </c>
      <c r="L84">
        <v>-17.46</v>
      </c>
      <c r="M84">
        <v>0</v>
      </c>
      <c r="N84" t="b">
        <v>0</v>
      </c>
      <c r="O84">
        <v>-765</v>
      </c>
      <c r="P84" t="s">
        <v>615</v>
      </c>
      <c r="Q84" t="s">
        <v>2276</v>
      </c>
      <c r="R84">
        <v>0</v>
      </c>
      <c r="S84">
        <v>605</v>
      </c>
      <c r="T84">
        <v>4818</v>
      </c>
      <c r="U84" t="s">
        <v>4587</v>
      </c>
      <c r="V84">
        <v>79.48</v>
      </c>
      <c r="W84" t="s">
        <v>6807</v>
      </c>
      <c r="X84" t="s">
        <v>968</v>
      </c>
      <c r="Y84">
        <v>1836</v>
      </c>
      <c r="Z84">
        <v>-25</v>
      </c>
      <c r="AA84">
        <v>111373</v>
      </c>
      <c r="AB84">
        <v>3.4</v>
      </c>
    </row>
    <row r="85" spans="1:28">
      <c r="A85" s="2">
        <f>HYPERLINK("https://finance.naver.com/item/coinfo.nhn?code=010240", "A010240")</f>
        <v>0</v>
      </c>
      <c r="B85">
        <f>HYPERLINK("http://comp.fnguide.com/SVO2/ASP/SVD_Consensus.asp?pGB=1&amp;gicode=A010240&amp;cID=&amp;MenuYn=Y&amp;ReportGB=&amp;NewMenuID=108&amp;stkGb=701", "흥국")</f>
        <v>0</v>
      </c>
      <c r="C85">
        <v>3</v>
      </c>
      <c r="D85">
        <v>5720</v>
      </c>
      <c r="E85">
        <v>0.15</v>
      </c>
      <c r="F85">
        <v>7.79</v>
      </c>
      <c r="G85">
        <v>9072</v>
      </c>
      <c r="H85">
        <v>7133</v>
      </c>
      <c r="I85">
        <v>6580</v>
      </c>
      <c r="J85">
        <v>-58.6</v>
      </c>
      <c r="K85">
        <v>-24.7</v>
      </c>
      <c r="L85">
        <v>-15.03</v>
      </c>
      <c r="M85">
        <v>12.37</v>
      </c>
      <c r="N85" t="b">
        <v>1</v>
      </c>
      <c r="O85">
        <v>568</v>
      </c>
      <c r="P85" t="s">
        <v>727</v>
      </c>
      <c r="Q85" t="s">
        <v>2890</v>
      </c>
      <c r="R85">
        <v>51.50350019700674</v>
      </c>
      <c r="S85">
        <v>705</v>
      </c>
      <c r="T85">
        <v>87720</v>
      </c>
      <c r="U85" t="s">
        <v>4699</v>
      </c>
      <c r="V85">
        <v>51.18</v>
      </c>
      <c r="W85" t="s">
        <v>6919</v>
      </c>
      <c r="X85" t="s">
        <v>9052</v>
      </c>
      <c r="Y85">
        <v>1045</v>
      </c>
      <c r="Z85">
        <v>89</v>
      </c>
      <c r="AA85">
        <v>772811</v>
      </c>
      <c r="AB85">
        <v>3.39</v>
      </c>
    </row>
    <row r="86" spans="1:28">
      <c r="A86" s="2">
        <f>HYPERLINK("https://finance.naver.com/item/coinfo.nhn?code=016800", "A016800")</f>
        <v>0</v>
      </c>
      <c r="B86">
        <f>HYPERLINK("http://comp.fnguide.com/SVO2/ASP/SVD_Consensus.asp?pGB=1&amp;gicode=A016800&amp;cID=&amp;MenuYn=Y&amp;ReportGB=&amp;NewMenuID=108&amp;stkGb=701", "퍼시스")</f>
        <v>0</v>
      </c>
      <c r="C86">
        <v>3</v>
      </c>
      <c r="D86">
        <v>29300</v>
      </c>
      <c r="E86">
        <v>2.12</v>
      </c>
      <c r="F86">
        <v>9.99</v>
      </c>
      <c r="G86">
        <v>52608</v>
      </c>
      <c r="H86">
        <v>50045</v>
      </c>
      <c r="I86">
        <v>49315</v>
      </c>
      <c r="J86">
        <v>-79.55</v>
      </c>
      <c r="K86">
        <v>-70.8</v>
      </c>
      <c r="L86">
        <v>-68.31</v>
      </c>
      <c r="M86">
        <v>8.67</v>
      </c>
      <c r="N86" t="b">
        <v>1</v>
      </c>
      <c r="O86">
        <v>2953</v>
      </c>
      <c r="P86" t="s">
        <v>204</v>
      </c>
      <c r="Q86" t="s">
        <v>2410</v>
      </c>
      <c r="R86">
        <v>4.707196756523069</v>
      </c>
      <c r="S86">
        <v>3370</v>
      </c>
      <c r="T86">
        <v>757</v>
      </c>
      <c r="U86" t="s">
        <v>4176</v>
      </c>
      <c r="V86">
        <v>54.71</v>
      </c>
      <c r="W86" t="s">
        <v>6396</v>
      </c>
      <c r="X86" t="s">
        <v>8570</v>
      </c>
      <c r="Y86">
        <v>3047</v>
      </c>
      <c r="Z86">
        <v>251</v>
      </c>
      <c r="AA86">
        <v>2317576</v>
      </c>
      <c r="AB86">
        <v>3.39</v>
      </c>
    </row>
    <row r="87" spans="1:28">
      <c r="A87" s="2">
        <f>HYPERLINK("https://finance.naver.com/item/coinfo.nhn?code=114090", "A114090")</f>
        <v>0</v>
      </c>
      <c r="B87">
        <f>HYPERLINK("http://comp.fnguide.com/SVO2/ASP/SVD_Consensus.asp?pGB=1&amp;gicode=A114090&amp;cID=&amp;MenuYn=Y&amp;ReportGB=&amp;NewMenuID=108&amp;stkGb=701", "GKL")</f>
        <v>0</v>
      </c>
      <c r="C87">
        <v>0</v>
      </c>
      <c r="D87">
        <v>16800</v>
      </c>
      <c r="E87">
        <v>-2.88</v>
      </c>
      <c r="F87">
        <v>16.62</v>
      </c>
      <c r="G87">
        <v>16146</v>
      </c>
      <c r="H87">
        <v>12129</v>
      </c>
      <c r="I87">
        <v>10985</v>
      </c>
      <c r="J87">
        <v>3.89</v>
      </c>
      <c r="K87">
        <v>27.8</v>
      </c>
      <c r="L87">
        <v>34.62</v>
      </c>
      <c r="M87">
        <v>13.6</v>
      </c>
      <c r="N87" t="b">
        <v>1</v>
      </c>
      <c r="O87">
        <v>1170</v>
      </c>
      <c r="P87" t="s">
        <v>1721</v>
      </c>
      <c r="Q87" t="s">
        <v>3622</v>
      </c>
      <c r="R87">
        <v>-5.761356366183334</v>
      </c>
      <c r="S87">
        <v>10392</v>
      </c>
      <c r="T87">
        <v>616384</v>
      </c>
      <c r="U87" t="s">
        <v>5691</v>
      </c>
      <c r="V87">
        <v>51</v>
      </c>
      <c r="W87" t="s">
        <v>7889</v>
      </c>
      <c r="X87" t="s">
        <v>9829</v>
      </c>
      <c r="Y87">
        <v>4908</v>
      </c>
      <c r="Z87">
        <v>968</v>
      </c>
      <c r="AB87">
        <v>3.39</v>
      </c>
    </row>
    <row r="88" spans="1:28">
      <c r="A88" s="2">
        <f>HYPERLINK("https://finance.naver.com/item/coinfo.nhn?code=016450", "A016450")</f>
        <v>0</v>
      </c>
      <c r="B88">
        <f>HYPERLINK("http://comp.fnguide.com/SVO2/ASP/SVD_Consensus.asp?pGB=1&amp;gicode=A016450&amp;cID=&amp;MenuYn=Y&amp;ReportGB=&amp;NewMenuID=108&amp;stkGb=701", "한세예스24홀딩스")</f>
        <v>0</v>
      </c>
      <c r="C88">
        <v>0</v>
      </c>
      <c r="D88">
        <v>8080</v>
      </c>
      <c r="E88">
        <v>-0.71</v>
      </c>
      <c r="F88">
        <v>14.65</v>
      </c>
      <c r="G88">
        <v>4954</v>
      </c>
      <c r="H88">
        <v>6132</v>
      </c>
      <c r="I88">
        <v>6468</v>
      </c>
      <c r="J88">
        <v>38.69</v>
      </c>
      <c r="K88">
        <v>24.1</v>
      </c>
      <c r="L88">
        <v>19.95</v>
      </c>
      <c r="M88">
        <v>5.71</v>
      </c>
      <c r="N88" t="b">
        <v>1</v>
      </c>
      <c r="O88">
        <v>504</v>
      </c>
      <c r="P88" t="s">
        <v>1491</v>
      </c>
      <c r="Q88" t="s">
        <v>3451</v>
      </c>
      <c r="R88">
        <v>-20.55697142385314</v>
      </c>
      <c r="S88">
        <v>3232</v>
      </c>
      <c r="T88">
        <v>2189207</v>
      </c>
      <c r="U88" t="s">
        <v>5462</v>
      </c>
      <c r="V88">
        <v>79.87</v>
      </c>
      <c r="W88" t="s">
        <v>7664</v>
      </c>
      <c r="X88" t="s">
        <v>9633</v>
      </c>
      <c r="Y88">
        <v>27710</v>
      </c>
      <c r="Z88">
        <v>977</v>
      </c>
      <c r="AA88">
        <v>738213</v>
      </c>
      <c r="AB88">
        <v>3.39</v>
      </c>
    </row>
    <row r="89" spans="1:28">
      <c r="A89" s="2">
        <f>HYPERLINK("https://finance.naver.com/item/coinfo.nhn?code=060380", "A060380")</f>
        <v>0</v>
      </c>
      <c r="B89">
        <f>HYPERLINK("http://comp.fnguide.com/SVO2/ASP/SVD_Consensus.asp?pGB=1&amp;gicode=A060380&amp;cID=&amp;MenuYn=Y&amp;ReportGB=&amp;NewMenuID=108&amp;stkGb=701", "동양에스텍")</f>
        <v>0</v>
      </c>
      <c r="C89">
        <v>3</v>
      </c>
      <c r="D89">
        <v>2950</v>
      </c>
      <c r="E89">
        <v>-0.61</v>
      </c>
      <c r="F89">
        <v>15.13</v>
      </c>
      <c r="G89">
        <v>1953</v>
      </c>
      <c r="H89">
        <v>3970</v>
      </c>
      <c r="I89">
        <v>4544</v>
      </c>
      <c r="J89">
        <v>33.8</v>
      </c>
      <c r="K89">
        <v>-34.56</v>
      </c>
      <c r="L89">
        <v>-54.04</v>
      </c>
      <c r="M89">
        <v>2.93</v>
      </c>
      <c r="N89" t="b">
        <v>1</v>
      </c>
      <c r="O89">
        <v>195</v>
      </c>
      <c r="P89" t="s">
        <v>445</v>
      </c>
      <c r="Q89" t="s">
        <v>2625</v>
      </c>
      <c r="R89">
        <v>-24.89673775394306</v>
      </c>
      <c r="S89">
        <v>295</v>
      </c>
      <c r="T89">
        <v>22120</v>
      </c>
      <c r="U89" t="s">
        <v>4417</v>
      </c>
      <c r="V89">
        <v>54.01</v>
      </c>
      <c r="W89" t="s">
        <v>6637</v>
      </c>
      <c r="X89" t="s">
        <v>8787</v>
      </c>
      <c r="Y89">
        <v>2121</v>
      </c>
      <c r="Z89">
        <v>28</v>
      </c>
      <c r="AA89">
        <v>300000</v>
      </c>
      <c r="AB89">
        <v>3.39</v>
      </c>
    </row>
    <row r="90" spans="1:28">
      <c r="A90" s="2">
        <f>HYPERLINK("https://finance.naver.com/item/coinfo.nhn?code=090350", "A090350")</f>
        <v>0</v>
      </c>
      <c r="B90">
        <f>HYPERLINK("http://comp.fnguide.com/SVO2/ASP/SVD_Consensus.asp?pGB=1&amp;gicode=A090350&amp;cID=&amp;MenuYn=Y&amp;ReportGB=&amp;NewMenuID=108&amp;stkGb=701", "노루페인트")</f>
        <v>0</v>
      </c>
      <c r="C90">
        <v>3</v>
      </c>
      <c r="D90">
        <v>7750</v>
      </c>
      <c r="E90">
        <v>-0.83</v>
      </c>
      <c r="F90">
        <v>8.82</v>
      </c>
      <c r="G90">
        <v>12348</v>
      </c>
      <c r="H90">
        <v>14614</v>
      </c>
      <c r="I90">
        <v>15260</v>
      </c>
      <c r="J90">
        <v>-59.33</v>
      </c>
      <c r="K90">
        <v>-88.56999999999999</v>
      </c>
      <c r="L90">
        <v>-96.90000000000001</v>
      </c>
      <c r="M90">
        <v>6.11</v>
      </c>
      <c r="N90" t="b">
        <v>1</v>
      </c>
      <c r="O90">
        <v>924</v>
      </c>
      <c r="P90" t="s">
        <v>570</v>
      </c>
      <c r="Q90" t="s">
        <v>2744</v>
      </c>
      <c r="R90">
        <v>-10.62807482935452</v>
      </c>
      <c r="S90">
        <v>1550</v>
      </c>
      <c r="T90">
        <v>95559</v>
      </c>
      <c r="U90" t="s">
        <v>4542</v>
      </c>
      <c r="V90">
        <v>53.21</v>
      </c>
      <c r="W90" t="s">
        <v>6762</v>
      </c>
      <c r="X90" t="s">
        <v>8907</v>
      </c>
      <c r="Y90">
        <v>6475</v>
      </c>
      <c r="Z90">
        <v>292</v>
      </c>
      <c r="AB90">
        <v>3.37</v>
      </c>
    </row>
    <row r="91" spans="1:28">
      <c r="A91" s="2">
        <f>HYPERLINK("https://finance.naver.com/item/coinfo.nhn?code=005190", "A005190")</f>
        <v>0</v>
      </c>
      <c r="B91">
        <f>HYPERLINK("http://comp.fnguide.com/SVO2/ASP/SVD_Consensus.asp?pGB=1&amp;gicode=A005190&amp;cID=&amp;MenuYn=Y&amp;ReportGB=&amp;NewMenuID=108&amp;stkGb=701", "동성화학")</f>
        <v>0</v>
      </c>
      <c r="C91">
        <v>3</v>
      </c>
      <c r="D91">
        <v>16300</v>
      </c>
      <c r="E91">
        <v>0.95</v>
      </c>
      <c r="F91">
        <v>7.3</v>
      </c>
      <c r="G91">
        <v>24816</v>
      </c>
      <c r="H91">
        <v>23581</v>
      </c>
      <c r="I91">
        <v>23229</v>
      </c>
      <c r="J91">
        <v>-52.25</v>
      </c>
      <c r="K91">
        <v>-44.67</v>
      </c>
      <c r="L91">
        <v>-42.51</v>
      </c>
      <c r="M91">
        <v>8.69</v>
      </c>
      <c r="N91" t="b">
        <v>1</v>
      </c>
      <c r="O91">
        <v>2492</v>
      </c>
      <c r="P91" t="s">
        <v>492</v>
      </c>
      <c r="Q91" t="s">
        <v>2668</v>
      </c>
      <c r="R91">
        <v>7.718437755339846</v>
      </c>
      <c r="S91">
        <v>870</v>
      </c>
      <c r="T91">
        <v>40939</v>
      </c>
      <c r="U91" t="s">
        <v>4464</v>
      </c>
      <c r="V91">
        <v>51.23</v>
      </c>
      <c r="W91" t="s">
        <v>6684</v>
      </c>
      <c r="X91" t="s">
        <v>8831</v>
      </c>
      <c r="Y91">
        <v>2010</v>
      </c>
      <c r="Z91">
        <v>253</v>
      </c>
      <c r="AA91">
        <v>186177</v>
      </c>
      <c r="AB91">
        <v>3.3</v>
      </c>
    </row>
    <row r="92" spans="1:28">
      <c r="A92" s="2">
        <f>HYPERLINK("https://finance.naver.com/item/coinfo.nhn?code=121440", "A121440")</f>
        <v>0</v>
      </c>
      <c r="B92">
        <f>HYPERLINK("http://comp.fnguide.com/SVO2/ASP/SVD_Consensus.asp?pGB=1&amp;gicode=A121440&amp;cID=&amp;MenuYn=Y&amp;ReportGB=&amp;NewMenuID=108&amp;stkGb=701", "골프존뉴딘홀딩스")</f>
        <v>0</v>
      </c>
      <c r="C92">
        <v>3</v>
      </c>
      <c r="D92">
        <v>5850</v>
      </c>
      <c r="G92">
        <v>0</v>
      </c>
      <c r="H92">
        <v>6305</v>
      </c>
      <c r="I92">
        <v>8102</v>
      </c>
      <c r="J92">
        <v>100</v>
      </c>
      <c r="K92">
        <v>-7.78</v>
      </c>
      <c r="L92">
        <v>-38.49</v>
      </c>
      <c r="M92">
        <v>0</v>
      </c>
      <c r="N92" t="b">
        <v>0</v>
      </c>
      <c r="O92">
        <v>-751</v>
      </c>
      <c r="P92" t="s">
        <v>386</v>
      </c>
      <c r="Q92" t="s">
        <v>2572</v>
      </c>
      <c r="R92">
        <v>-99.59999999999999</v>
      </c>
      <c r="S92">
        <v>2506</v>
      </c>
      <c r="T92">
        <v>134210</v>
      </c>
      <c r="U92" t="s">
        <v>4358</v>
      </c>
      <c r="V92">
        <v>55.01</v>
      </c>
      <c r="W92" t="s">
        <v>6578</v>
      </c>
      <c r="X92" t="s">
        <v>8732</v>
      </c>
      <c r="Y92">
        <v>2289</v>
      </c>
      <c r="Z92">
        <v>-36</v>
      </c>
      <c r="AA92">
        <v>77616</v>
      </c>
      <c r="AB92">
        <v>3.3</v>
      </c>
    </row>
    <row r="93" spans="1:28">
      <c r="A93" s="2">
        <f>HYPERLINK("https://finance.naver.com/item/coinfo.nhn?code=075970", "A075970")</f>
        <v>0</v>
      </c>
      <c r="B93">
        <f>HYPERLINK("http://comp.fnguide.com/SVO2/ASP/SVD_Consensus.asp?pGB=1&amp;gicode=A075970&amp;cID=&amp;MenuYn=Y&amp;ReportGB=&amp;NewMenuID=108&amp;stkGb=701", "동국알앤에스")</f>
        <v>0</v>
      </c>
      <c r="C93">
        <v>3</v>
      </c>
      <c r="D93">
        <v>3225</v>
      </c>
      <c r="E93">
        <v>2.34</v>
      </c>
      <c r="F93">
        <v>20.13</v>
      </c>
      <c r="G93">
        <v>1733</v>
      </c>
      <c r="H93">
        <v>3134</v>
      </c>
      <c r="I93">
        <v>3533</v>
      </c>
      <c r="J93">
        <v>46.28</v>
      </c>
      <c r="K93">
        <v>2.82</v>
      </c>
      <c r="L93">
        <v>-9.56</v>
      </c>
      <c r="M93">
        <v>3.4</v>
      </c>
      <c r="N93" t="b">
        <v>1</v>
      </c>
      <c r="O93">
        <v>121</v>
      </c>
      <c r="P93" t="s">
        <v>443</v>
      </c>
      <c r="Q93" t="s">
        <v>2623</v>
      </c>
      <c r="R93">
        <v>8.600912650616689</v>
      </c>
      <c r="S93">
        <v>593</v>
      </c>
      <c r="T93">
        <v>288017</v>
      </c>
      <c r="U93" t="s">
        <v>4415</v>
      </c>
      <c r="V93">
        <v>54.18</v>
      </c>
      <c r="W93" t="s">
        <v>6635</v>
      </c>
      <c r="X93" t="s">
        <v>8785</v>
      </c>
      <c r="Y93">
        <v>1018</v>
      </c>
      <c r="Z93">
        <v>36</v>
      </c>
      <c r="AB93">
        <v>3.29</v>
      </c>
    </row>
    <row r="94" spans="1:28">
      <c r="A94" s="2">
        <f>HYPERLINK("https://finance.naver.com/item/coinfo.nhn?code=306200", "A306200")</f>
        <v>0</v>
      </c>
      <c r="B94">
        <f>HYPERLINK("http://comp.fnguide.com/SVO2/ASP/SVD_Consensus.asp?pGB=1&amp;gicode=A306200&amp;cID=&amp;MenuYn=Y&amp;ReportGB=&amp;NewMenuID=108&amp;stkGb=701", "세아제강")</f>
        <v>0</v>
      </c>
      <c r="C94">
        <v>3</v>
      </c>
      <c r="D94">
        <v>89800</v>
      </c>
      <c r="E94">
        <v>0</v>
      </c>
      <c r="F94">
        <v>6.95</v>
      </c>
      <c r="G94">
        <v>56565</v>
      </c>
      <c r="H94">
        <v>145145</v>
      </c>
      <c r="I94">
        <v>170385</v>
      </c>
      <c r="J94">
        <v>37.01</v>
      </c>
      <c r="K94">
        <v>-61.63</v>
      </c>
      <c r="L94">
        <v>-89.73999999999999</v>
      </c>
      <c r="M94">
        <v>2.21</v>
      </c>
      <c r="N94" t="b">
        <v>1</v>
      </c>
      <c r="O94">
        <v>8762</v>
      </c>
      <c r="P94" t="s">
        <v>761</v>
      </c>
      <c r="Q94" t="s">
        <v>2922</v>
      </c>
      <c r="R94">
        <v>0</v>
      </c>
      <c r="S94">
        <v>2547</v>
      </c>
      <c r="T94">
        <v>15089</v>
      </c>
      <c r="U94" t="s">
        <v>4733</v>
      </c>
      <c r="V94">
        <v>59.56</v>
      </c>
      <c r="W94" t="s">
        <v>6953</v>
      </c>
      <c r="X94" t="s">
        <v>9086</v>
      </c>
      <c r="Y94">
        <v>12272</v>
      </c>
      <c r="Z94">
        <v>459</v>
      </c>
      <c r="AA94">
        <v>36200</v>
      </c>
      <c r="AB94">
        <v>3.28</v>
      </c>
    </row>
    <row r="95" spans="1:28">
      <c r="A95" s="2">
        <f>HYPERLINK("https://finance.naver.com/item/coinfo.nhn?code=006390", "A006390")</f>
        <v>0</v>
      </c>
      <c r="B95">
        <f>HYPERLINK("http://comp.fnguide.com/SVO2/ASP/SVD_Consensus.asp?pGB=1&amp;gicode=A006390&amp;cID=&amp;MenuYn=Y&amp;ReportGB=&amp;NewMenuID=108&amp;stkGb=701", "한일현대시멘트")</f>
        <v>0</v>
      </c>
      <c r="C95">
        <v>0</v>
      </c>
      <c r="D95">
        <v>27500</v>
      </c>
      <c r="E95">
        <v>0.35</v>
      </c>
      <c r="F95">
        <v>12.39</v>
      </c>
      <c r="G95">
        <v>25430</v>
      </c>
      <c r="H95">
        <v>17459</v>
      </c>
      <c r="I95">
        <v>15187</v>
      </c>
      <c r="J95">
        <v>7.53</v>
      </c>
      <c r="K95">
        <v>36.51</v>
      </c>
      <c r="L95">
        <v>44.77</v>
      </c>
      <c r="M95">
        <v>16.66</v>
      </c>
      <c r="N95" t="b">
        <v>1</v>
      </c>
      <c r="O95">
        <v>2458</v>
      </c>
      <c r="P95" t="s">
        <v>1629</v>
      </c>
      <c r="Q95" t="s">
        <v>3560</v>
      </c>
      <c r="R95">
        <v>35.60000000000001</v>
      </c>
      <c r="S95">
        <v>4626</v>
      </c>
      <c r="T95">
        <v>75175</v>
      </c>
      <c r="U95" t="s">
        <v>5600</v>
      </c>
      <c r="V95">
        <v>84.23999999999999</v>
      </c>
      <c r="W95" t="s">
        <v>7800</v>
      </c>
      <c r="X95" t="s">
        <v>9754</v>
      </c>
      <c r="Y95">
        <v>3841</v>
      </c>
      <c r="Z95">
        <v>352</v>
      </c>
      <c r="AB95">
        <v>3.28</v>
      </c>
    </row>
    <row r="96" spans="1:28">
      <c r="A96" s="2">
        <f>HYPERLINK("https://finance.naver.com/item/coinfo.nhn?code=293580", "A293580")</f>
        <v>0</v>
      </c>
      <c r="B96">
        <f>HYPERLINK("http://comp.fnguide.com/SVO2/ASP/SVD_Consensus.asp?pGB=1&amp;gicode=A293580&amp;cID=&amp;MenuYn=Y&amp;ReportGB=&amp;NewMenuID=108&amp;stkGb=701", "나우IB")</f>
        <v>0</v>
      </c>
      <c r="C96">
        <v>0</v>
      </c>
      <c r="D96">
        <v>7460</v>
      </c>
      <c r="E96">
        <v>0</v>
      </c>
      <c r="F96">
        <v>14.73</v>
      </c>
      <c r="G96">
        <v>4942</v>
      </c>
      <c r="H96">
        <v>6450</v>
      </c>
      <c r="I96">
        <v>6879</v>
      </c>
      <c r="J96">
        <v>33.75</v>
      </c>
      <c r="K96">
        <v>13.54</v>
      </c>
      <c r="L96">
        <v>7.79</v>
      </c>
      <c r="M96">
        <v>5.29</v>
      </c>
      <c r="N96" t="b">
        <v>1</v>
      </c>
      <c r="O96">
        <v>311</v>
      </c>
      <c r="P96" t="s">
        <v>2113</v>
      </c>
      <c r="Q96" t="s">
        <v>3024</v>
      </c>
      <c r="R96">
        <v>15.91473887604671</v>
      </c>
      <c r="S96">
        <v>707</v>
      </c>
      <c r="T96">
        <v>261863</v>
      </c>
      <c r="U96" t="s">
        <v>6087</v>
      </c>
      <c r="V96">
        <v>72.59</v>
      </c>
      <c r="W96" t="s">
        <v>8273</v>
      </c>
      <c r="X96" t="s">
        <v>10111</v>
      </c>
      <c r="Y96">
        <v>78</v>
      </c>
      <c r="Z96">
        <v>37</v>
      </c>
      <c r="AA96">
        <v>31600</v>
      </c>
      <c r="AB96">
        <v>3.28</v>
      </c>
    </row>
    <row r="97" spans="1:28">
      <c r="A97" s="2">
        <f>HYPERLINK("https://finance.naver.com/item/coinfo.nhn?code=005090", "A005090")</f>
        <v>0</v>
      </c>
      <c r="B97">
        <f>HYPERLINK("http://comp.fnguide.com/SVO2/ASP/SVD_Consensus.asp?pGB=1&amp;gicode=A005090&amp;cID=&amp;MenuYn=Y&amp;ReportGB=&amp;NewMenuID=108&amp;stkGb=701", "SGC에너지")</f>
        <v>0</v>
      </c>
      <c r="C97">
        <v>0</v>
      </c>
      <c r="D97">
        <v>34150</v>
      </c>
      <c r="G97">
        <v>696</v>
      </c>
      <c r="H97">
        <v>11514</v>
      </c>
      <c r="I97">
        <v>14596</v>
      </c>
      <c r="J97">
        <v>97.95999999999999</v>
      </c>
      <c r="K97">
        <v>66.28</v>
      </c>
      <c r="L97">
        <v>57.26</v>
      </c>
      <c r="M97">
        <v>0.3</v>
      </c>
      <c r="N97" t="b">
        <v>0</v>
      </c>
      <c r="O97">
        <v>-41</v>
      </c>
      <c r="P97" t="s">
        <v>1745</v>
      </c>
      <c r="Q97" t="s">
        <v>3642</v>
      </c>
      <c r="R97">
        <v>23.84597855629302</v>
      </c>
      <c r="S97">
        <v>5012</v>
      </c>
      <c r="T97">
        <v>104453</v>
      </c>
      <c r="U97" t="s">
        <v>5715</v>
      </c>
      <c r="V97">
        <v>56.99</v>
      </c>
      <c r="W97" t="s">
        <v>7913</v>
      </c>
      <c r="X97" t="s">
        <v>9849</v>
      </c>
      <c r="Y97">
        <v>2842</v>
      </c>
      <c r="Z97">
        <v>11</v>
      </c>
      <c r="AA97">
        <v>51802</v>
      </c>
      <c r="AB97">
        <v>3.28</v>
      </c>
    </row>
    <row r="98" spans="1:28">
      <c r="A98" s="2">
        <f>HYPERLINK("https://finance.naver.com/item/coinfo.nhn?code=046440", "A046440")</f>
        <v>0</v>
      </c>
      <c r="B98">
        <f>HYPERLINK("http://comp.fnguide.com/SVO2/ASP/SVD_Consensus.asp?pGB=1&amp;gicode=A046440&amp;cID=&amp;MenuYn=Y&amp;ReportGB=&amp;NewMenuID=108&amp;stkGb=701", "KG모빌리언스")</f>
        <v>0</v>
      </c>
      <c r="C98">
        <v>0</v>
      </c>
      <c r="D98">
        <v>10400</v>
      </c>
      <c r="E98">
        <v>2.17</v>
      </c>
      <c r="F98">
        <v>10.2</v>
      </c>
      <c r="G98">
        <v>5524</v>
      </c>
      <c r="H98">
        <v>5778</v>
      </c>
      <c r="I98">
        <v>5851</v>
      </c>
      <c r="J98">
        <v>46.88</v>
      </c>
      <c r="K98">
        <v>44.44</v>
      </c>
      <c r="L98">
        <v>43.74</v>
      </c>
      <c r="M98">
        <v>7.4</v>
      </c>
      <c r="N98" t="b">
        <v>1</v>
      </c>
      <c r="O98">
        <v>601</v>
      </c>
      <c r="P98" t="s">
        <v>1580</v>
      </c>
      <c r="Q98" t="s">
        <v>3529</v>
      </c>
      <c r="R98">
        <v>4.700283902341962</v>
      </c>
      <c r="S98">
        <v>4038</v>
      </c>
      <c r="T98">
        <v>1017255</v>
      </c>
      <c r="U98" t="s">
        <v>5551</v>
      </c>
      <c r="V98">
        <v>50.71</v>
      </c>
      <c r="W98" t="s">
        <v>7753</v>
      </c>
      <c r="X98" t="s">
        <v>9713</v>
      </c>
      <c r="Y98">
        <v>1922</v>
      </c>
      <c r="Z98">
        <v>348</v>
      </c>
      <c r="AA98">
        <v>907780</v>
      </c>
      <c r="AB98">
        <v>3.26</v>
      </c>
    </row>
    <row r="99" spans="1:28">
      <c r="A99" s="2">
        <f>HYPERLINK("https://finance.naver.com/item/coinfo.nhn?code=123700", "A123700")</f>
        <v>0</v>
      </c>
      <c r="B99">
        <f>HYPERLINK("http://comp.fnguide.com/SVO2/ASP/SVD_Consensus.asp?pGB=1&amp;gicode=A123700&amp;cID=&amp;MenuYn=Y&amp;ReportGB=&amp;NewMenuID=108&amp;stkGb=701", "SJM")</f>
        <v>0</v>
      </c>
      <c r="C99">
        <v>3</v>
      </c>
      <c r="D99">
        <v>2995</v>
      </c>
      <c r="E99">
        <v>-0.29</v>
      </c>
      <c r="F99">
        <v>8.77</v>
      </c>
      <c r="G99">
        <v>4770</v>
      </c>
      <c r="H99">
        <v>8284</v>
      </c>
      <c r="I99">
        <v>9285</v>
      </c>
      <c r="J99">
        <v>-59.25</v>
      </c>
      <c r="K99">
        <v>-176.59</v>
      </c>
      <c r="L99">
        <v>-210.02</v>
      </c>
      <c r="M99">
        <v>3.58</v>
      </c>
      <c r="N99" t="b">
        <v>1</v>
      </c>
      <c r="O99">
        <v>438</v>
      </c>
      <c r="P99" t="s">
        <v>619</v>
      </c>
      <c r="Q99" t="s">
        <v>2789</v>
      </c>
      <c r="R99">
        <v>-30.08857054921614</v>
      </c>
      <c r="S99">
        <v>467</v>
      </c>
      <c r="T99">
        <v>19856</v>
      </c>
      <c r="U99" t="s">
        <v>4591</v>
      </c>
      <c r="V99">
        <v>53.03</v>
      </c>
      <c r="W99" t="s">
        <v>6811</v>
      </c>
      <c r="X99" t="s">
        <v>8953</v>
      </c>
      <c r="Y99">
        <v>1577</v>
      </c>
      <c r="Z99">
        <v>65</v>
      </c>
      <c r="AB99">
        <v>3.26</v>
      </c>
    </row>
    <row r="100" spans="1:28">
      <c r="A100" s="2">
        <f>HYPERLINK("https://finance.naver.com/item/coinfo.nhn?code=071840", "A071840")</f>
        <v>0</v>
      </c>
      <c r="B100">
        <f>HYPERLINK("http://comp.fnguide.com/SVO2/ASP/SVD_Consensus.asp?pGB=1&amp;gicode=A071840&amp;cID=&amp;MenuYn=Y&amp;ReportGB=&amp;NewMenuID=108&amp;stkGb=701", "롯데하이마트")</f>
        <v>0</v>
      </c>
      <c r="C100">
        <v>3</v>
      </c>
      <c r="D100">
        <v>31350</v>
      </c>
      <c r="G100">
        <v>27120</v>
      </c>
      <c r="H100">
        <v>59739</v>
      </c>
      <c r="I100">
        <v>69034</v>
      </c>
      <c r="J100">
        <v>13.49</v>
      </c>
      <c r="K100">
        <v>-90.56</v>
      </c>
      <c r="L100">
        <v>-120.2</v>
      </c>
      <c r="M100">
        <v>2.65</v>
      </c>
      <c r="N100" t="b">
        <v>0</v>
      </c>
      <c r="O100">
        <v>-4232</v>
      </c>
      <c r="P100" t="s">
        <v>543</v>
      </c>
      <c r="Q100" t="s">
        <v>2717</v>
      </c>
      <c r="R100">
        <v>2.614775274394154</v>
      </c>
      <c r="S100">
        <v>7401</v>
      </c>
      <c r="T100">
        <v>83158</v>
      </c>
      <c r="U100" t="s">
        <v>4515</v>
      </c>
      <c r="V100">
        <v>61.02</v>
      </c>
      <c r="W100" t="s">
        <v>6735</v>
      </c>
      <c r="X100" t="s">
        <v>8881</v>
      </c>
      <c r="Y100">
        <v>40265</v>
      </c>
      <c r="Z100">
        <v>1099</v>
      </c>
      <c r="AB100">
        <v>3.24</v>
      </c>
    </row>
    <row r="101" spans="1:28">
      <c r="A101" s="2">
        <f>HYPERLINK("https://finance.naver.com/item/coinfo.nhn?code=036530", "A036530")</f>
        <v>0</v>
      </c>
      <c r="B101">
        <f>HYPERLINK("http://comp.fnguide.com/SVO2/ASP/SVD_Consensus.asp?pGB=1&amp;gicode=A036530&amp;cID=&amp;MenuYn=Y&amp;ReportGB=&amp;NewMenuID=108&amp;stkGb=701", "S&amp;T홀딩스")</f>
        <v>0</v>
      </c>
      <c r="C101">
        <v>3</v>
      </c>
      <c r="D101">
        <v>14250</v>
      </c>
      <c r="E101">
        <v>0.65</v>
      </c>
      <c r="F101">
        <v>4.03</v>
      </c>
      <c r="G101">
        <v>39282</v>
      </c>
      <c r="H101">
        <v>46858</v>
      </c>
      <c r="I101">
        <v>49017</v>
      </c>
      <c r="J101">
        <v>-175.66</v>
      </c>
      <c r="K101">
        <v>-228.83</v>
      </c>
      <c r="L101">
        <v>-243.98</v>
      </c>
      <c r="M101">
        <v>6.03</v>
      </c>
      <c r="N101" t="b">
        <v>1</v>
      </c>
      <c r="O101">
        <v>3835</v>
      </c>
      <c r="P101" t="s">
        <v>563</v>
      </c>
      <c r="Q101" t="s">
        <v>2737</v>
      </c>
      <c r="R101">
        <v>6.17067363138033</v>
      </c>
      <c r="S101">
        <v>2323</v>
      </c>
      <c r="T101">
        <v>47328</v>
      </c>
      <c r="U101" t="s">
        <v>4535</v>
      </c>
      <c r="V101">
        <v>63.17</v>
      </c>
      <c r="W101" t="s">
        <v>6755</v>
      </c>
      <c r="X101" t="s">
        <v>8900</v>
      </c>
      <c r="Y101">
        <v>15121</v>
      </c>
      <c r="Z101">
        <v>1263</v>
      </c>
      <c r="AA101">
        <v>1538384</v>
      </c>
      <c r="AB101">
        <v>3.24</v>
      </c>
    </row>
    <row r="102" spans="1:28">
      <c r="A102" s="2">
        <f>HYPERLINK("https://finance.naver.com/item/coinfo.nhn?code=023810", "A023810")</f>
        <v>0</v>
      </c>
      <c r="B102">
        <f>HYPERLINK("http://comp.fnguide.com/SVO2/ASP/SVD_Consensus.asp?pGB=1&amp;gicode=A023810&amp;cID=&amp;MenuYn=Y&amp;ReportGB=&amp;NewMenuID=108&amp;stkGb=701", "인팩")</f>
        <v>0</v>
      </c>
      <c r="C102">
        <v>3</v>
      </c>
      <c r="D102">
        <v>5080</v>
      </c>
      <c r="G102">
        <v>639</v>
      </c>
      <c r="H102">
        <v>5891</v>
      </c>
      <c r="I102">
        <v>7388</v>
      </c>
      <c r="J102">
        <v>87.41</v>
      </c>
      <c r="K102">
        <v>-15.97</v>
      </c>
      <c r="L102">
        <v>-45.42</v>
      </c>
      <c r="M102">
        <v>0.54</v>
      </c>
      <c r="N102" t="b">
        <v>0</v>
      </c>
      <c r="O102">
        <v>-617</v>
      </c>
      <c r="P102" t="s">
        <v>143</v>
      </c>
      <c r="Q102" t="s">
        <v>2353</v>
      </c>
      <c r="R102">
        <v>-11.7</v>
      </c>
      <c r="S102">
        <v>508</v>
      </c>
      <c r="T102">
        <v>30009</v>
      </c>
      <c r="U102" t="s">
        <v>4115</v>
      </c>
      <c r="V102">
        <v>51.68</v>
      </c>
      <c r="W102" t="s">
        <v>6335</v>
      </c>
      <c r="X102" t="s">
        <v>8515</v>
      </c>
      <c r="Y102">
        <v>3608</v>
      </c>
      <c r="Z102">
        <v>-4</v>
      </c>
      <c r="AB102">
        <v>3.23</v>
      </c>
    </row>
    <row r="103" spans="1:28">
      <c r="A103" s="2">
        <f>HYPERLINK("https://finance.naver.com/item/coinfo.nhn?code=100220", "A100220")</f>
        <v>0</v>
      </c>
      <c r="B103">
        <f>HYPERLINK("http://comp.fnguide.com/SVO2/ASP/SVD_Consensus.asp?pGB=1&amp;gicode=A100220&amp;cID=&amp;MenuYn=Y&amp;ReportGB=&amp;NewMenuID=108&amp;stkGb=701", "비상교육")</f>
        <v>0</v>
      </c>
      <c r="C103">
        <v>3</v>
      </c>
      <c r="D103">
        <v>6590</v>
      </c>
      <c r="E103">
        <v>-0.9399999999999999</v>
      </c>
      <c r="F103">
        <v>8.949999999999999</v>
      </c>
      <c r="G103">
        <v>10016</v>
      </c>
      <c r="H103">
        <v>14513</v>
      </c>
      <c r="I103">
        <v>15794</v>
      </c>
      <c r="J103">
        <v>-51.99</v>
      </c>
      <c r="K103">
        <v>-120.22</v>
      </c>
      <c r="L103">
        <v>-139.66</v>
      </c>
      <c r="M103">
        <v>4.56</v>
      </c>
      <c r="N103" t="b">
        <v>1</v>
      </c>
      <c r="O103">
        <v>868</v>
      </c>
      <c r="P103" t="s">
        <v>527</v>
      </c>
      <c r="Q103" t="s">
        <v>2702</v>
      </c>
      <c r="R103">
        <v>-9.520795333315357</v>
      </c>
      <c r="S103">
        <v>856</v>
      </c>
      <c r="T103">
        <v>36824</v>
      </c>
      <c r="U103" t="s">
        <v>4499</v>
      </c>
      <c r="V103">
        <v>54.59</v>
      </c>
      <c r="W103" t="s">
        <v>6719</v>
      </c>
      <c r="X103" t="s">
        <v>8866</v>
      </c>
      <c r="Y103">
        <v>1994</v>
      </c>
      <c r="Z103">
        <v>219</v>
      </c>
      <c r="AA103">
        <v>745226</v>
      </c>
      <c r="AB103">
        <v>3.22</v>
      </c>
    </row>
    <row r="104" spans="1:28">
      <c r="A104" s="2">
        <f>HYPERLINK("https://finance.naver.com/item/coinfo.nhn?code=039570", "A039570")</f>
        <v>0</v>
      </c>
      <c r="B104">
        <f>HYPERLINK("http://comp.fnguide.com/SVO2/ASP/SVD_Consensus.asp?pGB=1&amp;gicode=A039570&amp;cID=&amp;MenuYn=Y&amp;ReportGB=&amp;NewMenuID=108&amp;stkGb=701", "HDC아이콘트롤스")</f>
        <v>0</v>
      </c>
      <c r="C104">
        <v>3</v>
      </c>
      <c r="D104">
        <v>9490</v>
      </c>
      <c r="G104">
        <v>8585</v>
      </c>
      <c r="H104">
        <v>10142</v>
      </c>
      <c r="I104">
        <v>10586</v>
      </c>
      <c r="J104">
        <v>9.539999999999999</v>
      </c>
      <c r="K104">
        <v>-6.87</v>
      </c>
      <c r="L104">
        <v>-11.55</v>
      </c>
      <c r="M104">
        <v>6.12</v>
      </c>
      <c r="N104" t="b">
        <v>0</v>
      </c>
      <c r="O104">
        <v>-358</v>
      </c>
      <c r="P104" t="s">
        <v>673</v>
      </c>
      <c r="Q104" t="s">
        <v>2839</v>
      </c>
      <c r="R104">
        <v>8.761033319359823</v>
      </c>
      <c r="S104">
        <v>1562</v>
      </c>
      <c r="T104">
        <v>31031</v>
      </c>
      <c r="U104" t="s">
        <v>4645</v>
      </c>
      <c r="V104">
        <v>57.84</v>
      </c>
      <c r="W104" t="s">
        <v>6865</v>
      </c>
      <c r="X104" t="s">
        <v>9002</v>
      </c>
      <c r="Y104">
        <v>2524</v>
      </c>
      <c r="Z104">
        <v>130</v>
      </c>
      <c r="AA104">
        <v>1375412</v>
      </c>
      <c r="AB104">
        <v>3.21</v>
      </c>
    </row>
    <row r="105" spans="1:28">
      <c r="A105" s="2">
        <f>HYPERLINK("https://finance.naver.com/item/coinfo.nhn?code=003030", "A003030")</f>
        <v>0</v>
      </c>
      <c r="B105">
        <f>HYPERLINK("http://comp.fnguide.com/SVO2/ASP/SVD_Consensus.asp?pGB=1&amp;gicode=A003030&amp;cID=&amp;MenuYn=Y&amp;ReportGB=&amp;NewMenuID=108&amp;stkGb=701", "세아제강지주")</f>
        <v>0</v>
      </c>
      <c r="C105">
        <v>3</v>
      </c>
      <c r="D105">
        <v>47000</v>
      </c>
      <c r="G105">
        <v>300335</v>
      </c>
      <c r="H105">
        <v>263368</v>
      </c>
      <c r="I105">
        <v>252835</v>
      </c>
      <c r="J105">
        <v>-539.01</v>
      </c>
      <c r="K105">
        <v>-460.36</v>
      </c>
      <c r="L105">
        <v>-437.95</v>
      </c>
      <c r="M105">
        <v>10.02</v>
      </c>
      <c r="N105" t="b">
        <v>0</v>
      </c>
      <c r="O105">
        <v>-742</v>
      </c>
      <c r="P105" t="s">
        <v>768</v>
      </c>
      <c r="Q105" t="s">
        <v>2927</v>
      </c>
      <c r="R105">
        <v>61.30856042007284</v>
      </c>
      <c r="S105">
        <v>1947</v>
      </c>
      <c r="T105">
        <v>9754</v>
      </c>
      <c r="U105" t="s">
        <v>4740</v>
      </c>
      <c r="V105">
        <v>64.31999999999999</v>
      </c>
      <c r="W105" t="s">
        <v>6960</v>
      </c>
      <c r="X105" t="s">
        <v>9092</v>
      </c>
      <c r="Y105">
        <v>26439</v>
      </c>
      <c r="Z105">
        <v>631</v>
      </c>
      <c r="AA105">
        <v>101196</v>
      </c>
      <c r="AB105">
        <v>3.16</v>
      </c>
    </row>
    <row r="106" spans="1:28">
      <c r="A106" s="2">
        <f>HYPERLINK("https://finance.naver.com/item/coinfo.nhn?code=003800", "A003800")</f>
        <v>0</v>
      </c>
      <c r="B106">
        <f>HYPERLINK("http://comp.fnguide.com/SVO2/ASP/SVD_Consensus.asp?pGB=1&amp;gicode=A003800&amp;cID=&amp;MenuYn=Y&amp;ReportGB=&amp;NewMenuID=108&amp;stkGb=701", "에이스침대")</f>
        <v>0</v>
      </c>
      <c r="C106">
        <v>3</v>
      </c>
      <c r="D106">
        <v>39650</v>
      </c>
      <c r="E106">
        <v>1.46</v>
      </c>
      <c r="F106">
        <v>8.77</v>
      </c>
      <c r="G106">
        <v>48852</v>
      </c>
      <c r="H106">
        <v>46957</v>
      </c>
      <c r="I106">
        <v>46418</v>
      </c>
      <c r="J106">
        <v>-23.21</v>
      </c>
      <c r="K106">
        <v>-18.43</v>
      </c>
      <c r="L106">
        <v>-17.07</v>
      </c>
      <c r="M106">
        <v>8.52</v>
      </c>
      <c r="N106" t="b">
        <v>1</v>
      </c>
      <c r="O106">
        <v>3987</v>
      </c>
      <c r="P106" t="s">
        <v>332</v>
      </c>
      <c r="Q106" t="s">
        <v>2527</v>
      </c>
      <c r="R106">
        <v>6.02103981867359</v>
      </c>
      <c r="S106">
        <v>4397</v>
      </c>
      <c r="T106">
        <v>2425</v>
      </c>
      <c r="U106" t="s">
        <v>4304</v>
      </c>
      <c r="V106">
        <v>79.56</v>
      </c>
      <c r="W106" t="s">
        <v>6524</v>
      </c>
      <c r="X106" t="s">
        <v>8684</v>
      </c>
      <c r="Y106">
        <v>2774</v>
      </c>
      <c r="Z106">
        <v>499</v>
      </c>
      <c r="AA106">
        <v>838055</v>
      </c>
      <c r="AB106">
        <v>3.15</v>
      </c>
    </row>
    <row r="107" spans="1:28">
      <c r="A107" s="2">
        <f>HYPERLINK("https://finance.naver.com/item/coinfo.nhn?code=003080", "A003080")</f>
        <v>0</v>
      </c>
      <c r="B107">
        <f>HYPERLINK("http://comp.fnguide.com/SVO2/ASP/SVD_Consensus.asp?pGB=1&amp;gicode=A003080&amp;cID=&amp;MenuYn=Y&amp;ReportGB=&amp;NewMenuID=108&amp;stkGb=701", "성보화학")</f>
        <v>0</v>
      </c>
      <c r="C107">
        <v>3</v>
      </c>
      <c r="D107">
        <v>4295</v>
      </c>
      <c r="G107">
        <v>2133</v>
      </c>
      <c r="H107">
        <v>5379</v>
      </c>
      <c r="I107">
        <v>6303</v>
      </c>
      <c r="J107">
        <v>50.33</v>
      </c>
      <c r="K107">
        <v>-25.23</v>
      </c>
      <c r="L107">
        <v>-46.76</v>
      </c>
      <c r="M107">
        <v>2.26</v>
      </c>
      <c r="N107" t="b">
        <v>0</v>
      </c>
      <c r="O107">
        <v>-143</v>
      </c>
      <c r="P107" t="s">
        <v>679</v>
      </c>
      <c r="Q107" t="s">
        <v>2845</v>
      </c>
      <c r="R107">
        <v>34.77508106012603</v>
      </c>
      <c r="S107">
        <v>860</v>
      </c>
      <c r="T107">
        <v>7813</v>
      </c>
      <c r="U107" t="s">
        <v>4651</v>
      </c>
      <c r="V107">
        <v>69.16</v>
      </c>
      <c r="W107" t="s">
        <v>6871</v>
      </c>
      <c r="X107" t="s">
        <v>9008</v>
      </c>
      <c r="Y107">
        <v>419</v>
      </c>
      <c r="Z107">
        <v>-44</v>
      </c>
      <c r="AA107">
        <v>562776</v>
      </c>
      <c r="AB107">
        <v>3.03</v>
      </c>
    </row>
    <row r="108" spans="1:28">
      <c r="A108" s="2">
        <f>HYPERLINK("https://finance.naver.com/item/coinfo.nhn?code=005010", "A005010")</f>
        <v>0</v>
      </c>
      <c r="B108">
        <f>HYPERLINK("http://comp.fnguide.com/SVO2/ASP/SVD_Consensus.asp?pGB=1&amp;gicode=A005010&amp;cID=&amp;MenuYn=Y&amp;ReportGB=&amp;NewMenuID=108&amp;stkGb=701", "휴스틸")</f>
        <v>0</v>
      </c>
      <c r="C108">
        <v>3</v>
      </c>
      <c r="D108">
        <v>7310</v>
      </c>
      <c r="G108">
        <v>10610</v>
      </c>
      <c r="H108">
        <v>35500</v>
      </c>
      <c r="I108">
        <v>42592</v>
      </c>
      <c r="J108">
        <v>-45.14</v>
      </c>
      <c r="K108">
        <v>-385.64</v>
      </c>
      <c r="L108">
        <v>-482.66</v>
      </c>
      <c r="M108">
        <v>1.62</v>
      </c>
      <c r="N108" t="b">
        <v>0</v>
      </c>
      <c r="O108">
        <v>-1646</v>
      </c>
      <c r="P108" t="s">
        <v>85</v>
      </c>
      <c r="Q108" t="s">
        <v>2301</v>
      </c>
      <c r="R108">
        <v>328.2</v>
      </c>
      <c r="S108">
        <v>557</v>
      </c>
      <c r="T108">
        <v>25437</v>
      </c>
      <c r="U108" t="s">
        <v>4057</v>
      </c>
      <c r="V108">
        <v>50.15</v>
      </c>
      <c r="W108" t="s">
        <v>6277</v>
      </c>
      <c r="X108" t="s">
        <v>8459</v>
      </c>
      <c r="Y108">
        <v>5370</v>
      </c>
      <c r="Z108">
        <v>-129</v>
      </c>
      <c r="AB108">
        <v>3.01</v>
      </c>
    </row>
    <row r="109" spans="1:28">
      <c r="A109" s="2">
        <f>HYPERLINK("https://finance.naver.com/item/coinfo.nhn?code=272210", "A272210")</f>
        <v>0</v>
      </c>
      <c r="B109">
        <f>HYPERLINK("http://comp.fnguide.com/SVO2/ASP/SVD_Consensus.asp?pGB=1&amp;gicode=A272210&amp;cID=&amp;MenuYn=Y&amp;ReportGB=&amp;NewMenuID=108&amp;stkGb=701", "한화시스템")</f>
        <v>0</v>
      </c>
      <c r="C109">
        <v>0</v>
      </c>
      <c r="D109">
        <v>12150</v>
      </c>
      <c r="E109">
        <v>2.69</v>
      </c>
      <c r="F109">
        <v>14.66</v>
      </c>
      <c r="G109">
        <v>7882</v>
      </c>
      <c r="H109">
        <v>8430</v>
      </c>
      <c r="I109">
        <v>8586</v>
      </c>
      <c r="J109">
        <v>35.13</v>
      </c>
      <c r="K109">
        <v>30.62</v>
      </c>
      <c r="L109">
        <v>29.33</v>
      </c>
      <c r="M109">
        <v>7.14</v>
      </c>
      <c r="N109" t="b">
        <v>1</v>
      </c>
      <c r="O109">
        <v>706</v>
      </c>
      <c r="P109" t="s">
        <v>1622</v>
      </c>
      <c r="Q109" t="s">
        <v>3554</v>
      </c>
      <c r="R109">
        <v>5.451715575682248</v>
      </c>
      <c r="S109">
        <v>13393</v>
      </c>
      <c r="T109">
        <v>596720</v>
      </c>
      <c r="U109" t="s">
        <v>5593</v>
      </c>
      <c r="V109">
        <v>62.44</v>
      </c>
      <c r="W109" t="s">
        <v>7793</v>
      </c>
      <c r="X109" t="s">
        <v>9747</v>
      </c>
      <c r="Y109">
        <v>15460</v>
      </c>
      <c r="Z109">
        <v>858</v>
      </c>
      <c r="AA109">
        <v>108544</v>
      </c>
      <c r="AB109">
        <v>3</v>
      </c>
    </row>
    <row r="110" spans="1:28">
      <c r="A110" s="2">
        <f>HYPERLINK("https://finance.naver.com/item/coinfo.nhn?code=016710", "A016710")</f>
        <v>0</v>
      </c>
      <c r="B110">
        <f>HYPERLINK("http://comp.fnguide.com/SVO2/ASP/SVD_Consensus.asp?pGB=1&amp;gicode=A016710&amp;cID=&amp;MenuYn=Y&amp;ReportGB=&amp;NewMenuID=108&amp;stkGb=701", "대성홀딩스")</f>
        <v>0</v>
      </c>
      <c r="C110">
        <v>0</v>
      </c>
      <c r="D110">
        <v>24650</v>
      </c>
      <c r="E110">
        <v>0.38</v>
      </c>
      <c r="F110">
        <v>9.960000000000001</v>
      </c>
      <c r="G110">
        <v>13406</v>
      </c>
      <c r="H110">
        <v>20983</v>
      </c>
      <c r="I110">
        <v>23142</v>
      </c>
      <c r="J110">
        <v>45.62</v>
      </c>
      <c r="K110">
        <v>14.88</v>
      </c>
      <c r="L110">
        <v>6.12</v>
      </c>
      <c r="M110">
        <v>4.11</v>
      </c>
      <c r="N110" t="b">
        <v>1</v>
      </c>
      <c r="O110">
        <v>837</v>
      </c>
      <c r="P110" t="s">
        <v>1659</v>
      </c>
      <c r="Q110" t="s">
        <v>3578</v>
      </c>
      <c r="R110">
        <v>26.13801726604645</v>
      </c>
      <c r="S110">
        <v>3966</v>
      </c>
      <c r="T110">
        <v>112959</v>
      </c>
      <c r="U110" t="s">
        <v>5629</v>
      </c>
      <c r="V110">
        <v>72.73999999999999</v>
      </c>
      <c r="W110" t="s">
        <v>7828</v>
      </c>
      <c r="X110" t="s">
        <v>9777</v>
      </c>
      <c r="Y110">
        <v>9186</v>
      </c>
      <c r="Z110">
        <v>239</v>
      </c>
      <c r="AB110">
        <v>3</v>
      </c>
    </row>
    <row r="111" spans="1:28">
      <c r="A111" s="2">
        <f>HYPERLINK("https://finance.naver.com/item/coinfo.nhn?code=011170", "A011170")</f>
        <v>0</v>
      </c>
      <c r="B111">
        <f>HYPERLINK("http://comp.fnguide.com/SVO2/ASP/SVD_Consensus.asp?pGB=1&amp;gicode=A011170&amp;cID=&amp;MenuYn=Y&amp;ReportGB=&amp;NewMenuID=108&amp;stkGb=701", "롯데케미칼")</f>
        <v>0</v>
      </c>
      <c r="C111">
        <v>3</v>
      </c>
      <c r="D111">
        <v>281000</v>
      </c>
      <c r="E111">
        <v>-0.28</v>
      </c>
      <c r="F111">
        <v>10.74</v>
      </c>
      <c r="G111">
        <v>516639</v>
      </c>
      <c r="H111">
        <v>437693</v>
      </c>
      <c r="I111">
        <v>415197</v>
      </c>
      <c r="J111">
        <v>-83.86</v>
      </c>
      <c r="K111">
        <v>-55.76</v>
      </c>
      <c r="L111">
        <v>-47.76</v>
      </c>
      <c r="M111">
        <v>10.69</v>
      </c>
      <c r="N111" t="b">
        <v>1</v>
      </c>
      <c r="O111">
        <v>20860</v>
      </c>
      <c r="P111" t="s">
        <v>514</v>
      </c>
      <c r="Q111" t="s">
        <v>2689</v>
      </c>
      <c r="R111">
        <v>-38.5028874169244</v>
      </c>
      <c r="S111">
        <v>96314</v>
      </c>
      <c r="T111">
        <v>235837</v>
      </c>
      <c r="U111" t="s">
        <v>4486</v>
      </c>
      <c r="V111">
        <v>54.92</v>
      </c>
      <c r="W111" t="s">
        <v>6706</v>
      </c>
      <c r="X111" t="s">
        <v>8853</v>
      </c>
      <c r="Y111">
        <v>151235</v>
      </c>
      <c r="Z111">
        <v>11073</v>
      </c>
      <c r="AB111">
        <v>2.99</v>
      </c>
    </row>
    <row r="112" spans="1:28">
      <c r="A112" s="2">
        <f>HYPERLINK("https://finance.naver.com/item/coinfo.nhn?code=094280", "A094280")</f>
        <v>0</v>
      </c>
      <c r="B112">
        <f>HYPERLINK("http://comp.fnguide.com/SVO2/ASP/SVD_Consensus.asp?pGB=1&amp;gicode=A094280&amp;cID=&amp;MenuYn=Y&amp;ReportGB=&amp;NewMenuID=108&amp;stkGb=701", "효성ITX")</f>
        <v>0</v>
      </c>
      <c r="C112">
        <v>0</v>
      </c>
      <c r="D112">
        <v>21400</v>
      </c>
      <c r="E112">
        <v>1.3</v>
      </c>
      <c r="F112">
        <v>19.16</v>
      </c>
      <c r="G112">
        <v>10685</v>
      </c>
      <c r="H112">
        <v>7079</v>
      </c>
      <c r="I112">
        <v>6052</v>
      </c>
      <c r="J112">
        <v>50.07</v>
      </c>
      <c r="K112">
        <v>66.92</v>
      </c>
      <c r="L112">
        <v>71.72</v>
      </c>
      <c r="M112">
        <v>18.18</v>
      </c>
      <c r="N112" t="b">
        <v>1</v>
      </c>
      <c r="O112">
        <v>871</v>
      </c>
      <c r="P112" t="s">
        <v>1609</v>
      </c>
      <c r="Q112" t="s">
        <v>3544</v>
      </c>
      <c r="R112">
        <v>14.70581054244531</v>
      </c>
      <c r="S112">
        <v>2473</v>
      </c>
      <c r="T112">
        <v>22801</v>
      </c>
      <c r="U112" t="s">
        <v>5580</v>
      </c>
      <c r="V112">
        <v>68.02</v>
      </c>
      <c r="W112" t="s">
        <v>7780</v>
      </c>
      <c r="X112" t="s">
        <v>9735</v>
      </c>
      <c r="Y112">
        <v>3882</v>
      </c>
      <c r="Z112">
        <v>130</v>
      </c>
      <c r="AA112">
        <v>519835</v>
      </c>
      <c r="AB112">
        <v>2.99</v>
      </c>
    </row>
    <row r="113" spans="1:28">
      <c r="A113" s="2">
        <f>HYPERLINK("https://finance.naver.com/item/coinfo.nhn?code=215000", "A215000")</f>
        <v>0</v>
      </c>
      <c r="B113">
        <f>HYPERLINK("http://comp.fnguide.com/SVO2/ASP/SVD_Consensus.asp?pGB=1&amp;gicode=A215000&amp;cID=&amp;MenuYn=Y&amp;ReportGB=&amp;NewMenuID=108&amp;stkGb=701", "골프존")</f>
        <v>0</v>
      </c>
      <c r="C113">
        <v>0</v>
      </c>
      <c r="D113">
        <v>69700</v>
      </c>
      <c r="E113">
        <v>-2.74</v>
      </c>
      <c r="F113">
        <v>26.67</v>
      </c>
      <c r="G113">
        <v>64731</v>
      </c>
      <c r="H113">
        <v>44996</v>
      </c>
      <c r="I113">
        <v>39373</v>
      </c>
      <c r="J113">
        <v>7.13</v>
      </c>
      <c r="K113">
        <v>35.44</v>
      </c>
      <c r="L113">
        <v>43.51</v>
      </c>
      <c r="M113">
        <v>16.18</v>
      </c>
      <c r="N113" t="b">
        <v>1</v>
      </c>
      <c r="O113">
        <v>2584</v>
      </c>
      <c r="P113" t="s">
        <v>2099</v>
      </c>
      <c r="Q113" t="s">
        <v>3881</v>
      </c>
      <c r="R113">
        <v>-9.72785324313945</v>
      </c>
      <c r="S113">
        <v>4374</v>
      </c>
      <c r="T113">
        <v>23582</v>
      </c>
      <c r="U113" t="s">
        <v>6073</v>
      </c>
      <c r="V113">
        <v>53.51</v>
      </c>
      <c r="W113" t="s">
        <v>8259</v>
      </c>
      <c r="X113" t="s">
        <v>10101</v>
      </c>
      <c r="Y113">
        <v>2470</v>
      </c>
      <c r="Z113">
        <v>323</v>
      </c>
      <c r="AA113">
        <v>2945</v>
      </c>
      <c r="AB113">
        <v>2.98</v>
      </c>
    </row>
    <row r="114" spans="1:28">
      <c r="A114" s="2">
        <f>HYPERLINK("https://finance.naver.com/item/coinfo.nhn?code=010400", "A010400")</f>
        <v>0</v>
      </c>
      <c r="B114">
        <f>HYPERLINK("http://comp.fnguide.com/SVO2/ASP/SVD_Consensus.asp?pGB=1&amp;gicode=A010400&amp;cID=&amp;MenuYn=Y&amp;ReportGB=&amp;NewMenuID=108&amp;stkGb=701", "우진아이엔에스")</f>
        <v>0</v>
      </c>
      <c r="C114">
        <v>3</v>
      </c>
      <c r="D114">
        <v>7670</v>
      </c>
      <c r="E114">
        <v>-0.67</v>
      </c>
      <c r="F114">
        <v>30.13</v>
      </c>
      <c r="G114">
        <v>20330</v>
      </c>
      <c r="H114">
        <v>17602</v>
      </c>
      <c r="I114">
        <v>16825</v>
      </c>
      <c r="J114">
        <v>-165.06</v>
      </c>
      <c r="K114">
        <v>-129.49</v>
      </c>
      <c r="L114">
        <v>-119.36</v>
      </c>
      <c r="M114">
        <v>10.26</v>
      </c>
      <c r="N114" t="b">
        <v>0</v>
      </c>
      <c r="O114">
        <v>279</v>
      </c>
      <c r="P114" t="s">
        <v>177</v>
      </c>
      <c r="Q114" t="s">
        <v>2383</v>
      </c>
      <c r="R114">
        <v>-45.24075703543134</v>
      </c>
      <c r="S114">
        <v>585</v>
      </c>
      <c r="T114">
        <v>27848</v>
      </c>
      <c r="U114" t="s">
        <v>4149</v>
      </c>
      <c r="V114">
        <v>53.21</v>
      </c>
      <c r="W114" t="s">
        <v>6369</v>
      </c>
      <c r="X114" t="s">
        <v>8544</v>
      </c>
      <c r="Y114">
        <v>1073</v>
      </c>
      <c r="Z114">
        <v>9</v>
      </c>
      <c r="AA114">
        <v>845526</v>
      </c>
      <c r="AB114">
        <v>2.98</v>
      </c>
    </row>
    <row r="115" spans="1:28">
      <c r="A115" s="2">
        <f>HYPERLINK("https://finance.naver.com/item/coinfo.nhn?code=084690", "A084690")</f>
        <v>0</v>
      </c>
      <c r="B115">
        <f>HYPERLINK("http://comp.fnguide.com/SVO2/ASP/SVD_Consensus.asp?pGB=1&amp;gicode=A084690&amp;cID=&amp;MenuYn=Y&amp;ReportGB=&amp;NewMenuID=108&amp;stkGb=701", "대상홀딩스")</f>
        <v>0</v>
      </c>
      <c r="C115">
        <v>3</v>
      </c>
      <c r="D115">
        <v>9800</v>
      </c>
      <c r="E115">
        <v>0.07000000000000001</v>
      </c>
      <c r="F115">
        <v>3.46</v>
      </c>
      <c r="G115">
        <v>18002</v>
      </c>
      <c r="H115">
        <v>16859</v>
      </c>
      <c r="I115">
        <v>16533</v>
      </c>
      <c r="J115">
        <v>-83.69</v>
      </c>
      <c r="K115">
        <v>-72.03</v>
      </c>
      <c r="L115">
        <v>-68.7</v>
      </c>
      <c r="M115">
        <v>8.91</v>
      </c>
      <c r="N115" t="b">
        <v>1</v>
      </c>
      <c r="O115">
        <v>1946</v>
      </c>
      <c r="P115" t="s">
        <v>642</v>
      </c>
      <c r="Q115" t="s">
        <v>2812</v>
      </c>
      <c r="R115">
        <v>46.14119594697726</v>
      </c>
      <c r="S115">
        <v>3549</v>
      </c>
      <c r="T115">
        <v>204773</v>
      </c>
      <c r="U115" t="s">
        <v>4614</v>
      </c>
      <c r="V115">
        <v>67.3</v>
      </c>
      <c r="W115" t="s">
        <v>6834</v>
      </c>
      <c r="X115" t="s">
        <v>8976</v>
      </c>
      <c r="Y115">
        <v>35525</v>
      </c>
      <c r="Z115">
        <v>1555</v>
      </c>
      <c r="AB115">
        <v>2.97</v>
      </c>
    </row>
    <row r="116" spans="1:28">
      <c r="A116" s="2">
        <f>HYPERLINK("https://finance.naver.com/item/coinfo.nhn?code=090150", "A090150")</f>
        <v>0</v>
      </c>
      <c r="B116">
        <f>HYPERLINK("http://comp.fnguide.com/SVO2/ASP/SVD_Consensus.asp?pGB=1&amp;gicode=A090150&amp;cID=&amp;MenuYn=Y&amp;ReportGB=&amp;NewMenuID=108&amp;stkGb=701", "광진윈텍")</f>
        <v>0</v>
      </c>
      <c r="C116">
        <v>0</v>
      </c>
      <c r="D116">
        <v>5090</v>
      </c>
      <c r="E116">
        <v>0.35</v>
      </c>
      <c r="F116">
        <v>16.1</v>
      </c>
      <c r="G116">
        <v>1535</v>
      </c>
      <c r="H116">
        <v>3386</v>
      </c>
      <c r="I116">
        <v>3913</v>
      </c>
      <c r="J116">
        <v>69.84999999999999</v>
      </c>
      <c r="K116">
        <v>33.48</v>
      </c>
      <c r="L116">
        <v>23.12</v>
      </c>
      <c r="M116">
        <v>2.65</v>
      </c>
      <c r="N116" t="b">
        <v>1</v>
      </c>
      <c r="O116">
        <v>210</v>
      </c>
      <c r="P116" t="s">
        <v>2096</v>
      </c>
      <c r="Q116" t="s">
        <v>3879</v>
      </c>
      <c r="R116">
        <v>45.92998321112765</v>
      </c>
      <c r="S116">
        <v>492</v>
      </c>
      <c r="T116">
        <v>1824783</v>
      </c>
      <c r="U116" t="s">
        <v>6070</v>
      </c>
      <c r="V116">
        <v>55.67</v>
      </c>
      <c r="W116" t="s">
        <v>8256</v>
      </c>
      <c r="X116" t="s">
        <v>10099</v>
      </c>
      <c r="Y116">
        <v>954</v>
      </c>
      <c r="Z116">
        <v>37</v>
      </c>
      <c r="AA116">
        <v>623465</v>
      </c>
      <c r="AB116">
        <v>2.96</v>
      </c>
    </row>
    <row r="117" spans="1:28">
      <c r="A117" s="2">
        <f>HYPERLINK("https://finance.naver.com/item/coinfo.nhn?code=004450", "A004450")</f>
        <v>0</v>
      </c>
      <c r="B117">
        <f>HYPERLINK("http://comp.fnguide.com/SVO2/ASP/SVD_Consensus.asp?pGB=1&amp;gicode=A004450&amp;cID=&amp;MenuYn=Y&amp;ReportGB=&amp;NewMenuID=108&amp;stkGb=701", "삼화왕관")</f>
        <v>0</v>
      </c>
      <c r="C117">
        <v>3</v>
      </c>
      <c r="D117">
        <v>39000</v>
      </c>
      <c r="E117">
        <v>-3.17</v>
      </c>
      <c r="F117">
        <v>11.75</v>
      </c>
      <c r="G117">
        <v>63954</v>
      </c>
      <c r="H117">
        <v>73343</v>
      </c>
      <c r="I117">
        <v>76018</v>
      </c>
      <c r="J117">
        <v>-63.98</v>
      </c>
      <c r="K117">
        <v>-88.06</v>
      </c>
      <c r="L117">
        <v>-94.92</v>
      </c>
      <c r="M117">
        <v>6.41</v>
      </c>
      <c r="N117" t="b">
        <v>1</v>
      </c>
      <c r="O117">
        <v>3876</v>
      </c>
      <c r="P117" t="s">
        <v>716</v>
      </c>
      <c r="Q117" t="s">
        <v>2880</v>
      </c>
      <c r="R117">
        <v>-3.702600425322655</v>
      </c>
      <c r="S117">
        <v>840</v>
      </c>
      <c r="T117">
        <v>2522</v>
      </c>
      <c r="U117" t="s">
        <v>4688</v>
      </c>
      <c r="V117">
        <v>51.34</v>
      </c>
      <c r="W117" t="s">
        <v>6908</v>
      </c>
      <c r="X117" t="s">
        <v>9041</v>
      </c>
      <c r="Y117">
        <v>1160</v>
      </c>
      <c r="Z117">
        <v>91</v>
      </c>
      <c r="AA117">
        <v>331062</v>
      </c>
      <c r="AB117">
        <v>2.96</v>
      </c>
    </row>
    <row r="118" spans="1:28">
      <c r="A118" s="2">
        <f>HYPERLINK("https://finance.naver.com/item/coinfo.nhn?code=105630", "A105630")</f>
        <v>0</v>
      </c>
      <c r="B118">
        <f>HYPERLINK("http://comp.fnguide.com/SVO2/ASP/SVD_Consensus.asp?pGB=1&amp;gicode=A105630&amp;cID=&amp;MenuYn=Y&amp;ReportGB=&amp;NewMenuID=108&amp;stkGb=701", "한세실업")</f>
        <v>0</v>
      </c>
      <c r="C118">
        <v>0</v>
      </c>
      <c r="D118">
        <v>16600</v>
      </c>
      <c r="G118">
        <v>1980</v>
      </c>
      <c r="H118">
        <v>6881</v>
      </c>
      <c r="I118">
        <v>8278</v>
      </c>
      <c r="J118">
        <v>88.06999999999999</v>
      </c>
      <c r="K118">
        <v>58.55</v>
      </c>
      <c r="L118">
        <v>50.13</v>
      </c>
      <c r="M118">
        <v>1.56</v>
      </c>
      <c r="N118" t="b">
        <v>0</v>
      </c>
      <c r="O118">
        <v>-6</v>
      </c>
      <c r="P118" t="s">
        <v>1492</v>
      </c>
      <c r="Q118" t="s">
        <v>3452</v>
      </c>
      <c r="R118">
        <v>-19.66359574725211</v>
      </c>
      <c r="S118">
        <v>6640</v>
      </c>
      <c r="T118">
        <v>176044</v>
      </c>
      <c r="U118" t="s">
        <v>5463</v>
      </c>
      <c r="V118">
        <v>56.66</v>
      </c>
      <c r="W118" t="s">
        <v>7665</v>
      </c>
      <c r="X118" t="s">
        <v>9634</v>
      </c>
      <c r="Y118">
        <v>19224</v>
      </c>
      <c r="Z118">
        <v>590</v>
      </c>
      <c r="AA118">
        <v>760530</v>
      </c>
      <c r="AB118">
        <v>2.89</v>
      </c>
    </row>
    <row r="119" spans="1:28">
      <c r="A119" s="2">
        <f>HYPERLINK("https://finance.naver.com/item/coinfo.nhn?code=264900", "A264900")</f>
        <v>0</v>
      </c>
      <c r="B119">
        <f>HYPERLINK("http://comp.fnguide.com/SVO2/ASP/SVD_Consensus.asp?pGB=1&amp;gicode=A264900&amp;cID=&amp;MenuYn=Y&amp;ReportGB=&amp;NewMenuID=108&amp;stkGb=701", "크라운제과")</f>
        <v>0</v>
      </c>
      <c r="C119">
        <v>3</v>
      </c>
      <c r="D119">
        <v>8790</v>
      </c>
      <c r="E119">
        <v>0</v>
      </c>
      <c r="F119">
        <v>6.1</v>
      </c>
      <c r="G119">
        <v>15826</v>
      </c>
      <c r="H119">
        <v>13417</v>
      </c>
      <c r="I119">
        <v>12731</v>
      </c>
      <c r="J119">
        <v>-80.04000000000001</v>
      </c>
      <c r="K119">
        <v>-52.64</v>
      </c>
      <c r="L119">
        <v>-44.84</v>
      </c>
      <c r="M119">
        <v>10.67</v>
      </c>
      <c r="N119" t="b">
        <v>1</v>
      </c>
      <c r="O119">
        <v>1424</v>
      </c>
      <c r="P119" t="s">
        <v>187</v>
      </c>
      <c r="Q119" t="s">
        <v>2393</v>
      </c>
      <c r="R119">
        <v>0</v>
      </c>
      <c r="S119">
        <v>1101</v>
      </c>
      <c r="T119">
        <v>7504</v>
      </c>
      <c r="U119" t="s">
        <v>4159</v>
      </c>
      <c r="V119">
        <v>61.68</v>
      </c>
      <c r="W119" t="s">
        <v>6379</v>
      </c>
      <c r="X119" t="s">
        <v>8554</v>
      </c>
      <c r="Y119">
        <v>3866</v>
      </c>
      <c r="Z119">
        <v>265</v>
      </c>
      <c r="AA119">
        <v>507681</v>
      </c>
      <c r="AB119">
        <v>2.88</v>
      </c>
    </row>
    <row r="120" spans="1:28">
      <c r="A120" s="2">
        <f>HYPERLINK("https://finance.naver.com/item/coinfo.nhn?code=018880", "A018880")</f>
        <v>0</v>
      </c>
      <c r="B120">
        <f>HYPERLINK("http://comp.fnguide.com/SVO2/ASP/SVD_Consensus.asp?pGB=1&amp;gicode=A018880&amp;cID=&amp;MenuYn=Y&amp;ReportGB=&amp;NewMenuID=108&amp;stkGb=701", "한온시스템")</f>
        <v>0</v>
      </c>
      <c r="C120">
        <v>0</v>
      </c>
      <c r="D120">
        <v>15750</v>
      </c>
      <c r="E120">
        <v>-0.62</v>
      </c>
      <c r="F120">
        <v>18.69</v>
      </c>
      <c r="G120">
        <v>7623</v>
      </c>
      <c r="H120">
        <v>5539</v>
      </c>
      <c r="I120">
        <v>4945</v>
      </c>
      <c r="J120">
        <v>51.6</v>
      </c>
      <c r="K120">
        <v>64.83</v>
      </c>
      <c r="L120">
        <v>68.59999999999999</v>
      </c>
      <c r="M120">
        <v>14.63</v>
      </c>
      <c r="N120" t="b">
        <v>1</v>
      </c>
      <c r="O120">
        <v>597</v>
      </c>
      <c r="P120" t="s">
        <v>1556</v>
      </c>
      <c r="Q120" t="s">
        <v>3508</v>
      </c>
      <c r="R120">
        <v>-30.1943365495648</v>
      </c>
      <c r="S120">
        <v>84074</v>
      </c>
      <c r="T120">
        <v>2453853</v>
      </c>
      <c r="U120" t="s">
        <v>5527</v>
      </c>
      <c r="V120">
        <v>69.98999999999999</v>
      </c>
      <c r="W120" t="s">
        <v>7729</v>
      </c>
      <c r="X120" t="s">
        <v>9690</v>
      </c>
      <c r="Y120">
        <v>71542</v>
      </c>
      <c r="Z120">
        <v>4838</v>
      </c>
      <c r="AA120">
        <v>131570</v>
      </c>
      <c r="AB120">
        <v>2.87</v>
      </c>
    </row>
    <row r="121" spans="1:28">
      <c r="A121" s="2">
        <f>HYPERLINK("https://finance.naver.com/item/coinfo.nhn?code=014440", "A014440")</f>
        <v>0</v>
      </c>
      <c r="B121">
        <f>HYPERLINK("http://comp.fnguide.com/SVO2/ASP/SVD_Consensus.asp?pGB=1&amp;gicode=A014440&amp;cID=&amp;MenuYn=Y&amp;ReportGB=&amp;NewMenuID=108&amp;stkGb=701", "영보화학")</f>
        <v>0</v>
      </c>
      <c r="C121">
        <v>3</v>
      </c>
      <c r="D121">
        <v>3880</v>
      </c>
      <c r="E121">
        <v>-0.41</v>
      </c>
      <c r="F121">
        <v>13.61</v>
      </c>
      <c r="G121">
        <v>6550</v>
      </c>
      <c r="H121">
        <v>7098</v>
      </c>
      <c r="I121">
        <v>7254</v>
      </c>
      <c r="J121">
        <v>-68.81999999999999</v>
      </c>
      <c r="K121">
        <v>-82.93000000000001</v>
      </c>
      <c r="L121">
        <v>-86.95</v>
      </c>
      <c r="M121">
        <v>7</v>
      </c>
      <c r="N121" t="b">
        <v>1</v>
      </c>
      <c r="O121">
        <v>256</v>
      </c>
      <c r="P121" t="s">
        <v>160</v>
      </c>
      <c r="Q121" t="s">
        <v>2367</v>
      </c>
      <c r="R121">
        <v>-33.30434875183242</v>
      </c>
      <c r="S121">
        <v>776</v>
      </c>
      <c r="T121">
        <v>105456</v>
      </c>
      <c r="U121" t="s">
        <v>4132</v>
      </c>
      <c r="V121">
        <v>51</v>
      </c>
      <c r="W121" t="s">
        <v>6352</v>
      </c>
      <c r="X121" t="s">
        <v>8527</v>
      </c>
      <c r="Y121">
        <v>1312</v>
      </c>
      <c r="Z121">
        <v>84</v>
      </c>
      <c r="AA121">
        <v>500000</v>
      </c>
      <c r="AB121">
        <v>2.87</v>
      </c>
    </row>
    <row r="122" spans="1:28">
      <c r="A122" s="2">
        <f>HYPERLINK("https://finance.naver.com/item/coinfo.nhn?code=192400", "A192400")</f>
        <v>0</v>
      </c>
      <c r="B122">
        <f>HYPERLINK("http://comp.fnguide.com/SVO2/ASP/SVD_Consensus.asp?pGB=1&amp;gicode=A192400&amp;cID=&amp;MenuYn=Y&amp;ReportGB=&amp;NewMenuID=108&amp;stkGb=701", "쿠쿠홀딩스")</f>
        <v>0</v>
      </c>
      <c r="C122">
        <v>3</v>
      </c>
      <c r="D122">
        <v>96100</v>
      </c>
      <c r="E122">
        <v>0.62</v>
      </c>
      <c r="F122">
        <v>9.4</v>
      </c>
      <c r="G122">
        <v>383231</v>
      </c>
      <c r="H122">
        <v>218095</v>
      </c>
      <c r="I122">
        <v>171040</v>
      </c>
      <c r="J122">
        <v>-298.78</v>
      </c>
      <c r="K122">
        <v>-126.95</v>
      </c>
      <c r="L122">
        <v>-77.98</v>
      </c>
      <c r="M122">
        <v>28.18</v>
      </c>
      <c r="N122" t="b">
        <v>0</v>
      </c>
      <c r="O122">
        <v>11168</v>
      </c>
      <c r="P122" t="s">
        <v>186</v>
      </c>
      <c r="Q122" t="s">
        <v>2392</v>
      </c>
      <c r="R122">
        <v>15.13255589098257</v>
      </c>
      <c r="S122">
        <v>6835</v>
      </c>
      <c r="T122">
        <v>5436</v>
      </c>
      <c r="U122" t="s">
        <v>4158</v>
      </c>
      <c r="V122">
        <v>69.06999999999999</v>
      </c>
      <c r="W122" t="s">
        <v>6378</v>
      </c>
      <c r="X122" t="s">
        <v>8553</v>
      </c>
      <c r="Y122">
        <v>5283</v>
      </c>
      <c r="Z122">
        <v>745</v>
      </c>
      <c r="AA122">
        <v>896760</v>
      </c>
      <c r="AB122">
        <v>2.86</v>
      </c>
    </row>
    <row r="123" spans="1:28">
      <c r="A123" s="2">
        <f>HYPERLINK("https://finance.naver.com/item/coinfo.nhn?code=006890", "A006890")</f>
        <v>0</v>
      </c>
      <c r="B123">
        <f>HYPERLINK("http://comp.fnguide.com/SVO2/ASP/SVD_Consensus.asp?pGB=1&amp;gicode=A006890&amp;cID=&amp;MenuYn=Y&amp;ReportGB=&amp;NewMenuID=108&amp;stkGb=701", "태경케미컬")</f>
        <v>0</v>
      </c>
      <c r="C123">
        <v>0</v>
      </c>
      <c r="D123">
        <v>15500</v>
      </c>
      <c r="E123">
        <v>0.27</v>
      </c>
      <c r="F123">
        <v>6.2</v>
      </c>
      <c r="G123">
        <v>7296</v>
      </c>
      <c r="H123">
        <v>9194</v>
      </c>
      <c r="I123">
        <v>9735</v>
      </c>
      <c r="J123">
        <v>52.93</v>
      </c>
      <c r="K123">
        <v>40.68</v>
      </c>
      <c r="L123">
        <v>37.19</v>
      </c>
      <c r="M123">
        <v>5.56</v>
      </c>
      <c r="N123" t="b">
        <v>1</v>
      </c>
      <c r="O123">
        <v>847</v>
      </c>
      <c r="P123" t="s">
        <v>1473</v>
      </c>
      <c r="Q123" t="s">
        <v>3438</v>
      </c>
      <c r="R123">
        <v>22.61333902711955</v>
      </c>
      <c r="S123">
        <v>1798</v>
      </c>
      <c r="T123">
        <v>2334186</v>
      </c>
      <c r="U123" t="s">
        <v>5444</v>
      </c>
      <c r="V123">
        <v>58.76</v>
      </c>
      <c r="W123" t="s">
        <v>7646</v>
      </c>
      <c r="X123" t="s">
        <v>9618</v>
      </c>
      <c r="Y123">
        <v>418</v>
      </c>
      <c r="Z123">
        <v>12</v>
      </c>
      <c r="AA123">
        <v>266101</v>
      </c>
      <c r="AB123">
        <v>2.86</v>
      </c>
    </row>
    <row r="124" spans="1:28">
      <c r="A124" s="2">
        <f>HYPERLINK("https://finance.naver.com/item/coinfo.nhn?code=058650", "A058650")</f>
        <v>0</v>
      </c>
      <c r="B124">
        <f>HYPERLINK("http://comp.fnguide.com/SVO2/ASP/SVD_Consensus.asp?pGB=1&amp;gicode=A058650&amp;cID=&amp;MenuYn=Y&amp;ReportGB=&amp;NewMenuID=108&amp;stkGb=701", "세아홀딩스")</f>
        <v>0</v>
      </c>
      <c r="C124">
        <v>3</v>
      </c>
      <c r="D124">
        <v>81300</v>
      </c>
      <c r="E124">
        <v>-0.25</v>
      </c>
      <c r="F124">
        <v>10.2</v>
      </c>
      <c r="G124">
        <v>161917</v>
      </c>
      <c r="H124">
        <v>361328</v>
      </c>
      <c r="I124">
        <v>418150</v>
      </c>
      <c r="J124">
        <v>-99.16</v>
      </c>
      <c r="K124">
        <v>-344.44</v>
      </c>
      <c r="L124">
        <v>-414.33</v>
      </c>
      <c r="M124">
        <v>2.61</v>
      </c>
      <c r="N124" t="b">
        <v>1</v>
      </c>
      <c r="O124">
        <v>7705</v>
      </c>
      <c r="P124" t="s">
        <v>735</v>
      </c>
      <c r="Q124" t="s">
        <v>2896</v>
      </c>
      <c r="R124">
        <v>-40.16289786589792</v>
      </c>
      <c r="S124">
        <v>3252</v>
      </c>
      <c r="T124">
        <v>989</v>
      </c>
      <c r="U124" t="s">
        <v>4707</v>
      </c>
      <c r="V124">
        <v>89.98</v>
      </c>
      <c r="W124" t="s">
        <v>6927</v>
      </c>
      <c r="X124" t="s">
        <v>9060</v>
      </c>
      <c r="Y124">
        <v>49307</v>
      </c>
      <c r="Z124">
        <v>895</v>
      </c>
      <c r="AA124">
        <v>19495</v>
      </c>
      <c r="AB124">
        <v>2.86</v>
      </c>
    </row>
    <row r="125" spans="1:28">
      <c r="A125" s="2">
        <f>HYPERLINK("https://finance.naver.com/item/coinfo.nhn?code=002020", "A002020")</f>
        <v>0</v>
      </c>
      <c r="B125">
        <f>HYPERLINK("http://comp.fnguide.com/SVO2/ASP/SVD_Consensus.asp?pGB=1&amp;gicode=A002020&amp;cID=&amp;MenuYn=Y&amp;ReportGB=&amp;NewMenuID=108&amp;stkGb=701", "코오롱")</f>
        <v>0</v>
      </c>
      <c r="C125">
        <v>3</v>
      </c>
      <c r="D125">
        <v>21800</v>
      </c>
      <c r="G125">
        <v>12665</v>
      </c>
      <c r="H125">
        <v>33640</v>
      </c>
      <c r="I125">
        <v>39617</v>
      </c>
      <c r="J125">
        <v>41.9</v>
      </c>
      <c r="K125">
        <v>-54.31</v>
      </c>
      <c r="L125">
        <v>-81.73</v>
      </c>
      <c r="M125">
        <v>2.12</v>
      </c>
      <c r="N125" t="b">
        <v>0</v>
      </c>
      <c r="O125">
        <v>-1244</v>
      </c>
      <c r="P125" t="s">
        <v>197</v>
      </c>
      <c r="Q125" t="s">
        <v>2403</v>
      </c>
      <c r="R125">
        <v>1168.044155382611</v>
      </c>
      <c r="S125">
        <v>2753</v>
      </c>
      <c r="T125">
        <v>64630</v>
      </c>
      <c r="U125" t="s">
        <v>4169</v>
      </c>
      <c r="V125">
        <v>52.63</v>
      </c>
      <c r="W125" t="s">
        <v>6389</v>
      </c>
      <c r="X125" t="s">
        <v>8563</v>
      </c>
      <c r="Y125">
        <v>44060</v>
      </c>
      <c r="Z125">
        <v>1245</v>
      </c>
      <c r="AB125">
        <v>2.85</v>
      </c>
    </row>
    <row r="126" spans="1:28">
      <c r="A126" s="2">
        <f>HYPERLINK("https://finance.naver.com/item/coinfo.nhn?code=001560", "A001560")</f>
        <v>0</v>
      </c>
      <c r="B126">
        <f>HYPERLINK("http://comp.fnguide.com/SVO2/ASP/SVD_Consensus.asp?pGB=1&amp;gicode=A001560&amp;cID=&amp;MenuYn=Y&amp;ReportGB=&amp;NewMenuID=108&amp;stkGb=701", "제일연마")</f>
        <v>0</v>
      </c>
      <c r="C126">
        <v>3</v>
      </c>
      <c r="D126">
        <v>6940</v>
      </c>
      <c r="E126">
        <v>1.87</v>
      </c>
      <c r="F126">
        <v>12.16</v>
      </c>
      <c r="G126">
        <v>10038</v>
      </c>
      <c r="H126">
        <v>10736</v>
      </c>
      <c r="I126">
        <v>10935</v>
      </c>
      <c r="J126">
        <v>-44.64</v>
      </c>
      <c r="K126">
        <v>-54.7</v>
      </c>
      <c r="L126">
        <v>-57.57</v>
      </c>
      <c r="M126">
        <v>7.14</v>
      </c>
      <c r="N126" t="b">
        <v>1</v>
      </c>
      <c r="O126">
        <v>640</v>
      </c>
      <c r="P126" t="s">
        <v>211</v>
      </c>
      <c r="Q126" t="s">
        <v>2417</v>
      </c>
      <c r="R126">
        <v>6.490502556762667</v>
      </c>
      <c r="S126">
        <v>694</v>
      </c>
      <c r="T126">
        <v>4017</v>
      </c>
      <c r="U126" t="s">
        <v>4183</v>
      </c>
      <c r="V126">
        <v>50.92</v>
      </c>
      <c r="W126" t="s">
        <v>6403</v>
      </c>
      <c r="X126" t="s">
        <v>8576</v>
      </c>
      <c r="Y126">
        <v>811</v>
      </c>
      <c r="Z126">
        <v>69</v>
      </c>
      <c r="AA126">
        <v>2500000</v>
      </c>
      <c r="AB126">
        <v>2.83</v>
      </c>
    </row>
    <row r="127" spans="1:28">
      <c r="A127" s="2">
        <f>HYPERLINK("https://finance.naver.com/item/coinfo.nhn?code=037070", "A037070")</f>
        <v>0</v>
      </c>
      <c r="B127">
        <f>HYPERLINK("http://comp.fnguide.com/SVO2/ASP/SVD_Consensus.asp?pGB=1&amp;gicode=A037070&amp;cID=&amp;MenuYn=Y&amp;ReportGB=&amp;NewMenuID=108&amp;stkGb=701", "파세코")</f>
        <v>0</v>
      </c>
      <c r="C127">
        <v>0</v>
      </c>
      <c r="D127">
        <v>13050</v>
      </c>
      <c r="E127">
        <v>0.72</v>
      </c>
      <c r="F127">
        <v>14.42</v>
      </c>
      <c r="G127">
        <v>6210</v>
      </c>
      <c r="H127">
        <v>5736</v>
      </c>
      <c r="I127">
        <v>5601</v>
      </c>
      <c r="J127">
        <v>52.42</v>
      </c>
      <c r="K127">
        <v>56.04</v>
      </c>
      <c r="L127">
        <v>57.08</v>
      </c>
      <c r="M127">
        <v>9.130000000000001</v>
      </c>
      <c r="N127" t="b">
        <v>1</v>
      </c>
      <c r="O127">
        <v>617</v>
      </c>
      <c r="P127" t="s">
        <v>1221</v>
      </c>
      <c r="Q127" t="s">
        <v>3280</v>
      </c>
      <c r="R127">
        <v>20.06446312649983</v>
      </c>
      <c r="S127">
        <v>1827</v>
      </c>
      <c r="T127">
        <v>142762</v>
      </c>
      <c r="U127" t="s">
        <v>5192</v>
      </c>
      <c r="V127">
        <v>71.64</v>
      </c>
      <c r="W127" t="s">
        <v>7401</v>
      </c>
      <c r="X127" t="s">
        <v>9443</v>
      </c>
      <c r="Y127">
        <v>1804</v>
      </c>
      <c r="Z127">
        <v>108</v>
      </c>
      <c r="AA127">
        <v>19394</v>
      </c>
      <c r="AB127">
        <v>2.81</v>
      </c>
    </row>
    <row r="128" spans="1:28">
      <c r="A128" s="2">
        <f>HYPERLINK("https://finance.naver.com/item/coinfo.nhn?code=027360", "A027360")</f>
        <v>0</v>
      </c>
      <c r="B128">
        <f>HYPERLINK("http://comp.fnguide.com/SVO2/ASP/SVD_Consensus.asp?pGB=1&amp;gicode=A027360&amp;cID=&amp;MenuYn=Y&amp;ReportGB=&amp;NewMenuID=108&amp;stkGb=701", "아주IB투자")</f>
        <v>0</v>
      </c>
      <c r="C128">
        <v>0</v>
      </c>
      <c r="D128">
        <v>4145</v>
      </c>
      <c r="E128">
        <v>0</v>
      </c>
      <c r="F128">
        <v>9.07</v>
      </c>
      <c r="G128">
        <v>1417</v>
      </c>
      <c r="H128">
        <v>1440</v>
      </c>
      <c r="I128">
        <v>1446</v>
      </c>
      <c r="J128">
        <v>65.8</v>
      </c>
      <c r="K128">
        <v>65.26000000000001</v>
      </c>
      <c r="L128">
        <v>65.11</v>
      </c>
      <c r="M128">
        <v>7.77</v>
      </c>
      <c r="N128" t="b">
        <v>1</v>
      </c>
      <c r="O128">
        <v>137</v>
      </c>
      <c r="P128" t="s">
        <v>911</v>
      </c>
      <c r="Q128" t="s">
        <v>3063</v>
      </c>
      <c r="R128">
        <v>4.908161389585275</v>
      </c>
      <c r="S128">
        <v>4933</v>
      </c>
      <c r="T128">
        <v>12514626</v>
      </c>
      <c r="U128" t="s">
        <v>4883</v>
      </c>
      <c r="V128">
        <v>67.03</v>
      </c>
      <c r="W128" t="s">
        <v>7101</v>
      </c>
      <c r="X128" t="s">
        <v>9225</v>
      </c>
      <c r="Y128">
        <v>332</v>
      </c>
      <c r="Z128">
        <v>217</v>
      </c>
      <c r="AA128">
        <v>3810777</v>
      </c>
      <c r="AB128">
        <v>2.81</v>
      </c>
    </row>
    <row r="129" spans="1:28">
      <c r="A129" s="2">
        <f>HYPERLINK("https://finance.naver.com/item/coinfo.nhn?code=290120", "A290120")</f>
        <v>0</v>
      </c>
      <c r="B129">
        <f>HYPERLINK("http://comp.fnguide.com/SVO2/ASP/SVD_Consensus.asp?pGB=1&amp;gicode=A290120&amp;cID=&amp;MenuYn=Y&amp;ReportGB=&amp;NewMenuID=108&amp;stkGb=701", "대유에이피")</f>
        <v>0</v>
      </c>
      <c r="C129">
        <v>1</v>
      </c>
      <c r="D129">
        <v>7660</v>
      </c>
      <c r="E129">
        <v>0</v>
      </c>
      <c r="F129">
        <v>9.73</v>
      </c>
      <c r="G129">
        <v>12044</v>
      </c>
      <c r="H129">
        <v>7385</v>
      </c>
      <c r="I129">
        <v>6058</v>
      </c>
      <c r="J129">
        <v>-57.23</v>
      </c>
      <c r="K129">
        <v>3.59</v>
      </c>
      <c r="L129">
        <v>20.91</v>
      </c>
      <c r="M129">
        <v>22.37</v>
      </c>
      <c r="N129" t="b">
        <v>1</v>
      </c>
      <c r="O129">
        <v>733</v>
      </c>
      <c r="P129" t="s">
        <v>809</v>
      </c>
      <c r="Q129" t="s">
        <v>2968</v>
      </c>
      <c r="R129">
        <v>0</v>
      </c>
      <c r="S129">
        <v>834</v>
      </c>
      <c r="T129">
        <v>229620</v>
      </c>
      <c r="U129" t="s">
        <v>4781</v>
      </c>
      <c r="V129">
        <v>73.5</v>
      </c>
      <c r="W129" t="s">
        <v>7001</v>
      </c>
      <c r="X129" t="s">
        <v>9130</v>
      </c>
      <c r="Y129">
        <v>1575</v>
      </c>
      <c r="Z129">
        <v>101</v>
      </c>
      <c r="AB129">
        <v>2.81</v>
      </c>
    </row>
    <row r="130" spans="1:28">
      <c r="A130" s="2">
        <f>HYPERLINK("https://finance.naver.com/item/coinfo.nhn?code=053260", "A053260")</f>
        <v>0</v>
      </c>
      <c r="B130">
        <f>HYPERLINK("http://comp.fnguide.com/SVO2/ASP/SVD_Consensus.asp?pGB=1&amp;gicode=A053260&amp;cID=&amp;MenuYn=Y&amp;ReportGB=&amp;NewMenuID=108&amp;stkGb=701", "금강철강")</f>
        <v>0</v>
      </c>
      <c r="C130">
        <v>3</v>
      </c>
      <c r="D130">
        <v>3350</v>
      </c>
      <c r="E130">
        <v>-1.46</v>
      </c>
      <c r="F130">
        <v>15.12</v>
      </c>
      <c r="G130">
        <v>3495</v>
      </c>
      <c r="H130">
        <v>5493</v>
      </c>
      <c r="I130">
        <v>6062</v>
      </c>
      <c r="J130">
        <v>-4.34</v>
      </c>
      <c r="K130">
        <v>-63.96</v>
      </c>
      <c r="L130">
        <v>-80.95</v>
      </c>
      <c r="M130">
        <v>4.08</v>
      </c>
      <c r="N130" t="b">
        <v>1</v>
      </c>
      <c r="O130">
        <v>235</v>
      </c>
      <c r="P130" t="s">
        <v>395</v>
      </c>
      <c r="Q130" t="s">
        <v>2579</v>
      </c>
      <c r="R130">
        <v>-10.35500862053461</v>
      </c>
      <c r="S130">
        <v>627</v>
      </c>
      <c r="T130">
        <v>37080</v>
      </c>
      <c r="U130" t="s">
        <v>4367</v>
      </c>
      <c r="V130">
        <v>53.31</v>
      </c>
      <c r="W130" t="s">
        <v>6587</v>
      </c>
      <c r="X130" t="s">
        <v>8741</v>
      </c>
      <c r="Y130">
        <v>1713</v>
      </c>
      <c r="Z130">
        <v>22</v>
      </c>
      <c r="AA130">
        <v>2517004</v>
      </c>
      <c r="AB130">
        <v>2.81</v>
      </c>
    </row>
    <row r="131" spans="1:28">
      <c r="A131" s="2">
        <f>HYPERLINK("https://finance.naver.com/item/coinfo.nhn?code=023530", "A023530")</f>
        <v>0</v>
      </c>
      <c r="B131">
        <f>HYPERLINK("http://comp.fnguide.com/SVO2/ASP/SVD_Consensus.asp?pGB=1&amp;gicode=A023530&amp;cID=&amp;MenuYn=Y&amp;ReportGB=&amp;NewMenuID=108&amp;stkGb=701", "롯데쇼핑")</f>
        <v>0</v>
      </c>
      <c r="C131">
        <v>3</v>
      </c>
      <c r="D131">
        <v>103000</v>
      </c>
      <c r="E131">
        <v>0</v>
      </c>
      <c r="G131">
        <v>0</v>
      </c>
      <c r="H131">
        <v>225570</v>
      </c>
      <c r="I131">
        <v>289846</v>
      </c>
      <c r="J131">
        <v>100</v>
      </c>
      <c r="K131">
        <v>-119</v>
      </c>
      <c r="L131">
        <v>-181.4</v>
      </c>
      <c r="M131">
        <v>0</v>
      </c>
      <c r="N131" t="b">
        <v>0</v>
      </c>
      <c r="O131">
        <v>-31685</v>
      </c>
      <c r="P131" t="s">
        <v>483</v>
      </c>
      <c r="Q131" t="s">
        <v>2276</v>
      </c>
      <c r="R131">
        <v>0</v>
      </c>
      <c r="S131">
        <v>29137</v>
      </c>
      <c r="T131">
        <v>207153</v>
      </c>
      <c r="U131" t="s">
        <v>4455</v>
      </c>
      <c r="V131">
        <v>61.89</v>
      </c>
      <c r="W131" t="s">
        <v>6675</v>
      </c>
      <c r="X131" t="s">
        <v>968</v>
      </c>
      <c r="Y131">
        <v>176220</v>
      </c>
      <c r="Z131">
        <v>4279</v>
      </c>
      <c r="AA131">
        <v>18115</v>
      </c>
      <c r="AB131">
        <v>2.8</v>
      </c>
    </row>
    <row r="132" spans="1:28">
      <c r="A132" s="2">
        <f>HYPERLINK("https://finance.naver.com/item/coinfo.nhn?code=015350", "A015350")</f>
        <v>0</v>
      </c>
      <c r="B132">
        <f>HYPERLINK("http://comp.fnguide.com/SVO2/ASP/SVD_Consensus.asp?pGB=1&amp;gicode=A015350&amp;cID=&amp;MenuYn=Y&amp;ReportGB=&amp;NewMenuID=108&amp;stkGb=701", "부산가스")</f>
        <v>0</v>
      </c>
      <c r="C132">
        <v>3</v>
      </c>
      <c r="D132">
        <v>50400</v>
      </c>
      <c r="E132">
        <v>0.19</v>
      </c>
      <c r="F132">
        <v>8.029999999999999</v>
      </c>
      <c r="G132">
        <v>65885</v>
      </c>
      <c r="H132">
        <v>66533</v>
      </c>
      <c r="I132">
        <v>66718</v>
      </c>
      <c r="J132">
        <v>-30.72</v>
      </c>
      <c r="K132">
        <v>-32.01</v>
      </c>
      <c r="L132">
        <v>-32.38</v>
      </c>
      <c r="M132">
        <v>7.84</v>
      </c>
      <c r="N132" t="b">
        <v>0</v>
      </c>
      <c r="O132">
        <v>4448</v>
      </c>
      <c r="P132" t="s">
        <v>525</v>
      </c>
      <c r="Q132" t="s">
        <v>2700</v>
      </c>
      <c r="R132">
        <v>41.90247215944498</v>
      </c>
      <c r="S132">
        <v>5544</v>
      </c>
      <c r="T132">
        <v>3070</v>
      </c>
      <c r="U132" t="s">
        <v>4497</v>
      </c>
      <c r="V132">
        <v>67.31999999999999</v>
      </c>
      <c r="W132" t="s">
        <v>6717</v>
      </c>
      <c r="X132" t="s">
        <v>8864</v>
      </c>
      <c r="Y132">
        <v>9728</v>
      </c>
      <c r="Z132">
        <v>435</v>
      </c>
      <c r="AA132">
        <v>999000</v>
      </c>
      <c r="AB132">
        <v>2.8</v>
      </c>
    </row>
    <row r="133" spans="1:28">
      <c r="A133" s="2">
        <f>HYPERLINK("https://finance.naver.com/item/coinfo.nhn?code=019680", "A019680")</f>
        <v>0</v>
      </c>
      <c r="B133">
        <f>HYPERLINK("http://comp.fnguide.com/SVO2/ASP/SVD_Consensus.asp?pGB=1&amp;gicode=A019680&amp;cID=&amp;MenuYn=Y&amp;ReportGB=&amp;NewMenuID=108&amp;stkGb=701", "대교")</f>
        <v>0</v>
      </c>
      <c r="C133">
        <v>3</v>
      </c>
      <c r="D133">
        <v>3660</v>
      </c>
      <c r="E133">
        <v>-1.74</v>
      </c>
      <c r="F133">
        <v>37.64</v>
      </c>
      <c r="G133">
        <v>3770</v>
      </c>
      <c r="H133">
        <v>6798</v>
      </c>
      <c r="I133">
        <v>7661</v>
      </c>
      <c r="J133">
        <v>-2.99</v>
      </c>
      <c r="K133">
        <v>-85.75</v>
      </c>
      <c r="L133">
        <v>-109.33</v>
      </c>
      <c r="M133">
        <v>3.41</v>
      </c>
      <c r="N133" t="b">
        <v>0</v>
      </c>
      <c r="O133">
        <v>162</v>
      </c>
      <c r="P133" t="s">
        <v>580</v>
      </c>
      <c r="Q133" t="s">
        <v>2753</v>
      </c>
      <c r="R133">
        <v>-21.64106572821695</v>
      </c>
      <c r="S133">
        <v>3100</v>
      </c>
      <c r="T133">
        <v>202086</v>
      </c>
      <c r="U133" t="s">
        <v>4552</v>
      </c>
      <c r="V133">
        <v>66.61</v>
      </c>
      <c r="W133" t="s">
        <v>6772</v>
      </c>
      <c r="X133" t="s">
        <v>8917</v>
      </c>
      <c r="Y133">
        <v>7619</v>
      </c>
      <c r="Z133">
        <v>294</v>
      </c>
      <c r="AA133">
        <v>15580084</v>
      </c>
      <c r="AB133">
        <v>2.79</v>
      </c>
    </row>
    <row r="134" spans="1:28">
      <c r="A134" s="2">
        <f>HYPERLINK("https://finance.naver.com/item/coinfo.nhn?code=075180", "A075180")</f>
        <v>0</v>
      </c>
      <c r="B134">
        <f>HYPERLINK("http://comp.fnguide.com/SVO2/ASP/SVD_Consensus.asp?pGB=1&amp;gicode=A075180&amp;cID=&amp;MenuYn=Y&amp;ReportGB=&amp;NewMenuID=108&amp;stkGb=701", "새론오토모티브")</f>
        <v>0</v>
      </c>
      <c r="C134">
        <v>3</v>
      </c>
      <c r="D134">
        <v>5500</v>
      </c>
      <c r="G134">
        <v>2974</v>
      </c>
      <c r="H134">
        <v>7853</v>
      </c>
      <c r="I134">
        <v>9243</v>
      </c>
      <c r="J134">
        <v>45.93</v>
      </c>
      <c r="K134">
        <v>-42.78</v>
      </c>
      <c r="L134">
        <v>-68.05</v>
      </c>
      <c r="M134">
        <v>2.14</v>
      </c>
      <c r="N134" t="b">
        <v>0</v>
      </c>
      <c r="O134">
        <v>-433</v>
      </c>
      <c r="P134" t="s">
        <v>706</v>
      </c>
      <c r="Q134" t="s">
        <v>2870</v>
      </c>
      <c r="R134">
        <v>-33.20284413366619</v>
      </c>
      <c r="S134">
        <v>1056</v>
      </c>
      <c r="T134">
        <v>32252</v>
      </c>
      <c r="U134" t="s">
        <v>4678</v>
      </c>
      <c r="V134">
        <v>65.01000000000001</v>
      </c>
      <c r="W134" t="s">
        <v>6898</v>
      </c>
      <c r="X134" t="s">
        <v>9032</v>
      </c>
      <c r="Y134">
        <v>1527</v>
      </c>
      <c r="Z134">
        <v>-38</v>
      </c>
      <c r="AB134">
        <v>2.77</v>
      </c>
    </row>
    <row r="135" spans="1:28">
      <c r="A135" s="2">
        <f>HYPERLINK("https://finance.naver.com/item/coinfo.nhn?code=005680", "A005680")</f>
        <v>0</v>
      </c>
      <c r="B135">
        <f>HYPERLINK("http://comp.fnguide.com/SVO2/ASP/SVD_Consensus.asp?pGB=1&amp;gicode=A005680&amp;cID=&amp;MenuYn=Y&amp;ReportGB=&amp;NewMenuID=108&amp;stkGb=701", "삼영전자")</f>
        <v>0</v>
      </c>
      <c r="C135">
        <v>3</v>
      </c>
      <c r="D135">
        <v>9950</v>
      </c>
      <c r="E135">
        <v>-4.84</v>
      </c>
      <c r="F135">
        <v>21.09</v>
      </c>
      <c r="G135">
        <v>7050</v>
      </c>
      <c r="H135">
        <v>17366</v>
      </c>
      <c r="I135">
        <v>20306</v>
      </c>
      <c r="J135">
        <v>29.14</v>
      </c>
      <c r="K135">
        <v>-74.54000000000001</v>
      </c>
      <c r="L135">
        <v>-104.08</v>
      </c>
      <c r="M135">
        <v>2.32</v>
      </c>
      <c r="N135" t="b">
        <v>1</v>
      </c>
      <c r="O135">
        <v>428</v>
      </c>
      <c r="P135" t="s">
        <v>687</v>
      </c>
      <c r="Q135" t="s">
        <v>2851</v>
      </c>
      <c r="R135">
        <v>-4.355934483624912</v>
      </c>
      <c r="S135">
        <v>1990</v>
      </c>
      <c r="T135">
        <v>466276</v>
      </c>
      <c r="U135" t="s">
        <v>4659</v>
      </c>
      <c r="V135">
        <v>53.59</v>
      </c>
      <c r="W135" t="s">
        <v>6879</v>
      </c>
      <c r="X135" t="s">
        <v>9015</v>
      </c>
      <c r="Y135">
        <v>2010</v>
      </c>
      <c r="Z135">
        <v>46</v>
      </c>
      <c r="AB135">
        <v>2.77</v>
      </c>
    </row>
    <row r="136" spans="1:28">
      <c r="A136" s="2">
        <f>HYPERLINK("https://finance.naver.com/item/coinfo.nhn?code=005850", "A005850")</f>
        <v>0</v>
      </c>
      <c r="B136">
        <f>HYPERLINK("http://comp.fnguide.com/SVO2/ASP/SVD_Consensus.asp?pGB=1&amp;gicode=A005850&amp;cID=&amp;MenuYn=Y&amp;ReportGB=&amp;NewMenuID=108&amp;stkGb=701", "에스엘")</f>
        <v>0</v>
      </c>
      <c r="C136">
        <v>3</v>
      </c>
      <c r="D136">
        <v>16600</v>
      </c>
      <c r="E136">
        <v>-0.4</v>
      </c>
      <c r="F136">
        <v>7.53</v>
      </c>
      <c r="G136">
        <v>22684</v>
      </c>
      <c r="H136">
        <v>26803</v>
      </c>
      <c r="I136">
        <v>27977</v>
      </c>
      <c r="J136">
        <v>-36.65</v>
      </c>
      <c r="K136">
        <v>-61.47</v>
      </c>
      <c r="L136">
        <v>-68.54000000000001</v>
      </c>
      <c r="M136">
        <v>6.12</v>
      </c>
      <c r="N136" t="b">
        <v>1</v>
      </c>
      <c r="O136">
        <v>1921</v>
      </c>
      <c r="P136" t="s">
        <v>461</v>
      </c>
      <c r="Q136" t="s">
        <v>2638</v>
      </c>
      <c r="R136">
        <v>-18.80806586830319</v>
      </c>
      <c r="S136">
        <v>8002</v>
      </c>
      <c r="T136">
        <v>262443</v>
      </c>
      <c r="U136" t="s">
        <v>4433</v>
      </c>
      <c r="V136">
        <v>63.48</v>
      </c>
      <c r="W136" t="s">
        <v>6653</v>
      </c>
      <c r="X136" t="s">
        <v>8802</v>
      </c>
      <c r="Y136">
        <v>22622</v>
      </c>
      <c r="Z136">
        <v>436</v>
      </c>
      <c r="AA136">
        <v>2147815</v>
      </c>
      <c r="AB136">
        <v>2.76</v>
      </c>
    </row>
    <row r="137" spans="1:28">
      <c r="A137" s="2">
        <f>HYPERLINK("https://finance.naver.com/item/coinfo.nhn?code=004590", "A004590")</f>
        <v>0</v>
      </c>
      <c r="B137">
        <f>HYPERLINK("http://comp.fnguide.com/SVO2/ASP/SVD_Consensus.asp?pGB=1&amp;gicode=A004590&amp;cID=&amp;MenuYn=Y&amp;ReportGB=&amp;NewMenuID=108&amp;stkGb=701", "한국가구")</f>
        <v>0</v>
      </c>
      <c r="C137">
        <v>3</v>
      </c>
      <c r="D137">
        <v>4460</v>
      </c>
      <c r="E137">
        <v>3.24</v>
      </c>
      <c r="F137">
        <v>10.33</v>
      </c>
      <c r="G137">
        <v>5725</v>
      </c>
      <c r="H137">
        <v>6443</v>
      </c>
      <c r="I137">
        <v>6648</v>
      </c>
      <c r="J137">
        <v>-28.36</v>
      </c>
      <c r="K137">
        <v>-44.46</v>
      </c>
      <c r="L137">
        <v>-49.05</v>
      </c>
      <c r="M137">
        <v>6.59</v>
      </c>
      <c r="N137" t="b">
        <v>1</v>
      </c>
      <c r="O137">
        <v>405</v>
      </c>
      <c r="P137" t="s">
        <v>476</v>
      </c>
      <c r="Q137" t="s">
        <v>2653</v>
      </c>
      <c r="R137">
        <v>3.188540844111198</v>
      </c>
      <c r="S137">
        <v>669</v>
      </c>
      <c r="T137">
        <v>36141</v>
      </c>
      <c r="U137" t="s">
        <v>4448</v>
      </c>
      <c r="V137">
        <v>66.68000000000001</v>
      </c>
      <c r="W137" t="s">
        <v>6668</v>
      </c>
      <c r="X137" t="s">
        <v>8816</v>
      </c>
      <c r="Y137">
        <v>657</v>
      </c>
      <c r="Z137">
        <v>87</v>
      </c>
      <c r="AB137">
        <v>2.75</v>
      </c>
    </row>
    <row r="138" spans="1:28">
      <c r="A138" s="2">
        <f>HYPERLINK("https://finance.naver.com/item/coinfo.nhn?code=006140", "A006140")</f>
        <v>0</v>
      </c>
      <c r="B138">
        <f>HYPERLINK("http://comp.fnguide.com/SVO2/ASP/SVD_Consensus.asp?pGB=1&amp;gicode=A006140&amp;cID=&amp;MenuYn=Y&amp;ReportGB=&amp;NewMenuID=108&amp;stkGb=701", "피제이전자")</f>
        <v>0</v>
      </c>
      <c r="C138">
        <v>3</v>
      </c>
      <c r="D138">
        <v>6530</v>
      </c>
      <c r="E138">
        <v>-1.88</v>
      </c>
      <c r="F138">
        <v>15.81</v>
      </c>
      <c r="G138">
        <v>5026</v>
      </c>
      <c r="H138">
        <v>6302</v>
      </c>
      <c r="I138">
        <v>6666</v>
      </c>
      <c r="J138">
        <v>23.04</v>
      </c>
      <c r="K138">
        <v>3.49</v>
      </c>
      <c r="L138">
        <v>-2.08</v>
      </c>
      <c r="M138">
        <v>5.6</v>
      </c>
      <c r="N138" t="b">
        <v>1</v>
      </c>
      <c r="O138">
        <v>326</v>
      </c>
      <c r="P138" t="s">
        <v>522</v>
      </c>
      <c r="Q138" t="s">
        <v>2697</v>
      </c>
      <c r="R138">
        <v>-8.420835635019852</v>
      </c>
      <c r="S138">
        <v>980</v>
      </c>
      <c r="T138">
        <v>59090</v>
      </c>
      <c r="U138" t="s">
        <v>4494</v>
      </c>
      <c r="V138">
        <v>70.18000000000001</v>
      </c>
      <c r="W138" t="s">
        <v>6714</v>
      </c>
      <c r="X138" t="s">
        <v>8861</v>
      </c>
      <c r="Y138">
        <v>993</v>
      </c>
      <c r="Z138">
        <v>59</v>
      </c>
      <c r="AA138">
        <v>36000</v>
      </c>
      <c r="AB138">
        <v>2.72</v>
      </c>
    </row>
    <row r="139" spans="1:28">
      <c r="A139" s="2">
        <f>HYPERLINK("https://finance.naver.com/item/coinfo.nhn?code=036120", "A036120")</f>
        <v>0</v>
      </c>
      <c r="B139">
        <f>HYPERLINK("http://comp.fnguide.com/SVO2/ASP/SVD_Consensus.asp?pGB=1&amp;gicode=A036120&amp;cID=&amp;MenuYn=Y&amp;ReportGB=&amp;NewMenuID=108&amp;stkGb=701", "SCI평가정보")</f>
        <v>0</v>
      </c>
      <c r="C139">
        <v>0</v>
      </c>
      <c r="D139">
        <v>4800</v>
      </c>
      <c r="E139">
        <v>0.19</v>
      </c>
      <c r="F139">
        <v>18.46</v>
      </c>
      <c r="G139">
        <v>1263</v>
      </c>
      <c r="H139">
        <v>881</v>
      </c>
      <c r="I139">
        <v>772</v>
      </c>
      <c r="J139">
        <v>73.68000000000001</v>
      </c>
      <c r="K139">
        <v>81.64</v>
      </c>
      <c r="L139">
        <v>83.91</v>
      </c>
      <c r="M139">
        <v>16.05</v>
      </c>
      <c r="N139" t="b">
        <v>0</v>
      </c>
      <c r="O139">
        <v>138</v>
      </c>
      <c r="P139" t="s">
        <v>1560</v>
      </c>
      <c r="Q139" t="s">
        <v>3511</v>
      </c>
      <c r="R139">
        <v>98.6153317344862</v>
      </c>
      <c r="S139">
        <v>1704</v>
      </c>
      <c r="T139">
        <v>556578</v>
      </c>
      <c r="U139" t="s">
        <v>5531</v>
      </c>
      <c r="V139">
        <v>55.97</v>
      </c>
      <c r="W139" t="s">
        <v>7733</v>
      </c>
      <c r="X139" t="s">
        <v>9694</v>
      </c>
      <c r="Y139">
        <v>526</v>
      </c>
      <c r="Z139">
        <v>69</v>
      </c>
      <c r="AA139">
        <v>911970</v>
      </c>
      <c r="AB139">
        <v>2.72</v>
      </c>
    </row>
    <row r="140" spans="1:28">
      <c r="A140" s="2">
        <f>HYPERLINK("https://finance.naver.com/item/coinfo.nhn?code=088790", "A088790")</f>
        <v>0</v>
      </c>
      <c r="B140">
        <f>HYPERLINK("http://comp.fnguide.com/SVO2/ASP/SVD_Consensus.asp?pGB=1&amp;gicode=A088790&amp;cID=&amp;MenuYn=Y&amp;ReportGB=&amp;NewMenuID=108&amp;stkGb=701", "진도")</f>
        <v>0</v>
      </c>
      <c r="C140">
        <v>3</v>
      </c>
      <c r="D140">
        <v>4715</v>
      </c>
      <c r="G140">
        <v>3429</v>
      </c>
      <c r="H140">
        <v>6200</v>
      </c>
      <c r="I140">
        <v>6990</v>
      </c>
      <c r="J140">
        <v>27.28</v>
      </c>
      <c r="K140">
        <v>-31.5</v>
      </c>
      <c r="L140">
        <v>-48.25</v>
      </c>
      <c r="M140">
        <v>3.4</v>
      </c>
      <c r="N140" t="b">
        <v>0</v>
      </c>
      <c r="O140">
        <v>-219</v>
      </c>
      <c r="P140" t="s">
        <v>226</v>
      </c>
      <c r="Q140" t="s">
        <v>2431</v>
      </c>
      <c r="R140">
        <v>14.45301757224287</v>
      </c>
      <c r="S140">
        <v>587</v>
      </c>
      <c r="T140">
        <v>1407717</v>
      </c>
      <c r="U140" t="s">
        <v>4198</v>
      </c>
      <c r="V140">
        <v>50.85</v>
      </c>
      <c r="W140" t="s">
        <v>6418</v>
      </c>
      <c r="X140" t="s">
        <v>8590</v>
      </c>
      <c r="Y140">
        <v>779</v>
      </c>
      <c r="Z140">
        <v>-29</v>
      </c>
      <c r="AB140">
        <v>2.7</v>
      </c>
    </row>
    <row r="141" spans="1:28">
      <c r="A141" s="2">
        <f>HYPERLINK("https://finance.naver.com/item/coinfo.nhn?code=035890", "A035890")</f>
        <v>0</v>
      </c>
      <c r="B141">
        <f>HYPERLINK("http://comp.fnguide.com/SVO2/ASP/SVD_Consensus.asp?pGB=1&amp;gicode=A035890&amp;cID=&amp;MenuYn=Y&amp;ReportGB=&amp;NewMenuID=108&amp;stkGb=701", "서희건설")</f>
        <v>0</v>
      </c>
      <c r="C141">
        <v>3</v>
      </c>
      <c r="D141">
        <v>1385</v>
      </c>
      <c r="E141">
        <v>0.06</v>
      </c>
      <c r="F141">
        <v>3.81</v>
      </c>
      <c r="G141">
        <v>3435</v>
      </c>
      <c r="H141">
        <v>2403</v>
      </c>
      <c r="I141">
        <v>2109</v>
      </c>
      <c r="J141">
        <v>-148.03</v>
      </c>
      <c r="K141">
        <v>-73.5</v>
      </c>
      <c r="L141">
        <v>-52.27</v>
      </c>
      <c r="M141">
        <v>15.94</v>
      </c>
      <c r="N141" t="b">
        <v>1</v>
      </c>
      <c r="O141">
        <v>294</v>
      </c>
      <c r="P141" t="s">
        <v>262</v>
      </c>
      <c r="Q141" t="s">
        <v>2464</v>
      </c>
      <c r="R141">
        <v>62.87711233297934</v>
      </c>
      <c r="S141">
        <v>2868</v>
      </c>
      <c r="T141">
        <v>2291135</v>
      </c>
      <c r="U141" t="s">
        <v>4234</v>
      </c>
      <c r="V141">
        <v>50.19</v>
      </c>
      <c r="W141" t="s">
        <v>6454</v>
      </c>
      <c r="X141" t="s">
        <v>8623</v>
      </c>
      <c r="Y141">
        <v>12430</v>
      </c>
      <c r="Z141">
        <v>1182</v>
      </c>
      <c r="AA141">
        <v>9575559</v>
      </c>
      <c r="AB141">
        <v>2.68</v>
      </c>
    </row>
    <row r="142" spans="1:28">
      <c r="A142" s="2">
        <f>HYPERLINK("https://finance.naver.com/item/coinfo.nhn?code=053280", "A053280")</f>
        <v>0</v>
      </c>
      <c r="B142">
        <f>HYPERLINK("http://comp.fnguide.com/SVO2/ASP/SVD_Consensus.asp?pGB=1&amp;gicode=A053280&amp;cID=&amp;MenuYn=Y&amp;ReportGB=&amp;NewMenuID=108&amp;stkGb=701", "예스24")</f>
        <v>0</v>
      </c>
      <c r="C142">
        <v>0</v>
      </c>
      <c r="D142">
        <v>18400</v>
      </c>
      <c r="E142">
        <v>-383.75</v>
      </c>
      <c r="F142">
        <v>24329.85</v>
      </c>
      <c r="G142">
        <v>2</v>
      </c>
      <c r="H142">
        <v>2233</v>
      </c>
      <c r="I142">
        <v>2869</v>
      </c>
      <c r="J142">
        <v>99.98999999999999</v>
      </c>
      <c r="K142">
        <v>87.86</v>
      </c>
      <c r="L142">
        <v>84.41</v>
      </c>
      <c r="M142">
        <v>0.01</v>
      </c>
      <c r="N142" t="b">
        <v>0</v>
      </c>
      <c r="O142">
        <v>0</v>
      </c>
      <c r="P142" t="s">
        <v>965</v>
      </c>
      <c r="Q142" t="s">
        <v>3104</v>
      </c>
      <c r="R142">
        <v>-63.4</v>
      </c>
      <c r="S142">
        <v>3165</v>
      </c>
      <c r="T142">
        <v>1518763</v>
      </c>
      <c r="U142" t="s">
        <v>4937</v>
      </c>
      <c r="V142">
        <v>55.5</v>
      </c>
      <c r="W142" t="s">
        <v>7155</v>
      </c>
      <c r="X142" t="s">
        <v>9264</v>
      </c>
      <c r="Y142">
        <v>5330</v>
      </c>
      <c r="Z142">
        <v>63</v>
      </c>
      <c r="AB142">
        <v>2.68</v>
      </c>
    </row>
    <row r="143" spans="1:28">
      <c r="A143" s="2">
        <f>HYPERLINK("https://finance.naver.com/item/coinfo.nhn?code=004250", "A004250")</f>
        <v>0</v>
      </c>
      <c r="B143">
        <f>HYPERLINK("http://comp.fnguide.com/SVO2/ASP/SVD_Consensus.asp?pGB=1&amp;gicode=A004250&amp;cID=&amp;MenuYn=Y&amp;ReportGB=&amp;NewMenuID=108&amp;stkGb=701", "NPC")</f>
        <v>0</v>
      </c>
      <c r="C143">
        <v>3</v>
      </c>
      <c r="D143">
        <v>3250</v>
      </c>
      <c r="E143">
        <v>-1.1</v>
      </c>
      <c r="F143">
        <v>10.92</v>
      </c>
      <c r="G143">
        <v>4819</v>
      </c>
      <c r="H143">
        <v>6559</v>
      </c>
      <c r="I143">
        <v>7055</v>
      </c>
      <c r="J143">
        <v>-48.28</v>
      </c>
      <c r="K143">
        <v>-101.82</v>
      </c>
      <c r="L143">
        <v>-117.08</v>
      </c>
      <c r="M143">
        <v>4.98</v>
      </c>
      <c r="N143" t="b">
        <v>1</v>
      </c>
      <c r="O143">
        <v>343</v>
      </c>
      <c r="P143" t="s">
        <v>497</v>
      </c>
      <c r="Q143" t="s">
        <v>2673</v>
      </c>
      <c r="R143">
        <v>-9.944664381420488</v>
      </c>
      <c r="S143">
        <v>1193</v>
      </c>
      <c r="T143">
        <v>97710</v>
      </c>
      <c r="U143" t="s">
        <v>4469</v>
      </c>
      <c r="V143">
        <v>60.05</v>
      </c>
      <c r="W143" t="s">
        <v>6689</v>
      </c>
      <c r="X143" t="s">
        <v>8836</v>
      </c>
      <c r="Y143">
        <v>4545</v>
      </c>
      <c r="Z143">
        <v>198</v>
      </c>
      <c r="AB143">
        <v>2.67</v>
      </c>
    </row>
    <row r="144" spans="1:28">
      <c r="A144" s="2">
        <f>HYPERLINK("https://finance.naver.com/item/coinfo.nhn?code=039020", "A039020")</f>
        <v>0</v>
      </c>
      <c r="B144">
        <f>HYPERLINK("http://comp.fnguide.com/SVO2/ASP/SVD_Consensus.asp?pGB=1&amp;gicode=A039020&amp;cID=&amp;MenuYn=Y&amp;ReportGB=&amp;NewMenuID=108&amp;stkGb=701", "이건홀딩스")</f>
        <v>0</v>
      </c>
      <c r="C144">
        <v>3</v>
      </c>
      <c r="D144">
        <v>2585</v>
      </c>
      <c r="E144">
        <v>-1.15</v>
      </c>
      <c r="F144">
        <v>14.74</v>
      </c>
      <c r="G144">
        <v>5256</v>
      </c>
      <c r="H144">
        <v>6253</v>
      </c>
      <c r="I144">
        <v>6538</v>
      </c>
      <c r="J144">
        <v>-103.32</v>
      </c>
      <c r="K144">
        <v>-141.91</v>
      </c>
      <c r="L144">
        <v>-152.91</v>
      </c>
      <c r="M144">
        <v>6.06</v>
      </c>
      <c r="N144" t="b">
        <v>1</v>
      </c>
      <c r="O144">
        <v>179</v>
      </c>
      <c r="P144" t="s">
        <v>370</v>
      </c>
      <c r="Q144" t="s">
        <v>2557</v>
      </c>
      <c r="R144">
        <v>-12.79730968797443</v>
      </c>
      <c r="S144">
        <v>584</v>
      </c>
      <c r="T144">
        <v>133308</v>
      </c>
      <c r="U144" t="s">
        <v>4342</v>
      </c>
      <c r="V144">
        <v>53.15</v>
      </c>
      <c r="W144" t="s">
        <v>6562</v>
      </c>
      <c r="X144" t="s">
        <v>8716</v>
      </c>
      <c r="Y144">
        <v>4703</v>
      </c>
      <c r="Z144">
        <v>166</v>
      </c>
      <c r="AA144">
        <v>925488</v>
      </c>
      <c r="AB144">
        <v>2.66</v>
      </c>
    </row>
    <row r="145" spans="1:28">
      <c r="A145" s="2">
        <f>HYPERLINK("https://finance.naver.com/item/coinfo.nhn?code=000140", "A000140")</f>
        <v>0</v>
      </c>
      <c r="B145">
        <f>HYPERLINK("http://comp.fnguide.com/SVO2/ASP/SVD_Consensus.asp?pGB=1&amp;gicode=A000140&amp;cID=&amp;MenuYn=Y&amp;ReportGB=&amp;NewMenuID=108&amp;stkGb=701", "하이트진로홀딩스")</f>
        <v>0</v>
      </c>
      <c r="C145">
        <v>3</v>
      </c>
      <c r="D145">
        <v>15400</v>
      </c>
      <c r="G145">
        <v>0</v>
      </c>
      <c r="H145">
        <v>12250</v>
      </c>
      <c r="I145">
        <v>15741</v>
      </c>
      <c r="J145">
        <v>100</v>
      </c>
      <c r="K145">
        <v>20.45</v>
      </c>
      <c r="L145">
        <v>-2.21</v>
      </c>
      <c r="M145">
        <v>0</v>
      </c>
      <c r="N145" t="b">
        <v>0</v>
      </c>
      <c r="O145">
        <v>-903</v>
      </c>
      <c r="P145" t="s">
        <v>45</v>
      </c>
      <c r="Q145" t="s">
        <v>2263</v>
      </c>
      <c r="R145">
        <v>52.09999999999999</v>
      </c>
      <c r="S145">
        <v>3574</v>
      </c>
      <c r="T145">
        <v>34670</v>
      </c>
      <c r="U145" t="s">
        <v>4017</v>
      </c>
      <c r="V145">
        <v>65.91</v>
      </c>
      <c r="W145" t="s">
        <v>6237</v>
      </c>
      <c r="X145" t="s">
        <v>968</v>
      </c>
      <c r="Y145">
        <v>20263</v>
      </c>
      <c r="Z145">
        <v>1009</v>
      </c>
      <c r="AA145">
        <v>1842180</v>
      </c>
      <c r="AB145">
        <v>2.65</v>
      </c>
    </row>
    <row r="146" spans="1:28">
      <c r="A146" s="2">
        <f>HYPERLINK("https://finance.naver.com/item/coinfo.nhn?code=008870", "A008870")</f>
        <v>0</v>
      </c>
      <c r="B146">
        <f>HYPERLINK("http://comp.fnguide.com/SVO2/ASP/SVD_Consensus.asp?pGB=1&amp;gicode=A008870&amp;cID=&amp;MenuYn=Y&amp;ReportGB=&amp;NewMenuID=108&amp;stkGb=701", "금비")</f>
        <v>0</v>
      </c>
      <c r="C146">
        <v>3</v>
      </c>
      <c r="D146">
        <v>60600</v>
      </c>
      <c r="E146">
        <v>-0.29</v>
      </c>
      <c r="F146">
        <v>9.81</v>
      </c>
      <c r="G146">
        <v>100398</v>
      </c>
      <c r="H146">
        <v>116896</v>
      </c>
      <c r="I146">
        <v>121597</v>
      </c>
      <c r="J146">
        <v>-65.67</v>
      </c>
      <c r="K146">
        <v>-92.90000000000001</v>
      </c>
      <c r="L146">
        <v>-100.66</v>
      </c>
      <c r="M146">
        <v>6.26</v>
      </c>
      <c r="N146" t="b">
        <v>1</v>
      </c>
      <c r="O146">
        <v>6547</v>
      </c>
      <c r="P146" t="s">
        <v>605</v>
      </c>
      <c r="Q146" t="s">
        <v>2777</v>
      </c>
      <c r="R146">
        <v>-34.39707342414943</v>
      </c>
      <c r="S146">
        <v>606</v>
      </c>
      <c r="T146">
        <v>1057</v>
      </c>
      <c r="U146" t="s">
        <v>4577</v>
      </c>
      <c r="V146">
        <v>56.48</v>
      </c>
      <c r="W146" t="s">
        <v>6797</v>
      </c>
      <c r="X146" t="s">
        <v>8940</v>
      </c>
      <c r="Y146">
        <v>2014</v>
      </c>
      <c r="Z146">
        <v>124</v>
      </c>
      <c r="AA146">
        <v>190500</v>
      </c>
      <c r="AB146">
        <v>2.65</v>
      </c>
    </row>
    <row r="147" spans="1:28">
      <c r="A147" s="2">
        <f>HYPERLINK("https://finance.naver.com/item/coinfo.nhn?code=010640", "A010640")</f>
        <v>0</v>
      </c>
      <c r="B147">
        <f>HYPERLINK("http://comp.fnguide.com/SVO2/ASP/SVD_Consensus.asp?pGB=1&amp;gicode=A010640&amp;cID=&amp;MenuYn=Y&amp;ReportGB=&amp;NewMenuID=108&amp;stkGb=701", "진양폴리")</f>
        <v>0</v>
      </c>
      <c r="C147">
        <v>2</v>
      </c>
      <c r="D147">
        <v>3515</v>
      </c>
      <c r="E147">
        <v>-0.17</v>
      </c>
      <c r="F147">
        <v>5.16</v>
      </c>
      <c r="G147">
        <v>6266</v>
      </c>
      <c r="H147">
        <v>4099</v>
      </c>
      <c r="I147">
        <v>3482</v>
      </c>
      <c r="J147">
        <v>-78.27</v>
      </c>
      <c r="K147">
        <v>-16.63</v>
      </c>
      <c r="L147">
        <v>0.9399999999999999</v>
      </c>
      <c r="M147">
        <v>18.77</v>
      </c>
      <c r="N147" t="b">
        <v>1</v>
      </c>
      <c r="O147">
        <v>755</v>
      </c>
      <c r="P147" t="s">
        <v>786</v>
      </c>
      <c r="Q147" t="s">
        <v>2945</v>
      </c>
      <c r="R147">
        <v>-30.48750885169499</v>
      </c>
      <c r="S147">
        <v>352</v>
      </c>
      <c r="T147">
        <v>117441</v>
      </c>
      <c r="U147" t="s">
        <v>4758</v>
      </c>
      <c r="V147">
        <v>50.5</v>
      </c>
      <c r="W147" t="s">
        <v>6978</v>
      </c>
      <c r="X147" t="s">
        <v>9108</v>
      </c>
      <c r="Y147">
        <v>351</v>
      </c>
      <c r="Z147">
        <v>31</v>
      </c>
      <c r="AB147">
        <v>2.56</v>
      </c>
    </row>
    <row r="148" spans="1:28">
      <c r="A148" s="2">
        <f>HYPERLINK("https://finance.naver.com/item/coinfo.nhn?code=023350", "A023350")</f>
        <v>0</v>
      </c>
      <c r="B148">
        <f>HYPERLINK("http://comp.fnguide.com/SVO2/ASP/SVD_Consensus.asp?pGB=1&amp;gicode=A023350&amp;cID=&amp;MenuYn=Y&amp;ReportGB=&amp;NewMenuID=108&amp;stkGb=701", "한국종합기술")</f>
        <v>0</v>
      </c>
      <c r="C148">
        <v>3</v>
      </c>
      <c r="D148">
        <v>4350</v>
      </c>
      <c r="G148">
        <v>0</v>
      </c>
      <c r="H148">
        <v>5515</v>
      </c>
      <c r="I148">
        <v>7087</v>
      </c>
      <c r="J148">
        <v>100</v>
      </c>
      <c r="K148">
        <v>-26.79</v>
      </c>
      <c r="L148">
        <v>-62.91</v>
      </c>
      <c r="M148">
        <v>0</v>
      </c>
      <c r="N148" t="b">
        <v>0</v>
      </c>
      <c r="O148">
        <v>-325</v>
      </c>
      <c r="P148" t="s">
        <v>56</v>
      </c>
      <c r="Q148" t="s">
        <v>2274</v>
      </c>
      <c r="R148">
        <v>10.18130512931856</v>
      </c>
      <c r="S148">
        <v>476</v>
      </c>
      <c r="T148">
        <v>220355</v>
      </c>
      <c r="U148" t="s">
        <v>4028</v>
      </c>
      <c r="V148">
        <v>53.06</v>
      </c>
      <c r="W148" t="s">
        <v>6248</v>
      </c>
      <c r="X148" t="s">
        <v>968</v>
      </c>
      <c r="Y148">
        <v>2189</v>
      </c>
      <c r="Z148">
        <v>-21</v>
      </c>
      <c r="AA148">
        <v>546085</v>
      </c>
      <c r="AB148">
        <v>2.55</v>
      </c>
    </row>
    <row r="149" spans="1:28">
      <c r="A149" s="2">
        <f>HYPERLINK("https://finance.naver.com/item/coinfo.nhn?code=072710", "A072710")</f>
        <v>0</v>
      </c>
      <c r="B149">
        <f>HYPERLINK("http://comp.fnguide.com/SVO2/ASP/SVD_Consensus.asp?pGB=1&amp;gicode=A072710&amp;cID=&amp;MenuYn=Y&amp;ReportGB=&amp;NewMenuID=108&amp;stkGb=701", "농심홀딩스")</f>
        <v>0</v>
      </c>
      <c r="C149">
        <v>3</v>
      </c>
      <c r="D149">
        <v>74400</v>
      </c>
      <c r="E149">
        <v>1.08</v>
      </c>
      <c r="F149">
        <v>9.949999999999999</v>
      </c>
      <c r="G149">
        <v>114206</v>
      </c>
      <c r="H149">
        <v>164865</v>
      </c>
      <c r="I149">
        <v>179301</v>
      </c>
      <c r="J149">
        <v>-53.5</v>
      </c>
      <c r="K149">
        <v>-121.59</v>
      </c>
      <c r="L149">
        <v>-141</v>
      </c>
      <c r="M149">
        <v>4.58</v>
      </c>
      <c r="N149" t="b">
        <v>0</v>
      </c>
      <c r="O149">
        <v>7887</v>
      </c>
      <c r="P149" t="s">
        <v>576</v>
      </c>
      <c r="Q149" t="s">
        <v>2749</v>
      </c>
      <c r="R149">
        <v>9.21675350840292</v>
      </c>
      <c r="S149">
        <v>3451</v>
      </c>
      <c r="T149">
        <v>7898</v>
      </c>
      <c r="U149" t="s">
        <v>4548</v>
      </c>
      <c r="V149">
        <v>66.59999999999999</v>
      </c>
      <c r="W149" t="s">
        <v>6768</v>
      </c>
      <c r="X149" t="s">
        <v>8913</v>
      </c>
      <c r="Y149">
        <v>5367</v>
      </c>
      <c r="Z149">
        <v>413</v>
      </c>
      <c r="AB149">
        <v>2.55</v>
      </c>
    </row>
    <row r="150" spans="1:28">
      <c r="A150" s="2">
        <f>HYPERLINK("https://finance.naver.com/item/coinfo.nhn?code=089150", "A089150")</f>
        <v>0</v>
      </c>
      <c r="B150">
        <f>HYPERLINK("http://comp.fnguide.com/SVO2/ASP/SVD_Consensus.asp?pGB=1&amp;gicode=A089150&amp;cID=&amp;MenuYn=Y&amp;ReportGB=&amp;NewMenuID=108&amp;stkGb=701", "케이씨티")</f>
        <v>0</v>
      </c>
      <c r="C150">
        <v>0</v>
      </c>
      <c r="D150">
        <v>5640</v>
      </c>
      <c r="E150">
        <v>8.880000000000001</v>
      </c>
      <c r="F150">
        <v>47.68</v>
      </c>
      <c r="G150">
        <v>815</v>
      </c>
      <c r="H150">
        <v>1618</v>
      </c>
      <c r="I150">
        <v>1847</v>
      </c>
      <c r="J150">
        <v>85.54000000000001</v>
      </c>
      <c r="K150">
        <v>71.31</v>
      </c>
      <c r="L150">
        <v>67.25</v>
      </c>
      <c r="M150">
        <v>3.02</v>
      </c>
      <c r="N150" t="b">
        <v>0</v>
      </c>
      <c r="O150">
        <v>50</v>
      </c>
      <c r="P150" t="s">
        <v>1107</v>
      </c>
      <c r="Q150" t="s">
        <v>3204</v>
      </c>
      <c r="R150">
        <v>5.369162429355456</v>
      </c>
      <c r="S150">
        <v>967</v>
      </c>
      <c r="T150">
        <v>253394</v>
      </c>
      <c r="U150" t="s">
        <v>5078</v>
      </c>
      <c r="V150">
        <v>63.32</v>
      </c>
      <c r="W150" t="s">
        <v>7294</v>
      </c>
      <c r="X150" t="s">
        <v>9362</v>
      </c>
      <c r="Y150">
        <v>201</v>
      </c>
      <c r="Z150">
        <v>13</v>
      </c>
      <c r="AB150">
        <v>2.51</v>
      </c>
    </row>
    <row r="151" spans="1:28">
      <c r="A151" s="2">
        <f>HYPERLINK("https://finance.naver.com/item/coinfo.nhn?code=092780", "A092780")</f>
        <v>0</v>
      </c>
      <c r="B151">
        <f>HYPERLINK("http://comp.fnguide.com/SVO2/ASP/SVD_Consensus.asp?pGB=1&amp;gicode=A092780&amp;cID=&amp;MenuYn=Y&amp;ReportGB=&amp;NewMenuID=108&amp;stkGb=701", "동양피스톤")</f>
        <v>0</v>
      </c>
      <c r="C151">
        <v>3</v>
      </c>
      <c r="D151">
        <v>5600</v>
      </c>
      <c r="E151">
        <v>2.83</v>
      </c>
      <c r="F151">
        <v>6.53</v>
      </c>
      <c r="G151">
        <v>11978</v>
      </c>
      <c r="H151">
        <v>9873</v>
      </c>
      <c r="I151">
        <v>9273</v>
      </c>
      <c r="J151">
        <v>-113.9</v>
      </c>
      <c r="K151">
        <v>-76.3</v>
      </c>
      <c r="L151">
        <v>-65.58</v>
      </c>
      <c r="M151">
        <v>11.27</v>
      </c>
      <c r="N151" t="b">
        <v>1</v>
      </c>
      <c r="O151">
        <v>738</v>
      </c>
      <c r="P151" t="s">
        <v>506</v>
      </c>
      <c r="Q151" t="s">
        <v>2682</v>
      </c>
      <c r="R151">
        <v>2.307316731176723</v>
      </c>
      <c r="S151">
        <v>737</v>
      </c>
      <c r="T151">
        <v>182367</v>
      </c>
      <c r="U151" t="s">
        <v>4478</v>
      </c>
      <c r="V151">
        <v>55.79</v>
      </c>
      <c r="W151" t="s">
        <v>6698</v>
      </c>
      <c r="X151" t="s">
        <v>8845</v>
      </c>
      <c r="Y151">
        <v>3648</v>
      </c>
      <c r="Z151">
        <v>185</v>
      </c>
      <c r="AA151">
        <v>647132</v>
      </c>
      <c r="AB151">
        <v>2.49</v>
      </c>
    </row>
    <row r="152" spans="1:28">
      <c r="A152" s="2">
        <f>HYPERLINK("https://finance.naver.com/item/coinfo.nhn?code=006110", "A006110")</f>
        <v>0</v>
      </c>
      <c r="B152">
        <f>HYPERLINK("http://comp.fnguide.com/SVO2/ASP/SVD_Consensus.asp?pGB=1&amp;gicode=A006110&amp;cID=&amp;MenuYn=Y&amp;ReportGB=&amp;NewMenuID=108&amp;stkGb=701", "삼아알미늄")</f>
        <v>0</v>
      </c>
      <c r="C152">
        <v>0</v>
      </c>
      <c r="D152">
        <v>9020</v>
      </c>
      <c r="E152">
        <v>0.27</v>
      </c>
      <c r="F152">
        <v>9.84</v>
      </c>
      <c r="G152">
        <v>3984</v>
      </c>
      <c r="H152">
        <v>7533</v>
      </c>
      <c r="I152">
        <v>8544</v>
      </c>
      <c r="J152">
        <v>55.84</v>
      </c>
      <c r="K152">
        <v>16.49</v>
      </c>
      <c r="L152">
        <v>5.27</v>
      </c>
      <c r="M152">
        <v>3.21</v>
      </c>
      <c r="N152" t="b">
        <v>1</v>
      </c>
      <c r="O152">
        <v>450</v>
      </c>
      <c r="P152" t="s">
        <v>1842</v>
      </c>
      <c r="Q152" t="s">
        <v>3714</v>
      </c>
      <c r="R152">
        <v>36.97419939361737</v>
      </c>
      <c r="S152">
        <v>992</v>
      </c>
      <c r="T152">
        <v>148567</v>
      </c>
      <c r="U152" t="s">
        <v>5813</v>
      </c>
      <c r="V152">
        <v>54.9</v>
      </c>
      <c r="W152" t="s">
        <v>8011</v>
      </c>
      <c r="X152" t="s">
        <v>9926</v>
      </c>
      <c r="Y152">
        <v>1911</v>
      </c>
      <c r="Z152">
        <v>64</v>
      </c>
      <c r="AB152">
        <v>2.48</v>
      </c>
    </row>
    <row r="153" spans="1:28">
      <c r="A153" s="2">
        <f>HYPERLINK("https://finance.naver.com/item/coinfo.nhn?code=017390", "A017390")</f>
        <v>0</v>
      </c>
      <c r="B153">
        <f>HYPERLINK("http://comp.fnguide.com/SVO2/ASP/SVD_Consensus.asp?pGB=1&amp;gicode=A017390&amp;cID=&amp;MenuYn=Y&amp;ReportGB=&amp;NewMenuID=108&amp;stkGb=701", "서울가스")</f>
        <v>0</v>
      </c>
      <c r="C153">
        <v>3</v>
      </c>
      <c r="D153">
        <v>92000</v>
      </c>
      <c r="E153">
        <v>0.44</v>
      </c>
      <c r="F153">
        <v>12.1</v>
      </c>
      <c r="G153">
        <v>114948</v>
      </c>
      <c r="H153">
        <v>195055</v>
      </c>
      <c r="I153">
        <v>217882</v>
      </c>
      <c r="J153">
        <v>-24.94</v>
      </c>
      <c r="K153">
        <v>-112.02</v>
      </c>
      <c r="L153">
        <v>-136.83</v>
      </c>
      <c r="M153">
        <v>3.69</v>
      </c>
      <c r="N153" t="b">
        <v>0</v>
      </c>
      <c r="O153">
        <v>5836</v>
      </c>
      <c r="P153" t="s">
        <v>707</v>
      </c>
      <c r="Q153" t="s">
        <v>2871</v>
      </c>
      <c r="R153">
        <v>27.6538005519904</v>
      </c>
      <c r="S153">
        <v>4600</v>
      </c>
      <c r="T153">
        <v>2123</v>
      </c>
      <c r="U153" t="s">
        <v>4679</v>
      </c>
      <c r="V153">
        <v>63.61</v>
      </c>
      <c r="W153" t="s">
        <v>6899</v>
      </c>
      <c r="X153" t="s">
        <v>9033</v>
      </c>
      <c r="Y153">
        <v>13610</v>
      </c>
      <c r="Z153">
        <v>105</v>
      </c>
      <c r="AA153">
        <v>1117208</v>
      </c>
      <c r="AB153">
        <v>2.48</v>
      </c>
    </row>
    <row r="154" spans="1:28">
      <c r="A154" s="2">
        <f>HYPERLINK("https://finance.naver.com/item/coinfo.nhn?code=006220", "A006220")</f>
        <v>0</v>
      </c>
      <c r="B154">
        <f>HYPERLINK("http://comp.fnguide.com/SVO2/ASP/SVD_Consensus.asp?pGB=1&amp;gicode=A006220&amp;cID=&amp;MenuYn=Y&amp;ReportGB=&amp;NewMenuID=108&amp;stkGb=701", "제주은행")</f>
        <v>0</v>
      </c>
      <c r="C154">
        <v>3</v>
      </c>
      <c r="D154">
        <v>3425</v>
      </c>
      <c r="E154">
        <v>1.99</v>
      </c>
      <c r="F154">
        <v>4.66</v>
      </c>
      <c r="G154">
        <v>11846</v>
      </c>
      <c r="H154">
        <v>14036</v>
      </c>
      <c r="I154">
        <v>14660</v>
      </c>
      <c r="J154">
        <v>-245.88</v>
      </c>
      <c r="K154">
        <v>-309.81</v>
      </c>
      <c r="L154">
        <v>-328.03</v>
      </c>
      <c r="M154">
        <v>6.09</v>
      </c>
      <c r="N154" t="b">
        <v>0</v>
      </c>
      <c r="O154">
        <v>869</v>
      </c>
      <c r="P154" t="s">
        <v>214</v>
      </c>
      <c r="Q154" t="s">
        <v>2420</v>
      </c>
      <c r="R154">
        <v>2.339831735155351</v>
      </c>
      <c r="S154">
        <v>1100</v>
      </c>
      <c r="T154">
        <v>14070</v>
      </c>
      <c r="U154" t="s">
        <v>4186</v>
      </c>
      <c r="V154">
        <v>75.31</v>
      </c>
      <c r="W154" t="s">
        <v>6406</v>
      </c>
      <c r="X154" t="s">
        <v>8579</v>
      </c>
      <c r="Y154">
        <v>2013</v>
      </c>
      <c r="Z154">
        <v>372</v>
      </c>
      <c r="AB154">
        <v>2.47</v>
      </c>
    </row>
    <row r="155" spans="1:28">
      <c r="A155" s="2">
        <f>HYPERLINK("https://finance.naver.com/item/coinfo.nhn?code=079980", "A079980")</f>
        <v>0</v>
      </c>
      <c r="B155">
        <f>HYPERLINK("http://comp.fnguide.com/SVO2/ASP/SVD_Consensus.asp?pGB=1&amp;gicode=A079980&amp;cID=&amp;MenuYn=Y&amp;ReportGB=&amp;NewMenuID=108&amp;stkGb=701", "휴비스")</f>
        <v>0</v>
      </c>
      <c r="C155">
        <v>3</v>
      </c>
      <c r="D155">
        <v>8220</v>
      </c>
      <c r="G155">
        <v>3701</v>
      </c>
      <c r="H155">
        <v>8661</v>
      </c>
      <c r="I155">
        <v>10075</v>
      </c>
      <c r="J155">
        <v>54.98</v>
      </c>
      <c r="K155">
        <v>-5.37</v>
      </c>
      <c r="L155">
        <v>-22.56</v>
      </c>
      <c r="M155">
        <v>2.47</v>
      </c>
      <c r="N155" t="b">
        <v>0</v>
      </c>
      <c r="O155">
        <v>-8</v>
      </c>
      <c r="P155" t="s">
        <v>98</v>
      </c>
      <c r="Q155" t="s">
        <v>2313</v>
      </c>
      <c r="R155">
        <v>119.0147855170427</v>
      </c>
      <c r="S155">
        <v>2836</v>
      </c>
      <c r="T155">
        <v>163254</v>
      </c>
      <c r="U155" t="s">
        <v>4070</v>
      </c>
      <c r="V155">
        <v>51</v>
      </c>
      <c r="W155" t="s">
        <v>6290</v>
      </c>
      <c r="X155" t="s">
        <v>8471</v>
      </c>
      <c r="Y155">
        <v>10293</v>
      </c>
      <c r="Z155">
        <v>49</v>
      </c>
      <c r="AA155">
        <v>1589680</v>
      </c>
      <c r="AB155">
        <v>2.46</v>
      </c>
    </row>
    <row r="156" spans="1:28">
      <c r="A156" s="2">
        <f>HYPERLINK("https://finance.naver.com/item/coinfo.nhn?code=000860", "A000860")</f>
        <v>0</v>
      </c>
      <c r="B156">
        <f>HYPERLINK("http://comp.fnguide.com/SVO2/ASP/SVD_Consensus.asp?pGB=1&amp;gicode=A000860&amp;cID=&amp;MenuYn=Y&amp;ReportGB=&amp;NewMenuID=108&amp;stkGb=701", "강남제비스코")</f>
        <v>0</v>
      </c>
      <c r="C156">
        <v>3</v>
      </c>
      <c r="D156">
        <v>18500</v>
      </c>
      <c r="E156">
        <v>-0.55</v>
      </c>
      <c r="F156">
        <v>9.050000000000001</v>
      </c>
      <c r="G156">
        <v>48640</v>
      </c>
      <c r="H156">
        <v>68092</v>
      </c>
      <c r="I156">
        <v>73635</v>
      </c>
      <c r="J156">
        <v>-162.92</v>
      </c>
      <c r="K156">
        <v>-268.07</v>
      </c>
      <c r="L156">
        <v>-298.03</v>
      </c>
      <c r="M156">
        <v>4.78</v>
      </c>
      <c r="N156" t="b">
        <v>1</v>
      </c>
      <c r="O156">
        <v>2250</v>
      </c>
      <c r="P156" t="s">
        <v>571</v>
      </c>
      <c r="Q156" t="s">
        <v>2745</v>
      </c>
      <c r="R156">
        <v>-16.57590442475381</v>
      </c>
      <c r="S156">
        <v>1203</v>
      </c>
      <c r="T156">
        <v>21449</v>
      </c>
      <c r="U156" t="s">
        <v>4543</v>
      </c>
      <c r="V156">
        <v>50.74</v>
      </c>
      <c r="W156" t="s">
        <v>6763</v>
      </c>
      <c r="X156" t="s">
        <v>8908</v>
      </c>
      <c r="Y156">
        <v>3325</v>
      </c>
      <c r="Z156">
        <v>-20</v>
      </c>
      <c r="AB156">
        <v>2.46</v>
      </c>
    </row>
    <row r="157" spans="1:28">
      <c r="A157" s="2">
        <f>HYPERLINK("https://finance.naver.com/item/coinfo.nhn?code=086280", "A086280")</f>
        <v>0</v>
      </c>
      <c r="B157">
        <f>HYPERLINK("http://comp.fnguide.com/SVO2/ASP/SVD_Consensus.asp?pGB=1&amp;gicode=A086280&amp;cID=&amp;MenuYn=Y&amp;ReportGB=&amp;NewMenuID=108&amp;stkGb=701", "현대글로비스")</f>
        <v>0</v>
      </c>
      <c r="C157">
        <v>1</v>
      </c>
      <c r="D157">
        <v>186000</v>
      </c>
      <c r="E157">
        <v>0.65</v>
      </c>
      <c r="F157">
        <v>10.68</v>
      </c>
      <c r="G157">
        <v>190588</v>
      </c>
      <c r="H157">
        <v>150905</v>
      </c>
      <c r="I157">
        <v>139597</v>
      </c>
      <c r="J157">
        <v>-2.47</v>
      </c>
      <c r="K157">
        <v>18.87</v>
      </c>
      <c r="L157">
        <v>24.95</v>
      </c>
      <c r="M157">
        <v>12.2</v>
      </c>
      <c r="N157" t="b">
        <v>0</v>
      </c>
      <c r="O157">
        <v>13395</v>
      </c>
      <c r="P157" t="s">
        <v>883</v>
      </c>
      <c r="Q157" t="s">
        <v>3039</v>
      </c>
      <c r="R157">
        <v>16.42381886707241</v>
      </c>
      <c r="S157">
        <v>69750</v>
      </c>
      <c r="T157">
        <v>289105</v>
      </c>
      <c r="U157" t="s">
        <v>4855</v>
      </c>
      <c r="V157">
        <v>51.39</v>
      </c>
      <c r="W157" t="s">
        <v>7075</v>
      </c>
      <c r="X157" t="s">
        <v>9201</v>
      </c>
      <c r="Y157">
        <v>182701</v>
      </c>
      <c r="Z157">
        <v>8765</v>
      </c>
      <c r="AB157">
        <v>2.45</v>
      </c>
    </row>
    <row r="158" spans="1:28">
      <c r="A158" s="2">
        <f>HYPERLINK("https://finance.naver.com/item/coinfo.nhn?code=015710", "A015710")</f>
        <v>0</v>
      </c>
      <c r="B158">
        <f>HYPERLINK("http://comp.fnguide.com/SVO2/ASP/SVD_Consensus.asp?pGB=1&amp;gicode=A015710&amp;cID=&amp;MenuYn=Y&amp;ReportGB=&amp;NewMenuID=108&amp;stkGb=701", "코콤")</f>
        <v>0</v>
      </c>
      <c r="C158">
        <v>3</v>
      </c>
      <c r="D158">
        <v>6690</v>
      </c>
      <c r="E158">
        <v>-5.45</v>
      </c>
      <c r="F158">
        <v>13.97</v>
      </c>
      <c r="G158">
        <v>8621</v>
      </c>
      <c r="H158">
        <v>7709</v>
      </c>
      <c r="I158">
        <v>7449</v>
      </c>
      <c r="J158">
        <v>-28.87</v>
      </c>
      <c r="K158">
        <v>-15.24</v>
      </c>
      <c r="L158">
        <v>-11.35</v>
      </c>
      <c r="M158">
        <v>9.67</v>
      </c>
      <c r="N158" t="b">
        <v>1</v>
      </c>
      <c r="O158">
        <v>469</v>
      </c>
      <c r="P158" t="s">
        <v>233</v>
      </c>
      <c r="Q158" t="s">
        <v>2438</v>
      </c>
      <c r="R158">
        <v>-2.56416534226479</v>
      </c>
      <c r="S158">
        <v>1173</v>
      </c>
      <c r="T158">
        <v>103587</v>
      </c>
      <c r="U158" t="s">
        <v>4205</v>
      </c>
      <c r="V158">
        <v>59.2</v>
      </c>
      <c r="W158" t="s">
        <v>6425</v>
      </c>
      <c r="X158" t="s">
        <v>8596</v>
      </c>
      <c r="Y158">
        <v>1339</v>
      </c>
      <c r="Z158">
        <v>133</v>
      </c>
      <c r="AA158">
        <v>932563</v>
      </c>
      <c r="AB158">
        <v>2.44</v>
      </c>
    </row>
    <row r="159" spans="1:28">
      <c r="A159" s="2">
        <f>HYPERLINK("https://finance.naver.com/item/coinfo.nhn?code=000240", "A000240")</f>
        <v>0</v>
      </c>
      <c r="B159">
        <f>HYPERLINK("http://comp.fnguide.com/SVO2/ASP/SVD_Consensus.asp?pGB=1&amp;gicode=A000240&amp;cID=&amp;MenuYn=Y&amp;ReportGB=&amp;NewMenuID=108&amp;stkGb=701", "한국테크놀로지그룹")</f>
        <v>0</v>
      </c>
      <c r="C159">
        <v>3</v>
      </c>
      <c r="D159">
        <v>15900</v>
      </c>
      <c r="E159">
        <v>-0.99</v>
      </c>
      <c r="F159">
        <v>8.85</v>
      </c>
      <c r="G159">
        <v>26695</v>
      </c>
      <c r="H159">
        <v>32153</v>
      </c>
      <c r="I159">
        <v>33708</v>
      </c>
      <c r="J159">
        <v>-67.90000000000001</v>
      </c>
      <c r="K159">
        <v>-102.22</v>
      </c>
      <c r="L159">
        <v>-112</v>
      </c>
      <c r="M159">
        <v>5.95</v>
      </c>
      <c r="N159" t="b">
        <v>0</v>
      </c>
      <c r="O159">
        <v>1627</v>
      </c>
      <c r="P159" t="s">
        <v>64</v>
      </c>
      <c r="Q159" t="s">
        <v>2281</v>
      </c>
      <c r="R159">
        <v>-8.965412901053437</v>
      </c>
      <c r="S159">
        <v>14790</v>
      </c>
      <c r="T159">
        <v>288794</v>
      </c>
      <c r="U159" t="s">
        <v>4036</v>
      </c>
      <c r="V159">
        <v>73.92</v>
      </c>
      <c r="W159" t="s">
        <v>6256</v>
      </c>
      <c r="X159" t="s">
        <v>8438</v>
      </c>
      <c r="Y159">
        <v>8476</v>
      </c>
      <c r="Z159">
        <v>1709</v>
      </c>
      <c r="AA159">
        <v>1325090</v>
      </c>
      <c r="AB159">
        <v>2.43</v>
      </c>
    </row>
    <row r="160" spans="1:28">
      <c r="A160" s="2">
        <f>HYPERLINK("https://finance.naver.com/item/coinfo.nhn?code=000080", "A000080")</f>
        <v>0</v>
      </c>
      <c r="B160">
        <f>HYPERLINK("http://comp.fnguide.com/SVO2/ASP/SVD_Consensus.asp?pGB=1&amp;gicode=A000080&amp;cID=&amp;MenuYn=Y&amp;ReportGB=&amp;NewMenuID=108&amp;stkGb=701", "하이트진로")</f>
        <v>0</v>
      </c>
      <c r="C160">
        <v>0</v>
      </c>
      <c r="D160">
        <v>31800</v>
      </c>
      <c r="G160">
        <v>1494</v>
      </c>
      <c r="H160">
        <v>9633</v>
      </c>
      <c r="I160">
        <v>11952</v>
      </c>
      <c r="J160">
        <v>95.3</v>
      </c>
      <c r="K160">
        <v>69.70999999999999</v>
      </c>
      <c r="L160">
        <v>62.41</v>
      </c>
      <c r="M160">
        <v>0.79</v>
      </c>
      <c r="N160" t="b">
        <v>0</v>
      </c>
      <c r="O160">
        <v>-594</v>
      </c>
      <c r="P160" t="s">
        <v>1507</v>
      </c>
      <c r="Q160" t="s">
        <v>3466</v>
      </c>
      <c r="R160">
        <v>-25.30491798639425</v>
      </c>
      <c r="S160">
        <v>22302</v>
      </c>
      <c r="T160">
        <v>537664</v>
      </c>
      <c r="U160" t="s">
        <v>5478</v>
      </c>
      <c r="V160">
        <v>53.81</v>
      </c>
      <c r="W160" t="s">
        <v>7680</v>
      </c>
      <c r="X160" t="s">
        <v>9649</v>
      </c>
      <c r="Y160">
        <v>20351</v>
      </c>
      <c r="Z160">
        <v>882</v>
      </c>
      <c r="AA160">
        <v>1484184</v>
      </c>
      <c r="AB160">
        <v>2.41</v>
      </c>
    </row>
    <row r="161" spans="1:28">
      <c r="A161" s="2">
        <f>HYPERLINK("https://finance.naver.com/item/coinfo.nhn?code=192650", "A192650")</f>
        <v>0</v>
      </c>
      <c r="B161">
        <f>HYPERLINK("http://comp.fnguide.com/SVO2/ASP/SVD_Consensus.asp?pGB=1&amp;gicode=A192650&amp;cID=&amp;MenuYn=Y&amp;ReportGB=&amp;NewMenuID=108&amp;stkGb=701", "드림텍")</f>
        <v>0</v>
      </c>
      <c r="C161">
        <v>0</v>
      </c>
      <c r="D161">
        <v>12600</v>
      </c>
      <c r="E161">
        <v>-0.68</v>
      </c>
      <c r="F161">
        <v>16.46</v>
      </c>
      <c r="G161">
        <v>9311</v>
      </c>
      <c r="H161">
        <v>5864</v>
      </c>
      <c r="I161">
        <v>4882</v>
      </c>
      <c r="J161">
        <v>26.1</v>
      </c>
      <c r="K161">
        <v>53.46</v>
      </c>
      <c r="L161">
        <v>61.25</v>
      </c>
      <c r="M161">
        <v>20.76</v>
      </c>
      <c r="N161" t="b">
        <v>1</v>
      </c>
      <c r="O161">
        <v>406</v>
      </c>
      <c r="P161" t="s">
        <v>1750</v>
      </c>
      <c r="Q161" t="s">
        <v>3647</v>
      </c>
      <c r="R161">
        <v>-24.07478848442128</v>
      </c>
      <c r="S161">
        <v>8299</v>
      </c>
      <c r="T161">
        <v>1282921</v>
      </c>
      <c r="U161" t="s">
        <v>5720</v>
      </c>
      <c r="V161">
        <v>62.49</v>
      </c>
      <c r="W161" t="s">
        <v>7918</v>
      </c>
      <c r="X161" t="s">
        <v>9854</v>
      </c>
      <c r="Y161">
        <v>5597</v>
      </c>
      <c r="Z161">
        <v>305</v>
      </c>
      <c r="AA161">
        <v>274959</v>
      </c>
      <c r="AB161">
        <v>2.39</v>
      </c>
    </row>
    <row r="162" spans="1:28">
      <c r="A162" s="2">
        <f>HYPERLINK("https://finance.naver.com/item/coinfo.nhn?code=004780", "A004780")</f>
        <v>0</v>
      </c>
      <c r="B162">
        <f>HYPERLINK("http://comp.fnguide.com/SVO2/ASP/SVD_Consensus.asp?pGB=1&amp;gicode=A004780&amp;cID=&amp;MenuYn=Y&amp;ReportGB=&amp;NewMenuID=108&amp;stkGb=701", "대륙제관")</f>
        <v>0</v>
      </c>
      <c r="C162">
        <v>3</v>
      </c>
      <c r="D162">
        <v>4670</v>
      </c>
      <c r="E162">
        <v>32.04</v>
      </c>
      <c r="F162">
        <v>12.48</v>
      </c>
      <c r="G162">
        <v>4550</v>
      </c>
      <c r="H162">
        <v>5855</v>
      </c>
      <c r="I162">
        <v>6227</v>
      </c>
      <c r="J162">
        <v>2.57</v>
      </c>
      <c r="K162">
        <v>-25.38</v>
      </c>
      <c r="L162">
        <v>-33.34</v>
      </c>
      <c r="M162">
        <v>5.39</v>
      </c>
      <c r="N162" t="b">
        <v>1</v>
      </c>
      <c r="O162">
        <v>337</v>
      </c>
      <c r="P162" t="s">
        <v>364</v>
      </c>
      <c r="Q162" t="s">
        <v>2552</v>
      </c>
      <c r="R162">
        <v>0.3895257918196338</v>
      </c>
      <c r="S162">
        <v>743</v>
      </c>
      <c r="T162">
        <v>49957</v>
      </c>
      <c r="U162" t="s">
        <v>4336</v>
      </c>
      <c r="V162">
        <v>56.15</v>
      </c>
      <c r="W162" t="s">
        <v>6556</v>
      </c>
      <c r="X162" t="s">
        <v>8710</v>
      </c>
      <c r="Y162">
        <v>1973</v>
      </c>
      <c r="Z162">
        <v>84</v>
      </c>
      <c r="AB162">
        <v>2.38</v>
      </c>
    </row>
    <row r="163" spans="1:28">
      <c r="A163" s="2">
        <f>HYPERLINK("https://finance.naver.com/item/coinfo.nhn?code=267850", "A267850")</f>
        <v>0</v>
      </c>
      <c r="B163">
        <f>HYPERLINK("http://comp.fnguide.com/SVO2/ASP/SVD_Consensus.asp?pGB=1&amp;gicode=A267850&amp;cID=&amp;MenuYn=Y&amp;ReportGB=&amp;NewMenuID=108&amp;stkGb=701", "아시아나IDT")</f>
        <v>0</v>
      </c>
      <c r="C163">
        <v>0</v>
      </c>
      <c r="D163">
        <v>28250</v>
      </c>
      <c r="G163">
        <v>7576</v>
      </c>
      <c r="H163">
        <v>10678</v>
      </c>
      <c r="I163">
        <v>11562</v>
      </c>
      <c r="J163">
        <v>73.18000000000001</v>
      </c>
      <c r="K163">
        <v>62.2</v>
      </c>
      <c r="L163">
        <v>59.07</v>
      </c>
      <c r="M163">
        <v>4.74</v>
      </c>
      <c r="N163" t="b">
        <v>0</v>
      </c>
      <c r="O163">
        <v>-725</v>
      </c>
      <c r="P163" t="s">
        <v>1757</v>
      </c>
      <c r="Q163" t="s">
        <v>3653</v>
      </c>
      <c r="R163">
        <v>-25.63353748452401</v>
      </c>
      <c r="S163">
        <v>3136</v>
      </c>
      <c r="T163">
        <v>411517</v>
      </c>
      <c r="U163" t="s">
        <v>5727</v>
      </c>
      <c r="V163">
        <v>76.22</v>
      </c>
      <c r="W163" t="s">
        <v>7925</v>
      </c>
      <c r="X163" t="s">
        <v>9861</v>
      </c>
      <c r="Y163">
        <v>2461</v>
      </c>
      <c r="Z163">
        <v>114</v>
      </c>
      <c r="AB163">
        <v>2.35</v>
      </c>
    </row>
    <row r="164" spans="1:28">
      <c r="A164" s="2">
        <f>HYPERLINK("https://finance.naver.com/item/coinfo.nhn?code=268280", "A268280")</f>
        <v>0</v>
      </c>
      <c r="B164">
        <f>HYPERLINK("http://comp.fnguide.com/SVO2/ASP/SVD_Consensus.asp?pGB=1&amp;gicode=A268280&amp;cID=&amp;MenuYn=Y&amp;ReportGB=&amp;NewMenuID=108&amp;stkGb=701", "미원에스씨")</f>
        <v>0</v>
      </c>
      <c r="C164">
        <v>0</v>
      </c>
      <c r="D164">
        <v>105000</v>
      </c>
      <c r="E164">
        <v>0</v>
      </c>
      <c r="F164">
        <v>9.57</v>
      </c>
      <c r="G164">
        <v>88812</v>
      </c>
      <c r="H164">
        <v>65112</v>
      </c>
      <c r="I164">
        <v>58358</v>
      </c>
      <c r="J164">
        <v>15.42</v>
      </c>
      <c r="K164">
        <v>37.99</v>
      </c>
      <c r="L164">
        <v>44.42</v>
      </c>
      <c r="M164">
        <v>14.34</v>
      </c>
      <c r="N164" t="b">
        <v>1</v>
      </c>
      <c r="O164">
        <v>7542</v>
      </c>
      <c r="P164" t="s">
        <v>1814</v>
      </c>
      <c r="Q164" t="s">
        <v>3694</v>
      </c>
      <c r="R164">
        <v>0</v>
      </c>
      <c r="S164">
        <v>5355</v>
      </c>
      <c r="T164">
        <v>2089</v>
      </c>
      <c r="U164" t="s">
        <v>5784</v>
      </c>
      <c r="V164">
        <v>71.84</v>
      </c>
      <c r="W164" t="s">
        <v>7982</v>
      </c>
      <c r="X164" t="s">
        <v>9904</v>
      </c>
      <c r="Y164">
        <v>3779</v>
      </c>
      <c r="Z164">
        <v>466</v>
      </c>
      <c r="AA164">
        <v>50000</v>
      </c>
      <c r="AB164">
        <v>2.35</v>
      </c>
    </row>
    <row r="165" spans="1:28">
      <c r="A165" s="2">
        <f>HYPERLINK("https://finance.naver.com/item/coinfo.nhn?code=058430", "A058430")</f>
        <v>0</v>
      </c>
      <c r="B165">
        <f>HYPERLINK("http://comp.fnguide.com/SVO2/ASP/SVD_Consensus.asp?pGB=1&amp;gicode=A058430&amp;cID=&amp;MenuYn=Y&amp;ReportGB=&amp;NewMenuID=108&amp;stkGb=701", "포스코강판")</f>
        <v>0</v>
      </c>
      <c r="C165">
        <v>3</v>
      </c>
      <c r="D165">
        <v>16300</v>
      </c>
      <c r="E165">
        <v>-2.39</v>
      </c>
      <c r="F165">
        <v>38.3</v>
      </c>
      <c r="G165">
        <v>17261</v>
      </c>
      <c r="H165">
        <v>28670</v>
      </c>
      <c r="I165">
        <v>31921</v>
      </c>
      <c r="J165">
        <v>-5.89</v>
      </c>
      <c r="K165">
        <v>-75.89</v>
      </c>
      <c r="L165">
        <v>-95.84</v>
      </c>
      <c r="M165">
        <v>3.79</v>
      </c>
      <c r="N165" t="b">
        <v>0</v>
      </c>
      <c r="O165">
        <v>446</v>
      </c>
      <c r="P165" t="s">
        <v>207</v>
      </c>
      <c r="Q165" t="s">
        <v>2413</v>
      </c>
      <c r="R165">
        <v>-16.00164569791723</v>
      </c>
      <c r="S165">
        <v>978</v>
      </c>
      <c r="T165">
        <v>178421</v>
      </c>
      <c r="U165" t="s">
        <v>4179</v>
      </c>
      <c r="V165">
        <v>56.87</v>
      </c>
      <c r="W165" t="s">
        <v>6399</v>
      </c>
      <c r="X165" t="s">
        <v>8572</v>
      </c>
      <c r="Y165">
        <v>9167</v>
      </c>
      <c r="Z165">
        <v>100</v>
      </c>
      <c r="AB165">
        <v>2.34</v>
      </c>
    </row>
    <row r="166" spans="1:28">
      <c r="A166" s="2">
        <f>HYPERLINK("https://finance.naver.com/item/coinfo.nhn?code=017900", "A017900")</f>
        <v>0</v>
      </c>
      <c r="B166">
        <f>HYPERLINK("http://comp.fnguide.com/SVO2/ASP/SVD_Consensus.asp?pGB=1&amp;gicode=A017900&amp;cID=&amp;MenuYn=Y&amp;ReportGB=&amp;NewMenuID=108&amp;stkGb=701", "광전자")</f>
        <v>0</v>
      </c>
      <c r="C166">
        <v>3</v>
      </c>
      <c r="D166">
        <v>2330</v>
      </c>
      <c r="E166">
        <v>-0.65</v>
      </c>
      <c r="F166">
        <v>36.08</v>
      </c>
      <c r="G166">
        <v>1120</v>
      </c>
      <c r="H166">
        <v>3077</v>
      </c>
      <c r="I166">
        <v>3635</v>
      </c>
      <c r="J166">
        <v>51.94</v>
      </c>
      <c r="K166">
        <v>-32.08</v>
      </c>
      <c r="L166">
        <v>-56.02</v>
      </c>
      <c r="M166">
        <v>2.04</v>
      </c>
      <c r="N166" t="b">
        <v>0</v>
      </c>
      <c r="O166">
        <v>60</v>
      </c>
      <c r="P166" t="s">
        <v>592</v>
      </c>
      <c r="Q166" t="s">
        <v>2764</v>
      </c>
      <c r="R166">
        <v>-55.26957953286949</v>
      </c>
      <c r="S166">
        <v>1350</v>
      </c>
      <c r="T166">
        <v>411860</v>
      </c>
      <c r="U166" t="s">
        <v>4564</v>
      </c>
      <c r="V166">
        <v>55.48</v>
      </c>
      <c r="W166" t="s">
        <v>6784</v>
      </c>
      <c r="X166" t="s">
        <v>8927</v>
      </c>
      <c r="Y166">
        <v>1662</v>
      </c>
      <c r="Z166">
        <v>-15</v>
      </c>
      <c r="AA166">
        <v>7580000</v>
      </c>
      <c r="AB166">
        <v>2.32</v>
      </c>
    </row>
    <row r="167" spans="1:28">
      <c r="A167" s="2">
        <f>HYPERLINK("https://finance.naver.com/item/coinfo.nhn?code=021320", "A021320")</f>
        <v>0</v>
      </c>
      <c r="B167">
        <f>HYPERLINK("http://comp.fnguide.com/SVO2/ASP/SVD_Consensus.asp?pGB=1&amp;gicode=A021320&amp;cID=&amp;MenuYn=Y&amp;ReportGB=&amp;NewMenuID=108&amp;stkGb=701", "KCC건설")</f>
        <v>0</v>
      </c>
      <c r="C167">
        <v>3</v>
      </c>
      <c r="D167">
        <v>8080</v>
      </c>
      <c r="E167">
        <v>0.28</v>
      </c>
      <c r="F167">
        <v>4.93</v>
      </c>
      <c r="G167">
        <v>17212</v>
      </c>
      <c r="H167">
        <v>18103</v>
      </c>
      <c r="I167">
        <v>18356</v>
      </c>
      <c r="J167">
        <v>-113.03</v>
      </c>
      <c r="K167">
        <v>-124.04</v>
      </c>
      <c r="L167">
        <v>-127.18</v>
      </c>
      <c r="M167">
        <v>7.34</v>
      </c>
      <c r="N167" t="b">
        <v>1</v>
      </c>
      <c r="O167">
        <v>1319</v>
      </c>
      <c r="P167" t="s">
        <v>72</v>
      </c>
      <c r="Q167" t="s">
        <v>2288</v>
      </c>
      <c r="R167">
        <v>17.58865291766221</v>
      </c>
      <c r="S167">
        <v>1729</v>
      </c>
      <c r="T167">
        <v>184346</v>
      </c>
      <c r="U167" t="s">
        <v>4044</v>
      </c>
      <c r="V167">
        <v>66.26000000000001</v>
      </c>
      <c r="W167" t="s">
        <v>6264</v>
      </c>
      <c r="X167" t="s">
        <v>8446</v>
      </c>
      <c r="Y167">
        <v>16425</v>
      </c>
      <c r="Z167">
        <v>588</v>
      </c>
      <c r="AA167">
        <v>1206450</v>
      </c>
      <c r="AB167">
        <v>2.31</v>
      </c>
    </row>
    <row r="168" spans="1:28">
      <c r="A168" s="2">
        <f>HYPERLINK("https://finance.naver.com/item/coinfo.nhn?code=056190", "A056190")</f>
        <v>0</v>
      </c>
      <c r="B168">
        <f>HYPERLINK("http://comp.fnguide.com/SVO2/ASP/SVD_Consensus.asp?pGB=1&amp;gicode=A056190&amp;cID=&amp;MenuYn=Y&amp;ReportGB=&amp;NewMenuID=108&amp;stkGb=701", "에스에프에이")</f>
        <v>0</v>
      </c>
      <c r="C168">
        <v>2</v>
      </c>
      <c r="D168">
        <v>37500</v>
      </c>
      <c r="E168">
        <v>0.4</v>
      </c>
      <c r="F168">
        <v>12.58</v>
      </c>
      <c r="G168">
        <v>59850</v>
      </c>
      <c r="H168">
        <v>38537</v>
      </c>
      <c r="I168">
        <v>32465</v>
      </c>
      <c r="J168">
        <v>-59.6</v>
      </c>
      <c r="K168">
        <v>-2.77</v>
      </c>
      <c r="L168">
        <v>13.43</v>
      </c>
      <c r="M168">
        <v>19.57</v>
      </c>
      <c r="N168" t="b">
        <v>1</v>
      </c>
      <c r="O168">
        <v>3676</v>
      </c>
      <c r="P168" t="s">
        <v>801</v>
      </c>
      <c r="Q168" t="s">
        <v>2960</v>
      </c>
      <c r="R168">
        <v>31.257807057462</v>
      </c>
      <c r="S168">
        <v>13466</v>
      </c>
      <c r="T168">
        <v>169014</v>
      </c>
      <c r="U168" t="s">
        <v>4773</v>
      </c>
      <c r="V168">
        <v>54.02</v>
      </c>
      <c r="W168" t="s">
        <v>6993</v>
      </c>
      <c r="X168" t="s">
        <v>9123</v>
      </c>
      <c r="Y168">
        <v>15777</v>
      </c>
      <c r="Z168">
        <v>2142</v>
      </c>
      <c r="AB168">
        <v>2.28</v>
      </c>
    </row>
    <row r="169" spans="1:28">
      <c r="A169" s="2">
        <f>HYPERLINK("https://finance.naver.com/item/coinfo.nhn?code=019770", "A019770")</f>
        <v>0</v>
      </c>
      <c r="B169">
        <f>HYPERLINK("http://comp.fnguide.com/SVO2/ASP/SVD_Consensus.asp?pGB=1&amp;gicode=A019770&amp;cID=&amp;MenuYn=Y&amp;ReportGB=&amp;NewMenuID=108&amp;stkGb=701", "서연탑메탈")</f>
        <v>0</v>
      </c>
      <c r="C169">
        <v>0</v>
      </c>
      <c r="D169">
        <v>9320</v>
      </c>
      <c r="E169">
        <v>0</v>
      </c>
      <c r="G169">
        <v>709</v>
      </c>
      <c r="H169">
        <v>3656</v>
      </c>
      <c r="I169">
        <v>4496</v>
      </c>
      <c r="J169">
        <v>92.39</v>
      </c>
      <c r="K169">
        <v>60.77</v>
      </c>
      <c r="L169">
        <v>51.76</v>
      </c>
      <c r="M169">
        <v>1.01</v>
      </c>
      <c r="N169" t="b">
        <v>0</v>
      </c>
      <c r="O169">
        <v>-257</v>
      </c>
      <c r="P169" t="s">
        <v>1879</v>
      </c>
      <c r="Q169" t="s">
        <v>2276</v>
      </c>
      <c r="R169">
        <v>0</v>
      </c>
      <c r="S169">
        <v>1086</v>
      </c>
      <c r="T169">
        <v>1923399</v>
      </c>
      <c r="U169" t="s">
        <v>5850</v>
      </c>
      <c r="V169">
        <v>51.44</v>
      </c>
      <c r="W169" t="s">
        <v>8048</v>
      </c>
      <c r="X169" t="s">
        <v>9956</v>
      </c>
      <c r="Y169">
        <v>1597</v>
      </c>
      <c r="Z169">
        <v>4</v>
      </c>
      <c r="AB169">
        <v>2.27</v>
      </c>
    </row>
    <row r="170" spans="1:28">
      <c r="A170" s="2">
        <f>HYPERLINK("https://finance.naver.com/item/coinfo.nhn?code=008260", "A008260")</f>
        <v>0</v>
      </c>
      <c r="B170">
        <f>HYPERLINK("http://comp.fnguide.com/SVO2/ASP/SVD_Consensus.asp?pGB=1&amp;gicode=A008260&amp;cID=&amp;MenuYn=Y&amp;ReportGB=&amp;NewMenuID=108&amp;stkGb=701", "NI스틸")</f>
        <v>0</v>
      </c>
      <c r="C170">
        <v>3</v>
      </c>
      <c r="D170">
        <v>2680</v>
      </c>
      <c r="E170">
        <v>7.09</v>
      </c>
      <c r="F170">
        <v>9.85</v>
      </c>
      <c r="G170">
        <v>4019</v>
      </c>
      <c r="H170">
        <v>3934</v>
      </c>
      <c r="I170">
        <v>3910</v>
      </c>
      <c r="J170">
        <v>-49.95</v>
      </c>
      <c r="K170">
        <v>-46.79</v>
      </c>
      <c r="L170">
        <v>-45.89</v>
      </c>
      <c r="M170">
        <v>8.26</v>
      </c>
      <c r="N170" t="b">
        <v>1</v>
      </c>
      <c r="O170">
        <v>224</v>
      </c>
      <c r="P170" t="s">
        <v>498</v>
      </c>
      <c r="Q170" t="s">
        <v>2674</v>
      </c>
      <c r="R170">
        <v>1.389534495520905</v>
      </c>
      <c r="S170">
        <v>766</v>
      </c>
      <c r="T170">
        <v>2478894</v>
      </c>
      <c r="U170" t="s">
        <v>4470</v>
      </c>
      <c r="V170">
        <v>59.16</v>
      </c>
      <c r="W170" t="s">
        <v>6690</v>
      </c>
      <c r="X170" t="s">
        <v>8837</v>
      </c>
      <c r="Y170">
        <v>1482</v>
      </c>
      <c r="Z170">
        <v>121</v>
      </c>
      <c r="AB170">
        <v>2.26</v>
      </c>
    </row>
    <row r="171" spans="1:28">
      <c r="A171" s="2">
        <f>HYPERLINK("https://finance.naver.com/item/coinfo.nhn?code=228850", "A228850")</f>
        <v>0</v>
      </c>
      <c r="B171">
        <f>HYPERLINK("http://comp.fnguide.com/SVO2/ASP/SVD_Consensus.asp?pGB=1&amp;gicode=A228850&amp;cID=&amp;MenuYn=Y&amp;ReportGB=&amp;NewMenuID=108&amp;stkGb=701", "레이언스")</f>
        <v>0</v>
      </c>
      <c r="C171">
        <v>3</v>
      </c>
      <c r="D171">
        <v>11250</v>
      </c>
      <c r="E171">
        <v>-0.61</v>
      </c>
      <c r="F171">
        <v>14.97</v>
      </c>
      <c r="G171">
        <v>12786</v>
      </c>
      <c r="H171">
        <v>12522</v>
      </c>
      <c r="I171">
        <v>12447</v>
      </c>
      <c r="J171">
        <v>-13.65</v>
      </c>
      <c r="K171">
        <v>-11.31</v>
      </c>
      <c r="L171">
        <v>-10.64</v>
      </c>
      <c r="M171">
        <v>8.25</v>
      </c>
      <c r="N171" t="b">
        <v>1</v>
      </c>
      <c r="O171">
        <v>885</v>
      </c>
      <c r="P171" t="s">
        <v>416</v>
      </c>
      <c r="Q171" t="s">
        <v>2597</v>
      </c>
      <c r="R171">
        <v>-24.62084267691696</v>
      </c>
      <c r="S171">
        <v>1866</v>
      </c>
      <c r="T171">
        <v>76794</v>
      </c>
      <c r="U171" t="s">
        <v>4388</v>
      </c>
      <c r="V171">
        <v>64.86</v>
      </c>
      <c r="W171" t="s">
        <v>6608</v>
      </c>
      <c r="X171" t="s">
        <v>8759</v>
      </c>
      <c r="Y171">
        <v>1262</v>
      </c>
      <c r="Z171">
        <v>228</v>
      </c>
      <c r="AA171">
        <v>854574</v>
      </c>
      <c r="AB171">
        <v>2.26</v>
      </c>
    </row>
    <row r="172" spans="1:28">
      <c r="A172" s="2">
        <f>HYPERLINK("https://finance.naver.com/item/coinfo.nhn?code=260930", "A260930")</f>
        <v>0</v>
      </c>
      <c r="B172">
        <f>HYPERLINK("http://comp.fnguide.com/SVO2/ASP/SVD_Consensus.asp?pGB=1&amp;gicode=A260930&amp;cID=&amp;MenuYn=Y&amp;ReportGB=&amp;NewMenuID=108&amp;stkGb=701", "씨티케이코스메틱스")</f>
        <v>0</v>
      </c>
      <c r="C172">
        <v>3</v>
      </c>
      <c r="D172">
        <v>13300</v>
      </c>
      <c r="E172">
        <v>-0.31</v>
      </c>
      <c r="F172">
        <v>17.46</v>
      </c>
      <c r="G172">
        <v>14794</v>
      </c>
      <c r="H172">
        <v>17168</v>
      </c>
      <c r="I172">
        <v>17845</v>
      </c>
      <c r="J172">
        <v>-11.23</v>
      </c>
      <c r="K172">
        <v>-29.08</v>
      </c>
      <c r="L172">
        <v>-34.17</v>
      </c>
      <c r="M172">
        <v>6.29</v>
      </c>
      <c r="N172" t="b">
        <v>1</v>
      </c>
      <c r="O172">
        <v>765</v>
      </c>
      <c r="P172" t="s">
        <v>307</v>
      </c>
      <c r="Q172" t="s">
        <v>2507</v>
      </c>
      <c r="R172">
        <v>-55.79748651228523</v>
      </c>
      <c r="S172">
        <v>1346</v>
      </c>
      <c r="T172">
        <v>12072</v>
      </c>
      <c r="U172" t="s">
        <v>4279</v>
      </c>
      <c r="V172">
        <v>50.67</v>
      </c>
      <c r="W172" t="s">
        <v>6499</v>
      </c>
      <c r="X172" t="s">
        <v>8665</v>
      </c>
      <c r="Y172">
        <v>1163</v>
      </c>
      <c r="Z172">
        <v>40</v>
      </c>
      <c r="AA172">
        <v>914611</v>
      </c>
      <c r="AB172">
        <v>2.25</v>
      </c>
    </row>
    <row r="173" spans="1:28">
      <c r="A173" s="2">
        <f>HYPERLINK("https://finance.naver.com/item/coinfo.nhn?code=109860", "A109860")</f>
        <v>0</v>
      </c>
      <c r="B173">
        <f>HYPERLINK("http://comp.fnguide.com/SVO2/ASP/SVD_Consensus.asp?pGB=1&amp;gicode=A109860&amp;cID=&amp;MenuYn=Y&amp;ReportGB=&amp;NewMenuID=108&amp;stkGb=701", "동일금속")</f>
        <v>0</v>
      </c>
      <c r="C173">
        <v>3</v>
      </c>
      <c r="D173">
        <v>11000</v>
      </c>
      <c r="E173">
        <v>-1.57</v>
      </c>
      <c r="F173">
        <v>5.62</v>
      </c>
      <c r="G173">
        <v>24810</v>
      </c>
      <c r="H173">
        <v>21496</v>
      </c>
      <c r="I173">
        <v>20552</v>
      </c>
      <c r="J173">
        <v>-125.55</v>
      </c>
      <c r="K173">
        <v>-95.42</v>
      </c>
      <c r="L173">
        <v>-86.84</v>
      </c>
      <c r="M173">
        <v>10.25</v>
      </c>
      <c r="N173" t="b">
        <v>1</v>
      </c>
      <c r="O173">
        <v>2226</v>
      </c>
      <c r="P173" t="s">
        <v>450</v>
      </c>
      <c r="Q173" t="s">
        <v>2630</v>
      </c>
      <c r="R173">
        <v>-3.573424730193897</v>
      </c>
      <c r="S173">
        <v>770</v>
      </c>
      <c r="T173">
        <v>54657</v>
      </c>
      <c r="U173" t="s">
        <v>4422</v>
      </c>
      <c r="V173">
        <v>57.72</v>
      </c>
      <c r="W173" t="s">
        <v>6642</v>
      </c>
      <c r="X173" t="s">
        <v>8792</v>
      </c>
      <c r="Y173">
        <v>866</v>
      </c>
      <c r="Z173">
        <v>126</v>
      </c>
      <c r="AA173">
        <v>563000</v>
      </c>
      <c r="AB173">
        <v>2.24</v>
      </c>
    </row>
    <row r="174" spans="1:28">
      <c r="A174" s="2">
        <f>HYPERLINK("https://finance.naver.com/item/coinfo.nhn?code=229640", "A229640")</f>
        <v>0</v>
      </c>
      <c r="B174">
        <f>HYPERLINK("http://comp.fnguide.com/SVO2/ASP/SVD_Consensus.asp?pGB=1&amp;gicode=A229640&amp;cID=&amp;MenuYn=Y&amp;ReportGB=&amp;NewMenuID=108&amp;stkGb=701", "LS전선아시아")</f>
        <v>0</v>
      </c>
      <c r="C174">
        <v>0</v>
      </c>
      <c r="D174">
        <v>7570</v>
      </c>
      <c r="E174">
        <v>-2.29</v>
      </c>
      <c r="F174">
        <v>15.33</v>
      </c>
      <c r="G174">
        <v>6153</v>
      </c>
      <c r="H174">
        <v>5251</v>
      </c>
      <c r="I174">
        <v>4994</v>
      </c>
      <c r="J174">
        <v>18.72</v>
      </c>
      <c r="K174">
        <v>30.64</v>
      </c>
      <c r="L174">
        <v>34.03</v>
      </c>
      <c r="M174">
        <v>10.54</v>
      </c>
      <c r="N174" t="b">
        <v>0</v>
      </c>
      <c r="O174">
        <v>523</v>
      </c>
      <c r="P174" t="s">
        <v>1727</v>
      </c>
      <c r="Q174" t="s">
        <v>3628</v>
      </c>
      <c r="R174">
        <v>-6.701793625274133</v>
      </c>
      <c r="S174">
        <v>2318</v>
      </c>
      <c r="T174">
        <v>178557</v>
      </c>
      <c r="U174" t="s">
        <v>5697</v>
      </c>
      <c r="V174">
        <v>71.44</v>
      </c>
      <c r="W174" t="s">
        <v>7895</v>
      </c>
      <c r="X174" t="s">
        <v>9834</v>
      </c>
      <c r="Y174">
        <v>5203</v>
      </c>
      <c r="Z174">
        <v>260</v>
      </c>
      <c r="AA174">
        <v>397303</v>
      </c>
      <c r="AB174">
        <v>2.24</v>
      </c>
    </row>
    <row r="175" spans="1:28">
      <c r="A175" s="2">
        <f>HYPERLINK("https://finance.naver.com/item/coinfo.nhn?code=134380", "A134380")</f>
        <v>0</v>
      </c>
      <c r="B175">
        <f>HYPERLINK("http://comp.fnguide.com/SVO2/ASP/SVD_Consensus.asp?pGB=1&amp;gicode=A134380&amp;cID=&amp;MenuYn=Y&amp;ReportGB=&amp;NewMenuID=108&amp;stkGb=701", "미원화학")</f>
        <v>0</v>
      </c>
      <c r="C175">
        <v>2</v>
      </c>
      <c r="D175">
        <v>60800</v>
      </c>
      <c r="E175">
        <v>1.01</v>
      </c>
      <c r="F175">
        <v>7.23</v>
      </c>
      <c r="G175">
        <v>78955</v>
      </c>
      <c r="H175">
        <v>61743</v>
      </c>
      <c r="I175">
        <v>56838</v>
      </c>
      <c r="J175">
        <v>-29.86</v>
      </c>
      <c r="K175">
        <v>-1.55</v>
      </c>
      <c r="L175">
        <v>6.52</v>
      </c>
      <c r="M175">
        <v>12.51</v>
      </c>
      <c r="N175" t="b">
        <v>1</v>
      </c>
      <c r="O175">
        <v>6167</v>
      </c>
      <c r="P175" t="s">
        <v>792</v>
      </c>
      <c r="Q175" t="s">
        <v>2951</v>
      </c>
      <c r="R175">
        <v>7.136352270952129</v>
      </c>
      <c r="S175">
        <v>1337</v>
      </c>
      <c r="T175">
        <v>2305</v>
      </c>
      <c r="U175" t="s">
        <v>4764</v>
      </c>
      <c r="V175">
        <v>54.91</v>
      </c>
      <c r="W175" t="s">
        <v>6984</v>
      </c>
      <c r="X175" t="s">
        <v>9114</v>
      </c>
      <c r="Y175">
        <v>1547</v>
      </c>
      <c r="Z175">
        <v>155</v>
      </c>
      <c r="AA175">
        <v>169768</v>
      </c>
      <c r="AB175">
        <v>2.24</v>
      </c>
    </row>
    <row r="176" spans="1:28">
      <c r="A176" s="2">
        <f>HYPERLINK("https://finance.naver.com/item/coinfo.nhn?code=007680", "A007680")</f>
        <v>0</v>
      </c>
      <c r="B176">
        <f>HYPERLINK("http://comp.fnguide.com/SVO2/ASP/SVD_Consensus.asp?pGB=1&amp;gicode=A007680&amp;cID=&amp;MenuYn=Y&amp;ReportGB=&amp;NewMenuID=108&amp;stkGb=701", "대원")</f>
        <v>0</v>
      </c>
      <c r="C176">
        <v>3</v>
      </c>
      <c r="D176">
        <v>9150</v>
      </c>
      <c r="E176">
        <v>-0.46</v>
      </c>
      <c r="F176">
        <v>13.3</v>
      </c>
      <c r="G176">
        <v>22003</v>
      </c>
      <c r="H176">
        <v>23312</v>
      </c>
      <c r="I176">
        <v>23685</v>
      </c>
      <c r="J176">
        <v>-140.47</v>
      </c>
      <c r="K176">
        <v>-154.78</v>
      </c>
      <c r="L176">
        <v>-158.86</v>
      </c>
      <c r="M176">
        <v>7.25</v>
      </c>
      <c r="N176" t="b">
        <v>0</v>
      </c>
      <c r="O176">
        <v>842</v>
      </c>
      <c r="P176" t="s">
        <v>374</v>
      </c>
      <c r="Q176" t="s">
        <v>2561</v>
      </c>
      <c r="R176">
        <v>-28.91132369057691</v>
      </c>
      <c r="S176">
        <v>1073</v>
      </c>
      <c r="T176">
        <v>19336</v>
      </c>
      <c r="U176" t="s">
        <v>4346</v>
      </c>
      <c r="V176">
        <v>78.53</v>
      </c>
      <c r="W176" t="s">
        <v>6566</v>
      </c>
      <c r="X176" t="s">
        <v>8720</v>
      </c>
      <c r="Y176">
        <v>2486</v>
      </c>
      <c r="Z176">
        <v>125</v>
      </c>
      <c r="AA176">
        <v>160000</v>
      </c>
      <c r="AB176">
        <v>2.23</v>
      </c>
    </row>
    <row r="177" spans="1:28">
      <c r="A177" s="2">
        <f>HYPERLINK("https://finance.naver.com/item/coinfo.nhn?code=027710", "A027710")</f>
        <v>0</v>
      </c>
      <c r="B177">
        <f>HYPERLINK("http://comp.fnguide.com/SVO2/ASP/SVD_Consensus.asp?pGB=1&amp;gicode=A027710&amp;cID=&amp;MenuYn=Y&amp;ReportGB=&amp;NewMenuID=108&amp;stkGb=701", "팜스토리")</f>
        <v>0</v>
      </c>
      <c r="C177">
        <v>3</v>
      </c>
      <c r="D177">
        <v>1160</v>
      </c>
      <c r="G177">
        <v>290</v>
      </c>
      <c r="H177">
        <v>996</v>
      </c>
      <c r="I177">
        <v>1197</v>
      </c>
      <c r="J177">
        <v>75.02</v>
      </c>
      <c r="K177">
        <v>14.16</v>
      </c>
      <c r="L177">
        <v>-3.18</v>
      </c>
      <c r="M177">
        <v>1.58</v>
      </c>
      <c r="N177" t="b">
        <v>0</v>
      </c>
      <c r="O177">
        <v>-57</v>
      </c>
      <c r="P177" t="s">
        <v>669</v>
      </c>
      <c r="Q177" t="s">
        <v>2835</v>
      </c>
      <c r="R177">
        <v>63.23976917921949</v>
      </c>
      <c r="S177">
        <v>1292</v>
      </c>
      <c r="T177">
        <v>299177</v>
      </c>
      <c r="U177" t="s">
        <v>4641</v>
      </c>
      <c r="V177">
        <v>70.63</v>
      </c>
      <c r="W177" t="s">
        <v>6861</v>
      </c>
      <c r="X177" t="s">
        <v>8999</v>
      </c>
      <c r="Y177">
        <v>9708</v>
      </c>
      <c r="Z177">
        <v>148</v>
      </c>
      <c r="AA177">
        <v>814339</v>
      </c>
      <c r="AB177">
        <v>2.22</v>
      </c>
    </row>
    <row r="178" spans="1:28">
      <c r="A178" s="2">
        <f>HYPERLINK("https://finance.naver.com/item/coinfo.nhn?code=005430", "A005430")</f>
        <v>0</v>
      </c>
      <c r="B178">
        <f>HYPERLINK("http://comp.fnguide.com/SVO2/ASP/SVD_Consensus.asp?pGB=1&amp;gicode=A005430&amp;cID=&amp;MenuYn=Y&amp;ReportGB=&amp;NewMenuID=108&amp;stkGb=701", "한국공항")</f>
        <v>0</v>
      </c>
      <c r="C178">
        <v>3</v>
      </c>
      <c r="D178">
        <v>40400</v>
      </c>
      <c r="E178">
        <v>0.53</v>
      </c>
      <c r="F178">
        <v>8.800000000000001</v>
      </c>
      <c r="G178">
        <v>76330</v>
      </c>
      <c r="H178">
        <v>93926</v>
      </c>
      <c r="I178">
        <v>98940</v>
      </c>
      <c r="J178">
        <v>-88.93000000000001</v>
      </c>
      <c r="K178">
        <v>-132.49</v>
      </c>
      <c r="L178">
        <v>-144.9</v>
      </c>
      <c r="M178">
        <v>5.76</v>
      </c>
      <c r="N178" t="b">
        <v>0</v>
      </c>
      <c r="O178">
        <v>5136</v>
      </c>
      <c r="P178" t="s">
        <v>47</v>
      </c>
      <c r="Q178" t="s">
        <v>2265</v>
      </c>
      <c r="R178">
        <v>16.48745605082775</v>
      </c>
      <c r="S178">
        <v>1279</v>
      </c>
      <c r="T178">
        <v>46515</v>
      </c>
      <c r="U178" t="s">
        <v>4019</v>
      </c>
      <c r="V178">
        <v>59.54</v>
      </c>
      <c r="W178" t="s">
        <v>6239</v>
      </c>
      <c r="X178" t="s">
        <v>8424</v>
      </c>
      <c r="Y178">
        <v>5290</v>
      </c>
      <c r="Z178">
        <v>220</v>
      </c>
      <c r="AA178">
        <v>108105</v>
      </c>
      <c r="AB178">
        <v>2.21</v>
      </c>
    </row>
    <row r="179" spans="1:28">
      <c r="A179" s="2">
        <f>HYPERLINK("https://finance.naver.com/item/coinfo.nhn?code=086670", "A086670")</f>
        <v>0</v>
      </c>
      <c r="B179">
        <f>HYPERLINK("http://comp.fnguide.com/SVO2/ASP/SVD_Consensus.asp?pGB=1&amp;gicode=A086670&amp;cID=&amp;MenuYn=Y&amp;ReportGB=&amp;NewMenuID=108&amp;stkGb=701", "비엠티")</f>
        <v>0</v>
      </c>
      <c r="C179">
        <v>0</v>
      </c>
      <c r="D179">
        <v>9650</v>
      </c>
      <c r="E179">
        <v>0.27</v>
      </c>
      <c r="F179">
        <v>10.26</v>
      </c>
      <c r="G179">
        <v>9201</v>
      </c>
      <c r="H179">
        <v>8858</v>
      </c>
      <c r="I179">
        <v>8760</v>
      </c>
      <c r="J179">
        <v>4.65</v>
      </c>
      <c r="K179">
        <v>8.210000000000001</v>
      </c>
      <c r="L179">
        <v>9.220000000000001</v>
      </c>
      <c r="M179">
        <v>8.5</v>
      </c>
      <c r="N179" t="b">
        <v>1</v>
      </c>
      <c r="O179">
        <v>661</v>
      </c>
      <c r="P179" t="s">
        <v>1864</v>
      </c>
      <c r="Q179" t="s">
        <v>3730</v>
      </c>
      <c r="R179">
        <v>37.99075216331447</v>
      </c>
      <c r="S179">
        <v>786</v>
      </c>
      <c r="T179">
        <v>93888</v>
      </c>
      <c r="U179" t="s">
        <v>5835</v>
      </c>
      <c r="V179">
        <v>60.43</v>
      </c>
      <c r="W179" t="s">
        <v>8033</v>
      </c>
      <c r="X179" t="s">
        <v>9944</v>
      </c>
      <c r="Y179">
        <v>744</v>
      </c>
      <c r="Z179">
        <v>64</v>
      </c>
      <c r="AB179">
        <v>2.21</v>
      </c>
    </row>
    <row r="180" spans="1:28">
      <c r="A180" s="2">
        <f>HYPERLINK("https://finance.naver.com/item/coinfo.nhn?code=037950", "A037950")</f>
        <v>0</v>
      </c>
      <c r="B180">
        <f>HYPERLINK("http://comp.fnguide.com/SVO2/ASP/SVD_Consensus.asp?pGB=1&amp;gicode=A037950&amp;cID=&amp;MenuYn=Y&amp;ReportGB=&amp;NewMenuID=108&amp;stkGb=701", "엘컴텍")</f>
        <v>0</v>
      </c>
      <c r="C180">
        <v>0</v>
      </c>
      <c r="D180">
        <v>1495</v>
      </c>
      <c r="E180">
        <v>-2.86</v>
      </c>
      <c r="F180">
        <v>119.65</v>
      </c>
      <c r="G180">
        <v>385</v>
      </c>
      <c r="H180">
        <v>681</v>
      </c>
      <c r="I180">
        <v>765</v>
      </c>
      <c r="J180">
        <v>74.26000000000001</v>
      </c>
      <c r="K180">
        <v>54.44</v>
      </c>
      <c r="L180">
        <v>48.8</v>
      </c>
      <c r="M180">
        <v>3.49</v>
      </c>
      <c r="N180" t="b">
        <v>0</v>
      </c>
      <c r="O180">
        <v>13</v>
      </c>
      <c r="P180" t="s">
        <v>1042</v>
      </c>
      <c r="Q180" t="s">
        <v>3160</v>
      </c>
      <c r="R180">
        <v>-41.77162239828201</v>
      </c>
      <c r="S180">
        <v>1262</v>
      </c>
      <c r="T180">
        <v>487835</v>
      </c>
      <c r="U180" t="s">
        <v>5013</v>
      </c>
      <c r="V180">
        <v>61.32</v>
      </c>
      <c r="W180" t="s">
        <v>7231</v>
      </c>
      <c r="X180" t="s">
        <v>9321</v>
      </c>
      <c r="Y180">
        <v>462</v>
      </c>
      <c r="Z180">
        <v>35</v>
      </c>
      <c r="AA180">
        <v>41112</v>
      </c>
      <c r="AB180">
        <v>2.19</v>
      </c>
    </row>
    <row r="181" spans="1:28">
      <c r="A181" s="2">
        <f>HYPERLINK("https://finance.naver.com/item/coinfo.nhn?code=102460", "A102460")</f>
        <v>0</v>
      </c>
      <c r="B181">
        <f>HYPERLINK("http://comp.fnguide.com/SVO2/ASP/SVD_Consensus.asp?pGB=1&amp;gicode=A102460&amp;cID=&amp;MenuYn=Y&amp;ReportGB=&amp;NewMenuID=108&amp;stkGb=701", "이연제약")</f>
        <v>0</v>
      </c>
      <c r="C181">
        <v>0</v>
      </c>
      <c r="D181">
        <v>24400</v>
      </c>
      <c r="E181">
        <v>-1.7</v>
      </c>
      <c r="F181">
        <v>45.16</v>
      </c>
      <c r="G181">
        <v>4179</v>
      </c>
      <c r="H181">
        <v>9307</v>
      </c>
      <c r="I181">
        <v>10768</v>
      </c>
      <c r="J181">
        <v>82.87</v>
      </c>
      <c r="K181">
        <v>61.86</v>
      </c>
      <c r="L181">
        <v>55.87</v>
      </c>
      <c r="M181">
        <v>2.62</v>
      </c>
      <c r="N181" t="b">
        <v>1</v>
      </c>
      <c r="O181">
        <v>354</v>
      </c>
      <c r="P181" t="s">
        <v>1525</v>
      </c>
      <c r="Q181" t="s">
        <v>3483</v>
      </c>
      <c r="R181">
        <v>-26.57549087960792</v>
      </c>
      <c r="S181">
        <v>4257</v>
      </c>
      <c r="T181">
        <v>720367</v>
      </c>
      <c r="U181" t="s">
        <v>5496</v>
      </c>
      <c r="V181">
        <v>62.1</v>
      </c>
      <c r="W181" t="s">
        <v>7698</v>
      </c>
      <c r="X181" t="s">
        <v>9666</v>
      </c>
      <c r="Y181">
        <v>1316</v>
      </c>
      <c r="Z181">
        <v>79</v>
      </c>
      <c r="AA181">
        <v>242125</v>
      </c>
      <c r="AB181">
        <v>2.19</v>
      </c>
    </row>
    <row r="182" spans="1:28">
      <c r="A182" s="2">
        <f>HYPERLINK("https://finance.naver.com/item/coinfo.nhn?code=170030", "A170030")</f>
        <v>0</v>
      </c>
      <c r="B182">
        <f>HYPERLINK("http://comp.fnguide.com/SVO2/ASP/SVD_Consensus.asp?pGB=1&amp;gicode=A170030&amp;cID=&amp;MenuYn=Y&amp;ReportGB=&amp;NewMenuID=108&amp;stkGb=701", "현대공업")</f>
        <v>0</v>
      </c>
      <c r="C182">
        <v>0</v>
      </c>
      <c r="D182">
        <v>10000</v>
      </c>
      <c r="E182">
        <v>-1.32</v>
      </c>
      <c r="F182">
        <v>11.34</v>
      </c>
      <c r="G182">
        <v>2911</v>
      </c>
      <c r="H182">
        <v>5175</v>
      </c>
      <c r="I182">
        <v>5820</v>
      </c>
      <c r="J182">
        <v>70.89</v>
      </c>
      <c r="K182">
        <v>48.25</v>
      </c>
      <c r="L182">
        <v>41.8</v>
      </c>
      <c r="M182">
        <v>3.47</v>
      </c>
      <c r="N182" t="b">
        <v>1</v>
      </c>
      <c r="O182">
        <v>267</v>
      </c>
      <c r="P182" t="s">
        <v>1091</v>
      </c>
      <c r="Q182" t="s">
        <v>3195</v>
      </c>
      <c r="R182">
        <v>-8.596774481964175</v>
      </c>
      <c r="S182">
        <v>1534</v>
      </c>
      <c r="T182">
        <v>3715234</v>
      </c>
      <c r="U182" t="s">
        <v>5062</v>
      </c>
      <c r="V182">
        <v>51.33</v>
      </c>
      <c r="W182" t="s">
        <v>7279</v>
      </c>
      <c r="X182" t="s">
        <v>9351</v>
      </c>
      <c r="Y182">
        <v>1667</v>
      </c>
      <c r="Z182">
        <v>34</v>
      </c>
      <c r="AA182">
        <v>83008</v>
      </c>
      <c r="AB182">
        <v>2.18</v>
      </c>
    </row>
    <row r="183" spans="1:28">
      <c r="A183" s="2">
        <f>HYPERLINK("https://finance.naver.com/item/coinfo.nhn?code=032190", "A032190")</f>
        <v>0</v>
      </c>
      <c r="B183">
        <f>HYPERLINK("http://comp.fnguide.com/SVO2/ASP/SVD_Consensus.asp?pGB=1&amp;gicode=A032190&amp;cID=&amp;MenuYn=Y&amp;ReportGB=&amp;NewMenuID=108&amp;stkGb=701", "다우데이타")</f>
        <v>0</v>
      </c>
      <c r="C183">
        <v>3</v>
      </c>
      <c r="D183">
        <v>12900</v>
      </c>
      <c r="E183">
        <v>0.83</v>
      </c>
      <c r="F183">
        <v>4.66</v>
      </c>
      <c r="G183">
        <v>20496</v>
      </c>
      <c r="H183">
        <v>17726</v>
      </c>
      <c r="I183">
        <v>16936</v>
      </c>
      <c r="J183">
        <v>-58.88</v>
      </c>
      <c r="K183">
        <v>-37.41</v>
      </c>
      <c r="L183">
        <v>-31.29</v>
      </c>
      <c r="M183">
        <v>10.28</v>
      </c>
      <c r="N183" t="b">
        <v>1</v>
      </c>
      <c r="O183">
        <v>1782</v>
      </c>
      <c r="P183" t="s">
        <v>361</v>
      </c>
      <c r="Q183" t="s">
        <v>2549</v>
      </c>
      <c r="R183">
        <v>5.600826566742323</v>
      </c>
      <c r="S183">
        <v>4941</v>
      </c>
      <c r="T183">
        <v>209372</v>
      </c>
      <c r="U183" t="s">
        <v>4333</v>
      </c>
      <c r="V183">
        <v>67.34999999999999</v>
      </c>
      <c r="W183" t="s">
        <v>6553</v>
      </c>
      <c r="X183" t="s">
        <v>8707</v>
      </c>
      <c r="Y183">
        <v>36056</v>
      </c>
      <c r="Z183">
        <v>5590</v>
      </c>
      <c r="AB183">
        <v>2.17</v>
      </c>
    </row>
    <row r="184" spans="1:28">
      <c r="A184" s="2">
        <f>HYPERLINK("https://finance.naver.com/item/coinfo.nhn?code=006840", "A006840")</f>
        <v>0</v>
      </c>
      <c r="B184">
        <f>HYPERLINK("http://comp.fnguide.com/SVO2/ASP/SVD_Consensus.asp?pGB=1&amp;gicode=A006840&amp;cID=&amp;MenuYn=Y&amp;ReportGB=&amp;NewMenuID=108&amp;stkGb=701", "AK홀딩스")</f>
        <v>0</v>
      </c>
      <c r="C184">
        <v>3</v>
      </c>
      <c r="D184">
        <v>26400</v>
      </c>
      <c r="E184">
        <v>-0.6</v>
      </c>
      <c r="F184">
        <v>16.21</v>
      </c>
      <c r="G184">
        <v>70100</v>
      </c>
      <c r="H184">
        <v>66084</v>
      </c>
      <c r="I184">
        <v>64940</v>
      </c>
      <c r="J184">
        <v>-165.53</v>
      </c>
      <c r="K184">
        <v>-150.32</v>
      </c>
      <c r="L184">
        <v>-145.99</v>
      </c>
      <c r="M184">
        <v>8.81</v>
      </c>
      <c r="N184" t="b">
        <v>0</v>
      </c>
      <c r="O184">
        <v>2135</v>
      </c>
      <c r="P184" t="s">
        <v>422</v>
      </c>
      <c r="Q184" t="s">
        <v>2603</v>
      </c>
      <c r="R184">
        <v>-26.8108708549855</v>
      </c>
      <c r="S184">
        <v>3497</v>
      </c>
      <c r="T184">
        <v>301950</v>
      </c>
      <c r="U184" t="s">
        <v>4394</v>
      </c>
      <c r="V184">
        <v>64.93000000000001</v>
      </c>
      <c r="W184" t="s">
        <v>6614</v>
      </c>
      <c r="X184" t="s">
        <v>8765</v>
      </c>
      <c r="Y184">
        <v>37595</v>
      </c>
      <c r="Z184">
        <v>1313</v>
      </c>
      <c r="AA184">
        <v>202066</v>
      </c>
      <c r="AB184">
        <v>2.17</v>
      </c>
    </row>
    <row r="185" spans="1:28">
      <c r="A185" s="2">
        <f>HYPERLINK("https://finance.naver.com/item/coinfo.nhn?code=037710", "A037710")</f>
        <v>0</v>
      </c>
      <c r="B185">
        <f>HYPERLINK("http://comp.fnguide.com/SVO2/ASP/SVD_Consensus.asp?pGB=1&amp;gicode=A037710&amp;cID=&amp;MenuYn=Y&amp;ReportGB=&amp;NewMenuID=108&amp;stkGb=701", "광주신세계")</f>
        <v>0</v>
      </c>
      <c r="C185">
        <v>3</v>
      </c>
      <c r="D185">
        <v>148000</v>
      </c>
      <c r="E185">
        <v>-2.23</v>
      </c>
      <c r="F185">
        <v>5.5</v>
      </c>
      <c r="G185">
        <v>399226</v>
      </c>
      <c r="H185">
        <v>408988</v>
      </c>
      <c r="I185">
        <v>411770</v>
      </c>
      <c r="J185">
        <v>-169.75</v>
      </c>
      <c r="K185">
        <v>-176.34</v>
      </c>
      <c r="L185">
        <v>-178.22</v>
      </c>
      <c r="M185">
        <v>7.66</v>
      </c>
      <c r="N185" t="b">
        <v>1</v>
      </c>
      <c r="O185">
        <v>29793</v>
      </c>
      <c r="P185" t="s">
        <v>593</v>
      </c>
      <c r="Q185" t="s">
        <v>2765</v>
      </c>
      <c r="R185">
        <v>-2.467067042194881</v>
      </c>
      <c r="S185">
        <v>2368</v>
      </c>
      <c r="T185">
        <v>17625</v>
      </c>
      <c r="U185" t="s">
        <v>4565</v>
      </c>
      <c r="V185">
        <v>62.5</v>
      </c>
      <c r="W185" t="s">
        <v>6785</v>
      </c>
      <c r="X185" t="s">
        <v>8928</v>
      </c>
      <c r="Y185">
        <v>1549</v>
      </c>
      <c r="Z185">
        <v>551</v>
      </c>
      <c r="AA185">
        <v>8562</v>
      </c>
      <c r="AB185">
        <v>2.13</v>
      </c>
    </row>
    <row r="186" spans="1:28">
      <c r="A186" s="2">
        <f>HYPERLINK("https://finance.naver.com/item/coinfo.nhn?code=010780", "A010780")</f>
        <v>0</v>
      </c>
      <c r="B186">
        <f>HYPERLINK("http://comp.fnguide.com/SVO2/ASP/SVD_Consensus.asp?pGB=1&amp;gicode=A010780&amp;cID=&amp;MenuYn=Y&amp;ReportGB=&amp;NewMenuID=108&amp;stkGb=701", "아이에스동서")</f>
        <v>0</v>
      </c>
      <c r="C186">
        <v>1</v>
      </c>
      <c r="D186">
        <v>49200</v>
      </c>
      <c r="E186">
        <v>2.89</v>
      </c>
      <c r="F186">
        <v>15.41</v>
      </c>
      <c r="G186">
        <v>63513</v>
      </c>
      <c r="H186">
        <v>47027</v>
      </c>
      <c r="I186">
        <v>42330</v>
      </c>
      <c r="J186">
        <v>-29.09</v>
      </c>
      <c r="K186">
        <v>4.42</v>
      </c>
      <c r="L186">
        <v>13.96</v>
      </c>
      <c r="M186">
        <v>14.03</v>
      </c>
      <c r="N186" t="b">
        <v>1</v>
      </c>
      <c r="O186">
        <v>2138</v>
      </c>
      <c r="P186" t="s">
        <v>831</v>
      </c>
      <c r="Q186" t="s">
        <v>2908</v>
      </c>
      <c r="R186">
        <v>5.323044183168046</v>
      </c>
      <c r="S186">
        <v>15199</v>
      </c>
      <c r="T186">
        <v>191933</v>
      </c>
      <c r="U186" t="s">
        <v>4803</v>
      </c>
      <c r="V186">
        <v>54.69</v>
      </c>
      <c r="W186" t="s">
        <v>7023</v>
      </c>
      <c r="X186" t="s">
        <v>9151</v>
      </c>
      <c r="Y186">
        <v>9641</v>
      </c>
      <c r="Z186">
        <v>662</v>
      </c>
      <c r="AA186">
        <v>447941</v>
      </c>
      <c r="AB186">
        <v>2.12</v>
      </c>
    </row>
    <row r="187" spans="1:28">
      <c r="A187" s="2">
        <f>HYPERLINK("https://finance.naver.com/item/coinfo.nhn?code=005710", "A005710")</f>
        <v>0</v>
      </c>
      <c r="B187">
        <f>HYPERLINK("http://comp.fnguide.com/SVO2/ASP/SVD_Consensus.asp?pGB=1&amp;gicode=A005710&amp;cID=&amp;MenuYn=Y&amp;ReportGB=&amp;NewMenuID=108&amp;stkGb=701", "대원산업")</f>
        <v>0</v>
      </c>
      <c r="C187">
        <v>3</v>
      </c>
      <c r="D187">
        <v>5630</v>
      </c>
      <c r="E187">
        <v>0.05</v>
      </c>
      <c r="F187">
        <v>3.04</v>
      </c>
      <c r="G187">
        <v>24572</v>
      </c>
      <c r="H187">
        <v>19146</v>
      </c>
      <c r="I187">
        <v>17600</v>
      </c>
      <c r="J187">
        <v>-336.45</v>
      </c>
      <c r="K187">
        <v>-240.07</v>
      </c>
      <c r="L187">
        <v>-212.6</v>
      </c>
      <c r="M187">
        <v>12.6</v>
      </c>
      <c r="N187" t="b">
        <v>1</v>
      </c>
      <c r="O187">
        <v>1950</v>
      </c>
      <c r="P187" t="s">
        <v>375</v>
      </c>
      <c r="Q187" t="s">
        <v>2562</v>
      </c>
      <c r="R187">
        <v>57.31239633791885</v>
      </c>
      <c r="S187">
        <v>1128</v>
      </c>
      <c r="T187">
        <v>18725</v>
      </c>
      <c r="U187" t="s">
        <v>4347</v>
      </c>
      <c r="V187">
        <v>61.55</v>
      </c>
      <c r="W187" t="s">
        <v>6567</v>
      </c>
      <c r="X187" t="s">
        <v>8721</v>
      </c>
      <c r="Y187">
        <v>6610</v>
      </c>
      <c r="Z187">
        <v>263</v>
      </c>
      <c r="AB187">
        <v>2.11</v>
      </c>
    </row>
    <row r="188" spans="1:28">
      <c r="A188" s="2">
        <f>HYPERLINK("https://finance.naver.com/item/coinfo.nhn?code=003100", "A003100")</f>
        <v>0</v>
      </c>
      <c r="B188">
        <f>HYPERLINK("http://comp.fnguide.com/SVO2/ASP/SVD_Consensus.asp?pGB=1&amp;gicode=A003100&amp;cID=&amp;MenuYn=Y&amp;ReportGB=&amp;NewMenuID=108&amp;stkGb=701", "선광")</f>
        <v>0</v>
      </c>
      <c r="C188">
        <v>3</v>
      </c>
      <c r="D188">
        <v>26600</v>
      </c>
      <c r="E188">
        <v>1.87</v>
      </c>
      <c r="F188">
        <v>21.9</v>
      </c>
      <c r="G188">
        <v>15209</v>
      </c>
      <c r="H188">
        <v>37829</v>
      </c>
      <c r="I188">
        <v>44275</v>
      </c>
      <c r="J188">
        <v>42.82</v>
      </c>
      <c r="K188">
        <v>-42.22</v>
      </c>
      <c r="L188">
        <v>-66.45</v>
      </c>
      <c r="M188">
        <v>2.29</v>
      </c>
      <c r="N188" t="b">
        <v>0</v>
      </c>
      <c r="O188">
        <v>758</v>
      </c>
      <c r="P188" t="s">
        <v>263</v>
      </c>
      <c r="Q188" t="s">
        <v>2465</v>
      </c>
      <c r="R188">
        <v>11.6914664531955</v>
      </c>
      <c r="S188">
        <v>1756</v>
      </c>
      <c r="T188">
        <v>45918</v>
      </c>
      <c r="U188" t="s">
        <v>4235</v>
      </c>
      <c r="V188">
        <v>52.5</v>
      </c>
      <c r="W188" t="s">
        <v>6455</v>
      </c>
      <c r="X188" t="s">
        <v>8624</v>
      </c>
      <c r="Y188">
        <v>1450</v>
      </c>
      <c r="Z188">
        <v>243</v>
      </c>
      <c r="AA188">
        <v>825910</v>
      </c>
      <c r="AB188">
        <v>2.11</v>
      </c>
    </row>
    <row r="189" spans="1:28">
      <c r="A189" s="2">
        <f>HYPERLINK("https://finance.naver.com/item/coinfo.nhn?code=004080", "A004080")</f>
        <v>0</v>
      </c>
      <c r="B189">
        <f>HYPERLINK("http://comp.fnguide.com/SVO2/ASP/SVD_Consensus.asp?pGB=1&amp;gicode=A004080&amp;cID=&amp;MenuYn=Y&amp;ReportGB=&amp;NewMenuID=108&amp;stkGb=701", "신흥")</f>
        <v>0</v>
      </c>
      <c r="C189">
        <v>0</v>
      </c>
      <c r="D189">
        <v>12050</v>
      </c>
      <c r="E189">
        <v>1.11</v>
      </c>
      <c r="F189">
        <v>44.66</v>
      </c>
      <c r="G189">
        <v>3419</v>
      </c>
      <c r="H189">
        <v>6902</v>
      </c>
      <c r="I189">
        <v>7894</v>
      </c>
      <c r="J189">
        <v>71.63</v>
      </c>
      <c r="K189">
        <v>42.72</v>
      </c>
      <c r="L189">
        <v>34.49</v>
      </c>
      <c r="M189">
        <v>2.96</v>
      </c>
      <c r="N189" t="b">
        <v>0</v>
      </c>
      <c r="O189">
        <v>213</v>
      </c>
      <c r="P189" t="s">
        <v>1767</v>
      </c>
      <c r="Q189" t="s">
        <v>3660</v>
      </c>
      <c r="R189">
        <v>40.20656756872756</v>
      </c>
      <c r="S189">
        <v>1157</v>
      </c>
      <c r="T189">
        <v>67240</v>
      </c>
      <c r="U189" t="s">
        <v>5737</v>
      </c>
      <c r="V189">
        <v>77.36</v>
      </c>
      <c r="W189" t="s">
        <v>7935</v>
      </c>
      <c r="X189" t="s">
        <v>9868</v>
      </c>
      <c r="Y189">
        <v>1230</v>
      </c>
      <c r="Z189">
        <v>30</v>
      </c>
      <c r="AA189">
        <v>51258</v>
      </c>
      <c r="AB189">
        <v>2.1</v>
      </c>
    </row>
    <row r="190" spans="1:28">
      <c r="A190" s="2">
        <f>HYPERLINK("https://finance.naver.com/item/coinfo.nhn?code=043370", "A043370")</f>
        <v>0</v>
      </c>
      <c r="B190">
        <f>HYPERLINK("http://comp.fnguide.com/SVO2/ASP/SVD_Consensus.asp?pGB=1&amp;gicode=A043370&amp;cID=&amp;MenuYn=Y&amp;ReportGB=&amp;NewMenuID=108&amp;stkGb=701", "평화정공")</f>
        <v>0</v>
      </c>
      <c r="C190">
        <v>3</v>
      </c>
      <c r="D190">
        <v>8520</v>
      </c>
      <c r="E190">
        <v>-0.47</v>
      </c>
      <c r="F190">
        <v>5.73</v>
      </c>
      <c r="G190">
        <v>28817</v>
      </c>
      <c r="H190">
        <v>28369</v>
      </c>
      <c r="I190">
        <v>28242</v>
      </c>
      <c r="J190">
        <v>-238.23</v>
      </c>
      <c r="K190">
        <v>-232.98</v>
      </c>
      <c r="L190">
        <v>-231.48</v>
      </c>
      <c r="M190">
        <v>8.18</v>
      </c>
      <c r="N190" t="b">
        <v>1</v>
      </c>
      <c r="O190">
        <v>1506</v>
      </c>
      <c r="P190" t="s">
        <v>688</v>
      </c>
      <c r="Q190" t="s">
        <v>2852</v>
      </c>
      <c r="R190">
        <v>-12.27419855721225</v>
      </c>
      <c r="S190">
        <v>1789</v>
      </c>
      <c r="T190">
        <v>466991</v>
      </c>
      <c r="U190" t="s">
        <v>4660</v>
      </c>
      <c r="V190">
        <v>54.63</v>
      </c>
      <c r="W190" t="s">
        <v>6880</v>
      </c>
      <c r="X190" t="s">
        <v>9016</v>
      </c>
      <c r="Y190">
        <v>10884</v>
      </c>
      <c r="Z190">
        <v>156</v>
      </c>
      <c r="AA190">
        <v>463438</v>
      </c>
      <c r="AB190">
        <v>2.09</v>
      </c>
    </row>
    <row r="191" spans="1:28">
      <c r="A191" s="2">
        <f>HYPERLINK("https://finance.naver.com/item/coinfo.nhn?code=003200", "A003200")</f>
        <v>0</v>
      </c>
      <c r="B191">
        <f>HYPERLINK("http://comp.fnguide.com/SVO2/ASP/SVD_Consensus.asp?pGB=1&amp;gicode=A003200&amp;cID=&amp;MenuYn=Y&amp;ReportGB=&amp;NewMenuID=108&amp;stkGb=701", "일신방직")</f>
        <v>0</v>
      </c>
      <c r="C191">
        <v>3</v>
      </c>
      <c r="D191">
        <v>72400</v>
      </c>
      <c r="E191">
        <v>-0.68</v>
      </c>
      <c r="F191">
        <v>24.35</v>
      </c>
      <c r="G191">
        <v>74485</v>
      </c>
      <c r="H191">
        <v>216478</v>
      </c>
      <c r="I191">
        <v>256938</v>
      </c>
      <c r="J191">
        <v>-2.88</v>
      </c>
      <c r="K191">
        <v>-199</v>
      </c>
      <c r="L191">
        <v>-254.89</v>
      </c>
      <c r="M191">
        <v>1.91</v>
      </c>
      <c r="N191" t="b">
        <v>1</v>
      </c>
      <c r="O191">
        <v>2940</v>
      </c>
      <c r="P191" t="s">
        <v>146</v>
      </c>
      <c r="Q191" t="s">
        <v>2356</v>
      </c>
      <c r="R191">
        <v>-35.9928328030953</v>
      </c>
      <c r="S191">
        <v>1738</v>
      </c>
      <c r="T191">
        <v>13872</v>
      </c>
      <c r="U191" t="s">
        <v>4118</v>
      </c>
      <c r="V191">
        <v>50.73</v>
      </c>
      <c r="W191" t="s">
        <v>6338</v>
      </c>
      <c r="X191" t="s">
        <v>8518</v>
      </c>
      <c r="Y191">
        <v>4962</v>
      </c>
      <c r="Z191">
        <v>136</v>
      </c>
      <c r="AA191">
        <v>135919</v>
      </c>
      <c r="AB191">
        <v>2.09</v>
      </c>
    </row>
    <row r="192" spans="1:28">
      <c r="A192" s="2">
        <f>HYPERLINK("https://finance.naver.com/item/coinfo.nhn?code=101530", "A101530")</f>
        <v>0</v>
      </c>
      <c r="B192">
        <f>HYPERLINK("http://comp.fnguide.com/SVO2/ASP/SVD_Consensus.asp?pGB=1&amp;gicode=A101530&amp;cID=&amp;MenuYn=Y&amp;ReportGB=&amp;NewMenuID=108&amp;stkGb=701", "해태제과식품")</f>
        <v>0</v>
      </c>
      <c r="C192">
        <v>0</v>
      </c>
      <c r="D192">
        <v>8110</v>
      </c>
      <c r="G192">
        <v>823</v>
      </c>
      <c r="H192">
        <v>5844</v>
      </c>
      <c r="I192">
        <v>7274</v>
      </c>
      <c r="J192">
        <v>89.84999999999999</v>
      </c>
      <c r="K192">
        <v>27.95</v>
      </c>
      <c r="L192">
        <v>10.31</v>
      </c>
      <c r="M192">
        <v>0.71</v>
      </c>
      <c r="N192" t="b">
        <v>0</v>
      </c>
      <c r="O192">
        <v>-1192</v>
      </c>
      <c r="P192" t="s">
        <v>1620</v>
      </c>
      <c r="Q192" t="s">
        <v>3552</v>
      </c>
      <c r="R192">
        <v>-2.53977807208019</v>
      </c>
      <c r="S192">
        <v>2361</v>
      </c>
      <c r="T192">
        <v>79429</v>
      </c>
      <c r="U192" t="s">
        <v>5591</v>
      </c>
      <c r="V192">
        <v>62.05</v>
      </c>
      <c r="W192" t="s">
        <v>7791</v>
      </c>
      <c r="X192" t="s">
        <v>9745</v>
      </c>
      <c r="Y192">
        <v>6900</v>
      </c>
      <c r="Z192">
        <v>145</v>
      </c>
      <c r="AA192">
        <v>2599160</v>
      </c>
      <c r="AB192">
        <v>2.09</v>
      </c>
    </row>
    <row r="193" spans="1:28">
      <c r="A193" s="2">
        <f>HYPERLINK("https://finance.naver.com/item/coinfo.nhn?code=230360", "A230360")</f>
        <v>0</v>
      </c>
      <c r="B193">
        <f>HYPERLINK("http://comp.fnguide.com/SVO2/ASP/SVD_Consensus.asp?pGB=1&amp;gicode=A230360&amp;cID=&amp;MenuYn=Y&amp;ReportGB=&amp;NewMenuID=108&amp;stkGb=701", "에코마케팅")</f>
        <v>0</v>
      </c>
      <c r="C193">
        <v>0</v>
      </c>
      <c r="D193">
        <v>24300</v>
      </c>
      <c r="E193">
        <v>0.41</v>
      </c>
      <c r="F193">
        <v>16.52</v>
      </c>
      <c r="G193">
        <v>10142</v>
      </c>
      <c r="H193">
        <v>6020</v>
      </c>
      <c r="I193">
        <v>4845</v>
      </c>
      <c r="J193">
        <v>58.26</v>
      </c>
      <c r="K193">
        <v>75.23</v>
      </c>
      <c r="L193">
        <v>80.06</v>
      </c>
      <c r="M193">
        <v>24.64</v>
      </c>
      <c r="N193" t="b">
        <v>0</v>
      </c>
      <c r="O193">
        <v>974</v>
      </c>
      <c r="P193" t="s">
        <v>988</v>
      </c>
      <c r="Q193" t="s">
        <v>3121</v>
      </c>
      <c r="R193">
        <v>40.21576381578203</v>
      </c>
      <c r="S193">
        <v>7902</v>
      </c>
      <c r="T193">
        <v>234705</v>
      </c>
      <c r="U193" t="s">
        <v>4959</v>
      </c>
      <c r="V193">
        <v>50.75</v>
      </c>
      <c r="W193" t="s">
        <v>7177</v>
      </c>
      <c r="X193" t="s">
        <v>9281</v>
      </c>
      <c r="Y193">
        <v>1114</v>
      </c>
      <c r="Z193">
        <v>378</v>
      </c>
      <c r="AB193">
        <v>2.08</v>
      </c>
    </row>
    <row r="194" spans="1:28">
      <c r="A194" s="2">
        <f>HYPERLINK("https://finance.naver.com/item/coinfo.nhn?code=277070", "A277070")</f>
        <v>0</v>
      </c>
      <c r="B194">
        <f>HYPERLINK("http://comp.fnguide.com/SVO2/ASP/SVD_Consensus.asp?pGB=1&amp;gicode=A277070&amp;cID=&amp;MenuYn=Y&amp;ReportGB=&amp;NewMenuID=108&amp;stkGb=701", "린드먼아시아")</f>
        <v>0</v>
      </c>
      <c r="C194">
        <v>0</v>
      </c>
      <c r="D194">
        <v>5950</v>
      </c>
      <c r="E194">
        <v>0</v>
      </c>
      <c r="F194">
        <v>13.73</v>
      </c>
      <c r="G194">
        <v>4902</v>
      </c>
      <c r="H194">
        <v>3988</v>
      </c>
      <c r="I194">
        <v>3728</v>
      </c>
      <c r="J194">
        <v>17.61</v>
      </c>
      <c r="K194">
        <v>32.97</v>
      </c>
      <c r="L194">
        <v>37.35</v>
      </c>
      <c r="M194">
        <v>11.56</v>
      </c>
      <c r="N194" t="b">
        <v>1</v>
      </c>
      <c r="O194">
        <v>313</v>
      </c>
      <c r="P194" t="s">
        <v>2177</v>
      </c>
      <c r="Q194" t="s">
        <v>2276</v>
      </c>
      <c r="R194">
        <v>0</v>
      </c>
      <c r="S194">
        <v>803</v>
      </c>
      <c r="T194">
        <v>90028</v>
      </c>
      <c r="U194" t="s">
        <v>6151</v>
      </c>
      <c r="V194">
        <v>74.06999999999999</v>
      </c>
      <c r="W194" t="s">
        <v>8337</v>
      </c>
      <c r="X194" t="s">
        <v>10160</v>
      </c>
      <c r="Y194">
        <v>85</v>
      </c>
      <c r="Z194">
        <v>54</v>
      </c>
      <c r="AA194">
        <v>101474</v>
      </c>
      <c r="AB194">
        <v>2.07</v>
      </c>
    </row>
    <row r="195" spans="1:28">
      <c r="A195" s="2">
        <f>HYPERLINK("https://finance.naver.com/item/coinfo.nhn?code=210980", "A210980")</f>
        <v>0</v>
      </c>
      <c r="B195">
        <f>HYPERLINK("http://comp.fnguide.com/SVO2/ASP/SVD_Consensus.asp?pGB=1&amp;gicode=A210980&amp;cID=&amp;MenuYn=Y&amp;ReportGB=&amp;NewMenuID=108&amp;stkGb=701", "SK디앤디")</f>
        <v>0</v>
      </c>
      <c r="C195">
        <v>0</v>
      </c>
      <c r="D195">
        <v>43150</v>
      </c>
      <c r="E195">
        <v>0.17</v>
      </c>
      <c r="F195">
        <v>12.31</v>
      </c>
      <c r="G195">
        <v>38087</v>
      </c>
      <c r="H195">
        <v>26638</v>
      </c>
      <c r="I195">
        <v>23375</v>
      </c>
      <c r="J195">
        <v>11.73</v>
      </c>
      <c r="K195">
        <v>38.27</v>
      </c>
      <c r="L195">
        <v>45.83</v>
      </c>
      <c r="M195">
        <v>15.95</v>
      </c>
      <c r="N195" t="b">
        <v>1</v>
      </c>
      <c r="O195">
        <v>2365</v>
      </c>
      <c r="P195" t="s">
        <v>1742</v>
      </c>
      <c r="Q195" t="s">
        <v>3639</v>
      </c>
      <c r="R195">
        <v>74.21434201528096</v>
      </c>
      <c r="S195">
        <v>8194</v>
      </c>
      <c r="T195">
        <v>120517</v>
      </c>
      <c r="U195" t="s">
        <v>5712</v>
      </c>
      <c r="V195">
        <v>58.67</v>
      </c>
      <c r="W195" t="s">
        <v>7910</v>
      </c>
      <c r="X195" t="s">
        <v>9846</v>
      </c>
      <c r="Y195">
        <v>4547</v>
      </c>
      <c r="Z195">
        <v>823</v>
      </c>
      <c r="AA195">
        <v>640</v>
      </c>
      <c r="AB195">
        <v>2.06</v>
      </c>
    </row>
    <row r="196" spans="1:28">
      <c r="A196" s="2">
        <f>HYPERLINK("https://finance.naver.com/item/coinfo.nhn?code=307930", "A307930")</f>
        <v>0</v>
      </c>
      <c r="B196">
        <f>HYPERLINK("http://comp.fnguide.com/SVO2/ASP/SVD_Consensus.asp?pGB=1&amp;gicode=A307930&amp;cID=&amp;MenuYn=Y&amp;ReportGB=&amp;NewMenuID=108&amp;stkGb=701", "컴퍼니케이")</f>
        <v>0</v>
      </c>
      <c r="C196">
        <v>1</v>
      </c>
      <c r="D196">
        <v>6980</v>
      </c>
      <c r="E196">
        <v>0</v>
      </c>
      <c r="F196">
        <v>12.85</v>
      </c>
      <c r="G196">
        <v>8210</v>
      </c>
      <c r="H196">
        <v>5248</v>
      </c>
      <c r="I196">
        <v>4404</v>
      </c>
      <c r="J196">
        <v>-17.62</v>
      </c>
      <c r="K196">
        <v>24.81</v>
      </c>
      <c r="L196">
        <v>36.91</v>
      </c>
      <c r="M196">
        <v>19.95</v>
      </c>
      <c r="N196" t="b">
        <v>1</v>
      </c>
      <c r="O196">
        <v>605</v>
      </c>
      <c r="P196" t="s">
        <v>884</v>
      </c>
      <c r="Q196" t="s">
        <v>3040</v>
      </c>
      <c r="R196">
        <v>-8.343042120225707</v>
      </c>
      <c r="S196">
        <v>1090</v>
      </c>
      <c r="T196">
        <v>223128</v>
      </c>
      <c r="U196" t="s">
        <v>4856</v>
      </c>
      <c r="V196">
        <v>73.61</v>
      </c>
      <c r="W196" t="s">
        <v>7076</v>
      </c>
      <c r="X196" t="s">
        <v>9202</v>
      </c>
      <c r="Y196">
        <v>169</v>
      </c>
      <c r="Z196">
        <v>108</v>
      </c>
      <c r="AB196">
        <v>2.06</v>
      </c>
    </row>
    <row r="197" spans="1:28">
      <c r="A197" s="2">
        <f>HYPERLINK("https://finance.naver.com/item/coinfo.nhn?code=009160", "A009160")</f>
        <v>0</v>
      </c>
      <c r="B197">
        <f>HYPERLINK("http://comp.fnguide.com/SVO2/ASP/SVD_Consensus.asp?pGB=1&amp;gicode=A009160&amp;cID=&amp;MenuYn=Y&amp;ReportGB=&amp;NewMenuID=108&amp;stkGb=701", "SIMPAC")</f>
        <v>0</v>
      </c>
      <c r="C197">
        <v>3</v>
      </c>
      <c r="D197">
        <v>2510</v>
      </c>
      <c r="E197">
        <v>-0.62</v>
      </c>
      <c r="F197">
        <v>20.31</v>
      </c>
      <c r="G197">
        <v>8479</v>
      </c>
      <c r="H197">
        <v>7996</v>
      </c>
      <c r="I197">
        <v>7858</v>
      </c>
      <c r="J197">
        <v>-237.81</v>
      </c>
      <c r="K197">
        <v>-218.56</v>
      </c>
      <c r="L197">
        <v>-213.07</v>
      </c>
      <c r="M197">
        <v>8.800000000000001</v>
      </c>
      <c r="N197" t="b">
        <v>1</v>
      </c>
      <c r="O197">
        <v>145</v>
      </c>
      <c r="P197" t="s">
        <v>624</v>
      </c>
      <c r="Q197" t="s">
        <v>2794</v>
      </c>
      <c r="R197">
        <v>-32.86256593518265</v>
      </c>
      <c r="S197">
        <v>1642</v>
      </c>
      <c r="T197">
        <v>202443</v>
      </c>
      <c r="U197" t="s">
        <v>4596</v>
      </c>
      <c r="V197">
        <v>60.01</v>
      </c>
      <c r="W197" t="s">
        <v>6816</v>
      </c>
      <c r="X197" t="s">
        <v>8958</v>
      </c>
      <c r="Y197">
        <v>4301</v>
      </c>
      <c r="Z197">
        <v>111</v>
      </c>
      <c r="AA197">
        <v>7943224</v>
      </c>
      <c r="AB197">
        <v>2.04</v>
      </c>
    </row>
    <row r="198" spans="1:28">
      <c r="A198" s="2">
        <f>HYPERLINK("https://finance.naver.com/item/coinfo.nhn?code=293480", "A293480")</f>
        <v>0</v>
      </c>
      <c r="B198">
        <f>HYPERLINK("http://comp.fnguide.com/SVO2/ASP/SVD_Consensus.asp?pGB=1&amp;gicode=A293480&amp;cID=&amp;MenuYn=Y&amp;ReportGB=&amp;NewMenuID=108&amp;stkGb=701", "하나제약")</f>
        <v>0</v>
      </c>
      <c r="C198">
        <v>1</v>
      </c>
      <c r="D198">
        <v>24550</v>
      </c>
      <c r="E198">
        <v>-1.46</v>
      </c>
      <c r="F198">
        <v>12.91</v>
      </c>
      <c r="G198">
        <v>32829</v>
      </c>
      <c r="H198">
        <v>21519</v>
      </c>
      <c r="I198">
        <v>18297</v>
      </c>
      <c r="J198">
        <v>-33.72</v>
      </c>
      <c r="K198">
        <v>12.35</v>
      </c>
      <c r="L198">
        <v>25.47</v>
      </c>
      <c r="M198">
        <v>18.68</v>
      </c>
      <c r="N198" t="b">
        <v>1</v>
      </c>
      <c r="O198">
        <v>1747</v>
      </c>
      <c r="P198" t="s">
        <v>812</v>
      </c>
      <c r="Q198" t="s">
        <v>2971</v>
      </c>
      <c r="R198">
        <v>-8.824579080226002</v>
      </c>
      <c r="S198">
        <v>3977</v>
      </c>
      <c r="T198">
        <v>62565</v>
      </c>
      <c r="U198" t="s">
        <v>4784</v>
      </c>
      <c r="V198">
        <v>58.69</v>
      </c>
      <c r="W198" t="s">
        <v>7004</v>
      </c>
      <c r="X198" t="s">
        <v>9133</v>
      </c>
      <c r="Y198">
        <v>1663</v>
      </c>
      <c r="Z198">
        <v>336</v>
      </c>
      <c r="AA198">
        <v>470540</v>
      </c>
      <c r="AB198">
        <v>2.04</v>
      </c>
    </row>
    <row r="199" spans="1:28">
      <c r="A199" s="2">
        <f>HYPERLINK("https://finance.naver.com/item/coinfo.nhn?code=200880", "A200880")</f>
        <v>0</v>
      </c>
      <c r="B199">
        <f>HYPERLINK("http://comp.fnguide.com/SVO2/ASP/SVD_Consensus.asp?pGB=1&amp;gicode=A200880&amp;cID=&amp;MenuYn=Y&amp;ReportGB=&amp;NewMenuID=108&amp;stkGb=701", "서연이화")</f>
        <v>0</v>
      </c>
      <c r="C199">
        <v>3</v>
      </c>
      <c r="D199">
        <v>7150</v>
      </c>
      <c r="G199">
        <v>2421</v>
      </c>
      <c r="H199">
        <v>14554</v>
      </c>
      <c r="I199">
        <v>18011</v>
      </c>
      <c r="J199">
        <v>66.14</v>
      </c>
      <c r="K199">
        <v>-103.55</v>
      </c>
      <c r="L199">
        <v>-151.9</v>
      </c>
      <c r="M199">
        <v>0.85</v>
      </c>
      <c r="N199" t="b">
        <v>0</v>
      </c>
      <c r="O199">
        <v>-1721</v>
      </c>
      <c r="P199" t="s">
        <v>703</v>
      </c>
      <c r="Q199" t="s">
        <v>2867</v>
      </c>
      <c r="R199">
        <v>-34.47504292256271</v>
      </c>
      <c r="S199">
        <v>1933</v>
      </c>
      <c r="T199">
        <v>5484124</v>
      </c>
      <c r="U199" t="s">
        <v>4675</v>
      </c>
      <c r="V199">
        <v>57.06</v>
      </c>
      <c r="W199" t="s">
        <v>6895</v>
      </c>
      <c r="X199" t="s">
        <v>9029</v>
      </c>
      <c r="Y199">
        <v>19768</v>
      </c>
      <c r="Z199">
        <v>219</v>
      </c>
      <c r="AA199">
        <v>5686</v>
      </c>
      <c r="AB199">
        <v>2.03</v>
      </c>
    </row>
    <row r="200" spans="1:28">
      <c r="A200" s="2">
        <f>HYPERLINK("https://finance.naver.com/item/coinfo.nhn?code=001880", "A001880")</f>
        <v>0</v>
      </c>
      <c r="B200">
        <f>HYPERLINK("http://comp.fnguide.com/SVO2/ASP/SVD_Consensus.asp?pGB=1&amp;gicode=A001880&amp;cID=&amp;MenuYn=Y&amp;ReportGB=&amp;NewMenuID=108&amp;stkGb=701", "대림건설")</f>
        <v>0</v>
      </c>
      <c r="C200">
        <v>2</v>
      </c>
      <c r="D200">
        <v>30800</v>
      </c>
      <c r="E200">
        <v>0.13</v>
      </c>
      <c r="F200">
        <v>3.17</v>
      </c>
      <c r="G200">
        <v>55896</v>
      </c>
      <c r="H200">
        <v>34785</v>
      </c>
      <c r="I200">
        <v>28769</v>
      </c>
      <c r="J200">
        <v>-81.48</v>
      </c>
      <c r="K200">
        <v>-12.94</v>
      </c>
      <c r="L200">
        <v>6.59</v>
      </c>
      <c r="M200">
        <v>21.46</v>
      </c>
      <c r="N200" t="b">
        <v>1</v>
      </c>
      <c r="O200">
        <v>6265</v>
      </c>
      <c r="P200" t="s">
        <v>788</v>
      </c>
      <c r="Q200" t="s">
        <v>2947</v>
      </c>
      <c r="R200">
        <v>23.81705294524519</v>
      </c>
      <c r="S200">
        <v>6792</v>
      </c>
      <c r="T200">
        <v>286380</v>
      </c>
      <c r="U200" t="s">
        <v>4760</v>
      </c>
      <c r="V200">
        <v>66.36</v>
      </c>
      <c r="W200" t="s">
        <v>6980</v>
      </c>
      <c r="X200" t="s">
        <v>9110</v>
      </c>
      <c r="Y200">
        <v>12799</v>
      </c>
      <c r="Z200">
        <v>1430</v>
      </c>
      <c r="AA200">
        <v>371</v>
      </c>
      <c r="AB200">
        <v>2.02</v>
      </c>
    </row>
    <row r="201" spans="1:28">
      <c r="A201" s="2">
        <f>HYPERLINK("https://finance.naver.com/item/coinfo.nhn?code=079170", "A079170")</f>
        <v>0</v>
      </c>
      <c r="B201">
        <f>HYPERLINK("http://comp.fnguide.com/SVO2/ASP/SVD_Consensus.asp?pGB=1&amp;gicode=A079170&amp;cID=&amp;MenuYn=Y&amp;ReportGB=&amp;NewMenuID=108&amp;stkGb=701", "한창산업")</f>
        <v>0</v>
      </c>
      <c r="C201">
        <v>3</v>
      </c>
      <c r="D201">
        <v>7690</v>
      </c>
      <c r="E201">
        <v>-23.63</v>
      </c>
      <c r="F201">
        <v>24.19</v>
      </c>
      <c r="G201">
        <v>3077</v>
      </c>
      <c r="H201">
        <v>7330</v>
      </c>
      <c r="I201">
        <v>8542</v>
      </c>
      <c r="J201">
        <v>59.99</v>
      </c>
      <c r="K201">
        <v>4.68</v>
      </c>
      <c r="L201">
        <v>-11.07</v>
      </c>
      <c r="M201">
        <v>2.42</v>
      </c>
      <c r="N201" t="b">
        <v>1</v>
      </c>
      <c r="O201">
        <v>226</v>
      </c>
      <c r="P201" t="s">
        <v>589</v>
      </c>
      <c r="Q201" t="s">
        <v>2761</v>
      </c>
      <c r="R201">
        <v>-1.023505753116738</v>
      </c>
      <c r="S201">
        <v>400</v>
      </c>
      <c r="T201">
        <v>59300</v>
      </c>
      <c r="U201" t="s">
        <v>4561</v>
      </c>
      <c r="V201">
        <v>56.58</v>
      </c>
      <c r="W201" t="s">
        <v>6781</v>
      </c>
      <c r="X201" t="s">
        <v>8924</v>
      </c>
      <c r="Y201">
        <v>654</v>
      </c>
      <c r="Z201">
        <v>10</v>
      </c>
      <c r="AA201">
        <v>30153</v>
      </c>
      <c r="AB201">
        <v>2.01</v>
      </c>
    </row>
    <row r="202" spans="1:28">
      <c r="A202" s="2">
        <f>HYPERLINK("https://finance.naver.com/item/coinfo.nhn?code=264850", "A264850")</f>
        <v>0</v>
      </c>
      <c r="B202">
        <f>HYPERLINK("http://comp.fnguide.com/SVO2/ASP/SVD_Consensus.asp?pGB=1&amp;gicode=A264850&amp;cID=&amp;MenuYn=Y&amp;ReportGB=&amp;NewMenuID=108&amp;stkGb=701", "이랜시스")</f>
        <v>0</v>
      </c>
      <c r="C202">
        <v>0</v>
      </c>
      <c r="D202">
        <v>2390</v>
      </c>
      <c r="E202">
        <v>0</v>
      </c>
      <c r="F202">
        <v>48.82</v>
      </c>
      <c r="G202">
        <v>319</v>
      </c>
      <c r="H202">
        <v>657</v>
      </c>
      <c r="I202">
        <v>753</v>
      </c>
      <c r="J202">
        <v>86.64</v>
      </c>
      <c r="K202">
        <v>72.53</v>
      </c>
      <c r="L202">
        <v>68.51000000000001</v>
      </c>
      <c r="M202">
        <v>2.89</v>
      </c>
      <c r="N202" t="b">
        <v>1</v>
      </c>
      <c r="O202">
        <v>41</v>
      </c>
      <c r="P202" t="s">
        <v>1285</v>
      </c>
      <c r="Q202" t="s">
        <v>3315</v>
      </c>
      <c r="R202">
        <v>0</v>
      </c>
      <c r="S202">
        <v>687</v>
      </c>
      <c r="T202">
        <v>92826</v>
      </c>
      <c r="U202" t="s">
        <v>5256</v>
      </c>
      <c r="V202">
        <v>73.7</v>
      </c>
      <c r="W202" t="s">
        <v>7464</v>
      </c>
      <c r="X202" t="s">
        <v>9484</v>
      </c>
      <c r="Y202">
        <v>523</v>
      </c>
      <c r="Z202">
        <v>41</v>
      </c>
      <c r="AA202">
        <v>1273328</v>
      </c>
      <c r="AB202">
        <v>2.01</v>
      </c>
    </row>
    <row r="203" spans="1:28">
      <c r="A203" s="2">
        <f>HYPERLINK("https://finance.naver.com/item/coinfo.nhn?code=006880", "A006880")</f>
        <v>0</v>
      </c>
      <c r="B203">
        <f>HYPERLINK("http://comp.fnguide.com/SVO2/ASP/SVD_Consensus.asp?pGB=1&amp;gicode=A006880&amp;cID=&amp;MenuYn=Y&amp;ReportGB=&amp;NewMenuID=108&amp;stkGb=701", "신송홀딩스")</f>
        <v>0</v>
      </c>
      <c r="C203">
        <v>3</v>
      </c>
      <c r="D203">
        <v>3890</v>
      </c>
      <c r="E203">
        <v>0</v>
      </c>
      <c r="G203">
        <v>0</v>
      </c>
      <c r="H203">
        <v>4812</v>
      </c>
      <c r="I203">
        <v>6184</v>
      </c>
      <c r="J203">
        <v>100</v>
      </c>
      <c r="K203">
        <v>-23.71</v>
      </c>
      <c r="L203">
        <v>-58.97</v>
      </c>
      <c r="M203">
        <v>0</v>
      </c>
      <c r="N203" t="b">
        <v>0</v>
      </c>
      <c r="O203">
        <v>-2905</v>
      </c>
      <c r="P203" t="s">
        <v>764</v>
      </c>
      <c r="Q203" t="s">
        <v>2276</v>
      </c>
      <c r="R203">
        <v>0</v>
      </c>
      <c r="S203">
        <v>460</v>
      </c>
      <c r="T203">
        <v>18632</v>
      </c>
      <c r="U203" t="s">
        <v>4736</v>
      </c>
      <c r="V203">
        <v>58.95</v>
      </c>
      <c r="W203" t="s">
        <v>6956</v>
      </c>
      <c r="X203" t="s">
        <v>968</v>
      </c>
      <c r="Y203">
        <v>2630</v>
      </c>
      <c r="Z203">
        <v>-3</v>
      </c>
      <c r="AA203">
        <v>592382</v>
      </c>
      <c r="AB203">
        <v>2.01</v>
      </c>
    </row>
    <row r="204" spans="1:28">
      <c r="A204" s="2">
        <f>HYPERLINK("https://finance.naver.com/item/coinfo.nhn?code=009200", "A009200")</f>
        <v>0</v>
      </c>
      <c r="B204">
        <f>HYPERLINK("http://comp.fnguide.com/SVO2/ASP/SVD_Consensus.asp?pGB=1&amp;gicode=A009200&amp;cID=&amp;MenuYn=Y&amp;ReportGB=&amp;NewMenuID=108&amp;stkGb=701", "무림페이퍼")</f>
        <v>0</v>
      </c>
      <c r="C204">
        <v>3</v>
      </c>
      <c r="D204">
        <v>2530</v>
      </c>
      <c r="G204">
        <v>5024</v>
      </c>
      <c r="H204">
        <v>8332</v>
      </c>
      <c r="I204">
        <v>9274</v>
      </c>
      <c r="J204">
        <v>-98.59</v>
      </c>
      <c r="K204">
        <v>-229.32</v>
      </c>
      <c r="L204">
        <v>-266.57</v>
      </c>
      <c r="M204">
        <v>3.8</v>
      </c>
      <c r="N204" t="b">
        <v>0</v>
      </c>
      <c r="O204">
        <v>-231</v>
      </c>
      <c r="P204" t="s">
        <v>555</v>
      </c>
      <c r="Q204" t="s">
        <v>2729</v>
      </c>
      <c r="R204">
        <v>208.2333420365833</v>
      </c>
      <c r="S204">
        <v>1053</v>
      </c>
      <c r="T204">
        <v>427480</v>
      </c>
      <c r="U204" t="s">
        <v>4527</v>
      </c>
      <c r="V204">
        <v>54.07</v>
      </c>
      <c r="W204" t="s">
        <v>6747</v>
      </c>
      <c r="X204" t="s">
        <v>8893</v>
      </c>
      <c r="Y204">
        <v>11237</v>
      </c>
      <c r="Z204">
        <v>688</v>
      </c>
      <c r="AB204">
        <v>2.01</v>
      </c>
    </row>
    <row r="205" spans="1:28">
      <c r="A205" s="2">
        <f>HYPERLINK("https://finance.naver.com/item/coinfo.nhn?code=120240", "A120240")</f>
        <v>0</v>
      </c>
      <c r="B205">
        <f>HYPERLINK("http://comp.fnguide.com/SVO2/ASP/SVD_Consensus.asp?pGB=1&amp;gicode=A120240&amp;cID=&amp;MenuYn=Y&amp;ReportGB=&amp;NewMenuID=108&amp;stkGb=701", "대정화금")</f>
        <v>0</v>
      </c>
      <c r="C205">
        <v>0</v>
      </c>
      <c r="D205">
        <v>40100</v>
      </c>
      <c r="E205">
        <v>-2.14</v>
      </c>
      <c r="F205">
        <v>17.49</v>
      </c>
      <c r="G205">
        <v>15067</v>
      </c>
      <c r="H205">
        <v>16253</v>
      </c>
      <c r="I205">
        <v>16591</v>
      </c>
      <c r="J205">
        <v>62.43</v>
      </c>
      <c r="K205">
        <v>59.47</v>
      </c>
      <c r="L205">
        <v>58.63</v>
      </c>
      <c r="M205">
        <v>7.05</v>
      </c>
      <c r="N205" t="b">
        <v>1</v>
      </c>
      <c r="O205">
        <v>855</v>
      </c>
      <c r="P205" t="s">
        <v>2089</v>
      </c>
      <c r="Q205" t="s">
        <v>3874</v>
      </c>
      <c r="R205">
        <v>-8.161291825760708</v>
      </c>
      <c r="S205">
        <v>2861</v>
      </c>
      <c r="T205">
        <v>713241</v>
      </c>
      <c r="U205" t="s">
        <v>6062</v>
      </c>
      <c r="V205">
        <v>51.77</v>
      </c>
      <c r="W205" t="s">
        <v>8249</v>
      </c>
      <c r="X205" t="s">
        <v>10092</v>
      </c>
      <c r="Y205">
        <v>796</v>
      </c>
      <c r="Z205">
        <v>104</v>
      </c>
      <c r="AA205">
        <v>17200</v>
      </c>
      <c r="AB205">
        <v>2.01</v>
      </c>
    </row>
    <row r="206" spans="1:28">
      <c r="A206" s="2">
        <f>HYPERLINK("https://finance.naver.com/item/coinfo.nhn?code=138580", "A138580")</f>
        <v>0</v>
      </c>
      <c r="B206">
        <f>HYPERLINK("http://comp.fnguide.com/SVO2/ASP/SVD_Consensus.asp?pGB=1&amp;gicode=A138580&amp;cID=&amp;MenuYn=Y&amp;ReportGB=&amp;NewMenuID=108&amp;stkGb=701", "비즈니스온")</f>
        <v>0</v>
      </c>
      <c r="C206">
        <v>0</v>
      </c>
      <c r="D206">
        <v>15400</v>
      </c>
      <c r="E206">
        <v>-1.49</v>
      </c>
      <c r="F206">
        <v>30.62</v>
      </c>
      <c r="G206">
        <v>6488</v>
      </c>
      <c r="H206">
        <v>4590</v>
      </c>
      <c r="I206">
        <v>4049</v>
      </c>
      <c r="J206">
        <v>57.87</v>
      </c>
      <c r="K206">
        <v>70.19</v>
      </c>
      <c r="L206">
        <v>73.7</v>
      </c>
      <c r="M206">
        <v>15.53</v>
      </c>
      <c r="N206" t="b">
        <v>1</v>
      </c>
      <c r="O206">
        <v>462</v>
      </c>
      <c r="P206" t="s">
        <v>1862</v>
      </c>
      <c r="Q206" t="s">
        <v>3728</v>
      </c>
      <c r="R206">
        <v>-20.49252838971878</v>
      </c>
      <c r="S206">
        <v>1752</v>
      </c>
      <c r="T206">
        <v>43331</v>
      </c>
      <c r="U206" t="s">
        <v>5833</v>
      </c>
      <c r="V206">
        <v>65.36</v>
      </c>
      <c r="W206" t="s">
        <v>8031</v>
      </c>
      <c r="X206" t="s">
        <v>9943</v>
      </c>
      <c r="Y206">
        <v>157</v>
      </c>
      <c r="Z206">
        <v>62</v>
      </c>
      <c r="AA206">
        <v>173693</v>
      </c>
      <c r="AB206">
        <v>2.01</v>
      </c>
    </row>
    <row r="207" spans="1:28">
      <c r="A207" s="2">
        <f>HYPERLINK("https://finance.naver.com/item/coinfo.nhn?code=002310", "A002310")</f>
        <v>0</v>
      </c>
      <c r="B207">
        <f>HYPERLINK("http://comp.fnguide.com/SVO2/ASP/SVD_Consensus.asp?pGB=1&amp;gicode=A002310&amp;cID=&amp;MenuYn=Y&amp;ReportGB=&amp;NewMenuID=108&amp;stkGb=701", "아세아제지")</f>
        <v>0</v>
      </c>
      <c r="C207">
        <v>3</v>
      </c>
      <c r="D207">
        <v>38700</v>
      </c>
      <c r="E207">
        <v>0.22</v>
      </c>
      <c r="F207">
        <v>4.37</v>
      </c>
      <c r="G207">
        <v>89749</v>
      </c>
      <c r="H207">
        <v>75062</v>
      </c>
      <c r="I207">
        <v>70877</v>
      </c>
      <c r="J207">
        <v>-131.91</v>
      </c>
      <c r="K207">
        <v>-93.95999999999999</v>
      </c>
      <c r="L207">
        <v>-83.14</v>
      </c>
      <c r="M207">
        <v>10.95</v>
      </c>
      <c r="N207" t="b">
        <v>1</v>
      </c>
      <c r="O207">
        <v>6860</v>
      </c>
      <c r="P207" t="s">
        <v>714</v>
      </c>
      <c r="Q207" t="s">
        <v>2878</v>
      </c>
      <c r="R207">
        <v>20.24422735583917</v>
      </c>
      <c r="S207">
        <v>3466</v>
      </c>
      <c r="T207">
        <v>147053</v>
      </c>
      <c r="U207" t="s">
        <v>4686</v>
      </c>
      <c r="V207">
        <v>50.07</v>
      </c>
      <c r="W207" t="s">
        <v>6906</v>
      </c>
      <c r="X207" t="s">
        <v>9039</v>
      </c>
      <c r="Y207">
        <v>6977</v>
      </c>
      <c r="Z207">
        <v>711</v>
      </c>
      <c r="AB207">
        <v>2</v>
      </c>
    </row>
    <row r="208" spans="1:28">
      <c r="A208" s="2">
        <f>HYPERLINK("https://finance.naver.com/item/coinfo.nhn?code=089600", "A089600")</f>
        <v>0</v>
      </c>
      <c r="B208">
        <f>HYPERLINK("http://comp.fnguide.com/SVO2/ASP/SVD_Consensus.asp?pGB=1&amp;gicode=A089600&amp;cID=&amp;MenuYn=Y&amp;ReportGB=&amp;NewMenuID=108&amp;stkGb=701", "나스미디어")</f>
        <v>0</v>
      </c>
      <c r="C208">
        <v>1</v>
      </c>
      <c r="D208">
        <v>29850</v>
      </c>
      <c r="E208">
        <v>0.89</v>
      </c>
      <c r="F208">
        <v>14.16</v>
      </c>
      <c r="G208">
        <v>34048</v>
      </c>
      <c r="H208">
        <v>23590</v>
      </c>
      <c r="I208">
        <v>20610</v>
      </c>
      <c r="J208">
        <v>-14.06</v>
      </c>
      <c r="K208">
        <v>20.97</v>
      </c>
      <c r="L208">
        <v>30.95</v>
      </c>
      <c r="M208">
        <v>16.3</v>
      </c>
      <c r="N208" t="b">
        <v>0</v>
      </c>
      <c r="O208">
        <v>2355</v>
      </c>
      <c r="P208" t="s">
        <v>867</v>
      </c>
      <c r="Q208" t="s">
        <v>3024</v>
      </c>
      <c r="R208">
        <v>15.91473887604671</v>
      </c>
      <c r="S208">
        <v>2613</v>
      </c>
      <c r="T208">
        <v>39154</v>
      </c>
      <c r="U208" t="s">
        <v>4839</v>
      </c>
      <c r="V208">
        <v>59.59</v>
      </c>
      <c r="W208" t="s">
        <v>7059</v>
      </c>
      <c r="X208" t="s">
        <v>9186</v>
      </c>
      <c r="Y208">
        <v>1170</v>
      </c>
      <c r="Z208">
        <v>306</v>
      </c>
      <c r="AA208">
        <v>252500</v>
      </c>
      <c r="AB208">
        <v>1.98</v>
      </c>
    </row>
    <row r="209" spans="1:28">
      <c r="A209" s="2">
        <f>HYPERLINK("https://finance.naver.com/item/coinfo.nhn?code=145990", "A145990")</f>
        <v>0</v>
      </c>
      <c r="B209">
        <f>HYPERLINK("http://comp.fnguide.com/SVO2/ASP/SVD_Consensus.asp?pGB=1&amp;gicode=A145990&amp;cID=&amp;MenuYn=Y&amp;ReportGB=&amp;NewMenuID=108&amp;stkGb=701", "삼양사")</f>
        <v>0</v>
      </c>
      <c r="C209">
        <v>3</v>
      </c>
      <c r="D209">
        <v>52700</v>
      </c>
      <c r="E209">
        <v>-2.72</v>
      </c>
      <c r="F209">
        <v>15.95</v>
      </c>
      <c r="G209">
        <v>49751</v>
      </c>
      <c r="H209">
        <v>88648</v>
      </c>
      <c r="I209">
        <v>99732</v>
      </c>
      <c r="J209">
        <v>5.6</v>
      </c>
      <c r="K209">
        <v>-68.20999999999999</v>
      </c>
      <c r="L209">
        <v>-89.23999999999999</v>
      </c>
      <c r="M209">
        <v>3.46</v>
      </c>
      <c r="N209" t="b">
        <v>1</v>
      </c>
      <c r="O209">
        <v>3173</v>
      </c>
      <c r="P209" t="s">
        <v>757</v>
      </c>
      <c r="Q209" t="s">
        <v>2918</v>
      </c>
      <c r="R209">
        <v>-5.870844943416975</v>
      </c>
      <c r="S209">
        <v>5435</v>
      </c>
      <c r="T209">
        <v>28921</v>
      </c>
      <c r="U209" t="s">
        <v>4729</v>
      </c>
      <c r="V209">
        <v>64.14</v>
      </c>
      <c r="W209" t="s">
        <v>6949</v>
      </c>
      <c r="X209" t="s">
        <v>9082</v>
      </c>
      <c r="Y209">
        <v>20964</v>
      </c>
      <c r="Z209">
        <v>816</v>
      </c>
      <c r="AA209">
        <v>623479</v>
      </c>
      <c r="AB209">
        <v>1.98</v>
      </c>
    </row>
    <row r="210" spans="1:28">
      <c r="A210" s="2">
        <f>HYPERLINK("https://finance.naver.com/item/coinfo.nhn?code=015860", "A015860")</f>
        <v>0</v>
      </c>
      <c r="B210">
        <f>HYPERLINK("http://comp.fnguide.com/SVO2/ASP/SVD_Consensus.asp?pGB=1&amp;gicode=A015860&amp;cID=&amp;MenuYn=Y&amp;ReportGB=&amp;NewMenuID=108&amp;stkGb=701", "일진홀딩스")</f>
        <v>0</v>
      </c>
      <c r="C210">
        <v>3</v>
      </c>
      <c r="D210">
        <v>5150</v>
      </c>
      <c r="E210">
        <v>-1.09</v>
      </c>
      <c r="F210">
        <v>19.86</v>
      </c>
      <c r="G210">
        <v>1769</v>
      </c>
      <c r="H210">
        <v>4455</v>
      </c>
      <c r="I210">
        <v>5220</v>
      </c>
      <c r="J210">
        <v>65.65000000000001</v>
      </c>
      <c r="K210">
        <v>13.5</v>
      </c>
      <c r="L210">
        <v>-1.36</v>
      </c>
      <c r="M210">
        <v>2.26</v>
      </c>
      <c r="N210" t="b">
        <v>0</v>
      </c>
      <c r="O210">
        <v>255</v>
      </c>
      <c r="P210" t="s">
        <v>151</v>
      </c>
      <c r="Q210" t="s">
        <v>2361</v>
      </c>
      <c r="R210">
        <v>-18.3</v>
      </c>
      <c r="S210">
        <v>2541</v>
      </c>
      <c r="T210">
        <v>187674</v>
      </c>
      <c r="U210" t="s">
        <v>4123</v>
      </c>
      <c r="V210">
        <v>55.97</v>
      </c>
      <c r="W210" t="s">
        <v>6343</v>
      </c>
      <c r="X210" t="s">
        <v>8521</v>
      </c>
      <c r="Y210">
        <v>8962</v>
      </c>
      <c r="Z210">
        <v>310</v>
      </c>
      <c r="AA210">
        <v>3361946</v>
      </c>
      <c r="AB210">
        <v>1.97</v>
      </c>
    </row>
    <row r="211" spans="1:28">
      <c r="A211" s="2">
        <f>HYPERLINK("https://finance.naver.com/item/coinfo.nhn?code=183190", "A183190")</f>
        <v>0</v>
      </c>
      <c r="B211">
        <f>HYPERLINK("http://comp.fnguide.com/SVO2/ASP/SVD_Consensus.asp?pGB=1&amp;gicode=A183190&amp;cID=&amp;MenuYn=Y&amp;ReportGB=&amp;NewMenuID=108&amp;stkGb=701", "아세아시멘트")</f>
        <v>0</v>
      </c>
      <c r="C211">
        <v>3</v>
      </c>
      <c r="D211">
        <v>77100</v>
      </c>
      <c r="E211">
        <v>-0.44</v>
      </c>
      <c r="F211">
        <v>10.62</v>
      </c>
      <c r="G211">
        <v>98192</v>
      </c>
      <c r="H211">
        <v>162340</v>
      </c>
      <c r="I211">
        <v>180619</v>
      </c>
      <c r="J211">
        <v>-27.36</v>
      </c>
      <c r="K211">
        <v>-110.56</v>
      </c>
      <c r="L211">
        <v>-134.27</v>
      </c>
      <c r="M211">
        <v>3.82</v>
      </c>
      <c r="N211" t="b">
        <v>1</v>
      </c>
      <c r="O211">
        <v>7157</v>
      </c>
      <c r="P211" t="s">
        <v>704</v>
      </c>
      <c r="Q211" t="s">
        <v>2868</v>
      </c>
      <c r="R211">
        <v>-24.28670790347758</v>
      </c>
      <c r="S211">
        <v>3004</v>
      </c>
      <c r="T211">
        <v>32746</v>
      </c>
      <c r="U211" t="s">
        <v>4676</v>
      </c>
      <c r="V211">
        <v>61.36</v>
      </c>
      <c r="W211" t="s">
        <v>6896</v>
      </c>
      <c r="X211" t="s">
        <v>9030</v>
      </c>
      <c r="Y211">
        <v>8368</v>
      </c>
      <c r="Z211">
        <v>808</v>
      </c>
      <c r="AA211">
        <v>1327</v>
      </c>
      <c r="AB211">
        <v>1.97</v>
      </c>
    </row>
    <row r="212" spans="1:28">
      <c r="A212" s="2">
        <f>HYPERLINK("https://finance.naver.com/item/coinfo.nhn?code=001430", "A001430")</f>
        <v>0</v>
      </c>
      <c r="B212">
        <f>HYPERLINK("http://comp.fnguide.com/SVO2/ASP/SVD_Consensus.asp?pGB=1&amp;gicode=A001430&amp;cID=&amp;MenuYn=Y&amp;ReportGB=&amp;NewMenuID=108&amp;stkGb=701", "세아베스틸")</f>
        <v>0</v>
      </c>
      <c r="C212">
        <v>3</v>
      </c>
      <c r="D212">
        <v>10600</v>
      </c>
      <c r="E212">
        <v>-0.5600000000000001</v>
      </c>
      <c r="F212">
        <v>31.78</v>
      </c>
      <c r="G212">
        <v>13215</v>
      </c>
      <c r="H212">
        <v>36500</v>
      </c>
      <c r="I212">
        <v>43134</v>
      </c>
      <c r="J212">
        <v>-24.67</v>
      </c>
      <c r="K212">
        <v>-244.34</v>
      </c>
      <c r="L212">
        <v>-306.93</v>
      </c>
      <c r="M212">
        <v>2.03</v>
      </c>
      <c r="N212" t="b">
        <v>0</v>
      </c>
      <c r="O212">
        <v>480</v>
      </c>
      <c r="P212" t="s">
        <v>756</v>
      </c>
      <c r="Q212" t="s">
        <v>2917</v>
      </c>
      <c r="R212">
        <v>-56.51153480319697</v>
      </c>
      <c r="S212">
        <v>3801</v>
      </c>
      <c r="T212">
        <v>353041</v>
      </c>
      <c r="U212" t="s">
        <v>4728</v>
      </c>
      <c r="V212">
        <v>62.66</v>
      </c>
      <c r="W212" t="s">
        <v>6948</v>
      </c>
      <c r="X212" t="s">
        <v>9081</v>
      </c>
      <c r="Y212">
        <v>29607</v>
      </c>
      <c r="Z212">
        <v>440</v>
      </c>
      <c r="AA212">
        <v>315689</v>
      </c>
      <c r="AB212">
        <v>1.97</v>
      </c>
    </row>
    <row r="213" spans="1:28">
      <c r="A213" s="2">
        <f>HYPERLINK("https://finance.naver.com/item/coinfo.nhn?code=027410", "A027410")</f>
        <v>0</v>
      </c>
      <c r="B213">
        <f>HYPERLINK("http://comp.fnguide.com/SVO2/ASP/SVD_Consensus.asp?pGB=1&amp;gicode=A027410&amp;cID=&amp;MenuYn=Y&amp;ReportGB=&amp;NewMenuID=108&amp;stkGb=701", "BGF")</f>
        <v>0</v>
      </c>
      <c r="C213">
        <v>3</v>
      </c>
      <c r="D213">
        <v>4420</v>
      </c>
      <c r="E213">
        <v>-0.52</v>
      </c>
      <c r="F213">
        <v>19.91</v>
      </c>
      <c r="G213">
        <v>145336</v>
      </c>
      <c r="H213">
        <v>67446</v>
      </c>
      <c r="I213">
        <v>45251</v>
      </c>
      <c r="J213">
        <v>-3188.14</v>
      </c>
      <c r="K213">
        <v>-1425.92</v>
      </c>
      <c r="L213">
        <v>-923.79</v>
      </c>
      <c r="M213">
        <v>73.78</v>
      </c>
      <c r="N213" t="b">
        <v>0</v>
      </c>
      <c r="O213">
        <v>281</v>
      </c>
      <c r="P213" t="s">
        <v>750</v>
      </c>
      <c r="Q213" t="s">
        <v>2911</v>
      </c>
      <c r="R213">
        <v>-38.21260482142083</v>
      </c>
      <c r="S213">
        <v>4231</v>
      </c>
      <c r="T213">
        <v>365703</v>
      </c>
      <c r="U213" t="s">
        <v>4722</v>
      </c>
      <c r="V213">
        <v>69.70999999999999</v>
      </c>
      <c r="W213" t="s">
        <v>6942</v>
      </c>
      <c r="X213" t="s">
        <v>9075</v>
      </c>
      <c r="Y213">
        <v>2403</v>
      </c>
      <c r="Z213">
        <v>294</v>
      </c>
      <c r="AA213">
        <v>8024</v>
      </c>
      <c r="AB213">
        <v>1.96</v>
      </c>
    </row>
    <row r="214" spans="1:28">
      <c r="A214" s="2">
        <f>HYPERLINK("https://finance.naver.com/item/coinfo.nhn?code=002100", "A002100")</f>
        <v>0</v>
      </c>
      <c r="B214">
        <f>HYPERLINK("http://comp.fnguide.com/SVO2/ASP/SVD_Consensus.asp?pGB=1&amp;gicode=A002100&amp;cID=&amp;MenuYn=Y&amp;ReportGB=&amp;NewMenuID=108&amp;stkGb=701", "경농")</f>
        <v>0</v>
      </c>
      <c r="C214">
        <v>0</v>
      </c>
      <c r="D214">
        <v>12000</v>
      </c>
      <c r="E214">
        <v>62.16</v>
      </c>
      <c r="F214">
        <v>54.24</v>
      </c>
      <c r="G214">
        <v>4178</v>
      </c>
      <c r="H214">
        <v>7856</v>
      </c>
      <c r="I214">
        <v>8904</v>
      </c>
      <c r="J214">
        <v>65.18000000000001</v>
      </c>
      <c r="K214">
        <v>34.53</v>
      </c>
      <c r="L214">
        <v>25.8</v>
      </c>
      <c r="M214">
        <v>3.23</v>
      </c>
      <c r="N214" t="b">
        <v>0</v>
      </c>
      <c r="O214">
        <v>209</v>
      </c>
      <c r="P214" t="s">
        <v>1732</v>
      </c>
      <c r="Q214" t="s">
        <v>3633</v>
      </c>
      <c r="R214">
        <v>0.8725321289480004</v>
      </c>
      <c r="S214">
        <v>2603</v>
      </c>
      <c r="T214">
        <v>144915</v>
      </c>
      <c r="U214" t="s">
        <v>5702</v>
      </c>
      <c r="V214">
        <v>60.13</v>
      </c>
      <c r="W214" t="s">
        <v>7900</v>
      </c>
      <c r="X214" t="s">
        <v>9839</v>
      </c>
      <c r="Y214">
        <v>2275</v>
      </c>
      <c r="Z214">
        <v>87</v>
      </c>
      <c r="AA214">
        <v>3827100</v>
      </c>
      <c r="AB214">
        <v>1.94</v>
      </c>
    </row>
    <row r="215" spans="1:28">
      <c r="A215" s="2">
        <f>HYPERLINK("https://finance.naver.com/item/coinfo.nhn?code=005300", "A005300")</f>
        <v>0</v>
      </c>
      <c r="B215">
        <f>HYPERLINK("http://comp.fnguide.com/SVO2/ASP/SVD_Consensus.asp?pGB=1&amp;gicode=A005300&amp;cID=&amp;MenuYn=Y&amp;ReportGB=&amp;NewMenuID=108&amp;stkGb=701", "롯데칠성")</f>
        <v>0</v>
      </c>
      <c r="C215">
        <v>3</v>
      </c>
      <c r="D215">
        <v>101500</v>
      </c>
      <c r="G215">
        <v>21807</v>
      </c>
      <c r="H215">
        <v>93832</v>
      </c>
      <c r="I215">
        <v>114356</v>
      </c>
      <c r="J215">
        <v>78.52</v>
      </c>
      <c r="K215">
        <v>7.55</v>
      </c>
      <c r="L215">
        <v>-12.67</v>
      </c>
      <c r="M215">
        <v>1.23</v>
      </c>
      <c r="N215" t="b">
        <v>0</v>
      </c>
      <c r="O215">
        <v>-16243</v>
      </c>
      <c r="P215" t="s">
        <v>513</v>
      </c>
      <c r="Q215" t="s">
        <v>2688</v>
      </c>
      <c r="R215">
        <v>21.12671051423794</v>
      </c>
      <c r="S215">
        <v>9110</v>
      </c>
      <c r="T215">
        <v>79737</v>
      </c>
      <c r="U215" t="s">
        <v>4485</v>
      </c>
      <c r="V215">
        <v>62.8</v>
      </c>
      <c r="W215" t="s">
        <v>6705</v>
      </c>
      <c r="X215" t="s">
        <v>8852</v>
      </c>
      <c r="Y215">
        <v>24295</v>
      </c>
      <c r="Z215">
        <v>1077</v>
      </c>
      <c r="AA215">
        <v>420110</v>
      </c>
      <c r="AB215">
        <v>1.93</v>
      </c>
    </row>
    <row r="216" spans="1:28">
      <c r="A216" s="2">
        <f>HYPERLINK("https://finance.naver.com/item/coinfo.nhn?code=007070", "A007070")</f>
        <v>0</v>
      </c>
      <c r="B216">
        <f>HYPERLINK("http://comp.fnguide.com/SVO2/ASP/SVD_Consensus.asp?pGB=1&amp;gicode=A007070&amp;cID=&amp;MenuYn=Y&amp;ReportGB=&amp;NewMenuID=108&amp;stkGb=701", "GS리테일")</f>
        <v>0</v>
      </c>
      <c r="C216">
        <v>0</v>
      </c>
      <c r="D216">
        <v>33850</v>
      </c>
      <c r="E216">
        <v>27.65</v>
      </c>
      <c r="F216">
        <v>22.7</v>
      </c>
      <c r="G216">
        <v>21460</v>
      </c>
      <c r="H216">
        <v>25528</v>
      </c>
      <c r="I216">
        <v>26688</v>
      </c>
      <c r="J216">
        <v>36.6</v>
      </c>
      <c r="K216">
        <v>24.58</v>
      </c>
      <c r="L216">
        <v>21.16</v>
      </c>
      <c r="M216">
        <v>6.06</v>
      </c>
      <c r="N216" t="b">
        <v>1</v>
      </c>
      <c r="O216">
        <v>1729</v>
      </c>
      <c r="P216" t="s">
        <v>1720</v>
      </c>
      <c r="Q216" t="s">
        <v>3621</v>
      </c>
      <c r="R216">
        <v>0.8209339307056807</v>
      </c>
      <c r="S216">
        <v>26065</v>
      </c>
      <c r="T216">
        <v>337512</v>
      </c>
      <c r="U216" t="s">
        <v>5690</v>
      </c>
      <c r="V216">
        <v>65.78</v>
      </c>
      <c r="W216" t="s">
        <v>7888</v>
      </c>
      <c r="X216" t="s">
        <v>9828</v>
      </c>
      <c r="Y216">
        <v>90069</v>
      </c>
      <c r="Z216">
        <v>2388</v>
      </c>
      <c r="AB216">
        <v>1.91</v>
      </c>
    </row>
    <row r="217" spans="1:28">
      <c r="A217" s="2">
        <f>HYPERLINK("https://finance.naver.com/item/coinfo.nhn?code=143210", "A143210")</f>
        <v>0</v>
      </c>
      <c r="B217">
        <f>HYPERLINK("http://comp.fnguide.com/SVO2/ASP/SVD_Consensus.asp?pGB=1&amp;gicode=A143210&amp;cID=&amp;MenuYn=Y&amp;ReportGB=&amp;NewMenuID=108&amp;stkGb=701", "핸즈코퍼레이션")</f>
        <v>0</v>
      </c>
      <c r="C217">
        <v>3</v>
      </c>
      <c r="D217">
        <v>8500</v>
      </c>
      <c r="E217">
        <v>-0.6</v>
      </c>
      <c r="F217">
        <v>21.78</v>
      </c>
      <c r="G217">
        <v>5187</v>
      </c>
      <c r="H217">
        <v>11124</v>
      </c>
      <c r="I217">
        <v>12816</v>
      </c>
      <c r="J217">
        <v>38.98</v>
      </c>
      <c r="K217">
        <v>-30.87</v>
      </c>
      <c r="L217">
        <v>-50.78</v>
      </c>
      <c r="M217">
        <v>2.74</v>
      </c>
      <c r="N217" t="b">
        <v>0</v>
      </c>
      <c r="O217">
        <v>314</v>
      </c>
      <c r="P217" t="s">
        <v>35</v>
      </c>
      <c r="Q217" t="s">
        <v>2253</v>
      </c>
      <c r="R217">
        <v>-36.28511493561207</v>
      </c>
      <c r="S217">
        <v>1858</v>
      </c>
      <c r="T217">
        <v>252648</v>
      </c>
      <c r="U217" t="s">
        <v>4007</v>
      </c>
      <c r="V217">
        <v>60.27</v>
      </c>
      <c r="W217" t="s">
        <v>6227</v>
      </c>
      <c r="X217" t="s">
        <v>8413</v>
      </c>
      <c r="Y217">
        <v>6177</v>
      </c>
      <c r="Z217">
        <v>187</v>
      </c>
      <c r="AA217">
        <v>382042</v>
      </c>
      <c r="AB217">
        <v>1.9</v>
      </c>
    </row>
    <row r="218" spans="1:28">
      <c r="A218" s="2">
        <f>HYPERLINK("https://finance.naver.com/item/coinfo.nhn?code=004840", "A004840")</f>
        <v>0</v>
      </c>
      <c r="B218">
        <f>HYPERLINK("http://comp.fnguide.com/SVO2/ASP/SVD_Consensus.asp?pGB=1&amp;gicode=A004840&amp;cID=&amp;MenuYn=Y&amp;ReportGB=&amp;NewMenuID=108&amp;stkGb=701", "DRB동일")</f>
        <v>0</v>
      </c>
      <c r="C218">
        <v>3</v>
      </c>
      <c r="D218">
        <v>6740</v>
      </c>
      <c r="E218">
        <v>-0.32</v>
      </c>
      <c r="F218">
        <v>11.81</v>
      </c>
      <c r="G218">
        <v>6395</v>
      </c>
      <c r="H218">
        <v>13595</v>
      </c>
      <c r="I218">
        <v>15647</v>
      </c>
      <c r="J218">
        <v>5.12</v>
      </c>
      <c r="K218">
        <v>-101.71</v>
      </c>
      <c r="L218">
        <v>-132.15</v>
      </c>
      <c r="M218">
        <v>2.77</v>
      </c>
      <c r="N218" t="b">
        <v>0</v>
      </c>
      <c r="O218">
        <v>445</v>
      </c>
      <c r="P218" t="s">
        <v>759</v>
      </c>
      <c r="Q218" t="s">
        <v>2920</v>
      </c>
      <c r="R218">
        <v>-37.21576200220853</v>
      </c>
      <c r="S218">
        <v>1343</v>
      </c>
      <c r="T218">
        <v>53023</v>
      </c>
      <c r="U218" t="s">
        <v>4731</v>
      </c>
      <c r="V218">
        <v>69.75</v>
      </c>
      <c r="W218" t="s">
        <v>6951</v>
      </c>
      <c r="X218" t="s">
        <v>9084</v>
      </c>
      <c r="Y218">
        <v>5470</v>
      </c>
      <c r="Z218">
        <v>265</v>
      </c>
      <c r="AA218">
        <v>657636</v>
      </c>
      <c r="AB218">
        <v>1.9</v>
      </c>
    </row>
    <row r="219" spans="1:28">
      <c r="A219" s="2">
        <f>HYPERLINK("https://finance.naver.com/item/coinfo.nhn?code=053620", "A053620")</f>
        <v>0</v>
      </c>
      <c r="B219">
        <f>HYPERLINK("http://comp.fnguide.com/SVO2/ASP/SVD_Consensus.asp?pGB=1&amp;gicode=A053620&amp;cID=&amp;MenuYn=Y&amp;ReportGB=&amp;NewMenuID=108&amp;stkGb=701", "태양")</f>
        <v>0</v>
      </c>
      <c r="C219">
        <v>3</v>
      </c>
      <c r="D219">
        <v>8380</v>
      </c>
      <c r="E219">
        <v>0.4</v>
      </c>
      <c r="F219">
        <v>9.220000000000001</v>
      </c>
      <c r="G219">
        <v>8901</v>
      </c>
      <c r="H219">
        <v>15515</v>
      </c>
      <c r="I219">
        <v>17400</v>
      </c>
      <c r="J219">
        <v>-6.22</v>
      </c>
      <c r="K219">
        <v>-85.15000000000001</v>
      </c>
      <c r="L219">
        <v>-107.64</v>
      </c>
      <c r="M219">
        <v>3.56</v>
      </c>
      <c r="N219" t="b">
        <v>1</v>
      </c>
      <c r="O219">
        <v>857</v>
      </c>
      <c r="P219" t="s">
        <v>149</v>
      </c>
      <c r="Q219" t="s">
        <v>2359</v>
      </c>
      <c r="R219">
        <v>23.27153907665716</v>
      </c>
      <c r="S219">
        <v>721</v>
      </c>
      <c r="T219">
        <v>3080</v>
      </c>
      <c r="U219" t="s">
        <v>4121</v>
      </c>
      <c r="V219">
        <v>62.47</v>
      </c>
      <c r="W219" t="s">
        <v>6341</v>
      </c>
      <c r="X219" t="s">
        <v>8519</v>
      </c>
      <c r="Y219">
        <v>1418</v>
      </c>
      <c r="Z219">
        <v>70</v>
      </c>
      <c r="AA219">
        <v>638969</v>
      </c>
      <c r="AB219">
        <v>1.9</v>
      </c>
    </row>
    <row r="220" spans="1:28">
      <c r="A220" s="2">
        <f>HYPERLINK("https://finance.naver.com/item/coinfo.nhn?code=024070", "A024070")</f>
        <v>0</v>
      </c>
      <c r="B220">
        <f>HYPERLINK("http://comp.fnguide.com/SVO2/ASP/SVD_Consensus.asp?pGB=1&amp;gicode=A024070&amp;cID=&amp;MenuYn=Y&amp;ReportGB=&amp;NewMenuID=108&amp;stkGb=701", "WISCOM")</f>
        <v>0</v>
      </c>
      <c r="C220">
        <v>3</v>
      </c>
      <c r="D220">
        <v>2580</v>
      </c>
      <c r="E220">
        <v>-1.77</v>
      </c>
      <c r="F220">
        <v>37.89</v>
      </c>
      <c r="G220">
        <v>744</v>
      </c>
      <c r="H220">
        <v>4923</v>
      </c>
      <c r="I220">
        <v>6114</v>
      </c>
      <c r="J220">
        <v>71.17</v>
      </c>
      <c r="K220">
        <v>-90.81</v>
      </c>
      <c r="L220">
        <v>-136.96</v>
      </c>
      <c r="M220">
        <v>0.77</v>
      </c>
      <c r="N220" t="b">
        <v>1</v>
      </c>
      <c r="O220">
        <v>70</v>
      </c>
      <c r="P220" t="s">
        <v>582</v>
      </c>
      <c r="Q220" t="s">
        <v>2754</v>
      </c>
      <c r="R220">
        <v>-21.42303080536222</v>
      </c>
      <c r="S220">
        <v>395</v>
      </c>
      <c r="T220">
        <v>163460</v>
      </c>
      <c r="U220" t="s">
        <v>4554</v>
      </c>
      <c r="V220">
        <v>50.95</v>
      </c>
      <c r="W220" t="s">
        <v>6774</v>
      </c>
      <c r="X220" t="s">
        <v>8918</v>
      </c>
      <c r="Y220">
        <v>1155</v>
      </c>
      <c r="Z220">
        <v>8</v>
      </c>
      <c r="AB220">
        <v>1.88</v>
      </c>
    </row>
    <row r="221" spans="1:28">
      <c r="A221" s="2">
        <f>HYPERLINK("https://finance.naver.com/item/coinfo.nhn?code=171120", "A171120")</f>
        <v>0</v>
      </c>
      <c r="B221">
        <f>HYPERLINK("http://comp.fnguide.com/SVO2/ASP/SVD_Consensus.asp?pGB=1&amp;gicode=A171120&amp;cID=&amp;MenuYn=Y&amp;ReportGB=&amp;NewMenuID=108&amp;stkGb=701", "라이온켐텍")</f>
        <v>0</v>
      </c>
      <c r="C221">
        <v>0</v>
      </c>
      <c r="D221">
        <v>7700</v>
      </c>
      <c r="E221">
        <v>-2.38</v>
      </c>
      <c r="F221">
        <v>13.68</v>
      </c>
      <c r="G221">
        <v>4765</v>
      </c>
      <c r="H221">
        <v>5550</v>
      </c>
      <c r="I221">
        <v>5774</v>
      </c>
      <c r="J221">
        <v>38.11</v>
      </c>
      <c r="K221">
        <v>27.92</v>
      </c>
      <c r="L221">
        <v>25.01</v>
      </c>
      <c r="M221">
        <v>6.25</v>
      </c>
      <c r="N221" t="b">
        <v>1</v>
      </c>
      <c r="O221">
        <v>567</v>
      </c>
      <c r="P221" t="s">
        <v>2151</v>
      </c>
      <c r="Q221" t="s">
        <v>3914</v>
      </c>
      <c r="R221">
        <v>-5.759414588277645</v>
      </c>
      <c r="S221">
        <v>1455</v>
      </c>
      <c r="T221">
        <v>35169</v>
      </c>
      <c r="U221" t="s">
        <v>6125</v>
      </c>
      <c r="V221">
        <v>67.78</v>
      </c>
      <c r="W221" t="s">
        <v>8311</v>
      </c>
      <c r="X221" t="s">
        <v>10139</v>
      </c>
      <c r="Y221">
        <v>1561</v>
      </c>
      <c r="Z221">
        <v>115</v>
      </c>
      <c r="AA221">
        <v>941751</v>
      </c>
      <c r="AB221">
        <v>1.88</v>
      </c>
    </row>
    <row r="222" spans="1:28">
      <c r="A222" s="2">
        <f>HYPERLINK("https://finance.naver.com/item/coinfo.nhn?code=009300", "A009300")</f>
        <v>0</v>
      </c>
      <c r="B222">
        <f>HYPERLINK("http://comp.fnguide.com/SVO2/ASP/SVD_Consensus.asp?pGB=1&amp;gicode=A009300&amp;cID=&amp;MenuYn=Y&amp;ReportGB=&amp;NewMenuID=108&amp;stkGb=701", "삼아제약")</f>
        <v>0</v>
      </c>
      <c r="C222">
        <v>3</v>
      </c>
      <c r="D222">
        <v>17300</v>
      </c>
      <c r="E222">
        <v>-0.23</v>
      </c>
      <c r="F222">
        <v>9.960000000000001</v>
      </c>
      <c r="G222">
        <v>19295</v>
      </c>
      <c r="H222">
        <v>24250</v>
      </c>
      <c r="I222">
        <v>25662</v>
      </c>
      <c r="J222">
        <v>-11.53</v>
      </c>
      <c r="K222">
        <v>-40.17</v>
      </c>
      <c r="L222">
        <v>-48.34</v>
      </c>
      <c r="M222">
        <v>5.58</v>
      </c>
      <c r="N222" t="b">
        <v>1</v>
      </c>
      <c r="O222">
        <v>1601</v>
      </c>
      <c r="P222" t="s">
        <v>241</v>
      </c>
      <c r="Q222" t="s">
        <v>2445</v>
      </c>
      <c r="R222">
        <v>-43.06373552609962</v>
      </c>
      <c r="S222">
        <v>1102</v>
      </c>
      <c r="T222">
        <v>17987</v>
      </c>
      <c r="U222" t="s">
        <v>4213</v>
      </c>
      <c r="V222">
        <v>65.58</v>
      </c>
      <c r="W222" t="s">
        <v>6433</v>
      </c>
      <c r="X222" t="s">
        <v>8604</v>
      </c>
      <c r="Y222">
        <v>716</v>
      </c>
      <c r="Z222">
        <v>104</v>
      </c>
      <c r="AA222">
        <v>266658</v>
      </c>
      <c r="AB222">
        <v>1.88</v>
      </c>
    </row>
    <row r="223" spans="1:28">
      <c r="A223" s="2">
        <f>HYPERLINK("https://finance.naver.com/item/coinfo.nhn?code=044820", "A044820")</f>
        <v>0</v>
      </c>
      <c r="B223">
        <f>HYPERLINK("http://comp.fnguide.com/SVO2/ASP/SVD_Consensus.asp?pGB=1&amp;gicode=A044820&amp;cID=&amp;MenuYn=Y&amp;ReportGB=&amp;NewMenuID=108&amp;stkGb=701", "코스맥스비티아이")</f>
        <v>0</v>
      </c>
      <c r="C223">
        <v>3</v>
      </c>
      <c r="D223">
        <v>16300</v>
      </c>
      <c r="E223">
        <v>-8.720000000000001</v>
      </c>
      <c r="F223">
        <v>323.72</v>
      </c>
      <c r="G223">
        <v>5512</v>
      </c>
      <c r="H223">
        <v>21562</v>
      </c>
      <c r="I223">
        <v>26135</v>
      </c>
      <c r="J223">
        <v>66.18000000000001</v>
      </c>
      <c r="K223">
        <v>-32.28</v>
      </c>
      <c r="L223">
        <v>-60.34</v>
      </c>
      <c r="M223">
        <v>1.36</v>
      </c>
      <c r="N223" t="b">
        <v>0</v>
      </c>
      <c r="O223">
        <v>42</v>
      </c>
      <c r="P223" t="s">
        <v>225</v>
      </c>
      <c r="Q223" t="s">
        <v>2430</v>
      </c>
      <c r="R223">
        <v>-37.13630955624794</v>
      </c>
      <c r="S223">
        <v>1565</v>
      </c>
      <c r="T223">
        <v>40818</v>
      </c>
      <c r="U223" t="s">
        <v>4197</v>
      </c>
      <c r="V223">
        <v>61.04</v>
      </c>
      <c r="W223" t="s">
        <v>6417</v>
      </c>
      <c r="X223" t="s">
        <v>8589</v>
      </c>
      <c r="Y223">
        <v>4684</v>
      </c>
      <c r="Z223">
        <v>-73</v>
      </c>
      <c r="AA223">
        <v>49082</v>
      </c>
      <c r="AB223">
        <v>1.86</v>
      </c>
    </row>
    <row r="224" spans="1:28">
      <c r="A224" s="2">
        <f>HYPERLINK("https://finance.naver.com/item/coinfo.nhn?code=036670", "A036670")</f>
        <v>0</v>
      </c>
      <c r="B224">
        <f>HYPERLINK("http://comp.fnguide.com/SVO2/ASP/SVD_Consensus.asp?pGB=1&amp;gicode=A036670&amp;cID=&amp;MenuYn=Y&amp;ReportGB=&amp;NewMenuID=108&amp;stkGb=701", "KCI")</f>
        <v>0</v>
      </c>
      <c r="C224">
        <v>1</v>
      </c>
      <c r="D224">
        <v>10200</v>
      </c>
      <c r="E224">
        <v>0.6</v>
      </c>
      <c r="F224">
        <v>10.71</v>
      </c>
      <c r="G224">
        <v>12554</v>
      </c>
      <c r="H224">
        <v>8646</v>
      </c>
      <c r="I224">
        <v>7533</v>
      </c>
      <c r="J224">
        <v>-23.08</v>
      </c>
      <c r="K224">
        <v>15.23</v>
      </c>
      <c r="L224">
        <v>26.15</v>
      </c>
      <c r="M224">
        <v>16.54</v>
      </c>
      <c r="N224" t="b">
        <v>1</v>
      </c>
      <c r="O224">
        <v>1013</v>
      </c>
      <c r="P224" t="s">
        <v>882</v>
      </c>
      <c r="Q224" t="s">
        <v>3038</v>
      </c>
      <c r="R224">
        <v>17.88612050714651</v>
      </c>
      <c r="S224">
        <v>1150</v>
      </c>
      <c r="T224">
        <v>128575</v>
      </c>
      <c r="U224" t="s">
        <v>4854</v>
      </c>
      <c r="V224">
        <v>50.02</v>
      </c>
      <c r="W224" t="s">
        <v>7074</v>
      </c>
      <c r="X224" t="s">
        <v>9200</v>
      </c>
      <c r="Y224">
        <v>696</v>
      </c>
      <c r="Z224">
        <v>145</v>
      </c>
      <c r="AA224">
        <v>509800</v>
      </c>
      <c r="AB224">
        <v>1.84</v>
      </c>
    </row>
    <row r="225" spans="1:28">
      <c r="A225" s="2">
        <f>HYPERLINK("https://finance.naver.com/item/coinfo.nhn?code=120030", "A120030")</f>
        <v>0</v>
      </c>
      <c r="B225">
        <f>HYPERLINK("http://comp.fnguide.com/SVO2/ASP/SVD_Consensus.asp?pGB=1&amp;gicode=A120030&amp;cID=&amp;MenuYn=Y&amp;ReportGB=&amp;NewMenuID=108&amp;stkGb=701", "조선선재")</f>
        <v>0</v>
      </c>
      <c r="C225">
        <v>3</v>
      </c>
      <c r="D225">
        <v>106500</v>
      </c>
      <c r="E225">
        <v>-1.57</v>
      </c>
      <c r="F225">
        <v>8.109999999999999</v>
      </c>
      <c r="G225">
        <v>168536</v>
      </c>
      <c r="H225">
        <v>130872</v>
      </c>
      <c r="I225">
        <v>120139</v>
      </c>
      <c r="J225">
        <v>-58.25</v>
      </c>
      <c r="K225">
        <v>-22.88</v>
      </c>
      <c r="L225">
        <v>-12.81</v>
      </c>
      <c r="M225">
        <v>12.69</v>
      </c>
      <c r="N225" t="b">
        <v>1</v>
      </c>
      <c r="O225">
        <v>10187</v>
      </c>
      <c r="P225" t="s">
        <v>218</v>
      </c>
      <c r="Q225" t="s">
        <v>2424</v>
      </c>
      <c r="R225">
        <v>-5.176120342330337</v>
      </c>
      <c r="S225">
        <v>1339</v>
      </c>
      <c r="T225">
        <v>4895</v>
      </c>
      <c r="U225" t="s">
        <v>4190</v>
      </c>
      <c r="V225">
        <v>51.84</v>
      </c>
      <c r="W225" t="s">
        <v>6410</v>
      </c>
      <c r="X225" t="s">
        <v>8583</v>
      </c>
      <c r="Y225">
        <v>640</v>
      </c>
      <c r="Z225">
        <v>141</v>
      </c>
      <c r="AA225">
        <v>213717</v>
      </c>
      <c r="AB225">
        <v>1.82</v>
      </c>
    </row>
    <row r="226" spans="1:28">
      <c r="A226" s="2">
        <f>HYPERLINK("https://finance.naver.com/item/coinfo.nhn?code=220630", "A220630")</f>
        <v>0</v>
      </c>
      <c r="B226">
        <f>HYPERLINK("http://comp.fnguide.com/SVO2/ASP/SVD_Consensus.asp?pGB=1&amp;gicode=A220630&amp;cID=&amp;MenuYn=Y&amp;ReportGB=&amp;NewMenuID=108&amp;stkGb=701", "해마로푸드서비스")</f>
        <v>0</v>
      </c>
      <c r="C226">
        <v>0</v>
      </c>
      <c r="D226">
        <v>3000</v>
      </c>
      <c r="E226">
        <v>0.82</v>
      </c>
      <c r="F226">
        <v>18.92</v>
      </c>
      <c r="G226">
        <v>2378</v>
      </c>
      <c r="H226">
        <v>1477</v>
      </c>
      <c r="I226">
        <v>1220</v>
      </c>
      <c r="J226">
        <v>20.74</v>
      </c>
      <c r="K226">
        <v>50.78</v>
      </c>
      <c r="L226">
        <v>59.34</v>
      </c>
      <c r="M226">
        <v>21.59</v>
      </c>
      <c r="N226" t="b">
        <v>1</v>
      </c>
      <c r="O226">
        <v>147</v>
      </c>
      <c r="P226" t="s">
        <v>904</v>
      </c>
      <c r="Q226" t="s">
        <v>3056</v>
      </c>
      <c r="R226">
        <v>22.96359882775478</v>
      </c>
      <c r="S226">
        <v>3055</v>
      </c>
      <c r="T226">
        <v>816449</v>
      </c>
      <c r="U226" t="s">
        <v>4876</v>
      </c>
      <c r="V226">
        <v>59.82</v>
      </c>
      <c r="W226" t="s">
        <v>7094</v>
      </c>
      <c r="X226" t="s">
        <v>9218</v>
      </c>
      <c r="Y226">
        <v>2889</v>
      </c>
      <c r="Z226">
        <v>190</v>
      </c>
      <c r="AA226">
        <v>8854397</v>
      </c>
      <c r="AB226">
        <v>1.8</v>
      </c>
    </row>
    <row r="227" spans="1:28">
      <c r="A227" s="2">
        <f>HYPERLINK("https://finance.naver.com/item/coinfo.nhn?code=251970", "A251970")</f>
        <v>0</v>
      </c>
      <c r="B227">
        <f>HYPERLINK("http://comp.fnguide.com/SVO2/ASP/SVD_Consensus.asp?pGB=1&amp;gicode=A251970&amp;cID=&amp;MenuYn=Y&amp;ReportGB=&amp;NewMenuID=108&amp;stkGb=701", "펌텍코리아")</f>
        <v>0</v>
      </c>
      <c r="C227">
        <v>3</v>
      </c>
      <c r="D227">
        <v>14800</v>
      </c>
      <c r="E227">
        <v>-2.33</v>
      </c>
      <c r="F227">
        <v>11.08</v>
      </c>
      <c r="G227">
        <v>35445</v>
      </c>
      <c r="H227">
        <v>21311</v>
      </c>
      <c r="I227">
        <v>17284</v>
      </c>
      <c r="J227">
        <v>-139.49</v>
      </c>
      <c r="K227">
        <v>-44</v>
      </c>
      <c r="L227">
        <v>-16.78</v>
      </c>
      <c r="M227">
        <v>23.7</v>
      </c>
      <c r="N227" t="b">
        <v>1</v>
      </c>
      <c r="O227">
        <v>1661</v>
      </c>
      <c r="P227" t="s">
        <v>677</v>
      </c>
      <c r="Q227" t="s">
        <v>2843</v>
      </c>
      <c r="R227">
        <v>-4.763855776294202</v>
      </c>
      <c r="S227">
        <v>1835</v>
      </c>
      <c r="T227">
        <v>30427</v>
      </c>
      <c r="U227" t="s">
        <v>4649</v>
      </c>
      <c r="V227">
        <v>61.4</v>
      </c>
      <c r="W227" t="s">
        <v>6869</v>
      </c>
      <c r="X227" t="s">
        <v>9006</v>
      </c>
      <c r="Y227">
        <v>1754</v>
      </c>
      <c r="Z227">
        <v>269</v>
      </c>
      <c r="AA227">
        <v>287382</v>
      </c>
      <c r="AB227">
        <v>1.79</v>
      </c>
    </row>
    <row r="228" spans="1:28">
      <c r="A228" s="2">
        <f>HYPERLINK("https://finance.naver.com/item/coinfo.nhn?code=163560", "A163560")</f>
        <v>0</v>
      </c>
      <c r="B228">
        <f>HYPERLINK("http://comp.fnguide.com/SVO2/ASP/SVD_Consensus.asp?pGB=1&amp;gicode=A163560&amp;cID=&amp;MenuYn=Y&amp;ReportGB=&amp;NewMenuID=108&amp;stkGb=701", "동일고무벨트")</f>
        <v>0</v>
      </c>
      <c r="C228">
        <v>3</v>
      </c>
      <c r="D228">
        <v>9680</v>
      </c>
      <c r="E228">
        <v>-0.5</v>
      </c>
      <c r="F228">
        <v>9.09</v>
      </c>
      <c r="G228">
        <v>7403</v>
      </c>
      <c r="H228">
        <v>11473</v>
      </c>
      <c r="I228">
        <v>12633</v>
      </c>
      <c r="J228">
        <v>23.52</v>
      </c>
      <c r="K228">
        <v>-18.53</v>
      </c>
      <c r="L228">
        <v>-30.51</v>
      </c>
      <c r="M228">
        <v>4.16</v>
      </c>
      <c r="N228" t="b">
        <v>1</v>
      </c>
      <c r="O228">
        <v>606</v>
      </c>
      <c r="P228" t="s">
        <v>489</v>
      </c>
      <c r="Q228" t="s">
        <v>2665</v>
      </c>
      <c r="R228">
        <v>-18.09867213398017</v>
      </c>
      <c r="S228">
        <v>1321</v>
      </c>
      <c r="T228">
        <v>111579</v>
      </c>
      <c r="U228" t="s">
        <v>4461</v>
      </c>
      <c r="V228">
        <v>69.76000000000001</v>
      </c>
      <c r="W228" t="s">
        <v>6681</v>
      </c>
      <c r="X228" t="s">
        <v>8828</v>
      </c>
      <c r="Y228">
        <v>2619</v>
      </c>
      <c r="Z228">
        <v>144</v>
      </c>
      <c r="AA228">
        <v>1691</v>
      </c>
      <c r="AB228">
        <v>1.78</v>
      </c>
    </row>
    <row r="229" spans="1:28">
      <c r="A229" s="2">
        <f>HYPERLINK("https://finance.naver.com/item/coinfo.nhn?code=033290", "A033290")</f>
        <v>0</v>
      </c>
      <c r="B229">
        <f>HYPERLINK("http://comp.fnguide.com/SVO2/ASP/SVD_Consensus.asp?pGB=1&amp;gicode=A033290&amp;cID=&amp;MenuYn=Y&amp;ReportGB=&amp;NewMenuID=108&amp;stkGb=701", "코웰패션")</f>
        <v>0</v>
      </c>
      <c r="C229">
        <v>1</v>
      </c>
      <c r="D229">
        <v>5690</v>
      </c>
      <c r="E229">
        <v>0.24</v>
      </c>
      <c r="F229">
        <v>9.93</v>
      </c>
      <c r="G229">
        <v>9271</v>
      </c>
      <c r="H229">
        <v>5459</v>
      </c>
      <c r="I229">
        <v>4373</v>
      </c>
      <c r="J229">
        <v>-62.94</v>
      </c>
      <c r="K229">
        <v>4.05</v>
      </c>
      <c r="L229">
        <v>23.14</v>
      </c>
      <c r="M229">
        <v>25.25</v>
      </c>
      <c r="N229" t="b">
        <v>1</v>
      </c>
      <c r="O229">
        <v>568</v>
      </c>
      <c r="P229" t="s">
        <v>854</v>
      </c>
      <c r="Q229" t="s">
        <v>3011</v>
      </c>
      <c r="R229">
        <v>41.20509158442094</v>
      </c>
      <c r="S229">
        <v>5036</v>
      </c>
      <c r="T229">
        <v>285997</v>
      </c>
      <c r="U229" t="s">
        <v>4826</v>
      </c>
      <c r="V229">
        <v>70.83</v>
      </c>
      <c r="W229" t="s">
        <v>7046</v>
      </c>
      <c r="X229" t="s">
        <v>9173</v>
      </c>
      <c r="Y229">
        <v>3947</v>
      </c>
      <c r="Z229">
        <v>761</v>
      </c>
      <c r="AA229">
        <v>5171107</v>
      </c>
      <c r="AB229">
        <v>1.77</v>
      </c>
    </row>
    <row r="230" spans="1:28">
      <c r="A230" s="2">
        <f>HYPERLINK("https://finance.naver.com/item/coinfo.nhn?code=066620", "A066620")</f>
        <v>0</v>
      </c>
      <c r="B230">
        <f>HYPERLINK("http://comp.fnguide.com/SVO2/ASP/SVD_Consensus.asp?pGB=1&amp;gicode=A066620&amp;cID=&amp;MenuYn=Y&amp;ReportGB=&amp;NewMenuID=108&amp;stkGb=701", "국보디자인")</f>
        <v>0</v>
      </c>
      <c r="C230">
        <v>3</v>
      </c>
      <c r="D230">
        <v>17450</v>
      </c>
      <c r="E230">
        <v>0.65</v>
      </c>
      <c r="F230">
        <v>8.02</v>
      </c>
      <c r="G230">
        <v>30894</v>
      </c>
      <c r="H230">
        <v>23120</v>
      </c>
      <c r="I230">
        <v>20905</v>
      </c>
      <c r="J230">
        <v>-77.04000000000001</v>
      </c>
      <c r="K230">
        <v>-32.49</v>
      </c>
      <c r="L230">
        <v>-19.8</v>
      </c>
      <c r="M230">
        <v>13.71</v>
      </c>
      <c r="N230" t="b">
        <v>1</v>
      </c>
      <c r="O230">
        <v>2126</v>
      </c>
      <c r="P230" t="s">
        <v>390</v>
      </c>
      <c r="Q230" t="s">
        <v>2575</v>
      </c>
      <c r="R230">
        <v>12.42884827928215</v>
      </c>
      <c r="S230">
        <v>1309</v>
      </c>
      <c r="T230">
        <v>51571</v>
      </c>
      <c r="U230" t="s">
        <v>4362</v>
      </c>
      <c r="V230">
        <v>53.09</v>
      </c>
      <c r="W230" t="s">
        <v>6582</v>
      </c>
      <c r="X230" t="s">
        <v>8736</v>
      </c>
      <c r="Y230">
        <v>2690</v>
      </c>
      <c r="Z230">
        <v>116</v>
      </c>
      <c r="AA230">
        <v>627314</v>
      </c>
      <c r="AB230">
        <v>1.76</v>
      </c>
    </row>
    <row r="231" spans="1:28">
      <c r="A231" s="2">
        <f>HYPERLINK("https://finance.naver.com/item/coinfo.nhn?code=126560", "A126560")</f>
        <v>0</v>
      </c>
      <c r="B231">
        <f>HYPERLINK("http://comp.fnguide.com/SVO2/ASP/SVD_Consensus.asp?pGB=1&amp;gicode=A126560&amp;cID=&amp;MenuYn=Y&amp;ReportGB=&amp;NewMenuID=108&amp;stkGb=701", "현대퓨처넷")</f>
        <v>0</v>
      </c>
      <c r="C231">
        <v>3</v>
      </c>
      <c r="D231">
        <v>3285</v>
      </c>
      <c r="E231">
        <v>-2.83</v>
      </c>
      <c r="F231">
        <v>10.18</v>
      </c>
      <c r="G231">
        <v>4761</v>
      </c>
      <c r="H231">
        <v>5945</v>
      </c>
      <c r="I231">
        <v>6282</v>
      </c>
      <c r="J231">
        <v>-44.92</v>
      </c>
      <c r="K231">
        <v>-80.97</v>
      </c>
      <c r="L231">
        <v>-91.23999999999999</v>
      </c>
      <c r="M231">
        <v>5.64</v>
      </c>
      <c r="N231" t="b">
        <v>1</v>
      </c>
      <c r="O231">
        <v>335</v>
      </c>
      <c r="P231" t="s">
        <v>109</v>
      </c>
      <c r="Q231" t="s">
        <v>2324</v>
      </c>
      <c r="R231">
        <v>-3.602039594355855</v>
      </c>
      <c r="S231">
        <v>3708</v>
      </c>
      <c r="T231">
        <v>174173</v>
      </c>
      <c r="U231" t="s">
        <v>4081</v>
      </c>
      <c r="V231">
        <v>66.20999999999999</v>
      </c>
      <c r="W231" t="s">
        <v>6301</v>
      </c>
      <c r="X231" t="s">
        <v>8482</v>
      </c>
      <c r="Y231">
        <v>2929</v>
      </c>
      <c r="Z231">
        <v>408</v>
      </c>
      <c r="AA231">
        <v>2723241</v>
      </c>
      <c r="AB231">
        <v>1.76</v>
      </c>
    </row>
    <row r="232" spans="1:28">
      <c r="A232" s="2">
        <f>HYPERLINK("https://finance.naver.com/item/coinfo.nhn?code=031980", "A031980")</f>
        <v>0</v>
      </c>
      <c r="B232">
        <f>HYPERLINK("http://comp.fnguide.com/SVO2/ASP/SVD_Consensus.asp?pGB=1&amp;gicode=A031980&amp;cID=&amp;MenuYn=Y&amp;ReportGB=&amp;NewMenuID=108&amp;stkGb=701", "피에스케이홀딩스")</f>
        <v>0</v>
      </c>
      <c r="C232">
        <v>0</v>
      </c>
      <c r="D232">
        <v>7790</v>
      </c>
      <c r="E232">
        <v>0.36</v>
      </c>
      <c r="F232">
        <v>9.369999999999999</v>
      </c>
      <c r="G232">
        <v>7142</v>
      </c>
      <c r="H232">
        <v>5577</v>
      </c>
      <c r="I232">
        <v>5131</v>
      </c>
      <c r="J232">
        <v>8.31</v>
      </c>
      <c r="K232">
        <v>28.4</v>
      </c>
      <c r="L232">
        <v>34.13</v>
      </c>
      <c r="M232">
        <v>12.54</v>
      </c>
      <c r="N232" t="b">
        <v>1</v>
      </c>
      <c r="O232">
        <v>912</v>
      </c>
      <c r="P232" t="s">
        <v>1128</v>
      </c>
      <c r="Q232" t="s">
        <v>3222</v>
      </c>
      <c r="R232">
        <v>26.33485224936758</v>
      </c>
      <c r="S232">
        <v>1680</v>
      </c>
      <c r="T232">
        <v>17990</v>
      </c>
      <c r="U232" t="s">
        <v>5099</v>
      </c>
      <c r="V232">
        <v>74.23</v>
      </c>
      <c r="W232" t="s">
        <v>7315</v>
      </c>
      <c r="X232" t="s">
        <v>9378</v>
      </c>
      <c r="Y232">
        <v>421</v>
      </c>
      <c r="Z232">
        <v>15</v>
      </c>
      <c r="AA232">
        <v>1992515</v>
      </c>
      <c r="AB232">
        <v>1.76</v>
      </c>
    </row>
    <row r="233" spans="1:28">
      <c r="A233" s="2">
        <f>HYPERLINK("https://finance.naver.com/item/coinfo.nhn?code=317400", "A317400")</f>
        <v>0</v>
      </c>
      <c r="B233">
        <f>HYPERLINK("http://comp.fnguide.com/SVO2/ASP/SVD_Consensus.asp?pGB=1&amp;gicode=A317400&amp;cID=&amp;MenuYn=Y&amp;ReportGB=&amp;NewMenuID=108&amp;stkGb=701", "자이에스앤디")</f>
        <v>0</v>
      </c>
      <c r="C233">
        <v>1</v>
      </c>
      <c r="D233">
        <v>9770</v>
      </c>
      <c r="E233">
        <v>-2.62</v>
      </c>
      <c r="F233">
        <v>8.449999999999999</v>
      </c>
      <c r="G233">
        <v>11925</v>
      </c>
      <c r="H233">
        <v>8015</v>
      </c>
      <c r="I233">
        <v>6901</v>
      </c>
      <c r="J233">
        <v>-22.06</v>
      </c>
      <c r="K233">
        <v>17.96</v>
      </c>
      <c r="L233">
        <v>29.36</v>
      </c>
      <c r="M233">
        <v>17.54</v>
      </c>
      <c r="N233" t="b">
        <v>1</v>
      </c>
      <c r="O233">
        <v>676</v>
      </c>
      <c r="P233" t="s">
        <v>845</v>
      </c>
      <c r="Q233" t="s">
        <v>3002</v>
      </c>
      <c r="R233">
        <v>-3.226821046745387</v>
      </c>
      <c r="S233">
        <v>2617</v>
      </c>
      <c r="T233">
        <v>223409</v>
      </c>
      <c r="U233" t="s">
        <v>4817</v>
      </c>
      <c r="V233">
        <v>61.17</v>
      </c>
      <c r="W233" t="s">
        <v>7037</v>
      </c>
      <c r="X233" t="s">
        <v>9165</v>
      </c>
      <c r="Y233">
        <v>2779</v>
      </c>
      <c r="Z233">
        <v>165</v>
      </c>
      <c r="AB233">
        <v>1.75</v>
      </c>
    </row>
    <row r="234" spans="1:28">
      <c r="A234" s="2">
        <f>HYPERLINK("https://finance.naver.com/item/coinfo.nhn?code=067730", "A067730")</f>
        <v>0</v>
      </c>
      <c r="B234">
        <f>HYPERLINK("http://comp.fnguide.com/SVO2/ASP/SVD_Consensus.asp?pGB=1&amp;gicode=A067730&amp;cID=&amp;MenuYn=Y&amp;ReportGB=&amp;NewMenuID=108&amp;stkGb=701", "로지시스")</f>
        <v>0</v>
      </c>
      <c r="C234">
        <v>0</v>
      </c>
      <c r="D234">
        <v>5190</v>
      </c>
      <c r="G234">
        <v>459</v>
      </c>
      <c r="H234">
        <v>1193</v>
      </c>
      <c r="I234">
        <v>1402</v>
      </c>
      <c r="J234">
        <v>91.16</v>
      </c>
      <c r="K234">
        <v>77.01000000000001</v>
      </c>
      <c r="L234">
        <v>72.98</v>
      </c>
      <c r="M234">
        <v>2.18</v>
      </c>
      <c r="N234" t="b">
        <v>0</v>
      </c>
      <c r="O234">
        <v>-106</v>
      </c>
      <c r="P234" t="s">
        <v>2159</v>
      </c>
      <c r="Q234" t="s">
        <v>3922</v>
      </c>
      <c r="R234">
        <v>2.238886452197697</v>
      </c>
      <c r="S234">
        <v>485</v>
      </c>
      <c r="T234">
        <v>76261</v>
      </c>
      <c r="U234" t="s">
        <v>6133</v>
      </c>
      <c r="V234">
        <v>64.47</v>
      </c>
      <c r="W234" t="s">
        <v>8319</v>
      </c>
      <c r="X234" t="s">
        <v>10146</v>
      </c>
      <c r="Y234">
        <v>334</v>
      </c>
      <c r="Z234">
        <v>4</v>
      </c>
      <c r="AB234">
        <v>1.74</v>
      </c>
    </row>
    <row r="235" spans="1:28">
      <c r="A235" s="2">
        <f>HYPERLINK("https://finance.naver.com/item/coinfo.nhn?code=067280", "A067280")</f>
        <v>0</v>
      </c>
      <c r="B235">
        <f>HYPERLINK("http://comp.fnguide.com/SVO2/ASP/SVD_Consensus.asp?pGB=1&amp;gicode=A067280&amp;cID=&amp;MenuYn=Y&amp;ReportGB=&amp;NewMenuID=108&amp;stkGb=701", "멀티캠퍼스")</f>
        <v>0</v>
      </c>
      <c r="C235">
        <v>1</v>
      </c>
      <c r="D235">
        <v>33450</v>
      </c>
      <c r="E235">
        <v>-1.49</v>
      </c>
      <c r="F235">
        <v>11.03</v>
      </c>
      <c r="G235">
        <v>42027</v>
      </c>
      <c r="H235">
        <v>27897</v>
      </c>
      <c r="I235">
        <v>23870</v>
      </c>
      <c r="J235">
        <v>-25.64</v>
      </c>
      <c r="K235">
        <v>16.6</v>
      </c>
      <c r="L235">
        <v>28.64</v>
      </c>
      <c r="M235">
        <v>18.1</v>
      </c>
      <c r="N235" t="b">
        <v>1</v>
      </c>
      <c r="O235">
        <v>3143</v>
      </c>
      <c r="P235" t="s">
        <v>881</v>
      </c>
      <c r="Q235" t="s">
        <v>3037</v>
      </c>
      <c r="R235">
        <v>-7.409942503135259</v>
      </c>
      <c r="S235">
        <v>1983</v>
      </c>
      <c r="T235">
        <v>10729</v>
      </c>
      <c r="U235" t="s">
        <v>4853</v>
      </c>
      <c r="V235">
        <v>62.44</v>
      </c>
      <c r="W235" t="s">
        <v>7073</v>
      </c>
      <c r="X235" t="s">
        <v>9199</v>
      </c>
      <c r="Y235">
        <v>2880</v>
      </c>
      <c r="Z235">
        <v>242</v>
      </c>
      <c r="AB235">
        <v>1.73</v>
      </c>
    </row>
    <row r="236" spans="1:28">
      <c r="A236" s="2">
        <f>HYPERLINK("https://finance.naver.com/item/coinfo.nhn?code=111110", "A111110")</f>
        <v>0</v>
      </c>
      <c r="B236">
        <f>HYPERLINK("http://comp.fnguide.com/SVO2/ASP/SVD_Consensus.asp?pGB=1&amp;gicode=A111110&amp;cID=&amp;MenuYn=Y&amp;ReportGB=&amp;NewMenuID=108&amp;stkGb=701", "호전실업")</f>
        <v>0</v>
      </c>
      <c r="C236">
        <v>3</v>
      </c>
      <c r="D236">
        <v>9200</v>
      </c>
      <c r="E236">
        <v>-0.93</v>
      </c>
      <c r="F236">
        <v>44.41</v>
      </c>
      <c r="G236">
        <v>6508</v>
      </c>
      <c r="H236">
        <v>12528</v>
      </c>
      <c r="I236">
        <v>14244</v>
      </c>
      <c r="J236">
        <v>29.26</v>
      </c>
      <c r="K236">
        <v>-36.18</v>
      </c>
      <c r="L236">
        <v>-54.82</v>
      </c>
      <c r="M236">
        <v>3.14</v>
      </c>
      <c r="N236" t="b">
        <v>1</v>
      </c>
      <c r="O236">
        <v>327</v>
      </c>
      <c r="P236" t="s">
        <v>112</v>
      </c>
      <c r="Q236" t="s">
        <v>2327</v>
      </c>
      <c r="R236">
        <v>-47.60788978539395</v>
      </c>
      <c r="S236">
        <v>736</v>
      </c>
      <c r="T236">
        <v>77645</v>
      </c>
      <c r="U236" t="s">
        <v>4084</v>
      </c>
      <c r="V236">
        <v>51.06</v>
      </c>
      <c r="W236" t="s">
        <v>6304</v>
      </c>
      <c r="X236" t="s">
        <v>8485</v>
      </c>
      <c r="Y236">
        <v>3098</v>
      </c>
      <c r="Z236">
        <v>193</v>
      </c>
      <c r="AA236">
        <v>497472</v>
      </c>
      <c r="AB236">
        <v>1.72</v>
      </c>
    </row>
    <row r="237" spans="1:28">
      <c r="A237" s="2">
        <f>HYPERLINK("https://finance.naver.com/item/coinfo.nhn?code=318010", "A318010")</f>
        <v>0</v>
      </c>
      <c r="B237">
        <f>HYPERLINK("http://comp.fnguide.com/SVO2/ASP/SVD_Consensus.asp?pGB=1&amp;gicode=A318010&amp;cID=&amp;MenuYn=Y&amp;ReportGB=&amp;NewMenuID=108&amp;stkGb=701", "팜스빌")</f>
        <v>0</v>
      </c>
      <c r="C237">
        <v>1</v>
      </c>
      <c r="D237">
        <v>11050</v>
      </c>
      <c r="E237">
        <v>-2.45</v>
      </c>
      <c r="F237">
        <v>10.71</v>
      </c>
      <c r="G237">
        <v>14025</v>
      </c>
      <c r="H237">
        <v>9841</v>
      </c>
      <c r="I237">
        <v>8648</v>
      </c>
      <c r="J237">
        <v>-26.92</v>
      </c>
      <c r="K237">
        <v>10.95</v>
      </c>
      <c r="L237">
        <v>21.74</v>
      </c>
      <c r="M237">
        <v>15.83</v>
      </c>
      <c r="N237" t="b">
        <v>1</v>
      </c>
      <c r="O237">
        <v>1092</v>
      </c>
      <c r="P237" t="s">
        <v>887</v>
      </c>
      <c r="Q237" t="s">
        <v>3043</v>
      </c>
      <c r="R237">
        <v>-4.373925992095085</v>
      </c>
      <c r="S237">
        <v>876</v>
      </c>
      <c r="T237">
        <v>46574</v>
      </c>
      <c r="U237" t="s">
        <v>4859</v>
      </c>
      <c r="V237">
        <v>70.37</v>
      </c>
      <c r="W237" t="s">
        <v>7079</v>
      </c>
      <c r="X237" t="s">
        <v>9205</v>
      </c>
      <c r="Y237">
        <v>300</v>
      </c>
      <c r="Z237">
        <v>71</v>
      </c>
      <c r="AA237">
        <v>82908</v>
      </c>
      <c r="AB237">
        <v>1.71</v>
      </c>
    </row>
    <row r="238" spans="1:28">
      <c r="A238" s="2">
        <f>HYPERLINK("https://finance.naver.com/item/coinfo.nhn?code=002240", "A002240")</f>
        <v>0</v>
      </c>
      <c r="B238">
        <f>HYPERLINK("http://comp.fnguide.com/SVO2/ASP/SVD_Consensus.asp?pGB=1&amp;gicode=A002240&amp;cID=&amp;MenuYn=Y&amp;ReportGB=&amp;NewMenuID=108&amp;stkGb=701", "고려제강")</f>
        <v>0</v>
      </c>
      <c r="C238">
        <v>3</v>
      </c>
      <c r="D238">
        <v>15200</v>
      </c>
      <c r="E238">
        <v>-2.7</v>
      </c>
      <c r="F238">
        <v>41.18</v>
      </c>
      <c r="G238">
        <v>6349</v>
      </c>
      <c r="H238">
        <v>43902</v>
      </c>
      <c r="I238">
        <v>54602</v>
      </c>
      <c r="J238">
        <v>58.23</v>
      </c>
      <c r="K238">
        <v>-188.83</v>
      </c>
      <c r="L238">
        <v>-259.22</v>
      </c>
      <c r="M238">
        <v>0.73</v>
      </c>
      <c r="N238" t="b">
        <v>0</v>
      </c>
      <c r="O238">
        <v>499</v>
      </c>
      <c r="P238" t="s">
        <v>599</v>
      </c>
      <c r="Q238" t="s">
        <v>2771</v>
      </c>
      <c r="R238">
        <v>-15.26801839077763</v>
      </c>
      <c r="S238">
        <v>3040</v>
      </c>
      <c r="T238">
        <v>78925</v>
      </c>
      <c r="U238" t="s">
        <v>4571</v>
      </c>
      <c r="V238">
        <v>67.34999999999999</v>
      </c>
      <c r="W238" t="s">
        <v>6791</v>
      </c>
      <c r="X238" t="s">
        <v>8934</v>
      </c>
      <c r="Y238">
        <v>16397</v>
      </c>
      <c r="Z238">
        <v>317</v>
      </c>
      <c r="AA238">
        <v>5616</v>
      </c>
      <c r="AB238">
        <v>1.7</v>
      </c>
    </row>
    <row r="239" spans="1:28">
      <c r="A239" s="2">
        <f>HYPERLINK("https://finance.naver.com/item/coinfo.nhn?code=286940", "A286940")</f>
        <v>0</v>
      </c>
      <c r="B239">
        <f>HYPERLINK("http://comp.fnguide.com/SVO2/ASP/SVD_Consensus.asp?pGB=1&amp;gicode=A286940&amp;cID=&amp;MenuYn=Y&amp;ReportGB=&amp;NewMenuID=108&amp;stkGb=701", "롯데정보통신")</f>
        <v>0</v>
      </c>
      <c r="C239">
        <v>0</v>
      </c>
      <c r="D239">
        <v>36550</v>
      </c>
      <c r="E239">
        <v>0</v>
      </c>
      <c r="F239">
        <v>11.21</v>
      </c>
      <c r="G239">
        <v>34325</v>
      </c>
      <c r="H239">
        <v>29205</v>
      </c>
      <c r="I239">
        <v>27746</v>
      </c>
      <c r="J239">
        <v>6.09</v>
      </c>
      <c r="K239">
        <v>20.1</v>
      </c>
      <c r="L239">
        <v>24.09</v>
      </c>
      <c r="M239">
        <v>10.6</v>
      </c>
      <c r="N239" t="b">
        <v>1</v>
      </c>
      <c r="O239">
        <v>3679</v>
      </c>
      <c r="P239" t="s">
        <v>1801</v>
      </c>
      <c r="Q239" t="s">
        <v>3686</v>
      </c>
      <c r="R239">
        <v>0</v>
      </c>
      <c r="S239">
        <v>5627</v>
      </c>
      <c r="T239">
        <v>36455</v>
      </c>
      <c r="U239" t="s">
        <v>5771</v>
      </c>
      <c r="V239">
        <v>65.02</v>
      </c>
      <c r="W239" t="s">
        <v>7969</v>
      </c>
      <c r="X239" t="s">
        <v>9895</v>
      </c>
      <c r="Y239">
        <v>8457</v>
      </c>
      <c r="Z239">
        <v>411</v>
      </c>
      <c r="AA239">
        <v>266964</v>
      </c>
      <c r="AB239">
        <v>1.7</v>
      </c>
    </row>
    <row r="240" spans="1:28">
      <c r="A240" s="2">
        <f>HYPERLINK("https://finance.naver.com/item/coinfo.nhn?code=014820", "A014820")</f>
        <v>0</v>
      </c>
      <c r="B240">
        <f>HYPERLINK("http://comp.fnguide.com/SVO2/ASP/SVD_Consensus.asp?pGB=1&amp;gicode=A014820&amp;cID=&amp;MenuYn=Y&amp;ReportGB=&amp;NewMenuID=108&amp;stkGb=701", "동원시스템즈")</f>
        <v>0</v>
      </c>
      <c r="C240">
        <v>0</v>
      </c>
      <c r="D240">
        <v>29700</v>
      </c>
      <c r="E240">
        <v>2.8</v>
      </c>
      <c r="F240">
        <v>19.94</v>
      </c>
      <c r="G240">
        <v>27323</v>
      </c>
      <c r="H240">
        <v>21630</v>
      </c>
      <c r="I240">
        <v>20007</v>
      </c>
      <c r="J240">
        <v>8</v>
      </c>
      <c r="K240">
        <v>27.17</v>
      </c>
      <c r="L240">
        <v>32.64</v>
      </c>
      <c r="M240">
        <v>12.2</v>
      </c>
      <c r="N240" t="b">
        <v>1</v>
      </c>
      <c r="O240">
        <v>1474</v>
      </c>
      <c r="P240" t="s">
        <v>1685</v>
      </c>
      <c r="Q240" t="s">
        <v>3595</v>
      </c>
      <c r="R240">
        <v>7.128516418889008</v>
      </c>
      <c r="S240">
        <v>7609</v>
      </c>
      <c r="T240">
        <v>48402</v>
      </c>
      <c r="U240" t="s">
        <v>5655</v>
      </c>
      <c r="V240">
        <v>80.83</v>
      </c>
      <c r="W240" t="s">
        <v>7853</v>
      </c>
      <c r="X240" t="s">
        <v>9796</v>
      </c>
      <c r="Y240">
        <v>10424</v>
      </c>
      <c r="Z240">
        <v>752</v>
      </c>
      <c r="AA240">
        <v>197105</v>
      </c>
      <c r="AB240">
        <v>1.7</v>
      </c>
    </row>
    <row r="241" spans="1:28">
      <c r="A241" s="2">
        <f>HYPERLINK("https://finance.naver.com/item/coinfo.nhn?code=054050", "A054050")</f>
        <v>0</v>
      </c>
      <c r="B241">
        <f>HYPERLINK("http://comp.fnguide.com/SVO2/ASP/SVD_Consensus.asp?pGB=1&amp;gicode=A054050&amp;cID=&amp;MenuYn=Y&amp;ReportGB=&amp;NewMenuID=108&amp;stkGb=701", "농우바이오")</f>
        <v>0</v>
      </c>
      <c r="C241">
        <v>3</v>
      </c>
      <c r="D241">
        <v>10400</v>
      </c>
      <c r="E241">
        <v>-6.17</v>
      </c>
      <c r="F241">
        <v>27.2</v>
      </c>
      <c r="G241">
        <v>12994</v>
      </c>
      <c r="H241">
        <v>13837</v>
      </c>
      <c r="I241">
        <v>14078</v>
      </c>
      <c r="J241">
        <v>-24.95</v>
      </c>
      <c r="K241">
        <v>-33.05</v>
      </c>
      <c r="L241">
        <v>-35.36</v>
      </c>
      <c r="M241">
        <v>7.19</v>
      </c>
      <c r="N241" t="b">
        <v>0</v>
      </c>
      <c r="O241">
        <v>436</v>
      </c>
      <c r="P241" t="s">
        <v>357</v>
      </c>
      <c r="Q241" t="s">
        <v>2545</v>
      </c>
      <c r="R241">
        <v>-4.407383873574999</v>
      </c>
      <c r="S241">
        <v>1667</v>
      </c>
      <c r="T241">
        <v>55679</v>
      </c>
      <c r="U241" t="s">
        <v>4329</v>
      </c>
      <c r="V241">
        <v>57.91</v>
      </c>
      <c r="W241" t="s">
        <v>6549</v>
      </c>
      <c r="X241" t="s">
        <v>8703</v>
      </c>
      <c r="Y241">
        <v>1213</v>
      </c>
      <c r="Z241">
        <v>39</v>
      </c>
      <c r="AB241">
        <v>1.69</v>
      </c>
    </row>
    <row r="242" spans="1:28">
      <c r="A242" s="2">
        <f>HYPERLINK("https://finance.naver.com/item/coinfo.nhn?code=189980", "A189980")</f>
        <v>0</v>
      </c>
      <c r="B242">
        <f>HYPERLINK("http://comp.fnguide.com/SVO2/ASP/SVD_Consensus.asp?pGB=1&amp;gicode=A189980&amp;cID=&amp;MenuYn=Y&amp;ReportGB=&amp;NewMenuID=108&amp;stkGb=701", "흥국에프엔비")</f>
        <v>0</v>
      </c>
      <c r="C242">
        <v>0</v>
      </c>
      <c r="D242">
        <v>1755</v>
      </c>
      <c r="E242">
        <v>-0.74</v>
      </c>
      <c r="F242">
        <v>12.32</v>
      </c>
      <c r="G242">
        <v>1449</v>
      </c>
      <c r="H242">
        <v>1625</v>
      </c>
      <c r="I242">
        <v>1675</v>
      </c>
      <c r="J242">
        <v>17.44</v>
      </c>
      <c r="K242">
        <v>7.4</v>
      </c>
      <c r="L242">
        <v>4.54</v>
      </c>
      <c r="M242">
        <v>6.63</v>
      </c>
      <c r="N242" t="b">
        <v>1</v>
      </c>
      <c r="O242">
        <v>144</v>
      </c>
      <c r="P242" t="s">
        <v>942</v>
      </c>
      <c r="Q242" t="s">
        <v>3087</v>
      </c>
      <c r="R242">
        <v>-16.75890964047847</v>
      </c>
      <c r="S242">
        <v>654</v>
      </c>
      <c r="T242">
        <v>860854</v>
      </c>
      <c r="U242" t="s">
        <v>4914</v>
      </c>
      <c r="V242">
        <v>50.24</v>
      </c>
      <c r="W242" t="s">
        <v>7132</v>
      </c>
      <c r="X242" t="s">
        <v>9248</v>
      </c>
      <c r="Y242">
        <v>538</v>
      </c>
      <c r="Z242">
        <v>58</v>
      </c>
      <c r="AA242">
        <v>1594580</v>
      </c>
      <c r="AB242">
        <v>1.69</v>
      </c>
    </row>
    <row r="243" spans="1:28">
      <c r="A243" s="2">
        <f>HYPERLINK("https://finance.naver.com/item/coinfo.nhn?code=025820", "A025820")</f>
        <v>0</v>
      </c>
      <c r="B243">
        <f>HYPERLINK("http://comp.fnguide.com/SVO2/ASP/SVD_Consensus.asp?pGB=1&amp;gicode=A025820&amp;cID=&amp;MenuYn=Y&amp;ReportGB=&amp;NewMenuID=108&amp;stkGb=701", "이구산업")</f>
        <v>0</v>
      </c>
      <c r="C243">
        <v>3</v>
      </c>
      <c r="D243">
        <v>2045</v>
      </c>
      <c r="G243">
        <v>673</v>
      </c>
      <c r="H243">
        <v>2087</v>
      </c>
      <c r="I243">
        <v>2490</v>
      </c>
      <c r="J243">
        <v>67.06999999999999</v>
      </c>
      <c r="K243">
        <v>-2.06</v>
      </c>
      <c r="L243">
        <v>-21.75</v>
      </c>
      <c r="M243">
        <v>1.77</v>
      </c>
      <c r="N243" t="b">
        <v>0</v>
      </c>
      <c r="O243">
        <v>-100</v>
      </c>
      <c r="P243" t="s">
        <v>134</v>
      </c>
      <c r="Q243" t="s">
        <v>2345</v>
      </c>
      <c r="R243">
        <v>150</v>
      </c>
      <c r="S243">
        <v>684</v>
      </c>
      <c r="T243">
        <v>3686411</v>
      </c>
      <c r="U243" t="s">
        <v>4106</v>
      </c>
      <c r="V243">
        <v>51.4</v>
      </c>
      <c r="W243" t="s">
        <v>6326</v>
      </c>
      <c r="X243" t="s">
        <v>8506</v>
      </c>
      <c r="Y243">
        <v>2103</v>
      </c>
      <c r="Z243">
        <v>6</v>
      </c>
      <c r="AA243">
        <v>1211</v>
      </c>
      <c r="AB243">
        <v>1.69</v>
      </c>
    </row>
    <row r="244" spans="1:28">
      <c r="A244" s="2">
        <f>HYPERLINK("https://finance.naver.com/item/coinfo.nhn?code=048430", "A048430")</f>
        <v>0</v>
      </c>
      <c r="B244">
        <f>HYPERLINK("http://comp.fnguide.com/SVO2/ASP/SVD_Consensus.asp?pGB=1&amp;gicode=A048430&amp;cID=&amp;MenuYn=Y&amp;ReportGB=&amp;NewMenuID=108&amp;stkGb=701", "유라테크")</f>
        <v>0</v>
      </c>
      <c r="C244">
        <v>0</v>
      </c>
      <c r="D244">
        <v>14050</v>
      </c>
      <c r="E244">
        <v>-3.48</v>
      </c>
      <c r="F244">
        <v>29.63</v>
      </c>
      <c r="G244">
        <v>3597</v>
      </c>
      <c r="H244">
        <v>7086</v>
      </c>
      <c r="I244">
        <v>8080</v>
      </c>
      <c r="J244">
        <v>74.40000000000001</v>
      </c>
      <c r="K244">
        <v>49.57</v>
      </c>
      <c r="L244">
        <v>42.49</v>
      </c>
      <c r="M244">
        <v>3.05</v>
      </c>
      <c r="N244" t="b">
        <v>1</v>
      </c>
      <c r="O244">
        <v>201</v>
      </c>
      <c r="P244" t="s">
        <v>1359</v>
      </c>
      <c r="Q244" t="s">
        <v>3358</v>
      </c>
      <c r="R244">
        <v>-8.502674796693732</v>
      </c>
      <c r="S244">
        <v>1619</v>
      </c>
      <c r="T244">
        <v>436782</v>
      </c>
      <c r="U244" t="s">
        <v>5330</v>
      </c>
      <c r="V244">
        <v>69.69</v>
      </c>
      <c r="W244" t="s">
        <v>7534</v>
      </c>
      <c r="X244" t="s">
        <v>9535</v>
      </c>
      <c r="Y244">
        <v>2035</v>
      </c>
      <c r="Z244">
        <v>22</v>
      </c>
      <c r="AA244">
        <v>67048</v>
      </c>
      <c r="AB244">
        <v>1.68</v>
      </c>
    </row>
    <row r="245" spans="1:28">
      <c r="A245" s="2">
        <f>HYPERLINK("https://finance.naver.com/item/coinfo.nhn?code=119860", "A119860")</f>
        <v>0</v>
      </c>
      <c r="B245">
        <f>HYPERLINK("http://comp.fnguide.com/SVO2/ASP/SVD_Consensus.asp?pGB=1&amp;gicode=A119860&amp;cID=&amp;MenuYn=Y&amp;ReportGB=&amp;NewMenuID=108&amp;stkGb=701", "다나와")</f>
        <v>0</v>
      </c>
      <c r="C245">
        <v>0</v>
      </c>
      <c r="D245">
        <v>28750</v>
      </c>
      <c r="E245">
        <v>0.35</v>
      </c>
      <c r="F245">
        <v>13.22</v>
      </c>
      <c r="G245">
        <v>22884</v>
      </c>
      <c r="H245">
        <v>14220</v>
      </c>
      <c r="I245">
        <v>11752</v>
      </c>
      <c r="J245">
        <v>20.4</v>
      </c>
      <c r="K245">
        <v>50.54</v>
      </c>
      <c r="L245">
        <v>59.12</v>
      </c>
      <c r="M245">
        <v>21.55</v>
      </c>
      <c r="N245" t="b">
        <v>1</v>
      </c>
      <c r="O245">
        <v>1804</v>
      </c>
      <c r="P245" t="s">
        <v>2083</v>
      </c>
      <c r="Q245" t="s">
        <v>3870</v>
      </c>
      <c r="R245">
        <v>37.47869891548083</v>
      </c>
      <c r="S245">
        <v>3759</v>
      </c>
      <c r="T245">
        <v>43867</v>
      </c>
      <c r="U245" t="s">
        <v>6056</v>
      </c>
      <c r="V245">
        <v>51.35</v>
      </c>
      <c r="W245" t="s">
        <v>8243</v>
      </c>
      <c r="X245" t="s">
        <v>10089</v>
      </c>
      <c r="Y245">
        <v>1670</v>
      </c>
      <c r="Z245">
        <v>285</v>
      </c>
      <c r="AA245">
        <v>115000</v>
      </c>
      <c r="AB245">
        <v>1.68</v>
      </c>
    </row>
    <row r="246" spans="1:28">
      <c r="A246" s="2">
        <f>HYPERLINK("https://finance.naver.com/item/coinfo.nhn?code=009520", "A009520")</f>
        <v>0</v>
      </c>
      <c r="B246">
        <f>HYPERLINK("http://comp.fnguide.com/SVO2/ASP/SVD_Consensus.asp?pGB=1&amp;gicode=A009520&amp;cID=&amp;MenuYn=Y&amp;ReportGB=&amp;NewMenuID=108&amp;stkGb=701", "포스코엠텍")</f>
        <v>0</v>
      </c>
      <c r="C246">
        <v>0</v>
      </c>
      <c r="D246">
        <v>4750</v>
      </c>
      <c r="E246">
        <v>-1</v>
      </c>
      <c r="F246">
        <v>18.82</v>
      </c>
      <c r="G246">
        <v>3661</v>
      </c>
      <c r="H246">
        <v>2760</v>
      </c>
      <c r="I246">
        <v>2503</v>
      </c>
      <c r="J246">
        <v>22.93</v>
      </c>
      <c r="K246">
        <v>41.9</v>
      </c>
      <c r="L246">
        <v>47.3</v>
      </c>
      <c r="M246">
        <v>13.5</v>
      </c>
      <c r="N246" t="b">
        <v>1</v>
      </c>
      <c r="O246">
        <v>254</v>
      </c>
      <c r="P246" t="s">
        <v>1263</v>
      </c>
      <c r="Q246" t="s">
        <v>3303</v>
      </c>
      <c r="R246">
        <v>-18.84976621412246</v>
      </c>
      <c r="S246">
        <v>1978</v>
      </c>
      <c r="T246">
        <v>1383817</v>
      </c>
      <c r="U246" t="s">
        <v>5234</v>
      </c>
      <c r="V246">
        <v>50.65</v>
      </c>
      <c r="W246" t="s">
        <v>7443</v>
      </c>
      <c r="X246" t="s">
        <v>9470</v>
      </c>
      <c r="Y246">
        <v>2887</v>
      </c>
      <c r="Z246">
        <v>131</v>
      </c>
      <c r="AA246">
        <v>9</v>
      </c>
      <c r="AB246">
        <v>1.67</v>
      </c>
    </row>
    <row r="247" spans="1:28">
      <c r="A247" s="2">
        <f>HYPERLINK("https://finance.naver.com/item/coinfo.nhn?code=002170", "A002170")</f>
        <v>0</v>
      </c>
      <c r="B247">
        <f>HYPERLINK("http://comp.fnguide.com/SVO2/ASP/SVD_Consensus.asp?pGB=1&amp;gicode=A002170&amp;cID=&amp;MenuYn=Y&amp;ReportGB=&amp;NewMenuID=108&amp;stkGb=701", "삼양통상")</f>
        <v>0</v>
      </c>
      <c r="C247">
        <v>3</v>
      </c>
      <c r="D247">
        <v>62300</v>
      </c>
      <c r="E247">
        <v>0.12</v>
      </c>
      <c r="F247">
        <v>4.07</v>
      </c>
      <c r="G247">
        <v>169199</v>
      </c>
      <c r="H247">
        <v>136849</v>
      </c>
      <c r="I247">
        <v>127631</v>
      </c>
      <c r="J247">
        <v>-171.59</v>
      </c>
      <c r="K247">
        <v>-119.66</v>
      </c>
      <c r="L247">
        <v>-104.86</v>
      </c>
      <c r="M247">
        <v>11.69</v>
      </c>
      <c r="N247" t="b">
        <v>1</v>
      </c>
      <c r="O247">
        <v>14733</v>
      </c>
      <c r="P247" t="s">
        <v>754</v>
      </c>
      <c r="Q247" t="s">
        <v>2915</v>
      </c>
      <c r="R247">
        <v>34.31943309341783</v>
      </c>
      <c r="S247">
        <v>1869</v>
      </c>
      <c r="T247">
        <v>6176</v>
      </c>
      <c r="U247" t="s">
        <v>4726</v>
      </c>
      <c r="V247">
        <v>54.39</v>
      </c>
      <c r="W247" t="s">
        <v>6946</v>
      </c>
      <c r="X247" t="s">
        <v>9079</v>
      </c>
      <c r="Y247">
        <v>1921</v>
      </c>
      <c r="Z247">
        <v>494</v>
      </c>
      <c r="AA247">
        <v>150575</v>
      </c>
      <c r="AB247">
        <v>1.67</v>
      </c>
    </row>
    <row r="248" spans="1:28">
      <c r="A248" s="2">
        <f>HYPERLINK("https://finance.naver.com/item/coinfo.nhn?code=263600", "A263600")</f>
        <v>0</v>
      </c>
      <c r="B248">
        <f>HYPERLINK("http://comp.fnguide.com/SVO2/ASP/SVD_Consensus.asp?pGB=1&amp;gicode=A263600&amp;cID=&amp;MenuYn=Y&amp;ReportGB=&amp;NewMenuID=108&amp;stkGb=701", "덕우전자")</f>
        <v>0</v>
      </c>
      <c r="C248">
        <v>0</v>
      </c>
      <c r="D248">
        <v>7660</v>
      </c>
      <c r="E248">
        <v>0.41</v>
      </c>
      <c r="F248">
        <v>15.6</v>
      </c>
      <c r="G248">
        <v>6365</v>
      </c>
      <c r="H248">
        <v>5894</v>
      </c>
      <c r="I248">
        <v>5759</v>
      </c>
      <c r="J248">
        <v>16.91</v>
      </c>
      <c r="K248">
        <v>23.06</v>
      </c>
      <c r="L248">
        <v>24.81</v>
      </c>
      <c r="M248">
        <v>9.09</v>
      </c>
      <c r="N248" t="b">
        <v>1</v>
      </c>
      <c r="O248">
        <v>551</v>
      </c>
      <c r="P248" t="s">
        <v>2197</v>
      </c>
      <c r="Q248" t="s">
        <v>3948</v>
      </c>
      <c r="R248">
        <v>38.4399232900142</v>
      </c>
      <c r="S248">
        <v>1220</v>
      </c>
      <c r="T248">
        <v>1593402</v>
      </c>
      <c r="U248" t="s">
        <v>6171</v>
      </c>
      <c r="V248">
        <v>52.96</v>
      </c>
      <c r="W248" t="s">
        <v>8357</v>
      </c>
      <c r="X248" t="s">
        <v>10173</v>
      </c>
      <c r="Y248">
        <v>1294</v>
      </c>
      <c r="Z248">
        <v>124</v>
      </c>
      <c r="AB248">
        <v>1.63</v>
      </c>
    </row>
    <row r="249" spans="1:28">
      <c r="A249" s="2">
        <f>HYPERLINK("https://finance.naver.com/item/coinfo.nhn?code=094480", "A094480")</f>
        <v>0</v>
      </c>
      <c r="B249">
        <f>HYPERLINK("http://comp.fnguide.com/SVO2/ASP/SVD_Consensus.asp?pGB=1&amp;gicode=A094480&amp;cID=&amp;MenuYn=Y&amp;ReportGB=&amp;NewMenuID=108&amp;stkGb=701", "갤럭시아머니트리")</f>
        <v>0</v>
      </c>
      <c r="C249">
        <v>0</v>
      </c>
      <c r="D249">
        <v>3975</v>
      </c>
      <c r="E249">
        <v>0.43</v>
      </c>
      <c r="F249">
        <v>14.93</v>
      </c>
      <c r="G249">
        <v>2562</v>
      </c>
      <c r="H249">
        <v>2482</v>
      </c>
      <c r="I249">
        <v>2459</v>
      </c>
      <c r="J249">
        <v>35.55</v>
      </c>
      <c r="K249">
        <v>37.57</v>
      </c>
      <c r="L249">
        <v>38.15</v>
      </c>
      <c r="M249">
        <v>8.41</v>
      </c>
      <c r="N249" t="b">
        <v>1</v>
      </c>
      <c r="O249">
        <v>225</v>
      </c>
      <c r="P249" t="s">
        <v>1848</v>
      </c>
      <c r="Q249" t="s">
        <v>3716</v>
      </c>
      <c r="R249">
        <v>34.91466843508664</v>
      </c>
      <c r="S249">
        <v>1559</v>
      </c>
      <c r="T249">
        <v>349308</v>
      </c>
      <c r="U249" t="s">
        <v>5819</v>
      </c>
      <c r="V249">
        <v>58.52</v>
      </c>
      <c r="W249" t="s">
        <v>8017</v>
      </c>
      <c r="X249" t="s">
        <v>9931</v>
      </c>
      <c r="Y249">
        <v>856</v>
      </c>
      <c r="Z249">
        <v>87</v>
      </c>
      <c r="AA249">
        <v>1338806</v>
      </c>
      <c r="AB249">
        <v>1.63</v>
      </c>
    </row>
    <row r="250" spans="1:28">
      <c r="A250" s="2">
        <f>HYPERLINK("https://finance.naver.com/item/coinfo.nhn?code=037230", "A037230")</f>
        <v>0</v>
      </c>
      <c r="B250">
        <f>HYPERLINK("http://comp.fnguide.com/SVO2/ASP/SVD_Consensus.asp?pGB=1&amp;gicode=A037230&amp;cID=&amp;MenuYn=Y&amp;ReportGB=&amp;NewMenuID=108&amp;stkGb=701", "한국팩키지")</f>
        <v>0</v>
      </c>
      <c r="C250">
        <v>0</v>
      </c>
      <c r="D250">
        <v>6240</v>
      </c>
      <c r="E250">
        <v>1.07</v>
      </c>
      <c r="F250">
        <v>29.94</v>
      </c>
      <c r="G250">
        <v>949</v>
      </c>
      <c r="H250">
        <v>1336</v>
      </c>
      <c r="I250">
        <v>1446</v>
      </c>
      <c r="J250">
        <v>84.78</v>
      </c>
      <c r="K250">
        <v>78.59999999999999</v>
      </c>
      <c r="L250">
        <v>76.83</v>
      </c>
      <c r="M250">
        <v>4.75</v>
      </c>
      <c r="N250" t="b">
        <v>1</v>
      </c>
      <c r="O250">
        <v>72</v>
      </c>
      <c r="P250" t="s">
        <v>1358</v>
      </c>
      <c r="Q250" t="s">
        <v>3357</v>
      </c>
      <c r="R250">
        <v>27.94947953008695</v>
      </c>
      <c r="S250">
        <v>1560</v>
      </c>
      <c r="T250">
        <v>20200526</v>
      </c>
      <c r="U250" t="s">
        <v>5329</v>
      </c>
      <c r="V250">
        <v>64</v>
      </c>
      <c r="W250" t="s">
        <v>7533</v>
      </c>
      <c r="X250" t="s">
        <v>9534</v>
      </c>
      <c r="Y250">
        <v>584</v>
      </c>
      <c r="Z250">
        <v>26</v>
      </c>
      <c r="AB250">
        <v>1.62</v>
      </c>
    </row>
    <row r="251" spans="1:28">
      <c r="A251" s="2">
        <f>HYPERLINK("https://finance.naver.com/item/coinfo.nhn?code=282330", "A282330")</f>
        <v>0</v>
      </c>
      <c r="B251">
        <f>HYPERLINK("http://comp.fnguide.com/SVO2/ASP/SVD_Consensus.asp?pGB=1&amp;gicode=A282330&amp;cID=&amp;MenuYn=Y&amp;ReportGB=&amp;NewMenuID=108&amp;stkGb=701", "BGF리테일")</f>
        <v>0</v>
      </c>
      <c r="C251">
        <v>0</v>
      </c>
      <c r="D251">
        <v>128000</v>
      </c>
      <c r="E251">
        <v>0</v>
      </c>
      <c r="F251">
        <v>19.35</v>
      </c>
      <c r="G251">
        <v>110895</v>
      </c>
      <c r="H251">
        <v>65920</v>
      </c>
      <c r="I251">
        <v>53104</v>
      </c>
      <c r="J251">
        <v>13.36</v>
      </c>
      <c r="K251">
        <v>48.5</v>
      </c>
      <c r="L251">
        <v>58.51</v>
      </c>
      <c r="M251">
        <v>24.52</v>
      </c>
      <c r="N251" t="b">
        <v>1</v>
      </c>
      <c r="O251">
        <v>8758</v>
      </c>
      <c r="P251" t="s">
        <v>1725</v>
      </c>
      <c r="Q251" t="s">
        <v>3626</v>
      </c>
      <c r="R251">
        <v>0</v>
      </c>
      <c r="S251">
        <v>22123</v>
      </c>
      <c r="T251">
        <v>38522</v>
      </c>
      <c r="U251" t="s">
        <v>5695</v>
      </c>
      <c r="V251">
        <v>55.33</v>
      </c>
      <c r="W251" t="s">
        <v>7893</v>
      </c>
      <c r="X251" t="s">
        <v>9832</v>
      </c>
      <c r="Y251">
        <v>59461</v>
      </c>
      <c r="Z251">
        <v>1966</v>
      </c>
      <c r="AA251">
        <v>8891</v>
      </c>
      <c r="AB251">
        <v>1.59</v>
      </c>
    </row>
    <row r="252" spans="1:28">
      <c r="A252" s="2">
        <f>HYPERLINK("https://finance.naver.com/item/coinfo.nhn?code=138250", "A138250")</f>
        <v>0</v>
      </c>
      <c r="B252">
        <f>HYPERLINK("http://comp.fnguide.com/SVO2/ASP/SVD_Consensus.asp?pGB=1&amp;gicode=A138250&amp;cID=&amp;MenuYn=Y&amp;ReportGB=&amp;NewMenuID=108&amp;stkGb=701", "엔에스쇼핑")</f>
        <v>0</v>
      </c>
      <c r="C252">
        <v>0</v>
      </c>
      <c r="D252">
        <v>12000</v>
      </c>
      <c r="G252">
        <v>8058</v>
      </c>
      <c r="H252">
        <v>10934</v>
      </c>
      <c r="I252">
        <v>11753</v>
      </c>
      <c r="J252">
        <v>32.85</v>
      </c>
      <c r="K252">
        <v>8.880000000000001</v>
      </c>
      <c r="L252">
        <v>2.06</v>
      </c>
      <c r="M252">
        <v>5</v>
      </c>
      <c r="N252" t="b">
        <v>0</v>
      </c>
      <c r="O252">
        <v>-226</v>
      </c>
      <c r="P252" t="s">
        <v>1795</v>
      </c>
      <c r="Q252" t="s">
        <v>3681</v>
      </c>
      <c r="R252">
        <v>-20.09206183913932</v>
      </c>
      <c r="S252">
        <v>4044</v>
      </c>
      <c r="T252">
        <v>88597</v>
      </c>
      <c r="U252" t="s">
        <v>5765</v>
      </c>
      <c r="V252">
        <v>61.56</v>
      </c>
      <c r="W252" t="s">
        <v>7963</v>
      </c>
      <c r="X252" t="s">
        <v>9890</v>
      </c>
      <c r="Y252">
        <v>4980</v>
      </c>
      <c r="Z252">
        <v>287</v>
      </c>
      <c r="AA252">
        <v>615390</v>
      </c>
      <c r="AB252">
        <v>1.59</v>
      </c>
    </row>
    <row r="253" spans="1:28">
      <c r="A253" s="2">
        <f>HYPERLINK("https://finance.naver.com/item/coinfo.nhn?code=037760", "A037760")</f>
        <v>0</v>
      </c>
      <c r="B253">
        <f>HYPERLINK("http://comp.fnguide.com/SVO2/ASP/SVD_Consensus.asp?pGB=1&amp;gicode=A037760&amp;cID=&amp;MenuYn=Y&amp;ReportGB=&amp;NewMenuID=108&amp;stkGb=701", "쎄니트")</f>
        <v>0</v>
      </c>
      <c r="C253">
        <v>3</v>
      </c>
      <c r="D253">
        <v>1695</v>
      </c>
      <c r="E253">
        <v>-3.26</v>
      </c>
      <c r="F253">
        <v>30.42</v>
      </c>
      <c r="G253">
        <v>1291</v>
      </c>
      <c r="H253">
        <v>1885</v>
      </c>
      <c r="I253">
        <v>2054</v>
      </c>
      <c r="J253">
        <v>23.81</v>
      </c>
      <c r="K253">
        <v>-11.22</v>
      </c>
      <c r="L253">
        <v>-21.2</v>
      </c>
      <c r="M253">
        <v>4.52</v>
      </c>
      <c r="N253" t="b">
        <v>1</v>
      </c>
      <c r="O253">
        <v>62</v>
      </c>
      <c r="P253" t="s">
        <v>303</v>
      </c>
      <c r="Q253" t="s">
        <v>2503</v>
      </c>
      <c r="R253">
        <v>-9.327446362915071</v>
      </c>
      <c r="S253">
        <v>573</v>
      </c>
      <c r="T253">
        <v>68218</v>
      </c>
      <c r="U253" t="s">
        <v>4275</v>
      </c>
      <c r="V253">
        <v>55.01</v>
      </c>
      <c r="W253" t="s">
        <v>6495</v>
      </c>
      <c r="X253" t="s">
        <v>8662</v>
      </c>
      <c r="Y253">
        <v>1097</v>
      </c>
      <c r="Z253">
        <v>57</v>
      </c>
      <c r="AA253">
        <v>2030000</v>
      </c>
      <c r="AB253">
        <v>1.59</v>
      </c>
    </row>
    <row r="254" spans="1:28">
      <c r="A254" s="2">
        <f>HYPERLINK("https://finance.naver.com/item/coinfo.nhn?code=018250", "A018250")</f>
        <v>0</v>
      </c>
      <c r="B254">
        <f>HYPERLINK("http://comp.fnguide.com/SVO2/ASP/SVD_Consensus.asp?pGB=1&amp;gicode=A018250&amp;cID=&amp;MenuYn=Y&amp;ReportGB=&amp;NewMenuID=108&amp;stkGb=701", "애경산업")</f>
        <v>0</v>
      </c>
      <c r="C254">
        <v>1</v>
      </c>
      <c r="D254">
        <v>25200</v>
      </c>
      <c r="E254">
        <v>-1.67</v>
      </c>
      <c r="F254">
        <v>17.97</v>
      </c>
      <c r="G254">
        <v>35852</v>
      </c>
      <c r="H254">
        <v>22071</v>
      </c>
      <c r="I254">
        <v>18144</v>
      </c>
      <c r="J254">
        <v>-42.27</v>
      </c>
      <c r="K254">
        <v>12.42</v>
      </c>
      <c r="L254">
        <v>28</v>
      </c>
      <c r="M254">
        <v>22.12</v>
      </c>
      <c r="N254" t="b">
        <v>1</v>
      </c>
      <c r="O254">
        <v>1581</v>
      </c>
      <c r="P254" t="s">
        <v>853</v>
      </c>
      <c r="Q254" t="s">
        <v>3010</v>
      </c>
      <c r="R254">
        <v>-10.75607852195181</v>
      </c>
      <c r="S254">
        <v>6655</v>
      </c>
      <c r="T254">
        <v>88490</v>
      </c>
      <c r="U254" t="s">
        <v>4825</v>
      </c>
      <c r="V254">
        <v>63.43</v>
      </c>
      <c r="W254" t="s">
        <v>7045</v>
      </c>
      <c r="X254" t="s">
        <v>9172</v>
      </c>
      <c r="Y254">
        <v>7013</v>
      </c>
      <c r="Z254">
        <v>606</v>
      </c>
      <c r="AA254">
        <v>200010</v>
      </c>
      <c r="AB254">
        <v>1.58</v>
      </c>
    </row>
    <row r="255" spans="1:28">
      <c r="A255" s="2">
        <f>HYPERLINK("https://finance.naver.com/item/coinfo.nhn?code=023460", "A023460")</f>
        <v>0</v>
      </c>
      <c r="B255">
        <f>HYPERLINK("http://comp.fnguide.com/SVO2/ASP/SVD_Consensus.asp?pGB=1&amp;gicode=A023460&amp;cID=&amp;MenuYn=Y&amp;ReportGB=&amp;NewMenuID=108&amp;stkGb=701", "CNH")</f>
        <v>0</v>
      </c>
      <c r="C255">
        <v>3</v>
      </c>
      <c r="D255">
        <v>2030</v>
      </c>
      <c r="E255">
        <v>0</v>
      </c>
      <c r="F255">
        <v>4.62</v>
      </c>
      <c r="G255">
        <v>3156</v>
      </c>
      <c r="H255">
        <v>3067</v>
      </c>
      <c r="I255">
        <v>3041</v>
      </c>
      <c r="J255">
        <v>-55.49</v>
      </c>
      <c r="K255">
        <v>-51.08</v>
      </c>
      <c r="L255">
        <v>-49.82</v>
      </c>
      <c r="M255">
        <v>8.369999999999999</v>
      </c>
      <c r="N255" t="b">
        <v>1</v>
      </c>
      <c r="O255">
        <v>414</v>
      </c>
      <c r="P255" t="s">
        <v>76</v>
      </c>
      <c r="Q255" t="s">
        <v>2292</v>
      </c>
      <c r="R255">
        <v>25.4800234420439</v>
      </c>
      <c r="S255">
        <v>755</v>
      </c>
      <c r="T255">
        <v>169313</v>
      </c>
      <c r="U255" t="s">
        <v>4048</v>
      </c>
      <c r="V255">
        <v>60.88</v>
      </c>
      <c r="W255" t="s">
        <v>6268</v>
      </c>
      <c r="X255" t="s">
        <v>8450</v>
      </c>
      <c r="Y255">
        <v>405</v>
      </c>
      <c r="Z255">
        <v>211</v>
      </c>
      <c r="AA255">
        <v>2418619</v>
      </c>
      <c r="AB255">
        <v>1.57</v>
      </c>
    </row>
    <row r="256" spans="1:28">
      <c r="A256" s="2">
        <f>HYPERLINK("https://finance.naver.com/item/coinfo.nhn?code=138490", "A138490")</f>
        <v>0</v>
      </c>
      <c r="B256">
        <f>HYPERLINK("http://comp.fnguide.com/SVO2/ASP/SVD_Consensus.asp?pGB=1&amp;gicode=A138490&amp;cID=&amp;MenuYn=Y&amp;ReportGB=&amp;NewMenuID=108&amp;stkGb=701", "코오롱플라스틱")</f>
        <v>0</v>
      </c>
      <c r="C256">
        <v>3</v>
      </c>
      <c r="D256">
        <v>4530</v>
      </c>
      <c r="E256">
        <v>-1.85</v>
      </c>
      <c r="F256">
        <v>31.33</v>
      </c>
      <c r="G256">
        <v>3294</v>
      </c>
      <c r="H256">
        <v>4439</v>
      </c>
      <c r="I256">
        <v>4765</v>
      </c>
      <c r="J256">
        <v>27.29</v>
      </c>
      <c r="K256">
        <v>2.01</v>
      </c>
      <c r="L256">
        <v>-5.2</v>
      </c>
      <c r="M256">
        <v>5.05</v>
      </c>
      <c r="N256" t="b">
        <v>1</v>
      </c>
      <c r="O256">
        <v>143</v>
      </c>
      <c r="P256" t="s">
        <v>185</v>
      </c>
      <c r="Q256" t="s">
        <v>2391</v>
      </c>
      <c r="R256">
        <v>-16.96682526657273</v>
      </c>
      <c r="S256">
        <v>1721</v>
      </c>
      <c r="T256">
        <v>243123</v>
      </c>
      <c r="U256" t="s">
        <v>4157</v>
      </c>
      <c r="V256">
        <v>66.98999999999999</v>
      </c>
      <c r="W256" t="s">
        <v>6377</v>
      </c>
      <c r="X256" t="s">
        <v>8552</v>
      </c>
      <c r="Y256">
        <v>3303</v>
      </c>
      <c r="Z256">
        <v>103</v>
      </c>
      <c r="AB256">
        <v>1.56</v>
      </c>
    </row>
    <row r="257" spans="1:28">
      <c r="A257" s="2">
        <f>HYPERLINK("https://finance.naver.com/item/coinfo.nhn?code=052690", "A052690")</f>
        <v>0</v>
      </c>
      <c r="B257">
        <f>HYPERLINK("http://comp.fnguide.com/SVO2/ASP/SVD_Consensus.asp?pGB=1&amp;gicode=A052690&amp;cID=&amp;MenuYn=Y&amp;ReportGB=&amp;NewMenuID=108&amp;stkGb=701", "한전기술")</f>
        <v>0</v>
      </c>
      <c r="C257">
        <v>0</v>
      </c>
      <c r="D257">
        <v>16850</v>
      </c>
      <c r="E257">
        <v>3.94</v>
      </c>
      <c r="F257">
        <v>29.03</v>
      </c>
      <c r="G257">
        <v>8046</v>
      </c>
      <c r="H257">
        <v>10985</v>
      </c>
      <c r="I257">
        <v>11823</v>
      </c>
      <c r="J257">
        <v>52.25</v>
      </c>
      <c r="K257">
        <v>34.81</v>
      </c>
      <c r="L257">
        <v>29.84</v>
      </c>
      <c r="M257">
        <v>4.96</v>
      </c>
      <c r="N257" t="b">
        <v>1</v>
      </c>
      <c r="O257">
        <v>691</v>
      </c>
      <c r="P257" t="s">
        <v>1628</v>
      </c>
      <c r="Q257" t="s">
        <v>3559</v>
      </c>
      <c r="R257">
        <v>7.375583995185009</v>
      </c>
      <c r="S257">
        <v>6440</v>
      </c>
      <c r="T257">
        <v>97165</v>
      </c>
      <c r="U257" t="s">
        <v>5599</v>
      </c>
      <c r="V257">
        <v>67.83</v>
      </c>
      <c r="W257" t="s">
        <v>7799</v>
      </c>
      <c r="X257" t="s">
        <v>9753</v>
      </c>
      <c r="Y257">
        <v>4486</v>
      </c>
      <c r="Z257">
        <v>441</v>
      </c>
      <c r="AA257">
        <v>176495</v>
      </c>
      <c r="AB257">
        <v>1.55</v>
      </c>
    </row>
    <row r="258" spans="1:28">
      <c r="A258" s="2">
        <f>HYPERLINK("https://finance.naver.com/item/coinfo.nhn?code=000670", "A000670")</f>
        <v>0</v>
      </c>
      <c r="B258">
        <f>HYPERLINK("http://comp.fnguide.com/SVO2/ASP/SVD_Consensus.asp?pGB=1&amp;gicode=A000670&amp;cID=&amp;MenuYn=Y&amp;ReportGB=&amp;NewMenuID=108&amp;stkGb=701", "영풍")</f>
        <v>0</v>
      </c>
      <c r="C258">
        <v>3</v>
      </c>
      <c r="D258">
        <v>527000</v>
      </c>
      <c r="E258">
        <v>0.85</v>
      </c>
      <c r="F258">
        <v>5.1</v>
      </c>
      <c r="G258">
        <v>1511524</v>
      </c>
      <c r="H258">
        <v>1740828</v>
      </c>
      <c r="I258">
        <v>1806168</v>
      </c>
      <c r="J258">
        <v>-186.82</v>
      </c>
      <c r="K258">
        <v>-230.33</v>
      </c>
      <c r="L258">
        <v>-242.73</v>
      </c>
      <c r="M258">
        <v>6.36</v>
      </c>
      <c r="N258" t="b">
        <v>1</v>
      </c>
      <c r="O258">
        <v>126504</v>
      </c>
      <c r="P258" t="s">
        <v>163</v>
      </c>
      <c r="Q258" t="s">
        <v>2370</v>
      </c>
      <c r="R258">
        <v>6.009357137661619</v>
      </c>
      <c r="S258">
        <v>9708</v>
      </c>
      <c r="T258">
        <v>1668</v>
      </c>
      <c r="U258" t="s">
        <v>4135</v>
      </c>
      <c r="V258">
        <v>78.33</v>
      </c>
      <c r="W258" t="s">
        <v>6355</v>
      </c>
      <c r="X258" t="s">
        <v>8530</v>
      </c>
      <c r="Y258">
        <v>30841</v>
      </c>
      <c r="Z258">
        <v>844</v>
      </c>
      <c r="AA258">
        <v>121906</v>
      </c>
      <c r="AB258">
        <v>1.55</v>
      </c>
    </row>
    <row r="259" spans="1:28">
      <c r="A259" s="2">
        <f>HYPERLINK("https://finance.naver.com/item/coinfo.nhn?code=001810", "A001810")</f>
        <v>0</v>
      </c>
      <c r="B259">
        <f>HYPERLINK("http://comp.fnguide.com/SVO2/ASP/SVD_Consensus.asp?pGB=1&amp;gicode=A001810&amp;cID=&amp;MenuYn=Y&amp;ReportGB=&amp;NewMenuID=108&amp;stkGb=701", "무림SP")</f>
        <v>0</v>
      </c>
      <c r="C259">
        <v>3</v>
      </c>
      <c r="D259">
        <v>2340</v>
      </c>
      <c r="E259">
        <v>-46.18</v>
      </c>
      <c r="F259">
        <v>37.01</v>
      </c>
      <c r="G259">
        <v>3616</v>
      </c>
      <c r="H259">
        <v>6972</v>
      </c>
      <c r="I259">
        <v>7928</v>
      </c>
      <c r="J259">
        <v>-54.51</v>
      </c>
      <c r="K259">
        <v>-197.94</v>
      </c>
      <c r="L259">
        <v>-238.81</v>
      </c>
      <c r="M259">
        <v>3.13</v>
      </c>
      <c r="N259" t="b">
        <v>1</v>
      </c>
      <c r="O259">
        <v>61</v>
      </c>
      <c r="P259" t="s">
        <v>270</v>
      </c>
      <c r="Q259" t="s">
        <v>2471</v>
      </c>
      <c r="R259">
        <v>-0.8013835164310978</v>
      </c>
      <c r="S259">
        <v>518</v>
      </c>
      <c r="T259">
        <v>174066</v>
      </c>
      <c r="U259" t="s">
        <v>4242</v>
      </c>
      <c r="V259">
        <v>61.41</v>
      </c>
      <c r="W259" t="s">
        <v>6462</v>
      </c>
      <c r="X259" t="s">
        <v>8631</v>
      </c>
      <c r="Y259">
        <v>1379</v>
      </c>
      <c r="Z259">
        <v>12</v>
      </c>
      <c r="AB259">
        <v>1.55</v>
      </c>
    </row>
    <row r="260" spans="1:28">
      <c r="A260" s="2">
        <f>HYPERLINK("https://finance.naver.com/item/coinfo.nhn?code=100700", "A100700")</f>
        <v>0</v>
      </c>
      <c r="B260">
        <f>HYPERLINK("http://comp.fnguide.com/SVO2/ASP/SVD_Consensus.asp?pGB=1&amp;gicode=A100700&amp;cID=&amp;MenuYn=Y&amp;ReportGB=&amp;NewMenuID=108&amp;stkGb=701", "세운메디칼")</f>
        <v>0</v>
      </c>
      <c r="C260">
        <v>0</v>
      </c>
      <c r="D260">
        <v>6460</v>
      </c>
      <c r="E260">
        <v>0.55</v>
      </c>
      <c r="F260">
        <v>14.91</v>
      </c>
      <c r="G260">
        <v>3084</v>
      </c>
      <c r="H260">
        <v>2552</v>
      </c>
      <c r="I260">
        <v>2401</v>
      </c>
      <c r="J260">
        <v>52.26</v>
      </c>
      <c r="K260">
        <v>60.49</v>
      </c>
      <c r="L260">
        <v>62.83</v>
      </c>
      <c r="M260">
        <v>11.18</v>
      </c>
      <c r="N260" t="b">
        <v>1</v>
      </c>
      <c r="O260">
        <v>216</v>
      </c>
      <c r="P260" t="s">
        <v>2010</v>
      </c>
      <c r="Q260" t="s">
        <v>3825</v>
      </c>
      <c r="R260">
        <v>27.03724065588258</v>
      </c>
      <c r="S260">
        <v>2829</v>
      </c>
      <c r="T260">
        <v>4149044</v>
      </c>
      <c r="U260" t="s">
        <v>5982</v>
      </c>
      <c r="V260">
        <v>56.94</v>
      </c>
      <c r="W260" t="s">
        <v>8174</v>
      </c>
      <c r="X260" t="s">
        <v>10043</v>
      </c>
      <c r="Y260">
        <v>669</v>
      </c>
      <c r="Z260">
        <v>169</v>
      </c>
      <c r="AA260">
        <v>508900</v>
      </c>
      <c r="AB260">
        <v>1.55</v>
      </c>
    </row>
    <row r="261" spans="1:28">
      <c r="A261" s="2">
        <f>HYPERLINK("https://finance.naver.com/item/coinfo.nhn?code=010690", "A010690")</f>
        <v>0</v>
      </c>
      <c r="B261">
        <f>HYPERLINK("http://comp.fnguide.com/SVO2/ASP/SVD_Consensus.asp?pGB=1&amp;gicode=A010690&amp;cID=&amp;MenuYn=Y&amp;ReportGB=&amp;NewMenuID=108&amp;stkGb=701", "화신")</f>
        <v>0</v>
      </c>
      <c r="C261">
        <v>3</v>
      </c>
      <c r="D261">
        <v>2935</v>
      </c>
      <c r="E261">
        <v>0</v>
      </c>
      <c r="F261">
        <v>17.19</v>
      </c>
      <c r="G261">
        <v>1279</v>
      </c>
      <c r="H261">
        <v>5980</v>
      </c>
      <c r="I261">
        <v>7319</v>
      </c>
      <c r="J261">
        <v>56.42</v>
      </c>
      <c r="K261">
        <v>-103.74</v>
      </c>
      <c r="L261">
        <v>-149.37</v>
      </c>
      <c r="M261">
        <v>1.12</v>
      </c>
      <c r="N261" t="b">
        <v>1</v>
      </c>
      <c r="O261">
        <v>190</v>
      </c>
      <c r="P261" t="s">
        <v>117</v>
      </c>
      <c r="Q261" t="s">
        <v>2276</v>
      </c>
      <c r="R261">
        <v>0</v>
      </c>
      <c r="S261">
        <v>1025</v>
      </c>
      <c r="T261">
        <v>337348</v>
      </c>
      <c r="U261" t="s">
        <v>4089</v>
      </c>
      <c r="V261">
        <v>50.41</v>
      </c>
      <c r="W261" t="s">
        <v>6309</v>
      </c>
      <c r="X261" t="s">
        <v>8490</v>
      </c>
      <c r="Y261">
        <v>11643</v>
      </c>
      <c r="Z261">
        <v>19</v>
      </c>
      <c r="AA261">
        <v>1995600</v>
      </c>
      <c r="AB261">
        <v>1.53</v>
      </c>
    </row>
    <row r="262" spans="1:28">
      <c r="A262" s="2">
        <f>HYPERLINK("https://finance.naver.com/item/coinfo.nhn?code=023600", "A023600")</f>
        <v>0</v>
      </c>
      <c r="B262">
        <f>HYPERLINK("http://comp.fnguide.com/SVO2/ASP/SVD_Consensus.asp?pGB=1&amp;gicode=A023600&amp;cID=&amp;MenuYn=Y&amp;ReportGB=&amp;NewMenuID=108&amp;stkGb=701", "삼보판지")</f>
        <v>0</v>
      </c>
      <c r="C262">
        <v>3</v>
      </c>
      <c r="D262">
        <v>10150</v>
      </c>
      <c r="E262">
        <v>-1.46</v>
      </c>
      <c r="F262">
        <v>4.62</v>
      </c>
      <c r="G262">
        <v>31017</v>
      </c>
      <c r="H262">
        <v>25750</v>
      </c>
      <c r="I262">
        <v>24249</v>
      </c>
      <c r="J262">
        <v>-205.59</v>
      </c>
      <c r="K262">
        <v>-153.7</v>
      </c>
      <c r="L262">
        <v>-138.91</v>
      </c>
      <c r="M262">
        <v>11.11</v>
      </c>
      <c r="N262" t="b">
        <v>1</v>
      </c>
      <c r="O262">
        <v>1779</v>
      </c>
      <c r="P262" t="s">
        <v>265</v>
      </c>
      <c r="Q262" t="s">
        <v>2467</v>
      </c>
      <c r="R262">
        <v>-3.163553070742187</v>
      </c>
      <c r="S262">
        <v>1641</v>
      </c>
      <c r="T262">
        <v>1019622</v>
      </c>
      <c r="U262" t="s">
        <v>4237</v>
      </c>
      <c r="V262">
        <v>63.54</v>
      </c>
      <c r="W262" t="s">
        <v>6457</v>
      </c>
      <c r="X262" t="s">
        <v>8626</v>
      </c>
      <c r="Y262">
        <v>3670</v>
      </c>
      <c r="Z262">
        <v>457</v>
      </c>
      <c r="AA262">
        <v>202211</v>
      </c>
      <c r="AB262">
        <v>1.52</v>
      </c>
    </row>
    <row r="263" spans="1:28">
      <c r="A263" s="2">
        <f>HYPERLINK("https://finance.naver.com/item/coinfo.nhn?code=032540", "A032540")</f>
        <v>0</v>
      </c>
      <c r="B263">
        <f>HYPERLINK("http://comp.fnguide.com/SVO2/ASP/SVD_Consensus.asp?pGB=1&amp;gicode=A032540&amp;cID=&amp;MenuYn=Y&amp;ReportGB=&amp;NewMenuID=108&amp;stkGb=701", "TJ미디어")</f>
        <v>0</v>
      </c>
      <c r="C263">
        <v>3</v>
      </c>
      <c r="D263">
        <v>2905</v>
      </c>
      <c r="E263">
        <v>-5.38</v>
      </c>
      <c r="F263">
        <v>51.51</v>
      </c>
      <c r="G263">
        <v>651</v>
      </c>
      <c r="H263">
        <v>3650</v>
      </c>
      <c r="I263">
        <v>4504</v>
      </c>
      <c r="J263">
        <v>77.58</v>
      </c>
      <c r="K263">
        <v>-25.64</v>
      </c>
      <c r="L263">
        <v>-55.05</v>
      </c>
      <c r="M263">
        <v>0.92</v>
      </c>
      <c r="N263" t="b">
        <v>1</v>
      </c>
      <c r="O263">
        <v>64</v>
      </c>
      <c r="P263" t="s">
        <v>127</v>
      </c>
      <c r="Q263" t="s">
        <v>2340</v>
      </c>
      <c r="R263">
        <v>-9.56571446624903</v>
      </c>
      <c r="S263">
        <v>405</v>
      </c>
      <c r="T263">
        <v>26651</v>
      </c>
      <c r="U263" t="s">
        <v>4099</v>
      </c>
      <c r="V263">
        <v>54.81</v>
      </c>
      <c r="W263" t="s">
        <v>6319</v>
      </c>
      <c r="X263" t="s">
        <v>8500</v>
      </c>
      <c r="Y263">
        <v>754</v>
      </c>
      <c r="Z263">
        <v>5</v>
      </c>
      <c r="AB263">
        <v>1.51</v>
      </c>
    </row>
    <row r="264" spans="1:28">
      <c r="A264" s="2">
        <f>HYPERLINK("https://finance.naver.com/item/coinfo.nhn?code=005250", "A005250")</f>
        <v>0</v>
      </c>
      <c r="B264">
        <f>HYPERLINK("http://comp.fnguide.com/SVO2/ASP/SVD_Consensus.asp?pGB=1&amp;gicode=A005250&amp;cID=&amp;MenuYn=Y&amp;ReportGB=&amp;NewMenuID=108&amp;stkGb=701", "녹십자홀딩스")</f>
        <v>0</v>
      </c>
      <c r="C264">
        <v>0</v>
      </c>
      <c r="D264">
        <v>35550</v>
      </c>
      <c r="E264">
        <v>-6.92</v>
      </c>
      <c r="F264">
        <v>372.73</v>
      </c>
      <c r="G264">
        <v>4214</v>
      </c>
      <c r="H264">
        <v>12550</v>
      </c>
      <c r="I264">
        <v>14926</v>
      </c>
      <c r="J264">
        <v>88.15000000000001</v>
      </c>
      <c r="K264">
        <v>64.7</v>
      </c>
      <c r="L264">
        <v>58.01</v>
      </c>
      <c r="M264">
        <v>1.86</v>
      </c>
      <c r="N264" t="b">
        <v>0</v>
      </c>
      <c r="O264">
        <v>60</v>
      </c>
      <c r="P264" t="s">
        <v>1660</v>
      </c>
      <c r="Q264" t="s">
        <v>3579</v>
      </c>
      <c r="R264">
        <v>-53.90061947430065</v>
      </c>
      <c r="S264">
        <v>16719</v>
      </c>
      <c r="T264">
        <v>875509</v>
      </c>
      <c r="U264" t="s">
        <v>5630</v>
      </c>
      <c r="V264">
        <v>50.7</v>
      </c>
      <c r="W264" t="s">
        <v>7829</v>
      </c>
      <c r="X264" t="s">
        <v>9778</v>
      </c>
      <c r="Y264">
        <v>15248</v>
      </c>
      <c r="Z264">
        <v>304</v>
      </c>
      <c r="AA264">
        <v>2094020</v>
      </c>
      <c r="AB264">
        <v>1.46</v>
      </c>
    </row>
    <row r="265" spans="1:28">
      <c r="A265" s="2">
        <f>HYPERLINK("https://finance.naver.com/item/coinfo.nhn?code=213090", "A213090")</f>
        <v>0</v>
      </c>
      <c r="B265">
        <f>HYPERLINK("http://comp.fnguide.com/SVO2/ASP/SVD_Consensus.asp?pGB=1&amp;gicode=A213090&amp;cID=&amp;MenuYn=Y&amp;ReportGB=&amp;NewMenuID=108&amp;stkGb=701", "미래테크놀로지")</f>
        <v>0</v>
      </c>
      <c r="C265">
        <v>3</v>
      </c>
      <c r="D265">
        <v>7890</v>
      </c>
      <c r="E265">
        <v>-0.66</v>
      </c>
      <c r="F265">
        <v>15.54</v>
      </c>
      <c r="G265">
        <v>5495</v>
      </c>
      <c r="H265">
        <v>8103</v>
      </c>
      <c r="I265">
        <v>8846</v>
      </c>
      <c r="J265">
        <v>30.35</v>
      </c>
      <c r="K265">
        <v>-2.69</v>
      </c>
      <c r="L265">
        <v>-12.11</v>
      </c>
      <c r="M265">
        <v>4.45</v>
      </c>
      <c r="N265" t="b">
        <v>1</v>
      </c>
      <c r="O265">
        <v>528</v>
      </c>
      <c r="P265" t="s">
        <v>277</v>
      </c>
      <c r="Q265" t="s">
        <v>2477</v>
      </c>
      <c r="R265">
        <v>-23.66433533898518</v>
      </c>
      <c r="S265">
        <v>483</v>
      </c>
      <c r="T265">
        <v>2084</v>
      </c>
      <c r="U265" t="s">
        <v>4249</v>
      </c>
      <c r="V265">
        <v>66.15000000000001</v>
      </c>
      <c r="W265" t="s">
        <v>6469</v>
      </c>
      <c r="X265" t="s">
        <v>8637</v>
      </c>
      <c r="Y265">
        <v>359</v>
      </c>
      <c r="Z265">
        <v>37</v>
      </c>
      <c r="AA265">
        <v>335171</v>
      </c>
      <c r="AB265">
        <v>1.46</v>
      </c>
    </row>
    <row r="266" spans="1:28">
      <c r="A266" s="2">
        <f>HYPERLINK("https://finance.naver.com/item/coinfo.nhn?code=131290", "A131290")</f>
        <v>0</v>
      </c>
      <c r="B266">
        <f>HYPERLINK("http://comp.fnguide.com/SVO2/ASP/SVD_Consensus.asp?pGB=1&amp;gicode=A131290&amp;cID=&amp;MenuYn=Y&amp;ReportGB=&amp;NewMenuID=108&amp;stkGb=701", "티에스이")</f>
        <v>0</v>
      </c>
      <c r="C266">
        <v>0</v>
      </c>
      <c r="D266">
        <v>58700</v>
      </c>
      <c r="E266">
        <v>0.21</v>
      </c>
      <c r="F266">
        <v>9.44</v>
      </c>
      <c r="G266">
        <v>19420</v>
      </c>
      <c r="H266">
        <v>17057</v>
      </c>
      <c r="I266">
        <v>16384</v>
      </c>
      <c r="J266">
        <v>66.92</v>
      </c>
      <c r="K266">
        <v>70.94</v>
      </c>
      <c r="L266">
        <v>72.09</v>
      </c>
      <c r="M266">
        <v>9.99</v>
      </c>
      <c r="N266" t="b">
        <v>1</v>
      </c>
      <c r="O266">
        <v>1462</v>
      </c>
      <c r="P266" t="s">
        <v>1228</v>
      </c>
      <c r="Q266" t="s">
        <v>3286</v>
      </c>
      <c r="R266">
        <v>44.89590410602445</v>
      </c>
      <c r="S266">
        <v>6493</v>
      </c>
      <c r="T266">
        <v>79505</v>
      </c>
      <c r="U266" t="s">
        <v>5199</v>
      </c>
      <c r="V266">
        <v>64.44</v>
      </c>
      <c r="W266" t="s">
        <v>7408</v>
      </c>
      <c r="X266" t="s">
        <v>9449</v>
      </c>
      <c r="Y266">
        <v>1915</v>
      </c>
      <c r="Z266">
        <v>207</v>
      </c>
      <c r="AA266">
        <v>446700</v>
      </c>
      <c r="AB266">
        <v>1.45</v>
      </c>
    </row>
    <row r="267" spans="1:28">
      <c r="A267" s="2">
        <f>HYPERLINK("https://finance.naver.com/item/coinfo.nhn?code=108380", "A108380")</f>
        <v>0</v>
      </c>
      <c r="B267">
        <f>HYPERLINK("http://comp.fnguide.com/SVO2/ASP/SVD_Consensus.asp?pGB=1&amp;gicode=A108380&amp;cID=&amp;MenuYn=Y&amp;ReportGB=&amp;NewMenuID=108&amp;stkGb=701", "대양전기공업")</f>
        <v>0</v>
      </c>
      <c r="C267">
        <v>3</v>
      </c>
      <c r="D267">
        <v>15200</v>
      </c>
      <c r="E267">
        <v>-1</v>
      </c>
      <c r="F267">
        <v>10.64</v>
      </c>
      <c r="G267">
        <v>18090</v>
      </c>
      <c r="H267">
        <v>20682</v>
      </c>
      <c r="I267">
        <v>21421</v>
      </c>
      <c r="J267">
        <v>-19.01</v>
      </c>
      <c r="K267">
        <v>-36.07</v>
      </c>
      <c r="L267">
        <v>-40.93</v>
      </c>
      <c r="M267">
        <v>6.43</v>
      </c>
      <c r="N267" t="b">
        <v>1</v>
      </c>
      <c r="O267">
        <v>1306</v>
      </c>
      <c r="P267" t="s">
        <v>372</v>
      </c>
      <c r="Q267" t="s">
        <v>2559</v>
      </c>
      <c r="R267">
        <v>-10.63936689621633</v>
      </c>
      <c r="S267">
        <v>1454</v>
      </c>
      <c r="T267">
        <v>75779</v>
      </c>
      <c r="U267" t="s">
        <v>4344</v>
      </c>
      <c r="V267">
        <v>59.85</v>
      </c>
      <c r="W267" t="s">
        <v>6564</v>
      </c>
      <c r="X267" t="s">
        <v>8718</v>
      </c>
      <c r="Y267">
        <v>1769</v>
      </c>
      <c r="Z267">
        <v>149</v>
      </c>
      <c r="AA267">
        <v>283555</v>
      </c>
      <c r="AB267">
        <v>1.44</v>
      </c>
    </row>
    <row r="268" spans="1:28">
      <c r="A268" s="2">
        <f>HYPERLINK("https://finance.naver.com/item/coinfo.nhn?code=032560", "A032560")</f>
        <v>0</v>
      </c>
      <c r="B268">
        <f>HYPERLINK("http://comp.fnguide.com/SVO2/ASP/SVD_Consensus.asp?pGB=1&amp;gicode=A032560&amp;cID=&amp;MenuYn=Y&amp;ReportGB=&amp;NewMenuID=108&amp;stkGb=701", "황금에스티")</f>
        <v>0</v>
      </c>
      <c r="C268">
        <v>3</v>
      </c>
      <c r="D268">
        <v>8300</v>
      </c>
      <c r="E268">
        <v>0.21</v>
      </c>
      <c r="F268">
        <v>3.9</v>
      </c>
      <c r="G268">
        <v>20714</v>
      </c>
      <c r="H268">
        <v>19433</v>
      </c>
      <c r="I268">
        <v>19067</v>
      </c>
      <c r="J268">
        <v>-149.57</v>
      </c>
      <c r="K268">
        <v>-134.13</v>
      </c>
      <c r="L268">
        <v>-129.73</v>
      </c>
      <c r="M268">
        <v>8.880000000000001</v>
      </c>
      <c r="N268" t="b">
        <v>1</v>
      </c>
      <c r="O268">
        <v>1794</v>
      </c>
      <c r="P268" t="s">
        <v>121</v>
      </c>
      <c r="Q268" t="s">
        <v>2334</v>
      </c>
      <c r="R268">
        <v>18.46961471874909</v>
      </c>
      <c r="S268">
        <v>1162</v>
      </c>
      <c r="T268">
        <v>2252799</v>
      </c>
      <c r="U268" t="s">
        <v>4093</v>
      </c>
      <c r="V268">
        <v>54.12</v>
      </c>
      <c r="W268" t="s">
        <v>6313</v>
      </c>
      <c r="X268" t="s">
        <v>8494</v>
      </c>
      <c r="Y268">
        <v>2436</v>
      </c>
      <c r="Z268">
        <v>188</v>
      </c>
      <c r="AA268">
        <v>1861</v>
      </c>
      <c r="AB268">
        <v>1.43</v>
      </c>
    </row>
    <row r="269" spans="1:28">
      <c r="A269" s="2">
        <f>HYPERLINK("https://finance.naver.com/item/coinfo.nhn?code=026940", "A026940")</f>
        <v>0</v>
      </c>
      <c r="B269">
        <f>HYPERLINK("http://comp.fnguide.com/SVO2/ASP/SVD_Consensus.asp?pGB=1&amp;gicode=A026940&amp;cID=&amp;MenuYn=Y&amp;ReportGB=&amp;NewMenuID=108&amp;stkGb=701", "부국철강")</f>
        <v>0</v>
      </c>
      <c r="C269">
        <v>3</v>
      </c>
      <c r="D269">
        <v>4385</v>
      </c>
      <c r="E269">
        <v>1.32</v>
      </c>
      <c r="F269">
        <v>56.89</v>
      </c>
      <c r="G269">
        <v>1259</v>
      </c>
      <c r="H269">
        <v>3882</v>
      </c>
      <c r="I269">
        <v>4630</v>
      </c>
      <c r="J269">
        <v>71.3</v>
      </c>
      <c r="K269">
        <v>11.47</v>
      </c>
      <c r="L269">
        <v>-5.58</v>
      </c>
      <c r="M269">
        <v>1.78</v>
      </c>
      <c r="N269" t="b">
        <v>0</v>
      </c>
      <c r="O269">
        <v>92</v>
      </c>
      <c r="P269" t="s">
        <v>524</v>
      </c>
      <c r="Q269" t="s">
        <v>2699</v>
      </c>
      <c r="R269">
        <v>43.23858186082204</v>
      </c>
      <c r="S269">
        <v>877</v>
      </c>
      <c r="T269">
        <v>794437</v>
      </c>
      <c r="U269" t="s">
        <v>4496</v>
      </c>
      <c r="V269">
        <v>53.44</v>
      </c>
      <c r="W269" t="s">
        <v>6716</v>
      </c>
      <c r="X269" t="s">
        <v>8863</v>
      </c>
      <c r="Y269">
        <v>1323</v>
      </c>
      <c r="Z269">
        <v>3</v>
      </c>
      <c r="AB269">
        <v>1.43</v>
      </c>
    </row>
    <row r="270" spans="1:28">
      <c r="A270" s="2">
        <f>HYPERLINK("https://finance.naver.com/item/coinfo.nhn?code=250000", "A250000")</f>
        <v>0</v>
      </c>
      <c r="B270">
        <f>HYPERLINK("http://comp.fnguide.com/SVO2/ASP/SVD_Consensus.asp?pGB=1&amp;gicode=A250000&amp;cID=&amp;MenuYn=Y&amp;ReportGB=&amp;NewMenuID=108&amp;stkGb=701", "보라티알")</f>
        <v>0</v>
      </c>
      <c r="C270">
        <v>0</v>
      </c>
      <c r="D270">
        <v>13050</v>
      </c>
      <c r="E270">
        <v>13.22</v>
      </c>
      <c r="F270">
        <v>21.4</v>
      </c>
      <c r="G270">
        <v>11129</v>
      </c>
      <c r="H270">
        <v>9545</v>
      </c>
      <c r="I270">
        <v>9094</v>
      </c>
      <c r="J270">
        <v>14.72</v>
      </c>
      <c r="K270">
        <v>26.85</v>
      </c>
      <c r="L270">
        <v>30.31</v>
      </c>
      <c r="M270">
        <v>10.44</v>
      </c>
      <c r="N270" t="b">
        <v>1</v>
      </c>
      <c r="O270">
        <v>493</v>
      </c>
      <c r="P270" t="s">
        <v>1925</v>
      </c>
      <c r="Q270" t="s">
        <v>3775</v>
      </c>
      <c r="R270">
        <v>1.61917270340024</v>
      </c>
      <c r="S270">
        <v>881</v>
      </c>
      <c r="T270">
        <v>2128317</v>
      </c>
      <c r="U270" t="s">
        <v>5897</v>
      </c>
      <c r="V270">
        <v>73.51000000000001</v>
      </c>
      <c r="W270" t="s">
        <v>8093</v>
      </c>
      <c r="X270" t="s">
        <v>9992</v>
      </c>
      <c r="Y270">
        <v>468</v>
      </c>
      <c r="Z270">
        <v>32</v>
      </c>
      <c r="AA270">
        <v>251527</v>
      </c>
      <c r="AB270">
        <v>1.42</v>
      </c>
    </row>
    <row r="271" spans="1:28">
      <c r="A271" s="2">
        <f>HYPERLINK("https://finance.naver.com/item/coinfo.nhn?code=307950", "A307950")</f>
        <v>0</v>
      </c>
      <c r="B271">
        <f>HYPERLINK("http://comp.fnguide.com/SVO2/ASP/SVD_Consensus.asp?pGB=1&amp;gicode=A307950&amp;cID=&amp;MenuYn=Y&amp;ReportGB=&amp;NewMenuID=108&amp;stkGb=701", "현대오토에버")</f>
        <v>0</v>
      </c>
      <c r="C271">
        <v>0</v>
      </c>
      <c r="D271">
        <v>92200</v>
      </c>
      <c r="E271">
        <v>14.23</v>
      </c>
      <c r="F271">
        <v>18.85</v>
      </c>
      <c r="G271">
        <v>37552</v>
      </c>
      <c r="H271">
        <v>29564</v>
      </c>
      <c r="I271">
        <v>27288</v>
      </c>
      <c r="J271">
        <v>59.27</v>
      </c>
      <c r="K271">
        <v>67.93000000000001</v>
      </c>
      <c r="L271">
        <v>70.40000000000001</v>
      </c>
      <c r="M271">
        <v>12.34</v>
      </c>
      <c r="N271" t="b">
        <v>1</v>
      </c>
      <c r="O271">
        <v>2673</v>
      </c>
      <c r="P271" t="s">
        <v>1615</v>
      </c>
      <c r="Q271" t="s">
        <v>3548</v>
      </c>
      <c r="R271">
        <v>1.324215294470577</v>
      </c>
      <c r="S271">
        <v>19362</v>
      </c>
      <c r="T271">
        <v>426939</v>
      </c>
      <c r="U271" t="s">
        <v>5586</v>
      </c>
      <c r="V271">
        <v>76.17</v>
      </c>
      <c r="W271" t="s">
        <v>7786</v>
      </c>
      <c r="X271" t="s">
        <v>9740</v>
      </c>
      <c r="Y271">
        <v>15718</v>
      </c>
      <c r="Z271">
        <v>802</v>
      </c>
      <c r="AB271">
        <v>1.41</v>
      </c>
    </row>
    <row r="272" spans="1:28">
      <c r="A272" s="2">
        <f>HYPERLINK("https://finance.naver.com/item/coinfo.nhn?code=080010", "A080010")</f>
        <v>0</v>
      </c>
      <c r="B272">
        <f>HYPERLINK("http://comp.fnguide.com/SVO2/ASP/SVD_Consensus.asp?pGB=1&amp;gicode=A080010&amp;cID=&amp;MenuYn=Y&amp;ReportGB=&amp;NewMenuID=108&amp;stkGb=701", "이상네트웍스")</f>
        <v>0</v>
      </c>
      <c r="C272">
        <v>3</v>
      </c>
      <c r="D272">
        <v>7370</v>
      </c>
      <c r="E272">
        <v>0.31</v>
      </c>
      <c r="F272">
        <v>7.11</v>
      </c>
      <c r="G272">
        <v>12862</v>
      </c>
      <c r="H272">
        <v>11522</v>
      </c>
      <c r="I272">
        <v>11140</v>
      </c>
      <c r="J272">
        <v>-74.52</v>
      </c>
      <c r="K272">
        <v>-56.34</v>
      </c>
      <c r="L272">
        <v>-51.16</v>
      </c>
      <c r="M272">
        <v>9.640000000000001</v>
      </c>
      <c r="N272" t="b">
        <v>1</v>
      </c>
      <c r="O272">
        <v>1001</v>
      </c>
      <c r="P272" t="s">
        <v>355</v>
      </c>
      <c r="Q272" t="s">
        <v>2543</v>
      </c>
      <c r="R272">
        <v>22.66101951099477</v>
      </c>
      <c r="S272">
        <v>664</v>
      </c>
      <c r="T272">
        <v>13718</v>
      </c>
      <c r="U272" t="s">
        <v>4327</v>
      </c>
      <c r="V272">
        <v>50.05</v>
      </c>
      <c r="W272" t="s">
        <v>6547</v>
      </c>
      <c r="X272" t="s">
        <v>8701</v>
      </c>
      <c r="Y272">
        <v>582</v>
      </c>
      <c r="Z272">
        <v>75</v>
      </c>
      <c r="AA272">
        <v>98424</v>
      </c>
      <c r="AB272">
        <v>1.4</v>
      </c>
    </row>
    <row r="273" spans="1:28">
      <c r="A273" s="2">
        <f>HYPERLINK("https://finance.naver.com/item/coinfo.nhn?code=014570", "A014570")</f>
        <v>0</v>
      </c>
      <c r="B273">
        <f>HYPERLINK("http://comp.fnguide.com/SVO2/ASP/SVD_Consensus.asp?pGB=1&amp;gicode=A014570&amp;cID=&amp;MenuYn=Y&amp;ReportGB=&amp;NewMenuID=108&amp;stkGb=701", "고려제약")</f>
        <v>0</v>
      </c>
      <c r="C273">
        <v>0</v>
      </c>
      <c r="D273">
        <v>10450</v>
      </c>
      <c r="E273">
        <v>0.17</v>
      </c>
      <c r="F273">
        <v>20.3</v>
      </c>
      <c r="G273">
        <v>6071</v>
      </c>
      <c r="H273">
        <v>6008</v>
      </c>
      <c r="I273">
        <v>5990</v>
      </c>
      <c r="J273">
        <v>41.91</v>
      </c>
      <c r="K273">
        <v>42.51</v>
      </c>
      <c r="L273">
        <v>42.68</v>
      </c>
      <c r="M273">
        <v>8.109999999999999</v>
      </c>
      <c r="N273" t="b">
        <v>1</v>
      </c>
      <c r="O273">
        <v>354</v>
      </c>
      <c r="P273" t="s">
        <v>2103</v>
      </c>
      <c r="Q273" t="s">
        <v>3883</v>
      </c>
      <c r="R273">
        <v>116.4680581701214</v>
      </c>
      <c r="S273">
        <v>1150</v>
      </c>
      <c r="T273">
        <v>147773</v>
      </c>
      <c r="U273" t="s">
        <v>6077</v>
      </c>
      <c r="V273">
        <v>50.19</v>
      </c>
      <c r="W273" t="s">
        <v>8263</v>
      </c>
      <c r="X273" t="s">
        <v>10103</v>
      </c>
      <c r="Y273">
        <v>555</v>
      </c>
      <c r="Z273">
        <v>34</v>
      </c>
      <c r="AA273">
        <v>104663</v>
      </c>
      <c r="AB273">
        <v>1.39</v>
      </c>
    </row>
    <row r="274" spans="1:28">
      <c r="A274" s="2">
        <f>HYPERLINK("https://finance.naver.com/item/coinfo.nhn?code=005820", "A005820")</f>
        <v>0</v>
      </c>
      <c r="B274">
        <f>HYPERLINK("http://comp.fnguide.com/SVO2/ASP/SVD_Consensus.asp?pGB=1&amp;gicode=A005820&amp;cID=&amp;MenuYn=Y&amp;ReportGB=&amp;NewMenuID=108&amp;stkGb=701", "원림")</f>
        <v>0</v>
      </c>
      <c r="C274">
        <v>3</v>
      </c>
      <c r="D274">
        <v>18800</v>
      </c>
      <c r="E274">
        <v>0.08</v>
      </c>
      <c r="F274">
        <v>13.46</v>
      </c>
      <c r="G274">
        <v>13735</v>
      </c>
      <c r="H274">
        <v>33233</v>
      </c>
      <c r="I274">
        <v>38789</v>
      </c>
      <c r="J274">
        <v>26.94</v>
      </c>
      <c r="K274">
        <v>-76.77</v>
      </c>
      <c r="L274">
        <v>-106.33</v>
      </c>
      <c r="M274">
        <v>2.37</v>
      </c>
      <c r="N274" t="b">
        <v>1</v>
      </c>
      <c r="O274">
        <v>1348</v>
      </c>
      <c r="P274" t="s">
        <v>179</v>
      </c>
      <c r="Q274" t="s">
        <v>2385</v>
      </c>
      <c r="R274">
        <v>164.4219057304968</v>
      </c>
      <c r="S274">
        <v>414</v>
      </c>
      <c r="T274">
        <v>7680</v>
      </c>
      <c r="U274" t="s">
        <v>4151</v>
      </c>
      <c r="V274">
        <v>60.21</v>
      </c>
      <c r="W274" t="s">
        <v>6371</v>
      </c>
      <c r="X274" t="s">
        <v>8546</v>
      </c>
      <c r="Y274">
        <v>791</v>
      </c>
      <c r="Z274">
        <v>42</v>
      </c>
      <c r="AA274">
        <v>240590</v>
      </c>
      <c r="AB274">
        <v>1.38</v>
      </c>
    </row>
    <row r="275" spans="1:28">
      <c r="A275" s="2">
        <f>HYPERLINK("https://finance.naver.com/item/coinfo.nhn?code=096760", "A096760")</f>
        <v>0</v>
      </c>
      <c r="B275">
        <f>HYPERLINK("http://comp.fnguide.com/SVO2/ASP/SVD_Consensus.asp?pGB=1&amp;gicode=A096760&amp;cID=&amp;MenuYn=Y&amp;ReportGB=&amp;NewMenuID=108&amp;stkGb=701", "JW홀딩스")</f>
        <v>0</v>
      </c>
      <c r="C275">
        <v>0</v>
      </c>
      <c r="D275">
        <v>5730</v>
      </c>
      <c r="G275">
        <v>3060</v>
      </c>
      <c r="H275">
        <v>2577</v>
      </c>
      <c r="I275">
        <v>2440</v>
      </c>
      <c r="J275">
        <v>46.59</v>
      </c>
      <c r="K275">
        <v>55.02</v>
      </c>
      <c r="L275">
        <v>57.42</v>
      </c>
      <c r="M275">
        <v>10.81</v>
      </c>
      <c r="N275" t="b">
        <v>0</v>
      </c>
      <c r="O275">
        <v>-503</v>
      </c>
      <c r="P275" t="s">
        <v>1714</v>
      </c>
      <c r="Q275" t="s">
        <v>3618</v>
      </c>
      <c r="R275">
        <v>-57.10000000000001</v>
      </c>
      <c r="S275">
        <v>3808</v>
      </c>
      <c r="T275">
        <v>259910</v>
      </c>
      <c r="U275" t="s">
        <v>5684</v>
      </c>
      <c r="V275">
        <v>50.13</v>
      </c>
      <c r="W275" t="s">
        <v>7882</v>
      </c>
      <c r="X275" t="s">
        <v>9822</v>
      </c>
      <c r="Y275">
        <v>7264</v>
      </c>
      <c r="Z275">
        <v>27</v>
      </c>
      <c r="AA275">
        <v>151224</v>
      </c>
      <c r="AB275">
        <v>1.38</v>
      </c>
    </row>
    <row r="276" spans="1:28">
      <c r="A276" s="2">
        <f>HYPERLINK("https://finance.naver.com/item/coinfo.nhn?code=012690", "A012690")</f>
        <v>0</v>
      </c>
      <c r="B276">
        <f>HYPERLINK("http://comp.fnguide.com/SVO2/ASP/SVD_Consensus.asp?pGB=1&amp;gicode=A012690&amp;cID=&amp;MenuYn=Y&amp;ReportGB=&amp;NewMenuID=108&amp;stkGb=701", "모나리자")</f>
        <v>0</v>
      </c>
      <c r="C276">
        <v>0</v>
      </c>
      <c r="D276">
        <v>5260</v>
      </c>
      <c r="E276">
        <v>0.95</v>
      </c>
      <c r="F276">
        <v>54.61</v>
      </c>
      <c r="G276">
        <v>640</v>
      </c>
      <c r="H276">
        <v>1325</v>
      </c>
      <c r="I276">
        <v>1521</v>
      </c>
      <c r="J276">
        <v>87.81999999999999</v>
      </c>
      <c r="K276">
        <v>74.8</v>
      </c>
      <c r="L276">
        <v>71.09</v>
      </c>
      <c r="M276">
        <v>2.87</v>
      </c>
      <c r="N276" t="b">
        <v>0</v>
      </c>
      <c r="O276">
        <v>66</v>
      </c>
      <c r="P276" t="s">
        <v>1818</v>
      </c>
      <c r="Q276" t="s">
        <v>3697</v>
      </c>
      <c r="R276">
        <v>57.57751556484172</v>
      </c>
      <c r="S276">
        <v>1924</v>
      </c>
      <c r="T276">
        <v>291920</v>
      </c>
      <c r="U276" t="s">
        <v>5788</v>
      </c>
      <c r="V276">
        <v>51.04</v>
      </c>
      <c r="W276" t="s">
        <v>7986</v>
      </c>
      <c r="X276" t="s">
        <v>9907</v>
      </c>
      <c r="Y276">
        <v>1180</v>
      </c>
      <c r="Z276">
        <v>28</v>
      </c>
      <c r="AA276">
        <v>10480</v>
      </c>
      <c r="AB276">
        <v>1.38</v>
      </c>
    </row>
    <row r="277" spans="1:28">
      <c r="A277" s="2">
        <f>HYPERLINK("https://finance.naver.com/item/coinfo.nhn?code=064760", "A064760")</f>
        <v>0</v>
      </c>
      <c r="B277">
        <f>HYPERLINK("http://comp.fnguide.com/SVO2/ASP/SVD_Consensus.asp?pGB=1&amp;gicode=A064760&amp;cID=&amp;MenuYn=Y&amp;ReportGB=&amp;NewMenuID=108&amp;stkGb=701", "티씨케이")</f>
        <v>0</v>
      </c>
      <c r="C277">
        <v>0</v>
      </c>
      <c r="D277">
        <v>104500</v>
      </c>
      <c r="E277">
        <v>0.46</v>
      </c>
      <c r="F277">
        <v>16.43</v>
      </c>
      <c r="G277">
        <v>61241</v>
      </c>
      <c r="H277">
        <v>35793</v>
      </c>
      <c r="I277">
        <v>28542</v>
      </c>
      <c r="J277">
        <v>41.4</v>
      </c>
      <c r="K277">
        <v>65.75</v>
      </c>
      <c r="L277">
        <v>72.69</v>
      </c>
      <c r="M277">
        <v>25.84</v>
      </c>
      <c r="N277" t="b">
        <v>1</v>
      </c>
      <c r="O277">
        <v>4011</v>
      </c>
      <c r="P277" t="s">
        <v>1198</v>
      </c>
      <c r="Q277" t="s">
        <v>3261</v>
      </c>
      <c r="R277">
        <v>35.49363315097926</v>
      </c>
      <c r="S277">
        <v>12200</v>
      </c>
      <c r="T277">
        <v>76680</v>
      </c>
      <c r="U277" t="s">
        <v>5169</v>
      </c>
      <c r="V277">
        <v>58.57</v>
      </c>
      <c r="W277" t="s">
        <v>7378</v>
      </c>
      <c r="X277" t="s">
        <v>9424</v>
      </c>
      <c r="Y277">
        <v>1714</v>
      </c>
      <c r="Z277">
        <v>592</v>
      </c>
      <c r="AB277">
        <v>1.37</v>
      </c>
    </row>
    <row r="278" spans="1:28">
      <c r="A278" s="2">
        <f>HYPERLINK("https://finance.naver.com/item/coinfo.nhn?code=012320", "A012320")</f>
        <v>0</v>
      </c>
      <c r="B278">
        <f>HYPERLINK("http://comp.fnguide.com/SVO2/ASP/SVD_Consensus.asp?pGB=1&amp;gicode=A012320&amp;cID=&amp;MenuYn=Y&amp;ReportGB=&amp;NewMenuID=108&amp;stkGb=701", "경동인베스트")</f>
        <v>0</v>
      </c>
      <c r="C278">
        <v>3</v>
      </c>
      <c r="D278">
        <v>29250</v>
      </c>
      <c r="E278">
        <v>-0.58</v>
      </c>
      <c r="F278">
        <v>9.52</v>
      </c>
      <c r="G278">
        <v>127513</v>
      </c>
      <c r="H278">
        <v>162972</v>
      </c>
      <c r="I278">
        <v>173076</v>
      </c>
      <c r="J278">
        <v>-335.94</v>
      </c>
      <c r="K278">
        <v>-457.17</v>
      </c>
      <c r="L278">
        <v>-491.71</v>
      </c>
      <c r="M278">
        <v>5.45</v>
      </c>
      <c r="N278" t="b">
        <v>0</v>
      </c>
      <c r="O278">
        <v>3850</v>
      </c>
      <c r="P278" t="s">
        <v>609</v>
      </c>
      <c r="Q278" t="s">
        <v>2781</v>
      </c>
      <c r="R278">
        <v>-16.54252365943985</v>
      </c>
      <c r="S278">
        <v>692</v>
      </c>
      <c r="T278">
        <v>3729</v>
      </c>
      <c r="U278" t="s">
        <v>4581</v>
      </c>
      <c r="V278">
        <v>54.29</v>
      </c>
      <c r="W278" t="s">
        <v>6801</v>
      </c>
      <c r="X278" t="s">
        <v>8944</v>
      </c>
      <c r="Y278">
        <v>2718</v>
      </c>
      <c r="Z278">
        <v>220</v>
      </c>
      <c r="AA278">
        <v>184671</v>
      </c>
      <c r="AB278">
        <v>1.36</v>
      </c>
    </row>
    <row r="279" spans="1:28">
      <c r="A279" s="2">
        <f>HYPERLINK("https://finance.naver.com/item/coinfo.nhn?code=000050", "A000050")</f>
        <v>0</v>
      </c>
      <c r="B279">
        <f>HYPERLINK("http://comp.fnguide.com/SVO2/ASP/SVD_Consensus.asp?pGB=1&amp;gicode=A000050&amp;cID=&amp;MenuYn=Y&amp;ReportGB=&amp;NewMenuID=108&amp;stkGb=701", "경방")</f>
        <v>0</v>
      </c>
      <c r="C279">
        <v>3</v>
      </c>
      <c r="D279">
        <v>11700</v>
      </c>
      <c r="E279">
        <v>0.21</v>
      </c>
      <c r="F279">
        <v>5.83</v>
      </c>
      <c r="G279">
        <v>16357</v>
      </c>
      <c r="H279">
        <v>23657</v>
      </c>
      <c r="I279">
        <v>25737</v>
      </c>
      <c r="J279">
        <v>-39.81</v>
      </c>
      <c r="K279">
        <v>-102.2</v>
      </c>
      <c r="L279">
        <v>-119.97</v>
      </c>
      <c r="M279">
        <v>4.57</v>
      </c>
      <c r="N279" t="b">
        <v>1</v>
      </c>
      <c r="O279">
        <v>1591</v>
      </c>
      <c r="P279" t="s">
        <v>607</v>
      </c>
      <c r="Q279" t="s">
        <v>2779</v>
      </c>
      <c r="R279">
        <v>28.42494628332395</v>
      </c>
      <c r="S279">
        <v>3208</v>
      </c>
      <c r="T279">
        <v>38387</v>
      </c>
      <c r="U279" t="s">
        <v>4579</v>
      </c>
      <c r="V279">
        <v>59.02</v>
      </c>
      <c r="W279" t="s">
        <v>6799</v>
      </c>
      <c r="X279" t="s">
        <v>8942</v>
      </c>
      <c r="Y279">
        <v>3439</v>
      </c>
      <c r="Z279">
        <v>320</v>
      </c>
      <c r="AA279">
        <v>1400000</v>
      </c>
      <c r="AB279">
        <v>1.35</v>
      </c>
    </row>
    <row r="280" spans="1:28">
      <c r="A280" s="2">
        <f>HYPERLINK("https://finance.naver.com/item/coinfo.nhn?code=007310", "A007310")</f>
        <v>0</v>
      </c>
      <c r="B280">
        <f>HYPERLINK("http://comp.fnguide.com/SVO2/ASP/SVD_Consensus.asp?pGB=1&amp;gicode=A007310&amp;cID=&amp;MenuYn=Y&amp;ReportGB=&amp;NewMenuID=108&amp;stkGb=701", "오뚜기")</f>
        <v>0</v>
      </c>
      <c r="C280">
        <v>0</v>
      </c>
      <c r="D280">
        <v>554000</v>
      </c>
      <c r="E280">
        <v>-107.1</v>
      </c>
      <c r="F280">
        <v>20.63</v>
      </c>
      <c r="G280">
        <v>490061</v>
      </c>
      <c r="H280">
        <v>417528</v>
      </c>
      <c r="I280">
        <v>396860</v>
      </c>
      <c r="J280">
        <v>11.54</v>
      </c>
      <c r="K280">
        <v>24.63</v>
      </c>
      <c r="L280">
        <v>28.36</v>
      </c>
      <c r="M280">
        <v>10.58</v>
      </c>
      <c r="N280" t="b">
        <v>1</v>
      </c>
      <c r="O280">
        <v>26861</v>
      </c>
      <c r="P280" t="s">
        <v>1790</v>
      </c>
      <c r="Q280" t="s">
        <v>3677</v>
      </c>
      <c r="R280">
        <v>-0.1926187689068048</v>
      </c>
      <c r="S280">
        <v>20343</v>
      </c>
      <c r="T280">
        <v>5097</v>
      </c>
      <c r="U280" t="s">
        <v>5760</v>
      </c>
      <c r="V280">
        <v>57.15</v>
      </c>
      <c r="W280" t="s">
        <v>7958</v>
      </c>
      <c r="X280" t="s">
        <v>9886</v>
      </c>
      <c r="Y280">
        <v>23597</v>
      </c>
      <c r="Z280">
        <v>1483</v>
      </c>
      <c r="AA280">
        <v>212850</v>
      </c>
      <c r="AB280">
        <v>1.35</v>
      </c>
    </row>
    <row r="281" spans="1:28">
      <c r="A281" s="2">
        <f>HYPERLINK("https://finance.naver.com/item/coinfo.nhn?code=258830", "A258830")</f>
        <v>0</v>
      </c>
      <c r="B281">
        <f>HYPERLINK("http://comp.fnguide.com/SVO2/ASP/SVD_Consensus.asp?pGB=1&amp;gicode=A258830&amp;cID=&amp;MenuYn=Y&amp;ReportGB=&amp;NewMenuID=108&amp;stkGb=701", "세종메디칼")</f>
        <v>0</v>
      </c>
      <c r="C281">
        <v>0</v>
      </c>
      <c r="D281">
        <v>12700</v>
      </c>
      <c r="E281">
        <v>-0.57</v>
      </c>
      <c r="F281">
        <v>14.72</v>
      </c>
      <c r="G281">
        <v>9380</v>
      </c>
      <c r="H281">
        <v>8043</v>
      </c>
      <c r="I281">
        <v>7662</v>
      </c>
      <c r="J281">
        <v>26.14</v>
      </c>
      <c r="K281">
        <v>36.67</v>
      </c>
      <c r="L281">
        <v>39.67</v>
      </c>
      <c r="M281">
        <v>10.45</v>
      </c>
      <c r="N281" t="b">
        <v>1</v>
      </c>
      <c r="O281">
        <v>511</v>
      </c>
      <c r="P281" t="s">
        <v>2008</v>
      </c>
      <c r="Q281" t="s">
        <v>3823</v>
      </c>
      <c r="R281">
        <v>-26.03435024258502</v>
      </c>
      <c r="S281">
        <v>861</v>
      </c>
      <c r="T281">
        <v>614428</v>
      </c>
      <c r="U281" t="s">
        <v>5980</v>
      </c>
      <c r="V281">
        <v>58.61</v>
      </c>
      <c r="W281" t="s">
        <v>8172</v>
      </c>
      <c r="X281" t="s">
        <v>10041</v>
      </c>
      <c r="Y281">
        <v>162</v>
      </c>
      <c r="Z281">
        <v>38</v>
      </c>
      <c r="AA281">
        <v>320006</v>
      </c>
      <c r="AB281">
        <v>1.33</v>
      </c>
    </row>
    <row r="282" spans="1:28">
      <c r="A282" s="2">
        <f>HYPERLINK("https://finance.naver.com/item/coinfo.nhn?code=049770", "A049770")</f>
        <v>0</v>
      </c>
      <c r="B282">
        <f>HYPERLINK("http://comp.fnguide.com/SVO2/ASP/SVD_Consensus.asp?pGB=1&amp;gicode=A049770&amp;cID=&amp;MenuYn=Y&amp;ReportGB=&amp;NewMenuID=108&amp;stkGb=701", "동원F&amp;B")</f>
        <v>0</v>
      </c>
      <c r="C282">
        <v>3</v>
      </c>
      <c r="D282">
        <v>177500</v>
      </c>
      <c r="E282">
        <v>2.67</v>
      </c>
      <c r="F282">
        <v>13.28</v>
      </c>
      <c r="G282">
        <v>212248</v>
      </c>
      <c r="H282">
        <v>190780</v>
      </c>
      <c r="I282">
        <v>184662</v>
      </c>
      <c r="J282">
        <v>-19.58</v>
      </c>
      <c r="K282">
        <v>-7.48</v>
      </c>
      <c r="L282">
        <v>-4.03</v>
      </c>
      <c r="M282">
        <v>9.58</v>
      </c>
      <c r="N282" t="b">
        <v>1</v>
      </c>
      <c r="O282">
        <v>17015</v>
      </c>
      <c r="P282" t="s">
        <v>508</v>
      </c>
      <c r="Q282" t="s">
        <v>2684</v>
      </c>
      <c r="R282">
        <v>4.964981025361559</v>
      </c>
      <c r="S282">
        <v>6850</v>
      </c>
      <c r="T282">
        <v>8892</v>
      </c>
      <c r="U282" t="s">
        <v>4480</v>
      </c>
      <c r="V282">
        <v>71.27</v>
      </c>
      <c r="W282" t="s">
        <v>6700</v>
      </c>
      <c r="X282" t="s">
        <v>8847</v>
      </c>
      <c r="Y282">
        <v>30303</v>
      </c>
      <c r="Z282">
        <v>1014</v>
      </c>
      <c r="AB282">
        <v>1.33</v>
      </c>
    </row>
    <row r="283" spans="1:28">
      <c r="A283" s="2">
        <f>HYPERLINK("https://finance.naver.com/item/coinfo.nhn?code=038500", "A038500")</f>
        <v>0</v>
      </c>
      <c r="B283">
        <f>HYPERLINK("http://comp.fnguide.com/SVO2/ASP/SVD_Consensus.asp?pGB=1&amp;gicode=A038500&amp;cID=&amp;MenuYn=Y&amp;ReportGB=&amp;NewMenuID=108&amp;stkGb=701", "삼표시멘트")</f>
        <v>0</v>
      </c>
      <c r="C283">
        <v>3</v>
      </c>
      <c r="D283">
        <v>4215</v>
      </c>
      <c r="E283">
        <v>-0.59</v>
      </c>
      <c r="F283">
        <v>21.9</v>
      </c>
      <c r="G283">
        <v>1828</v>
      </c>
      <c r="H283">
        <v>4284</v>
      </c>
      <c r="I283">
        <v>4984</v>
      </c>
      <c r="J283">
        <v>56.62</v>
      </c>
      <c r="K283">
        <v>-1.65</v>
      </c>
      <c r="L283">
        <v>-18.25</v>
      </c>
      <c r="M283">
        <v>2.46</v>
      </c>
      <c r="N283" t="b">
        <v>1</v>
      </c>
      <c r="O283">
        <v>173</v>
      </c>
      <c r="P283" t="s">
        <v>248</v>
      </c>
      <c r="Q283" t="s">
        <v>2452</v>
      </c>
      <c r="R283">
        <v>-37.25719164716963</v>
      </c>
      <c r="S283">
        <v>4525</v>
      </c>
      <c r="T283">
        <v>2587202</v>
      </c>
      <c r="U283" t="s">
        <v>4220</v>
      </c>
      <c r="V283">
        <v>65.02</v>
      </c>
      <c r="W283" t="s">
        <v>6440</v>
      </c>
      <c r="X283" t="s">
        <v>8610</v>
      </c>
      <c r="Y283">
        <v>5955</v>
      </c>
      <c r="Z283">
        <v>481</v>
      </c>
      <c r="AA283">
        <v>3621</v>
      </c>
      <c r="AB283">
        <v>1.32</v>
      </c>
    </row>
    <row r="284" spans="1:28">
      <c r="A284" s="2">
        <f>HYPERLINK("https://finance.naver.com/item/coinfo.nhn?code=092460", "A092460")</f>
        <v>0</v>
      </c>
      <c r="B284">
        <f>HYPERLINK("http://comp.fnguide.com/SVO2/ASP/SVD_Consensus.asp?pGB=1&amp;gicode=A092460&amp;cID=&amp;MenuYn=Y&amp;ReportGB=&amp;NewMenuID=108&amp;stkGb=701", "한라IMS")</f>
        <v>0</v>
      </c>
      <c r="C284">
        <v>3</v>
      </c>
      <c r="D284">
        <v>6420</v>
      </c>
      <c r="E284">
        <v>-1.65</v>
      </c>
      <c r="F284">
        <v>20.21</v>
      </c>
      <c r="G284">
        <v>4035</v>
      </c>
      <c r="H284">
        <v>6079</v>
      </c>
      <c r="I284">
        <v>6662</v>
      </c>
      <c r="J284">
        <v>37.16</v>
      </c>
      <c r="K284">
        <v>5.31</v>
      </c>
      <c r="L284">
        <v>-3.77</v>
      </c>
      <c r="M284">
        <v>4.32</v>
      </c>
      <c r="N284" t="b">
        <v>1</v>
      </c>
      <c r="O284">
        <v>375</v>
      </c>
      <c r="P284" t="s">
        <v>610</v>
      </c>
      <c r="Q284" t="s">
        <v>2782</v>
      </c>
      <c r="R284">
        <v>-12.28355512391347</v>
      </c>
      <c r="S284">
        <v>754</v>
      </c>
      <c r="T284">
        <v>59967</v>
      </c>
      <c r="U284" t="s">
        <v>4582</v>
      </c>
      <c r="V284">
        <v>56.93</v>
      </c>
      <c r="W284" t="s">
        <v>6802</v>
      </c>
      <c r="X284" t="s">
        <v>8945</v>
      </c>
      <c r="Y284">
        <v>484</v>
      </c>
      <c r="Z284">
        <v>12</v>
      </c>
      <c r="AA284">
        <v>867954</v>
      </c>
      <c r="AB284">
        <v>1.32</v>
      </c>
    </row>
    <row r="285" spans="1:28">
      <c r="A285" s="2">
        <f>HYPERLINK("https://finance.naver.com/item/coinfo.nhn?code=006090", "A006090")</f>
        <v>0</v>
      </c>
      <c r="B285">
        <f>HYPERLINK("http://comp.fnguide.com/SVO2/ASP/SVD_Consensus.asp?pGB=1&amp;gicode=A006090&amp;cID=&amp;MenuYn=Y&amp;ReportGB=&amp;NewMenuID=108&amp;stkGb=701", "사조오양")</f>
        <v>0</v>
      </c>
      <c r="C285">
        <v>3</v>
      </c>
      <c r="D285">
        <v>9740</v>
      </c>
      <c r="E285">
        <v>0.4</v>
      </c>
      <c r="F285">
        <v>5.4</v>
      </c>
      <c r="G285">
        <v>19461</v>
      </c>
      <c r="H285">
        <v>18455</v>
      </c>
      <c r="I285">
        <v>18168</v>
      </c>
      <c r="J285">
        <v>-99.8</v>
      </c>
      <c r="K285">
        <v>-89.48</v>
      </c>
      <c r="L285">
        <v>-86.53</v>
      </c>
      <c r="M285">
        <v>8.720000000000001</v>
      </c>
      <c r="N285" t="b">
        <v>1</v>
      </c>
      <c r="O285">
        <v>1402</v>
      </c>
      <c r="P285" t="s">
        <v>535</v>
      </c>
      <c r="Q285" t="s">
        <v>2710</v>
      </c>
      <c r="R285">
        <v>13.55978918744829</v>
      </c>
      <c r="S285">
        <v>918</v>
      </c>
      <c r="T285">
        <v>47463</v>
      </c>
      <c r="U285" t="s">
        <v>4507</v>
      </c>
      <c r="V285">
        <v>60.53</v>
      </c>
      <c r="W285" t="s">
        <v>6727</v>
      </c>
      <c r="X285" t="s">
        <v>8874</v>
      </c>
      <c r="Y285">
        <v>3136</v>
      </c>
      <c r="Z285">
        <v>226</v>
      </c>
      <c r="AA285">
        <v>3</v>
      </c>
      <c r="AB285">
        <v>1.32</v>
      </c>
    </row>
    <row r="286" spans="1:28">
      <c r="A286" s="2">
        <f>HYPERLINK("https://finance.naver.com/item/coinfo.nhn?code=005720", "A005720")</f>
        <v>0</v>
      </c>
      <c r="B286">
        <f>HYPERLINK("http://comp.fnguide.com/SVO2/ASP/SVD_Consensus.asp?pGB=1&amp;gicode=A005720&amp;cID=&amp;MenuYn=Y&amp;ReportGB=&amp;NewMenuID=108&amp;stkGb=701", "넥센")</f>
        <v>0</v>
      </c>
      <c r="C286">
        <v>3</v>
      </c>
      <c r="D286">
        <v>4695</v>
      </c>
      <c r="E286">
        <v>-0.19</v>
      </c>
      <c r="F286">
        <v>5.84</v>
      </c>
      <c r="G286">
        <v>16582</v>
      </c>
      <c r="H286">
        <v>18366</v>
      </c>
      <c r="I286">
        <v>18874</v>
      </c>
      <c r="J286">
        <v>-253.19</v>
      </c>
      <c r="K286">
        <v>-291.18</v>
      </c>
      <c r="L286">
        <v>-302</v>
      </c>
      <c r="M286">
        <v>6.76</v>
      </c>
      <c r="N286" t="b">
        <v>1</v>
      </c>
      <c r="O286">
        <v>1037</v>
      </c>
      <c r="P286" t="s">
        <v>566</v>
      </c>
      <c r="Q286" t="s">
        <v>2740</v>
      </c>
      <c r="R286">
        <v>-31.35855732881312</v>
      </c>
      <c r="S286">
        <v>2514</v>
      </c>
      <c r="T286">
        <v>95237</v>
      </c>
      <c r="U286" t="s">
        <v>4538</v>
      </c>
      <c r="V286">
        <v>59.37</v>
      </c>
      <c r="W286" t="s">
        <v>6758</v>
      </c>
      <c r="X286" t="s">
        <v>8903</v>
      </c>
      <c r="Y286">
        <v>22913</v>
      </c>
      <c r="Z286">
        <v>2251</v>
      </c>
      <c r="AA286">
        <v>849661</v>
      </c>
      <c r="AB286">
        <v>1.32</v>
      </c>
    </row>
    <row r="287" spans="1:28">
      <c r="A287" s="2">
        <f>HYPERLINK("https://finance.naver.com/item/coinfo.nhn?code=005990", "A005990")</f>
        <v>0</v>
      </c>
      <c r="B287">
        <f>HYPERLINK("http://comp.fnguide.com/SVO2/ASP/SVD_Consensus.asp?pGB=1&amp;gicode=A005990&amp;cID=&amp;MenuYn=Y&amp;ReportGB=&amp;NewMenuID=108&amp;stkGb=701", "매일홀딩스")</f>
        <v>0</v>
      </c>
      <c r="C287">
        <v>3</v>
      </c>
      <c r="D287">
        <v>8530</v>
      </c>
      <c r="E287">
        <v>-1.19</v>
      </c>
      <c r="F287">
        <v>6.44</v>
      </c>
      <c r="G287">
        <v>20869</v>
      </c>
      <c r="H287">
        <v>22092</v>
      </c>
      <c r="I287">
        <v>22440</v>
      </c>
      <c r="J287">
        <v>-144.65</v>
      </c>
      <c r="K287">
        <v>-158.99</v>
      </c>
      <c r="L287">
        <v>-163.07</v>
      </c>
      <c r="M287">
        <v>7.26</v>
      </c>
      <c r="N287" t="b">
        <v>1</v>
      </c>
      <c r="O287">
        <v>1646</v>
      </c>
      <c r="P287" t="s">
        <v>425</v>
      </c>
      <c r="Q287" t="s">
        <v>2606</v>
      </c>
      <c r="R287">
        <v>-5.434033799289139</v>
      </c>
      <c r="S287">
        <v>1170</v>
      </c>
      <c r="T287">
        <v>5129</v>
      </c>
      <c r="U287" t="s">
        <v>4397</v>
      </c>
      <c r="V287">
        <v>65.93000000000001</v>
      </c>
      <c r="W287" t="s">
        <v>6617</v>
      </c>
      <c r="X287" t="s">
        <v>8768</v>
      </c>
      <c r="Y287">
        <v>15908</v>
      </c>
      <c r="Z287">
        <v>844</v>
      </c>
      <c r="AA287">
        <v>1000181</v>
      </c>
      <c r="AB287">
        <v>1.32</v>
      </c>
    </row>
    <row r="288" spans="1:28">
      <c r="A288" s="2">
        <f>HYPERLINK("https://finance.naver.com/item/coinfo.nhn?code=284740", "A284740")</f>
        <v>0</v>
      </c>
      <c r="B288">
        <f>HYPERLINK("http://comp.fnguide.com/SVO2/ASP/SVD_Consensus.asp?pGB=1&amp;gicode=A284740&amp;cID=&amp;MenuYn=Y&amp;ReportGB=&amp;NewMenuID=108&amp;stkGb=701", "쿠쿠홈시스")</f>
        <v>0</v>
      </c>
      <c r="C288">
        <v>0</v>
      </c>
      <c r="D288">
        <v>37900</v>
      </c>
      <c r="E288">
        <v>0</v>
      </c>
      <c r="F288">
        <v>14.95</v>
      </c>
      <c r="G288">
        <v>27223</v>
      </c>
      <c r="H288">
        <v>22485</v>
      </c>
      <c r="I288">
        <v>21135</v>
      </c>
      <c r="J288">
        <v>28.17</v>
      </c>
      <c r="K288">
        <v>40.67</v>
      </c>
      <c r="L288">
        <v>44.23</v>
      </c>
      <c r="M288">
        <v>11.22</v>
      </c>
      <c r="N288" t="b">
        <v>1</v>
      </c>
      <c r="O288">
        <v>2890</v>
      </c>
      <c r="P288" t="s">
        <v>1477</v>
      </c>
      <c r="Q288" t="s">
        <v>3441</v>
      </c>
      <c r="R288">
        <v>0</v>
      </c>
      <c r="S288">
        <v>8504</v>
      </c>
      <c r="T288">
        <v>120149</v>
      </c>
      <c r="U288" t="s">
        <v>5448</v>
      </c>
      <c r="V288">
        <v>75.44</v>
      </c>
      <c r="W288" t="s">
        <v>7650</v>
      </c>
      <c r="X288" t="s">
        <v>9621</v>
      </c>
      <c r="Y288">
        <v>6637</v>
      </c>
      <c r="Z288">
        <v>1206</v>
      </c>
      <c r="AA288">
        <v>14950</v>
      </c>
      <c r="AB288">
        <v>1.3</v>
      </c>
    </row>
    <row r="289" spans="1:28">
      <c r="A289" s="2">
        <f>HYPERLINK("https://finance.naver.com/item/coinfo.nhn?code=007770", "A007770")</f>
        <v>0</v>
      </c>
      <c r="B289">
        <f>HYPERLINK("http://comp.fnguide.com/SVO2/ASP/SVD_Consensus.asp?pGB=1&amp;gicode=A007770&amp;cID=&amp;MenuYn=Y&amp;ReportGB=&amp;NewMenuID=108&amp;stkGb=701", "한일화학")</f>
        <v>0</v>
      </c>
      <c r="C289">
        <v>3</v>
      </c>
      <c r="D289">
        <v>9370</v>
      </c>
      <c r="E289">
        <v>20.12</v>
      </c>
      <c r="F289">
        <v>24.19</v>
      </c>
      <c r="G289">
        <v>8547</v>
      </c>
      <c r="H289">
        <v>19400</v>
      </c>
      <c r="I289">
        <v>22492</v>
      </c>
      <c r="J289">
        <v>8.779999999999999</v>
      </c>
      <c r="K289">
        <v>-107.04</v>
      </c>
      <c r="L289">
        <v>-140.04</v>
      </c>
      <c r="M289">
        <v>2.56</v>
      </c>
      <c r="N289" t="b">
        <v>1</v>
      </c>
      <c r="O289">
        <v>475</v>
      </c>
      <c r="P289" t="s">
        <v>606</v>
      </c>
      <c r="Q289" t="s">
        <v>2778</v>
      </c>
      <c r="R289">
        <v>1.202552273344848</v>
      </c>
      <c r="S289">
        <v>329</v>
      </c>
      <c r="T289">
        <v>11309</v>
      </c>
      <c r="U289" t="s">
        <v>4578</v>
      </c>
      <c r="V289">
        <v>69.53</v>
      </c>
      <c r="W289" t="s">
        <v>6798</v>
      </c>
      <c r="X289" t="s">
        <v>8941</v>
      </c>
      <c r="Y289">
        <v>1087</v>
      </c>
      <c r="Z289">
        <v>23</v>
      </c>
      <c r="AB289">
        <v>1.3</v>
      </c>
    </row>
    <row r="290" spans="1:28">
      <c r="A290" s="2">
        <f>HYPERLINK("https://finance.naver.com/item/coinfo.nhn?code=004380", "A004380")</f>
        <v>0</v>
      </c>
      <c r="B290">
        <f>HYPERLINK("http://comp.fnguide.com/SVO2/ASP/SVD_Consensus.asp?pGB=1&amp;gicode=A004380&amp;cID=&amp;MenuYn=Y&amp;ReportGB=&amp;NewMenuID=108&amp;stkGb=701", "삼익THK")</f>
        <v>0</v>
      </c>
      <c r="C290">
        <v>0</v>
      </c>
      <c r="D290">
        <v>11650</v>
      </c>
      <c r="E290">
        <v>43.27</v>
      </c>
      <c r="F290">
        <v>74.59999999999999</v>
      </c>
      <c r="G290">
        <v>7872</v>
      </c>
      <c r="H290">
        <v>8608</v>
      </c>
      <c r="I290">
        <v>8817</v>
      </c>
      <c r="J290">
        <v>32.43</v>
      </c>
      <c r="K290">
        <v>26.11</v>
      </c>
      <c r="L290">
        <v>24.31</v>
      </c>
      <c r="M290">
        <v>6.9</v>
      </c>
      <c r="N290" t="b">
        <v>0</v>
      </c>
      <c r="O290">
        <v>156</v>
      </c>
      <c r="P290" t="s">
        <v>1839</v>
      </c>
      <c r="Q290" t="s">
        <v>3712</v>
      </c>
      <c r="R290">
        <v>1.723930024714693</v>
      </c>
      <c r="S290">
        <v>2447</v>
      </c>
      <c r="T290">
        <v>105950</v>
      </c>
      <c r="U290" t="s">
        <v>5810</v>
      </c>
      <c r="V290">
        <v>65.15000000000001</v>
      </c>
      <c r="W290" t="s">
        <v>8008</v>
      </c>
      <c r="X290" t="s">
        <v>9924</v>
      </c>
      <c r="Y290">
        <v>2320</v>
      </c>
      <c r="Z290">
        <v>75</v>
      </c>
      <c r="AA290">
        <v>300000</v>
      </c>
      <c r="AB290">
        <v>1.29</v>
      </c>
    </row>
    <row r="291" spans="1:28">
      <c r="A291" s="2">
        <f>HYPERLINK("https://finance.naver.com/item/coinfo.nhn?code=086980", "A086980")</f>
        <v>0</v>
      </c>
      <c r="B291">
        <f>HYPERLINK("http://comp.fnguide.com/SVO2/ASP/SVD_Consensus.asp?pGB=1&amp;gicode=A086980&amp;cID=&amp;MenuYn=Y&amp;ReportGB=&amp;NewMenuID=108&amp;stkGb=701", "쇼박스")</f>
        <v>0</v>
      </c>
      <c r="C291">
        <v>0</v>
      </c>
      <c r="D291">
        <v>3040</v>
      </c>
      <c r="E291">
        <v>-2.77</v>
      </c>
      <c r="F291">
        <v>74.52</v>
      </c>
      <c r="G291">
        <v>1185</v>
      </c>
      <c r="H291">
        <v>1828</v>
      </c>
      <c r="I291">
        <v>2011</v>
      </c>
      <c r="J291">
        <v>61.02</v>
      </c>
      <c r="K291">
        <v>39.88</v>
      </c>
      <c r="L291">
        <v>33.85</v>
      </c>
      <c r="M291">
        <v>4.19</v>
      </c>
      <c r="N291" t="b">
        <v>0</v>
      </c>
      <c r="O291">
        <v>52</v>
      </c>
      <c r="P291" t="s">
        <v>2032</v>
      </c>
      <c r="Q291" t="s">
        <v>3837</v>
      </c>
      <c r="R291">
        <v>-26.94483441029555</v>
      </c>
      <c r="S291">
        <v>1903</v>
      </c>
      <c r="T291">
        <v>647305</v>
      </c>
      <c r="U291" t="s">
        <v>6004</v>
      </c>
      <c r="V291">
        <v>57.51</v>
      </c>
      <c r="W291" t="s">
        <v>8195</v>
      </c>
      <c r="X291" t="s">
        <v>10055</v>
      </c>
      <c r="Y291">
        <v>787</v>
      </c>
      <c r="Z291">
        <v>19</v>
      </c>
      <c r="AA291">
        <v>200000</v>
      </c>
      <c r="AB291">
        <v>1.29</v>
      </c>
    </row>
    <row r="292" spans="1:28">
      <c r="A292" s="2">
        <f>HYPERLINK("https://finance.naver.com/item/coinfo.nhn?code=104620", "A104620")</f>
        <v>0</v>
      </c>
      <c r="B292">
        <f>HYPERLINK("http://comp.fnguide.com/SVO2/ASP/SVD_Consensus.asp?pGB=1&amp;gicode=A104620&amp;cID=&amp;MenuYn=Y&amp;ReportGB=&amp;NewMenuID=108&amp;stkGb=701", "노랑풍선")</f>
        <v>0</v>
      </c>
      <c r="C292">
        <v>0</v>
      </c>
      <c r="D292">
        <v>24650</v>
      </c>
      <c r="G292">
        <v>14481</v>
      </c>
      <c r="H292">
        <v>12866</v>
      </c>
      <c r="I292">
        <v>12405</v>
      </c>
      <c r="J292">
        <v>41.25</v>
      </c>
      <c r="K292">
        <v>47.81</v>
      </c>
      <c r="L292">
        <v>49.67</v>
      </c>
      <c r="M292">
        <v>9.789999999999999</v>
      </c>
      <c r="N292" t="b">
        <v>0</v>
      </c>
      <c r="O292">
        <v>-351</v>
      </c>
      <c r="P292" t="s">
        <v>2053</v>
      </c>
      <c r="Q292" t="s">
        <v>3851</v>
      </c>
      <c r="R292">
        <v>2.014965124517265</v>
      </c>
      <c r="S292">
        <v>1175</v>
      </c>
      <c r="T292">
        <v>136787</v>
      </c>
      <c r="U292" t="s">
        <v>6025</v>
      </c>
      <c r="V292">
        <v>60.92</v>
      </c>
      <c r="W292" t="s">
        <v>8215</v>
      </c>
      <c r="X292" t="s">
        <v>968</v>
      </c>
      <c r="Y292">
        <v>768</v>
      </c>
      <c r="Z292">
        <v>-21</v>
      </c>
      <c r="AB292">
        <v>1.29</v>
      </c>
    </row>
    <row r="293" spans="1:28">
      <c r="A293" s="2">
        <f>HYPERLINK("https://finance.naver.com/item/coinfo.nhn?code=006740", "A006740")</f>
        <v>0</v>
      </c>
      <c r="B293">
        <f>HYPERLINK("http://comp.fnguide.com/SVO2/ASP/SVD_Consensus.asp?pGB=1&amp;gicode=A006740&amp;cID=&amp;MenuYn=Y&amp;ReportGB=&amp;NewMenuID=108&amp;stkGb=701", "영풍제지")</f>
        <v>0</v>
      </c>
      <c r="C293">
        <v>3</v>
      </c>
      <c r="D293">
        <v>6150</v>
      </c>
      <c r="E293">
        <v>0.59</v>
      </c>
      <c r="F293">
        <v>7.45</v>
      </c>
      <c r="G293">
        <v>7911</v>
      </c>
      <c r="H293">
        <v>7244</v>
      </c>
      <c r="I293">
        <v>7054</v>
      </c>
      <c r="J293">
        <v>-28.64</v>
      </c>
      <c r="K293">
        <v>-17.79</v>
      </c>
      <c r="L293">
        <v>-14.69</v>
      </c>
      <c r="M293">
        <v>9.27</v>
      </c>
      <c r="N293" t="b">
        <v>1</v>
      </c>
      <c r="O293">
        <v>418</v>
      </c>
      <c r="P293" t="s">
        <v>164</v>
      </c>
      <c r="Q293" t="s">
        <v>2371</v>
      </c>
      <c r="R293">
        <v>12.6233358007017</v>
      </c>
      <c r="S293">
        <v>1365</v>
      </c>
      <c r="T293">
        <v>11800444</v>
      </c>
      <c r="U293" t="s">
        <v>4136</v>
      </c>
      <c r="V293">
        <v>54.44</v>
      </c>
      <c r="W293" t="s">
        <v>6356</v>
      </c>
      <c r="X293" t="s">
        <v>8531</v>
      </c>
      <c r="Y293">
        <v>997</v>
      </c>
      <c r="Z293">
        <v>109</v>
      </c>
      <c r="AA293">
        <v>4627676</v>
      </c>
      <c r="AB293">
        <v>1.28</v>
      </c>
    </row>
    <row r="294" spans="1:28">
      <c r="A294" s="2">
        <f>HYPERLINK("https://finance.naver.com/item/coinfo.nhn?code=189690", "A189690")</f>
        <v>0</v>
      </c>
      <c r="B294">
        <f>HYPERLINK("http://comp.fnguide.com/SVO2/ASP/SVD_Consensus.asp?pGB=1&amp;gicode=A189690&amp;cID=&amp;MenuYn=Y&amp;ReportGB=&amp;NewMenuID=108&amp;stkGb=701", "포시에스")</f>
        <v>0</v>
      </c>
      <c r="C294">
        <v>0</v>
      </c>
      <c r="D294">
        <v>7320</v>
      </c>
      <c r="E294">
        <v>2.54</v>
      </c>
      <c r="F294">
        <v>11.99</v>
      </c>
      <c r="G294">
        <v>7214</v>
      </c>
      <c r="H294">
        <v>6972</v>
      </c>
      <c r="I294">
        <v>6903</v>
      </c>
      <c r="J294">
        <v>1.45</v>
      </c>
      <c r="K294">
        <v>4.75</v>
      </c>
      <c r="L294">
        <v>5.69</v>
      </c>
      <c r="M294">
        <v>8.44</v>
      </c>
      <c r="N294" t="b">
        <v>1</v>
      </c>
      <c r="O294">
        <v>620</v>
      </c>
      <c r="P294" t="s">
        <v>1264</v>
      </c>
      <c r="Q294" t="s">
        <v>3304</v>
      </c>
      <c r="R294">
        <v>4.718570418812762</v>
      </c>
      <c r="S294">
        <v>605</v>
      </c>
      <c r="T294">
        <v>87765</v>
      </c>
      <c r="U294" t="s">
        <v>5235</v>
      </c>
      <c r="V294">
        <v>51.35</v>
      </c>
      <c r="W294" t="s">
        <v>7444</v>
      </c>
      <c r="X294" t="s">
        <v>9471</v>
      </c>
      <c r="Y294">
        <v>217</v>
      </c>
      <c r="Z294">
        <v>48</v>
      </c>
      <c r="AA294">
        <v>274553</v>
      </c>
      <c r="AB294">
        <v>1.28</v>
      </c>
    </row>
    <row r="295" spans="1:28">
      <c r="A295" s="2">
        <f>HYPERLINK("https://finance.naver.com/item/coinfo.nhn?code=217500", "A217500")</f>
        <v>0</v>
      </c>
      <c r="B295">
        <f>HYPERLINK("http://comp.fnguide.com/SVO2/ASP/SVD_Consensus.asp?pGB=1&amp;gicode=A217500&amp;cID=&amp;MenuYn=Y&amp;ReportGB=&amp;NewMenuID=108&amp;stkGb=701", "러셀")</f>
        <v>0</v>
      </c>
      <c r="C295">
        <v>0</v>
      </c>
      <c r="D295">
        <v>3130</v>
      </c>
      <c r="E295">
        <v>0.34</v>
      </c>
      <c r="F295">
        <v>14.85</v>
      </c>
      <c r="G295">
        <v>2156</v>
      </c>
      <c r="H295">
        <v>1693</v>
      </c>
      <c r="I295">
        <v>1561</v>
      </c>
      <c r="J295">
        <v>31.11</v>
      </c>
      <c r="K295">
        <v>45.9</v>
      </c>
      <c r="L295">
        <v>50.11</v>
      </c>
      <c r="M295">
        <v>12.4</v>
      </c>
      <c r="N295" t="b">
        <v>1</v>
      </c>
      <c r="O295">
        <v>132</v>
      </c>
      <c r="P295" t="s">
        <v>2146</v>
      </c>
      <c r="Q295" t="s">
        <v>3910</v>
      </c>
      <c r="R295">
        <v>43.82129387663565</v>
      </c>
      <c r="S295">
        <v>996</v>
      </c>
      <c r="T295">
        <v>2900671</v>
      </c>
      <c r="U295" t="s">
        <v>6120</v>
      </c>
      <c r="V295">
        <v>50.25</v>
      </c>
      <c r="W295" t="s">
        <v>8306</v>
      </c>
      <c r="X295" t="s">
        <v>10135</v>
      </c>
      <c r="Y295">
        <v>410</v>
      </c>
      <c r="Z295">
        <v>49</v>
      </c>
      <c r="AA295">
        <v>2804126</v>
      </c>
      <c r="AB295">
        <v>1.27</v>
      </c>
    </row>
    <row r="296" spans="1:28">
      <c r="A296" s="2">
        <f>HYPERLINK("https://finance.naver.com/item/coinfo.nhn?code=171090", "A171090")</f>
        <v>0</v>
      </c>
      <c r="B296">
        <f>HYPERLINK("http://comp.fnguide.com/SVO2/ASP/SVD_Consensus.asp?pGB=1&amp;gicode=A171090&amp;cID=&amp;MenuYn=Y&amp;ReportGB=&amp;NewMenuID=108&amp;stkGb=701", "선익시스템")</f>
        <v>0</v>
      </c>
      <c r="C296">
        <v>3</v>
      </c>
      <c r="D296">
        <v>6540</v>
      </c>
      <c r="E296">
        <v>-0.6</v>
      </c>
      <c r="F296">
        <v>9.91</v>
      </c>
      <c r="G296">
        <v>11656</v>
      </c>
      <c r="H296">
        <v>11243</v>
      </c>
      <c r="I296">
        <v>11125</v>
      </c>
      <c r="J296">
        <v>-78.23</v>
      </c>
      <c r="K296">
        <v>-71.91</v>
      </c>
      <c r="L296">
        <v>-70.11</v>
      </c>
      <c r="M296">
        <v>8.470000000000001</v>
      </c>
      <c r="N296" t="b">
        <v>1</v>
      </c>
      <c r="O296">
        <v>794</v>
      </c>
      <c r="P296" t="s">
        <v>264</v>
      </c>
      <c r="Q296" t="s">
        <v>2466</v>
      </c>
      <c r="R296">
        <v>-16.52467257949185</v>
      </c>
      <c r="S296">
        <v>589</v>
      </c>
      <c r="T296">
        <v>32854</v>
      </c>
      <c r="U296" t="s">
        <v>4236</v>
      </c>
      <c r="V296">
        <v>50.07</v>
      </c>
      <c r="W296" t="s">
        <v>6456</v>
      </c>
      <c r="X296" t="s">
        <v>8625</v>
      </c>
      <c r="Y296">
        <v>876</v>
      </c>
      <c r="Z296">
        <v>114</v>
      </c>
      <c r="AA296">
        <v>739004</v>
      </c>
      <c r="AB296">
        <v>1.27</v>
      </c>
    </row>
    <row r="297" spans="1:28">
      <c r="A297" s="2">
        <f>HYPERLINK("https://finance.naver.com/item/coinfo.nhn?code=005610", "A005610")</f>
        <v>0</v>
      </c>
      <c r="B297">
        <f>HYPERLINK("http://comp.fnguide.com/SVO2/ASP/SVD_Consensus.asp?pGB=1&amp;gicode=A005610&amp;cID=&amp;MenuYn=Y&amp;ReportGB=&amp;NewMenuID=108&amp;stkGb=701", "SPC삼립")</f>
        <v>0</v>
      </c>
      <c r="C297">
        <v>0</v>
      </c>
      <c r="D297">
        <v>73400</v>
      </c>
      <c r="E297">
        <v>-2.59</v>
      </c>
      <c r="F297">
        <v>37.25</v>
      </c>
      <c r="G297">
        <v>50561</v>
      </c>
      <c r="H297">
        <v>44111</v>
      </c>
      <c r="I297">
        <v>42273</v>
      </c>
      <c r="J297">
        <v>31.12</v>
      </c>
      <c r="K297">
        <v>39.9</v>
      </c>
      <c r="L297">
        <v>42.41</v>
      </c>
      <c r="M297">
        <v>10.12</v>
      </c>
      <c r="N297" t="b">
        <v>0</v>
      </c>
      <c r="O297">
        <v>2341</v>
      </c>
      <c r="P297" t="s">
        <v>1738</v>
      </c>
      <c r="Q297" t="s">
        <v>3636</v>
      </c>
      <c r="R297">
        <v>-14.38130702148407</v>
      </c>
      <c r="S297">
        <v>6334</v>
      </c>
      <c r="T297">
        <v>24676</v>
      </c>
      <c r="U297" t="s">
        <v>5708</v>
      </c>
      <c r="V297">
        <v>73.58</v>
      </c>
      <c r="W297" t="s">
        <v>7906</v>
      </c>
      <c r="X297" t="s">
        <v>9843</v>
      </c>
      <c r="Y297">
        <v>24992</v>
      </c>
      <c r="Z297">
        <v>470</v>
      </c>
      <c r="AA297">
        <v>523786</v>
      </c>
      <c r="AB297">
        <v>1.27</v>
      </c>
    </row>
    <row r="298" spans="1:28">
      <c r="A298" s="2">
        <f>HYPERLINK("https://finance.naver.com/item/coinfo.nhn?code=009780", "A009780")</f>
        <v>0</v>
      </c>
      <c r="B298">
        <f>HYPERLINK("http://comp.fnguide.com/SVO2/ASP/SVD_Consensus.asp?pGB=1&amp;gicode=A009780&amp;cID=&amp;MenuYn=Y&amp;ReportGB=&amp;NewMenuID=108&amp;stkGb=701", "엠에스씨")</f>
        <v>0</v>
      </c>
      <c r="C298">
        <v>3</v>
      </c>
      <c r="D298">
        <v>4795</v>
      </c>
      <c r="E298">
        <v>0.42</v>
      </c>
      <c r="F298">
        <v>7.09</v>
      </c>
      <c r="G298">
        <v>9308</v>
      </c>
      <c r="H298">
        <v>6798</v>
      </c>
      <c r="I298">
        <v>6083</v>
      </c>
      <c r="J298">
        <v>-94.11</v>
      </c>
      <c r="K298">
        <v>-41.77</v>
      </c>
      <c r="L298">
        <v>-26.86</v>
      </c>
      <c r="M298">
        <v>14.46</v>
      </c>
      <c r="N298" t="b">
        <v>1</v>
      </c>
      <c r="O298">
        <v>668</v>
      </c>
      <c r="P298" t="s">
        <v>283</v>
      </c>
      <c r="Q298" t="s">
        <v>2483</v>
      </c>
      <c r="R298">
        <v>17.00481504585123</v>
      </c>
      <c r="S298">
        <v>844</v>
      </c>
      <c r="T298">
        <v>48470</v>
      </c>
      <c r="U298" t="s">
        <v>4255</v>
      </c>
      <c r="V298">
        <v>73.22</v>
      </c>
      <c r="W298" t="s">
        <v>6475</v>
      </c>
      <c r="X298" t="s">
        <v>8643</v>
      </c>
      <c r="Y298">
        <v>1492</v>
      </c>
      <c r="Z298">
        <v>147</v>
      </c>
      <c r="AB298">
        <v>1.27</v>
      </c>
    </row>
    <row r="299" spans="1:28">
      <c r="A299" s="2">
        <f>HYPERLINK("https://finance.naver.com/item/coinfo.nhn?code=285490", "A285490")</f>
        <v>0</v>
      </c>
      <c r="B299">
        <f>HYPERLINK("http://comp.fnguide.com/SVO2/ASP/SVD_Consensus.asp?pGB=1&amp;gicode=A285490&amp;cID=&amp;MenuYn=Y&amp;ReportGB=&amp;NewMenuID=108&amp;stkGb=701", "노바텍")</f>
        <v>0</v>
      </c>
      <c r="C299">
        <v>0</v>
      </c>
      <c r="D299">
        <v>71600</v>
      </c>
      <c r="E299">
        <v>0</v>
      </c>
      <c r="F299">
        <v>18.9</v>
      </c>
      <c r="G299">
        <v>17469</v>
      </c>
      <c r="H299">
        <v>10573</v>
      </c>
      <c r="I299">
        <v>8608</v>
      </c>
      <c r="J299">
        <v>75.59999999999999</v>
      </c>
      <c r="K299">
        <v>85.23</v>
      </c>
      <c r="L299">
        <v>87.98</v>
      </c>
      <c r="M299">
        <v>23.24</v>
      </c>
      <c r="N299" t="b">
        <v>1</v>
      </c>
      <c r="O299">
        <v>1024</v>
      </c>
      <c r="P299" t="s">
        <v>2051</v>
      </c>
      <c r="Q299" t="s">
        <v>3849</v>
      </c>
      <c r="R299">
        <v>0</v>
      </c>
      <c r="S299">
        <v>3592</v>
      </c>
      <c r="T299">
        <v>161436</v>
      </c>
      <c r="U299" t="s">
        <v>6023</v>
      </c>
      <c r="V299">
        <v>59.16</v>
      </c>
      <c r="W299" t="s">
        <v>8213</v>
      </c>
      <c r="X299" t="s">
        <v>10066</v>
      </c>
      <c r="Y299">
        <v>261</v>
      </c>
      <c r="Z299">
        <v>55</v>
      </c>
      <c r="AA299">
        <v>260000</v>
      </c>
      <c r="AB299">
        <v>1.25</v>
      </c>
    </row>
    <row r="300" spans="1:28">
      <c r="A300" s="2">
        <f>HYPERLINK("https://finance.naver.com/item/coinfo.nhn?code=018260", "A018260")</f>
        <v>0</v>
      </c>
      <c r="B300">
        <f>HYPERLINK("http://comp.fnguide.com/SVO2/ASP/SVD_Consensus.asp?pGB=1&amp;gicode=A018260&amp;cID=&amp;MenuYn=Y&amp;ReportGB=&amp;NewMenuID=108&amp;stkGb=701", "삼성에스디에스")</f>
        <v>0</v>
      </c>
      <c r="C300">
        <v>0</v>
      </c>
      <c r="D300">
        <v>174500</v>
      </c>
      <c r="E300">
        <v>-16.99</v>
      </c>
      <c r="F300">
        <v>20.44</v>
      </c>
      <c r="G300">
        <v>118585</v>
      </c>
      <c r="H300">
        <v>98181</v>
      </c>
      <c r="I300">
        <v>92367</v>
      </c>
      <c r="J300">
        <v>32.04</v>
      </c>
      <c r="K300">
        <v>43.74</v>
      </c>
      <c r="L300">
        <v>47.07</v>
      </c>
      <c r="M300">
        <v>11.17</v>
      </c>
      <c r="N300" t="b">
        <v>1</v>
      </c>
      <c r="O300">
        <v>9518</v>
      </c>
      <c r="P300" t="s">
        <v>1825</v>
      </c>
      <c r="Q300" t="s">
        <v>3702</v>
      </c>
      <c r="R300">
        <v>-1.202914777330033</v>
      </c>
      <c r="S300">
        <v>135024</v>
      </c>
      <c r="T300">
        <v>173669</v>
      </c>
      <c r="U300" t="s">
        <v>5796</v>
      </c>
      <c r="V300">
        <v>56.77</v>
      </c>
      <c r="W300" t="s">
        <v>7994</v>
      </c>
      <c r="X300" t="s">
        <v>9912</v>
      </c>
      <c r="Y300">
        <v>107196</v>
      </c>
      <c r="Z300">
        <v>9901</v>
      </c>
      <c r="AA300">
        <v>27614</v>
      </c>
      <c r="AB300">
        <v>1.23</v>
      </c>
    </row>
    <row r="301" spans="1:28">
      <c r="A301" s="2">
        <f>HYPERLINK("https://finance.naver.com/item/coinfo.nhn?code=006580", "A006580")</f>
        <v>0</v>
      </c>
      <c r="B301">
        <f>HYPERLINK("http://comp.fnguide.com/SVO2/ASP/SVD_Consensus.asp?pGB=1&amp;gicode=A006580&amp;cID=&amp;MenuYn=Y&amp;ReportGB=&amp;NewMenuID=108&amp;stkGb=701", "대양제지")</f>
        <v>0</v>
      </c>
      <c r="C301">
        <v>3</v>
      </c>
      <c r="D301">
        <v>3075</v>
      </c>
      <c r="E301">
        <v>-0.15</v>
      </c>
      <c r="F301">
        <v>3.71</v>
      </c>
      <c r="G301">
        <v>16143</v>
      </c>
      <c r="H301">
        <v>10356</v>
      </c>
      <c r="I301">
        <v>8707</v>
      </c>
      <c r="J301">
        <v>-424.98</v>
      </c>
      <c r="K301">
        <v>-236.78</v>
      </c>
      <c r="L301">
        <v>-183.15</v>
      </c>
      <c r="M301">
        <v>19.76</v>
      </c>
      <c r="N301" t="b">
        <v>1</v>
      </c>
      <c r="O301">
        <v>876</v>
      </c>
      <c r="P301" t="s">
        <v>373</v>
      </c>
      <c r="Q301" t="s">
        <v>2560</v>
      </c>
      <c r="R301">
        <v>-24.73214497542792</v>
      </c>
      <c r="S301">
        <v>826</v>
      </c>
      <c r="T301">
        <v>1168818</v>
      </c>
      <c r="U301" t="s">
        <v>4345</v>
      </c>
      <c r="V301">
        <v>53.58</v>
      </c>
      <c r="W301" t="s">
        <v>6565</v>
      </c>
      <c r="X301" t="s">
        <v>8719</v>
      </c>
      <c r="Y301">
        <v>2594</v>
      </c>
      <c r="Z301">
        <v>327</v>
      </c>
      <c r="AA301">
        <v>6193269</v>
      </c>
      <c r="AB301">
        <v>1.23</v>
      </c>
    </row>
    <row r="302" spans="1:28">
      <c r="A302" s="2">
        <f>HYPERLINK("https://finance.naver.com/item/coinfo.nhn?code=042700", "A042700")</f>
        <v>0</v>
      </c>
      <c r="B302">
        <f>HYPERLINK("http://comp.fnguide.com/SVO2/ASP/SVD_Consensus.asp?pGB=1&amp;gicode=A042700&amp;cID=&amp;MenuYn=Y&amp;ReportGB=&amp;NewMenuID=108&amp;stkGb=701", "한미반도체")</f>
        <v>0</v>
      </c>
      <c r="C302">
        <v>0</v>
      </c>
      <c r="D302">
        <v>12400</v>
      </c>
      <c r="E302">
        <v>0.93</v>
      </c>
      <c r="F302">
        <v>24.06</v>
      </c>
      <c r="G302">
        <v>7274</v>
      </c>
      <c r="H302">
        <v>5588</v>
      </c>
      <c r="I302">
        <v>5107</v>
      </c>
      <c r="J302">
        <v>41.34</v>
      </c>
      <c r="K302">
        <v>54.94</v>
      </c>
      <c r="L302">
        <v>58.81</v>
      </c>
      <c r="M302">
        <v>12.98</v>
      </c>
      <c r="N302" t="b">
        <v>1</v>
      </c>
      <c r="O302">
        <v>337</v>
      </c>
      <c r="P302" t="s">
        <v>1497</v>
      </c>
      <c r="Q302" t="s">
        <v>3457</v>
      </c>
      <c r="R302">
        <v>25.77674976602138</v>
      </c>
      <c r="S302">
        <v>6386</v>
      </c>
      <c r="T302">
        <v>456381</v>
      </c>
      <c r="U302" t="s">
        <v>5468</v>
      </c>
      <c r="V302">
        <v>53.79</v>
      </c>
      <c r="W302" t="s">
        <v>7670</v>
      </c>
      <c r="X302" t="s">
        <v>9639</v>
      </c>
      <c r="Y302">
        <v>1204</v>
      </c>
      <c r="Z302">
        <v>137</v>
      </c>
      <c r="AA302">
        <v>2322717</v>
      </c>
      <c r="AB302">
        <v>1.23</v>
      </c>
    </row>
    <row r="303" spans="1:28">
      <c r="A303" s="2">
        <f>HYPERLINK("https://finance.naver.com/item/coinfo.nhn?code=112610", "A112610")</f>
        <v>0</v>
      </c>
      <c r="B303">
        <f>HYPERLINK("http://comp.fnguide.com/SVO2/ASP/SVD_Consensus.asp?pGB=1&amp;gicode=A112610&amp;cID=&amp;MenuYn=Y&amp;ReportGB=&amp;NewMenuID=108&amp;stkGb=701", "씨에스윈드")</f>
        <v>0</v>
      </c>
      <c r="C303">
        <v>0</v>
      </c>
      <c r="D303">
        <v>120000</v>
      </c>
      <c r="E303">
        <v>1.57</v>
      </c>
      <c r="F303">
        <v>20.59</v>
      </c>
      <c r="G303">
        <v>20346</v>
      </c>
      <c r="H303">
        <v>20650</v>
      </c>
      <c r="I303">
        <v>20737</v>
      </c>
      <c r="J303">
        <v>83.04000000000001</v>
      </c>
      <c r="K303">
        <v>82.79000000000001</v>
      </c>
      <c r="L303">
        <v>82.72</v>
      </c>
      <c r="M303">
        <v>7.78</v>
      </c>
      <c r="N303" t="b">
        <v>1</v>
      </c>
      <c r="O303">
        <v>1846</v>
      </c>
      <c r="P303" t="s">
        <v>1761</v>
      </c>
      <c r="Q303" t="s">
        <v>3657</v>
      </c>
      <c r="R303">
        <v>13.096412456631</v>
      </c>
      <c r="S303">
        <v>20743</v>
      </c>
      <c r="T303">
        <v>226807</v>
      </c>
      <c r="U303" t="s">
        <v>5731</v>
      </c>
      <c r="V303">
        <v>52.38</v>
      </c>
      <c r="W303" t="s">
        <v>7929</v>
      </c>
      <c r="X303" t="s">
        <v>9865</v>
      </c>
      <c r="Y303">
        <v>7994</v>
      </c>
      <c r="Z303">
        <v>601</v>
      </c>
      <c r="AA303">
        <v>932243</v>
      </c>
      <c r="AB303">
        <v>1.21</v>
      </c>
    </row>
    <row r="304" spans="1:28">
      <c r="A304" s="2">
        <f>HYPERLINK("https://finance.naver.com/item/coinfo.nhn?code=214390", "A214390")</f>
        <v>0</v>
      </c>
      <c r="B304">
        <f>HYPERLINK("http://comp.fnguide.com/SVO2/ASP/SVD_Consensus.asp?pGB=1&amp;gicode=A214390&amp;cID=&amp;MenuYn=Y&amp;ReportGB=&amp;NewMenuID=108&amp;stkGb=701", "경보제약")</f>
        <v>0</v>
      </c>
      <c r="C304">
        <v>0</v>
      </c>
      <c r="D304">
        <v>16250</v>
      </c>
      <c r="E304">
        <v>-1.53</v>
      </c>
      <c r="F304">
        <v>37.36</v>
      </c>
      <c r="G304">
        <v>5477</v>
      </c>
      <c r="H304">
        <v>5936</v>
      </c>
      <c r="I304">
        <v>6067</v>
      </c>
      <c r="J304">
        <v>66.29000000000001</v>
      </c>
      <c r="K304">
        <v>63.47</v>
      </c>
      <c r="L304">
        <v>62.67</v>
      </c>
      <c r="M304">
        <v>7</v>
      </c>
      <c r="N304" t="b">
        <v>1</v>
      </c>
      <c r="O304">
        <v>221</v>
      </c>
      <c r="P304" t="s">
        <v>1730</v>
      </c>
      <c r="Q304" t="s">
        <v>3631</v>
      </c>
      <c r="R304">
        <v>-24.46124184816527</v>
      </c>
      <c r="S304">
        <v>3885</v>
      </c>
      <c r="T304">
        <v>13742361</v>
      </c>
      <c r="U304" t="s">
        <v>5700</v>
      </c>
      <c r="V304">
        <v>60.53</v>
      </c>
      <c r="W304" t="s">
        <v>7898</v>
      </c>
      <c r="X304" t="s">
        <v>9837</v>
      </c>
      <c r="Y304">
        <v>1917</v>
      </c>
      <c r="Z304">
        <v>62</v>
      </c>
      <c r="AB304">
        <v>1.21</v>
      </c>
    </row>
    <row r="305" spans="1:28">
      <c r="A305" s="2">
        <f>HYPERLINK("https://finance.naver.com/item/coinfo.nhn?code=018310", "A018310")</f>
        <v>0</v>
      </c>
      <c r="B305">
        <f>HYPERLINK("http://comp.fnguide.com/SVO2/ASP/SVD_Consensus.asp?pGB=1&amp;gicode=A018310&amp;cID=&amp;MenuYn=Y&amp;ReportGB=&amp;NewMenuID=108&amp;stkGb=701", "삼목에스폼")</f>
        <v>0</v>
      </c>
      <c r="C305">
        <v>3</v>
      </c>
      <c r="D305">
        <v>7830</v>
      </c>
      <c r="E305">
        <v>-0.34</v>
      </c>
      <c r="F305">
        <v>8.970000000000001</v>
      </c>
      <c r="G305">
        <v>28798</v>
      </c>
      <c r="H305">
        <v>28755</v>
      </c>
      <c r="I305">
        <v>28742</v>
      </c>
      <c r="J305">
        <v>-267.79</v>
      </c>
      <c r="K305">
        <v>-267.24</v>
      </c>
      <c r="L305">
        <v>-267.08</v>
      </c>
      <c r="M305">
        <v>7.99</v>
      </c>
      <c r="N305" t="b">
        <v>1</v>
      </c>
      <c r="O305">
        <v>932</v>
      </c>
      <c r="P305" t="s">
        <v>266</v>
      </c>
      <c r="Q305" t="s">
        <v>2468</v>
      </c>
      <c r="R305">
        <v>-26.11158320682037</v>
      </c>
      <c r="S305">
        <v>1151</v>
      </c>
      <c r="T305">
        <v>29540</v>
      </c>
      <c r="U305" t="s">
        <v>4238</v>
      </c>
      <c r="V305">
        <v>50.66</v>
      </c>
      <c r="W305" t="s">
        <v>6458</v>
      </c>
      <c r="X305" t="s">
        <v>8627</v>
      </c>
      <c r="Y305">
        <v>1442</v>
      </c>
      <c r="Z305">
        <v>114</v>
      </c>
      <c r="AA305">
        <v>2783927</v>
      </c>
      <c r="AB305">
        <v>1.2</v>
      </c>
    </row>
    <row r="306" spans="1:28">
      <c r="A306" s="2">
        <f>HYPERLINK("https://finance.naver.com/item/coinfo.nhn?code=179290", "A179290")</f>
        <v>0</v>
      </c>
      <c r="B306">
        <f>HYPERLINK("http://comp.fnguide.com/SVO2/ASP/SVD_Consensus.asp?pGB=1&amp;gicode=A179290&amp;cID=&amp;MenuYn=Y&amp;ReportGB=&amp;NewMenuID=108&amp;stkGb=701", "엠아이텍")</f>
        <v>0</v>
      </c>
      <c r="C306">
        <v>0</v>
      </c>
      <c r="D306">
        <v>4325</v>
      </c>
      <c r="E306">
        <v>1.5</v>
      </c>
      <c r="F306">
        <v>34.88</v>
      </c>
      <c r="G306">
        <v>1222</v>
      </c>
      <c r="H306">
        <v>1418</v>
      </c>
      <c r="I306">
        <v>1474</v>
      </c>
      <c r="J306">
        <v>71.75</v>
      </c>
      <c r="K306">
        <v>67.2</v>
      </c>
      <c r="L306">
        <v>65.91</v>
      </c>
      <c r="M306">
        <v>6.29</v>
      </c>
      <c r="N306" t="b">
        <v>1</v>
      </c>
      <c r="O306">
        <v>120</v>
      </c>
      <c r="P306" t="s">
        <v>1064</v>
      </c>
      <c r="Q306" t="s">
        <v>3176</v>
      </c>
      <c r="R306">
        <v>23.21457505872932</v>
      </c>
      <c r="S306">
        <v>1349</v>
      </c>
      <c r="T306">
        <v>304224</v>
      </c>
      <c r="U306" t="s">
        <v>5035</v>
      </c>
      <c r="V306">
        <v>65.23</v>
      </c>
      <c r="W306" t="s">
        <v>7252</v>
      </c>
      <c r="X306" t="s">
        <v>9333</v>
      </c>
      <c r="Y306">
        <v>327</v>
      </c>
      <c r="Z306">
        <v>34</v>
      </c>
      <c r="AA306">
        <v>2500</v>
      </c>
      <c r="AB306">
        <v>1.19</v>
      </c>
    </row>
    <row r="307" spans="1:28">
      <c r="A307" s="2">
        <f>HYPERLINK("https://finance.naver.com/item/coinfo.nhn?code=013360", "A013360")</f>
        <v>0</v>
      </c>
      <c r="B307">
        <f>HYPERLINK("http://comp.fnguide.com/SVO2/ASP/SVD_Consensus.asp?pGB=1&amp;gicode=A013360&amp;cID=&amp;MenuYn=Y&amp;ReportGB=&amp;NewMenuID=108&amp;stkGb=701", "일성건설")</f>
        <v>0</v>
      </c>
      <c r="C307">
        <v>3</v>
      </c>
      <c r="D307">
        <v>940</v>
      </c>
      <c r="E307">
        <v>-1.61</v>
      </c>
      <c r="F307">
        <v>36.96</v>
      </c>
      <c r="G307">
        <v>414</v>
      </c>
      <c r="H307">
        <v>1180</v>
      </c>
      <c r="I307">
        <v>1398</v>
      </c>
      <c r="J307">
        <v>55.95</v>
      </c>
      <c r="K307">
        <v>-25.49</v>
      </c>
      <c r="L307">
        <v>-48.69</v>
      </c>
      <c r="M307">
        <v>1.96</v>
      </c>
      <c r="N307" t="b">
        <v>0</v>
      </c>
      <c r="O307">
        <v>34</v>
      </c>
      <c r="P307" t="s">
        <v>144</v>
      </c>
      <c r="Q307" t="s">
        <v>2354</v>
      </c>
      <c r="R307">
        <v>-22.90974220328452</v>
      </c>
      <c r="S307">
        <v>508</v>
      </c>
      <c r="T307">
        <v>206385</v>
      </c>
      <c r="U307" t="s">
        <v>4116</v>
      </c>
      <c r="V307">
        <v>63.89</v>
      </c>
      <c r="W307" t="s">
        <v>6336</v>
      </c>
      <c r="X307" t="s">
        <v>8516</v>
      </c>
      <c r="Y307">
        <v>3758</v>
      </c>
      <c r="Z307">
        <v>74</v>
      </c>
      <c r="AB307">
        <v>1.18</v>
      </c>
    </row>
    <row r="308" spans="1:28">
      <c r="A308" s="2">
        <f>HYPERLINK("https://finance.naver.com/item/coinfo.nhn?code=111770", "A111770")</f>
        <v>0</v>
      </c>
      <c r="B308">
        <f>HYPERLINK("http://comp.fnguide.com/SVO2/ASP/SVD_Consensus.asp?pGB=1&amp;gicode=A111770&amp;cID=&amp;MenuYn=Y&amp;ReportGB=&amp;NewMenuID=108&amp;stkGb=701", "영원무역")</f>
        <v>0</v>
      </c>
      <c r="C308">
        <v>3</v>
      </c>
      <c r="D308">
        <v>31200</v>
      </c>
      <c r="E308">
        <v>1.94</v>
      </c>
      <c r="F308">
        <v>9.130000000000001</v>
      </c>
      <c r="G308">
        <v>47931</v>
      </c>
      <c r="H308">
        <v>44383</v>
      </c>
      <c r="I308">
        <v>43372</v>
      </c>
      <c r="J308">
        <v>-53.63</v>
      </c>
      <c r="K308">
        <v>-42.25</v>
      </c>
      <c r="L308">
        <v>-39.01</v>
      </c>
      <c r="M308">
        <v>9.09</v>
      </c>
      <c r="N308" t="b">
        <v>1</v>
      </c>
      <c r="O308">
        <v>3753</v>
      </c>
      <c r="P308" t="s">
        <v>161</v>
      </c>
      <c r="Q308" t="s">
        <v>2368</v>
      </c>
      <c r="R308">
        <v>4.705134005170453</v>
      </c>
      <c r="S308">
        <v>13825</v>
      </c>
      <c r="T308">
        <v>154505</v>
      </c>
      <c r="U308" t="s">
        <v>4133</v>
      </c>
      <c r="V308">
        <v>50.74</v>
      </c>
      <c r="W308" t="s">
        <v>6353</v>
      </c>
      <c r="X308" t="s">
        <v>8528</v>
      </c>
      <c r="Y308">
        <v>23883</v>
      </c>
      <c r="Z308">
        <v>2376</v>
      </c>
      <c r="AA308">
        <v>445407</v>
      </c>
      <c r="AB308">
        <v>1.17</v>
      </c>
    </row>
    <row r="309" spans="1:28">
      <c r="A309" s="2">
        <f>HYPERLINK("https://finance.naver.com/item/coinfo.nhn?code=002350", "A002350")</f>
        <v>0</v>
      </c>
      <c r="B309">
        <f>HYPERLINK("http://comp.fnguide.com/SVO2/ASP/SVD_Consensus.asp?pGB=1&amp;gicode=A002350&amp;cID=&amp;MenuYn=Y&amp;ReportGB=&amp;NewMenuID=108&amp;stkGb=701", "넥센타이어")</f>
        <v>0</v>
      </c>
      <c r="C309">
        <v>3</v>
      </c>
      <c r="D309">
        <v>6060</v>
      </c>
      <c r="E309">
        <v>-4.66</v>
      </c>
      <c r="F309">
        <v>8.039999999999999</v>
      </c>
      <c r="G309">
        <v>16461</v>
      </c>
      <c r="H309">
        <v>16282</v>
      </c>
      <c r="I309">
        <v>16231</v>
      </c>
      <c r="J309">
        <v>-171.63</v>
      </c>
      <c r="K309">
        <v>-168.68</v>
      </c>
      <c r="L309">
        <v>-167.84</v>
      </c>
      <c r="M309">
        <v>8.119999999999999</v>
      </c>
      <c r="N309" t="b">
        <v>1</v>
      </c>
      <c r="O309">
        <v>1135</v>
      </c>
      <c r="P309" t="s">
        <v>567</v>
      </c>
      <c r="Q309" t="s">
        <v>2741</v>
      </c>
      <c r="R309">
        <v>-1.72560887448977</v>
      </c>
      <c r="S309">
        <v>5919</v>
      </c>
      <c r="T309">
        <v>610875</v>
      </c>
      <c r="U309" t="s">
        <v>4539</v>
      </c>
      <c r="V309">
        <v>65.97</v>
      </c>
      <c r="W309" t="s">
        <v>6759</v>
      </c>
      <c r="X309" t="s">
        <v>8904</v>
      </c>
      <c r="Y309">
        <v>20223</v>
      </c>
      <c r="Z309">
        <v>2074</v>
      </c>
      <c r="AA309">
        <v>1504451</v>
      </c>
      <c r="AB309">
        <v>1.15</v>
      </c>
    </row>
    <row r="310" spans="1:28">
      <c r="A310" s="2">
        <f>HYPERLINK("https://finance.naver.com/item/coinfo.nhn?code=002840", "A002840")</f>
        <v>0</v>
      </c>
      <c r="B310">
        <f>HYPERLINK("http://comp.fnguide.com/SVO2/ASP/SVD_Consensus.asp?pGB=1&amp;gicode=A002840&amp;cID=&amp;MenuYn=Y&amp;ReportGB=&amp;NewMenuID=108&amp;stkGb=701", "미원상사")</f>
        <v>0</v>
      </c>
      <c r="C310">
        <v>0</v>
      </c>
      <c r="D310">
        <v>109000</v>
      </c>
      <c r="E310">
        <v>0.31</v>
      </c>
      <c r="F310">
        <v>9.25</v>
      </c>
      <c r="G310">
        <v>77388</v>
      </c>
      <c r="H310">
        <v>58043</v>
      </c>
      <c r="I310">
        <v>52531</v>
      </c>
      <c r="J310">
        <v>29</v>
      </c>
      <c r="K310">
        <v>46.75</v>
      </c>
      <c r="L310">
        <v>51.81</v>
      </c>
      <c r="M310">
        <v>13.65</v>
      </c>
      <c r="N310" t="b">
        <v>1</v>
      </c>
      <c r="O310">
        <v>6164</v>
      </c>
      <c r="P310" t="s">
        <v>1815</v>
      </c>
      <c r="Q310" t="s">
        <v>3695</v>
      </c>
      <c r="R310">
        <v>29.72361949477469</v>
      </c>
      <c r="S310">
        <v>5417</v>
      </c>
      <c r="T310">
        <v>2542</v>
      </c>
      <c r="U310" t="s">
        <v>5785</v>
      </c>
      <c r="V310">
        <v>58.23</v>
      </c>
      <c r="W310" t="s">
        <v>7983</v>
      </c>
      <c r="X310" t="s">
        <v>9905</v>
      </c>
      <c r="Y310">
        <v>2500</v>
      </c>
      <c r="Z310">
        <v>323</v>
      </c>
      <c r="AB310">
        <v>1.15</v>
      </c>
    </row>
    <row r="311" spans="1:28">
      <c r="A311" s="2">
        <f>HYPERLINK("https://finance.naver.com/item/coinfo.nhn?code=042110", "A042110")</f>
        <v>0</v>
      </c>
      <c r="B311">
        <f>HYPERLINK("http://comp.fnguide.com/SVO2/ASP/SVD_Consensus.asp?pGB=1&amp;gicode=A042110&amp;cID=&amp;MenuYn=Y&amp;ReportGB=&amp;NewMenuID=108&amp;stkGb=701", "에스씨디")</f>
        <v>0</v>
      </c>
      <c r="C311">
        <v>0</v>
      </c>
      <c r="D311">
        <v>1935</v>
      </c>
      <c r="G311">
        <v>840</v>
      </c>
      <c r="H311">
        <v>1587</v>
      </c>
      <c r="I311">
        <v>1800</v>
      </c>
      <c r="J311">
        <v>56.59</v>
      </c>
      <c r="K311">
        <v>17.97</v>
      </c>
      <c r="L311">
        <v>6.97</v>
      </c>
      <c r="M311">
        <v>3.21</v>
      </c>
      <c r="N311" t="b">
        <v>0</v>
      </c>
      <c r="O311">
        <v>-21</v>
      </c>
      <c r="P311" t="s">
        <v>983</v>
      </c>
      <c r="Q311" t="s">
        <v>3118</v>
      </c>
      <c r="R311">
        <v>-12.27308616184509</v>
      </c>
      <c r="S311">
        <v>935</v>
      </c>
      <c r="T311">
        <v>8196794</v>
      </c>
      <c r="U311" t="s">
        <v>4954</v>
      </c>
      <c r="V311">
        <v>51.42</v>
      </c>
      <c r="W311" t="s">
        <v>7172</v>
      </c>
      <c r="X311" t="s">
        <v>9277</v>
      </c>
      <c r="Y311">
        <v>1749</v>
      </c>
      <c r="Z311">
        <v>35</v>
      </c>
      <c r="AB311">
        <v>1.14</v>
      </c>
    </row>
    <row r="312" spans="1:28">
      <c r="A312" s="2">
        <f>HYPERLINK("https://finance.naver.com/item/coinfo.nhn?code=042600", "A042600")</f>
        <v>0</v>
      </c>
      <c r="B312">
        <f>HYPERLINK("http://comp.fnguide.com/SVO2/ASP/SVD_Consensus.asp?pGB=1&amp;gicode=A042600&amp;cID=&amp;MenuYn=Y&amp;ReportGB=&amp;NewMenuID=108&amp;stkGb=701", "새로닉스")</f>
        <v>0</v>
      </c>
      <c r="C312">
        <v>0</v>
      </c>
      <c r="D312">
        <v>7430</v>
      </c>
      <c r="G312">
        <v>3285</v>
      </c>
      <c r="H312">
        <v>5246</v>
      </c>
      <c r="I312">
        <v>5805</v>
      </c>
      <c r="J312">
        <v>55.78</v>
      </c>
      <c r="K312">
        <v>29.39</v>
      </c>
      <c r="L312">
        <v>21.87</v>
      </c>
      <c r="M312">
        <v>4</v>
      </c>
      <c r="N312" t="b">
        <v>0</v>
      </c>
      <c r="O312">
        <v>-155</v>
      </c>
      <c r="P312" t="s">
        <v>1884</v>
      </c>
      <c r="Q312" t="s">
        <v>3743</v>
      </c>
      <c r="R312">
        <v>10.05217910139364</v>
      </c>
      <c r="S312">
        <v>923</v>
      </c>
      <c r="T312">
        <v>544377</v>
      </c>
      <c r="U312" t="s">
        <v>5855</v>
      </c>
      <c r="V312">
        <v>65.06999999999999</v>
      </c>
      <c r="W312" t="s">
        <v>8053</v>
      </c>
      <c r="X312" t="s">
        <v>9960</v>
      </c>
      <c r="Y312">
        <v>1638</v>
      </c>
      <c r="Z312">
        <v>1</v>
      </c>
      <c r="AA312">
        <v>192005</v>
      </c>
      <c r="AB312">
        <v>1.14</v>
      </c>
    </row>
    <row r="313" spans="1:28">
      <c r="A313" s="2">
        <f>HYPERLINK("https://finance.naver.com/item/coinfo.nhn?code=008490", "A008490")</f>
        <v>0</v>
      </c>
      <c r="B313">
        <f>HYPERLINK("http://comp.fnguide.com/SVO2/ASP/SVD_Consensus.asp?pGB=1&amp;gicode=A008490&amp;cID=&amp;MenuYn=Y&amp;ReportGB=&amp;NewMenuID=108&amp;stkGb=701", "서흥")</f>
        <v>0</v>
      </c>
      <c r="C313">
        <v>0</v>
      </c>
      <c r="D313">
        <v>47650</v>
      </c>
      <c r="E313">
        <v>0.84</v>
      </c>
      <c r="F313">
        <v>12.95</v>
      </c>
      <c r="G313">
        <v>33962</v>
      </c>
      <c r="H313">
        <v>29530</v>
      </c>
      <c r="I313">
        <v>28267</v>
      </c>
      <c r="J313">
        <v>28.73</v>
      </c>
      <c r="K313">
        <v>38.03</v>
      </c>
      <c r="L313">
        <v>40.68</v>
      </c>
      <c r="M313">
        <v>10.18</v>
      </c>
      <c r="N313" t="b">
        <v>1</v>
      </c>
      <c r="O313">
        <v>2742</v>
      </c>
      <c r="P313" t="s">
        <v>1832</v>
      </c>
      <c r="Q313" t="s">
        <v>3706</v>
      </c>
      <c r="R313">
        <v>15.44694315800152</v>
      </c>
      <c r="S313">
        <v>5513</v>
      </c>
      <c r="T313">
        <v>61173</v>
      </c>
      <c r="U313" t="s">
        <v>5803</v>
      </c>
      <c r="V313">
        <v>53.22</v>
      </c>
      <c r="W313" t="s">
        <v>8001</v>
      </c>
      <c r="X313" t="s">
        <v>9918</v>
      </c>
      <c r="Y313">
        <v>4607</v>
      </c>
      <c r="Z313">
        <v>474</v>
      </c>
      <c r="AA313">
        <v>450000</v>
      </c>
      <c r="AB313">
        <v>1.13</v>
      </c>
    </row>
    <row r="314" spans="1:28">
      <c r="A314" s="2">
        <f>HYPERLINK("https://finance.naver.com/item/coinfo.nhn?code=035150", "A035150")</f>
        <v>0</v>
      </c>
      <c r="B314">
        <f>HYPERLINK("http://comp.fnguide.com/SVO2/ASP/SVD_Consensus.asp?pGB=1&amp;gicode=A035150&amp;cID=&amp;MenuYn=Y&amp;ReportGB=&amp;NewMenuID=108&amp;stkGb=701", "백산")</f>
        <v>0</v>
      </c>
      <c r="C314">
        <v>3</v>
      </c>
      <c r="D314">
        <v>5410</v>
      </c>
      <c r="E314">
        <v>-1.72</v>
      </c>
      <c r="F314">
        <v>31.9</v>
      </c>
      <c r="G314">
        <v>5669</v>
      </c>
      <c r="H314">
        <v>5859</v>
      </c>
      <c r="I314">
        <v>5914</v>
      </c>
      <c r="J314">
        <v>-4.79</v>
      </c>
      <c r="K314">
        <v>-8.31</v>
      </c>
      <c r="L314">
        <v>-9.31</v>
      </c>
      <c r="M314">
        <v>7.55</v>
      </c>
      <c r="N314" t="b">
        <v>1</v>
      </c>
      <c r="O314">
        <v>282</v>
      </c>
      <c r="P314" t="s">
        <v>520</v>
      </c>
      <c r="Q314" t="s">
        <v>2695</v>
      </c>
      <c r="R314">
        <v>-18.49725915270318</v>
      </c>
      <c r="S314">
        <v>1309</v>
      </c>
      <c r="T314">
        <v>129942</v>
      </c>
      <c r="U314" t="s">
        <v>4492</v>
      </c>
      <c r="V314">
        <v>52.18</v>
      </c>
      <c r="W314" t="s">
        <v>6712</v>
      </c>
      <c r="X314" t="s">
        <v>8859</v>
      </c>
      <c r="Y314">
        <v>4689</v>
      </c>
      <c r="Z314">
        <v>320</v>
      </c>
      <c r="AA314">
        <v>544439</v>
      </c>
      <c r="AB314">
        <v>1.11</v>
      </c>
    </row>
    <row r="315" spans="1:28">
      <c r="A315" s="2">
        <f>HYPERLINK("https://finance.naver.com/item/coinfo.nhn?code=212560", "A212560")</f>
        <v>0</v>
      </c>
      <c r="B315">
        <f>HYPERLINK("http://comp.fnguide.com/SVO2/ASP/SVD_Consensus.asp?pGB=1&amp;gicode=A212560&amp;cID=&amp;MenuYn=Y&amp;ReportGB=&amp;NewMenuID=108&amp;stkGb=701", "네오오토")</f>
        <v>0</v>
      </c>
      <c r="C315">
        <v>3</v>
      </c>
      <c r="D315">
        <v>4605</v>
      </c>
      <c r="E315">
        <v>-0.93</v>
      </c>
      <c r="F315">
        <v>14.3</v>
      </c>
      <c r="G315">
        <v>6503</v>
      </c>
      <c r="H315">
        <v>8654</v>
      </c>
      <c r="I315">
        <v>9267</v>
      </c>
      <c r="J315">
        <v>-41.21</v>
      </c>
      <c r="K315">
        <v>-87.93000000000001</v>
      </c>
      <c r="L315">
        <v>-101.24</v>
      </c>
      <c r="M315">
        <v>5.14</v>
      </c>
      <c r="N315" t="b">
        <v>1</v>
      </c>
      <c r="O315">
        <v>317</v>
      </c>
      <c r="P315" t="s">
        <v>393</v>
      </c>
      <c r="Q315" t="s">
        <v>2577</v>
      </c>
      <c r="R315">
        <v>-15.30824501176449</v>
      </c>
      <c r="S315">
        <v>363</v>
      </c>
      <c r="T315">
        <v>406399</v>
      </c>
      <c r="U315" t="s">
        <v>4365</v>
      </c>
      <c r="V315">
        <v>52.48</v>
      </c>
      <c r="W315" t="s">
        <v>6585</v>
      </c>
      <c r="X315" t="s">
        <v>8739</v>
      </c>
      <c r="Y315">
        <v>1184</v>
      </c>
      <c r="Z315">
        <v>8</v>
      </c>
      <c r="AA315">
        <v>406</v>
      </c>
      <c r="AB315">
        <v>1.1</v>
      </c>
    </row>
    <row r="316" spans="1:28">
      <c r="A316" s="2">
        <f>HYPERLINK("https://finance.naver.com/item/coinfo.nhn?code=036580", "A036580")</f>
        <v>0</v>
      </c>
      <c r="B316">
        <f>HYPERLINK("http://comp.fnguide.com/SVO2/ASP/SVD_Consensus.asp?pGB=1&amp;gicode=A036580&amp;cID=&amp;MenuYn=Y&amp;ReportGB=&amp;NewMenuID=108&amp;stkGb=701", "팜스코")</f>
        <v>0</v>
      </c>
      <c r="C316">
        <v>3</v>
      </c>
      <c r="D316">
        <v>4405</v>
      </c>
      <c r="G316">
        <v>2707</v>
      </c>
      <c r="H316">
        <v>6108</v>
      </c>
      <c r="I316">
        <v>7077</v>
      </c>
      <c r="J316">
        <v>38.55</v>
      </c>
      <c r="K316">
        <v>-38.65</v>
      </c>
      <c r="L316">
        <v>-60.65</v>
      </c>
      <c r="M316">
        <v>2.58</v>
      </c>
      <c r="N316" t="b">
        <v>0</v>
      </c>
      <c r="O316">
        <v>-225</v>
      </c>
      <c r="P316" t="s">
        <v>201</v>
      </c>
      <c r="Q316" t="s">
        <v>2407</v>
      </c>
      <c r="R316">
        <v>-30.31665750770986</v>
      </c>
      <c r="S316">
        <v>1618</v>
      </c>
      <c r="T316">
        <v>139284</v>
      </c>
      <c r="U316" t="s">
        <v>4173</v>
      </c>
      <c r="V316">
        <v>56.57</v>
      </c>
      <c r="W316" t="s">
        <v>6393</v>
      </c>
      <c r="X316" t="s">
        <v>8567</v>
      </c>
      <c r="Y316">
        <v>11650</v>
      </c>
      <c r="Z316">
        <v>202</v>
      </c>
      <c r="AA316">
        <v>1709107</v>
      </c>
      <c r="AB316">
        <v>1.09</v>
      </c>
    </row>
    <row r="317" spans="1:28">
      <c r="A317" s="2">
        <f>HYPERLINK("https://finance.naver.com/item/coinfo.nhn?code=155660", "A155660")</f>
        <v>0</v>
      </c>
      <c r="B317">
        <f>HYPERLINK("http://comp.fnguide.com/SVO2/ASP/SVD_Consensus.asp?pGB=1&amp;gicode=A155660&amp;cID=&amp;MenuYn=Y&amp;ReportGB=&amp;NewMenuID=108&amp;stkGb=701", "DSR")</f>
        <v>0</v>
      </c>
      <c r="C317">
        <v>3</v>
      </c>
      <c r="D317">
        <v>5450</v>
      </c>
      <c r="E317">
        <v>-3.33</v>
      </c>
      <c r="F317">
        <v>8.4</v>
      </c>
      <c r="G317">
        <v>7381</v>
      </c>
      <c r="H317">
        <v>8722</v>
      </c>
      <c r="I317">
        <v>9104</v>
      </c>
      <c r="J317">
        <v>-35.44</v>
      </c>
      <c r="K317">
        <v>-60.03</v>
      </c>
      <c r="L317">
        <v>-67.04000000000001</v>
      </c>
      <c r="M317">
        <v>6.12</v>
      </c>
      <c r="N317" t="b">
        <v>1</v>
      </c>
      <c r="O317">
        <v>546</v>
      </c>
      <c r="P317" t="s">
        <v>758</v>
      </c>
      <c r="Q317" t="s">
        <v>2919</v>
      </c>
      <c r="R317">
        <v>-2.519392735844983</v>
      </c>
      <c r="S317">
        <v>872</v>
      </c>
      <c r="T317">
        <v>75241</v>
      </c>
      <c r="U317" t="s">
        <v>4730</v>
      </c>
      <c r="V317">
        <v>70.75</v>
      </c>
      <c r="W317" t="s">
        <v>6950</v>
      </c>
      <c r="X317" t="s">
        <v>9083</v>
      </c>
      <c r="Y317">
        <v>2363</v>
      </c>
      <c r="Z317">
        <v>107</v>
      </c>
      <c r="AB317">
        <v>1.09</v>
      </c>
    </row>
    <row r="318" spans="1:28">
      <c r="A318" s="2">
        <f>HYPERLINK("https://finance.naver.com/item/coinfo.nhn?code=251630", "A251630")</f>
        <v>0</v>
      </c>
      <c r="B318">
        <f>HYPERLINK("http://comp.fnguide.com/SVO2/ASP/SVD_Consensus.asp?pGB=1&amp;gicode=A251630&amp;cID=&amp;MenuYn=Y&amp;ReportGB=&amp;NewMenuID=108&amp;stkGb=701", "브이원텍")</f>
        <v>0</v>
      </c>
      <c r="C318">
        <v>1</v>
      </c>
      <c r="D318">
        <v>9500</v>
      </c>
      <c r="E318">
        <v>1.44</v>
      </c>
      <c r="F318">
        <v>20.91</v>
      </c>
      <c r="G318">
        <v>11292</v>
      </c>
      <c r="H318">
        <v>7923</v>
      </c>
      <c r="I318">
        <v>6963</v>
      </c>
      <c r="J318">
        <v>-18.87</v>
      </c>
      <c r="K318">
        <v>16.6</v>
      </c>
      <c r="L318">
        <v>26.7</v>
      </c>
      <c r="M318">
        <v>15.83</v>
      </c>
      <c r="N318" t="b">
        <v>1</v>
      </c>
      <c r="O318">
        <v>442</v>
      </c>
      <c r="P318" t="s">
        <v>826</v>
      </c>
      <c r="Q318" t="s">
        <v>2984</v>
      </c>
      <c r="R318">
        <v>14.49186008396843</v>
      </c>
      <c r="S318">
        <v>1430</v>
      </c>
      <c r="T318">
        <v>158577</v>
      </c>
      <c r="U318" t="s">
        <v>4798</v>
      </c>
      <c r="V318">
        <v>52.04</v>
      </c>
      <c r="W318" t="s">
        <v>7018</v>
      </c>
      <c r="X318" t="s">
        <v>9146</v>
      </c>
      <c r="Y318">
        <v>268</v>
      </c>
      <c r="Z318">
        <v>48</v>
      </c>
      <c r="AA318">
        <v>680241</v>
      </c>
      <c r="AB318">
        <v>1.08</v>
      </c>
    </row>
    <row r="319" spans="1:28">
      <c r="A319" s="2">
        <f>HYPERLINK("https://finance.naver.com/item/coinfo.nhn?code=270870", "A270870")</f>
        <v>0</v>
      </c>
      <c r="B319">
        <f>HYPERLINK("http://comp.fnguide.com/SVO2/ASP/SVD_Consensus.asp?pGB=1&amp;gicode=A270870&amp;cID=&amp;MenuYn=Y&amp;ReportGB=&amp;NewMenuID=108&amp;stkGb=701", "뉴트리")</f>
        <v>0</v>
      </c>
      <c r="C319">
        <v>0</v>
      </c>
      <c r="D319">
        <v>22100</v>
      </c>
      <c r="E319">
        <v>0</v>
      </c>
      <c r="F319">
        <v>13.21</v>
      </c>
      <c r="G319">
        <v>14252</v>
      </c>
      <c r="H319">
        <v>9590</v>
      </c>
      <c r="I319">
        <v>8262</v>
      </c>
      <c r="J319">
        <v>35.51</v>
      </c>
      <c r="K319">
        <v>56.61</v>
      </c>
      <c r="L319">
        <v>62.62</v>
      </c>
      <c r="M319">
        <v>17.5</v>
      </c>
      <c r="N319" t="b">
        <v>1</v>
      </c>
      <c r="O319">
        <v>1056</v>
      </c>
      <c r="P319" t="s">
        <v>2077</v>
      </c>
      <c r="Q319" t="s">
        <v>3866</v>
      </c>
      <c r="R319">
        <v>0</v>
      </c>
      <c r="S319">
        <v>2005</v>
      </c>
      <c r="T319">
        <v>86888</v>
      </c>
      <c r="U319" t="s">
        <v>6050</v>
      </c>
      <c r="V319">
        <v>50.69</v>
      </c>
      <c r="W319" t="s">
        <v>8237</v>
      </c>
      <c r="X319" t="s">
        <v>10083</v>
      </c>
      <c r="Y319">
        <v>1251</v>
      </c>
      <c r="Z319">
        <v>120</v>
      </c>
      <c r="AA319">
        <v>232152</v>
      </c>
      <c r="AB319">
        <v>1.08</v>
      </c>
    </row>
    <row r="320" spans="1:28">
      <c r="A320" s="2">
        <f>HYPERLINK("https://finance.naver.com/item/coinfo.nhn?code=084110", "A084110")</f>
        <v>0</v>
      </c>
      <c r="B320">
        <f>HYPERLINK("http://comp.fnguide.com/SVO2/ASP/SVD_Consensus.asp?pGB=1&amp;gicode=A084110&amp;cID=&amp;MenuYn=Y&amp;ReportGB=&amp;NewMenuID=108&amp;stkGb=701", "휴온스글로벌")</f>
        <v>0</v>
      </c>
      <c r="C320">
        <v>3</v>
      </c>
      <c r="D320">
        <v>30750</v>
      </c>
      <c r="E320">
        <v>2.7</v>
      </c>
      <c r="F320">
        <v>15.12</v>
      </c>
      <c r="G320">
        <v>32034</v>
      </c>
      <c r="H320">
        <v>32865</v>
      </c>
      <c r="I320">
        <v>33102</v>
      </c>
      <c r="J320">
        <v>-4.17</v>
      </c>
      <c r="K320">
        <v>-6.88</v>
      </c>
      <c r="L320">
        <v>-7.65</v>
      </c>
      <c r="M320">
        <v>7.64</v>
      </c>
      <c r="N320" t="b">
        <v>1</v>
      </c>
      <c r="O320">
        <v>2325</v>
      </c>
      <c r="P320" t="s">
        <v>701</v>
      </c>
      <c r="Q320" t="s">
        <v>2865</v>
      </c>
      <c r="R320">
        <v>5.597141775630465</v>
      </c>
      <c r="S320">
        <v>3525</v>
      </c>
      <c r="T320">
        <v>53665</v>
      </c>
      <c r="U320" t="s">
        <v>4673</v>
      </c>
      <c r="V320">
        <v>56.66</v>
      </c>
      <c r="W320" t="s">
        <v>6893</v>
      </c>
      <c r="X320" t="s">
        <v>9028</v>
      </c>
      <c r="Y320">
        <v>4494</v>
      </c>
      <c r="Z320">
        <v>729</v>
      </c>
      <c r="AA320">
        <v>137681</v>
      </c>
      <c r="AB320">
        <v>1.08</v>
      </c>
    </row>
    <row r="321" spans="1:28">
      <c r="A321" s="2">
        <f>HYPERLINK("https://finance.naver.com/item/coinfo.nhn?code=081000", "A081000")</f>
        <v>0</v>
      </c>
      <c r="B321">
        <f>HYPERLINK("http://comp.fnguide.com/SVO2/ASP/SVD_Consensus.asp?pGB=1&amp;gicode=A081000&amp;cID=&amp;MenuYn=Y&amp;ReportGB=&amp;NewMenuID=108&amp;stkGb=701", "일진다이아")</f>
        <v>0</v>
      </c>
      <c r="C321">
        <v>0</v>
      </c>
      <c r="D321">
        <v>47350</v>
      </c>
      <c r="E321">
        <v>-2.51</v>
      </c>
      <c r="F321">
        <v>31.33</v>
      </c>
      <c r="G321">
        <v>12703</v>
      </c>
      <c r="H321">
        <v>12679</v>
      </c>
      <c r="I321">
        <v>12673</v>
      </c>
      <c r="J321">
        <v>73.17</v>
      </c>
      <c r="K321">
        <v>73.22</v>
      </c>
      <c r="L321">
        <v>73.23999999999999</v>
      </c>
      <c r="M321">
        <v>8</v>
      </c>
      <c r="N321" t="b">
        <v>1</v>
      </c>
      <c r="O321">
        <v>892</v>
      </c>
      <c r="P321" t="s">
        <v>1517</v>
      </c>
      <c r="Q321" t="s">
        <v>3475</v>
      </c>
      <c r="R321">
        <v>-12.45892161845122</v>
      </c>
      <c r="S321">
        <v>6725</v>
      </c>
      <c r="T321">
        <v>432337</v>
      </c>
      <c r="U321" t="s">
        <v>5488</v>
      </c>
      <c r="V321">
        <v>55.51</v>
      </c>
      <c r="W321" t="s">
        <v>7690</v>
      </c>
      <c r="X321" t="s">
        <v>9659</v>
      </c>
      <c r="Y321">
        <v>1611</v>
      </c>
      <c r="Z321">
        <v>132</v>
      </c>
      <c r="AA321">
        <v>4845</v>
      </c>
      <c r="AB321">
        <v>1.07</v>
      </c>
    </row>
    <row r="322" spans="1:28">
      <c r="A322" s="2">
        <f>HYPERLINK("https://finance.naver.com/item/coinfo.nhn?code=031440", "A031440")</f>
        <v>0</v>
      </c>
      <c r="B322">
        <f>HYPERLINK("http://comp.fnguide.com/SVO2/ASP/SVD_Consensus.asp?pGB=1&amp;gicode=A031440&amp;cID=&amp;MenuYn=Y&amp;ReportGB=&amp;NewMenuID=108&amp;stkGb=701", "신세계푸드")</f>
        <v>0</v>
      </c>
      <c r="C322">
        <v>3</v>
      </c>
      <c r="D322">
        <v>63500</v>
      </c>
      <c r="E322">
        <v>-6.14</v>
      </c>
      <c r="F322">
        <v>62.54</v>
      </c>
      <c r="G322">
        <v>27652</v>
      </c>
      <c r="H322">
        <v>59929</v>
      </c>
      <c r="I322">
        <v>69127</v>
      </c>
      <c r="J322">
        <v>56.45</v>
      </c>
      <c r="K322">
        <v>5.62</v>
      </c>
      <c r="L322">
        <v>-8.859999999999999</v>
      </c>
      <c r="M322">
        <v>2.71</v>
      </c>
      <c r="N322" t="b">
        <v>0</v>
      </c>
      <c r="O322">
        <v>1124</v>
      </c>
      <c r="P322" t="s">
        <v>733</v>
      </c>
      <c r="Q322" t="s">
        <v>2894</v>
      </c>
      <c r="R322">
        <v>-10.18260576068835</v>
      </c>
      <c r="S322">
        <v>2459</v>
      </c>
      <c r="T322">
        <v>20913</v>
      </c>
      <c r="U322" t="s">
        <v>4705</v>
      </c>
      <c r="V322">
        <v>55.47</v>
      </c>
      <c r="W322" t="s">
        <v>6925</v>
      </c>
      <c r="X322" t="s">
        <v>9058</v>
      </c>
      <c r="Y322">
        <v>13201</v>
      </c>
      <c r="Z322">
        <v>222</v>
      </c>
      <c r="AA322">
        <v>189</v>
      </c>
      <c r="AB322">
        <v>1.07</v>
      </c>
    </row>
    <row r="323" spans="1:28">
      <c r="A323" s="2">
        <f>HYPERLINK("https://finance.naver.com/item/coinfo.nhn?code=115570", "A115570")</f>
        <v>0</v>
      </c>
      <c r="B323">
        <f>HYPERLINK("http://comp.fnguide.com/SVO2/ASP/SVD_Consensus.asp?pGB=1&amp;gicode=A115570&amp;cID=&amp;MenuYn=Y&amp;ReportGB=&amp;NewMenuID=108&amp;stkGb=701", "스타플렉스")</f>
        <v>0</v>
      </c>
      <c r="C323">
        <v>3</v>
      </c>
      <c r="D323">
        <v>5060</v>
      </c>
      <c r="E323">
        <v>0</v>
      </c>
      <c r="G323">
        <v>2784</v>
      </c>
      <c r="H323">
        <v>6213</v>
      </c>
      <c r="I323">
        <v>7190</v>
      </c>
      <c r="J323">
        <v>44.98</v>
      </c>
      <c r="K323">
        <v>-22.79</v>
      </c>
      <c r="L323">
        <v>-42.1</v>
      </c>
      <c r="M323">
        <v>2.61</v>
      </c>
      <c r="N323" t="b">
        <v>0</v>
      </c>
      <c r="O323">
        <v>-973</v>
      </c>
      <c r="P323" t="s">
        <v>345</v>
      </c>
      <c r="Q323" t="s">
        <v>2276</v>
      </c>
      <c r="R323">
        <v>0</v>
      </c>
      <c r="S323">
        <v>389</v>
      </c>
      <c r="T323">
        <v>78576</v>
      </c>
      <c r="U323" t="s">
        <v>4317</v>
      </c>
      <c r="V323">
        <v>52.37</v>
      </c>
      <c r="W323" t="s">
        <v>6537</v>
      </c>
      <c r="X323" t="s">
        <v>8693</v>
      </c>
      <c r="Y323">
        <v>927</v>
      </c>
      <c r="Z323">
        <v>13</v>
      </c>
      <c r="AA323">
        <v>94490</v>
      </c>
      <c r="AB323">
        <v>1.07</v>
      </c>
    </row>
    <row r="324" spans="1:28">
      <c r="A324" s="2">
        <f>HYPERLINK("https://finance.naver.com/item/coinfo.nhn?code=016590", "A016590")</f>
        <v>0</v>
      </c>
      <c r="B324">
        <f>HYPERLINK("http://comp.fnguide.com/SVO2/ASP/SVD_Consensus.asp?pGB=1&amp;gicode=A016590&amp;cID=&amp;MenuYn=Y&amp;ReportGB=&amp;NewMenuID=108&amp;stkGb=701", "신대양제지")</f>
        <v>0</v>
      </c>
      <c r="C324">
        <v>3</v>
      </c>
      <c r="D324">
        <v>65500</v>
      </c>
      <c r="E324">
        <v>0.14</v>
      </c>
      <c r="F324">
        <v>4.3</v>
      </c>
      <c r="G324">
        <v>234788</v>
      </c>
      <c r="H324">
        <v>159385</v>
      </c>
      <c r="I324">
        <v>137900</v>
      </c>
      <c r="J324">
        <v>-258.45</v>
      </c>
      <c r="K324">
        <v>-143.34</v>
      </c>
      <c r="L324">
        <v>-110.53</v>
      </c>
      <c r="M324">
        <v>17.12</v>
      </c>
      <c r="N324" t="b">
        <v>1</v>
      </c>
      <c r="O324">
        <v>13849</v>
      </c>
      <c r="P324" t="s">
        <v>749</v>
      </c>
      <c r="Q324" t="s">
        <v>2910</v>
      </c>
      <c r="R324">
        <v>29.98273632658002</v>
      </c>
      <c r="S324">
        <v>2640</v>
      </c>
      <c r="T324">
        <v>58366</v>
      </c>
      <c r="U324" t="s">
        <v>4721</v>
      </c>
      <c r="V324">
        <v>53.49</v>
      </c>
      <c r="W324" t="s">
        <v>6941</v>
      </c>
      <c r="X324" t="s">
        <v>9074</v>
      </c>
      <c r="Y324">
        <v>6468</v>
      </c>
      <c r="Z324">
        <v>947</v>
      </c>
      <c r="AA324">
        <v>201500</v>
      </c>
      <c r="AB324">
        <v>1.05</v>
      </c>
    </row>
    <row r="325" spans="1:28">
      <c r="A325" s="2">
        <f>HYPERLINK("https://finance.naver.com/item/coinfo.nhn?code=241770", "A241770")</f>
        <v>0</v>
      </c>
      <c r="B325">
        <f>HYPERLINK("http://comp.fnguide.com/SVO2/ASP/SVD_Consensus.asp?pGB=1&amp;gicode=A241770&amp;cID=&amp;MenuYn=Y&amp;ReportGB=&amp;NewMenuID=108&amp;stkGb=701", "메카로")</f>
        <v>0</v>
      </c>
      <c r="C325">
        <v>3</v>
      </c>
      <c r="D325">
        <v>14050</v>
      </c>
      <c r="E325">
        <v>-0.35</v>
      </c>
      <c r="F325">
        <v>18.81</v>
      </c>
      <c r="G325">
        <v>31860</v>
      </c>
      <c r="H325">
        <v>21450</v>
      </c>
      <c r="I325">
        <v>18483</v>
      </c>
      <c r="J325">
        <v>-126.76</v>
      </c>
      <c r="K325">
        <v>-52.67</v>
      </c>
      <c r="L325">
        <v>-31.55</v>
      </c>
      <c r="M325">
        <v>17.47</v>
      </c>
      <c r="N325" t="b">
        <v>1</v>
      </c>
      <c r="O325">
        <v>819</v>
      </c>
      <c r="P325" t="s">
        <v>431</v>
      </c>
      <c r="Q325" t="s">
        <v>2611</v>
      </c>
      <c r="R325">
        <v>-53.38808199501476</v>
      </c>
      <c r="S325">
        <v>1419</v>
      </c>
      <c r="T325">
        <v>120049</v>
      </c>
      <c r="U325" t="s">
        <v>4403</v>
      </c>
      <c r="V325">
        <v>60.36</v>
      </c>
      <c r="W325" t="s">
        <v>6623</v>
      </c>
      <c r="X325" t="s">
        <v>8773</v>
      </c>
      <c r="Y325">
        <v>725</v>
      </c>
      <c r="Z325">
        <v>86</v>
      </c>
      <c r="AA325">
        <v>380000</v>
      </c>
      <c r="AB325">
        <v>1.04</v>
      </c>
    </row>
    <row r="326" spans="1:28">
      <c r="A326" s="2">
        <f>HYPERLINK("https://finance.naver.com/item/coinfo.nhn?code=050960", "A050960")</f>
        <v>0</v>
      </c>
      <c r="B326">
        <f>HYPERLINK("http://comp.fnguide.com/SVO2/ASP/SVD_Consensus.asp?pGB=1&amp;gicode=A050960&amp;cID=&amp;MenuYn=Y&amp;ReportGB=&amp;NewMenuID=108&amp;stkGb=701", "수산아이앤티")</f>
        <v>0</v>
      </c>
      <c r="C326">
        <v>0</v>
      </c>
      <c r="D326">
        <v>11450</v>
      </c>
      <c r="E326">
        <v>-3.43</v>
      </c>
      <c r="F326">
        <v>17.32</v>
      </c>
      <c r="G326">
        <v>6261</v>
      </c>
      <c r="H326">
        <v>9272</v>
      </c>
      <c r="I326">
        <v>10130</v>
      </c>
      <c r="J326">
        <v>45.32</v>
      </c>
      <c r="K326">
        <v>19.02</v>
      </c>
      <c r="L326">
        <v>11.53</v>
      </c>
      <c r="M326">
        <v>4.43</v>
      </c>
      <c r="N326" t="b">
        <v>1</v>
      </c>
      <c r="O326">
        <v>430</v>
      </c>
      <c r="P326" t="s">
        <v>2031</v>
      </c>
      <c r="Q326" t="s">
        <v>3836</v>
      </c>
      <c r="R326">
        <v>-5.05346491676959</v>
      </c>
      <c r="S326">
        <v>773</v>
      </c>
      <c r="T326">
        <v>573564</v>
      </c>
      <c r="U326" t="s">
        <v>6003</v>
      </c>
      <c r="V326">
        <v>51.85</v>
      </c>
      <c r="W326" t="s">
        <v>8194</v>
      </c>
      <c r="X326" t="s">
        <v>10054</v>
      </c>
      <c r="Y326">
        <v>160</v>
      </c>
      <c r="Z326">
        <v>28</v>
      </c>
      <c r="AB326">
        <v>1.01</v>
      </c>
    </row>
    <row r="327" spans="1:28">
      <c r="A327" s="2">
        <f>HYPERLINK("https://finance.naver.com/item/coinfo.nhn?code=237880", "A237880")</f>
        <v>0</v>
      </c>
      <c r="B327">
        <f>HYPERLINK("http://comp.fnguide.com/SVO2/ASP/SVD_Consensus.asp?pGB=1&amp;gicode=A237880&amp;cID=&amp;MenuYn=Y&amp;ReportGB=&amp;NewMenuID=108&amp;stkGb=701", "클리오")</f>
        <v>0</v>
      </c>
      <c r="C327">
        <v>0</v>
      </c>
      <c r="D327">
        <v>16950</v>
      </c>
      <c r="E327">
        <v>-4.2</v>
      </c>
      <c r="F327">
        <v>126.58</v>
      </c>
      <c r="G327">
        <v>2399</v>
      </c>
      <c r="H327">
        <v>6220</v>
      </c>
      <c r="I327">
        <v>7309</v>
      </c>
      <c r="J327">
        <v>85.84</v>
      </c>
      <c r="K327">
        <v>63.3</v>
      </c>
      <c r="L327">
        <v>56.88</v>
      </c>
      <c r="M327">
        <v>2.18</v>
      </c>
      <c r="N327" t="b">
        <v>1</v>
      </c>
      <c r="O327">
        <v>173</v>
      </c>
      <c r="P327" t="s">
        <v>1273</v>
      </c>
      <c r="Q327" t="s">
        <v>3309</v>
      </c>
      <c r="R327">
        <v>-30.10895085549056</v>
      </c>
      <c r="S327">
        <v>2907</v>
      </c>
      <c r="T327">
        <v>74723</v>
      </c>
      <c r="U327" t="s">
        <v>5244</v>
      </c>
      <c r="V327">
        <v>67.3</v>
      </c>
      <c r="W327" t="s">
        <v>7453</v>
      </c>
      <c r="X327" t="s">
        <v>9478</v>
      </c>
      <c r="Y327">
        <v>2504</v>
      </c>
      <c r="Z327">
        <v>186</v>
      </c>
      <c r="AA327">
        <v>561430</v>
      </c>
      <c r="AB327">
        <v>1</v>
      </c>
    </row>
    <row r="328" spans="1:28">
      <c r="A328" s="2">
        <f>HYPERLINK("https://finance.naver.com/item/coinfo.nhn?code=225530", "A225530")</f>
        <v>0</v>
      </c>
      <c r="B328">
        <f>HYPERLINK("http://comp.fnguide.com/SVO2/ASP/SVD_Consensus.asp?pGB=1&amp;gicode=A225530&amp;cID=&amp;MenuYn=Y&amp;ReportGB=&amp;NewMenuID=108&amp;stkGb=701", "보광산업")</f>
        <v>0</v>
      </c>
      <c r="C328">
        <v>0</v>
      </c>
      <c r="D328">
        <v>5580</v>
      </c>
      <c r="E328">
        <v>-1.82</v>
      </c>
      <c r="F328">
        <v>29.2</v>
      </c>
      <c r="G328">
        <v>2409</v>
      </c>
      <c r="H328">
        <v>2081</v>
      </c>
      <c r="I328">
        <v>1987</v>
      </c>
      <c r="J328">
        <v>56.83</v>
      </c>
      <c r="K328">
        <v>62.71</v>
      </c>
      <c r="L328">
        <v>64.38</v>
      </c>
      <c r="M328">
        <v>10.3</v>
      </c>
      <c r="N328" t="b">
        <v>1</v>
      </c>
      <c r="O328">
        <v>175</v>
      </c>
      <c r="P328" t="s">
        <v>1926</v>
      </c>
      <c r="Q328" t="s">
        <v>3776</v>
      </c>
      <c r="R328">
        <v>-16.00265583706972</v>
      </c>
      <c r="S328">
        <v>2028</v>
      </c>
      <c r="T328">
        <v>164280</v>
      </c>
      <c r="U328" t="s">
        <v>5898</v>
      </c>
      <c r="V328">
        <v>68.47</v>
      </c>
      <c r="W328" t="s">
        <v>8094</v>
      </c>
      <c r="X328" t="s">
        <v>9993</v>
      </c>
      <c r="Y328">
        <v>498</v>
      </c>
      <c r="Z328">
        <v>74</v>
      </c>
      <c r="AA328">
        <v>676</v>
      </c>
      <c r="AB328">
        <v>0.98</v>
      </c>
    </row>
    <row r="329" spans="1:28">
      <c r="A329" s="2">
        <f>HYPERLINK("https://finance.naver.com/item/coinfo.nhn?code=107590", "A107590")</f>
        <v>0</v>
      </c>
      <c r="B329">
        <f>HYPERLINK("http://comp.fnguide.com/SVO2/ASP/SVD_Consensus.asp?pGB=1&amp;gicode=A107590&amp;cID=&amp;MenuYn=Y&amp;ReportGB=&amp;NewMenuID=108&amp;stkGb=701", "미원홀딩스")</f>
        <v>0</v>
      </c>
      <c r="C329">
        <v>1</v>
      </c>
      <c r="D329">
        <v>69400</v>
      </c>
      <c r="E329">
        <v>0.47</v>
      </c>
      <c r="F329">
        <v>6.24</v>
      </c>
      <c r="G329">
        <v>73875</v>
      </c>
      <c r="H329">
        <v>67507</v>
      </c>
      <c r="I329">
        <v>65692</v>
      </c>
      <c r="J329">
        <v>-6.45</v>
      </c>
      <c r="K329">
        <v>2.73</v>
      </c>
      <c r="L329">
        <v>5.34</v>
      </c>
      <c r="M329">
        <v>9.300000000000001</v>
      </c>
      <c r="N329" t="b">
        <v>1</v>
      </c>
      <c r="O329">
        <v>6591</v>
      </c>
      <c r="P329" t="s">
        <v>814</v>
      </c>
      <c r="Q329" t="s">
        <v>2973</v>
      </c>
      <c r="R329">
        <v>13.17556714261634</v>
      </c>
      <c r="S329">
        <v>1610</v>
      </c>
      <c r="T329">
        <v>1427</v>
      </c>
      <c r="U329" t="s">
        <v>4786</v>
      </c>
      <c r="V329">
        <v>70.95999999999999</v>
      </c>
      <c r="W329" t="s">
        <v>7006</v>
      </c>
      <c r="X329" t="s">
        <v>9135</v>
      </c>
      <c r="Y329">
        <v>1884</v>
      </c>
      <c r="Z329">
        <v>78</v>
      </c>
      <c r="AB329">
        <v>0.97</v>
      </c>
    </row>
    <row r="330" spans="1:28">
      <c r="A330" s="2">
        <f>HYPERLINK("https://finance.naver.com/item/coinfo.nhn?code=246690", "A246690")</f>
        <v>0</v>
      </c>
      <c r="B330">
        <f>HYPERLINK("http://comp.fnguide.com/SVO2/ASP/SVD_Consensus.asp?pGB=1&amp;gicode=A246690&amp;cID=&amp;MenuYn=Y&amp;ReportGB=&amp;NewMenuID=108&amp;stkGb=701", "TS인베스트먼트")</f>
        <v>0</v>
      </c>
      <c r="C330">
        <v>0</v>
      </c>
      <c r="D330">
        <v>4025</v>
      </c>
      <c r="E330">
        <v>0</v>
      </c>
      <c r="F330">
        <v>12.8</v>
      </c>
      <c r="G330">
        <v>2320</v>
      </c>
      <c r="H330">
        <v>1721</v>
      </c>
      <c r="I330">
        <v>1550</v>
      </c>
      <c r="J330">
        <v>42.35</v>
      </c>
      <c r="K330">
        <v>57.24</v>
      </c>
      <c r="L330">
        <v>61.48</v>
      </c>
      <c r="M330">
        <v>13.98</v>
      </c>
      <c r="N330" t="b">
        <v>1</v>
      </c>
      <c r="O330">
        <v>201</v>
      </c>
      <c r="P330" t="s">
        <v>1593</v>
      </c>
      <c r="Q330" t="s">
        <v>3532</v>
      </c>
      <c r="R330">
        <v>2.800000000000002</v>
      </c>
      <c r="S330">
        <v>977</v>
      </c>
      <c r="T330">
        <v>14304544</v>
      </c>
      <c r="U330" t="s">
        <v>5564</v>
      </c>
      <c r="V330">
        <v>51.3</v>
      </c>
      <c r="W330" t="s">
        <v>7766</v>
      </c>
      <c r="X330" t="s">
        <v>9723</v>
      </c>
      <c r="Y330">
        <v>117</v>
      </c>
      <c r="Z330">
        <v>56</v>
      </c>
      <c r="AB330">
        <v>0.97</v>
      </c>
    </row>
    <row r="331" spans="1:28">
      <c r="A331" s="2">
        <f>HYPERLINK("https://finance.naver.com/item/coinfo.nhn?code=023900", "A023900")</f>
        <v>0</v>
      </c>
      <c r="B331">
        <f>HYPERLINK("http://comp.fnguide.com/SVO2/ASP/SVD_Consensus.asp?pGB=1&amp;gicode=A023900&amp;cID=&amp;MenuYn=Y&amp;ReportGB=&amp;NewMenuID=108&amp;stkGb=701", "풍국주정")</f>
        <v>0</v>
      </c>
      <c r="C331">
        <v>0</v>
      </c>
      <c r="D331">
        <v>21150</v>
      </c>
      <c r="E331">
        <v>228.98</v>
      </c>
      <c r="F331">
        <v>27.1</v>
      </c>
      <c r="G331">
        <v>10507</v>
      </c>
      <c r="H331">
        <v>10569</v>
      </c>
      <c r="I331">
        <v>10587</v>
      </c>
      <c r="J331">
        <v>50.32</v>
      </c>
      <c r="K331">
        <v>50.03</v>
      </c>
      <c r="L331">
        <v>49.94</v>
      </c>
      <c r="M331">
        <v>7.89</v>
      </c>
      <c r="N331" t="b">
        <v>1</v>
      </c>
      <c r="O331">
        <v>618</v>
      </c>
      <c r="P331" t="s">
        <v>1246</v>
      </c>
      <c r="Q331" t="s">
        <v>3296</v>
      </c>
      <c r="R331">
        <v>0.118349089620029</v>
      </c>
      <c r="S331">
        <v>2665</v>
      </c>
      <c r="T331">
        <v>165966</v>
      </c>
      <c r="U331" t="s">
        <v>5217</v>
      </c>
      <c r="V331">
        <v>68</v>
      </c>
      <c r="W331" t="s">
        <v>7426</v>
      </c>
      <c r="X331" t="s">
        <v>9460</v>
      </c>
      <c r="Y331">
        <v>1214</v>
      </c>
      <c r="Z331">
        <v>105</v>
      </c>
      <c r="AB331">
        <v>0.96</v>
      </c>
    </row>
    <row r="332" spans="1:28">
      <c r="A332" s="2">
        <f>HYPERLINK("https://finance.naver.com/item/coinfo.nhn?code=005740", "A005740")</f>
        <v>0</v>
      </c>
      <c r="B332">
        <f>HYPERLINK("http://comp.fnguide.com/SVO2/ASP/SVD_Consensus.asp?pGB=1&amp;gicode=A005740&amp;cID=&amp;MenuYn=Y&amp;ReportGB=&amp;NewMenuID=108&amp;stkGb=701", "크라운해태홀딩스")</f>
        <v>0</v>
      </c>
      <c r="C332">
        <v>3</v>
      </c>
      <c r="D332">
        <v>8960</v>
      </c>
      <c r="G332">
        <v>23556</v>
      </c>
      <c r="H332">
        <v>20431</v>
      </c>
      <c r="I332">
        <v>19541</v>
      </c>
      <c r="J332">
        <v>-162.91</v>
      </c>
      <c r="K332">
        <v>-128.03</v>
      </c>
      <c r="L332">
        <v>-118.09</v>
      </c>
      <c r="M332">
        <v>10.23</v>
      </c>
      <c r="N332" t="b">
        <v>0</v>
      </c>
      <c r="O332">
        <v>-1342</v>
      </c>
      <c r="P332" t="s">
        <v>188</v>
      </c>
      <c r="Q332" t="s">
        <v>2394</v>
      </c>
      <c r="R332">
        <v>-2.192082024657416</v>
      </c>
      <c r="S332">
        <v>1330</v>
      </c>
      <c r="T332">
        <v>27939</v>
      </c>
      <c r="U332" t="s">
        <v>4160</v>
      </c>
      <c r="V332">
        <v>55.02</v>
      </c>
      <c r="W332" t="s">
        <v>6380</v>
      </c>
      <c r="X332" t="s">
        <v>8555</v>
      </c>
      <c r="Y332">
        <v>10552</v>
      </c>
      <c r="Z332">
        <v>394</v>
      </c>
      <c r="AA332">
        <v>464612</v>
      </c>
      <c r="AB332">
        <v>0.96</v>
      </c>
    </row>
    <row r="333" spans="1:28">
      <c r="A333" s="2">
        <f>HYPERLINK("https://finance.naver.com/item/coinfo.nhn?code=006040", "A006040")</f>
        <v>0</v>
      </c>
      <c r="B333">
        <f>HYPERLINK("http://comp.fnguide.com/SVO2/ASP/SVD_Consensus.asp?pGB=1&amp;gicode=A006040&amp;cID=&amp;MenuYn=Y&amp;ReportGB=&amp;NewMenuID=108&amp;stkGb=701", "동원산업")</f>
        <v>0</v>
      </c>
      <c r="C333">
        <v>3</v>
      </c>
      <c r="D333">
        <v>215000</v>
      </c>
      <c r="E333">
        <v>0.29</v>
      </c>
      <c r="F333">
        <v>16.74</v>
      </c>
      <c r="G333">
        <v>304067</v>
      </c>
      <c r="H333">
        <v>304527</v>
      </c>
      <c r="I333">
        <v>304658</v>
      </c>
      <c r="J333">
        <v>-41.43</v>
      </c>
      <c r="K333">
        <v>-41.64</v>
      </c>
      <c r="L333">
        <v>-41.7</v>
      </c>
      <c r="M333">
        <v>7.95</v>
      </c>
      <c r="N333" t="b">
        <v>0</v>
      </c>
      <c r="O333">
        <v>12632</v>
      </c>
      <c r="P333" t="s">
        <v>510</v>
      </c>
      <c r="Q333" t="s">
        <v>2685</v>
      </c>
      <c r="R333">
        <v>57.06371283585647</v>
      </c>
      <c r="S333">
        <v>7907</v>
      </c>
      <c r="T333">
        <v>5933</v>
      </c>
      <c r="U333" t="s">
        <v>4482</v>
      </c>
      <c r="V333">
        <v>63.3</v>
      </c>
      <c r="W333" t="s">
        <v>6702</v>
      </c>
      <c r="X333" t="s">
        <v>8849</v>
      </c>
      <c r="Y333">
        <v>26826</v>
      </c>
      <c r="Z333">
        <v>1936</v>
      </c>
      <c r="AA333">
        <v>266581</v>
      </c>
      <c r="AB333">
        <v>0.95</v>
      </c>
    </row>
    <row r="334" spans="1:28">
      <c r="A334" s="2">
        <f>HYPERLINK("https://finance.naver.com/item/coinfo.nhn?code=022100", "A022100")</f>
        <v>0</v>
      </c>
      <c r="B334">
        <f>HYPERLINK("http://comp.fnguide.com/SVO2/ASP/SVD_Consensus.asp?pGB=1&amp;gicode=A022100&amp;cID=&amp;MenuYn=Y&amp;ReportGB=&amp;NewMenuID=108&amp;stkGb=701", "포스코 ICT")</f>
        <v>0</v>
      </c>
      <c r="C334">
        <v>0</v>
      </c>
      <c r="D334">
        <v>7120</v>
      </c>
      <c r="E334">
        <v>18.44</v>
      </c>
      <c r="F334">
        <v>20.54</v>
      </c>
      <c r="G334">
        <v>2225</v>
      </c>
      <c r="H334">
        <v>2333</v>
      </c>
      <c r="I334">
        <v>2364</v>
      </c>
      <c r="J334">
        <v>68.76000000000001</v>
      </c>
      <c r="K334">
        <v>67.23</v>
      </c>
      <c r="L334">
        <v>66.79000000000001</v>
      </c>
      <c r="M334">
        <v>7.37</v>
      </c>
      <c r="N334" t="b">
        <v>0</v>
      </c>
      <c r="O334">
        <v>258</v>
      </c>
      <c r="P334" t="s">
        <v>1239</v>
      </c>
      <c r="Q334" t="s">
        <v>3293</v>
      </c>
      <c r="R334">
        <v>1.113797278116313</v>
      </c>
      <c r="S334">
        <v>10825</v>
      </c>
      <c r="T334">
        <v>4667420</v>
      </c>
      <c r="U334" t="s">
        <v>5210</v>
      </c>
      <c r="V334">
        <v>66.29000000000001</v>
      </c>
      <c r="W334" t="s">
        <v>7419</v>
      </c>
      <c r="X334" t="s">
        <v>9457</v>
      </c>
      <c r="Y334">
        <v>9698</v>
      </c>
      <c r="Z334">
        <v>481</v>
      </c>
      <c r="AA334">
        <v>227212</v>
      </c>
      <c r="AB334">
        <v>0.95</v>
      </c>
    </row>
    <row r="335" spans="1:28">
      <c r="A335" s="2">
        <f>HYPERLINK("https://finance.naver.com/item/coinfo.nhn?code=267980", "A267980")</f>
        <v>0</v>
      </c>
      <c r="B335">
        <f>HYPERLINK("http://comp.fnguide.com/SVO2/ASP/SVD_Consensus.asp?pGB=1&amp;gicode=A267980&amp;cID=&amp;MenuYn=Y&amp;ReportGB=&amp;NewMenuID=108&amp;stkGb=701", "매일유업")</f>
        <v>0</v>
      </c>
      <c r="C335">
        <v>2</v>
      </c>
      <c r="D335">
        <v>69300</v>
      </c>
      <c r="E335">
        <v>0</v>
      </c>
      <c r="F335">
        <v>10.5</v>
      </c>
      <c r="G335">
        <v>97739</v>
      </c>
      <c r="H335">
        <v>70854</v>
      </c>
      <c r="I335">
        <v>63193</v>
      </c>
      <c r="J335">
        <v>-41.04</v>
      </c>
      <c r="K335">
        <v>-2.24</v>
      </c>
      <c r="L335">
        <v>8.81</v>
      </c>
      <c r="M335">
        <v>14.7</v>
      </c>
      <c r="N335" t="b">
        <v>1</v>
      </c>
      <c r="O335">
        <v>8202</v>
      </c>
      <c r="P335" t="s">
        <v>775</v>
      </c>
      <c r="Q335" t="s">
        <v>2934</v>
      </c>
      <c r="R335">
        <v>0</v>
      </c>
      <c r="S335">
        <v>5436</v>
      </c>
      <c r="T335">
        <v>23577</v>
      </c>
      <c r="U335" t="s">
        <v>4747</v>
      </c>
      <c r="V335">
        <v>56.27</v>
      </c>
      <c r="W335" t="s">
        <v>6967</v>
      </c>
      <c r="X335" t="s">
        <v>9098</v>
      </c>
      <c r="Y335">
        <v>13933</v>
      </c>
      <c r="Z335">
        <v>853</v>
      </c>
      <c r="AA335">
        <v>227402</v>
      </c>
      <c r="AB335">
        <v>0.93</v>
      </c>
    </row>
    <row r="336" spans="1:28">
      <c r="A336" s="2">
        <f>HYPERLINK("https://finance.naver.com/item/coinfo.nhn?code=067830", "A067830")</f>
        <v>0</v>
      </c>
      <c r="B336">
        <f>HYPERLINK("http://comp.fnguide.com/SVO2/ASP/SVD_Consensus.asp?pGB=1&amp;gicode=A067830&amp;cID=&amp;MenuYn=Y&amp;ReportGB=&amp;NewMenuID=108&amp;stkGb=701", "세이브존I&amp;C")</f>
        <v>0</v>
      </c>
      <c r="C336">
        <v>3</v>
      </c>
      <c r="D336">
        <v>2840</v>
      </c>
      <c r="E336">
        <v>-0.33</v>
      </c>
      <c r="F336">
        <v>6.01</v>
      </c>
      <c r="G336">
        <v>8713</v>
      </c>
      <c r="H336">
        <v>10604</v>
      </c>
      <c r="I336">
        <v>11143</v>
      </c>
      <c r="J336">
        <v>-206.79</v>
      </c>
      <c r="K336">
        <v>-273.38</v>
      </c>
      <c r="L336">
        <v>-292.35</v>
      </c>
      <c r="M336">
        <v>5.85</v>
      </c>
      <c r="N336" t="b">
        <v>1</v>
      </c>
      <c r="O336">
        <v>542</v>
      </c>
      <c r="P336" t="s">
        <v>743</v>
      </c>
      <c r="Q336" t="s">
        <v>2904</v>
      </c>
      <c r="R336">
        <v>-18.36161527397511</v>
      </c>
      <c r="S336">
        <v>1166</v>
      </c>
      <c r="T336">
        <v>71362</v>
      </c>
      <c r="U336" t="s">
        <v>4715</v>
      </c>
      <c r="V336">
        <v>53.22</v>
      </c>
      <c r="W336" t="s">
        <v>6935</v>
      </c>
      <c r="X336" t="s">
        <v>9068</v>
      </c>
      <c r="Y336">
        <v>1592</v>
      </c>
      <c r="Z336">
        <v>295</v>
      </c>
      <c r="AA336">
        <v>3276263</v>
      </c>
      <c r="AB336">
        <v>0.92</v>
      </c>
    </row>
    <row r="337" spans="1:28">
      <c r="A337" s="2">
        <f>HYPERLINK("https://finance.naver.com/item/coinfo.nhn?code=017810", "A017810")</f>
        <v>0</v>
      </c>
      <c r="B337">
        <f>HYPERLINK("http://comp.fnguide.com/SVO2/ASP/SVD_Consensus.asp?pGB=1&amp;gicode=A017810&amp;cID=&amp;MenuYn=Y&amp;ReportGB=&amp;NewMenuID=108&amp;stkGb=701", "풀무원")</f>
        <v>0</v>
      </c>
      <c r="C337">
        <v>0</v>
      </c>
      <c r="D337">
        <v>16200</v>
      </c>
      <c r="E337">
        <v>-6.78</v>
      </c>
      <c r="F337">
        <v>135.73</v>
      </c>
      <c r="G337">
        <v>7106</v>
      </c>
      <c r="H337">
        <v>9236</v>
      </c>
      <c r="I337">
        <v>9843</v>
      </c>
      <c r="J337">
        <v>56.14</v>
      </c>
      <c r="K337">
        <v>42.99</v>
      </c>
      <c r="L337">
        <v>39.24</v>
      </c>
      <c r="M337">
        <v>5.32</v>
      </c>
      <c r="N337" t="b">
        <v>0</v>
      </c>
      <c r="O337">
        <v>83</v>
      </c>
      <c r="P337" t="s">
        <v>1483</v>
      </c>
      <c r="Q337" t="s">
        <v>3445</v>
      </c>
      <c r="R337">
        <v>-20.03332061492059</v>
      </c>
      <c r="S337">
        <v>6176</v>
      </c>
      <c r="T337">
        <v>130315</v>
      </c>
      <c r="U337" t="s">
        <v>5454</v>
      </c>
      <c r="V337">
        <v>60.72</v>
      </c>
      <c r="W337" t="s">
        <v>7656</v>
      </c>
      <c r="X337" t="s">
        <v>9626</v>
      </c>
      <c r="Y337">
        <v>23815</v>
      </c>
      <c r="Z337">
        <v>306</v>
      </c>
      <c r="AA337">
        <v>849700</v>
      </c>
      <c r="AB337">
        <v>0.91</v>
      </c>
    </row>
    <row r="338" spans="1:28">
      <c r="A338" s="2">
        <f>HYPERLINK("https://finance.naver.com/item/coinfo.nhn?code=041440", "A041440")</f>
        <v>0</v>
      </c>
      <c r="B338">
        <f>HYPERLINK("http://comp.fnguide.com/SVO2/ASP/SVD_Consensus.asp?pGB=1&amp;gicode=A041440&amp;cID=&amp;MenuYn=Y&amp;ReportGB=&amp;NewMenuID=108&amp;stkGb=701", "에버다임")</f>
        <v>0</v>
      </c>
      <c r="C338">
        <v>3</v>
      </c>
      <c r="D338">
        <v>4370</v>
      </c>
      <c r="E338">
        <v>-1.69</v>
      </c>
      <c r="F338">
        <v>68.41</v>
      </c>
      <c r="G338">
        <v>5044</v>
      </c>
      <c r="H338">
        <v>8408</v>
      </c>
      <c r="I338">
        <v>9367</v>
      </c>
      <c r="J338">
        <v>-15.41</v>
      </c>
      <c r="K338">
        <v>-92.41</v>
      </c>
      <c r="L338">
        <v>-114.35</v>
      </c>
      <c r="M338">
        <v>3.78</v>
      </c>
      <c r="N338" t="b">
        <v>1</v>
      </c>
      <c r="O338">
        <v>65</v>
      </c>
      <c r="P338" t="s">
        <v>321</v>
      </c>
      <c r="Q338" t="s">
        <v>2519</v>
      </c>
      <c r="R338">
        <v>-40.41933668346246</v>
      </c>
      <c r="S338">
        <v>783</v>
      </c>
      <c r="T338">
        <v>49733</v>
      </c>
      <c r="U338" t="s">
        <v>4293</v>
      </c>
      <c r="V338">
        <v>51.62</v>
      </c>
      <c r="W338" t="s">
        <v>6513</v>
      </c>
      <c r="X338" t="s">
        <v>8677</v>
      </c>
      <c r="Y338">
        <v>2486</v>
      </c>
      <c r="Z338">
        <v>31</v>
      </c>
      <c r="AA338">
        <v>74232</v>
      </c>
      <c r="AB338">
        <v>0.9</v>
      </c>
    </row>
    <row r="339" spans="1:28">
      <c r="A339" s="2">
        <f>HYPERLINK("https://finance.naver.com/item/coinfo.nhn?code=200130", "A200130")</f>
        <v>0</v>
      </c>
      <c r="B339">
        <f>HYPERLINK("http://comp.fnguide.com/SVO2/ASP/SVD_Consensus.asp?pGB=1&amp;gicode=A200130&amp;cID=&amp;MenuYn=Y&amp;ReportGB=&amp;NewMenuID=108&amp;stkGb=701", "콜마비앤에이치")</f>
        <v>0</v>
      </c>
      <c r="C339">
        <v>0</v>
      </c>
      <c r="D339">
        <v>49200</v>
      </c>
      <c r="E339">
        <v>0.11</v>
      </c>
      <c r="F339">
        <v>15.05</v>
      </c>
      <c r="G339">
        <v>27558</v>
      </c>
      <c r="H339">
        <v>16134</v>
      </c>
      <c r="I339">
        <v>12878</v>
      </c>
      <c r="J339">
        <v>43.99</v>
      </c>
      <c r="K339">
        <v>67.20999999999999</v>
      </c>
      <c r="L339">
        <v>73.81999999999999</v>
      </c>
      <c r="M339">
        <v>25.71</v>
      </c>
      <c r="N339" t="b">
        <v>1</v>
      </c>
      <c r="O339">
        <v>1844</v>
      </c>
      <c r="P339" t="s">
        <v>1244</v>
      </c>
      <c r="Q339" t="s">
        <v>3295</v>
      </c>
      <c r="R339">
        <v>135.7355023476479</v>
      </c>
      <c r="S339">
        <v>14535</v>
      </c>
      <c r="T339">
        <v>315613</v>
      </c>
      <c r="U339" t="s">
        <v>5215</v>
      </c>
      <c r="V339">
        <v>55.38</v>
      </c>
      <c r="W339" t="s">
        <v>7424</v>
      </c>
      <c r="X339" t="s">
        <v>9459</v>
      </c>
      <c r="Y339">
        <v>4389</v>
      </c>
      <c r="Z339">
        <v>741</v>
      </c>
      <c r="AA339">
        <v>2166</v>
      </c>
      <c r="AB339">
        <v>0.9</v>
      </c>
    </row>
    <row r="340" spans="1:28">
      <c r="A340" s="2">
        <f>HYPERLINK("https://finance.naver.com/item/coinfo.nhn?code=178920", "A178920")</f>
        <v>0</v>
      </c>
      <c r="B340">
        <f>HYPERLINK("http://comp.fnguide.com/SVO2/ASP/SVD_Consensus.asp?pGB=1&amp;gicode=A178920&amp;cID=&amp;MenuYn=Y&amp;ReportGB=&amp;NewMenuID=108&amp;stkGb=701", "PI첨단소재")</f>
        <v>0</v>
      </c>
      <c r="C340">
        <v>0</v>
      </c>
      <c r="D340">
        <v>32250</v>
      </c>
      <c r="E340">
        <v>3.42</v>
      </c>
      <c r="F340">
        <v>58.01</v>
      </c>
      <c r="G340">
        <v>11131</v>
      </c>
      <c r="H340">
        <v>9585</v>
      </c>
      <c r="I340">
        <v>9144</v>
      </c>
      <c r="J340">
        <v>65.48999999999999</v>
      </c>
      <c r="K340">
        <v>70.28</v>
      </c>
      <c r="L340">
        <v>71.65000000000001</v>
      </c>
      <c r="M340">
        <v>10.37</v>
      </c>
      <c r="N340" t="b">
        <v>1</v>
      </c>
      <c r="O340">
        <v>603</v>
      </c>
      <c r="P340" t="s">
        <v>1564</v>
      </c>
      <c r="Q340" t="s">
        <v>3514</v>
      </c>
      <c r="R340">
        <v>16.94742455013107</v>
      </c>
      <c r="S340">
        <v>9471</v>
      </c>
      <c r="T340">
        <v>281847</v>
      </c>
      <c r="U340" t="s">
        <v>5535</v>
      </c>
      <c r="V340">
        <v>54.14</v>
      </c>
      <c r="W340" t="s">
        <v>7737</v>
      </c>
      <c r="X340" t="s">
        <v>9698</v>
      </c>
      <c r="Y340">
        <v>2237</v>
      </c>
      <c r="Z340">
        <v>336</v>
      </c>
      <c r="AB340">
        <v>0.9</v>
      </c>
    </row>
    <row r="341" spans="1:28">
      <c r="A341" s="2">
        <f>HYPERLINK("https://finance.naver.com/item/coinfo.nhn?code=000230", "A000230")</f>
        <v>0</v>
      </c>
      <c r="B341">
        <f>HYPERLINK("http://comp.fnguide.com/SVO2/ASP/SVD_Consensus.asp?pGB=1&amp;gicode=A000230&amp;cID=&amp;MenuYn=Y&amp;ReportGB=&amp;NewMenuID=108&amp;stkGb=701", "일동홀딩스")</f>
        <v>0</v>
      </c>
      <c r="C341">
        <v>0</v>
      </c>
      <c r="D341">
        <v>10450</v>
      </c>
      <c r="E341">
        <v>0</v>
      </c>
      <c r="G341">
        <v>13</v>
      </c>
      <c r="H341">
        <v>7327</v>
      </c>
      <c r="I341">
        <v>9411</v>
      </c>
      <c r="J341">
        <v>99.88</v>
      </c>
      <c r="K341">
        <v>29.89</v>
      </c>
      <c r="L341">
        <v>9.949999999999999</v>
      </c>
      <c r="M341">
        <v>0.01</v>
      </c>
      <c r="N341" t="b">
        <v>0</v>
      </c>
      <c r="O341">
        <v>-1946</v>
      </c>
      <c r="P341" t="s">
        <v>1520</v>
      </c>
      <c r="Q341" t="s">
        <v>3478</v>
      </c>
      <c r="R341">
        <v>0</v>
      </c>
      <c r="S341">
        <v>1206</v>
      </c>
      <c r="T341">
        <v>84265</v>
      </c>
      <c r="U341" t="s">
        <v>5491</v>
      </c>
      <c r="V341">
        <v>61.17</v>
      </c>
      <c r="W341" t="s">
        <v>7693</v>
      </c>
      <c r="X341" t="s">
        <v>9662</v>
      </c>
      <c r="Y341">
        <v>2922</v>
      </c>
      <c r="Z341">
        <v>-259</v>
      </c>
      <c r="AA341">
        <v>248307</v>
      </c>
      <c r="AB341">
        <v>0.9</v>
      </c>
    </row>
    <row r="342" spans="1:28">
      <c r="A342" s="2">
        <f>HYPERLINK("https://finance.naver.com/item/coinfo.nhn?code=007700", "A007700")</f>
        <v>0</v>
      </c>
      <c r="B342">
        <f>HYPERLINK("http://comp.fnguide.com/SVO2/ASP/SVD_Consensus.asp?pGB=1&amp;gicode=A007700&amp;cID=&amp;MenuYn=Y&amp;ReportGB=&amp;NewMenuID=108&amp;stkGb=701", "F&amp;F")</f>
        <v>0</v>
      </c>
      <c r="C342">
        <v>1</v>
      </c>
      <c r="D342">
        <v>85200</v>
      </c>
      <c r="E342">
        <v>0.39</v>
      </c>
      <c r="F342">
        <v>15.65</v>
      </c>
      <c r="G342">
        <v>110319</v>
      </c>
      <c r="H342">
        <v>62978</v>
      </c>
      <c r="I342">
        <v>49488</v>
      </c>
      <c r="J342">
        <v>-29.48</v>
      </c>
      <c r="K342">
        <v>26.08</v>
      </c>
      <c r="L342">
        <v>41.91</v>
      </c>
      <c r="M342">
        <v>27.89</v>
      </c>
      <c r="N342" t="b">
        <v>1</v>
      </c>
      <c r="O342">
        <v>7156</v>
      </c>
      <c r="P342" t="s">
        <v>860</v>
      </c>
      <c r="Q342" t="s">
        <v>3017</v>
      </c>
      <c r="R342">
        <v>40.25820900816466</v>
      </c>
      <c r="S342">
        <v>13121</v>
      </c>
      <c r="T342">
        <v>87117</v>
      </c>
      <c r="U342" t="s">
        <v>4832</v>
      </c>
      <c r="V342">
        <v>58.82</v>
      </c>
      <c r="W342" t="s">
        <v>7052</v>
      </c>
      <c r="X342" t="s">
        <v>9179</v>
      </c>
      <c r="Y342">
        <v>9103</v>
      </c>
      <c r="Z342">
        <v>1507</v>
      </c>
      <c r="AA342">
        <v>79896</v>
      </c>
      <c r="AB342">
        <v>0.89</v>
      </c>
    </row>
    <row r="343" spans="1:28">
      <c r="A343" s="2">
        <f>HYPERLINK("https://finance.naver.com/item/coinfo.nhn?code=100660", "A100660")</f>
        <v>0</v>
      </c>
      <c r="B343">
        <f>HYPERLINK("http://comp.fnguide.com/SVO2/ASP/SVD_Consensus.asp?pGB=1&amp;gicode=A100660&amp;cID=&amp;MenuYn=Y&amp;ReportGB=&amp;NewMenuID=108&amp;stkGb=701", "서암기계공업")</f>
        <v>0</v>
      </c>
      <c r="C343">
        <v>0</v>
      </c>
      <c r="D343">
        <v>5460</v>
      </c>
      <c r="E343">
        <v>-2.49</v>
      </c>
      <c r="F343">
        <v>32.59</v>
      </c>
      <c r="G343">
        <v>2717</v>
      </c>
      <c r="H343">
        <v>4022</v>
      </c>
      <c r="I343">
        <v>4394</v>
      </c>
      <c r="J343">
        <v>50.23</v>
      </c>
      <c r="K343">
        <v>26.33</v>
      </c>
      <c r="L343">
        <v>19.53</v>
      </c>
      <c r="M343">
        <v>4.43</v>
      </c>
      <c r="N343" t="b">
        <v>1</v>
      </c>
      <c r="O343">
        <v>173</v>
      </c>
      <c r="P343" t="s">
        <v>1880</v>
      </c>
      <c r="Q343" t="s">
        <v>3740</v>
      </c>
      <c r="R343">
        <v>-13.0752407103973</v>
      </c>
      <c r="S343">
        <v>688</v>
      </c>
      <c r="T343">
        <v>58372</v>
      </c>
      <c r="U343" t="s">
        <v>5851</v>
      </c>
      <c r="V343">
        <v>64.93000000000001</v>
      </c>
      <c r="W343" t="s">
        <v>8049</v>
      </c>
      <c r="X343" t="s">
        <v>9957</v>
      </c>
      <c r="Y343">
        <v>385</v>
      </c>
      <c r="Z343">
        <v>15</v>
      </c>
      <c r="AB343">
        <v>0.88</v>
      </c>
    </row>
    <row r="344" spans="1:28">
      <c r="A344" s="2">
        <f>HYPERLINK("https://finance.naver.com/item/coinfo.nhn?code=025900", "A025900")</f>
        <v>0</v>
      </c>
      <c r="B344">
        <f>HYPERLINK("http://comp.fnguide.com/SVO2/ASP/SVD_Consensus.asp?pGB=1&amp;gicode=A025900&amp;cID=&amp;MenuYn=Y&amp;ReportGB=&amp;NewMenuID=108&amp;stkGb=701", "동화기업")</f>
        <v>0</v>
      </c>
      <c r="C344">
        <v>0</v>
      </c>
      <c r="D344">
        <v>42800</v>
      </c>
      <c r="E344">
        <v>2.39</v>
      </c>
      <c r="F344">
        <v>12.36</v>
      </c>
      <c r="G344">
        <v>22549</v>
      </c>
      <c r="H344">
        <v>26417</v>
      </c>
      <c r="I344">
        <v>27519</v>
      </c>
      <c r="J344">
        <v>47.32</v>
      </c>
      <c r="K344">
        <v>38.28</v>
      </c>
      <c r="L344">
        <v>35.7</v>
      </c>
      <c r="M344">
        <v>6.2</v>
      </c>
      <c r="N344" t="b">
        <v>1</v>
      </c>
      <c r="O344">
        <v>1371</v>
      </c>
      <c r="P344" t="s">
        <v>2231</v>
      </c>
      <c r="Q344" t="s">
        <v>3972</v>
      </c>
      <c r="R344">
        <v>5.182016330486583</v>
      </c>
      <c r="S344">
        <v>8645</v>
      </c>
      <c r="T344">
        <v>143421</v>
      </c>
      <c r="U344" t="s">
        <v>6205</v>
      </c>
      <c r="V344">
        <v>69.55</v>
      </c>
      <c r="W344" t="s">
        <v>8391</v>
      </c>
      <c r="X344" t="s">
        <v>10199</v>
      </c>
      <c r="Y344">
        <v>7174</v>
      </c>
      <c r="Z344">
        <v>585</v>
      </c>
      <c r="AA344">
        <v>1924156</v>
      </c>
      <c r="AB344">
        <v>0.88</v>
      </c>
    </row>
    <row r="345" spans="1:28">
      <c r="A345" s="2">
        <f>HYPERLINK("https://finance.naver.com/item/coinfo.nhn?code=069730", "A069730")</f>
        <v>0</v>
      </c>
      <c r="B345">
        <f>HYPERLINK("http://comp.fnguide.com/SVO2/ASP/SVD_Consensus.asp?pGB=1&amp;gicode=A069730&amp;cID=&amp;MenuYn=Y&amp;ReportGB=&amp;NewMenuID=108&amp;stkGb=701", "DSR제강")</f>
        <v>0</v>
      </c>
      <c r="C345">
        <v>3</v>
      </c>
      <c r="D345">
        <v>4660</v>
      </c>
      <c r="E345">
        <v>-0.86</v>
      </c>
      <c r="F345">
        <v>9.699999999999999</v>
      </c>
      <c r="G345">
        <v>6098</v>
      </c>
      <c r="H345">
        <v>8355</v>
      </c>
      <c r="I345">
        <v>8998</v>
      </c>
      <c r="J345">
        <v>-30.85</v>
      </c>
      <c r="K345">
        <v>-79.28</v>
      </c>
      <c r="L345">
        <v>-93.09</v>
      </c>
      <c r="M345">
        <v>4.93</v>
      </c>
      <c r="N345" t="b">
        <v>1</v>
      </c>
      <c r="O345">
        <v>469</v>
      </c>
      <c r="P345" t="s">
        <v>691</v>
      </c>
      <c r="Q345" t="s">
        <v>2855</v>
      </c>
      <c r="R345">
        <v>-11.26240073640721</v>
      </c>
      <c r="S345">
        <v>671</v>
      </c>
      <c r="T345">
        <v>67625</v>
      </c>
      <c r="U345" t="s">
        <v>4663</v>
      </c>
      <c r="V345">
        <v>57.18</v>
      </c>
      <c r="W345" t="s">
        <v>6883</v>
      </c>
      <c r="X345" t="s">
        <v>9019</v>
      </c>
      <c r="Y345">
        <v>1915</v>
      </c>
      <c r="Z345">
        <v>52</v>
      </c>
      <c r="AB345">
        <v>0.88</v>
      </c>
    </row>
    <row r="346" spans="1:28">
      <c r="A346" s="2">
        <f>HYPERLINK("https://finance.naver.com/item/coinfo.nhn?code=280360", "A280360")</f>
        <v>0</v>
      </c>
      <c r="B346">
        <f>HYPERLINK("http://comp.fnguide.com/SVO2/ASP/SVD_Consensus.asp?pGB=1&amp;gicode=A280360&amp;cID=&amp;MenuYn=Y&amp;ReportGB=&amp;NewMenuID=108&amp;stkGb=701", "롯데제과")</f>
        <v>0</v>
      </c>
      <c r="C346">
        <v>3</v>
      </c>
      <c r="D346">
        <v>105000</v>
      </c>
      <c r="E346">
        <v>0</v>
      </c>
      <c r="F346">
        <v>25.2</v>
      </c>
      <c r="G346">
        <v>45168</v>
      </c>
      <c r="H346">
        <v>131372</v>
      </c>
      <c r="I346">
        <v>155936</v>
      </c>
      <c r="J346">
        <v>56.98</v>
      </c>
      <c r="K346">
        <v>-25.12</v>
      </c>
      <c r="L346">
        <v>-48.51</v>
      </c>
      <c r="M346">
        <v>1.91</v>
      </c>
      <c r="N346" t="b">
        <v>1</v>
      </c>
      <c r="O346">
        <v>5932</v>
      </c>
      <c r="P346" t="s">
        <v>486</v>
      </c>
      <c r="Q346" t="s">
        <v>2662</v>
      </c>
      <c r="R346">
        <v>0</v>
      </c>
      <c r="S346">
        <v>6738</v>
      </c>
      <c r="T346">
        <v>11396</v>
      </c>
      <c r="U346" t="s">
        <v>4458</v>
      </c>
      <c r="V346">
        <v>77.69</v>
      </c>
      <c r="W346" t="s">
        <v>6678</v>
      </c>
      <c r="X346" t="s">
        <v>8825</v>
      </c>
      <c r="Y346">
        <v>20930</v>
      </c>
      <c r="Z346">
        <v>973</v>
      </c>
      <c r="AA346">
        <v>4578</v>
      </c>
      <c r="AB346">
        <v>0.87</v>
      </c>
    </row>
    <row r="347" spans="1:28">
      <c r="A347" s="2">
        <f>HYPERLINK("https://finance.naver.com/item/coinfo.nhn?code=010040", "A010040")</f>
        <v>0</v>
      </c>
      <c r="B347">
        <f>HYPERLINK("http://comp.fnguide.com/SVO2/ASP/SVD_Consensus.asp?pGB=1&amp;gicode=A010040&amp;cID=&amp;MenuYn=Y&amp;ReportGB=&amp;NewMenuID=108&amp;stkGb=701", "한국내화")</f>
        <v>0</v>
      </c>
      <c r="C347">
        <v>3</v>
      </c>
      <c r="D347">
        <v>3370</v>
      </c>
      <c r="E347">
        <v>-0.41</v>
      </c>
      <c r="F347">
        <v>21.58</v>
      </c>
      <c r="G347">
        <v>4070</v>
      </c>
      <c r="H347">
        <v>5405</v>
      </c>
      <c r="I347">
        <v>5785</v>
      </c>
      <c r="J347">
        <v>-20.76</v>
      </c>
      <c r="K347">
        <v>-60.38</v>
      </c>
      <c r="L347">
        <v>-71.67</v>
      </c>
      <c r="M347">
        <v>5.16</v>
      </c>
      <c r="N347" t="b">
        <v>0</v>
      </c>
      <c r="O347">
        <v>187</v>
      </c>
      <c r="P347" t="s">
        <v>49</v>
      </c>
      <c r="Q347" t="s">
        <v>2267</v>
      </c>
      <c r="R347">
        <v>-52.58296385773885</v>
      </c>
      <c r="S347">
        <v>771</v>
      </c>
      <c r="T347">
        <v>255853</v>
      </c>
      <c r="U347" t="s">
        <v>4021</v>
      </c>
      <c r="V347">
        <v>55.01</v>
      </c>
      <c r="W347" t="s">
        <v>6241</v>
      </c>
      <c r="X347" t="s">
        <v>8426</v>
      </c>
      <c r="Y347">
        <v>2239</v>
      </c>
      <c r="Z347">
        <v>90</v>
      </c>
      <c r="AA347">
        <v>533000</v>
      </c>
      <c r="AB347">
        <v>0.87</v>
      </c>
    </row>
    <row r="348" spans="1:28">
      <c r="A348" s="2">
        <f>HYPERLINK("https://finance.naver.com/item/coinfo.nhn?code=008830", "A008830")</f>
        <v>0</v>
      </c>
      <c r="B348">
        <f>HYPERLINK("http://comp.fnguide.com/SVO2/ASP/SVD_Consensus.asp?pGB=1&amp;gicode=A008830&amp;cID=&amp;MenuYn=Y&amp;ReportGB=&amp;NewMenuID=108&amp;stkGb=701", "대동기어")</f>
        <v>0</v>
      </c>
      <c r="C348">
        <v>3</v>
      </c>
      <c r="D348">
        <v>3075</v>
      </c>
      <c r="G348">
        <v>110</v>
      </c>
      <c r="H348">
        <v>3881</v>
      </c>
      <c r="I348">
        <v>4956</v>
      </c>
      <c r="J348">
        <v>96.44</v>
      </c>
      <c r="K348">
        <v>-26.21</v>
      </c>
      <c r="L348">
        <v>-61.16</v>
      </c>
      <c r="M348">
        <v>0.14</v>
      </c>
      <c r="N348" t="b">
        <v>0</v>
      </c>
      <c r="O348">
        <v>-62</v>
      </c>
      <c r="P348" t="s">
        <v>363</v>
      </c>
      <c r="Q348" t="s">
        <v>2551</v>
      </c>
      <c r="R348">
        <v>426.3536263767924</v>
      </c>
      <c r="S348">
        <v>276</v>
      </c>
      <c r="T348">
        <v>9793</v>
      </c>
      <c r="U348" t="s">
        <v>4335</v>
      </c>
      <c r="V348">
        <v>60.23</v>
      </c>
      <c r="W348" t="s">
        <v>6555</v>
      </c>
      <c r="X348" t="s">
        <v>8709</v>
      </c>
      <c r="Y348">
        <v>1431</v>
      </c>
      <c r="Z348">
        <v>32</v>
      </c>
      <c r="AB348">
        <v>0.85</v>
      </c>
    </row>
    <row r="349" spans="1:28">
      <c r="A349" s="2">
        <f>HYPERLINK("https://finance.naver.com/item/coinfo.nhn?code=000590", "A000590")</f>
        <v>0</v>
      </c>
      <c r="B349">
        <f>HYPERLINK("http://comp.fnguide.com/SVO2/ASP/SVD_Consensus.asp?pGB=1&amp;gicode=A000590&amp;cID=&amp;MenuYn=Y&amp;ReportGB=&amp;NewMenuID=108&amp;stkGb=701", "CS홀딩스")</f>
        <v>0</v>
      </c>
      <c r="C349">
        <v>3</v>
      </c>
      <c r="D349">
        <v>56500</v>
      </c>
      <c r="E349">
        <v>-0.44</v>
      </c>
      <c r="F349">
        <v>6.98</v>
      </c>
      <c r="G349">
        <v>88773</v>
      </c>
      <c r="H349">
        <v>153683</v>
      </c>
      <c r="I349">
        <v>172179</v>
      </c>
      <c r="J349">
        <v>-57.12</v>
      </c>
      <c r="K349">
        <v>-172.01</v>
      </c>
      <c r="L349">
        <v>-204.74</v>
      </c>
      <c r="M349">
        <v>3.6</v>
      </c>
      <c r="N349" t="b">
        <v>1</v>
      </c>
      <c r="O349">
        <v>8382</v>
      </c>
      <c r="P349" t="s">
        <v>740</v>
      </c>
      <c r="Q349" t="s">
        <v>2901</v>
      </c>
      <c r="R349">
        <v>-16.03967143727481</v>
      </c>
      <c r="S349">
        <v>652</v>
      </c>
      <c r="T349">
        <v>3102</v>
      </c>
      <c r="U349" t="s">
        <v>4712</v>
      </c>
      <c r="V349">
        <v>73.37</v>
      </c>
      <c r="W349" t="s">
        <v>6932</v>
      </c>
      <c r="X349" t="s">
        <v>9065</v>
      </c>
      <c r="Y349">
        <v>1350</v>
      </c>
      <c r="Z349">
        <v>170</v>
      </c>
      <c r="AA349">
        <v>7161</v>
      </c>
      <c r="AB349">
        <v>0.85</v>
      </c>
    </row>
    <row r="350" spans="1:28">
      <c r="A350" s="2">
        <f>HYPERLINK("https://finance.naver.com/item/coinfo.nhn?code=072470", "A072470")</f>
        <v>0</v>
      </c>
      <c r="B350">
        <f>HYPERLINK("http://comp.fnguide.com/SVO2/ASP/SVD_Consensus.asp?pGB=1&amp;gicode=A072470&amp;cID=&amp;MenuYn=Y&amp;ReportGB=&amp;NewMenuID=108&amp;stkGb=701", "우리산업홀딩스")</f>
        <v>0</v>
      </c>
      <c r="C350">
        <v>3</v>
      </c>
      <c r="D350">
        <v>5180</v>
      </c>
      <c r="E350">
        <v>-4.52</v>
      </c>
      <c r="F350">
        <v>314.95</v>
      </c>
      <c r="G350">
        <v>763</v>
      </c>
      <c r="H350">
        <v>4412</v>
      </c>
      <c r="I350">
        <v>5452</v>
      </c>
      <c r="J350">
        <v>85.26000000000001</v>
      </c>
      <c r="K350">
        <v>14.82</v>
      </c>
      <c r="L350">
        <v>-5.25</v>
      </c>
      <c r="M350">
        <v>0.89</v>
      </c>
      <c r="N350" t="b">
        <v>0</v>
      </c>
      <c r="O350">
        <v>10</v>
      </c>
      <c r="P350" t="s">
        <v>418</v>
      </c>
      <c r="Q350" t="s">
        <v>2599</v>
      </c>
      <c r="R350">
        <v>-69.75249249747645</v>
      </c>
      <c r="S350">
        <v>978</v>
      </c>
      <c r="T350">
        <v>45153</v>
      </c>
      <c r="U350" t="s">
        <v>4390</v>
      </c>
      <c r="V350">
        <v>78.63</v>
      </c>
      <c r="W350" t="s">
        <v>6610</v>
      </c>
      <c r="X350" t="s">
        <v>8761</v>
      </c>
      <c r="Y350">
        <v>3782</v>
      </c>
      <c r="Z350">
        <v>74</v>
      </c>
      <c r="AA350">
        <v>3612</v>
      </c>
      <c r="AB350">
        <v>0.83</v>
      </c>
    </row>
    <row r="351" spans="1:28">
      <c r="A351" s="2">
        <f>HYPERLINK("https://finance.naver.com/item/coinfo.nhn?code=003670", "A003670")</f>
        <v>0</v>
      </c>
      <c r="B351">
        <f>HYPERLINK("http://comp.fnguide.com/SVO2/ASP/SVD_Consensus.asp?pGB=1&amp;gicode=A003670&amp;cID=&amp;MenuYn=Y&amp;ReportGB=&amp;NewMenuID=108&amp;stkGb=701", "포스코케미칼")</f>
        <v>0</v>
      </c>
      <c r="C351">
        <v>0</v>
      </c>
      <c r="D351">
        <v>98600</v>
      </c>
      <c r="E351">
        <v>-1.99</v>
      </c>
      <c r="F351">
        <v>29.46</v>
      </c>
      <c r="G351">
        <v>30710</v>
      </c>
      <c r="H351">
        <v>22086</v>
      </c>
      <c r="I351">
        <v>19628</v>
      </c>
      <c r="J351">
        <v>68.84999999999999</v>
      </c>
      <c r="K351">
        <v>77.59999999999999</v>
      </c>
      <c r="L351">
        <v>80.09</v>
      </c>
      <c r="M351">
        <v>14.96</v>
      </c>
      <c r="N351" t="b">
        <v>0</v>
      </c>
      <c r="O351">
        <v>1672</v>
      </c>
      <c r="P351" t="s">
        <v>1463</v>
      </c>
      <c r="Q351" t="s">
        <v>3431</v>
      </c>
      <c r="R351">
        <v>-14.82477887661506</v>
      </c>
      <c r="S351">
        <v>60134</v>
      </c>
      <c r="T351">
        <v>1190166</v>
      </c>
      <c r="U351" t="s">
        <v>5434</v>
      </c>
      <c r="V351">
        <v>64.65000000000001</v>
      </c>
      <c r="W351" t="s">
        <v>7637</v>
      </c>
      <c r="X351" t="s">
        <v>9612</v>
      </c>
      <c r="Y351">
        <v>14838</v>
      </c>
      <c r="Z351">
        <v>899</v>
      </c>
      <c r="AB351">
        <v>0.8100000000000001</v>
      </c>
    </row>
    <row r="352" spans="1:28">
      <c r="A352" s="2">
        <f>HYPERLINK("https://finance.naver.com/item/coinfo.nhn?code=014970", "A014970")</f>
        <v>0</v>
      </c>
      <c r="B352">
        <f>HYPERLINK("http://comp.fnguide.com/SVO2/ASP/SVD_Consensus.asp?pGB=1&amp;gicode=A014970&amp;cID=&amp;MenuYn=Y&amp;ReportGB=&amp;NewMenuID=108&amp;stkGb=701", "삼륭물산")</f>
        <v>0</v>
      </c>
      <c r="C352">
        <v>0</v>
      </c>
      <c r="D352">
        <v>10400</v>
      </c>
      <c r="E352">
        <v>-9.220000000000001</v>
      </c>
      <c r="F352">
        <v>235.33</v>
      </c>
      <c r="G352">
        <v>842</v>
      </c>
      <c r="H352">
        <v>3192</v>
      </c>
      <c r="I352">
        <v>3862</v>
      </c>
      <c r="J352">
        <v>91.90000000000001</v>
      </c>
      <c r="K352">
        <v>69.3</v>
      </c>
      <c r="L352">
        <v>62.87</v>
      </c>
      <c r="M352">
        <v>1.41</v>
      </c>
      <c r="N352" t="b">
        <v>0</v>
      </c>
      <c r="O352">
        <v>40</v>
      </c>
      <c r="P352" t="s">
        <v>1853</v>
      </c>
      <c r="Q352" t="s">
        <v>3719</v>
      </c>
      <c r="R352">
        <v>-25.51783409633912</v>
      </c>
      <c r="S352">
        <v>1573</v>
      </c>
      <c r="T352">
        <v>1485819</v>
      </c>
      <c r="U352" t="s">
        <v>5824</v>
      </c>
      <c r="V352">
        <v>80</v>
      </c>
      <c r="W352" t="s">
        <v>8022</v>
      </c>
      <c r="X352" t="s">
        <v>9935</v>
      </c>
      <c r="Y352">
        <v>887</v>
      </c>
      <c r="Z352">
        <v>16</v>
      </c>
      <c r="AB352">
        <v>0.8100000000000001</v>
      </c>
    </row>
    <row r="353" spans="1:28">
      <c r="A353" s="2">
        <f>HYPERLINK("https://finance.naver.com/item/coinfo.nhn?code=023450", "A023450")</f>
        <v>0</v>
      </c>
      <c r="B353">
        <f>HYPERLINK("http://comp.fnguide.com/SVO2/ASP/SVD_Consensus.asp?pGB=1&amp;gicode=A023450&amp;cID=&amp;MenuYn=Y&amp;ReportGB=&amp;NewMenuID=108&amp;stkGb=701", "동남합성")</f>
        <v>0</v>
      </c>
      <c r="C353">
        <v>1</v>
      </c>
      <c r="D353">
        <v>42100</v>
      </c>
      <c r="E353">
        <v>0.1</v>
      </c>
      <c r="F353">
        <v>5.05</v>
      </c>
      <c r="G353">
        <v>44360</v>
      </c>
      <c r="H353">
        <v>30175</v>
      </c>
      <c r="I353">
        <v>26134</v>
      </c>
      <c r="J353">
        <v>-5.37</v>
      </c>
      <c r="K353">
        <v>28.32</v>
      </c>
      <c r="L353">
        <v>37.92</v>
      </c>
      <c r="M353">
        <v>17.04</v>
      </c>
      <c r="N353" t="b">
        <v>1</v>
      </c>
      <c r="O353">
        <v>4925</v>
      </c>
      <c r="P353" t="s">
        <v>813</v>
      </c>
      <c r="Q353" t="s">
        <v>2972</v>
      </c>
      <c r="R353">
        <v>51.74361178477051</v>
      </c>
      <c r="S353">
        <v>1520</v>
      </c>
      <c r="T353">
        <v>4955</v>
      </c>
      <c r="U353" t="s">
        <v>4785</v>
      </c>
      <c r="V353">
        <v>54.95</v>
      </c>
      <c r="W353" t="s">
        <v>7005</v>
      </c>
      <c r="X353" t="s">
        <v>9134</v>
      </c>
      <c r="Y353">
        <v>1261</v>
      </c>
      <c r="Z353">
        <v>98</v>
      </c>
      <c r="AA353">
        <v>20000</v>
      </c>
      <c r="AB353">
        <v>0.8</v>
      </c>
    </row>
    <row r="354" spans="1:28">
      <c r="A354" s="2">
        <f>HYPERLINK("https://finance.naver.com/item/coinfo.nhn?code=016790", "A016790")</f>
        <v>0</v>
      </c>
      <c r="B354">
        <f>HYPERLINK("http://comp.fnguide.com/SVO2/ASP/SVD_Consensus.asp?pGB=1&amp;gicode=A016790&amp;cID=&amp;MenuYn=Y&amp;ReportGB=&amp;NewMenuID=108&amp;stkGb=701", "현대사료")</f>
        <v>0</v>
      </c>
      <c r="C354">
        <v>0</v>
      </c>
      <c r="D354">
        <v>13550</v>
      </c>
      <c r="E354">
        <v>0.41</v>
      </c>
      <c r="F354">
        <v>23.79</v>
      </c>
      <c r="G354">
        <v>5818</v>
      </c>
      <c r="H354">
        <v>8135</v>
      </c>
      <c r="I354">
        <v>8795</v>
      </c>
      <c r="J354">
        <v>57.06</v>
      </c>
      <c r="K354">
        <v>39.96</v>
      </c>
      <c r="L354">
        <v>35.09</v>
      </c>
      <c r="M354">
        <v>4.79</v>
      </c>
      <c r="N354" t="b">
        <v>1</v>
      </c>
      <c r="O354">
        <v>528</v>
      </c>
      <c r="P354" t="s">
        <v>1087</v>
      </c>
      <c r="Q354" t="s">
        <v>3192</v>
      </c>
      <c r="R354">
        <v>58.3458240687136</v>
      </c>
      <c r="S354">
        <v>833</v>
      </c>
      <c r="T354">
        <v>16361</v>
      </c>
      <c r="U354" t="s">
        <v>5058</v>
      </c>
      <c r="V354">
        <v>71.09</v>
      </c>
      <c r="W354" t="s">
        <v>7275</v>
      </c>
      <c r="X354" t="s">
        <v>9348</v>
      </c>
      <c r="Y354">
        <v>1182</v>
      </c>
      <c r="Z354">
        <v>61</v>
      </c>
      <c r="AB354">
        <v>0.8</v>
      </c>
    </row>
    <row r="355" spans="1:28">
      <c r="A355" s="2">
        <f>HYPERLINK("https://finance.naver.com/item/coinfo.nhn?code=042370", "A042370")</f>
        <v>0</v>
      </c>
      <c r="B355">
        <f>HYPERLINK("http://comp.fnguide.com/SVO2/ASP/SVD_Consensus.asp?pGB=1&amp;gicode=A042370&amp;cID=&amp;MenuYn=Y&amp;ReportGB=&amp;NewMenuID=108&amp;stkGb=701", "비츠로테크")</f>
        <v>0</v>
      </c>
      <c r="C355">
        <v>0</v>
      </c>
      <c r="D355">
        <v>8550</v>
      </c>
      <c r="E355">
        <v>-0.46</v>
      </c>
      <c r="F355">
        <v>8.49</v>
      </c>
      <c r="G355">
        <v>7628</v>
      </c>
      <c r="H355">
        <v>7211</v>
      </c>
      <c r="I355">
        <v>7092</v>
      </c>
      <c r="J355">
        <v>10.78</v>
      </c>
      <c r="K355">
        <v>15.66</v>
      </c>
      <c r="L355">
        <v>17.05</v>
      </c>
      <c r="M355">
        <v>8.77</v>
      </c>
      <c r="N355" t="b">
        <v>1</v>
      </c>
      <c r="O355">
        <v>746</v>
      </c>
      <c r="P355" t="s">
        <v>1859</v>
      </c>
      <c r="Q355" t="s">
        <v>3725</v>
      </c>
      <c r="R355">
        <v>-18.5716716768459</v>
      </c>
      <c r="S355">
        <v>1911</v>
      </c>
      <c r="T355">
        <v>184355</v>
      </c>
      <c r="U355" t="s">
        <v>5830</v>
      </c>
      <c r="V355">
        <v>61.94</v>
      </c>
      <c r="W355" t="s">
        <v>8028</v>
      </c>
      <c r="X355" t="s">
        <v>9941</v>
      </c>
      <c r="Y355">
        <v>3130</v>
      </c>
      <c r="Z355">
        <v>374</v>
      </c>
      <c r="AB355">
        <v>0.79</v>
      </c>
    </row>
    <row r="356" spans="1:28">
      <c r="A356" s="2">
        <f>HYPERLINK("https://finance.naver.com/item/coinfo.nhn?code=312610", "A312610")</f>
        <v>0</v>
      </c>
      <c r="B356">
        <f>HYPERLINK("http://comp.fnguide.com/SVO2/ASP/SVD_Consensus.asp?pGB=1&amp;gicode=A312610&amp;cID=&amp;MenuYn=Y&amp;ReportGB=&amp;NewMenuID=108&amp;stkGb=701", "에이에프더블류")</f>
        <v>0</v>
      </c>
      <c r="C356">
        <v>1</v>
      </c>
      <c r="D356">
        <v>13050</v>
      </c>
      <c r="E356">
        <v>0</v>
      </c>
      <c r="F356">
        <v>21.02</v>
      </c>
      <c r="G356">
        <v>20577</v>
      </c>
      <c r="H356">
        <v>12526</v>
      </c>
      <c r="I356">
        <v>10232</v>
      </c>
      <c r="J356">
        <v>-57.68</v>
      </c>
      <c r="K356">
        <v>4.01</v>
      </c>
      <c r="L356">
        <v>21.59</v>
      </c>
      <c r="M356">
        <v>22.85</v>
      </c>
      <c r="N356" t="b">
        <v>1</v>
      </c>
      <c r="O356">
        <v>602</v>
      </c>
      <c r="P356" t="s">
        <v>873</v>
      </c>
      <c r="Q356" t="s">
        <v>3030</v>
      </c>
      <c r="R356">
        <v>0</v>
      </c>
      <c r="S356">
        <v>1322</v>
      </c>
      <c r="T356">
        <v>137065</v>
      </c>
      <c r="U356" t="s">
        <v>4845</v>
      </c>
      <c r="V356">
        <v>52.75</v>
      </c>
      <c r="W356" t="s">
        <v>7065</v>
      </c>
      <c r="X356" t="s">
        <v>9192</v>
      </c>
      <c r="Y356">
        <v>260</v>
      </c>
      <c r="Z356">
        <v>72</v>
      </c>
      <c r="AB356">
        <v>0.79</v>
      </c>
    </row>
    <row r="357" spans="1:28">
      <c r="A357" s="2">
        <f>HYPERLINK("https://finance.naver.com/item/coinfo.nhn?code=006280", "A006280")</f>
        <v>0</v>
      </c>
      <c r="B357">
        <f>HYPERLINK("http://comp.fnguide.com/SVO2/ASP/SVD_Consensus.asp?pGB=1&amp;gicode=A006280&amp;cID=&amp;MenuYn=Y&amp;ReportGB=&amp;NewMenuID=108&amp;stkGb=701", "녹십자")</f>
        <v>0</v>
      </c>
      <c r="C357">
        <v>0</v>
      </c>
      <c r="D357">
        <v>355000</v>
      </c>
      <c r="G357">
        <v>22673</v>
      </c>
      <c r="H357">
        <v>64258</v>
      </c>
      <c r="I357">
        <v>76108</v>
      </c>
      <c r="J357">
        <v>93.61</v>
      </c>
      <c r="K357">
        <v>81.90000000000001</v>
      </c>
      <c r="L357">
        <v>78.56</v>
      </c>
      <c r="M357">
        <v>1.97</v>
      </c>
      <c r="N357" t="b">
        <v>0</v>
      </c>
      <c r="O357">
        <v>-311</v>
      </c>
      <c r="P357" t="s">
        <v>1661</v>
      </c>
      <c r="Q357" t="s">
        <v>3580</v>
      </c>
      <c r="R357">
        <v>5.95543500896647</v>
      </c>
      <c r="S357">
        <v>41487</v>
      </c>
      <c r="T357">
        <v>222053</v>
      </c>
      <c r="U357" t="s">
        <v>5631</v>
      </c>
      <c r="V357">
        <v>51.41</v>
      </c>
      <c r="W357" t="s">
        <v>7830</v>
      </c>
      <c r="X357" t="s">
        <v>9779</v>
      </c>
      <c r="Y357">
        <v>13697</v>
      </c>
      <c r="Z357">
        <v>403</v>
      </c>
      <c r="AA357">
        <v>273360</v>
      </c>
      <c r="AB357">
        <v>0.75</v>
      </c>
    </row>
    <row r="358" spans="1:28">
      <c r="A358" s="2">
        <f>HYPERLINK("https://finance.naver.com/item/coinfo.nhn?code=006660", "A006660")</f>
        <v>0</v>
      </c>
      <c r="B358">
        <f>HYPERLINK("http://comp.fnguide.com/SVO2/ASP/SVD_Consensus.asp?pGB=1&amp;gicode=A006660&amp;cID=&amp;MenuYn=Y&amp;ReportGB=&amp;NewMenuID=108&amp;stkGb=701", "삼성공조")</f>
        <v>0</v>
      </c>
      <c r="C358">
        <v>3</v>
      </c>
      <c r="D358">
        <v>6630</v>
      </c>
      <c r="E358">
        <v>-0.49</v>
      </c>
      <c r="F358">
        <v>13.65</v>
      </c>
      <c r="G358">
        <v>10281</v>
      </c>
      <c r="H358">
        <v>20370</v>
      </c>
      <c r="I358">
        <v>23245</v>
      </c>
      <c r="J358">
        <v>-55.07</v>
      </c>
      <c r="K358">
        <v>-207.25</v>
      </c>
      <c r="L358">
        <v>-250.61</v>
      </c>
      <c r="M358">
        <v>3.03</v>
      </c>
      <c r="N358" t="b">
        <v>1</v>
      </c>
      <c r="O358">
        <v>585</v>
      </c>
      <c r="P358" t="s">
        <v>663</v>
      </c>
      <c r="Q358" t="s">
        <v>2829</v>
      </c>
      <c r="R358">
        <v>-27.91771450164791</v>
      </c>
      <c r="S358">
        <v>539</v>
      </c>
      <c r="T358">
        <v>13690</v>
      </c>
      <c r="U358" t="s">
        <v>4635</v>
      </c>
      <c r="V358">
        <v>51.23</v>
      </c>
      <c r="W358" t="s">
        <v>6855</v>
      </c>
      <c r="X358" t="s">
        <v>8993</v>
      </c>
      <c r="Y358">
        <v>752</v>
      </c>
      <c r="Z358">
        <v>-41</v>
      </c>
      <c r="AA358">
        <v>107310</v>
      </c>
      <c r="AB358">
        <v>0.75</v>
      </c>
    </row>
    <row r="359" spans="1:28">
      <c r="A359" s="2">
        <f>HYPERLINK("https://finance.naver.com/item/coinfo.nhn?code=253590", "A253590")</f>
        <v>0</v>
      </c>
      <c r="B359">
        <f>HYPERLINK("http://comp.fnguide.com/SVO2/ASP/SVD_Consensus.asp?pGB=1&amp;gicode=A253590&amp;cID=&amp;MenuYn=Y&amp;ReportGB=&amp;NewMenuID=108&amp;stkGb=701", "네오셈")</f>
        <v>0</v>
      </c>
      <c r="C359">
        <v>0</v>
      </c>
      <c r="D359">
        <v>3645</v>
      </c>
      <c r="E359">
        <v>0</v>
      </c>
      <c r="G359">
        <v>1057</v>
      </c>
      <c r="H359">
        <v>1044</v>
      </c>
      <c r="I359">
        <v>1041</v>
      </c>
      <c r="J359">
        <v>71</v>
      </c>
      <c r="K359">
        <v>71.34999999999999</v>
      </c>
      <c r="L359">
        <v>71.45</v>
      </c>
      <c r="M359">
        <v>8.130000000000001</v>
      </c>
      <c r="N359" t="b">
        <v>0</v>
      </c>
      <c r="O359">
        <v>-42</v>
      </c>
      <c r="P359" t="s">
        <v>2116</v>
      </c>
      <c r="Q359" t="s">
        <v>3892</v>
      </c>
      <c r="R359">
        <v>0</v>
      </c>
      <c r="S359">
        <v>1368</v>
      </c>
      <c r="T359">
        <v>806549</v>
      </c>
      <c r="U359" t="s">
        <v>6090</v>
      </c>
      <c r="V359">
        <v>61.31</v>
      </c>
      <c r="W359" t="s">
        <v>8276</v>
      </c>
      <c r="X359" t="s">
        <v>968</v>
      </c>
      <c r="Y359">
        <v>272</v>
      </c>
      <c r="Z359">
        <v>-33</v>
      </c>
      <c r="AA359">
        <v>1327666</v>
      </c>
      <c r="AB359">
        <v>0.74</v>
      </c>
    </row>
    <row r="360" spans="1:28">
      <c r="A360" s="2">
        <f>HYPERLINK("https://finance.naver.com/item/coinfo.nhn?code=025860", "A025860")</f>
        <v>0</v>
      </c>
      <c r="B360">
        <f>HYPERLINK("http://comp.fnguide.com/SVO2/ASP/SVD_Consensus.asp?pGB=1&amp;gicode=A025860&amp;cID=&amp;MenuYn=Y&amp;ReportGB=&amp;NewMenuID=108&amp;stkGb=701", "남해화학")</f>
        <v>0</v>
      </c>
      <c r="C360">
        <v>0</v>
      </c>
      <c r="D360">
        <v>8360</v>
      </c>
      <c r="E360">
        <v>2.17</v>
      </c>
      <c r="F360">
        <v>25.27</v>
      </c>
      <c r="G360">
        <v>4111</v>
      </c>
      <c r="H360">
        <v>7079</v>
      </c>
      <c r="I360">
        <v>7925</v>
      </c>
      <c r="J360">
        <v>50.82</v>
      </c>
      <c r="K360">
        <v>15.32</v>
      </c>
      <c r="L360">
        <v>5.2</v>
      </c>
      <c r="M360">
        <v>3.62</v>
      </c>
      <c r="N360" t="b">
        <v>1</v>
      </c>
      <c r="O360">
        <v>323</v>
      </c>
      <c r="P360" t="s">
        <v>1664</v>
      </c>
      <c r="Q360" t="s">
        <v>3582</v>
      </c>
      <c r="R360">
        <v>11.65343631677125</v>
      </c>
      <c r="S360">
        <v>4153</v>
      </c>
      <c r="T360">
        <v>273410</v>
      </c>
      <c r="U360" t="s">
        <v>5634</v>
      </c>
      <c r="V360">
        <v>56</v>
      </c>
      <c r="W360" t="s">
        <v>7833</v>
      </c>
      <c r="X360" t="s">
        <v>9781</v>
      </c>
      <c r="Y360">
        <v>11872</v>
      </c>
      <c r="Z360">
        <v>153</v>
      </c>
      <c r="AA360">
        <v>1730148</v>
      </c>
      <c r="AB360">
        <v>0.74</v>
      </c>
    </row>
    <row r="361" spans="1:28">
      <c r="A361" s="2">
        <f>HYPERLINK("https://finance.naver.com/item/coinfo.nhn?code=243840", "A243840")</f>
        <v>0</v>
      </c>
      <c r="B361">
        <f>HYPERLINK("http://comp.fnguide.com/SVO2/ASP/SVD_Consensus.asp?pGB=1&amp;gicode=A243840&amp;cID=&amp;MenuYn=Y&amp;ReportGB=&amp;NewMenuID=108&amp;stkGb=701", "신흥에스이씨")</f>
        <v>0</v>
      </c>
      <c r="C361">
        <v>0</v>
      </c>
      <c r="D361">
        <v>45100</v>
      </c>
      <c r="E361">
        <v>0.23</v>
      </c>
      <c r="F361">
        <v>15.72</v>
      </c>
      <c r="G361">
        <v>26440</v>
      </c>
      <c r="H361">
        <v>19304</v>
      </c>
      <c r="I361">
        <v>17271</v>
      </c>
      <c r="J361">
        <v>41.37</v>
      </c>
      <c r="K361">
        <v>57.2</v>
      </c>
      <c r="L361">
        <v>61.71</v>
      </c>
      <c r="M361">
        <v>14.47</v>
      </c>
      <c r="N361" t="b">
        <v>1</v>
      </c>
      <c r="O361">
        <v>2439</v>
      </c>
      <c r="P361" t="s">
        <v>1960</v>
      </c>
      <c r="Q361" t="s">
        <v>3796</v>
      </c>
      <c r="R361">
        <v>67.92096437436423</v>
      </c>
      <c r="S361">
        <v>3143</v>
      </c>
      <c r="T361">
        <v>88580</v>
      </c>
      <c r="U361" t="s">
        <v>5932</v>
      </c>
      <c r="V361">
        <v>59.67</v>
      </c>
      <c r="W361" t="s">
        <v>8128</v>
      </c>
      <c r="X361" t="s">
        <v>10014</v>
      </c>
      <c r="Y361">
        <v>2395</v>
      </c>
      <c r="Z361">
        <v>202</v>
      </c>
      <c r="AB361">
        <v>0.73</v>
      </c>
    </row>
    <row r="362" spans="1:28">
      <c r="A362" s="2">
        <f>HYPERLINK("https://finance.naver.com/item/coinfo.nhn?code=078140", "A078140")</f>
        <v>0</v>
      </c>
      <c r="B362">
        <f>HYPERLINK("http://comp.fnguide.com/SVO2/ASP/SVD_Consensus.asp?pGB=1&amp;gicode=A078140&amp;cID=&amp;MenuYn=Y&amp;ReportGB=&amp;NewMenuID=108&amp;stkGb=701", "대봉엘에스")</f>
        <v>0</v>
      </c>
      <c r="C362">
        <v>0</v>
      </c>
      <c r="D362">
        <v>11150</v>
      </c>
      <c r="E362">
        <v>-16.43</v>
      </c>
      <c r="F362">
        <v>13.3</v>
      </c>
      <c r="G362">
        <v>7705</v>
      </c>
      <c r="H362">
        <v>7485</v>
      </c>
      <c r="I362">
        <v>7422</v>
      </c>
      <c r="J362">
        <v>30.89</v>
      </c>
      <c r="K362">
        <v>32.87</v>
      </c>
      <c r="L362">
        <v>33.43</v>
      </c>
      <c r="M362">
        <v>8.369999999999999</v>
      </c>
      <c r="N362" t="b">
        <v>1</v>
      </c>
      <c r="O362">
        <v>517</v>
      </c>
      <c r="P362" t="s">
        <v>2076</v>
      </c>
      <c r="Q362" t="s">
        <v>3865</v>
      </c>
      <c r="R362">
        <v>-0.8094693827333188</v>
      </c>
      <c r="S362">
        <v>1236</v>
      </c>
      <c r="T362">
        <v>93290</v>
      </c>
      <c r="U362" t="s">
        <v>6049</v>
      </c>
      <c r="V362">
        <v>50.93</v>
      </c>
      <c r="W362" t="s">
        <v>8236</v>
      </c>
      <c r="X362" t="s">
        <v>10082</v>
      </c>
      <c r="Y362">
        <v>695</v>
      </c>
      <c r="Z362">
        <v>74</v>
      </c>
      <c r="AA362">
        <v>76415</v>
      </c>
      <c r="AB362">
        <v>0.73</v>
      </c>
    </row>
    <row r="363" spans="1:28">
      <c r="A363" s="2">
        <f>HYPERLINK("https://finance.naver.com/item/coinfo.nhn?code=239610", "A239610")</f>
        <v>0</v>
      </c>
      <c r="B363">
        <f>HYPERLINK("http://comp.fnguide.com/SVO2/ASP/SVD_Consensus.asp?pGB=1&amp;gicode=A239610&amp;cID=&amp;MenuYn=Y&amp;ReportGB=&amp;NewMenuID=108&amp;stkGb=701", "에이치엘사이언스")</f>
        <v>0</v>
      </c>
      <c r="C363">
        <v>1</v>
      </c>
      <c r="D363">
        <v>43100</v>
      </c>
      <c r="E363">
        <v>0.8100000000000001</v>
      </c>
      <c r="F363">
        <v>14.25</v>
      </c>
      <c r="G363">
        <v>43856</v>
      </c>
      <c r="H363">
        <v>27264</v>
      </c>
      <c r="I363">
        <v>22537</v>
      </c>
      <c r="J363">
        <v>-1.75</v>
      </c>
      <c r="K363">
        <v>36.74</v>
      </c>
      <c r="L363">
        <v>47.71</v>
      </c>
      <c r="M363">
        <v>21.52</v>
      </c>
      <c r="N363" t="b">
        <v>1</v>
      </c>
      <c r="O363">
        <v>3839</v>
      </c>
      <c r="P363" t="s">
        <v>869</v>
      </c>
      <c r="Q363" t="s">
        <v>3026</v>
      </c>
      <c r="R363">
        <v>17.65699495895263</v>
      </c>
      <c r="S363">
        <v>2216</v>
      </c>
      <c r="T363">
        <v>21548</v>
      </c>
      <c r="U363" t="s">
        <v>4841</v>
      </c>
      <c r="V363">
        <v>63.19</v>
      </c>
      <c r="W363" t="s">
        <v>7061</v>
      </c>
      <c r="X363" t="s">
        <v>9188</v>
      </c>
      <c r="Y363">
        <v>1283</v>
      </c>
      <c r="Z363">
        <v>237</v>
      </c>
      <c r="AA363">
        <v>142792</v>
      </c>
      <c r="AB363">
        <v>0.73</v>
      </c>
    </row>
    <row r="364" spans="1:28">
      <c r="A364" s="2">
        <f>HYPERLINK("https://finance.naver.com/item/coinfo.nhn?code=032620", "A032620")</f>
        <v>0</v>
      </c>
      <c r="B364">
        <f>HYPERLINK("http://comp.fnguide.com/SVO2/ASP/SVD_Consensus.asp?pGB=1&amp;gicode=A032620&amp;cID=&amp;MenuYn=Y&amp;ReportGB=&amp;NewMenuID=108&amp;stkGb=701", "유비케어")</f>
        <v>0</v>
      </c>
      <c r="C364">
        <v>0</v>
      </c>
      <c r="D364">
        <v>10650</v>
      </c>
      <c r="E364">
        <v>36.41</v>
      </c>
      <c r="F364">
        <v>44.08</v>
      </c>
      <c r="G364">
        <v>1826</v>
      </c>
      <c r="H364">
        <v>1944</v>
      </c>
      <c r="I364">
        <v>1977</v>
      </c>
      <c r="J364">
        <v>82.84999999999999</v>
      </c>
      <c r="K364">
        <v>81.75</v>
      </c>
      <c r="L364">
        <v>81.43000000000001</v>
      </c>
      <c r="M364">
        <v>7.2</v>
      </c>
      <c r="N364" t="b">
        <v>0</v>
      </c>
      <c r="O364">
        <v>130</v>
      </c>
      <c r="P364" t="s">
        <v>1357</v>
      </c>
      <c r="Q364" t="s">
        <v>3356</v>
      </c>
      <c r="R364">
        <v>1.21055511842163</v>
      </c>
      <c r="S364">
        <v>5559</v>
      </c>
      <c r="T364">
        <v>2158766</v>
      </c>
      <c r="U364" t="s">
        <v>5328</v>
      </c>
      <c r="V364">
        <v>52.66</v>
      </c>
      <c r="W364" t="s">
        <v>7532</v>
      </c>
      <c r="X364" t="s">
        <v>9533</v>
      </c>
      <c r="Y364">
        <v>1109</v>
      </c>
      <c r="Z364">
        <v>124</v>
      </c>
      <c r="AA364">
        <v>1454497</v>
      </c>
      <c r="AB364">
        <v>0.7</v>
      </c>
    </row>
    <row r="365" spans="1:28">
      <c r="A365" s="2">
        <f>HYPERLINK("https://finance.naver.com/item/coinfo.nhn?code=115960", "A115960")</f>
        <v>0</v>
      </c>
      <c r="B365">
        <f>HYPERLINK("http://comp.fnguide.com/SVO2/ASP/SVD_Consensus.asp?pGB=1&amp;gicode=A115960&amp;cID=&amp;MenuYn=Y&amp;ReportGB=&amp;NewMenuID=108&amp;stkGb=701", "연우")</f>
        <v>0</v>
      </c>
      <c r="C365">
        <v>0</v>
      </c>
      <c r="D365">
        <v>19150</v>
      </c>
      <c r="E365">
        <v>-1.48</v>
      </c>
      <c r="F365">
        <v>17.23</v>
      </c>
      <c r="G365">
        <v>13134</v>
      </c>
      <c r="H365">
        <v>15400</v>
      </c>
      <c r="I365">
        <v>16046</v>
      </c>
      <c r="J365">
        <v>31.42</v>
      </c>
      <c r="K365">
        <v>19.58</v>
      </c>
      <c r="L365">
        <v>16.21</v>
      </c>
      <c r="M365">
        <v>6.19</v>
      </c>
      <c r="N365" t="b">
        <v>1</v>
      </c>
      <c r="O365">
        <v>1355</v>
      </c>
      <c r="P365" t="s">
        <v>1062</v>
      </c>
      <c r="Q365" t="s">
        <v>3174</v>
      </c>
      <c r="R365">
        <v>-11.6196510705493</v>
      </c>
      <c r="S365">
        <v>2374</v>
      </c>
      <c r="T365">
        <v>29330</v>
      </c>
      <c r="U365" t="s">
        <v>5033</v>
      </c>
      <c r="V365">
        <v>60.38</v>
      </c>
      <c r="W365" t="s">
        <v>7250</v>
      </c>
      <c r="X365" t="s">
        <v>9331</v>
      </c>
      <c r="Y365">
        <v>2946</v>
      </c>
      <c r="Z365">
        <v>225</v>
      </c>
      <c r="AB365">
        <v>0.6899999999999999</v>
      </c>
    </row>
    <row r="366" spans="1:28">
      <c r="A366" s="2">
        <f>HYPERLINK("https://finance.naver.com/item/coinfo.nhn?code=313760", "A313760")</f>
        <v>0</v>
      </c>
      <c r="B366">
        <f>HYPERLINK("http://comp.fnguide.com/SVO2/ASP/SVD_Consensus.asp?pGB=1&amp;gicode=A313760&amp;cID=&amp;MenuYn=Y&amp;ReportGB=&amp;NewMenuID=108&amp;stkGb=701", "윌링스")</f>
        <v>0</v>
      </c>
      <c r="C366">
        <v>0</v>
      </c>
      <c r="D366">
        <v>16800</v>
      </c>
      <c r="E366">
        <v>-0.43</v>
      </c>
      <c r="F366">
        <v>16.38</v>
      </c>
      <c r="G366">
        <v>6561</v>
      </c>
      <c r="H366">
        <v>7092</v>
      </c>
      <c r="I366">
        <v>7244</v>
      </c>
      <c r="J366">
        <v>60.95</v>
      </c>
      <c r="K366">
        <v>57.78</v>
      </c>
      <c r="L366">
        <v>56.88</v>
      </c>
      <c r="M366">
        <v>7.02</v>
      </c>
      <c r="N366" t="b">
        <v>1</v>
      </c>
      <c r="O366">
        <v>717</v>
      </c>
      <c r="P366" t="s">
        <v>1349</v>
      </c>
      <c r="Q366" t="s">
        <v>3352</v>
      </c>
      <c r="R366">
        <v>-37.75473446753319</v>
      </c>
      <c r="S366">
        <v>817</v>
      </c>
      <c r="T366">
        <v>28307</v>
      </c>
      <c r="U366" t="s">
        <v>5320</v>
      </c>
      <c r="V366">
        <v>60.8</v>
      </c>
      <c r="W366" t="s">
        <v>7524</v>
      </c>
      <c r="X366" t="s">
        <v>9528</v>
      </c>
      <c r="Y366">
        <v>429</v>
      </c>
      <c r="Z366">
        <v>35</v>
      </c>
      <c r="AB366">
        <v>0.68</v>
      </c>
    </row>
    <row r="367" spans="1:28">
      <c r="A367" s="2">
        <f>HYPERLINK("https://finance.naver.com/item/coinfo.nhn?code=134790", "A134790")</f>
        <v>0</v>
      </c>
      <c r="B367">
        <f>HYPERLINK("http://comp.fnguide.com/SVO2/ASP/SVD_Consensus.asp?pGB=1&amp;gicode=A134790&amp;cID=&amp;MenuYn=Y&amp;ReportGB=&amp;NewMenuID=108&amp;stkGb=701", "시디즈")</f>
        <v>0</v>
      </c>
      <c r="C367">
        <v>0</v>
      </c>
      <c r="D367">
        <v>51700</v>
      </c>
      <c r="E367">
        <v>0.05</v>
      </c>
      <c r="F367">
        <v>11.32</v>
      </c>
      <c r="G367">
        <v>46911</v>
      </c>
      <c r="H367">
        <v>30177</v>
      </c>
      <c r="I367">
        <v>25408</v>
      </c>
      <c r="J367">
        <v>9.26</v>
      </c>
      <c r="K367">
        <v>41.63</v>
      </c>
      <c r="L367">
        <v>50.85</v>
      </c>
      <c r="M367">
        <v>19.62</v>
      </c>
      <c r="N367" t="b">
        <v>1</v>
      </c>
      <c r="O367">
        <v>3907</v>
      </c>
      <c r="P367" t="s">
        <v>1773</v>
      </c>
      <c r="Q367" t="s">
        <v>3666</v>
      </c>
      <c r="R367">
        <v>229.4753044490219</v>
      </c>
      <c r="S367">
        <v>1034</v>
      </c>
      <c r="T367">
        <v>4645</v>
      </c>
      <c r="U367" t="s">
        <v>5743</v>
      </c>
      <c r="V367">
        <v>60.72</v>
      </c>
      <c r="W367" t="s">
        <v>7941</v>
      </c>
      <c r="X367" t="s">
        <v>9874</v>
      </c>
      <c r="Y367">
        <v>1929</v>
      </c>
      <c r="Z367">
        <v>86</v>
      </c>
      <c r="AA367">
        <v>321042</v>
      </c>
      <c r="AB367">
        <v>0.68</v>
      </c>
    </row>
    <row r="368" spans="1:28">
      <c r="A368" s="2">
        <f>HYPERLINK("https://finance.naver.com/item/coinfo.nhn?code=306040", "A306040")</f>
        <v>0</v>
      </c>
      <c r="B368">
        <f>HYPERLINK("http://comp.fnguide.com/SVO2/ASP/SVD_Consensus.asp?pGB=1&amp;gicode=A306040&amp;cID=&amp;MenuYn=Y&amp;ReportGB=&amp;NewMenuID=108&amp;stkGb=701", "에스제이그룹")</f>
        <v>0</v>
      </c>
      <c r="C368">
        <v>1</v>
      </c>
      <c r="D368">
        <v>15900</v>
      </c>
      <c r="E368">
        <v>0</v>
      </c>
      <c r="F368">
        <v>11.28</v>
      </c>
      <c r="G368">
        <v>27394</v>
      </c>
      <c r="H368">
        <v>15195</v>
      </c>
      <c r="I368">
        <v>11719</v>
      </c>
      <c r="J368">
        <v>-72.29000000000001</v>
      </c>
      <c r="K368">
        <v>4.43</v>
      </c>
      <c r="L368">
        <v>26.3</v>
      </c>
      <c r="M368">
        <v>30.79</v>
      </c>
      <c r="N368" t="b">
        <v>1</v>
      </c>
      <c r="O368">
        <v>1785</v>
      </c>
      <c r="P368" t="s">
        <v>828</v>
      </c>
      <c r="Q368" t="s">
        <v>2986</v>
      </c>
      <c r="R368">
        <v>0</v>
      </c>
      <c r="S368">
        <v>1569</v>
      </c>
      <c r="T368">
        <v>104782</v>
      </c>
      <c r="U368" t="s">
        <v>4800</v>
      </c>
      <c r="V368">
        <v>51.79</v>
      </c>
      <c r="W368" t="s">
        <v>7020</v>
      </c>
      <c r="X368" t="s">
        <v>9148</v>
      </c>
      <c r="Y368">
        <v>1095</v>
      </c>
      <c r="Z368">
        <v>164</v>
      </c>
      <c r="AA368">
        <v>78094</v>
      </c>
      <c r="AB368">
        <v>0.66</v>
      </c>
    </row>
    <row r="369" spans="1:28">
      <c r="A369" s="2">
        <f>HYPERLINK("https://finance.naver.com/item/coinfo.nhn?code=078070", "A078070")</f>
        <v>0</v>
      </c>
      <c r="B369">
        <f>HYPERLINK("http://comp.fnguide.com/SVO2/ASP/SVD_Consensus.asp?pGB=1&amp;gicode=A078070&amp;cID=&amp;MenuYn=Y&amp;ReportGB=&amp;NewMenuID=108&amp;stkGb=701", "유비쿼스홀딩스")</f>
        <v>0</v>
      </c>
      <c r="C369">
        <v>0</v>
      </c>
      <c r="D369">
        <v>28250</v>
      </c>
      <c r="E369">
        <v>-4.04</v>
      </c>
      <c r="F369">
        <v>53.82</v>
      </c>
      <c r="G369">
        <v>18418</v>
      </c>
      <c r="H369">
        <v>14640</v>
      </c>
      <c r="I369">
        <v>13563</v>
      </c>
      <c r="J369">
        <v>34.8</v>
      </c>
      <c r="K369">
        <v>48.18</v>
      </c>
      <c r="L369">
        <v>51.99</v>
      </c>
      <c r="M369">
        <v>12.1</v>
      </c>
      <c r="N369" t="b">
        <v>1</v>
      </c>
      <c r="O369">
        <v>374</v>
      </c>
      <c r="P369" t="s">
        <v>1356</v>
      </c>
      <c r="Q369" t="s">
        <v>3355</v>
      </c>
      <c r="R369">
        <v>-13.33718359709027</v>
      </c>
      <c r="S369">
        <v>5282</v>
      </c>
      <c r="T369">
        <v>42893</v>
      </c>
      <c r="U369" t="s">
        <v>5327</v>
      </c>
      <c r="V369">
        <v>50.09</v>
      </c>
      <c r="W369" t="s">
        <v>7531</v>
      </c>
      <c r="X369" t="s">
        <v>9532</v>
      </c>
      <c r="Y369">
        <v>1125</v>
      </c>
      <c r="Z369">
        <v>137</v>
      </c>
      <c r="AA369">
        <v>2183714</v>
      </c>
      <c r="AB369">
        <v>0.65</v>
      </c>
    </row>
    <row r="370" spans="1:28">
      <c r="A370" s="2">
        <f>HYPERLINK("https://finance.naver.com/item/coinfo.nhn?code=009450", "A009450")</f>
        <v>0</v>
      </c>
      <c r="B370">
        <f>HYPERLINK("http://comp.fnguide.com/SVO2/ASP/SVD_Consensus.asp?pGB=1&amp;gicode=A009450&amp;cID=&amp;MenuYn=Y&amp;ReportGB=&amp;NewMenuID=108&amp;stkGb=701", "경동나비엔")</f>
        <v>0</v>
      </c>
      <c r="C370">
        <v>0</v>
      </c>
      <c r="D370">
        <v>52400</v>
      </c>
      <c r="E370">
        <v>1.01</v>
      </c>
      <c r="F370">
        <v>21.31</v>
      </c>
      <c r="G370">
        <v>27028</v>
      </c>
      <c r="H370">
        <v>24187</v>
      </c>
      <c r="I370">
        <v>23377</v>
      </c>
      <c r="J370">
        <v>48.42</v>
      </c>
      <c r="K370">
        <v>53.84</v>
      </c>
      <c r="L370">
        <v>55.39</v>
      </c>
      <c r="M370">
        <v>9.66</v>
      </c>
      <c r="N370" t="b">
        <v>1</v>
      </c>
      <c r="O370">
        <v>2186</v>
      </c>
      <c r="P370" t="s">
        <v>1731</v>
      </c>
      <c r="Q370" t="s">
        <v>3632</v>
      </c>
      <c r="R370">
        <v>21.1778739861594</v>
      </c>
      <c r="S370">
        <v>7129</v>
      </c>
      <c r="T370">
        <v>86925</v>
      </c>
      <c r="U370" t="s">
        <v>5701</v>
      </c>
      <c r="V370">
        <v>54.6</v>
      </c>
      <c r="W370" t="s">
        <v>7899</v>
      </c>
      <c r="X370" t="s">
        <v>9838</v>
      </c>
      <c r="Y370">
        <v>7743</v>
      </c>
      <c r="Z370">
        <v>448</v>
      </c>
      <c r="AA370">
        <v>115660</v>
      </c>
      <c r="AB370">
        <v>0.64</v>
      </c>
    </row>
    <row r="371" spans="1:28">
      <c r="A371" s="2">
        <f>HYPERLINK("https://finance.naver.com/item/coinfo.nhn?code=013870", "A013870")</f>
        <v>0</v>
      </c>
      <c r="B371">
        <f>HYPERLINK("http://comp.fnguide.com/SVO2/ASP/SVD_Consensus.asp?pGB=1&amp;gicode=A013870&amp;cID=&amp;MenuYn=Y&amp;ReportGB=&amp;NewMenuID=108&amp;stkGb=701", "지엠비코리아")</f>
        <v>0</v>
      </c>
      <c r="C371">
        <v>3</v>
      </c>
      <c r="D371">
        <v>8030</v>
      </c>
      <c r="E371">
        <v>-1.1</v>
      </c>
      <c r="F371">
        <v>34.27</v>
      </c>
      <c r="G371">
        <v>2197</v>
      </c>
      <c r="H371">
        <v>8003</v>
      </c>
      <c r="I371">
        <v>9657</v>
      </c>
      <c r="J371">
        <v>72.63</v>
      </c>
      <c r="K371">
        <v>0.33</v>
      </c>
      <c r="L371">
        <v>-20.27</v>
      </c>
      <c r="M371">
        <v>1.48</v>
      </c>
      <c r="N371" t="b">
        <v>0</v>
      </c>
      <c r="O371">
        <v>143</v>
      </c>
      <c r="P371" t="s">
        <v>223</v>
      </c>
      <c r="Q371" t="s">
        <v>2428</v>
      </c>
      <c r="R371">
        <v>-31.13461144130849</v>
      </c>
      <c r="S371">
        <v>1532</v>
      </c>
      <c r="T371">
        <v>262641</v>
      </c>
      <c r="U371" t="s">
        <v>4195</v>
      </c>
      <c r="V371">
        <v>58.98</v>
      </c>
      <c r="W371" t="s">
        <v>6415</v>
      </c>
      <c r="X371" t="s">
        <v>8587</v>
      </c>
      <c r="Y371">
        <v>4775</v>
      </c>
      <c r="Z371">
        <v>85</v>
      </c>
      <c r="AB371">
        <v>0.61</v>
      </c>
    </row>
    <row r="372" spans="1:28">
      <c r="A372" s="2">
        <f>HYPERLINK("https://finance.naver.com/item/coinfo.nhn?code=003850", "A003850")</f>
        <v>0</v>
      </c>
      <c r="B372">
        <f>HYPERLINK("http://comp.fnguide.com/SVO2/ASP/SVD_Consensus.asp?pGB=1&amp;gicode=A003850&amp;cID=&amp;MenuYn=Y&amp;ReportGB=&amp;NewMenuID=108&amp;stkGb=701", "보령제약")</f>
        <v>0</v>
      </c>
      <c r="C372">
        <v>0</v>
      </c>
      <c r="D372">
        <v>19500</v>
      </c>
      <c r="E372">
        <v>4.62</v>
      </c>
      <c r="F372">
        <v>22.77</v>
      </c>
      <c r="G372">
        <v>10141</v>
      </c>
      <c r="H372">
        <v>7813</v>
      </c>
      <c r="I372">
        <v>7150</v>
      </c>
      <c r="J372">
        <v>47.99</v>
      </c>
      <c r="K372">
        <v>59.93</v>
      </c>
      <c r="L372">
        <v>63.33</v>
      </c>
      <c r="M372">
        <v>12.9</v>
      </c>
      <c r="N372" t="b">
        <v>1</v>
      </c>
      <c r="O372">
        <v>729</v>
      </c>
      <c r="P372" t="s">
        <v>1812</v>
      </c>
      <c r="Q372" t="s">
        <v>3692</v>
      </c>
      <c r="R372">
        <v>4.92345684892519</v>
      </c>
      <c r="S372">
        <v>9286</v>
      </c>
      <c r="T372">
        <v>1555656</v>
      </c>
      <c r="U372" t="s">
        <v>5782</v>
      </c>
      <c r="V372">
        <v>57.28</v>
      </c>
      <c r="W372" t="s">
        <v>7980</v>
      </c>
      <c r="X372" t="s">
        <v>9902</v>
      </c>
      <c r="Y372">
        <v>5243</v>
      </c>
      <c r="Z372">
        <v>391</v>
      </c>
      <c r="AA372">
        <v>2459033</v>
      </c>
      <c r="AB372">
        <v>0.6</v>
      </c>
    </row>
    <row r="373" spans="1:28">
      <c r="A373" s="2">
        <f>HYPERLINK("https://finance.naver.com/item/coinfo.nhn?code=020400", "A020400")</f>
        <v>0</v>
      </c>
      <c r="B373">
        <f>HYPERLINK("http://comp.fnguide.com/SVO2/ASP/SVD_Consensus.asp?pGB=1&amp;gicode=A020400&amp;cID=&amp;MenuYn=Y&amp;ReportGB=&amp;NewMenuID=108&amp;stkGb=701", "대동금속")</f>
        <v>0</v>
      </c>
      <c r="C373">
        <v>3</v>
      </c>
      <c r="D373">
        <v>8830</v>
      </c>
      <c r="E373">
        <v>-400.3</v>
      </c>
      <c r="F373">
        <v>34191.36</v>
      </c>
      <c r="G373">
        <v>2431</v>
      </c>
      <c r="H373">
        <v>8942</v>
      </c>
      <c r="I373">
        <v>10798</v>
      </c>
      <c r="J373">
        <v>72.47</v>
      </c>
      <c r="K373">
        <v>-1.27</v>
      </c>
      <c r="L373">
        <v>-22.29</v>
      </c>
      <c r="M373">
        <v>1.46</v>
      </c>
      <c r="N373" t="b">
        <v>0</v>
      </c>
      <c r="O373">
        <v>0</v>
      </c>
      <c r="P373" t="s">
        <v>362</v>
      </c>
      <c r="Q373" t="s">
        <v>2550</v>
      </c>
      <c r="R373">
        <v>-85.41507780395334</v>
      </c>
      <c r="S373">
        <v>230</v>
      </c>
      <c r="T373">
        <v>8502</v>
      </c>
      <c r="U373" t="s">
        <v>4334</v>
      </c>
      <c r="V373">
        <v>64.54000000000001</v>
      </c>
      <c r="W373" t="s">
        <v>6554</v>
      </c>
      <c r="X373" t="s">
        <v>8708</v>
      </c>
      <c r="Y373">
        <v>885</v>
      </c>
      <c r="Z373">
        <v>33</v>
      </c>
      <c r="AB373">
        <v>0.59</v>
      </c>
    </row>
    <row r="374" spans="1:28">
      <c r="A374" s="2">
        <f>HYPERLINK("https://finance.naver.com/item/coinfo.nhn?code=248170", "A248170")</f>
        <v>0</v>
      </c>
      <c r="B374">
        <f>HYPERLINK("http://comp.fnguide.com/SVO2/ASP/SVD_Consensus.asp?pGB=1&amp;gicode=A248170&amp;cID=&amp;MenuYn=Y&amp;ReportGB=&amp;NewMenuID=108&amp;stkGb=701", "샘표식품")</f>
        <v>0</v>
      </c>
      <c r="C374">
        <v>2</v>
      </c>
      <c r="D374">
        <v>44550</v>
      </c>
      <c r="E374">
        <v>0</v>
      </c>
      <c r="F374">
        <v>5.79</v>
      </c>
      <c r="G374">
        <v>68573</v>
      </c>
      <c r="H374">
        <v>48029</v>
      </c>
      <c r="I374">
        <v>42175</v>
      </c>
      <c r="J374">
        <v>-53.92</v>
      </c>
      <c r="K374">
        <v>-7.81</v>
      </c>
      <c r="L374">
        <v>5.33</v>
      </c>
      <c r="M374">
        <v>15.9</v>
      </c>
      <c r="N374" t="b">
        <v>1</v>
      </c>
      <c r="O374">
        <v>5870</v>
      </c>
      <c r="P374" t="s">
        <v>800</v>
      </c>
      <c r="Q374" t="s">
        <v>2959</v>
      </c>
      <c r="R374">
        <v>0</v>
      </c>
      <c r="S374">
        <v>2035</v>
      </c>
      <c r="T374">
        <v>15929</v>
      </c>
      <c r="U374" t="s">
        <v>4772</v>
      </c>
      <c r="V374">
        <v>60.02</v>
      </c>
      <c r="W374" t="s">
        <v>6992</v>
      </c>
      <c r="X374" t="s">
        <v>9122</v>
      </c>
      <c r="Y374">
        <v>2808</v>
      </c>
      <c r="Z374">
        <v>310</v>
      </c>
      <c r="AA374">
        <v>1690</v>
      </c>
      <c r="AB374">
        <v>0.59</v>
      </c>
    </row>
    <row r="375" spans="1:28">
      <c r="A375" s="2">
        <f>HYPERLINK("https://finance.naver.com/item/coinfo.nhn?code=003380", "A003380")</f>
        <v>0</v>
      </c>
      <c r="B375">
        <f>HYPERLINK("http://comp.fnguide.com/SVO2/ASP/SVD_Consensus.asp?pGB=1&amp;gicode=A003380&amp;cID=&amp;MenuYn=Y&amp;ReportGB=&amp;NewMenuID=108&amp;stkGb=701", "하림지주")</f>
        <v>0</v>
      </c>
      <c r="C375">
        <v>3</v>
      </c>
      <c r="D375">
        <v>7120</v>
      </c>
      <c r="E375">
        <v>-1.19</v>
      </c>
      <c r="F375">
        <v>14.43</v>
      </c>
      <c r="G375">
        <v>17761</v>
      </c>
      <c r="H375">
        <v>20964</v>
      </c>
      <c r="I375">
        <v>21877</v>
      </c>
      <c r="J375">
        <v>-149.45</v>
      </c>
      <c r="K375">
        <v>-194.44</v>
      </c>
      <c r="L375">
        <v>-207.26</v>
      </c>
      <c r="M375">
        <v>6.13</v>
      </c>
      <c r="N375" t="b">
        <v>1</v>
      </c>
      <c r="O375">
        <v>594</v>
      </c>
      <c r="P375" t="s">
        <v>472</v>
      </c>
      <c r="Q375" t="s">
        <v>2649</v>
      </c>
      <c r="R375">
        <v>-12.14424920738167</v>
      </c>
      <c r="S375">
        <v>6575</v>
      </c>
      <c r="T375">
        <v>510016</v>
      </c>
      <c r="U375" t="s">
        <v>4444</v>
      </c>
      <c r="V375">
        <v>51.5</v>
      </c>
      <c r="W375" t="s">
        <v>6664</v>
      </c>
      <c r="X375" t="s">
        <v>8812</v>
      </c>
      <c r="Y375">
        <v>73503</v>
      </c>
      <c r="Z375">
        <v>3065</v>
      </c>
      <c r="AA375">
        <v>16832117</v>
      </c>
      <c r="AB375">
        <v>0.58</v>
      </c>
    </row>
    <row r="376" spans="1:28">
      <c r="A376" s="2">
        <f>HYPERLINK("https://finance.naver.com/item/coinfo.nhn?code=136490", "A136490")</f>
        <v>0</v>
      </c>
      <c r="B376">
        <f>HYPERLINK("http://comp.fnguide.com/SVO2/ASP/SVD_Consensus.asp?pGB=1&amp;gicode=A136490&amp;cID=&amp;MenuYn=Y&amp;ReportGB=&amp;NewMenuID=108&amp;stkGb=701", "선진")</f>
        <v>0</v>
      </c>
      <c r="C376">
        <v>3</v>
      </c>
      <c r="D376">
        <v>10200</v>
      </c>
      <c r="E376">
        <v>0.21</v>
      </c>
      <c r="F376">
        <v>10.45</v>
      </c>
      <c r="G376">
        <v>14716</v>
      </c>
      <c r="H376">
        <v>13950</v>
      </c>
      <c r="I376">
        <v>13731</v>
      </c>
      <c r="J376">
        <v>-44.28</v>
      </c>
      <c r="K376">
        <v>-36.76</v>
      </c>
      <c r="L376">
        <v>-34.62</v>
      </c>
      <c r="M376">
        <v>8.73</v>
      </c>
      <c r="N376" t="b">
        <v>1</v>
      </c>
      <c r="O376">
        <v>899</v>
      </c>
      <c r="P376" t="s">
        <v>671</v>
      </c>
      <c r="Q376" t="s">
        <v>2837</v>
      </c>
      <c r="R376">
        <v>50.76358713008942</v>
      </c>
      <c r="S376">
        <v>2426</v>
      </c>
      <c r="T376">
        <v>126210</v>
      </c>
      <c r="U376" t="s">
        <v>4643</v>
      </c>
      <c r="V376">
        <v>50.05</v>
      </c>
      <c r="W376" t="s">
        <v>6863</v>
      </c>
      <c r="X376" t="s">
        <v>9001</v>
      </c>
      <c r="Y376">
        <v>10140</v>
      </c>
      <c r="Z376">
        <v>401</v>
      </c>
      <c r="AA376">
        <v>396</v>
      </c>
      <c r="AB376">
        <v>0.53</v>
      </c>
    </row>
    <row r="377" spans="1:28">
      <c r="A377" s="2">
        <f>HYPERLINK("https://finance.naver.com/item/coinfo.nhn?code=071090", "A071090")</f>
        <v>0</v>
      </c>
      <c r="B377">
        <f>HYPERLINK("http://comp.fnguide.com/SVO2/ASP/SVD_Consensus.asp?pGB=1&amp;gicode=A071090&amp;cID=&amp;MenuYn=Y&amp;ReportGB=&amp;NewMenuID=108&amp;stkGb=701", "하이스틸")</f>
        <v>0</v>
      </c>
      <c r="C377">
        <v>3</v>
      </c>
      <c r="D377">
        <v>17750</v>
      </c>
      <c r="E377">
        <v>10.59</v>
      </c>
      <c r="F377">
        <v>1214.37</v>
      </c>
      <c r="G377">
        <v>8616</v>
      </c>
      <c r="H377">
        <v>41819</v>
      </c>
      <c r="I377">
        <v>51280</v>
      </c>
      <c r="J377">
        <v>51.46</v>
      </c>
      <c r="K377">
        <v>-135.6</v>
      </c>
      <c r="L377">
        <v>-188.9</v>
      </c>
      <c r="M377">
        <v>1.07</v>
      </c>
      <c r="N377" t="b">
        <v>0</v>
      </c>
      <c r="O377">
        <v>16</v>
      </c>
      <c r="P377" t="s">
        <v>125</v>
      </c>
      <c r="Q377" t="s">
        <v>2338</v>
      </c>
      <c r="R377">
        <v>114.7</v>
      </c>
      <c r="S377">
        <v>355</v>
      </c>
      <c r="T377">
        <v>14685</v>
      </c>
      <c r="U377" t="s">
        <v>4097</v>
      </c>
      <c r="V377">
        <v>53.05</v>
      </c>
      <c r="W377" t="s">
        <v>6317</v>
      </c>
      <c r="X377" t="s">
        <v>8498</v>
      </c>
      <c r="Y377">
        <v>2143</v>
      </c>
      <c r="Z377">
        <v>11</v>
      </c>
      <c r="AA377">
        <v>792</v>
      </c>
      <c r="AB377">
        <v>0.52</v>
      </c>
    </row>
    <row r="378" spans="1:28">
      <c r="A378" s="2">
        <f>HYPERLINK("https://finance.naver.com/item/coinfo.nhn?code=030960", "A030960")</f>
        <v>0</v>
      </c>
      <c r="B378">
        <f>HYPERLINK("http://comp.fnguide.com/SVO2/ASP/SVD_Consensus.asp?pGB=1&amp;gicode=A030960&amp;cID=&amp;MenuYn=Y&amp;ReportGB=&amp;NewMenuID=108&amp;stkGb=701", "양지사")</f>
        <v>0</v>
      </c>
      <c r="C378">
        <v>3</v>
      </c>
      <c r="D378">
        <v>10300</v>
      </c>
      <c r="E378">
        <v>0.01</v>
      </c>
      <c r="F378">
        <v>1.28</v>
      </c>
      <c r="G378">
        <v>84161</v>
      </c>
      <c r="H378">
        <v>41857</v>
      </c>
      <c r="I378">
        <v>29802</v>
      </c>
      <c r="J378">
        <v>-717.09</v>
      </c>
      <c r="K378">
        <v>-306.38</v>
      </c>
      <c r="L378">
        <v>-189.34</v>
      </c>
      <c r="M378">
        <v>48.77</v>
      </c>
      <c r="N378" t="b">
        <v>1</v>
      </c>
      <c r="O378">
        <v>7553</v>
      </c>
      <c r="P378" t="s">
        <v>300</v>
      </c>
      <c r="Q378" t="s">
        <v>2500</v>
      </c>
      <c r="R378">
        <v>99.76584356862139</v>
      </c>
      <c r="S378">
        <v>1646</v>
      </c>
      <c r="T378">
        <v>40458</v>
      </c>
      <c r="U378" t="s">
        <v>4272</v>
      </c>
      <c r="V378">
        <v>75.53</v>
      </c>
      <c r="W378" t="s">
        <v>6492</v>
      </c>
      <c r="X378" t="s">
        <v>8659</v>
      </c>
      <c r="Y378">
        <v>489</v>
      </c>
      <c r="Z378">
        <v>17</v>
      </c>
      <c r="AA378">
        <v>2243930</v>
      </c>
      <c r="AB378">
        <v>0.52</v>
      </c>
    </row>
    <row r="379" spans="1:28">
      <c r="A379" s="2">
        <f>HYPERLINK("https://finance.naver.com/item/coinfo.nhn?code=226320", "A226320")</f>
        <v>0</v>
      </c>
      <c r="B379">
        <f>HYPERLINK("http://comp.fnguide.com/SVO2/ASP/SVD_Consensus.asp?pGB=1&amp;gicode=A226320&amp;cID=&amp;MenuYn=Y&amp;ReportGB=&amp;NewMenuID=108&amp;stkGb=701", "잇츠한불")</f>
        <v>0</v>
      </c>
      <c r="C379">
        <v>0</v>
      </c>
      <c r="D379">
        <v>28350</v>
      </c>
      <c r="G379">
        <v>5967</v>
      </c>
      <c r="H379">
        <v>16433</v>
      </c>
      <c r="I379">
        <v>19416</v>
      </c>
      <c r="J379">
        <v>78.95</v>
      </c>
      <c r="K379">
        <v>42.03</v>
      </c>
      <c r="L379">
        <v>31.51</v>
      </c>
      <c r="M379">
        <v>2.03</v>
      </c>
      <c r="N379" t="b">
        <v>0</v>
      </c>
      <c r="O379">
        <v>-215</v>
      </c>
      <c r="P379" t="s">
        <v>1514</v>
      </c>
      <c r="Q379" t="s">
        <v>3472</v>
      </c>
      <c r="R379">
        <v>-58.41308003371837</v>
      </c>
      <c r="S379">
        <v>6217</v>
      </c>
      <c r="T379">
        <v>144973</v>
      </c>
      <c r="U379" t="s">
        <v>5485</v>
      </c>
      <c r="V379">
        <v>61.59</v>
      </c>
      <c r="W379" t="s">
        <v>7687</v>
      </c>
      <c r="X379" t="s">
        <v>9656</v>
      </c>
      <c r="Y379">
        <v>2045</v>
      </c>
      <c r="Z379">
        <v>109</v>
      </c>
      <c r="AA379">
        <v>4312720</v>
      </c>
      <c r="AB379">
        <v>0.52</v>
      </c>
    </row>
    <row r="380" spans="1:28">
      <c r="A380" s="2">
        <f>HYPERLINK("https://finance.naver.com/item/coinfo.nhn?code=001770", "A001770")</f>
        <v>0</v>
      </c>
      <c r="B380">
        <f>HYPERLINK("http://comp.fnguide.com/SVO2/ASP/SVD_Consensus.asp?pGB=1&amp;gicode=A001770&amp;cID=&amp;MenuYn=Y&amp;ReportGB=&amp;NewMenuID=108&amp;stkGb=701", "신화실업")</f>
        <v>0</v>
      </c>
      <c r="C380">
        <v>3</v>
      </c>
      <c r="D380">
        <v>20450</v>
      </c>
      <c r="E380">
        <v>-0.62</v>
      </c>
      <c r="F380">
        <v>24.08</v>
      </c>
      <c r="G380">
        <v>16324</v>
      </c>
      <c r="H380">
        <v>23430</v>
      </c>
      <c r="I380">
        <v>25455</v>
      </c>
      <c r="J380">
        <v>20.17</v>
      </c>
      <c r="K380">
        <v>-14.57</v>
      </c>
      <c r="L380">
        <v>-24.47</v>
      </c>
      <c r="M380">
        <v>4.62</v>
      </c>
      <c r="N380" t="b">
        <v>0</v>
      </c>
      <c r="O380">
        <v>793</v>
      </c>
      <c r="P380" t="s">
        <v>666</v>
      </c>
      <c r="Q380" t="s">
        <v>2832</v>
      </c>
      <c r="R380">
        <v>-38.53899190300824</v>
      </c>
      <c r="S380">
        <v>248</v>
      </c>
      <c r="T380">
        <v>20649</v>
      </c>
      <c r="U380" t="s">
        <v>4638</v>
      </c>
      <c r="V380">
        <v>51.86</v>
      </c>
      <c r="W380" t="s">
        <v>6858</v>
      </c>
      <c r="X380" t="s">
        <v>8996</v>
      </c>
      <c r="Y380">
        <v>741</v>
      </c>
      <c r="Z380">
        <v>10</v>
      </c>
      <c r="AB380">
        <v>0.52</v>
      </c>
    </row>
    <row r="381" spans="1:28">
      <c r="A381" s="2">
        <f>HYPERLINK("https://finance.naver.com/item/coinfo.nhn?code=008930", "A008930")</f>
        <v>0</v>
      </c>
      <c r="B381">
        <f>HYPERLINK("http://comp.fnguide.com/SVO2/ASP/SVD_Consensus.asp?pGB=1&amp;gicode=A008930&amp;cID=&amp;MenuYn=Y&amp;ReportGB=&amp;NewMenuID=108&amp;stkGb=701", "한미사이언스")</f>
        <v>0</v>
      </c>
      <c r="C381">
        <v>0</v>
      </c>
      <c r="D381">
        <v>77200</v>
      </c>
      <c r="E381">
        <v>-1.84</v>
      </c>
      <c r="F381">
        <v>82.34999999999999</v>
      </c>
      <c r="G381">
        <v>5061</v>
      </c>
      <c r="H381">
        <v>8019</v>
      </c>
      <c r="I381">
        <v>8862</v>
      </c>
      <c r="J381">
        <v>93.44</v>
      </c>
      <c r="K381">
        <v>89.61</v>
      </c>
      <c r="L381">
        <v>88.52</v>
      </c>
      <c r="M381">
        <v>4.04</v>
      </c>
      <c r="N381" t="b">
        <v>0</v>
      </c>
      <c r="O381">
        <v>466</v>
      </c>
      <c r="P381" t="s">
        <v>1496</v>
      </c>
      <c r="Q381" t="s">
        <v>3456</v>
      </c>
      <c r="R381">
        <v>-44.68684689948051</v>
      </c>
      <c r="S381">
        <v>50961</v>
      </c>
      <c r="T381">
        <v>2316057</v>
      </c>
      <c r="U381" t="s">
        <v>5467</v>
      </c>
      <c r="V381">
        <v>66.43000000000001</v>
      </c>
      <c r="W381" t="s">
        <v>7669</v>
      </c>
      <c r="X381" t="s">
        <v>9638</v>
      </c>
      <c r="Y381">
        <v>8166</v>
      </c>
      <c r="Z381">
        <v>161</v>
      </c>
      <c r="AA381">
        <v>1338041</v>
      </c>
      <c r="AB381">
        <v>0.51</v>
      </c>
    </row>
    <row r="382" spans="1:28">
      <c r="A382" s="2">
        <f>HYPERLINK("https://finance.naver.com/item/coinfo.nhn?code=031430", "A031430")</f>
        <v>0</v>
      </c>
      <c r="B382">
        <f>HYPERLINK("http://comp.fnguide.com/SVO2/ASP/SVD_Consensus.asp?pGB=1&amp;gicode=A031430&amp;cID=&amp;MenuYn=Y&amp;ReportGB=&amp;NewMenuID=108&amp;stkGb=701", "신세계인터내셔날")</f>
        <v>0</v>
      </c>
      <c r="C382">
        <v>0</v>
      </c>
      <c r="D382">
        <v>159500</v>
      </c>
      <c r="E382">
        <v>1.98</v>
      </c>
      <c r="F382">
        <v>21.19</v>
      </c>
      <c r="G382">
        <v>115599</v>
      </c>
      <c r="H382">
        <v>96406</v>
      </c>
      <c r="I382">
        <v>90937</v>
      </c>
      <c r="J382">
        <v>27.52</v>
      </c>
      <c r="K382">
        <v>39.56</v>
      </c>
      <c r="L382">
        <v>42.99</v>
      </c>
      <c r="M382">
        <v>11.01</v>
      </c>
      <c r="N382" t="b">
        <v>1</v>
      </c>
      <c r="O382">
        <v>10361</v>
      </c>
      <c r="P382" t="s">
        <v>1770</v>
      </c>
      <c r="Q382" t="s">
        <v>3663</v>
      </c>
      <c r="R382">
        <v>10.7196414769434</v>
      </c>
      <c r="S382">
        <v>11388</v>
      </c>
      <c r="T382">
        <v>62802</v>
      </c>
      <c r="U382" t="s">
        <v>5740</v>
      </c>
      <c r="V382">
        <v>60.93</v>
      </c>
      <c r="W382" t="s">
        <v>7938</v>
      </c>
      <c r="X382" t="s">
        <v>9871</v>
      </c>
      <c r="Y382">
        <v>14250</v>
      </c>
      <c r="Z382">
        <v>845</v>
      </c>
      <c r="AB382">
        <v>0.5</v>
      </c>
    </row>
    <row r="383" spans="1:28">
      <c r="A383" s="2">
        <f>HYPERLINK("https://finance.naver.com/item/coinfo.nhn?code=004440", "A004440")</f>
        <v>0</v>
      </c>
      <c r="B383">
        <f>HYPERLINK("http://comp.fnguide.com/SVO2/ASP/SVD_Consensus.asp?pGB=1&amp;gicode=A004440&amp;cID=&amp;MenuYn=Y&amp;ReportGB=&amp;NewMenuID=108&amp;stkGb=701", "삼일씨엔에스")</f>
        <v>0</v>
      </c>
      <c r="C383">
        <v>3</v>
      </c>
      <c r="D383">
        <v>9980</v>
      </c>
      <c r="E383">
        <v>-0.53</v>
      </c>
      <c r="F383">
        <v>36.16</v>
      </c>
      <c r="G383">
        <v>2033</v>
      </c>
      <c r="H383">
        <v>13968</v>
      </c>
      <c r="I383">
        <v>17369</v>
      </c>
      <c r="J383">
        <v>79.63</v>
      </c>
      <c r="K383">
        <v>-39.96</v>
      </c>
      <c r="L383">
        <v>-74.04000000000001</v>
      </c>
      <c r="M383">
        <v>0.74</v>
      </c>
      <c r="N383" t="b">
        <v>0</v>
      </c>
      <c r="O383">
        <v>211</v>
      </c>
      <c r="P383" t="s">
        <v>674</v>
      </c>
      <c r="Q383" t="s">
        <v>2840</v>
      </c>
      <c r="R383">
        <v>-67.96814085945057</v>
      </c>
      <c r="S383">
        <v>1271</v>
      </c>
      <c r="T383">
        <v>56119</v>
      </c>
      <c r="U383" t="s">
        <v>4646</v>
      </c>
      <c r="V383">
        <v>54.34</v>
      </c>
      <c r="W383" t="s">
        <v>6866</v>
      </c>
      <c r="X383" t="s">
        <v>9003</v>
      </c>
      <c r="Y383">
        <v>1955</v>
      </c>
      <c r="Z383">
        <v>36</v>
      </c>
      <c r="AB383">
        <v>0.5</v>
      </c>
    </row>
    <row r="384" spans="1:28">
      <c r="A384" s="2">
        <f>HYPERLINK("https://finance.naver.com/item/coinfo.nhn?code=278280", "A278280")</f>
        <v>0</v>
      </c>
      <c r="B384">
        <f>HYPERLINK("http://comp.fnguide.com/SVO2/ASP/SVD_Consensus.asp?pGB=1&amp;gicode=A278280&amp;cID=&amp;MenuYn=Y&amp;ReportGB=&amp;NewMenuID=108&amp;stkGb=701", "천보")</f>
        <v>0</v>
      </c>
      <c r="C384">
        <v>0</v>
      </c>
      <c r="D384">
        <v>173300</v>
      </c>
      <c r="E384">
        <v>2.84</v>
      </c>
      <c r="F384">
        <v>26.28</v>
      </c>
      <c r="G384">
        <v>50999</v>
      </c>
      <c r="H384">
        <v>33224</v>
      </c>
      <c r="I384">
        <v>28159</v>
      </c>
      <c r="J384">
        <v>70.56999999999999</v>
      </c>
      <c r="K384">
        <v>80.83</v>
      </c>
      <c r="L384">
        <v>83.75</v>
      </c>
      <c r="M384">
        <v>18.98</v>
      </c>
      <c r="N384" t="b">
        <v>1</v>
      </c>
      <c r="O384">
        <v>2344</v>
      </c>
      <c r="P384" t="s">
        <v>1161</v>
      </c>
      <c r="Q384" t="s">
        <v>3243</v>
      </c>
      <c r="R384">
        <v>9.240923869877449</v>
      </c>
      <c r="S384">
        <v>17330</v>
      </c>
      <c r="T384">
        <v>146316</v>
      </c>
      <c r="U384" t="s">
        <v>5132</v>
      </c>
      <c r="V384">
        <v>56.98</v>
      </c>
      <c r="W384" t="s">
        <v>7348</v>
      </c>
      <c r="X384" t="s">
        <v>9401</v>
      </c>
      <c r="Y384">
        <v>1353</v>
      </c>
      <c r="Z384">
        <v>272</v>
      </c>
      <c r="AA384">
        <v>165877</v>
      </c>
      <c r="AB384">
        <v>0.49</v>
      </c>
    </row>
    <row r="385" spans="1:28">
      <c r="A385" s="2">
        <f>HYPERLINK("https://finance.naver.com/item/coinfo.nhn?code=198440", "A198440")</f>
        <v>0</v>
      </c>
      <c r="B385">
        <f>HYPERLINK("http://comp.fnguide.com/SVO2/ASP/SVD_Consensus.asp?pGB=1&amp;gicode=A198440&amp;cID=&amp;MenuYn=Y&amp;ReportGB=&amp;NewMenuID=108&amp;stkGb=701", "고려시멘트")</f>
        <v>0</v>
      </c>
      <c r="C385">
        <v>0</v>
      </c>
      <c r="D385">
        <v>3030</v>
      </c>
      <c r="E385">
        <v>-1.05</v>
      </c>
      <c r="F385">
        <v>28.95</v>
      </c>
      <c r="G385">
        <v>1411</v>
      </c>
      <c r="H385">
        <v>2224</v>
      </c>
      <c r="I385">
        <v>2456</v>
      </c>
      <c r="J385">
        <v>53.43</v>
      </c>
      <c r="K385">
        <v>26.6</v>
      </c>
      <c r="L385">
        <v>18.95</v>
      </c>
      <c r="M385">
        <v>4.07</v>
      </c>
      <c r="N385" t="b">
        <v>1</v>
      </c>
      <c r="O385">
        <v>106</v>
      </c>
      <c r="P385" t="s">
        <v>2105</v>
      </c>
      <c r="Q385" t="s">
        <v>3885</v>
      </c>
      <c r="R385">
        <v>-27.64692002248353</v>
      </c>
      <c r="S385">
        <v>969</v>
      </c>
      <c r="T385">
        <v>458354</v>
      </c>
      <c r="U385" t="s">
        <v>6079</v>
      </c>
      <c r="V385">
        <v>58.2</v>
      </c>
      <c r="W385" t="s">
        <v>8265</v>
      </c>
      <c r="X385" t="s">
        <v>10105</v>
      </c>
      <c r="Y385">
        <v>709</v>
      </c>
      <c r="Z385">
        <v>-5</v>
      </c>
      <c r="AB385">
        <v>0.49</v>
      </c>
    </row>
    <row r="386" spans="1:28">
      <c r="A386" s="2">
        <f>HYPERLINK("https://finance.naver.com/item/coinfo.nhn?code=001460", "A001460")</f>
        <v>0</v>
      </c>
      <c r="B386">
        <f>HYPERLINK("http://comp.fnguide.com/SVO2/ASP/SVD_Consensus.asp?pGB=1&amp;gicode=A001460&amp;cID=&amp;MenuYn=Y&amp;ReportGB=&amp;NewMenuID=108&amp;stkGb=701", "BYC")</f>
        <v>0</v>
      </c>
      <c r="C386">
        <v>3</v>
      </c>
      <c r="D386">
        <v>287000</v>
      </c>
      <c r="E386">
        <v>3.71</v>
      </c>
      <c r="F386">
        <v>7.15</v>
      </c>
      <c r="G386">
        <v>376303</v>
      </c>
      <c r="H386">
        <v>567978</v>
      </c>
      <c r="I386">
        <v>622595</v>
      </c>
      <c r="J386">
        <v>-31.12</v>
      </c>
      <c r="K386">
        <v>-97.90000000000001</v>
      </c>
      <c r="L386">
        <v>-116.93</v>
      </c>
      <c r="M386">
        <v>4.31</v>
      </c>
      <c r="N386" t="b">
        <v>1</v>
      </c>
      <c r="O386">
        <v>33063</v>
      </c>
      <c r="P386" t="s">
        <v>715</v>
      </c>
      <c r="Q386" t="s">
        <v>2879</v>
      </c>
      <c r="R386">
        <v>1.926643763763747</v>
      </c>
      <c r="S386">
        <v>1793</v>
      </c>
      <c r="T386">
        <v>790</v>
      </c>
      <c r="U386" t="s">
        <v>4687</v>
      </c>
      <c r="V386">
        <v>61.5</v>
      </c>
      <c r="W386" t="s">
        <v>6907</v>
      </c>
      <c r="X386" t="s">
        <v>9040</v>
      </c>
      <c r="Y386">
        <v>1706</v>
      </c>
      <c r="Z386">
        <v>234</v>
      </c>
      <c r="AA386">
        <v>8</v>
      </c>
      <c r="AB386">
        <v>0.47</v>
      </c>
    </row>
    <row r="387" spans="1:28">
      <c r="A387" s="2">
        <f>HYPERLINK("https://finance.naver.com/item/coinfo.nhn?code=003830", "A003830")</f>
        <v>0</v>
      </c>
      <c r="B387">
        <f>HYPERLINK("http://comp.fnguide.com/SVO2/ASP/SVD_Consensus.asp?pGB=1&amp;gicode=A003830&amp;cID=&amp;MenuYn=Y&amp;ReportGB=&amp;NewMenuID=108&amp;stkGb=701", "대한화섬")</f>
        <v>0</v>
      </c>
      <c r="C387">
        <v>3</v>
      </c>
      <c r="D387">
        <v>103500</v>
      </c>
      <c r="E387">
        <v>0.97</v>
      </c>
      <c r="F387">
        <v>5.28</v>
      </c>
      <c r="G387">
        <v>358272</v>
      </c>
      <c r="H387">
        <v>428315</v>
      </c>
      <c r="I387">
        <v>448274</v>
      </c>
      <c r="J387">
        <v>-246.16</v>
      </c>
      <c r="K387">
        <v>-313.83</v>
      </c>
      <c r="L387">
        <v>-333.11</v>
      </c>
      <c r="M387">
        <v>6.01</v>
      </c>
      <c r="N387" t="b">
        <v>1</v>
      </c>
      <c r="O387">
        <v>16958</v>
      </c>
      <c r="P387" t="s">
        <v>626</v>
      </c>
      <c r="Q387" t="s">
        <v>2796</v>
      </c>
      <c r="R387">
        <v>5.454909130019381</v>
      </c>
      <c r="S387">
        <v>1374</v>
      </c>
      <c r="T387">
        <v>952</v>
      </c>
      <c r="U387" t="s">
        <v>4598</v>
      </c>
      <c r="V387">
        <v>61</v>
      </c>
      <c r="W387" t="s">
        <v>6818</v>
      </c>
      <c r="X387" t="s">
        <v>8960</v>
      </c>
      <c r="Y387">
        <v>1142</v>
      </c>
      <c r="Z387">
        <v>49</v>
      </c>
      <c r="AA387">
        <v>204695</v>
      </c>
      <c r="AB387">
        <v>0.46</v>
      </c>
    </row>
    <row r="388" spans="1:28">
      <c r="A388" s="2">
        <f>HYPERLINK("https://finance.naver.com/item/coinfo.nhn?code=069620", "A069620")</f>
        <v>0</v>
      </c>
      <c r="B388">
        <f>HYPERLINK("http://comp.fnguide.com/SVO2/ASP/SVD_Consensus.asp?pGB=1&amp;gicode=A069620&amp;cID=&amp;MenuYn=Y&amp;ReportGB=&amp;NewMenuID=108&amp;stkGb=701", "대웅제약")</f>
        <v>0</v>
      </c>
      <c r="C388">
        <v>0</v>
      </c>
      <c r="D388">
        <v>118500</v>
      </c>
      <c r="E388">
        <v>-5.08</v>
      </c>
      <c r="F388">
        <v>72.40000000000001</v>
      </c>
      <c r="G388">
        <v>19393</v>
      </c>
      <c r="H388">
        <v>36731</v>
      </c>
      <c r="I388">
        <v>41672</v>
      </c>
      <c r="J388">
        <v>83.63</v>
      </c>
      <c r="K388">
        <v>69</v>
      </c>
      <c r="L388">
        <v>64.83</v>
      </c>
      <c r="M388">
        <v>3.2</v>
      </c>
      <c r="N388" t="b">
        <v>1</v>
      </c>
      <c r="O388">
        <v>1899</v>
      </c>
      <c r="P388" t="s">
        <v>1677</v>
      </c>
      <c r="Q388" t="s">
        <v>3591</v>
      </c>
      <c r="R388">
        <v>-14.24523336863426</v>
      </c>
      <c r="S388">
        <v>13730</v>
      </c>
      <c r="T388">
        <v>835147</v>
      </c>
      <c r="U388" t="s">
        <v>5647</v>
      </c>
      <c r="V388">
        <v>54.55</v>
      </c>
      <c r="W388" t="s">
        <v>7846</v>
      </c>
      <c r="X388" t="s">
        <v>9790</v>
      </c>
      <c r="Y388">
        <v>11134</v>
      </c>
      <c r="Z388">
        <v>447</v>
      </c>
      <c r="AA388">
        <v>823880</v>
      </c>
      <c r="AB388">
        <v>0.44</v>
      </c>
    </row>
    <row r="389" spans="1:28">
      <c r="A389" s="2">
        <f>HYPERLINK("https://finance.naver.com/item/coinfo.nhn?code=075580", "A075580")</f>
        <v>0</v>
      </c>
      <c r="B389">
        <f>HYPERLINK("http://comp.fnguide.com/SVO2/ASP/SVD_Consensus.asp?pGB=1&amp;gicode=A075580&amp;cID=&amp;MenuYn=Y&amp;ReportGB=&amp;NewMenuID=108&amp;stkGb=701", "세진중공업")</f>
        <v>0</v>
      </c>
      <c r="C389">
        <v>0</v>
      </c>
      <c r="D389">
        <v>6570</v>
      </c>
      <c r="E389">
        <v>-1.82</v>
      </c>
      <c r="F389">
        <v>74.33</v>
      </c>
      <c r="G389">
        <v>473</v>
      </c>
      <c r="H389">
        <v>1893</v>
      </c>
      <c r="I389">
        <v>2297</v>
      </c>
      <c r="J389">
        <v>92.81</v>
      </c>
      <c r="K389">
        <v>71.19</v>
      </c>
      <c r="L389">
        <v>65.03</v>
      </c>
      <c r="M389">
        <v>1.33</v>
      </c>
      <c r="N389" t="b">
        <v>0</v>
      </c>
      <c r="O389">
        <v>42</v>
      </c>
      <c r="P389" t="s">
        <v>1827</v>
      </c>
      <c r="Q389" t="s">
        <v>3704</v>
      </c>
      <c r="R389">
        <v>-40.89603733656973</v>
      </c>
      <c r="S389">
        <v>3735</v>
      </c>
      <c r="T389">
        <v>656471</v>
      </c>
      <c r="U389" t="s">
        <v>5798</v>
      </c>
      <c r="V389">
        <v>59.75</v>
      </c>
      <c r="W389" t="s">
        <v>7996</v>
      </c>
      <c r="X389" t="s">
        <v>9914</v>
      </c>
      <c r="Y389">
        <v>2959</v>
      </c>
      <c r="Z389">
        <v>94</v>
      </c>
      <c r="AA389">
        <v>1419247</v>
      </c>
      <c r="AB389">
        <v>0.44</v>
      </c>
    </row>
    <row r="390" spans="1:28">
      <c r="A390" s="2">
        <f>HYPERLINK("https://finance.naver.com/item/coinfo.nhn?code=091590", "A091590")</f>
        <v>0</v>
      </c>
      <c r="B390">
        <f>HYPERLINK("http://comp.fnguide.com/SVO2/ASP/SVD_Consensus.asp?pGB=1&amp;gicode=A091590&amp;cID=&amp;MenuYn=Y&amp;ReportGB=&amp;NewMenuID=108&amp;stkGb=701", "남화토건")</f>
        <v>0</v>
      </c>
      <c r="C390">
        <v>0</v>
      </c>
      <c r="D390">
        <v>12550</v>
      </c>
      <c r="E390">
        <v>1.76</v>
      </c>
      <c r="F390">
        <v>38</v>
      </c>
      <c r="G390">
        <v>4434</v>
      </c>
      <c r="H390">
        <v>8561</v>
      </c>
      <c r="I390">
        <v>9737</v>
      </c>
      <c r="J390">
        <v>64.67</v>
      </c>
      <c r="K390">
        <v>31.78</v>
      </c>
      <c r="L390">
        <v>22.41</v>
      </c>
      <c r="M390">
        <v>3.13</v>
      </c>
      <c r="N390" t="b">
        <v>0</v>
      </c>
      <c r="O390">
        <v>424</v>
      </c>
      <c r="P390" t="s">
        <v>2119</v>
      </c>
      <c r="Q390" t="s">
        <v>3893</v>
      </c>
      <c r="R390">
        <v>21.57319084056091</v>
      </c>
      <c r="S390">
        <v>1473</v>
      </c>
      <c r="T390">
        <v>278940</v>
      </c>
      <c r="U390" t="s">
        <v>6093</v>
      </c>
      <c r="V390">
        <v>57.67</v>
      </c>
      <c r="W390" t="s">
        <v>8279</v>
      </c>
      <c r="X390" t="s">
        <v>10115</v>
      </c>
      <c r="Y390">
        <v>537</v>
      </c>
      <c r="Z390">
        <v>17</v>
      </c>
      <c r="AB390">
        <v>0.43</v>
      </c>
    </row>
    <row r="391" spans="1:28">
      <c r="A391" s="2">
        <f>HYPERLINK("https://finance.naver.com/item/coinfo.nhn?code=290720", "A290720")</f>
        <v>0</v>
      </c>
      <c r="B391">
        <f>HYPERLINK("http://comp.fnguide.com/SVO2/ASP/SVD_Consensus.asp?pGB=1&amp;gicode=A290720&amp;cID=&amp;MenuYn=Y&amp;ReportGB=&amp;NewMenuID=108&amp;stkGb=701", "푸드나무")</f>
        <v>0</v>
      </c>
      <c r="C391">
        <v>1</v>
      </c>
      <c r="D391">
        <v>21700</v>
      </c>
      <c r="E391">
        <v>0</v>
      </c>
      <c r="F391">
        <v>25.19</v>
      </c>
      <c r="G391">
        <v>22779</v>
      </c>
      <c r="H391">
        <v>13619</v>
      </c>
      <c r="I391">
        <v>11009</v>
      </c>
      <c r="J391">
        <v>-4.97</v>
      </c>
      <c r="K391">
        <v>37.24</v>
      </c>
      <c r="L391">
        <v>49.27</v>
      </c>
      <c r="M391">
        <v>24.1</v>
      </c>
      <c r="N391" t="b">
        <v>1</v>
      </c>
      <c r="O391">
        <v>655</v>
      </c>
      <c r="P391" t="s">
        <v>878</v>
      </c>
      <c r="Q391" t="s">
        <v>3034</v>
      </c>
      <c r="R391">
        <v>0</v>
      </c>
      <c r="S391">
        <v>1477</v>
      </c>
      <c r="T391">
        <v>25064</v>
      </c>
      <c r="U391" t="s">
        <v>4850</v>
      </c>
      <c r="V391">
        <v>74.3</v>
      </c>
      <c r="W391" t="s">
        <v>7070</v>
      </c>
      <c r="X391" t="s">
        <v>9197</v>
      </c>
      <c r="Y391">
        <v>648</v>
      </c>
      <c r="Z391">
        <v>55</v>
      </c>
      <c r="AA391">
        <v>76384</v>
      </c>
      <c r="AB391">
        <v>0.42</v>
      </c>
    </row>
    <row r="392" spans="1:28">
      <c r="A392" s="2">
        <f>HYPERLINK("https://finance.naver.com/item/coinfo.nhn?code=002620", "A002620")</f>
        <v>0</v>
      </c>
      <c r="B392">
        <f>HYPERLINK("http://comp.fnguide.com/SVO2/ASP/SVD_Consensus.asp?pGB=1&amp;gicode=A002620&amp;cID=&amp;MenuYn=Y&amp;ReportGB=&amp;NewMenuID=108&amp;stkGb=701", "제일파마홀딩스")</f>
        <v>0</v>
      </c>
      <c r="C392">
        <v>3</v>
      </c>
      <c r="D392">
        <v>24050</v>
      </c>
      <c r="G392">
        <v>125615</v>
      </c>
      <c r="H392">
        <v>65543</v>
      </c>
      <c r="I392">
        <v>48425</v>
      </c>
      <c r="J392">
        <v>-422.31</v>
      </c>
      <c r="K392">
        <v>-172.53</v>
      </c>
      <c r="L392">
        <v>-101.35</v>
      </c>
      <c r="M392">
        <v>39.06</v>
      </c>
      <c r="N392" t="b">
        <v>0</v>
      </c>
      <c r="O392">
        <v>-5676</v>
      </c>
      <c r="P392" t="s">
        <v>213</v>
      </c>
      <c r="Q392" t="s">
        <v>2419</v>
      </c>
      <c r="R392">
        <v>27.35199296967718</v>
      </c>
      <c r="S392">
        <v>3842</v>
      </c>
      <c r="T392">
        <v>91807</v>
      </c>
      <c r="U392" t="s">
        <v>4185</v>
      </c>
      <c r="V392">
        <v>73.16</v>
      </c>
      <c r="W392" t="s">
        <v>6405</v>
      </c>
      <c r="X392" t="s">
        <v>8578</v>
      </c>
      <c r="Y392">
        <v>7311</v>
      </c>
      <c r="Z392">
        <v>90</v>
      </c>
      <c r="AA392">
        <v>622230</v>
      </c>
      <c r="AB392">
        <v>0.41</v>
      </c>
    </row>
    <row r="393" spans="1:28">
      <c r="A393" s="2">
        <f>HYPERLINK("https://finance.naver.com/item/coinfo.nhn?code=002800", "A002800")</f>
        <v>0</v>
      </c>
      <c r="B393">
        <f>HYPERLINK("http://comp.fnguide.com/SVO2/ASP/SVD_Consensus.asp?pGB=1&amp;gicode=A002800&amp;cID=&amp;MenuYn=Y&amp;ReportGB=&amp;NewMenuID=108&amp;stkGb=701", "신신제약")</f>
        <v>0</v>
      </c>
      <c r="C393">
        <v>0</v>
      </c>
      <c r="D393">
        <v>10300</v>
      </c>
      <c r="E393">
        <v>-2.43</v>
      </c>
      <c r="F393">
        <v>48.4</v>
      </c>
      <c r="G393">
        <v>2390</v>
      </c>
      <c r="H393">
        <v>3188</v>
      </c>
      <c r="I393">
        <v>3415</v>
      </c>
      <c r="J393">
        <v>76.8</v>
      </c>
      <c r="K393">
        <v>69.05</v>
      </c>
      <c r="L393">
        <v>66.84</v>
      </c>
      <c r="M393">
        <v>5.12</v>
      </c>
      <c r="N393" t="b">
        <v>1</v>
      </c>
      <c r="O393">
        <v>141</v>
      </c>
      <c r="P393" t="s">
        <v>1990</v>
      </c>
      <c r="Q393" t="s">
        <v>3798</v>
      </c>
      <c r="R393">
        <v>-19.88322330794596</v>
      </c>
      <c r="S393">
        <v>1563</v>
      </c>
      <c r="T393">
        <v>701869</v>
      </c>
      <c r="U393" t="s">
        <v>5962</v>
      </c>
      <c r="V393">
        <v>51.6</v>
      </c>
      <c r="W393" t="s">
        <v>8155</v>
      </c>
      <c r="X393" t="s">
        <v>10033</v>
      </c>
      <c r="Y393">
        <v>679</v>
      </c>
      <c r="Z393">
        <v>23</v>
      </c>
      <c r="AB393">
        <v>0.41</v>
      </c>
    </row>
    <row r="394" spans="1:28">
      <c r="A394" s="2">
        <f>HYPERLINK("https://finance.naver.com/item/coinfo.nhn?code=024830", "A024830")</f>
        <v>0</v>
      </c>
      <c r="B394">
        <f>HYPERLINK("http://comp.fnguide.com/SVO2/ASP/SVD_Consensus.asp?pGB=1&amp;gicode=A024830&amp;cID=&amp;MenuYn=Y&amp;ReportGB=&amp;NewMenuID=108&amp;stkGb=701", "세원물산")</f>
        <v>0</v>
      </c>
      <c r="C394">
        <v>3</v>
      </c>
      <c r="D394">
        <v>6280</v>
      </c>
      <c r="E394">
        <v>0.35</v>
      </c>
      <c r="F394">
        <v>4</v>
      </c>
      <c r="G394">
        <v>14923</v>
      </c>
      <c r="H394">
        <v>19564</v>
      </c>
      <c r="I394">
        <v>20886</v>
      </c>
      <c r="J394">
        <v>-137.62</v>
      </c>
      <c r="K394">
        <v>-211.52</v>
      </c>
      <c r="L394">
        <v>-232.58</v>
      </c>
      <c r="M394">
        <v>5.25</v>
      </c>
      <c r="N394" t="b">
        <v>1</v>
      </c>
      <c r="O394">
        <v>1572</v>
      </c>
      <c r="P394" t="s">
        <v>329</v>
      </c>
      <c r="Q394" t="s">
        <v>2524</v>
      </c>
      <c r="R394">
        <v>11.44965905981017</v>
      </c>
      <c r="S394">
        <v>524</v>
      </c>
      <c r="T394">
        <v>0</v>
      </c>
      <c r="U394" t="s">
        <v>4301</v>
      </c>
      <c r="V394">
        <v>78.43000000000001</v>
      </c>
      <c r="W394" t="s">
        <v>6521</v>
      </c>
      <c r="X394" t="s">
        <v>8682</v>
      </c>
      <c r="Y394">
        <v>1153</v>
      </c>
      <c r="Z394">
        <v>126</v>
      </c>
      <c r="AB394">
        <v>0.4</v>
      </c>
    </row>
    <row r="395" spans="1:28">
      <c r="A395" s="2">
        <f>HYPERLINK("https://finance.naver.com/item/coinfo.nhn?code=017550", "A017550")</f>
        <v>0</v>
      </c>
      <c r="B395">
        <f>HYPERLINK("http://comp.fnguide.com/SVO2/ASP/SVD_Consensus.asp?pGB=1&amp;gicode=A017550&amp;cID=&amp;MenuYn=Y&amp;ReportGB=&amp;NewMenuID=108&amp;stkGb=701", "수산중공업")</f>
        <v>0</v>
      </c>
      <c r="C395">
        <v>0</v>
      </c>
      <c r="D395">
        <v>3555</v>
      </c>
      <c r="E395">
        <v>-27.44</v>
      </c>
      <c r="F395">
        <v>939.72</v>
      </c>
      <c r="G395">
        <v>714</v>
      </c>
      <c r="H395">
        <v>1458</v>
      </c>
      <c r="I395">
        <v>1670</v>
      </c>
      <c r="J395">
        <v>79.91</v>
      </c>
      <c r="K395">
        <v>59</v>
      </c>
      <c r="L395">
        <v>53.04</v>
      </c>
      <c r="M395">
        <v>2.92</v>
      </c>
      <c r="N395" t="b">
        <v>0</v>
      </c>
      <c r="O395">
        <v>3</v>
      </c>
      <c r="P395" t="s">
        <v>1774</v>
      </c>
      <c r="Q395" t="s">
        <v>3667</v>
      </c>
      <c r="R395">
        <v>-34.25165840273411</v>
      </c>
      <c r="S395">
        <v>1919</v>
      </c>
      <c r="T395">
        <v>34850842</v>
      </c>
      <c r="U395" t="s">
        <v>5744</v>
      </c>
      <c r="V395">
        <v>52.95</v>
      </c>
      <c r="W395" t="s">
        <v>7942</v>
      </c>
      <c r="X395" t="s">
        <v>9875</v>
      </c>
      <c r="Y395">
        <v>1578</v>
      </c>
      <c r="Z395">
        <v>72</v>
      </c>
      <c r="AA395">
        <v>2541336</v>
      </c>
      <c r="AB395">
        <v>0.4</v>
      </c>
    </row>
    <row r="396" spans="1:28">
      <c r="A396" s="2">
        <f>HYPERLINK("https://finance.naver.com/item/coinfo.nhn?code=053350", "A053350")</f>
        <v>0</v>
      </c>
      <c r="B396">
        <f>HYPERLINK("http://comp.fnguide.com/SVO2/ASP/SVD_Consensus.asp?pGB=1&amp;gicode=A053350&amp;cID=&amp;MenuYn=Y&amp;ReportGB=&amp;NewMenuID=108&amp;stkGb=701", "이니텍")</f>
        <v>0</v>
      </c>
      <c r="C396">
        <v>3</v>
      </c>
      <c r="D396">
        <v>4560</v>
      </c>
      <c r="G396">
        <v>981</v>
      </c>
      <c r="H396">
        <v>3983</v>
      </c>
      <c r="I396">
        <v>4838</v>
      </c>
      <c r="J396">
        <v>78.48</v>
      </c>
      <c r="K396">
        <v>12.66</v>
      </c>
      <c r="L396">
        <v>-6.1</v>
      </c>
      <c r="M396">
        <v>1.31</v>
      </c>
      <c r="N396" t="b">
        <v>0</v>
      </c>
      <c r="O396">
        <v>-443</v>
      </c>
      <c r="P396" t="s">
        <v>359</v>
      </c>
      <c r="Q396" t="s">
        <v>2547</v>
      </c>
      <c r="R396">
        <v>-38.47846190297898</v>
      </c>
      <c r="S396">
        <v>902</v>
      </c>
      <c r="T396">
        <v>179860</v>
      </c>
      <c r="U396" t="s">
        <v>4331</v>
      </c>
      <c r="V396">
        <v>57.01</v>
      </c>
      <c r="W396" t="s">
        <v>6551</v>
      </c>
      <c r="X396" t="s">
        <v>8705</v>
      </c>
      <c r="Y396">
        <v>2880</v>
      </c>
      <c r="Z396">
        <v>58</v>
      </c>
      <c r="AA396">
        <v>399280</v>
      </c>
      <c r="AB396">
        <v>0.4</v>
      </c>
    </row>
    <row r="397" spans="1:28">
      <c r="A397" s="2">
        <f>HYPERLINK("https://finance.naver.com/item/coinfo.nhn?code=002690", "A002690")</f>
        <v>0</v>
      </c>
      <c r="B397">
        <f>HYPERLINK("http://comp.fnguide.com/SVO2/ASP/SVD_Consensus.asp?pGB=1&amp;gicode=A002690&amp;cID=&amp;MenuYn=Y&amp;ReportGB=&amp;NewMenuID=108&amp;stkGb=701", "동일제강")</f>
        <v>0</v>
      </c>
      <c r="C397">
        <v>3</v>
      </c>
      <c r="D397">
        <v>2375</v>
      </c>
      <c r="E397">
        <v>-0.83</v>
      </c>
      <c r="F397">
        <v>33.37</v>
      </c>
      <c r="G397">
        <v>716</v>
      </c>
      <c r="H397">
        <v>5699</v>
      </c>
      <c r="I397">
        <v>7119</v>
      </c>
      <c r="J397">
        <v>69.86</v>
      </c>
      <c r="K397">
        <v>-139.95</v>
      </c>
      <c r="L397">
        <v>-199.74</v>
      </c>
      <c r="M397">
        <v>0.63</v>
      </c>
      <c r="N397" t="b">
        <v>0</v>
      </c>
      <c r="O397">
        <v>74</v>
      </c>
      <c r="P397" t="s">
        <v>487</v>
      </c>
      <c r="Q397" t="s">
        <v>2663</v>
      </c>
      <c r="R397">
        <v>-40.03437043439207</v>
      </c>
      <c r="S397">
        <v>356</v>
      </c>
      <c r="T397">
        <v>88395</v>
      </c>
      <c r="U397" t="s">
        <v>4459</v>
      </c>
      <c r="V397">
        <v>60.13</v>
      </c>
      <c r="W397" t="s">
        <v>6679</v>
      </c>
      <c r="X397" t="s">
        <v>8826</v>
      </c>
      <c r="Y397">
        <v>1274</v>
      </c>
      <c r="Z397">
        <v>10</v>
      </c>
      <c r="AA397">
        <v>514900</v>
      </c>
      <c r="AB397">
        <v>0.4</v>
      </c>
    </row>
    <row r="398" spans="1:28">
      <c r="A398" s="2">
        <f>HYPERLINK("https://finance.naver.com/item/coinfo.nhn?code=007160", "A007160")</f>
        <v>0</v>
      </c>
      <c r="B398">
        <f>HYPERLINK("http://comp.fnguide.com/SVO2/ASP/SVD_Consensus.asp?pGB=1&amp;gicode=A007160&amp;cID=&amp;MenuYn=Y&amp;ReportGB=&amp;NewMenuID=108&amp;stkGb=701", "사조산업")</f>
        <v>0</v>
      </c>
      <c r="C398">
        <v>3</v>
      </c>
      <c r="D398">
        <v>31200</v>
      </c>
      <c r="G398">
        <v>50662</v>
      </c>
      <c r="H398">
        <v>68775</v>
      </c>
      <c r="I398">
        <v>73937</v>
      </c>
      <c r="J398">
        <v>-62.38</v>
      </c>
      <c r="K398">
        <v>-120.43</v>
      </c>
      <c r="L398">
        <v>-136.98</v>
      </c>
      <c r="M398">
        <v>5</v>
      </c>
      <c r="N398" t="b">
        <v>0</v>
      </c>
      <c r="O398">
        <v>-2557</v>
      </c>
      <c r="P398" t="s">
        <v>533</v>
      </c>
      <c r="Q398" t="s">
        <v>2708</v>
      </c>
      <c r="R398">
        <v>24.48175286440011</v>
      </c>
      <c r="S398">
        <v>1560</v>
      </c>
      <c r="T398">
        <v>16559</v>
      </c>
      <c r="U398" t="s">
        <v>4505</v>
      </c>
      <c r="V398">
        <v>56.17</v>
      </c>
      <c r="W398" t="s">
        <v>6725</v>
      </c>
      <c r="X398" t="s">
        <v>8872</v>
      </c>
      <c r="Y398">
        <v>7354</v>
      </c>
      <c r="Z398">
        <v>182</v>
      </c>
      <c r="AA398">
        <v>55000</v>
      </c>
      <c r="AB398">
        <v>0.4</v>
      </c>
    </row>
    <row r="399" spans="1:28">
      <c r="A399" s="2">
        <f>HYPERLINK("https://finance.naver.com/item/coinfo.nhn?code=068290", "A068290")</f>
        <v>0</v>
      </c>
      <c r="B399">
        <f>HYPERLINK("http://comp.fnguide.com/SVO2/ASP/SVD_Consensus.asp?pGB=1&amp;gicode=A068290&amp;cID=&amp;MenuYn=Y&amp;ReportGB=&amp;NewMenuID=108&amp;stkGb=701", "삼성출판사")</f>
        <v>0</v>
      </c>
      <c r="C399">
        <v>0</v>
      </c>
      <c r="D399">
        <v>26650</v>
      </c>
      <c r="E399">
        <v>-39.22</v>
      </c>
      <c r="F399">
        <v>52.05</v>
      </c>
      <c r="G399">
        <v>4012</v>
      </c>
      <c r="H399">
        <v>7051</v>
      </c>
      <c r="I399">
        <v>7917</v>
      </c>
      <c r="J399">
        <v>84.95</v>
      </c>
      <c r="K399">
        <v>73.54000000000001</v>
      </c>
      <c r="L399">
        <v>70.29000000000001</v>
      </c>
      <c r="M399">
        <v>3.52</v>
      </c>
      <c r="N399" t="b">
        <v>0</v>
      </c>
      <c r="O399">
        <v>487</v>
      </c>
      <c r="P399" t="s">
        <v>1843</v>
      </c>
      <c r="Q399" t="s">
        <v>2925</v>
      </c>
      <c r="R399">
        <v>-1.327238528506358</v>
      </c>
      <c r="S399">
        <v>2665</v>
      </c>
      <c r="T399">
        <v>680782</v>
      </c>
      <c r="U399" t="s">
        <v>5814</v>
      </c>
      <c r="V399">
        <v>64.94</v>
      </c>
      <c r="W399" t="s">
        <v>8012</v>
      </c>
      <c r="X399" t="s">
        <v>9927</v>
      </c>
      <c r="Y399">
        <v>2020</v>
      </c>
      <c r="Z399">
        <v>48</v>
      </c>
      <c r="AB399">
        <v>0.39</v>
      </c>
    </row>
    <row r="400" spans="1:28">
      <c r="A400" s="2">
        <f>HYPERLINK("https://finance.naver.com/item/coinfo.nhn?code=080470", "A080470")</f>
        <v>0</v>
      </c>
      <c r="B400">
        <f>HYPERLINK("http://comp.fnguide.com/SVO2/ASP/SVD_Consensus.asp?pGB=1&amp;gicode=A080470&amp;cID=&amp;MenuYn=Y&amp;ReportGB=&amp;NewMenuID=108&amp;stkGb=701", "성창오토텍")</f>
        <v>0</v>
      </c>
      <c r="C400">
        <v>0</v>
      </c>
      <c r="D400">
        <v>8470</v>
      </c>
      <c r="G400">
        <v>0</v>
      </c>
      <c r="H400">
        <v>3119</v>
      </c>
      <c r="I400">
        <v>4008</v>
      </c>
      <c r="J400">
        <v>100</v>
      </c>
      <c r="K400">
        <v>63.17</v>
      </c>
      <c r="L400">
        <v>52.68</v>
      </c>
      <c r="M400">
        <v>0</v>
      </c>
      <c r="N400" t="b">
        <v>0</v>
      </c>
      <c r="O400">
        <v>-30</v>
      </c>
      <c r="P400" t="s">
        <v>2014</v>
      </c>
      <c r="Q400" t="s">
        <v>3827</v>
      </c>
      <c r="R400">
        <v>42.69828310109413</v>
      </c>
      <c r="S400">
        <v>618</v>
      </c>
      <c r="T400">
        <v>85425</v>
      </c>
      <c r="U400" t="s">
        <v>5986</v>
      </c>
      <c r="V400">
        <v>52.1</v>
      </c>
      <c r="W400" t="s">
        <v>8178</v>
      </c>
      <c r="X400" t="s">
        <v>968</v>
      </c>
      <c r="Y400">
        <v>1328</v>
      </c>
      <c r="Z400">
        <v>-4</v>
      </c>
      <c r="AB400">
        <v>0.37</v>
      </c>
    </row>
    <row r="401" spans="1:28">
      <c r="A401" s="2">
        <f>HYPERLINK("https://finance.naver.com/item/coinfo.nhn?code=048770", "A048770")</f>
        <v>0</v>
      </c>
      <c r="B401">
        <f>HYPERLINK("http://comp.fnguide.com/SVO2/ASP/SVD_Consensus.asp?pGB=1&amp;gicode=A048770&amp;cID=&amp;MenuYn=Y&amp;ReportGB=&amp;NewMenuID=108&amp;stkGb=701", "TPC")</f>
        <v>0</v>
      </c>
      <c r="C401">
        <v>0</v>
      </c>
      <c r="D401">
        <v>3910</v>
      </c>
      <c r="G401">
        <v>2007</v>
      </c>
      <c r="H401">
        <v>2018</v>
      </c>
      <c r="I401">
        <v>2021</v>
      </c>
      <c r="J401">
        <v>48.66</v>
      </c>
      <c r="K401">
        <v>48.39</v>
      </c>
      <c r="L401">
        <v>48.31</v>
      </c>
      <c r="M401">
        <v>7.9</v>
      </c>
      <c r="N401" t="b">
        <v>0</v>
      </c>
      <c r="O401">
        <v>-303</v>
      </c>
      <c r="P401" t="s">
        <v>1584</v>
      </c>
      <c r="Q401" t="s">
        <v>3532</v>
      </c>
      <c r="R401">
        <v>2.800000000000002</v>
      </c>
      <c r="S401">
        <v>527</v>
      </c>
      <c r="T401">
        <v>49813</v>
      </c>
      <c r="U401" t="s">
        <v>5555</v>
      </c>
      <c r="V401">
        <v>57.71</v>
      </c>
      <c r="W401" t="s">
        <v>7757</v>
      </c>
      <c r="X401" t="s">
        <v>9716</v>
      </c>
      <c r="Y401">
        <v>1011</v>
      </c>
      <c r="Z401">
        <v>2</v>
      </c>
      <c r="AB401">
        <v>0.37</v>
      </c>
    </row>
    <row r="402" spans="1:28">
      <c r="A402" s="2">
        <f>HYPERLINK("https://finance.naver.com/item/coinfo.nhn?code=002790", "A002790")</f>
        <v>0</v>
      </c>
      <c r="B402">
        <f>HYPERLINK("http://comp.fnguide.com/SVO2/ASP/SVD_Consensus.asp?pGB=1&amp;gicode=A002790&amp;cID=&amp;MenuYn=Y&amp;ReportGB=&amp;NewMenuID=108&amp;stkGb=701", "아모레G")</f>
        <v>0</v>
      </c>
      <c r="C402">
        <v>0</v>
      </c>
      <c r="D402">
        <v>54400</v>
      </c>
      <c r="E402">
        <v>-2.52</v>
      </c>
      <c r="F402">
        <v>55.19</v>
      </c>
      <c r="G402">
        <v>26421</v>
      </c>
      <c r="H402">
        <v>37080</v>
      </c>
      <c r="I402">
        <v>40118</v>
      </c>
      <c r="J402">
        <v>51.43</v>
      </c>
      <c r="K402">
        <v>31.84</v>
      </c>
      <c r="L402">
        <v>26.25</v>
      </c>
      <c r="M402">
        <v>4.77</v>
      </c>
      <c r="N402" t="b">
        <v>0</v>
      </c>
      <c r="O402">
        <v>1498</v>
      </c>
      <c r="P402" t="s">
        <v>1759</v>
      </c>
      <c r="Q402" t="s">
        <v>3655</v>
      </c>
      <c r="R402">
        <v>-21.87926438600861</v>
      </c>
      <c r="S402">
        <v>44857</v>
      </c>
      <c r="T402">
        <v>148996</v>
      </c>
      <c r="U402" t="s">
        <v>5729</v>
      </c>
      <c r="V402">
        <v>61.95</v>
      </c>
      <c r="W402" t="s">
        <v>7927</v>
      </c>
      <c r="X402" t="s">
        <v>9863</v>
      </c>
      <c r="Y402">
        <v>62843</v>
      </c>
      <c r="Z402">
        <v>4982</v>
      </c>
      <c r="AA402">
        <v>6208913</v>
      </c>
      <c r="AB402">
        <v>0.36</v>
      </c>
    </row>
    <row r="403" spans="1:28">
      <c r="A403" s="2">
        <f>HYPERLINK("https://finance.naver.com/item/coinfo.nhn?code=111710", "A111710")</f>
        <v>0</v>
      </c>
      <c r="B403">
        <f>HYPERLINK("http://comp.fnguide.com/SVO2/ASP/SVD_Consensus.asp?pGB=1&amp;gicode=A111710&amp;cID=&amp;MenuYn=Y&amp;ReportGB=&amp;NewMenuID=108&amp;stkGb=701", "남화산업")</f>
        <v>0</v>
      </c>
      <c r="C403">
        <v>0</v>
      </c>
      <c r="D403">
        <v>10700</v>
      </c>
      <c r="E403">
        <v>-5.7</v>
      </c>
      <c r="F403">
        <v>95.92</v>
      </c>
      <c r="G403">
        <v>2903</v>
      </c>
      <c r="H403">
        <v>5099</v>
      </c>
      <c r="I403">
        <v>5724</v>
      </c>
      <c r="J403">
        <v>72.87</v>
      </c>
      <c r="K403">
        <v>52.35</v>
      </c>
      <c r="L403">
        <v>46.5</v>
      </c>
      <c r="M403">
        <v>3.53</v>
      </c>
      <c r="N403" t="b">
        <v>0</v>
      </c>
      <c r="O403">
        <v>150</v>
      </c>
      <c r="P403" t="s">
        <v>2120</v>
      </c>
      <c r="Q403" t="s">
        <v>3894</v>
      </c>
      <c r="R403">
        <v>-16.81415746775379</v>
      </c>
      <c r="S403">
        <v>2203</v>
      </c>
      <c r="T403">
        <v>164336</v>
      </c>
      <c r="U403" t="s">
        <v>6094</v>
      </c>
      <c r="V403">
        <v>82.86</v>
      </c>
      <c r="W403" t="s">
        <v>8280</v>
      </c>
      <c r="X403" t="s">
        <v>10116</v>
      </c>
      <c r="Y403">
        <v>150</v>
      </c>
      <c r="Z403">
        <v>55</v>
      </c>
      <c r="AB403">
        <v>0.35</v>
      </c>
    </row>
    <row r="404" spans="1:28">
      <c r="A404" s="2">
        <f>HYPERLINK("https://finance.naver.com/item/coinfo.nhn?code=207760", "A207760")</f>
        <v>0</v>
      </c>
      <c r="B404">
        <f>HYPERLINK("http://comp.fnguide.com/SVO2/ASP/SVD_Consensus.asp?pGB=1&amp;gicode=A207760&amp;cID=&amp;MenuYn=Y&amp;ReportGB=&amp;NewMenuID=108&amp;stkGb=701", "미스터블루")</f>
        <v>0</v>
      </c>
      <c r="C404">
        <v>0</v>
      </c>
      <c r="D404">
        <v>10500</v>
      </c>
      <c r="E404">
        <v>0.4</v>
      </c>
      <c r="F404">
        <v>14.85</v>
      </c>
      <c r="G404">
        <v>4617</v>
      </c>
      <c r="H404">
        <v>2908</v>
      </c>
      <c r="I404">
        <v>2421</v>
      </c>
      <c r="J404">
        <v>56.03</v>
      </c>
      <c r="K404">
        <v>72.3</v>
      </c>
      <c r="L404">
        <v>76.94</v>
      </c>
      <c r="M404">
        <v>20.76</v>
      </c>
      <c r="N404" t="b">
        <v>1</v>
      </c>
      <c r="O404">
        <v>491</v>
      </c>
      <c r="P404" t="s">
        <v>1901</v>
      </c>
      <c r="Q404" t="s">
        <v>3757</v>
      </c>
      <c r="R404">
        <v>37.16299755988062</v>
      </c>
      <c r="S404">
        <v>2598</v>
      </c>
      <c r="T404">
        <v>429353</v>
      </c>
      <c r="U404" t="s">
        <v>5872</v>
      </c>
      <c r="V404">
        <v>60.77</v>
      </c>
      <c r="W404" t="s">
        <v>8069</v>
      </c>
      <c r="X404" t="s">
        <v>9973</v>
      </c>
      <c r="Y404">
        <v>639</v>
      </c>
      <c r="Z404">
        <v>139</v>
      </c>
      <c r="AA404">
        <v>544195</v>
      </c>
      <c r="AB404">
        <v>0.34</v>
      </c>
    </row>
    <row r="405" spans="1:28">
      <c r="A405" s="2">
        <f>HYPERLINK("https://finance.naver.com/item/coinfo.nhn?code=043150", "A043150")</f>
        <v>0</v>
      </c>
      <c r="B405">
        <f>HYPERLINK("http://comp.fnguide.com/SVO2/ASP/SVD_Consensus.asp?pGB=1&amp;gicode=A043150&amp;cID=&amp;MenuYn=Y&amp;ReportGB=&amp;NewMenuID=108&amp;stkGb=701", "바텍")</f>
        <v>0</v>
      </c>
      <c r="C405">
        <v>2</v>
      </c>
      <c r="D405">
        <v>23450</v>
      </c>
      <c r="E405">
        <v>-1.16</v>
      </c>
      <c r="F405">
        <v>12.8</v>
      </c>
      <c r="G405">
        <v>40536</v>
      </c>
      <c r="H405">
        <v>26232</v>
      </c>
      <c r="I405">
        <v>22156</v>
      </c>
      <c r="J405">
        <v>-72.86</v>
      </c>
      <c r="K405">
        <v>-11.86</v>
      </c>
      <c r="L405">
        <v>5.52</v>
      </c>
      <c r="M405">
        <v>19.31</v>
      </c>
      <c r="N405" t="b">
        <v>1</v>
      </c>
      <c r="O405">
        <v>2281</v>
      </c>
      <c r="P405" t="s">
        <v>772</v>
      </c>
      <c r="Q405" t="s">
        <v>2931</v>
      </c>
      <c r="R405">
        <v>-11.03332079656073</v>
      </c>
      <c r="S405">
        <v>3483</v>
      </c>
      <c r="T405">
        <v>95385</v>
      </c>
      <c r="U405" t="s">
        <v>4744</v>
      </c>
      <c r="V405">
        <v>53.65</v>
      </c>
      <c r="W405" t="s">
        <v>6964</v>
      </c>
      <c r="X405" t="s">
        <v>9096</v>
      </c>
      <c r="Y405">
        <v>2717</v>
      </c>
      <c r="Z405">
        <v>429</v>
      </c>
      <c r="AB405">
        <v>0.34</v>
      </c>
    </row>
    <row r="406" spans="1:28">
      <c r="A406" s="2">
        <f>HYPERLINK("https://finance.naver.com/item/coinfo.nhn?code=214150", "A214150")</f>
        <v>0</v>
      </c>
      <c r="B406">
        <f>HYPERLINK("http://comp.fnguide.com/SVO2/ASP/SVD_Consensus.asp?pGB=1&amp;gicode=A214150&amp;cID=&amp;MenuYn=Y&amp;ReportGB=&amp;NewMenuID=108&amp;stkGb=701", "클래시스")</f>
        <v>0</v>
      </c>
      <c r="C406">
        <v>0</v>
      </c>
      <c r="D406">
        <v>14850</v>
      </c>
      <c r="E406">
        <v>0.51</v>
      </c>
      <c r="F406">
        <v>26.49</v>
      </c>
      <c r="G406">
        <v>6056</v>
      </c>
      <c r="H406">
        <v>3234</v>
      </c>
      <c r="I406">
        <v>2429</v>
      </c>
      <c r="J406">
        <v>59.22</v>
      </c>
      <c r="K406">
        <v>78.22</v>
      </c>
      <c r="L406">
        <v>83.64</v>
      </c>
      <c r="M406">
        <v>35.53</v>
      </c>
      <c r="N406" t="b">
        <v>1</v>
      </c>
      <c r="O406">
        <v>534</v>
      </c>
      <c r="P406" t="s">
        <v>1275</v>
      </c>
      <c r="Q406" t="s">
        <v>3311</v>
      </c>
      <c r="R406">
        <v>51.64844468330108</v>
      </c>
      <c r="S406">
        <v>9609</v>
      </c>
      <c r="T406">
        <v>122529</v>
      </c>
      <c r="U406" t="s">
        <v>5246</v>
      </c>
      <c r="V406">
        <v>85.09999999999999</v>
      </c>
      <c r="W406" t="s">
        <v>7455</v>
      </c>
      <c r="X406" t="s">
        <v>9479</v>
      </c>
      <c r="Y406">
        <v>811</v>
      </c>
      <c r="Z406">
        <v>417</v>
      </c>
      <c r="AB406">
        <v>0.33</v>
      </c>
    </row>
    <row r="407" spans="1:28">
      <c r="A407" s="2">
        <f>HYPERLINK("https://finance.naver.com/item/coinfo.nhn?code=032960", "A032960")</f>
        <v>0</v>
      </c>
      <c r="B407">
        <f>HYPERLINK("http://comp.fnguide.com/SVO2/ASP/SVD_Consensus.asp?pGB=1&amp;gicode=A032960&amp;cID=&amp;MenuYn=Y&amp;ReportGB=&amp;NewMenuID=108&amp;stkGb=701", "동일기연")</f>
        <v>0</v>
      </c>
      <c r="C407">
        <v>3</v>
      </c>
      <c r="D407">
        <v>12600</v>
      </c>
      <c r="E407">
        <v>-3.65</v>
      </c>
      <c r="F407">
        <v>17.05</v>
      </c>
      <c r="G407">
        <v>9456</v>
      </c>
      <c r="H407">
        <v>13558</v>
      </c>
      <c r="I407">
        <v>14727</v>
      </c>
      <c r="J407">
        <v>24.95</v>
      </c>
      <c r="K407">
        <v>-7.6</v>
      </c>
      <c r="L407">
        <v>-16.88</v>
      </c>
      <c r="M407">
        <v>4.63</v>
      </c>
      <c r="N407" t="b">
        <v>1</v>
      </c>
      <c r="O407">
        <v>727</v>
      </c>
      <c r="P407" t="s">
        <v>451</v>
      </c>
      <c r="Q407" t="s">
        <v>2631</v>
      </c>
      <c r="R407">
        <v>-4.665997532421395</v>
      </c>
      <c r="S407">
        <v>429</v>
      </c>
      <c r="T407">
        <v>49655</v>
      </c>
      <c r="U407" t="s">
        <v>4423</v>
      </c>
      <c r="V407">
        <v>67.65000000000001</v>
      </c>
      <c r="W407" t="s">
        <v>6643</v>
      </c>
      <c r="X407" t="s">
        <v>8793</v>
      </c>
      <c r="Y407">
        <v>290</v>
      </c>
      <c r="Z407">
        <v>9</v>
      </c>
      <c r="AA407">
        <v>207667</v>
      </c>
      <c r="AB407">
        <v>0.31</v>
      </c>
    </row>
    <row r="408" spans="1:28">
      <c r="A408" s="2">
        <f>HYPERLINK("https://finance.naver.com/item/coinfo.nhn?code=092190", "A092190")</f>
        <v>0</v>
      </c>
      <c r="B408">
        <f>HYPERLINK("http://comp.fnguide.com/SVO2/ASP/SVD_Consensus.asp?pGB=1&amp;gicode=A092190&amp;cID=&amp;MenuYn=Y&amp;ReportGB=&amp;NewMenuID=108&amp;stkGb=701", "서울바이오시스")</f>
        <v>0</v>
      </c>
      <c r="C408">
        <v>0</v>
      </c>
      <c r="D408">
        <v>17550</v>
      </c>
      <c r="E408">
        <v>-4.91</v>
      </c>
      <c r="F408">
        <v>86.43000000000001</v>
      </c>
      <c r="G408">
        <v>2561</v>
      </c>
      <c r="H408">
        <v>3526</v>
      </c>
      <c r="I408">
        <v>3801</v>
      </c>
      <c r="J408">
        <v>85.41</v>
      </c>
      <c r="K408">
        <v>79.91</v>
      </c>
      <c r="L408">
        <v>78.34</v>
      </c>
      <c r="M408">
        <v>4.9</v>
      </c>
      <c r="N408" t="b">
        <v>0</v>
      </c>
      <c r="O408">
        <v>147</v>
      </c>
      <c r="P408" t="s">
        <v>1877</v>
      </c>
      <c r="Q408" t="s">
        <v>3739</v>
      </c>
      <c r="R408">
        <v>-17.6161746597681</v>
      </c>
      <c r="S408">
        <v>6708</v>
      </c>
      <c r="T408">
        <v>630643</v>
      </c>
      <c r="U408" t="s">
        <v>5848</v>
      </c>
      <c r="V408">
        <v>63.94</v>
      </c>
      <c r="W408" t="s">
        <v>8046</v>
      </c>
      <c r="X408" t="s">
        <v>9955</v>
      </c>
      <c r="Y408">
        <v>3506</v>
      </c>
      <c r="Z408">
        <v>103</v>
      </c>
      <c r="AB408">
        <v>0.3</v>
      </c>
    </row>
    <row r="409" spans="1:28">
      <c r="A409" s="2">
        <f>HYPERLINK("https://finance.naver.com/item/coinfo.nhn?code=317830", "A317830")</f>
        <v>0</v>
      </c>
      <c r="B409">
        <f>HYPERLINK("http://comp.fnguide.com/SVO2/ASP/SVD_Consensus.asp?pGB=1&amp;gicode=A317830&amp;cID=&amp;MenuYn=Y&amp;ReportGB=&amp;NewMenuID=108&amp;stkGb=701", "에스피시스템스")</f>
        <v>0</v>
      </c>
      <c r="C409">
        <v>0</v>
      </c>
      <c r="D409">
        <v>5870</v>
      </c>
      <c r="E409">
        <v>-6.74</v>
      </c>
      <c r="F409">
        <v>37.45</v>
      </c>
      <c r="G409">
        <v>4623</v>
      </c>
      <c r="H409">
        <v>4309</v>
      </c>
      <c r="I409">
        <v>4220</v>
      </c>
      <c r="J409">
        <v>21.25</v>
      </c>
      <c r="K409">
        <v>26.59</v>
      </c>
      <c r="L409">
        <v>28.11</v>
      </c>
      <c r="M409">
        <v>8.98</v>
      </c>
      <c r="N409" t="b">
        <v>1</v>
      </c>
      <c r="O409">
        <v>179</v>
      </c>
      <c r="P409" t="s">
        <v>1003</v>
      </c>
      <c r="Q409" t="s">
        <v>3131</v>
      </c>
      <c r="R409">
        <v>-5.559595222781533</v>
      </c>
      <c r="S409">
        <v>478</v>
      </c>
      <c r="T409">
        <v>38312</v>
      </c>
      <c r="U409" t="s">
        <v>4974</v>
      </c>
      <c r="V409">
        <v>64.04000000000001</v>
      </c>
      <c r="W409" t="s">
        <v>7192</v>
      </c>
      <c r="X409" t="s">
        <v>9291</v>
      </c>
      <c r="Y409">
        <v>320</v>
      </c>
      <c r="Z409">
        <v>10</v>
      </c>
      <c r="AA409">
        <v>733100</v>
      </c>
      <c r="AB409">
        <v>0.3</v>
      </c>
    </row>
    <row r="410" spans="1:28">
      <c r="A410" s="2">
        <f>HYPERLINK("https://finance.naver.com/item/coinfo.nhn?code=247540", "A247540")</f>
        <v>0</v>
      </c>
      <c r="B410">
        <f>HYPERLINK("http://comp.fnguide.com/SVO2/ASP/SVD_Consensus.asp?pGB=1&amp;gicode=A247540&amp;cID=&amp;MenuYn=Y&amp;ReportGB=&amp;NewMenuID=108&amp;stkGb=701", "에코프로비엠")</f>
        <v>0</v>
      </c>
      <c r="C410">
        <v>0</v>
      </c>
      <c r="D410">
        <v>149400</v>
      </c>
      <c r="E410">
        <v>0</v>
      </c>
      <c r="F410">
        <v>30.39</v>
      </c>
      <c r="G410">
        <v>39370</v>
      </c>
      <c r="H410">
        <v>26331</v>
      </c>
      <c r="I410">
        <v>22615</v>
      </c>
      <c r="J410">
        <v>73.65000000000001</v>
      </c>
      <c r="K410">
        <v>82.38</v>
      </c>
      <c r="L410">
        <v>84.86</v>
      </c>
      <c r="M410">
        <v>17.76</v>
      </c>
      <c r="N410" t="b">
        <v>1</v>
      </c>
      <c r="O410">
        <v>1744</v>
      </c>
      <c r="P410" t="s">
        <v>1036</v>
      </c>
      <c r="Q410" t="s">
        <v>3155</v>
      </c>
      <c r="R410">
        <v>0</v>
      </c>
      <c r="S410">
        <v>31427</v>
      </c>
      <c r="T410">
        <v>191739</v>
      </c>
      <c r="U410" t="s">
        <v>5007</v>
      </c>
      <c r="V410">
        <v>53.27</v>
      </c>
      <c r="W410" t="s">
        <v>7225</v>
      </c>
      <c r="X410" t="s">
        <v>9315</v>
      </c>
      <c r="Y410">
        <v>6161</v>
      </c>
      <c r="Z410">
        <v>371</v>
      </c>
      <c r="AA410">
        <v>81726</v>
      </c>
      <c r="AB410">
        <v>0.28</v>
      </c>
    </row>
    <row r="411" spans="1:28">
      <c r="A411" s="2">
        <f>HYPERLINK("https://finance.naver.com/item/coinfo.nhn?code=241590", "A241590")</f>
        <v>0</v>
      </c>
      <c r="B411">
        <f>HYPERLINK("http://comp.fnguide.com/SVO2/ASP/SVD_Consensus.asp?pGB=1&amp;gicode=A241590&amp;cID=&amp;MenuYn=Y&amp;ReportGB=&amp;NewMenuID=108&amp;stkGb=701", "화승엔터프라이즈")</f>
        <v>0</v>
      </c>
      <c r="C411">
        <v>0</v>
      </c>
      <c r="D411">
        <v>13550</v>
      </c>
      <c r="E411">
        <v>-1.46</v>
      </c>
      <c r="F411">
        <v>16.43</v>
      </c>
      <c r="G411">
        <v>10934</v>
      </c>
      <c r="H411">
        <v>7824</v>
      </c>
      <c r="I411">
        <v>6938</v>
      </c>
      <c r="J411">
        <v>19.31</v>
      </c>
      <c r="K411">
        <v>42.26</v>
      </c>
      <c r="L411">
        <v>48.79</v>
      </c>
      <c r="M411">
        <v>15.13</v>
      </c>
      <c r="N411" t="b">
        <v>1</v>
      </c>
      <c r="O411">
        <v>1031</v>
      </c>
      <c r="P411" t="s">
        <v>1611</v>
      </c>
      <c r="Q411" t="s">
        <v>3546</v>
      </c>
      <c r="R411">
        <v>-11.22368516060773</v>
      </c>
      <c r="S411">
        <v>8203</v>
      </c>
      <c r="T411">
        <v>184272</v>
      </c>
      <c r="U411" t="s">
        <v>5582</v>
      </c>
      <c r="V411">
        <v>72.02</v>
      </c>
      <c r="W411" t="s">
        <v>7782</v>
      </c>
      <c r="X411" t="s">
        <v>9737</v>
      </c>
      <c r="Y411">
        <v>12016</v>
      </c>
      <c r="Z411">
        <v>854</v>
      </c>
      <c r="AB411">
        <v>0.27</v>
      </c>
    </row>
    <row r="412" spans="1:28">
      <c r="A412" s="2">
        <f>HYPERLINK("https://finance.naver.com/item/coinfo.nhn?code=003920", "A003920")</f>
        <v>0</v>
      </c>
      <c r="B412">
        <f>HYPERLINK("http://comp.fnguide.com/SVO2/ASP/SVD_Consensus.asp?pGB=1&amp;gicode=A003920&amp;cID=&amp;MenuYn=Y&amp;ReportGB=&amp;NewMenuID=108&amp;stkGb=701", "남양유업")</f>
        <v>0</v>
      </c>
      <c r="C412">
        <v>3</v>
      </c>
      <c r="D412">
        <v>282500</v>
      </c>
      <c r="E412">
        <v>5.79</v>
      </c>
      <c r="F412">
        <v>13.33</v>
      </c>
      <c r="G412">
        <v>302253</v>
      </c>
      <c r="H412">
        <v>926993</v>
      </c>
      <c r="I412">
        <v>1105011</v>
      </c>
      <c r="J412">
        <v>-6.99</v>
      </c>
      <c r="K412">
        <v>-228.14</v>
      </c>
      <c r="L412">
        <v>-291.15</v>
      </c>
      <c r="M412">
        <v>1.79</v>
      </c>
      <c r="N412" t="b">
        <v>1</v>
      </c>
      <c r="O412">
        <v>32968</v>
      </c>
      <c r="P412" t="s">
        <v>588</v>
      </c>
      <c r="Q412" t="s">
        <v>2760</v>
      </c>
      <c r="R412">
        <v>2.303977827402326</v>
      </c>
      <c r="S412">
        <v>2034</v>
      </c>
      <c r="T412">
        <v>1817</v>
      </c>
      <c r="U412" t="s">
        <v>4560</v>
      </c>
      <c r="V412">
        <v>53.08</v>
      </c>
      <c r="W412" t="s">
        <v>6780</v>
      </c>
      <c r="X412" t="s">
        <v>8923</v>
      </c>
      <c r="Y412">
        <v>10308</v>
      </c>
      <c r="Z412">
        <v>4</v>
      </c>
      <c r="AA412">
        <v>40288</v>
      </c>
      <c r="AB412">
        <v>0.23</v>
      </c>
    </row>
    <row r="413" spans="1:28">
      <c r="A413" s="2">
        <f>HYPERLINK("https://finance.naver.com/item/coinfo.nhn?code=010950", "A010950")</f>
        <v>0</v>
      </c>
      <c r="B413">
        <f>HYPERLINK("http://comp.fnguide.com/SVO2/ASP/SVD_Consensus.asp?pGB=1&amp;gicode=A010950&amp;cID=&amp;MenuYn=Y&amp;ReportGB=&amp;NewMenuID=108&amp;stkGb=701", "S-Oil")</f>
        <v>0</v>
      </c>
      <c r="C413">
        <v>0</v>
      </c>
      <c r="D413">
        <v>70200</v>
      </c>
      <c r="E413">
        <v>-3.93</v>
      </c>
      <c r="F413">
        <v>169.84</v>
      </c>
      <c r="G413">
        <v>35755</v>
      </c>
      <c r="H413">
        <v>48943</v>
      </c>
      <c r="I413">
        <v>52701</v>
      </c>
      <c r="J413">
        <v>49.07</v>
      </c>
      <c r="K413">
        <v>30.28</v>
      </c>
      <c r="L413">
        <v>24.93</v>
      </c>
      <c r="M413">
        <v>4.94</v>
      </c>
      <c r="N413" t="b">
        <v>0</v>
      </c>
      <c r="O413">
        <v>561</v>
      </c>
      <c r="P413" t="s">
        <v>1746</v>
      </c>
      <c r="Q413" t="s">
        <v>3643</v>
      </c>
      <c r="R413">
        <v>-43.24127484459288</v>
      </c>
      <c r="S413">
        <v>79033</v>
      </c>
      <c r="T413">
        <v>401688</v>
      </c>
      <c r="U413" t="s">
        <v>5716</v>
      </c>
      <c r="V413">
        <v>63.45</v>
      </c>
      <c r="W413" t="s">
        <v>7914</v>
      </c>
      <c r="X413" t="s">
        <v>9850</v>
      </c>
      <c r="Y413">
        <v>243942</v>
      </c>
      <c r="Z413">
        <v>4201</v>
      </c>
      <c r="AB413">
        <v>0.21</v>
      </c>
    </row>
    <row r="414" spans="1:28">
      <c r="A414" s="2">
        <f>HYPERLINK("https://finance.naver.com/item/coinfo.nhn?code=271980", "A271980")</f>
        <v>0</v>
      </c>
      <c r="B414">
        <f>HYPERLINK("http://comp.fnguide.com/SVO2/ASP/SVD_Consensus.asp?pGB=1&amp;gicode=A271980&amp;cID=&amp;MenuYn=Y&amp;ReportGB=&amp;NewMenuID=108&amp;stkGb=701", "제일약품")</f>
        <v>0</v>
      </c>
      <c r="C414">
        <v>0</v>
      </c>
      <c r="D414">
        <v>81400</v>
      </c>
      <c r="E414">
        <v>0</v>
      </c>
      <c r="G414">
        <v>506</v>
      </c>
      <c r="H414">
        <v>7191</v>
      </c>
      <c r="I414">
        <v>9096</v>
      </c>
      <c r="J414">
        <v>99.38</v>
      </c>
      <c r="K414">
        <v>91.17</v>
      </c>
      <c r="L414">
        <v>88.83</v>
      </c>
      <c r="M414">
        <v>0.35</v>
      </c>
      <c r="N414" t="b">
        <v>0</v>
      </c>
      <c r="O414">
        <v>-720</v>
      </c>
      <c r="P414" t="s">
        <v>1535</v>
      </c>
      <c r="Q414" t="s">
        <v>3492</v>
      </c>
      <c r="R414">
        <v>0</v>
      </c>
      <c r="S414">
        <v>11970</v>
      </c>
      <c r="T414">
        <v>903810</v>
      </c>
      <c r="U414" t="s">
        <v>5506</v>
      </c>
      <c r="V414">
        <v>62.74</v>
      </c>
      <c r="W414" t="s">
        <v>7708</v>
      </c>
      <c r="X414" t="s">
        <v>9674</v>
      </c>
      <c r="Y414">
        <v>6714</v>
      </c>
      <c r="Z414">
        <v>4</v>
      </c>
      <c r="AA414">
        <v>90414</v>
      </c>
      <c r="AB414">
        <v>0.19</v>
      </c>
    </row>
    <row r="415" spans="1:28">
      <c r="A415" s="2">
        <f>HYPERLINK("https://finance.naver.com/item/coinfo.nhn?code=011390", "A011390")</f>
        <v>0</v>
      </c>
      <c r="B415">
        <f>HYPERLINK("http://comp.fnguide.com/SVO2/ASP/SVD_Consensus.asp?pGB=1&amp;gicode=A011390&amp;cID=&amp;MenuYn=Y&amp;ReportGB=&amp;NewMenuID=108&amp;stkGb=701", "부산산업")</f>
        <v>0</v>
      </c>
      <c r="C415">
        <v>0</v>
      </c>
      <c r="D415">
        <v>116000</v>
      </c>
      <c r="E415">
        <v>-3.21</v>
      </c>
      <c r="F415">
        <v>39.5</v>
      </c>
      <c r="G415">
        <v>44056</v>
      </c>
      <c r="H415">
        <v>49334</v>
      </c>
      <c r="I415">
        <v>50838</v>
      </c>
      <c r="J415">
        <v>62.02</v>
      </c>
      <c r="K415">
        <v>57.47</v>
      </c>
      <c r="L415">
        <v>56.17</v>
      </c>
      <c r="M415">
        <v>6.65</v>
      </c>
      <c r="N415" t="b">
        <v>0</v>
      </c>
      <c r="O415">
        <v>3684</v>
      </c>
      <c r="P415" t="s">
        <v>1809</v>
      </c>
      <c r="Q415" t="s">
        <v>3689</v>
      </c>
      <c r="R415">
        <v>-12.30954403754456</v>
      </c>
      <c r="S415">
        <v>1225</v>
      </c>
      <c r="T415">
        <v>9237</v>
      </c>
      <c r="U415" t="s">
        <v>5779</v>
      </c>
      <c r="V415">
        <v>51.75</v>
      </c>
      <c r="W415" t="s">
        <v>7977</v>
      </c>
      <c r="X415" t="s">
        <v>9899</v>
      </c>
      <c r="Y415">
        <v>1410</v>
      </c>
      <c r="Z415">
        <v>86</v>
      </c>
      <c r="AB415">
        <v>0.17</v>
      </c>
    </row>
    <row r="416" spans="1:28">
      <c r="A416" s="2">
        <f>HYPERLINK("https://finance.naver.com/item/coinfo.nhn?code=003240", "A003240")</f>
        <v>0</v>
      </c>
      <c r="B416">
        <f>HYPERLINK("http://comp.fnguide.com/SVO2/ASP/SVD_Consensus.asp?pGB=1&amp;gicode=A003240&amp;cID=&amp;MenuYn=Y&amp;ReportGB=&amp;NewMenuID=108&amp;stkGb=701", "태광산업")</f>
        <v>0</v>
      </c>
      <c r="C416">
        <v>3</v>
      </c>
      <c r="D416">
        <v>786000</v>
      </c>
      <c r="E416">
        <v>1.07</v>
      </c>
      <c r="F416">
        <v>8.67</v>
      </c>
      <c r="G416">
        <v>2613702</v>
      </c>
      <c r="H416">
        <v>3312766</v>
      </c>
      <c r="I416">
        <v>3511963</v>
      </c>
      <c r="J416">
        <v>-232.53</v>
      </c>
      <c r="K416">
        <v>-321.47</v>
      </c>
      <c r="L416">
        <v>-346.81</v>
      </c>
      <c r="M416">
        <v>5.52</v>
      </c>
      <c r="N416" t="b">
        <v>1</v>
      </c>
      <c r="O416">
        <v>122200</v>
      </c>
      <c r="P416" t="s">
        <v>191</v>
      </c>
      <c r="Q416" t="s">
        <v>2397</v>
      </c>
      <c r="R416">
        <v>8.132256201578425</v>
      </c>
      <c r="S416">
        <v>8751</v>
      </c>
      <c r="T416">
        <v>1108</v>
      </c>
      <c r="U416" t="s">
        <v>4163</v>
      </c>
      <c r="V416">
        <v>55.01</v>
      </c>
      <c r="W416" t="s">
        <v>6383</v>
      </c>
      <c r="X416" t="s">
        <v>8558</v>
      </c>
      <c r="Y416">
        <v>29180</v>
      </c>
      <c r="Z416">
        <v>2914</v>
      </c>
      <c r="AA416">
        <v>271769</v>
      </c>
      <c r="AB416">
        <v>0.15</v>
      </c>
    </row>
    <row r="417" spans="1:28">
      <c r="A417" s="2">
        <f>HYPERLINK("https://finance.naver.com/item/coinfo.nhn?code=020150", "A020150")</f>
        <v>0</v>
      </c>
      <c r="B417">
        <f>HYPERLINK("http://comp.fnguide.com/SVO2/ASP/SVD_Consensus.asp?pGB=1&amp;gicode=A020150&amp;cID=&amp;MenuYn=Y&amp;ReportGB=&amp;NewMenuID=108&amp;stkGb=701", "일진머티리얼즈")</f>
        <v>0</v>
      </c>
      <c r="C417">
        <v>0</v>
      </c>
      <c r="D417">
        <v>47150</v>
      </c>
      <c r="E417">
        <v>-98.56999999999999</v>
      </c>
      <c r="F417">
        <v>42.09</v>
      </c>
      <c r="G417">
        <v>13341</v>
      </c>
      <c r="H417">
        <v>12769</v>
      </c>
      <c r="I417">
        <v>12606</v>
      </c>
      <c r="J417">
        <v>71.70999999999999</v>
      </c>
      <c r="K417">
        <v>72.92</v>
      </c>
      <c r="L417">
        <v>73.26000000000001</v>
      </c>
      <c r="M417">
        <v>8.58</v>
      </c>
      <c r="N417" t="b">
        <v>0</v>
      </c>
      <c r="O417">
        <v>1016</v>
      </c>
      <c r="P417" t="s">
        <v>1515</v>
      </c>
      <c r="Q417" t="s">
        <v>3473</v>
      </c>
      <c r="R417">
        <v>-0.4269971877413514</v>
      </c>
      <c r="S417">
        <v>21741</v>
      </c>
      <c r="T417">
        <v>387453</v>
      </c>
      <c r="U417" t="s">
        <v>5486</v>
      </c>
      <c r="V417">
        <v>53.37</v>
      </c>
      <c r="W417" t="s">
        <v>7688</v>
      </c>
      <c r="X417" t="s">
        <v>9657</v>
      </c>
      <c r="Y417">
        <v>5502</v>
      </c>
      <c r="Z417">
        <v>469</v>
      </c>
      <c r="AB417">
        <v>0.12</v>
      </c>
    </row>
    <row r="418" spans="1:28">
      <c r="A418" s="2">
        <f>HYPERLINK("https://finance.naver.com/item/coinfo.nhn?code=144510", "A144510")</f>
        <v>0</v>
      </c>
      <c r="B418">
        <f>HYPERLINK("http://comp.fnguide.com/SVO2/ASP/SVD_Consensus.asp?pGB=1&amp;gicode=A144510&amp;cID=&amp;MenuYn=Y&amp;ReportGB=&amp;NewMenuID=108&amp;stkGb=701", "녹십자랩셀")</f>
        <v>0</v>
      </c>
      <c r="C418">
        <v>0</v>
      </c>
      <c r="D418">
        <v>72500</v>
      </c>
      <c r="G418">
        <v>555</v>
      </c>
      <c r="H418">
        <v>2727</v>
      </c>
      <c r="I418">
        <v>3345</v>
      </c>
      <c r="J418">
        <v>99.23</v>
      </c>
      <c r="K418">
        <v>96.23999999999999</v>
      </c>
      <c r="L418">
        <v>95.39</v>
      </c>
      <c r="M418">
        <v>1.06</v>
      </c>
      <c r="N418" t="b">
        <v>0</v>
      </c>
      <c r="O418">
        <v>-216</v>
      </c>
      <c r="P418" t="s">
        <v>2049</v>
      </c>
      <c r="Q418" t="s">
        <v>3847</v>
      </c>
      <c r="R418">
        <v>-29.76279518589123</v>
      </c>
      <c r="S418">
        <v>7652</v>
      </c>
      <c r="T418">
        <v>696537</v>
      </c>
      <c r="U418" t="s">
        <v>6021</v>
      </c>
      <c r="V418">
        <v>50.15</v>
      </c>
      <c r="W418" t="s">
        <v>8211</v>
      </c>
      <c r="X418" t="s">
        <v>10064</v>
      </c>
      <c r="Y418">
        <v>579</v>
      </c>
      <c r="Z418">
        <v>-33</v>
      </c>
      <c r="AB418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2020-12-07T02:17:13Z</dcterms:created>
  <dcterms:modified xsi:type="dcterms:W3CDTF">2020-12-07T02:17:13Z</dcterms:modified>
</cp:coreProperties>
</file>